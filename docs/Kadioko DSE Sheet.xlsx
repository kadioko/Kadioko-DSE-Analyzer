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DSE\"/>
    </mc:Choice>
  </mc:AlternateContent>
  <xr:revisionPtr revIDLastSave="0" documentId="13_ncr:1_{3403FE7C-A900-4495-BBEF-C4AA7396A6E3}" xr6:coauthVersionLast="47" xr6:coauthVersionMax="47" xr10:uidLastSave="{00000000-0000-0000-0000-000000000000}"/>
  <workbookProtection workbookAlgorithmName="SHA-512" workbookHashValue="if3tmrp6Mxb9xKKNDME7vjbA4VHC7e1BoiAxmv3JHUv2BZAlVtPKRQJrv8d15eDzpxFNlNJKt+qzkvQpqVJ38g==" workbookSaltValue="onehzTWyqdQC5JB8KlXpVQ==" workbookSpinCount="100000" lockStructure="1"/>
  <bookViews>
    <workbookView xWindow="-108" yWindow="-108" windowWidth="23256" windowHeight="12576" firstSheet="6" activeTab="8" xr2:uid="{C61C0E9D-D4D6-422D-810B-12CFB5475D71}"/>
  </bookViews>
  <sheets>
    <sheet name="README" sheetId="2" r:id="rId1"/>
    <sheet name="How To Read" sheetId="19" r:id="rId2"/>
    <sheet name="Settings" sheetId="3" r:id="rId3"/>
    <sheet name="Symbols" sheetId="4" r:id="rId4"/>
    <sheet name="Daily Data" sheetId="5" r:id="rId5"/>
    <sheet name="Daily Summary" sheetId="6" r:id="rId6"/>
    <sheet name="Market Sentiment" sheetId="7" r:id="rId7"/>
    <sheet name="Fundamental Scorecard" sheetId="20" r:id="rId8"/>
    <sheet name="Ranking" sheetId="21" r:id="rId9"/>
    <sheet name="Ranking History" sheetId="22" r:id="rId10"/>
    <sheet name="Stock Analyzer" sheetId="8" r:id="rId11"/>
    <sheet name="Momentum" sheetId="9" r:id="rId12"/>
    <sheet name="Compare" sheetId="10" r:id="rId13"/>
    <sheet name="Weekly Report" sheetId="11" r:id="rId14"/>
    <sheet name="Monthly Report" sheetId="12" r:id="rId15"/>
    <sheet name="Dashboard" sheetId="13" r:id="rId16"/>
    <sheet name="Methodology" sheetId="14" r:id="rId17"/>
    <sheet name="Data Quality" sheetId="15" r:id="rId18"/>
    <sheet name="Data Dictionary" sheetId="16" r:id="rId19"/>
    <sheet name="CSV Template" sheetId="17" r:id="rId20"/>
    <sheet name="Apps Script" sheetId="18" r:id="rId21"/>
  </sheets>
  <definedNames>
    <definedName name="RankingFundamentalWeight">Settings!$C$65</definedName>
    <definedName name="RankingSentimentWeight">Settings!$C$66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55" i="21" l="1"/>
  <c r="AE56" i="21"/>
  <c r="AE57" i="21"/>
  <c r="AE58" i="21"/>
  <c r="AE59" i="21"/>
  <c r="AE60" i="21"/>
  <c r="AE61" i="21"/>
  <c r="AE62" i="21"/>
  <c r="AE63" i="21"/>
  <c r="AE64" i="21"/>
  <c r="AD55" i="21"/>
  <c r="AF55" i="21" s="1"/>
  <c r="AL55" i="21" s="1"/>
  <c r="AD56" i="21"/>
  <c r="AF56" i="21" s="1"/>
  <c r="AL56" i="21" s="1"/>
  <c r="AD57" i="21"/>
  <c r="AD58" i="21"/>
  <c r="AD59" i="21"/>
  <c r="AG59" i="21" s="1"/>
  <c r="AD60" i="21"/>
  <c r="AF60" i="21" s="1"/>
  <c r="AL60" i="21" s="1"/>
  <c r="AD61" i="21"/>
  <c r="AG61" i="21" s="1"/>
  <c r="AD62" i="21"/>
  <c r="AF62" i="21" s="1"/>
  <c r="AL62" i="21" s="1"/>
  <c r="AD63" i="21"/>
  <c r="AF63" i="21" s="1"/>
  <c r="AL63" i="21" s="1"/>
  <c r="AD64" i="21"/>
  <c r="AG64" i="21" s="1"/>
  <c r="AP25" i="21" a="1"/>
  <c r="AP25" i="21"/>
  <c r="AP26" i="21" a="1"/>
  <c r="AP26" i="21"/>
  <c r="AP27" i="21" a="1"/>
  <c r="AP27" i="21"/>
  <c r="AP28" i="21" a="1"/>
  <c r="AP28" i="21"/>
  <c r="AP29" i="21" a="1"/>
  <c r="AP29" i="21"/>
  <c r="AP30" i="21" a="1"/>
  <c r="AP30" i="21"/>
  <c r="AP31" i="21" a="1"/>
  <c r="AP31" i="21"/>
  <c r="AP32" i="21" a="1"/>
  <c r="AP32" i="21"/>
  <c r="AP33" i="21" a="1"/>
  <c r="AP33" i="21"/>
  <c r="AP34" i="21" a="1"/>
  <c r="AP34" i="21"/>
  <c r="AP35" i="21" a="1"/>
  <c r="AP35" i="21"/>
  <c r="AP36" i="21" a="1"/>
  <c r="AP36" i="21"/>
  <c r="AP37" i="21" a="1"/>
  <c r="AP37" i="21"/>
  <c r="AP38" i="21" a="1"/>
  <c r="AP38" i="21"/>
  <c r="AP39" i="21" a="1"/>
  <c r="AP39" i="21"/>
  <c r="AP40" i="21" a="1"/>
  <c r="AP40" i="21"/>
  <c r="AP41" i="21" a="1"/>
  <c r="AP41" i="21"/>
  <c r="AP42" i="21" a="1"/>
  <c r="AP42" i="21"/>
  <c r="AP43" i="21" a="1"/>
  <c r="AP43" i="21"/>
  <c r="AP44" i="21" a="1"/>
  <c r="AP44" i="21"/>
  <c r="AP45" i="21" a="1"/>
  <c r="AP45" i="21"/>
  <c r="AP46" i="21" a="1"/>
  <c r="AP46" i="21"/>
  <c r="AP47" i="21" a="1"/>
  <c r="AP47" i="21"/>
  <c r="AP48" i="21" a="1"/>
  <c r="AP48" i="21"/>
  <c r="AP49" i="21" a="1"/>
  <c r="AP49" i="21"/>
  <c r="AP50" i="21" a="1"/>
  <c r="AP50" i="21"/>
  <c r="AP51" i="21" a="1"/>
  <c r="AP51" i="21"/>
  <c r="AP52" i="21" a="1"/>
  <c r="AP52" i="21"/>
  <c r="AP53" i="21" a="1"/>
  <c r="AP53" i="21"/>
  <c r="AP54" i="21" a="1"/>
  <c r="AP54" i="21"/>
  <c r="AP55" i="21" a="1"/>
  <c r="AP55" i="21"/>
  <c r="AP56" i="21" a="1"/>
  <c r="AP56" i="21"/>
  <c r="AP57" i="21" a="1"/>
  <c r="AP57" i="21"/>
  <c r="AP58" i="21" a="1"/>
  <c r="AP58" i="21"/>
  <c r="AP59" i="21" a="1"/>
  <c r="AP59" i="21"/>
  <c r="AP60" i="21" a="1"/>
  <c r="AP60" i="21"/>
  <c r="AP61" i="21" a="1"/>
  <c r="AP61" i="21"/>
  <c r="AP62" i="21" a="1"/>
  <c r="AP62" i="21"/>
  <c r="AP63" i="21" a="1"/>
  <c r="AP63" i="21"/>
  <c r="AP64" i="21" a="1"/>
  <c r="AP64" i="21"/>
  <c r="D32" i="20"/>
  <c r="D31" i="20"/>
  <c r="D30" i="20"/>
  <c r="D29" i="20"/>
  <c r="V49" i="21" s="1"/>
  <c r="D27" i="20"/>
  <c r="D26" i="20"/>
  <c r="D25" i="20"/>
  <c r="D24" i="20"/>
  <c r="D23" i="20"/>
  <c r="D22" i="20"/>
  <c r="D21" i="20"/>
  <c r="D20" i="20"/>
  <c r="D18" i="20"/>
  <c r="D17" i="20"/>
  <c r="D16" i="20"/>
  <c r="D15" i="20"/>
  <c r="D14" i="20"/>
  <c r="D13" i="20"/>
  <c r="D12" i="20"/>
  <c r="D11" i="20"/>
  <c r="D10" i="20"/>
  <c r="D9" i="20"/>
  <c r="D8" i="20"/>
  <c r="D7" i="20"/>
  <c r="D5" i="20"/>
  <c r="P5" i="20"/>
  <c r="P6" i="20"/>
  <c r="P7" i="20"/>
  <c r="P8" i="20"/>
  <c r="P9" i="20"/>
  <c r="P10" i="20"/>
  <c r="P11" i="20"/>
  <c r="P12" i="20"/>
  <c r="P13" i="20"/>
  <c r="P14" i="20"/>
  <c r="P15" i="20"/>
  <c r="U15" i="20" s="1"/>
  <c r="P16" i="20"/>
  <c r="U16" i="20" s="1"/>
  <c r="P17" i="20"/>
  <c r="P18" i="20"/>
  <c r="U18" i="20" s="1"/>
  <c r="P19" i="20"/>
  <c r="P20" i="20"/>
  <c r="U20" i="20" s="1"/>
  <c r="P21" i="20"/>
  <c r="P22" i="20"/>
  <c r="P23" i="20"/>
  <c r="P24" i="20"/>
  <c r="P25" i="20"/>
  <c r="P26" i="20"/>
  <c r="P27" i="20"/>
  <c r="P28" i="20"/>
  <c r="P29" i="20"/>
  <c r="P30" i="20"/>
  <c r="P31" i="20"/>
  <c r="P32" i="20"/>
  <c r="U32" i="20" s="1"/>
  <c r="P33" i="20"/>
  <c r="P34" i="20"/>
  <c r="P35" i="20"/>
  <c r="P36" i="20"/>
  <c r="P37" i="20"/>
  <c r="P38" i="20"/>
  <c r="P39" i="20"/>
  <c r="P40" i="20"/>
  <c r="P41" i="20"/>
  <c r="P42" i="20"/>
  <c r="P43" i="20"/>
  <c r="P44" i="20"/>
  <c r="O5" i="20"/>
  <c r="O6" i="20"/>
  <c r="O7" i="20"/>
  <c r="O8" i="20"/>
  <c r="T8" i="20" s="1"/>
  <c r="O9" i="20"/>
  <c r="O10" i="20"/>
  <c r="O11" i="20"/>
  <c r="O12" i="20"/>
  <c r="T12" i="20" s="1"/>
  <c r="O13" i="20"/>
  <c r="O14" i="20"/>
  <c r="T14" i="20" s="1"/>
  <c r="O15" i="20"/>
  <c r="O16" i="20"/>
  <c r="T16" i="20" s="1"/>
  <c r="O17" i="20"/>
  <c r="O18" i="20"/>
  <c r="O19" i="20"/>
  <c r="T19" i="20" s="1"/>
  <c r="O20" i="20"/>
  <c r="T20" i="20" s="1"/>
  <c r="O21" i="20"/>
  <c r="O22" i="20"/>
  <c r="O23" i="20"/>
  <c r="T23" i="20" s="1"/>
  <c r="O24" i="20"/>
  <c r="T24" i="20" s="1"/>
  <c r="O25" i="20"/>
  <c r="O26" i="20"/>
  <c r="O27" i="20"/>
  <c r="O28" i="20"/>
  <c r="O29" i="20"/>
  <c r="O30" i="20"/>
  <c r="O31" i="20"/>
  <c r="O32" i="20"/>
  <c r="T32" i="20" s="1"/>
  <c r="O33" i="20"/>
  <c r="O34" i="20"/>
  <c r="O35" i="20"/>
  <c r="O36" i="20"/>
  <c r="O37" i="20"/>
  <c r="O38" i="20"/>
  <c r="O39" i="20"/>
  <c r="O40" i="20"/>
  <c r="O41" i="20"/>
  <c r="O42" i="20"/>
  <c r="O43" i="20"/>
  <c r="O44" i="20"/>
  <c r="AO55" i="21"/>
  <c r="AO56" i="21"/>
  <c r="AO57" i="21"/>
  <c r="AO58" i="21"/>
  <c r="AO59" i="21"/>
  <c r="AO60" i="21"/>
  <c r="AO61" i="21"/>
  <c r="AO62" i="21"/>
  <c r="AO63" i="21"/>
  <c r="AO64" i="21"/>
  <c r="J35" i="20"/>
  <c r="J36" i="20"/>
  <c r="J37" i="20"/>
  <c r="J38" i="20"/>
  <c r="J39" i="20"/>
  <c r="J40" i="20"/>
  <c r="J41" i="20"/>
  <c r="J42" i="20"/>
  <c r="J43" i="20"/>
  <c r="J44" i="20"/>
  <c r="AE5" i="20"/>
  <c r="AO25" i="21" s="1"/>
  <c r="AE6" i="20"/>
  <c r="AE7" i="20"/>
  <c r="AO27" i="21" s="1"/>
  <c r="AE8" i="20"/>
  <c r="AO28" i="21" s="1"/>
  <c r="AE9" i="20"/>
  <c r="AO29" i="21" s="1"/>
  <c r="AE10" i="20"/>
  <c r="AO30" i="21" s="1"/>
  <c r="AE11" i="20"/>
  <c r="AO31" i="21" s="1"/>
  <c r="AE12" i="20"/>
  <c r="AO32" i="21" s="1"/>
  <c r="AE13" i="20"/>
  <c r="AO33" i="21" s="1"/>
  <c r="AE14" i="20"/>
  <c r="AO34" i="21" s="1"/>
  <c r="AE15" i="20"/>
  <c r="AO35" i="21" s="1"/>
  <c r="AE16" i="20"/>
  <c r="AO36" i="21" s="1"/>
  <c r="AE17" i="20"/>
  <c r="AO37" i="21" s="1"/>
  <c r="AE18" i="20"/>
  <c r="AO38" i="21" s="1"/>
  <c r="AE19" i="20"/>
  <c r="AE20" i="20"/>
  <c r="AO40" i="21" s="1"/>
  <c r="AE21" i="20"/>
  <c r="AO41" i="21" s="1"/>
  <c r="AE22" i="20"/>
  <c r="AO42" i="21" s="1"/>
  <c r="AE23" i="20"/>
  <c r="AO43" i="21" s="1"/>
  <c r="AE24" i="20"/>
  <c r="AO44" i="21" s="1"/>
  <c r="AE25" i="20"/>
  <c r="AO45" i="21" s="1"/>
  <c r="AE26" i="20"/>
  <c r="AO46" i="21" s="1"/>
  <c r="AE27" i="20"/>
  <c r="AO47" i="21" s="1"/>
  <c r="AE28" i="20"/>
  <c r="AE29" i="20"/>
  <c r="AO49" i="21" s="1"/>
  <c r="AE30" i="20"/>
  <c r="AO50" i="21" s="1"/>
  <c r="AE31" i="20"/>
  <c r="AO51" i="21" s="1"/>
  <c r="AE32" i="20"/>
  <c r="AO52" i="21" s="1"/>
  <c r="AE33" i="20"/>
  <c r="AO53" i="21" s="1"/>
  <c r="AE34" i="20"/>
  <c r="AO54" i="21" s="1"/>
  <c r="AE35" i="20"/>
  <c r="AE36" i="20"/>
  <c r="AE37" i="20"/>
  <c r="AE38" i="20"/>
  <c r="AE39" i="20"/>
  <c r="AE40" i="20"/>
  <c r="AE41" i="20"/>
  <c r="AE42" i="20"/>
  <c r="AE43" i="20"/>
  <c r="AE44" i="20"/>
  <c r="T28" i="20"/>
  <c r="N5" i="20"/>
  <c r="N6" i="20"/>
  <c r="S6" i="20" s="1"/>
  <c r="N7" i="20"/>
  <c r="S7" i="20" s="1"/>
  <c r="N8" i="20"/>
  <c r="S8" i="20" s="1"/>
  <c r="N9" i="20"/>
  <c r="S9" i="20" s="1"/>
  <c r="N10" i="20"/>
  <c r="N11" i="20"/>
  <c r="N12" i="20"/>
  <c r="N13" i="20"/>
  <c r="N14" i="20"/>
  <c r="N15" i="20"/>
  <c r="N16" i="20"/>
  <c r="S16" i="20" s="1"/>
  <c r="N17" i="20"/>
  <c r="N18" i="20"/>
  <c r="N19" i="20"/>
  <c r="N20" i="20"/>
  <c r="N21" i="20"/>
  <c r="N22" i="20"/>
  <c r="S22" i="20" s="1"/>
  <c r="N23" i="20"/>
  <c r="S23" i="20" s="1"/>
  <c r="N24" i="20"/>
  <c r="N25" i="20"/>
  <c r="N26" i="20"/>
  <c r="N27" i="20"/>
  <c r="N28" i="20"/>
  <c r="S28" i="20" s="1"/>
  <c r="N29" i="20"/>
  <c r="S29" i="20" s="1"/>
  <c r="N30" i="20"/>
  <c r="S30" i="20" s="1"/>
  <c r="N31" i="20"/>
  <c r="S31" i="20" s="1"/>
  <c r="N32" i="20"/>
  <c r="N33" i="20"/>
  <c r="N34" i="20"/>
  <c r="N35" i="20"/>
  <c r="N36" i="20"/>
  <c r="N37" i="20"/>
  <c r="N38" i="20"/>
  <c r="N39" i="20"/>
  <c r="N40" i="20"/>
  <c r="N41" i="20"/>
  <c r="N42" i="20"/>
  <c r="N43" i="20"/>
  <c r="N44" i="20"/>
  <c r="M5" i="20"/>
  <c r="M6" i="20"/>
  <c r="M7" i="20"/>
  <c r="R7" i="20" s="1"/>
  <c r="M8" i="20"/>
  <c r="M9" i="20"/>
  <c r="R9" i="20" s="1"/>
  <c r="M10" i="20"/>
  <c r="R10" i="20" s="1"/>
  <c r="M11" i="20"/>
  <c r="M12" i="20"/>
  <c r="M13" i="20"/>
  <c r="M14" i="20"/>
  <c r="M15" i="20"/>
  <c r="M16" i="20"/>
  <c r="R16" i="20" s="1"/>
  <c r="M17" i="20"/>
  <c r="M18" i="20"/>
  <c r="M19" i="20"/>
  <c r="R19" i="20" s="1"/>
  <c r="M20" i="20"/>
  <c r="R20" i="20" s="1"/>
  <c r="M21" i="20"/>
  <c r="M22" i="20"/>
  <c r="M23" i="20"/>
  <c r="R23" i="20" s="1"/>
  <c r="M24" i="20"/>
  <c r="M25" i="20"/>
  <c r="M26" i="20"/>
  <c r="M27" i="20"/>
  <c r="M28" i="20"/>
  <c r="R28" i="20" s="1"/>
  <c r="M29" i="20"/>
  <c r="R29" i="20" s="1"/>
  <c r="M30" i="20"/>
  <c r="R30" i="20" s="1"/>
  <c r="M31" i="20"/>
  <c r="M32" i="20"/>
  <c r="R32" i="20" s="1"/>
  <c r="M33" i="20"/>
  <c r="M34" i="20"/>
  <c r="M35" i="20"/>
  <c r="M36" i="20"/>
  <c r="M37" i="20"/>
  <c r="M38" i="20"/>
  <c r="M39" i="20"/>
  <c r="M40" i="20"/>
  <c r="M41" i="20"/>
  <c r="M42" i="20"/>
  <c r="M43" i="20"/>
  <c r="M44" i="20"/>
  <c r="L5" i="20"/>
  <c r="L6" i="20"/>
  <c r="L7" i="20"/>
  <c r="L8" i="20"/>
  <c r="Q8" i="20" s="1"/>
  <c r="L9" i="20"/>
  <c r="L10" i="20"/>
  <c r="Q10" i="20" s="1"/>
  <c r="L11" i="20"/>
  <c r="L12" i="20"/>
  <c r="Q12" i="20" s="1"/>
  <c r="L13" i="20"/>
  <c r="Q13" i="20" s="1"/>
  <c r="L14" i="20"/>
  <c r="Q14" i="20" s="1"/>
  <c r="L15" i="20"/>
  <c r="L16" i="20"/>
  <c r="L17" i="20"/>
  <c r="L18" i="20"/>
  <c r="L19" i="20"/>
  <c r="Q19" i="20" s="1"/>
  <c r="L20" i="20"/>
  <c r="L21" i="20"/>
  <c r="L22" i="20"/>
  <c r="Q22" i="20" s="1"/>
  <c r="L23" i="20"/>
  <c r="Q23" i="20" s="1"/>
  <c r="L24" i="20"/>
  <c r="Q24" i="20" s="1"/>
  <c r="L25" i="20"/>
  <c r="Q25" i="20" s="1"/>
  <c r="L26" i="20"/>
  <c r="Q26" i="20" s="1"/>
  <c r="L27" i="20"/>
  <c r="L28" i="20"/>
  <c r="Q28" i="20" s="1"/>
  <c r="L29" i="20"/>
  <c r="Q29" i="20" s="1"/>
  <c r="L30" i="20"/>
  <c r="L31" i="20"/>
  <c r="Q31" i="20" s="1"/>
  <c r="L32" i="20"/>
  <c r="L33" i="20"/>
  <c r="L34" i="20"/>
  <c r="L35" i="20"/>
  <c r="L36" i="20"/>
  <c r="L37" i="20"/>
  <c r="L38" i="20"/>
  <c r="L39" i="20"/>
  <c r="L40" i="20"/>
  <c r="L41" i="20"/>
  <c r="L42" i="20"/>
  <c r="L43" i="20"/>
  <c r="L44" i="20"/>
  <c r="F35" i="20"/>
  <c r="F36" i="20"/>
  <c r="F37" i="20"/>
  <c r="F38" i="20"/>
  <c r="F39" i="20"/>
  <c r="F40" i="20"/>
  <c r="F41" i="20"/>
  <c r="F42" i="20"/>
  <c r="F43" i="20"/>
  <c r="F44" i="20"/>
  <c r="E35" i="20"/>
  <c r="E36" i="20"/>
  <c r="E37" i="20"/>
  <c r="E38" i="20"/>
  <c r="E39" i="20"/>
  <c r="E40" i="20"/>
  <c r="E41" i="20"/>
  <c r="E42" i="20"/>
  <c r="E43" i="20"/>
  <c r="E44" i="20"/>
  <c r="W35" i="20"/>
  <c r="W36" i="20"/>
  <c r="W37" i="20"/>
  <c r="W38" i="20"/>
  <c r="W39" i="20"/>
  <c r="W40" i="20"/>
  <c r="W41" i="20"/>
  <c r="W42" i="20"/>
  <c r="W43" i="20"/>
  <c r="W44" i="20"/>
  <c r="V35" i="20"/>
  <c r="V36" i="20"/>
  <c r="V37" i="20"/>
  <c r="V38" i="20"/>
  <c r="V39" i="20"/>
  <c r="V40" i="20"/>
  <c r="V41" i="20"/>
  <c r="V42" i="20"/>
  <c r="V43" i="20"/>
  <c r="V44" i="20"/>
  <c r="U5" i="20"/>
  <c r="U6" i="20"/>
  <c r="U7" i="20"/>
  <c r="U8" i="20"/>
  <c r="U9" i="20"/>
  <c r="U10" i="20"/>
  <c r="U11" i="20"/>
  <c r="U12" i="20"/>
  <c r="U13" i="20"/>
  <c r="U14" i="20"/>
  <c r="U17" i="20"/>
  <c r="U19" i="20"/>
  <c r="U21" i="20"/>
  <c r="U22" i="20"/>
  <c r="U23" i="20"/>
  <c r="U24" i="20"/>
  <c r="U25" i="20"/>
  <c r="U26" i="20"/>
  <c r="U27" i="20"/>
  <c r="U28" i="20"/>
  <c r="U29" i="20"/>
  <c r="U30" i="20"/>
  <c r="U31" i="20"/>
  <c r="U33" i="20"/>
  <c r="U34" i="20"/>
  <c r="U35" i="20"/>
  <c r="U36" i="20"/>
  <c r="U37" i="20"/>
  <c r="U38" i="20"/>
  <c r="U39" i="20"/>
  <c r="U40" i="20"/>
  <c r="U41" i="20"/>
  <c r="U42" i="20"/>
  <c r="U43" i="20"/>
  <c r="U44" i="20"/>
  <c r="T5" i="20"/>
  <c r="T6" i="20"/>
  <c r="T7" i="20"/>
  <c r="T9" i="20"/>
  <c r="T10" i="20"/>
  <c r="T11" i="20"/>
  <c r="T13" i="20"/>
  <c r="T15" i="20"/>
  <c r="T17" i="20"/>
  <c r="T18" i="20"/>
  <c r="T21" i="20"/>
  <c r="T22" i="20"/>
  <c r="T25" i="20"/>
  <c r="T26" i="20"/>
  <c r="T27" i="20"/>
  <c r="T29" i="20"/>
  <c r="T30" i="20"/>
  <c r="T31" i="20"/>
  <c r="T33" i="20"/>
  <c r="T34" i="20"/>
  <c r="T35" i="20"/>
  <c r="T36" i="20"/>
  <c r="T37" i="20"/>
  <c r="T38" i="20"/>
  <c r="T39" i="20"/>
  <c r="T40" i="20"/>
  <c r="T41" i="20"/>
  <c r="T42" i="20"/>
  <c r="T43" i="20"/>
  <c r="T44" i="20"/>
  <c r="S5" i="20"/>
  <c r="S10" i="20"/>
  <c r="S11" i="20"/>
  <c r="S12" i="20"/>
  <c r="S13" i="20"/>
  <c r="S14" i="20"/>
  <c r="S15" i="20"/>
  <c r="S17" i="20"/>
  <c r="S18" i="20"/>
  <c r="S19" i="20"/>
  <c r="S20" i="20"/>
  <c r="S21" i="20"/>
  <c r="S24" i="20"/>
  <c r="S25" i="20"/>
  <c r="S26" i="20"/>
  <c r="S27" i="20"/>
  <c r="S32" i="20"/>
  <c r="S33" i="20"/>
  <c r="S34" i="20"/>
  <c r="S35" i="20"/>
  <c r="S36" i="20"/>
  <c r="S37" i="20"/>
  <c r="S38" i="20"/>
  <c r="S39" i="20"/>
  <c r="S40" i="20"/>
  <c r="S41" i="20"/>
  <c r="S42" i="20"/>
  <c r="S43" i="20"/>
  <c r="S44" i="20"/>
  <c r="R5" i="20"/>
  <c r="R6" i="20"/>
  <c r="R8" i="20"/>
  <c r="R11" i="20"/>
  <c r="R12" i="20"/>
  <c r="R13" i="20"/>
  <c r="R14" i="20"/>
  <c r="R15" i="20"/>
  <c r="R17" i="20"/>
  <c r="R18" i="20"/>
  <c r="R21" i="20"/>
  <c r="R22" i="20"/>
  <c r="R24" i="20"/>
  <c r="R25" i="20"/>
  <c r="R26" i="20"/>
  <c r="R27" i="20"/>
  <c r="R31" i="20"/>
  <c r="R33" i="20"/>
  <c r="R34" i="20"/>
  <c r="R35" i="20"/>
  <c r="R36" i="20"/>
  <c r="R37" i="20"/>
  <c r="R38" i="20"/>
  <c r="R39" i="20"/>
  <c r="R40" i="20"/>
  <c r="R41" i="20"/>
  <c r="R42" i="20"/>
  <c r="R43" i="20"/>
  <c r="R44" i="20"/>
  <c r="Q5" i="20"/>
  <c r="Q6" i="20"/>
  <c r="Q7" i="20"/>
  <c r="Q9" i="20"/>
  <c r="Q11" i="20"/>
  <c r="Q15" i="20"/>
  <c r="Q16" i="20"/>
  <c r="Q17" i="20"/>
  <c r="Q18" i="20"/>
  <c r="Q20" i="20"/>
  <c r="Q21" i="20"/>
  <c r="Q27" i="20"/>
  <c r="Q30" i="20"/>
  <c r="Q32" i="20"/>
  <c r="Q33" i="20"/>
  <c r="Q34" i="20"/>
  <c r="V34" i="20" s="1"/>
  <c r="Q35" i="20"/>
  <c r="Q36" i="20"/>
  <c r="Q37" i="20"/>
  <c r="Q38" i="20"/>
  <c r="Q39" i="20"/>
  <c r="Q40" i="20"/>
  <c r="Q41" i="20"/>
  <c r="Q42" i="20"/>
  <c r="Q43" i="20"/>
  <c r="Q44" i="20"/>
  <c r="L5" i="22" a="1"/>
  <c r="L5" i="22" s="1"/>
  <c r="L4" i="22"/>
  <c r="G74" i="21"/>
  <c r="C74" i="21"/>
  <c r="E74" i="21" s="1"/>
  <c r="I74" i="21" s="1"/>
  <c r="G73" i="21"/>
  <c r="C73" i="21"/>
  <c r="E73" i="21" s="1"/>
  <c r="I73" i="21" s="1"/>
  <c r="G72" i="21"/>
  <c r="C72" i="21"/>
  <c r="E72" i="21" s="1"/>
  <c r="I72" i="21" s="1"/>
  <c r="G71" i="21"/>
  <c r="C71" i="21"/>
  <c r="E71" i="21" s="1"/>
  <c r="I71" i="21" s="1"/>
  <c r="G70" i="21"/>
  <c r="C70" i="21"/>
  <c r="E70" i="21" s="1"/>
  <c r="I70" i="21" s="1"/>
  <c r="G69" i="21"/>
  <c r="C69" i="21"/>
  <c r="E69" i="21" s="1"/>
  <c r="I69" i="21" s="1"/>
  <c r="AI55" i="21"/>
  <c r="AI56" i="21"/>
  <c r="AI57" i="21"/>
  <c r="AI58" i="21"/>
  <c r="AI59" i="21"/>
  <c r="AI60" i="21"/>
  <c r="AI61" i="21"/>
  <c r="AI62" i="21"/>
  <c r="AI63" i="21"/>
  <c r="AI64" i="21"/>
  <c r="AN55" i="21"/>
  <c r="AN56" i="21"/>
  <c r="AN57" i="21"/>
  <c r="AN58" i="21"/>
  <c r="AN59" i="21"/>
  <c r="AN60" i="21"/>
  <c r="AN61" i="21"/>
  <c r="AN62" i="21"/>
  <c r="AN63" i="21"/>
  <c r="AN64" i="21"/>
  <c r="AC25" i="21" a="1"/>
  <c r="AC25" i="21" s="1"/>
  <c r="AC26" i="21" a="1"/>
  <c r="AC26" i="21" s="1"/>
  <c r="AC27" i="21" a="1"/>
  <c r="AC27" i="21" s="1"/>
  <c r="AC28" i="21" a="1"/>
  <c r="AC28" i="21" s="1"/>
  <c r="AC29" i="21" a="1"/>
  <c r="AC29" i="21" s="1"/>
  <c r="AC30" i="21" a="1"/>
  <c r="AC30" i="21" s="1"/>
  <c r="AC31" i="21" a="1"/>
  <c r="AC31" i="21" s="1"/>
  <c r="AC32" i="21" a="1"/>
  <c r="AC32" i="21" s="1"/>
  <c r="AC33" i="21" a="1"/>
  <c r="AC33" i="21" s="1"/>
  <c r="AC34" i="21" a="1"/>
  <c r="AC34" i="21" s="1"/>
  <c r="AC35" i="21" a="1"/>
  <c r="AC35" i="21" s="1"/>
  <c r="AC36" i="21" a="1"/>
  <c r="AC36" i="21" s="1"/>
  <c r="AC37" i="21" a="1"/>
  <c r="AC37" i="21" s="1"/>
  <c r="AC38" i="21" a="1"/>
  <c r="AC38" i="21" s="1"/>
  <c r="AC39" i="21" a="1"/>
  <c r="AC39" i="21" s="1"/>
  <c r="AC40" i="21" a="1"/>
  <c r="AC40" i="21" s="1"/>
  <c r="AC41" i="21" a="1"/>
  <c r="AC41" i="21" s="1"/>
  <c r="AC42" i="21" a="1"/>
  <c r="AC42" i="21" s="1"/>
  <c r="AC43" i="21" a="1"/>
  <c r="AC43" i="21" s="1"/>
  <c r="AC44" i="21" a="1"/>
  <c r="AC44" i="21" s="1"/>
  <c r="AC45" i="21" a="1"/>
  <c r="AC45" i="21" s="1"/>
  <c r="AC46" i="21" a="1"/>
  <c r="AC46" i="21" s="1"/>
  <c r="AC47" i="21" a="1"/>
  <c r="AC47" i="21" s="1"/>
  <c r="AC48" i="21" a="1"/>
  <c r="AC48" i="21" s="1"/>
  <c r="AC49" i="21" a="1"/>
  <c r="AC49" i="21" s="1"/>
  <c r="AC50" i="21" a="1"/>
  <c r="AC50" i="21" s="1"/>
  <c r="AC51" i="21" a="1"/>
  <c r="AC51" i="21" s="1"/>
  <c r="AC52" i="21" a="1"/>
  <c r="AC52" i="21" s="1"/>
  <c r="AC53" i="21" a="1"/>
  <c r="AC53" i="21" s="1"/>
  <c r="AC54" i="21" a="1"/>
  <c r="AC54" i="21" s="1"/>
  <c r="AC55" i="21" a="1"/>
  <c r="AC55" i="21" s="1"/>
  <c r="AC56" i="21" a="1"/>
  <c r="AC56" i="21" s="1"/>
  <c r="AC57" i="21" a="1"/>
  <c r="AC57" i="21" s="1"/>
  <c r="AC58" i="21" a="1"/>
  <c r="AC58" i="21" s="1"/>
  <c r="AC59" i="21" a="1"/>
  <c r="AC59" i="21" s="1"/>
  <c r="AC60" i="21" a="1"/>
  <c r="AC60" i="21" s="1"/>
  <c r="AC61" i="21" a="1"/>
  <c r="AC61" i="21" s="1"/>
  <c r="AC62" i="21" a="1"/>
  <c r="AC62" i="21" s="1"/>
  <c r="AC63" i="21" a="1"/>
  <c r="AC63" i="21" s="1"/>
  <c r="AC64" i="21" a="1"/>
  <c r="AC64" i="21" s="1"/>
  <c r="AA34" i="21"/>
  <c r="Z58" i="21"/>
  <c r="X42" i="21"/>
  <c r="V25" i="21"/>
  <c r="V26" i="21"/>
  <c r="V27" i="21"/>
  <c r="V28" i="21"/>
  <c r="V29" i="21"/>
  <c r="V30" i="21"/>
  <c r="V31" i="21"/>
  <c r="V32" i="21"/>
  <c r="V33" i="21"/>
  <c r="V34" i="21"/>
  <c r="V35" i="21"/>
  <c r="V36" i="21"/>
  <c r="V37" i="21"/>
  <c r="V38" i="21"/>
  <c r="V39" i="21"/>
  <c r="V40" i="21"/>
  <c r="V41" i="21"/>
  <c r="V42" i="21"/>
  <c r="V43" i="21"/>
  <c r="V44" i="21"/>
  <c r="V45" i="21"/>
  <c r="V46" i="21"/>
  <c r="V47" i="21"/>
  <c r="V48" i="21"/>
  <c r="V50" i="21"/>
  <c r="V51" i="21"/>
  <c r="V52" i="21"/>
  <c r="V53" i="21"/>
  <c r="V54" i="21"/>
  <c r="V55" i="21"/>
  <c r="V56" i="21"/>
  <c r="V57" i="21"/>
  <c r="V58" i="21"/>
  <c r="V59" i="21"/>
  <c r="V60" i="21"/>
  <c r="V61" i="21"/>
  <c r="V62" i="21"/>
  <c r="V63" i="21"/>
  <c r="V64" i="21"/>
  <c r="U55" i="21"/>
  <c r="U56" i="21"/>
  <c r="U57" i="21"/>
  <c r="U58" i="21"/>
  <c r="U59" i="21"/>
  <c r="U60" i="21"/>
  <c r="U61" i="21"/>
  <c r="U62" i="21"/>
  <c r="U63" i="21"/>
  <c r="U64" i="21"/>
  <c r="T25" i="21" a="1"/>
  <c r="T25" i="21" s="1"/>
  <c r="T26" i="21" a="1"/>
  <c r="T26" i="21"/>
  <c r="T27" i="21" a="1"/>
  <c r="T27" i="21" s="1"/>
  <c r="T28" i="21" a="1"/>
  <c r="T28" i="21"/>
  <c r="T29" i="21" a="1"/>
  <c r="T29" i="21" s="1"/>
  <c r="T30" i="21" a="1"/>
  <c r="T30" i="21"/>
  <c r="T31" i="21" a="1"/>
  <c r="T31" i="21" s="1"/>
  <c r="T32" i="21" a="1"/>
  <c r="T32" i="21"/>
  <c r="T33" i="21" a="1"/>
  <c r="T33" i="21" s="1"/>
  <c r="T34" i="21" a="1"/>
  <c r="T34" i="21"/>
  <c r="T35" i="21" a="1"/>
  <c r="T35" i="21" s="1"/>
  <c r="T36" i="21" a="1"/>
  <c r="T36" i="21"/>
  <c r="T37" i="21" a="1"/>
  <c r="T37" i="21" s="1"/>
  <c r="T38" i="21" a="1"/>
  <c r="T38" i="21"/>
  <c r="T39" i="21" a="1"/>
  <c r="T39" i="21" s="1"/>
  <c r="T40" i="21" a="1"/>
  <c r="T40" i="21"/>
  <c r="T41" i="21" a="1"/>
  <c r="T41" i="21" s="1"/>
  <c r="T42" i="21" a="1"/>
  <c r="T42" i="21"/>
  <c r="T43" i="21" a="1"/>
  <c r="T43" i="21" s="1"/>
  <c r="T44" i="21" a="1"/>
  <c r="T44" i="21"/>
  <c r="T45" i="21" a="1"/>
  <c r="T45" i="21" s="1"/>
  <c r="T46" i="21" a="1"/>
  <c r="T46" i="21"/>
  <c r="T47" i="21" a="1"/>
  <c r="T47" i="21" s="1"/>
  <c r="T48" i="21" a="1"/>
  <c r="T48" i="21"/>
  <c r="T49" i="21" a="1"/>
  <c r="T49" i="21" s="1"/>
  <c r="T50" i="21" a="1"/>
  <c r="T50" i="21"/>
  <c r="T51" i="21" a="1"/>
  <c r="T51" i="21" s="1"/>
  <c r="T52" i="21" a="1"/>
  <c r="T52" i="21"/>
  <c r="T53" i="21" a="1"/>
  <c r="T53" i="21" s="1"/>
  <c r="T54" i="21" a="1"/>
  <c r="T54" i="21"/>
  <c r="T55" i="21" a="1"/>
  <c r="T55" i="21" s="1"/>
  <c r="T56" i="21" a="1"/>
  <c r="T56" i="21"/>
  <c r="T57" i="21" a="1"/>
  <c r="T57" i="21" s="1"/>
  <c r="T58" i="21" a="1"/>
  <c r="T58" i="21"/>
  <c r="T59" i="21" a="1"/>
  <c r="T59" i="21" s="1"/>
  <c r="T60" i="21" a="1"/>
  <c r="T60" i="21"/>
  <c r="T61" i="21" a="1"/>
  <c r="T61" i="21" s="1"/>
  <c r="T62" i="21" a="1"/>
  <c r="T62" i="21"/>
  <c r="T63" i="21" a="1"/>
  <c r="T63" i="21" s="1"/>
  <c r="T64" i="21" a="1"/>
  <c r="T64" i="21"/>
  <c r="S25" i="21" a="1"/>
  <c r="S25" i="21" s="1"/>
  <c r="S26" i="21" a="1"/>
  <c r="S26" i="21"/>
  <c r="S27" i="21" a="1"/>
  <c r="S27" i="21" s="1"/>
  <c r="S28" i="21" a="1"/>
  <c r="S28" i="21"/>
  <c r="S29" i="21" a="1"/>
  <c r="S29" i="21" s="1"/>
  <c r="S30" i="21" a="1"/>
  <c r="S30" i="21"/>
  <c r="S31" i="21" a="1"/>
  <c r="S31" i="21" s="1"/>
  <c r="S32" i="21" a="1"/>
  <c r="S32" i="21"/>
  <c r="S33" i="21" a="1"/>
  <c r="S33" i="21" s="1"/>
  <c r="S34" i="21" a="1"/>
  <c r="S34" i="21"/>
  <c r="S35" i="21" a="1"/>
  <c r="S35" i="21" s="1"/>
  <c r="S36" i="21" a="1"/>
  <c r="S36" i="21"/>
  <c r="S37" i="21" a="1"/>
  <c r="S37" i="21" s="1"/>
  <c r="S38" i="21" a="1"/>
  <c r="S38" i="21"/>
  <c r="S39" i="21" a="1"/>
  <c r="S39" i="21" s="1"/>
  <c r="S40" i="21" a="1"/>
  <c r="S40" i="21"/>
  <c r="S41" i="21" a="1"/>
  <c r="S41" i="21" s="1"/>
  <c r="S42" i="21" a="1"/>
  <c r="S42" i="21"/>
  <c r="S43" i="21" a="1"/>
  <c r="S43" i="21" s="1"/>
  <c r="S44" i="21" a="1"/>
  <c r="S44" i="21"/>
  <c r="S45" i="21" a="1"/>
  <c r="S45" i="21" s="1"/>
  <c r="S46" i="21" a="1"/>
  <c r="S46" i="21"/>
  <c r="S47" i="21" a="1"/>
  <c r="S47" i="21" s="1"/>
  <c r="S48" i="21" a="1"/>
  <c r="S48" i="21"/>
  <c r="S49" i="21" a="1"/>
  <c r="S49" i="21" s="1"/>
  <c r="S50" i="21" a="1"/>
  <c r="S50" i="21"/>
  <c r="S51" i="21" a="1"/>
  <c r="S51" i="21" s="1"/>
  <c r="S52" i="21" a="1"/>
  <c r="S52" i="21"/>
  <c r="S53" i="21" a="1"/>
  <c r="S53" i="21" s="1"/>
  <c r="S54" i="21" a="1"/>
  <c r="S54" i="21"/>
  <c r="S55" i="21" a="1"/>
  <c r="S55" i="21" s="1"/>
  <c r="S56" i="21" a="1"/>
  <c r="S56" i="21"/>
  <c r="S57" i="21" a="1"/>
  <c r="S57" i="21" s="1"/>
  <c r="S58" i="21" a="1"/>
  <c r="S58" i="21"/>
  <c r="S59" i="21" a="1"/>
  <c r="S59" i="21" s="1"/>
  <c r="S60" i="21" a="1"/>
  <c r="S60" i="21"/>
  <c r="S61" i="21" a="1"/>
  <c r="S61" i="21" s="1"/>
  <c r="S62" i="21" a="1"/>
  <c r="S62" i="21"/>
  <c r="S63" i="21" a="1"/>
  <c r="S63" i="21" s="1"/>
  <c r="S64" i="21" a="1"/>
  <c r="S64" i="21"/>
  <c r="R25" i="21"/>
  <c r="R26" i="21"/>
  <c r="R27" i="21"/>
  <c r="R28" i="21"/>
  <c r="R29" i="21"/>
  <c r="R30" i="21"/>
  <c r="R31" i="21"/>
  <c r="R32" i="21"/>
  <c r="R33" i="21"/>
  <c r="R34" i="21"/>
  <c r="R35" i="21"/>
  <c r="R36" i="21"/>
  <c r="R37" i="21"/>
  <c r="R38" i="21"/>
  <c r="R39" i="21"/>
  <c r="R40" i="21"/>
  <c r="R41" i="21"/>
  <c r="R42" i="21"/>
  <c r="R43" i="21"/>
  <c r="R44" i="21"/>
  <c r="R45" i="21"/>
  <c r="R46" i="21"/>
  <c r="R47" i="21"/>
  <c r="R48" i="21"/>
  <c r="R49" i="21"/>
  <c r="R50" i="21"/>
  <c r="R51" i="21"/>
  <c r="R52" i="21"/>
  <c r="R53" i="21"/>
  <c r="R54" i="21"/>
  <c r="R55" i="21"/>
  <c r="R56" i="21"/>
  <c r="R57" i="21"/>
  <c r="R58" i="21"/>
  <c r="R59" i="21"/>
  <c r="R60" i="21"/>
  <c r="R61" i="21"/>
  <c r="R62" i="21"/>
  <c r="R63" i="21"/>
  <c r="R64" i="21"/>
  <c r="J22" i="21"/>
  <c r="C9" i="21"/>
  <c r="C7" i="21"/>
  <c r="AA40" i="21" s="1"/>
  <c r="C6" i="21"/>
  <c r="A3" i="21"/>
  <c r="I5" i="20" a="1"/>
  <c r="I5" i="20"/>
  <c r="I6" i="20" a="1"/>
  <c r="I6" i="20"/>
  <c r="I7" i="20" a="1"/>
  <c r="I7" i="20"/>
  <c r="I8" i="20" a="1"/>
  <c r="I8" i="20"/>
  <c r="I9" i="20" a="1"/>
  <c r="I9" i="20"/>
  <c r="I10" i="20" a="1"/>
  <c r="I10" i="20"/>
  <c r="I11" i="20" a="1"/>
  <c r="I11" i="20"/>
  <c r="I12" i="20" a="1"/>
  <c r="I12" i="20"/>
  <c r="I13" i="20" a="1"/>
  <c r="I13" i="20"/>
  <c r="I14" i="20" a="1"/>
  <c r="I14" i="20"/>
  <c r="I15" i="20" a="1"/>
  <c r="I15" i="20"/>
  <c r="I16" i="20" a="1"/>
  <c r="I16" i="20"/>
  <c r="I17" i="20" a="1"/>
  <c r="I17" i="20"/>
  <c r="I18" i="20" a="1"/>
  <c r="I18" i="20"/>
  <c r="I19" i="20" a="1"/>
  <c r="I19" i="20"/>
  <c r="I20" i="20" a="1"/>
  <c r="I20" i="20"/>
  <c r="I21" i="20" a="1"/>
  <c r="I21" i="20"/>
  <c r="I22" i="20" a="1"/>
  <c r="I22" i="20"/>
  <c r="I23" i="20" a="1"/>
  <c r="I23" i="20"/>
  <c r="I24" i="20" a="1"/>
  <c r="I24" i="20"/>
  <c r="I25" i="20" a="1"/>
  <c r="I25" i="20"/>
  <c r="I26" i="20" a="1"/>
  <c r="I26" i="20"/>
  <c r="I27" i="20" a="1"/>
  <c r="I27" i="20"/>
  <c r="I28" i="20" a="1"/>
  <c r="I28" i="20"/>
  <c r="I29" i="20" a="1"/>
  <c r="I29" i="20"/>
  <c r="I30" i="20" a="1"/>
  <c r="I30" i="20"/>
  <c r="I31" i="20" a="1"/>
  <c r="I31" i="20"/>
  <c r="I32" i="20" a="1"/>
  <c r="I32" i="20"/>
  <c r="I33" i="20" a="1"/>
  <c r="I33" i="20"/>
  <c r="I34" i="20" a="1"/>
  <c r="I34" i="20"/>
  <c r="I35" i="20" a="1"/>
  <c r="I35" i="20"/>
  <c r="I36" i="20" a="1"/>
  <c r="I36" i="20"/>
  <c r="I37" i="20" a="1"/>
  <c r="I37" i="20"/>
  <c r="I38" i="20" a="1"/>
  <c r="I38" i="20"/>
  <c r="I39" i="20" a="1"/>
  <c r="I39" i="20"/>
  <c r="I40" i="20" a="1"/>
  <c r="I40" i="20"/>
  <c r="I41" i="20" a="1"/>
  <c r="I41" i="20"/>
  <c r="I42" i="20" a="1"/>
  <c r="I42" i="20"/>
  <c r="I43" i="20" a="1"/>
  <c r="I43" i="20"/>
  <c r="I44" i="20" a="1"/>
  <c r="I44" i="20"/>
  <c r="C5" i="20" a="1"/>
  <c r="C5" i="20"/>
  <c r="C6" i="20" a="1"/>
  <c r="C6" i="20"/>
  <c r="C7" i="20" a="1"/>
  <c r="C7" i="20"/>
  <c r="C8" i="20" a="1"/>
  <c r="C8" i="20"/>
  <c r="C9" i="20" a="1"/>
  <c r="C9" i="20"/>
  <c r="C10" i="20" a="1"/>
  <c r="C10" i="20"/>
  <c r="C11" i="20" a="1"/>
  <c r="C11" i="20"/>
  <c r="C12" i="20" a="1"/>
  <c r="C12" i="20"/>
  <c r="C13" i="20" a="1"/>
  <c r="C13" i="20"/>
  <c r="C14" i="20" a="1"/>
  <c r="C14" i="20"/>
  <c r="C15" i="20" a="1"/>
  <c r="C15" i="20"/>
  <c r="C16" i="20" a="1"/>
  <c r="C16" i="20"/>
  <c r="C17" i="20" a="1"/>
  <c r="C17" i="20"/>
  <c r="C18" i="20" a="1"/>
  <c r="C18" i="20"/>
  <c r="C19" i="20" a="1"/>
  <c r="C19" i="20"/>
  <c r="C20" i="20" a="1"/>
  <c r="C20" i="20"/>
  <c r="C21" i="20" a="1"/>
  <c r="C21" i="20"/>
  <c r="C22" i="20" a="1"/>
  <c r="C22" i="20"/>
  <c r="C23" i="20" a="1"/>
  <c r="C23" i="20"/>
  <c r="C24" i="20" a="1"/>
  <c r="C24" i="20"/>
  <c r="C25" i="20" a="1"/>
  <c r="C25" i="20"/>
  <c r="C26" i="20" a="1"/>
  <c r="C26" i="20"/>
  <c r="C27" i="20" a="1"/>
  <c r="C27" i="20"/>
  <c r="C28" i="20" a="1"/>
  <c r="C28" i="20"/>
  <c r="C29" i="20" a="1"/>
  <c r="C29" i="20"/>
  <c r="C30" i="20" a="1"/>
  <c r="C30" i="20"/>
  <c r="C31" i="20" a="1"/>
  <c r="C31" i="20"/>
  <c r="C32" i="20" a="1"/>
  <c r="C32" i="20"/>
  <c r="C33" i="20" a="1"/>
  <c r="C33" i="20"/>
  <c r="C34" i="20" a="1"/>
  <c r="C34" i="20"/>
  <c r="C35" i="20" a="1"/>
  <c r="C35" i="20"/>
  <c r="C36" i="20" a="1"/>
  <c r="C36" i="20"/>
  <c r="C37" i="20" a="1"/>
  <c r="C37" i="20"/>
  <c r="C38" i="20" a="1"/>
  <c r="C38" i="20"/>
  <c r="C39" i="20" a="1"/>
  <c r="C39" i="20"/>
  <c r="C40" i="20" a="1"/>
  <c r="C40" i="20"/>
  <c r="C41" i="20" a="1"/>
  <c r="C41" i="20"/>
  <c r="C42" i="20" a="1"/>
  <c r="C42" i="20"/>
  <c r="C43" i="20" a="1"/>
  <c r="C43" i="20"/>
  <c r="C44" i="20" a="1"/>
  <c r="C44" i="20"/>
  <c r="B5" i="20" a="1"/>
  <c r="B5" i="20" s="1"/>
  <c r="B6" i="20" a="1"/>
  <c r="B6" i="20"/>
  <c r="B7" i="20" a="1"/>
  <c r="B7" i="20" s="1"/>
  <c r="B8" i="20" a="1"/>
  <c r="B8" i="20"/>
  <c r="B9" i="20" a="1"/>
  <c r="B9" i="20" s="1"/>
  <c r="B10" i="20" a="1"/>
  <c r="B10" i="20"/>
  <c r="B11" i="20" a="1"/>
  <c r="B11" i="20" s="1"/>
  <c r="B12" i="20" a="1"/>
  <c r="B12" i="20"/>
  <c r="B13" i="20" a="1"/>
  <c r="B13" i="20" s="1"/>
  <c r="B14" i="20" a="1"/>
  <c r="B14" i="20"/>
  <c r="B15" i="20" a="1"/>
  <c r="B15" i="20" s="1"/>
  <c r="B16" i="20" a="1"/>
  <c r="B16" i="20"/>
  <c r="B17" i="20" a="1"/>
  <c r="B17" i="20" s="1"/>
  <c r="B18" i="20" a="1"/>
  <c r="B18" i="20"/>
  <c r="B19" i="20" a="1"/>
  <c r="B19" i="20" s="1"/>
  <c r="B20" i="20" a="1"/>
  <c r="B20" i="20"/>
  <c r="B21" i="20" a="1"/>
  <c r="B21" i="20" s="1"/>
  <c r="B22" i="20" a="1"/>
  <c r="B22" i="20"/>
  <c r="B23" i="20" a="1"/>
  <c r="B23" i="20" s="1"/>
  <c r="B24" i="20" a="1"/>
  <c r="B24" i="20"/>
  <c r="B25" i="20" a="1"/>
  <c r="B25" i="20" s="1"/>
  <c r="B26" i="20" a="1"/>
  <c r="B26" i="20"/>
  <c r="B27" i="20" a="1"/>
  <c r="B27" i="20" s="1"/>
  <c r="B28" i="20" a="1"/>
  <c r="B28" i="20"/>
  <c r="B29" i="20" a="1"/>
  <c r="B29" i="20" s="1"/>
  <c r="B30" i="20" a="1"/>
  <c r="B30" i="20"/>
  <c r="B31" i="20" a="1"/>
  <c r="B31" i="20" s="1"/>
  <c r="B32" i="20" a="1"/>
  <c r="B32" i="20"/>
  <c r="B33" i="20" a="1"/>
  <c r="B33" i="20" s="1"/>
  <c r="B34" i="20" a="1"/>
  <c r="B34" i="20"/>
  <c r="B35" i="20" a="1"/>
  <c r="B35" i="20" s="1"/>
  <c r="B36" i="20" a="1"/>
  <c r="B36" i="20"/>
  <c r="B37" i="20" a="1"/>
  <c r="B37" i="20" s="1"/>
  <c r="B38" i="20" a="1"/>
  <c r="B38" i="20"/>
  <c r="B39" i="20" a="1"/>
  <c r="B39" i="20" s="1"/>
  <c r="B40" i="20" a="1"/>
  <c r="B40" i="20"/>
  <c r="B41" i="20" a="1"/>
  <c r="B41" i="20" s="1"/>
  <c r="B42" i="20" a="1"/>
  <c r="B42" i="20"/>
  <c r="B43" i="20" a="1"/>
  <c r="B43" i="20" s="1"/>
  <c r="B44" i="20" a="1"/>
  <c r="B4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42" i="20"/>
  <c r="A43" i="20"/>
  <c r="A44" i="20"/>
  <c r="C67" i="3"/>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3" i="5"/>
  <c r="AO8" i="5"/>
  <c r="AO9" i="5"/>
  <c r="AO10" i="5"/>
  <c r="AO11" i="5"/>
  <c r="AO19" i="5"/>
  <c r="AO21" i="5"/>
  <c r="AO24" i="5"/>
  <c r="AO27" i="5"/>
  <c r="AO29" i="5"/>
  <c r="AO31" i="5"/>
  <c r="AO36" i="5"/>
  <c r="AO37" i="5"/>
  <c r="AO38" i="5"/>
  <c r="AO39" i="5"/>
  <c r="AO40" i="5"/>
  <c r="AO47" i="5"/>
  <c r="AO49" i="5"/>
  <c r="AO52" i="5"/>
  <c r="AO55" i="5"/>
  <c r="AO57" i="5"/>
  <c r="AO59" i="5"/>
  <c r="AO62" i="5"/>
  <c r="AO66" i="5"/>
  <c r="AO67" i="5"/>
  <c r="AO68" i="5"/>
  <c r="AO69" i="5"/>
  <c r="AO70" i="5"/>
  <c r="AO77" i="5"/>
  <c r="AO79" i="5"/>
  <c r="AO85" i="5"/>
  <c r="AO86" i="5"/>
  <c r="AO87" i="5"/>
  <c r="AO89" i="5"/>
  <c r="AO90" i="5"/>
  <c r="AO96" i="5"/>
  <c r="AO97" i="5"/>
  <c r="AO98" i="5"/>
  <c r="AO99" i="5"/>
  <c r="AO107" i="5"/>
  <c r="AO109" i="5"/>
  <c r="AO114" i="5"/>
  <c r="AO115" i="5"/>
  <c r="AO117" i="5"/>
  <c r="AO119" i="5"/>
  <c r="AO124" i="5"/>
  <c r="AO126" i="5"/>
  <c r="AO127" i="5"/>
  <c r="AO128" i="5"/>
  <c r="AO129" i="5"/>
  <c r="AO136" i="5"/>
  <c r="AO137" i="5"/>
  <c r="AO139" i="5"/>
  <c r="AO142" i="5"/>
  <c r="AO147" i="5"/>
  <c r="AO149" i="5"/>
  <c r="AO152" i="5"/>
  <c r="AO153" i="5"/>
  <c r="AO154" i="5"/>
  <c r="AO155" i="5"/>
  <c r="AO156" i="5"/>
  <c r="AO157" i="5"/>
  <c r="AO158" i="5"/>
  <c r="AO159" i="5"/>
  <c r="AO160" i="5"/>
  <c r="AO161" i="5"/>
  <c r="AO162" i="5"/>
  <c r="AO163" i="5"/>
  <c r="AO164" i="5"/>
  <c r="AO165" i="5"/>
  <c r="AO166" i="5"/>
  <c r="AO167" i="5"/>
  <c r="AO168" i="5"/>
  <c r="AO169" i="5"/>
  <c r="AO170" i="5"/>
  <c r="AO171" i="5"/>
  <c r="AO172" i="5"/>
  <c r="AO173" i="5"/>
  <c r="AO174" i="5"/>
  <c r="AO175" i="5"/>
  <c r="AO176" i="5"/>
  <c r="AO177" i="5"/>
  <c r="AO178" i="5"/>
  <c r="AO179" i="5"/>
  <c r="AO180" i="5"/>
  <c r="AO181" i="5"/>
  <c r="AO182" i="5"/>
  <c r="AO183" i="5"/>
  <c r="AO184" i="5"/>
  <c r="AO185" i="5"/>
  <c r="AO186" i="5"/>
  <c r="AO187" i="5"/>
  <c r="AO188" i="5"/>
  <c r="AT188" i="5" s="1"/>
  <c r="AO189" i="5"/>
  <c r="AO190" i="5"/>
  <c r="AO191" i="5"/>
  <c r="AO192" i="5"/>
  <c r="AO193" i="5"/>
  <c r="AO194" i="5"/>
  <c r="AO195" i="5"/>
  <c r="AO196" i="5"/>
  <c r="AO197" i="5"/>
  <c r="AO198" i="5"/>
  <c r="AO199" i="5"/>
  <c r="AO200" i="5"/>
  <c r="AO201" i="5"/>
  <c r="AO202" i="5"/>
  <c r="AO203" i="5"/>
  <c r="AO204" i="5"/>
  <c r="AO205" i="5"/>
  <c r="AO206" i="5"/>
  <c r="AO207" i="5"/>
  <c r="AO208" i="5"/>
  <c r="AO209" i="5"/>
  <c r="AO210" i="5"/>
  <c r="AO211" i="5"/>
  <c r="AO212" i="5"/>
  <c r="AO213" i="5"/>
  <c r="AO214" i="5"/>
  <c r="AO215" i="5"/>
  <c r="AO216" i="5"/>
  <c r="AO217" i="5"/>
  <c r="AO218" i="5"/>
  <c r="AO219" i="5"/>
  <c r="AO220" i="5"/>
  <c r="AO221" i="5"/>
  <c r="AO222" i="5"/>
  <c r="AO223" i="5"/>
  <c r="AO224" i="5"/>
  <c r="AO225" i="5"/>
  <c r="AO226" i="5"/>
  <c r="AO227" i="5"/>
  <c r="AO228" i="5"/>
  <c r="AO229" i="5"/>
  <c r="AO230" i="5"/>
  <c r="AO231" i="5"/>
  <c r="AO232" i="5"/>
  <c r="AO233" i="5"/>
  <c r="AO234" i="5"/>
  <c r="AO235" i="5"/>
  <c r="AO236" i="5"/>
  <c r="AO237" i="5"/>
  <c r="AO238" i="5"/>
  <c r="AO239" i="5"/>
  <c r="AO240" i="5"/>
  <c r="AT240" i="5" s="1"/>
  <c r="AO241" i="5"/>
  <c r="AO242" i="5"/>
  <c r="AO243" i="5"/>
  <c r="AO244" i="5"/>
  <c r="AO245" i="5"/>
  <c r="AO246" i="5"/>
  <c r="AO247" i="5"/>
  <c r="AO248" i="5"/>
  <c r="AO249" i="5"/>
  <c r="AT249" i="5" s="1"/>
  <c r="AO250" i="5"/>
  <c r="AO251" i="5"/>
  <c r="AO252" i="5"/>
  <c r="AO253" i="5"/>
  <c r="AO254" i="5"/>
  <c r="AO255" i="5"/>
  <c r="AO256" i="5"/>
  <c r="AO257" i="5"/>
  <c r="AO258" i="5"/>
  <c r="AO259" i="5"/>
  <c r="AO260" i="5"/>
  <c r="AO261" i="5"/>
  <c r="AO262" i="5"/>
  <c r="AO263" i="5"/>
  <c r="AO264" i="5"/>
  <c r="AO265" i="5"/>
  <c r="AO266" i="5"/>
  <c r="AO267" i="5"/>
  <c r="AO268" i="5"/>
  <c r="AO269" i="5"/>
  <c r="AO270" i="5"/>
  <c r="AO271" i="5"/>
  <c r="AO272" i="5"/>
  <c r="AO273" i="5"/>
  <c r="AO274" i="5"/>
  <c r="AO275" i="5"/>
  <c r="AO276" i="5"/>
  <c r="AO277" i="5"/>
  <c r="AO278" i="5"/>
  <c r="AO279" i="5"/>
  <c r="AO280" i="5"/>
  <c r="AO281" i="5"/>
  <c r="AO282" i="5"/>
  <c r="AO283" i="5"/>
  <c r="AO284" i="5"/>
  <c r="AO285" i="5"/>
  <c r="AO286" i="5"/>
  <c r="AO287" i="5"/>
  <c r="AO288" i="5"/>
  <c r="AO289" i="5"/>
  <c r="AT289" i="5" s="1"/>
  <c r="AO290" i="5"/>
  <c r="AO291" i="5"/>
  <c r="AO292" i="5"/>
  <c r="AO293" i="5"/>
  <c r="AO294" i="5"/>
  <c r="AO295" i="5"/>
  <c r="AO296" i="5"/>
  <c r="AO297" i="5"/>
  <c r="AO298" i="5"/>
  <c r="AO299" i="5"/>
  <c r="AO300" i="5"/>
  <c r="AO301" i="5"/>
  <c r="AO302" i="5"/>
  <c r="AO303" i="5"/>
  <c r="AO304" i="5"/>
  <c r="AO305" i="5"/>
  <c r="AO306" i="5"/>
  <c r="AO307" i="5"/>
  <c r="AO308" i="5"/>
  <c r="AO309" i="5"/>
  <c r="AO310" i="5"/>
  <c r="AO311" i="5"/>
  <c r="AO312" i="5"/>
  <c r="AO313" i="5"/>
  <c r="AO314" i="5"/>
  <c r="AO315" i="5"/>
  <c r="AO316" i="5"/>
  <c r="AO317" i="5"/>
  <c r="AO318" i="5"/>
  <c r="AO319" i="5"/>
  <c r="AO320" i="5"/>
  <c r="AO321" i="5"/>
  <c r="AO322" i="5"/>
  <c r="AO323" i="5"/>
  <c r="AO324" i="5"/>
  <c r="AO325" i="5"/>
  <c r="AO326" i="5"/>
  <c r="AO327" i="5"/>
  <c r="AO328" i="5"/>
  <c r="AO329" i="5"/>
  <c r="AO330" i="5"/>
  <c r="AO331" i="5"/>
  <c r="AO332" i="5"/>
  <c r="AO333" i="5"/>
  <c r="AO334" i="5"/>
  <c r="AO335" i="5"/>
  <c r="AO336" i="5"/>
  <c r="AO337" i="5"/>
  <c r="AO338" i="5"/>
  <c r="AO339" i="5"/>
  <c r="AO340" i="5"/>
  <c r="AO341" i="5"/>
  <c r="AO342" i="5"/>
  <c r="AO343" i="5"/>
  <c r="AO344" i="5"/>
  <c r="AO345" i="5"/>
  <c r="AO346" i="5"/>
  <c r="AO347" i="5"/>
  <c r="AO348" i="5"/>
  <c r="AO349" i="5"/>
  <c r="AO350" i="5"/>
  <c r="AO351" i="5"/>
  <c r="AO352" i="5"/>
  <c r="AO353" i="5"/>
  <c r="AO354" i="5"/>
  <c r="AO355" i="5"/>
  <c r="AO356" i="5"/>
  <c r="AO357" i="5"/>
  <c r="AO358" i="5"/>
  <c r="AO359" i="5"/>
  <c r="AO360" i="5"/>
  <c r="AO361" i="5"/>
  <c r="AO362" i="5"/>
  <c r="AO363" i="5"/>
  <c r="AO364" i="5"/>
  <c r="AO365" i="5"/>
  <c r="AO366" i="5"/>
  <c r="AO367" i="5"/>
  <c r="AO368" i="5"/>
  <c r="AO369" i="5"/>
  <c r="AO370" i="5"/>
  <c r="AO371" i="5"/>
  <c r="AO372" i="5"/>
  <c r="AO373" i="5"/>
  <c r="AO374" i="5"/>
  <c r="AO375" i="5"/>
  <c r="AO376" i="5"/>
  <c r="AO377" i="5"/>
  <c r="AO378" i="5"/>
  <c r="AO379" i="5"/>
  <c r="AO380" i="5"/>
  <c r="AO381" i="5"/>
  <c r="AO382" i="5"/>
  <c r="AO383" i="5"/>
  <c r="AO384" i="5"/>
  <c r="AO385" i="5"/>
  <c r="AO386" i="5"/>
  <c r="AO387" i="5"/>
  <c r="AO388" i="5"/>
  <c r="AO389" i="5"/>
  <c r="AO390" i="5"/>
  <c r="AO391" i="5"/>
  <c r="AO392" i="5"/>
  <c r="AO393" i="5"/>
  <c r="AT393" i="5" s="1"/>
  <c r="AO394" i="5"/>
  <c r="AO395" i="5"/>
  <c r="AO396" i="5"/>
  <c r="AO397" i="5"/>
  <c r="AO398" i="5"/>
  <c r="AO399" i="5"/>
  <c r="AO400" i="5"/>
  <c r="AO401" i="5"/>
  <c r="AO402" i="5"/>
  <c r="AO403" i="5"/>
  <c r="AO404" i="5"/>
  <c r="AO405" i="5"/>
  <c r="AT405" i="5" s="1"/>
  <c r="AO406" i="5"/>
  <c r="AO407" i="5"/>
  <c r="AO408" i="5"/>
  <c r="AO409" i="5"/>
  <c r="AO410" i="5"/>
  <c r="AO411" i="5"/>
  <c r="AO412" i="5"/>
  <c r="AO413" i="5"/>
  <c r="AO414" i="5"/>
  <c r="AO415" i="5"/>
  <c r="AO416" i="5"/>
  <c r="AO417" i="5"/>
  <c r="AO418" i="5"/>
  <c r="AO419" i="5"/>
  <c r="AO420" i="5"/>
  <c r="AO421" i="5"/>
  <c r="AO422" i="5"/>
  <c r="AO423" i="5"/>
  <c r="AO424" i="5"/>
  <c r="AO425" i="5"/>
  <c r="AT425" i="5" s="1"/>
  <c r="AO426" i="5"/>
  <c r="AO427" i="5"/>
  <c r="AO428" i="5"/>
  <c r="AO429" i="5"/>
  <c r="AO430" i="5"/>
  <c r="AO431" i="5"/>
  <c r="AO432" i="5"/>
  <c r="AO433" i="5"/>
  <c r="AO434" i="5"/>
  <c r="AO435" i="5"/>
  <c r="AO436" i="5"/>
  <c r="AO437" i="5"/>
  <c r="AO438" i="5"/>
  <c r="AO439" i="5"/>
  <c r="AO440" i="5"/>
  <c r="AO441" i="5"/>
  <c r="AO442" i="5"/>
  <c r="AO443" i="5"/>
  <c r="AO444" i="5"/>
  <c r="AO445" i="5"/>
  <c r="AO446" i="5"/>
  <c r="AO447" i="5"/>
  <c r="AO448" i="5"/>
  <c r="AO449" i="5"/>
  <c r="AO450" i="5"/>
  <c r="AO451" i="5"/>
  <c r="AO452" i="5"/>
  <c r="AO453" i="5"/>
  <c r="AO454" i="5"/>
  <c r="AO455" i="5"/>
  <c r="AO456" i="5"/>
  <c r="AO457" i="5"/>
  <c r="AO458" i="5"/>
  <c r="AO459" i="5"/>
  <c r="AO460" i="5"/>
  <c r="AO461" i="5"/>
  <c r="AO462" i="5"/>
  <c r="AO463" i="5"/>
  <c r="AO464" i="5"/>
  <c r="AO465" i="5"/>
  <c r="AO466" i="5"/>
  <c r="AO467" i="5"/>
  <c r="AO468" i="5"/>
  <c r="AO469" i="5"/>
  <c r="AO470" i="5"/>
  <c r="AO471" i="5"/>
  <c r="AO472" i="5"/>
  <c r="AO473" i="5"/>
  <c r="AO474" i="5"/>
  <c r="AO475" i="5"/>
  <c r="AO476" i="5"/>
  <c r="AO477" i="5"/>
  <c r="AO478" i="5"/>
  <c r="AO479" i="5"/>
  <c r="AO480" i="5"/>
  <c r="AO481" i="5"/>
  <c r="AO482" i="5"/>
  <c r="AO483" i="5"/>
  <c r="AO484" i="5"/>
  <c r="AO485" i="5"/>
  <c r="AO486" i="5"/>
  <c r="AO487" i="5"/>
  <c r="AO488" i="5"/>
  <c r="AO489" i="5"/>
  <c r="AO490" i="5"/>
  <c r="AO491" i="5"/>
  <c r="AO492" i="5"/>
  <c r="AO493" i="5"/>
  <c r="AO494" i="5"/>
  <c r="AO495" i="5"/>
  <c r="AO496" i="5"/>
  <c r="AO497" i="5"/>
  <c r="AO498" i="5"/>
  <c r="AO499" i="5"/>
  <c r="AO500" i="5"/>
  <c r="AO501" i="5"/>
  <c r="AO502" i="5"/>
  <c r="AO503" i="5"/>
  <c r="L33" i="15"/>
  <c r="L75" i="15"/>
  <c r="L161" i="15"/>
  <c r="L203" i="15"/>
  <c r="L225" i="15"/>
  <c r="L267" i="15"/>
  <c r="L289" i="15"/>
  <c r="L331" i="15"/>
  <c r="L366" i="15"/>
  <c r="L430" i="15"/>
  <c r="L435" i="15"/>
  <c r="L440" i="15"/>
  <c r="L451" i="15"/>
  <c r="L456" i="15"/>
  <c r="L467" i="15"/>
  <c r="L472" i="15"/>
  <c r="L483" i="15"/>
  <c r="L488" i="15"/>
  <c r="L494" i="15"/>
  <c r="L499" i="15"/>
  <c r="E1" i="5"/>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C43" i="19"/>
  <c r="C42" i="19"/>
  <c r="C41" i="19"/>
  <c r="C40" i="19"/>
  <c r="C39" i="19"/>
  <c r="C38" i="19"/>
  <c r="C37" i="19"/>
  <c r="A35" i="19"/>
  <c r="AM69" i="13" a="1"/>
  <c r="AM69" i="13" s="1"/>
  <c r="AL69" i="13" s="1" a="1"/>
  <c r="AL69" i="13" s="1"/>
  <c r="AM62" i="13" a="1"/>
  <c r="AM62" i="13" s="1"/>
  <c r="AL62" i="13" s="1" a="1"/>
  <c r="AL62" i="13" s="1"/>
  <c r="G4" i="13"/>
  <c r="B4" i="13"/>
  <c r="AM67" i="13" s="1" a="1"/>
  <c r="AM67" i="13" s="1"/>
  <c r="AL67" i="13" s="1" a="1"/>
  <c r="AL67" i="13" s="1"/>
  <c r="AW67" i="13" s="1"/>
  <c r="A4" i="15"/>
  <c r="L4" i="15" s="1"/>
  <c r="A5" i="15"/>
  <c r="L5" i="15" s="1"/>
  <c r="A6" i="15"/>
  <c r="L6" i="15" s="1"/>
  <c r="A7" i="15"/>
  <c r="L7" i="15" s="1"/>
  <c r="A8" i="15"/>
  <c r="L8" i="15" s="1"/>
  <c r="A9" i="15"/>
  <c r="L9" i="15" s="1"/>
  <c r="A10" i="15"/>
  <c r="L10" i="15" s="1"/>
  <c r="A11" i="15"/>
  <c r="L11" i="15" s="1"/>
  <c r="A12" i="15"/>
  <c r="L12" i="15" s="1"/>
  <c r="A13" i="15"/>
  <c r="L13" i="15" s="1"/>
  <c r="A14" i="15"/>
  <c r="L14" i="15" s="1"/>
  <c r="A15" i="15"/>
  <c r="L15" i="15" s="1"/>
  <c r="A16" i="15"/>
  <c r="L16" i="15" s="1"/>
  <c r="A17" i="15"/>
  <c r="L17" i="15" s="1"/>
  <c r="A18" i="15"/>
  <c r="L18" i="15" s="1"/>
  <c r="A19" i="15"/>
  <c r="L19" i="15" s="1"/>
  <c r="A20" i="15"/>
  <c r="L20" i="15" s="1"/>
  <c r="A21" i="15"/>
  <c r="L21" i="15" s="1"/>
  <c r="A22" i="15"/>
  <c r="L22" i="15" s="1"/>
  <c r="A23" i="15"/>
  <c r="L23" i="15" s="1"/>
  <c r="A24" i="15"/>
  <c r="L24" i="15" s="1"/>
  <c r="A25" i="15"/>
  <c r="L25" i="15" s="1"/>
  <c r="A26" i="15"/>
  <c r="L26" i="15" s="1"/>
  <c r="A27" i="15"/>
  <c r="L27" i="15" s="1"/>
  <c r="A28" i="15"/>
  <c r="L28" i="15" s="1"/>
  <c r="A29" i="15"/>
  <c r="L29" i="15" s="1"/>
  <c r="A30" i="15"/>
  <c r="L30" i="15" s="1"/>
  <c r="A31" i="15"/>
  <c r="L31" i="15" s="1"/>
  <c r="A32" i="15"/>
  <c r="L32" i="15" s="1"/>
  <c r="A33" i="15"/>
  <c r="A34" i="15"/>
  <c r="L34" i="15" s="1"/>
  <c r="A35" i="15"/>
  <c r="L35" i="15" s="1"/>
  <c r="A36" i="15"/>
  <c r="L36" i="15" s="1"/>
  <c r="A37" i="15"/>
  <c r="L37" i="15" s="1"/>
  <c r="A38" i="15"/>
  <c r="L38" i="15" s="1"/>
  <c r="A39" i="15"/>
  <c r="L39" i="15" s="1"/>
  <c r="A40" i="15"/>
  <c r="L40" i="15" s="1"/>
  <c r="A41" i="15"/>
  <c r="L41" i="15" s="1"/>
  <c r="A42" i="15"/>
  <c r="L42" i="15" s="1"/>
  <c r="A43" i="15"/>
  <c r="L43" i="15" s="1"/>
  <c r="A44" i="15"/>
  <c r="L44" i="15" s="1"/>
  <c r="A45" i="15"/>
  <c r="L45" i="15" s="1"/>
  <c r="A46" i="15"/>
  <c r="L46" i="15" s="1"/>
  <c r="A47" i="15"/>
  <c r="L47" i="15" s="1"/>
  <c r="A48" i="15"/>
  <c r="L48" i="15" s="1"/>
  <c r="A49" i="15"/>
  <c r="L49" i="15" s="1"/>
  <c r="A50" i="15"/>
  <c r="L50" i="15" s="1"/>
  <c r="A51" i="15"/>
  <c r="L51" i="15" s="1"/>
  <c r="A52" i="15"/>
  <c r="L52" i="15" s="1"/>
  <c r="A53" i="15"/>
  <c r="L53" i="15" s="1"/>
  <c r="A54" i="15"/>
  <c r="L54" i="15" s="1"/>
  <c r="A55" i="15"/>
  <c r="L55" i="15" s="1"/>
  <c r="A56" i="15"/>
  <c r="L56" i="15" s="1"/>
  <c r="A57" i="15"/>
  <c r="L57" i="15" s="1"/>
  <c r="A58" i="15"/>
  <c r="L58" i="15" s="1"/>
  <c r="A59" i="15"/>
  <c r="L59" i="15" s="1"/>
  <c r="A60" i="15"/>
  <c r="L60" i="15" s="1"/>
  <c r="A61" i="15"/>
  <c r="L61" i="15" s="1"/>
  <c r="A62" i="15"/>
  <c r="L62" i="15" s="1"/>
  <c r="A63" i="15"/>
  <c r="L63" i="15" s="1"/>
  <c r="A64" i="15"/>
  <c r="L64" i="15" s="1"/>
  <c r="A65" i="15"/>
  <c r="L65" i="15" s="1"/>
  <c r="A66" i="15"/>
  <c r="L66" i="15" s="1"/>
  <c r="A67" i="15"/>
  <c r="L67" i="15" s="1"/>
  <c r="A68" i="15"/>
  <c r="L68" i="15" s="1"/>
  <c r="A69" i="15"/>
  <c r="L69" i="15" s="1"/>
  <c r="A70" i="15"/>
  <c r="L70" i="15" s="1"/>
  <c r="A71" i="15"/>
  <c r="L71" i="15" s="1"/>
  <c r="A72" i="15"/>
  <c r="L72" i="15" s="1"/>
  <c r="A73" i="15"/>
  <c r="L73" i="15" s="1"/>
  <c r="A74" i="15"/>
  <c r="L74" i="15" s="1"/>
  <c r="A75" i="15"/>
  <c r="A76" i="15"/>
  <c r="L76" i="15" s="1"/>
  <c r="A77" i="15"/>
  <c r="L77" i="15" s="1"/>
  <c r="A78" i="15"/>
  <c r="L78" i="15" s="1"/>
  <c r="A79" i="15"/>
  <c r="L79" i="15" s="1"/>
  <c r="A80" i="15"/>
  <c r="L80" i="15" s="1"/>
  <c r="A81" i="15"/>
  <c r="L81" i="15" s="1"/>
  <c r="A82" i="15"/>
  <c r="L82" i="15" s="1"/>
  <c r="A83" i="15"/>
  <c r="L83" i="15" s="1"/>
  <c r="A84" i="15"/>
  <c r="L84" i="15" s="1"/>
  <c r="A85" i="15"/>
  <c r="L85" i="15" s="1"/>
  <c r="A86" i="15"/>
  <c r="L86" i="15" s="1"/>
  <c r="A87" i="15"/>
  <c r="L87" i="15" s="1"/>
  <c r="A88" i="15"/>
  <c r="L88" i="15" s="1"/>
  <c r="A89" i="15"/>
  <c r="L89" i="15" s="1"/>
  <c r="A90" i="15"/>
  <c r="L90" i="15" s="1"/>
  <c r="A91" i="15"/>
  <c r="L91" i="15" s="1"/>
  <c r="A92" i="15"/>
  <c r="L92" i="15" s="1"/>
  <c r="A93" i="15"/>
  <c r="L93" i="15" s="1"/>
  <c r="A94" i="15"/>
  <c r="L94" i="15" s="1"/>
  <c r="A95" i="15"/>
  <c r="L95" i="15" s="1"/>
  <c r="A96" i="15"/>
  <c r="L96" i="15" s="1"/>
  <c r="A97" i="15"/>
  <c r="L97" i="15" s="1"/>
  <c r="A98" i="15"/>
  <c r="L98" i="15" s="1"/>
  <c r="A99" i="15"/>
  <c r="L99" i="15" s="1"/>
  <c r="A100" i="15"/>
  <c r="L100" i="15" s="1"/>
  <c r="A101" i="15"/>
  <c r="L101" i="15" s="1"/>
  <c r="A102" i="15"/>
  <c r="L102" i="15" s="1"/>
  <c r="A103" i="15"/>
  <c r="L103" i="15" s="1"/>
  <c r="A104" i="15"/>
  <c r="L104" i="15" s="1"/>
  <c r="A105" i="15"/>
  <c r="L105" i="15" s="1"/>
  <c r="A106" i="15"/>
  <c r="L106" i="15" s="1"/>
  <c r="A107" i="15"/>
  <c r="L107" i="15" s="1"/>
  <c r="A108" i="15"/>
  <c r="L108" i="15" s="1"/>
  <c r="A109" i="15"/>
  <c r="L109" i="15" s="1"/>
  <c r="A110" i="15"/>
  <c r="L110" i="15" s="1"/>
  <c r="A111" i="15"/>
  <c r="L111" i="15" s="1"/>
  <c r="A112" i="15"/>
  <c r="L112" i="15" s="1"/>
  <c r="A113" i="15"/>
  <c r="L113" i="15" s="1"/>
  <c r="A114" i="15"/>
  <c r="L114" i="15" s="1"/>
  <c r="A115" i="15"/>
  <c r="L115" i="15" s="1"/>
  <c r="A116" i="15"/>
  <c r="L116" i="15" s="1"/>
  <c r="A117" i="15"/>
  <c r="L117" i="15" s="1"/>
  <c r="A118" i="15"/>
  <c r="L118" i="15" s="1"/>
  <c r="A119" i="15"/>
  <c r="L119" i="15" s="1"/>
  <c r="A120" i="15"/>
  <c r="L120" i="15" s="1"/>
  <c r="A121" i="15"/>
  <c r="L121" i="15" s="1"/>
  <c r="A122" i="15"/>
  <c r="L122" i="15" s="1"/>
  <c r="A123" i="15"/>
  <c r="L123" i="15" s="1"/>
  <c r="A124" i="15"/>
  <c r="L124" i="15" s="1"/>
  <c r="A125" i="15"/>
  <c r="L125" i="15" s="1"/>
  <c r="A126" i="15"/>
  <c r="L126" i="15" s="1"/>
  <c r="A127" i="15"/>
  <c r="L127" i="15" s="1"/>
  <c r="A128" i="15"/>
  <c r="L128" i="15" s="1"/>
  <c r="A129" i="15"/>
  <c r="L129" i="15" s="1"/>
  <c r="A130" i="15"/>
  <c r="L130" i="15" s="1"/>
  <c r="A131" i="15"/>
  <c r="L131" i="15" s="1"/>
  <c r="A132" i="15"/>
  <c r="L132" i="15" s="1"/>
  <c r="A133" i="15"/>
  <c r="L133" i="15" s="1"/>
  <c r="A134" i="15"/>
  <c r="L134" i="15" s="1"/>
  <c r="A135" i="15"/>
  <c r="L135" i="15" s="1"/>
  <c r="A136" i="15"/>
  <c r="L136" i="15" s="1"/>
  <c r="A137" i="15"/>
  <c r="L137" i="15" s="1"/>
  <c r="A138" i="15"/>
  <c r="L138" i="15" s="1"/>
  <c r="A139" i="15"/>
  <c r="L139" i="15" s="1"/>
  <c r="A140" i="15"/>
  <c r="L140" i="15" s="1"/>
  <c r="A141" i="15"/>
  <c r="L141" i="15" s="1"/>
  <c r="A142" i="15"/>
  <c r="L142" i="15" s="1"/>
  <c r="A143" i="15"/>
  <c r="L143" i="15" s="1"/>
  <c r="A144" i="15"/>
  <c r="L144" i="15" s="1"/>
  <c r="A145" i="15"/>
  <c r="L145" i="15" s="1"/>
  <c r="A146" i="15"/>
  <c r="L146" i="15" s="1"/>
  <c r="A147" i="15"/>
  <c r="L147" i="15" s="1"/>
  <c r="A148" i="15"/>
  <c r="L148" i="15" s="1"/>
  <c r="A149" i="15"/>
  <c r="L149" i="15" s="1"/>
  <c r="A150" i="15"/>
  <c r="L150" i="15" s="1"/>
  <c r="A151" i="15"/>
  <c r="L151" i="15" s="1"/>
  <c r="A152" i="15"/>
  <c r="L152" i="15" s="1"/>
  <c r="A153" i="15"/>
  <c r="L153" i="15" s="1"/>
  <c r="A154" i="15"/>
  <c r="L154" i="15" s="1"/>
  <c r="A155" i="15"/>
  <c r="L155" i="15" s="1"/>
  <c r="A156" i="15"/>
  <c r="L156" i="15" s="1"/>
  <c r="A157" i="15"/>
  <c r="L157" i="15" s="1"/>
  <c r="A158" i="15"/>
  <c r="L158" i="15" s="1"/>
  <c r="A159" i="15"/>
  <c r="L159" i="15" s="1"/>
  <c r="A160" i="15"/>
  <c r="L160" i="15" s="1"/>
  <c r="A161" i="15"/>
  <c r="A162" i="15"/>
  <c r="L162" i="15" s="1"/>
  <c r="A163" i="15"/>
  <c r="L163" i="15" s="1"/>
  <c r="A164" i="15"/>
  <c r="L164" i="15" s="1"/>
  <c r="A165" i="15"/>
  <c r="L165" i="15" s="1"/>
  <c r="A166" i="15"/>
  <c r="L166" i="15" s="1"/>
  <c r="A167" i="15"/>
  <c r="L167" i="15" s="1"/>
  <c r="A168" i="15"/>
  <c r="L168" i="15" s="1"/>
  <c r="A169" i="15"/>
  <c r="L169" i="15" s="1"/>
  <c r="A170" i="15"/>
  <c r="L170" i="15" s="1"/>
  <c r="A171" i="15"/>
  <c r="L171" i="15" s="1"/>
  <c r="A172" i="15"/>
  <c r="L172" i="15" s="1"/>
  <c r="A173" i="15"/>
  <c r="L173" i="15" s="1"/>
  <c r="A174" i="15"/>
  <c r="L174" i="15" s="1"/>
  <c r="A175" i="15"/>
  <c r="L175" i="15" s="1"/>
  <c r="A176" i="15"/>
  <c r="L176" i="15" s="1"/>
  <c r="A177" i="15"/>
  <c r="L177" i="15" s="1"/>
  <c r="A178" i="15"/>
  <c r="L178" i="15" s="1"/>
  <c r="A179" i="15"/>
  <c r="L179" i="15" s="1"/>
  <c r="A180" i="15"/>
  <c r="L180" i="15" s="1"/>
  <c r="A181" i="15"/>
  <c r="L181" i="15" s="1"/>
  <c r="A182" i="15"/>
  <c r="L182" i="15" s="1"/>
  <c r="A183" i="15"/>
  <c r="L183" i="15" s="1"/>
  <c r="A184" i="15"/>
  <c r="L184" i="15" s="1"/>
  <c r="A185" i="15"/>
  <c r="L185" i="15" s="1"/>
  <c r="A186" i="15"/>
  <c r="L186" i="15" s="1"/>
  <c r="A187" i="15"/>
  <c r="L187" i="15" s="1"/>
  <c r="A188" i="15"/>
  <c r="L188" i="15" s="1"/>
  <c r="A189" i="15"/>
  <c r="L189" i="15" s="1"/>
  <c r="A190" i="15"/>
  <c r="L190" i="15" s="1"/>
  <c r="A191" i="15"/>
  <c r="L191" i="15" s="1"/>
  <c r="A192" i="15"/>
  <c r="L192" i="15" s="1"/>
  <c r="A193" i="15"/>
  <c r="L193" i="15" s="1"/>
  <c r="A194" i="15"/>
  <c r="L194" i="15" s="1"/>
  <c r="A195" i="15"/>
  <c r="L195" i="15" s="1"/>
  <c r="A196" i="15"/>
  <c r="L196" i="15" s="1"/>
  <c r="A197" i="15"/>
  <c r="L197" i="15" s="1"/>
  <c r="A198" i="15"/>
  <c r="L198" i="15" s="1"/>
  <c r="A199" i="15"/>
  <c r="L199" i="15" s="1"/>
  <c r="A200" i="15"/>
  <c r="L200" i="15" s="1"/>
  <c r="A201" i="15"/>
  <c r="L201" i="15" s="1"/>
  <c r="A202" i="15"/>
  <c r="L202" i="15" s="1"/>
  <c r="A203" i="15"/>
  <c r="A204" i="15"/>
  <c r="L204" i="15" s="1"/>
  <c r="A205" i="15"/>
  <c r="L205" i="15" s="1"/>
  <c r="A206" i="15"/>
  <c r="L206" i="15" s="1"/>
  <c r="A207" i="15"/>
  <c r="L207" i="15" s="1"/>
  <c r="A208" i="15"/>
  <c r="L208" i="15" s="1"/>
  <c r="A209" i="15"/>
  <c r="L209" i="15" s="1"/>
  <c r="A210" i="15"/>
  <c r="L210" i="15" s="1"/>
  <c r="A211" i="15"/>
  <c r="L211" i="15" s="1"/>
  <c r="A212" i="15"/>
  <c r="L212" i="15" s="1"/>
  <c r="A213" i="15"/>
  <c r="L213" i="15" s="1"/>
  <c r="A214" i="15"/>
  <c r="L214" i="15" s="1"/>
  <c r="A215" i="15"/>
  <c r="L215" i="15" s="1"/>
  <c r="A216" i="15"/>
  <c r="L216" i="15" s="1"/>
  <c r="A217" i="15"/>
  <c r="L217" i="15" s="1"/>
  <c r="A218" i="15"/>
  <c r="L218" i="15" s="1"/>
  <c r="A219" i="15"/>
  <c r="L219" i="15" s="1"/>
  <c r="A220" i="15"/>
  <c r="L220" i="15" s="1"/>
  <c r="A221" i="15"/>
  <c r="L221" i="15" s="1"/>
  <c r="A222" i="15"/>
  <c r="L222" i="15" s="1"/>
  <c r="A223" i="15"/>
  <c r="L223" i="15" s="1"/>
  <c r="A224" i="15"/>
  <c r="L224" i="15" s="1"/>
  <c r="A225" i="15"/>
  <c r="A226" i="15"/>
  <c r="L226" i="15" s="1"/>
  <c r="A227" i="15"/>
  <c r="L227" i="15" s="1"/>
  <c r="A228" i="15"/>
  <c r="L228" i="15" s="1"/>
  <c r="A229" i="15"/>
  <c r="L229" i="15" s="1"/>
  <c r="A230" i="15"/>
  <c r="L230" i="15" s="1"/>
  <c r="A231" i="15"/>
  <c r="L231" i="15" s="1"/>
  <c r="A232" i="15"/>
  <c r="L232" i="15" s="1"/>
  <c r="A233" i="15"/>
  <c r="L233" i="15" s="1"/>
  <c r="A234" i="15"/>
  <c r="L234" i="15" s="1"/>
  <c r="A235" i="15"/>
  <c r="L235" i="15" s="1"/>
  <c r="A236" i="15"/>
  <c r="L236" i="15" s="1"/>
  <c r="A237" i="15"/>
  <c r="L237" i="15" s="1"/>
  <c r="A238" i="15"/>
  <c r="L238" i="15" s="1"/>
  <c r="A239" i="15"/>
  <c r="L239" i="15" s="1"/>
  <c r="A240" i="15"/>
  <c r="L240" i="15" s="1"/>
  <c r="A241" i="15"/>
  <c r="L241" i="15" s="1"/>
  <c r="A242" i="15"/>
  <c r="L242" i="15" s="1"/>
  <c r="A243" i="15"/>
  <c r="L243" i="15" s="1"/>
  <c r="A244" i="15"/>
  <c r="L244" i="15" s="1"/>
  <c r="A245" i="15"/>
  <c r="L245" i="15" s="1"/>
  <c r="A246" i="15"/>
  <c r="L246" i="15" s="1"/>
  <c r="A247" i="15"/>
  <c r="L247" i="15" s="1"/>
  <c r="A248" i="15"/>
  <c r="L248" i="15" s="1"/>
  <c r="A249" i="15"/>
  <c r="L249" i="15" s="1"/>
  <c r="A250" i="15"/>
  <c r="L250" i="15" s="1"/>
  <c r="A251" i="15"/>
  <c r="L251" i="15" s="1"/>
  <c r="A252" i="15"/>
  <c r="L252" i="15" s="1"/>
  <c r="A253" i="15"/>
  <c r="L253" i="15" s="1"/>
  <c r="A254" i="15"/>
  <c r="L254" i="15" s="1"/>
  <c r="A255" i="15"/>
  <c r="L255" i="15" s="1"/>
  <c r="A256" i="15"/>
  <c r="L256" i="15" s="1"/>
  <c r="A257" i="15"/>
  <c r="L257" i="15" s="1"/>
  <c r="A258" i="15"/>
  <c r="L258" i="15" s="1"/>
  <c r="A259" i="15"/>
  <c r="L259" i="15" s="1"/>
  <c r="A260" i="15"/>
  <c r="L260" i="15" s="1"/>
  <c r="A261" i="15"/>
  <c r="L261" i="15" s="1"/>
  <c r="A262" i="15"/>
  <c r="L262" i="15" s="1"/>
  <c r="A263" i="15"/>
  <c r="L263" i="15" s="1"/>
  <c r="A264" i="15"/>
  <c r="L264" i="15" s="1"/>
  <c r="A265" i="15"/>
  <c r="L265" i="15" s="1"/>
  <c r="A266" i="15"/>
  <c r="L266" i="15" s="1"/>
  <c r="A267" i="15"/>
  <c r="A268" i="15"/>
  <c r="L268" i="15" s="1"/>
  <c r="A269" i="15"/>
  <c r="L269" i="15" s="1"/>
  <c r="A270" i="15"/>
  <c r="L270" i="15" s="1"/>
  <c r="A271" i="15"/>
  <c r="L271" i="15" s="1"/>
  <c r="A272" i="15"/>
  <c r="L272" i="15" s="1"/>
  <c r="A273" i="15"/>
  <c r="L273" i="15" s="1"/>
  <c r="A274" i="15"/>
  <c r="L274" i="15" s="1"/>
  <c r="A275" i="15"/>
  <c r="L275" i="15" s="1"/>
  <c r="A276" i="15"/>
  <c r="L276" i="15" s="1"/>
  <c r="A277" i="15"/>
  <c r="L277" i="15" s="1"/>
  <c r="A278" i="15"/>
  <c r="L278" i="15" s="1"/>
  <c r="A279" i="15"/>
  <c r="L279" i="15" s="1"/>
  <c r="A280" i="15"/>
  <c r="L280" i="15" s="1"/>
  <c r="A281" i="15"/>
  <c r="L281" i="15" s="1"/>
  <c r="A282" i="15"/>
  <c r="L282" i="15" s="1"/>
  <c r="A283" i="15"/>
  <c r="L283" i="15" s="1"/>
  <c r="A284" i="15"/>
  <c r="L284" i="15" s="1"/>
  <c r="A285" i="15"/>
  <c r="L285" i="15" s="1"/>
  <c r="A286" i="15"/>
  <c r="L286" i="15" s="1"/>
  <c r="A287" i="15"/>
  <c r="L287" i="15" s="1"/>
  <c r="A288" i="15"/>
  <c r="L288" i="15" s="1"/>
  <c r="A289" i="15"/>
  <c r="A290" i="15"/>
  <c r="L290" i="15" s="1"/>
  <c r="A291" i="15"/>
  <c r="L291" i="15" s="1"/>
  <c r="A292" i="15"/>
  <c r="L292" i="15" s="1"/>
  <c r="A293" i="15"/>
  <c r="L293" i="15" s="1"/>
  <c r="A294" i="15"/>
  <c r="L294" i="15" s="1"/>
  <c r="A295" i="15"/>
  <c r="L295" i="15" s="1"/>
  <c r="A296" i="15"/>
  <c r="L296" i="15" s="1"/>
  <c r="A297" i="15"/>
  <c r="L297" i="15" s="1"/>
  <c r="A298" i="15"/>
  <c r="L298" i="15" s="1"/>
  <c r="A299" i="15"/>
  <c r="L299" i="15" s="1"/>
  <c r="A300" i="15"/>
  <c r="L300" i="15" s="1"/>
  <c r="A301" i="15"/>
  <c r="L301" i="15" s="1"/>
  <c r="A302" i="15"/>
  <c r="L302" i="15" s="1"/>
  <c r="A303" i="15"/>
  <c r="L303" i="15" s="1"/>
  <c r="A304" i="15"/>
  <c r="L304" i="15" s="1"/>
  <c r="A305" i="15"/>
  <c r="L305" i="15" s="1"/>
  <c r="A306" i="15"/>
  <c r="L306" i="15" s="1"/>
  <c r="A307" i="15"/>
  <c r="L307" i="15" s="1"/>
  <c r="A308" i="15"/>
  <c r="L308" i="15" s="1"/>
  <c r="A309" i="15"/>
  <c r="L309" i="15" s="1"/>
  <c r="A310" i="15"/>
  <c r="L310" i="15" s="1"/>
  <c r="A311" i="15"/>
  <c r="L311" i="15" s="1"/>
  <c r="A312" i="15"/>
  <c r="L312" i="15" s="1"/>
  <c r="A313" i="15"/>
  <c r="L313" i="15" s="1"/>
  <c r="A314" i="15"/>
  <c r="L314" i="15" s="1"/>
  <c r="A315" i="15"/>
  <c r="L315" i="15" s="1"/>
  <c r="A316" i="15"/>
  <c r="L316" i="15" s="1"/>
  <c r="A317" i="15"/>
  <c r="L317" i="15" s="1"/>
  <c r="A318" i="15"/>
  <c r="L318" i="15" s="1"/>
  <c r="A319" i="15"/>
  <c r="L319" i="15" s="1"/>
  <c r="A320" i="15"/>
  <c r="L320" i="15" s="1"/>
  <c r="A321" i="15"/>
  <c r="L321" i="15" s="1"/>
  <c r="A322" i="15"/>
  <c r="L322" i="15" s="1"/>
  <c r="A323" i="15"/>
  <c r="L323" i="15" s="1"/>
  <c r="A324" i="15"/>
  <c r="L324" i="15" s="1"/>
  <c r="A325" i="15"/>
  <c r="L325" i="15" s="1"/>
  <c r="A326" i="15"/>
  <c r="L326" i="15" s="1"/>
  <c r="A327" i="15"/>
  <c r="L327" i="15" s="1"/>
  <c r="A328" i="15"/>
  <c r="L328" i="15" s="1"/>
  <c r="A329" i="15"/>
  <c r="L329" i="15" s="1"/>
  <c r="A330" i="15"/>
  <c r="L330" i="15" s="1"/>
  <c r="A331" i="15"/>
  <c r="A332" i="15"/>
  <c r="L332" i="15" s="1"/>
  <c r="A333" i="15"/>
  <c r="L333" i="15" s="1"/>
  <c r="A334" i="15"/>
  <c r="L334" i="15" s="1"/>
  <c r="A335" i="15"/>
  <c r="L335" i="15" s="1"/>
  <c r="A336" i="15"/>
  <c r="L336" i="15" s="1"/>
  <c r="A337" i="15"/>
  <c r="L337" i="15" s="1"/>
  <c r="A338" i="15"/>
  <c r="L338" i="15" s="1"/>
  <c r="A339" i="15"/>
  <c r="L339" i="15" s="1"/>
  <c r="A340" i="15"/>
  <c r="L340" i="15" s="1"/>
  <c r="A341" i="15"/>
  <c r="L341" i="15" s="1"/>
  <c r="A342" i="15"/>
  <c r="L342" i="15" s="1"/>
  <c r="A343" i="15"/>
  <c r="L343" i="15" s="1"/>
  <c r="A344" i="15"/>
  <c r="L344" i="15" s="1"/>
  <c r="A345" i="15"/>
  <c r="L345" i="15" s="1"/>
  <c r="A346" i="15"/>
  <c r="L346" i="15" s="1"/>
  <c r="A347" i="15"/>
  <c r="L347" i="15" s="1"/>
  <c r="A348" i="15"/>
  <c r="L348" i="15" s="1"/>
  <c r="A349" i="15"/>
  <c r="L349" i="15" s="1"/>
  <c r="A350" i="15"/>
  <c r="L350" i="15" s="1"/>
  <c r="A351" i="15"/>
  <c r="L351" i="15" s="1"/>
  <c r="A352" i="15"/>
  <c r="L352" i="15" s="1"/>
  <c r="A353" i="15"/>
  <c r="L353" i="15" s="1"/>
  <c r="A354" i="15"/>
  <c r="L354" i="15" s="1"/>
  <c r="A355" i="15"/>
  <c r="L355" i="15" s="1"/>
  <c r="A356" i="15"/>
  <c r="L356" i="15" s="1"/>
  <c r="A357" i="15"/>
  <c r="L357" i="15" s="1"/>
  <c r="A358" i="15"/>
  <c r="L358" i="15" s="1"/>
  <c r="A359" i="15"/>
  <c r="L359" i="15" s="1"/>
  <c r="A360" i="15"/>
  <c r="L360" i="15" s="1"/>
  <c r="A361" i="15"/>
  <c r="L361" i="15" s="1"/>
  <c r="A362" i="15"/>
  <c r="L362" i="15" s="1"/>
  <c r="A363" i="15"/>
  <c r="L363" i="15" s="1"/>
  <c r="A364" i="15"/>
  <c r="L364" i="15" s="1"/>
  <c r="A365" i="15"/>
  <c r="L365" i="15" s="1"/>
  <c r="A366" i="15"/>
  <c r="A367" i="15"/>
  <c r="L367" i="15" s="1"/>
  <c r="A368" i="15"/>
  <c r="L368" i="15" s="1"/>
  <c r="A369" i="15"/>
  <c r="L369" i="15" s="1"/>
  <c r="A370" i="15"/>
  <c r="L370" i="15" s="1"/>
  <c r="A371" i="15"/>
  <c r="L371" i="15" s="1"/>
  <c r="A372" i="15"/>
  <c r="L372" i="15" s="1"/>
  <c r="A373" i="15"/>
  <c r="L373" i="15" s="1"/>
  <c r="A374" i="15"/>
  <c r="L374" i="15" s="1"/>
  <c r="A375" i="15"/>
  <c r="L375" i="15" s="1"/>
  <c r="A376" i="15"/>
  <c r="L376" i="15" s="1"/>
  <c r="A377" i="15"/>
  <c r="L377" i="15" s="1"/>
  <c r="A378" i="15"/>
  <c r="L378" i="15" s="1"/>
  <c r="A379" i="15"/>
  <c r="L379" i="15" s="1"/>
  <c r="A380" i="15"/>
  <c r="L380" i="15" s="1"/>
  <c r="A381" i="15"/>
  <c r="L381" i="15" s="1"/>
  <c r="A382" i="15"/>
  <c r="L382" i="15" s="1"/>
  <c r="A383" i="15"/>
  <c r="L383" i="15" s="1"/>
  <c r="A384" i="15"/>
  <c r="L384" i="15" s="1"/>
  <c r="A385" i="15"/>
  <c r="L385" i="15" s="1"/>
  <c r="A386" i="15"/>
  <c r="L386" i="15" s="1"/>
  <c r="A387" i="15"/>
  <c r="L387" i="15" s="1"/>
  <c r="A388" i="15"/>
  <c r="L388" i="15" s="1"/>
  <c r="A389" i="15"/>
  <c r="L389" i="15" s="1"/>
  <c r="A390" i="15"/>
  <c r="L390" i="15" s="1"/>
  <c r="A391" i="15"/>
  <c r="L391" i="15" s="1"/>
  <c r="A392" i="15"/>
  <c r="L392" i="15" s="1"/>
  <c r="A393" i="15"/>
  <c r="L393" i="15" s="1"/>
  <c r="A394" i="15"/>
  <c r="L394" i="15" s="1"/>
  <c r="A395" i="15"/>
  <c r="L395" i="15" s="1"/>
  <c r="A396" i="15"/>
  <c r="L396" i="15" s="1"/>
  <c r="A397" i="15"/>
  <c r="L397" i="15" s="1"/>
  <c r="A398" i="15"/>
  <c r="L398" i="15" s="1"/>
  <c r="A399" i="15"/>
  <c r="L399" i="15" s="1"/>
  <c r="A400" i="15"/>
  <c r="L400" i="15" s="1"/>
  <c r="A401" i="15"/>
  <c r="L401" i="15" s="1"/>
  <c r="A402" i="15"/>
  <c r="L402" i="15" s="1"/>
  <c r="A403" i="15"/>
  <c r="L403" i="15" s="1"/>
  <c r="A404" i="15"/>
  <c r="L404" i="15" s="1"/>
  <c r="A405" i="15"/>
  <c r="L405" i="15" s="1"/>
  <c r="A406" i="15"/>
  <c r="L406" i="15" s="1"/>
  <c r="A407" i="15"/>
  <c r="L407" i="15" s="1"/>
  <c r="A408" i="15"/>
  <c r="L408" i="15" s="1"/>
  <c r="A409" i="15"/>
  <c r="L409" i="15" s="1"/>
  <c r="A410" i="15"/>
  <c r="L410" i="15" s="1"/>
  <c r="A411" i="15"/>
  <c r="L411" i="15" s="1"/>
  <c r="A412" i="15"/>
  <c r="L412" i="15" s="1"/>
  <c r="A413" i="15"/>
  <c r="L413" i="15" s="1"/>
  <c r="A414" i="15"/>
  <c r="L414" i="15" s="1"/>
  <c r="A415" i="15"/>
  <c r="L415" i="15" s="1"/>
  <c r="A416" i="15"/>
  <c r="L416" i="15" s="1"/>
  <c r="A417" i="15"/>
  <c r="L417" i="15" s="1"/>
  <c r="A418" i="15"/>
  <c r="L418" i="15" s="1"/>
  <c r="A419" i="15"/>
  <c r="L419" i="15" s="1"/>
  <c r="A420" i="15"/>
  <c r="L420" i="15" s="1"/>
  <c r="A421" i="15"/>
  <c r="L421" i="15" s="1"/>
  <c r="A422" i="15"/>
  <c r="L422" i="15" s="1"/>
  <c r="A423" i="15"/>
  <c r="A424" i="15"/>
  <c r="L424" i="15" s="1"/>
  <c r="A425" i="15"/>
  <c r="L425" i="15" s="1"/>
  <c r="A426" i="15"/>
  <c r="L426" i="15" s="1"/>
  <c r="A427" i="15"/>
  <c r="L427" i="15" s="1"/>
  <c r="A428" i="15"/>
  <c r="L428" i="15" s="1"/>
  <c r="A429" i="15"/>
  <c r="L429" i="15" s="1"/>
  <c r="A430" i="15"/>
  <c r="A431" i="15"/>
  <c r="G431" i="15" s="1"/>
  <c r="A432" i="15"/>
  <c r="L432" i="15" s="1"/>
  <c r="A433" i="15"/>
  <c r="L433" i="15" s="1"/>
  <c r="A434" i="15"/>
  <c r="L434" i="15" s="1"/>
  <c r="A435" i="15"/>
  <c r="A436" i="15"/>
  <c r="L436" i="15" s="1"/>
  <c r="A437" i="15"/>
  <c r="L437" i="15" s="1"/>
  <c r="A438" i="15"/>
  <c r="L438" i="15" s="1"/>
  <c r="A439" i="15"/>
  <c r="L439" i="15" s="1"/>
  <c r="A440" i="15"/>
  <c r="A441" i="15"/>
  <c r="L441" i="15" s="1"/>
  <c r="A442" i="15"/>
  <c r="L442" i="15" s="1"/>
  <c r="A443" i="15"/>
  <c r="L443" i="15" s="1"/>
  <c r="A444" i="15"/>
  <c r="L444" i="15" s="1"/>
  <c r="A445" i="15"/>
  <c r="L445" i="15" s="1"/>
  <c r="A446" i="15"/>
  <c r="L446" i="15" s="1"/>
  <c r="A447" i="15"/>
  <c r="L447" i="15" s="1"/>
  <c r="A448" i="15"/>
  <c r="L448" i="15" s="1"/>
  <c r="A449" i="15"/>
  <c r="L449" i="15" s="1"/>
  <c r="A450" i="15"/>
  <c r="L450" i="15" s="1"/>
  <c r="A451" i="15"/>
  <c r="A452" i="15"/>
  <c r="L452" i="15" s="1"/>
  <c r="A453" i="15"/>
  <c r="L453" i="15" s="1"/>
  <c r="A454" i="15"/>
  <c r="L454" i="15" s="1"/>
  <c r="A455" i="15"/>
  <c r="L455" i="15" s="1"/>
  <c r="A456" i="15"/>
  <c r="A457" i="15"/>
  <c r="L457" i="15" s="1"/>
  <c r="A458" i="15"/>
  <c r="L458" i="15" s="1"/>
  <c r="A459" i="15"/>
  <c r="L459" i="15" s="1"/>
  <c r="A460" i="15"/>
  <c r="L460" i="15" s="1"/>
  <c r="A461" i="15"/>
  <c r="L461" i="15" s="1"/>
  <c r="A462" i="15"/>
  <c r="L462" i="15" s="1"/>
  <c r="A463" i="15"/>
  <c r="L463" i="15" s="1"/>
  <c r="A464" i="15"/>
  <c r="L464" i="15" s="1"/>
  <c r="A465" i="15"/>
  <c r="L465" i="15" s="1"/>
  <c r="A466" i="15"/>
  <c r="L466" i="15" s="1"/>
  <c r="A467" i="15"/>
  <c r="A468" i="15"/>
  <c r="L468" i="15" s="1"/>
  <c r="A469" i="15"/>
  <c r="L469" i="15" s="1"/>
  <c r="A470" i="15"/>
  <c r="L470" i="15" s="1"/>
  <c r="A471" i="15"/>
  <c r="L471" i="15" s="1"/>
  <c r="A472" i="15"/>
  <c r="A473" i="15"/>
  <c r="L473" i="15" s="1"/>
  <c r="A474" i="15"/>
  <c r="L474" i="15" s="1"/>
  <c r="A475" i="15"/>
  <c r="L475" i="15" s="1"/>
  <c r="A476" i="15"/>
  <c r="L476" i="15" s="1"/>
  <c r="A477" i="15"/>
  <c r="L477" i="15" s="1"/>
  <c r="A478" i="15"/>
  <c r="L478" i="15" s="1"/>
  <c r="A479" i="15"/>
  <c r="L479" i="15" s="1"/>
  <c r="A480" i="15"/>
  <c r="L480" i="15" s="1"/>
  <c r="A481" i="15"/>
  <c r="L481" i="15" s="1"/>
  <c r="A482" i="15"/>
  <c r="L482" i="15" s="1"/>
  <c r="A483" i="15"/>
  <c r="A484" i="15"/>
  <c r="L484" i="15" s="1"/>
  <c r="A485" i="15"/>
  <c r="L485" i="15" s="1"/>
  <c r="A486" i="15"/>
  <c r="L486" i="15" s="1"/>
  <c r="A487" i="15"/>
  <c r="L487" i="15" s="1"/>
  <c r="A488" i="15"/>
  <c r="A489" i="15"/>
  <c r="L489" i="15" s="1"/>
  <c r="A490" i="15"/>
  <c r="L490" i="15" s="1"/>
  <c r="A491" i="15"/>
  <c r="L491" i="15" s="1"/>
  <c r="A492" i="15"/>
  <c r="L492" i="15" s="1"/>
  <c r="A493" i="15"/>
  <c r="L493" i="15" s="1"/>
  <c r="A494" i="15"/>
  <c r="A495" i="15"/>
  <c r="L495" i="15" s="1"/>
  <c r="A496" i="15"/>
  <c r="L496" i="15" s="1"/>
  <c r="A497" i="15"/>
  <c r="L497" i="15" s="1"/>
  <c r="A498" i="15"/>
  <c r="L498" i="15" s="1"/>
  <c r="A499" i="15"/>
  <c r="A500" i="15"/>
  <c r="L500" i="15" s="1"/>
  <c r="A501" i="15"/>
  <c r="L501" i="15" s="1"/>
  <c r="A502" i="15"/>
  <c r="L502" i="15" s="1"/>
  <c r="A503" i="15"/>
  <c r="L503" i="15" s="1"/>
  <c r="O48" i="12"/>
  <c r="P48" i="12" s="1"/>
  <c r="K61" i="12"/>
  <c r="I61" i="12" s="1"/>
  <c r="K62" i="12"/>
  <c r="I62" i="12" s="1"/>
  <c r="K65" i="12"/>
  <c r="I65" i="12" s="1"/>
  <c r="K66" i="12"/>
  <c r="I66" i="12" s="1"/>
  <c r="K69" i="12"/>
  <c r="I69" i="12" s="1"/>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K60" i="12" s="1"/>
  <c r="I60" i="12" s="1"/>
  <c r="A61" i="12"/>
  <c r="J61" i="12" s="1"/>
  <c r="H61" i="12" s="1"/>
  <c r="A62" i="12"/>
  <c r="J62" i="12" s="1"/>
  <c r="H62" i="12" s="1"/>
  <c r="A63" i="12"/>
  <c r="K63" i="12" s="1"/>
  <c r="I63" i="12" s="1"/>
  <c r="A64" i="12"/>
  <c r="K64" i="12" s="1"/>
  <c r="I64" i="12" s="1"/>
  <c r="A65" i="12"/>
  <c r="J65" i="12" s="1"/>
  <c r="H65" i="12" s="1"/>
  <c r="A66" i="12"/>
  <c r="J66" i="12" s="1"/>
  <c r="H66" i="12" s="1"/>
  <c r="A67" i="12"/>
  <c r="K67" i="12" s="1"/>
  <c r="I67" i="12" s="1"/>
  <c r="A68" i="12"/>
  <c r="K68" i="12" s="1"/>
  <c r="I68" i="12" s="1"/>
  <c r="A69" i="12"/>
  <c r="J69" i="12" s="1"/>
  <c r="H69" i="12" s="1"/>
  <c r="K61" i="11"/>
  <c r="I61" i="11" s="1"/>
  <c r="K62" i="11"/>
  <c r="I62" i="11" s="1"/>
  <c r="K65" i="11"/>
  <c r="I65" i="11" s="1"/>
  <c r="K66" i="11"/>
  <c r="I66" i="11" s="1"/>
  <c r="K69" i="11"/>
  <c r="I69" i="11" s="1"/>
  <c r="J60" i="11"/>
  <c r="H60" i="11" s="1"/>
  <c r="J67" i="11"/>
  <c r="H67" i="11" s="1"/>
  <c r="J68" i="11"/>
  <c r="H68" i="11" s="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K60" i="11" s="1"/>
  <c r="I60" i="11" s="1"/>
  <c r="A61" i="11"/>
  <c r="J61" i="11" s="1"/>
  <c r="H61" i="11" s="1"/>
  <c r="A62" i="11"/>
  <c r="J62" i="11" s="1"/>
  <c r="H62" i="11" s="1"/>
  <c r="A63" i="11"/>
  <c r="K63" i="11" s="1"/>
  <c r="I63" i="11" s="1"/>
  <c r="A64" i="11"/>
  <c r="K64" i="11" s="1"/>
  <c r="I64" i="11" s="1"/>
  <c r="A65" i="11"/>
  <c r="J65" i="11" s="1"/>
  <c r="H65" i="11" s="1"/>
  <c r="A66" i="11"/>
  <c r="J66" i="11" s="1"/>
  <c r="H66" i="11" s="1"/>
  <c r="A67" i="11"/>
  <c r="K67" i="11" s="1"/>
  <c r="I67" i="11" s="1"/>
  <c r="A68" i="11"/>
  <c r="K68" i="11" s="1"/>
  <c r="I68" i="11" s="1"/>
  <c r="A69" i="11"/>
  <c r="J69" i="11" s="1"/>
  <c r="H69" i="11" s="1"/>
  <c r="C5" i="12"/>
  <c r="C4" i="12"/>
  <c r="O36" i="12" s="1"/>
  <c r="P36" i="12" s="1"/>
  <c r="C5" i="11"/>
  <c r="C4" i="11"/>
  <c r="AV4" i="5"/>
  <c r="AV5" i="5"/>
  <c r="AV6" i="5"/>
  <c r="AV7" i="5"/>
  <c r="AV8" i="5"/>
  <c r="AV9" i="5"/>
  <c r="AV10" i="5"/>
  <c r="AV11" i="5"/>
  <c r="AV12" i="5"/>
  <c r="AV13" i="5"/>
  <c r="AV14" i="5"/>
  <c r="AV15" i="5"/>
  <c r="AV16" i="5"/>
  <c r="AV17" i="5"/>
  <c r="AV18" i="5"/>
  <c r="AV19" i="5"/>
  <c r="AV20" i="5"/>
  <c r="AV21" i="5"/>
  <c r="AV22" i="5"/>
  <c r="AV23" i="5"/>
  <c r="AV24" i="5"/>
  <c r="AV25" i="5"/>
  <c r="AV26" i="5"/>
  <c r="AV27" i="5"/>
  <c r="AV28" i="5"/>
  <c r="AV29" i="5"/>
  <c r="AV30" i="5"/>
  <c r="AV31" i="5"/>
  <c r="AV32" i="5"/>
  <c r="AV33" i="5"/>
  <c r="AV34" i="5"/>
  <c r="AV35" i="5"/>
  <c r="AV36" i="5"/>
  <c r="AV37" i="5"/>
  <c r="AV38" i="5"/>
  <c r="AV39" i="5"/>
  <c r="AV40" i="5"/>
  <c r="AV41" i="5"/>
  <c r="AV42" i="5"/>
  <c r="AV43" i="5"/>
  <c r="AV44" i="5"/>
  <c r="AV45" i="5"/>
  <c r="AV46" i="5"/>
  <c r="AV47" i="5"/>
  <c r="AV48" i="5"/>
  <c r="AV49" i="5"/>
  <c r="AV50" i="5"/>
  <c r="AV51" i="5"/>
  <c r="AV52" i="5"/>
  <c r="AV53" i="5"/>
  <c r="AV54" i="5"/>
  <c r="AV55" i="5"/>
  <c r="AV56" i="5"/>
  <c r="AV57" i="5"/>
  <c r="AV58" i="5"/>
  <c r="AV59" i="5"/>
  <c r="AV60" i="5"/>
  <c r="AV61" i="5"/>
  <c r="AV62" i="5"/>
  <c r="AV63" i="5"/>
  <c r="AV64" i="5"/>
  <c r="AV65" i="5"/>
  <c r="AV66" i="5"/>
  <c r="AV67" i="5"/>
  <c r="AV68" i="5"/>
  <c r="AV69" i="5"/>
  <c r="AV70" i="5"/>
  <c r="AV71" i="5"/>
  <c r="AV72" i="5"/>
  <c r="AV73" i="5"/>
  <c r="AV74" i="5"/>
  <c r="AV75" i="5"/>
  <c r="AV76" i="5"/>
  <c r="AV77" i="5"/>
  <c r="AV78" i="5"/>
  <c r="AV79" i="5"/>
  <c r="AV80" i="5"/>
  <c r="AV81" i="5"/>
  <c r="AV82" i="5"/>
  <c r="AV83" i="5"/>
  <c r="AV84" i="5"/>
  <c r="AV85" i="5"/>
  <c r="AV86" i="5"/>
  <c r="AV87" i="5"/>
  <c r="AV88" i="5"/>
  <c r="AV89" i="5"/>
  <c r="AV90" i="5"/>
  <c r="AV91" i="5"/>
  <c r="AV92" i="5"/>
  <c r="AV93" i="5"/>
  <c r="AV94" i="5"/>
  <c r="AV95" i="5"/>
  <c r="AV96" i="5"/>
  <c r="AV97" i="5"/>
  <c r="AV98" i="5"/>
  <c r="AV99" i="5"/>
  <c r="AV100" i="5"/>
  <c r="AV101" i="5"/>
  <c r="AV102" i="5"/>
  <c r="AV103" i="5"/>
  <c r="AV104" i="5"/>
  <c r="AV105" i="5"/>
  <c r="AV106" i="5"/>
  <c r="AV107" i="5"/>
  <c r="AV108" i="5"/>
  <c r="AV109" i="5"/>
  <c r="AV110" i="5"/>
  <c r="AV111" i="5"/>
  <c r="AV112" i="5"/>
  <c r="AV113" i="5"/>
  <c r="AV114" i="5"/>
  <c r="AV115" i="5"/>
  <c r="AV116" i="5"/>
  <c r="AV117" i="5"/>
  <c r="AV118" i="5"/>
  <c r="AV119" i="5"/>
  <c r="AV120" i="5"/>
  <c r="AV121" i="5"/>
  <c r="AV122" i="5"/>
  <c r="AV123" i="5"/>
  <c r="AV124" i="5"/>
  <c r="AV125" i="5"/>
  <c r="AV126" i="5"/>
  <c r="AV127" i="5"/>
  <c r="AV128" i="5"/>
  <c r="AV129" i="5"/>
  <c r="AV130" i="5"/>
  <c r="AV131" i="5"/>
  <c r="AV132" i="5"/>
  <c r="AV133" i="5"/>
  <c r="AV134" i="5"/>
  <c r="AV135" i="5"/>
  <c r="AV136" i="5"/>
  <c r="AV137" i="5"/>
  <c r="AV138" i="5"/>
  <c r="AV139" i="5"/>
  <c r="AV140" i="5"/>
  <c r="AV141" i="5"/>
  <c r="AV142" i="5"/>
  <c r="AV143" i="5"/>
  <c r="AV144" i="5"/>
  <c r="AV145" i="5"/>
  <c r="AV146" i="5"/>
  <c r="AV147" i="5"/>
  <c r="AV148" i="5"/>
  <c r="AV149" i="5"/>
  <c r="AV150" i="5"/>
  <c r="AV151" i="5"/>
  <c r="AV152" i="5"/>
  <c r="AV153" i="5"/>
  <c r="AV154" i="5"/>
  <c r="AV155" i="5"/>
  <c r="AV156" i="5"/>
  <c r="AV157" i="5"/>
  <c r="AV158" i="5"/>
  <c r="AV159" i="5"/>
  <c r="AV160" i="5"/>
  <c r="AV161" i="5"/>
  <c r="AV162" i="5"/>
  <c r="AV163" i="5"/>
  <c r="AV164" i="5"/>
  <c r="AV165" i="5"/>
  <c r="AV166" i="5"/>
  <c r="AV167" i="5"/>
  <c r="AV168" i="5"/>
  <c r="AV169" i="5"/>
  <c r="AV170" i="5"/>
  <c r="AV171" i="5"/>
  <c r="AV172" i="5"/>
  <c r="AV173" i="5"/>
  <c r="AV174" i="5"/>
  <c r="AV175" i="5"/>
  <c r="AV176" i="5"/>
  <c r="AV177" i="5"/>
  <c r="AV178" i="5"/>
  <c r="AV179" i="5"/>
  <c r="AV180" i="5"/>
  <c r="AV181" i="5"/>
  <c r="AV182" i="5"/>
  <c r="AV183" i="5"/>
  <c r="AV184" i="5"/>
  <c r="AV185" i="5"/>
  <c r="AV186" i="5"/>
  <c r="AV187" i="5"/>
  <c r="AV188" i="5"/>
  <c r="AV189" i="5"/>
  <c r="AV190" i="5"/>
  <c r="AV191" i="5"/>
  <c r="AV192" i="5"/>
  <c r="AV193" i="5"/>
  <c r="AV194" i="5"/>
  <c r="AV195" i="5"/>
  <c r="AV196" i="5"/>
  <c r="AV197" i="5"/>
  <c r="AV198" i="5"/>
  <c r="AV199" i="5"/>
  <c r="AV200" i="5"/>
  <c r="AV201" i="5"/>
  <c r="AV202" i="5"/>
  <c r="AV203" i="5"/>
  <c r="AV204" i="5"/>
  <c r="AV205" i="5"/>
  <c r="AV206" i="5"/>
  <c r="AV207" i="5"/>
  <c r="AV208" i="5"/>
  <c r="AV209" i="5"/>
  <c r="AV210" i="5"/>
  <c r="AV211" i="5"/>
  <c r="AV212" i="5"/>
  <c r="AV213" i="5"/>
  <c r="AV214" i="5"/>
  <c r="AV215" i="5"/>
  <c r="AV216" i="5"/>
  <c r="AV217" i="5"/>
  <c r="AV218" i="5"/>
  <c r="AV219" i="5"/>
  <c r="AV220" i="5"/>
  <c r="AV221" i="5"/>
  <c r="AV222" i="5"/>
  <c r="AV223" i="5"/>
  <c r="AV224" i="5"/>
  <c r="AV225" i="5"/>
  <c r="AV226" i="5"/>
  <c r="AV227" i="5"/>
  <c r="AV228" i="5"/>
  <c r="AV229" i="5"/>
  <c r="AV230" i="5"/>
  <c r="AV231" i="5"/>
  <c r="AV232" i="5"/>
  <c r="AV233" i="5"/>
  <c r="AV234" i="5"/>
  <c r="AV235" i="5"/>
  <c r="AV236" i="5"/>
  <c r="AV237" i="5"/>
  <c r="AV238" i="5"/>
  <c r="AV239" i="5"/>
  <c r="AV240" i="5"/>
  <c r="AV241" i="5"/>
  <c r="AV242" i="5"/>
  <c r="AV243" i="5"/>
  <c r="AV244" i="5"/>
  <c r="AV245" i="5"/>
  <c r="AV246" i="5"/>
  <c r="AV247" i="5"/>
  <c r="AV248" i="5"/>
  <c r="AV249" i="5"/>
  <c r="AV250" i="5"/>
  <c r="AV251" i="5"/>
  <c r="AV252" i="5"/>
  <c r="AV253" i="5"/>
  <c r="AV254" i="5"/>
  <c r="AV255" i="5"/>
  <c r="AV256" i="5"/>
  <c r="AV257" i="5"/>
  <c r="AV258" i="5"/>
  <c r="AV259" i="5"/>
  <c r="AV260" i="5"/>
  <c r="AV261" i="5"/>
  <c r="AV262" i="5"/>
  <c r="AV263" i="5"/>
  <c r="AV264" i="5"/>
  <c r="AV265" i="5"/>
  <c r="AV266" i="5"/>
  <c r="AV267" i="5"/>
  <c r="AV268" i="5"/>
  <c r="AV269" i="5"/>
  <c r="AV270" i="5"/>
  <c r="AV271" i="5"/>
  <c r="AV272" i="5"/>
  <c r="AV273" i="5"/>
  <c r="AV274" i="5"/>
  <c r="AV275" i="5"/>
  <c r="AV276" i="5"/>
  <c r="AV277" i="5"/>
  <c r="AV278" i="5"/>
  <c r="AV279" i="5"/>
  <c r="AV280" i="5"/>
  <c r="AV281" i="5"/>
  <c r="AV282" i="5"/>
  <c r="AV283" i="5"/>
  <c r="AV284" i="5"/>
  <c r="AV285" i="5"/>
  <c r="AV286" i="5"/>
  <c r="AV287" i="5"/>
  <c r="AV288" i="5"/>
  <c r="AV289" i="5"/>
  <c r="AV290" i="5"/>
  <c r="AV291" i="5"/>
  <c r="AV292" i="5"/>
  <c r="AV293" i="5"/>
  <c r="AV294" i="5"/>
  <c r="AV295" i="5"/>
  <c r="AV296" i="5"/>
  <c r="AV297" i="5"/>
  <c r="AV298" i="5"/>
  <c r="AV299" i="5"/>
  <c r="AV300" i="5"/>
  <c r="AV301" i="5"/>
  <c r="AV302" i="5"/>
  <c r="AV303" i="5"/>
  <c r="AV304" i="5"/>
  <c r="AV305" i="5"/>
  <c r="AV306" i="5"/>
  <c r="AV307" i="5"/>
  <c r="AV308" i="5"/>
  <c r="AV309" i="5"/>
  <c r="AV310" i="5"/>
  <c r="AV311" i="5"/>
  <c r="AV312" i="5"/>
  <c r="AV313" i="5"/>
  <c r="AV314" i="5"/>
  <c r="AV315" i="5"/>
  <c r="AV316" i="5"/>
  <c r="AV317" i="5"/>
  <c r="AV318" i="5"/>
  <c r="AV319" i="5"/>
  <c r="AV320" i="5"/>
  <c r="AV321" i="5"/>
  <c r="AV322" i="5"/>
  <c r="AV323" i="5"/>
  <c r="AV324" i="5"/>
  <c r="AV325" i="5"/>
  <c r="AV326" i="5"/>
  <c r="AV327" i="5"/>
  <c r="AV328" i="5"/>
  <c r="AV329" i="5"/>
  <c r="AV330" i="5"/>
  <c r="AV331" i="5"/>
  <c r="AV332" i="5"/>
  <c r="AV333" i="5"/>
  <c r="AV334" i="5"/>
  <c r="AV335" i="5"/>
  <c r="AV336" i="5"/>
  <c r="AV337" i="5"/>
  <c r="AV338" i="5"/>
  <c r="AV339" i="5"/>
  <c r="AV340" i="5"/>
  <c r="AV341" i="5"/>
  <c r="AV342" i="5"/>
  <c r="AV343" i="5"/>
  <c r="AV344" i="5"/>
  <c r="AV345" i="5"/>
  <c r="AV346" i="5"/>
  <c r="AV347" i="5"/>
  <c r="AV348" i="5"/>
  <c r="AV349" i="5"/>
  <c r="AV350" i="5"/>
  <c r="AV351" i="5"/>
  <c r="AV352" i="5"/>
  <c r="AV353" i="5"/>
  <c r="AV354" i="5"/>
  <c r="AV355" i="5"/>
  <c r="AV356" i="5"/>
  <c r="AV357" i="5"/>
  <c r="AV358" i="5"/>
  <c r="AV359" i="5"/>
  <c r="AV360" i="5"/>
  <c r="AV361" i="5"/>
  <c r="AV362" i="5"/>
  <c r="AV363" i="5"/>
  <c r="AV364" i="5"/>
  <c r="AV365" i="5"/>
  <c r="AV366" i="5"/>
  <c r="AV367" i="5"/>
  <c r="AV368" i="5"/>
  <c r="AV369" i="5"/>
  <c r="AV370" i="5"/>
  <c r="AV371" i="5"/>
  <c r="AV372" i="5"/>
  <c r="AV373" i="5"/>
  <c r="AV374" i="5"/>
  <c r="AV375" i="5"/>
  <c r="AV376" i="5"/>
  <c r="AV377" i="5"/>
  <c r="AV378" i="5"/>
  <c r="AV379" i="5"/>
  <c r="AV380" i="5"/>
  <c r="AV381" i="5"/>
  <c r="AV382" i="5"/>
  <c r="AV383" i="5"/>
  <c r="AV384" i="5"/>
  <c r="AV385" i="5"/>
  <c r="AV386" i="5"/>
  <c r="AV387" i="5"/>
  <c r="AV388" i="5"/>
  <c r="AV389" i="5"/>
  <c r="AV390" i="5"/>
  <c r="AV391" i="5"/>
  <c r="AV392" i="5"/>
  <c r="AV393" i="5"/>
  <c r="AV394" i="5"/>
  <c r="AV395" i="5"/>
  <c r="AV396" i="5"/>
  <c r="AV397" i="5"/>
  <c r="AV398" i="5"/>
  <c r="AV399" i="5"/>
  <c r="AV400" i="5"/>
  <c r="AV401" i="5"/>
  <c r="AV402" i="5"/>
  <c r="AV403" i="5"/>
  <c r="AV404" i="5"/>
  <c r="AV405" i="5"/>
  <c r="AV406" i="5"/>
  <c r="AV407" i="5"/>
  <c r="AV408" i="5"/>
  <c r="AV409" i="5"/>
  <c r="AV410" i="5"/>
  <c r="AV411" i="5"/>
  <c r="AV412" i="5"/>
  <c r="AV413" i="5"/>
  <c r="AV414" i="5"/>
  <c r="AV415" i="5"/>
  <c r="AV416" i="5"/>
  <c r="AV417" i="5"/>
  <c r="AV418" i="5"/>
  <c r="AV419" i="5"/>
  <c r="AV420" i="5"/>
  <c r="AV421" i="5"/>
  <c r="AV422" i="5"/>
  <c r="AV423" i="5"/>
  <c r="AV424" i="5"/>
  <c r="AV425" i="5"/>
  <c r="AV426" i="5"/>
  <c r="AV427" i="5"/>
  <c r="AV428" i="5"/>
  <c r="AV429" i="5"/>
  <c r="AV430" i="5"/>
  <c r="AV431" i="5"/>
  <c r="AV432" i="5"/>
  <c r="AV433" i="5"/>
  <c r="AV434" i="5"/>
  <c r="AV435" i="5"/>
  <c r="AV436" i="5"/>
  <c r="AV437" i="5"/>
  <c r="AV438" i="5"/>
  <c r="AV439" i="5"/>
  <c r="AV440" i="5"/>
  <c r="AV441" i="5"/>
  <c r="AV442" i="5"/>
  <c r="AV443" i="5"/>
  <c r="AV444" i="5"/>
  <c r="AV445" i="5"/>
  <c r="AV446" i="5"/>
  <c r="AV447" i="5"/>
  <c r="AV448" i="5"/>
  <c r="AV449" i="5"/>
  <c r="AV450" i="5"/>
  <c r="AV451" i="5"/>
  <c r="AV452" i="5"/>
  <c r="AV453" i="5"/>
  <c r="AV454" i="5"/>
  <c r="AV455" i="5"/>
  <c r="AV456" i="5"/>
  <c r="AV457" i="5"/>
  <c r="AV458" i="5"/>
  <c r="AV459" i="5"/>
  <c r="AV460" i="5"/>
  <c r="AV461" i="5"/>
  <c r="AV462" i="5"/>
  <c r="AV463" i="5"/>
  <c r="AV464" i="5"/>
  <c r="AV465" i="5"/>
  <c r="AV466" i="5"/>
  <c r="AV467" i="5"/>
  <c r="AV468" i="5"/>
  <c r="AV469" i="5"/>
  <c r="AV470" i="5"/>
  <c r="AV471" i="5"/>
  <c r="AV472" i="5"/>
  <c r="AV473" i="5"/>
  <c r="AV474" i="5"/>
  <c r="AV475" i="5"/>
  <c r="AV476" i="5"/>
  <c r="AV477" i="5"/>
  <c r="AV478" i="5"/>
  <c r="AV479" i="5"/>
  <c r="AV480" i="5"/>
  <c r="AV481" i="5"/>
  <c r="AV482" i="5"/>
  <c r="AV483" i="5"/>
  <c r="AV484" i="5"/>
  <c r="AV485" i="5"/>
  <c r="AV486" i="5"/>
  <c r="AV487" i="5"/>
  <c r="AV488" i="5"/>
  <c r="AV489" i="5"/>
  <c r="AV490" i="5"/>
  <c r="AV491" i="5"/>
  <c r="AV492" i="5"/>
  <c r="AV493" i="5"/>
  <c r="AV494" i="5"/>
  <c r="AV495" i="5"/>
  <c r="AV496" i="5"/>
  <c r="AV497" i="5"/>
  <c r="AV498" i="5"/>
  <c r="AV499" i="5"/>
  <c r="AV500" i="5"/>
  <c r="AV501" i="5"/>
  <c r="AV502" i="5"/>
  <c r="AV503" i="5"/>
  <c r="V27" i="10"/>
  <c r="U27" i="10"/>
  <c r="R27" i="10"/>
  <c r="Q27" i="10"/>
  <c r="N27" i="10"/>
  <c r="M27" i="10"/>
  <c r="J27" i="10"/>
  <c r="I27" i="10"/>
  <c r="Z57" i="10"/>
  <c r="Z56" i="10"/>
  <c r="Z55" i="10"/>
  <c r="Z54" i="10"/>
  <c r="Z53" i="10"/>
  <c r="Z52" i="10"/>
  <c r="AA52" i="10" s="1"/>
  <c r="Q52" i="10" s="1"/>
  <c r="Z51" i="10"/>
  <c r="AA51" i="10" s="1"/>
  <c r="Z50" i="10"/>
  <c r="AA50" i="10" s="1"/>
  <c r="Z49" i="10"/>
  <c r="AA49" i="10" s="1"/>
  <c r="T49" i="10" s="1"/>
  <c r="Z48" i="10"/>
  <c r="AA48" i="10" s="1"/>
  <c r="M48" i="10" s="1"/>
  <c r="Z47" i="10"/>
  <c r="AA47" i="10" s="1"/>
  <c r="Z46" i="10"/>
  <c r="AA46" i="10" s="1"/>
  <c r="Z45" i="10"/>
  <c r="AA45" i="10" s="1"/>
  <c r="P45" i="10" s="1"/>
  <c r="Z44" i="10"/>
  <c r="AA44" i="10" s="1"/>
  <c r="Z43" i="10"/>
  <c r="AA43" i="10" s="1"/>
  <c r="Z42" i="10"/>
  <c r="AA42" i="10" s="1"/>
  <c r="Z41" i="10"/>
  <c r="AA41" i="10" s="1"/>
  <c r="L41" i="10" s="1"/>
  <c r="Z40" i="10"/>
  <c r="AA40" i="10" s="1"/>
  <c r="U40" i="10" s="1"/>
  <c r="Z39" i="10"/>
  <c r="AA39" i="10" s="1"/>
  <c r="Z38" i="10"/>
  <c r="AA38" i="10" s="1"/>
  <c r="Z37" i="10"/>
  <c r="AA37" i="10" s="1"/>
  <c r="T37" i="10" s="1"/>
  <c r="Z36" i="10"/>
  <c r="AA36" i="10" s="1"/>
  <c r="Q36" i="10" s="1"/>
  <c r="Z35" i="10"/>
  <c r="AA35" i="10" s="1"/>
  <c r="Z34" i="10"/>
  <c r="AA34" i="10" s="1"/>
  <c r="Z33" i="10"/>
  <c r="AA33" i="10" s="1"/>
  <c r="T33" i="10" s="1"/>
  <c r="Z32" i="10"/>
  <c r="AA32" i="10" s="1"/>
  <c r="M32" i="10" s="1"/>
  <c r="Z31" i="10"/>
  <c r="AA31" i="10" s="1"/>
  <c r="Z30" i="10"/>
  <c r="AA30" i="10" s="1"/>
  <c r="Z29" i="10"/>
  <c r="AA29" i="10" s="1"/>
  <c r="P29" i="10" s="1"/>
  <c r="Z28" i="10"/>
  <c r="AA28" i="10" s="1"/>
  <c r="D24" i="10"/>
  <c r="C8" i="10"/>
  <c r="B8" i="10"/>
  <c r="C5" i="10"/>
  <c r="C4" i="10"/>
  <c r="B6" i="10"/>
  <c r="A26" i="10" s="1"/>
  <c r="B5" i="10"/>
  <c r="B4" i="10"/>
  <c r="A45" i="9"/>
  <c r="O45" i="9" s="1"/>
  <c r="I45" i="9" s="1" a="1"/>
  <c r="I45" i="9" s="1"/>
  <c r="A44" i="9"/>
  <c r="O44" i="9" s="1"/>
  <c r="A43" i="9"/>
  <c r="O43" i="9" s="1"/>
  <c r="K43" i="9" s="1" a="1"/>
  <c r="K43" i="9" s="1"/>
  <c r="A42" i="9"/>
  <c r="O42" i="9" s="1"/>
  <c r="F42" i="9" s="1" a="1"/>
  <c r="F42" i="9" s="1"/>
  <c r="A41" i="9"/>
  <c r="O41" i="9" s="1"/>
  <c r="I41" i="9" s="1" a="1"/>
  <c r="I41" i="9" s="1"/>
  <c r="A40" i="9"/>
  <c r="O40" i="9" s="1"/>
  <c r="F40" i="9" s="1" a="1"/>
  <c r="F40" i="9" s="1"/>
  <c r="A39" i="9"/>
  <c r="O39" i="9" s="1"/>
  <c r="G39" i="9" s="1" a="1"/>
  <c r="G39" i="9" s="1"/>
  <c r="A38" i="9"/>
  <c r="O38" i="9" s="1"/>
  <c r="J38" i="9" s="1" a="1"/>
  <c r="J38" i="9" s="1"/>
  <c r="A37" i="9"/>
  <c r="O37" i="9" s="1"/>
  <c r="G37" i="9" s="1" a="1"/>
  <c r="G37" i="9" s="1"/>
  <c r="A36" i="9"/>
  <c r="O36" i="9" s="1"/>
  <c r="F36" i="9" s="1" a="1"/>
  <c r="F36" i="9" s="1"/>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B3" i="9"/>
  <c r="M10" i="8"/>
  <c r="Q10" i="8" s="1"/>
  <c r="M11" i="8"/>
  <c r="H11" i="8" s="1"/>
  <c r="M12" i="8"/>
  <c r="M13" i="8"/>
  <c r="E13" i="8" s="1"/>
  <c r="M14" i="8"/>
  <c r="Q14" i="8" s="1"/>
  <c r="M15" i="8"/>
  <c r="B15" i="8" s="1"/>
  <c r="M16" i="8"/>
  <c r="M17" i="8"/>
  <c r="M18" i="8"/>
  <c r="M19" i="8"/>
  <c r="H19" i="8" s="1"/>
  <c r="M20" i="8"/>
  <c r="M21" i="8"/>
  <c r="J21" i="8" s="1"/>
  <c r="M22" i="8"/>
  <c r="Q22" i="8" s="1"/>
  <c r="M23" i="8"/>
  <c r="G23" i="8" s="1"/>
  <c r="M24" i="8"/>
  <c r="M25" i="8"/>
  <c r="F25" i="8" s="1"/>
  <c r="M26" i="8"/>
  <c r="Q26" i="8" s="1"/>
  <c r="M27" i="8"/>
  <c r="E27" i="8" s="1"/>
  <c r="M28" i="8"/>
  <c r="B28" i="8" s="1"/>
  <c r="M29" i="8"/>
  <c r="I29" i="8" s="1"/>
  <c r="M30" i="8"/>
  <c r="M31" i="8"/>
  <c r="G31" i="8" s="1"/>
  <c r="M32" i="8"/>
  <c r="F32" i="8" s="1"/>
  <c r="M33" i="8"/>
  <c r="M34" i="8"/>
  <c r="Q34" i="8" s="1"/>
  <c r="M35" i="8"/>
  <c r="E35" i="8" s="1"/>
  <c r="M36" i="8"/>
  <c r="J36" i="8" s="1"/>
  <c r="M37" i="8"/>
  <c r="D37" i="8" s="1"/>
  <c r="M38" i="8"/>
  <c r="Q38" i="8" s="1"/>
  <c r="M39" i="8"/>
  <c r="G39" i="8" s="1"/>
  <c r="M40" i="8"/>
  <c r="D40" i="8" s="1"/>
  <c r="M41" i="8"/>
  <c r="J41" i="8" s="1"/>
  <c r="M42" i="8"/>
  <c r="M43" i="8"/>
  <c r="E43" i="8" s="1"/>
  <c r="M44" i="8"/>
  <c r="J44" i="8" s="1"/>
  <c r="M45" i="8"/>
  <c r="E45" i="8" s="1"/>
  <c r="M46" i="8"/>
  <c r="Q46" i="8" s="1"/>
  <c r="M47" i="8"/>
  <c r="G47" i="8" s="1"/>
  <c r="M48" i="8"/>
  <c r="B48" i="8" s="1"/>
  <c r="M49" i="8"/>
  <c r="A49" i="8" s="1"/>
  <c r="M50" i="8"/>
  <c r="Q50" i="8" s="1"/>
  <c r="M51" i="8"/>
  <c r="A51" i="8" s="1"/>
  <c r="AM51" i="8" s="1"/>
  <c r="M52" i="8"/>
  <c r="M53" i="8"/>
  <c r="M54" i="8"/>
  <c r="M55" i="8"/>
  <c r="C55" i="8" s="1"/>
  <c r="M56" i="8"/>
  <c r="D56" i="8" s="1"/>
  <c r="M57" i="8"/>
  <c r="C57" i="8" s="1"/>
  <c r="M58" i="8"/>
  <c r="Q58" i="8" s="1"/>
  <c r="M59" i="8"/>
  <c r="G59" i="8" s="1"/>
  <c r="M60" i="8"/>
  <c r="M61" i="8"/>
  <c r="I61" i="8" s="1"/>
  <c r="M62" i="8"/>
  <c r="Q62" i="8" s="1"/>
  <c r="M63" i="8"/>
  <c r="E63" i="8" s="1"/>
  <c r="M64" i="8"/>
  <c r="B64" i="8" s="1"/>
  <c r="M65" i="8"/>
  <c r="M66" i="8"/>
  <c r="M67" i="8"/>
  <c r="H67" i="8" s="1"/>
  <c r="M68" i="8"/>
  <c r="J68" i="8" s="1"/>
  <c r="M69" i="8"/>
  <c r="D69" i="8" s="1"/>
  <c r="M70" i="8"/>
  <c r="Q70" i="8" s="1"/>
  <c r="M71" i="8"/>
  <c r="H71" i="8" s="1"/>
  <c r="M72" i="8"/>
  <c r="M73" i="8"/>
  <c r="J73" i="8" s="1"/>
  <c r="M74" i="8"/>
  <c r="Q74" i="8" s="1"/>
  <c r="M75" i="8"/>
  <c r="D75" i="8" s="1"/>
  <c r="M76" i="8"/>
  <c r="J76" i="8" s="1"/>
  <c r="M77" i="8"/>
  <c r="E77" i="8" s="1"/>
  <c r="M78" i="8"/>
  <c r="Q78" i="8" s="1"/>
  <c r="M79" i="8"/>
  <c r="H79" i="8" s="1"/>
  <c r="M80" i="8"/>
  <c r="B80" i="8" s="1"/>
  <c r="M81" i="8"/>
  <c r="G81" i="8" s="1"/>
  <c r="M82" i="8"/>
  <c r="M83" i="8"/>
  <c r="H83" i="8" s="1"/>
  <c r="M84" i="8"/>
  <c r="F84" i="8" s="1"/>
  <c r="M85" i="8"/>
  <c r="F85" i="8" s="1"/>
  <c r="M86" i="8"/>
  <c r="Q86" i="8" s="1"/>
  <c r="M87" i="8"/>
  <c r="E87" i="8" s="1"/>
  <c r="M88" i="8"/>
  <c r="M89" i="8"/>
  <c r="H89" i="8" s="1"/>
  <c r="M90" i="8"/>
  <c r="Q90" i="8" s="1"/>
  <c r="M91" i="8"/>
  <c r="C91" i="8" s="1"/>
  <c r="M92" i="8"/>
  <c r="B92" i="8" s="1"/>
  <c r="M93" i="8"/>
  <c r="I93" i="8" s="1"/>
  <c r="M94" i="8"/>
  <c r="M95" i="8"/>
  <c r="H95" i="8" s="1"/>
  <c r="M96" i="8"/>
  <c r="B96" i="8" s="1"/>
  <c r="M97" i="8"/>
  <c r="C97" i="8" s="1"/>
  <c r="M98" i="8"/>
  <c r="Q98" i="8" s="1"/>
  <c r="M99" i="8"/>
  <c r="G99" i="8" s="1"/>
  <c r="M100" i="8"/>
  <c r="M101" i="8"/>
  <c r="D101" i="8" s="1"/>
  <c r="M102" i="8"/>
  <c r="M103" i="8"/>
  <c r="E103" i="8" s="1"/>
  <c r="M104" i="8"/>
  <c r="H104" i="8" s="1"/>
  <c r="M105" i="8"/>
  <c r="M106" i="8"/>
  <c r="M107" i="8"/>
  <c r="M108" i="8"/>
  <c r="M109" i="8"/>
  <c r="K10" i="8"/>
  <c r="L10" i="8" s="1"/>
  <c r="K11" i="8"/>
  <c r="L11" i="8" s="1"/>
  <c r="K12" i="8"/>
  <c r="L12" i="8" s="1"/>
  <c r="K13" i="8"/>
  <c r="L13" i="8" s="1"/>
  <c r="K14" i="8"/>
  <c r="L14" i="8" s="1"/>
  <c r="K15" i="8"/>
  <c r="L15" i="8" s="1"/>
  <c r="K16" i="8"/>
  <c r="L16" i="8" s="1"/>
  <c r="K17" i="8"/>
  <c r="L17" i="8" s="1"/>
  <c r="K18" i="8"/>
  <c r="L18" i="8" s="1"/>
  <c r="K19" i="8"/>
  <c r="L19" i="8" s="1"/>
  <c r="K20" i="8"/>
  <c r="L20" i="8" s="1"/>
  <c r="K21" i="8"/>
  <c r="L21" i="8" s="1"/>
  <c r="K22" i="8"/>
  <c r="L22" i="8" s="1"/>
  <c r="K23" i="8"/>
  <c r="L23" i="8" s="1"/>
  <c r="K24" i="8"/>
  <c r="L24" i="8" s="1"/>
  <c r="K25" i="8"/>
  <c r="L25" i="8" s="1"/>
  <c r="K26" i="8"/>
  <c r="L26" i="8" s="1"/>
  <c r="K27" i="8"/>
  <c r="L27" i="8" s="1"/>
  <c r="K28" i="8"/>
  <c r="L28" i="8" s="1"/>
  <c r="K29" i="8"/>
  <c r="L29" i="8" s="1"/>
  <c r="K30" i="8"/>
  <c r="L30" i="8" s="1"/>
  <c r="K31" i="8"/>
  <c r="L31" i="8" s="1"/>
  <c r="K32" i="8"/>
  <c r="L32" i="8" s="1"/>
  <c r="K33" i="8"/>
  <c r="L33" i="8" s="1"/>
  <c r="K34" i="8"/>
  <c r="L34" i="8" s="1"/>
  <c r="K35" i="8"/>
  <c r="L35" i="8" s="1"/>
  <c r="K36" i="8"/>
  <c r="L36" i="8" s="1"/>
  <c r="K37" i="8"/>
  <c r="L37" i="8" s="1"/>
  <c r="K38" i="8"/>
  <c r="L38" i="8" s="1"/>
  <c r="K39" i="8"/>
  <c r="L39" i="8" s="1"/>
  <c r="K40" i="8"/>
  <c r="L40" i="8" s="1"/>
  <c r="K41" i="8"/>
  <c r="L41" i="8" s="1"/>
  <c r="K42" i="8"/>
  <c r="L42" i="8" s="1"/>
  <c r="K43" i="8"/>
  <c r="L43" i="8" s="1"/>
  <c r="K44" i="8"/>
  <c r="L44" i="8" s="1"/>
  <c r="K45" i="8"/>
  <c r="L45" i="8" s="1"/>
  <c r="K46" i="8"/>
  <c r="L46" i="8" s="1"/>
  <c r="K47" i="8"/>
  <c r="L47" i="8" s="1"/>
  <c r="K48" i="8"/>
  <c r="L48" i="8" s="1"/>
  <c r="K49" i="8"/>
  <c r="L49" i="8" s="1"/>
  <c r="K50" i="8"/>
  <c r="L50" i="8" s="1"/>
  <c r="K51" i="8"/>
  <c r="L51" i="8" s="1"/>
  <c r="K52" i="8"/>
  <c r="L52" i="8" s="1"/>
  <c r="K53" i="8"/>
  <c r="L53" i="8" s="1"/>
  <c r="K54" i="8"/>
  <c r="L54" i="8" s="1"/>
  <c r="K55" i="8"/>
  <c r="L55" i="8" s="1"/>
  <c r="K56" i="8"/>
  <c r="L56" i="8" s="1"/>
  <c r="K57" i="8"/>
  <c r="L57" i="8" s="1"/>
  <c r="K58" i="8"/>
  <c r="L58" i="8" s="1"/>
  <c r="K59" i="8"/>
  <c r="L59" i="8" s="1"/>
  <c r="K60" i="8"/>
  <c r="L60" i="8" s="1"/>
  <c r="K61" i="8"/>
  <c r="L61" i="8" s="1"/>
  <c r="K62" i="8"/>
  <c r="L62" i="8" s="1"/>
  <c r="K63" i="8"/>
  <c r="L63" i="8" s="1"/>
  <c r="K64" i="8"/>
  <c r="L64" i="8" s="1"/>
  <c r="K65" i="8"/>
  <c r="L65" i="8" s="1"/>
  <c r="K66" i="8"/>
  <c r="L66" i="8" s="1"/>
  <c r="K67" i="8"/>
  <c r="L67" i="8" s="1"/>
  <c r="K68" i="8"/>
  <c r="L68" i="8" s="1"/>
  <c r="K69" i="8"/>
  <c r="L69" i="8" s="1"/>
  <c r="K70" i="8"/>
  <c r="L70" i="8" s="1"/>
  <c r="K71" i="8"/>
  <c r="L71" i="8" s="1"/>
  <c r="K72" i="8"/>
  <c r="L72" i="8" s="1"/>
  <c r="K73" i="8"/>
  <c r="L73" i="8" s="1"/>
  <c r="K74" i="8"/>
  <c r="L74" i="8" s="1"/>
  <c r="K75" i="8"/>
  <c r="L75" i="8" s="1"/>
  <c r="K76" i="8"/>
  <c r="L76" i="8" s="1"/>
  <c r="K77" i="8"/>
  <c r="L77" i="8" s="1"/>
  <c r="K78" i="8"/>
  <c r="L78" i="8" s="1"/>
  <c r="K79" i="8"/>
  <c r="L79" i="8" s="1"/>
  <c r="K80" i="8"/>
  <c r="L80" i="8" s="1"/>
  <c r="K81" i="8"/>
  <c r="L81" i="8" s="1"/>
  <c r="K82" i="8"/>
  <c r="L82" i="8" s="1"/>
  <c r="K83" i="8"/>
  <c r="L83" i="8" s="1"/>
  <c r="K84" i="8"/>
  <c r="L84" i="8" s="1"/>
  <c r="K85" i="8"/>
  <c r="L85" i="8" s="1"/>
  <c r="K86" i="8"/>
  <c r="L86" i="8" s="1"/>
  <c r="K87" i="8"/>
  <c r="L87" i="8" s="1"/>
  <c r="K88" i="8"/>
  <c r="L88" i="8" s="1"/>
  <c r="K89" i="8"/>
  <c r="L89" i="8" s="1"/>
  <c r="K90" i="8"/>
  <c r="L90" i="8" s="1"/>
  <c r="K91" i="8"/>
  <c r="L91" i="8" s="1"/>
  <c r="K92" i="8"/>
  <c r="L92" i="8" s="1"/>
  <c r="K93" i="8"/>
  <c r="L93" i="8" s="1"/>
  <c r="K94" i="8"/>
  <c r="L94" i="8" s="1"/>
  <c r="K95" i="8"/>
  <c r="L95" i="8" s="1"/>
  <c r="K96" i="8"/>
  <c r="L96" i="8" s="1"/>
  <c r="K97" i="8"/>
  <c r="L97" i="8" s="1"/>
  <c r="K98" i="8"/>
  <c r="L98" i="8" s="1"/>
  <c r="K99" i="8"/>
  <c r="L99" i="8" s="1"/>
  <c r="K100" i="8"/>
  <c r="L100" i="8" s="1"/>
  <c r="K101" i="8"/>
  <c r="L101" i="8" s="1"/>
  <c r="K102" i="8"/>
  <c r="L102" i="8" s="1"/>
  <c r="K103" i="8"/>
  <c r="L103" i="8" s="1"/>
  <c r="J13" i="8"/>
  <c r="J14" i="8"/>
  <c r="J22" i="8"/>
  <c r="J28" i="8"/>
  <c r="J33" i="8"/>
  <c r="J34" i="8"/>
  <c r="J46" i="8"/>
  <c r="J49" i="8"/>
  <c r="J50" i="8"/>
  <c r="J62" i="8"/>
  <c r="J65" i="8"/>
  <c r="J70" i="8"/>
  <c r="J78" i="8"/>
  <c r="J81" i="8"/>
  <c r="J82" i="8"/>
  <c r="J90" i="8"/>
  <c r="J97" i="8"/>
  <c r="J98" i="8"/>
  <c r="J101" i="8"/>
  <c r="I10" i="8"/>
  <c r="I13" i="8"/>
  <c r="I14" i="8"/>
  <c r="I21" i="8"/>
  <c r="I22" i="8"/>
  <c r="I26" i="8"/>
  <c r="I34" i="8"/>
  <c r="I37" i="8"/>
  <c r="I38" i="8"/>
  <c r="I46" i="8"/>
  <c r="I50" i="8"/>
  <c r="I53" i="8"/>
  <c r="I58" i="8"/>
  <c r="I62" i="8"/>
  <c r="I66" i="8"/>
  <c r="I69" i="8"/>
  <c r="I70" i="8"/>
  <c r="I74" i="8"/>
  <c r="I78" i="8"/>
  <c r="I85" i="8"/>
  <c r="I86" i="8"/>
  <c r="I90" i="8"/>
  <c r="I94" i="8"/>
  <c r="I101" i="8"/>
  <c r="I102" i="8"/>
  <c r="H10" i="8"/>
  <c r="H14" i="8"/>
  <c r="H15" i="8"/>
  <c r="H18" i="8"/>
  <c r="H22" i="8"/>
  <c r="H23" i="8"/>
  <c r="H25" i="8"/>
  <c r="H30" i="8"/>
  <c r="H31" i="8"/>
  <c r="H33" i="8"/>
  <c r="H38" i="8"/>
  <c r="H39" i="8"/>
  <c r="H46" i="8"/>
  <c r="H47" i="8"/>
  <c r="H49" i="8"/>
  <c r="H54" i="8"/>
  <c r="H55" i="8"/>
  <c r="H61" i="8"/>
  <c r="H62" i="8"/>
  <c r="H63" i="8"/>
  <c r="H69" i="8"/>
  <c r="H70" i="8"/>
  <c r="H74" i="8"/>
  <c r="H82" i="8"/>
  <c r="H85" i="8"/>
  <c r="H86" i="8"/>
  <c r="H90" i="8"/>
  <c r="H94" i="8"/>
  <c r="H97" i="8"/>
  <c r="H102" i="8"/>
  <c r="H103" i="8"/>
  <c r="G14" i="8"/>
  <c r="G15" i="8"/>
  <c r="G21" i="8"/>
  <c r="G22" i="8"/>
  <c r="G26" i="8"/>
  <c r="G27" i="8"/>
  <c r="G30" i="8"/>
  <c r="G34" i="8"/>
  <c r="G35" i="8"/>
  <c r="G37" i="8"/>
  <c r="G42" i="8"/>
  <c r="G43" i="8"/>
  <c r="G50" i="8"/>
  <c r="G51" i="8"/>
  <c r="G53" i="8"/>
  <c r="G54" i="8"/>
  <c r="G55" i="8"/>
  <c r="G58" i="8"/>
  <c r="G62" i="8"/>
  <c r="G63" i="8"/>
  <c r="G66" i="8"/>
  <c r="G69" i="8"/>
  <c r="G70" i="8"/>
  <c r="G71" i="8"/>
  <c r="G78" i="8"/>
  <c r="G82" i="8"/>
  <c r="G90" i="8"/>
  <c r="G91" i="8"/>
  <c r="G98" i="8"/>
  <c r="G101" i="8"/>
  <c r="G102" i="8"/>
  <c r="F10" i="8"/>
  <c r="F13" i="8"/>
  <c r="F14" i="8"/>
  <c r="F21" i="8"/>
  <c r="F22" i="8"/>
  <c r="F26" i="8"/>
  <c r="F33" i="8"/>
  <c r="F34" i="8"/>
  <c r="F38" i="8"/>
  <c r="F40" i="8"/>
  <c r="F41" i="8"/>
  <c r="F42" i="8"/>
  <c r="F46" i="8"/>
  <c r="F54" i="8"/>
  <c r="F56" i="8"/>
  <c r="F58" i="8"/>
  <c r="F61" i="8"/>
  <c r="F62" i="8"/>
  <c r="F66" i="8"/>
  <c r="F70" i="8"/>
  <c r="F77" i="8"/>
  <c r="F78" i="8"/>
  <c r="F82" i="8"/>
  <c r="F90" i="8"/>
  <c r="F94" i="8"/>
  <c r="F97" i="8"/>
  <c r="F102" i="8"/>
  <c r="E10" i="8"/>
  <c r="E11" i="8"/>
  <c r="E18" i="8"/>
  <c r="E19" i="8"/>
  <c r="E25" i="8"/>
  <c r="E26" i="8"/>
  <c r="E30" i="8"/>
  <c r="E31" i="8"/>
  <c r="E34" i="8"/>
  <c r="E38" i="8"/>
  <c r="E39" i="8"/>
  <c r="E41" i="8"/>
  <c r="E46" i="8"/>
  <c r="E47" i="8"/>
  <c r="E54" i="8"/>
  <c r="E55" i="8"/>
  <c r="E57" i="8"/>
  <c r="E58" i="8"/>
  <c r="E59" i="8"/>
  <c r="E62" i="8"/>
  <c r="E66" i="8"/>
  <c r="E67" i="8"/>
  <c r="E70" i="8"/>
  <c r="E73" i="8"/>
  <c r="E74" i="8"/>
  <c r="E75" i="8"/>
  <c r="E82" i="8"/>
  <c r="E86" i="8"/>
  <c r="E94" i="8"/>
  <c r="E95" i="8"/>
  <c r="E102" i="8"/>
  <c r="D10" i="8"/>
  <c r="D14" i="8"/>
  <c r="D15" i="8"/>
  <c r="D18" i="8"/>
  <c r="D22" i="8"/>
  <c r="D23" i="8"/>
  <c r="D26" i="8"/>
  <c r="D30" i="8"/>
  <c r="D31" i="8"/>
  <c r="D34" i="8"/>
  <c r="D38" i="8"/>
  <c r="D39" i="8"/>
  <c r="D41" i="8"/>
  <c r="D46" i="8"/>
  <c r="D47" i="8"/>
  <c r="D54" i="8"/>
  <c r="D55" i="8"/>
  <c r="D57" i="8"/>
  <c r="D58" i="8"/>
  <c r="D59" i="8"/>
  <c r="D62" i="8"/>
  <c r="D66" i="8"/>
  <c r="D67" i="8"/>
  <c r="D70" i="8"/>
  <c r="D77" i="8"/>
  <c r="D78" i="8"/>
  <c r="D82" i="8"/>
  <c r="D90" i="8"/>
  <c r="D93" i="8"/>
  <c r="D94" i="8"/>
  <c r="D102" i="8"/>
  <c r="C10" i="8"/>
  <c r="C11" i="8"/>
  <c r="C18" i="8"/>
  <c r="C19" i="8"/>
  <c r="C21" i="8"/>
  <c r="C22" i="8"/>
  <c r="C23" i="8"/>
  <c r="C26" i="8"/>
  <c r="C30" i="8"/>
  <c r="C31" i="8"/>
  <c r="C34" i="8"/>
  <c r="C37" i="8"/>
  <c r="C38" i="8"/>
  <c r="C39" i="8"/>
  <c r="C46" i="8"/>
  <c r="C47" i="8"/>
  <c r="C53" i="8"/>
  <c r="C54" i="8"/>
  <c r="C58" i="8"/>
  <c r="C59" i="8"/>
  <c r="C62" i="8"/>
  <c r="C66" i="8"/>
  <c r="C67" i="8"/>
  <c r="C69" i="8"/>
  <c r="C74" i="8"/>
  <c r="C75" i="8"/>
  <c r="C82" i="8"/>
  <c r="C83" i="8"/>
  <c r="C85" i="8"/>
  <c r="C86" i="8"/>
  <c r="C89" i="8"/>
  <c r="C90" i="8"/>
  <c r="C93" i="8"/>
  <c r="C94" i="8"/>
  <c r="C95" i="8"/>
  <c r="C98" i="8"/>
  <c r="C101" i="8"/>
  <c r="C102" i="8"/>
  <c r="B12" i="8"/>
  <c r="B14" i="8"/>
  <c r="B16" i="8"/>
  <c r="B18" i="8"/>
  <c r="B19" i="8"/>
  <c r="B20" i="8"/>
  <c r="B22" i="8"/>
  <c r="B23" i="8"/>
  <c r="B24" i="8"/>
  <c r="B30" i="8"/>
  <c r="B31" i="8"/>
  <c r="B32" i="8"/>
  <c r="B34" i="8"/>
  <c r="B35" i="8"/>
  <c r="B36" i="8"/>
  <c r="B42" i="8"/>
  <c r="B46" i="8"/>
  <c r="B49" i="8"/>
  <c r="B53" i="8"/>
  <c r="B54" i="8"/>
  <c r="B57" i="8"/>
  <c r="B61" i="8"/>
  <c r="B62" i="8"/>
  <c r="B65" i="8"/>
  <c r="B68" i="8"/>
  <c r="B70" i="8"/>
  <c r="B74" i="8"/>
  <c r="B77" i="8"/>
  <c r="B78" i="8"/>
  <c r="B82" i="8"/>
  <c r="B85" i="8"/>
  <c r="B89" i="8"/>
  <c r="B90" i="8"/>
  <c r="B93" i="8"/>
  <c r="B97" i="8"/>
  <c r="B98" i="8"/>
  <c r="B100" i="8"/>
  <c r="A10" i="8"/>
  <c r="AM10" i="8" s="1"/>
  <c r="A11" i="8"/>
  <c r="AM11" i="8" s="1"/>
  <c r="A13" i="8"/>
  <c r="A14" i="8"/>
  <c r="AL14" i="8" s="1"/>
  <c r="A15" i="8"/>
  <c r="AL15" i="8" s="1"/>
  <c r="A17" i="8"/>
  <c r="A22" i="8"/>
  <c r="AL22" i="8" s="1"/>
  <c r="A23" i="8"/>
  <c r="AL23" i="8" s="1"/>
  <c r="A25" i="8"/>
  <c r="A26" i="8"/>
  <c r="AM26" i="8" s="1"/>
  <c r="A27" i="8"/>
  <c r="AM27" i="8" s="1"/>
  <c r="A30" i="8"/>
  <c r="AL30" i="8" s="1"/>
  <c r="A33" i="8"/>
  <c r="A34" i="8"/>
  <c r="AM34" i="8" s="1"/>
  <c r="A35" i="8"/>
  <c r="AM35" i="8" s="1"/>
  <c r="A42" i="8"/>
  <c r="AM42" i="8" s="1"/>
  <c r="A43" i="8"/>
  <c r="AM43" i="8" s="1"/>
  <c r="A45" i="8"/>
  <c r="A46" i="8"/>
  <c r="AL46" i="8" s="1"/>
  <c r="A47" i="8"/>
  <c r="AL47" i="8" s="1"/>
  <c r="A50" i="8"/>
  <c r="AM50" i="8" s="1"/>
  <c r="A54" i="8"/>
  <c r="AL54" i="8" s="1"/>
  <c r="A55" i="8"/>
  <c r="AL55" i="8" s="1"/>
  <c r="A57" i="8"/>
  <c r="A62" i="8"/>
  <c r="AL62" i="8" s="1"/>
  <c r="A63" i="8"/>
  <c r="AL63" i="8" s="1"/>
  <c r="A65" i="8"/>
  <c r="A66" i="8"/>
  <c r="AM66" i="8" s="1"/>
  <c r="A67" i="8"/>
  <c r="AM67" i="8" s="1"/>
  <c r="A70" i="8"/>
  <c r="AL70" i="8" s="1"/>
  <c r="A74" i="8"/>
  <c r="AM74" i="8" s="1"/>
  <c r="A75" i="8"/>
  <c r="AM75" i="8" s="1"/>
  <c r="A77" i="8"/>
  <c r="A82" i="8"/>
  <c r="AM82" i="8" s="1"/>
  <c r="A83" i="8"/>
  <c r="AM83" i="8" s="1"/>
  <c r="A85" i="8"/>
  <c r="A90" i="8"/>
  <c r="AM90" i="8" s="1"/>
  <c r="A91" i="8"/>
  <c r="AM91" i="8" s="1"/>
  <c r="A93" i="8"/>
  <c r="A94" i="8"/>
  <c r="AL94" i="8" s="1"/>
  <c r="A97" i="8"/>
  <c r="A98" i="8"/>
  <c r="AM98" i="8" s="1"/>
  <c r="A101" i="8"/>
  <c r="A102" i="8"/>
  <c r="AL102" i="8" s="1"/>
  <c r="A103" i="8"/>
  <c r="AL103" i="8" s="1"/>
  <c r="D3" i="8"/>
  <c r="C3" i="8"/>
  <c r="B3" i="8"/>
  <c r="A45" i="7"/>
  <c r="P45" i="7" s="1"/>
  <c r="A44" i="7"/>
  <c r="A43" i="7"/>
  <c r="P43" i="7" s="1"/>
  <c r="A42" i="7"/>
  <c r="A41" i="7"/>
  <c r="P41" i="7" s="1"/>
  <c r="A40" i="7"/>
  <c r="A39" i="7"/>
  <c r="P39" i="7" s="1"/>
  <c r="A38" i="7"/>
  <c r="B37" i="7" a="1"/>
  <c r="B37" i="7" s="1"/>
  <c r="A37" i="7"/>
  <c r="P37" i="7" s="1"/>
  <c r="A36" i="7"/>
  <c r="B35" i="7"/>
  <c r="B35" i="7" a="1"/>
  <c r="A35" i="7"/>
  <c r="A34" i="7"/>
  <c r="A33" i="7"/>
  <c r="A32" i="7"/>
  <c r="A31" i="7"/>
  <c r="B31" i="7" s="1" a="1"/>
  <c r="B31" i="7" s="1"/>
  <c r="A30" i="7"/>
  <c r="A29" i="7"/>
  <c r="A28" i="7"/>
  <c r="A27" i="7"/>
  <c r="A26" i="7"/>
  <c r="B25" i="7"/>
  <c r="A25" i="7"/>
  <c r="B25" i="7" s="1" a="1"/>
  <c r="A24" i="7"/>
  <c r="B24" i="7" s="1" a="1"/>
  <c r="B24" i="7" s="1"/>
  <c r="A23" i="7"/>
  <c r="A22" i="7"/>
  <c r="B22" i="7" s="1" a="1"/>
  <c r="B22" i="7" s="1"/>
  <c r="A21" i="7"/>
  <c r="A20" i="7"/>
  <c r="B20" i="7" s="1" a="1"/>
  <c r="B20" i="7" s="1"/>
  <c r="A19" i="7"/>
  <c r="A18" i="7"/>
  <c r="B18" i="7" s="1" a="1"/>
  <c r="B18" i="7" s="1"/>
  <c r="A17" i="7"/>
  <c r="B16" i="7" a="1"/>
  <c r="B16" i="7" s="1"/>
  <c r="A16" i="7"/>
  <c r="A15" i="7"/>
  <c r="A14" i="7"/>
  <c r="B14" i="7" s="1" a="1"/>
  <c r="B14" i="7" s="1"/>
  <c r="A13" i="7"/>
  <c r="A12" i="7"/>
  <c r="B12" i="7" s="1" a="1"/>
  <c r="B12" i="7" s="1"/>
  <c r="A11" i="7"/>
  <c r="A10" i="7"/>
  <c r="B10" i="7" s="1" a="1"/>
  <c r="B10" i="7" s="1"/>
  <c r="A9" i="7"/>
  <c r="A8" i="7"/>
  <c r="B8" i="7" s="1" a="1"/>
  <c r="B8" i="7" s="1"/>
  <c r="A7" i="7"/>
  <c r="B6" i="7" a="1"/>
  <c r="B6" i="7" s="1"/>
  <c r="A6" i="7"/>
  <c r="B3" i="7"/>
  <c r="C4" i="6"/>
  <c r="C20" i="6" s="1"/>
  <c r="AU503" i="5"/>
  <c r="AN503" i="5"/>
  <c r="AM503" i="5"/>
  <c r="AL503" i="5"/>
  <c r="AK503" i="5"/>
  <c r="AH503" i="5"/>
  <c r="AJ503" i="5" s="1"/>
  <c r="AG503" i="5"/>
  <c r="AF503" i="5"/>
  <c r="AE503" i="5"/>
  <c r="AD503" i="5"/>
  <c r="AB503" i="5"/>
  <c r="AC503" i="5" s="1"/>
  <c r="Z503" i="5"/>
  <c r="Y503" i="5"/>
  <c r="X503" i="5"/>
  <c r="W503" i="5"/>
  <c r="V503" i="5"/>
  <c r="U503" i="5"/>
  <c r="T503" i="5"/>
  <c r="S503" i="5"/>
  <c r="R503" i="5" a="1"/>
  <c r="R503" i="5" s="1"/>
  <c r="AU502" i="5"/>
  <c r="AN502" i="5"/>
  <c r="AM502" i="5"/>
  <c r="AL502" i="5"/>
  <c r="AK502" i="5"/>
  <c r="AH502" i="5"/>
  <c r="AJ502" i="5" s="1"/>
  <c r="AG502" i="5"/>
  <c r="AF502" i="5"/>
  <c r="AE502" i="5"/>
  <c r="AD502" i="5"/>
  <c r="AB502" i="5"/>
  <c r="AC502" i="5" s="1"/>
  <c r="Z502" i="5"/>
  <c r="Y502" i="5"/>
  <c r="X502" i="5"/>
  <c r="W502" i="5"/>
  <c r="V502" i="5"/>
  <c r="U502" i="5"/>
  <c r="T502" i="5"/>
  <c r="S502" i="5"/>
  <c r="AT502" i="5" s="1"/>
  <c r="R502" i="5" a="1"/>
  <c r="R502" i="5" s="1"/>
  <c r="AU501" i="5"/>
  <c r="AN501" i="5"/>
  <c r="AM501" i="5"/>
  <c r="AL501" i="5"/>
  <c r="AK501" i="5"/>
  <c r="AH501" i="5"/>
  <c r="AJ501" i="5" s="1"/>
  <c r="AG501" i="5"/>
  <c r="AF501" i="5"/>
  <c r="AE501" i="5"/>
  <c r="AD501" i="5"/>
  <c r="AB501" i="5"/>
  <c r="AC501" i="5" s="1"/>
  <c r="Z501" i="5"/>
  <c r="Y501" i="5"/>
  <c r="X501" i="5"/>
  <c r="W501" i="5"/>
  <c r="V501" i="5"/>
  <c r="U501" i="5"/>
  <c r="T501" i="5"/>
  <c r="S501" i="5"/>
  <c r="R501" i="5" a="1"/>
  <c r="R501" i="5" s="1"/>
  <c r="AU500" i="5"/>
  <c r="AN500" i="5"/>
  <c r="AM500" i="5"/>
  <c r="AL500" i="5"/>
  <c r="AK500" i="5"/>
  <c r="AH500" i="5"/>
  <c r="AJ500" i="5" s="1"/>
  <c r="AG500" i="5"/>
  <c r="AF500" i="5"/>
  <c r="AE500" i="5"/>
  <c r="AD500" i="5"/>
  <c r="AB500" i="5"/>
  <c r="AC500" i="5" s="1"/>
  <c r="Z500" i="5"/>
  <c r="Y500" i="5"/>
  <c r="X500" i="5"/>
  <c r="W500" i="5"/>
  <c r="V500" i="5"/>
  <c r="U500" i="5"/>
  <c r="T500" i="5"/>
  <c r="S500" i="5"/>
  <c r="R500" i="5" a="1"/>
  <c r="R500" i="5" s="1"/>
  <c r="AU499" i="5"/>
  <c r="AT499" i="5"/>
  <c r="AN499" i="5"/>
  <c r="AM499" i="5"/>
  <c r="AL499" i="5"/>
  <c r="AK499" i="5"/>
  <c r="AH499" i="5"/>
  <c r="AJ499" i="5" s="1"/>
  <c r="AG499" i="5"/>
  <c r="AF499" i="5"/>
  <c r="AE499" i="5"/>
  <c r="AD499" i="5"/>
  <c r="AB499" i="5"/>
  <c r="AC499" i="5" s="1"/>
  <c r="Z499" i="5"/>
  <c r="Y499" i="5"/>
  <c r="X499" i="5"/>
  <c r="W499" i="5"/>
  <c r="V499" i="5"/>
  <c r="U499" i="5"/>
  <c r="T499" i="5"/>
  <c r="S499" i="5"/>
  <c r="R499" i="5" a="1"/>
  <c r="R499" i="5" s="1"/>
  <c r="AU498" i="5"/>
  <c r="AN498" i="5"/>
  <c r="AM498" i="5"/>
  <c r="AL498" i="5"/>
  <c r="AK498" i="5"/>
  <c r="AH498" i="5"/>
  <c r="AJ498" i="5" s="1"/>
  <c r="AG498" i="5"/>
  <c r="AF498" i="5"/>
  <c r="AE498" i="5"/>
  <c r="AD498" i="5"/>
  <c r="AB498" i="5"/>
  <c r="AC498" i="5" s="1"/>
  <c r="Z498" i="5"/>
  <c r="Y498" i="5"/>
  <c r="X498" i="5"/>
  <c r="W498" i="5"/>
  <c r="V498" i="5"/>
  <c r="U498" i="5"/>
  <c r="T498" i="5"/>
  <c r="S498" i="5"/>
  <c r="AT498" i="5" s="1"/>
  <c r="R498" i="5" a="1"/>
  <c r="R498" i="5" s="1"/>
  <c r="AU497" i="5"/>
  <c r="AN497" i="5"/>
  <c r="AM497" i="5"/>
  <c r="AL497" i="5"/>
  <c r="AK497" i="5"/>
  <c r="AH497" i="5"/>
  <c r="AJ497" i="5" s="1"/>
  <c r="AG497" i="5"/>
  <c r="AF497" i="5"/>
  <c r="AE497" i="5"/>
  <c r="AD497" i="5"/>
  <c r="AB497" i="5"/>
  <c r="AC497" i="5" s="1"/>
  <c r="Z497" i="5"/>
  <c r="Y497" i="5"/>
  <c r="X497" i="5"/>
  <c r="W497" i="5"/>
  <c r="V497" i="5"/>
  <c r="U497" i="5"/>
  <c r="T497" i="5"/>
  <c r="S497" i="5"/>
  <c r="R497" i="5" a="1"/>
  <c r="R497" i="5" s="1"/>
  <c r="AU496" i="5"/>
  <c r="AN496" i="5"/>
  <c r="AM496" i="5"/>
  <c r="AL496" i="5"/>
  <c r="AK496" i="5"/>
  <c r="AH496" i="5"/>
  <c r="AJ496" i="5" s="1"/>
  <c r="AG496" i="5"/>
  <c r="AF496" i="5"/>
  <c r="AE496" i="5"/>
  <c r="AD496" i="5"/>
  <c r="AB496" i="5"/>
  <c r="AC496" i="5" s="1"/>
  <c r="Z496" i="5"/>
  <c r="Y496" i="5"/>
  <c r="X496" i="5"/>
  <c r="W496" i="5"/>
  <c r="V496" i="5"/>
  <c r="U496" i="5"/>
  <c r="T496" i="5"/>
  <c r="S496" i="5"/>
  <c r="R496" i="5" a="1"/>
  <c r="R496" i="5" s="1"/>
  <c r="AU495" i="5"/>
  <c r="AN495" i="5"/>
  <c r="AM495" i="5"/>
  <c r="AL495" i="5"/>
  <c r="AK495" i="5"/>
  <c r="AH495" i="5"/>
  <c r="AJ495" i="5" s="1"/>
  <c r="AG495" i="5"/>
  <c r="AF495" i="5"/>
  <c r="AE495" i="5"/>
  <c r="AD495" i="5"/>
  <c r="AB495" i="5"/>
  <c r="AC495" i="5" s="1"/>
  <c r="Z495" i="5"/>
  <c r="Y495" i="5"/>
  <c r="X495" i="5"/>
  <c r="W495" i="5"/>
  <c r="V495" i="5"/>
  <c r="U495" i="5"/>
  <c r="T495" i="5"/>
  <c r="S495" i="5"/>
  <c r="R495" i="5" a="1"/>
  <c r="R495" i="5" s="1"/>
  <c r="AU494" i="5"/>
  <c r="AN494" i="5"/>
  <c r="AM494" i="5"/>
  <c r="AL494" i="5"/>
  <c r="AK494" i="5"/>
  <c r="AH494" i="5"/>
  <c r="AJ494" i="5" s="1"/>
  <c r="AG494" i="5"/>
  <c r="AF494" i="5"/>
  <c r="AE494" i="5"/>
  <c r="AD494" i="5"/>
  <c r="AB494" i="5"/>
  <c r="AC494" i="5" s="1"/>
  <c r="Z494" i="5"/>
  <c r="Y494" i="5"/>
  <c r="X494" i="5"/>
  <c r="W494" i="5"/>
  <c r="V494" i="5"/>
  <c r="U494" i="5"/>
  <c r="T494" i="5"/>
  <c r="S494" i="5"/>
  <c r="AT494" i="5" s="1"/>
  <c r="R494" i="5" a="1"/>
  <c r="R494" i="5" s="1"/>
  <c r="AU493" i="5"/>
  <c r="AN493" i="5"/>
  <c r="AM493" i="5"/>
  <c r="AL493" i="5"/>
  <c r="AK493" i="5"/>
  <c r="AH493" i="5"/>
  <c r="AJ493" i="5" s="1"/>
  <c r="AG493" i="5"/>
  <c r="AF493" i="5"/>
  <c r="AE493" i="5"/>
  <c r="AD493" i="5"/>
  <c r="AB493" i="5"/>
  <c r="AC493" i="5" s="1"/>
  <c r="Z493" i="5"/>
  <c r="Y493" i="5"/>
  <c r="X493" i="5"/>
  <c r="W493" i="5"/>
  <c r="V493" i="5"/>
  <c r="U493" i="5"/>
  <c r="T493" i="5"/>
  <c r="S493" i="5"/>
  <c r="R493" i="5" a="1"/>
  <c r="R493" i="5" s="1"/>
  <c r="AU492" i="5"/>
  <c r="AN492" i="5"/>
  <c r="AM492" i="5"/>
  <c r="AL492" i="5"/>
  <c r="AK492" i="5"/>
  <c r="AH492" i="5"/>
  <c r="AJ492" i="5" s="1"/>
  <c r="AG492" i="5"/>
  <c r="AF492" i="5"/>
  <c r="AE492" i="5"/>
  <c r="AD492" i="5"/>
  <c r="AB492" i="5"/>
  <c r="AC492" i="5" s="1"/>
  <c r="Z492" i="5"/>
  <c r="Y492" i="5"/>
  <c r="X492" i="5"/>
  <c r="W492" i="5"/>
  <c r="V492" i="5"/>
  <c r="U492" i="5"/>
  <c r="T492" i="5"/>
  <c r="S492" i="5"/>
  <c r="R492" i="5" a="1"/>
  <c r="R492" i="5" s="1"/>
  <c r="AU491" i="5"/>
  <c r="AN491" i="5"/>
  <c r="AM491" i="5"/>
  <c r="AL491" i="5"/>
  <c r="AK491" i="5"/>
  <c r="AH491" i="5"/>
  <c r="AJ491" i="5" s="1"/>
  <c r="AG491" i="5"/>
  <c r="AF491" i="5"/>
  <c r="AE491" i="5"/>
  <c r="AD491" i="5"/>
  <c r="AB491" i="5"/>
  <c r="AC491" i="5" s="1"/>
  <c r="Z491" i="5"/>
  <c r="Y491" i="5"/>
  <c r="X491" i="5"/>
  <c r="W491" i="5"/>
  <c r="V491" i="5"/>
  <c r="U491" i="5"/>
  <c r="T491" i="5"/>
  <c r="S491" i="5"/>
  <c r="R491" i="5" a="1"/>
  <c r="R491" i="5" s="1"/>
  <c r="AU490" i="5"/>
  <c r="AN490" i="5"/>
  <c r="AM490" i="5"/>
  <c r="AL490" i="5"/>
  <c r="AK490" i="5"/>
  <c r="AH490" i="5"/>
  <c r="AJ490" i="5" s="1"/>
  <c r="AG490" i="5"/>
  <c r="AF490" i="5"/>
  <c r="AE490" i="5"/>
  <c r="AD490" i="5"/>
  <c r="AB490" i="5"/>
  <c r="AC490" i="5" s="1"/>
  <c r="Z490" i="5"/>
  <c r="Y490" i="5"/>
  <c r="X490" i="5"/>
  <c r="W490" i="5"/>
  <c r="V490" i="5"/>
  <c r="U490" i="5"/>
  <c r="T490" i="5"/>
  <c r="S490" i="5"/>
  <c r="AT490" i="5" s="1"/>
  <c r="R490" i="5" a="1"/>
  <c r="R490" i="5" s="1"/>
  <c r="AU489" i="5"/>
  <c r="AN489" i="5"/>
  <c r="AM489" i="5"/>
  <c r="AL489" i="5"/>
  <c r="AK489" i="5"/>
  <c r="AH489" i="5"/>
  <c r="AJ489" i="5" s="1"/>
  <c r="AG489" i="5"/>
  <c r="AF489" i="5"/>
  <c r="AE489" i="5"/>
  <c r="AD489" i="5"/>
  <c r="AB489" i="5"/>
  <c r="AC489" i="5" s="1"/>
  <c r="Z489" i="5"/>
  <c r="Y489" i="5"/>
  <c r="X489" i="5"/>
  <c r="W489" i="5"/>
  <c r="V489" i="5"/>
  <c r="U489" i="5"/>
  <c r="T489" i="5"/>
  <c r="S489" i="5"/>
  <c r="R489" i="5" a="1"/>
  <c r="R489" i="5" s="1"/>
  <c r="AU488" i="5"/>
  <c r="AN488" i="5"/>
  <c r="AM488" i="5"/>
  <c r="AL488" i="5"/>
  <c r="AK488" i="5"/>
  <c r="AH488" i="5"/>
  <c r="AJ488" i="5" s="1"/>
  <c r="AG488" i="5"/>
  <c r="AF488" i="5"/>
  <c r="AE488" i="5"/>
  <c r="AD488" i="5"/>
  <c r="AB488" i="5"/>
  <c r="AC488" i="5" s="1"/>
  <c r="Z488" i="5"/>
  <c r="Y488" i="5"/>
  <c r="X488" i="5"/>
  <c r="W488" i="5"/>
  <c r="V488" i="5"/>
  <c r="U488" i="5"/>
  <c r="T488" i="5"/>
  <c r="S488" i="5"/>
  <c r="R488" i="5" a="1"/>
  <c r="R488" i="5" s="1"/>
  <c r="AU487" i="5"/>
  <c r="AN487" i="5"/>
  <c r="AM487" i="5"/>
  <c r="AL487" i="5"/>
  <c r="AK487" i="5"/>
  <c r="AH487" i="5"/>
  <c r="AJ487" i="5" s="1"/>
  <c r="AG487" i="5"/>
  <c r="AF487" i="5"/>
  <c r="AE487" i="5"/>
  <c r="AD487" i="5"/>
  <c r="AB487" i="5"/>
  <c r="AC487" i="5" s="1"/>
  <c r="Z487" i="5"/>
  <c r="Y487" i="5"/>
  <c r="X487" i="5"/>
  <c r="W487" i="5"/>
  <c r="V487" i="5"/>
  <c r="U487" i="5"/>
  <c r="T487" i="5"/>
  <c r="S487" i="5"/>
  <c r="R487" i="5" a="1"/>
  <c r="R487" i="5" s="1"/>
  <c r="AU486" i="5"/>
  <c r="AN486" i="5"/>
  <c r="AM486" i="5"/>
  <c r="AL486" i="5"/>
  <c r="AK486" i="5"/>
  <c r="AH486" i="5"/>
  <c r="AJ486" i="5" s="1"/>
  <c r="AG486" i="5"/>
  <c r="AF486" i="5"/>
  <c r="AE486" i="5"/>
  <c r="AD486" i="5"/>
  <c r="AB486" i="5"/>
  <c r="AC486" i="5" s="1"/>
  <c r="Z486" i="5"/>
  <c r="Y486" i="5"/>
  <c r="X486" i="5"/>
  <c r="W486" i="5"/>
  <c r="V486" i="5"/>
  <c r="U486" i="5"/>
  <c r="T486" i="5"/>
  <c r="S486" i="5"/>
  <c r="AT486" i="5" s="1"/>
  <c r="R486" i="5" a="1"/>
  <c r="R486" i="5" s="1"/>
  <c r="AU485" i="5"/>
  <c r="AN485" i="5"/>
  <c r="AM485" i="5"/>
  <c r="AL485" i="5"/>
  <c r="AK485" i="5"/>
  <c r="AH485" i="5"/>
  <c r="AJ485" i="5" s="1"/>
  <c r="AG485" i="5"/>
  <c r="AF485" i="5"/>
  <c r="AE485" i="5"/>
  <c r="AD485" i="5"/>
  <c r="AB485" i="5"/>
  <c r="AC485" i="5" s="1"/>
  <c r="Z485" i="5"/>
  <c r="Y485" i="5"/>
  <c r="X485" i="5"/>
  <c r="W485" i="5"/>
  <c r="V485" i="5"/>
  <c r="U485" i="5"/>
  <c r="T485" i="5"/>
  <c r="S485" i="5"/>
  <c r="R485" i="5" a="1"/>
  <c r="R485" i="5" s="1"/>
  <c r="AU484" i="5"/>
  <c r="AN484" i="5"/>
  <c r="AM484" i="5"/>
  <c r="AL484" i="5"/>
  <c r="AK484" i="5"/>
  <c r="AH484" i="5"/>
  <c r="AJ484" i="5" s="1"/>
  <c r="AG484" i="5"/>
  <c r="AF484" i="5"/>
  <c r="AE484" i="5"/>
  <c r="AD484" i="5"/>
  <c r="AB484" i="5"/>
  <c r="AC484" i="5" s="1"/>
  <c r="Z484" i="5"/>
  <c r="Y484" i="5"/>
  <c r="X484" i="5"/>
  <c r="W484" i="5"/>
  <c r="V484" i="5"/>
  <c r="U484" i="5"/>
  <c r="T484" i="5"/>
  <c r="S484" i="5"/>
  <c r="R484" i="5" a="1"/>
  <c r="R484" i="5" s="1"/>
  <c r="AU483" i="5"/>
  <c r="AN483" i="5"/>
  <c r="AM483" i="5"/>
  <c r="AL483" i="5"/>
  <c r="AK483" i="5"/>
  <c r="AH483" i="5"/>
  <c r="AJ483" i="5" s="1"/>
  <c r="AG483" i="5"/>
  <c r="AF483" i="5"/>
  <c r="AE483" i="5"/>
  <c r="AD483" i="5"/>
  <c r="AB483" i="5"/>
  <c r="AC483" i="5" s="1"/>
  <c r="Z483" i="5"/>
  <c r="Y483" i="5"/>
  <c r="X483" i="5"/>
  <c r="W483" i="5"/>
  <c r="V483" i="5"/>
  <c r="U483" i="5"/>
  <c r="T483" i="5"/>
  <c r="S483" i="5"/>
  <c r="R483" i="5" a="1"/>
  <c r="R483" i="5" s="1"/>
  <c r="AU482" i="5"/>
  <c r="AN482" i="5"/>
  <c r="AM482" i="5"/>
  <c r="AL482" i="5"/>
  <c r="AK482" i="5"/>
  <c r="AH482" i="5"/>
  <c r="AJ482" i="5" s="1"/>
  <c r="AG482" i="5"/>
  <c r="AF482" i="5"/>
  <c r="AE482" i="5"/>
  <c r="AD482" i="5"/>
  <c r="AB482" i="5"/>
  <c r="AC482" i="5" s="1"/>
  <c r="Z482" i="5"/>
  <c r="Y482" i="5"/>
  <c r="X482" i="5"/>
  <c r="W482" i="5"/>
  <c r="V482" i="5"/>
  <c r="U482" i="5"/>
  <c r="T482" i="5"/>
  <c r="S482" i="5"/>
  <c r="AT482" i="5" s="1"/>
  <c r="R482" i="5" a="1"/>
  <c r="R482" i="5" s="1"/>
  <c r="AU481" i="5"/>
  <c r="AN481" i="5"/>
  <c r="AM481" i="5"/>
  <c r="AL481" i="5"/>
  <c r="AK481" i="5"/>
  <c r="AH481" i="5"/>
  <c r="AJ481" i="5" s="1"/>
  <c r="AG481" i="5"/>
  <c r="AF481" i="5"/>
  <c r="AE481" i="5"/>
  <c r="AD481" i="5"/>
  <c r="AB481" i="5"/>
  <c r="AC481" i="5" s="1"/>
  <c r="Z481" i="5"/>
  <c r="Y481" i="5"/>
  <c r="X481" i="5"/>
  <c r="W481" i="5"/>
  <c r="V481" i="5"/>
  <c r="U481" i="5"/>
  <c r="T481" i="5"/>
  <c r="S481" i="5"/>
  <c r="AT481" i="5" s="1"/>
  <c r="R481" i="5" a="1"/>
  <c r="R481" i="5" s="1"/>
  <c r="AU480" i="5"/>
  <c r="AN480" i="5"/>
  <c r="AM480" i="5"/>
  <c r="AL480" i="5"/>
  <c r="AK480" i="5"/>
  <c r="AH480" i="5"/>
  <c r="AJ480" i="5" s="1"/>
  <c r="AG480" i="5"/>
  <c r="AF480" i="5"/>
  <c r="AE480" i="5"/>
  <c r="AD480" i="5"/>
  <c r="AB480" i="5"/>
  <c r="AC480" i="5" s="1"/>
  <c r="Z480" i="5"/>
  <c r="Y480" i="5"/>
  <c r="X480" i="5"/>
  <c r="W480" i="5"/>
  <c r="V480" i="5"/>
  <c r="U480" i="5"/>
  <c r="T480" i="5"/>
  <c r="S480" i="5"/>
  <c r="R480" i="5" a="1"/>
  <c r="R480" i="5" s="1"/>
  <c r="AU479" i="5"/>
  <c r="AT479" i="5"/>
  <c r="AN479" i="5"/>
  <c r="AM479" i="5"/>
  <c r="AL479" i="5"/>
  <c r="AK479" i="5"/>
  <c r="AH479" i="5"/>
  <c r="AJ479" i="5" s="1"/>
  <c r="AG479" i="5"/>
  <c r="AF479" i="5"/>
  <c r="AE479" i="5"/>
  <c r="AD479" i="5"/>
  <c r="AB479" i="5"/>
  <c r="AC479" i="5" s="1"/>
  <c r="Z479" i="5"/>
  <c r="Y479" i="5"/>
  <c r="X479" i="5"/>
  <c r="W479" i="5"/>
  <c r="V479" i="5"/>
  <c r="U479" i="5"/>
  <c r="T479" i="5"/>
  <c r="S479" i="5"/>
  <c r="R479" i="5" a="1"/>
  <c r="R479" i="5" s="1"/>
  <c r="AU478" i="5"/>
  <c r="AN478" i="5"/>
  <c r="AM478" i="5"/>
  <c r="AL478" i="5"/>
  <c r="AK478" i="5"/>
  <c r="AH478" i="5"/>
  <c r="AJ478" i="5" s="1"/>
  <c r="AG478" i="5"/>
  <c r="AF478" i="5"/>
  <c r="AE478" i="5"/>
  <c r="AD478" i="5"/>
  <c r="AB478" i="5"/>
  <c r="AC478" i="5" s="1"/>
  <c r="Z478" i="5"/>
  <c r="Y478" i="5"/>
  <c r="X478" i="5"/>
  <c r="W478" i="5"/>
  <c r="V478" i="5"/>
  <c r="U478" i="5"/>
  <c r="T478" i="5"/>
  <c r="S478" i="5"/>
  <c r="AT478" i="5" s="1"/>
  <c r="R478" i="5" a="1"/>
  <c r="R478" i="5" s="1"/>
  <c r="AU477" i="5"/>
  <c r="AN477" i="5"/>
  <c r="AM477" i="5"/>
  <c r="AL477" i="5"/>
  <c r="AK477" i="5"/>
  <c r="AH477" i="5"/>
  <c r="AJ477" i="5" s="1"/>
  <c r="AG477" i="5"/>
  <c r="AF477" i="5"/>
  <c r="AE477" i="5"/>
  <c r="AD477" i="5"/>
  <c r="AB477" i="5"/>
  <c r="AC477" i="5" s="1"/>
  <c r="Z477" i="5"/>
  <c r="Y477" i="5"/>
  <c r="X477" i="5"/>
  <c r="W477" i="5"/>
  <c r="V477" i="5"/>
  <c r="U477" i="5"/>
  <c r="T477" i="5"/>
  <c r="S477" i="5"/>
  <c r="R477" i="5" a="1"/>
  <c r="R477" i="5" s="1"/>
  <c r="AU476" i="5"/>
  <c r="AN476" i="5"/>
  <c r="AM476" i="5"/>
  <c r="AL476" i="5"/>
  <c r="AK476" i="5"/>
  <c r="AH476" i="5"/>
  <c r="AJ476" i="5" s="1"/>
  <c r="AG476" i="5"/>
  <c r="AF476" i="5"/>
  <c r="AE476" i="5"/>
  <c r="AD476" i="5"/>
  <c r="AB476" i="5"/>
  <c r="AC476" i="5" s="1"/>
  <c r="Z476" i="5"/>
  <c r="Y476" i="5"/>
  <c r="X476" i="5"/>
  <c r="W476" i="5"/>
  <c r="V476" i="5"/>
  <c r="U476" i="5"/>
  <c r="T476" i="5"/>
  <c r="S476" i="5"/>
  <c r="R476" i="5" a="1"/>
  <c r="R476" i="5" s="1"/>
  <c r="AU475" i="5"/>
  <c r="AN475" i="5"/>
  <c r="AM475" i="5"/>
  <c r="AL475" i="5"/>
  <c r="AK475" i="5"/>
  <c r="AH475" i="5"/>
  <c r="AJ475" i="5" s="1"/>
  <c r="AG475" i="5"/>
  <c r="AF475" i="5"/>
  <c r="AE475" i="5"/>
  <c r="AD475" i="5"/>
  <c r="AB475" i="5"/>
  <c r="AC475" i="5" s="1"/>
  <c r="Z475" i="5"/>
  <c r="Y475" i="5"/>
  <c r="X475" i="5"/>
  <c r="W475" i="5"/>
  <c r="V475" i="5"/>
  <c r="U475" i="5"/>
  <c r="T475" i="5"/>
  <c r="S475" i="5"/>
  <c r="R475" i="5" a="1"/>
  <c r="R475" i="5" s="1"/>
  <c r="AU474" i="5"/>
  <c r="AN474" i="5"/>
  <c r="AM474" i="5"/>
  <c r="AL474" i="5"/>
  <c r="AK474" i="5"/>
  <c r="AH474" i="5"/>
  <c r="AJ474" i="5" s="1"/>
  <c r="AG474" i="5"/>
  <c r="AF474" i="5"/>
  <c r="AE474" i="5"/>
  <c r="AD474" i="5"/>
  <c r="AB474" i="5"/>
  <c r="AC474" i="5" s="1"/>
  <c r="Z474" i="5"/>
  <c r="Y474" i="5"/>
  <c r="X474" i="5"/>
  <c r="W474" i="5"/>
  <c r="V474" i="5"/>
  <c r="U474" i="5"/>
  <c r="T474" i="5"/>
  <c r="S474" i="5"/>
  <c r="AT474" i="5" s="1"/>
  <c r="R474" i="5" a="1"/>
  <c r="R474" i="5" s="1"/>
  <c r="AU473" i="5"/>
  <c r="AN473" i="5"/>
  <c r="AM473" i="5"/>
  <c r="AL473" i="5"/>
  <c r="AK473" i="5"/>
  <c r="AH473" i="5"/>
  <c r="AJ473" i="5" s="1"/>
  <c r="AG473" i="5"/>
  <c r="AF473" i="5"/>
  <c r="AE473" i="5"/>
  <c r="AD473" i="5"/>
  <c r="AB473" i="5"/>
  <c r="AC473" i="5" s="1"/>
  <c r="Z473" i="5"/>
  <c r="Y473" i="5"/>
  <c r="X473" i="5"/>
  <c r="W473" i="5"/>
  <c r="V473" i="5"/>
  <c r="U473" i="5"/>
  <c r="T473" i="5"/>
  <c r="S473" i="5"/>
  <c r="R473" i="5" a="1"/>
  <c r="R473" i="5" s="1"/>
  <c r="AU472" i="5"/>
  <c r="AN472" i="5"/>
  <c r="AM472" i="5"/>
  <c r="AL472" i="5"/>
  <c r="AK472" i="5"/>
  <c r="AH472" i="5"/>
  <c r="AJ472" i="5" s="1"/>
  <c r="AG472" i="5"/>
  <c r="AF472" i="5"/>
  <c r="AE472" i="5"/>
  <c r="AD472" i="5"/>
  <c r="AB472" i="5"/>
  <c r="AC472" i="5" s="1"/>
  <c r="Z472" i="5"/>
  <c r="Y472" i="5"/>
  <c r="X472" i="5"/>
  <c r="W472" i="5"/>
  <c r="V472" i="5"/>
  <c r="U472" i="5"/>
  <c r="T472" i="5"/>
  <c r="S472" i="5"/>
  <c r="AT472" i="5" s="1"/>
  <c r="R472" i="5" a="1"/>
  <c r="R472" i="5" s="1"/>
  <c r="AU471" i="5"/>
  <c r="AN471" i="5"/>
  <c r="AM471" i="5"/>
  <c r="AL471" i="5"/>
  <c r="AK471" i="5"/>
  <c r="AH471" i="5"/>
  <c r="AJ471" i="5" s="1"/>
  <c r="AG471" i="5"/>
  <c r="AF471" i="5"/>
  <c r="AE471" i="5"/>
  <c r="AD471" i="5"/>
  <c r="AB471" i="5"/>
  <c r="AC471" i="5" s="1"/>
  <c r="Z471" i="5"/>
  <c r="Y471" i="5"/>
  <c r="X471" i="5"/>
  <c r="W471" i="5"/>
  <c r="V471" i="5"/>
  <c r="U471" i="5"/>
  <c r="T471" i="5"/>
  <c r="S471" i="5"/>
  <c r="AT471" i="5" s="1"/>
  <c r="R471" i="5" a="1"/>
  <c r="R471" i="5" s="1"/>
  <c r="AU470" i="5"/>
  <c r="AN470" i="5"/>
  <c r="AM470" i="5"/>
  <c r="AL470" i="5"/>
  <c r="AK470" i="5"/>
  <c r="AH470" i="5"/>
  <c r="AJ470" i="5" s="1"/>
  <c r="AG470" i="5"/>
  <c r="AF470" i="5"/>
  <c r="AE470" i="5"/>
  <c r="AD470" i="5"/>
  <c r="AB470" i="5"/>
  <c r="AC470" i="5" s="1"/>
  <c r="Z470" i="5"/>
  <c r="Y470" i="5"/>
  <c r="X470" i="5"/>
  <c r="W470" i="5"/>
  <c r="V470" i="5"/>
  <c r="AS470" i="5" s="1"/>
  <c r="U470" i="5"/>
  <c r="T470" i="5"/>
  <c r="S470" i="5"/>
  <c r="AT470" i="5" s="1"/>
  <c r="R470" i="5" a="1"/>
  <c r="R470" i="5" s="1"/>
  <c r="AU469" i="5"/>
  <c r="AN469" i="5"/>
  <c r="AM469" i="5"/>
  <c r="AL469" i="5"/>
  <c r="AK469" i="5"/>
  <c r="AH469" i="5"/>
  <c r="AJ469" i="5" s="1"/>
  <c r="AG469" i="5"/>
  <c r="AF469" i="5"/>
  <c r="AE469" i="5"/>
  <c r="AD469" i="5"/>
  <c r="AB469" i="5"/>
  <c r="AC469" i="5" s="1"/>
  <c r="Z469" i="5"/>
  <c r="Y469" i="5"/>
  <c r="X469" i="5"/>
  <c r="W469" i="5"/>
  <c r="V469" i="5"/>
  <c r="U469" i="5"/>
  <c r="T469" i="5"/>
  <c r="S469" i="5"/>
  <c r="R469" i="5" a="1"/>
  <c r="R469" i="5" s="1"/>
  <c r="AU468" i="5"/>
  <c r="AN468" i="5"/>
  <c r="AM468" i="5"/>
  <c r="AL468" i="5"/>
  <c r="AK468" i="5"/>
  <c r="AH468" i="5"/>
  <c r="AJ468" i="5" s="1"/>
  <c r="AG468" i="5"/>
  <c r="AF468" i="5"/>
  <c r="AE468" i="5"/>
  <c r="AD468" i="5"/>
  <c r="AB468" i="5"/>
  <c r="AC468" i="5" s="1"/>
  <c r="Z468" i="5"/>
  <c r="Y468" i="5"/>
  <c r="X468" i="5"/>
  <c r="W468" i="5"/>
  <c r="V468" i="5"/>
  <c r="AS468" i="5" s="1"/>
  <c r="U468" i="5"/>
  <c r="T468" i="5"/>
  <c r="S468" i="5"/>
  <c r="R468" i="5" a="1"/>
  <c r="R468" i="5" s="1"/>
  <c r="AU467" i="5"/>
  <c r="AN467" i="5"/>
  <c r="AM467" i="5"/>
  <c r="AL467" i="5"/>
  <c r="AK467" i="5"/>
  <c r="AH467" i="5"/>
  <c r="AJ467" i="5" s="1"/>
  <c r="AG467" i="5"/>
  <c r="AF467" i="5"/>
  <c r="AE467" i="5"/>
  <c r="AD467" i="5"/>
  <c r="AB467" i="5"/>
  <c r="AC467" i="5" s="1"/>
  <c r="Z467" i="5"/>
  <c r="Y467" i="5"/>
  <c r="X467" i="5"/>
  <c r="W467" i="5"/>
  <c r="V467" i="5"/>
  <c r="U467" i="5"/>
  <c r="T467" i="5"/>
  <c r="S467" i="5"/>
  <c r="R467" i="5" a="1"/>
  <c r="R467" i="5" s="1"/>
  <c r="AU466" i="5"/>
  <c r="AN466" i="5"/>
  <c r="AM466" i="5"/>
  <c r="AL466" i="5"/>
  <c r="AK466" i="5"/>
  <c r="AH466" i="5"/>
  <c r="AJ466" i="5" s="1"/>
  <c r="AG466" i="5"/>
  <c r="AF466" i="5"/>
  <c r="AE466" i="5"/>
  <c r="AD466" i="5"/>
  <c r="AB466" i="5"/>
  <c r="AC466" i="5" s="1"/>
  <c r="Z466" i="5"/>
  <c r="Y466" i="5"/>
  <c r="X466" i="5"/>
  <c r="W466" i="5"/>
  <c r="V466" i="5"/>
  <c r="U466" i="5"/>
  <c r="T466" i="5"/>
  <c r="S466" i="5"/>
  <c r="AT466" i="5" s="1"/>
  <c r="R466" i="5" a="1"/>
  <c r="R466" i="5" s="1"/>
  <c r="AU465" i="5"/>
  <c r="AN465" i="5"/>
  <c r="AM465" i="5"/>
  <c r="AL465" i="5"/>
  <c r="AK465" i="5"/>
  <c r="AH465" i="5"/>
  <c r="AJ465" i="5" s="1"/>
  <c r="AG465" i="5"/>
  <c r="AF465" i="5"/>
  <c r="AE465" i="5"/>
  <c r="AD465" i="5"/>
  <c r="AB465" i="5"/>
  <c r="AC465" i="5" s="1"/>
  <c r="Z465" i="5"/>
  <c r="Y465" i="5"/>
  <c r="X465" i="5"/>
  <c r="W465" i="5"/>
  <c r="V465" i="5"/>
  <c r="U465" i="5"/>
  <c r="T465" i="5"/>
  <c r="S465" i="5"/>
  <c r="R465" i="5" a="1"/>
  <c r="R465" i="5" s="1"/>
  <c r="AU464" i="5"/>
  <c r="AN464" i="5"/>
  <c r="AM464" i="5"/>
  <c r="AL464" i="5"/>
  <c r="AK464" i="5"/>
  <c r="AH464" i="5"/>
  <c r="AJ464" i="5" s="1"/>
  <c r="AG464" i="5"/>
  <c r="AF464" i="5"/>
  <c r="AE464" i="5"/>
  <c r="AD464" i="5"/>
  <c r="AB464" i="5"/>
  <c r="AC464" i="5" s="1"/>
  <c r="Z464" i="5"/>
  <c r="Y464" i="5"/>
  <c r="X464" i="5"/>
  <c r="W464" i="5"/>
  <c r="V464" i="5"/>
  <c r="AS464" i="5" s="1"/>
  <c r="U464" i="5"/>
  <c r="T464" i="5"/>
  <c r="S464" i="5"/>
  <c r="R464" i="5" a="1"/>
  <c r="R464" i="5" s="1"/>
  <c r="AU463" i="5"/>
  <c r="AN463" i="5"/>
  <c r="AM463" i="5"/>
  <c r="AL463" i="5"/>
  <c r="AK463" i="5"/>
  <c r="AH463" i="5"/>
  <c r="AJ463" i="5" s="1"/>
  <c r="AG463" i="5"/>
  <c r="AF463" i="5"/>
  <c r="AE463" i="5"/>
  <c r="AD463" i="5"/>
  <c r="AB463" i="5"/>
  <c r="AC463" i="5" s="1"/>
  <c r="Z463" i="5"/>
  <c r="Y463" i="5"/>
  <c r="X463" i="5"/>
  <c r="W463" i="5"/>
  <c r="V463" i="5"/>
  <c r="U463" i="5"/>
  <c r="T463" i="5"/>
  <c r="S463" i="5"/>
  <c r="AT463" i="5" s="1"/>
  <c r="R463" i="5" a="1"/>
  <c r="R463" i="5" s="1"/>
  <c r="AU462" i="5"/>
  <c r="AN462" i="5"/>
  <c r="AM462" i="5"/>
  <c r="AL462" i="5"/>
  <c r="AK462" i="5"/>
  <c r="AH462" i="5"/>
  <c r="AJ462" i="5" s="1"/>
  <c r="AG462" i="5"/>
  <c r="AF462" i="5"/>
  <c r="AE462" i="5"/>
  <c r="AD462" i="5"/>
  <c r="AB462" i="5"/>
  <c r="AC462" i="5" s="1"/>
  <c r="Z462" i="5"/>
  <c r="Y462" i="5"/>
  <c r="X462" i="5"/>
  <c r="W462" i="5"/>
  <c r="V462" i="5"/>
  <c r="U462" i="5"/>
  <c r="T462" i="5"/>
  <c r="S462" i="5"/>
  <c r="AT462" i="5" s="1"/>
  <c r="R462" i="5" a="1"/>
  <c r="R462" i="5" s="1"/>
  <c r="AU461" i="5"/>
  <c r="AN461" i="5"/>
  <c r="AM461" i="5"/>
  <c r="AL461" i="5"/>
  <c r="AK461" i="5"/>
  <c r="AH461" i="5"/>
  <c r="AJ461" i="5" s="1"/>
  <c r="AG461" i="5"/>
  <c r="AF461" i="5"/>
  <c r="AE461" i="5"/>
  <c r="AD461" i="5"/>
  <c r="AB461" i="5"/>
  <c r="AC461" i="5" s="1"/>
  <c r="Z461" i="5"/>
  <c r="Y461" i="5"/>
  <c r="X461" i="5"/>
  <c r="W461" i="5"/>
  <c r="V461" i="5"/>
  <c r="U461" i="5"/>
  <c r="T461" i="5"/>
  <c r="S461" i="5"/>
  <c r="R461" i="5" a="1"/>
  <c r="R461" i="5" s="1"/>
  <c r="AU460" i="5"/>
  <c r="AN460" i="5"/>
  <c r="AM460" i="5"/>
  <c r="AL460" i="5"/>
  <c r="AK460" i="5"/>
  <c r="AH460" i="5"/>
  <c r="AJ460" i="5" s="1"/>
  <c r="AG460" i="5"/>
  <c r="AF460" i="5"/>
  <c r="AE460" i="5"/>
  <c r="AD460" i="5"/>
  <c r="AB460" i="5"/>
  <c r="AC460" i="5" s="1"/>
  <c r="Z460" i="5"/>
  <c r="Y460" i="5"/>
  <c r="X460" i="5"/>
  <c r="W460" i="5"/>
  <c r="V460" i="5"/>
  <c r="AS460" i="5" s="1"/>
  <c r="U460" i="5"/>
  <c r="T460" i="5"/>
  <c r="S460" i="5"/>
  <c r="R460" i="5" a="1"/>
  <c r="R460" i="5" s="1"/>
  <c r="AU459" i="5"/>
  <c r="AN459" i="5"/>
  <c r="AM459" i="5"/>
  <c r="AL459" i="5"/>
  <c r="AK459" i="5"/>
  <c r="AH459" i="5"/>
  <c r="AJ459" i="5" s="1"/>
  <c r="AG459" i="5"/>
  <c r="AF459" i="5"/>
  <c r="AE459" i="5"/>
  <c r="AD459" i="5"/>
  <c r="AB459" i="5"/>
  <c r="AC459" i="5" s="1"/>
  <c r="Z459" i="5"/>
  <c r="Y459" i="5"/>
  <c r="X459" i="5"/>
  <c r="W459" i="5"/>
  <c r="V459" i="5"/>
  <c r="U459" i="5"/>
  <c r="T459" i="5"/>
  <c r="S459" i="5"/>
  <c r="AT459" i="5" s="1"/>
  <c r="R459" i="5" a="1"/>
  <c r="R459" i="5" s="1"/>
  <c r="AU458" i="5"/>
  <c r="AN458" i="5"/>
  <c r="AM458" i="5"/>
  <c r="AL458" i="5"/>
  <c r="AK458" i="5"/>
  <c r="AH458" i="5"/>
  <c r="AJ458" i="5" s="1"/>
  <c r="AG458" i="5"/>
  <c r="AF458" i="5"/>
  <c r="AE458" i="5"/>
  <c r="AD458" i="5"/>
  <c r="AB458" i="5"/>
  <c r="AC458" i="5" s="1"/>
  <c r="Z458" i="5"/>
  <c r="Y458" i="5"/>
  <c r="X458" i="5"/>
  <c r="W458" i="5"/>
  <c r="V458" i="5"/>
  <c r="U458" i="5"/>
  <c r="T458" i="5"/>
  <c r="S458" i="5"/>
  <c r="AT458" i="5" s="1"/>
  <c r="R458" i="5" a="1"/>
  <c r="R458" i="5" s="1"/>
  <c r="AU457" i="5"/>
  <c r="AN457" i="5"/>
  <c r="AM457" i="5"/>
  <c r="AL457" i="5"/>
  <c r="AK457" i="5"/>
  <c r="AH457" i="5"/>
  <c r="AJ457" i="5" s="1"/>
  <c r="AG457" i="5"/>
  <c r="AF457" i="5"/>
  <c r="AE457" i="5"/>
  <c r="AD457" i="5"/>
  <c r="AB457" i="5"/>
  <c r="AC457" i="5" s="1"/>
  <c r="Z457" i="5"/>
  <c r="Y457" i="5"/>
  <c r="X457" i="5"/>
  <c r="W457" i="5"/>
  <c r="V457" i="5"/>
  <c r="AS457" i="5" s="1"/>
  <c r="U457" i="5"/>
  <c r="T457" i="5"/>
  <c r="S457" i="5"/>
  <c r="R457" i="5" a="1"/>
  <c r="R457" i="5" s="1"/>
  <c r="AU456" i="5"/>
  <c r="AN456" i="5"/>
  <c r="AM456" i="5"/>
  <c r="AL456" i="5"/>
  <c r="AK456" i="5"/>
  <c r="AH456" i="5"/>
  <c r="AJ456" i="5" s="1"/>
  <c r="AG456" i="5"/>
  <c r="AF456" i="5"/>
  <c r="AE456" i="5"/>
  <c r="AD456" i="5"/>
  <c r="AB456" i="5"/>
  <c r="AC456" i="5" s="1"/>
  <c r="Z456" i="5"/>
  <c r="Y456" i="5"/>
  <c r="X456" i="5"/>
  <c r="W456" i="5"/>
  <c r="V456" i="5"/>
  <c r="U456" i="5"/>
  <c r="T456" i="5"/>
  <c r="S456" i="5"/>
  <c r="R456" i="5" a="1"/>
  <c r="R456" i="5" s="1"/>
  <c r="AU455" i="5"/>
  <c r="AN455" i="5"/>
  <c r="AM455" i="5"/>
  <c r="AL455" i="5"/>
  <c r="AK455" i="5"/>
  <c r="AH455" i="5"/>
  <c r="AJ455" i="5" s="1"/>
  <c r="AG455" i="5"/>
  <c r="AF455" i="5"/>
  <c r="AE455" i="5"/>
  <c r="AD455" i="5"/>
  <c r="AB455" i="5"/>
  <c r="AC455" i="5" s="1"/>
  <c r="Z455" i="5"/>
  <c r="Y455" i="5"/>
  <c r="X455" i="5"/>
  <c r="W455" i="5"/>
  <c r="V455" i="5"/>
  <c r="U455" i="5"/>
  <c r="T455" i="5"/>
  <c r="S455" i="5"/>
  <c r="AT455" i="5" s="1"/>
  <c r="R455" i="5" a="1"/>
  <c r="R455" i="5" s="1"/>
  <c r="AU454" i="5"/>
  <c r="AN454" i="5"/>
  <c r="AM454" i="5"/>
  <c r="AL454" i="5"/>
  <c r="AK454" i="5"/>
  <c r="AH454" i="5"/>
  <c r="AJ454" i="5" s="1"/>
  <c r="AG454" i="5"/>
  <c r="AF454" i="5"/>
  <c r="AE454" i="5"/>
  <c r="AD454" i="5"/>
  <c r="AB454" i="5"/>
  <c r="AC454" i="5" s="1"/>
  <c r="Z454" i="5"/>
  <c r="Y454" i="5"/>
  <c r="X454" i="5"/>
  <c r="W454" i="5"/>
  <c r="V454" i="5"/>
  <c r="U454" i="5"/>
  <c r="T454" i="5"/>
  <c r="S454" i="5"/>
  <c r="AT454" i="5" s="1"/>
  <c r="R454" i="5" a="1"/>
  <c r="R454" i="5" s="1"/>
  <c r="AU453" i="5"/>
  <c r="AN453" i="5"/>
  <c r="AM453" i="5"/>
  <c r="AL453" i="5"/>
  <c r="AK453" i="5"/>
  <c r="AH453" i="5"/>
  <c r="AJ453" i="5" s="1"/>
  <c r="AG453" i="5"/>
  <c r="AF453" i="5"/>
  <c r="AE453" i="5"/>
  <c r="AD453" i="5"/>
  <c r="AB453" i="5"/>
  <c r="AC453" i="5" s="1"/>
  <c r="Z453" i="5"/>
  <c r="Y453" i="5"/>
  <c r="X453" i="5"/>
  <c r="W453" i="5"/>
  <c r="V453" i="5"/>
  <c r="U453" i="5"/>
  <c r="T453" i="5"/>
  <c r="S453" i="5"/>
  <c r="R453" i="5" a="1"/>
  <c r="R453" i="5" s="1"/>
  <c r="AU452" i="5"/>
  <c r="AN452" i="5"/>
  <c r="AM452" i="5"/>
  <c r="AL452" i="5"/>
  <c r="AK452" i="5"/>
  <c r="AH452" i="5"/>
  <c r="AJ452" i="5" s="1"/>
  <c r="AG452" i="5"/>
  <c r="AF452" i="5"/>
  <c r="AE452" i="5"/>
  <c r="AD452" i="5"/>
  <c r="AB452" i="5"/>
  <c r="AC452" i="5" s="1"/>
  <c r="Z452" i="5"/>
  <c r="Y452" i="5"/>
  <c r="X452" i="5"/>
  <c r="W452" i="5"/>
  <c r="V452" i="5"/>
  <c r="U452" i="5"/>
  <c r="T452" i="5"/>
  <c r="S452" i="5"/>
  <c r="R452" i="5" a="1"/>
  <c r="R452" i="5" s="1"/>
  <c r="AU451" i="5"/>
  <c r="AN451" i="5"/>
  <c r="AM451" i="5"/>
  <c r="AL451" i="5"/>
  <c r="AK451" i="5"/>
  <c r="AH451" i="5"/>
  <c r="AJ451" i="5" s="1"/>
  <c r="AG451" i="5"/>
  <c r="AF451" i="5"/>
  <c r="AE451" i="5"/>
  <c r="AD451" i="5"/>
  <c r="AB451" i="5"/>
  <c r="AC451" i="5" s="1"/>
  <c r="Z451" i="5"/>
  <c r="Y451" i="5"/>
  <c r="X451" i="5"/>
  <c r="W451" i="5"/>
  <c r="V451" i="5"/>
  <c r="U451" i="5"/>
  <c r="T451" i="5"/>
  <c r="S451" i="5"/>
  <c r="AT451" i="5" s="1"/>
  <c r="R451" i="5" a="1"/>
  <c r="R451" i="5" s="1"/>
  <c r="AU450" i="5"/>
  <c r="AN450" i="5"/>
  <c r="AM450" i="5"/>
  <c r="AL450" i="5"/>
  <c r="AK450" i="5"/>
  <c r="AH450" i="5"/>
  <c r="AJ450" i="5" s="1"/>
  <c r="AG450" i="5"/>
  <c r="AF450" i="5"/>
  <c r="AE450" i="5"/>
  <c r="AD450" i="5"/>
  <c r="AB450" i="5"/>
  <c r="AC450" i="5" s="1"/>
  <c r="Z450" i="5"/>
  <c r="Y450" i="5"/>
  <c r="X450" i="5"/>
  <c r="W450" i="5"/>
  <c r="V450" i="5"/>
  <c r="U450" i="5"/>
  <c r="T450" i="5"/>
  <c r="S450" i="5"/>
  <c r="AT450" i="5" s="1"/>
  <c r="R450" i="5" a="1"/>
  <c r="R450" i="5" s="1"/>
  <c r="AU449" i="5"/>
  <c r="AN449" i="5"/>
  <c r="AM449" i="5"/>
  <c r="AL449" i="5"/>
  <c r="AK449" i="5"/>
  <c r="AH449" i="5"/>
  <c r="AJ449" i="5" s="1"/>
  <c r="AG449" i="5"/>
  <c r="AF449" i="5"/>
  <c r="AE449" i="5"/>
  <c r="AD449" i="5"/>
  <c r="AB449" i="5"/>
  <c r="AC449" i="5" s="1"/>
  <c r="Z449" i="5"/>
  <c r="Y449" i="5"/>
  <c r="X449" i="5"/>
  <c r="W449" i="5"/>
  <c r="V449" i="5"/>
  <c r="U449" i="5"/>
  <c r="T449" i="5"/>
  <c r="S449" i="5"/>
  <c r="R449" i="5" a="1"/>
  <c r="R449" i="5" s="1"/>
  <c r="AU448" i="5"/>
  <c r="AN448" i="5"/>
  <c r="AM448" i="5"/>
  <c r="AL448" i="5"/>
  <c r="AK448" i="5"/>
  <c r="AH448" i="5"/>
  <c r="AJ448" i="5" s="1"/>
  <c r="AG448" i="5"/>
  <c r="AF448" i="5"/>
  <c r="AE448" i="5"/>
  <c r="AD448" i="5"/>
  <c r="AB448" i="5"/>
  <c r="AC448" i="5" s="1"/>
  <c r="Z448" i="5"/>
  <c r="Y448" i="5"/>
  <c r="X448" i="5"/>
  <c r="W448" i="5"/>
  <c r="V448" i="5"/>
  <c r="U448" i="5"/>
  <c r="T448" i="5"/>
  <c r="S448" i="5"/>
  <c r="R448" i="5" a="1"/>
  <c r="R448" i="5" s="1"/>
  <c r="AU447" i="5"/>
  <c r="AN447" i="5"/>
  <c r="AM447" i="5"/>
  <c r="AL447" i="5"/>
  <c r="AK447" i="5"/>
  <c r="AH447" i="5"/>
  <c r="AJ447" i="5" s="1"/>
  <c r="AG447" i="5"/>
  <c r="AF447" i="5"/>
  <c r="AE447" i="5"/>
  <c r="AD447" i="5"/>
  <c r="AB447" i="5"/>
  <c r="AC447" i="5" s="1"/>
  <c r="Z447" i="5"/>
  <c r="Y447" i="5"/>
  <c r="X447" i="5"/>
  <c r="W447" i="5"/>
  <c r="V447" i="5"/>
  <c r="U447" i="5"/>
  <c r="T447" i="5"/>
  <c r="S447" i="5"/>
  <c r="AT447" i="5" s="1"/>
  <c r="R447" i="5" a="1"/>
  <c r="R447" i="5" s="1"/>
  <c r="AU446" i="5"/>
  <c r="AN446" i="5"/>
  <c r="AM446" i="5"/>
  <c r="AL446" i="5"/>
  <c r="AK446" i="5"/>
  <c r="AH446" i="5"/>
  <c r="AJ446" i="5" s="1"/>
  <c r="AG446" i="5"/>
  <c r="AF446" i="5"/>
  <c r="AE446" i="5"/>
  <c r="AD446" i="5"/>
  <c r="AB446" i="5"/>
  <c r="AC446" i="5" s="1"/>
  <c r="Z446" i="5"/>
  <c r="Y446" i="5"/>
  <c r="X446" i="5"/>
  <c r="W446" i="5"/>
  <c r="V446" i="5"/>
  <c r="U446" i="5"/>
  <c r="T446" i="5"/>
  <c r="S446" i="5"/>
  <c r="AT446" i="5" s="1"/>
  <c r="R446" i="5" a="1"/>
  <c r="R446" i="5" s="1"/>
  <c r="AU445" i="5"/>
  <c r="AN445" i="5"/>
  <c r="AM445" i="5"/>
  <c r="AL445" i="5"/>
  <c r="AK445" i="5"/>
  <c r="AH445" i="5"/>
  <c r="AJ445" i="5" s="1"/>
  <c r="AG445" i="5"/>
  <c r="AF445" i="5"/>
  <c r="AE445" i="5"/>
  <c r="AD445" i="5"/>
  <c r="AB445" i="5"/>
  <c r="AC445" i="5" s="1"/>
  <c r="Z445" i="5"/>
  <c r="Y445" i="5"/>
  <c r="X445" i="5"/>
  <c r="W445" i="5"/>
  <c r="V445" i="5"/>
  <c r="U445" i="5"/>
  <c r="T445" i="5"/>
  <c r="S445" i="5"/>
  <c r="R445" i="5" a="1"/>
  <c r="R445" i="5" s="1"/>
  <c r="AU444" i="5"/>
  <c r="AN444" i="5"/>
  <c r="AM444" i="5"/>
  <c r="AL444" i="5"/>
  <c r="AK444" i="5"/>
  <c r="AH444" i="5"/>
  <c r="AJ444" i="5" s="1"/>
  <c r="AG444" i="5"/>
  <c r="AF444" i="5"/>
  <c r="AE444" i="5"/>
  <c r="AD444" i="5"/>
  <c r="AB444" i="5"/>
  <c r="AC444" i="5" s="1"/>
  <c r="Z444" i="5"/>
  <c r="Y444" i="5"/>
  <c r="X444" i="5"/>
  <c r="W444" i="5"/>
  <c r="V444" i="5"/>
  <c r="U444" i="5"/>
  <c r="T444" i="5"/>
  <c r="S444" i="5"/>
  <c r="R444" i="5" a="1"/>
  <c r="R444" i="5" s="1"/>
  <c r="AU443" i="5"/>
  <c r="AN443" i="5"/>
  <c r="AM443" i="5"/>
  <c r="AL443" i="5"/>
  <c r="AK443" i="5"/>
  <c r="AH443" i="5"/>
  <c r="AJ443" i="5" s="1"/>
  <c r="AG443" i="5"/>
  <c r="AF443" i="5"/>
  <c r="AE443" i="5"/>
  <c r="AD443" i="5"/>
  <c r="AB443" i="5"/>
  <c r="AC443" i="5" s="1"/>
  <c r="Z443" i="5"/>
  <c r="Y443" i="5"/>
  <c r="X443" i="5"/>
  <c r="W443" i="5"/>
  <c r="V443" i="5"/>
  <c r="U443" i="5"/>
  <c r="T443" i="5"/>
  <c r="S443" i="5"/>
  <c r="AT443" i="5" s="1"/>
  <c r="R443" i="5" a="1"/>
  <c r="R443" i="5" s="1"/>
  <c r="AU442" i="5"/>
  <c r="AN442" i="5"/>
  <c r="AM442" i="5"/>
  <c r="AL442" i="5"/>
  <c r="AK442" i="5"/>
  <c r="AH442" i="5"/>
  <c r="AJ442" i="5" s="1"/>
  <c r="AG442" i="5"/>
  <c r="AF442" i="5"/>
  <c r="AE442" i="5"/>
  <c r="AD442" i="5"/>
  <c r="AB442" i="5"/>
  <c r="AC442" i="5" s="1"/>
  <c r="Z442" i="5"/>
  <c r="Y442" i="5"/>
  <c r="X442" i="5"/>
  <c r="W442" i="5"/>
  <c r="V442" i="5"/>
  <c r="U442" i="5"/>
  <c r="T442" i="5"/>
  <c r="S442" i="5"/>
  <c r="R442" i="5" a="1"/>
  <c r="R442" i="5" s="1"/>
  <c r="AU441" i="5"/>
  <c r="AN441" i="5"/>
  <c r="AM441" i="5"/>
  <c r="AL441" i="5"/>
  <c r="AK441" i="5"/>
  <c r="AH441" i="5"/>
  <c r="AJ441" i="5" s="1"/>
  <c r="AG441" i="5"/>
  <c r="AF441" i="5"/>
  <c r="AE441" i="5"/>
  <c r="AD441" i="5"/>
  <c r="AB441" i="5"/>
  <c r="AC441" i="5" s="1"/>
  <c r="Z441" i="5"/>
  <c r="Y441" i="5"/>
  <c r="X441" i="5"/>
  <c r="W441" i="5"/>
  <c r="V441" i="5"/>
  <c r="U441" i="5"/>
  <c r="T441" i="5"/>
  <c r="S441" i="5"/>
  <c r="R441" i="5" a="1"/>
  <c r="R441" i="5" s="1"/>
  <c r="AU440" i="5"/>
  <c r="AN440" i="5"/>
  <c r="AM440" i="5"/>
  <c r="AL440" i="5"/>
  <c r="AK440" i="5"/>
  <c r="AH440" i="5"/>
  <c r="AJ440" i="5" s="1"/>
  <c r="AG440" i="5"/>
  <c r="AF440" i="5"/>
  <c r="AE440" i="5"/>
  <c r="AD440" i="5"/>
  <c r="AB440" i="5"/>
  <c r="AC440" i="5" s="1"/>
  <c r="Z440" i="5"/>
  <c r="Y440" i="5"/>
  <c r="X440" i="5"/>
  <c r="W440" i="5"/>
  <c r="V440" i="5"/>
  <c r="U440" i="5"/>
  <c r="T440" i="5"/>
  <c r="S440" i="5"/>
  <c r="R440" i="5" a="1"/>
  <c r="R440" i="5" s="1"/>
  <c r="AU439" i="5"/>
  <c r="AN439" i="5"/>
  <c r="AM439" i="5"/>
  <c r="AL439" i="5"/>
  <c r="AK439" i="5"/>
  <c r="AH439" i="5"/>
  <c r="AJ439" i="5" s="1"/>
  <c r="AG439" i="5"/>
  <c r="AF439" i="5"/>
  <c r="AE439" i="5"/>
  <c r="AD439" i="5"/>
  <c r="AB439" i="5"/>
  <c r="AC439" i="5" s="1"/>
  <c r="Z439" i="5"/>
  <c r="Y439" i="5"/>
  <c r="X439" i="5"/>
  <c r="W439" i="5"/>
  <c r="V439" i="5"/>
  <c r="U439" i="5"/>
  <c r="T439" i="5"/>
  <c r="S439" i="5"/>
  <c r="AT439" i="5" s="1"/>
  <c r="R439" i="5" a="1"/>
  <c r="R439" i="5" s="1"/>
  <c r="AU438" i="5"/>
  <c r="AN438" i="5"/>
  <c r="AM438" i="5"/>
  <c r="AL438" i="5"/>
  <c r="AK438" i="5"/>
  <c r="AH438" i="5"/>
  <c r="AJ438" i="5" s="1"/>
  <c r="AG438" i="5"/>
  <c r="AF438" i="5"/>
  <c r="AE438" i="5"/>
  <c r="AD438" i="5"/>
  <c r="AB438" i="5"/>
  <c r="AC438" i="5" s="1"/>
  <c r="Z438" i="5"/>
  <c r="Y438" i="5"/>
  <c r="X438" i="5"/>
  <c r="W438" i="5"/>
  <c r="AS438" i="5" s="1"/>
  <c r="V438" i="5"/>
  <c r="U438" i="5"/>
  <c r="T438" i="5"/>
  <c r="S438" i="5"/>
  <c r="R438" i="5" a="1"/>
  <c r="R438" i="5" s="1"/>
  <c r="AU437" i="5"/>
  <c r="AN437" i="5"/>
  <c r="AM437" i="5"/>
  <c r="AL437" i="5"/>
  <c r="AK437" i="5"/>
  <c r="AH437" i="5"/>
  <c r="AJ437" i="5" s="1"/>
  <c r="AG437" i="5"/>
  <c r="AF437" i="5"/>
  <c r="AE437" i="5"/>
  <c r="AD437" i="5"/>
  <c r="AB437" i="5"/>
  <c r="AC437" i="5" s="1"/>
  <c r="Z437" i="5"/>
  <c r="Y437" i="5"/>
  <c r="X437" i="5"/>
  <c r="W437" i="5"/>
  <c r="V437" i="5"/>
  <c r="U437" i="5"/>
  <c r="T437" i="5"/>
  <c r="S437" i="5"/>
  <c r="AT437" i="5" s="1"/>
  <c r="R437" i="5" a="1"/>
  <c r="R437" i="5" s="1"/>
  <c r="AU436" i="5"/>
  <c r="AN436" i="5"/>
  <c r="AM436" i="5"/>
  <c r="AL436" i="5"/>
  <c r="AK436" i="5"/>
  <c r="AH436" i="5"/>
  <c r="AJ436" i="5" s="1"/>
  <c r="AG436" i="5"/>
  <c r="AF436" i="5"/>
  <c r="AE436" i="5"/>
  <c r="AD436" i="5"/>
  <c r="AB436" i="5"/>
  <c r="AC436" i="5" s="1"/>
  <c r="Z436" i="5"/>
  <c r="Y436" i="5"/>
  <c r="X436" i="5"/>
  <c r="W436" i="5"/>
  <c r="V436" i="5"/>
  <c r="U436" i="5"/>
  <c r="T436" i="5"/>
  <c r="S436" i="5"/>
  <c r="R436" i="5" a="1"/>
  <c r="R436" i="5" s="1"/>
  <c r="AU435" i="5"/>
  <c r="AN435" i="5"/>
  <c r="AM435" i="5"/>
  <c r="AL435" i="5"/>
  <c r="AK435" i="5"/>
  <c r="AH435" i="5"/>
  <c r="AJ435" i="5" s="1"/>
  <c r="AG435" i="5"/>
  <c r="AF435" i="5"/>
  <c r="AE435" i="5"/>
  <c r="AD435" i="5"/>
  <c r="AB435" i="5"/>
  <c r="AC435" i="5" s="1"/>
  <c r="Z435" i="5"/>
  <c r="Y435" i="5"/>
  <c r="X435" i="5"/>
  <c r="W435" i="5"/>
  <c r="V435" i="5"/>
  <c r="U435" i="5"/>
  <c r="T435" i="5"/>
  <c r="S435" i="5"/>
  <c r="AT435" i="5" s="1"/>
  <c r="R435" i="5" a="1"/>
  <c r="R435" i="5" s="1"/>
  <c r="AU434" i="5"/>
  <c r="AN434" i="5"/>
  <c r="AM434" i="5"/>
  <c r="AL434" i="5"/>
  <c r="AK434" i="5"/>
  <c r="AH434" i="5"/>
  <c r="AJ434" i="5" s="1"/>
  <c r="AG434" i="5"/>
  <c r="AF434" i="5"/>
  <c r="AE434" i="5"/>
  <c r="AD434" i="5"/>
  <c r="AB434" i="5"/>
  <c r="AC434" i="5" s="1"/>
  <c r="Z434" i="5"/>
  <c r="Y434" i="5"/>
  <c r="X434" i="5"/>
  <c r="W434" i="5"/>
  <c r="V434" i="5"/>
  <c r="U434" i="5"/>
  <c r="T434" i="5"/>
  <c r="S434" i="5"/>
  <c r="AT434" i="5" s="1"/>
  <c r="R434" i="5" a="1"/>
  <c r="R434" i="5" s="1"/>
  <c r="AU433" i="5"/>
  <c r="AN433" i="5"/>
  <c r="AM433" i="5"/>
  <c r="AL433" i="5"/>
  <c r="AK433" i="5"/>
  <c r="AH433" i="5"/>
  <c r="AJ433" i="5" s="1"/>
  <c r="AG433" i="5"/>
  <c r="AF433" i="5"/>
  <c r="AE433" i="5"/>
  <c r="AD433" i="5"/>
  <c r="AB433" i="5"/>
  <c r="AC433" i="5" s="1"/>
  <c r="Z433" i="5"/>
  <c r="Y433" i="5"/>
  <c r="X433" i="5"/>
  <c r="W433" i="5"/>
  <c r="V433" i="5"/>
  <c r="U433" i="5"/>
  <c r="T433" i="5"/>
  <c r="S433" i="5"/>
  <c r="R433" i="5" a="1"/>
  <c r="R433" i="5" s="1"/>
  <c r="AU432" i="5"/>
  <c r="AN432" i="5"/>
  <c r="AM432" i="5"/>
  <c r="AL432" i="5"/>
  <c r="AK432" i="5"/>
  <c r="AH432" i="5"/>
  <c r="AJ432" i="5" s="1"/>
  <c r="AG432" i="5"/>
  <c r="AF432" i="5"/>
  <c r="AE432" i="5"/>
  <c r="AD432" i="5"/>
  <c r="AB432" i="5"/>
  <c r="AC432" i="5" s="1"/>
  <c r="Z432" i="5"/>
  <c r="Y432" i="5"/>
  <c r="X432" i="5"/>
  <c r="W432" i="5"/>
  <c r="V432" i="5"/>
  <c r="U432" i="5"/>
  <c r="T432" i="5"/>
  <c r="S432" i="5"/>
  <c r="R432" i="5" a="1"/>
  <c r="R432" i="5" s="1"/>
  <c r="AU431" i="5"/>
  <c r="AN431" i="5"/>
  <c r="AM431" i="5"/>
  <c r="AL431" i="5"/>
  <c r="AK431" i="5"/>
  <c r="AH431" i="5"/>
  <c r="AJ431" i="5" s="1"/>
  <c r="AG431" i="5"/>
  <c r="AF431" i="5"/>
  <c r="AE431" i="5"/>
  <c r="AD431" i="5"/>
  <c r="AB431" i="5"/>
  <c r="AC431" i="5" s="1"/>
  <c r="Z431" i="5"/>
  <c r="Y431" i="5"/>
  <c r="X431" i="5"/>
  <c r="W431" i="5"/>
  <c r="V431" i="5"/>
  <c r="U431" i="5"/>
  <c r="T431" i="5"/>
  <c r="S431" i="5"/>
  <c r="AT431" i="5" s="1"/>
  <c r="R431" i="5" a="1"/>
  <c r="R431" i="5" s="1"/>
  <c r="AU430" i="5"/>
  <c r="AN430" i="5"/>
  <c r="AM430" i="5"/>
  <c r="AL430" i="5"/>
  <c r="AK430" i="5"/>
  <c r="AH430" i="5"/>
  <c r="AJ430" i="5" s="1"/>
  <c r="AG430" i="5"/>
  <c r="AF430" i="5"/>
  <c r="AE430" i="5"/>
  <c r="AD430" i="5"/>
  <c r="AB430" i="5"/>
  <c r="AC430" i="5" s="1"/>
  <c r="Z430" i="5"/>
  <c r="Y430" i="5"/>
  <c r="X430" i="5"/>
  <c r="W430" i="5"/>
  <c r="V430" i="5"/>
  <c r="U430" i="5"/>
  <c r="T430" i="5"/>
  <c r="S430" i="5"/>
  <c r="AT430" i="5" s="1"/>
  <c r="R430" i="5" a="1"/>
  <c r="R430" i="5" s="1"/>
  <c r="AU429" i="5"/>
  <c r="AN429" i="5"/>
  <c r="AM429" i="5"/>
  <c r="AL429" i="5"/>
  <c r="AK429" i="5"/>
  <c r="AH429" i="5"/>
  <c r="AJ429" i="5" s="1"/>
  <c r="AG429" i="5"/>
  <c r="AF429" i="5"/>
  <c r="AE429" i="5"/>
  <c r="AD429" i="5"/>
  <c r="AB429" i="5"/>
  <c r="AC429" i="5" s="1"/>
  <c r="Z429" i="5"/>
  <c r="Y429" i="5"/>
  <c r="X429" i="5"/>
  <c r="W429" i="5"/>
  <c r="V429" i="5"/>
  <c r="U429" i="5"/>
  <c r="T429" i="5"/>
  <c r="S429" i="5"/>
  <c r="R429" i="5" a="1"/>
  <c r="R429" i="5" s="1"/>
  <c r="AU428" i="5"/>
  <c r="AN428" i="5"/>
  <c r="AM428" i="5"/>
  <c r="AL428" i="5"/>
  <c r="AK428" i="5"/>
  <c r="AH428" i="5"/>
  <c r="AJ428" i="5" s="1"/>
  <c r="AG428" i="5"/>
  <c r="AF428" i="5"/>
  <c r="AE428" i="5"/>
  <c r="AD428" i="5"/>
  <c r="AB428" i="5"/>
  <c r="AC428" i="5" s="1"/>
  <c r="Z428" i="5"/>
  <c r="Y428" i="5"/>
  <c r="X428" i="5"/>
  <c r="W428" i="5"/>
  <c r="V428" i="5"/>
  <c r="U428" i="5"/>
  <c r="T428" i="5"/>
  <c r="S428" i="5"/>
  <c r="R428" i="5" a="1"/>
  <c r="R428" i="5" s="1"/>
  <c r="AU427" i="5"/>
  <c r="AN427" i="5"/>
  <c r="AM427" i="5"/>
  <c r="AL427" i="5"/>
  <c r="AK427" i="5"/>
  <c r="AH427" i="5"/>
  <c r="AJ427" i="5" s="1"/>
  <c r="AG427" i="5"/>
  <c r="AF427" i="5"/>
  <c r="AE427" i="5"/>
  <c r="AD427" i="5"/>
  <c r="AB427" i="5"/>
  <c r="AC427" i="5" s="1"/>
  <c r="Z427" i="5"/>
  <c r="Y427" i="5"/>
  <c r="X427" i="5"/>
  <c r="W427" i="5"/>
  <c r="V427" i="5"/>
  <c r="U427" i="5"/>
  <c r="T427" i="5"/>
  <c r="S427" i="5"/>
  <c r="AT427" i="5" s="1"/>
  <c r="R427" i="5" a="1"/>
  <c r="R427" i="5" s="1"/>
  <c r="AU426" i="5"/>
  <c r="AN426" i="5"/>
  <c r="AM426" i="5"/>
  <c r="AL426" i="5"/>
  <c r="AK426" i="5"/>
  <c r="AH426" i="5"/>
  <c r="AJ426" i="5" s="1"/>
  <c r="AG426" i="5"/>
  <c r="AF426" i="5"/>
  <c r="AE426" i="5"/>
  <c r="AD426" i="5"/>
  <c r="AB426" i="5"/>
  <c r="AC426" i="5" s="1"/>
  <c r="Z426" i="5"/>
  <c r="Y426" i="5"/>
  <c r="X426" i="5"/>
  <c r="W426" i="5"/>
  <c r="V426" i="5"/>
  <c r="U426" i="5"/>
  <c r="T426" i="5"/>
  <c r="S426" i="5"/>
  <c r="R426" i="5" a="1"/>
  <c r="R426" i="5" s="1"/>
  <c r="AU425" i="5"/>
  <c r="AN425" i="5"/>
  <c r="AM425" i="5"/>
  <c r="AL425" i="5"/>
  <c r="AK425" i="5"/>
  <c r="AH425" i="5"/>
  <c r="AJ425" i="5" s="1"/>
  <c r="AG425" i="5"/>
  <c r="AF425" i="5"/>
  <c r="AE425" i="5"/>
  <c r="AD425" i="5"/>
  <c r="AB425" i="5"/>
  <c r="AC425" i="5" s="1"/>
  <c r="Z425" i="5"/>
  <c r="Y425" i="5"/>
  <c r="X425" i="5"/>
  <c r="W425" i="5"/>
  <c r="V425" i="5"/>
  <c r="U425" i="5"/>
  <c r="T425" i="5"/>
  <c r="S425" i="5"/>
  <c r="R425" i="5" a="1"/>
  <c r="R425" i="5" s="1"/>
  <c r="AU424" i="5"/>
  <c r="AN424" i="5"/>
  <c r="AM424" i="5"/>
  <c r="AL424" i="5"/>
  <c r="AK424" i="5"/>
  <c r="AH424" i="5"/>
  <c r="AJ424" i="5" s="1"/>
  <c r="AG424" i="5"/>
  <c r="AF424" i="5"/>
  <c r="AE424" i="5"/>
  <c r="AD424" i="5"/>
  <c r="AB424" i="5"/>
  <c r="AC424" i="5" s="1"/>
  <c r="Z424" i="5"/>
  <c r="Y424" i="5"/>
  <c r="X424" i="5"/>
  <c r="W424" i="5"/>
  <c r="V424" i="5"/>
  <c r="U424" i="5"/>
  <c r="T424" i="5"/>
  <c r="S424" i="5"/>
  <c r="AT424" i="5" s="1"/>
  <c r="R424" i="5" a="1"/>
  <c r="R424" i="5" s="1"/>
  <c r="AU423" i="5"/>
  <c r="AN423" i="5"/>
  <c r="AM423" i="5"/>
  <c r="AL423" i="5"/>
  <c r="AK423" i="5"/>
  <c r="AH423" i="5"/>
  <c r="AJ423" i="5" s="1"/>
  <c r="AG423" i="5"/>
  <c r="AF423" i="5"/>
  <c r="AE423" i="5"/>
  <c r="AD423" i="5"/>
  <c r="AB423" i="5"/>
  <c r="AC423" i="5" s="1"/>
  <c r="Z423" i="5"/>
  <c r="Y423" i="5"/>
  <c r="X423" i="5"/>
  <c r="W423" i="5"/>
  <c r="V423" i="5"/>
  <c r="U423" i="5"/>
  <c r="T423" i="5"/>
  <c r="S423" i="5"/>
  <c r="AT423" i="5" s="1"/>
  <c r="R423" i="5" a="1"/>
  <c r="R423" i="5" s="1"/>
  <c r="AU422" i="5"/>
  <c r="AN422" i="5"/>
  <c r="AM422" i="5"/>
  <c r="AL422" i="5"/>
  <c r="AK422" i="5"/>
  <c r="AH422" i="5"/>
  <c r="AJ422" i="5" s="1"/>
  <c r="AG422" i="5"/>
  <c r="AF422" i="5"/>
  <c r="AE422" i="5"/>
  <c r="AD422" i="5"/>
  <c r="AB422" i="5"/>
  <c r="AC422" i="5" s="1"/>
  <c r="Z422" i="5"/>
  <c r="Y422" i="5"/>
  <c r="X422" i="5"/>
  <c r="W422" i="5"/>
  <c r="V422" i="5"/>
  <c r="U422" i="5"/>
  <c r="T422" i="5"/>
  <c r="S422" i="5"/>
  <c r="R422" i="5" a="1"/>
  <c r="R422" i="5" s="1"/>
  <c r="AU421" i="5"/>
  <c r="AN421" i="5"/>
  <c r="AM421" i="5"/>
  <c r="AL421" i="5"/>
  <c r="AK421" i="5"/>
  <c r="AH421" i="5"/>
  <c r="AJ421" i="5" s="1"/>
  <c r="AG421" i="5"/>
  <c r="AF421" i="5"/>
  <c r="AE421" i="5"/>
  <c r="AD421" i="5"/>
  <c r="AB421" i="5"/>
  <c r="AC421" i="5" s="1"/>
  <c r="Z421" i="5"/>
  <c r="Y421" i="5"/>
  <c r="X421" i="5"/>
  <c r="W421" i="5"/>
  <c r="V421" i="5"/>
  <c r="U421" i="5"/>
  <c r="T421" i="5"/>
  <c r="S421" i="5"/>
  <c r="R421" i="5" a="1"/>
  <c r="R421" i="5" s="1"/>
  <c r="AU420" i="5"/>
  <c r="AN420" i="5"/>
  <c r="AM420" i="5"/>
  <c r="AL420" i="5"/>
  <c r="AK420" i="5"/>
  <c r="AH420" i="5"/>
  <c r="AJ420" i="5" s="1"/>
  <c r="AG420" i="5"/>
  <c r="AF420" i="5"/>
  <c r="AE420" i="5"/>
  <c r="AD420" i="5"/>
  <c r="AB420" i="5"/>
  <c r="AC420" i="5" s="1"/>
  <c r="Z420" i="5"/>
  <c r="Y420" i="5"/>
  <c r="X420" i="5"/>
  <c r="W420" i="5"/>
  <c r="V420" i="5"/>
  <c r="U420" i="5"/>
  <c r="T420" i="5"/>
  <c r="S420" i="5"/>
  <c r="AT420" i="5" s="1"/>
  <c r="R420" i="5" a="1"/>
  <c r="R420" i="5" s="1"/>
  <c r="AU419" i="5"/>
  <c r="AN419" i="5"/>
  <c r="AM419" i="5"/>
  <c r="AL419" i="5"/>
  <c r="AK419" i="5"/>
  <c r="AH419" i="5"/>
  <c r="AJ419" i="5" s="1"/>
  <c r="AG419" i="5"/>
  <c r="AF419" i="5"/>
  <c r="AE419" i="5"/>
  <c r="AD419" i="5"/>
  <c r="AB419" i="5"/>
  <c r="AC419" i="5" s="1"/>
  <c r="Z419" i="5"/>
  <c r="Y419" i="5"/>
  <c r="X419" i="5"/>
  <c r="W419" i="5"/>
  <c r="V419" i="5"/>
  <c r="U419" i="5"/>
  <c r="T419" i="5"/>
  <c r="S419" i="5"/>
  <c r="AT419" i="5" s="1"/>
  <c r="R419" i="5" a="1"/>
  <c r="R419" i="5" s="1"/>
  <c r="AU418" i="5"/>
  <c r="AN418" i="5"/>
  <c r="AM418" i="5"/>
  <c r="AL418" i="5"/>
  <c r="AK418" i="5"/>
  <c r="AH418" i="5"/>
  <c r="AJ418" i="5" s="1"/>
  <c r="AG418" i="5"/>
  <c r="AF418" i="5"/>
  <c r="AE418" i="5"/>
  <c r="AD418" i="5"/>
  <c r="AB418" i="5"/>
  <c r="AC418" i="5" s="1"/>
  <c r="Z418" i="5"/>
  <c r="Y418" i="5"/>
  <c r="X418" i="5"/>
  <c r="W418" i="5"/>
  <c r="V418" i="5"/>
  <c r="U418" i="5"/>
  <c r="T418" i="5"/>
  <c r="S418" i="5"/>
  <c r="R418" i="5" a="1"/>
  <c r="R418" i="5" s="1"/>
  <c r="AU417" i="5"/>
  <c r="AN417" i="5"/>
  <c r="AM417" i="5"/>
  <c r="AL417" i="5"/>
  <c r="AK417" i="5"/>
  <c r="AH417" i="5"/>
  <c r="AJ417" i="5" s="1"/>
  <c r="AG417" i="5"/>
  <c r="AF417" i="5"/>
  <c r="AE417" i="5"/>
  <c r="AD417" i="5"/>
  <c r="AB417" i="5"/>
  <c r="AC417" i="5" s="1"/>
  <c r="Z417" i="5"/>
  <c r="Y417" i="5"/>
  <c r="X417" i="5"/>
  <c r="W417" i="5"/>
  <c r="V417" i="5"/>
  <c r="U417" i="5"/>
  <c r="T417" i="5"/>
  <c r="S417" i="5"/>
  <c r="R417" i="5" a="1"/>
  <c r="R417" i="5" s="1"/>
  <c r="AU416" i="5"/>
  <c r="AN416" i="5"/>
  <c r="AM416" i="5"/>
  <c r="AL416" i="5"/>
  <c r="AK416" i="5"/>
  <c r="AH416" i="5"/>
  <c r="AJ416" i="5" s="1"/>
  <c r="AG416" i="5"/>
  <c r="AF416" i="5"/>
  <c r="AE416" i="5"/>
  <c r="AD416" i="5"/>
  <c r="AB416" i="5"/>
  <c r="AC416" i="5" s="1"/>
  <c r="Z416" i="5"/>
  <c r="Y416" i="5"/>
  <c r="X416" i="5"/>
  <c r="W416" i="5"/>
  <c r="V416" i="5"/>
  <c r="U416" i="5"/>
  <c r="T416" i="5"/>
  <c r="S416" i="5"/>
  <c r="AT416" i="5" s="1"/>
  <c r="R416" i="5" a="1"/>
  <c r="R416" i="5" s="1"/>
  <c r="AU415" i="5"/>
  <c r="AN415" i="5"/>
  <c r="AM415" i="5"/>
  <c r="AL415" i="5"/>
  <c r="AK415" i="5"/>
  <c r="AH415" i="5"/>
  <c r="AJ415" i="5" s="1"/>
  <c r="AG415" i="5"/>
  <c r="AF415" i="5"/>
  <c r="AE415" i="5"/>
  <c r="AD415" i="5"/>
  <c r="AB415" i="5"/>
  <c r="AC415" i="5" s="1"/>
  <c r="Z415" i="5"/>
  <c r="Y415" i="5"/>
  <c r="X415" i="5"/>
  <c r="W415" i="5"/>
  <c r="V415" i="5"/>
  <c r="U415" i="5"/>
  <c r="T415" i="5"/>
  <c r="S415" i="5"/>
  <c r="AT415" i="5" s="1"/>
  <c r="R415" i="5" a="1"/>
  <c r="R415" i="5" s="1"/>
  <c r="AU414" i="5"/>
  <c r="AN414" i="5"/>
  <c r="AM414" i="5"/>
  <c r="AL414" i="5"/>
  <c r="AK414" i="5"/>
  <c r="AH414" i="5"/>
  <c r="AJ414" i="5" s="1"/>
  <c r="AG414" i="5"/>
  <c r="AF414" i="5"/>
  <c r="AE414" i="5"/>
  <c r="AD414" i="5"/>
  <c r="AB414" i="5"/>
  <c r="AC414" i="5" s="1"/>
  <c r="Z414" i="5"/>
  <c r="Y414" i="5"/>
  <c r="X414" i="5"/>
  <c r="W414" i="5"/>
  <c r="V414" i="5"/>
  <c r="U414" i="5"/>
  <c r="T414" i="5"/>
  <c r="S414" i="5"/>
  <c r="R414" i="5" a="1"/>
  <c r="R414" i="5" s="1"/>
  <c r="AU413" i="5"/>
  <c r="AN413" i="5"/>
  <c r="AM413" i="5"/>
  <c r="AL413" i="5"/>
  <c r="AK413" i="5"/>
  <c r="AH413" i="5"/>
  <c r="AJ413" i="5" s="1"/>
  <c r="AG413" i="5"/>
  <c r="AF413" i="5"/>
  <c r="AE413" i="5"/>
  <c r="AD413" i="5"/>
  <c r="AB413" i="5"/>
  <c r="AC413" i="5" s="1"/>
  <c r="Z413" i="5"/>
  <c r="Y413" i="5"/>
  <c r="X413" i="5"/>
  <c r="W413" i="5"/>
  <c r="V413" i="5"/>
  <c r="U413" i="5"/>
  <c r="T413" i="5"/>
  <c r="S413" i="5"/>
  <c r="R413" i="5" a="1"/>
  <c r="R413" i="5" s="1"/>
  <c r="AU412" i="5"/>
  <c r="AN412" i="5"/>
  <c r="AM412" i="5"/>
  <c r="AL412" i="5"/>
  <c r="AK412" i="5"/>
  <c r="AH412" i="5"/>
  <c r="AJ412" i="5" s="1"/>
  <c r="AG412" i="5"/>
  <c r="AF412" i="5"/>
  <c r="AE412" i="5"/>
  <c r="AD412" i="5"/>
  <c r="AB412" i="5"/>
  <c r="AC412" i="5" s="1"/>
  <c r="Z412" i="5"/>
  <c r="Y412" i="5"/>
  <c r="X412" i="5"/>
  <c r="W412" i="5"/>
  <c r="V412" i="5"/>
  <c r="U412" i="5"/>
  <c r="T412" i="5"/>
  <c r="S412" i="5"/>
  <c r="AT412" i="5" s="1"/>
  <c r="R412" i="5" a="1"/>
  <c r="R412" i="5" s="1"/>
  <c r="AU411" i="5"/>
  <c r="AN411" i="5"/>
  <c r="AM411" i="5"/>
  <c r="AL411" i="5"/>
  <c r="AK411" i="5"/>
  <c r="AH411" i="5"/>
  <c r="AJ411" i="5" s="1"/>
  <c r="AG411" i="5"/>
  <c r="AF411" i="5"/>
  <c r="AE411" i="5"/>
  <c r="AD411" i="5"/>
  <c r="AB411" i="5"/>
  <c r="AC411" i="5" s="1"/>
  <c r="Z411" i="5"/>
  <c r="Y411" i="5"/>
  <c r="X411" i="5"/>
  <c r="W411" i="5"/>
  <c r="V411" i="5"/>
  <c r="U411" i="5"/>
  <c r="T411" i="5"/>
  <c r="S411" i="5"/>
  <c r="AT411" i="5" s="1"/>
  <c r="R411" i="5" a="1"/>
  <c r="R411" i="5" s="1"/>
  <c r="AU410" i="5"/>
  <c r="AN410" i="5"/>
  <c r="AM410" i="5"/>
  <c r="AL410" i="5"/>
  <c r="AK410" i="5"/>
  <c r="AH410" i="5"/>
  <c r="AJ410" i="5" s="1"/>
  <c r="AG410" i="5"/>
  <c r="AF410" i="5"/>
  <c r="AE410" i="5"/>
  <c r="AD410" i="5"/>
  <c r="AB410" i="5"/>
  <c r="AC410" i="5" s="1"/>
  <c r="Z410" i="5"/>
  <c r="Y410" i="5"/>
  <c r="X410" i="5"/>
  <c r="W410" i="5"/>
  <c r="V410" i="5"/>
  <c r="U410" i="5"/>
  <c r="T410" i="5"/>
  <c r="S410" i="5"/>
  <c r="R410" i="5" a="1"/>
  <c r="R410" i="5" s="1"/>
  <c r="AU409" i="5"/>
  <c r="AT409" i="5"/>
  <c r="AN409" i="5"/>
  <c r="AM409" i="5"/>
  <c r="AL409" i="5"/>
  <c r="AK409" i="5"/>
  <c r="AH409" i="5"/>
  <c r="AJ409" i="5" s="1"/>
  <c r="AG409" i="5"/>
  <c r="AF409" i="5"/>
  <c r="AE409" i="5"/>
  <c r="AD409" i="5"/>
  <c r="AB409" i="5"/>
  <c r="AC409" i="5" s="1"/>
  <c r="Z409" i="5"/>
  <c r="Y409" i="5"/>
  <c r="X409" i="5"/>
  <c r="W409" i="5"/>
  <c r="V409" i="5"/>
  <c r="U409" i="5"/>
  <c r="T409" i="5"/>
  <c r="S409" i="5"/>
  <c r="R409" i="5" a="1"/>
  <c r="R409" i="5" s="1"/>
  <c r="AU408" i="5"/>
  <c r="AN408" i="5"/>
  <c r="AM408" i="5"/>
  <c r="AL408" i="5"/>
  <c r="AK408" i="5"/>
  <c r="AH408" i="5"/>
  <c r="AJ408" i="5" s="1"/>
  <c r="AG408" i="5"/>
  <c r="AF408" i="5"/>
  <c r="AE408" i="5"/>
  <c r="AD408" i="5"/>
  <c r="AB408" i="5"/>
  <c r="AC408" i="5" s="1"/>
  <c r="Z408" i="5"/>
  <c r="Y408" i="5"/>
  <c r="X408" i="5"/>
  <c r="W408" i="5"/>
  <c r="V408" i="5"/>
  <c r="U408" i="5"/>
  <c r="T408" i="5"/>
  <c r="S408" i="5"/>
  <c r="AT408" i="5" s="1"/>
  <c r="R408" i="5" a="1"/>
  <c r="R408" i="5" s="1"/>
  <c r="AU407" i="5"/>
  <c r="AN407" i="5"/>
  <c r="AM407" i="5"/>
  <c r="AL407" i="5"/>
  <c r="AK407" i="5"/>
  <c r="AH407" i="5"/>
  <c r="AJ407" i="5" s="1"/>
  <c r="AG407" i="5"/>
  <c r="AF407" i="5"/>
  <c r="AE407" i="5"/>
  <c r="AD407" i="5"/>
  <c r="AB407" i="5"/>
  <c r="AC407" i="5" s="1"/>
  <c r="Z407" i="5"/>
  <c r="Y407" i="5"/>
  <c r="X407" i="5"/>
  <c r="W407" i="5"/>
  <c r="V407" i="5"/>
  <c r="U407" i="5"/>
  <c r="T407" i="5"/>
  <c r="S407" i="5"/>
  <c r="AT407" i="5" s="1"/>
  <c r="R407" i="5" a="1"/>
  <c r="R407" i="5" s="1"/>
  <c r="AU406" i="5"/>
  <c r="AN406" i="5"/>
  <c r="AM406" i="5"/>
  <c r="AL406" i="5"/>
  <c r="AK406" i="5"/>
  <c r="AH406" i="5"/>
  <c r="AJ406" i="5" s="1"/>
  <c r="AG406" i="5"/>
  <c r="AF406" i="5"/>
  <c r="AE406" i="5"/>
  <c r="AD406" i="5"/>
  <c r="AB406" i="5"/>
  <c r="AC406" i="5" s="1"/>
  <c r="Z406" i="5"/>
  <c r="Y406" i="5"/>
  <c r="X406" i="5"/>
  <c r="W406" i="5"/>
  <c r="V406" i="5"/>
  <c r="U406" i="5"/>
  <c r="T406" i="5"/>
  <c r="S406" i="5"/>
  <c r="R406" i="5" a="1"/>
  <c r="R406" i="5" s="1"/>
  <c r="AU405" i="5"/>
  <c r="AN405" i="5"/>
  <c r="AM405" i="5"/>
  <c r="AL405" i="5"/>
  <c r="AK405" i="5"/>
  <c r="AH405" i="5"/>
  <c r="AJ405" i="5" s="1"/>
  <c r="AG405" i="5"/>
  <c r="AF405" i="5"/>
  <c r="AE405" i="5"/>
  <c r="AD405" i="5"/>
  <c r="AB405" i="5"/>
  <c r="AC405" i="5" s="1"/>
  <c r="Z405" i="5"/>
  <c r="Y405" i="5"/>
  <c r="X405" i="5"/>
  <c r="W405" i="5"/>
  <c r="V405" i="5"/>
  <c r="U405" i="5"/>
  <c r="T405" i="5"/>
  <c r="S405" i="5"/>
  <c r="R405" i="5" a="1"/>
  <c r="R405" i="5" s="1"/>
  <c r="AU404" i="5"/>
  <c r="AN404" i="5"/>
  <c r="AM404" i="5"/>
  <c r="AL404" i="5"/>
  <c r="AK404" i="5"/>
  <c r="AH404" i="5"/>
  <c r="AJ404" i="5" s="1"/>
  <c r="AG404" i="5"/>
  <c r="AF404" i="5"/>
  <c r="AE404" i="5"/>
  <c r="AD404" i="5"/>
  <c r="AB404" i="5"/>
  <c r="AC404" i="5" s="1"/>
  <c r="Z404" i="5"/>
  <c r="Y404" i="5"/>
  <c r="X404" i="5"/>
  <c r="W404" i="5"/>
  <c r="V404" i="5"/>
  <c r="U404" i="5"/>
  <c r="T404" i="5"/>
  <c r="S404" i="5"/>
  <c r="R404" i="5" a="1"/>
  <c r="R404" i="5" s="1"/>
  <c r="AU403" i="5"/>
  <c r="AN403" i="5"/>
  <c r="AM403" i="5"/>
  <c r="AL403" i="5"/>
  <c r="AK403" i="5"/>
  <c r="AH403" i="5"/>
  <c r="AJ403" i="5" s="1"/>
  <c r="AG403" i="5"/>
  <c r="AF403" i="5"/>
  <c r="AE403" i="5"/>
  <c r="AD403" i="5"/>
  <c r="AB403" i="5"/>
  <c r="AC403" i="5" s="1"/>
  <c r="Z403" i="5"/>
  <c r="Y403" i="5"/>
  <c r="X403" i="5"/>
  <c r="W403" i="5"/>
  <c r="V403" i="5"/>
  <c r="U403" i="5"/>
  <c r="T403" i="5"/>
  <c r="S403" i="5"/>
  <c r="AT403" i="5" s="1"/>
  <c r="R403" i="5" a="1"/>
  <c r="R403" i="5" s="1"/>
  <c r="AU402" i="5"/>
  <c r="AN402" i="5"/>
  <c r="AM402" i="5"/>
  <c r="AL402" i="5"/>
  <c r="AK402" i="5"/>
  <c r="AH402" i="5"/>
  <c r="AJ402" i="5" s="1"/>
  <c r="AG402" i="5"/>
  <c r="AF402" i="5"/>
  <c r="AE402" i="5"/>
  <c r="AD402" i="5"/>
  <c r="AB402" i="5"/>
  <c r="AC402" i="5" s="1"/>
  <c r="Z402" i="5"/>
  <c r="Y402" i="5"/>
  <c r="X402" i="5"/>
  <c r="W402" i="5"/>
  <c r="V402" i="5"/>
  <c r="U402" i="5"/>
  <c r="T402" i="5"/>
  <c r="S402" i="5"/>
  <c r="R402" i="5" a="1"/>
  <c r="R402" i="5" s="1"/>
  <c r="AU401" i="5"/>
  <c r="AN401" i="5"/>
  <c r="AM401" i="5"/>
  <c r="AL401" i="5"/>
  <c r="AK401" i="5"/>
  <c r="AH401" i="5"/>
  <c r="AJ401" i="5" s="1"/>
  <c r="AG401" i="5"/>
  <c r="AF401" i="5"/>
  <c r="AE401" i="5"/>
  <c r="AD401" i="5"/>
  <c r="AB401" i="5"/>
  <c r="AC401" i="5" s="1"/>
  <c r="Z401" i="5"/>
  <c r="Y401" i="5"/>
  <c r="X401" i="5"/>
  <c r="W401" i="5"/>
  <c r="V401" i="5"/>
  <c r="U401" i="5"/>
  <c r="T401" i="5"/>
  <c r="S401" i="5"/>
  <c r="R401" i="5" a="1"/>
  <c r="R401" i="5" s="1"/>
  <c r="AU400" i="5"/>
  <c r="AN400" i="5"/>
  <c r="AM400" i="5"/>
  <c r="AL400" i="5"/>
  <c r="AK400" i="5"/>
  <c r="AH400" i="5"/>
  <c r="AJ400" i="5" s="1"/>
  <c r="AG400" i="5"/>
  <c r="AF400" i="5"/>
  <c r="AE400" i="5"/>
  <c r="AD400" i="5"/>
  <c r="AB400" i="5"/>
  <c r="AC400" i="5" s="1"/>
  <c r="Z400" i="5"/>
  <c r="Y400" i="5"/>
  <c r="X400" i="5"/>
  <c r="W400" i="5"/>
  <c r="V400" i="5"/>
  <c r="U400" i="5"/>
  <c r="T400" i="5"/>
  <c r="S400" i="5"/>
  <c r="R400" i="5" a="1"/>
  <c r="R400" i="5" s="1"/>
  <c r="AU399" i="5"/>
  <c r="AN399" i="5"/>
  <c r="AM399" i="5"/>
  <c r="AL399" i="5"/>
  <c r="AK399" i="5"/>
  <c r="AH399" i="5"/>
  <c r="AJ399" i="5" s="1"/>
  <c r="AG399" i="5"/>
  <c r="AF399" i="5"/>
  <c r="AE399" i="5"/>
  <c r="AD399" i="5"/>
  <c r="AB399" i="5"/>
  <c r="AC399" i="5" s="1"/>
  <c r="Z399" i="5"/>
  <c r="Y399" i="5"/>
  <c r="X399" i="5"/>
  <c r="W399" i="5"/>
  <c r="V399" i="5"/>
  <c r="U399" i="5"/>
  <c r="T399" i="5"/>
  <c r="S399" i="5"/>
  <c r="AT399" i="5" s="1"/>
  <c r="R399" i="5" a="1"/>
  <c r="R399" i="5" s="1"/>
  <c r="AU398" i="5"/>
  <c r="AN398" i="5"/>
  <c r="AM398" i="5"/>
  <c r="AL398" i="5"/>
  <c r="AK398" i="5"/>
  <c r="AH398" i="5"/>
  <c r="AJ398" i="5" s="1"/>
  <c r="AG398" i="5"/>
  <c r="AF398" i="5"/>
  <c r="AE398" i="5"/>
  <c r="AD398" i="5"/>
  <c r="AB398" i="5"/>
  <c r="AC398" i="5" s="1"/>
  <c r="Z398" i="5"/>
  <c r="Y398" i="5"/>
  <c r="X398" i="5"/>
  <c r="W398" i="5"/>
  <c r="V398" i="5"/>
  <c r="U398" i="5"/>
  <c r="T398" i="5"/>
  <c r="S398" i="5"/>
  <c r="R398" i="5" a="1"/>
  <c r="R398" i="5" s="1"/>
  <c r="AU397" i="5"/>
  <c r="AN397" i="5"/>
  <c r="AM397" i="5"/>
  <c r="AL397" i="5"/>
  <c r="AK397" i="5"/>
  <c r="AH397" i="5"/>
  <c r="AJ397" i="5" s="1"/>
  <c r="AG397" i="5"/>
  <c r="AF397" i="5"/>
  <c r="AE397" i="5"/>
  <c r="AD397" i="5"/>
  <c r="AB397" i="5"/>
  <c r="AC397" i="5" s="1"/>
  <c r="Z397" i="5"/>
  <c r="Y397" i="5"/>
  <c r="X397" i="5"/>
  <c r="W397" i="5"/>
  <c r="V397" i="5"/>
  <c r="U397" i="5"/>
  <c r="T397" i="5"/>
  <c r="S397" i="5"/>
  <c r="R397" i="5" a="1"/>
  <c r="R397" i="5" s="1"/>
  <c r="AU396" i="5"/>
  <c r="AN396" i="5"/>
  <c r="AM396" i="5"/>
  <c r="AL396" i="5"/>
  <c r="AK396" i="5"/>
  <c r="AH396" i="5"/>
  <c r="AJ396" i="5" s="1"/>
  <c r="AG396" i="5"/>
  <c r="AF396" i="5"/>
  <c r="AE396" i="5"/>
  <c r="AD396" i="5"/>
  <c r="AB396" i="5"/>
  <c r="AC396" i="5" s="1"/>
  <c r="Z396" i="5"/>
  <c r="Y396" i="5"/>
  <c r="X396" i="5"/>
  <c r="W396" i="5"/>
  <c r="V396" i="5"/>
  <c r="U396" i="5"/>
  <c r="T396" i="5"/>
  <c r="S396" i="5"/>
  <c r="R396" i="5" a="1"/>
  <c r="R396" i="5" s="1"/>
  <c r="AU395" i="5"/>
  <c r="AN395" i="5"/>
  <c r="AM395" i="5"/>
  <c r="AL395" i="5"/>
  <c r="AK395" i="5"/>
  <c r="AH395" i="5"/>
  <c r="AJ395" i="5" s="1"/>
  <c r="AG395" i="5"/>
  <c r="AF395" i="5"/>
  <c r="AE395" i="5"/>
  <c r="AD395" i="5"/>
  <c r="AB395" i="5"/>
  <c r="AC395" i="5" s="1"/>
  <c r="Z395" i="5"/>
  <c r="Y395" i="5"/>
  <c r="X395" i="5"/>
  <c r="W395" i="5"/>
  <c r="V395" i="5"/>
  <c r="U395" i="5"/>
  <c r="T395" i="5"/>
  <c r="S395" i="5"/>
  <c r="AT395" i="5" s="1"/>
  <c r="R395" i="5" a="1"/>
  <c r="R395" i="5" s="1"/>
  <c r="AU394" i="5"/>
  <c r="AN394" i="5"/>
  <c r="AM394" i="5"/>
  <c r="AL394" i="5"/>
  <c r="AK394" i="5"/>
  <c r="AH394" i="5"/>
  <c r="AJ394" i="5" s="1"/>
  <c r="AG394" i="5"/>
  <c r="AF394" i="5"/>
  <c r="AE394" i="5"/>
  <c r="AD394" i="5"/>
  <c r="AB394" i="5"/>
  <c r="AC394" i="5" s="1"/>
  <c r="Z394" i="5"/>
  <c r="Y394" i="5"/>
  <c r="X394" i="5"/>
  <c r="W394" i="5"/>
  <c r="V394" i="5"/>
  <c r="U394" i="5"/>
  <c r="T394" i="5"/>
  <c r="S394" i="5"/>
  <c r="R394" i="5" a="1"/>
  <c r="R394" i="5" s="1"/>
  <c r="AU393" i="5"/>
  <c r="AN393" i="5"/>
  <c r="AM393" i="5"/>
  <c r="AL393" i="5"/>
  <c r="AK393" i="5"/>
  <c r="AH393" i="5"/>
  <c r="AJ393" i="5" s="1"/>
  <c r="AG393" i="5"/>
  <c r="AF393" i="5"/>
  <c r="AE393" i="5"/>
  <c r="AD393" i="5"/>
  <c r="AB393" i="5"/>
  <c r="AC393" i="5" s="1"/>
  <c r="Z393" i="5"/>
  <c r="Y393" i="5"/>
  <c r="X393" i="5"/>
  <c r="W393" i="5"/>
  <c r="V393" i="5"/>
  <c r="U393" i="5"/>
  <c r="T393" i="5"/>
  <c r="S393" i="5"/>
  <c r="R393" i="5" a="1"/>
  <c r="R393" i="5" s="1"/>
  <c r="AU392" i="5"/>
  <c r="AN392" i="5"/>
  <c r="AM392" i="5"/>
  <c r="AL392" i="5"/>
  <c r="AK392" i="5"/>
  <c r="AH392" i="5"/>
  <c r="AJ392" i="5" s="1"/>
  <c r="AG392" i="5"/>
  <c r="AF392" i="5"/>
  <c r="AE392" i="5"/>
  <c r="AD392" i="5"/>
  <c r="AB392" i="5"/>
  <c r="AC392" i="5" s="1"/>
  <c r="Z392" i="5"/>
  <c r="Y392" i="5"/>
  <c r="X392" i="5"/>
  <c r="W392" i="5"/>
  <c r="V392" i="5"/>
  <c r="U392" i="5"/>
  <c r="T392" i="5"/>
  <c r="S392" i="5"/>
  <c r="AT392" i="5" s="1"/>
  <c r="R392" i="5" a="1"/>
  <c r="R392" i="5" s="1"/>
  <c r="AU391" i="5"/>
  <c r="AN391" i="5"/>
  <c r="AM391" i="5"/>
  <c r="AL391" i="5"/>
  <c r="AK391" i="5"/>
  <c r="AH391" i="5"/>
  <c r="AJ391" i="5" s="1"/>
  <c r="AG391" i="5"/>
  <c r="AF391" i="5"/>
  <c r="AE391" i="5"/>
  <c r="AD391" i="5"/>
  <c r="AB391" i="5"/>
  <c r="AC391" i="5" s="1"/>
  <c r="Z391" i="5"/>
  <c r="Y391" i="5"/>
  <c r="X391" i="5"/>
  <c r="W391" i="5"/>
  <c r="V391" i="5"/>
  <c r="U391" i="5"/>
  <c r="T391" i="5"/>
  <c r="S391" i="5"/>
  <c r="AT391" i="5" s="1"/>
  <c r="R391" i="5" a="1"/>
  <c r="R391" i="5" s="1"/>
  <c r="AU390" i="5"/>
  <c r="AN390" i="5"/>
  <c r="AM390" i="5"/>
  <c r="AL390" i="5"/>
  <c r="AK390" i="5"/>
  <c r="AH390" i="5"/>
  <c r="AJ390" i="5" s="1"/>
  <c r="AG390" i="5"/>
  <c r="AF390" i="5"/>
  <c r="AE390" i="5"/>
  <c r="AD390" i="5"/>
  <c r="AB390" i="5"/>
  <c r="AC390" i="5" s="1"/>
  <c r="Z390" i="5"/>
  <c r="Y390" i="5"/>
  <c r="X390" i="5"/>
  <c r="W390" i="5"/>
  <c r="V390" i="5"/>
  <c r="U390" i="5"/>
  <c r="T390" i="5"/>
  <c r="S390" i="5"/>
  <c r="R390" i="5" a="1"/>
  <c r="R390" i="5" s="1"/>
  <c r="AU389" i="5"/>
  <c r="AT389" i="5"/>
  <c r="AN389" i="5"/>
  <c r="AM389" i="5"/>
  <c r="AL389" i="5"/>
  <c r="AK389" i="5"/>
  <c r="AH389" i="5"/>
  <c r="AJ389" i="5" s="1"/>
  <c r="AG389" i="5"/>
  <c r="AF389" i="5"/>
  <c r="AE389" i="5"/>
  <c r="AD389" i="5"/>
  <c r="AB389" i="5"/>
  <c r="AC389" i="5" s="1"/>
  <c r="Z389" i="5"/>
  <c r="Y389" i="5"/>
  <c r="X389" i="5"/>
  <c r="W389" i="5"/>
  <c r="V389" i="5"/>
  <c r="U389" i="5"/>
  <c r="T389" i="5"/>
  <c r="S389" i="5"/>
  <c r="R389" i="5" a="1"/>
  <c r="R389" i="5" s="1"/>
  <c r="AU388" i="5"/>
  <c r="AN388" i="5"/>
  <c r="AM388" i="5"/>
  <c r="AL388" i="5"/>
  <c r="AK388" i="5"/>
  <c r="AH388" i="5"/>
  <c r="AJ388" i="5" s="1"/>
  <c r="AG388" i="5"/>
  <c r="AF388" i="5"/>
  <c r="AE388" i="5"/>
  <c r="AD388" i="5"/>
  <c r="AB388" i="5"/>
  <c r="AC388" i="5" s="1"/>
  <c r="Z388" i="5"/>
  <c r="Y388" i="5"/>
  <c r="X388" i="5"/>
  <c r="W388" i="5"/>
  <c r="V388" i="5"/>
  <c r="U388" i="5"/>
  <c r="T388" i="5"/>
  <c r="S388" i="5"/>
  <c r="AT388" i="5" s="1"/>
  <c r="R388" i="5" a="1"/>
  <c r="R388" i="5" s="1"/>
  <c r="AU387" i="5"/>
  <c r="AN387" i="5"/>
  <c r="AM387" i="5"/>
  <c r="AL387" i="5"/>
  <c r="AK387" i="5"/>
  <c r="AH387" i="5"/>
  <c r="AJ387" i="5" s="1"/>
  <c r="AG387" i="5"/>
  <c r="AF387" i="5"/>
  <c r="AE387" i="5"/>
  <c r="AD387" i="5"/>
  <c r="AB387" i="5"/>
  <c r="AC387" i="5" s="1"/>
  <c r="Z387" i="5"/>
  <c r="Y387" i="5"/>
  <c r="X387" i="5"/>
  <c r="W387" i="5"/>
  <c r="V387" i="5"/>
  <c r="U387" i="5"/>
  <c r="T387" i="5"/>
  <c r="S387" i="5"/>
  <c r="AT387" i="5" s="1"/>
  <c r="R387" i="5" a="1"/>
  <c r="R387" i="5" s="1"/>
  <c r="AU386" i="5"/>
  <c r="AN386" i="5"/>
  <c r="AM386" i="5"/>
  <c r="AL386" i="5"/>
  <c r="AK386" i="5"/>
  <c r="AH386" i="5"/>
  <c r="AJ386" i="5" s="1"/>
  <c r="AG386" i="5"/>
  <c r="AF386" i="5"/>
  <c r="AE386" i="5"/>
  <c r="AD386" i="5"/>
  <c r="AB386" i="5"/>
  <c r="AC386" i="5" s="1"/>
  <c r="Z386" i="5"/>
  <c r="Y386" i="5"/>
  <c r="X386" i="5"/>
  <c r="W386" i="5"/>
  <c r="V386" i="5"/>
  <c r="U386" i="5"/>
  <c r="T386" i="5"/>
  <c r="S386" i="5"/>
  <c r="R386" i="5" a="1"/>
  <c r="R386" i="5" s="1"/>
  <c r="AU385" i="5"/>
  <c r="AN385" i="5"/>
  <c r="AM385" i="5"/>
  <c r="AL385" i="5"/>
  <c r="AK385" i="5"/>
  <c r="AH385" i="5"/>
  <c r="AJ385" i="5" s="1"/>
  <c r="AG385" i="5"/>
  <c r="AF385" i="5"/>
  <c r="AE385" i="5"/>
  <c r="AD385" i="5"/>
  <c r="AB385" i="5"/>
  <c r="AC385" i="5" s="1"/>
  <c r="Z385" i="5"/>
  <c r="Y385" i="5"/>
  <c r="X385" i="5"/>
  <c r="W385" i="5"/>
  <c r="V385" i="5"/>
  <c r="U385" i="5"/>
  <c r="T385" i="5"/>
  <c r="S385" i="5"/>
  <c r="R385" i="5" a="1"/>
  <c r="R385" i="5" s="1"/>
  <c r="AU384" i="5"/>
  <c r="AN384" i="5"/>
  <c r="AM384" i="5"/>
  <c r="AL384" i="5"/>
  <c r="AK384" i="5"/>
  <c r="AH384" i="5"/>
  <c r="AJ384" i="5" s="1"/>
  <c r="AG384" i="5"/>
  <c r="AF384" i="5"/>
  <c r="AE384" i="5"/>
  <c r="AD384" i="5"/>
  <c r="AB384" i="5"/>
  <c r="AC384" i="5" s="1"/>
  <c r="Z384" i="5"/>
  <c r="Y384" i="5"/>
  <c r="X384" i="5"/>
  <c r="W384" i="5"/>
  <c r="V384" i="5"/>
  <c r="U384" i="5"/>
  <c r="T384" i="5"/>
  <c r="S384" i="5"/>
  <c r="AT384" i="5" s="1"/>
  <c r="R384" i="5" a="1"/>
  <c r="R384" i="5" s="1"/>
  <c r="AU383" i="5"/>
  <c r="AN383" i="5"/>
  <c r="AM383" i="5"/>
  <c r="AL383" i="5"/>
  <c r="AK383" i="5"/>
  <c r="AH383" i="5"/>
  <c r="AJ383" i="5" s="1"/>
  <c r="AG383" i="5"/>
  <c r="AF383" i="5"/>
  <c r="AE383" i="5"/>
  <c r="AD383" i="5"/>
  <c r="AB383" i="5"/>
  <c r="AC383" i="5" s="1"/>
  <c r="Z383" i="5"/>
  <c r="Y383" i="5"/>
  <c r="X383" i="5"/>
  <c r="W383" i="5"/>
  <c r="V383" i="5"/>
  <c r="U383" i="5"/>
  <c r="T383" i="5"/>
  <c r="S383" i="5"/>
  <c r="AT383" i="5" s="1"/>
  <c r="R383" i="5" a="1"/>
  <c r="R383" i="5" s="1"/>
  <c r="AU382" i="5"/>
  <c r="AN382" i="5"/>
  <c r="AM382" i="5"/>
  <c r="AL382" i="5"/>
  <c r="AK382" i="5"/>
  <c r="AH382" i="5"/>
  <c r="AJ382" i="5" s="1"/>
  <c r="AG382" i="5"/>
  <c r="AF382" i="5"/>
  <c r="AE382" i="5"/>
  <c r="AD382" i="5"/>
  <c r="AB382" i="5"/>
  <c r="AC382" i="5" s="1"/>
  <c r="Z382" i="5"/>
  <c r="Y382" i="5"/>
  <c r="X382" i="5"/>
  <c r="W382" i="5"/>
  <c r="V382" i="5"/>
  <c r="U382" i="5"/>
  <c r="T382" i="5"/>
  <c r="S382" i="5"/>
  <c r="R382" i="5" a="1"/>
  <c r="R382" i="5" s="1"/>
  <c r="AU381" i="5"/>
  <c r="AN381" i="5"/>
  <c r="AM381" i="5"/>
  <c r="AL381" i="5"/>
  <c r="AK381" i="5"/>
  <c r="AH381" i="5"/>
  <c r="AJ381" i="5" s="1"/>
  <c r="AG381" i="5"/>
  <c r="AF381" i="5"/>
  <c r="AE381" i="5"/>
  <c r="AD381" i="5"/>
  <c r="AB381" i="5"/>
  <c r="AC381" i="5" s="1"/>
  <c r="Z381" i="5"/>
  <c r="Y381" i="5"/>
  <c r="X381" i="5"/>
  <c r="W381" i="5"/>
  <c r="V381" i="5"/>
  <c r="U381" i="5"/>
  <c r="T381" i="5"/>
  <c r="S381" i="5"/>
  <c r="R381" i="5" a="1"/>
  <c r="R381" i="5" s="1"/>
  <c r="AU380" i="5"/>
  <c r="AN380" i="5"/>
  <c r="AM380" i="5"/>
  <c r="AL380" i="5"/>
  <c r="AK380" i="5"/>
  <c r="AH380" i="5"/>
  <c r="AJ380" i="5" s="1"/>
  <c r="AG380" i="5"/>
  <c r="AF380" i="5"/>
  <c r="AE380" i="5"/>
  <c r="AD380" i="5"/>
  <c r="AB380" i="5"/>
  <c r="AC380" i="5" s="1"/>
  <c r="Z380" i="5"/>
  <c r="Y380" i="5"/>
  <c r="X380" i="5"/>
  <c r="W380" i="5"/>
  <c r="V380" i="5"/>
  <c r="U380" i="5"/>
  <c r="T380" i="5"/>
  <c r="S380" i="5"/>
  <c r="AT380" i="5" s="1"/>
  <c r="R380" i="5" a="1"/>
  <c r="R380" i="5" s="1"/>
  <c r="AU379" i="5"/>
  <c r="AN379" i="5"/>
  <c r="AM379" i="5"/>
  <c r="AL379" i="5"/>
  <c r="AK379" i="5"/>
  <c r="AH379" i="5"/>
  <c r="AJ379" i="5" s="1"/>
  <c r="AG379" i="5"/>
  <c r="AF379" i="5"/>
  <c r="AE379" i="5"/>
  <c r="AD379" i="5"/>
  <c r="AB379" i="5"/>
  <c r="AC379" i="5" s="1"/>
  <c r="Z379" i="5"/>
  <c r="Y379" i="5"/>
  <c r="X379" i="5"/>
  <c r="W379" i="5"/>
  <c r="V379" i="5"/>
  <c r="U379" i="5"/>
  <c r="T379" i="5"/>
  <c r="S379" i="5"/>
  <c r="AT379" i="5" s="1"/>
  <c r="R379" i="5" a="1"/>
  <c r="R379" i="5" s="1"/>
  <c r="AU378" i="5"/>
  <c r="AN378" i="5"/>
  <c r="AM378" i="5"/>
  <c r="AL378" i="5"/>
  <c r="AK378" i="5"/>
  <c r="AH378" i="5"/>
  <c r="AJ378" i="5" s="1"/>
  <c r="AG378" i="5"/>
  <c r="AF378" i="5"/>
  <c r="AE378" i="5"/>
  <c r="AD378" i="5"/>
  <c r="AB378" i="5"/>
  <c r="AC378" i="5" s="1"/>
  <c r="Z378" i="5"/>
  <c r="Y378" i="5"/>
  <c r="X378" i="5"/>
  <c r="W378" i="5"/>
  <c r="V378" i="5"/>
  <c r="U378" i="5"/>
  <c r="T378" i="5"/>
  <c r="S378" i="5"/>
  <c r="R378" i="5" a="1"/>
  <c r="R378" i="5" s="1"/>
  <c r="AU377" i="5"/>
  <c r="AN377" i="5"/>
  <c r="AM377" i="5"/>
  <c r="AL377" i="5"/>
  <c r="AK377" i="5"/>
  <c r="AH377" i="5"/>
  <c r="AJ377" i="5" s="1"/>
  <c r="AG377" i="5"/>
  <c r="AF377" i="5"/>
  <c r="AE377" i="5"/>
  <c r="AD377" i="5"/>
  <c r="AB377" i="5"/>
  <c r="AC377" i="5" s="1"/>
  <c r="Z377" i="5"/>
  <c r="Y377" i="5"/>
  <c r="X377" i="5"/>
  <c r="W377" i="5"/>
  <c r="V377" i="5"/>
  <c r="U377" i="5"/>
  <c r="T377" i="5"/>
  <c r="S377" i="5"/>
  <c r="R377" i="5" a="1"/>
  <c r="R377" i="5" s="1"/>
  <c r="AU376" i="5"/>
  <c r="AN376" i="5"/>
  <c r="AM376" i="5"/>
  <c r="AL376" i="5"/>
  <c r="AK376" i="5"/>
  <c r="AH376" i="5"/>
  <c r="AJ376" i="5" s="1"/>
  <c r="AG376" i="5"/>
  <c r="AF376" i="5"/>
  <c r="AE376" i="5"/>
  <c r="AD376" i="5"/>
  <c r="AB376" i="5"/>
  <c r="AC376" i="5" s="1"/>
  <c r="Z376" i="5"/>
  <c r="Y376" i="5"/>
  <c r="X376" i="5"/>
  <c r="W376" i="5"/>
  <c r="V376" i="5"/>
  <c r="U376" i="5"/>
  <c r="T376" i="5"/>
  <c r="S376" i="5"/>
  <c r="AT376" i="5" s="1"/>
  <c r="R376" i="5" a="1"/>
  <c r="R376" i="5" s="1"/>
  <c r="AU375" i="5"/>
  <c r="AN375" i="5"/>
  <c r="AM375" i="5"/>
  <c r="AL375" i="5"/>
  <c r="AK375" i="5"/>
  <c r="AH375" i="5"/>
  <c r="AJ375" i="5" s="1"/>
  <c r="AG375" i="5"/>
  <c r="AF375" i="5"/>
  <c r="AE375" i="5"/>
  <c r="AD375" i="5"/>
  <c r="AB375" i="5"/>
  <c r="AC375" i="5" s="1"/>
  <c r="Z375" i="5"/>
  <c r="Y375" i="5"/>
  <c r="X375" i="5"/>
  <c r="W375" i="5"/>
  <c r="V375" i="5"/>
  <c r="U375" i="5"/>
  <c r="T375" i="5"/>
  <c r="S375" i="5"/>
  <c r="AT375" i="5" s="1"/>
  <c r="R375" i="5" a="1"/>
  <c r="R375" i="5" s="1"/>
  <c r="AU374" i="5"/>
  <c r="AN374" i="5"/>
  <c r="AM374" i="5"/>
  <c r="AL374" i="5"/>
  <c r="AK374" i="5"/>
  <c r="AH374" i="5"/>
  <c r="AJ374" i="5" s="1"/>
  <c r="AG374" i="5"/>
  <c r="AF374" i="5"/>
  <c r="AE374" i="5"/>
  <c r="AD374" i="5"/>
  <c r="AB374" i="5"/>
  <c r="AC374" i="5" s="1"/>
  <c r="Z374" i="5"/>
  <c r="Y374" i="5"/>
  <c r="X374" i="5"/>
  <c r="W374" i="5"/>
  <c r="V374" i="5"/>
  <c r="U374" i="5"/>
  <c r="T374" i="5"/>
  <c r="S374" i="5"/>
  <c r="AT374" i="5" s="1"/>
  <c r="R374" i="5" a="1"/>
  <c r="R374" i="5" s="1"/>
  <c r="AU373" i="5"/>
  <c r="AN373" i="5"/>
  <c r="AM373" i="5"/>
  <c r="AL373" i="5"/>
  <c r="AK373" i="5"/>
  <c r="AH373" i="5"/>
  <c r="AJ373" i="5" s="1"/>
  <c r="AG373" i="5"/>
  <c r="AF373" i="5"/>
  <c r="AE373" i="5"/>
  <c r="AD373" i="5"/>
  <c r="AB373" i="5"/>
  <c r="AC373" i="5" s="1"/>
  <c r="Z373" i="5"/>
  <c r="Y373" i="5"/>
  <c r="X373" i="5"/>
  <c r="W373" i="5"/>
  <c r="V373" i="5"/>
  <c r="U373" i="5"/>
  <c r="T373" i="5"/>
  <c r="S373" i="5"/>
  <c r="R373" i="5" a="1"/>
  <c r="R373" i="5" s="1"/>
  <c r="AU372" i="5"/>
  <c r="AN372" i="5"/>
  <c r="AM372" i="5"/>
  <c r="AL372" i="5"/>
  <c r="AK372" i="5"/>
  <c r="AH372" i="5"/>
  <c r="AJ372" i="5" s="1"/>
  <c r="AG372" i="5"/>
  <c r="AF372" i="5"/>
  <c r="AE372" i="5"/>
  <c r="AD372" i="5"/>
  <c r="AB372" i="5"/>
  <c r="AC372" i="5" s="1"/>
  <c r="Z372" i="5"/>
  <c r="Y372" i="5"/>
  <c r="X372" i="5"/>
  <c r="W372" i="5"/>
  <c r="V372" i="5"/>
  <c r="U372" i="5"/>
  <c r="T372" i="5"/>
  <c r="S372" i="5"/>
  <c r="AT372" i="5" s="1"/>
  <c r="R372" i="5" a="1"/>
  <c r="R372" i="5" s="1"/>
  <c r="AU371" i="5"/>
  <c r="AN371" i="5"/>
  <c r="AM371" i="5"/>
  <c r="AL371" i="5"/>
  <c r="AK371" i="5"/>
  <c r="AH371" i="5"/>
  <c r="AJ371" i="5" s="1"/>
  <c r="AG371" i="5"/>
  <c r="AF371" i="5"/>
  <c r="AE371" i="5"/>
  <c r="AD371" i="5"/>
  <c r="AB371" i="5"/>
  <c r="AC371" i="5" s="1"/>
  <c r="Z371" i="5"/>
  <c r="Y371" i="5"/>
  <c r="X371" i="5"/>
  <c r="W371" i="5"/>
  <c r="V371" i="5"/>
  <c r="U371" i="5"/>
  <c r="T371" i="5"/>
  <c r="S371" i="5"/>
  <c r="AT371" i="5" s="1"/>
  <c r="R371" i="5" a="1"/>
  <c r="R371" i="5" s="1"/>
  <c r="AU370" i="5"/>
  <c r="AN370" i="5"/>
  <c r="AM370" i="5"/>
  <c r="AL370" i="5"/>
  <c r="AK370" i="5"/>
  <c r="AH370" i="5"/>
  <c r="AJ370" i="5" s="1"/>
  <c r="AG370" i="5"/>
  <c r="AF370" i="5"/>
  <c r="AE370" i="5"/>
  <c r="AD370" i="5"/>
  <c r="AB370" i="5"/>
  <c r="AC370" i="5" s="1"/>
  <c r="Z370" i="5"/>
  <c r="Y370" i="5"/>
  <c r="X370" i="5"/>
  <c r="W370" i="5"/>
  <c r="V370" i="5"/>
  <c r="U370" i="5"/>
  <c r="T370" i="5"/>
  <c r="S370" i="5"/>
  <c r="AT370" i="5" s="1"/>
  <c r="R370" i="5" a="1"/>
  <c r="R370" i="5" s="1"/>
  <c r="AU369" i="5"/>
  <c r="AN369" i="5"/>
  <c r="AM369" i="5"/>
  <c r="AL369" i="5"/>
  <c r="AK369" i="5"/>
  <c r="AH369" i="5"/>
  <c r="AJ369" i="5" s="1"/>
  <c r="AG369" i="5"/>
  <c r="AF369" i="5"/>
  <c r="AE369" i="5"/>
  <c r="AD369" i="5"/>
  <c r="AB369" i="5"/>
  <c r="AC369" i="5" s="1"/>
  <c r="Z369" i="5"/>
  <c r="Y369" i="5"/>
  <c r="X369" i="5"/>
  <c r="W369" i="5"/>
  <c r="V369" i="5"/>
  <c r="U369" i="5"/>
  <c r="T369" i="5"/>
  <c r="S369" i="5"/>
  <c r="R369" i="5" a="1"/>
  <c r="R369" i="5" s="1"/>
  <c r="AU368" i="5"/>
  <c r="AN368" i="5"/>
  <c r="AM368" i="5"/>
  <c r="AL368" i="5"/>
  <c r="AK368" i="5"/>
  <c r="AH368" i="5"/>
  <c r="AJ368" i="5" s="1"/>
  <c r="AG368" i="5"/>
  <c r="AF368" i="5"/>
  <c r="AE368" i="5"/>
  <c r="AD368" i="5"/>
  <c r="AB368" i="5"/>
  <c r="AC368" i="5" s="1"/>
  <c r="Z368" i="5"/>
  <c r="Y368" i="5"/>
  <c r="X368" i="5"/>
  <c r="W368" i="5"/>
  <c r="V368" i="5"/>
  <c r="U368" i="5"/>
  <c r="T368" i="5"/>
  <c r="S368" i="5"/>
  <c r="AT368" i="5" s="1"/>
  <c r="R368" i="5" a="1"/>
  <c r="R368" i="5" s="1"/>
  <c r="AU367" i="5"/>
  <c r="AN367" i="5"/>
  <c r="AM367" i="5"/>
  <c r="AL367" i="5"/>
  <c r="AK367" i="5"/>
  <c r="AH367" i="5"/>
  <c r="AJ367" i="5" s="1"/>
  <c r="AG367" i="5"/>
  <c r="AF367" i="5"/>
  <c r="AE367" i="5"/>
  <c r="AD367" i="5"/>
  <c r="AB367" i="5"/>
  <c r="AC367" i="5" s="1"/>
  <c r="Z367" i="5"/>
  <c r="Y367" i="5"/>
  <c r="X367" i="5"/>
  <c r="W367" i="5"/>
  <c r="V367" i="5"/>
  <c r="U367" i="5"/>
  <c r="T367" i="5"/>
  <c r="S367" i="5"/>
  <c r="AT367" i="5" s="1"/>
  <c r="R367" i="5" a="1"/>
  <c r="R367" i="5" s="1"/>
  <c r="AU366" i="5"/>
  <c r="AN366" i="5"/>
  <c r="AM366" i="5"/>
  <c r="AL366" i="5"/>
  <c r="AK366" i="5"/>
  <c r="AH366" i="5"/>
  <c r="AJ366" i="5" s="1"/>
  <c r="AG366" i="5"/>
  <c r="AF366" i="5"/>
  <c r="AE366" i="5"/>
  <c r="AD366" i="5"/>
  <c r="AB366" i="5"/>
  <c r="AC366" i="5" s="1"/>
  <c r="Z366" i="5"/>
  <c r="Y366" i="5"/>
  <c r="X366" i="5"/>
  <c r="W366" i="5"/>
  <c r="V366" i="5"/>
  <c r="U366" i="5"/>
  <c r="T366" i="5"/>
  <c r="S366" i="5"/>
  <c r="AT366" i="5" s="1"/>
  <c r="R366" i="5" a="1"/>
  <c r="R366" i="5" s="1"/>
  <c r="AU365" i="5"/>
  <c r="AN365" i="5"/>
  <c r="AM365" i="5"/>
  <c r="AL365" i="5"/>
  <c r="AK365" i="5"/>
  <c r="AH365" i="5"/>
  <c r="AJ365" i="5" s="1"/>
  <c r="AG365" i="5"/>
  <c r="AF365" i="5"/>
  <c r="AE365" i="5"/>
  <c r="AD365" i="5"/>
  <c r="AB365" i="5"/>
  <c r="AC365" i="5" s="1"/>
  <c r="Z365" i="5"/>
  <c r="Y365" i="5"/>
  <c r="X365" i="5"/>
  <c r="W365" i="5"/>
  <c r="V365" i="5"/>
  <c r="U365" i="5"/>
  <c r="T365" i="5"/>
  <c r="S365" i="5"/>
  <c r="R365" i="5" a="1"/>
  <c r="R365" i="5" s="1"/>
  <c r="AU364" i="5"/>
  <c r="AN364" i="5"/>
  <c r="AM364" i="5"/>
  <c r="AL364" i="5"/>
  <c r="AK364" i="5"/>
  <c r="AH364" i="5"/>
  <c r="AJ364" i="5" s="1"/>
  <c r="AG364" i="5"/>
  <c r="AF364" i="5"/>
  <c r="AE364" i="5"/>
  <c r="AD364" i="5"/>
  <c r="AB364" i="5"/>
  <c r="AC364" i="5" s="1"/>
  <c r="Z364" i="5"/>
  <c r="Y364" i="5"/>
  <c r="X364" i="5"/>
  <c r="W364" i="5"/>
  <c r="V364" i="5"/>
  <c r="U364" i="5"/>
  <c r="T364" i="5"/>
  <c r="S364" i="5"/>
  <c r="AT364" i="5" s="1"/>
  <c r="R364" i="5" a="1"/>
  <c r="R364" i="5" s="1"/>
  <c r="AU363" i="5"/>
  <c r="AN363" i="5"/>
  <c r="AM363" i="5"/>
  <c r="AL363" i="5"/>
  <c r="AK363" i="5"/>
  <c r="AH363" i="5"/>
  <c r="AJ363" i="5" s="1"/>
  <c r="AG363" i="5"/>
  <c r="AF363" i="5"/>
  <c r="AE363" i="5"/>
  <c r="AD363" i="5"/>
  <c r="AB363" i="5"/>
  <c r="AC363" i="5" s="1"/>
  <c r="Z363" i="5"/>
  <c r="Y363" i="5"/>
  <c r="X363" i="5"/>
  <c r="W363" i="5"/>
  <c r="V363" i="5"/>
  <c r="U363" i="5"/>
  <c r="T363" i="5"/>
  <c r="S363" i="5"/>
  <c r="AT363" i="5" s="1"/>
  <c r="R363" i="5" a="1"/>
  <c r="R363" i="5" s="1"/>
  <c r="AU362" i="5"/>
  <c r="AN362" i="5"/>
  <c r="AM362" i="5"/>
  <c r="AL362" i="5"/>
  <c r="AK362" i="5"/>
  <c r="AH362" i="5"/>
  <c r="AJ362" i="5" s="1"/>
  <c r="AG362" i="5"/>
  <c r="AF362" i="5"/>
  <c r="AE362" i="5"/>
  <c r="AD362" i="5"/>
  <c r="AB362" i="5"/>
  <c r="AC362" i="5" s="1"/>
  <c r="Z362" i="5"/>
  <c r="Y362" i="5"/>
  <c r="X362" i="5"/>
  <c r="W362" i="5"/>
  <c r="V362" i="5"/>
  <c r="U362" i="5"/>
  <c r="T362" i="5"/>
  <c r="S362" i="5"/>
  <c r="AT362" i="5" s="1"/>
  <c r="R362" i="5" a="1"/>
  <c r="R362" i="5" s="1"/>
  <c r="AU361" i="5"/>
  <c r="AN361" i="5"/>
  <c r="AM361" i="5"/>
  <c r="AL361" i="5"/>
  <c r="AK361" i="5"/>
  <c r="AH361" i="5"/>
  <c r="AJ361" i="5" s="1"/>
  <c r="AG361" i="5"/>
  <c r="AF361" i="5"/>
  <c r="AE361" i="5"/>
  <c r="AD361" i="5"/>
  <c r="AB361" i="5"/>
  <c r="AC361" i="5" s="1"/>
  <c r="Z361" i="5"/>
  <c r="Y361" i="5"/>
  <c r="X361" i="5"/>
  <c r="W361" i="5"/>
  <c r="V361" i="5"/>
  <c r="U361" i="5"/>
  <c r="T361" i="5"/>
  <c r="S361" i="5"/>
  <c r="R361" i="5" a="1"/>
  <c r="R361" i="5" s="1"/>
  <c r="AU360" i="5"/>
  <c r="AN360" i="5"/>
  <c r="AM360" i="5"/>
  <c r="AL360" i="5"/>
  <c r="AK360" i="5"/>
  <c r="AH360" i="5"/>
  <c r="AJ360" i="5" s="1"/>
  <c r="AG360" i="5"/>
  <c r="AF360" i="5"/>
  <c r="AE360" i="5"/>
  <c r="AD360" i="5"/>
  <c r="AB360" i="5"/>
  <c r="AC360" i="5" s="1"/>
  <c r="Z360" i="5"/>
  <c r="Y360" i="5"/>
  <c r="X360" i="5"/>
  <c r="W360" i="5"/>
  <c r="V360" i="5"/>
  <c r="U360" i="5"/>
  <c r="T360" i="5"/>
  <c r="S360" i="5"/>
  <c r="R360" i="5" a="1"/>
  <c r="R360" i="5" s="1"/>
  <c r="AU359" i="5"/>
  <c r="AN359" i="5"/>
  <c r="AM359" i="5"/>
  <c r="AL359" i="5"/>
  <c r="AK359" i="5"/>
  <c r="AH359" i="5"/>
  <c r="AJ359" i="5" s="1"/>
  <c r="AG359" i="5"/>
  <c r="AF359" i="5"/>
  <c r="AE359" i="5"/>
  <c r="AD359" i="5"/>
  <c r="AB359" i="5"/>
  <c r="AC359" i="5" s="1"/>
  <c r="Z359" i="5"/>
  <c r="Y359" i="5"/>
  <c r="X359" i="5"/>
  <c r="W359" i="5"/>
  <c r="V359" i="5"/>
  <c r="U359" i="5"/>
  <c r="T359" i="5"/>
  <c r="S359" i="5"/>
  <c r="AT359" i="5" s="1"/>
  <c r="R359" i="5" a="1"/>
  <c r="R359" i="5" s="1"/>
  <c r="AU358" i="5"/>
  <c r="AN358" i="5"/>
  <c r="AM358" i="5"/>
  <c r="AL358" i="5"/>
  <c r="AK358" i="5"/>
  <c r="AH358" i="5"/>
  <c r="AJ358" i="5" s="1"/>
  <c r="AG358" i="5"/>
  <c r="AF358" i="5"/>
  <c r="AE358" i="5"/>
  <c r="AD358" i="5"/>
  <c r="AB358" i="5"/>
  <c r="AC358" i="5" s="1"/>
  <c r="Z358" i="5"/>
  <c r="Y358" i="5"/>
  <c r="X358" i="5"/>
  <c r="W358" i="5"/>
  <c r="V358" i="5"/>
  <c r="U358" i="5"/>
  <c r="T358" i="5"/>
  <c r="S358" i="5"/>
  <c r="AT358" i="5" s="1"/>
  <c r="R358" i="5" a="1"/>
  <c r="R358" i="5" s="1"/>
  <c r="AU357" i="5"/>
  <c r="AN357" i="5"/>
  <c r="AM357" i="5"/>
  <c r="AL357" i="5"/>
  <c r="AK357" i="5"/>
  <c r="AH357" i="5"/>
  <c r="AJ357" i="5" s="1"/>
  <c r="AG357" i="5"/>
  <c r="AF357" i="5"/>
  <c r="AE357" i="5"/>
  <c r="AD357" i="5"/>
  <c r="AB357" i="5"/>
  <c r="AC357" i="5" s="1"/>
  <c r="Z357" i="5"/>
  <c r="Y357" i="5"/>
  <c r="X357" i="5"/>
  <c r="W357" i="5"/>
  <c r="V357" i="5"/>
  <c r="U357" i="5"/>
  <c r="T357" i="5"/>
  <c r="S357" i="5"/>
  <c r="R357" i="5" a="1"/>
  <c r="R357" i="5" s="1"/>
  <c r="AU356" i="5"/>
  <c r="AN356" i="5"/>
  <c r="AM356" i="5"/>
  <c r="AL356" i="5"/>
  <c r="AK356" i="5"/>
  <c r="AH356" i="5"/>
  <c r="AJ356" i="5" s="1"/>
  <c r="AG356" i="5"/>
  <c r="AF356" i="5"/>
  <c r="AE356" i="5"/>
  <c r="AD356" i="5"/>
  <c r="AB356" i="5"/>
  <c r="AC356" i="5" s="1"/>
  <c r="Z356" i="5"/>
  <c r="Y356" i="5"/>
  <c r="X356" i="5"/>
  <c r="W356" i="5"/>
  <c r="V356" i="5"/>
  <c r="U356" i="5"/>
  <c r="T356" i="5"/>
  <c r="S356" i="5"/>
  <c r="AT356" i="5" s="1"/>
  <c r="R356" i="5" a="1"/>
  <c r="R356" i="5" s="1"/>
  <c r="AU355" i="5"/>
  <c r="AN355" i="5"/>
  <c r="AM355" i="5"/>
  <c r="AL355" i="5"/>
  <c r="AK355" i="5"/>
  <c r="AH355" i="5"/>
  <c r="AJ355" i="5" s="1"/>
  <c r="AG355" i="5"/>
  <c r="AF355" i="5"/>
  <c r="AE355" i="5"/>
  <c r="AD355" i="5"/>
  <c r="AB355" i="5"/>
  <c r="AC355" i="5" s="1"/>
  <c r="Z355" i="5"/>
  <c r="Y355" i="5"/>
  <c r="X355" i="5"/>
  <c r="W355" i="5"/>
  <c r="V355" i="5"/>
  <c r="U355" i="5"/>
  <c r="T355" i="5"/>
  <c r="S355" i="5"/>
  <c r="AT355" i="5" s="1"/>
  <c r="R355" i="5" a="1"/>
  <c r="R355" i="5" s="1"/>
  <c r="AU354" i="5"/>
  <c r="AN354" i="5"/>
  <c r="AM354" i="5"/>
  <c r="AL354" i="5"/>
  <c r="AK354" i="5"/>
  <c r="AH354" i="5"/>
  <c r="AJ354" i="5" s="1"/>
  <c r="AG354" i="5"/>
  <c r="AF354" i="5"/>
  <c r="AE354" i="5"/>
  <c r="AD354" i="5"/>
  <c r="AB354" i="5"/>
  <c r="AC354" i="5" s="1"/>
  <c r="Z354" i="5"/>
  <c r="Y354" i="5"/>
  <c r="X354" i="5"/>
  <c r="W354" i="5"/>
  <c r="V354" i="5"/>
  <c r="U354" i="5"/>
  <c r="T354" i="5"/>
  <c r="S354" i="5"/>
  <c r="AT354" i="5" s="1"/>
  <c r="R354" i="5" a="1"/>
  <c r="R354" i="5" s="1"/>
  <c r="AU353" i="5"/>
  <c r="AN353" i="5"/>
  <c r="AM353" i="5"/>
  <c r="AL353" i="5"/>
  <c r="AK353" i="5"/>
  <c r="AH353" i="5"/>
  <c r="AJ353" i="5" s="1"/>
  <c r="AG353" i="5"/>
  <c r="AF353" i="5"/>
  <c r="AE353" i="5"/>
  <c r="AD353" i="5"/>
  <c r="AB353" i="5"/>
  <c r="AC353" i="5" s="1"/>
  <c r="Z353" i="5"/>
  <c r="Y353" i="5"/>
  <c r="X353" i="5"/>
  <c r="W353" i="5"/>
  <c r="V353" i="5"/>
  <c r="U353" i="5"/>
  <c r="T353" i="5"/>
  <c r="S353" i="5"/>
  <c r="R353" i="5" a="1"/>
  <c r="R353" i="5" s="1"/>
  <c r="AU352" i="5"/>
  <c r="AN352" i="5"/>
  <c r="AM352" i="5"/>
  <c r="AL352" i="5"/>
  <c r="AK352" i="5"/>
  <c r="AH352" i="5"/>
  <c r="AJ352" i="5" s="1"/>
  <c r="AG352" i="5"/>
  <c r="AF352" i="5"/>
  <c r="AE352" i="5"/>
  <c r="AD352" i="5"/>
  <c r="AB352" i="5"/>
  <c r="AC352" i="5" s="1"/>
  <c r="Z352" i="5"/>
  <c r="Y352" i="5"/>
  <c r="X352" i="5"/>
  <c r="W352" i="5"/>
  <c r="V352" i="5"/>
  <c r="U352" i="5"/>
  <c r="T352" i="5"/>
  <c r="S352" i="5"/>
  <c r="AT352" i="5" s="1"/>
  <c r="R352" i="5" a="1"/>
  <c r="R352" i="5" s="1"/>
  <c r="AU351" i="5"/>
  <c r="AN351" i="5"/>
  <c r="AM351" i="5"/>
  <c r="AL351" i="5"/>
  <c r="AK351" i="5"/>
  <c r="AH351" i="5"/>
  <c r="AJ351" i="5" s="1"/>
  <c r="AG351" i="5"/>
  <c r="AF351" i="5"/>
  <c r="AE351" i="5"/>
  <c r="AD351" i="5"/>
  <c r="AB351" i="5"/>
  <c r="AC351" i="5" s="1"/>
  <c r="Z351" i="5"/>
  <c r="Y351" i="5"/>
  <c r="X351" i="5"/>
  <c r="W351" i="5"/>
  <c r="V351" i="5"/>
  <c r="U351" i="5"/>
  <c r="T351" i="5"/>
  <c r="S351" i="5"/>
  <c r="AT351" i="5" s="1"/>
  <c r="R351" i="5" a="1"/>
  <c r="R351" i="5" s="1"/>
  <c r="AU350" i="5"/>
  <c r="AN350" i="5"/>
  <c r="AM350" i="5"/>
  <c r="AL350" i="5"/>
  <c r="AK350" i="5"/>
  <c r="AH350" i="5"/>
  <c r="AJ350" i="5" s="1"/>
  <c r="AG350" i="5"/>
  <c r="AF350" i="5"/>
  <c r="AE350" i="5"/>
  <c r="AD350" i="5"/>
  <c r="AB350" i="5"/>
  <c r="AC350" i="5" s="1"/>
  <c r="Z350" i="5"/>
  <c r="Y350" i="5"/>
  <c r="X350" i="5"/>
  <c r="W350" i="5"/>
  <c r="V350" i="5"/>
  <c r="U350" i="5"/>
  <c r="T350" i="5"/>
  <c r="S350" i="5"/>
  <c r="AT350" i="5" s="1"/>
  <c r="R350" i="5" a="1"/>
  <c r="R350" i="5" s="1"/>
  <c r="AU349" i="5"/>
  <c r="AN349" i="5"/>
  <c r="AM349" i="5"/>
  <c r="AL349" i="5"/>
  <c r="AK349" i="5"/>
  <c r="AH349" i="5"/>
  <c r="AJ349" i="5" s="1"/>
  <c r="AG349" i="5"/>
  <c r="AF349" i="5"/>
  <c r="AE349" i="5"/>
  <c r="AD349" i="5"/>
  <c r="AB349" i="5"/>
  <c r="AC349" i="5" s="1"/>
  <c r="Z349" i="5"/>
  <c r="Y349" i="5"/>
  <c r="X349" i="5"/>
  <c r="W349" i="5"/>
  <c r="V349" i="5"/>
  <c r="U349" i="5"/>
  <c r="T349" i="5"/>
  <c r="S349" i="5"/>
  <c r="R349" i="5" a="1"/>
  <c r="R349" i="5" s="1"/>
  <c r="AU348" i="5"/>
  <c r="AN348" i="5"/>
  <c r="AM348" i="5"/>
  <c r="AL348" i="5"/>
  <c r="AK348" i="5"/>
  <c r="AH348" i="5"/>
  <c r="AJ348" i="5" s="1"/>
  <c r="AG348" i="5"/>
  <c r="AF348" i="5"/>
  <c r="AE348" i="5"/>
  <c r="AD348" i="5"/>
  <c r="AB348" i="5"/>
  <c r="AC348" i="5" s="1"/>
  <c r="Z348" i="5"/>
  <c r="Y348" i="5"/>
  <c r="X348" i="5"/>
  <c r="W348" i="5"/>
  <c r="V348" i="5"/>
  <c r="U348" i="5"/>
  <c r="T348" i="5"/>
  <c r="S348" i="5"/>
  <c r="AT348" i="5" s="1"/>
  <c r="R348" i="5" a="1"/>
  <c r="R348" i="5" s="1"/>
  <c r="AU347" i="5"/>
  <c r="AN347" i="5"/>
  <c r="AM347" i="5"/>
  <c r="AL347" i="5"/>
  <c r="AK347" i="5"/>
  <c r="AH347" i="5"/>
  <c r="AJ347" i="5" s="1"/>
  <c r="AG347" i="5"/>
  <c r="AF347" i="5"/>
  <c r="AE347" i="5"/>
  <c r="AD347" i="5"/>
  <c r="AB347" i="5"/>
  <c r="AC347" i="5" s="1"/>
  <c r="Z347" i="5"/>
  <c r="Y347" i="5"/>
  <c r="X347" i="5"/>
  <c r="W347" i="5"/>
  <c r="V347" i="5"/>
  <c r="U347" i="5"/>
  <c r="T347" i="5"/>
  <c r="S347" i="5"/>
  <c r="AT347" i="5" s="1"/>
  <c r="R347" i="5" a="1"/>
  <c r="R347" i="5" s="1"/>
  <c r="AU346" i="5"/>
  <c r="AN346" i="5"/>
  <c r="AM346" i="5"/>
  <c r="AL346" i="5"/>
  <c r="AK346" i="5"/>
  <c r="AH346" i="5"/>
  <c r="AJ346" i="5" s="1"/>
  <c r="AG346" i="5"/>
  <c r="AF346" i="5"/>
  <c r="AE346" i="5"/>
  <c r="AD346" i="5"/>
  <c r="AB346" i="5"/>
  <c r="AC346" i="5" s="1"/>
  <c r="Z346" i="5"/>
  <c r="Y346" i="5"/>
  <c r="X346" i="5"/>
  <c r="W346" i="5"/>
  <c r="V346" i="5"/>
  <c r="U346" i="5"/>
  <c r="T346" i="5"/>
  <c r="S346" i="5"/>
  <c r="AT346" i="5" s="1"/>
  <c r="R346" i="5" a="1"/>
  <c r="R346" i="5" s="1"/>
  <c r="AU345" i="5"/>
  <c r="AN345" i="5"/>
  <c r="AM345" i="5"/>
  <c r="AL345" i="5"/>
  <c r="AK345" i="5"/>
  <c r="AH345" i="5"/>
  <c r="AJ345" i="5" s="1"/>
  <c r="AG345" i="5"/>
  <c r="AF345" i="5"/>
  <c r="AE345" i="5"/>
  <c r="AD345" i="5"/>
  <c r="AB345" i="5"/>
  <c r="AC345" i="5" s="1"/>
  <c r="Z345" i="5"/>
  <c r="Y345" i="5"/>
  <c r="X345" i="5"/>
  <c r="W345" i="5"/>
  <c r="V345" i="5"/>
  <c r="U345" i="5"/>
  <c r="T345" i="5"/>
  <c r="S345" i="5"/>
  <c r="R345" i="5" a="1"/>
  <c r="R345" i="5" s="1"/>
  <c r="AU344" i="5"/>
  <c r="AN344" i="5"/>
  <c r="AM344" i="5"/>
  <c r="AL344" i="5"/>
  <c r="AK344" i="5"/>
  <c r="AH344" i="5"/>
  <c r="AJ344" i="5" s="1"/>
  <c r="AG344" i="5"/>
  <c r="AF344" i="5"/>
  <c r="AE344" i="5"/>
  <c r="AD344" i="5"/>
  <c r="AB344" i="5"/>
  <c r="AC344" i="5" s="1"/>
  <c r="Z344" i="5"/>
  <c r="Y344" i="5"/>
  <c r="X344" i="5"/>
  <c r="W344" i="5"/>
  <c r="V344" i="5"/>
  <c r="U344" i="5"/>
  <c r="T344" i="5"/>
  <c r="S344" i="5"/>
  <c r="AT344" i="5" s="1"/>
  <c r="R344" i="5" a="1"/>
  <c r="R344" i="5" s="1"/>
  <c r="AU343" i="5"/>
  <c r="AN343" i="5"/>
  <c r="AM343" i="5"/>
  <c r="AL343" i="5"/>
  <c r="AK343" i="5"/>
  <c r="AH343" i="5"/>
  <c r="AJ343" i="5" s="1"/>
  <c r="AG343" i="5"/>
  <c r="AF343" i="5"/>
  <c r="AE343" i="5"/>
  <c r="AD343" i="5"/>
  <c r="AB343" i="5"/>
  <c r="AC343" i="5" s="1"/>
  <c r="Z343" i="5"/>
  <c r="Y343" i="5"/>
  <c r="X343" i="5"/>
  <c r="W343" i="5"/>
  <c r="V343" i="5"/>
  <c r="U343" i="5"/>
  <c r="T343" i="5"/>
  <c r="S343" i="5"/>
  <c r="AT343" i="5" s="1"/>
  <c r="R343" i="5" a="1"/>
  <c r="R343" i="5" s="1"/>
  <c r="AU342" i="5"/>
  <c r="AN342" i="5"/>
  <c r="AM342" i="5"/>
  <c r="AL342" i="5"/>
  <c r="AK342" i="5"/>
  <c r="AH342" i="5"/>
  <c r="AJ342" i="5" s="1"/>
  <c r="AG342" i="5"/>
  <c r="AF342" i="5"/>
  <c r="AE342" i="5"/>
  <c r="AD342" i="5"/>
  <c r="AB342" i="5"/>
  <c r="AC342" i="5" s="1"/>
  <c r="Z342" i="5"/>
  <c r="Y342" i="5"/>
  <c r="X342" i="5"/>
  <c r="W342" i="5"/>
  <c r="V342" i="5"/>
  <c r="U342" i="5"/>
  <c r="T342" i="5"/>
  <c r="S342" i="5"/>
  <c r="AT342" i="5" s="1"/>
  <c r="R342" i="5" a="1"/>
  <c r="R342" i="5" s="1"/>
  <c r="AU341" i="5"/>
  <c r="AN341" i="5"/>
  <c r="AM341" i="5"/>
  <c r="AL341" i="5"/>
  <c r="AK341" i="5"/>
  <c r="AH341" i="5"/>
  <c r="AJ341" i="5" s="1"/>
  <c r="AG341" i="5"/>
  <c r="AF341" i="5"/>
  <c r="AE341" i="5"/>
  <c r="AD341" i="5"/>
  <c r="AB341" i="5"/>
  <c r="AC341" i="5" s="1"/>
  <c r="Z341" i="5"/>
  <c r="Y341" i="5"/>
  <c r="X341" i="5"/>
  <c r="W341" i="5"/>
  <c r="V341" i="5"/>
  <c r="U341" i="5"/>
  <c r="T341" i="5"/>
  <c r="S341" i="5"/>
  <c r="R341" i="5" a="1"/>
  <c r="R341" i="5" s="1"/>
  <c r="AU340" i="5"/>
  <c r="AN340" i="5"/>
  <c r="AM340" i="5"/>
  <c r="AL340" i="5"/>
  <c r="AK340" i="5"/>
  <c r="AH340" i="5"/>
  <c r="AJ340" i="5" s="1"/>
  <c r="AG340" i="5"/>
  <c r="AF340" i="5"/>
  <c r="AE340" i="5"/>
  <c r="AD340" i="5"/>
  <c r="AB340" i="5"/>
  <c r="AC340" i="5" s="1"/>
  <c r="Z340" i="5"/>
  <c r="Y340" i="5"/>
  <c r="X340" i="5"/>
  <c r="W340" i="5"/>
  <c r="V340" i="5"/>
  <c r="U340" i="5"/>
  <c r="T340" i="5"/>
  <c r="S340" i="5"/>
  <c r="AT340" i="5" s="1"/>
  <c r="R340" i="5" a="1"/>
  <c r="R340" i="5" s="1"/>
  <c r="AU339" i="5"/>
  <c r="AN339" i="5"/>
  <c r="AM339" i="5"/>
  <c r="AL339" i="5"/>
  <c r="AK339" i="5"/>
  <c r="AH339" i="5"/>
  <c r="AJ339" i="5" s="1"/>
  <c r="AG339" i="5"/>
  <c r="AF339" i="5"/>
  <c r="AE339" i="5"/>
  <c r="AD339" i="5"/>
  <c r="AB339" i="5"/>
  <c r="AC339" i="5" s="1"/>
  <c r="Z339" i="5"/>
  <c r="Y339" i="5"/>
  <c r="X339" i="5"/>
  <c r="W339" i="5"/>
  <c r="V339" i="5"/>
  <c r="U339" i="5"/>
  <c r="T339" i="5"/>
  <c r="S339" i="5"/>
  <c r="AT339" i="5" s="1"/>
  <c r="R339" i="5" a="1"/>
  <c r="R339" i="5" s="1"/>
  <c r="AU338" i="5"/>
  <c r="AN338" i="5"/>
  <c r="AM338" i="5"/>
  <c r="AL338" i="5"/>
  <c r="AK338" i="5"/>
  <c r="AH338" i="5"/>
  <c r="AJ338" i="5" s="1"/>
  <c r="AG338" i="5"/>
  <c r="AF338" i="5"/>
  <c r="AE338" i="5"/>
  <c r="AD338" i="5"/>
  <c r="AB338" i="5"/>
  <c r="AC338" i="5" s="1"/>
  <c r="Z338" i="5"/>
  <c r="Y338" i="5"/>
  <c r="X338" i="5"/>
  <c r="W338" i="5"/>
  <c r="V338" i="5"/>
  <c r="U338" i="5"/>
  <c r="T338" i="5"/>
  <c r="S338" i="5"/>
  <c r="AT338" i="5" s="1"/>
  <c r="R338" i="5" a="1"/>
  <c r="R338" i="5" s="1"/>
  <c r="AU337" i="5"/>
  <c r="AN337" i="5"/>
  <c r="AM337" i="5"/>
  <c r="AL337" i="5"/>
  <c r="AK337" i="5"/>
  <c r="AH337" i="5"/>
  <c r="AJ337" i="5" s="1"/>
  <c r="AG337" i="5"/>
  <c r="AF337" i="5"/>
  <c r="AE337" i="5"/>
  <c r="AD337" i="5"/>
  <c r="AB337" i="5"/>
  <c r="AC337" i="5" s="1"/>
  <c r="Z337" i="5"/>
  <c r="Y337" i="5"/>
  <c r="X337" i="5"/>
  <c r="W337" i="5"/>
  <c r="V337" i="5"/>
  <c r="U337" i="5"/>
  <c r="T337" i="5"/>
  <c r="S337" i="5"/>
  <c r="R337" i="5" a="1"/>
  <c r="R337" i="5" s="1"/>
  <c r="AU336" i="5"/>
  <c r="AN336" i="5"/>
  <c r="AM336" i="5"/>
  <c r="AL336" i="5"/>
  <c r="AK336" i="5"/>
  <c r="AH336" i="5"/>
  <c r="AJ336" i="5" s="1"/>
  <c r="AG336" i="5"/>
  <c r="AF336" i="5"/>
  <c r="AE336" i="5"/>
  <c r="AD336" i="5"/>
  <c r="AB336" i="5"/>
  <c r="AC336" i="5" s="1"/>
  <c r="Z336" i="5"/>
  <c r="Y336" i="5"/>
  <c r="X336" i="5"/>
  <c r="W336" i="5"/>
  <c r="V336" i="5"/>
  <c r="U336" i="5"/>
  <c r="T336" i="5"/>
  <c r="S336" i="5"/>
  <c r="AT336" i="5" s="1"/>
  <c r="R336" i="5" a="1"/>
  <c r="R336" i="5" s="1"/>
  <c r="AU335" i="5"/>
  <c r="AN335" i="5"/>
  <c r="AM335" i="5"/>
  <c r="AL335" i="5"/>
  <c r="AK335" i="5"/>
  <c r="AH335" i="5"/>
  <c r="AJ335" i="5" s="1"/>
  <c r="AG335" i="5"/>
  <c r="AF335" i="5"/>
  <c r="AE335" i="5"/>
  <c r="AD335" i="5"/>
  <c r="AB335" i="5"/>
  <c r="AC335" i="5" s="1"/>
  <c r="Z335" i="5"/>
  <c r="Y335" i="5"/>
  <c r="X335" i="5"/>
  <c r="W335" i="5"/>
  <c r="V335" i="5"/>
  <c r="U335" i="5"/>
  <c r="T335" i="5"/>
  <c r="S335" i="5"/>
  <c r="AT335" i="5" s="1"/>
  <c r="R335" i="5" a="1"/>
  <c r="R335" i="5" s="1"/>
  <c r="AU334" i="5"/>
  <c r="AN334" i="5"/>
  <c r="AM334" i="5"/>
  <c r="AL334" i="5"/>
  <c r="AK334" i="5"/>
  <c r="AH334" i="5"/>
  <c r="AJ334" i="5" s="1"/>
  <c r="AG334" i="5"/>
  <c r="AF334" i="5"/>
  <c r="AE334" i="5"/>
  <c r="AD334" i="5"/>
  <c r="AB334" i="5"/>
  <c r="AC334" i="5" s="1"/>
  <c r="Z334" i="5"/>
  <c r="Y334" i="5"/>
  <c r="X334" i="5"/>
  <c r="W334" i="5"/>
  <c r="V334" i="5"/>
  <c r="U334" i="5"/>
  <c r="T334" i="5"/>
  <c r="S334" i="5"/>
  <c r="AT334" i="5" s="1"/>
  <c r="R334" i="5" a="1"/>
  <c r="R334" i="5" s="1"/>
  <c r="AU333" i="5"/>
  <c r="AN333" i="5"/>
  <c r="AM333" i="5"/>
  <c r="AL333" i="5"/>
  <c r="AK333" i="5"/>
  <c r="AH333" i="5"/>
  <c r="AJ333" i="5" s="1"/>
  <c r="AG333" i="5"/>
  <c r="AF333" i="5"/>
  <c r="AE333" i="5"/>
  <c r="AD333" i="5"/>
  <c r="AB333" i="5"/>
  <c r="AC333" i="5" s="1"/>
  <c r="Z333" i="5"/>
  <c r="Y333" i="5"/>
  <c r="X333" i="5"/>
  <c r="W333" i="5"/>
  <c r="V333" i="5"/>
  <c r="U333" i="5"/>
  <c r="T333" i="5"/>
  <c r="S333" i="5"/>
  <c r="R333" i="5" a="1"/>
  <c r="R333" i="5" s="1"/>
  <c r="AU332" i="5"/>
  <c r="AN332" i="5"/>
  <c r="AM332" i="5"/>
  <c r="AL332" i="5"/>
  <c r="AK332" i="5"/>
  <c r="AH332" i="5"/>
  <c r="AJ332" i="5" s="1"/>
  <c r="AG332" i="5"/>
  <c r="AF332" i="5"/>
  <c r="AE332" i="5"/>
  <c r="AD332" i="5"/>
  <c r="AB332" i="5"/>
  <c r="AC332" i="5" s="1"/>
  <c r="Z332" i="5"/>
  <c r="Y332" i="5"/>
  <c r="X332" i="5"/>
  <c r="W332" i="5"/>
  <c r="V332" i="5"/>
  <c r="U332" i="5"/>
  <c r="T332" i="5"/>
  <c r="S332" i="5"/>
  <c r="R332" i="5" a="1"/>
  <c r="R332" i="5" s="1"/>
  <c r="AU331" i="5"/>
  <c r="AN331" i="5"/>
  <c r="AM331" i="5"/>
  <c r="AL331" i="5"/>
  <c r="AK331" i="5"/>
  <c r="AH331" i="5"/>
  <c r="AJ331" i="5" s="1"/>
  <c r="AG331" i="5"/>
  <c r="AF331" i="5"/>
  <c r="AE331" i="5"/>
  <c r="AD331" i="5"/>
  <c r="AB331" i="5"/>
  <c r="AC331" i="5" s="1"/>
  <c r="Z331" i="5"/>
  <c r="Y331" i="5"/>
  <c r="X331" i="5"/>
  <c r="W331" i="5"/>
  <c r="V331" i="5"/>
  <c r="U331" i="5"/>
  <c r="T331" i="5"/>
  <c r="S331" i="5"/>
  <c r="R331" i="5" a="1"/>
  <c r="R331" i="5" s="1"/>
  <c r="AU330" i="5"/>
  <c r="AN330" i="5"/>
  <c r="AM330" i="5"/>
  <c r="AL330" i="5"/>
  <c r="AK330" i="5"/>
  <c r="AH330" i="5"/>
  <c r="AJ330" i="5" s="1"/>
  <c r="AG330" i="5"/>
  <c r="AF330" i="5"/>
  <c r="AE330" i="5"/>
  <c r="AD330" i="5"/>
  <c r="AB330" i="5"/>
  <c r="AC330" i="5" s="1"/>
  <c r="Z330" i="5"/>
  <c r="Y330" i="5"/>
  <c r="X330" i="5"/>
  <c r="W330" i="5"/>
  <c r="V330" i="5"/>
  <c r="U330" i="5"/>
  <c r="T330" i="5"/>
  <c r="S330" i="5"/>
  <c r="AT330" i="5" s="1"/>
  <c r="R330" i="5" a="1"/>
  <c r="R330" i="5" s="1"/>
  <c r="AU329" i="5"/>
  <c r="AN329" i="5"/>
  <c r="AM329" i="5"/>
  <c r="AL329" i="5"/>
  <c r="AK329" i="5"/>
  <c r="AH329" i="5"/>
  <c r="AJ329" i="5" s="1"/>
  <c r="AG329" i="5"/>
  <c r="AF329" i="5"/>
  <c r="AE329" i="5"/>
  <c r="AD329" i="5"/>
  <c r="AB329" i="5"/>
  <c r="AC329" i="5" s="1"/>
  <c r="Z329" i="5"/>
  <c r="Y329" i="5"/>
  <c r="X329" i="5"/>
  <c r="W329" i="5"/>
  <c r="V329" i="5"/>
  <c r="U329" i="5"/>
  <c r="T329" i="5"/>
  <c r="S329" i="5"/>
  <c r="R329" i="5" a="1"/>
  <c r="R329" i="5" s="1"/>
  <c r="AU328" i="5"/>
  <c r="AN328" i="5"/>
  <c r="AM328" i="5"/>
  <c r="AL328" i="5"/>
  <c r="AK328" i="5"/>
  <c r="AH328" i="5"/>
  <c r="AJ328" i="5" s="1"/>
  <c r="AG328" i="5"/>
  <c r="AF328" i="5"/>
  <c r="AE328" i="5"/>
  <c r="AD328" i="5"/>
  <c r="AB328" i="5"/>
  <c r="AC328" i="5" s="1"/>
  <c r="Z328" i="5"/>
  <c r="Y328" i="5"/>
  <c r="X328" i="5"/>
  <c r="W328" i="5"/>
  <c r="V328" i="5"/>
  <c r="U328" i="5"/>
  <c r="T328" i="5"/>
  <c r="S328" i="5"/>
  <c r="R328" i="5" a="1"/>
  <c r="R328" i="5" s="1"/>
  <c r="AU327" i="5"/>
  <c r="AN327" i="5"/>
  <c r="AM327" i="5"/>
  <c r="AL327" i="5"/>
  <c r="AK327" i="5"/>
  <c r="AH327" i="5"/>
  <c r="AJ327" i="5" s="1"/>
  <c r="AG327" i="5"/>
  <c r="AF327" i="5"/>
  <c r="AE327" i="5"/>
  <c r="AD327" i="5"/>
  <c r="AB327" i="5"/>
  <c r="AC327" i="5" s="1"/>
  <c r="Z327" i="5"/>
  <c r="Y327" i="5"/>
  <c r="X327" i="5"/>
  <c r="W327" i="5"/>
  <c r="V327" i="5"/>
  <c r="U327" i="5"/>
  <c r="T327" i="5"/>
  <c r="S327" i="5"/>
  <c r="AT327" i="5" s="1"/>
  <c r="R327" i="5" a="1"/>
  <c r="R327" i="5" s="1"/>
  <c r="AU326" i="5"/>
  <c r="AN326" i="5"/>
  <c r="AM326" i="5"/>
  <c r="AL326" i="5"/>
  <c r="AK326" i="5"/>
  <c r="AH326" i="5"/>
  <c r="AJ326" i="5" s="1"/>
  <c r="AG326" i="5"/>
  <c r="AF326" i="5"/>
  <c r="AE326" i="5"/>
  <c r="AD326" i="5"/>
  <c r="AB326" i="5"/>
  <c r="AC326" i="5" s="1"/>
  <c r="Z326" i="5"/>
  <c r="Y326" i="5"/>
  <c r="X326" i="5"/>
  <c r="W326" i="5"/>
  <c r="V326" i="5"/>
  <c r="U326" i="5"/>
  <c r="T326" i="5"/>
  <c r="S326" i="5"/>
  <c r="AT326" i="5" s="1"/>
  <c r="R326" i="5" a="1"/>
  <c r="R326" i="5" s="1"/>
  <c r="AU325" i="5"/>
  <c r="AN325" i="5"/>
  <c r="AM325" i="5"/>
  <c r="AL325" i="5"/>
  <c r="AK325" i="5"/>
  <c r="AH325" i="5"/>
  <c r="AJ325" i="5" s="1"/>
  <c r="AG325" i="5"/>
  <c r="AF325" i="5"/>
  <c r="AE325" i="5"/>
  <c r="AD325" i="5"/>
  <c r="AB325" i="5"/>
  <c r="AC325" i="5" s="1"/>
  <c r="Z325" i="5"/>
  <c r="Y325" i="5"/>
  <c r="X325" i="5"/>
  <c r="W325" i="5"/>
  <c r="V325" i="5"/>
  <c r="U325" i="5"/>
  <c r="T325" i="5"/>
  <c r="S325" i="5"/>
  <c r="AT325" i="5" s="1"/>
  <c r="R325" i="5" a="1"/>
  <c r="R325" i="5" s="1"/>
  <c r="AU324" i="5"/>
  <c r="AN324" i="5"/>
  <c r="AM324" i="5"/>
  <c r="AL324" i="5"/>
  <c r="AK324" i="5"/>
  <c r="AH324" i="5"/>
  <c r="AJ324" i="5" s="1"/>
  <c r="AG324" i="5"/>
  <c r="AF324" i="5"/>
  <c r="AE324" i="5"/>
  <c r="AD324" i="5"/>
  <c r="AB324" i="5"/>
  <c r="AC324" i="5" s="1"/>
  <c r="Z324" i="5"/>
  <c r="Y324" i="5"/>
  <c r="X324" i="5"/>
  <c r="W324" i="5"/>
  <c r="V324" i="5"/>
  <c r="U324" i="5"/>
  <c r="T324" i="5"/>
  <c r="S324" i="5"/>
  <c r="R324" i="5" a="1"/>
  <c r="R324" i="5" s="1"/>
  <c r="AU323" i="5"/>
  <c r="AN323" i="5"/>
  <c r="AM323" i="5"/>
  <c r="AL323" i="5"/>
  <c r="AK323" i="5"/>
  <c r="AH323" i="5"/>
  <c r="AJ323" i="5" s="1"/>
  <c r="AG323" i="5"/>
  <c r="AF323" i="5"/>
  <c r="AE323" i="5"/>
  <c r="AD323" i="5"/>
  <c r="AB323" i="5"/>
  <c r="AC323" i="5" s="1"/>
  <c r="Z323" i="5"/>
  <c r="Y323" i="5"/>
  <c r="X323" i="5"/>
  <c r="W323" i="5"/>
  <c r="V323" i="5"/>
  <c r="U323" i="5"/>
  <c r="T323" i="5"/>
  <c r="S323" i="5"/>
  <c r="AT323" i="5" s="1"/>
  <c r="R323" i="5" a="1"/>
  <c r="R323" i="5" s="1"/>
  <c r="AU322" i="5"/>
  <c r="AN322" i="5"/>
  <c r="AM322" i="5"/>
  <c r="AL322" i="5"/>
  <c r="AK322" i="5"/>
  <c r="AH322" i="5"/>
  <c r="AJ322" i="5" s="1"/>
  <c r="AG322" i="5"/>
  <c r="AF322" i="5"/>
  <c r="AE322" i="5"/>
  <c r="AD322" i="5"/>
  <c r="AB322" i="5"/>
  <c r="AC322" i="5" s="1"/>
  <c r="Z322" i="5"/>
  <c r="Y322" i="5"/>
  <c r="X322" i="5"/>
  <c r="W322" i="5"/>
  <c r="V322" i="5"/>
  <c r="U322" i="5"/>
  <c r="T322" i="5"/>
  <c r="S322" i="5"/>
  <c r="AT322" i="5" s="1"/>
  <c r="R322" i="5" a="1"/>
  <c r="R322" i="5" s="1"/>
  <c r="AU321" i="5"/>
  <c r="AN321" i="5"/>
  <c r="AM321" i="5"/>
  <c r="AL321" i="5"/>
  <c r="AK321" i="5"/>
  <c r="AH321" i="5"/>
  <c r="AJ321" i="5" s="1"/>
  <c r="AG321" i="5"/>
  <c r="AF321" i="5"/>
  <c r="AE321" i="5"/>
  <c r="AD321" i="5"/>
  <c r="AB321" i="5"/>
  <c r="AC321" i="5" s="1"/>
  <c r="Z321" i="5"/>
  <c r="Y321" i="5"/>
  <c r="X321" i="5"/>
  <c r="W321" i="5"/>
  <c r="V321" i="5"/>
  <c r="U321" i="5"/>
  <c r="T321" i="5"/>
  <c r="S321" i="5"/>
  <c r="R321" i="5" a="1"/>
  <c r="R321" i="5" s="1"/>
  <c r="AU320" i="5"/>
  <c r="AN320" i="5"/>
  <c r="AM320" i="5"/>
  <c r="AL320" i="5"/>
  <c r="AK320" i="5"/>
  <c r="AH320" i="5"/>
  <c r="AJ320" i="5" s="1"/>
  <c r="AG320" i="5"/>
  <c r="AF320" i="5"/>
  <c r="AE320" i="5"/>
  <c r="AD320" i="5"/>
  <c r="AB320" i="5"/>
  <c r="AC320" i="5" s="1"/>
  <c r="Z320" i="5"/>
  <c r="Y320" i="5"/>
  <c r="X320" i="5"/>
  <c r="W320" i="5"/>
  <c r="V320" i="5"/>
  <c r="U320" i="5"/>
  <c r="T320" i="5"/>
  <c r="S320" i="5"/>
  <c r="AT320" i="5" s="1"/>
  <c r="R320" i="5" a="1"/>
  <c r="R320" i="5" s="1"/>
  <c r="AU319" i="5"/>
  <c r="AT319" i="5"/>
  <c r="AN319" i="5"/>
  <c r="AM319" i="5"/>
  <c r="AL319" i="5"/>
  <c r="AK319" i="5"/>
  <c r="AH319" i="5"/>
  <c r="AJ319" i="5" s="1"/>
  <c r="AG319" i="5"/>
  <c r="AF319" i="5"/>
  <c r="AE319" i="5"/>
  <c r="AD319" i="5"/>
  <c r="AB319" i="5"/>
  <c r="AC319" i="5" s="1"/>
  <c r="Z319" i="5"/>
  <c r="Y319" i="5"/>
  <c r="X319" i="5"/>
  <c r="W319" i="5"/>
  <c r="V319" i="5"/>
  <c r="U319" i="5"/>
  <c r="T319" i="5"/>
  <c r="S319" i="5"/>
  <c r="R319" i="5" a="1"/>
  <c r="R319" i="5" s="1"/>
  <c r="AU318" i="5"/>
  <c r="AN318" i="5"/>
  <c r="AM318" i="5"/>
  <c r="AL318" i="5"/>
  <c r="AK318" i="5"/>
  <c r="AH318" i="5"/>
  <c r="AJ318" i="5" s="1"/>
  <c r="AG318" i="5"/>
  <c r="AF318" i="5"/>
  <c r="AE318" i="5"/>
  <c r="AD318" i="5"/>
  <c r="AB318" i="5"/>
  <c r="AC318" i="5" s="1"/>
  <c r="Z318" i="5"/>
  <c r="Y318" i="5"/>
  <c r="X318" i="5"/>
  <c r="W318" i="5"/>
  <c r="V318" i="5"/>
  <c r="U318" i="5"/>
  <c r="T318" i="5"/>
  <c r="S318" i="5"/>
  <c r="AT318" i="5" s="1"/>
  <c r="R318" i="5" a="1"/>
  <c r="R318" i="5" s="1"/>
  <c r="AU317" i="5"/>
  <c r="AN317" i="5"/>
  <c r="AM317" i="5"/>
  <c r="AL317" i="5"/>
  <c r="AK317" i="5"/>
  <c r="AH317" i="5"/>
  <c r="AJ317" i="5" s="1"/>
  <c r="AG317" i="5"/>
  <c r="AF317" i="5"/>
  <c r="AE317" i="5"/>
  <c r="AD317" i="5"/>
  <c r="AB317" i="5"/>
  <c r="AC317" i="5" s="1"/>
  <c r="Z317" i="5"/>
  <c r="Y317" i="5"/>
  <c r="X317" i="5"/>
  <c r="W317" i="5"/>
  <c r="V317" i="5"/>
  <c r="U317" i="5"/>
  <c r="T317" i="5"/>
  <c r="S317" i="5"/>
  <c r="AT317" i="5" s="1"/>
  <c r="R317" i="5" a="1"/>
  <c r="R317" i="5" s="1"/>
  <c r="AU316" i="5"/>
  <c r="AN316" i="5"/>
  <c r="AM316" i="5"/>
  <c r="AL316" i="5"/>
  <c r="AK316" i="5"/>
  <c r="AH316" i="5"/>
  <c r="AJ316" i="5" s="1"/>
  <c r="AG316" i="5"/>
  <c r="AF316" i="5"/>
  <c r="AE316" i="5"/>
  <c r="AD316" i="5"/>
  <c r="AB316" i="5"/>
  <c r="AC316" i="5" s="1"/>
  <c r="Z316" i="5"/>
  <c r="Y316" i="5"/>
  <c r="X316" i="5"/>
  <c r="W316" i="5"/>
  <c r="V316" i="5"/>
  <c r="U316" i="5"/>
  <c r="T316" i="5"/>
  <c r="S316" i="5"/>
  <c r="R316" i="5" a="1"/>
  <c r="R316" i="5" s="1"/>
  <c r="AU315" i="5"/>
  <c r="AN315" i="5"/>
  <c r="AM315" i="5"/>
  <c r="AL315" i="5"/>
  <c r="AK315" i="5"/>
  <c r="AH315" i="5"/>
  <c r="AJ315" i="5" s="1"/>
  <c r="AG315" i="5"/>
  <c r="AF315" i="5"/>
  <c r="AE315" i="5"/>
  <c r="AD315" i="5"/>
  <c r="AB315" i="5"/>
  <c r="AC315" i="5" s="1"/>
  <c r="Z315" i="5"/>
  <c r="Y315" i="5"/>
  <c r="X315" i="5"/>
  <c r="W315" i="5"/>
  <c r="V315" i="5"/>
  <c r="U315" i="5"/>
  <c r="T315" i="5"/>
  <c r="S315" i="5"/>
  <c r="R315" i="5" a="1"/>
  <c r="R315" i="5" s="1"/>
  <c r="AU314" i="5"/>
  <c r="AT314" i="5"/>
  <c r="AN314" i="5"/>
  <c r="AM314" i="5"/>
  <c r="AL314" i="5"/>
  <c r="AK314" i="5"/>
  <c r="AH314" i="5"/>
  <c r="AJ314" i="5" s="1"/>
  <c r="AG314" i="5"/>
  <c r="AF314" i="5"/>
  <c r="AE314" i="5"/>
  <c r="AD314" i="5"/>
  <c r="AB314" i="5"/>
  <c r="AC314" i="5" s="1"/>
  <c r="Z314" i="5"/>
  <c r="Y314" i="5"/>
  <c r="X314" i="5"/>
  <c r="W314" i="5"/>
  <c r="V314" i="5"/>
  <c r="U314" i="5"/>
  <c r="T314" i="5"/>
  <c r="S314" i="5"/>
  <c r="R314" i="5" a="1"/>
  <c r="R314" i="5" s="1"/>
  <c r="AU313" i="5"/>
  <c r="AN313" i="5"/>
  <c r="AM313" i="5"/>
  <c r="AL313" i="5"/>
  <c r="AK313" i="5"/>
  <c r="AH313" i="5"/>
  <c r="AJ313" i="5" s="1"/>
  <c r="AG313" i="5"/>
  <c r="AF313" i="5"/>
  <c r="AE313" i="5"/>
  <c r="AD313" i="5"/>
  <c r="AB313" i="5"/>
  <c r="AC313" i="5" s="1"/>
  <c r="Z313" i="5"/>
  <c r="Y313" i="5"/>
  <c r="X313" i="5"/>
  <c r="W313" i="5"/>
  <c r="V313" i="5"/>
  <c r="U313" i="5"/>
  <c r="T313" i="5"/>
  <c r="S313" i="5"/>
  <c r="R313" i="5" a="1"/>
  <c r="R313" i="5" s="1"/>
  <c r="AU312" i="5"/>
  <c r="AN312" i="5"/>
  <c r="AM312" i="5"/>
  <c r="AL312" i="5"/>
  <c r="AK312" i="5"/>
  <c r="AH312" i="5"/>
  <c r="AJ312" i="5" s="1"/>
  <c r="AG312" i="5"/>
  <c r="AF312" i="5"/>
  <c r="AE312" i="5"/>
  <c r="AD312" i="5"/>
  <c r="AB312" i="5"/>
  <c r="AC312" i="5" s="1"/>
  <c r="Z312" i="5"/>
  <c r="Y312" i="5"/>
  <c r="X312" i="5"/>
  <c r="W312" i="5"/>
  <c r="V312" i="5"/>
  <c r="U312" i="5"/>
  <c r="T312" i="5"/>
  <c r="S312" i="5"/>
  <c r="AT312" i="5" s="1"/>
  <c r="R312" i="5" a="1"/>
  <c r="R312" i="5" s="1"/>
  <c r="AU311" i="5"/>
  <c r="AN311" i="5"/>
  <c r="AM311" i="5"/>
  <c r="AL311" i="5"/>
  <c r="AK311" i="5"/>
  <c r="AH311" i="5"/>
  <c r="AJ311" i="5" s="1"/>
  <c r="AG311" i="5"/>
  <c r="AF311" i="5"/>
  <c r="AE311" i="5"/>
  <c r="AD311" i="5"/>
  <c r="AB311" i="5"/>
  <c r="AC311" i="5" s="1"/>
  <c r="Z311" i="5"/>
  <c r="Y311" i="5"/>
  <c r="X311" i="5"/>
  <c r="W311" i="5"/>
  <c r="V311" i="5"/>
  <c r="U311" i="5"/>
  <c r="T311" i="5"/>
  <c r="S311" i="5"/>
  <c r="AT311" i="5" s="1"/>
  <c r="R311" i="5" a="1"/>
  <c r="R311" i="5" s="1"/>
  <c r="AU310" i="5"/>
  <c r="AN310" i="5"/>
  <c r="AM310" i="5"/>
  <c r="AL310" i="5"/>
  <c r="AK310" i="5"/>
  <c r="AH310" i="5"/>
  <c r="AJ310" i="5" s="1"/>
  <c r="AG310" i="5"/>
  <c r="AF310" i="5"/>
  <c r="AE310" i="5"/>
  <c r="AD310" i="5"/>
  <c r="AB310" i="5"/>
  <c r="AC310" i="5" s="1"/>
  <c r="Z310" i="5"/>
  <c r="Y310" i="5"/>
  <c r="X310" i="5"/>
  <c r="W310" i="5"/>
  <c r="V310" i="5"/>
  <c r="U310" i="5"/>
  <c r="T310" i="5"/>
  <c r="S310" i="5"/>
  <c r="AT310" i="5" s="1"/>
  <c r="R310" i="5" a="1"/>
  <c r="R310" i="5" s="1"/>
  <c r="AU309" i="5"/>
  <c r="AN309" i="5"/>
  <c r="AM309" i="5"/>
  <c r="AL309" i="5"/>
  <c r="AK309" i="5"/>
  <c r="AH309" i="5"/>
  <c r="AJ309" i="5" s="1"/>
  <c r="AG309" i="5"/>
  <c r="AF309" i="5"/>
  <c r="AE309" i="5"/>
  <c r="AD309" i="5"/>
  <c r="AB309" i="5"/>
  <c r="AC309" i="5" s="1"/>
  <c r="Z309" i="5"/>
  <c r="Y309" i="5"/>
  <c r="X309" i="5"/>
  <c r="W309" i="5"/>
  <c r="V309" i="5"/>
  <c r="U309" i="5"/>
  <c r="T309" i="5"/>
  <c r="S309" i="5"/>
  <c r="AT309" i="5" s="1"/>
  <c r="R309" i="5" a="1"/>
  <c r="R309" i="5" s="1"/>
  <c r="AU308" i="5"/>
  <c r="AN308" i="5"/>
  <c r="AM308" i="5"/>
  <c r="AL308" i="5"/>
  <c r="AK308" i="5"/>
  <c r="AH308" i="5"/>
  <c r="AJ308" i="5" s="1"/>
  <c r="AG308" i="5"/>
  <c r="AF308" i="5"/>
  <c r="AE308" i="5"/>
  <c r="AD308" i="5"/>
  <c r="AB308" i="5"/>
  <c r="AC308" i="5" s="1"/>
  <c r="Z308" i="5"/>
  <c r="Y308" i="5"/>
  <c r="X308" i="5"/>
  <c r="W308" i="5"/>
  <c r="V308" i="5"/>
  <c r="U308" i="5"/>
  <c r="T308" i="5"/>
  <c r="S308" i="5"/>
  <c r="R308" i="5" a="1"/>
  <c r="R308" i="5" s="1"/>
  <c r="AU307" i="5"/>
  <c r="AN307" i="5"/>
  <c r="AM307" i="5"/>
  <c r="AL307" i="5"/>
  <c r="AK307" i="5"/>
  <c r="AH307" i="5"/>
  <c r="AJ307" i="5" s="1"/>
  <c r="AG307" i="5"/>
  <c r="AF307" i="5"/>
  <c r="AE307" i="5"/>
  <c r="AD307" i="5"/>
  <c r="AB307" i="5"/>
  <c r="AC307" i="5" s="1"/>
  <c r="Z307" i="5"/>
  <c r="Y307" i="5"/>
  <c r="X307" i="5"/>
  <c r="W307" i="5"/>
  <c r="V307" i="5"/>
  <c r="U307" i="5"/>
  <c r="T307" i="5"/>
  <c r="S307" i="5"/>
  <c r="AT307" i="5" s="1"/>
  <c r="R307" i="5" a="1"/>
  <c r="R307" i="5" s="1"/>
  <c r="AU306" i="5"/>
  <c r="AN306" i="5"/>
  <c r="AM306" i="5"/>
  <c r="AL306" i="5"/>
  <c r="AK306" i="5"/>
  <c r="AH306" i="5"/>
  <c r="AJ306" i="5" s="1"/>
  <c r="AG306" i="5"/>
  <c r="AF306" i="5"/>
  <c r="AE306" i="5"/>
  <c r="AD306" i="5"/>
  <c r="AB306" i="5"/>
  <c r="AC306" i="5" s="1"/>
  <c r="Z306" i="5"/>
  <c r="Y306" i="5"/>
  <c r="X306" i="5"/>
  <c r="W306" i="5"/>
  <c r="V306" i="5"/>
  <c r="U306" i="5"/>
  <c r="T306" i="5"/>
  <c r="S306" i="5"/>
  <c r="AT306" i="5" s="1"/>
  <c r="R306" i="5" a="1"/>
  <c r="R306" i="5" s="1"/>
  <c r="AU305" i="5"/>
  <c r="AN305" i="5"/>
  <c r="AM305" i="5"/>
  <c r="AL305" i="5"/>
  <c r="AK305" i="5"/>
  <c r="AH305" i="5"/>
  <c r="AJ305" i="5" s="1"/>
  <c r="AG305" i="5"/>
  <c r="AF305" i="5"/>
  <c r="AE305" i="5"/>
  <c r="AD305" i="5"/>
  <c r="AB305" i="5"/>
  <c r="AC305" i="5" s="1"/>
  <c r="Z305" i="5"/>
  <c r="Y305" i="5"/>
  <c r="X305" i="5"/>
  <c r="W305" i="5"/>
  <c r="V305" i="5"/>
  <c r="U305" i="5"/>
  <c r="T305" i="5"/>
  <c r="S305" i="5"/>
  <c r="R305" i="5" a="1"/>
  <c r="R305" i="5" s="1"/>
  <c r="AU304" i="5"/>
  <c r="AN304" i="5"/>
  <c r="AM304" i="5"/>
  <c r="AL304" i="5"/>
  <c r="AK304" i="5"/>
  <c r="AH304" i="5"/>
  <c r="AJ304" i="5" s="1"/>
  <c r="AG304" i="5"/>
  <c r="AF304" i="5"/>
  <c r="AE304" i="5"/>
  <c r="AD304" i="5"/>
  <c r="AB304" i="5"/>
  <c r="AC304" i="5" s="1"/>
  <c r="Z304" i="5"/>
  <c r="Y304" i="5"/>
  <c r="X304" i="5"/>
  <c r="W304" i="5"/>
  <c r="V304" i="5"/>
  <c r="U304" i="5"/>
  <c r="T304" i="5"/>
  <c r="S304" i="5"/>
  <c r="R304" i="5" a="1"/>
  <c r="R304" i="5" s="1"/>
  <c r="AU303" i="5"/>
  <c r="AN303" i="5"/>
  <c r="AM303" i="5"/>
  <c r="AL303" i="5"/>
  <c r="AK303" i="5"/>
  <c r="AH303" i="5"/>
  <c r="AJ303" i="5" s="1"/>
  <c r="AG303" i="5"/>
  <c r="AF303" i="5"/>
  <c r="AE303" i="5"/>
  <c r="AD303" i="5"/>
  <c r="AB303" i="5"/>
  <c r="AC303" i="5" s="1"/>
  <c r="Z303" i="5"/>
  <c r="Y303" i="5"/>
  <c r="X303" i="5"/>
  <c r="W303" i="5"/>
  <c r="V303" i="5"/>
  <c r="U303" i="5"/>
  <c r="T303" i="5"/>
  <c r="S303" i="5"/>
  <c r="AT303" i="5" s="1"/>
  <c r="R303" i="5" a="1"/>
  <c r="R303" i="5" s="1"/>
  <c r="AU302" i="5"/>
  <c r="AN302" i="5"/>
  <c r="AM302" i="5"/>
  <c r="AL302" i="5"/>
  <c r="AK302" i="5"/>
  <c r="AH302" i="5"/>
  <c r="AJ302" i="5" s="1"/>
  <c r="AG302" i="5"/>
  <c r="AF302" i="5"/>
  <c r="AE302" i="5"/>
  <c r="AD302" i="5"/>
  <c r="AB302" i="5"/>
  <c r="AC302" i="5" s="1"/>
  <c r="Z302" i="5"/>
  <c r="Y302" i="5"/>
  <c r="X302" i="5"/>
  <c r="W302" i="5"/>
  <c r="V302" i="5"/>
  <c r="U302" i="5"/>
  <c r="T302" i="5"/>
  <c r="S302" i="5"/>
  <c r="AT302" i="5" s="1"/>
  <c r="R302" i="5" a="1"/>
  <c r="R302" i="5" s="1"/>
  <c r="AU301" i="5"/>
  <c r="AN301" i="5"/>
  <c r="AM301" i="5"/>
  <c r="AL301" i="5"/>
  <c r="AK301" i="5"/>
  <c r="AH301" i="5"/>
  <c r="AJ301" i="5" s="1"/>
  <c r="AG301" i="5"/>
  <c r="AF301" i="5"/>
  <c r="AE301" i="5"/>
  <c r="AD301" i="5"/>
  <c r="AB301" i="5"/>
  <c r="AC301" i="5" s="1"/>
  <c r="Z301" i="5"/>
  <c r="Y301" i="5"/>
  <c r="X301" i="5"/>
  <c r="W301" i="5"/>
  <c r="V301" i="5"/>
  <c r="U301" i="5"/>
  <c r="T301" i="5"/>
  <c r="S301" i="5"/>
  <c r="AT301" i="5" s="1"/>
  <c r="R301" i="5" a="1"/>
  <c r="R301" i="5" s="1"/>
  <c r="AU300" i="5"/>
  <c r="AN300" i="5"/>
  <c r="AM300" i="5"/>
  <c r="AL300" i="5"/>
  <c r="AK300" i="5"/>
  <c r="AH300" i="5"/>
  <c r="AJ300" i="5" s="1"/>
  <c r="AG300" i="5"/>
  <c r="AF300" i="5"/>
  <c r="AE300" i="5"/>
  <c r="AD300" i="5"/>
  <c r="AB300" i="5"/>
  <c r="AC300" i="5" s="1"/>
  <c r="Z300" i="5"/>
  <c r="Y300" i="5"/>
  <c r="X300" i="5"/>
  <c r="W300" i="5"/>
  <c r="V300" i="5"/>
  <c r="U300" i="5"/>
  <c r="T300" i="5"/>
  <c r="S300" i="5"/>
  <c r="R300" i="5" a="1"/>
  <c r="R300" i="5" s="1"/>
  <c r="AU299" i="5"/>
  <c r="AN299" i="5"/>
  <c r="AM299" i="5"/>
  <c r="AL299" i="5"/>
  <c r="AK299" i="5"/>
  <c r="AH299" i="5"/>
  <c r="AJ299" i="5" s="1"/>
  <c r="AG299" i="5"/>
  <c r="AF299" i="5"/>
  <c r="AE299" i="5"/>
  <c r="AD299" i="5"/>
  <c r="AB299" i="5"/>
  <c r="AC299" i="5" s="1"/>
  <c r="Z299" i="5"/>
  <c r="Y299" i="5"/>
  <c r="X299" i="5"/>
  <c r="W299" i="5"/>
  <c r="V299" i="5"/>
  <c r="U299" i="5"/>
  <c r="T299" i="5"/>
  <c r="S299" i="5"/>
  <c r="R299" i="5" a="1"/>
  <c r="R299" i="5" s="1"/>
  <c r="AU298" i="5"/>
  <c r="AN298" i="5"/>
  <c r="AM298" i="5"/>
  <c r="AL298" i="5"/>
  <c r="AK298" i="5"/>
  <c r="AH298" i="5"/>
  <c r="AJ298" i="5" s="1"/>
  <c r="AG298" i="5"/>
  <c r="AF298" i="5"/>
  <c r="AE298" i="5"/>
  <c r="AD298" i="5"/>
  <c r="AB298" i="5"/>
  <c r="AC298" i="5" s="1"/>
  <c r="Z298" i="5"/>
  <c r="Y298" i="5"/>
  <c r="X298" i="5"/>
  <c r="W298" i="5"/>
  <c r="V298" i="5"/>
  <c r="U298" i="5"/>
  <c r="T298" i="5"/>
  <c r="S298" i="5"/>
  <c r="AT298" i="5" s="1"/>
  <c r="R298" i="5" a="1"/>
  <c r="R298" i="5" s="1"/>
  <c r="AU297" i="5"/>
  <c r="AN297" i="5"/>
  <c r="AM297" i="5"/>
  <c r="AL297" i="5"/>
  <c r="AK297" i="5"/>
  <c r="AH297" i="5"/>
  <c r="AJ297" i="5" s="1"/>
  <c r="AG297" i="5"/>
  <c r="AF297" i="5"/>
  <c r="AE297" i="5"/>
  <c r="AD297" i="5"/>
  <c r="AB297" i="5"/>
  <c r="AC297" i="5" s="1"/>
  <c r="Z297" i="5"/>
  <c r="Y297" i="5"/>
  <c r="X297" i="5"/>
  <c r="W297" i="5"/>
  <c r="V297" i="5"/>
  <c r="U297" i="5"/>
  <c r="T297" i="5"/>
  <c r="S297" i="5"/>
  <c r="AT297" i="5" s="1"/>
  <c r="R297" i="5" a="1"/>
  <c r="R297" i="5" s="1"/>
  <c r="AU296" i="5"/>
  <c r="AT296" i="5"/>
  <c r="AN296" i="5"/>
  <c r="AM296" i="5"/>
  <c r="AL296" i="5"/>
  <c r="AK296" i="5"/>
  <c r="AH296" i="5"/>
  <c r="AJ296" i="5" s="1"/>
  <c r="AG296" i="5"/>
  <c r="AF296" i="5"/>
  <c r="AE296" i="5"/>
  <c r="AD296" i="5"/>
  <c r="AB296" i="5"/>
  <c r="AC296" i="5" s="1"/>
  <c r="Z296" i="5"/>
  <c r="Y296" i="5"/>
  <c r="X296" i="5"/>
  <c r="W296" i="5"/>
  <c r="V296" i="5"/>
  <c r="U296" i="5"/>
  <c r="T296" i="5"/>
  <c r="S296" i="5"/>
  <c r="R296" i="5" a="1"/>
  <c r="R296" i="5" s="1"/>
  <c r="AU295" i="5"/>
  <c r="AN295" i="5"/>
  <c r="AM295" i="5"/>
  <c r="AL295" i="5"/>
  <c r="AK295" i="5"/>
  <c r="AH295" i="5"/>
  <c r="AJ295" i="5" s="1"/>
  <c r="AG295" i="5"/>
  <c r="AF295" i="5"/>
  <c r="AE295" i="5"/>
  <c r="AD295" i="5"/>
  <c r="AB295" i="5"/>
  <c r="AC295" i="5" s="1"/>
  <c r="Z295" i="5"/>
  <c r="Y295" i="5"/>
  <c r="X295" i="5"/>
  <c r="W295" i="5"/>
  <c r="V295" i="5"/>
  <c r="U295" i="5"/>
  <c r="T295" i="5"/>
  <c r="S295" i="5"/>
  <c r="R295" i="5" a="1"/>
  <c r="R295" i="5" s="1"/>
  <c r="AU294" i="5"/>
  <c r="AN294" i="5"/>
  <c r="AM294" i="5"/>
  <c r="AL294" i="5"/>
  <c r="AK294" i="5"/>
  <c r="AH294" i="5"/>
  <c r="AJ294" i="5" s="1"/>
  <c r="AG294" i="5"/>
  <c r="AF294" i="5"/>
  <c r="AE294" i="5"/>
  <c r="AD294" i="5"/>
  <c r="AB294" i="5"/>
  <c r="AC294" i="5" s="1"/>
  <c r="Z294" i="5"/>
  <c r="Y294" i="5"/>
  <c r="X294" i="5"/>
  <c r="W294" i="5"/>
  <c r="V294" i="5"/>
  <c r="U294" i="5"/>
  <c r="T294" i="5"/>
  <c r="S294" i="5"/>
  <c r="AT294" i="5" s="1"/>
  <c r="R294" i="5" a="1"/>
  <c r="R294" i="5" s="1"/>
  <c r="AU293" i="5"/>
  <c r="AN293" i="5"/>
  <c r="AM293" i="5"/>
  <c r="AL293" i="5"/>
  <c r="AK293" i="5"/>
  <c r="AH293" i="5"/>
  <c r="AJ293" i="5" s="1"/>
  <c r="AG293" i="5"/>
  <c r="AF293" i="5"/>
  <c r="AE293" i="5"/>
  <c r="AD293" i="5"/>
  <c r="AB293" i="5"/>
  <c r="AC293" i="5" s="1"/>
  <c r="Z293" i="5"/>
  <c r="Y293" i="5"/>
  <c r="X293" i="5"/>
  <c r="W293" i="5"/>
  <c r="V293" i="5"/>
  <c r="U293" i="5"/>
  <c r="T293" i="5"/>
  <c r="S293" i="5"/>
  <c r="R293" i="5" a="1"/>
  <c r="R293" i="5" s="1"/>
  <c r="AU292" i="5"/>
  <c r="AN292" i="5"/>
  <c r="AM292" i="5"/>
  <c r="AL292" i="5"/>
  <c r="AK292" i="5"/>
  <c r="AH292" i="5"/>
  <c r="AJ292" i="5" s="1"/>
  <c r="AG292" i="5"/>
  <c r="AF292" i="5"/>
  <c r="AE292" i="5"/>
  <c r="AD292" i="5"/>
  <c r="AB292" i="5"/>
  <c r="AC292" i="5" s="1"/>
  <c r="Z292" i="5"/>
  <c r="Y292" i="5"/>
  <c r="X292" i="5"/>
  <c r="W292" i="5"/>
  <c r="V292" i="5"/>
  <c r="U292" i="5"/>
  <c r="T292" i="5"/>
  <c r="S292" i="5"/>
  <c r="R292" i="5" a="1"/>
  <c r="R292" i="5" s="1"/>
  <c r="AU291" i="5"/>
  <c r="AN291" i="5"/>
  <c r="AM291" i="5"/>
  <c r="AL291" i="5"/>
  <c r="AK291" i="5"/>
  <c r="AH291" i="5"/>
  <c r="AJ291" i="5" s="1"/>
  <c r="AG291" i="5"/>
  <c r="AF291" i="5"/>
  <c r="AE291" i="5"/>
  <c r="AD291" i="5"/>
  <c r="AB291" i="5"/>
  <c r="AC291" i="5" s="1"/>
  <c r="Z291" i="5"/>
  <c r="Y291" i="5"/>
  <c r="X291" i="5"/>
  <c r="W291" i="5"/>
  <c r="V291" i="5"/>
  <c r="U291" i="5"/>
  <c r="T291" i="5"/>
  <c r="S291" i="5"/>
  <c r="AT291" i="5" s="1"/>
  <c r="R291" i="5" a="1"/>
  <c r="R291" i="5" s="1"/>
  <c r="AU290" i="5"/>
  <c r="AN290" i="5"/>
  <c r="AM290" i="5"/>
  <c r="AL290" i="5"/>
  <c r="AK290" i="5"/>
  <c r="AH290" i="5"/>
  <c r="AJ290" i="5" s="1"/>
  <c r="AG290" i="5"/>
  <c r="AF290" i="5"/>
  <c r="AE290" i="5"/>
  <c r="AD290" i="5"/>
  <c r="AB290" i="5"/>
  <c r="AC290" i="5" s="1"/>
  <c r="Z290" i="5"/>
  <c r="Y290" i="5"/>
  <c r="X290" i="5"/>
  <c r="W290" i="5"/>
  <c r="V290" i="5"/>
  <c r="U290" i="5"/>
  <c r="T290" i="5"/>
  <c r="S290" i="5"/>
  <c r="AT290" i="5" s="1"/>
  <c r="R290" i="5" a="1"/>
  <c r="R290" i="5" s="1"/>
  <c r="AU289" i="5"/>
  <c r="AN289" i="5"/>
  <c r="AM289" i="5"/>
  <c r="AL289" i="5"/>
  <c r="AK289" i="5"/>
  <c r="AH289" i="5"/>
  <c r="AJ289" i="5" s="1"/>
  <c r="AG289" i="5"/>
  <c r="AF289" i="5"/>
  <c r="AE289" i="5"/>
  <c r="AD289" i="5"/>
  <c r="AB289" i="5"/>
  <c r="AC289" i="5" s="1"/>
  <c r="Z289" i="5"/>
  <c r="Y289" i="5"/>
  <c r="X289" i="5"/>
  <c r="W289" i="5"/>
  <c r="V289" i="5"/>
  <c r="U289" i="5"/>
  <c r="T289" i="5"/>
  <c r="S289" i="5"/>
  <c r="R289" i="5" a="1"/>
  <c r="R289" i="5" s="1"/>
  <c r="AU288" i="5"/>
  <c r="AN288" i="5"/>
  <c r="AM288" i="5"/>
  <c r="AL288" i="5"/>
  <c r="AK288" i="5"/>
  <c r="AH288" i="5"/>
  <c r="AJ288" i="5" s="1"/>
  <c r="AG288" i="5"/>
  <c r="AF288" i="5"/>
  <c r="AE288" i="5"/>
  <c r="AD288" i="5"/>
  <c r="AB288" i="5"/>
  <c r="AC288" i="5" s="1"/>
  <c r="Z288" i="5"/>
  <c r="Y288" i="5"/>
  <c r="X288" i="5"/>
  <c r="W288" i="5"/>
  <c r="V288" i="5"/>
  <c r="U288" i="5"/>
  <c r="T288" i="5"/>
  <c r="S288" i="5"/>
  <c r="AT288" i="5" s="1"/>
  <c r="R288" i="5" a="1"/>
  <c r="R288" i="5" s="1"/>
  <c r="AU287" i="5"/>
  <c r="AN287" i="5"/>
  <c r="AM287" i="5"/>
  <c r="AL287" i="5"/>
  <c r="AK287" i="5"/>
  <c r="AH287" i="5"/>
  <c r="AJ287" i="5" s="1"/>
  <c r="AG287" i="5"/>
  <c r="AF287" i="5"/>
  <c r="AE287" i="5"/>
  <c r="AD287" i="5"/>
  <c r="AB287" i="5"/>
  <c r="AC287" i="5" s="1"/>
  <c r="Z287" i="5"/>
  <c r="Y287" i="5"/>
  <c r="X287" i="5"/>
  <c r="W287" i="5"/>
  <c r="V287" i="5"/>
  <c r="U287" i="5"/>
  <c r="T287" i="5"/>
  <c r="S287" i="5"/>
  <c r="R287" i="5" a="1"/>
  <c r="R287" i="5" s="1"/>
  <c r="AU286" i="5"/>
  <c r="AN286" i="5"/>
  <c r="AM286" i="5"/>
  <c r="AL286" i="5"/>
  <c r="AK286" i="5"/>
  <c r="AH286" i="5"/>
  <c r="AJ286" i="5" s="1"/>
  <c r="AG286" i="5"/>
  <c r="AF286" i="5"/>
  <c r="AE286" i="5"/>
  <c r="AD286" i="5"/>
  <c r="AB286" i="5"/>
  <c r="AC286" i="5" s="1"/>
  <c r="Z286" i="5"/>
  <c r="Y286" i="5"/>
  <c r="X286" i="5"/>
  <c r="W286" i="5"/>
  <c r="V286" i="5"/>
  <c r="U286" i="5"/>
  <c r="T286" i="5"/>
  <c r="S286" i="5"/>
  <c r="AT286" i="5" s="1"/>
  <c r="R286" i="5" a="1"/>
  <c r="R286" i="5" s="1"/>
  <c r="AU285" i="5"/>
  <c r="AN285" i="5"/>
  <c r="AM285" i="5"/>
  <c r="AL285" i="5"/>
  <c r="AK285" i="5"/>
  <c r="AH285" i="5"/>
  <c r="AJ285" i="5" s="1"/>
  <c r="AG285" i="5"/>
  <c r="AF285" i="5"/>
  <c r="AE285" i="5"/>
  <c r="AD285" i="5"/>
  <c r="AB285" i="5"/>
  <c r="AC285" i="5" s="1"/>
  <c r="Z285" i="5"/>
  <c r="Y285" i="5"/>
  <c r="X285" i="5"/>
  <c r="W285" i="5"/>
  <c r="V285" i="5"/>
  <c r="U285" i="5"/>
  <c r="T285" i="5"/>
  <c r="S285" i="5"/>
  <c r="R285" i="5" a="1"/>
  <c r="R285" i="5" s="1"/>
  <c r="AU284" i="5"/>
  <c r="AN284" i="5"/>
  <c r="AM284" i="5"/>
  <c r="AL284" i="5"/>
  <c r="AK284" i="5"/>
  <c r="AH284" i="5"/>
  <c r="AJ284" i="5" s="1"/>
  <c r="AG284" i="5"/>
  <c r="AF284" i="5"/>
  <c r="AE284" i="5"/>
  <c r="AD284" i="5"/>
  <c r="AB284" i="5"/>
  <c r="AC284" i="5" s="1"/>
  <c r="Z284" i="5"/>
  <c r="Y284" i="5"/>
  <c r="X284" i="5"/>
  <c r="W284" i="5"/>
  <c r="V284" i="5"/>
  <c r="U284" i="5"/>
  <c r="T284" i="5"/>
  <c r="S284" i="5"/>
  <c r="R284" i="5" a="1"/>
  <c r="R284" i="5" s="1"/>
  <c r="AU283" i="5"/>
  <c r="AN283" i="5"/>
  <c r="AM283" i="5"/>
  <c r="AL283" i="5"/>
  <c r="AK283" i="5"/>
  <c r="AH283" i="5"/>
  <c r="AJ283" i="5" s="1"/>
  <c r="AG283" i="5"/>
  <c r="AF283" i="5"/>
  <c r="AE283" i="5"/>
  <c r="AD283" i="5"/>
  <c r="AB283" i="5"/>
  <c r="AC283" i="5" s="1"/>
  <c r="Z283" i="5"/>
  <c r="Y283" i="5"/>
  <c r="X283" i="5"/>
  <c r="W283" i="5"/>
  <c r="V283" i="5"/>
  <c r="U283" i="5"/>
  <c r="T283" i="5"/>
  <c r="S283" i="5"/>
  <c r="AT283" i="5" s="1"/>
  <c r="R283" i="5" a="1"/>
  <c r="R283" i="5" s="1"/>
  <c r="AU282" i="5"/>
  <c r="AN282" i="5"/>
  <c r="AM282" i="5"/>
  <c r="AL282" i="5"/>
  <c r="AK282" i="5"/>
  <c r="AH282" i="5"/>
  <c r="AJ282" i="5" s="1"/>
  <c r="AG282" i="5"/>
  <c r="AF282" i="5"/>
  <c r="AE282" i="5"/>
  <c r="AD282" i="5"/>
  <c r="AB282" i="5"/>
  <c r="AC282" i="5" s="1"/>
  <c r="AR282" i="5" s="1"/>
  <c r="Z282" i="5"/>
  <c r="Y282" i="5"/>
  <c r="X282" i="5"/>
  <c r="W282" i="5"/>
  <c r="V282" i="5"/>
  <c r="U282" i="5"/>
  <c r="T282" i="5"/>
  <c r="S282" i="5"/>
  <c r="AT282" i="5" s="1"/>
  <c r="R282" i="5" a="1"/>
  <c r="R282" i="5" s="1"/>
  <c r="AU281" i="5"/>
  <c r="AN281" i="5"/>
  <c r="AM281" i="5"/>
  <c r="AL281" i="5"/>
  <c r="AK281" i="5"/>
  <c r="AH281" i="5"/>
  <c r="AJ281" i="5" s="1"/>
  <c r="AG281" i="5"/>
  <c r="AF281" i="5"/>
  <c r="AE281" i="5"/>
  <c r="AD281" i="5"/>
  <c r="AB281" i="5"/>
  <c r="AC281" i="5" s="1"/>
  <c r="Z281" i="5"/>
  <c r="Y281" i="5"/>
  <c r="X281" i="5"/>
  <c r="W281" i="5"/>
  <c r="V281" i="5"/>
  <c r="U281" i="5"/>
  <c r="T281" i="5"/>
  <c r="S281" i="5"/>
  <c r="R281" i="5" a="1"/>
  <c r="R281" i="5" s="1"/>
  <c r="AU280" i="5"/>
  <c r="AN280" i="5"/>
  <c r="AM280" i="5"/>
  <c r="AL280" i="5"/>
  <c r="AK280" i="5"/>
  <c r="AH280" i="5"/>
  <c r="AJ280" i="5" s="1"/>
  <c r="AG280" i="5"/>
  <c r="AF280" i="5"/>
  <c r="AE280" i="5"/>
  <c r="AD280" i="5"/>
  <c r="AB280" i="5"/>
  <c r="AC280" i="5" s="1"/>
  <c r="Z280" i="5"/>
  <c r="Y280" i="5"/>
  <c r="X280" i="5"/>
  <c r="W280" i="5"/>
  <c r="V280" i="5"/>
  <c r="U280" i="5"/>
  <c r="T280" i="5"/>
  <c r="S280" i="5"/>
  <c r="AT280" i="5" s="1"/>
  <c r="R280" i="5" a="1"/>
  <c r="R280" i="5" s="1"/>
  <c r="AU279" i="5"/>
  <c r="AN279" i="5"/>
  <c r="AM279" i="5"/>
  <c r="AL279" i="5"/>
  <c r="AK279" i="5"/>
  <c r="AH279" i="5"/>
  <c r="AJ279" i="5" s="1"/>
  <c r="AG279" i="5"/>
  <c r="AF279" i="5"/>
  <c r="AE279" i="5"/>
  <c r="AD279" i="5"/>
  <c r="AB279" i="5"/>
  <c r="AC279" i="5" s="1"/>
  <c r="Z279" i="5"/>
  <c r="Y279" i="5"/>
  <c r="X279" i="5"/>
  <c r="W279" i="5"/>
  <c r="V279" i="5"/>
  <c r="U279" i="5"/>
  <c r="T279" i="5"/>
  <c r="S279" i="5"/>
  <c r="R279" i="5" a="1"/>
  <c r="R279" i="5" s="1"/>
  <c r="AU278" i="5"/>
  <c r="AN278" i="5"/>
  <c r="AM278" i="5"/>
  <c r="AL278" i="5"/>
  <c r="AK278" i="5"/>
  <c r="AH278" i="5"/>
  <c r="AJ278" i="5" s="1"/>
  <c r="AG278" i="5"/>
  <c r="AF278" i="5"/>
  <c r="AE278" i="5"/>
  <c r="AD278" i="5"/>
  <c r="AB278" i="5"/>
  <c r="AC278" i="5" s="1"/>
  <c r="Z278" i="5"/>
  <c r="Y278" i="5"/>
  <c r="X278" i="5"/>
  <c r="W278" i="5"/>
  <c r="V278" i="5"/>
  <c r="U278" i="5"/>
  <c r="T278" i="5"/>
  <c r="S278" i="5"/>
  <c r="AT278" i="5" s="1"/>
  <c r="R278" i="5" a="1"/>
  <c r="R278" i="5" s="1"/>
  <c r="AU277" i="5"/>
  <c r="AN277" i="5"/>
  <c r="AM277" i="5"/>
  <c r="AL277" i="5"/>
  <c r="AK277" i="5"/>
  <c r="AH277" i="5"/>
  <c r="AJ277" i="5" s="1"/>
  <c r="AG277" i="5"/>
  <c r="AF277" i="5"/>
  <c r="AE277" i="5"/>
  <c r="AD277" i="5"/>
  <c r="AB277" i="5"/>
  <c r="AC277" i="5" s="1"/>
  <c r="Z277" i="5"/>
  <c r="Y277" i="5"/>
  <c r="X277" i="5"/>
  <c r="W277" i="5"/>
  <c r="V277" i="5"/>
  <c r="U277" i="5"/>
  <c r="T277" i="5"/>
  <c r="S277" i="5"/>
  <c r="R277" i="5" a="1"/>
  <c r="R277" i="5" s="1"/>
  <c r="AU276" i="5"/>
  <c r="AN276" i="5"/>
  <c r="AM276" i="5"/>
  <c r="AL276" i="5"/>
  <c r="AK276" i="5"/>
  <c r="AH276" i="5"/>
  <c r="AJ276" i="5" s="1"/>
  <c r="AG276" i="5"/>
  <c r="AF276" i="5"/>
  <c r="AE276" i="5"/>
  <c r="AD276" i="5"/>
  <c r="AB276" i="5"/>
  <c r="AC276" i="5" s="1"/>
  <c r="Z276" i="5"/>
  <c r="Y276" i="5"/>
  <c r="X276" i="5"/>
  <c r="W276" i="5"/>
  <c r="V276" i="5"/>
  <c r="U276" i="5"/>
  <c r="T276" i="5"/>
  <c r="S276" i="5"/>
  <c r="R276" i="5" a="1"/>
  <c r="R276" i="5" s="1"/>
  <c r="AU275" i="5"/>
  <c r="AN275" i="5"/>
  <c r="AM275" i="5"/>
  <c r="AL275" i="5"/>
  <c r="AK275" i="5"/>
  <c r="AH275" i="5"/>
  <c r="AJ275" i="5" s="1"/>
  <c r="AG275" i="5"/>
  <c r="AF275" i="5"/>
  <c r="AE275" i="5"/>
  <c r="AD275" i="5"/>
  <c r="AB275" i="5"/>
  <c r="AC275" i="5" s="1"/>
  <c r="Z275" i="5"/>
  <c r="Y275" i="5"/>
  <c r="X275" i="5"/>
  <c r="W275" i="5"/>
  <c r="V275" i="5"/>
  <c r="U275" i="5"/>
  <c r="T275" i="5"/>
  <c r="S275" i="5"/>
  <c r="R275" i="5" a="1"/>
  <c r="R275" i="5" s="1"/>
  <c r="AU274" i="5"/>
  <c r="AN274" i="5"/>
  <c r="AM274" i="5"/>
  <c r="AL274" i="5"/>
  <c r="AK274" i="5"/>
  <c r="AH274" i="5"/>
  <c r="AJ274" i="5" s="1"/>
  <c r="AG274" i="5"/>
  <c r="AF274" i="5"/>
  <c r="AE274" i="5"/>
  <c r="AD274" i="5"/>
  <c r="AB274" i="5"/>
  <c r="AC274" i="5" s="1"/>
  <c r="Z274" i="5"/>
  <c r="Y274" i="5"/>
  <c r="X274" i="5"/>
  <c r="W274" i="5"/>
  <c r="V274" i="5"/>
  <c r="U274" i="5"/>
  <c r="T274" i="5"/>
  <c r="S274" i="5"/>
  <c r="AT274" i="5" s="1"/>
  <c r="R274" i="5" a="1"/>
  <c r="R274" i="5" s="1"/>
  <c r="AU273" i="5"/>
  <c r="AN273" i="5"/>
  <c r="AM273" i="5"/>
  <c r="AL273" i="5"/>
  <c r="AK273" i="5"/>
  <c r="AH273" i="5"/>
  <c r="AJ273" i="5" s="1"/>
  <c r="AG273" i="5"/>
  <c r="AF273" i="5"/>
  <c r="AE273" i="5"/>
  <c r="AD273" i="5"/>
  <c r="AB273" i="5"/>
  <c r="AC273" i="5" s="1"/>
  <c r="Z273" i="5"/>
  <c r="Y273" i="5"/>
  <c r="X273" i="5"/>
  <c r="W273" i="5"/>
  <c r="V273" i="5"/>
  <c r="U273" i="5"/>
  <c r="T273" i="5"/>
  <c r="S273" i="5"/>
  <c r="R273" i="5" a="1"/>
  <c r="R273" i="5" s="1"/>
  <c r="AU272" i="5"/>
  <c r="AN272" i="5"/>
  <c r="AM272" i="5"/>
  <c r="AL272" i="5"/>
  <c r="AK272" i="5"/>
  <c r="AH272" i="5"/>
  <c r="AJ272" i="5" s="1"/>
  <c r="AG272" i="5"/>
  <c r="AF272" i="5"/>
  <c r="AE272" i="5"/>
  <c r="AD272" i="5"/>
  <c r="AB272" i="5"/>
  <c r="AC272" i="5" s="1"/>
  <c r="Z272" i="5"/>
  <c r="Y272" i="5"/>
  <c r="X272" i="5"/>
  <c r="W272" i="5"/>
  <c r="V272" i="5"/>
  <c r="U272" i="5"/>
  <c r="T272" i="5"/>
  <c r="S272" i="5"/>
  <c r="AT272" i="5" s="1"/>
  <c r="R272" i="5" a="1"/>
  <c r="R272" i="5" s="1"/>
  <c r="AU271" i="5"/>
  <c r="AN271" i="5"/>
  <c r="AM271" i="5"/>
  <c r="AL271" i="5"/>
  <c r="AK271" i="5"/>
  <c r="AH271" i="5"/>
  <c r="AJ271" i="5" s="1"/>
  <c r="AG271" i="5"/>
  <c r="AF271" i="5"/>
  <c r="AE271" i="5"/>
  <c r="AD271" i="5"/>
  <c r="AB271" i="5"/>
  <c r="AC271" i="5" s="1"/>
  <c r="Z271" i="5"/>
  <c r="Y271" i="5"/>
  <c r="X271" i="5"/>
  <c r="W271" i="5"/>
  <c r="V271" i="5"/>
  <c r="U271" i="5"/>
  <c r="T271" i="5"/>
  <c r="S271" i="5"/>
  <c r="AT271" i="5" s="1"/>
  <c r="R271" i="5" a="1"/>
  <c r="R271" i="5" s="1"/>
  <c r="AU270" i="5"/>
  <c r="AN270" i="5"/>
  <c r="AM270" i="5"/>
  <c r="AL270" i="5"/>
  <c r="AK270" i="5"/>
  <c r="AH270" i="5"/>
  <c r="AJ270" i="5" s="1"/>
  <c r="AG270" i="5"/>
  <c r="AF270" i="5"/>
  <c r="AE270" i="5"/>
  <c r="AD270" i="5"/>
  <c r="AB270" i="5"/>
  <c r="AC270" i="5" s="1"/>
  <c r="Z270" i="5"/>
  <c r="Y270" i="5"/>
  <c r="X270" i="5"/>
  <c r="W270" i="5"/>
  <c r="V270" i="5"/>
  <c r="U270" i="5"/>
  <c r="T270" i="5"/>
  <c r="S270" i="5"/>
  <c r="AT270" i="5" s="1"/>
  <c r="R270" i="5" a="1"/>
  <c r="R270" i="5" s="1"/>
  <c r="AU269" i="5"/>
  <c r="AN269" i="5"/>
  <c r="AM269" i="5"/>
  <c r="AL269" i="5"/>
  <c r="AK269" i="5"/>
  <c r="AH269" i="5"/>
  <c r="AJ269" i="5" s="1"/>
  <c r="AG269" i="5"/>
  <c r="AF269" i="5"/>
  <c r="AE269" i="5"/>
  <c r="AD269" i="5"/>
  <c r="AB269" i="5"/>
  <c r="AC269" i="5" s="1"/>
  <c r="Z269" i="5"/>
  <c r="Y269" i="5"/>
  <c r="X269" i="5"/>
  <c r="W269" i="5"/>
  <c r="V269" i="5"/>
  <c r="U269" i="5"/>
  <c r="T269" i="5"/>
  <c r="S269" i="5"/>
  <c r="R269" i="5" a="1"/>
  <c r="R269" i="5" s="1"/>
  <c r="AU268" i="5"/>
  <c r="AN268" i="5"/>
  <c r="AM268" i="5"/>
  <c r="AL268" i="5"/>
  <c r="AK268" i="5"/>
  <c r="AH268" i="5"/>
  <c r="AJ268" i="5" s="1"/>
  <c r="AG268" i="5"/>
  <c r="AF268" i="5"/>
  <c r="AE268" i="5"/>
  <c r="AD268" i="5"/>
  <c r="AB268" i="5"/>
  <c r="AC268" i="5" s="1"/>
  <c r="Z268" i="5"/>
  <c r="Y268" i="5"/>
  <c r="X268" i="5"/>
  <c r="W268" i="5"/>
  <c r="V268" i="5"/>
  <c r="U268" i="5"/>
  <c r="T268" i="5"/>
  <c r="S268" i="5"/>
  <c r="R268" i="5" a="1"/>
  <c r="R268" i="5" s="1"/>
  <c r="AU267" i="5"/>
  <c r="AN267" i="5"/>
  <c r="AM267" i="5"/>
  <c r="AL267" i="5"/>
  <c r="AK267" i="5"/>
  <c r="AH267" i="5"/>
  <c r="AJ267" i="5" s="1"/>
  <c r="AG267" i="5"/>
  <c r="AF267" i="5"/>
  <c r="AE267" i="5"/>
  <c r="AD267" i="5"/>
  <c r="AB267" i="5"/>
  <c r="AC267" i="5" s="1"/>
  <c r="Z267" i="5"/>
  <c r="Y267" i="5"/>
  <c r="X267" i="5"/>
  <c r="W267" i="5"/>
  <c r="V267" i="5"/>
  <c r="U267" i="5"/>
  <c r="T267" i="5"/>
  <c r="S267" i="5"/>
  <c r="AT267" i="5" s="1"/>
  <c r="R267" i="5" a="1"/>
  <c r="R267" i="5" s="1"/>
  <c r="AU266" i="5"/>
  <c r="AN266" i="5"/>
  <c r="AM266" i="5"/>
  <c r="AL266" i="5"/>
  <c r="AK266" i="5"/>
  <c r="AH266" i="5"/>
  <c r="AJ266" i="5" s="1"/>
  <c r="AG266" i="5"/>
  <c r="AF266" i="5"/>
  <c r="AE266" i="5"/>
  <c r="AD266" i="5"/>
  <c r="AB266" i="5"/>
  <c r="AC266" i="5" s="1"/>
  <c r="Z266" i="5"/>
  <c r="Y266" i="5"/>
  <c r="X266" i="5"/>
  <c r="W266" i="5"/>
  <c r="V266" i="5"/>
  <c r="U266" i="5"/>
  <c r="T266" i="5"/>
  <c r="S266" i="5"/>
  <c r="AT266" i="5" s="1"/>
  <c r="R266" i="5" a="1"/>
  <c r="R266" i="5" s="1"/>
  <c r="AU265" i="5"/>
  <c r="AN265" i="5"/>
  <c r="AM265" i="5"/>
  <c r="AL265" i="5"/>
  <c r="AK265" i="5"/>
  <c r="AH265" i="5"/>
  <c r="AJ265" i="5" s="1"/>
  <c r="AG265" i="5"/>
  <c r="AF265" i="5"/>
  <c r="AE265" i="5"/>
  <c r="AD265" i="5"/>
  <c r="AB265" i="5"/>
  <c r="AC265" i="5" s="1"/>
  <c r="Z265" i="5"/>
  <c r="Y265" i="5"/>
  <c r="X265" i="5"/>
  <c r="W265" i="5"/>
  <c r="V265" i="5"/>
  <c r="U265" i="5"/>
  <c r="T265" i="5"/>
  <c r="S265" i="5"/>
  <c r="R265" i="5" a="1"/>
  <c r="R265" i="5" s="1"/>
  <c r="AU264" i="5"/>
  <c r="AN264" i="5"/>
  <c r="AM264" i="5"/>
  <c r="AL264" i="5"/>
  <c r="AK264" i="5"/>
  <c r="AH264" i="5"/>
  <c r="AJ264" i="5" s="1"/>
  <c r="AG264" i="5"/>
  <c r="AF264" i="5"/>
  <c r="AE264" i="5"/>
  <c r="AD264" i="5"/>
  <c r="AB264" i="5"/>
  <c r="AC264" i="5" s="1"/>
  <c r="Z264" i="5"/>
  <c r="Y264" i="5"/>
  <c r="X264" i="5"/>
  <c r="W264" i="5"/>
  <c r="V264" i="5"/>
  <c r="U264" i="5"/>
  <c r="T264" i="5"/>
  <c r="S264" i="5"/>
  <c r="AT264" i="5" s="1"/>
  <c r="R264" i="5" a="1"/>
  <c r="R264" i="5" s="1"/>
  <c r="AU263" i="5"/>
  <c r="AT263" i="5"/>
  <c r="AN263" i="5"/>
  <c r="AM263" i="5"/>
  <c r="AL263" i="5"/>
  <c r="AK263" i="5"/>
  <c r="AH263" i="5"/>
  <c r="AJ263" i="5" s="1"/>
  <c r="AG263" i="5"/>
  <c r="AF263" i="5"/>
  <c r="AE263" i="5"/>
  <c r="AD263" i="5"/>
  <c r="AB263" i="5"/>
  <c r="AC263" i="5" s="1"/>
  <c r="Z263" i="5"/>
  <c r="Y263" i="5"/>
  <c r="X263" i="5"/>
  <c r="W263" i="5"/>
  <c r="V263" i="5"/>
  <c r="U263" i="5"/>
  <c r="T263" i="5"/>
  <c r="S263" i="5"/>
  <c r="R263" i="5" a="1"/>
  <c r="R263" i="5" s="1"/>
  <c r="AU262" i="5"/>
  <c r="AN262" i="5"/>
  <c r="AM262" i="5"/>
  <c r="AL262" i="5"/>
  <c r="AK262" i="5"/>
  <c r="AH262" i="5"/>
  <c r="AJ262" i="5" s="1"/>
  <c r="AG262" i="5"/>
  <c r="AF262" i="5"/>
  <c r="AE262" i="5"/>
  <c r="AD262" i="5"/>
  <c r="AB262" i="5"/>
  <c r="AC262" i="5" s="1"/>
  <c r="Z262" i="5"/>
  <c r="Y262" i="5"/>
  <c r="X262" i="5"/>
  <c r="W262" i="5"/>
  <c r="V262" i="5"/>
  <c r="U262" i="5"/>
  <c r="T262" i="5"/>
  <c r="S262" i="5"/>
  <c r="AT262" i="5" s="1"/>
  <c r="R262" i="5" a="1"/>
  <c r="R262" i="5" s="1"/>
  <c r="AU261" i="5"/>
  <c r="AN261" i="5"/>
  <c r="AM261" i="5"/>
  <c r="AL261" i="5"/>
  <c r="AK261" i="5"/>
  <c r="AH261" i="5"/>
  <c r="AJ261" i="5" s="1"/>
  <c r="AG261" i="5"/>
  <c r="AF261" i="5"/>
  <c r="AE261" i="5"/>
  <c r="AD261" i="5"/>
  <c r="AB261" i="5"/>
  <c r="AC261" i="5" s="1"/>
  <c r="Z261" i="5"/>
  <c r="Y261" i="5"/>
  <c r="X261" i="5"/>
  <c r="W261" i="5"/>
  <c r="V261" i="5"/>
  <c r="U261" i="5"/>
  <c r="T261" i="5"/>
  <c r="S261" i="5"/>
  <c r="AT261" i="5" s="1"/>
  <c r="R261" i="5" a="1"/>
  <c r="R261" i="5" s="1"/>
  <c r="AU260" i="5"/>
  <c r="AN260" i="5"/>
  <c r="AM260" i="5"/>
  <c r="AL260" i="5"/>
  <c r="AK260" i="5"/>
  <c r="AH260" i="5"/>
  <c r="AJ260" i="5" s="1"/>
  <c r="AG260" i="5"/>
  <c r="AF260" i="5"/>
  <c r="AE260" i="5"/>
  <c r="AD260" i="5"/>
  <c r="AB260" i="5"/>
  <c r="AC260" i="5" s="1"/>
  <c r="Z260" i="5"/>
  <c r="Y260" i="5"/>
  <c r="X260" i="5"/>
  <c r="W260" i="5"/>
  <c r="V260" i="5"/>
  <c r="U260" i="5"/>
  <c r="T260" i="5"/>
  <c r="S260" i="5"/>
  <c r="R260" i="5" a="1"/>
  <c r="R260" i="5" s="1"/>
  <c r="AU259" i="5"/>
  <c r="AT259" i="5"/>
  <c r="AN259" i="5"/>
  <c r="AM259" i="5"/>
  <c r="AL259" i="5"/>
  <c r="AK259" i="5"/>
  <c r="AH259" i="5"/>
  <c r="AJ259" i="5" s="1"/>
  <c r="AG259" i="5"/>
  <c r="AF259" i="5"/>
  <c r="AE259" i="5"/>
  <c r="AD259" i="5"/>
  <c r="AB259" i="5"/>
  <c r="AC259" i="5" s="1"/>
  <c r="Z259" i="5"/>
  <c r="Y259" i="5"/>
  <c r="X259" i="5"/>
  <c r="W259" i="5"/>
  <c r="V259" i="5"/>
  <c r="U259" i="5"/>
  <c r="T259" i="5"/>
  <c r="S259" i="5"/>
  <c r="R259" i="5" a="1"/>
  <c r="R259" i="5" s="1"/>
  <c r="AU258" i="5"/>
  <c r="AN258" i="5"/>
  <c r="AM258" i="5"/>
  <c r="AL258" i="5"/>
  <c r="AK258" i="5"/>
  <c r="AH258" i="5"/>
  <c r="AJ258" i="5" s="1"/>
  <c r="AG258" i="5"/>
  <c r="AF258" i="5"/>
  <c r="AE258" i="5"/>
  <c r="AD258" i="5"/>
  <c r="AB258" i="5"/>
  <c r="AC258" i="5" s="1"/>
  <c r="Z258" i="5"/>
  <c r="Y258" i="5"/>
  <c r="X258" i="5"/>
  <c r="W258" i="5"/>
  <c r="V258" i="5"/>
  <c r="U258" i="5"/>
  <c r="T258" i="5"/>
  <c r="S258" i="5"/>
  <c r="AT258" i="5" s="1"/>
  <c r="R258" i="5" a="1"/>
  <c r="R258" i="5" s="1"/>
  <c r="AU257" i="5"/>
  <c r="AN257" i="5"/>
  <c r="AM257" i="5"/>
  <c r="AL257" i="5"/>
  <c r="AK257" i="5"/>
  <c r="AH257" i="5"/>
  <c r="AJ257" i="5" s="1"/>
  <c r="AG257" i="5"/>
  <c r="AF257" i="5"/>
  <c r="AE257" i="5"/>
  <c r="AD257" i="5"/>
  <c r="AB257" i="5"/>
  <c r="AC257" i="5" s="1"/>
  <c r="Z257" i="5"/>
  <c r="Y257" i="5"/>
  <c r="X257" i="5"/>
  <c r="W257" i="5"/>
  <c r="V257" i="5"/>
  <c r="U257" i="5"/>
  <c r="T257" i="5"/>
  <c r="S257" i="5"/>
  <c r="R257" i="5" a="1"/>
  <c r="R257" i="5" s="1"/>
  <c r="AU256" i="5"/>
  <c r="AN256" i="5"/>
  <c r="AM256" i="5"/>
  <c r="AL256" i="5"/>
  <c r="AK256" i="5"/>
  <c r="AH256" i="5"/>
  <c r="AJ256" i="5" s="1"/>
  <c r="AG256" i="5"/>
  <c r="AF256" i="5"/>
  <c r="AE256" i="5"/>
  <c r="AD256" i="5"/>
  <c r="AB256" i="5"/>
  <c r="AC256" i="5" s="1"/>
  <c r="Z256" i="5"/>
  <c r="Y256" i="5"/>
  <c r="X256" i="5"/>
  <c r="W256" i="5"/>
  <c r="V256" i="5"/>
  <c r="U256" i="5"/>
  <c r="T256" i="5"/>
  <c r="S256" i="5"/>
  <c r="R256" i="5" a="1"/>
  <c r="R256" i="5" s="1"/>
  <c r="AU255" i="5"/>
  <c r="AN255" i="5"/>
  <c r="AM255" i="5"/>
  <c r="AL255" i="5"/>
  <c r="AK255" i="5"/>
  <c r="AH255" i="5"/>
  <c r="AJ255" i="5" s="1"/>
  <c r="AG255" i="5"/>
  <c r="AF255" i="5"/>
  <c r="AE255" i="5"/>
  <c r="AD255" i="5"/>
  <c r="AB255" i="5"/>
  <c r="AC255" i="5" s="1"/>
  <c r="Z255" i="5"/>
  <c r="Y255" i="5"/>
  <c r="X255" i="5"/>
  <c r="W255" i="5"/>
  <c r="V255" i="5"/>
  <c r="U255" i="5"/>
  <c r="T255" i="5"/>
  <c r="S255" i="5"/>
  <c r="R255" i="5" a="1"/>
  <c r="R255" i="5" s="1"/>
  <c r="AU254" i="5"/>
  <c r="AN254" i="5"/>
  <c r="AM254" i="5"/>
  <c r="AL254" i="5"/>
  <c r="AK254" i="5"/>
  <c r="AH254" i="5"/>
  <c r="AJ254" i="5" s="1"/>
  <c r="AG254" i="5"/>
  <c r="AF254" i="5"/>
  <c r="AE254" i="5"/>
  <c r="AD254" i="5"/>
  <c r="AB254" i="5"/>
  <c r="AC254" i="5" s="1"/>
  <c r="Z254" i="5"/>
  <c r="Y254" i="5"/>
  <c r="X254" i="5"/>
  <c r="W254" i="5"/>
  <c r="V254" i="5"/>
  <c r="U254" i="5"/>
  <c r="T254" i="5"/>
  <c r="S254" i="5"/>
  <c r="AT254" i="5" s="1"/>
  <c r="R254" i="5" a="1"/>
  <c r="R254" i="5" s="1"/>
  <c r="AU253" i="5"/>
  <c r="AN253" i="5"/>
  <c r="AM253" i="5"/>
  <c r="AL253" i="5"/>
  <c r="AK253" i="5"/>
  <c r="AH253" i="5"/>
  <c r="AJ253" i="5" s="1"/>
  <c r="AG253" i="5"/>
  <c r="AF253" i="5"/>
  <c r="AE253" i="5"/>
  <c r="AD253" i="5"/>
  <c r="AB253" i="5"/>
  <c r="AC253" i="5" s="1"/>
  <c r="Z253" i="5"/>
  <c r="Y253" i="5"/>
  <c r="X253" i="5"/>
  <c r="W253" i="5"/>
  <c r="V253" i="5"/>
  <c r="U253" i="5"/>
  <c r="T253" i="5"/>
  <c r="S253" i="5"/>
  <c r="R253" i="5" a="1"/>
  <c r="R253" i="5" s="1"/>
  <c r="AU252" i="5"/>
  <c r="AN252" i="5"/>
  <c r="AM252" i="5"/>
  <c r="AL252" i="5"/>
  <c r="AK252" i="5"/>
  <c r="AH252" i="5"/>
  <c r="AJ252" i="5" s="1"/>
  <c r="AG252" i="5"/>
  <c r="AF252" i="5"/>
  <c r="AE252" i="5"/>
  <c r="AD252" i="5"/>
  <c r="AB252" i="5"/>
  <c r="AC252" i="5" s="1"/>
  <c r="Z252" i="5"/>
  <c r="Y252" i="5"/>
  <c r="X252" i="5"/>
  <c r="W252" i="5"/>
  <c r="V252" i="5"/>
  <c r="U252" i="5"/>
  <c r="T252" i="5"/>
  <c r="S252" i="5"/>
  <c r="R252" i="5" a="1"/>
  <c r="R252" i="5" s="1"/>
  <c r="AU251" i="5"/>
  <c r="AN251" i="5"/>
  <c r="AM251" i="5"/>
  <c r="AL251" i="5"/>
  <c r="AK251" i="5"/>
  <c r="AH251" i="5"/>
  <c r="AJ251" i="5" s="1"/>
  <c r="AG251" i="5"/>
  <c r="AF251" i="5"/>
  <c r="AE251" i="5"/>
  <c r="AD251" i="5"/>
  <c r="AB251" i="5"/>
  <c r="AC251" i="5" s="1"/>
  <c r="Z251" i="5"/>
  <c r="Y251" i="5"/>
  <c r="X251" i="5"/>
  <c r="W251" i="5"/>
  <c r="V251" i="5"/>
  <c r="U251" i="5"/>
  <c r="T251" i="5"/>
  <c r="S251" i="5"/>
  <c r="R251" i="5" a="1"/>
  <c r="R251" i="5" s="1"/>
  <c r="AU250" i="5"/>
  <c r="AN250" i="5"/>
  <c r="AM250" i="5"/>
  <c r="AL250" i="5"/>
  <c r="AK250" i="5"/>
  <c r="AH250" i="5"/>
  <c r="AJ250" i="5" s="1"/>
  <c r="AG250" i="5"/>
  <c r="AF250" i="5"/>
  <c r="AE250" i="5"/>
  <c r="AD250" i="5"/>
  <c r="AB250" i="5"/>
  <c r="AC250" i="5" s="1"/>
  <c r="Z250" i="5"/>
  <c r="Y250" i="5"/>
  <c r="X250" i="5"/>
  <c r="W250" i="5"/>
  <c r="V250" i="5"/>
  <c r="U250" i="5"/>
  <c r="T250" i="5"/>
  <c r="S250" i="5"/>
  <c r="AT250" i="5" s="1"/>
  <c r="R250" i="5" a="1"/>
  <c r="R250" i="5" s="1"/>
  <c r="AU249" i="5"/>
  <c r="AN249" i="5"/>
  <c r="AM249" i="5"/>
  <c r="AL249" i="5"/>
  <c r="AK249" i="5"/>
  <c r="AH249" i="5"/>
  <c r="AJ249" i="5" s="1"/>
  <c r="AG249" i="5"/>
  <c r="AF249" i="5"/>
  <c r="AE249" i="5"/>
  <c r="AD249" i="5"/>
  <c r="AB249" i="5"/>
  <c r="AC249" i="5" s="1"/>
  <c r="Z249" i="5"/>
  <c r="Y249" i="5"/>
  <c r="X249" i="5"/>
  <c r="W249" i="5"/>
  <c r="V249" i="5"/>
  <c r="U249" i="5"/>
  <c r="T249" i="5"/>
  <c r="S249" i="5"/>
  <c r="R249" i="5" a="1"/>
  <c r="R249" i="5" s="1"/>
  <c r="AU248" i="5"/>
  <c r="AN248" i="5"/>
  <c r="AM248" i="5"/>
  <c r="AL248" i="5"/>
  <c r="AK248" i="5"/>
  <c r="AH248" i="5"/>
  <c r="AJ248" i="5" s="1"/>
  <c r="AG248" i="5"/>
  <c r="AF248" i="5"/>
  <c r="AE248" i="5"/>
  <c r="AD248" i="5"/>
  <c r="AB248" i="5"/>
  <c r="AC248" i="5" s="1"/>
  <c r="Z248" i="5"/>
  <c r="Y248" i="5"/>
  <c r="X248" i="5"/>
  <c r="W248" i="5"/>
  <c r="V248" i="5"/>
  <c r="U248" i="5"/>
  <c r="T248" i="5"/>
  <c r="S248" i="5"/>
  <c r="R248" i="5" a="1"/>
  <c r="R248" i="5" s="1"/>
  <c r="AU247" i="5"/>
  <c r="AN247" i="5"/>
  <c r="AM247" i="5"/>
  <c r="AL247" i="5"/>
  <c r="AK247" i="5"/>
  <c r="AH247" i="5"/>
  <c r="AJ247" i="5" s="1"/>
  <c r="AG247" i="5"/>
  <c r="AF247" i="5"/>
  <c r="AE247" i="5"/>
  <c r="AD247" i="5"/>
  <c r="AB247" i="5"/>
  <c r="AC247" i="5" s="1"/>
  <c r="Z247" i="5"/>
  <c r="Y247" i="5"/>
  <c r="X247" i="5"/>
  <c r="W247" i="5"/>
  <c r="V247" i="5"/>
  <c r="U247" i="5"/>
  <c r="T247" i="5"/>
  <c r="S247" i="5"/>
  <c r="R247" i="5" a="1"/>
  <c r="R247" i="5" s="1"/>
  <c r="AU246" i="5"/>
  <c r="AN246" i="5"/>
  <c r="AM246" i="5"/>
  <c r="AL246" i="5"/>
  <c r="AK246" i="5"/>
  <c r="AH246" i="5"/>
  <c r="AJ246" i="5" s="1"/>
  <c r="AG246" i="5"/>
  <c r="AF246" i="5"/>
  <c r="AE246" i="5"/>
  <c r="AD246" i="5"/>
  <c r="AB246" i="5"/>
  <c r="AC246" i="5" s="1"/>
  <c r="Z246" i="5"/>
  <c r="Y246" i="5"/>
  <c r="X246" i="5"/>
  <c r="W246" i="5"/>
  <c r="V246" i="5"/>
  <c r="U246" i="5"/>
  <c r="T246" i="5"/>
  <c r="S246" i="5"/>
  <c r="AT246" i="5" s="1"/>
  <c r="R246" i="5" a="1"/>
  <c r="R246" i="5" s="1"/>
  <c r="AU245" i="5"/>
  <c r="AN245" i="5"/>
  <c r="AM245" i="5"/>
  <c r="AL245" i="5"/>
  <c r="AK245" i="5"/>
  <c r="AH245" i="5"/>
  <c r="AJ245" i="5" s="1"/>
  <c r="AG245" i="5"/>
  <c r="AF245" i="5"/>
  <c r="AE245" i="5"/>
  <c r="AD245" i="5"/>
  <c r="AB245" i="5"/>
  <c r="AC245" i="5" s="1"/>
  <c r="Z245" i="5"/>
  <c r="Y245" i="5"/>
  <c r="X245" i="5"/>
  <c r="W245" i="5"/>
  <c r="V245" i="5"/>
  <c r="U245" i="5"/>
  <c r="T245" i="5"/>
  <c r="S245" i="5"/>
  <c r="R245" i="5" a="1"/>
  <c r="R245" i="5" s="1"/>
  <c r="AU244" i="5"/>
  <c r="AN244" i="5"/>
  <c r="AM244" i="5"/>
  <c r="AL244" i="5"/>
  <c r="AK244" i="5"/>
  <c r="AH244" i="5"/>
  <c r="AJ244" i="5" s="1"/>
  <c r="AG244" i="5"/>
  <c r="AF244" i="5"/>
  <c r="AE244" i="5"/>
  <c r="AD244" i="5"/>
  <c r="AB244" i="5"/>
  <c r="AC244" i="5" s="1"/>
  <c r="Z244" i="5"/>
  <c r="Y244" i="5"/>
  <c r="X244" i="5"/>
  <c r="W244" i="5"/>
  <c r="V244" i="5"/>
  <c r="U244" i="5"/>
  <c r="T244" i="5"/>
  <c r="S244" i="5"/>
  <c r="AT244" i="5" s="1"/>
  <c r="R244" i="5" a="1"/>
  <c r="R244" i="5" s="1"/>
  <c r="AU243" i="5"/>
  <c r="AN243" i="5"/>
  <c r="AM243" i="5"/>
  <c r="AL243" i="5"/>
  <c r="AK243" i="5"/>
  <c r="AH243" i="5"/>
  <c r="AJ243" i="5" s="1"/>
  <c r="AG243" i="5"/>
  <c r="AF243" i="5"/>
  <c r="AE243" i="5"/>
  <c r="AD243" i="5"/>
  <c r="AB243" i="5"/>
  <c r="AC243" i="5" s="1"/>
  <c r="Z243" i="5"/>
  <c r="Y243" i="5"/>
  <c r="X243" i="5"/>
  <c r="W243" i="5"/>
  <c r="V243" i="5"/>
  <c r="U243" i="5"/>
  <c r="T243" i="5"/>
  <c r="S243" i="5"/>
  <c r="AT243" i="5" s="1"/>
  <c r="R243" i="5" a="1"/>
  <c r="R243" i="5" s="1"/>
  <c r="AU242" i="5"/>
  <c r="AN242" i="5"/>
  <c r="AM242" i="5"/>
  <c r="AL242" i="5"/>
  <c r="AK242" i="5"/>
  <c r="AH242" i="5"/>
  <c r="AJ242" i="5" s="1"/>
  <c r="AG242" i="5"/>
  <c r="AF242" i="5"/>
  <c r="AE242" i="5"/>
  <c r="AD242" i="5"/>
  <c r="AB242" i="5"/>
  <c r="AC242" i="5" s="1"/>
  <c r="Z242" i="5"/>
  <c r="Y242" i="5"/>
  <c r="X242" i="5"/>
  <c r="W242" i="5"/>
  <c r="V242" i="5"/>
  <c r="U242" i="5"/>
  <c r="T242" i="5"/>
  <c r="S242" i="5"/>
  <c r="AT242" i="5" s="1"/>
  <c r="R242" i="5" a="1"/>
  <c r="R242" i="5" s="1"/>
  <c r="AU241" i="5"/>
  <c r="AN241" i="5"/>
  <c r="AM241" i="5"/>
  <c r="AL241" i="5"/>
  <c r="AK241" i="5"/>
  <c r="AH241" i="5"/>
  <c r="AJ241" i="5" s="1"/>
  <c r="AG241" i="5"/>
  <c r="AF241" i="5"/>
  <c r="AE241" i="5"/>
  <c r="AD241" i="5"/>
  <c r="AB241" i="5"/>
  <c r="AC241" i="5" s="1"/>
  <c r="Z241" i="5"/>
  <c r="Y241" i="5"/>
  <c r="X241" i="5"/>
  <c r="W241" i="5"/>
  <c r="V241" i="5"/>
  <c r="U241" i="5"/>
  <c r="T241" i="5"/>
  <c r="S241" i="5"/>
  <c r="R241" i="5" a="1"/>
  <c r="R241" i="5" s="1"/>
  <c r="AU240" i="5"/>
  <c r="AN240" i="5"/>
  <c r="AM240" i="5"/>
  <c r="AL240" i="5"/>
  <c r="AK240" i="5"/>
  <c r="AH240" i="5"/>
  <c r="AJ240" i="5" s="1"/>
  <c r="AG240" i="5"/>
  <c r="AF240" i="5"/>
  <c r="AE240" i="5"/>
  <c r="AD240" i="5"/>
  <c r="AB240" i="5"/>
  <c r="AC240" i="5" s="1"/>
  <c r="Z240" i="5"/>
  <c r="Y240" i="5"/>
  <c r="X240" i="5"/>
  <c r="W240" i="5"/>
  <c r="V240" i="5"/>
  <c r="U240" i="5"/>
  <c r="T240" i="5"/>
  <c r="S240" i="5"/>
  <c r="R240" i="5" a="1"/>
  <c r="R240" i="5" s="1"/>
  <c r="AU239" i="5"/>
  <c r="AN239" i="5"/>
  <c r="AM239" i="5"/>
  <c r="AL239" i="5"/>
  <c r="AK239" i="5"/>
  <c r="AH239" i="5"/>
  <c r="AJ239" i="5" s="1"/>
  <c r="AG239" i="5"/>
  <c r="AF239" i="5"/>
  <c r="AE239" i="5"/>
  <c r="AD239" i="5"/>
  <c r="AB239" i="5"/>
  <c r="AC239" i="5" s="1"/>
  <c r="Z239" i="5"/>
  <c r="Y239" i="5"/>
  <c r="X239" i="5"/>
  <c r="W239" i="5"/>
  <c r="V239" i="5"/>
  <c r="U239" i="5"/>
  <c r="T239" i="5"/>
  <c r="S239" i="5"/>
  <c r="AT239" i="5" s="1"/>
  <c r="R239" i="5" a="1"/>
  <c r="R239" i="5" s="1"/>
  <c r="AU238" i="5"/>
  <c r="AN238" i="5"/>
  <c r="AM238" i="5"/>
  <c r="AL238" i="5"/>
  <c r="AK238" i="5"/>
  <c r="AH238" i="5"/>
  <c r="AJ238" i="5" s="1"/>
  <c r="AG238" i="5"/>
  <c r="AF238" i="5"/>
  <c r="AE238" i="5"/>
  <c r="AD238" i="5"/>
  <c r="AB238" i="5"/>
  <c r="AC238" i="5" s="1"/>
  <c r="Z238" i="5"/>
  <c r="Y238" i="5"/>
  <c r="X238" i="5"/>
  <c r="W238" i="5"/>
  <c r="V238" i="5"/>
  <c r="U238" i="5"/>
  <c r="T238" i="5"/>
  <c r="S238" i="5"/>
  <c r="AT238" i="5" s="1"/>
  <c r="R238" i="5" a="1"/>
  <c r="R238" i="5" s="1"/>
  <c r="AU237" i="5"/>
  <c r="AN237" i="5"/>
  <c r="AM237" i="5"/>
  <c r="AL237" i="5"/>
  <c r="AK237" i="5"/>
  <c r="AH237" i="5"/>
  <c r="AJ237" i="5" s="1"/>
  <c r="AG237" i="5"/>
  <c r="AF237" i="5"/>
  <c r="AE237" i="5"/>
  <c r="AD237" i="5"/>
  <c r="AB237" i="5"/>
  <c r="AC237" i="5" s="1"/>
  <c r="Z237" i="5"/>
  <c r="Y237" i="5"/>
  <c r="X237" i="5"/>
  <c r="W237" i="5"/>
  <c r="V237" i="5"/>
  <c r="U237" i="5"/>
  <c r="T237" i="5"/>
  <c r="S237" i="5"/>
  <c r="R237" i="5" a="1"/>
  <c r="R237" i="5" s="1"/>
  <c r="AU236" i="5"/>
  <c r="AN236" i="5"/>
  <c r="AM236" i="5"/>
  <c r="AL236" i="5"/>
  <c r="AK236" i="5"/>
  <c r="AH236" i="5"/>
  <c r="AJ236" i="5" s="1"/>
  <c r="AG236" i="5"/>
  <c r="AF236" i="5"/>
  <c r="AE236" i="5"/>
  <c r="AD236" i="5"/>
  <c r="AB236" i="5"/>
  <c r="AC236" i="5" s="1"/>
  <c r="Z236" i="5"/>
  <c r="Y236" i="5"/>
  <c r="X236" i="5"/>
  <c r="W236" i="5"/>
  <c r="V236" i="5"/>
  <c r="U236" i="5"/>
  <c r="T236" i="5"/>
  <c r="S236" i="5"/>
  <c r="R236" i="5" a="1"/>
  <c r="R236" i="5" s="1"/>
  <c r="AU235" i="5"/>
  <c r="AN235" i="5"/>
  <c r="AM235" i="5"/>
  <c r="AL235" i="5"/>
  <c r="AK235" i="5"/>
  <c r="AH235" i="5"/>
  <c r="AJ235" i="5" s="1"/>
  <c r="AG235" i="5"/>
  <c r="AF235" i="5"/>
  <c r="AE235" i="5"/>
  <c r="AD235" i="5"/>
  <c r="AB235" i="5"/>
  <c r="AC235" i="5" s="1"/>
  <c r="Z235" i="5"/>
  <c r="Y235" i="5"/>
  <c r="X235" i="5"/>
  <c r="W235" i="5"/>
  <c r="V235" i="5"/>
  <c r="U235" i="5"/>
  <c r="T235" i="5"/>
  <c r="S235" i="5"/>
  <c r="AT235" i="5" s="1"/>
  <c r="R235" i="5" a="1"/>
  <c r="R235" i="5" s="1"/>
  <c r="AU234" i="5"/>
  <c r="AN234" i="5"/>
  <c r="AM234" i="5"/>
  <c r="AL234" i="5"/>
  <c r="AK234" i="5"/>
  <c r="AH234" i="5"/>
  <c r="AJ234" i="5" s="1"/>
  <c r="AG234" i="5"/>
  <c r="AF234" i="5"/>
  <c r="AE234" i="5"/>
  <c r="AD234" i="5"/>
  <c r="AB234" i="5"/>
  <c r="AC234" i="5" s="1"/>
  <c r="Z234" i="5"/>
  <c r="Y234" i="5"/>
  <c r="X234" i="5"/>
  <c r="W234" i="5"/>
  <c r="V234" i="5"/>
  <c r="U234" i="5"/>
  <c r="T234" i="5"/>
  <c r="S234" i="5"/>
  <c r="AT234" i="5" s="1"/>
  <c r="R234" i="5" a="1"/>
  <c r="R234" i="5" s="1"/>
  <c r="AU233" i="5"/>
  <c r="AN233" i="5"/>
  <c r="AM233" i="5"/>
  <c r="AL233" i="5"/>
  <c r="AK233" i="5"/>
  <c r="AH233" i="5"/>
  <c r="AJ233" i="5" s="1"/>
  <c r="AG233" i="5"/>
  <c r="AF233" i="5"/>
  <c r="AE233" i="5"/>
  <c r="AD233" i="5"/>
  <c r="AB233" i="5"/>
  <c r="AC233" i="5" s="1"/>
  <c r="Z233" i="5"/>
  <c r="Y233" i="5"/>
  <c r="X233" i="5"/>
  <c r="W233" i="5"/>
  <c r="V233" i="5"/>
  <c r="U233" i="5"/>
  <c r="T233" i="5"/>
  <c r="S233" i="5"/>
  <c r="R233" i="5" a="1"/>
  <c r="R233" i="5" s="1"/>
  <c r="AU232" i="5"/>
  <c r="AN232" i="5"/>
  <c r="AM232" i="5"/>
  <c r="AL232" i="5"/>
  <c r="AK232" i="5"/>
  <c r="AH232" i="5"/>
  <c r="AJ232" i="5" s="1"/>
  <c r="AG232" i="5"/>
  <c r="AF232" i="5"/>
  <c r="AE232" i="5"/>
  <c r="AD232" i="5"/>
  <c r="AB232" i="5"/>
  <c r="AC232" i="5" s="1"/>
  <c r="Z232" i="5"/>
  <c r="Y232" i="5"/>
  <c r="X232" i="5"/>
  <c r="W232" i="5"/>
  <c r="V232" i="5"/>
  <c r="U232" i="5"/>
  <c r="T232" i="5"/>
  <c r="S232" i="5"/>
  <c r="R232" i="5" a="1"/>
  <c r="R232" i="5" s="1"/>
  <c r="AU231" i="5"/>
  <c r="AN231" i="5"/>
  <c r="AM231" i="5"/>
  <c r="AL231" i="5"/>
  <c r="AK231" i="5"/>
  <c r="AH231" i="5"/>
  <c r="AJ231" i="5" s="1"/>
  <c r="AG231" i="5"/>
  <c r="AF231" i="5"/>
  <c r="AE231" i="5"/>
  <c r="AD231" i="5"/>
  <c r="AB231" i="5"/>
  <c r="AC231" i="5" s="1"/>
  <c r="Z231" i="5"/>
  <c r="Y231" i="5"/>
  <c r="X231" i="5"/>
  <c r="W231" i="5"/>
  <c r="V231" i="5"/>
  <c r="U231" i="5"/>
  <c r="T231" i="5"/>
  <c r="S231" i="5"/>
  <c r="R231" i="5" a="1"/>
  <c r="R231" i="5" s="1"/>
  <c r="AU230" i="5"/>
  <c r="AN230" i="5"/>
  <c r="AM230" i="5"/>
  <c r="AL230" i="5"/>
  <c r="AK230" i="5"/>
  <c r="AH230" i="5"/>
  <c r="AJ230" i="5" s="1"/>
  <c r="AG230" i="5"/>
  <c r="AF230" i="5"/>
  <c r="AE230" i="5"/>
  <c r="AD230" i="5"/>
  <c r="AB230" i="5"/>
  <c r="AC230" i="5" s="1"/>
  <c r="Z230" i="5"/>
  <c r="Y230" i="5"/>
  <c r="X230" i="5"/>
  <c r="W230" i="5"/>
  <c r="V230" i="5"/>
  <c r="U230" i="5"/>
  <c r="T230" i="5"/>
  <c r="S230" i="5"/>
  <c r="AT230" i="5" s="1"/>
  <c r="R230" i="5" a="1"/>
  <c r="R230" i="5" s="1"/>
  <c r="AU229" i="5"/>
  <c r="AN229" i="5"/>
  <c r="AM229" i="5"/>
  <c r="AL229" i="5"/>
  <c r="AK229" i="5"/>
  <c r="AH229" i="5"/>
  <c r="AJ229" i="5" s="1"/>
  <c r="AG229" i="5"/>
  <c r="AF229" i="5"/>
  <c r="AE229" i="5"/>
  <c r="AD229" i="5"/>
  <c r="AB229" i="5"/>
  <c r="AC229" i="5" s="1"/>
  <c r="Z229" i="5"/>
  <c r="Y229" i="5"/>
  <c r="X229" i="5"/>
  <c r="W229" i="5"/>
  <c r="V229" i="5"/>
  <c r="U229" i="5"/>
  <c r="T229" i="5"/>
  <c r="S229" i="5"/>
  <c r="R229" i="5" a="1"/>
  <c r="R229" i="5" s="1"/>
  <c r="AU228" i="5"/>
  <c r="AN228" i="5"/>
  <c r="AM228" i="5"/>
  <c r="AL228" i="5"/>
  <c r="AK228" i="5"/>
  <c r="AH228" i="5"/>
  <c r="AJ228" i="5" s="1"/>
  <c r="AG228" i="5"/>
  <c r="AF228" i="5"/>
  <c r="AE228" i="5"/>
  <c r="AD228" i="5"/>
  <c r="AB228" i="5"/>
  <c r="AC228" i="5" s="1"/>
  <c r="Z228" i="5"/>
  <c r="Y228" i="5"/>
  <c r="X228" i="5"/>
  <c r="W228" i="5"/>
  <c r="V228" i="5"/>
  <c r="U228" i="5"/>
  <c r="T228" i="5"/>
  <c r="S228" i="5"/>
  <c r="R228" i="5" a="1"/>
  <c r="R228" i="5" s="1"/>
  <c r="AU227" i="5"/>
  <c r="AN227" i="5"/>
  <c r="AM227" i="5"/>
  <c r="AL227" i="5"/>
  <c r="AK227" i="5"/>
  <c r="AH227" i="5"/>
  <c r="AJ227" i="5" s="1"/>
  <c r="AG227" i="5"/>
  <c r="AF227" i="5"/>
  <c r="AE227" i="5"/>
  <c r="AD227" i="5"/>
  <c r="AB227" i="5"/>
  <c r="AC227" i="5" s="1"/>
  <c r="Z227" i="5"/>
  <c r="Y227" i="5"/>
  <c r="X227" i="5"/>
  <c r="W227" i="5"/>
  <c r="V227" i="5"/>
  <c r="U227" i="5"/>
  <c r="T227" i="5"/>
  <c r="S227" i="5"/>
  <c r="AT227" i="5" s="1"/>
  <c r="R227" i="5" a="1"/>
  <c r="R227" i="5" s="1"/>
  <c r="AU226" i="5"/>
  <c r="AN226" i="5"/>
  <c r="AM226" i="5"/>
  <c r="AL226" i="5"/>
  <c r="AK226" i="5"/>
  <c r="AH226" i="5"/>
  <c r="AJ226" i="5" s="1"/>
  <c r="AG226" i="5"/>
  <c r="AF226" i="5"/>
  <c r="AE226" i="5"/>
  <c r="AD226" i="5"/>
  <c r="AB226" i="5"/>
  <c r="AC226" i="5" s="1"/>
  <c r="Z226" i="5"/>
  <c r="Y226" i="5"/>
  <c r="X226" i="5"/>
  <c r="W226" i="5"/>
  <c r="V226" i="5"/>
  <c r="U226" i="5"/>
  <c r="T226" i="5"/>
  <c r="S226" i="5"/>
  <c r="AT226" i="5" s="1"/>
  <c r="R226" i="5" a="1"/>
  <c r="R226" i="5" s="1"/>
  <c r="AU225" i="5"/>
  <c r="AN225" i="5"/>
  <c r="AM225" i="5"/>
  <c r="AL225" i="5"/>
  <c r="AK225" i="5"/>
  <c r="AH225" i="5"/>
  <c r="AJ225" i="5" s="1"/>
  <c r="AG225" i="5"/>
  <c r="AF225" i="5"/>
  <c r="AE225" i="5"/>
  <c r="AD225" i="5"/>
  <c r="AB225" i="5"/>
  <c r="AC225" i="5" s="1"/>
  <c r="Z225" i="5"/>
  <c r="Y225" i="5"/>
  <c r="X225" i="5"/>
  <c r="W225" i="5"/>
  <c r="V225" i="5"/>
  <c r="U225" i="5"/>
  <c r="T225" i="5"/>
  <c r="S225" i="5"/>
  <c r="AT225" i="5" s="1"/>
  <c r="R225" i="5" a="1"/>
  <c r="R225" i="5" s="1"/>
  <c r="AU224" i="5"/>
  <c r="AN224" i="5"/>
  <c r="AM224" i="5"/>
  <c r="AL224" i="5"/>
  <c r="AK224" i="5"/>
  <c r="AH224" i="5"/>
  <c r="AJ224" i="5" s="1"/>
  <c r="AG224" i="5"/>
  <c r="AF224" i="5"/>
  <c r="AE224" i="5"/>
  <c r="AD224" i="5"/>
  <c r="AB224" i="5"/>
  <c r="AC224" i="5" s="1"/>
  <c r="Z224" i="5"/>
  <c r="Y224" i="5"/>
  <c r="X224" i="5"/>
  <c r="W224" i="5"/>
  <c r="V224" i="5"/>
  <c r="U224" i="5"/>
  <c r="T224" i="5"/>
  <c r="S224" i="5"/>
  <c r="R224" i="5" a="1"/>
  <c r="R224" i="5" s="1"/>
  <c r="AU223" i="5"/>
  <c r="AN223" i="5"/>
  <c r="AM223" i="5"/>
  <c r="AL223" i="5"/>
  <c r="AK223" i="5"/>
  <c r="AH223" i="5"/>
  <c r="AJ223" i="5" s="1"/>
  <c r="AG223" i="5"/>
  <c r="AF223" i="5"/>
  <c r="AE223" i="5"/>
  <c r="AD223" i="5"/>
  <c r="AB223" i="5"/>
  <c r="AC223" i="5" s="1"/>
  <c r="Z223" i="5"/>
  <c r="Y223" i="5"/>
  <c r="X223" i="5"/>
  <c r="W223" i="5"/>
  <c r="V223" i="5"/>
  <c r="U223" i="5"/>
  <c r="T223" i="5"/>
  <c r="S223" i="5"/>
  <c r="R223" i="5" a="1"/>
  <c r="R223" i="5" s="1"/>
  <c r="AU222" i="5"/>
  <c r="AN222" i="5"/>
  <c r="AM222" i="5"/>
  <c r="AL222" i="5"/>
  <c r="AK222" i="5"/>
  <c r="AH222" i="5"/>
  <c r="AJ222" i="5" s="1"/>
  <c r="AG222" i="5"/>
  <c r="AF222" i="5"/>
  <c r="AE222" i="5"/>
  <c r="AD222" i="5"/>
  <c r="AB222" i="5"/>
  <c r="AC222" i="5" s="1"/>
  <c r="Z222" i="5"/>
  <c r="Y222" i="5"/>
  <c r="X222" i="5"/>
  <c r="W222" i="5"/>
  <c r="V222" i="5"/>
  <c r="U222" i="5"/>
  <c r="T222" i="5"/>
  <c r="S222" i="5"/>
  <c r="AT222" i="5" s="1"/>
  <c r="R222" i="5" a="1"/>
  <c r="R222" i="5" s="1"/>
  <c r="AU221" i="5"/>
  <c r="AN221" i="5"/>
  <c r="AM221" i="5"/>
  <c r="AL221" i="5"/>
  <c r="AK221" i="5"/>
  <c r="AH221" i="5"/>
  <c r="AJ221" i="5" s="1"/>
  <c r="AG221" i="5"/>
  <c r="AF221" i="5"/>
  <c r="AE221" i="5"/>
  <c r="AD221" i="5"/>
  <c r="AB221" i="5"/>
  <c r="AC221" i="5" s="1"/>
  <c r="Z221" i="5"/>
  <c r="Y221" i="5"/>
  <c r="X221" i="5"/>
  <c r="W221" i="5"/>
  <c r="V221" i="5"/>
  <c r="U221" i="5"/>
  <c r="T221" i="5"/>
  <c r="S221" i="5"/>
  <c r="AT221" i="5" s="1"/>
  <c r="R221" i="5" a="1"/>
  <c r="R221" i="5" s="1"/>
  <c r="AU220" i="5"/>
  <c r="AN220" i="5"/>
  <c r="AM220" i="5"/>
  <c r="AL220" i="5"/>
  <c r="AK220" i="5"/>
  <c r="AH220" i="5"/>
  <c r="AJ220" i="5" s="1"/>
  <c r="AG220" i="5"/>
  <c r="AF220" i="5"/>
  <c r="AE220" i="5"/>
  <c r="AD220" i="5"/>
  <c r="AB220" i="5"/>
  <c r="AC220" i="5" s="1"/>
  <c r="Z220" i="5"/>
  <c r="Y220" i="5"/>
  <c r="X220" i="5"/>
  <c r="W220" i="5"/>
  <c r="V220" i="5"/>
  <c r="U220" i="5"/>
  <c r="T220" i="5"/>
  <c r="S220" i="5"/>
  <c r="R220" i="5" a="1"/>
  <c r="R220" i="5" s="1"/>
  <c r="AU219" i="5"/>
  <c r="AN219" i="5"/>
  <c r="AM219" i="5"/>
  <c r="AL219" i="5"/>
  <c r="AK219" i="5"/>
  <c r="AH219" i="5"/>
  <c r="AJ219" i="5" s="1"/>
  <c r="AG219" i="5"/>
  <c r="AF219" i="5"/>
  <c r="AE219" i="5"/>
  <c r="AD219" i="5"/>
  <c r="AB219" i="5"/>
  <c r="AC219" i="5" s="1"/>
  <c r="Z219" i="5"/>
  <c r="Y219" i="5"/>
  <c r="X219" i="5"/>
  <c r="W219" i="5"/>
  <c r="V219" i="5"/>
  <c r="U219" i="5"/>
  <c r="T219" i="5"/>
  <c r="S219" i="5"/>
  <c r="AT219" i="5" s="1"/>
  <c r="R219" i="5" a="1"/>
  <c r="R219" i="5" s="1"/>
  <c r="AU218" i="5"/>
  <c r="AN218" i="5"/>
  <c r="AM218" i="5"/>
  <c r="AL218" i="5"/>
  <c r="AK218" i="5"/>
  <c r="AH218" i="5"/>
  <c r="AJ218" i="5" s="1"/>
  <c r="AG218" i="5"/>
  <c r="AF218" i="5"/>
  <c r="AE218" i="5"/>
  <c r="AD218" i="5"/>
  <c r="AB218" i="5"/>
  <c r="AC218" i="5" s="1"/>
  <c r="Z218" i="5"/>
  <c r="Y218" i="5"/>
  <c r="X218" i="5"/>
  <c r="W218" i="5"/>
  <c r="V218" i="5"/>
  <c r="U218" i="5"/>
  <c r="T218" i="5"/>
  <c r="S218" i="5"/>
  <c r="AT218" i="5" s="1"/>
  <c r="R218" i="5" a="1"/>
  <c r="R218" i="5" s="1"/>
  <c r="AU217" i="5"/>
  <c r="AN217" i="5"/>
  <c r="AM217" i="5"/>
  <c r="AL217" i="5"/>
  <c r="AK217" i="5"/>
  <c r="AH217" i="5"/>
  <c r="AJ217" i="5" s="1"/>
  <c r="AG217" i="5"/>
  <c r="AF217" i="5"/>
  <c r="AE217" i="5"/>
  <c r="AD217" i="5"/>
  <c r="AB217" i="5"/>
  <c r="AC217" i="5" s="1"/>
  <c r="Z217" i="5"/>
  <c r="Y217" i="5"/>
  <c r="X217" i="5"/>
  <c r="W217" i="5"/>
  <c r="V217" i="5"/>
  <c r="U217" i="5"/>
  <c r="T217" i="5"/>
  <c r="S217" i="5"/>
  <c r="AT217" i="5" s="1"/>
  <c r="R217" i="5" a="1"/>
  <c r="R217" i="5" s="1"/>
  <c r="AU216" i="5"/>
  <c r="AN216" i="5"/>
  <c r="AM216" i="5"/>
  <c r="AL216" i="5"/>
  <c r="AK216" i="5"/>
  <c r="AH216" i="5"/>
  <c r="AJ216" i="5" s="1"/>
  <c r="AG216" i="5"/>
  <c r="AF216" i="5"/>
  <c r="AE216" i="5"/>
  <c r="AD216" i="5"/>
  <c r="AB216" i="5"/>
  <c r="AC216" i="5" s="1"/>
  <c r="Z216" i="5"/>
  <c r="Y216" i="5"/>
  <c r="X216" i="5"/>
  <c r="W216" i="5"/>
  <c r="V216" i="5"/>
  <c r="U216" i="5"/>
  <c r="T216" i="5"/>
  <c r="S216" i="5"/>
  <c r="R216" i="5" a="1"/>
  <c r="R216" i="5" s="1"/>
  <c r="AU215" i="5"/>
  <c r="AN215" i="5"/>
  <c r="AM215" i="5"/>
  <c r="AL215" i="5"/>
  <c r="AK215" i="5"/>
  <c r="AH215" i="5"/>
  <c r="AJ215" i="5" s="1"/>
  <c r="AG215" i="5"/>
  <c r="AF215" i="5"/>
  <c r="AE215" i="5"/>
  <c r="AD215" i="5"/>
  <c r="AB215" i="5"/>
  <c r="AC215" i="5" s="1"/>
  <c r="Z215" i="5"/>
  <c r="Y215" i="5"/>
  <c r="X215" i="5"/>
  <c r="W215" i="5"/>
  <c r="V215" i="5"/>
  <c r="U215" i="5"/>
  <c r="T215" i="5"/>
  <c r="S215" i="5"/>
  <c r="R215" i="5" a="1"/>
  <c r="R215" i="5" s="1"/>
  <c r="AU214" i="5"/>
  <c r="AN214" i="5"/>
  <c r="AM214" i="5"/>
  <c r="AL214" i="5"/>
  <c r="AK214" i="5"/>
  <c r="AH214" i="5"/>
  <c r="AJ214" i="5" s="1"/>
  <c r="AG214" i="5"/>
  <c r="AF214" i="5"/>
  <c r="AE214" i="5"/>
  <c r="AD214" i="5"/>
  <c r="AB214" i="5"/>
  <c r="AC214" i="5" s="1"/>
  <c r="Z214" i="5"/>
  <c r="Y214" i="5"/>
  <c r="X214" i="5"/>
  <c r="W214" i="5"/>
  <c r="V214" i="5"/>
  <c r="U214" i="5"/>
  <c r="T214" i="5"/>
  <c r="S214" i="5"/>
  <c r="R214" i="5" a="1"/>
  <c r="R214" i="5" s="1"/>
  <c r="AU213" i="5"/>
  <c r="AN213" i="5"/>
  <c r="AM213" i="5"/>
  <c r="AL213" i="5"/>
  <c r="AK213" i="5"/>
  <c r="AH213" i="5"/>
  <c r="AJ213" i="5" s="1"/>
  <c r="AG213" i="5"/>
  <c r="AF213" i="5"/>
  <c r="AE213" i="5"/>
  <c r="AD213" i="5"/>
  <c r="AB213" i="5"/>
  <c r="AC213" i="5" s="1"/>
  <c r="Z213" i="5"/>
  <c r="Y213" i="5"/>
  <c r="X213" i="5"/>
  <c r="W213" i="5"/>
  <c r="V213" i="5"/>
  <c r="U213" i="5"/>
  <c r="T213" i="5"/>
  <c r="S213" i="5"/>
  <c r="AT213" i="5" s="1"/>
  <c r="R213" i="5" a="1"/>
  <c r="R213" i="5" s="1"/>
  <c r="AU212" i="5"/>
  <c r="AN212" i="5"/>
  <c r="AM212" i="5"/>
  <c r="AL212" i="5"/>
  <c r="AK212" i="5"/>
  <c r="AH212" i="5"/>
  <c r="AJ212" i="5" s="1"/>
  <c r="AG212" i="5"/>
  <c r="AF212" i="5"/>
  <c r="AE212" i="5"/>
  <c r="AD212" i="5"/>
  <c r="AB212" i="5"/>
  <c r="AC212" i="5" s="1"/>
  <c r="Z212" i="5"/>
  <c r="Y212" i="5"/>
  <c r="X212" i="5"/>
  <c r="W212" i="5"/>
  <c r="V212" i="5"/>
  <c r="U212" i="5"/>
  <c r="T212" i="5"/>
  <c r="S212" i="5"/>
  <c r="R212" i="5" a="1"/>
  <c r="R212" i="5" s="1"/>
  <c r="AU211" i="5"/>
  <c r="AN211" i="5"/>
  <c r="AM211" i="5"/>
  <c r="AL211" i="5"/>
  <c r="AK211" i="5"/>
  <c r="AH211" i="5"/>
  <c r="AJ211" i="5" s="1"/>
  <c r="AG211" i="5"/>
  <c r="AF211" i="5"/>
  <c r="AE211" i="5"/>
  <c r="AD211" i="5"/>
  <c r="AB211" i="5"/>
  <c r="AC211" i="5" s="1"/>
  <c r="Z211" i="5"/>
  <c r="Y211" i="5"/>
  <c r="X211" i="5"/>
  <c r="W211" i="5"/>
  <c r="V211" i="5"/>
  <c r="U211" i="5"/>
  <c r="T211" i="5"/>
  <c r="S211" i="5"/>
  <c r="R211" i="5" a="1"/>
  <c r="R211" i="5" s="1"/>
  <c r="AU210" i="5"/>
  <c r="AN210" i="5"/>
  <c r="AM210" i="5"/>
  <c r="AL210" i="5"/>
  <c r="AK210" i="5"/>
  <c r="AH210" i="5"/>
  <c r="AJ210" i="5" s="1"/>
  <c r="AG210" i="5"/>
  <c r="AF210" i="5"/>
  <c r="AE210" i="5"/>
  <c r="AD210" i="5"/>
  <c r="AB210" i="5"/>
  <c r="AC210" i="5" s="1"/>
  <c r="Z210" i="5"/>
  <c r="Y210" i="5"/>
  <c r="X210" i="5"/>
  <c r="W210" i="5"/>
  <c r="V210" i="5"/>
  <c r="U210" i="5"/>
  <c r="T210" i="5"/>
  <c r="S210" i="5"/>
  <c r="R210" i="5" a="1"/>
  <c r="R210" i="5" s="1"/>
  <c r="AU209" i="5"/>
  <c r="AN209" i="5"/>
  <c r="AM209" i="5"/>
  <c r="AL209" i="5"/>
  <c r="AK209" i="5"/>
  <c r="AH209" i="5"/>
  <c r="AJ209" i="5" s="1"/>
  <c r="AG209" i="5"/>
  <c r="AF209" i="5"/>
  <c r="AE209" i="5"/>
  <c r="AD209" i="5"/>
  <c r="AB209" i="5"/>
  <c r="AC209" i="5" s="1"/>
  <c r="Z209" i="5"/>
  <c r="Y209" i="5"/>
  <c r="X209" i="5"/>
  <c r="W209" i="5"/>
  <c r="V209" i="5"/>
  <c r="U209" i="5"/>
  <c r="T209" i="5"/>
  <c r="S209" i="5"/>
  <c r="AT209" i="5" s="1"/>
  <c r="R209" i="5" a="1"/>
  <c r="R209" i="5" s="1"/>
  <c r="AU208" i="5"/>
  <c r="AT208" i="5"/>
  <c r="AN208" i="5"/>
  <c r="AM208" i="5"/>
  <c r="AL208" i="5"/>
  <c r="AK208" i="5"/>
  <c r="AH208" i="5"/>
  <c r="AJ208" i="5" s="1"/>
  <c r="AG208" i="5"/>
  <c r="AF208" i="5"/>
  <c r="AE208" i="5"/>
  <c r="AD208" i="5"/>
  <c r="AB208" i="5"/>
  <c r="AC208" i="5" s="1"/>
  <c r="Z208" i="5"/>
  <c r="Y208" i="5"/>
  <c r="X208" i="5"/>
  <c r="W208" i="5"/>
  <c r="V208" i="5"/>
  <c r="U208" i="5"/>
  <c r="T208" i="5"/>
  <c r="S208" i="5"/>
  <c r="R208" i="5" a="1"/>
  <c r="R208" i="5" s="1"/>
  <c r="AU207" i="5"/>
  <c r="AN207" i="5"/>
  <c r="AM207" i="5"/>
  <c r="AL207" i="5"/>
  <c r="AK207" i="5"/>
  <c r="AH207" i="5"/>
  <c r="AJ207" i="5" s="1"/>
  <c r="AG207" i="5"/>
  <c r="AF207" i="5"/>
  <c r="AE207" i="5"/>
  <c r="AD207" i="5"/>
  <c r="AB207" i="5"/>
  <c r="AC207" i="5" s="1"/>
  <c r="AR207" i="5" s="1"/>
  <c r="Z207" i="5"/>
  <c r="Y207" i="5"/>
  <c r="X207" i="5"/>
  <c r="W207" i="5"/>
  <c r="V207" i="5"/>
  <c r="U207" i="5"/>
  <c r="T207" i="5"/>
  <c r="S207" i="5"/>
  <c r="R207" i="5" a="1"/>
  <c r="R207" i="5" s="1"/>
  <c r="AU206" i="5"/>
  <c r="AN206" i="5"/>
  <c r="AM206" i="5"/>
  <c r="AL206" i="5"/>
  <c r="AK206" i="5"/>
  <c r="AH206" i="5"/>
  <c r="AJ206" i="5" s="1"/>
  <c r="AG206" i="5"/>
  <c r="AF206" i="5"/>
  <c r="AE206" i="5"/>
  <c r="AD206" i="5"/>
  <c r="AB206" i="5"/>
  <c r="AC206" i="5" s="1"/>
  <c r="Z206" i="5"/>
  <c r="Y206" i="5"/>
  <c r="X206" i="5"/>
  <c r="W206" i="5"/>
  <c r="V206" i="5"/>
  <c r="U206" i="5"/>
  <c r="T206" i="5"/>
  <c r="S206" i="5"/>
  <c r="R206" i="5" a="1"/>
  <c r="R206" i="5" s="1"/>
  <c r="AU205" i="5"/>
  <c r="AN205" i="5"/>
  <c r="AM205" i="5"/>
  <c r="AL205" i="5"/>
  <c r="AK205" i="5"/>
  <c r="AH205" i="5"/>
  <c r="AJ205" i="5" s="1"/>
  <c r="AG205" i="5"/>
  <c r="AF205" i="5"/>
  <c r="AE205" i="5"/>
  <c r="AD205" i="5"/>
  <c r="AB205" i="5"/>
  <c r="AC205" i="5" s="1"/>
  <c r="Z205" i="5"/>
  <c r="Y205" i="5"/>
  <c r="X205" i="5"/>
  <c r="W205" i="5"/>
  <c r="V205" i="5"/>
  <c r="U205" i="5"/>
  <c r="T205" i="5"/>
  <c r="S205" i="5"/>
  <c r="R205" i="5" a="1"/>
  <c r="R205" i="5" s="1"/>
  <c r="AU204" i="5"/>
  <c r="AN204" i="5"/>
  <c r="AM204" i="5"/>
  <c r="AL204" i="5"/>
  <c r="AK204" i="5"/>
  <c r="AH204" i="5"/>
  <c r="AJ204" i="5" s="1"/>
  <c r="AG204" i="5"/>
  <c r="AF204" i="5"/>
  <c r="AE204" i="5"/>
  <c r="AD204" i="5"/>
  <c r="AB204" i="5"/>
  <c r="AC204" i="5" s="1"/>
  <c r="Z204" i="5"/>
  <c r="Y204" i="5"/>
  <c r="X204" i="5"/>
  <c r="W204" i="5"/>
  <c r="V204" i="5"/>
  <c r="U204" i="5"/>
  <c r="T204" i="5"/>
  <c r="S204" i="5"/>
  <c r="R204" i="5" a="1"/>
  <c r="R204" i="5" s="1"/>
  <c r="AU203" i="5"/>
  <c r="AN203" i="5"/>
  <c r="AM203" i="5"/>
  <c r="AL203" i="5"/>
  <c r="AK203" i="5"/>
  <c r="AG203" i="5"/>
  <c r="AF203" i="5"/>
  <c r="Y203" i="5"/>
  <c r="X203" i="5"/>
  <c r="U203" i="5"/>
  <c r="W203" i="5" s="1"/>
  <c r="T203" i="5"/>
  <c r="V203" i="5" s="1"/>
  <c r="S203" i="5"/>
  <c r="AT203" i="5" s="1"/>
  <c r="R203" i="5" a="1"/>
  <c r="R203" i="5" s="1"/>
  <c r="AU202" i="5"/>
  <c r="AN202" i="5"/>
  <c r="AM202" i="5"/>
  <c r="AL202" i="5"/>
  <c r="AK202" i="5"/>
  <c r="AG202" i="5"/>
  <c r="AF202" i="5"/>
  <c r="Y202" i="5"/>
  <c r="X202" i="5"/>
  <c r="W202" i="5"/>
  <c r="U202" i="5"/>
  <c r="T202" i="5"/>
  <c r="V202" i="5" s="1"/>
  <c r="S202" i="5"/>
  <c r="R202" i="5" a="1"/>
  <c r="R202" i="5" s="1"/>
  <c r="AU201" i="5"/>
  <c r="AN201" i="5"/>
  <c r="AM201" i="5"/>
  <c r="AL201" i="5"/>
  <c r="AK201" i="5"/>
  <c r="AG201" i="5"/>
  <c r="AF201" i="5"/>
  <c r="Y201" i="5"/>
  <c r="X201" i="5"/>
  <c r="W201" i="5"/>
  <c r="U201" i="5"/>
  <c r="T201" i="5"/>
  <c r="V201" i="5" s="1"/>
  <c r="S201" i="5"/>
  <c r="R201" i="5" a="1"/>
  <c r="R201" i="5" s="1"/>
  <c r="AU200" i="5"/>
  <c r="AN200" i="5"/>
  <c r="AM200" i="5"/>
  <c r="AL200" i="5"/>
  <c r="AK200" i="5"/>
  <c r="AG200" i="5"/>
  <c r="AF200" i="5"/>
  <c r="Y200" i="5"/>
  <c r="X200" i="5"/>
  <c r="W200" i="5"/>
  <c r="V200" i="5"/>
  <c r="U200" i="5"/>
  <c r="T200" i="5"/>
  <c r="S200" i="5"/>
  <c r="R200" i="5" a="1"/>
  <c r="R200" i="5" s="1"/>
  <c r="AU199" i="5"/>
  <c r="AN199" i="5"/>
  <c r="AM199" i="5"/>
  <c r="AL199" i="5"/>
  <c r="AK199" i="5"/>
  <c r="AG199" i="5"/>
  <c r="AF199" i="5"/>
  <c r="Y199" i="5"/>
  <c r="X199" i="5"/>
  <c r="V199" i="5"/>
  <c r="U199" i="5"/>
  <c r="W199" i="5" s="1"/>
  <c r="T199" i="5"/>
  <c r="S199" i="5"/>
  <c r="AT199" i="5" s="1"/>
  <c r="R199" i="5" a="1"/>
  <c r="R199" i="5" s="1"/>
  <c r="AU198" i="5"/>
  <c r="AN198" i="5"/>
  <c r="AM198" i="5"/>
  <c r="AL198" i="5"/>
  <c r="AK198" i="5"/>
  <c r="AG198" i="5"/>
  <c r="AF198" i="5"/>
  <c r="Y198" i="5"/>
  <c r="X198" i="5"/>
  <c r="U198" i="5"/>
  <c r="W198" i="5" s="1"/>
  <c r="T198" i="5"/>
  <c r="V198" i="5" s="1"/>
  <c r="S198" i="5"/>
  <c r="R198" i="5" a="1"/>
  <c r="R198" i="5" s="1"/>
  <c r="AU197" i="5"/>
  <c r="AN197" i="5"/>
  <c r="AM197" i="5"/>
  <c r="AL197" i="5"/>
  <c r="AK197" i="5"/>
  <c r="AG197" i="5"/>
  <c r="AF197" i="5"/>
  <c r="AE197" i="5"/>
  <c r="AB197" i="5"/>
  <c r="AC197" i="5" s="1"/>
  <c r="Y197" i="5"/>
  <c r="X197" i="5"/>
  <c r="W197" i="5"/>
  <c r="U197" i="5"/>
  <c r="T197" i="5"/>
  <c r="V197" i="5" s="1"/>
  <c r="S197" i="5"/>
  <c r="R197" i="5" a="1"/>
  <c r="R197" i="5" s="1"/>
  <c r="AU196" i="5"/>
  <c r="AN196" i="5"/>
  <c r="AM196" i="5"/>
  <c r="AL196" i="5"/>
  <c r="AK196" i="5"/>
  <c r="AB196" i="5" s="1"/>
  <c r="AC196" i="5" s="1"/>
  <c r="AG196" i="5"/>
  <c r="AF196" i="5"/>
  <c r="AE196" i="5"/>
  <c r="Y196" i="5"/>
  <c r="X196" i="5"/>
  <c r="W196" i="5"/>
  <c r="V196" i="5"/>
  <c r="U196" i="5"/>
  <c r="T196" i="5"/>
  <c r="S196" i="5"/>
  <c r="R196" i="5" a="1"/>
  <c r="R196" i="5" s="1"/>
  <c r="AU195" i="5"/>
  <c r="AN195" i="5"/>
  <c r="AM195" i="5"/>
  <c r="AL195" i="5"/>
  <c r="AK195" i="5"/>
  <c r="AB195" i="5" s="1"/>
  <c r="AC195" i="5" s="1"/>
  <c r="AG195" i="5"/>
  <c r="AF195" i="5"/>
  <c r="Y195" i="5"/>
  <c r="X195" i="5"/>
  <c r="V195" i="5"/>
  <c r="U195" i="5"/>
  <c r="W195" i="5" s="1"/>
  <c r="T195" i="5"/>
  <c r="S195" i="5"/>
  <c r="AT195" i="5" s="1"/>
  <c r="R195" i="5" a="1"/>
  <c r="R195" i="5" s="1"/>
  <c r="AU194" i="5"/>
  <c r="AN194" i="5"/>
  <c r="AM194" i="5"/>
  <c r="AL194" i="5"/>
  <c r="AK194" i="5"/>
  <c r="AG194" i="5"/>
  <c r="AF194" i="5"/>
  <c r="Y194" i="5"/>
  <c r="X194" i="5"/>
  <c r="U194" i="5"/>
  <c r="W194" i="5" s="1"/>
  <c r="T194" i="5"/>
  <c r="V194" i="5" s="1"/>
  <c r="S194" i="5"/>
  <c r="R194" i="5" a="1"/>
  <c r="R194" i="5" s="1"/>
  <c r="AU193" i="5"/>
  <c r="AN193" i="5"/>
  <c r="AM193" i="5"/>
  <c r="AL193" i="5"/>
  <c r="AK193" i="5"/>
  <c r="AG193" i="5"/>
  <c r="AF193" i="5"/>
  <c r="AE193" i="5"/>
  <c r="AB193" i="5"/>
  <c r="AC193" i="5" s="1"/>
  <c r="Y193" i="5"/>
  <c r="X193" i="5"/>
  <c r="W193" i="5"/>
  <c r="U193" i="5"/>
  <c r="T193" i="5"/>
  <c r="V193" i="5" s="1"/>
  <c r="S193" i="5"/>
  <c r="R193" i="5" a="1"/>
  <c r="R193" i="5" s="1"/>
  <c r="AU192" i="5"/>
  <c r="AN192" i="5"/>
  <c r="AM192" i="5"/>
  <c r="AL192" i="5"/>
  <c r="AK192" i="5"/>
  <c r="AB192" i="5" s="1"/>
  <c r="AC192" i="5" s="1"/>
  <c r="AG192" i="5"/>
  <c r="AF192" i="5"/>
  <c r="AE192" i="5"/>
  <c r="Y192" i="5"/>
  <c r="X192" i="5"/>
  <c r="W192" i="5"/>
  <c r="V192" i="5"/>
  <c r="U192" i="5"/>
  <c r="T192" i="5"/>
  <c r="S192" i="5"/>
  <c r="R192" i="5" a="1"/>
  <c r="R192" i="5" s="1"/>
  <c r="AU191" i="5"/>
  <c r="AN191" i="5"/>
  <c r="AM191" i="5"/>
  <c r="AL191" i="5"/>
  <c r="AK191" i="5"/>
  <c r="AB191" i="5" s="1"/>
  <c r="AC191" i="5" s="1"/>
  <c r="AG191" i="5"/>
  <c r="AF191" i="5"/>
  <c r="Y191" i="5"/>
  <c r="X191" i="5"/>
  <c r="V191" i="5"/>
  <c r="U191" i="5"/>
  <c r="W191" i="5" s="1"/>
  <c r="T191" i="5"/>
  <c r="S191" i="5"/>
  <c r="AT191" i="5" s="1"/>
  <c r="R191" i="5" a="1"/>
  <c r="R191" i="5" s="1"/>
  <c r="AU190" i="5"/>
  <c r="AN190" i="5"/>
  <c r="AM190" i="5"/>
  <c r="AL190" i="5"/>
  <c r="AK190" i="5"/>
  <c r="AG190" i="5"/>
  <c r="AF190" i="5"/>
  <c r="Y190" i="5"/>
  <c r="X190" i="5"/>
  <c r="U190" i="5"/>
  <c r="W190" i="5" s="1"/>
  <c r="T190" i="5"/>
  <c r="V190" i="5" s="1"/>
  <c r="S190" i="5"/>
  <c r="R190" i="5" a="1"/>
  <c r="R190" i="5" s="1"/>
  <c r="AU189" i="5"/>
  <c r="AN189" i="5"/>
  <c r="AM189" i="5"/>
  <c r="AL189" i="5"/>
  <c r="AK189" i="5"/>
  <c r="AG189" i="5"/>
  <c r="AF189" i="5"/>
  <c r="AE189" i="5"/>
  <c r="AB189" i="5"/>
  <c r="AC189" i="5" s="1"/>
  <c r="Y189" i="5"/>
  <c r="X189" i="5"/>
  <c r="W189" i="5"/>
  <c r="U189" i="5"/>
  <c r="T189" i="5"/>
  <c r="V189" i="5" s="1"/>
  <c r="S189" i="5"/>
  <c r="R189" i="5" a="1"/>
  <c r="R189" i="5" s="1"/>
  <c r="AU188" i="5"/>
  <c r="AN188" i="5"/>
  <c r="AM188" i="5"/>
  <c r="AL188" i="5"/>
  <c r="AK188" i="5"/>
  <c r="AB188" i="5" s="1"/>
  <c r="AC188" i="5" s="1"/>
  <c r="AG188" i="5"/>
  <c r="AF188" i="5"/>
  <c r="AE188" i="5"/>
  <c r="Y188" i="5"/>
  <c r="X188" i="5"/>
  <c r="W188" i="5"/>
  <c r="V188" i="5"/>
  <c r="U188" i="5"/>
  <c r="T188" i="5"/>
  <c r="S188" i="5"/>
  <c r="R188" i="5" a="1"/>
  <c r="R188" i="5" s="1"/>
  <c r="AU187" i="5"/>
  <c r="AN187" i="5"/>
  <c r="AM187" i="5"/>
  <c r="AL187" i="5"/>
  <c r="AK187" i="5"/>
  <c r="AG187" i="5"/>
  <c r="AF187" i="5"/>
  <c r="Y187" i="5"/>
  <c r="X187" i="5"/>
  <c r="V187" i="5"/>
  <c r="AS187" i="5" s="1"/>
  <c r="U187" i="5"/>
  <c r="W187" i="5" s="1"/>
  <c r="T187" i="5"/>
  <c r="S187" i="5"/>
  <c r="R187" i="5" a="1"/>
  <c r="R187" i="5" s="1"/>
  <c r="AU186" i="5"/>
  <c r="AN186" i="5"/>
  <c r="AM186" i="5"/>
  <c r="AL186" i="5"/>
  <c r="AK186" i="5"/>
  <c r="AG186" i="5"/>
  <c r="AF186" i="5"/>
  <c r="Y186" i="5"/>
  <c r="X186" i="5"/>
  <c r="U186" i="5"/>
  <c r="W186" i="5" s="1"/>
  <c r="T186" i="5"/>
  <c r="V186" i="5" s="1"/>
  <c r="S186" i="5"/>
  <c r="R186" i="5" a="1"/>
  <c r="R186" i="5" s="1"/>
  <c r="AU185" i="5"/>
  <c r="AN185" i="5"/>
  <c r="AM185" i="5"/>
  <c r="AL185" i="5"/>
  <c r="AK185" i="5"/>
  <c r="AG185" i="5"/>
  <c r="AF185" i="5"/>
  <c r="AE185" i="5"/>
  <c r="AB185" i="5"/>
  <c r="AC185" i="5" s="1"/>
  <c r="Y185" i="5"/>
  <c r="X185" i="5"/>
  <c r="W185" i="5"/>
  <c r="U185" i="5"/>
  <c r="T185" i="5"/>
  <c r="V185" i="5" s="1"/>
  <c r="S185" i="5"/>
  <c r="R185" i="5" a="1"/>
  <c r="R185" i="5" s="1"/>
  <c r="AU184" i="5"/>
  <c r="AN184" i="5"/>
  <c r="AM184" i="5"/>
  <c r="AL184" i="5"/>
  <c r="AK184" i="5"/>
  <c r="AB184" i="5" s="1"/>
  <c r="AC184" i="5" s="1"/>
  <c r="AG184" i="5"/>
  <c r="AF184" i="5"/>
  <c r="AE184" i="5"/>
  <c r="Y184" i="5"/>
  <c r="X184" i="5"/>
  <c r="W184" i="5"/>
  <c r="V184" i="5"/>
  <c r="U184" i="5"/>
  <c r="T184" i="5"/>
  <c r="S184" i="5"/>
  <c r="R184" i="5" a="1"/>
  <c r="R184" i="5" s="1"/>
  <c r="AU183" i="5"/>
  <c r="AN183" i="5"/>
  <c r="AM183" i="5"/>
  <c r="AL183" i="5"/>
  <c r="AK183" i="5"/>
  <c r="AG183" i="5"/>
  <c r="AF183" i="5"/>
  <c r="Y183" i="5"/>
  <c r="X183" i="5"/>
  <c r="V183" i="5"/>
  <c r="U183" i="5"/>
  <c r="W183" i="5" s="1"/>
  <c r="T183" i="5"/>
  <c r="S183" i="5"/>
  <c r="AT183" i="5" s="1"/>
  <c r="R183" i="5" a="1"/>
  <c r="R183" i="5" s="1"/>
  <c r="AU182" i="5"/>
  <c r="AN182" i="5"/>
  <c r="AM182" i="5"/>
  <c r="AL182" i="5"/>
  <c r="AK182" i="5"/>
  <c r="AG182" i="5"/>
  <c r="AF182" i="5"/>
  <c r="AE182" i="5"/>
  <c r="AB182" i="5"/>
  <c r="AC182" i="5" s="1"/>
  <c r="AR182" i="5" s="1"/>
  <c r="Y182" i="5"/>
  <c r="X182" i="5"/>
  <c r="W182" i="5"/>
  <c r="U182" i="5"/>
  <c r="T182" i="5"/>
  <c r="V182" i="5" s="1"/>
  <c r="S182" i="5"/>
  <c r="R182" i="5" a="1"/>
  <c r="R182" i="5" s="1"/>
  <c r="AU181" i="5"/>
  <c r="AN181" i="5"/>
  <c r="AM181" i="5"/>
  <c r="AL181" i="5"/>
  <c r="AK181" i="5"/>
  <c r="AG181" i="5"/>
  <c r="AF181" i="5"/>
  <c r="AE181" i="5"/>
  <c r="AD181" i="5"/>
  <c r="AB181" i="5"/>
  <c r="AC181" i="5" s="1"/>
  <c r="Z181" i="5"/>
  <c r="Y181" i="5"/>
  <c r="X181" i="5"/>
  <c r="W181" i="5"/>
  <c r="V181" i="5"/>
  <c r="AS181" i="5" s="1"/>
  <c r="U181" i="5"/>
  <c r="T181" i="5"/>
  <c r="S181" i="5"/>
  <c r="AT181" i="5" s="1"/>
  <c r="R181" i="5" a="1"/>
  <c r="R181" i="5" s="1"/>
  <c r="AU180" i="5"/>
  <c r="AN180" i="5"/>
  <c r="AM180" i="5"/>
  <c r="AL180" i="5"/>
  <c r="AK180" i="5"/>
  <c r="AB180" i="5" s="1"/>
  <c r="AC180" i="5" s="1"/>
  <c r="AG180" i="5"/>
  <c r="AF180" i="5"/>
  <c r="AE180" i="5"/>
  <c r="AD180" i="5"/>
  <c r="Z180" i="5"/>
  <c r="Y180" i="5"/>
  <c r="X180" i="5"/>
  <c r="V180" i="5"/>
  <c r="U180" i="5"/>
  <c r="W180" i="5" s="1"/>
  <c r="T180" i="5"/>
  <c r="S180" i="5"/>
  <c r="R180" i="5" a="1"/>
  <c r="R180" i="5" s="1"/>
  <c r="AU179" i="5"/>
  <c r="AN179" i="5"/>
  <c r="AM179" i="5"/>
  <c r="AL179" i="5"/>
  <c r="AK179" i="5"/>
  <c r="Z191" i="5" s="1"/>
  <c r="AG179" i="5"/>
  <c r="AF179" i="5"/>
  <c r="Y179" i="5"/>
  <c r="X179" i="5"/>
  <c r="U179" i="5"/>
  <c r="W179" i="5" s="1"/>
  <c r="T179" i="5"/>
  <c r="V179" i="5" s="1"/>
  <c r="S179" i="5"/>
  <c r="R179" i="5" a="1"/>
  <c r="R179" i="5" s="1"/>
  <c r="AU178" i="5"/>
  <c r="AN178" i="5"/>
  <c r="AM178" i="5"/>
  <c r="AL178" i="5"/>
  <c r="AK178" i="5"/>
  <c r="AG178" i="5"/>
  <c r="AF178" i="5"/>
  <c r="Y178" i="5"/>
  <c r="X178" i="5"/>
  <c r="W178" i="5"/>
  <c r="U178" i="5"/>
  <c r="T178" i="5"/>
  <c r="V178" i="5" s="1"/>
  <c r="S178" i="5"/>
  <c r="R178" i="5" a="1"/>
  <c r="R178" i="5" s="1"/>
  <c r="AU177" i="5"/>
  <c r="AN177" i="5"/>
  <c r="AM177" i="5"/>
  <c r="AL177" i="5"/>
  <c r="AK177" i="5"/>
  <c r="AG177" i="5"/>
  <c r="AF177" i="5"/>
  <c r="Y177" i="5"/>
  <c r="X177" i="5"/>
  <c r="W177" i="5"/>
  <c r="U177" i="5"/>
  <c r="T177" i="5"/>
  <c r="V177" i="5" s="1"/>
  <c r="S177" i="5"/>
  <c r="R177" i="5" a="1"/>
  <c r="R177" i="5" s="1"/>
  <c r="AU176" i="5"/>
  <c r="AN176" i="5"/>
  <c r="AM176" i="5"/>
  <c r="AL176" i="5"/>
  <c r="AK176" i="5"/>
  <c r="AG176" i="5"/>
  <c r="AF176" i="5"/>
  <c r="Y176" i="5"/>
  <c r="X176" i="5"/>
  <c r="V176" i="5"/>
  <c r="U176" i="5"/>
  <c r="W176" i="5" s="1"/>
  <c r="T176" i="5"/>
  <c r="S176" i="5"/>
  <c r="R176" i="5" a="1"/>
  <c r="R176" i="5" s="1"/>
  <c r="AU175" i="5"/>
  <c r="AN175" i="5"/>
  <c r="AM175" i="5"/>
  <c r="AL175" i="5"/>
  <c r="AK175" i="5"/>
  <c r="AG175" i="5"/>
  <c r="AF175" i="5"/>
  <c r="Y175" i="5"/>
  <c r="X175" i="5"/>
  <c r="U175" i="5"/>
  <c r="W175" i="5" s="1"/>
  <c r="T175" i="5"/>
  <c r="V175" i="5" s="1"/>
  <c r="S175" i="5"/>
  <c r="R175" i="5" a="1"/>
  <c r="R175" i="5" s="1"/>
  <c r="AU174" i="5"/>
  <c r="AN174" i="5"/>
  <c r="AM174" i="5"/>
  <c r="AL174" i="5"/>
  <c r="AK174" i="5"/>
  <c r="AG174" i="5"/>
  <c r="AF174" i="5"/>
  <c r="Y174" i="5"/>
  <c r="X174" i="5"/>
  <c r="U174" i="5"/>
  <c r="W174" i="5" s="1"/>
  <c r="T174" i="5"/>
  <c r="V174" i="5" s="1"/>
  <c r="S174" i="5"/>
  <c r="R174" i="5" a="1"/>
  <c r="R174" i="5" s="1"/>
  <c r="AU173" i="5"/>
  <c r="AN173" i="5"/>
  <c r="AM173" i="5"/>
  <c r="AL173" i="5"/>
  <c r="AK173" i="5"/>
  <c r="AG173" i="5"/>
  <c r="AF173" i="5"/>
  <c r="AE173" i="5"/>
  <c r="AB173" i="5"/>
  <c r="AC173" i="5" s="1"/>
  <c r="Y173" i="5"/>
  <c r="X173" i="5"/>
  <c r="W173" i="5"/>
  <c r="U173" i="5"/>
  <c r="T173" i="5"/>
  <c r="V173" i="5" s="1"/>
  <c r="S173" i="5"/>
  <c r="R173" i="5" a="1"/>
  <c r="R173" i="5" s="1"/>
  <c r="AU172" i="5"/>
  <c r="AN172" i="5"/>
  <c r="AM172" i="5"/>
  <c r="AL172" i="5"/>
  <c r="AK172" i="5"/>
  <c r="AB172" i="5" s="1"/>
  <c r="AC172" i="5" s="1"/>
  <c r="AG172" i="5"/>
  <c r="AF172" i="5"/>
  <c r="Y172" i="5"/>
  <c r="X172" i="5"/>
  <c r="W172" i="5"/>
  <c r="V172" i="5"/>
  <c r="U172" i="5"/>
  <c r="T172" i="5"/>
  <c r="S172" i="5"/>
  <c r="R172" i="5" a="1"/>
  <c r="R172" i="5" s="1"/>
  <c r="AU171" i="5"/>
  <c r="AN171" i="5"/>
  <c r="AM171" i="5"/>
  <c r="AL171" i="5"/>
  <c r="AK171" i="5"/>
  <c r="AE171" i="5" s="1"/>
  <c r="AG171" i="5"/>
  <c r="AF171" i="5"/>
  <c r="AB171" i="5"/>
  <c r="AC171" i="5" s="1"/>
  <c r="AR171" i="5" s="1"/>
  <c r="Y171" i="5"/>
  <c r="X171" i="5"/>
  <c r="V171" i="5"/>
  <c r="U171" i="5"/>
  <c r="W171" i="5" s="1"/>
  <c r="T171" i="5"/>
  <c r="S171" i="5"/>
  <c r="R171" i="5" a="1"/>
  <c r="R171" i="5" s="1"/>
  <c r="AU170" i="5"/>
  <c r="AN170" i="5"/>
  <c r="AM170" i="5"/>
  <c r="AL170" i="5"/>
  <c r="AK170" i="5"/>
  <c r="AG170" i="5"/>
  <c r="AF170" i="5"/>
  <c r="AE170" i="5"/>
  <c r="AB170" i="5"/>
  <c r="AC170" i="5" s="1"/>
  <c r="Y170" i="5"/>
  <c r="X170" i="5"/>
  <c r="W170" i="5"/>
  <c r="U170" i="5"/>
  <c r="T170" i="5"/>
  <c r="V170" i="5" s="1"/>
  <c r="S170" i="5"/>
  <c r="R170" i="5" a="1"/>
  <c r="R170" i="5" s="1"/>
  <c r="AU169" i="5"/>
  <c r="AN169" i="5"/>
  <c r="AM169" i="5"/>
  <c r="AL169" i="5"/>
  <c r="AK169" i="5"/>
  <c r="AG169" i="5"/>
  <c r="AF169" i="5"/>
  <c r="AE169" i="5"/>
  <c r="AB169" i="5"/>
  <c r="AC169" i="5" s="1"/>
  <c r="Y169" i="5"/>
  <c r="X169" i="5"/>
  <c r="W169" i="5"/>
  <c r="V169" i="5"/>
  <c r="U169" i="5"/>
  <c r="T169" i="5"/>
  <c r="S169" i="5"/>
  <c r="R169" i="5" a="1"/>
  <c r="R169" i="5" s="1"/>
  <c r="AU168" i="5"/>
  <c r="AN168" i="5"/>
  <c r="AM168" i="5"/>
  <c r="AL168" i="5"/>
  <c r="AK168" i="5"/>
  <c r="AG168" i="5"/>
  <c r="AF168" i="5"/>
  <c r="Y168" i="5"/>
  <c r="X168" i="5"/>
  <c r="W168" i="5"/>
  <c r="V168" i="5"/>
  <c r="U168" i="5"/>
  <c r="T168" i="5"/>
  <c r="S168" i="5"/>
  <c r="R168" i="5" a="1"/>
  <c r="R168" i="5" s="1"/>
  <c r="AU167" i="5"/>
  <c r="AN167" i="5"/>
  <c r="AM167" i="5"/>
  <c r="AL167" i="5"/>
  <c r="AK167" i="5"/>
  <c r="AE167" i="5" s="1"/>
  <c r="AG167" i="5"/>
  <c r="AF167" i="5"/>
  <c r="AB167" i="5"/>
  <c r="AC167" i="5" s="1"/>
  <c r="Y167" i="5"/>
  <c r="X167" i="5"/>
  <c r="V167" i="5"/>
  <c r="U167" i="5"/>
  <c r="W167" i="5" s="1"/>
  <c r="T167" i="5"/>
  <c r="S167" i="5"/>
  <c r="R167" i="5" a="1"/>
  <c r="R167" i="5" s="1"/>
  <c r="AU166" i="5"/>
  <c r="AN166" i="5"/>
  <c r="AM166" i="5"/>
  <c r="AL166" i="5"/>
  <c r="AK166" i="5"/>
  <c r="AE166" i="5" s="1"/>
  <c r="AG166" i="5"/>
  <c r="AF166" i="5"/>
  <c r="Y166" i="5"/>
  <c r="X166" i="5"/>
  <c r="U166" i="5"/>
  <c r="W166" i="5" s="1"/>
  <c r="T166" i="5"/>
  <c r="V166" i="5" s="1"/>
  <c r="S166" i="5"/>
  <c r="R166" i="5" a="1"/>
  <c r="R166" i="5" s="1"/>
  <c r="AU165" i="5"/>
  <c r="AN165" i="5"/>
  <c r="AM165" i="5"/>
  <c r="AL165" i="5"/>
  <c r="AK165" i="5"/>
  <c r="AG165" i="5"/>
  <c r="AF165" i="5"/>
  <c r="AE165" i="5"/>
  <c r="AB165" i="5"/>
  <c r="AC165" i="5" s="1"/>
  <c r="Y165" i="5"/>
  <c r="X165" i="5"/>
  <c r="W165" i="5"/>
  <c r="V165" i="5"/>
  <c r="U165" i="5"/>
  <c r="T165" i="5"/>
  <c r="S165" i="5"/>
  <c r="R165" i="5" a="1"/>
  <c r="R165" i="5" s="1"/>
  <c r="AU164" i="5"/>
  <c r="AN164" i="5"/>
  <c r="AM164" i="5"/>
  <c r="AL164" i="5"/>
  <c r="AK164" i="5"/>
  <c r="AB164" i="5" s="1"/>
  <c r="AC164" i="5" s="1"/>
  <c r="AG164" i="5"/>
  <c r="AF164" i="5"/>
  <c r="AE164" i="5"/>
  <c r="Y164" i="5"/>
  <c r="X164" i="5"/>
  <c r="V164" i="5"/>
  <c r="U164" i="5"/>
  <c r="W164" i="5" s="1"/>
  <c r="T164" i="5"/>
  <c r="S164" i="5"/>
  <c r="R164" i="5" a="1"/>
  <c r="R164" i="5" s="1"/>
  <c r="AU163" i="5"/>
  <c r="AN163" i="5"/>
  <c r="AM163" i="5"/>
  <c r="AL163" i="5"/>
  <c r="AK163" i="5"/>
  <c r="AG163" i="5"/>
  <c r="AF163" i="5"/>
  <c r="Y163" i="5"/>
  <c r="X163" i="5"/>
  <c r="U163" i="5"/>
  <c r="W163" i="5" s="1"/>
  <c r="T163" i="5"/>
  <c r="V163" i="5" s="1"/>
  <c r="S163" i="5"/>
  <c r="R163" i="5" a="1"/>
  <c r="R163" i="5" s="1"/>
  <c r="AU162" i="5"/>
  <c r="AN162" i="5"/>
  <c r="AM162" i="5"/>
  <c r="AL162" i="5"/>
  <c r="AK162" i="5"/>
  <c r="AG162" i="5"/>
  <c r="AF162" i="5"/>
  <c r="AB162" i="5"/>
  <c r="AC162" i="5" s="1"/>
  <c r="Y162" i="5"/>
  <c r="X162" i="5"/>
  <c r="W162" i="5"/>
  <c r="U162" i="5"/>
  <c r="T162" i="5"/>
  <c r="V162" i="5" s="1"/>
  <c r="S162" i="5"/>
  <c r="R162" i="5" a="1"/>
  <c r="R162" i="5" s="1"/>
  <c r="AU161" i="5"/>
  <c r="AN161" i="5"/>
  <c r="AM161" i="5"/>
  <c r="AL161" i="5"/>
  <c r="AK161" i="5"/>
  <c r="AG161" i="5"/>
  <c r="AF161" i="5"/>
  <c r="AE161" i="5"/>
  <c r="AD161" i="5"/>
  <c r="AB161" i="5"/>
  <c r="AC161" i="5" s="1"/>
  <c r="Y161" i="5"/>
  <c r="X161" i="5"/>
  <c r="W161" i="5"/>
  <c r="U161" i="5"/>
  <c r="T161" i="5"/>
  <c r="V161" i="5" s="1"/>
  <c r="S161" i="5"/>
  <c r="R161" i="5" a="1"/>
  <c r="R161" i="5" s="1"/>
  <c r="AU160" i="5"/>
  <c r="AN160" i="5"/>
  <c r="AM160" i="5"/>
  <c r="AL160" i="5"/>
  <c r="AK160" i="5"/>
  <c r="AB160" i="5" s="1"/>
  <c r="AC160" i="5" s="1"/>
  <c r="AG160" i="5"/>
  <c r="AF160" i="5"/>
  <c r="Y160" i="5"/>
  <c r="X160" i="5"/>
  <c r="V160" i="5"/>
  <c r="U160" i="5"/>
  <c r="W160" i="5" s="1"/>
  <c r="T160" i="5"/>
  <c r="S160" i="5"/>
  <c r="AT160" i="5" s="1"/>
  <c r="R160" i="5" a="1"/>
  <c r="R160" i="5" s="1"/>
  <c r="AU159" i="5"/>
  <c r="AN159" i="5"/>
  <c r="AM159" i="5"/>
  <c r="AL159" i="5"/>
  <c r="AK159" i="5"/>
  <c r="AE159" i="5" s="1"/>
  <c r="AG159" i="5"/>
  <c r="AF159" i="5"/>
  <c r="AB159" i="5"/>
  <c r="AC159" i="5" s="1"/>
  <c r="Y159" i="5"/>
  <c r="X159" i="5"/>
  <c r="U159" i="5"/>
  <c r="W159" i="5" s="1"/>
  <c r="T159" i="5"/>
  <c r="V159" i="5" s="1"/>
  <c r="S159" i="5"/>
  <c r="R159" i="5" a="1"/>
  <c r="R159" i="5" s="1"/>
  <c r="AU158" i="5"/>
  <c r="AN158" i="5"/>
  <c r="AM158" i="5"/>
  <c r="AL158" i="5"/>
  <c r="AK158" i="5"/>
  <c r="AG158" i="5"/>
  <c r="AF158" i="5"/>
  <c r="Y158" i="5"/>
  <c r="X158" i="5"/>
  <c r="U158" i="5"/>
  <c r="W158" i="5" s="1"/>
  <c r="T158" i="5"/>
  <c r="V158" i="5" s="1"/>
  <c r="S158" i="5"/>
  <c r="R158" i="5" a="1"/>
  <c r="R158" i="5" s="1"/>
  <c r="AU157" i="5"/>
  <c r="AN157" i="5"/>
  <c r="AM157" i="5"/>
  <c r="AL157" i="5"/>
  <c r="AK157" i="5"/>
  <c r="AG157" i="5"/>
  <c r="AF157" i="5"/>
  <c r="AE157" i="5"/>
  <c r="AD157" i="5"/>
  <c r="AB157" i="5"/>
  <c r="AC157" i="5" s="1"/>
  <c r="Z157" i="5"/>
  <c r="Y157" i="5"/>
  <c r="X157" i="5"/>
  <c r="W157" i="5"/>
  <c r="U157" i="5"/>
  <c r="T157" i="5"/>
  <c r="V157" i="5" s="1"/>
  <c r="S157" i="5"/>
  <c r="R157" i="5" a="1"/>
  <c r="R157" i="5" s="1"/>
  <c r="AU156" i="5"/>
  <c r="AN156" i="5"/>
  <c r="AM156" i="5"/>
  <c r="AL156" i="5"/>
  <c r="AK156" i="5"/>
  <c r="AB156" i="5" s="1"/>
  <c r="AC156" i="5" s="1"/>
  <c r="AG156" i="5"/>
  <c r="AF156" i="5"/>
  <c r="AE156" i="5"/>
  <c r="Z156" i="5"/>
  <c r="Y156" i="5"/>
  <c r="X156" i="5"/>
  <c r="W156" i="5"/>
  <c r="V156" i="5"/>
  <c r="U156" i="5"/>
  <c r="T156" i="5"/>
  <c r="S156" i="5"/>
  <c r="R156" i="5" a="1"/>
  <c r="R156" i="5" s="1"/>
  <c r="AU155" i="5"/>
  <c r="AN155" i="5"/>
  <c r="AM155" i="5"/>
  <c r="AL155" i="5"/>
  <c r="AK155" i="5"/>
  <c r="AE155" i="5" s="1"/>
  <c r="AG155" i="5"/>
  <c r="AF155" i="5"/>
  <c r="Z155" i="5"/>
  <c r="Y155" i="5"/>
  <c r="X155" i="5"/>
  <c r="V155" i="5"/>
  <c r="U155" i="5"/>
  <c r="W155" i="5" s="1"/>
  <c r="T155" i="5"/>
  <c r="S155" i="5"/>
  <c r="R155" i="5" a="1"/>
  <c r="R155" i="5" s="1"/>
  <c r="AU154" i="5"/>
  <c r="AN154" i="5"/>
  <c r="AM154" i="5"/>
  <c r="AL154" i="5"/>
  <c r="AK154" i="5"/>
  <c r="AG154" i="5"/>
  <c r="AF154" i="5"/>
  <c r="AE154" i="5"/>
  <c r="AB154" i="5"/>
  <c r="AC154" i="5" s="1"/>
  <c r="Y154" i="5"/>
  <c r="X154" i="5"/>
  <c r="W154" i="5"/>
  <c r="U154" i="5"/>
  <c r="T154" i="5"/>
  <c r="V154" i="5" s="1"/>
  <c r="S154" i="5"/>
  <c r="R154" i="5" a="1"/>
  <c r="R154" i="5" s="1"/>
  <c r="AU153" i="5"/>
  <c r="AN153" i="5"/>
  <c r="AM153" i="5"/>
  <c r="AL153" i="5"/>
  <c r="AK153" i="5"/>
  <c r="AG153" i="5"/>
  <c r="AF153" i="5"/>
  <c r="Y153" i="5"/>
  <c r="X153" i="5"/>
  <c r="W153" i="5"/>
  <c r="V153" i="5"/>
  <c r="U153" i="5"/>
  <c r="T153" i="5"/>
  <c r="S153" i="5"/>
  <c r="R153" i="5" a="1"/>
  <c r="R153" i="5" s="1"/>
  <c r="AU152" i="5"/>
  <c r="AN152" i="5"/>
  <c r="AM152" i="5"/>
  <c r="AL152" i="5"/>
  <c r="AK152" i="5"/>
  <c r="AG152" i="5"/>
  <c r="AF152" i="5"/>
  <c r="Y152" i="5"/>
  <c r="X152" i="5"/>
  <c r="W152" i="5"/>
  <c r="V152" i="5"/>
  <c r="U152" i="5"/>
  <c r="T152" i="5"/>
  <c r="S152" i="5"/>
  <c r="R152" i="5" a="1"/>
  <c r="R152" i="5" s="1"/>
  <c r="AU151" i="5"/>
  <c r="AN151" i="5"/>
  <c r="AM151" i="5"/>
  <c r="AL151" i="5"/>
  <c r="AK151" i="5"/>
  <c r="AG151" i="5"/>
  <c r="AF151" i="5"/>
  <c r="Y151" i="5"/>
  <c r="X151" i="5"/>
  <c r="U151" i="5"/>
  <c r="W151" i="5" s="1"/>
  <c r="T151" i="5"/>
  <c r="V151" i="5" s="1"/>
  <c r="S151" i="5"/>
  <c r="AO151" i="5" s="1"/>
  <c r="AU150" i="5"/>
  <c r="AN150" i="5"/>
  <c r="AM150" i="5"/>
  <c r="AL150" i="5"/>
  <c r="AK150" i="5"/>
  <c r="AG150" i="5"/>
  <c r="AF150" i="5"/>
  <c r="Y150" i="5"/>
  <c r="X150" i="5"/>
  <c r="U150" i="5"/>
  <c r="W150" i="5" s="1"/>
  <c r="T150" i="5"/>
  <c r="V150" i="5" s="1"/>
  <c r="S150" i="5"/>
  <c r="AO150" i="5" s="1"/>
  <c r="AU149" i="5"/>
  <c r="AN149" i="5"/>
  <c r="AM149" i="5"/>
  <c r="AL149" i="5"/>
  <c r="AK149" i="5"/>
  <c r="AG149" i="5"/>
  <c r="AF149" i="5"/>
  <c r="Y149" i="5"/>
  <c r="X149" i="5"/>
  <c r="U149" i="5"/>
  <c r="W149" i="5" s="1"/>
  <c r="T149" i="5"/>
  <c r="V149" i="5" s="1"/>
  <c r="S149" i="5"/>
  <c r="AU148" i="5"/>
  <c r="AN148" i="5"/>
  <c r="AM148" i="5"/>
  <c r="AL148" i="5"/>
  <c r="AK148" i="5"/>
  <c r="AB148" i="5" s="1"/>
  <c r="AC148" i="5" s="1"/>
  <c r="AG148" i="5"/>
  <c r="AF148" i="5"/>
  <c r="Y148" i="5"/>
  <c r="X148" i="5"/>
  <c r="W148" i="5"/>
  <c r="V148" i="5"/>
  <c r="U148" i="5"/>
  <c r="T148" i="5"/>
  <c r="S148" i="5"/>
  <c r="AO148" i="5" s="1"/>
  <c r="AU147" i="5"/>
  <c r="AN147" i="5"/>
  <c r="AM147" i="5"/>
  <c r="AL147" i="5"/>
  <c r="AK147" i="5"/>
  <c r="AE147" i="5" s="1"/>
  <c r="AG147" i="5"/>
  <c r="AF147" i="5"/>
  <c r="Y147" i="5"/>
  <c r="X147" i="5"/>
  <c r="U147" i="5"/>
  <c r="W147" i="5" s="1"/>
  <c r="T147" i="5"/>
  <c r="V147" i="5" s="1"/>
  <c r="S147" i="5"/>
  <c r="AU146" i="5"/>
  <c r="AN146" i="5"/>
  <c r="AM146" i="5"/>
  <c r="AL146" i="5"/>
  <c r="AK146" i="5"/>
  <c r="AG146" i="5"/>
  <c r="AF146" i="5"/>
  <c r="Y146" i="5"/>
  <c r="X146" i="5"/>
  <c r="U146" i="5"/>
  <c r="W146" i="5" s="1"/>
  <c r="T146" i="5"/>
  <c r="V146" i="5" s="1"/>
  <c r="S146" i="5"/>
  <c r="AO146" i="5" s="1"/>
  <c r="AU145" i="5"/>
  <c r="AN145" i="5"/>
  <c r="AM145" i="5"/>
  <c r="AL145" i="5"/>
  <c r="AK145" i="5"/>
  <c r="AE145" i="5" s="1"/>
  <c r="AG145" i="5"/>
  <c r="AF145" i="5"/>
  <c r="Y145" i="5"/>
  <c r="X145" i="5"/>
  <c r="U145" i="5"/>
  <c r="W145" i="5" s="1"/>
  <c r="T145" i="5"/>
  <c r="V145" i="5" s="1"/>
  <c r="S145" i="5"/>
  <c r="AO145" i="5" s="1"/>
  <c r="AU144" i="5"/>
  <c r="AN144" i="5"/>
  <c r="AM144" i="5"/>
  <c r="AL144" i="5"/>
  <c r="AK144" i="5"/>
  <c r="AB144" i="5" s="1"/>
  <c r="AC144" i="5" s="1"/>
  <c r="AG144" i="5"/>
  <c r="AF144" i="5"/>
  <c r="Y144" i="5"/>
  <c r="X144" i="5"/>
  <c r="W144" i="5"/>
  <c r="V144" i="5"/>
  <c r="U144" i="5"/>
  <c r="T144" i="5"/>
  <c r="S144" i="5"/>
  <c r="AO144" i="5" s="1"/>
  <c r="AU143" i="5"/>
  <c r="AN143" i="5"/>
  <c r="AM143" i="5"/>
  <c r="AL143" i="5"/>
  <c r="AK143" i="5"/>
  <c r="AE143" i="5" s="1"/>
  <c r="AG143" i="5"/>
  <c r="AF143" i="5"/>
  <c r="Y143" i="5"/>
  <c r="X143" i="5"/>
  <c r="U143" i="5"/>
  <c r="W143" i="5" s="1"/>
  <c r="T143" i="5"/>
  <c r="V143" i="5" s="1"/>
  <c r="S143" i="5"/>
  <c r="AO143" i="5" s="1"/>
  <c r="AU142" i="5"/>
  <c r="AN142" i="5"/>
  <c r="AM142" i="5"/>
  <c r="AL142" i="5"/>
  <c r="AK142" i="5"/>
  <c r="AE142" i="5" s="1"/>
  <c r="AG142" i="5"/>
  <c r="AF142" i="5"/>
  <c r="Y142" i="5"/>
  <c r="X142" i="5"/>
  <c r="U142" i="5"/>
  <c r="W142" i="5" s="1"/>
  <c r="T142" i="5"/>
  <c r="V142" i="5" s="1"/>
  <c r="S142" i="5"/>
  <c r="AU141" i="5"/>
  <c r="AN141" i="5"/>
  <c r="AM141" i="5"/>
  <c r="AL141" i="5"/>
  <c r="AK141" i="5"/>
  <c r="AG141" i="5"/>
  <c r="AF141" i="5"/>
  <c r="AE141" i="5"/>
  <c r="AB141" i="5"/>
  <c r="AC141" i="5" s="1"/>
  <c r="Y141" i="5"/>
  <c r="X141" i="5"/>
  <c r="W141" i="5"/>
  <c r="U141" i="5"/>
  <c r="T141" i="5"/>
  <c r="V141" i="5" s="1"/>
  <c r="S141" i="5"/>
  <c r="AO141" i="5" s="1"/>
  <c r="AU140" i="5"/>
  <c r="AN140" i="5"/>
  <c r="AM140" i="5"/>
  <c r="AL140" i="5"/>
  <c r="AK140" i="5"/>
  <c r="AG140" i="5"/>
  <c r="AF140" i="5"/>
  <c r="AE140" i="5"/>
  <c r="Y140" i="5"/>
  <c r="X140" i="5"/>
  <c r="W140" i="5"/>
  <c r="V140" i="5"/>
  <c r="U140" i="5"/>
  <c r="T140" i="5"/>
  <c r="S140" i="5"/>
  <c r="AO140" i="5" s="1"/>
  <c r="AU139" i="5"/>
  <c r="AN139" i="5"/>
  <c r="AM139" i="5"/>
  <c r="AL139" i="5"/>
  <c r="AK139" i="5"/>
  <c r="AE139" i="5" s="1"/>
  <c r="AG139" i="5"/>
  <c r="AF139" i="5"/>
  <c r="AB139" i="5"/>
  <c r="AC139" i="5" s="1"/>
  <c r="Y139" i="5"/>
  <c r="X139" i="5"/>
  <c r="U139" i="5"/>
  <c r="W139" i="5" s="1"/>
  <c r="T139" i="5"/>
  <c r="V139" i="5" s="1"/>
  <c r="S139" i="5"/>
  <c r="AU138" i="5"/>
  <c r="AN138" i="5"/>
  <c r="AM138" i="5"/>
  <c r="AL138" i="5"/>
  <c r="AK138" i="5"/>
  <c r="AE138" i="5" s="1"/>
  <c r="AG138" i="5"/>
  <c r="AF138" i="5"/>
  <c r="Y138" i="5"/>
  <c r="X138" i="5"/>
  <c r="U138" i="5"/>
  <c r="W138" i="5" s="1"/>
  <c r="T138" i="5"/>
  <c r="V138" i="5" s="1"/>
  <c r="S138" i="5"/>
  <c r="AO138" i="5" s="1"/>
  <c r="AU137" i="5"/>
  <c r="AN137" i="5"/>
  <c r="AM137" i="5"/>
  <c r="AL137" i="5"/>
  <c r="AK137" i="5"/>
  <c r="AG137" i="5"/>
  <c r="AF137" i="5"/>
  <c r="AE137" i="5"/>
  <c r="AB137" i="5"/>
  <c r="AC137" i="5" s="1"/>
  <c r="Y137" i="5"/>
  <c r="X137" i="5"/>
  <c r="W137" i="5"/>
  <c r="U137" i="5"/>
  <c r="T137" i="5"/>
  <c r="V137" i="5" s="1"/>
  <c r="S137" i="5"/>
  <c r="AU136" i="5"/>
  <c r="AN136" i="5"/>
  <c r="AM136" i="5"/>
  <c r="AL136" i="5"/>
  <c r="AK136" i="5"/>
  <c r="AE136" i="5" s="1"/>
  <c r="AG136" i="5"/>
  <c r="AF136" i="5"/>
  <c r="Y136" i="5"/>
  <c r="X136" i="5"/>
  <c r="U136" i="5"/>
  <c r="W136" i="5" s="1"/>
  <c r="T136" i="5"/>
  <c r="V136" i="5" s="1"/>
  <c r="S136" i="5"/>
  <c r="AU135" i="5"/>
  <c r="AN135" i="5"/>
  <c r="AM135" i="5"/>
  <c r="AL135" i="5"/>
  <c r="AK135" i="5"/>
  <c r="AE135" i="5" s="1"/>
  <c r="AG135" i="5"/>
  <c r="AF135" i="5"/>
  <c r="Y135" i="5"/>
  <c r="X135" i="5"/>
  <c r="V135" i="5"/>
  <c r="U135" i="5"/>
  <c r="W135" i="5" s="1"/>
  <c r="T135" i="5"/>
  <c r="S135" i="5"/>
  <c r="AO135" i="5" s="1"/>
  <c r="AU134" i="5"/>
  <c r="AN134" i="5"/>
  <c r="AM134" i="5"/>
  <c r="AL134" i="5"/>
  <c r="AK134" i="5"/>
  <c r="AG134" i="5"/>
  <c r="AF134" i="5"/>
  <c r="AE134" i="5"/>
  <c r="Y134" i="5"/>
  <c r="X134" i="5"/>
  <c r="U134" i="5"/>
  <c r="W134" i="5" s="1"/>
  <c r="T134" i="5"/>
  <c r="V134" i="5" s="1"/>
  <c r="S134" i="5"/>
  <c r="AO134" i="5" s="1"/>
  <c r="AU133" i="5"/>
  <c r="AN133" i="5"/>
  <c r="AM133" i="5"/>
  <c r="AL133" i="5"/>
  <c r="AK133" i="5"/>
  <c r="AB133" i="5" s="1"/>
  <c r="AC133" i="5" s="1"/>
  <c r="AG133" i="5"/>
  <c r="AF133" i="5"/>
  <c r="Y133" i="5"/>
  <c r="X133" i="5"/>
  <c r="V133" i="5"/>
  <c r="U133" i="5"/>
  <c r="W133" i="5" s="1"/>
  <c r="T133" i="5"/>
  <c r="S133" i="5"/>
  <c r="AO133" i="5" s="1"/>
  <c r="AT133" i="5" s="1"/>
  <c r="AU132" i="5"/>
  <c r="AN132" i="5"/>
  <c r="AM132" i="5"/>
  <c r="AL132" i="5"/>
  <c r="AK132" i="5"/>
  <c r="AB132" i="5" s="1"/>
  <c r="AC132" i="5" s="1"/>
  <c r="AG132" i="5"/>
  <c r="AF132" i="5"/>
  <c r="Z132" i="5"/>
  <c r="Y132" i="5"/>
  <c r="X132" i="5"/>
  <c r="U132" i="5"/>
  <c r="W132" i="5" s="1"/>
  <c r="T132" i="5"/>
  <c r="V132" i="5" s="1"/>
  <c r="S132" i="5"/>
  <c r="AO132" i="5" s="1"/>
  <c r="AU131" i="5"/>
  <c r="AN131" i="5"/>
  <c r="AM131" i="5"/>
  <c r="AL131" i="5"/>
  <c r="AK131" i="5"/>
  <c r="AE131" i="5" s="1"/>
  <c r="AG131" i="5"/>
  <c r="AF131" i="5"/>
  <c r="Y131" i="5"/>
  <c r="X131" i="5"/>
  <c r="U131" i="5"/>
  <c r="W131" i="5" s="1"/>
  <c r="T131" i="5"/>
  <c r="V131" i="5" s="1"/>
  <c r="S131" i="5"/>
  <c r="AO131" i="5" s="1"/>
  <c r="AU130" i="5"/>
  <c r="AN130" i="5"/>
  <c r="AM130" i="5"/>
  <c r="AL130" i="5"/>
  <c r="AK130" i="5"/>
  <c r="Z147" i="5" s="1"/>
  <c r="AG130" i="5"/>
  <c r="AF130" i="5"/>
  <c r="Y130" i="5"/>
  <c r="X130" i="5"/>
  <c r="U130" i="5"/>
  <c r="W130" i="5" s="1"/>
  <c r="T130" i="5"/>
  <c r="V130" i="5" s="1"/>
  <c r="S130" i="5"/>
  <c r="AO130" i="5" s="1"/>
  <c r="AU129" i="5"/>
  <c r="AN129" i="5"/>
  <c r="AM129" i="5"/>
  <c r="AL129" i="5"/>
  <c r="AK129" i="5"/>
  <c r="AD153" i="5" s="1"/>
  <c r="AG129" i="5"/>
  <c r="AF129" i="5"/>
  <c r="Y129" i="5"/>
  <c r="X129" i="5"/>
  <c r="U129" i="5"/>
  <c r="W129" i="5" s="1"/>
  <c r="T129" i="5"/>
  <c r="V129" i="5" s="1"/>
  <c r="S129" i="5"/>
  <c r="AT129" i="5" s="1"/>
  <c r="AU128" i="5"/>
  <c r="AN128" i="5"/>
  <c r="AM128" i="5"/>
  <c r="AL128" i="5"/>
  <c r="AK128" i="5"/>
  <c r="AG128" i="5"/>
  <c r="AF128" i="5"/>
  <c r="Y128" i="5"/>
  <c r="X128" i="5"/>
  <c r="V128" i="5"/>
  <c r="U128" i="5"/>
  <c r="W128" i="5" s="1"/>
  <c r="T128" i="5"/>
  <c r="S128" i="5"/>
  <c r="AU127" i="5"/>
  <c r="AN127" i="5"/>
  <c r="AM127" i="5"/>
  <c r="AL127" i="5"/>
  <c r="AK127" i="5"/>
  <c r="AD127" i="5" s="1"/>
  <c r="AG127" i="5"/>
  <c r="AF127" i="5"/>
  <c r="Y127" i="5"/>
  <c r="X127" i="5"/>
  <c r="W127" i="5"/>
  <c r="U127" i="5"/>
  <c r="T127" i="5"/>
  <c r="V127" i="5" s="1"/>
  <c r="S127" i="5"/>
  <c r="AU126" i="5"/>
  <c r="AN126" i="5"/>
  <c r="AM126" i="5"/>
  <c r="AL126" i="5"/>
  <c r="AK126" i="5"/>
  <c r="AG126" i="5"/>
  <c r="AF126" i="5"/>
  <c r="Y126" i="5"/>
  <c r="X126" i="5"/>
  <c r="U126" i="5"/>
  <c r="W126" i="5" s="1"/>
  <c r="T126" i="5"/>
  <c r="V126" i="5" s="1"/>
  <c r="S126" i="5"/>
  <c r="AU125" i="5"/>
  <c r="AN125" i="5"/>
  <c r="AM125" i="5"/>
  <c r="AL125" i="5"/>
  <c r="AK125" i="5"/>
  <c r="AE125" i="5" s="1"/>
  <c r="AG125" i="5"/>
  <c r="AF125" i="5"/>
  <c r="Y125" i="5"/>
  <c r="X125" i="5"/>
  <c r="V125" i="5"/>
  <c r="U125" i="5"/>
  <c r="W125" i="5" s="1"/>
  <c r="T125" i="5"/>
  <c r="S125" i="5"/>
  <c r="AO125" i="5" s="1"/>
  <c r="AU124" i="5"/>
  <c r="AN124" i="5"/>
  <c r="AM124" i="5"/>
  <c r="AL124" i="5"/>
  <c r="AK124" i="5"/>
  <c r="AD124" i="5" s="1"/>
  <c r="AG124" i="5"/>
  <c r="AF124" i="5"/>
  <c r="Y124" i="5"/>
  <c r="X124" i="5"/>
  <c r="U124" i="5"/>
  <c r="W124" i="5" s="1"/>
  <c r="T124" i="5"/>
  <c r="V124" i="5" s="1"/>
  <c r="S124" i="5"/>
  <c r="AU123" i="5"/>
  <c r="AN123" i="5"/>
  <c r="AM123" i="5"/>
  <c r="AL123" i="5"/>
  <c r="AK123" i="5"/>
  <c r="AD123" i="5" s="1"/>
  <c r="AG123" i="5"/>
  <c r="AF123" i="5"/>
  <c r="Y123" i="5"/>
  <c r="X123" i="5"/>
  <c r="W123" i="5"/>
  <c r="U123" i="5"/>
  <c r="T123" i="5"/>
  <c r="V123" i="5" s="1"/>
  <c r="S123" i="5"/>
  <c r="AO123" i="5" s="1"/>
  <c r="AU122" i="5"/>
  <c r="AN122" i="5"/>
  <c r="AM122" i="5"/>
  <c r="AL122" i="5"/>
  <c r="AK122" i="5"/>
  <c r="AE122" i="5" s="1"/>
  <c r="AG122" i="5"/>
  <c r="AF122" i="5"/>
  <c r="Y122" i="5"/>
  <c r="X122" i="5"/>
  <c r="U122" i="5"/>
  <c r="W122" i="5" s="1"/>
  <c r="T122" i="5"/>
  <c r="V122" i="5" s="1"/>
  <c r="S122" i="5"/>
  <c r="AO122" i="5" s="1"/>
  <c r="AU121" i="5"/>
  <c r="AN121" i="5"/>
  <c r="AM121" i="5"/>
  <c r="AL121" i="5"/>
  <c r="AK121" i="5"/>
  <c r="AE121" i="5" s="1"/>
  <c r="AG121" i="5"/>
  <c r="AF121" i="5"/>
  <c r="Y121" i="5"/>
  <c r="X121" i="5"/>
  <c r="U121" i="5"/>
  <c r="W121" i="5" s="1"/>
  <c r="T121" i="5"/>
  <c r="V121" i="5" s="1"/>
  <c r="S121" i="5"/>
  <c r="AO121" i="5" s="1"/>
  <c r="AU120" i="5"/>
  <c r="AN120" i="5"/>
  <c r="AM120" i="5"/>
  <c r="AL120" i="5"/>
  <c r="AK120" i="5"/>
  <c r="AD120" i="5" s="1"/>
  <c r="AG120" i="5"/>
  <c r="AF120" i="5"/>
  <c r="AB120" i="5"/>
  <c r="AC120" i="5" s="1"/>
  <c r="Y120" i="5"/>
  <c r="X120" i="5"/>
  <c r="U120" i="5"/>
  <c r="W120" i="5" s="1"/>
  <c r="T120" i="5"/>
  <c r="V120" i="5" s="1"/>
  <c r="S120" i="5"/>
  <c r="AO120" i="5" s="1"/>
  <c r="AU119" i="5"/>
  <c r="AN119" i="5"/>
  <c r="AM119" i="5"/>
  <c r="AL119" i="5"/>
  <c r="AK119" i="5"/>
  <c r="AD119" i="5" s="1"/>
  <c r="AG119" i="5"/>
  <c r="AF119" i="5"/>
  <c r="Y119" i="5"/>
  <c r="X119" i="5"/>
  <c r="W119" i="5"/>
  <c r="U119" i="5"/>
  <c r="T119" i="5"/>
  <c r="V119" i="5" s="1"/>
  <c r="S119" i="5"/>
  <c r="AU118" i="5"/>
  <c r="AN118" i="5"/>
  <c r="AM118" i="5"/>
  <c r="AL118" i="5"/>
  <c r="AK118" i="5"/>
  <c r="AG118" i="5"/>
  <c r="AF118" i="5"/>
  <c r="AE118" i="5"/>
  <c r="AB118" i="5"/>
  <c r="AC118" i="5" s="1"/>
  <c r="Y118" i="5"/>
  <c r="X118" i="5"/>
  <c r="W118" i="5"/>
  <c r="U118" i="5"/>
  <c r="T118" i="5"/>
  <c r="V118" i="5" s="1"/>
  <c r="S118" i="5"/>
  <c r="AO118" i="5" s="1"/>
  <c r="AU117" i="5"/>
  <c r="AN117" i="5"/>
  <c r="AM117" i="5"/>
  <c r="AL117" i="5"/>
  <c r="AK117" i="5"/>
  <c r="AE117" i="5" s="1"/>
  <c r="AG117" i="5"/>
  <c r="AF117" i="5"/>
  <c r="Y117" i="5"/>
  <c r="X117" i="5"/>
  <c r="U117" i="5"/>
  <c r="W117" i="5" s="1"/>
  <c r="T117" i="5"/>
  <c r="V117" i="5" s="1"/>
  <c r="S117" i="5"/>
  <c r="AU116" i="5"/>
  <c r="AN116" i="5"/>
  <c r="AM116" i="5"/>
  <c r="AL116" i="5"/>
  <c r="AK116" i="5"/>
  <c r="AD116" i="5" s="1"/>
  <c r="AG116" i="5"/>
  <c r="AF116" i="5"/>
  <c r="Y116" i="5"/>
  <c r="X116" i="5"/>
  <c r="U116" i="5"/>
  <c r="W116" i="5" s="1"/>
  <c r="T116" i="5"/>
  <c r="V116" i="5" s="1"/>
  <c r="S116" i="5"/>
  <c r="AU115" i="5"/>
  <c r="AN115" i="5"/>
  <c r="AM115" i="5"/>
  <c r="AL115" i="5"/>
  <c r="AK115" i="5"/>
  <c r="AD115" i="5" s="1"/>
  <c r="AG115" i="5"/>
  <c r="AF115" i="5"/>
  <c r="Y115" i="5"/>
  <c r="X115" i="5"/>
  <c r="W115" i="5"/>
  <c r="U115" i="5"/>
  <c r="T115" i="5"/>
  <c r="V115" i="5" s="1"/>
  <c r="S115" i="5"/>
  <c r="AU114" i="5"/>
  <c r="AN114" i="5"/>
  <c r="AM114" i="5"/>
  <c r="AL114" i="5"/>
  <c r="AK114" i="5"/>
  <c r="AE114" i="5" s="1"/>
  <c r="AG114" i="5"/>
  <c r="AF114" i="5"/>
  <c r="Y114" i="5"/>
  <c r="X114" i="5"/>
  <c r="V114" i="5"/>
  <c r="U114" i="5"/>
  <c r="W114" i="5" s="1"/>
  <c r="T114" i="5"/>
  <c r="S114" i="5"/>
  <c r="AU113" i="5"/>
  <c r="AN113" i="5"/>
  <c r="AM113" i="5"/>
  <c r="AL113" i="5"/>
  <c r="AK113" i="5"/>
  <c r="AE113" i="5" s="1"/>
  <c r="AG113" i="5"/>
  <c r="AF113" i="5"/>
  <c r="Y113" i="5"/>
  <c r="X113" i="5"/>
  <c r="V113" i="5"/>
  <c r="U113" i="5"/>
  <c r="W113" i="5" s="1"/>
  <c r="T113" i="5"/>
  <c r="S113" i="5"/>
  <c r="AO113" i="5" s="1"/>
  <c r="AU112" i="5"/>
  <c r="AN112" i="5"/>
  <c r="AM112" i="5"/>
  <c r="AL112" i="5"/>
  <c r="AK112" i="5"/>
  <c r="AD112" i="5" s="1"/>
  <c r="AG112" i="5"/>
  <c r="AF112" i="5"/>
  <c r="AB112" i="5"/>
  <c r="AC112" i="5" s="1"/>
  <c r="Y112" i="5"/>
  <c r="X112" i="5"/>
  <c r="U112" i="5"/>
  <c r="W112" i="5" s="1"/>
  <c r="T112" i="5"/>
  <c r="V112" i="5" s="1"/>
  <c r="S112" i="5"/>
  <c r="AO112" i="5" s="1"/>
  <c r="AU111" i="5"/>
  <c r="AN111" i="5"/>
  <c r="AM111" i="5"/>
  <c r="AL111" i="5"/>
  <c r="AK111" i="5"/>
  <c r="AD111" i="5" s="1"/>
  <c r="AG111" i="5"/>
  <c r="AF111" i="5"/>
  <c r="Y111" i="5"/>
  <c r="X111" i="5"/>
  <c r="W111" i="5"/>
  <c r="U111" i="5"/>
  <c r="T111" i="5"/>
  <c r="V111" i="5" s="1"/>
  <c r="S111" i="5"/>
  <c r="AO111" i="5" s="1"/>
  <c r="AU110" i="5"/>
  <c r="AN110" i="5"/>
  <c r="AM110" i="5"/>
  <c r="AL110" i="5"/>
  <c r="AK110" i="5"/>
  <c r="AG110" i="5"/>
  <c r="AF110" i="5"/>
  <c r="AE110" i="5"/>
  <c r="AB110" i="5"/>
  <c r="AC110" i="5" s="1"/>
  <c r="Y110" i="5"/>
  <c r="X110" i="5"/>
  <c r="W110" i="5"/>
  <c r="V110" i="5"/>
  <c r="U110" i="5"/>
  <c r="T110" i="5"/>
  <c r="S110" i="5"/>
  <c r="AO110" i="5" s="1"/>
  <c r="AU109" i="5"/>
  <c r="AN109" i="5"/>
  <c r="AM109" i="5"/>
  <c r="AL109" i="5"/>
  <c r="AK109" i="5"/>
  <c r="AE109" i="5" s="1"/>
  <c r="AG109" i="5"/>
  <c r="AF109" i="5"/>
  <c r="Y109" i="5"/>
  <c r="X109" i="5"/>
  <c r="U109" i="5"/>
  <c r="W109" i="5" s="1"/>
  <c r="T109" i="5"/>
  <c r="V109" i="5" s="1"/>
  <c r="S109" i="5"/>
  <c r="AT109" i="5" s="1"/>
  <c r="AU108" i="5"/>
  <c r="AN108" i="5"/>
  <c r="AM108" i="5"/>
  <c r="AL108" i="5"/>
  <c r="AK108" i="5"/>
  <c r="AD108" i="5" s="1"/>
  <c r="AG108" i="5"/>
  <c r="AF108" i="5"/>
  <c r="Y108" i="5"/>
  <c r="X108" i="5"/>
  <c r="U108" i="5"/>
  <c r="W108" i="5" s="1"/>
  <c r="T108" i="5"/>
  <c r="V108" i="5" s="1"/>
  <c r="S108" i="5"/>
  <c r="AO108" i="5" s="1"/>
  <c r="AU107" i="5"/>
  <c r="AN107" i="5"/>
  <c r="AM107" i="5"/>
  <c r="AL107" i="5"/>
  <c r="AK107" i="5"/>
  <c r="AD107" i="5" s="1"/>
  <c r="AG107" i="5"/>
  <c r="AF107" i="5"/>
  <c r="Y107" i="5"/>
  <c r="X107" i="5"/>
  <c r="U107" i="5"/>
  <c r="W107" i="5" s="1"/>
  <c r="T107" i="5"/>
  <c r="V107" i="5" s="1"/>
  <c r="S107" i="5"/>
  <c r="AU106" i="5"/>
  <c r="AN106" i="5"/>
  <c r="AM106" i="5"/>
  <c r="AL106" i="5"/>
  <c r="AK106" i="5"/>
  <c r="AB106" i="5" s="1"/>
  <c r="AC106" i="5" s="1"/>
  <c r="AG106" i="5"/>
  <c r="AF106" i="5"/>
  <c r="Y106" i="5"/>
  <c r="X106" i="5"/>
  <c r="W106" i="5"/>
  <c r="V106" i="5"/>
  <c r="U106" i="5"/>
  <c r="T106" i="5"/>
  <c r="S106" i="5"/>
  <c r="AO106" i="5" s="1"/>
  <c r="AU105" i="5"/>
  <c r="AN105" i="5"/>
  <c r="AM105" i="5"/>
  <c r="AL105" i="5"/>
  <c r="AK105" i="5"/>
  <c r="AE105" i="5" s="1"/>
  <c r="AG105" i="5"/>
  <c r="AF105" i="5"/>
  <c r="Y105" i="5"/>
  <c r="X105" i="5"/>
  <c r="U105" i="5"/>
  <c r="W105" i="5" s="1"/>
  <c r="T105" i="5"/>
  <c r="V105" i="5" s="1"/>
  <c r="S105" i="5"/>
  <c r="AO105" i="5" s="1"/>
  <c r="AU104" i="5"/>
  <c r="AN104" i="5"/>
  <c r="AM104" i="5"/>
  <c r="AL104" i="5"/>
  <c r="AK104" i="5"/>
  <c r="AE128" i="5" s="1"/>
  <c r="AG104" i="5"/>
  <c r="AF104" i="5"/>
  <c r="Y104" i="5"/>
  <c r="X104" i="5"/>
  <c r="U104" i="5"/>
  <c r="W104" i="5" s="1"/>
  <c r="T104" i="5"/>
  <c r="V104" i="5" s="1"/>
  <c r="S104" i="5"/>
  <c r="AO104" i="5" s="1"/>
  <c r="AU103" i="5"/>
  <c r="AN103" i="5"/>
  <c r="AM103" i="5"/>
  <c r="AL103" i="5"/>
  <c r="AK103" i="5"/>
  <c r="AG103" i="5"/>
  <c r="AF103" i="5"/>
  <c r="Y103" i="5"/>
  <c r="X103" i="5"/>
  <c r="W103" i="5"/>
  <c r="U103" i="5"/>
  <c r="T103" i="5"/>
  <c r="V103" i="5" s="1"/>
  <c r="S103" i="5"/>
  <c r="AO103" i="5" s="1"/>
  <c r="AU102" i="5"/>
  <c r="AN102" i="5"/>
  <c r="AM102" i="5"/>
  <c r="AL102" i="5"/>
  <c r="AK102" i="5"/>
  <c r="AG102" i="5"/>
  <c r="AF102" i="5"/>
  <c r="Y102" i="5"/>
  <c r="X102" i="5"/>
  <c r="W102" i="5"/>
  <c r="U102" i="5"/>
  <c r="T102" i="5"/>
  <c r="V102" i="5" s="1"/>
  <c r="S102" i="5"/>
  <c r="AO102" i="5" s="1"/>
  <c r="AU101" i="5"/>
  <c r="AN101" i="5"/>
  <c r="AM101" i="5"/>
  <c r="AL101" i="5"/>
  <c r="AK101" i="5"/>
  <c r="AG101" i="5"/>
  <c r="AF101" i="5"/>
  <c r="Y101" i="5"/>
  <c r="X101" i="5"/>
  <c r="U101" i="5"/>
  <c r="W101" i="5" s="1"/>
  <c r="T101" i="5"/>
  <c r="V101" i="5" s="1"/>
  <c r="S101" i="5"/>
  <c r="AO101" i="5" s="1"/>
  <c r="AU100" i="5"/>
  <c r="AN100" i="5"/>
  <c r="AM100" i="5"/>
  <c r="AL100" i="5"/>
  <c r="AK100" i="5"/>
  <c r="AG100" i="5"/>
  <c r="AF100" i="5"/>
  <c r="Y100" i="5"/>
  <c r="X100" i="5"/>
  <c r="U100" i="5"/>
  <c r="W100" i="5" s="1"/>
  <c r="T100" i="5"/>
  <c r="V100" i="5" s="1"/>
  <c r="S100" i="5"/>
  <c r="AO100" i="5" s="1"/>
  <c r="AU99" i="5"/>
  <c r="AN99" i="5"/>
  <c r="AM99" i="5"/>
  <c r="AL99" i="5"/>
  <c r="AK99" i="5"/>
  <c r="AG99" i="5"/>
  <c r="AF99" i="5"/>
  <c r="Y99" i="5"/>
  <c r="X99" i="5"/>
  <c r="W99" i="5"/>
  <c r="U99" i="5"/>
  <c r="T99" i="5"/>
  <c r="V99" i="5" s="1"/>
  <c r="S99" i="5"/>
  <c r="AU98" i="5"/>
  <c r="AN98" i="5"/>
  <c r="AM98" i="5"/>
  <c r="AL98" i="5"/>
  <c r="AK98" i="5"/>
  <c r="AE98" i="5" s="1"/>
  <c r="AG98" i="5"/>
  <c r="AF98" i="5"/>
  <c r="Y98" i="5"/>
  <c r="X98" i="5"/>
  <c r="V98" i="5"/>
  <c r="U98" i="5"/>
  <c r="W98" i="5" s="1"/>
  <c r="T98" i="5"/>
  <c r="S98" i="5"/>
  <c r="AU97" i="5"/>
  <c r="AN97" i="5"/>
  <c r="AM97" i="5"/>
  <c r="AL97" i="5"/>
  <c r="AK97" i="5"/>
  <c r="AE97" i="5" s="1"/>
  <c r="AG97" i="5"/>
  <c r="AF97" i="5"/>
  <c r="Y97" i="5"/>
  <c r="X97" i="5"/>
  <c r="V97" i="5"/>
  <c r="U97" i="5"/>
  <c r="W97" i="5" s="1"/>
  <c r="T97" i="5"/>
  <c r="S97" i="5"/>
  <c r="AU96" i="5"/>
  <c r="AN96" i="5"/>
  <c r="AM96" i="5"/>
  <c r="AL96" i="5"/>
  <c r="AK96" i="5"/>
  <c r="AB96" i="5" s="1"/>
  <c r="AC96" i="5" s="1"/>
  <c r="AG96" i="5"/>
  <c r="AF96" i="5"/>
  <c r="Y96" i="5"/>
  <c r="X96" i="5"/>
  <c r="U96" i="5"/>
  <c r="W96" i="5" s="1"/>
  <c r="T96" i="5"/>
  <c r="V96" i="5" s="1"/>
  <c r="S96" i="5"/>
  <c r="AT96" i="5" s="1"/>
  <c r="AU95" i="5"/>
  <c r="AN95" i="5"/>
  <c r="AM95" i="5"/>
  <c r="AL95" i="5"/>
  <c r="AK95" i="5"/>
  <c r="AE95" i="5" s="1"/>
  <c r="AG95" i="5"/>
  <c r="AF95" i="5"/>
  <c r="Y95" i="5"/>
  <c r="X95" i="5"/>
  <c r="U95" i="5"/>
  <c r="W95" i="5" s="1"/>
  <c r="T95" i="5"/>
  <c r="V95" i="5" s="1"/>
  <c r="S95" i="5"/>
  <c r="AO95" i="5" s="1"/>
  <c r="AU94" i="5"/>
  <c r="AN94" i="5"/>
  <c r="AM94" i="5"/>
  <c r="AL94" i="5"/>
  <c r="AK94" i="5"/>
  <c r="AE94" i="5" s="1"/>
  <c r="AG94" i="5"/>
  <c r="AF94" i="5"/>
  <c r="Y94" i="5"/>
  <c r="X94" i="5"/>
  <c r="W94" i="5"/>
  <c r="U94" i="5"/>
  <c r="T94" i="5"/>
  <c r="V94" i="5" s="1"/>
  <c r="S94" i="5"/>
  <c r="AO94" i="5" s="1"/>
  <c r="AU93" i="5"/>
  <c r="AN93" i="5"/>
  <c r="AM93" i="5"/>
  <c r="AL93" i="5"/>
  <c r="AK93" i="5"/>
  <c r="AE93" i="5" s="1"/>
  <c r="AG93" i="5"/>
  <c r="AF93" i="5"/>
  <c r="Y93" i="5"/>
  <c r="X93" i="5"/>
  <c r="U93" i="5"/>
  <c r="W93" i="5" s="1"/>
  <c r="T93" i="5"/>
  <c r="V93" i="5" s="1"/>
  <c r="S93" i="5"/>
  <c r="AO93" i="5" s="1"/>
  <c r="AU92" i="5"/>
  <c r="AN92" i="5"/>
  <c r="AM92" i="5"/>
  <c r="AL92" i="5"/>
  <c r="AK92" i="5"/>
  <c r="AB92" i="5" s="1"/>
  <c r="AC92" i="5" s="1"/>
  <c r="AG92" i="5"/>
  <c r="AF92" i="5"/>
  <c r="Y92" i="5"/>
  <c r="X92" i="5"/>
  <c r="U92" i="5"/>
  <c r="W92" i="5" s="1"/>
  <c r="T92" i="5"/>
  <c r="V92" i="5" s="1"/>
  <c r="S92" i="5"/>
  <c r="AO92" i="5" s="1"/>
  <c r="AU91" i="5"/>
  <c r="AN91" i="5"/>
  <c r="AM91" i="5"/>
  <c r="AL91" i="5"/>
  <c r="AK91" i="5"/>
  <c r="AE91" i="5" s="1"/>
  <c r="AG91" i="5"/>
  <c r="AF91" i="5"/>
  <c r="AB91" i="5"/>
  <c r="AC91" i="5" s="1"/>
  <c r="Y91" i="5"/>
  <c r="X91" i="5"/>
  <c r="U91" i="5"/>
  <c r="W91" i="5" s="1"/>
  <c r="T91" i="5"/>
  <c r="V91" i="5" s="1"/>
  <c r="S91" i="5"/>
  <c r="AO91" i="5" s="1"/>
  <c r="AU90" i="5"/>
  <c r="AN90" i="5"/>
  <c r="AM90" i="5"/>
  <c r="AL90" i="5"/>
  <c r="AK90" i="5"/>
  <c r="AG90" i="5"/>
  <c r="AF90" i="5"/>
  <c r="AE90" i="5"/>
  <c r="AB90" i="5"/>
  <c r="AC90" i="5" s="1"/>
  <c r="Y90" i="5"/>
  <c r="X90" i="5"/>
  <c r="U90" i="5"/>
  <c r="W90" i="5" s="1"/>
  <c r="T90" i="5"/>
  <c r="V90" i="5" s="1"/>
  <c r="S90" i="5"/>
  <c r="AU89" i="5"/>
  <c r="AN89" i="5"/>
  <c r="AM89" i="5"/>
  <c r="AL89" i="5"/>
  <c r="AK89" i="5"/>
  <c r="AG89" i="5"/>
  <c r="AF89" i="5"/>
  <c r="Y89" i="5"/>
  <c r="X89" i="5"/>
  <c r="V89" i="5"/>
  <c r="U89" i="5"/>
  <c r="W89" i="5" s="1"/>
  <c r="T89" i="5"/>
  <c r="S89" i="5"/>
  <c r="AU88" i="5"/>
  <c r="AN88" i="5"/>
  <c r="AM88" i="5"/>
  <c r="AL88" i="5"/>
  <c r="AK88" i="5"/>
  <c r="AB88" i="5" s="1"/>
  <c r="AC88" i="5" s="1"/>
  <c r="AG88" i="5"/>
  <c r="AF88" i="5"/>
  <c r="Y88" i="5"/>
  <c r="X88" i="5"/>
  <c r="U88" i="5"/>
  <c r="W88" i="5" s="1"/>
  <c r="T88" i="5"/>
  <c r="V88" i="5" s="1"/>
  <c r="S88" i="5"/>
  <c r="AU87" i="5"/>
  <c r="AN87" i="5"/>
  <c r="AM87" i="5"/>
  <c r="AL87" i="5"/>
  <c r="AK87" i="5"/>
  <c r="AE87" i="5" s="1"/>
  <c r="AG87" i="5"/>
  <c r="AF87" i="5"/>
  <c r="Y87" i="5"/>
  <c r="X87" i="5"/>
  <c r="W87" i="5"/>
  <c r="U87" i="5"/>
  <c r="T87" i="5"/>
  <c r="V87" i="5" s="1"/>
  <c r="S87" i="5"/>
  <c r="AU86" i="5"/>
  <c r="AN86" i="5"/>
  <c r="AM86" i="5"/>
  <c r="AL86" i="5"/>
  <c r="AK86" i="5"/>
  <c r="AB86" i="5" s="1"/>
  <c r="AC86" i="5" s="1"/>
  <c r="AG86" i="5"/>
  <c r="AF86" i="5"/>
  <c r="Y86" i="5"/>
  <c r="X86" i="5"/>
  <c r="U86" i="5"/>
  <c r="W86" i="5" s="1"/>
  <c r="T86" i="5"/>
  <c r="V86" i="5" s="1"/>
  <c r="S86" i="5"/>
  <c r="AU85" i="5"/>
  <c r="AN85" i="5"/>
  <c r="AM85" i="5"/>
  <c r="AL85" i="5"/>
  <c r="AK85" i="5"/>
  <c r="AG85" i="5"/>
  <c r="AF85" i="5"/>
  <c r="Y85" i="5"/>
  <c r="X85" i="5"/>
  <c r="V85" i="5"/>
  <c r="U85" i="5"/>
  <c r="W85" i="5" s="1"/>
  <c r="T85" i="5"/>
  <c r="S85" i="5"/>
  <c r="AU84" i="5"/>
  <c r="AN84" i="5"/>
  <c r="AM84" i="5"/>
  <c r="AL84" i="5"/>
  <c r="AK84" i="5"/>
  <c r="AB84" i="5" s="1"/>
  <c r="AC84" i="5" s="1"/>
  <c r="AG84" i="5"/>
  <c r="AF84" i="5"/>
  <c r="Y84" i="5"/>
  <c r="X84" i="5"/>
  <c r="U84" i="5"/>
  <c r="W84" i="5" s="1"/>
  <c r="T84" i="5"/>
  <c r="V84" i="5" s="1"/>
  <c r="S84" i="5"/>
  <c r="AO84" i="5" s="1"/>
  <c r="AU83" i="5"/>
  <c r="AN83" i="5"/>
  <c r="AM83" i="5"/>
  <c r="AL83" i="5"/>
  <c r="AK83" i="5"/>
  <c r="AD83" i="5" s="1"/>
  <c r="AG83" i="5"/>
  <c r="AF83" i="5"/>
  <c r="AB83" i="5"/>
  <c r="AC83" i="5" s="1"/>
  <c r="Y83" i="5"/>
  <c r="X83" i="5"/>
  <c r="W83" i="5"/>
  <c r="U83" i="5"/>
  <c r="T83" i="5"/>
  <c r="V83" i="5" s="1"/>
  <c r="S83" i="5"/>
  <c r="AO83" i="5" s="1"/>
  <c r="AU82" i="5"/>
  <c r="AN82" i="5"/>
  <c r="AM82" i="5"/>
  <c r="AL82" i="5"/>
  <c r="AK82" i="5"/>
  <c r="AE82" i="5" s="1"/>
  <c r="AG82" i="5"/>
  <c r="AF82" i="5"/>
  <c r="AB82" i="5"/>
  <c r="AC82" i="5" s="1"/>
  <c r="Z82" i="5"/>
  <c r="Y82" i="5"/>
  <c r="X82" i="5"/>
  <c r="W82" i="5"/>
  <c r="U82" i="5"/>
  <c r="T82" i="5"/>
  <c r="V82" i="5" s="1"/>
  <c r="S82" i="5"/>
  <c r="AO82" i="5" s="1"/>
  <c r="AU81" i="5"/>
  <c r="AN81" i="5"/>
  <c r="AM81" i="5"/>
  <c r="AL81" i="5"/>
  <c r="AK81" i="5"/>
  <c r="AG81" i="5"/>
  <c r="AF81" i="5"/>
  <c r="Y81" i="5"/>
  <c r="X81" i="5"/>
  <c r="U81" i="5"/>
  <c r="W81" i="5" s="1"/>
  <c r="T81" i="5"/>
  <c r="V81" i="5" s="1"/>
  <c r="S81" i="5"/>
  <c r="AO81" i="5" s="1"/>
  <c r="AU80" i="5"/>
  <c r="AN80" i="5"/>
  <c r="AM80" i="5"/>
  <c r="AL80" i="5"/>
  <c r="AK80" i="5"/>
  <c r="AD80" i="5" s="1"/>
  <c r="AG80" i="5"/>
  <c r="AF80" i="5"/>
  <c r="Y80" i="5"/>
  <c r="X80" i="5"/>
  <c r="U80" i="5"/>
  <c r="W80" i="5" s="1"/>
  <c r="T80" i="5"/>
  <c r="V80" i="5" s="1"/>
  <c r="S80" i="5"/>
  <c r="AO80" i="5" s="1"/>
  <c r="AU79" i="5"/>
  <c r="AN79" i="5"/>
  <c r="AM79" i="5"/>
  <c r="AL79" i="5"/>
  <c r="AK79" i="5"/>
  <c r="AB102" i="5" s="1"/>
  <c r="AC102" i="5" s="1"/>
  <c r="AG79" i="5"/>
  <c r="AF79" i="5"/>
  <c r="Y79" i="5"/>
  <c r="X79" i="5"/>
  <c r="W79" i="5"/>
  <c r="U79" i="5"/>
  <c r="T79" i="5"/>
  <c r="V79" i="5" s="1"/>
  <c r="S79" i="5"/>
  <c r="AU78" i="5"/>
  <c r="AN78" i="5"/>
  <c r="AM78" i="5"/>
  <c r="AL78" i="5"/>
  <c r="AK78" i="5"/>
  <c r="AG78" i="5"/>
  <c r="AF78" i="5"/>
  <c r="Y78" i="5"/>
  <c r="X78" i="5"/>
  <c r="W78" i="5"/>
  <c r="U78" i="5"/>
  <c r="T78" i="5"/>
  <c r="V78" i="5" s="1"/>
  <c r="S78" i="5"/>
  <c r="AO78" i="5" s="1"/>
  <c r="AU77" i="5"/>
  <c r="AN77" i="5"/>
  <c r="AM77" i="5"/>
  <c r="AL77" i="5"/>
  <c r="AK77" i="5"/>
  <c r="AG77" i="5"/>
  <c r="AF77" i="5"/>
  <c r="Y77" i="5"/>
  <c r="X77" i="5"/>
  <c r="U77" i="5"/>
  <c r="W77" i="5" s="1"/>
  <c r="T77" i="5"/>
  <c r="V77" i="5" s="1"/>
  <c r="AS77" i="5" s="1"/>
  <c r="S77" i="5"/>
  <c r="AU76" i="5"/>
  <c r="AN76" i="5"/>
  <c r="AM76" i="5"/>
  <c r="AL76" i="5"/>
  <c r="AK76" i="5"/>
  <c r="AG76" i="5"/>
  <c r="AF76" i="5"/>
  <c r="Y76" i="5"/>
  <c r="X76" i="5"/>
  <c r="U76" i="5"/>
  <c r="W76" i="5" s="1"/>
  <c r="T76" i="5"/>
  <c r="V76" i="5" s="1"/>
  <c r="S76" i="5"/>
  <c r="AU75" i="5"/>
  <c r="AN75" i="5"/>
  <c r="AM75" i="5"/>
  <c r="AL75" i="5"/>
  <c r="AK75" i="5"/>
  <c r="AG75" i="5"/>
  <c r="AF75" i="5"/>
  <c r="Y75" i="5"/>
  <c r="X75" i="5"/>
  <c r="W75" i="5"/>
  <c r="U75" i="5"/>
  <c r="T75" i="5"/>
  <c r="V75" i="5" s="1"/>
  <c r="S75" i="5"/>
  <c r="AO75" i="5" s="1"/>
  <c r="AU74" i="5"/>
  <c r="AN74" i="5"/>
  <c r="AM74" i="5"/>
  <c r="AL74" i="5"/>
  <c r="AK74" i="5"/>
  <c r="AG74" i="5"/>
  <c r="AF74" i="5"/>
  <c r="Y74" i="5"/>
  <c r="X74" i="5"/>
  <c r="W74" i="5"/>
  <c r="U74" i="5"/>
  <c r="T74" i="5"/>
  <c r="V74" i="5" s="1"/>
  <c r="S74" i="5"/>
  <c r="AO74" i="5" s="1"/>
  <c r="AU73" i="5"/>
  <c r="AN73" i="5"/>
  <c r="AM73" i="5"/>
  <c r="AL73" i="5"/>
  <c r="AK73" i="5"/>
  <c r="AG73" i="5"/>
  <c r="AF73" i="5"/>
  <c r="Y73" i="5"/>
  <c r="X73" i="5"/>
  <c r="U73" i="5"/>
  <c r="W73" i="5" s="1"/>
  <c r="T73" i="5"/>
  <c r="V73" i="5" s="1"/>
  <c r="AS73" i="5" s="1"/>
  <c r="S73" i="5"/>
  <c r="AO73" i="5" s="1"/>
  <c r="AU72" i="5"/>
  <c r="AN72" i="5"/>
  <c r="AM72" i="5"/>
  <c r="AL72" i="5"/>
  <c r="AK72" i="5"/>
  <c r="AB72" i="5" s="1"/>
  <c r="AC72" i="5" s="1"/>
  <c r="AG72" i="5"/>
  <c r="AF72" i="5"/>
  <c r="Y72" i="5"/>
  <c r="X72" i="5"/>
  <c r="U72" i="5"/>
  <c r="W72" i="5" s="1"/>
  <c r="T72" i="5"/>
  <c r="V72" i="5" s="1"/>
  <c r="S72" i="5"/>
  <c r="AO72" i="5" s="1"/>
  <c r="AU71" i="5"/>
  <c r="AN71" i="5"/>
  <c r="AM71" i="5"/>
  <c r="AL71" i="5"/>
  <c r="AK71" i="5"/>
  <c r="AB71" i="5" s="1"/>
  <c r="AC71" i="5" s="1"/>
  <c r="AG71" i="5"/>
  <c r="AF71" i="5"/>
  <c r="Y71" i="5"/>
  <c r="X71" i="5"/>
  <c r="U71" i="5"/>
  <c r="W71" i="5" s="1"/>
  <c r="T71" i="5"/>
  <c r="V71" i="5" s="1"/>
  <c r="S71" i="5"/>
  <c r="AO71" i="5" s="1"/>
  <c r="AU70" i="5"/>
  <c r="AN70" i="5"/>
  <c r="AM70" i="5"/>
  <c r="AL70" i="5"/>
  <c r="AK70" i="5"/>
  <c r="AE70" i="5" s="1"/>
  <c r="AG70" i="5"/>
  <c r="AF70" i="5"/>
  <c r="Y70" i="5"/>
  <c r="X70" i="5"/>
  <c r="U70" i="5"/>
  <c r="W70" i="5" s="1"/>
  <c r="T70" i="5"/>
  <c r="V70" i="5" s="1"/>
  <c r="S70" i="5"/>
  <c r="AU69" i="5"/>
  <c r="AN69" i="5"/>
  <c r="AM69" i="5"/>
  <c r="AL69" i="5"/>
  <c r="AK69" i="5"/>
  <c r="AB69" i="5" s="1"/>
  <c r="AC69" i="5" s="1"/>
  <c r="AG69" i="5"/>
  <c r="AT69" i="5" s="1"/>
  <c r="AF69" i="5"/>
  <c r="Y69" i="5"/>
  <c r="X69" i="5"/>
  <c r="V69" i="5"/>
  <c r="U69" i="5"/>
  <c r="W69" i="5" s="1"/>
  <c r="T69" i="5"/>
  <c r="S69" i="5"/>
  <c r="AU68" i="5"/>
  <c r="AN68" i="5"/>
  <c r="AM68" i="5"/>
  <c r="AL68" i="5"/>
  <c r="AK68" i="5"/>
  <c r="AD68" i="5" s="1"/>
  <c r="AG68" i="5"/>
  <c r="AF68" i="5"/>
  <c r="Y68" i="5"/>
  <c r="X68" i="5"/>
  <c r="U68" i="5"/>
  <c r="W68" i="5" s="1"/>
  <c r="T68" i="5"/>
  <c r="V68" i="5" s="1"/>
  <c r="S68" i="5"/>
  <c r="AU67" i="5"/>
  <c r="AN67" i="5"/>
  <c r="AM67" i="5"/>
  <c r="AL67" i="5"/>
  <c r="AK67" i="5"/>
  <c r="AE67" i="5" s="1"/>
  <c r="AG67" i="5"/>
  <c r="AF67" i="5"/>
  <c r="AB67" i="5"/>
  <c r="AC67" i="5" s="1"/>
  <c r="Y67" i="5"/>
  <c r="X67" i="5"/>
  <c r="U67" i="5"/>
  <c r="W67" i="5" s="1"/>
  <c r="AS67" i="5" s="1"/>
  <c r="T67" i="5"/>
  <c r="V67" i="5" s="1"/>
  <c r="S67" i="5"/>
  <c r="AU66" i="5"/>
  <c r="AN66" i="5"/>
  <c r="AM66" i="5"/>
  <c r="AL66" i="5"/>
  <c r="AK66" i="5"/>
  <c r="AB66" i="5" s="1"/>
  <c r="AC66" i="5" s="1"/>
  <c r="AG66" i="5"/>
  <c r="AF66" i="5"/>
  <c r="Y66" i="5"/>
  <c r="X66" i="5"/>
  <c r="W66" i="5"/>
  <c r="U66" i="5"/>
  <c r="T66" i="5"/>
  <c r="V66" i="5" s="1"/>
  <c r="S66" i="5"/>
  <c r="AU65" i="5"/>
  <c r="AN65" i="5"/>
  <c r="AM65" i="5"/>
  <c r="AL65" i="5"/>
  <c r="AK65" i="5"/>
  <c r="AG65" i="5"/>
  <c r="AF65" i="5"/>
  <c r="Y65" i="5"/>
  <c r="X65" i="5"/>
  <c r="V65" i="5"/>
  <c r="U65" i="5"/>
  <c r="W65" i="5" s="1"/>
  <c r="T65" i="5"/>
  <c r="S65" i="5"/>
  <c r="AO65" i="5" s="1"/>
  <c r="AU64" i="5"/>
  <c r="AN64" i="5"/>
  <c r="AM64" i="5"/>
  <c r="AL64" i="5"/>
  <c r="AK64" i="5"/>
  <c r="AE64" i="5" s="1"/>
  <c r="AG64" i="5"/>
  <c r="AF64" i="5"/>
  <c r="Y64" i="5"/>
  <c r="X64" i="5"/>
  <c r="U64" i="5"/>
  <c r="W64" i="5" s="1"/>
  <c r="T64" i="5"/>
  <c r="V64" i="5" s="1"/>
  <c r="S64" i="5"/>
  <c r="AO64" i="5" s="1"/>
  <c r="AU63" i="5"/>
  <c r="AN63" i="5"/>
  <c r="AM63" i="5"/>
  <c r="AL63" i="5"/>
  <c r="AK63" i="5"/>
  <c r="AG63" i="5"/>
  <c r="AF63" i="5"/>
  <c r="Y63" i="5"/>
  <c r="X63" i="5"/>
  <c r="U63" i="5"/>
  <c r="W63" i="5" s="1"/>
  <c r="T63" i="5"/>
  <c r="V63" i="5" s="1"/>
  <c r="S63" i="5"/>
  <c r="AO63" i="5" s="1"/>
  <c r="AU62" i="5"/>
  <c r="AN62" i="5"/>
  <c r="AM62" i="5"/>
  <c r="AL62" i="5"/>
  <c r="AK62" i="5"/>
  <c r="AE62" i="5" s="1"/>
  <c r="AG62" i="5"/>
  <c r="AF62" i="5"/>
  <c r="AB62" i="5"/>
  <c r="AC62" i="5" s="1"/>
  <c r="Y62" i="5"/>
  <c r="X62" i="5"/>
  <c r="W62" i="5"/>
  <c r="U62" i="5"/>
  <c r="T62" i="5"/>
  <c r="V62" i="5" s="1"/>
  <c r="S62" i="5"/>
  <c r="AU61" i="5"/>
  <c r="AN61" i="5"/>
  <c r="AM61" i="5"/>
  <c r="AL61" i="5"/>
  <c r="AK61" i="5"/>
  <c r="AG61" i="5"/>
  <c r="AF61" i="5"/>
  <c r="AE61" i="5"/>
  <c r="AB61" i="5"/>
  <c r="AC61" i="5" s="1"/>
  <c r="Y61" i="5"/>
  <c r="X61" i="5"/>
  <c r="W61" i="5"/>
  <c r="U61" i="5"/>
  <c r="T61" i="5"/>
  <c r="V61" i="5" s="1"/>
  <c r="S61" i="5"/>
  <c r="AO61" i="5" s="1"/>
  <c r="AU60" i="5"/>
  <c r="AN60" i="5"/>
  <c r="AM60" i="5"/>
  <c r="AL60" i="5"/>
  <c r="AK60" i="5"/>
  <c r="AB60" i="5" s="1"/>
  <c r="AC60" i="5" s="1"/>
  <c r="AG60" i="5"/>
  <c r="AF60" i="5"/>
  <c r="Y60" i="5"/>
  <c r="X60" i="5"/>
  <c r="W60" i="5"/>
  <c r="V60" i="5"/>
  <c r="U60" i="5"/>
  <c r="T60" i="5"/>
  <c r="S60" i="5"/>
  <c r="AO60" i="5" s="1"/>
  <c r="AU59" i="5"/>
  <c r="AN59" i="5"/>
  <c r="AM59" i="5"/>
  <c r="AL59" i="5"/>
  <c r="AK59" i="5"/>
  <c r="AE59" i="5" s="1"/>
  <c r="AG59" i="5"/>
  <c r="AF59" i="5"/>
  <c r="Y59" i="5"/>
  <c r="X59" i="5"/>
  <c r="U59" i="5"/>
  <c r="W59" i="5" s="1"/>
  <c r="T59" i="5"/>
  <c r="V59" i="5" s="1"/>
  <c r="S59" i="5"/>
  <c r="AU58" i="5"/>
  <c r="AN58" i="5"/>
  <c r="AM58" i="5"/>
  <c r="AL58" i="5"/>
  <c r="AK58" i="5"/>
  <c r="AG58" i="5"/>
  <c r="AF58" i="5"/>
  <c r="Y58" i="5"/>
  <c r="X58" i="5"/>
  <c r="U58" i="5"/>
  <c r="W58" i="5" s="1"/>
  <c r="T58" i="5"/>
  <c r="V58" i="5" s="1"/>
  <c r="S58" i="5"/>
  <c r="AO58" i="5" s="1"/>
  <c r="AU57" i="5"/>
  <c r="AN57" i="5"/>
  <c r="AM57" i="5"/>
  <c r="AL57" i="5"/>
  <c r="AK57" i="5"/>
  <c r="Z57" i="5" s="1"/>
  <c r="AG57" i="5"/>
  <c r="AF57" i="5"/>
  <c r="AB57" i="5"/>
  <c r="AC57" i="5" s="1"/>
  <c r="Y57" i="5"/>
  <c r="X57" i="5"/>
  <c r="U57" i="5"/>
  <c r="W57" i="5" s="1"/>
  <c r="T57" i="5"/>
  <c r="V57" i="5" s="1"/>
  <c r="S57" i="5"/>
  <c r="AU56" i="5"/>
  <c r="AN56" i="5"/>
  <c r="AM56" i="5"/>
  <c r="AL56" i="5"/>
  <c r="AK56" i="5"/>
  <c r="AB56" i="5" s="1"/>
  <c r="AC56" i="5" s="1"/>
  <c r="AG56" i="5"/>
  <c r="AF56" i="5"/>
  <c r="Y56" i="5"/>
  <c r="X56" i="5"/>
  <c r="U56" i="5"/>
  <c r="W56" i="5" s="1"/>
  <c r="T56" i="5"/>
  <c r="V56" i="5" s="1"/>
  <c r="S56" i="5"/>
  <c r="AO56" i="5" s="1"/>
  <c r="AU55" i="5"/>
  <c r="AN55" i="5"/>
  <c r="AM55" i="5"/>
  <c r="AL55" i="5"/>
  <c r="AK55" i="5"/>
  <c r="AE55" i="5" s="1"/>
  <c r="AG55" i="5"/>
  <c r="AF55" i="5"/>
  <c r="Y55" i="5"/>
  <c r="X55" i="5"/>
  <c r="U55" i="5"/>
  <c r="W55" i="5" s="1"/>
  <c r="T55" i="5"/>
  <c r="V55" i="5" s="1"/>
  <c r="S55" i="5"/>
  <c r="AU54" i="5"/>
  <c r="AN54" i="5"/>
  <c r="AM54" i="5"/>
  <c r="AL54" i="5"/>
  <c r="AK54" i="5"/>
  <c r="AG54" i="5"/>
  <c r="AF54" i="5"/>
  <c r="Y54" i="5"/>
  <c r="X54" i="5"/>
  <c r="U54" i="5"/>
  <c r="W54" i="5" s="1"/>
  <c r="T54" i="5"/>
  <c r="V54" i="5" s="1"/>
  <c r="S54" i="5"/>
  <c r="AO54" i="5" s="1"/>
  <c r="AU53" i="5"/>
  <c r="AN53" i="5"/>
  <c r="AM53" i="5"/>
  <c r="AL53" i="5"/>
  <c r="AK53" i="5"/>
  <c r="AG53" i="5"/>
  <c r="AF53" i="5"/>
  <c r="Y53" i="5"/>
  <c r="X53" i="5"/>
  <c r="W53" i="5"/>
  <c r="U53" i="5"/>
  <c r="T53" i="5"/>
  <c r="V53" i="5" s="1"/>
  <c r="S53" i="5"/>
  <c r="AO53" i="5" s="1"/>
  <c r="AU52" i="5"/>
  <c r="AN52" i="5"/>
  <c r="AM52" i="5"/>
  <c r="AL52" i="5"/>
  <c r="AK52" i="5"/>
  <c r="AE52" i="5" s="1"/>
  <c r="AG52" i="5"/>
  <c r="AF52" i="5"/>
  <c r="Y52" i="5"/>
  <c r="X52" i="5"/>
  <c r="U52" i="5"/>
  <c r="W52" i="5" s="1"/>
  <c r="T52" i="5"/>
  <c r="V52" i="5" s="1"/>
  <c r="S52" i="5"/>
  <c r="AU51" i="5"/>
  <c r="AN51" i="5"/>
  <c r="AM51" i="5"/>
  <c r="AL51" i="5"/>
  <c r="AK51" i="5"/>
  <c r="AG51" i="5"/>
  <c r="AF51" i="5"/>
  <c r="Y51" i="5"/>
  <c r="X51" i="5"/>
  <c r="U51" i="5"/>
  <c r="W51" i="5" s="1"/>
  <c r="T51" i="5"/>
  <c r="V51" i="5" s="1"/>
  <c r="S51" i="5"/>
  <c r="AO51" i="5" s="1"/>
  <c r="AU50" i="5"/>
  <c r="AN50" i="5"/>
  <c r="AM50" i="5"/>
  <c r="AL50" i="5"/>
  <c r="AK50" i="5"/>
  <c r="AG50" i="5"/>
  <c r="AF50" i="5"/>
  <c r="Y50" i="5"/>
  <c r="X50" i="5"/>
  <c r="U50" i="5"/>
  <c r="W50" i="5" s="1"/>
  <c r="T50" i="5"/>
  <c r="V50" i="5" s="1"/>
  <c r="S50" i="5"/>
  <c r="AO50" i="5" s="1"/>
  <c r="AU49" i="5"/>
  <c r="AN49" i="5"/>
  <c r="AM49" i="5"/>
  <c r="AL49" i="5"/>
  <c r="AK49" i="5"/>
  <c r="AG49" i="5"/>
  <c r="AF49" i="5"/>
  <c r="Y49" i="5"/>
  <c r="X49" i="5"/>
  <c r="U49" i="5"/>
  <c r="W49" i="5" s="1"/>
  <c r="T49" i="5"/>
  <c r="V49" i="5" s="1"/>
  <c r="S49" i="5"/>
  <c r="AU48" i="5"/>
  <c r="AN48" i="5"/>
  <c r="AM48" i="5"/>
  <c r="AL48" i="5"/>
  <c r="AK48" i="5"/>
  <c r="AB48" i="5" s="1"/>
  <c r="AC48" i="5" s="1"/>
  <c r="AG48" i="5"/>
  <c r="AF48" i="5"/>
  <c r="Y48" i="5"/>
  <c r="X48" i="5"/>
  <c r="W48" i="5"/>
  <c r="V48" i="5"/>
  <c r="U48" i="5"/>
  <c r="T48" i="5"/>
  <c r="S48" i="5"/>
  <c r="AO48" i="5" s="1"/>
  <c r="AU47" i="5"/>
  <c r="AN47" i="5"/>
  <c r="AM47" i="5"/>
  <c r="AL47" i="5"/>
  <c r="AK47" i="5"/>
  <c r="AE47" i="5" s="1"/>
  <c r="AG47" i="5"/>
  <c r="AF47" i="5"/>
  <c r="Y47" i="5"/>
  <c r="X47" i="5"/>
  <c r="U47" i="5"/>
  <c r="W47" i="5" s="1"/>
  <c r="T47" i="5"/>
  <c r="V47" i="5" s="1"/>
  <c r="S47" i="5"/>
  <c r="AU46" i="5"/>
  <c r="AN46" i="5"/>
  <c r="AM46" i="5"/>
  <c r="AL46" i="5"/>
  <c r="AK46" i="5"/>
  <c r="AE46" i="5" s="1"/>
  <c r="AG46" i="5"/>
  <c r="AF46" i="5"/>
  <c r="AB46" i="5"/>
  <c r="AC46" i="5" s="1"/>
  <c r="Y46" i="5"/>
  <c r="X46" i="5"/>
  <c r="W46" i="5"/>
  <c r="U46" i="5"/>
  <c r="T46" i="5"/>
  <c r="V46" i="5" s="1"/>
  <c r="S46" i="5"/>
  <c r="AO46" i="5" s="1"/>
  <c r="AU45" i="5"/>
  <c r="AN45" i="5"/>
  <c r="AM45" i="5"/>
  <c r="AL45" i="5"/>
  <c r="AK45" i="5"/>
  <c r="AB45" i="5" s="1"/>
  <c r="AC45" i="5" s="1"/>
  <c r="AG45" i="5"/>
  <c r="AF45" i="5"/>
  <c r="Y45" i="5"/>
  <c r="X45" i="5"/>
  <c r="W45" i="5"/>
  <c r="U45" i="5"/>
  <c r="T45" i="5"/>
  <c r="V45" i="5" s="1"/>
  <c r="S45" i="5"/>
  <c r="AO45" i="5" s="1"/>
  <c r="AU44" i="5"/>
  <c r="AN44" i="5"/>
  <c r="AM44" i="5"/>
  <c r="AL44" i="5"/>
  <c r="AK44" i="5"/>
  <c r="AB44" i="5" s="1"/>
  <c r="AC44" i="5" s="1"/>
  <c r="AG44" i="5"/>
  <c r="AF44" i="5"/>
  <c r="Y44" i="5"/>
  <c r="X44" i="5"/>
  <c r="W44" i="5"/>
  <c r="V44" i="5"/>
  <c r="U44" i="5"/>
  <c r="T44" i="5"/>
  <c r="S44" i="5"/>
  <c r="AO44" i="5" s="1"/>
  <c r="AU43" i="5"/>
  <c r="AN43" i="5"/>
  <c r="AM43" i="5"/>
  <c r="AL43" i="5"/>
  <c r="AK43" i="5"/>
  <c r="AE43" i="5" s="1"/>
  <c r="AG43" i="5"/>
  <c r="AF43" i="5"/>
  <c r="Y43" i="5"/>
  <c r="X43" i="5"/>
  <c r="U43" i="5"/>
  <c r="W43" i="5" s="1"/>
  <c r="T43" i="5"/>
  <c r="V43" i="5" s="1"/>
  <c r="S43" i="5"/>
  <c r="AO43" i="5" s="1"/>
  <c r="AU42" i="5"/>
  <c r="AN42" i="5"/>
  <c r="AM42" i="5"/>
  <c r="AL42" i="5"/>
  <c r="AK42" i="5"/>
  <c r="AG42" i="5"/>
  <c r="AF42" i="5"/>
  <c r="Y42" i="5"/>
  <c r="X42" i="5"/>
  <c r="U42" i="5"/>
  <c r="W42" i="5" s="1"/>
  <c r="T42" i="5"/>
  <c r="V42" i="5" s="1"/>
  <c r="S42" i="5"/>
  <c r="AO42" i="5" s="1"/>
  <c r="AU41" i="5"/>
  <c r="AN41" i="5"/>
  <c r="AM41" i="5"/>
  <c r="AL41" i="5"/>
  <c r="AK41" i="5"/>
  <c r="AE41" i="5" s="1"/>
  <c r="AG41" i="5"/>
  <c r="AF41" i="5"/>
  <c r="Y41" i="5"/>
  <c r="X41" i="5"/>
  <c r="W41" i="5"/>
  <c r="V41" i="5"/>
  <c r="U41" i="5"/>
  <c r="T41" i="5"/>
  <c r="S41" i="5"/>
  <c r="AO41" i="5" s="1"/>
  <c r="AU40" i="5"/>
  <c r="AN40" i="5"/>
  <c r="AM40" i="5"/>
  <c r="AL40" i="5"/>
  <c r="AK40" i="5"/>
  <c r="AB40" i="5" s="1"/>
  <c r="AC40" i="5" s="1"/>
  <c r="AG40" i="5"/>
  <c r="AF40" i="5"/>
  <c r="Y40" i="5"/>
  <c r="X40" i="5"/>
  <c r="V40" i="5"/>
  <c r="U40" i="5"/>
  <c r="W40" i="5" s="1"/>
  <c r="T40" i="5"/>
  <c r="S40" i="5"/>
  <c r="AU39" i="5"/>
  <c r="AN39" i="5"/>
  <c r="AM39" i="5"/>
  <c r="AL39" i="5"/>
  <c r="AK39" i="5"/>
  <c r="AE39" i="5" s="1"/>
  <c r="AG39" i="5"/>
  <c r="AF39" i="5"/>
  <c r="Y39" i="5"/>
  <c r="X39" i="5"/>
  <c r="U39" i="5"/>
  <c r="W39" i="5" s="1"/>
  <c r="T39" i="5"/>
  <c r="V39" i="5" s="1"/>
  <c r="S39" i="5"/>
  <c r="AU38" i="5"/>
  <c r="AN38" i="5"/>
  <c r="AM38" i="5"/>
  <c r="AL38" i="5"/>
  <c r="AK38" i="5"/>
  <c r="AB38" i="5" s="1"/>
  <c r="AC38" i="5" s="1"/>
  <c r="AG38" i="5"/>
  <c r="AF38" i="5"/>
  <c r="Y38" i="5"/>
  <c r="X38" i="5"/>
  <c r="V38" i="5"/>
  <c r="U38" i="5"/>
  <c r="W38" i="5" s="1"/>
  <c r="T38" i="5"/>
  <c r="S38" i="5"/>
  <c r="AU37" i="5"/>
  <c r="AN37" i="5"/>
  <c r="AM37" i="5"/>
  <c r="AL37" i="5"/>
  <c r="AK37" i="5"/>
  <c r="AG37" i="5"/>
  <c r="AF37" i="5"/>
  <c r="Y37" i="5"/>
  <c r="X37" i="5"/>
  <c r="U37" i="5"/>
  <c r="W37" i="5" s="1"/>
  <c r="T37" i="5"/>
  <c r="V37" i="5" s="1"/>
  <c r="S37" i="5"/>
  <c r="AU36" i="5"/>
  <c r="AN36" i="5"/>
  <c r="AM36" i="5"/>
  <c r="AL36" i="5"/>
  <c r="AK36" i="5"/>
  <c r="AG36" i="5"/>
  <c r="AF36" i="5"/>
  <c r="AE36" i="5"/>
  <c r="AB36" i="5"/>
  <c r="AC36" i="5" s="1"/>
  <c r="Y36" i="5"/>
  <c r="X36" i="5"/>
  <c r="U36" i="5"/>
  <c r="W36" i="5" s="1"/>
  <c r="T36" i="5"/>
  <c r="V36" i="5" s="1"/>
  <c r="S36" i="5"/>
  <c r="AU35" i="5"/>
  <c r="AN35" i="5"/>
  <c r="AM35" i="5"/>
  <c r="AL35" i="5"/>
  <c r="AK35" i="5"/>
  <c r="AB35" i="5" s="1"/>
  <c r="AC35" i="5" s="1"/>
  <c r="AG35" i="5"/>
  <c r="AF35" i="5"/>
  <c r="Y35" i="5"/>
  <c r="X35" i="5"/>
  <c r="U35" i="5"/>
  <c r="W35" i="5" s="1"/>
  <c r="T35" i="5"/>
  <c r="V35" i="5" s="1"/>
  <c r="S35" i="5"/>
  <c r="AO35" i="5" s="1"/>
  <c r="AU34" i="5"/>
  <c r="AN34" i="5"/>
  <c r="AM34" i="5"/>
  <c r="AL34" i="5"/>
  <c r="AK34" i="5"/>
  <c r="AB34" i="5" s="1"/>
  <c r="AC34" i="5" s="1"/>
  <c r="AG34" i="5"/>
  <c r="AF34" i="5"/>
  <c r="Y34" i="5"/>
  <c r="X34" i="5"/>
  <c r="V34" i="5"/>
  <c r="U34" i="5"/>
  <c r="W34" i="5" s="1"/>
  <c r="AS34" i="5" s="1"/>
  <c r="T34" i="5"/>
  <c r="S34" i="5"/>
  <c r="AU33" i="5"/>
  <c r="AN33" i="5"/>
  <c r="AM33" i="5"/>
  <c r="AL33" i="5"/>
  <c r="AK33" i="5"/>
  <c r="AE33" i="5" s="1"/>
  <c r="AG33" i="5"/>
  <c r="AF33" i="5"/>
  <c r="Y33" i="5"/>
  <c r="X33" i="5"/>
  <c r="U33" i="5"/>
  <c r="W33" i="5" s="1"/>
  <c r="T33" i="5"/>
  <c r="V33" i="5" s="1"/>
  <c r="S33" i="5"/>
  <c r="AO33" i="5" s="1"/>
  <c r="AU32" i="5"/>
  <c r="AN32" i="5"/>
  <c r="AM32" i="5"/>
  <c r="AL32" i="5"/>
  <c r="AK32" i="5"/>
  <c r="AE32" i="5" s="1"/>
  <c r="AG32" i="5"/>
  <c r="AF32" i="5"/>
  <c r="AD32" i="5"/>
  <c r="AB32" i="5"/>
  <c r="AC32" i="5" s="1"/>
  <c r="Y32" i="5"/>
  <c r="X32" i="5"/>
  <c r="U32" i="5"/>
  <c r="W32" i="5" s="1"/>
  <c r="T32" i="5"/>
  <c r="V32" i="5" s="1"/>
  <c r="S32" i="5"/>
  <c r="AO32" i="5" s="1"/>
  <c r="AU31" i="5"/>
  <c r="AN31" i="5"/>
  <c r="AM31" i="5"/>
  <c r="AL31" i="5"/>
  <c r="AK31" i="5"/>
  <c r="AG31" i="5"/>
  <c r="AF31" i="5"/>
  <c r="Y31" i="5"/>
  <c r="X31" i="5"/>
  <c r="U31" i="5"/>
  <c r="W31" i="5" s="1"/>
  <c r="T31" i="5"/>
  <c r="V31" i="5" s="1"/>
  <c r="S31" i="5"/>
  <c r="AU30" i="5"/>
  <c r="AN30" i="5"/>
  <c r="AM30" i="5"/>
  <c r="AL30" i="5"/>
  <c r="AK30" i="5"/>
  <c r="AG30" i="5"/>
  <c r="AF30" i="5"/>
  <c r="Y30" i="5"/>
  <c r="X30" i="5"/>
  <c r="U30" i="5"/>
  <c r="W30" i="5" s="1"/>
  <c r="T30" i="5"/>
  <c r="V30" i="5" s="1"/>
  <c r="S30" i="5"/>
  <c r="AO30" i="5" s="1"/>
  <c r="AU29" i="5"/>
  <c r="AN29" i="5"/>
  <c r="AM29" i="5"/>
  <c r="AL29" i="5"/>
  <c r="AK29" i="5"/>
  <c r="AG29" i="5"/>
  <c r="AF29" i="5"/>
  <c r="Y29" i="5"/>
  <c r="X29" i="5"/>
  <c r="U29" i="5"/>
  <c r="W29" i="5" s="1"/>
  <c r="T29" i="5"/>
  <c r="V29" i="5" s="1"/>
  <c r="S29" i="5"/>
  <c r="AU28" i="5"/>
  <c r="AN28" i="5"/>
  <c r="AM28" i="5"/>
  <c r="AL28" i="5"/>
  <c r="AK28" i="5"/>
  <c r="AG28" i="5"/>
  <c r="AF28" i="5"/>
  <c r="Y28" i="5"/>
  <c r="X28" i="5"/>
  <c r="U28" i="5"/>
  <c r="W28" i="5" s="1"/>
  <c r="T28" i="5"/>
  <c r="V28" i="5" s="1"/>
  <c r="S28" i="5"/>
  <c r="AO28" i="5" s="1"/>
  <c r="AU27" i="5"/>
  <c r="AN27" i="5"/>
  <c r="AM27" i="5"/>
  <c r="AL27" i="5"/>
  <c r="AK27" i="5"/>
  <c r="AG27" i="5"/>
  <c r="AF27" i="5"/>
  <c r="Y27" i="5"/>
  <c r="X27" i="5"/>
  <c r="U27" i="5"/>
  <c r="W27" i="5" s="1"/>
  <c r="T27" i="5"/>
  <c r="V27" i="5" s="1"/>
  <c r="S27" i="5"/>
  <c r="AU26" i="5"/>
  <c r="AN26" i="5"/>
  <c r="AM26" i="5"/>
  <c r="AL26" i="5"/>
  <c r="AK26" i="5"/>
  <c r="AG26" i="5"/>
  <c r="AF26" i="5"/>
  <c r="Y26" i="5"/>
  <c r="X26" i="5"/>
  <c r="U26" i="5"/>
  <c r="W26" i="5" s="1"/>
  <c r="T26" i="5"/>
  <c r="V26" i="5" s="1"/>
  <c r="S26" i="5"/>
  <c r="AO26" i="5" s="1"/>
  <c r="AU25" i="5"/>
  <c r="AN25" i="5"/>
  <c r="AM25" i="5"/>
  <c r="AL25" i="5"/>
  <c r="AK25" i="5"/>
  <c r="AE25" i="5" s="1"/>
  <c r="AG25" i="5"/>
  <c r="AF25" i="5"/>
  <c r="Y25" i="5"/>
  <c r="X25" i="5"/>
  <c r="U25" i="5"/>
  <c r="W25" i="5" s="1"/>
  <c r="T25" i="5"/>
  <c r="V25" i="5" s="1"/>
  <c r="S25" i="5"/>
  <c r="AO25" i="5" s="1"/>
  <c r="AU24" i="5"/>
  <c r="AN24" i="5"/>
  <c r="AM24" i="5"/>
  <c r="AL24" i="5"/>
  <c r="AK24" i="5"/>
  <c r="AG24" i="5"/>
  <c r="AF24" i="5"/>
  <c r="Y24" i="5"/>
  <c r="X24" i="5"/>
  <c r="U24" i="5"/>
  <c r="W24" i="5" s="1"/>
  <c r="T24" i="5"/>
  <c r="V24" i="5" s="1"/>
  <c r="S24" i="5"/>
  <c r="AU23" i="5"/>
  <c r="AN23" i="5"/>
  <c r="AM23" i="5"/>
  <c r="AL23" i="5"/>
  <c r="AK23" i="5"/>
  <c r="AG23" i="5"/>
  <c r="AF23" i="5"/>
  <c r="Y23" i="5"/>
  <c r="X23" i="5"/>
  <c r="U23" i="5"/>
  <c r="W23" i="5" s="1"/>
  <c r="T23" i="5"/>
  <c r="V23" i="5" s="1"/>
  <c r="S23" i="5"/>
  <c r="AO23" i="5" s="1"/>
  <c r="AU22" i="5"/>
  <c r="AN22" i="5"/>
  <c r="AM22" i="5"/>
  <c r="AL22" i="5"/>
  <c r="AK22" i="5"/>
  <c r="AB22" i="5" s="1"/>
  <c r="AC22" i="5" s="1"/>
  <c r="AG22" i="5"/>
  <c r="AF22" i="5"/>
  <c r="Y22" i="5"/>
  <c r="X22" i="5"/>
  <c r="U22" i="5"/>
  <c r="W22" i="5" s="1"/>
  <c r="T22" i="5"/>
  <c r="V22" i="5" s="1"/>
  <c r="S22" i="5"/>
  <c r="AO22" i="5" s="1"/>
  <c r="AU21" i="5"/>
  <c r="AN21" i="5"/>
  <c r="AM21" i="5"/>
  <c r="AL21" i="5"/>
  <c r="AK21" i="5"/>
  <c r="AG21" i="5"/>
  <c r="AF21" i="5"/>
  <c r="Y21" i="5"/>
  <c r="X21" i="5"/>
  <c r="U21" i="5"/>
  <c r="W21" i="5" s="1"/>
  <c r="T21" i="5"/>
  <c r="V21" i="5" s="1"/>
  <c r="S21" i="5"/>
  <c r="AU20" i="5"/>
  <c r="AN20" i="5"/>
  <c r="AM20" i="5"/>
  <c r="AL20" i="5"/>
  <c r="AK20" i="5"/>
  <c r="AE20" i="5" s="1"/>
  <c r="AG20" i="5"/>
  <c r="AF20" i="5"/>
  <c r="Y20" i="5"/>
  <c r="X20" i="5"/>
  <c r="U20" i="5"/>
  <c r="W20" i="5" s="1"/>
  <c r="T20" i="5"/>
  <c r="V20" i="5" s="1"/>
  <c r="S20" i="5"/>
  <c r="AO20" i="5" s="1"/>
  <c r="AU19" i="5"/>
  <c r="AN19" i="5"/>
  <c r="AM19" i="5"/>
  <c r="AL19" i="5"/>
  <c r="AK19" i="5"/>
  <c r="AG19" i="5"/>
  <c r="AF19" i="5"/>
  <c r="Y19" i="5"/>
  <c r="X19" i="5"/>
  <c r="V19" i="5"/>
  <c r="U19" i="5"/>
  <c r="W19" i="5" s="1"/>
  <c r="T19" i="5"/>
  <c r="S19" i="5"/>
  <c r="AU18" i="5"/>
  <c r="AN18" i="5"/>
  <c r="AM18" i="5"/>
  <c r="AL18" i="5"/>
  <c r="AK18" i="5"/>
  <c r="AG18" i="5"/>
  <c r="AF18" i="5"/>
  <c r="Y18" i="5"/>
  <c r="X18" i="5"/>
  <c r="U18" i="5"/>
  <c r="W18" i="5" s="1"/>
  <c r="T18" i="5"/>
  <c r="V18" i="5" s="1"/>
  <c r="S18" i="5"/>
  <c r="AO18" i="5" s="1"/>
  <c r="AU17" i="5"/>
  <c r="AN17" i="5"/>
  <c r="AM17" i="5"/>
  <c r="AL17" i="5"/>
  <c r="AK17" i="5"/>
  <c r="AG17" i="5"/>
  <c r="AF17" i="5"/>
  <c r="Y17" i="5"/>
  <c r="X17" i="5"/>
  <c r="U17" i="5"/>
  <c r="W17" i="5" s="1"/>
  <c r="T17" i="5"/>
  <c r="V17" i="5" s="1"/>
  <c r="S17" i="5"/>
  <c r="AO17" i="5" s="1"/>
  <c r="AU16" i="5"/>
  <c r="AN16" i="5"/>
  <c r="AM16" i="5"/>
  <c r="AL16" i="5"/>
  <c r="AK16" i="5"/>
  <c r="AG16" i="5"/>
  <c r="AF16" i="5"/>
  <c r="Y16" i="5"/>
  <c r="X16" i="5"/>
  <c r="U16" i="5"/>
  <c r="W16" i="5" s="1"/>
  <c r="T16" i="5"/>
  <c r="V16" i="5" s="1"/>
  <c r="S16" i="5"/>
  <c r="AO16" i="5" s="1"/>
  <c r="AU15" i="5"/>
  <c r="AN15" i="5"/>
  <c r="AM15" i="5"/>
  <c r="AL15" i="5"/>
  <c r="AK15" i="5"/>
  <c r="AG15" i="5"/>
  <c r="AF15" i="5"/>
  <c r="Y15" i="5"/>
  <c r="X15" i="5"/>
  <c r="U15" i="5"/>
  <c r="W15" i="5" s="1"/>
  <c r="T15" i="5"/>
  <c r="V15" i="5" s="1"/>
  <c r="S15" i="5"/>
  <c r="AO15" i="5" s="1"/>
  <c r="AU14" i="5"/>
  <c r="AN14" i="5"/>
  <c r="AM14" i="5"/>
  <c r="AL14" i="5"/>
  <c r="AK14" i="5"/>
  <c r="AG14" i="5"/>
  <c r="AF14" i="5"/>
  <c r="Y14" i="5"/>
  <c r="X14" i="5"/>
  <c r="U14" i="5"/>
  <c r="W14" i="5" s="1"/>
  <c r="T14" i="5"/>
  <c r="V14" i="5" s="1"/>
  <c r="S14" i="5"/>
  <c r="AU13" i="5"/>
  <c r="AN13" i="5"/>
  <c r="AM13" i="5"/>
  <c r="AL13" i="5"/>
  <c r="AK13" i="5"/>
  <c r="AG13" i="5"/>
  <c r="AF13" i="5"/>
  <c r="AB13" i="5"/>
  <c r="AC13" i="5" s="1"/>
  <c r="Y13" i="5"/>
  <c r="X13" i="5"/>
  <c r="U13" i="5"/>
  <c r="W13" i="5" s="1"/>
  <c r="T13" i="5"/>
  <c r="V13" i="5" s="1"/>
  <c r="S13" i="5"/>
  <c r="AO13" i="5" s="1"/>
  <c r="AU12" i="5"/>
  <c r="AN12" i="5"/>
  <c r="AM12" i="5"/>
  <c r="AL12" i="5"/>
  <c r="AK12" i="5"/>
  <c r="AE12" i="5" s="1"/>
  <c r="AG12" i="5"/>
  <c r="AF12" i="5"/>
  <c r="Y12" i="5"/>
  <c r="X12" i="5"/>
  <c r="U12" i="5"/>
  <c r="W12" i="5" s="1"/>
  <c r="T12" i="5"/>
  <c r="V12" i="5" s="1"/>
  <c r="S12" i="5"/>
  <c r="AO12" i="5" s="1"/>
  <c r="AU11" i="5"/>
  <c r="AN11" i="5"/>
  <c r="AM11" i="5"/>
  <c r="AL11" i="5"/>
  <c r="AK11" i="5"/>
  <c r="AG11" i="5"/>
  <c r="AF11" i="5"/>
  <c r="Y11" i="5"/>
  <c r="X11" i="5"/>
  <c r="U11" i="5"/>
  <c r="W11" i="5" s="1"/>
  <c r="T11" i="5"/>
  <c r="V11" i="5" s="1"/>
  <c r="S11" i="5"/>
  <c r="AU10" i="5"/>
  <c r="AN10" i="5"/>
  <c r="AM10" i="5"/>
  <c r="AL10" i="5"/>
  <c r="AK10" i="5"/>
  <c r="AG10" i="5"/>
  <c r="AF10" i="5"/>
  <c r="Y10" i="5"/>
  <c r="X10" i="5"/>
  <c r="U10" i="5"/>
  <c r="W10" i="5" s="1"/>
  <c r="T10" i="5"/>
  <c r="V10" i="5" s="1"/>
  <c r="S10" i="5"/>
  <c r="AU9" i="5"/>
  <c r="AN9" i="5"/>
  <c r="AM9" i="5"/>
  <c r="AL9" i="5"/>
  <c r="AK9" i="5"/>
  <c r="AG9" i="5"/>
  <c r="AF9" i="5"/>
  <c r="Y9" i="5"/>
  <c r="X9" i="5"/>
  <c r="U9" i="5"/>
  <c r="W9" i="5" s="1"/>
  <c r="T9" i="5"/>
  <c r="V9" i="5" s="1"/>
  <c r="S9" i="5"/>
  <c r="AU8" i="5"/>
  <c r="AN8" i="5"/>
  <c r="AM8" i="5"/>
  <c r="AL8" i="5"/>
  <c r="AK8" i="5"/>
  <c r="AG8" i="5"/>
  <c r="AF8" i="5"/>
  <c r="Y8" i="5"/>
  <c r="X8" i="5"/>
  <c r="W8" i="5"/>
  <c r="U8" i="5"/>
  <c r="T8" i="5"/>
  <c r="V8" i="5" s="1"/>
  <c r="S8" i="5"/>
  <c r="AU7" i="5"/>
  <c r="AN7" i="5"/>
  <c r="AM7" i="5"/>
  <c r="AL7" i="5"/>
  <c r="AK7" i="5"/>
  <c r="AB7" i="5" s="1"/>
  <c r="AC7" i="5" s="1"/>
  <c r="AG7" i="5"/>
  <c r="AF7" i="5"/>
  <c r="Y7" i="5"/>
  <c r="X7" i="5"/>
  <c r="V7" i="5"/>
  <c r="U7" i="5"/>
  <c r="W7" i="5" s="1"/>
  <c r="T7" i="5"/>
  <c r="S7" i="5"/>
  <c r="AO7" i="5" s="1"/>
  <c r="AU6" i="5"/>
  <c r="AN6" i="5"/>
  <c r="AM6" i="5"/>
  <c r="AL6" i="5"/>
  <c r="AK6" i="5"/>
  <c r="AG6" i="5"/>
  <c r="AF6" i="5"/>
  <c r="Y6" i="5"/>
  <c r="X6" i="5"/>
  <c r="U6" i="5"/>
  <c r="W6" i="5" s="1"/>
  <c r="T6" i="5"/>
  <c r="V6" i="5" s="1"/>
  <c r="S6" i="5"/>
  <c r="AU5" i="5"/>
  <c r="AN5" i="5"/>
  <c r="AM5" i="5"/>
  <c r="AL5" i="5"/>
  <c r="AK5" i="5"/>
  <c r="E105" i="8" s="1"/>
  <c r="AG5" i="5"/>
  <c r="AF5" i="5"/>
  <c r="Y5" i="5"/>
  <c r="X5" i="5"/>
  <c r="U5" i="5"/>
  <c r="W5" i="5" s="1"/>
  <c r="T5" i="5"/>
  <c r="V5" i="5" s="1"/>
  <c r="S5" i="5"/>
  <c r="AO5" i="5" s="1"/>
  <c r="H503" i="5"/>
  <c r="H502" i="5"/>
  <c r="AQ502" i="5" s="1"/>
  <c r="H501" i="5"/>
  <c r="AQ501" i="5" s="1"/>
  <c r="H500" i="5"/>
  <c r="AQ500" i="5" s="1"/>
  <c r="H499" i="5"/>
  <c r="AQ499" i="5" s="1"/>
  <c r="H498" i="5"/>
  <c r="H497" i="5"/>
  <c r="AQ497" i="5" s="1"/>
  <c r="H496" i="5"/>
  <c r="AQ496" i="5" s="1"/>
  <c r="H495" i="5"/>
  <c r="AQ495" i="5" s="1"/>
  <c r="H494" i="5"/>
  <c r="H493" i="5"/>
  <c r="AQ493" i="5" s="1"/>
  <c r="H492" i="5"/>
  <c r="AQ492" i="5" s="1"/>
  <c r="H491" i="5"/>
  <c r="AQ491" i="5" s="1"/>
  <c r="H490" i="5"/>
  <c r="AQ490" i="5" s="1"/>
  <c r="H489" i="5"/>
  <c r="AQ489" i="5" s="1"/>
  <c r="H488" i="5"/>
  <c r="AQ488" i="5" s="1"/>
  <c r="H487" i="5"/>
  <c r="AQ487" i="5" s="1"/>
  <c r="H486" i="5"/>
  <c r="AQ486" i="5" s="1"/>
  <c r="H485" i="5"/>
  <c r="AQ485" i="5" s="1"/>
  <c r="H484" i="5"/>
  <c r="AQ484" i="5" s="1"/>
  <c r="H483" i="5"/>
  <c r="AQ483" i="5" s="1"/>
  <c r="H482" i="5"/>
  <c r="AQ482" i="5" s="1"/>
  <c r="H481" i="5"/>
  <c r="AQ481" i="5" s="1"/>
  <c r="H480" i="5"/>
  <c r="AQ480" i="5" s="1"/>
  <c r="H479" i="5"/>
  <c r="AQ479" i="5" s="1"/>
  <c r="H478" i="5"/>
  <c r="H477" i="5"/>
  <c r="AQ477" i="5" s="1"/>
  <c r="H476" i="5"/>
  <c r="AQ476" i="5" s="1"/>
  <c r="H475" i="5"/>
  <c r="AQ475" i="5" s="1"/>
  <c r="H474" i="5"/>
  <c r="H473" i="5"/>
  <c r="AQ473" i="5" s="1"/>
  <c r="H472" i="5"/>
  <c r="AQ472" i="5" s="1"/>
  <c r="H471" i="5"/>
  <c r="AQ471" i="5" s="1"/>
  <c r="H470" i="5"/>
  <c r="AQ470" i="5" s="1"/>
  <c r="H469" i="5"/>
  <c r="AQ469" i="5" s="1"/>
  <c r="H468" i="5"/>
  <c r="AQ468" i="5" s="1"/>
  <c r="H467" i="5"/>
  <c r="AQ467" i="5" s="1"/>
  <c r="H466" i="5"/>
  <c r="AQ466" i="5" s="1"/>
  <c r="H465" i="5"/>
  <c r="AQ465" i="5" s="1"/>
  <c r="H464" i="5"/>
  <c r="AQ464" i="5" s="1"/>
  <c r="H463" i="5"/>
  <c r="AQ463" i="5" s="1"/>
  <c r="H462" i="5"/>
  <c r="AQ462" i="5" s="1"/>
  <c r="H461" i="5"/>
  <c r="AQ461" i="5" s="1"/>
  <c r="H460" i="5"/>
  <c r="AQ460" i="5" s="1"/>
  <c r="H459" i="5"/>
  <c r="AQ459" i="5" s="1"/>
  <c r="H458" i="5"/>
  <c r="AQ458" i="5" s="1"/>
  <c r="H457" i="5"/>
  <c r="AQ457" i="5" s="1"/>
  <c r="H456" i="5"/>
  <c r="AQ456" i="5" s="1"/>
  <c r="H455" i="5"/>
  <c r="AQ455" i="5" s="1"/>
  <c r="H454" i="5"/>
  <c r="AQ454" i="5" s="1"/>
  <c r="H453" i="5"/>
  <c r="AQ453" i="5" s="1"/>
  <c r="H452" i="5"/>
  <c r="AQ452" i="5" s="1"/>
  <c r="H451" i="5"/>
  <c r="AQ451" i="5" s="1"/>
  <c r="H450" i="5"/>
  <c r="AQ450" i="5" s="1"/>
  <c r="H449" i="5"/>
  <c r="AQ449" i="5" s="1"/>
  <c r="H448" i="5"/>
  <c r="AQ448" i="5" s="1"/>
  <c r="H447" i="5"/>
  <c r="AQ447" i="5" s="1"/>
  <c r="H446" i="5"/>
  <c r="AQ446" i="5" s="1"/>
  <c r="H445" i="5"/>
  <c r="AQ445" i="5" s="1"/>
  <c r="H444" i="5"/>
  <c r="AQ444" i="5" s="1"/>
  <c r="H443" i="5"/>
  <c r="AQ443" i="5" s="1"/>
  <c r="H442" i="5"/>
  <c r="AQ442" i="5" s="1"/>
  <c r="H441" i="5"/>
  <c r="AQ441" i="5" s="1"/>
  <c r="H440" i="5"/>
  <c r="AQ440" i="5" s="1"/>
  <c r="H439" i="5"/>
  <c r="AQ439" i="5" s="1"/>
  <c r="H438" i="5"/>
  <c r="AQ438" i="5" s="1"/>
  <c r="H437" i="5"/>
  <c r="AQ437" i="5" s="1"/>
  <c r="H436" i="5"/>
  <c r="AQ436" i="5" s="1"/>
  <c r="H435" i="5"/>
  <c r="AQ435" i="5" s="1"/>
  <c r="H434" i="5"/>
  <c r="AQ434" i="5" s="1"/>
  <c r="H433" i="5"/>
  <c r="AQ433" i="5" s="1"/>
  <c r="H432" i="5"/>
  <c r="H431" i="5"/>
  <c r="AQ431" i="5" s="1"/>
  <c r="H430" i="5"/>
  <c r="AQ430" i="5" s="1"/>
  <c r="H429" i="5"/>
  <c r="AQ429" i="5" s="1"/>
  <c r="H428" i="5"/>
  <c r="AQ428" i="5" s="1"/>
  <c r="H427" i="5"/>
  <c r="AQ427" i="5" s="1"/>
  <c r="H426" i="5"/>
  <c r="AQ426" i="5" s="1"/>
  <c r="H425" i="5"/>
  <c r="AQ425" i="5" s="1"/>
  <c r="H424" i="5"/>
  <c r="H423" i="5"/>
  <c r="AQ423" i="5" s="1"/>
  <c r="H422" i="5"/>
  <c r="AQ422" i="5" s="1"/>
  <c r="H421" i="5"/>
  <c r="AQ421" i="5" s="1"/>
  <c r="H420" i="5"/>
  <c r="AQ420" i="5" s="1"/>
  <c r="H419" i="5"/>
  <c r="AQ419" i="5" s="1"/>
  <c r="H418" i="5"/>
  <c r="AQ418" i="5" s="1"/>
  <c r="H417" i="5"/>
  <c r="AQ417" i="5" s="1"/>
  <c r="H416" i="5"/>
  <c r="H415" i="5"/>
  <c r="AQ415" i="5" s="1"/>
  <c r="H414" i="5"/>
  <c r="AQ414" i="5" s="1"/>
  <c r="H413" i="5"/>
  <c r="AQ413" i="5" s="1"/>
  <c r="H412" i="5"/>
  <c r="H411" i="5"/>
  <c r="AQ411" i="5" s="1"/>
  <c r="H410" i="5"/>
  <c r="AQ410" i="5" s="1"/>
  <c r="H409" i="5"/>
  <c r="AQ409" i="5" s="1"/>
  <c r="H408" i="5"/>
  <c r="H407" i="5"/>
  <c r="AQ407" i="5" s="1"/>
  <c r="H406" i="5"/>
  <c r="AQ406" i="5" s="1"/>
  <c r="H405" i="5"/>
  <c r="AQ405" i="5" s="1"/>
  <c r="H404" i="5"/>
  <c r="H403" i="5"/>
  <c r="AQ403" i="5" s="1"/>
  <c r="H402" i="5"/>
  <c r="AQ402" i="5" s="1"/>
  <c r="H401" i="5"/>
  <c r="AQ401" i="5" s="1"/>
  <c r="H400" i="5"/>
  <c r="H399" i="5"/>
  <c r="AQ399" i="5" s="1"/>
  <c r="H398" i="5"/>
  <c r="AQ398" i="5" s="1"/>
  <c r="H397" i="5"/>
  <c r="AQ397" i="5" s="1"/>
  <c r="H396" i="5"/>
  <c r="H395" i="5"/>
  <c r="AQ395" i="5" s="1"/>
  <c r="H394" i="5"/>
  <c r="AQ394" i="5" s="1"/>
  <c r="H393" i="5"/>
  <c r="AQ393" i="5" s="1"/>
  <c r="H392" i="5"/>
  <c r="H391" i="5"/>
  <c r="AQ391" i="5" s="1"/>
  <c r="H390" i="5"/>
  <c r="AQ390" i="5" s="1"/>
  <c r="H389" i="5"/>
  <c r="AQ389" i="5" s="1"/>
  <c r="H388" i="5"/>
  <c r="H387" i="5"/>
  <c r="AQ387" i="5" s="1"/>
  <c r="H386" i="5"/>
  <c r="AQ386" i="5" s="1"/>
  <c r="H385" i="5"/>
  <c r="AQ385" i="5" s="1"/>
  <c r="H384" i="5"/>
  <c r="H383" i="5"/>
  <c r="AQ383" i="5" s="1"/>
  <c r="H382" i="5"/>
  <c r="AQ382" i="5" s="1"/>
  <c r="H381" i="5"/>
  <c r="AQ381" i="5" s="1"/>
  <c r="H380" i="5"/>
  <c r="AQ380" i="5" s="1"/>
  <c r="H379" i="5"/>
  <c r="AQ379" i="5" s="1"/>
  <c r="H378" i="5"/>
  <c r="AQ378" i="5" s="1"/>
  <c r="H377" i="5"/>
  <c r="AQ377" i="5" s="1"/>
  <c r="H376" i="5"/>
  <c r="H375" i="5"/>
  <c r="AQ375" i="5" s="1"/>
  <c r="H374" i="5"/>
  <c r="AQ374" i="5" s="1"/>
  <c r="H373" i="5"/>
  <c r="AQ373" i="5" s="1"/>
  <c r="H372" i="5"/>
  <c r="AQ372" i="5" s="1"/>
  <c r="H371" i="5"/>
  <c r="H370" i="5"/>
  <c r="H369" i="5"/>
  <c r="AQ369" i="5" s="1"/>
  <c r="H368" i="5"/>
  <c r="AQ368" i="5" s="1"/>
  <c r="H367" i="5"/>
  <c r="H366" i="5"/>
  <c r="H365" i="5"/>
  <c r="AQ365" i="5" s="1"/>
  <c r="H364" i="5"/>
  <c r="AQ364" i="5" s="1"/>
  <c r="H363" i="5"/>
  <c r="AQ363" i="5" s="1"/>
  <c r="H362" i="5"/>
  <c r="H361" i="5"/>
  <c r="AQ361" i="5" s="1"/>
  <c r="H360" i="5"/>
  <c r="AQ360" i="5" s="1"/>
  <c r="H359" i="5"/>
  <c r="AQ359" i="5" s="1"/>
  <c r="H358" i="5"/>
  <c r="H357" i="5"/>
  <c r="AQ357" i="5" s="1"/>
  <c r="H356" i="5"/>
  <c r="AQ356" i="5" s="1"/>
  <c r="H355" i="5"/>
  <c r="AQ355" i="5" s="1"/>
  <c r="H354" i="5"/>
  <c r="H353" i="5"/>
  <c r="AQ353" i="5" s="1"/>
  <c r="H352" i="5"/>
  <c r="AQ352" i="5" s="1"/>
  <c r="H351" i="5"/>
  <c r="AQ351" i="5" s="1"/>
  <c r="H350" i="5"/>
  <c r="H349" i="5"/>
  <c r="AQ349" i="5" s="1"/>
  <c r="H348" i="5"/>
  <c r="AQ348" i="5" s="1"/>
  <c r="H347" i="5"/>
  <c r="AQ347" i="5" s="1"/>
  <c r="H346" i="5"/>
  <c r="H345" i="5"/>
  <c r="AQ345" i="5" s="1"/>
  <c r="H344" i="5"/>
  <c r="AQ344" i="5" s="1"/>
  <c r="H343" i="5"/>
  <c r="AQ343" i="5" s="1"/>
  <c r="H342" i="5"/>
  <c r="H341" i="5"/>
  <c r="AQ341" i="5" s="1"/>
  <c r="H340" i="5"/>
  <c r="AQ340" i="5" s="1"/>
  <c r="H339" i="5"/>
  <c r="AQ339" i="5" s="1"/>
  <c r="H338" i="5"/>
  <c r="H337" i="5"/>
  <c r="AQ337" i="5" s="1"/>
  <c r="H336" i="5"/>
  <c r="AQ336" i="5" s="1"/>
  <c r="H335" i="5"/>
  <c r="AQ335" i="5" s="1"/>
  <c r="H334" i="5"/>
  <c r="H333" i="5"/>
  <c r="AQ333" i="5" s="1"/>
  <c r="H332" i="5"/>
  <c r="AQ332" i="5" s="1"/>
  <c r="H331" i="5"/>
  <c r="AQ331" i="5" s="1"/>
  <c r="H330" i="5"/>
  <c r="AQ330" i="5" s="1"/>
  <c r="H329" i="5"/>
  <c r="AQ329" i="5" s="1"/>
  <c r="H328" i="5"/>
  <c r="AQ328" i="5" s="1"/>
  <c r="H327" i="5"/>
  <c r="AQ327" i="5" s="1"/>
  <c r="H326" i="5"/>
  <c r="H325" i="5"/>
  <c r="AQ325" i="5" s="1"/>
  <c r="H324" i="5"/>
  <c r="AQ324" i="5" s="1"/>
  <c r="H323" i="5"/>
  <c r="AQ323" i="5" s="1"/>
  <c r="H322" i="5"/>
  <c r="AQ322" i="5" s="1"/>
  <c r="H321" i="5"/>
  <c r="AQ321" i="5" s="1"/>
  <c r="H320" i="5"/>
  <c r="AQ320" i="5" s="1"/>
  <c r="H319" i="5"/>
  <c r="AQ319" i="5" s="1"/>
  <c r="H318" i="5"/>
  <c r="AQ318" i="5" s="1"/>
  <c r="H317" i="5"/>
  <c r="AQ317" i="5" s="1"/>
  <c r="H316" i="5"/>
  <c r="AQ316" i="5" s="1"/>
  <c r="H315" i="5"/>
  <c r="AQ315" i="5" s="1"/>
  <c r="H314" i="5"/>
  <c r="AQ314" i="5" s="1"/>
  <c r="H313" i="5"/>
  <c r="AQ313" i="5" s="1"/>
  <c r="H312" i="5"/>
  <c r="AQ312" i="5" s="1"/>
  <c r="H311" i="5"/>
  <c r="AQ311" i="5" s="1"/>
  <c r="H310" i="5"/>
  <c r="AQ310" i="5" s="1"/>
  <c r="H309" i="5"/>
  <c r="AQ309" i="5" s="1"/>
  <c r="H308" i="5"/>
  <c r="AQ308" i="5" s="1"/>
  <c r="H307" i="5"/>
  <c r="AQ307" i="5" s="1"/>
  <c r="H306" i="5"/>
  <c r="AQ306" i="5" s="1"/>
  <c r="H305" i="5"/>
  <c r="AQ305" i="5" s="1"/>
  <c r="H304" i="5"/>
  <c r="AQ304" i="5" s="1"/>
  <c r="H303" i="5"/>
  <c r="AQ303" i="5" s="1"/>
  <c r="H302" i="5"/>
  <c r="AQ302" i="5" s="1"/>
  <c r="H301" i="5"/>
  <c r="AQ301" i="5" s="1"/>
  <c r="H300" i="5"/>
  <c r="AQ300" i="5" s="1"/>
  <c r="H299" i="5"/>
  <c r="AQ299" i="5" s="1"/>
  <c r="H298" i="5"/>
  <c r="AQ298" i="5" s="1"/>
  <c r="H297" i="5"/>
  <c r="AQ297" i="5" s="1"/>
  <c r="H296" i="5"/>
  <c r="AQ296" i="5" s="1"/>
  <c r="H295" i="5"/>
  <c r="AQ295" i="5" s="1"/>
  <c r="H294" i="5"/>
  <c r="AQ294" i="5" s="1"/>
  <c r="H293" i="5"/>
  <c r="AQ293" i="5" s="1"/>
  <c r="H292" i="5"/>
  <c r="AQ292" i="5" s="1"/>
  <c r="H291" i="5"/>
  <c r="AQ291" i="5" s="1"/>
  <c r="H290" i="5"/>
  <c r="AQ290" i="5" s="1"/>
  <c r="H289" i="5"/>
  <c r="AQ289" i="5" s="1"/>
  <c r="H288" i="5"/>
  <c r="AQ288" i="5" s="1"/>
  <c r="H287" i="5"/>
  <c r="AQ287" i="5" s="1"/>
  <c r="H286" i="5"/>
  <c r="AQ286" i="5" s="1"/>
  <c r="H285" i="5"/>
  <c r="AQ285" i="5" s="1"/>
  <c r="H284" i="5"/>
  <c r="AQ284" i="5" s="1"/>
  <c r="H283" i="5"/>
  <c r="AQ283" i="5" s="1"/>
  <c r="H282" i="5"/>
  <c r="AQ282" i="5" s="1"/>
  <c r="H281" i="5"/>
  <c r="AQ281" i="5" s="1"/>
  <c r="H280" i="5"/>
  <c r="AQ280" i="5" s="1"/>
  <c r="H279" i="5"/>
  <c r="AQ279" i="5" s="1"/>
  <c r="H278" i="5"/>
  <c r="AQ278" i="5" s="1"/>
  <c r="H277" i="5"/>
  <c r="AQ277" i="5" s="1"/>
  <c r="H276" i="5"/>
  <c r="AQ276" i="5" s="1"/>
  <c r="H275" i="5"/>
  <c r="AQ275" i="5" s="1"/>
  <c r="H274" i="5"/>
  <c r="AQ274" i="5" s="1"/>
  <c r="H273" i="5"/>
  <c r="AQ273" i="5" s="1"/>
  <c r="H272" i="5"/>
  <c r="AQ272" i="5" s="1"/>
  <c r="H271" i="5"/>
  <c r="AQ271" i="5" s="1"/>
  <c r="H270" i="5"/>
  <c r="AQ270" i="5" s="1"/>
  <c r="H269" i="5"/>
  <c r="AQ269" i="5" s="1"/>
  <c r="H268" i="5"/>
  <c r="AQ268" i="5" s="1"/>
  <c r="H267" i="5"/>
  <c r="AQ267" i="5" s="1"/>
  <c r="H266" i="5"/>
  <c r="AQ266" i="5" s="1"/>
  <c r="H265" i="5"/>
  <c r="AQ265" i="5" s="1"/>
  <c r="H264" i="5"/>
  <c r="AQ264" i="5" s="1"/>
  <c r="H263" i="5"/>
  <c r="AQ263" i="5" s="1"/>
  <c r="H262" i="5"/>
  <c r="AQ262" i="5" s="1"/>
  <c r="H261" i="5"/>
  <c r="AQ261" i="5" s="1"/>
  <c r="H260" i="5"/>
  <c r="AQ260" i="5" s="1"/>
  <c r="H259" i="5"/>
  <c r="AQ259" i="5" s="1"/>
  <c r="H258" i="5"/>
  <c r="AQ258" i="5" s="1"/>
  <c r="H257" i="5"/>
  <c r="AQ257" i="5" s="1"/>
  <c r="H256" i="5"/>
  <c r="AQ256" i="5" s="1"/>
  <c r="H255" i="5"/>
  <c r="AQ255" i="5" s="1"/>
  <c r="H254" i="5"/>
  <c r="AQ254" i="5" s="1"/>
  <c r="H253" i="5"/>
  <c r="AQ253" i="5" s="1"/>
  <c r="H252" i="5"/>
  <c r="AQ252" i="5" s="1"/>
  <c r="H251" i="5"/>
  <c r="AQ251" i="5" s="1"/>
  <c r="H250" i="5"/>
  <c r="AQ250" i="5" s="1"/>
  <c r="H249" i="5"/>
  <c r="AQ249" i="5" s="1"/>
  <c r="H248" i="5"/>
  <c r="AQ248" i="5" s="1"/>
  <c r="H247" i="5"/>
  <c r="AQ247" i="5" s="1"/>
  <c r="H246" i="5"/>
  <c r="AQ246" i="5" s="1"/>
  <c r="H245" i="5"/>
  <c r="AQ245" i="5" s="1"/>
  <c r="H244" i="5"/>
  <c r="AQ244" i="5" s="1"/>
  <c r="H243" i="5"/>
  <c r="AQ243" i="5" s="1"/>
  <c r="H242" i="5"/>
  <c r="AQ242" i="5" s="1"/>
  <c r="H241" i="5"/>
  <c r="AQ241" i="5" s="1"/>
  <c r="H240" i="5"/>
  <c r="AQ240" i="5" s="1"/>
  <c r="H239" i="5"/>
  <c r="AQ239" i="5" s="1"/>
  <c r="H238" i="5"/>
  <c r="AQ238" i="5" s="1"/>
  <c r="H237" i="5"/>
  <c r="AQ237" i="5" s="1"/>
  <c r="H236" i="5"/>
  <c r="AQ236" i="5" s="1"/>
  <c r="H235" i="5"/>
  <c r="AQ235" i="5" s="1"/>
  <c r="H234" i="5"/>
  <c r="AQ234" i="5" s="1"/>
  <c r="H233" i="5"/>
  <c r="AQ233" i="5" s="1"/>
  <c r="H232" i="5"/>
  <c r="AQ232" i="5" s="1"/>
  <c r="H231" i="5"/>
  <c r="AQ231" i="5" s="1"/>
  <c r="H230" i="5"/>
  <c r="AQ230" i="5" s="1"/>
  <c r="H229" i="5"/>
  <c r="AQ229" i="5" s="1"/>
  <c r="H228" i="5"/>
  <c r="AQ228" i="5" s="1"/>
  <c r="H227" i="5"/>
  <c r="AQ227" i="5" s="1"/>
  <c r="H226" i="5"/>
  <c r="AQ226" i="5" s="1"/>
  <c r="H225" i="5"/>
  <c r="AQ225" i="5" s="1"/>
  <c r="H224" i="5"/>
  <c r="AQ224" i="5" s="1"/>
  <c r="H223" i="5"/>
  <c r="AQ223" i="5" s="1"/>
  <c r="H222" i="5"/>
  <c r="AQ222" i="5" s="1"/>
  <c r="H221" i="5"/>
  <c r="AQ221" i="5" s="1"/>
  <c r="H220" i="5"/>
  <c r="AQ220" i="5" s="1"/>
  <c r="H219" i="5"/>
  <c r="AQ219" i="5" s="1"/>
  <c r="H218" i="5"/>
  <c r="AQ218" i="5" s="1"/>
  <c r="H217" i="5"/>
  <c r="AQ217" i="5" s="1"/>
  <c r="H216" i="5"/>
  <c r="AQ216" i="5" s="1"/>
  <c r="H215" i="5"/>
  <c r="AQ215" i="5" s="1"/>
  <c r="H214" i="5"/>
  <c r="AQ214" i="5" s="1"/>
  <c r="H213" i="5"/>
  <c r="AQ213" i="5" s="1"/>
  <c r="H212" i="5"/>
  <c r="AQ212" i="5" s="1"/>
  <c r="H211" i="5"/>
  <c r="AQ211" i="5" s="1"/>
  <c r="H210" i="5"/>
  <c r="AQ210" i="5" s="1"/>
  <c r="H209" i="5"/>
  <c r="AQ209" i="5" s="1"/>
  <c r="H208" i="5"/>
  <c r="AQ208" i="5" s="1"/>
  <c r="H207" i="5"/>
  <c r="AQ207" i="5" s="1"/>
  <c r="H206" i="5"/>
  <c r="AQ206" i="5" s="1"/>
  <c r="H205" i="5"/>
  <c r="AQ205" i="5" s="1"/>
  <c r="H204" i="5"/>
  <c r="AQ204" i="5" s="1"/>
  <c r="H203" i="5"/>
  <c r="AQ203" i="5" s="1"/>
  <c r="H202" i="5"/>
  <c r="AQ202" i="5" s="1"/>
  <c r="H201" i="5"/>
  <c r="AQ201" i="5" s="1"/>
  <c r="H200" i="5"/>
  <c r="AQ200" i="5" s="1"/>
  <c r="H199" i="5"/>
  <c r="AQ199" i="5" s="1"/>
  <c r="H198" i="5"/>
  <c r="AQ198" i="5" s="1"/>
  <c r="H197" i="5"/>
  <c r="H196" i="5"/>
  <c r="AQ196" i="5" s="1"/>
  <c r="H195" i="5"/>
  <c r="AQ195" i="5" s="1"/>
  <c r="H194" i="5"/>
  <c r="AQ194" i="5" s="1"/>
  <c r="H193" i="5"/>
  <c r="H192" i="5"/>
  <c r="AQ192" i="5" s="1"/>
  <c r="H191" i="5"/>
  <c r="AQ191" i="5" s="1"/>
  <c r="H190" i="5"/>
  <c r="AQ190" i="5" s="1"/>
  <c r="H189" i="5"/>
  <c r="AQ189" i="5" s="1"/>
  <c r="H188" i="5"/>
  <c r="AQ188" i="5" s="1"/>
  <c r="H187" i="5"/>
  <c r="AQ187" i="5" s="1"/>
  <c r="H186" i="5"/>
  <c r="AQ186" i="5" s="1"/>
  <c r="H185" i="5"/>
  <c r="AQ185" i="5" s="1"/>
  <c r="H184" i="5"/>
  <c r="AQ184" i="5" s="1"/>
  <c r="H183" i="5"/>
  <c r="AQ183" i="5" s="1"/>
  <c r="H182" i="5"/>
  <c r="AQ182" i="5" s="1"/>
  <c r="H181" i="5"/>
  <c r="AQ181" i="5" s="1"/>
  <c r="H180" i="5"/>
  <c r="AQ180" i="5" s="1"/>
  <c r="H179" i="5"/>
  <c r="AQ179" i="5" s="1"/>
  <c r="H178" i="5"/>
  <c r="AQ178" i="5" s="1"/>
  <c r="H177" i="5"/>
  <c r="AQ177" i="5" s="1"/>
  <c r="H176" i="5"/>
  <c r="AQ176" i="5" s="1"/>
  <c r="H175" i="5"/>
  <c r="AQ175" i="5" s="1"/>
  <c r="H174" i="5"/>
  <c r="AQ174" i="5" s="1"/>
  <c r="H173" i="5"/>
  <c r="AQ173" i="5" s="1"/>
  <c r="H172" i="5"/>
  <c r="AQ172" i="5" s="1"/>
  <c r="H171" i="5"/>
  <c r="AQ171" i="5" s="1"/>
  <c r="H170" i="5"/>
  <c r="AQ170" i="5" s="1"/>
  <c r="H169" i="5"/>
  <c r="AQ169" i="5" s="1"/>
  <c r="H168" i="5"/>
  <c r="AQ168" i="5" s="1"/>
  <c r="H167" i="5"/>
  <c r="AQ167" i="5" s="1"/>
  <c r="H166" i="5"/>
  <c r="AQ166" i="5" s="1"/>
  <c r="H165" i="5"/>
  <c r="AQ165" i="5" s="1"/>
  <c r="H164" i="5"/>
  <c r="AQ164" i="5" s="1"/>
  <c r="H163" i="5"/>
  <c r="AQ163" i="5" s="1"/>
  <c r="H162" i="5"/>
  <c r="AQ162" i="5" s="1"/>
  <c r="H161" i="5"/>
  <c r="AQ161" i="5" s="1"/>
  <c r="H160" i="5"/>
  <c r="AQ160" i="5" s="1"/>
  <c r="H159" i="5"/>
  <c r="H158" i="5"/>
  <c r="AQ158" i="5" s="1"/>
  <c r="H157" i="5"/>
  <c r="AQ157" i="5" s="1"/>
  <c r="H156" i="5"/>
  <c r="AQ156" i="5" s="1"/>
  <c r="H155" i="5"/>
  <c r="AQ155" i="5" s="1"/>
  <c r="H154" i="5"/>
  <c r="AQ154" i="5" s="1"/>
  <c r="H153" i="5"/>
  <c r="AQ153" i="5" s="1"/>
  <c r="H152" i="5"/>
  <c r="AQ152" i="5" s="1"/>
  <c r="H151" i="5"/>
  <c r="AQ151" i="5" s="1"/>
  <c r="H150" i="5"/>
  <c r="AQ150" i="5" s="1"/>
  <c r="H149" i="5"/>
  <c r="AQ149" i="5" s="1"/>
  <c r="H148" i="5"/>
  <c r="AQ148" i="5" s="1"/>
  <c r="H147" i="5"/>
  <c r="AQ147" i="5" s="1"/>
  <c r="H146" i="5"/>
  <c r="AQ146" i="5" s="1"/>
  <c r="H145" i="5"/>
  <c r="H144" i="5"/>
  <c r="AQ144" i="5" s="1"/>
  <c r="H143" i="5"/>
  <c r="AQ143" i="5" s="1"/>
  <c r="H142" i="5"/>
  <c r="AQ142" i="5" s="1"/>
  <c r="H141" i="5"/>
  <c r="H140" i="5"/>
  <c r="AQ140" i="5" s="1"/>
  <c r="H139" i="5"/>
  <c r="AQ139" i="5" s="1"/>
  <c r="H138" i="5"/>
  <c r="AQ138" i="5" s="1"/>
  <c r="H137" i="5"/>
  <c r="AQ137" i="5" s="1"/>
  <c r="H136" i="5"/>
  <c r="AQ136" i="5" s="1"/>
  <c r="H135" i="5"/>
  <c r="AQ135" i="5" s="1"/>
  <c r="H134" i="5"/>
  <c r="AQ134" i="5" s="1"/>
  <c r="H133" i="5"/>
  <c r="H132" i="5"/>
  <c r="AQ132" i="5" s="1"/>
  <c r="H131" i="5"/>
  <c r="AQ131" i="5" s="1"/>
  <c r="H130" i="5"/>
  <c r="AQ130" i="5" s="1"/>
  <c r="H129" i="5"/>
  <c r="AQ129" i="5" s="1"/>
  <c r="H128" i="5"/>
  <c r="AQ128" i="5" s="1"/>
  <c r="H127" i="5"/>
  <c r="AQ127" i="5" s="1"/>
  <c r="H126" i="5"/>
  <c r="AQ126" i="5" s="1"/>
  <c r="H125" i="5"/>
  <c r="AQ125" i="5" s="1"/>
  <c r="H124" i="5"/>
  <c r="AQ124" i="5" s="1"/>
  <c r="H123" i="5"/>
  <c r="AQ123" i="5" s="1"/>
  <c r="H122" i="5"/>
  <c r="AQ122" i="5" s="1"/>
  <c r="H121" i="5"/>
  <c r="AQ121" i="5" s="1"/>
  <c r="H120" i="5"/>
  <c r="AQ120" i="5" s="1"/>
  <c r="H119" i="5"/>
  <c r="AQ119" i="5" s="1"/>
  <c r="H118" i="5"/>
  <c r="AQ118" i="5" s="1"/>
  <c r="H117" i="5"/>
  <c r="AQ117" i="5" s="1"/>
  <c r="H116" i="5"/>
  <c r="AQ116" i="5" s="1"/>
  <c r="H115" i="5"/>
  <c r="AQ115" i="5" s="1"/>
  <c r="H114" i="5"/>
  <c r="AQ114" i="5" s="1"/>
  <c r="H113" i="5"/>
  <c r="AQ113" i="5" s="1"/>
  <c r="H112" i="5"/>
  <c r="AQ112" i="5" s="1"/>
  <c r="H111" i="5"/>
  <c r="AQ111" i="5" s="1"/>
  <c r="H110" i="5"/>
  <c r="AQ110" i="5" s="1"/>
  <c r="H109" i="5"/>
  <c r="AQ109" i="5" s="1"/>
  <c r="H108" i="5"/>
  <c r="AQ108" i="5" s="1"/>
  <c r="H107" i="5"/>
  <c r="AQ107" i="5" s="1"/>
  <c r="H106" i="5"/>
  <c r="AQ106" i="5" s="1"/>
  <c r="H105" i="5"/>
  <c r="AQ105" i="5" s="1"/>
  <c r="H104" i="5"/>
  <c r="AQ104" i="5" s="1"/>
  <c r="H103" i="5"/>
  <c r="AQ103" i="5" s="1"/>
  <c r="H102" i="5"/>
  <c r="AQ102" i="5" s="1"/>
  <c r="H101" i="5"/>
  <c r="AQ101" i="5" s="1"/>
  <c r="H100" i="5"/>
  <c r="AQ100" i="5" s="1"/>
  <c r="H99" i="5"/>
  <c r="AQ99" i="5" s="1"/>
  <c r="H98" i="5"/>
  <c r="AQ98" i="5" s="1"/>
  <c r="H97" i="5"/>
  <c r="AQ97" i="5" s="1"/>
  <c r="H96" i="5"/>
  <c r="AQ96" i="5" s="1"/>
  <c r="H95" i="5"/>
  <c r="AQ95" i="5" s="1"/>
  <c r="H94" i="5"/>
  <c r="AQ94" i="5" s="1"/>
  <c r="H93" i="5"/>
  <c r="AQ93" i="5" s="1"/>
  <c r="H92" i="5"/>
  <c r="H91" i="5"/>
  <c r="AQ91" i="5" s="1"/>
  <c r="H90" i="5"/>
  <c r="AQ90" i="5" s="1"/>
  <c r="H89" i="5"/>
  <c r="AQ89" i="5" s="1"/>
  <c r="H88" i="5"/>
  <c r="H87" i="5"/>
  <c r="AQ87" i="5" s="1"/>
  <c r="H86" i="5"/>
  <c r="AQ86" i="5" s="1"/>
  <c r="H85" i="5"/>
  <c r="AQ85" i="5" s="1"/>
  <c r="H84" i="5"/>
  <c r="AQ84" i="5" s="1"/>
  <c r="H83" i="5"/>
  <c r="AQ83" i="5" s="1"/>
  <c r="H82" i="5"/>
  <c r="AQ82" i="5" s="1"/>
  <c r="H81" i="5"/>
  <c r="AQ81" i="5" s="1"/>
  <c r="H80" i="5"/>
  <c r="AQ80" i="5" s="1"/>
  <c r="H79" i="5"/>
  <c r="AQ79" i="5" s="1"/>
  <c r="H78" i="5"/>
  <c r="AQ78" i="5" s="1"/>
  <c r="H77" i="5"/>
  <c r="AQ77" i="5" s="1"/>
  <c r="H76" i="5"/>
  <c r="AQ76" i="5" s="1"/>
  <c r="H75" i="5"/>
  <c r="AQ75" i="5" s="1"/>
  <c r="H74" i="5"/>
  <c r="AQ74" i="5" s="1"/>
  <c r="H73" i="5"/>
  <c r="AQ73" i="5" s="1"/>
  <c r="H72" i="5"/>
  <c r="AQ72" i="5" s="1"/>
  <c r="H71" i="5"/>
  <c r="H70" i="5"/>
  <c r="AQ70" i="5" s="1"/>
  <c r="H69" i="5"/>
  <c r="AQ69" i="5" s="1"/>
  <c r="H68" i="5"/>
  <c r="AQ68" i="5" s="1"/>
  <c r="H67" i="5"/>
  <c r="AQ67" i="5" s="1"/>
  <c r="H66" i="5"/>
  <c r="AQ66" i="5" s="1"/>
  <c r="H65" i="5"/>
  <c r="AQ65" i="5" s="1"/>
  <c r="H64" i="5"/>
  <c r="AQ64" i="5" s="1"/>
  <c r="H63" i="5"/>
  <c r="AQ63" i="5" s="1"/>
  <c r="H62" i="5"/>
  <c r="AQ62" i="5" s="1"/>
  <c r="H61" i="5"/>
  <c r="AQ61" i="5" s="1"/>
  <c r="H60" i="5"/>
  <c r="AQ60" i="5" s="1"/>
  <c r="H59" i="5"/>
  <c r="AQ59" i="5" s="1"/>
  <c r="H58" i="5"/>
  <c r="AQ58" i="5" s="1"/>
  <c r="H57" i="5"/>
  <c r="H56" i="5"/>
  <c r="AQ56" i="5" s="1"/>
  <c r="H55" i="5"/>
  <c r="AQ55" i="5" s="1"/>
  <c r="H54" i="5"/>
  <c r="AQ54" i="5" s="1"/>
  <c r="H53" i="5"/>
  <c r="AQ53" i="5" s="1"/>
  <c r="H52" i="5"/>
  <c r="AQ52" i="5" s="1"/>
  <c r="H51" i="5"/>
  <c r="AQ51" i="5" s="1"/>
  <c r="H50" i="5"/>
  <c r="AQ50" i="5" s="1"/>
  <c r="H49" i="5"/>
  <c r="AQ49" i="5" s="1"/>
  <c r="H48" i="5"/>
  <c r="AQ48" i="5" s="1"/>
  <c r="H47" i="5"/>
  <c r="AQ47" i="5" s="1"/>
  <c r="H46" i="5"/>
  <c r="AQ46" i="5" s="1"/>
  <c r="H45" i="5"/>
  <c r="H44" i="5"/>
  <c r="AQ44" i="5" s="1"/>
  <c r="H43" i="5"/>
  <c r="AQ43" i="5" s="1"/>
  <c r="H42" i="5"/>
  <c r="AQ42" i="5" s="1"/>
  <c r="H41" i="5"/>
  <c r="H40" i="5"/>
  <c r="AQ40" i="5" s="1"/>
  <c r="H39" i="5"/>
  <c r="AQ39" i="5" s="1"/>
  <c r="H38" i="5"/>
  <c r="AQ38" i="5" s="1"/>
  <c r="H37" i="5"/>
  <c r="AQ37" i="5" s="1"/>
  <c r="H36" i="5"/>
  <c r="AQ36" i="5" s="1"/>
  <c r="H35" i="5"/>
  <c r="AQ35" i="5" s="1"/>
  <c r="H34" i="5"/>
  <c r="AQ34" i="5" s="1"/>
  <c r="H33" i="5"/>
  <c r="AQ33" i="5" s="1"/>
  <c r="H32" i="5"/>
  <c r="AQ32" i="5" s="1"/>
  <c r="H31" i="5"/>
  <c r="AQ31" i="5" s="1"/>
  <c r="H30" i="5"/>
  <c r="AQ30" i="5" s="1"/>
  <c r="H29" i="5"/>
  <c r="AQ29" i="5" s="1"/>
  <c r="H28" i="5"/>
  <c r="AQ28" i="5" s="1"/>
  <c r="H27" i="5"/>
  <c r="AQ27" i="5" s="1"/>
  <c r="H26" i="5"/>
  <c r="AQ26" i="5" s="1"/>
  <c r="H25" i="5"/>
  <c r="AQ25" i="5" s="1"/>
  <c r="H24" i="5"/>
  <c r="AQ24" i="5" s="1"/>
  <c r="H23" i="5"/>
  <c r="AQ23" i="5" s="1"/>
  <c r="H22" i="5"/>
  <c r="AQ22" i="5" s="1"/>
  <c r="H21" i="5"/>
  <c r="AQ21" i="5" s="1"/>
  <c r="H20" i="5"/>
  <c r="AQ20" i="5" s="1"/>
  <c r="H19" i="5"/>
  <c r="AQ19" i="5" s="1"/>
  <c r="H18" i="5"/>
  <c r="AQ18" i="5" s="1"/>
  <c r="H17" i="5"/>
  <c r="AQ17" i="5" s="1"/>
  <c r="H16" i="5"/>
  <c r="AQ16" i="5" s="1"/>
  <c r="H15" i="5"/>
  <c r="AQ15" i="5" s="1"/>
  <c r="H14" i="5"/>
  <c r="AQ14" i="5" s="1"/>
  <c r="H13" i="5"/>
  <c r="AQ13" i="5" s="1"/>
  <c r="H12" i="5"/>
  <c r="AQ12" i="5" s="1"/>
  <c r="H11" i="5"/>
  <c r="AQ11" i="5" s="1"/>
  <c r="H10" i="5"/>
  <c r="AQ10" i="5" s="1"/>
  <c r="H9" i="5"/>
  <c r="AQ9" i="5" s="1"/>
  <c r="H8" i="5"/>
  <c r="AQ8" i="5" s="1"/>
  <c r="H7" i="5"/>
  <c r="AQ7" i="5" s="1"/>
  <c r="H6" i="5"/>
  <c r="AQ6" i="5" s="1"/>
  <c r="H5" i="5"/>
  <c r="AQ5" i="5" s="1"/>
  <c r="AU4" i="5"/>
  <c r="AN4" i="5"/>
  <c r="AM4" i="5"/>
  <c r="AL4" i="5"/>
  <c r="AK4" i="5"/>
  <c r="AB4" i="5" s="1"/>
  <c r="AC4" i="5" s="1"/>
  <c r="AG4" i="5"/>
  <c r="AF4" i="5"/>
  <c r="Y4" i="5"/>
  <c r="X4" i="5"/>
  <c r="U4" i="5"/>
  <c r="W4" i="5" s="1"/>
  <c r="T4" i="5"/>
  <c r="V4" i="5" s="1"/>
  <c r="S4" i="5"/>
  <c r="AO4" i="5" s="1"/>
  <c r="H4" i="5"/>
  <c r="AQ4" i="5" s="1"/>
  <c r="C38" i="3"/>
  <c r="C8" i="21" l="1" a="1"/>
  <c r="C8" i="21" s="1"/>
  <c r="V30" i="20"/>
  <c r="F30" i="20" s="1"/>
  <c r="V25" i="20"/>
  <c r="F25" i="20" s="1"/>
  <c r="V22" i="20"/>
  <c r="F22" i="20" s="1"/>
  <c r="V18" i="20"/>
  <c r="V14" i="20"/>
  <c r="V9" i="20"/>
  <c r="F9" i="20" s="1"/>
  <c r="V5" i="20"/>
  <c r="F5" i="20" s="1"/>
  <c r="V13" i="20"/>
  <c r="F13" i="20" s="1"/>
  <c r="V29" i="20"/>
  <c r="F29" i="20" s="1"/>
  <c r="V26" i="20"/>
  <c r="F26" i="20" s="1"/>
  <c r="V33" i="20"/>
  <c r="V10" i="20"/>
  <c r="F10" i="20" s="1"/>
  <c r="AO48" i="21"/>
  <c r="AO39" i="21"/>
  <c r="AO26" i="21"/>
  <c r="V6" i="20"/>
  <c r="V11" i="20"/>
  <c r="F11" i="20" s="1"/>
  <c r="V7" i="20"/>
  <c r="W7" i="20" s="1"/>
  <c r="E7" i="20" s="1"/>
  <c r="V27" i="20"/>
  <c r="F27" i="20" s="1"/>
  <c r="V8" i="20"/>
  <c r="F8" i="20" s="1"/>
  <c r="V21" i="20"/>
  <c r="F21" i="20" s="1"/>
  <c r="V17" i="20"/>
  <c r="F17" i="20" s="1"/>
  <c r="V12" i="20"/>
  <c r="F12" i="20" s="1"/>
  <c r="V32" i="20"/>
  <c r="W32" i="20" s="1"/>
  <c r="E32" i="20" s="1"/>
  <c r="V16" i="20"/>
  <c r="F16" i="20" s="1"/>
  <c r="V31" i="20"/>
  <c r="W31" i="20" s="1"/>
  <c r="E31" i="20" s="1"/>
  <c r="J31" i="20" s="1"/>
  <c r="V23" i="20"/>
  <c r="W23" i="20" s="1"/>
  <c r="E23" i="20" s="1"/>
  <c r="J23" i="20" s="1"/>
  <c r="V19" i="20"/>
  <c r="W19" i="20" s="1"/>
  <c r="E19" i="20" s="1"/>
  <c r="J19" i="20" s="1"/>
  <c r="V15" i="20"/>
  <c r="F15" i="20" s="1"/>
  <c r="V28" i="20"/>
  <c r="W28" i="20" s="1"/>
  <c r="E28" i="20" s="1"/>
  <c r="J28" i="20" s="1"/>
  <c r="V20" i="20"/>
  <c r="W20" i="20" s="1"/>
  <c r="E20" i="20" s="1"/>
  <c r="F33" i="20"/>
  <c r="W33" i="20"/>
  <c r="E33" i="20" s="1"/>
  <c r="J33" i="20" s="1"/>
  <c r="F7" i="20"/>
  <c r="W29" i="20"/>
  <c r="E29" i="20" s="1"/>
  <c r="J29" i="20" s="1"/>
  <c r="W15" i="20"/>
  <c r="E15" i="20" s="1"/>
  <c r="J15" i="20" s="1"/>
  <c r="W10" i="20"/>
  <c r="E10" i="20" s="1"/>
  <c r="J10" i="20" s="1"/>
  <c r="F34" i="20"/>
  <c r="W34" i="20"/>
  <c r="E34" i="20" s="1"/>
  <c r="J34" i="20" s="1"/>
  <c r="F18" i="20"/>
  <c r="W18" i="20"/>
  <c r="E18" i="20" s="1"/>
  <c r="J18" i="20" s="1"/>
  <c r="F14" i="20"/>
  <c r="W14" i="20"/>
  <c r="E14" i="20" s="1"/>
  <c r="J14" i="20" s="1"/>
  <c r="W26" i="20"/>
  <c r="E26" i="20" s="1"/>
  <c r="J26" i="20" s="1"/>
  <c r="W25" i="20"/>
  <c r="E25" i="20" s="1"/>
  <c r="J25" i="20" s="1"/>
  <c r="V24" i="20"/>
  <c r="F24" i="20" s="1"/>
  <c r="W22" i="20"/>
  <c r="E22" i="20" s="1"/>
  <c r="J22" i="20" s="1"/>
  <c r="W17" i="20"/>
  <c r="E17" i="20" s="1"/>
  <c r="J17" i="20" s="1"/>
  <c r="W9" i="20"/>
  <c r="E9" i="20" s="1"/>
  <c r="J9" i="20" s="1"/>
  <c r="AH57" i="21" a="1"/>
  <c r="AH57" i="21" s="1"/>
  <c r="F6" i="20"/>
  <c r="W6" i="20"/>
  <c r="E6" i="20" s="1"/>
  <c r="J6" i="20" s="1"/>
  <c r="X26" i="21"/>
  <c r="AA61" i="21"/>
  <c r="AB58" i="21"/>
  <c r="X64" i="21"/>
  <c r="Y61" i="21"/>
  <c r="AA56" i="21"/>
  <c r="X48" i="21"/>
  <c r="Z64" i="21"/>
  <c r="G11" i="6" a="1"/>
  <c r="G11" i="6" s="1"/>
  <c r="F11" i="6" s="1" a="1"/>
  <c r="F11" i="6" s="1"/>
  <c r="J8" i="6" a="1"/>
  <c r="J8" i="6" s="1"/>
  <c r="I8" i="6" s="1" a="1"/>
  <c r="I8" i="6" s="1"/>
  <c r="AS127" i="5"/>
  <c r="AT135" i="5"/>
  <c r="AT131" i="5"/>
  <c r="AB122" i="5"/>
  <c r="AC122" i="5" s="1"/>
  <c r="AR122" i="5" s="1"/>
  <c r="AB123" i="5"/>
  <c r="AC123" i="5" s="1"/>
  <c r="AD129" i="5"/>
  <c r="Z131" i="5"/>
  <c r="AD133" i="5"/>
  <c r="K104" i="8"/>
  <c r="L104" i="8" s="1"/>
  <c r="AE56" i="5"/>
  <c r="AE69" i="5"/>
  <c r="AE71" i="5"/>
  <c r="AB94" i="5"/>
  <c r="AC94" i="5" s="1"/>
  <c r="AB115" i="5"/>
  <c r="AC115" i="5" s="1"/>
  <c r="AE123" i="5"/>
  <c r="AD131" i="5"/>
  <c r="AD132" i="5"/>
  <c r="AE133" i="5"/>
  <c r="AB145" i="5"/>
  <c r="AC145" i="5" s="1"/>
  <c r="AA53" i="10"/>
  <c r="T53" i="10" s="1"/>
  <c r="C105" i="8"/>
  <c r="Z7" i="5"/>
  <c r="AB98" i="5"/>
  <c r="AC98" i="5" s="1"/>
  <c r="Z31" i="21" s="1"/>
  <c r="AS128" i="5"/>
  <c r="AE129" i="5"/>
  <c r="H107" i="8"/>
  <c r="AD7" i="5"/>
  <c r="AB20" i="5"/>
  <c r="AC20" i="5" s="1"/>
  <c r="AR20" i="5" s="1"/>
  <c r="K34" i="12"/>
  <c r="AE35" i="5"/>
  <c r="AB70" i="5"/>
  <c r="AC70" i="5" s="1"/>
  <c r="AB104" i="5"/>
  <c r="AC104" i="5" s="1"/>
  <c r="Z37" i="21" s="1"/>
  <c r="AB111" i="5"/>
  <c r="AC111" i="5" s="1"/>
  <c r="AB119" i="5"/>
  <c r="AC119" i="5" s="1"/>
  <c r="Z129" i="5"/>
  <c r="AE132" i="5"/>
  <c r="AB143" i="5"/>
  <c r="AC143" i="5" s="1"/>
  <c r="AE144" i="5"/>
  <c r="AB147" i="5"/>
  <c r="AC147" i="5" s="1"/>
  <c r="AE148" i="5"/>
  <c r="AT151" i="5"/>
  <c r="A87" i="8"/>
  <c r="AL87" i="8" s="1"/>
  <c r="A59" i="8"/>
  <c r="AM59" i="8" s="1"/>
  <c r="A39" i="8"/>
  <c r="AL39" i="8" s="1"/>
  <c r="A19" i="8"/>
  <c r="AM19" i="8" s="1"/>
  <c r="B105" i="8"/>
  <c r="B27" i="8"/>
  <c r="B11" i="8"/>
  <c r="C79" i="8"/>
  <c r="C71" i="8"/>
  <c r="C51" i="8"/>
  <c r="C43" i="8"/>
  <c r="C15" i="8"/>
  <c r="D51" i="8"/>
  <c r="D43" i="8"/>
  <c r="E91" i="8"/>
  <c r="E79" i="8"/>
  <c r="E51" i="8"/>
  <c r="E23" i="8"/>
  <c r="E15" i="8"/>
  <c r="G87" i="8"/>
  <c r="G75" i="8"/>
  <c r="G19" i="8"/>
  <c r="G11" i="8"/>
  <c r="H99" i="8"/>
  <c r="H51" i="8"/>
  <c r="H35" i="8"/>
  <c r="Q102" i="8"/>
  <c r="J102" i="8"/>
  <c r="Q94" i="8"/>
  <c r="J94" i="8"/>
  <c r="Q82" i="8"/>
  <c r="I82" i="8"/>
  <c r="Q66" i="8"/>
  <c r="J66" i="8"/>
  <c r="Q54" i="8"/>
  <c r="J54" i="8"/>
  <c r="I54" i="8"/>
  <c r="Q42" i="8"/>
  <c r="J42" i="8"/>
  <c r="I42" i="8"/>
  <c r="Q30" i="8"/>
  <c r="J30" i="8"/>
  <c r="I30" i="8"/>
  <c r="Q18" i="8"/>
  <c r="J18" i="8"/>
  <c r="I18" i="8"/>
  <c r="AB55" i="21"/>
  <c r="AB59" i="21"/>
  <c r="AB63" i="21"/>
  <c r="AA27" i="21"/>
  <c r="AA31" i="21"/>
  <c r="AA35" i="21"/>
  <c r="AA39" i="21"/>
  <c r="AA43" i="21"/>
  <c r="AA47" i="21"/>
  <c r="AA51" i="21"/>
  <c r="AA55" i="21"/>
  <c r="AA59" i="21"/>
  <c r="AA63" i="21"/>
  <c r="Z27" i="21"/>
  <c r="Z35" i="21"/>
  <c r="Z39" i="21"/>
  <c r="Z43" i="21"/>
  <c r="Z51" i="21"/>
  <c r="Z55" i="21"/>
  <c r="Z59" i="21"/>
  <c r="Z63" i="21"/>
  <c r="Y55" i="21"/>
  <c r="Y59" i="21"/>
  <c r="Y63" i="21"/>
  <c r="X27" i="21"/>
  <c r="X31" i="21"/>
  <c r="X35" i="21"/>
  <c r="X39" i="21"/>
  <c r="X43" i="21"/>
  <c r="X47" i="21"/>
  <c r="X51" i="21"/>
  <c r="X55" i="21"/>
  <c r="X59" i="21"/>
  <c r="X63" i="21"/>
  <c r="W55" i="21"/>
  <c r="AM55" i="21" s="1"/>
  <c r="W59" i="21"/>
  <c r="AM59" i="21" s="1"/>
  <c r="W63" i="21"/>
  <c r="AM63" i="21" s="1"/>
  <c r="AB60" i="21"/>
  <c r="AA25" i="21"/>
  <c r="AA30" i="21"/>
  <c r="AA36" i="21"/>
  <c r="AA41" i="21"/>
  <c r="AA46" i="21"/>
  <c r="AA52" i="21"/>
  <c r="AA57" i="21"/>
  <c r="AA62" i="21"/>
  <c r="Z44" i="21"/>
  <c r="Z60" i="21"/>
  <c r="Y57" i="21"/>
  <c r="Y62" i="21"/>
  <c r="X28" i="21"/>
  <c r="X33" i="21"/>
  <c r="X38" i="21"/>
  <c r="X44" i="21"/>
  <c r="X49" i="21"/>
  <c r="X54" i="21"/>
  <c r="X60" i="21"/>
  <c r="W57" i="21"/>
  <c r="AM57" i="21" s="1"/>
  <c r="W62" i="21"/>
  <c r="AM62" i="21" s="1"/>
  <c r="D7" i="21"/>
  <c r="AB56" i="21"/>
  <c r="AB61" i="21"/>
  <c r="AA26" i="21"/>
  <c r="AA32" i="21"/>
  <c r="AA37" i="21"/>
  <c r="AA42" i="21"/>
  <c r="AA48" i="21"/>
  <c r="AA53" i="21"/>
  <c r="AA58" i="21"/>
  <c r="AA64" i="21"/>
  <c r="Z29" i="21"/>
  <c r="Z45" i="21"/>
  <c r="Z56" i="21"/>
  <c r="Z61" i="21"/>
  <c r="Y58" i="21"/>
  <c r="Y64" i="21"/>
  <c r="X29" i="21"/>
  <c r="X34" i="21"/>
  <c r="X40" i="21"/>
  <c r="X45" i="21"/>
  <c r="X50" i="21"/>
  <c r="X56" i="21"/>
  <c r="X61" i="21"/>
  <c r="W58" i="21"/>
  <c r="AM58" i="21" s="1"/>
  <c r="W64" i="21"/>
  <c r="AM64" i="21" s="1"/>
  <c r="AB57" i="21"/>
  <c r="AB62" i="21"/>
  <c r="AA28" i="21"/>
  <c r="AA33" i="21"/>
  <c r="AA38" i="21"/>
  <c r="AA44" i="21"/>
  <c r="AA49" i="21"/>
  <c r="AA54" i="21"/>
  <c r="AA60" i="21"/>
  <c r="Z25" i="21"/>
  <c r="Z52" i="21"/>
  <c r="Z57" i="21"/>
  <c r="Z62" i="21"/>
  <c r="Y60" i="21"/>
  <c r="X25" i="21"/>
  <c r="X30" i="21"/>
  <c r="X36" i="21"/>
  <c r="X41" i="21"/>
  <c r="X46" i="21"/>
  <c r="X52" i="21"/>
  <c r="X57" i="21"/>
  <c r="X62" i="21"/>
  <c r="W60" i="21"/>
  <c r="AM60" i="21" s="1"/>
  <c r="C11" i="21"/>
  <c r="W61" i="21"/>
  <c r="AM61" i="21" s="1"/>
  <c r="X58" i="21"/>
  <c r="X37" i="21"/>
  <c r="Y56" i="21"/>
  <c r="Z53" i="21"/>
  <c r="AA50" i="21"/>
  <c r="AA29" i="21"/>
  <c r="AD56" i="5"/>
  <c r="AT143" i="5"/>
  <c r="AT147" i="5"/>
  <c r="AD82" i="5"/>
  <c r="AE83" i="5"/>
  <c r="AB95" i="5"/>
  <c r="AC95" i="5" s="1"/>
  <c r="Z28" i="21" s="1"/>
  <c r="Z133" i="5"/>
  <c r="AA133" i="5" s="1"/>
  <c r="AP133" i="5" s="1"/>
  <c r="AH133" i="5" s="1"/>
  <c r="AJ133" i="5" s="1"/>
  <c r="AE44" i="5"/>
  <c r="Z56" i="5"/>
  <c r="AD57" i="5"/>
  <c r="H33" i="4"/>
  <c r="AE111" i="5"/>
  <c r="AB114" i="5"/>
  <c r="AC114" i="5" s="1"/>
  <c r="Z47" i="21" s="1"/>
  <c r="AE119" i="5"/>
  <c r="AB129" i="5"/>
  <c r="AC129" i="5" s="1"/>
  <c r="AR129" i="5" s="1"/>
  <c r="AB135" i="5"/>
  <c r="AC135" i="5" s="1"/>
  <c r="AT139" i="5"/>
  <c r="A86" i="8"/>
  <c r="AL86" i="8" s="1"/>
  <c r="A78" i="8"/>
  <c r="AL78" i="8" s="1"/>
  <c r="A71" i="8"/>
  <c r="AL71" i="8" s="1"/>
  <c r="A58" i="8"/>
  <c r="AM58" i="8" s="1"/>
  <c r="A38" i="8"/>
  <c r="AL38" i="8" s="1"/>
  <c r="A31" i="8"/>
  <c r="AL31" i="8" s="1"/>
  <c r="A18" i="8"/>
  <c r="AM18" i="8" s="1"/>
  <c r="B102" i="8"/>
  <c r="B94" i="8"/>
  <c r="B86" i="8"/>
  <c r="B66" i="8"/>
  <c r="B58" i="8"/>
  <c r="B50" i="8"/>
  <c r="B38" i="8"/>
  <c r="B26" i="8"/>
  <c r="B10" i="8"/>
  <c r="C99" i="8"/>
  <c r="C78" i="8"/>
  <c r="C70" i="8"/>
  <c r="C63" i="8"/>
  <c r="C50" i="8"/>
  <c r="C42" i="8"/>
  <c r="C35" i="8"/>
  <c r="C27" i="8"/>
  <c r="C14" i="8"/>
  <c r="D98" i="8"/>
  <c r="D86" i="8"/>
  <c r="D74" i="8"/>
  <c r="D63" i="8"/>
  <c r="D50" i="8"/>
  <c r="D42" i="8"/>
  <c r="D35" i="8"/>
  <c r="D27" i="8"/>
  <c r="D19" i="8"/>
  <c r="D11" i="8"/>
  <c r="E98" i="8"/>
  <c r="E90" i="8"/>
  <c r="E78" i="8"/>
  <c r="E71" i="8"/>
  <c r="E50" i="8"/>
  <c r="E42" i="8"/>
  <c r="E22" i="8"/>
  <c r="E14" i="8"/>
  <c r="F98" i="8"/>
  <c r="F86" i="8"/>
  <c r="F74" i="8"/>
  <c r="F50" i="8"/>
  <c r="F30" i="8"/>
  <c r="F18" i="8"/>
  <c r="G103" i="8"/>
  <c r="G94" i="8"/>
  <c r="G86" i="8"/>
  <c r="G74" i="8"/>
  <c r="G67" i="8"/>
  <c r="G46" i="8"/>
  <c r="G38" i="8"/>
  <c r="G18" i="8"/>
  <c r="G10" i="8"/>
  <c r="H98" i="8"/>
  <c r="H87" i="8"/>
  <c r="H78" i="8"/>
  <c r="H66" i="8"/>
  <c r="H58" i="8"/>
  <c r="H50" i="8"/>
  <c r="H42" i="8"/>
  <c r="H34" i="8"/>
  <c r="H26" i="8"/>
  <c r="I98" i="8"/>
  <c r="J86" i="8"/>
  <c r="J74" i="8"/>
  <c r="J58" i="8"/>
  <c r="J38" i="8"/>
  <c r="J26" i="8"/>
  <c r="J10" i="8"/>
  <c r="W56" i="21"/>
  <c r="AM56" i="21" s="1"/>
  <c r="X53" i="21"/>
  <c r="X32" i="21"/>
  <c r="Z48" i="21"/>
  <c r="AA45" i="21"/>
  <c r="AB64" i="21"/>
  <c r="A76" i="21"/>
  <c r="AH58" i="21" a="1"/>
  <c r="AH58" i="21" s="1"/>
  <c r="AF59" i="21"/>
  <c r="AL59" i="21" s="1"/>
  <c r="AG58" i="21"/>
  <c r="AH60" i="21" a="1"/>
  <c r="AH60" i="21" s="1"/>
  <c r="AH64" i="21" a="1"/>
  <c r="AH64" i="21" s="1"/>
  <c r="AH55" i="21" a="1"/>
  <c r="AH55" i="21" s="1"/>
  <c r="AG63" i="21"/>
  <c r="AH61" i="21" a="1"/>
  <c r="AH61" i="21" s="1"/>
  <c r="AF64" i="21"/>
  <c r="AL64" i="21" s="1"/>
  <c r="AG62" i="21"/>
  <c r="AG56" i="21"/>
  <c r="AH63" i="21" a="1"/>
  <c r="AH63" i="21" s="1"/>
  <c r="AH59" i="21" a="1"/>
  <c r="AH59" i="21" s="1"/>
  <c r="AH56" i="21" a="1"/>
  <c r="AH56" i="21" s="1"/>
  <c r="AF58" i="21"/>
  <c r="AL58" i="21" s="1"/>
  <c r="AG60" i="21"/>
  <c r="AG55" i="21"/>
  <c r="AH62" i="21" a="1"/>
  <c r="AH62" i="21" s="1"/>
  <c r="AF61" i="21"/>
  <c r="AL61" i="21" s="1"/>
  <c r="AF57" i="21"/>
  <c r="AL57" i="21" s="1"/>
  <c r="AG57" i="21"/>
  <c r="O32" i="12"/>
  <c r="P32" i="12" s="1"/>
  <c r="AM64" i="13" a="1"/>
  <c r="AM64" i="13" s="1"/>
  <c r="AL64" i="13" s="1" a="1"/>
  <c r="AL64" i="13" s="1"/>
  <c r="AU64" i="13" s="1"/>
  <c r="D23" i="6" a="1"/>
  <c r="D23" i="6" s="1"/>
  <c r="C23" i="6" s="1" a="1"/>
  <c r="C23" i="6" s="1"/>
  <c r="G7" i="6" a="1"/>
  <c r="G7" i="6" s="1"/>
  <c r="F7" i="6" s="1" a="1"/>
  <c r="F7" i="6" s="1"/>
  <c r="AM65" i="13" a="1"/>
  <c r="AM65" i="13" s="1"/>
  <c r="AL65" i="13" s="1" a="1"/>
  <c r="AL65" i="13" s="1"/>
  <c r="A50" i="13"/>
  <c r="G10" i="6" a="1"/>
  <c r="G10" i="6" s="1"/>
  <c r="F10" i="6" s="1" a="1"/>
  <c r="F10" i="6" s="1"/>
  <c r="J7" i="6" a="1"/>
  <c r="J7" i="6" s="1"/>
  <c r="I7" i="6" s="1" a="1"/>
  <c r="I7" i="6" s="1"/>
  <c r="D24" i="6" a="1"/>
  <c r="D24" i="6" s="1"/>
  <c r="C24" i="6" s="1" a="1"/>
  <c r="C24" i="6" s="1"/>
  <c r="J11" i="6" a="1"/>
  <c r="J11" i="6" s="1"/>
  <c r="I11" i="6" s="1" a="1"/>
  <c r="I11" i="6" s="1"/>
  <c r="AM61" i="13" a="1"/>
  <c r="AM61" i="13" s="1"/>
  <c r="AL61" i="13" s="1" a="1"/>
  <c r="AL61" i="13" s="1"/>
  <c r="AU61" i="13" s="1"/>
  <c r="AM68" i="13" a="1"/>
  <c r="AM68" i="13" s="1"/>
  <c r="AL68" i="13" s="1" a="1"/>
  <c r="AL68" i="13" s="1"/>
  <c r="AU68" i="13" s="1"/>
  <c r="AR57" i="5"/>
  <c r="AR141" i="5"/>
  <c r="AR193" i="5"/>
  <c r="AT66" i="5"/>
  <c r="AS68" i="5"/>
  <c r="AT101" i="5"/>
  <c r="AO116" i="5"/>
  <c r="AT116" i="5" s="1"/>
  <c r="AO88" i="5"/>
  <c r="AT88" i="5" s="1"/>
  <c r="AO76" i="5"/>
  <c r="AT76" i="5" s="1"/>
  <c r="AS71" i="5"/>
  <c r="A107" i="8"/>
  <c r="F106" i="8"/>
  <c r="AB79" i="5"/>
  <c r="AC79" i="5" s="1"/>
  <c r="AR79" i="5" s="1"/>
  <c r="AB87" i="5"/>
  <c r="AC87" i="5" s="1"/>
  <c r="AB107" i="5"/>
  <c r="AC107" i="5" s="1"/>
  <c r="Z40" i="21" s="1"/>
  <c r="AB5" i="5"/>
  <c r="AC5" i="5" s="1"/>
  <c r="AR5" i="5" s="1"/>
  <c r="H15" i="4"/>
  <c r="AE40" i="5"/>
  <c r="AE45" i="5"/>
  <c r="AB47" i="5"/>
  <c r="AC47" i="5" s="1"/>
  <c r="AR47" i="5" s="1"/>
  <c r="Z55" i="5"/>
  <c r="AA55" i="5" s="1"/>
  <c r="AP55" i="5" s="1"/>
  <c r="AE60" i="5"/>
  <c r="AE66" i="5"/>
  <c r="AE79" i="5"/>
  <c r="AE86" i="5"/>
  <c r="AT93" i="5"/>
  <c r="AE106" i="5"/>
  <c r="AE107" i="5"/>
  <c r="AB116" i="5"/>
  <c r="AC116" i="5" s="1"/>
  <c r="AR116" i="5" s="1"/>
  <c r="AT120" i="5"/>
  <c r="A106" i="8"/>
  <c r="A73" i="8"/>
  <c r="A61" i="8"/>
  <c r="B106" i="8"/>
  <c r="B84" i="8"/>
  <c r="B41" i="8"/>
  <c r="C25" i="8"/>
  <c r="E85" i="8"/>
  <c r="F105" i="8"/>
  <c r="AG105" i="8" s="1"/>
  <c r="G73" i="8"/>
  <c r="G41" i="8"/>
  <c r="H21" i="8"/>
  <c r="E106" i="8"/>
  <c r="C106" i="8"/>
  <c r="J106" i="8"/>
  <c r="H106" i="8"/>
  <c r="E107" i="8"/>
  <c r="AT70" i="5"/>
  <c r="Z106" i="5"/>
  <c r="AA106" i="5" s="1"/>
  <c r="AP106" i="5" s="1"/>
  <c r="Q105" i="8"/>
  <c r="J105" i="8"/>
  <c r="Z105" i="8" s="1"/>
  <c r="H105" i="8"/>
  <c r="A105" i="8"/>
  <c r="I105" i="8"/>
  <c r="D105" i="8"/>
  <c r="Q101" i="8"/>
  <c r="F101" i="8"/>
  <c r="B101" i="8"/>
  <c r="H101" i="8"/>
  <c r="E101" i="8"/>
  <c r="Q97" i="8"/>
  <c r="I97" i="8"/>
  <c r="G97" i="8"/>
  <c r="D97" i="8"/>
  <c r="Q93" i="8"/>
  <c r="H93" i="8"/>
  <c r="F93" i="8"/>
  <c r="E93" i="8"/>
  <c r="J93" i="8"/>
  <c r="Q89" i="8"/>
  <c r="G89" i="8"/>
  <c r="I89" i="8"/>
  <c r="E89" i="8"/>
  <c r="D89" i="8"/>
  <c r="Q85" i="8"/>
  <c r="J85" i="8"/>
  <c r="G85" i="8"/>
  <c r="Q81" i="8"/>
  <c r="C81" i="8"/>
  <c r="B81" i="8"/>
  <c r="A81" i="8"/>
  <c r="I81" i="8"/>
  <c r="H81" i="8"/>
  <c r="F81" i="8"/>
  <c r="E81" i="8"/>
  <c r="D81" i="8"/>
  <c r="Q77" i="8"/>
  <c r="J77" i="8"/>
  <c r="G77" i="8"/>
  <c r="C77" i="8"/>
  <c r="Q73" i="8"/>
  <c r="B73" i="8"/>
  <c r="I73" i="8"/>
  <c r="H73" i="8"/>
  <c r="F73" i="8"/>
  <c r="D73" i="8"/>
  <c r="Q69" i="8"/>
  <c r="E69" i="8"/>
  <c r="A69" i="8"/>
  <c r="J69" i="8"/>
  <c r="Q65" i="8"/>
  <c r="G65" i="8"/>
  <c r="F65" i="8"/>
  <c r="D65" i="8"/>
  <c r="C65" i="8"/>
  <c r="I65" i="8"/>
  <c r="H65" i="8"/>
  <c r="E65" i="8"/>
  <c r="Q61" i="8"/>
  <c r="J61" i="8"/>
  <c r="G61" i="8"/>
  <c r="D61" i="8"/>
  <c r="C61" i="8"/>
  <c r="Q57" i="8"/>
  <c r="H57" i="8"/>
  <c r="F57" i="8"/>
  <c r="I57" i="8"/>
  <c r="Q53" i="8"/>
  <c r="J53" i="8"/>
  <c r="E53" i="8"/>
  <c r="A53" i="8"/>
  <c r="H53" i="8"/>
  <c r="F53" i="8"/>
  <c r="Q49" i="8"/>
  <c r="G49" i="8"/>
  <c r="D49" i="8"/>
  <c r="C49" i="8"/>
  <c r="I49" i="8"/>
  <c r="E49" i="8"/>
  <c r="Q45" i="8"/>
  <c r="J45" i="8"/>
  <c r="B45" i="8"/>
  <c r="G45" i="8"/>
  <c r="F45" i="8"/>
  <c r="D45" i="8"/>
  <c r="C45" i="8"/>
  <c r="Q41" i="8"/>
  <c r="I41" i="8"/>
  <c r="H41" i="8"/>
  <c r="Q37" i="8"/>
  <c r="J37" i="8"/>
  <c r="F37" i="8"/>
  <c r="E37" i="8"/>
  <c r="B37" i="8"/>
  <c r="A37" i="8"/>
  <c r="Q33" i="8"/>
  <c r="G33" i="8"/>
  <c r="D33" i="8"/>
  <c r="C33" i="8"/>
  <c r="B33" i="8"/>
  <c r="I33" i="8"/>
  <c r="E33" i="8"/>
  <c r="Q29" i="8"/>
  <c r="J29" i="8"/>
  <c r="H29" i="8"/>
  <c r="F29" i="8"/>
  <c r="B29" i="8"/>
  <c r="G29" i="8"/>
  <c r="D29" i="8"/>
  <c r="C29" i="8"/>
  <c r="Q25" i="8"/>
  <c r="B25" i="8"/>
  <c r="J25" i="8"/>
  <c r="I25" i="8"/>
  <c r="D25" i="8"/>
  <c r="Q21" i="8"/>
  <c r="E21" i="8"/>
  <c r="B21" i="8"/>
  <c r="A21" i="8"/>
  <c r="D21" i="8"/>
  <c r="Q17" i="8"/>
  <c r="H17" i="8"/>
  <c r="G17" i="8"/>
  <c r="C17" i="8"/>
  <c r="B17" i="8"/>
  <c r="J17" i="8"/>
  <c r="I17" i="8"/>
  <c r="F17" i="8"/>
  <c r="E17" i="8"/>
  <c r="D17" i="8"/>
  <c r="Q13" i="8"/>
  <c r="B13" i="8"/>
  <c r="H13" i="8"/>
  <c r="G13" i="8"/>
  <c r="D13" i="8"/>
  <c r="C13" i="8"/>
  <c r="AA55" i="10"/>
  <c r="AD106" i="5"/>
  <c r="H21" i="4"/>
  <c r="H23" i="4"/>
  <c r="H24" i="4"/>
  <c r="H28" i="4"/>
  <c r="AB64" i="5"/>
  <c r="AC64" i="5" s="1"/>
  <c r="AR64" i="5" s="1"/>
  <c r="AB80" i="5"/>
  <c r="AC80" i="5" s="1"/>
  <c r="AB108" i="5"/>
  <c r="AC108" i="5" s="1"/>
  <c r="Z41" i="21" s="1"/>
  <c r="AE115" i="5"/>
  <c r="A89" i="8"/>
  <c r="A41" i="8"/>
  <c r="A29" i="8"/>
  <c r="B69" i="8"/>
  <c r="C73" i="8"/>
  <c r="C41" i="8"/>
  <c r="D106" i="8"/>
  <c r="D85" i="8"/>
  <c r="D53" i="8"/>
  <c r="E97" i="8"/>
  <c r="E61" i="8"/>
  <c r="E29" i="8"/>
  <c r="F89" i="8"/>
  <c r="F69" i="8"/>
  <c r="F49" i="8"/>
  <c r="G93" i="8"/>
  <c r="G57" i="8"/>
  <c r="G25" i="8"/>
  <c r="H77" i="8"/>
  <c r="H45" i="8"/>
  <c r="H37" i="8"/>
  <c r="I77" i="8"/>
  <c r="I45" i="8"/>
  <c r="J89" i="8"/>
  <c r="J57" i="8"/>
  <c r="H100" i="8"/>
  <c r="J100" i="8"/>
  <c r="D88" i="8"/>
  <c r="F88" i="8"/>
  <c r="D72" i="8"/>
  <c r="F72" i="8"/>
  <c r="B60" i="8"/>
  <c r="J60" i="8"/>
  <c r="F52" i="8"/>
  <c r="B52" i="8"/>
  <c r="F28" i="8"/>
  <c r="D28" i="8"/>
  <c r="D24" i="8"/>
  <c r="F24" i="8"/>
  <c r="J20" i="8"/>
  <c r="D20" i="8"/>
  <c r="F16" i="8"/>
  <c r="D16" i="8"/>
  <c r="J12" i="8"/>
  <c r="D12" i="8"/>
  <c r="C107" i="8"/>
  <c r="Q106" i="8"/>
  <c r="AA54" i="10"/>
  <c r="AS49" i="5"/>
  <c r="AO34" i="5"/>
  <c r="AT34" i="5" s="1"/>
  <c r="AO14" i="5"/>
  <c r="AT14" i="5" s="1"/>
  <c r="AO6" i="5"/>
  <c r="AT6" i="5" s="1"/>
  <c r="AB18" i="5"/>
  <c r="AC18" i="5" s="1"/>
  <c r="AR18" i="5" s="1"/>
  <c r="H18" i="4"/>
  <c r="AB31" i="5"/>
  <c r="AC31" i="5" s="1"/>
  <c r="AR31" i="5" s="1"/>
  <c r="AD31" i="5"/>
  <c r="H31" i="4"/>
  <c r="H108" i="8"/>
  <c r="AD28" i="5"/>
  <c r="H5" i="4"/>
  <c r="AB11" i="5"/>
  <c r="AC11" i="5" s="1"/>
  <c r="AR11" i="5" s="1"/>
  <c r="H11" i="4"/>
  <c r="K41" i="12"/>
  <c r="AT18" i="5"/>
  <c r="AB19" i="5"/>
  <c r="AC19" i="5" s="1"/>
  <c r="AR19" i="5" s="1"/>
  <c r="H19" i="4"/>
  <c r="Z31" i="5"/>
  <c r="AA31" i="5" s="1"/>
  <c r="AP31" i="5" s="1"/>
  <c r="AE37" i="5"/>
  <c r="AB37" i="5"/>
  <c r="AC37" i="5" s="1"/>
  <c r="H8" i="4"/>
  <c r="AB8" i="5"/>
  <c r="AC8" i="5" s="1"/>
  <c r="AR8" i="5" s="1"/>
  <c r="AE17" i="5"/>
  <c r="H17" i="4"/>
  <c r="AT4" i="5"/>
  <c r="AE6" i="5"/>
  <c r="H6" i="4"/>
  <c r="AE8" i="5"/>
  <c r="AD9" i="5"/>
  <c r="H9" i="4"/>
  <c r="AE9" i="5"/>
  <c r="AB10" i="5"/>
  <c r="AC10" i="5" s="1"/>
  <c r="H10" i="4"/>
  <c r="AE5" i="5"/>
  <c r="AB9" i="5"/>
  <c r="AC9" i="5" s="1"/>
  <c r="AR9" i="5" s="1"/>
  <c r="Z32" i="5"/>
  <c r="AA32" i="5" s="1"/>
  <c r="AP32" i="5" s="1"/>
  <c r="AD8" i="5"/>
  <c r="AE16" i="5"/>
  <c r="H16" i="4"/>
  <c r="Z8" i="5"/>
  <c r="AA8" i="5" s="1"/>
  <c r="AP8" i="5" s="1"/>
  <c r="AE13" i="5"/>
  <c r="H13" i="4"/>
  <c r="AB14" i="5"/>
  <c r="AC14" i="5" s="1"/>
  <c r="AR14" i="5" s="1"/>
  <c r="H14" i="4"/>
  <c r="K49" i="11"/>
  <c r="K33" i="12"/>
  <c r="K50" i="11"/>
  <c r="AB26" i="5"/>
  <c r="AC26" i="5" s="1"/>
  <c r="AR26" i="5" s="1"/>
  <c r="H26" i="4"/>
  <c r="AB27" i="5"/>
  <c r="AC27" i="5" s="1"/>
  <c r="AR27" i="5" s="1"/>
  <c r="H27" i="4"/>
  <c r="AB51" i="5"/>
  <c r="AC51" i="5" s="1"/>
  <c r="H29" i="4"/>
  <c r="AB30" i="5"/>
  <c r="AC30" i="5" s="1"/>
  <c r="AR30" i="5" s="1"/>
  <c r="H30" i="4"/>
  <c r="AE42" i="5"/>
  <c r="AB42" i="5"/>
  <c r="AC42" i="5" s="1"/>
  <c r="AR42" i="5" s="1"/>
  <c r="AE58" i="5"/>
  <c r="AB58" i="5"/>
  <c r="AC58" i="5" s="1"/>
  <c r="AR58" i="5" s="1"/>
  <c r="AA56" i="10"/>
  <c r="J58" i="12"/>
  <c r="H58" i="12" s="1"/>
  <c r="J54" i="12"/>
  <c r="H54" i="12" s="1"/>
  <c r="J50" i="12"/>
  <c r="E50" i="12" s="1"/>
  <c r="H7" i="4"/>
  <c r="AT53" i="5"/>
  <c r="B104" i="8"/>
  <c r="B88" i="8"/>
  <c r="B72" i="8"/>
  <c r="B56" i="8"/>
  <c r="B40" i="8"/>
  <c r="D108" i="8"/>
  <c r="D104" i="8"/>
  <c r="D100" i="8"/>
  <c r="D96" i="8"/>
  <c r="D92" i="8"/>
  <c r="D84" i="8"/>
  <c r="D80" i="8"/>
  <c r="D76" i="8"/>
  <c r="D68" i="8"/>
  <c r="D64" i="8"/>
  <c r="D60" i="8"/>
  <c r="D52" i="8"/>
  <c r="D48" i="8"/>
  <c r="D44" i="8"/>
  <c r="D36" i="8"/>
  <c r="D32" i="8"/>
  <c r="F76" i="8"/>
  <c r="F60" i="8"/>
  <c r="F44" i="8"/>
  <c r="J84" i="8"/>
  <c r="J52" i="8"/>
  <c r="J58" i="11"/>
  <c r="H58" i="11" s="1"/>
  <c r="J54" i="11"/>
  <c r="H54" i="11" s="1"/>
  <c r="J50" i="11"/>
  <c r="H50" i="11" s="1"/>
  <c r="J57" i="12"/>
  <c r="D57" i="12" s="1"/>
  <c r="J53" i="12"/>
  <c r="H53" i="12" s="1"/>
  <c r="J49" i="12"/>
  <c r="H49" i="12" s="1"/>
  <c r="H22" i="4"/>
  <c r="AB41" i="5"/>
  <c r="AC41" i="5" s="1"/>
  <c r="O27" i="9"/>
  <c r="AT10" i="5"/>
  <c r="K45" i="12"/>
  <c r="AT33" i="5"/>
  <c r="AT41" i="5"/>
  <c r="AD55" i="5"/>
  <c r="AR56" i="5"/>
  <c r="AE57" i="5"/>
  <c r="A95" i="8"/>
  <c r="AL95" i="8" s="1"/>
  <c r="A79" i="8"/>
  <c r="AL79" i="8" s="1"/>
  <c r="B76" i="8"/>
  <c r="B44" i="8"/>
  <c r="C103" i="8"/>
  <c r="C87" i="8"/>
  <c r="D107" i="8"/>
  <c r="D103" i="8"/>
  <c r="D99" i="8"/>
  <c r="D95" i="8"/>
  <c r="D91" i="8"/>
  <c r="D87" i="8"/>
  <c r="D83" i="8"/>
  <c r="D79" i="8"/>
  <c r="D71" i="8"/>
  <c r="E99" i="8"/>
  <c r="E83" i="8"/>
  <c r="F80" i="8"/>
  <c r="F64" i="8"/>
  <c r="F48" i="8"/>
  <c r="G95" i="8"/>
  <c r="G79" i="8"/>
  <c r="J57" i="11"/>
  <c r="H57" i="11" s="1"/>
  <c r="J53" i="11"/>
  <c r="J49" i="11"/>
  <c r="H49" i="11" s="1"/>
  <c r="K57" i="11"/>
  <c r="K56" i="12"/>
  <c r="K52" i="12"/>
  <c r="K48" i="12"/>
  <c r="H25" i="4"/>
  <c r="A99" i="8"/>
  <c r="W99" i="8" s="1"/>
  <c r="F68" i="8"/>
  <c r="F36" i="8"/>
  <c r="G83" i="8"/>
  <c r="K56" i="11"/>
  <c r="K52" i="11"/>
  <c r="K48" i="11"/>
  <c r="K59" i="12"/>
  <c r="K55" i="12"/>
  <c r="K51" i="12"/>
  <c r="H32" i="4"/>
  <c r="H20" i="4"/>
  <c r="H12" i="4"/>
  <c r="H4" i="4"/>
  <c r="AS103" i="5"/>
  <c r="AS119" i="5"/>
  <c r="AA155" i="5"/>
  <c r="AP155" i="5" s="1"/>
  <c r="AS393" i="5"/>
  <c r="AS397" i="5"/>
  <c r="AS400" i="5"/>
  <c r="AS483" i="5"/>
  <c r="AS487" i="5"/>
  <c r="AS491" i="5"/>
  <c r="AS492" i="5"/>
  <c r="AS499" i="5"/>
  <c r="AR41" i="5"/>
  <c r="AR145" i="5"/>
  <c r="AS10" i="5"/>
  <c r="AS61" i="5"/>
  <c r="AS105" i="5"/>
  <c r="AS137" i="5"/>
  <c r="AS148" i="5"/>
  <c r="AS72" i="5"/>
  <c r="AS172" i="5"/>
  <c r="AS219" i="5"/>
  <c r="AS220" i="5"/>
  <c r="AS221" i="5"/>
  <c r="AS224" i="5"/>
  <c r="AS231" i="5"/>
  <c r="AS235" i="5"/>
  <c r="AS240" i="5"/>
  <c r="AS247" i="5"/>
  <c r="AS249" i="5"/>
  <c r="AS253" i="5"/>
  <c r="AS299" i="5"/>
  <c r="AS301" i="5"/>
  <c r="AS304" i="5"/>
  <c r="AS307" i="5"/>
  <c r="AS341" i="5"/>
  <c r="AS349" i="5"/>
  <c r="AS363" i="5"/>
  <c r="AS410" i="5"/>
  <c r="AS414" i="5"/>
  <c r="AS428" i="5"/>
  <c r="AS430" i="5"/>
  <c r="AS434" i="5"/>
  <c r="P26" i="7"/>
  <c r="P35" i="7"/>
  <c r="I35" i="7" s="1" a="1"/>
  <c r="I35" i="7" s="1"/>
  <c r="Q108" i="8"/>
  <c r="Q104" i="8"/>
  <c r="I104" i="8"/>
  <c r="Q100" i="8"/>
  <c r="I100" i="8"/>
  <c r="Q96" i="8"/>
  <c r="H96" i="8"/>
  <c r="I96" i="8"/>
  <c r="Q92" i="8"/>
  <c r="H92" i="8"/>
  <c r="I92" i="8"/>
  <c r="Q88" i="8"/>
  <c r="H88" i="8"/>
  <c r="I88" i="8"/>
  <c r="Q84" i="8"/>
  <c r="H84" i="8"/>
  <c r="I84" i="8"/>
  <c r="Q80" i="8"/>
  <c r="H80" i="8"/>
  <c r="I80" i="8"/>
  <c r="Q76" i="8"/>
  <c r="H76" i="8"/>
  <c r="I76" i="8"/>
  <c r="Q72" i="8"/>
  <c r="H72" i="8"/>
  <c r="I72" i="8"/>
  <c r="Q68" i="8"/>
  <c r="H68" i="8"/>
  <c r="I68" i="8"/>
  <c r="Q64" i="8"/>
  <c r="H64" i="8"/>
  <c r="I64" i="8"/>
  <c r="Q60" i="8"/>
  <c r="H60" i="8"/>
  <c r="I60" i="8"/>
  <c r="Q56" i="8"/>
  <c r="H56" i="8"/>
  <c r="I56" i="8"/>
  <c r="Q52" i="8"/>
  <c r="H52" i="8"/>
  <c r="I52" i="8"/>
  <c r="Q48" i="8"/>
  <c r="H48" i="8"/>
  <c r="I48" i="8"/>
  <c r="Q44" i="8"/>
  <c r="H44" i="8"/>
  <c r="I44" i="8"/>
  <c r="Q40" i="8"/>
  <c r="H40" i="8"/>
  <c r="I40" i="8"/>
  <c r="Q36" i="8"/>
  <c r="H36" i="8"/>
  <c r="I36" i="8"/>
  <c r="Q32" i="8"/>
  <c r="H32" i="8"/>
  <c r="I32" i="8"/>
  <c r="Q28" i="8"/>
  <c r="H28" i="8"/>
  <c r="I28" i="8"/>
  <c r="Q24" i="8"/>
  <c r="H24" i="8"/>
  <c r="I24" i="8"/>
  <c r="Q20" i="8"/>
  <c r="H20" i="8"/>
  <c r="I20" i="8"/>
  <c r="Q16" i="8"/>
  <c r="H16" i="8"/>
  <c r="I16" i="8"/>
  <c r="Q12" i="8"/>
  <c r="H12" i="8"/>
  <c r="I12" i="8"/>
  <c r="AS47" i="5"/>
  <c r="AS57" i="5"/>
  <c r="AS106" i="5"/>
  <c r="AS109" i="5"/>
  <c r="AS114" i="5"/>
  <c r="AS158" i="5"/>
  <c r="AS168" i="5"/>
  <c r="AS176" i="5"/>
  <c r="AS179" i="5"/>
  <c r="AS183" i="5"/>
  <c r="AS199" i="5"/>
  <c r="AR211" i="5"/>
  <c r="AR216" i="5"/>
  <c r="AS223" i="5"/>
  <c r="AR223" i="5"/>
  <c r="AS225" i="5"/>
  <c r="AR225" i="5"/>
  <c r="AR226" i="5"/>
  <c r="AR236" i="5"/>
  <c r="AR238" i="5"/>
  <c r="AS241" i="5"/>
  <c r="AS245" i="5"/>
  <c r="AS251" i="5"/>
  <c r="AS261" i="5"/>
  <c r="AR306" i="5"/>
  <c r="AS312" i="5"/>
  <c r="AS317" i="5"/>
  <c r="AS331" i="5"/>
  <c r="AS333" i="5"/>
  <c r="AS409" i="5"/>
  <c r="AA456" i="5"/>
  <c r="AP456" i="5" s="1"/>
  <c r="AS471" i="5"/>
  <c r="P27" i="7"/>
  <c r="H27" i="7" s="1" a="1"/>
  <c r="H27" i="7" s="1"/>
  <c r="C108" i="8"/>
  <c r="C104" i="8"/>
  <c r="C100" i="8"/>
  <c r="C96" i="8"/>
  <c r="C92" i="8"/>
  <c r="C88" i="8"/>
  <c r="C84" i="8"/>
  <c r="C80" i="8"/>
  <c r="C76" i="8"/>
  <c r="C72" i="8"/>
  <c r="C68" i="8"/>
  <c r="C64" i="8"/>
  <c r="C60" i="8"/>
  <c r="C56" i="8"/>
  <c r="C52" i="8"/>
  <c r="C48" i="8"/>
  <c r="C44" i="8"/>
  <c r="C40" i="8"/>
  <c r="C36" i="8"/>
  <c r="C32" i="8"/>
  <c r="C28" i="8"/>
  <c r="C24" i="8"/>
  <c r="C20" i="8"/>
  <c r="C16" i="8"/>
  <c r="C12" i="8"/>
  <c r="F20" i="8"/>
  <c r="G104" i="8"/>
  <c r="G100" i="8"/>
  <c r="G96" i="8"/>
  <c r="G92" i="8"/>
  <c r="G88" i="8"/>
  <c r="G84" i="8"/>
  <c r="G80" i="8"/>
  <c r="G76" i="8"/>
  <c r="G72" i="8"/>
  <c r="G68" i="8"/>
  <c r="G64" i="8"/>
  <c r="G60" i="8"/>
  <c r="G56" i="8"/>
  <c r="G52" i="8"/>
  <c r="G48" i="8"/>
  <c r="G44" i="8"/>
  <c r="G40" i="8"/>
  <c r="G36" i="8"/>
  <c r="G32" i="8"/>
  <c r="G28" i="8"/>
  <c r="G24" i="8"/>
  <c r="G20" i="8"/>
  <c r="G16" i="8"/>
  <c r="G12" i="8"/>
  <c r="J104" i="8"/>
  <c r="J88" i="8"/>
  <c r="J72" i="8"/>
  <c r="J56" i="8"/>
  <c r="J40" i="8"/>
  <c r="J24" i="8"/>
  <c r="Q107" i="8"/>
  <c r="J107" i="8"/>
  <c r="Z107" i="8" s="1"/>
  <c r="Q103" i="8"/>
  <c r="I103" i="8"/>
  <c r="J103" i="8"/>
  <c r="Q99" i="8"/>
  <c r="I99" i="8"/>
  <c r="J99" i="8"/>
  <c r="Q95" i="8"/>
  <c r="I95" i="8"/>
  <c r="J95" i="8"/>
  <c r="Q91" i="8"/>
  <c r="I91" i="8"/>
  <c r="J91" i="8"/>
  <c r="Q87" i="8"/>
  <c r="I87" i="8"/>
  <c r="J87" i="8"/>
  <c r="Q83" i="8"/>
  <c r="I83" i="8"/>
  <c r="J83" i="8"/>
  <c r="Q79" i="8"/>
  <c r="I79" i="8"/>
  <c r="J79" i="8"/>
  <c r="Q75" i="8"/>
  <c r="I75" i="8"/>
  <c r="J75" i="8"/>
  <c r="Q71" i="8"/>
  <c r="I71" i="8"/>
  <c r="J71" i="8"/>
  <c r="Q67" i="8"/>
  <c r="I67" i="8"/>
  <c r="J67" i="8"/>
  <c r="Q63" i="8"/>
  <c r="I63" i="8"/>
  <c r="J63" i="8"/>
  <c r="Q59" i="8"/>
  <c r="I59" i="8"/>
  <c r="J59" i="8"/>
  <c r="Q55" i="8"/>
  <c r="I55" i="8"/>
  <c r="J55" i="8"/>
  <c r="Q51" i="8"/>
  <c r="I51" i="8"/>
  <c r="J51" i="8"/>
  <c r="Q47" i="8"/>
  <c r="I47" i="8"/>
  <c r="J47" i="8"/>
  <c r="Q43" i="8"/>
  <c r="I43" i="8"/>
  <c r="J43" i="8"/>
  <c r="Q39" i="8"/>
  <c r="I39" i="8"/>
  <c r="J39" i="8"/>
  <c r="Q35" i="8"/>
  <c r="I35" i="8"/>
  <c r="J35" i="8"/>
  <c r="Q31" i="8"/>
  <c r="I31" i="8"/>
  <c r="J31" i="8"/>
  <c r="Q27" i="8"/>
  <c r="I27" i="8"/>
  <c r="J27" i="8"/>
  <c r="Q23" i="8"/>
  <c r="I23" i="8"/>
  <c r="J23" i="8"/>
  <c r="F23" i="8"/>
  <c r="Q19" i="8"/>
  <c r="I19" i="8"/>
  <c r="J19" i="8"/>
  <c r="F19" i="8"/>
  <c r="Q15" i="8"/>
  <c r="I15" i="8"/>
  <c r="J15" i="8"/>
  <c r="F15" i="8"/>
  <c r="Q11" i="8"/>
  <c r="I11" i="8"/>
  <c r="J11" i="8"/>
  <c r="F11" i="8"/>
  <c r="AR165" i="5"/>
  <c r="AS62" i="5"/>
  <c r="AS154" i="5"/>
  <c r="B108" i="8"/>
  <c r="T108" i="8" s="1"/>
  <c r="F108" i="8"/>
  <c r="F104" i="8"/>
  <c r="F100" i="8"/>
  <c r="F96" i="8"/>
  <c r="F92" i="8"/>
  <c r="J108" i="8"/>
  <c r="J92" i="8"/>
  <c r="O31" i="9"/>
  <c r="O35" i="9"/>
  <c r="AR61" i="5"/>
  <c r="O24" i="9"/>
  <c r="O26" i="9"/>
  <c r="K26" i="9" s="1" a="1"/>
  <c r="K26" i="9" s="1"/>
  <c r="AR92" i="5"/>
  <c r="AS55" i="5"/>
  <c r="AQ57" i="5"/>
  <c r="AR62" i="5"/>
  <c r="AR69" i="5"/>
  <c r="AS81" i="5"/>
  <c r="AA82" i="5"/>
  <c r="AP82" i="5" s="1"/>
  <c r="AS85" i="5"/>
  <c r="AS90" i="5"/>
  <c r="AS97" i="5"/>
  <c r="AR139" i="5"/>
  <c r="AS146" i="5"/>
  <c r="AS149" i="5"/>
  <c r="AR181" i="5"/>
  <c r="AS182" i="5"/>
  <c r="AS194" i="5"/>
  <c r="AS208" i="5"/>
  <c r="AS265" i="5"/>
  <c r="AS267" i="5"/>
  <c r="AS269" i="5"/>
  <c r="AS273" i="5"/>
  <c r="AS275" i="5"/>
  <c r="AS283" i="5"/>
  <c r="AS291" i="5"/>
  <c r="AS315" i="5"/>
  <c r="AS323" i="5"/>
  <c r="AS372" i="5"/>
  <c r="AS382" i="5"/>
  <c r="AS384" i="5"/>
  <c r="AA417" i="5"/>
  <c r="AP417" i="5" s="1"/>
  <c r="AS441" i="5"/>
  <c r="AS445" i="5"/>
  <c r="AS503" i="5"/>
  <c r="P33" i="7"/>
  <c r="D33" i="7" s="1" a="1"/>
  <c r="D33" i="7" s="1"/>
  <c r="A108" i="8"/>
  <c r="A104" i="8"/>
  <c r="A100" i="8"/>
  <c r="A96" i="8"/>
  <c r="A92" i="8"/>
  <c r="A88" i="8"/>
  <c r="A84" i="8"/>
  <c r="A80" i="8"/>
  <c r="A76" i="8"/>
  <c r="A72" i="8"/>
  <c r="A68" i="8"/>
  <c r="A64" i="8"/>
  <c r="A60" i="8"/>
  <c r="A56" i="8"/>
  <c r="A52" i="8"/>
  <c r="A48" i="8"/>
  <c r="A44" i="8"/>
  <c r="A40" i="8"/>
  <c r="A36" i="8"/>
  <c r="A32" i="8"/>
  <c r="A28" i="8"/>
  <c r="A24" i="8"/>
  <c r="A20" i="8"/>
  <c r="A16" i="8"/>
  <c r="A12" i="8"/>
  <c r="B107" i="8"/>
  <c r="T107" i="8" s="1"/>
  <c r="B103" i="8"/>
  <c r="B99" i="8"/>
  <c r="B95" i="8"/>
  <c r="B91" i="8"/>
  <c r="B87" i="8"/>
  <c r="B83" i="8"/>
  <c r="B79" i="8"/>
  <c r="B75" i="8"/>
  <c r="B71" i="8"/>
  <c r="B67" i="8"/>
  <c r="B63" i="8"/>
  <c r="B59" i="8"/>
  <c r="B55" i="8"/>
  <c r="B51" i="8"/>
  <c r="B47" i="8"/>
  <c r="B43" i="8"/>
  <c r="B39" i="8"/>
  <c r="E108" i="8"/>
  <c r="E104" i="8"/>
  <c r="E100" i="8"/>
  <c r="E96" i="8"/>
  <c r="E92" i="8"/>
  <c r="E88" i="8"/>
  <c r="E84" i="8"/>
  <c r="E80" i="8"/>
  <c r="E76" i="8"/>
  <c r="E72" i="8"/>
  <c r="E68" i="8"/>
  <c r="E64" i="8"/>
  <c r="E60" i="8"/>
  <c r="E56" i="8"/>
  <c r="E52" i="8"/>
  <c r="E48" i="8"/>
  <c r="E44" i="8"/>
  <c r="E40" i="8"/>
  <c r="E36" i="8"/>
  <c r="E32" i="8"/>
  <c r="E28" i="8"/>
  <c r="E24" i="8"/>
  <c r="E20" i="8"/>
  <c r="E16" i="8"/>
  <c r="E12" i="8"/>
  <c r="F107" i="8"/>
  <c r="AG107" i="8" s="1"/>
  <c r="F103" i="8"/>
  <c r="F99" i="8"/>
  <c r="F95" i="8"/>
  <c r="F91" i="8"/>
  <c r="F87" i="8"/>
  <c r="F83" i="8"/>
  <c r="F79" i="8"/>
  <c r="F75" i="8"/>
  <c r="F71" i="8"/>
  <c r="F67" i="8"/>
  <c r="F63" i="8"/>
  <c r="F59" i="8"/>
  <c r="F55" i="8"/>
  <c r="F51" i="8"/>
  <c r="F47" i="8"/>
  <c r="F43" i="8"/>
  <c r="F39" i="8"/>
  <c r="F35" i="8"/>
  <c r="F31" i="8"/>
  <c r="F27" i="8"/>
  <c r="F12" i="8"/>
  <c r="H91" i="8"/>
  <c r="H75" i="8"/>
  <c r="H59" i="8"/>
  <c r="H43" i="8"/>
  <c r="H27" i="8"/>
  <c r="J96" i="8"/>
  <c r="J80" i="8"/>
  <c r="J64" i="8"/>
  <c r="J48" i="8"/>
  <c r="J32" i="8"/>
  <c r="J16" i="8"/>
  <c r="O25" i="9"/>
  <c r="O28" i="9"/>
  <c r="B28" i="9" s="1" a="1"/>
  <c r="B28" i="9" s="1"/>
  <c r="O32" i="9"/>
  <c r="B32" i="9" s="1" a="1"/>
  <c r="B32" i="9" s="1"/>
  <c r="O29" i="9"/>
  <c r="O33" i="9"/>
  <c r="O30" i="9"/>
  <c r="E30" i="9" s="1" a="1"/>
  <c r="E30" i="9" s="1"/>
  <c r="O34" i="9"/>
  <c r="K34" i="9" s="1" a="1"/>
  <c r="K34" i="9" s="1"/>
  <c r="G423" i="15"/>
  <c r="L423" i="15"/>
  <c r="L431" i="15"/>
  <c r="AT21" i="5"/>
  <c r="AT65" i="5"/>
  <c r="AT105" i="5"/>
  <c r="AT141" i="5"/>
  <c r="AT177" i="5"/>
  <c r="AT237" i="5"/>
  <c r="AT365" i="5"/>
  <c r="AT377" i="5"/>
  <c r="AT493" i="5"/>
  <c r="AT29" i="5"/>
  <c r="AT68" i="5"/>
  <c r="AT73" i="5"/>
  <c r="AT92" i="5"/>
  <c r="AT97" i="5"/>
  <c r="AT108" i="5"/>
  <c r="AT117" i="5"/>
  <c r="AT124" i="5"/>
  <c r="AT161" i="5"/>
  <c r="AT165" i="5"/>
  <c r="AT169" i="5"/>
  <c r="AT241" i="5"/>
  <c r="AT252" i="5"/>
  <c r="AT256" i="5"/>
  <c r="AT269" i="5"/>
  <c r="AT277" i="5"/>
  <c r="AT285" i="5"/>
  <c r="AT321" i="5"/>
  <c r="AT337" i="5"/>
  <c r="AT341" i="5"/>
  <c r="AT345" i="5"/>
  <c r="AT349" i="5"/>
  <c r="AT353" i="5"/>
  <c r="AT357" i="5"/>
  <c r="AT360" i="5"/>
  <c r="AT396" i="5"/>
  <c r="AT400" i="5"/>
  <c r="AT404" i="5"/>
  <c r="AT432" i="5"/>
  <c r="AT436" i="5"/>
  <c r="AT469" i="5"/>
  <c r="AT473" i="5"/>
  <c r="AT497" i="5"/>
  <c r="AT113" i="5"/>
  <c r="AT333" i="5"/>
  <c r="AT369" i="5"/>
  <c r="AT373" i="5"/>
  <c r="AT385" i="5"/>
  <c r="AT485" i="5"/>
  <c r="AT489" i="5"/>
  <c r="AT17" i="5"/>
  <c r="AT37" i="5"/>
  <c r="AT57" i="5"/>
  <c r="AT64" i="5"/>
  <c r="AT80" i="5"/>
  <c r="AT84" i="5"/>
  <c r="AT100" i="5"/>
  <c r="AT104" i="5"/>
  <c r="AT112" i="5"/>
  <c r="AT121" i="5"/>
  <c r="AT125" i="5"/>
  <c r="AT176" i="5"/>
  <c r="AT205" i="5"/>
  <c r="AT220" i="5"/>
  <c r="AT224" i="5"/>
  <c r="AT228" i="5"/>
  <c r="AT253" i="5"/>
  <c r="AT257" i="5"/>
  <c r="AT260" i="5"/>
  <c r="AT304" i="5"/>
  <c r="AT324" i="5"/>
  <c r="AT328" i="5"/>
  <c r="AT361" i="5"/>
  <c r="AT401" i="5"/>
  <c r="AT433" i="5"/>
  <c r="AT444" i="5"/>
  <c r="AT477" i="5"/>
  <c r="AT501" i="5"/>
  <c r="AR10" i="5"/>
  <c r="P10" i="6" a="1"/>
  <c r="P10" i="6" s="1"/>
  <c r="O10" i="6" s="1" a="1"/>
  <c r="O10" i="6" s="1"/>
  <c r="M9" i="6" a="1"/>
  <c r="M9" i="6" s="1"/>
  <c r="L9" i="6" s="1" a="1"/>
  <c r="L9" i="6" s="1"/>
  <c r="M8" i="6" a="1"/>
  <c r="M8" i="6" s="1"/>
  <c r="L8" i="6" s="1" a="1"/>
  <c r="L8" i="6" s="1"/>
  <c r="P9" i="6" a="1"/>
  <c r="P9" i="6" s="1"/>
  <c r="O9" i="6" s="1" a="1"/>
  <c r="O9" i="6" s="1"/>
  <c r="K54" i="12"/>
  <c r="K46" i="12"/>
  <c r="B27" i="7" a="1"/>
  <c r="B27" i="7" s="1"/>
  <c r="K54" i="11"/>
  <c r="K53" i="12"/>
  <c r="K53" i="11"/>
  <c r="K58" i="12"/>
  <c r="K50" i="12"/>
  <c r="K58" i="11"/>
  <c r="K57" i="12"/>
  <c r="K49" i="12"/>
  <c r="J56" i="11"/>
  <c r="H56" i="11" s="1"/>
  <c r="J60" i="12"/>
  <c r="M2" i="15"/>
  <c r="J64" i="12"/>
  <c r="H64" i="12" s="1"/>
  <c r="J48" i="12"/>
  <c r="H48" i="12" s="1"/>
  <c r="P34" i="7"/>
  <c r="B34" i="7" a="1"/>
  <c r="B34" i="7" s="1"/>
  <c r="P24" i="7"/>
  <c r="G24" i="7" s="1" a="1"/>
  <c r="G24" i="7" s="1"/>
  <c r="P29" i="7"/>
  <c r="B29" i="7" a="1"/>
  <c r="B29" i="7" s="1"/>
  <c r="K59" i="11"/>
  <c r="J59" i="11"/>
  <c r="H59" i="11" s="1"/>
  <c r="K55" i="11"/>
  <c r="J55" i="11"/>
  <c r="K51" i="11"/>
  <c r="J51" i="11"/>
  <c r="H51" i="11" s="1"/>
  <c r="J64" i="11"/>
  <c r="H64" i="11" s="1"/>
  <c r="J52" i="11"/>
  <c r="J56" i="12"/>
  <c r="H56" i="12" s="1"/>
  <c r="P31" i="7"/>
  <c r="D31" i="7" s="1" a="1"/>
  <c r="D31" i="7" s="1"/>
  <c r="K27" i="9" a="1"/>
  <c r="K27" i="9" s="1"/>
  <c r="J63" i="11"/>
  <c r="J48" i="11"/>
  <c r="H48" i="11" s="1"/>
  <c r="J68" i="12"/>
  <c r="H68" i="12" s="1"/>
  <c r="J52" i="12"/>
  <c r="H52" i="12" s="1"/>
  <c r="J67" i="12"/>
  <c r="J63" i="12"/>
  <c r="H63" i="12" s="1"/>
  <c r="J59" i="12"/>
  <c r="H59" i="12" s="1"/>
  <c r="J55" i="12"/>
  <c r="H55" i="12" s="1"/>
  <c r="J51" i="12"/>
  <c r="K43" i="12"/>
  <c r="K44" i="12"/>
  <c r="K31" i="12"/>
  <c r="K32" i="12"/>
  <c r="P25" i="7"/>
  <c r="B33" i="7" a="1"/>
  <c r="B33" i="7" s="1"/>
  <c r="K47" i="11"/>
  <c r="O60" i="12"/>
  <c r="P60" i="12" s="1"/>
  <c r="O44" i="12"/>
  <c r="P44" i="12" s="1"/>
  <c r="J47" i="12"/>
  <c r="H47" i="12" s="1"/>
  <c r="O56" i="12"/>
  <c r="P56" i="12" s="1"/>
  <c r="O40" i="12"/>
  <c r="P40" i="12" s="1"/>
  <c r="O33" i="12"/>
  <c r="Q33" i="12" s="1"/>
  <c r="O52" i="12"/>
  <c r="P52" i="12" s="1"/>
  <c r="O59" i="12"/>
  <c r="O55" i="12"/>
  <c r="O51" i="12"/>
  <c r="O47" i="12"/>
  <c r="O43" i="12"/>
  <c r="O39" i="12"/>
  <c r="O35" i="12"/>
  <c r="O31" i="12"/>
  <c r="O58" i="12"/>
  <c r="O54" i="12"/>
  <c r="O50" i="12"/>
  <c r="O46" i="12"/>
  <c r="O42" i="12"/>
  <c r="O38" i="12"/>
  <c r="O34" i="12"/>
  <c r="O30" i="12"/>
  <c r="Q60" i="12"/>
  <c r="Q48" i="12"/>
  <c r="Q44" i="12"/>
  <c r="Q40" i="12"/>
  <c r="Q36" i="12"/>
  <c r="Q32" i="12"/>
  <c r="K47" i="12"/>
  <c r="O57" i="12"/>
  <c r="O53" i="12"/>
  <c r="O49" i="12"/>
  <c r="O45" i="12"/>
  <c r="O41" i="12"/>
  <c r="O37" i="12"/>
  <c r="J47" i="11"/>
  <c r="H47" i="11" s="1"/>
  <c r="G9" i="6" a="1"/>
  <c r="G9" i="6" s="1"/>
  <c r="F9" i="6" s="1" a="1"/>
  <c r="F9" i="6" s="1"/>
  <c r="J10" i="6" a="1"/>
  <c r="J10" i="6" s="1"/>
  <c r="I10" i="6" s="1" a="1"/>
  <c r="I10" i="6" s="1"/>
  <c r="M11" i="6" a="1"/>
  <c r="M11" i="6" s="1"/>
  <c r="L11" i="6" s="1" a="1"/>
  <c r="L11" i="6" s="1"/>
  <c r="M7" i="6" a="1"/>
  <c r="M7" i="6" s="1"/>
  <c r="L7" i="6" s="1" a="1"/>
  <c r="L7" i="6" s="1"/>
  <c r="P8" i="6" a="1"/>
  <c r="P8" i="6" s="1"/>
  <c r="O8" i="6" s="1" a="1"/>
  <c r="O8" i="6" s="1"/>
  <c r="AM66" i="13" a="1"/>
  <c r="AM66" i="13" s="1"/>
  <c r="AL66" i="13" s="1" a="1"/>
  <c r="AL66" i="13" s="1"/>
  <c r="AV66" i="13" s="1"/>
  <c r="AM70" i="13" a="1"/>
  <c r="AM70" i="13" s="1"/>
  <c r="AL70" i="13" s="1" a="1"/>
  <c r="AL70" i="13" s="1"/>
  <c r="AW70" i="13" s="1"/>
  <c r="A71" i="13"/>
  <c r="G8" i="6" a="1"/>
  <c r="G8" i="6" s="1"/>
  <c r="F8" i="6" s="1" a="1"/>
  <c r="F8" i="6" s="1"/>
  <c r="J9" i="6" a="1"/>
  <c r="J9" i="6" s="1"/>
  <c r="I9" i="6" s="1" a="1"/>
  <c r="I9" i="6" s="1"/>
  <c r="M10" i="6" a="1"/>
  <c r="M10" i="6" s="1"/>
  <c r="L10" i="6" s="1" a="1"/>
  <c r="L10" i="6" s="1"/>
  <c r="P11" i="6" a="1"/>
  <c r="P11" i="6" s="1"/>
  <c r="O11" i="6" s="1" a="1"/>
  <c r="O11" i="6" s="1"/>
  <c r="P7" i="6" a="1"/>
  <c r="P7" i="6" s="1"/>
  <c r="O7" i="6" s="1" a="1"/>
  <c r="O7" i="6" s="1"/>
  <c r="E25" i="7" a="1"/>
  <c r="E25" i="7" s="1"/>
  <c r="B36" i="9" a="1"/>
  <c r="B36" i="9" s="1"/>
  <c r="AM63" i="13" a="1"/>
  <c r="AM63" i="13" s="1"/>
  <c r="AL63" i="13" s="1" a="1"/>
  <c r="AL63" i="13" s="1"/>
  <c r="AT25" i="5"/>
  <c r="AT30" i="5"/>
  <c r="AA204" i="5"/>
  <c r="AP204" i="5" s="1"/>
  <c r="AA207" i="5"/>
  <c r="AP207" i="5" s="1"/>
  <c r="AA405" i="5"/>
  <c r="AP405" i="5" s="1"/>
  <c r="AA422" i="5"/>
  <c r="AP422" i="5" s="1"/>
  <c r="AT22" i="5"/>
  <c r="AT26" i="5"/>
  <c r="AR45" i="5"/>
  <c r="AR133" i="5"/>
  <c r="AR197" i="5"/>
  <c r="AS12" i="5"/>
  <c r="AS21" i="5"/>
  <c r="AS25" i="5"/>
  <c r="AS4" i="5"/>
  <c r="AA465" i="5"/>
  <c r="AP465" i="5" s="1"/>
  <c r="K37" i="12"/>
  <c r="J37" i="12"/>
  <c r="H37" i="12" s="1"/>
  <c r="K37" i="11"/>
  <c r="J37" i="11"/>
  <c r="H37" i="11" s="1"/>
  <c r="AB16" i="5"/>
  <c r="AC16" i="5" s="1"/>
  <c r="K35" i="12"/>
  <c r="J35" i="12"/>
  <c r="H35" i="12" s="1"/>
  <c r="K35" i="11"/>
  <c r="J35" i="11"/>
  <c r="H35" i="11" s="1"/>
  <c r="AR4" i="5"/>
  <c r="K30" i="12"/>
  <c r="J30" i="12"/>
  <c r="K30" i="11"/>
  <c r="J30" i="11"/>
  <c r="H30" i="11" s="1"/>
  <c r="AB15" i="5"/>
  <c r="AC15" i="5" s="1"/>
  <c r="AE15" i="5"/>
  <c r="K38" i="12"/>
  <c r="J38" i="12"/>
  <c r="H38" i="12" s="1"/>
  <c r="K38" i="11"/>
  <c r="J38" i="11"/>
  <c r="K36" i="12"/>
  <c r="J36" i="12"/>
  <c r="H36" i="12" s="1"/>
  <c r="K36" i="11"/>
  <c r="J36" i="11"/>
  <c r="H36" i="11" s="1"/>
  <c r="K39" i="12"/>
  <c r="J39" i="12"/>
  <c r="H39" i="12" s="1"/>
  <c r="K39" i="11"/>
  <c r="J39" i="11"/>
  <c r="H39" i="11" s="1"/>
  <c r="K42" i="12"/>
  <c r="J42" i="12"/>
  <c r="H42" i="12" s="1"/>
  <c r="K42" i="11"/>
  <c r="J42" i="11"/>
  <c r="H42" i="11" s="1"/>
  <c r="AE21" i="5"/>
  <c r="AB21" i="5"/>
  <c r="AC21" i="5" s="1"/>
  <c r="AR21" i="5" s="1"/>
  <c r="AB23" i="5"/>
  <c r="AC23" i="5" s="1"/>
  <c r="AE23" i="5"/>
  <c r="K40" i="12"/>
  <c r="A109" i="8"/>
  <c r="B109" i="8"/>
  <c r="A6" i="8" s="1"/>
  <c r="C109" i="8"/>
  <c r="D109" i="8"/>
  <c r="AC109" i="8" s="1"/>
  <c r="E109" i="8"/>
  <c r="F109" i="8"/>
  <c r="D6" i="8" s="1"/>
  <c r="H109" i="8"/>
  <c r="W109" i="8" s="1"/>
  <c r="J109" i="8"/>
  <c r="Z109" i="8" s="1"/>
  <c r="Q109" i="8"/>
  <c r="I6" i="8" s="1"/>
  <c r="K41" i="9" a="1"/>
  <c r="K41" i="9" s="1"/>
  <c r="AE29" i="10"/>
  <c r="J46" i="11"/>
  <c r="H46" i="11" s="1"/>
  <c r="J34" i="11"/>
  <c r="K46" i="11"/>
  <c r="K34" i="11"/>
  <c r="J46" i="12"/>
  <c r="H46" i="12" s="1"/>
  <c r="J34" i="12"/>
  <c r="L34" i="12" s="1"/>
  <c r="F34" i="12" s="1"/>
  <c r="AA281" i="5"/>
  <c r="AP281" i="5" s="1"/>
  <c r="AA313" i="5"/>
  <c r="AP313" i="5" s="1"/>
  <c r="AA381" i="5"/>
  <c r="AP381" i="5" s="1"/>
  <c r="AA389" i="5"/>
  <c r="AP389" i="5" s="1"/>
  <c r="AA438" i="5"/>
  <c r="AP438" i="5" s="1"/>
  <c r="AA448" i="5"/>
  <c r="AP448" i="5" s="1"/>
  <c r="AA461" i="5"/>
  <c r="AP461" i="5" s="1"/>
  <c r="AA479" i="5"/>
  <c r="AP479" i="5" s="1"/>
  <c r="AA488" i="5"/>
  <c r="AP488" i="5" s="1"/>
  <c r="F26" i="7" a="1"/>
  <c r="F26" i="7" s="1"/>
  <c r="C41" i="9" a="1"/>
  <c r="C41" i="9" s="1"/>
  <c r="J45" i="11"/>
  <c r="H45" i="11" s="1"/>
  <c r="J41" i="11"/>
  <c r="H41" i="11" s="1"/>
  <c r="J33" i="11"/>
  <c r="K45" i="11"/>
  <c r="K41" i="11"/>
  <c r="K33" i="11"/>
  <c r="J45" i="12"/>
  <c r="J41" i="12"/>
  <c r="H41" i="12" s="1"/>
  <c r="J33" i="12"/>
  <c r="H33" i="12" s="1"/>
  <c r="AA247" i="5"/>
  <c r="AP247" i="5" s="1"/>
  <c r="AS9" i="5"/>
  <c r="AB29" i="5"/>
  <c r="AC29" i="5" s="1"/>
  <c r="AR29" i="5" s="1"/>
  <c r="AE31" i="5"/>
  <c r="AB33" i="5"/>
  <c r="AC33" i="5" s="1"/>
  <c r="AR33" i="5" s="1"/>
  <c r="AA233" i="5"/>
  <c r="AP233" i="5" s="1"/>
  <c r="AA248" i="5"/>
  <c r="AP248" i="5" s="1"/>
  <c r="AA251" i="5"/>
  <c r="AP251" i="5" s="1"/>
  <c r="AA295" i="5"/>
  <c r="AP295" i="5" s="1"/>
  <c r="AA316" i="5"/>
  <c r="AP316" i="5" s="1"/>
  <c r="AA394" i="5"/>
  <c r="AP394" i="5" s="1"/>
  <c r="AA452" i="5"/>
  <c r="AP452" i="5" s="1"/>
  <c r="AA475" i="5"/>
  <c r="AP475" i="5" s="1"/>
  <c r="I26" i="7" a="1"/>
  <c r="I26" i="7" s="1"/>
  <c r="L27" i="7" a="1"/>
  <c r="L27" i="7" s="1"/>
  <c r="J36" i="9" a="1"/>
  <c r="J36" i="9" s="1"/>
  <c r="H40" i="9" a="1"/>
  <c r="H40" i="9" s="1"/>
  <c r="AA57" i="10"/>
  <c r="L57" i="10" s="1"/>
  <c r="J44" i="11"/>
  <c r="H44" i="11" s="1"/>
  <c r="J40" i="11"/>
  <c r="H40" i="11" s="1"/>
  <c r="J32" i="11"/>
  <c r="H32" i="11" s="1"/>
  <c r="K44" i="11"/>
  <c r="K40" i="11"/>
  <c r="K32" i="11"/>
  <c r="J44" i="12"/>
  <c r="H44" i="12" s="1"/>
  <c r="J40" i="12"/>
  <c r="H40" i="12" s="1"/>
  <c r="J32" i="12"/>
  <c r="H32" i="12" s="1"/>
  <c r="AA7" i="5"/>
  <c r="AP7" i="5" s="1"/>
  <c r="AB12" i="5"/>
  <c r="AC12" i="5" s="1"/>
  <c r="AR12" i="5" s="1"/>
  <c r="AR159" i="5"/>
  <c r="AB17" i="5"/>
  <c r="AC17" i="5" s="1"/>
  <c r="AR17" i="5" s="1"/>
  <c r="AE19" i="5"/>
  <c r="AS26" i="5"/>
  <c r="AA212" i="5"/>
  <c r="AP212" i="5" s="1"/>
  <c r="AA223" i="5"/>
  <c r="AP223" i="5" s="1"/>
  <c r="AA245" i="5"/>
  <c r="AP245" i="5" s="1"/>
  <c r="AA276" i="5"/>
  <c r="AP276" i="5" s="1"/>
  <c r="AA305" i="5"/>
  <c r="AP305" i="5" s="1"/>
  <c r="AA332" i="5"/>
  <c r="AP332" i="5" s="1"/>
  <c r="AA421" i="5"/>
  <c r="AP421" i="5" s="1"/>
  <c r="AA425" i="5"/>
  <c r="AP425" i="5" s="1"/>
  <c r="E28" i="9" a="1"/>
  <c r="E28" i="9" s="1"/>
  <c r="E41" i="9" a="1"/>
  <c r="E41" i="9" s="1"/>
  <c r="AE28" i="10"/>
  <c r="J43" i="11"/>
  <c r="J31" i="11"/>
  <c r="H31" i="11" s="1"/>
  <c r="K43" i="11"/>
  <c r="K31" i="11"/>
  <c r="J43" i="12"/>
  <c r="J31" i="12"/>
  <c r="H31" i="12" s="1"/>
  <c r="AA495" i="5"/>
  <c r="AP495" i="5" s="1"/>
  <c r="AT495" i="5"/>
  <c r="AS52" i="5"/>
  <c r="AS132" i="5"/>
  <c r="AS180" i="5"/>
  <c r="AT475" i="5"/>
  <c r="AA499" i="5"/>
  <c r="AP499" i="5" s="1"/>
  <c r="AR71" i="5"/>
  <c r="AS30" i="5"/>
  <c r="AS31" i="5"/>
  <c r="AS44" i="5"/>
  <c r="AS58" i="5"/>
  <c r="AS59" i="5"/>
  <c r="AS74" i="5"/>
  <c r="AS86" i="5"/>
  <c r="AS94" i="5"/>
  <c r="AS99" i="5"/>
  <c r="AS107" i="5"/>
  <c r="AS123" i="5"/>
  <c r="AS130" i="5"/>
  <c r="AS133" i="5"/>
  <c r="AS142" i="5"/>
  <c r="AS155" i="5"/>
  <c r="AS156" i="5"/>
  <c r="AS161" i="5"/>
  <c r="AS164" i="5"/>
  <c r="AS196" i="5"/>
  <c r="AA211" i="5"/>
  <c r="AP211" i="5" s="1"/>
  <c r="AS211" i="5"/>
  <c r="AA216" i="5"/>
  <c r="AP216" i="5" s="1"/>
  <c r="AA231" i="5"/>
  <c r="AP231" i="5" s="1"/>
  <c r="AA236" i="5"/>
  <c r="AP236" i="5" s="1"/>
  <c r="AA259" i="5"/>
  <c r="AP259" i="5" s="1"/>
  <c r="AS259" i="5"/>
  <c r="AA268" i="5"/>
  <c r="AP268" i="5" s="1"/>
  <c r="AS271" i="5"/>
  <c r="AA287" i="5"/>
  <c r="AP287" i="5" s="1"/>
  <c r="AS287" i="5"/>
  <c r="AT287" i="5"/>
  <c r="AA293" i="5"/>
  <c r="AP293" i="5" s="1"/>
  <c r="AS293" i="5"/>
  <c r="AS327" i="5"/>
  <c r="AA428" i="5"/>
  <c r="AP428" i="5" s="1"/>
  <c r="AT428" i="5"/>
  <c r="AS440" i="5"/>
  <c r="AA442" i="5"/>
  <c r="AP442" i="5" s="1"/>
  <c r="AS190" i="5"/>
  <c r="AS255" i="5"/>
  <c r="AR88" i="5"/>
  <c r="AS17" i="5"/>
  <c r="AS80" i="5"/>
  <c r="AS83" i="5"/>
  <c r="AS101" i="5"/>
  <c r="AS102" i="5"/>
  <c r="AS117" i="5"/>
  <c r="AS122" i="5"/>
  <c r="AS139" i="5"/>
  <c r="AS165" i="5"/>
  <c r="AS170" i="5"/>
  <c r="AS173" i="5"/>
  <c r="AS174" i="5"/>
  <c r="AS201" i="5"/>
  <c r="AS205" i="5"/>
  <c r="AS215" i="5"/>
  <c r="AT251" i="5"/>
  <c r="AA263" i="5"/>
  <c r="AP263" i="5" s="1"/>
  <c r="AS263" i="5"/>
  <c r="AS276" i="5"/>
  <c r="AA279" i="5"/>
  <c r="AP279" i="5" s="1"/>
  <c r="AS279" i="5"/>
  <c r="AT279" i="5"/>
  <c r="AA284" i="5"/>
  <c r="AP284" i="5" s="1"/>
  <c r="AA299" i="5"/>
  <c r="AP299" i="5" s="1"/>
  <c r="AS300" i="5"/>
  <c r="AA315" i="5"/>
  <c r="AP315" i="5" s="1"/>
  <c r="AS316" i="5"/>
  <c r="AS318" i="5"/>
  <c r="AS339" i="5"/>
  <c r="AS347" i="5"/>
  <c r="AS355" i="5"/>
  <c r="AA397" i="5"/>
  <c r="AP397" i="5" s="1"/>
  <c r="AT397" i="5"/>
  <c r="AS429" i="5"/>
  <c r="AS227" i="5"/>
  <c r="AS228" i="5"/>
  <c r="AA232" i="5"/>
  <c r="AP232" i="5" s="1"/>
  <c r="AS237" i="5"/>
  <c r="AS239" i="5"/>
  <c r="AS243" i="5"/>
  <c r="AS257" i="5"/>
  <c r="AS262" i="5"/>
  <c r="AA265" i="5"/>
  <c r="AP265" i="5" s="1"/>
  <c r="AA275" i="5"/>
  <c r="AP275" i="5" s="1"/>
  <c r="AS280" i="5"/>
  <c r="AA289" i="5"/>
  <c r="AP289" i="5" s="1"/>
  <c r="AA308" i="5"/>
  <c r="AP308" i="5" s="1"/>
  <c r="AS311" i="5"/>
  <c r="AA319" i="5"/>
  <c r="AP319" i="5" s="1"/>
  <c r="AS319" i="5"/>
  <c r="AS321" i="5"/>
  <c r="AS325" i="5"/>
  <c r="AA329" i="5"/>
  <c r="AP329" i="5" s="1"/>
  <c r="AA331" i="5"/>
  <c r="AP331" i="5" s="1"/>
  <c r="AS335" i="5"/>
  <c r="AS343" i="5"/>
  <c r="AS351" i="5"/>
  <c r="AS359" i="5"/>
  <c r="AA378" i="5"/>
  <c r="AP378" i="5" s="1"/>
  <c r="AS398" i="5"/>
  <c r="AS413" i="5"/>
  <c r="AT417" i="5"/>
  <c r="AS448" i="5"/>
  <c r="AS453" i="5"/>
  <c r="AS467" i="5"/>
  <c r="AS469" i="5"/>
  <c r="AS472" i="5"/>
  <c r="AA484" i="5"/>
  <c r="AP484" i="5" s="1"/>
  <c r="AS324" i="5"/>
  <c r="AS332" i="5"/>
  <c r="AS337" i="5"/>
  <c r="AS345" i="5"/>
  <c r="AS353" i="5"/>
  <c r="AS361" i="5"/>
  <c r="AS367" i="5"/>
  <c r="AS369" i="5"/>
  <c r="AS371" i="5"/>
  <c r="AS377" i="5"/>
  <c r="AA413" i="5"/>
  <c r="AP413" i="5" s="1"/>
  <c r="AT413" i="5"/>
  <c r="AA467" i="5"/>
  <c r="AP467" i="5" s="1"/>
  <c r="AT467" i="5"/>
  <c r="AS475" i="5"/>
  <c r="AS476" i="5"/>
  <c r="AA487" i="5"/>
  <c r="AP487" i="5" s="1"/>
  <c r="AA491" i="5"/>
  <c r="AP491" i="5" s="1"/>
  <c r="AS357" i="5"/>
  <c r="AS365" i="5"/>
  <c r="AS368" i="5"/>
  <c r="AS374" i="5"/>
  <c r="AS376" i="5"/>
  <c r="AS381" i="5"/>
  <c r="AS385" i="5"/>
  <c r="AA386" i="5"/>
  <c r="AP386" i="5" s="1"/>
  <c r="AS389" i="5"/>
  <c r="AS390" i="5"/>
  <c r="AS392" i="5"/>
  <c r="AS401" i="5"/>
  <c r="AA402" i="5"/>
  <c r="AP402" i="5" s="1"/>
  <c r="AS405" i="5"/>
  <c r="AS406" i="5"/>
  <c r="AA409" i="5"/>
  <c r="AP409" i="5" s="1"/>
  <c r="AS417" i="5"/>
  <c r="AA418" i="5"/>
  <c r="AP418" i="5" s="1"/>
  <c r="AS421" i="5"/>
  <c r="AS425" i="5"/>
  <c r="AA426" i="5"/>
  <c r="AP426" i="5" s="1"/>
  <c r="AS432" i="5"/>
  <c r="AA441" i="5"/>
  <c r="AP441" i="5" s="1"/>
  <c r="AS444" i="5"/>
  <c r="AA445" i="5"/>
  <c r="AP445" i="5" s="1"/>
  <c r="AA449" i="5"/>
  <c r="AP449" i="5" s="1"/>
  <c r="AS452" i="5"/>
  <c r="AS456" i="5"/>
  <c r="AS479" i="5"/>
  <c r="AS480" i="5"/>
  <c r="AA483" i="5"/>
  <c r="AP483" i="5" s="1"/>
  <c r="AT491" i="5"/>
  <c r="AS495" i="5"/>
  <c r="AS496" i="5"/>
  <c r="AS500" i="5"/>
  <c r="AQ367" i="5"/>
  <c r="AR367" i="5"/>
  <c r="AQ371" i="5"/>
  <c r="AR371" i="5"/>
  <c r="AR503" i="5"/>
  <c r="AQ503" i="5"/>
  <c r="AR7" i="5"/>
  <c r="AT7" i="5"/>
  <c r="AS8" i="5"/>
  <c r="AS11" i="5"/>
  <c r="AS15" i="5"/>
  <c r="AS16" i="5"/>
  <c r="AS19" i="5"/>
  <c r="AS20" i="5"/>
  <c r="AR22" i="5"/>
  <c r="AS23" i="5"/>
  <c r="AS24" i="5"/>
  <c r="AS27" i="5"/>
  <c r="AS35" i="5"/>
  <c r="AR36" i="5"/>
  <c r="AS37" i="5"/>
  <c r="AR37" i="5"/>
  <c r="AS39" i="5"/>
  <c r="AR40" i="5"/>
  <c r="AS43" i="5"/>
  <c r="AR44" i="5"/>
  <c r="AT47" i="5"/>
  <c r="AS48" i="5"/>
  <c r="AS51" i="5"/>
  <c r="AS56" i="5"/>
  <c r="AS60" i="5"/>
  <c r="AS63" i="5"/>
  <c r="AR66" i="5"/>
  <c r="AR67" i="5"/>
  <c r="AS70" i="5"/>
  <c r="AR70" i="5"/>
  <c r="AS82" i="5"/>
  <c r="AR87" i="5"/>
  <c r="AQ88" i="5"/>
  <c r="AR91" i="5"/>
  <c r="AS92" i="5"/>
  <c r="AQ92" i="5"/>
  <c r="AR95" i="5"/>
  <c r="AS96" i="5"/>
  <c r="AR96" i="5"/>
  <c r="AS104" i="5"/>
  <c r="AR104" i="5"/>
  <c r="AR106" i="5"/>
  <c r="AS110" i="5"/>
  <c r="AR110" i="5"/>
  <c r="AS111" i="5"/>
  <c r="AR115" i="5"/>
  <c r="AS121" i="5"/>
  <c r="AS126" i="5"/>
  <c r="AS129" i="5"/>
  <c r="AR135" i="5"/>
  <c r="AS138" i="5"/>
  <c r="AS140" i="5"/>
  <c r="AQ141" i="5"/>
  <c r="AR143" i="5"/>
  <c r="AS144" i="5"/>
  <c r="AQ145" i="5"/>
  <c r="AR154" i="5"/>
  <c r="AT155" i="5"/>
  <c r="AR156" i="5"/>
  <c r="AS157" i="5"/>
  <c r="AT159" i="5"/>
  <c r="AS162" i="5"/>
  <c r="AR169" i="5"/>
  <c r="AS171" i="5"/>
  <c r="AS177" i="5"/>
  <c r="AR189" i="5"/>
  <c r="AQ193" i="5"/>
  <c r="AS198" i="5"/>
  <c r="AS202" i="5"/>
  <c r="AS204" i="5"/>
  <c r="AT204" i="5"/>
  <c r="AS207" i="5"/>
  <c r="AS217" i="5"/>
  <c r="AR221" i="5"/>
  <c r="AS222" i="5"/>
  <c r="AT223" i="5"/>
  <c r="AT236" i="5"/>
  <c r="AS238" i="5"/>
  <c r="AR240" i="5"/>
  <c r="AR250" i="5"/>
  <c r="AR258" i="5"/>
  <c r="AR263" i="5"/>
  <c r="AR270" i="5"/>
  <c r="AR271" i="5"/>
  <c r="AR305" i="5"/>
  <c r="AS309" i="5"/>
  <c r="AS320" i="5"/>
  <c r="AR368" i="5"/>
  <c r="AR381" i="5"/>
  <c r="AR395" i="5"/>
  <c r="AR421" i="5"/>
  <c r="AR435" i="5"/>
  <c r="AR437" i="5"/>
  <c r="AR450" i="5"/>
  <c r="AR471" i="5"/>
  <c r="AR485" i="5"/>
  <c r="AR500" i="5"/>
  <c r="B39" i="19"/>
  <c r="D39" i="19" s="1"/>
  <c r="B37" i="19"/>
  <c r="D37" i="19" s="1"/>
  <c r="F5" i="10"/>
  <c r="O6" i="9"/>
  <c r="F4" i="10"/>
  <c r="O21" i="9"/>
  <c r="O20" i="9"/>
  <c r="O19" i="9"/>
  <c r="I19" i="9" s="1" a="1"/>
  <c r="I19" i="9" s="1"/>
  <c r="O12" i="9"/>
  <c r="O10" i="9"/>
  <c r="O8" i="9"/>
  <c r="O22" i="9"/>
  <c r="K22" i="9" s="1" a="1"/>
  <c r="K22" i="9" s="1"/>
  <c r="O17" i="9"/>
  <c r="O15" i="9"/>
  <c r="E15" i="9" s="1" a="1"/>
  <c r="E15" i="9" s="1"/>
  <c r="P20" i="7"/>
  <c r="C20" i="7" s="1" a="1"/>
  <c r="C20" i="7" s="1"/>
  <c r="P18" i="7"/>
  <c r="P16" i="7"/>
  <c r="P14" i="7"/>
  <c r="G14" i="7" s="1" a="1"/>
  <c r="G14" i="7" s="1"/>
  <c r="O23" i="9"/>
  <c r="P12" i="7"/>
  <c r="P10" i="7"/>
  <c r="P8" i="7"/>
  <c r="E8" i="7" s="1" a="1"/>
  <c r="E8" i="7" s="1"/>
  <c r="P6" i="7"/>
  <c r="AR376" i="5"/>
  <c r="AQ376" i="5"/>
  <c r="AQ388" i="5"/>
  <c r="AR388" i="5"/>
  <c r="AQ396" i="5"/>
  <c r="AR396" i="5"/>
  <c r="AQ408" i="5"/>
  <c r="AR408" i="5"/>
  <c r="AQ412" i="5"/>
  <c r="AR412" i="5"/>
  <c r="AR424" i="5"/>
  <c r="AQ424" i="5"/>
  <c r="AQ432" i="5"/>
  <c r="AR432" i="5"/>
  <c r="AR51" i="5"/>
  <c r="AR32" i="5"/>
  <c r="AR34" i="5"/>
  <c r="AR102" i="5"/>
  <c r="AR80" i="5"/>
  <c r="AR82" i="5"/>
  <c r="AR111" i="5"/>
  <c r="AR112" i="5"/>
  <c r="AR132" i="5"/>
  <c r="AQ133" i="5"/>
  <c r="AR147" i="5"/>
  <c r="AR162" i="5"/>
  <c r="AR164" i="5"/>
  <c r="AR167" i="5"/>
  <c r="AR180" i="5"/>
  <c r="AR184" i="5"/>
  <c r="AR191" i="5"/>
  <c r="AR204" i="5"/>
  <c r="AR209" i="5"/>
  <c r="AR217" i="5"/>
  <c r="AR222" i="5"/>
  <c r="AR224" i="5"/>
  <c r="AR239" i="5"/>
  <c r="AR252" i="5"/>
  <c r="AR260" i="5"/>
  <c r="AR280" i="5"/>
  <c r="AR286" i="5"/>
  <c r="AA292" i="5"/>
  <c r="AP292" i="5" s="1"/>
  <c r="AT292" i="5"/>
  <c r="AR292" i="5"/>
  <c r="AR309" i="5"/>
  <c r="AR320" i="5"/>
  <c r="AR322" i="5"/>
  <c r="AR327" i="5"/>
  <c r="AR328" i="5"/>
  <c r="AR336" i="5"/>
  <c r="AR340" i="5"/>
  <c r="AR344" i="5"/>
  <c r="AR348" i="5"/>
  <c r="AR352" i="5"/>
  <c r="AR356" i="5"/>
  <c r="AR360" i="5"/>
  <c r="AR364" i="5"/>
  <c r="AR372" i="5"/>
  <c r="AR378" i="5"/>
  <c r="AR466" i="5"/>
  <c r="AR469" i="5"/>
  <c r="AR488" i="5"/>
  <c r="AR392" i="5"/>
  <c r="AQ392" i="5"/>
  <c r="AQ404" i="5"/>
  <c r="AR404" i="5"/>
  <c r="AR416" i="5"/>
  <c r="AQ416" i="5"/>
  <c r="AR46" i="5"/>
  <c r="AT51" i="5"/>
  <c r="C13" i="12"/>
  <c r="C9" i="12"/>
  <c r="C7" i="11"/>
  <c r="C16" i="12"/>
  <c r="C17" i="12" s="1"/>
  <c r="C12" i="12"/>
  <c r="C8" i="12"/>
  <c r="C18" i="11"/>
  <c r="C10" i="11"/>
  <c r="C7" i="12"/>
  <c r="C13" i="11"/>
  <c r="C9" i="11"/>
  <c r="C18" i="12"/>
  <c r="C10" i="12"/>
  <c r="C11" i="12" s="1"/>
  <c r="C16" i="11"/>
  <c r="C17" i="11" s="1"/>
  <c r="C12" i="11"/>
  <c r="C8" i="11"/>
  <c r="AR13" i="5"/>
  <c r="AS14" i="5"/>
  <c r="AS18" i="5"/>
  <c r="AS22" i="5"/>
  <c r="AS33" i="5"/>
  <c r="AS41" i="5"/>
  <c r="AQ41" i="5"/>
  <c r="AS45" i="5"/>
  <c r="AQ45" i="5"/>
  <c r="AR48" i="5"/>
  <c r="AS64" i="5"/>
  <c r="AS69" i="5"/>
  <c r="AQ71" i="5"/>
  <c r="AS78" i="5"/>
  <c r="AS89" i="5"/>
  <c r="AS93" i="5"/>
  <c r="AS98" i="5"/>
  <c r="AR98" i="5"/>
  <c r="AR108" i="5"/>
  <c r="AS113" i="5"/>
  <c r="AS118" i="5"/>
  <c r="AR118" i="5"/>
  <c r="AR123" i="5"/>
  <c r="AS125" i="5"/>
  <c r="AS131" i="5"/>
  <c r="AS136" i="5"/>
  <c r="AR144" i="5"/>
  <c r="AS147" i="5"/>
  <c r="AS150" i="5"/>
  <c r="AR157" i="5"/>
  <c r="AS159" i="5"/>
  <c r="AQ159" i="5"/>
  <c r="AR160" i="5"/>
  <c r="AS163" i="5"/>
  <c r="AS167" i="5"/>
  <c r="AR170" i="5"/>
  <c r="AT171" i="5"/>
  <c r="AS175" i="5"/>
  <c r="AR185" i="5"/>
  <c r="AR188" i="5"/>
  <c r="AQ197" i="5"/>
  <c r="AA206" i="5"/>
  <c r="AP206" i="5" s="1"/>
  <c r="AS206" i="5"/>
  <c r="AR206" i="5"/>
  <c r="AT207" i="5"/>
  <c r="AA208" i="5"/>
  <c r="AP208" i="5" s="1"/>
  <c r="AR208" i="5"/>
  <c r="AA210" i="5"/>
  <c r="AP210" i="5" s="1"/>
  <c r="AS210" i="5"/>
  <c r="AR210" i="5"/>
  <c r="AT211" i="5"/>
  <c r="AT212" i="5"/>
  <c r="AS213" i="5"/>
  <c r="AR219" i="5"/>
  <c r="AA220" i="5"/>
  <c r="AP220" i="5" s="1"/>
  <c r="AS236" i="5"/>
  <c r="AT245" i="5"/>
  <c r="AR246" i="5"/>
  <c r="AS248" i="5"/>
  <c r="AT248" i="5"/>
  <c r="AA249" i="5"/>
  <c r="AP249" i="5" s="1"/>
  <c r="AR249" i="5"/>
  <c r="AA255" i="5"/>
  <c r="AP255" i="5" s="1"/>
  <c r="AT255" i="5"/>
  <c r="AR255" i="5"/>
  <c r="AR257" i="5"/>
  <c r="AT281" i="5"/>
  <c r="AR289" i="5"/>
  <c r="AR291" i="5"/>
  <c r="AT293" i="5"/>
  <c r="AS295" i="5"/>
  <c r="AA300" i="5"/>
  <c r="AP300" i="5" s="1"/>
  <c r="AT300" i="5"/>
  <c r="AR300" i="5"/>
  <c r="AR301" i="5"/>
  <c r="AR311" i="5"/>
  <c r="AR316" i="5"/>
  <c r="AT316" i="5"/>
  <c r="AR319" i="5"/>
  <c r="AR335" i="5"/>
  <c r="AR339" i="5"/>
  <c r="AR343" i="5"/>
  <c r="AR347" i="5"/>
  <c r="AR351" i="5"/>
  <c r="AR355" i="5"/>
  <c r="AR359" i="5"/>
  <c r="AR363" i="5"/>
  <c r="AR373" i="5"/>
  <c r="AR379" i="5"/>
  <c r="AR387" i="5"/>
  <c r="AR403" i="5"/>
  <c r="AR420" i="5"/>
  <c r="AR431" i="5"/>
  <c r="AR384" i="5"/>
  <c r="AQ384" i="5"/>
  <c r="AR400" i="5"/>
  <c r="AQ400" i="5"/>
  <c r="AR16" i="5"/>
  <c r="AR326" i="5"/>
  <c r="AQ326" i="5"/>
  <c r="AR334" i="5"/>
  <c r="AQ334" i="5"/>
  <c r="AR338" i="5"/>
  <c r="AQ338" i="5"/>
  <c r="AR342" i="5"/>
  <c r="AQ342" i="5"/>
  <c r="AR346" i="5"/>
  <c r="AQ346" i="5"/>
  <c r="AR350" i="5"/>
  <c r="AQ350" i="5"/>
  <c r="AR354" i="5"/>
  <c r="AQ354" i="5"/>
  <c r="AR358" i="5"/>
  <c r="AQ358" i="5"/>
  <c r="AR362" i="5"/>
  <c r="AQ362" i="5"/>
  <c r="AR366" i="5"/>
  <c r="AQ366" i="5"/>
  <c r="AR370" i="5"/>
  <c r="AQ370" i="5"/>
  <c r="AQ474" i="5"/>
  <c r="AR474" i="5"/>
  <c r="AQ478" i="5"/>
  <c r="AR478" i="5"/>
  <c r="AQ494" i="5"/>
  <c r="AR494" i="5"/>
  <c r="AR498" i="5"/>
  <c r="AQ498" i="5"/>
  <c r="AS5" i="5"/>
  <c r="B41" i="19" s="1"/>
  <c r="D41" i="19" s="1"/>
  <c r="AR15" i="5"/>
  <c r="AR23" i="5"/>
  <c r="AS28" i="5"/>
  <c r="AS32" i="5"/>
  <c r="AR35" i="5"/>
  <c r="AS36" i="5"/>
  <c r="AR38" i="5"/>
  <c r="AS42" i="5"/>
  <c r="AS46" i="5"/>
  <c r="AS53" i="5"/>
  <c r="AR60" i="5"/>
  <c r="AS66" i="5"/>
  <c r="AR72" i="5"/>
  <c r="AR83" i="5"/>
  <c r="AR84" i="5"/>
  <c r="AR86" i="5"/>
  <c r="AS87" i="5"/>
  <c r="AR90" i="5"/>
  <c r="AR94" i="5"/>
  <c r="AS95" i="5"/>
  <c r="AR114" i="5"/>
  <c r="AS115" i="5"/>
  <c r="AR119" i="5"/>
  <c r="AR120" i="5"/>
  <c r="AR137" i="5"/>
  <c r="AS141" i="5"/>
  <c r="AS145" i="5"/>
  <c r="AR148" i="5"/>
  <c r="AR161" i="5"/>
  <c r="AT167" i="5"/>
  <c r="AR172" i="5"/>
  <c r="AR173" i="5"/>
  <c r="AT175" i="5"/>
  <c r="AS178" i="5"/>
  <c r="AR192" i="5"/>
  <c r="AS193" i="5"/>
  <c r="AR195" i="5"/>
  <c r="AR212" i="5"/>
  <c r="AR213" i="5"/>
  <c r="AA215" i="5"/>
  <c r="AP215" i="5" s="1"/>
  <c r="AT215" i="5"/>
  <c r="AR215" i="5"/>
  <c r="AT216" i="5"/>
  <c r="AR218" i="5"/>
  <c r="AR220" i="5"/>
  <c r="AR230" i="5"/>
  <c r="AR233" i="5"/>
  <c r="AR241" i="5"/>
  <c r="AR242" i="5"/>
  <c r="AR245" i="5"/>
  <c r="AR248" i="5"/>
  <c r="AR256" i="5"/>
  <c r="AR264" i="5"/>
  <c r="AR269" i="5"/>
  <c r="AR272" i="5"/>
  <c r="AR278" i="5"/>
  <c r="AR281" i="5"/>
  <c r="AR285" i="5"/>
  <c r="AR288" i="5"/>
  <c r="AR290" i="5"/>
  <c r="AR293" i="5"/>
  <c r="AR295" i="5"/>
  <c r="AT295" i="5"/>
  <c r="AR297" i="5"/>
  <c r="AR310" i="5"/>
  <c r="AR380" i="5"/>
  <c r="AR418" i="5"/>
  <c r="AR426" i="5"/>
  <c r="AR434" i="5"/>
  <c r="AR449" i="5"/>
  <c r="AR470" i="5"/>
  <c r="AS373" i="5"/>
  <c r="AT381" i="5"/>
  <c r="AR386" i="5"/>
  <c r="AR389" i="5"/>
  <c r="AR394" i="5"/>
  <c r="AR397" i="5"/>
  <c r="AR402" i="5"/>
  <c r="AR405" i="5"/>
  <c r="AR407" i="5"/>
  <c r="AR409" i="5"/>
  <c r="AR411" i="5"/>
  <c r="AR413" i="5"/>
  <c r="AR415" i="5"/>
  <c r="AT418" i="5"/>
  <c r="AR423" i="5"/>
  <c r="AT426" i="5"/>
  <c r="AR428" i="5"/>
  <c r="AR430" i="5"/>
  <c r="AR433" i="5"/>
  <c r="AR442" i="5"/>
  <c r="AR445" i="5"/>
  <c r="AR447" i="5"/>
  <c r="AT449" i="5"/>
  <c r="AR451" i="5"/>
  <c r="AR455" i="5"/>
  <c r="AR461" i="5"/>
  <c r="AR462" i="5"/>
  <c r="AR465" i="5"/>
  <c r="AR467" i="5"/>
  <c r="AR473" i="5"/>
  <c r="AR475" i="5"/>
  <c r="AR477" i="5"/>
  <c r="AR479" i="5"/>
  <c r="AR481" i="5"/>
  <c r="AR484" i="5"/>
  <c r="AT488" i="5"/>
  <c r="AR490" i="5"/>
  <c r="AR491" i="5"/>
  <c r="AR493" i="5"/>
  <c r="AR495" i="5"/>
  <c r="AA500" i="5"/>
  <c r="AP500" i="5" s="1"/>
  <c r="AT500" i="5"/>
  <c r="AR501" i="5"/>
  <c r="P17" i="7"/>
  <c r="P19" i="7"/>
  <c r="I19" i="7" s="1" a="1"/>
  <c r="I19" i="7" s="1"/>
  <c r="P21" i="7"/>
  <c r="P23" i="7"/>
  <c r="G23" i="7" s="1" a="1"/>
  <c r="G23" i="7" s="1"/>
  <c r="AL109" i="8"/>
  <c r="AI109" i="8"/>
  <c r="AG109" i="8"/>
  <c r="AF109" i="8"/>
  <c r="AD109" i="8"/>
  <c r="AB109" i="8"/>
  <c r="Y109" i="8"/>
  <c r="AL105" i="8"/>
  <c r="AI105" i="8"/>
  <c r="AF105" i="8"/>
  <c r="AD105" i="8"/>
  <c r="AC105" i="8"/>
  <c r="AB105" i="8"/>
  <c r="Y105" i="8"/>
  <c r="AM101" i="8"/>
  <c r="AL101" i="8"/>
  <c r="AJ101" i="8"/>
  <c r="AI101" i="8"/>
  <c r="AG101" i="8"/>
  <c r="AF101" i="8"/>
  <c r="AD101" i="8"/>
  <c r="AC101" i="8"/>
  <c r="AB101" i="8"/>
  <c r="Z101" i="8"/>
  <c r="Y101" i="8"/>
  <c r="AM97" i="8"/>
  <c r="AL97" i="8"/>
  <c r="AJ97" i="8"/>
  <c r="AI97" i="8"/>
  <c r="AG97" i="8"/>
  <c r="AF97" i="8"/>
  <c r="AD97" i="8"/>
  <c r="AC97" i="8"/>
  <c r="AB97" i="8"/>
  <c r="Z97" i="8"/>
  <c r="Y97" i="8"/>
  <c r="AM93" i="8"/>
  <c r="AL93" i="8"/>
  <c r="AJ93" i="8"/>
  <c r="AI93" i="8"/>
  <c r="AG93" i="8"/>
  <c r="AF93" i="8"/>
  <c r="AD93" i="8"/>
  <c r="AC93" i="8"/>
  <c r="AB93" i="8"/>
  <c r="Z93" i="8"/>
  <c r="Y93" i="8"/>
  <c r="W93" i="8"/>
  <c r="AM89" i="8"/>
  <c r="AL89" i="8"/>
  <c r="AJ89" i="8"/>
  <c r="AI89" i="8"/>
  <c r="AG89" i="8"/>
  <c r="AF89" i="8"/>
  <c r="AD89" i="8"/>
  <c r="AC89" i="8"/>
  <c r="AB89" i="8"/>
  <c r="Z89" i="8"/>
  <c r="Y89" i="8"/>
  <c r="W89" i="8"/>
  <c r="AM85" i="8"/>
  <c r="AL85" i="8"/>
  <c r="AJ85" i="8"/>
  <c r="AI85" i="8"/>
  <c r="AG85" i="8"/>
  <c r="AF85" i="8"/>
  <c r="AD85" i="8"/>
  <c r="AC85" i="8"/>
  <c r="AB85" i="8"/>
  <c r="Z85" i="8"/>
  <c r="Y85" i="8"/>
  <c r="W85" i="8"/>
  <c r="AM81" i="8"/>
  <c r="AL81" i="8"/>
  <c r="AJ81" i="8"/>
  <c r="AI81" i="8"/>
  <c r="AG81" i="8"/>
  <c r="AF81" i="8"/>
  <c r="AD81" i="8"/>
  <c r="AC81" i="8"/>
  <c r="AB81" i="8"/>
  <c r="Z81" i="8"/>
  <c r="Y81" i="8"/>
  <c r="W81" i="8"/>
  <c r="AM77" i="8"/>
  <c r="AL77" i="8"/>
  <c r="AJ77" i="8"/>
  <c r="AI77" i="8"/>
  <c r="AG77" i="8"/>
  <c r="AF77" i="8"/>
  <c r="AD77" i="8"/>
  <c r="AC77" i="8"/>
  <c r="AB77" i="8"/>
  <c r="Z77" i="8"/>
  <c r="Y77" i="8"/>
  <c r="W77" i="8"/>
  <c r="AM73" i="8"/>
  <c r="AL73" i="8"/>
  <c r="AJ73" i="8"/>
  <c r="AI73" i="8"/>
  <c r="AG73" i="8"/>
  <c r="AF73" i="8"/>
  <c r="AD73" i="8"/>
  <c r="AC73" i="8"/>
  <c r="AB73" i="8"/>
  <c r="Z73" i="8"/>
  <c r="Y73" i="8"/>
  <c r="W73" i="8"/>
  <c r="AM69" i="8"/>
  <c r="AL69" i="8"/>
  <c r="AJ69" i="8"/>
  <c r="AI69" i="8"/>
  <c r="AG69" i="8"/>
  <c r="AF69" i="8"/>
  <c r="AD69" i="8"/>
  <c r="AC69" i="8"/>
  <c r="AB69" i="8"/>
  <c r="Z69" i="8"/>
  <c r="Y69" i="8"/>
  <c r="W69" i="8"/>
  <c r="AM65" i="8"/>
  <c r="AL65" i="8"/>
  <c r="AJ65" i="8"/>
  <c r="AI65" i="8"/>
  <c r="AG65" i="8"/>
  <c r="AF65" i="8"/>
  <c r="AD65" i="8"/>
  <c r="AC65" i="8"/>
  <c r="AB65" i="8"/>
  <c r="Z65" i="8"/>
  <c r="Y65" i="8"/>
  <c r="W65" i="8"/>
  <c r="AM61" i="8"/>
  <c r="AL61" i="8"/>
  <c r="AJ61" i="8"/>
  <c r="AI61" i="8"/>
  <c r="AG61" i="8"/>
  <c r="AF61" i="8"/>
  <c r="AD61" i="8"/>
  <c r="AC61" i="8"/>
  <c r="AB61" i="8"/>
  <c r="Z61" i="8"/>
  <c r="Y61" i="8"/>
  <c r="W61" i="8"/>
  <c r="AM57" i="8"/>
  <c r="AL57" i="8"/>
  <c r="AJ57" i="8"/>
  <c r="AI57" i="8"/>
  <c r="AG57" i="8"/>
  <c r="AF57" i="8"/>
  <c r="AD57" i="8"/>
  <c r="AC57" i="8"/>
  <c r="AB57" i="8"/>
  <c r="Z57" i="8"/>
  <c r="Y57" i="8"/>
  <c r="W57" i="8"/>
  <c r="AM53" i="8"/>
  <c r="AL53" i="8"/>
  <c r="AJ53" i="8"/>
  <c r="AI53" i="8"/>
  <c r="AG53" i="8"/>
  <c r="AF53" i="8"/>
  <c r="AD53" i="8"/>
  <c r="AC53" i="8"/>
  <c r="AB53" i="8"/>
  <c r="Z53" i="8"/>
  <c r="Y53" i="8"/>
  <c r="W53" i="8"/>
  <c r="AM49" i="8"/>
  <c r="AL49" i="8"/>
  <c r="AJ49" i="8"/>
  <c r="AI49" i="8"/>
  <c r="AG49" i="8"/>
  <c r="AF49" i="8"/>
  <c r="AD49" i="8"/>
  <c r="AC49" i="8"/>
  <c r="AB49" i="8"/>
  <c r="Z49" i="8"/>
  <c r="Y49" i="8"/>
  <c r="W49" i="8"/>
  <c r="AM45" i="8"/>
  <c r="AL45" i="8"/>
  <c r="AJ45" i="8"/>
  <c r="AI45" i="8"/>
  <c r="AG45" i="8"/>
  <c r="AF45" i="8"/>
  <c r="AD45" i="8"/>
  <c r="AC45" i="8"/>
  <c r="AB45" i="8"/>
  <c r="Z45" i="8"/>
  <c r="Y45" i="8"/>
  <c r="W45" i="8"/>
  <c r="AM41" i="8"/>
  <c r="AL41" i="8"/>
  <c r="AJ41" i="8"/>
  <c r="AI41" i="8"/>
  <c r="AG41" i="8"/>
  <c r="AF41" i="8"/>
  <c r="AD41" i="8"/>
  <c r="AC41" i="8"/>
  <c r="AB41" i="8"/>
  <c r="Z41" i="8"/>
  <c r="Y41" i="8"/>
  <c r="W41" i="8"/>
  <c r="AM37" i="8"/>
  <c r="AL37" i="8"/>
  <c r="AJ37" i="8"/>
  <c r="AI37" i="8"/>
  <c r="AG37" i="8"/>
  <c r="AF37" i="8"/>
  <c r="AD37" i="8"/>
  <c r="AC37" i="8"/>
  <c r="AB37" i="8"/>
  <c r="Z37" i="8"/>
  <c r="Y37" i="8"/>
  <c r="W37" i="8"/>
  <c r="AM33" i="8"/>
  <c r="AL33" i="8"/>
  <c r="AJ33" i="8"/>
  <c r="AI33" i="8"/>
  <c r="AG33" i="8"/>
  <c r="AF33" i="8"/>
  <c r="AD33" i="8"/>
  <c r="AC33" i="8"/>
  <c r="AB33" i="8"/>
  <c r="Z33" i="8"/>
  <c r="Y33" i="8"/>
  <c r="W33" i="8"/>
  <c r="AM29" i="8"/>
  <c r="AL29" i="8"/>
  <c r="AJ29" i="8"/>
  <c r="AI29" i="8"/>
  <c r="AG29" i="8"/>
  <c r="AF29" i="8"/>
  <c r="AD29" i="8"/>
  <c r="AC29" i="8"/>
  <c r="AB29" i="8"/>
  <c r="Z29" i="8"/>
  <c r="Y29" i="8"/>
  <c r="W29" i="8"/>
  <c r="AM25" i="8"/>
  <c r="AL25" i="8"/>
  <c r="AJ25" i="8"/>
  <c r="AI25" i="8"/>
  <c r="AG25" i="8"/>
  <c r="AF25" i="8"/>
  <c r="AD25" i="8"/>
  <c r="AC25" i="8"/>
  <c r="AB25" i="8"/>
  <c r="Z25" i="8"/>
  <c r="Y25" i="8"/>
  <c r="W25" i="8"/>
  <c r="AM21" i="8"/>
  <c r="AL21" i="8"/>
  <c r="AJ21" i="8"/>
  <c r="AI21" i="8"/>
  <c r="AG21" i="8"/>
  <c r="AF21" i="8"/>
  <c r="AD21" i="8"/>
  <c r="AC21" i="8"/>
  <c r="AB21" i="8"/>
  <c r="Z21" i="8"/>
  <c r="Y21" i="8"/>
  <c r="W21" i="8"/>
  <c r="AM17" i="8"/>
  <c r="AL17" i="8"/>
  <c r="AJ17" i="8"/>
  <c r="AI17" i="8"/>
  <c r="AG17" i="8"/>
  <c r="AF17" i="8"/>
  <c r="AD17" i="8"/>
  <c r="AC17" i="8"/>
  <c r="AB17" i="8"/>
  <c r="Z17" i="8"/>
  <c r="Y17" i="8"/>
  <c r="W17" i="8"/>
  <c r="AM13" i="8"/>
  <c r="AL13" i="8"/>
  <c r="AJ13" i="8"/>
  <c r="AI13" i="8"/>
  <c r="AG13" i="8"/>
  <c r="AF13" i="8"/>
  <c r="AD13" i="8"/>
  <c r="AC13" i="8"/>
  <c r="AB13" i="8"/>
  <c r="Z13" i="8"/>
  <c r="Y13" i="8"/>
  <c r="W13" i="8"/>
  <c r="N101" i="8"/>
  <c r="N97" i="8"/>
  <c r="N93" i="8"/>
  <c r="N89" i="8"/>
  <c r="N85" i="8"/>
  <c r="N81" i="8"/>
  <c r="N77" i="8"/>
  <c r="N73" i="8"/>
  <c r="N69" i="8"/>
  <c r="N65" i="8"/>
  <c r="N61" i="8"/>
  <c r="N57" i="8"/>
  <c r="N53" i="8"/>
  <c r="N49" i="8"/>
  <c r="N45" i="8"/>
  <c r="N41" i="8"/>
  <c r="N37" i="8"/>
  <c r="N33" i="8"/>
  <c r="N29" i="8"/>
  <c r="N25" i="8"/>
  <c r="N21" i="8"/>
  <c r="N17" i="8"/>
  <c r="N13" i="8"/>
  <c r="O109" i="8"/>
  <c r="C6" i="8" s="1"/>
  <c r="O105" i="8"/>
  <c r="O101" i="8"/>
  <c r="O97" i="8"/>
  <c r="O93" i="8"/>
  <c r="O89" i="8"/>
  <c r="O85" i="8"/>
  <c r="O81" i="8"/>
  <c r="O77" i="8"/>
  <c r="O73" i="8"/>
  <c r="O69" i="8"/>
  <c r="O65" i="8"/>
  <c r="O61" i="8"/>
  <c r="O57" i="8"/>
  <c r="O53" i="8"/>
  <c r="O49" i="8"/>
  <c r="O45" i="8"/>
  <c r="O41" i="8"/>
  <c r="O37" i="8"/>
  <c r="O33" i="8"/>
  <c r="O29" i="8"/>
  <c r="O25" i="8"/>
  <c r="O21" i="8"/>
  <c r="O17" i="8"/>
  <c r="O13" i="8"/>
  <c r="P101" i="8"/>
  <c r="P97" i="8"/>
  <c r="P93" i="8"/>
  <c r="P89" i="8"/>
  <c r="P85" i="8"/>
  <c r="P81" i="8"/>
  <c r="P77" i="8"/>
  <c r="P73" i="8"/>
  <c r="P69" i="8"/>
  <c r="P65" i="8"/>
  <c r="P61" i="8"/>
  <c r="P57" i="8"/>
  <c r="P53" i="8"/>
  <c r="P49" i="8"/>
  <c r="P45" i="8"/>
  <c r="P41" i="8"/>
  <c r="P37" i="8"/>
  <c r="P33" i="8"/>
  <c r="P29" i="8"/>
  <c r="P25" i="8"/>
  <c r="P21" i="8"/>
  <c r="P17" i="8"/>
  <c r="P13" i="8"/>
  <c r="S109" i="8"/>
  <c r="S105" i="8"/>
  <c r="S101" i="8"/>
  <c r="S97" i="8"/>
  <c r="S93" i="8"/>
  <c r="S89" i="8"/>
  <c r="S85" i="8"/>
  <c r="S81" i="8"/>
  <c r="S77" i="8"/>
  <c r="S73" i="8"/>
  <c r="S69" i="8"/>
  <c r="S65" i="8"/>
  <c r="S61" i="8"/>
  <c r="S57" i="8"/>
  <c r="S53" i="8"/>
  <c r="S49" i="8"/>
  <c r="S45" i="8"/>
  <c r="S41" i="8"/>
  <c r="S37" i="8"/>
  <c r="S33" i="8"/>
  <c r="S29" i="8"/>
  <c r="S25" i="8"/>
  <c r="S21" i="8"/>
  <c r="S17" i="8"/>
  <c r="S13" i="8"/>
  <c r="T105" i="8"/>
  <c r="T101" i="8"/>
  <c r="T97" i="8"/>
  <c r="T93" i="8"/>
  <c r="T89" i="8"/>
  <c r="T85" i="8"/>
  <c r="T81" i="8"/>
  <c r="T77" i="8"/>
  <c r="T73" i="8"/>
  <c r="T69" i="8"/>
  <c r="T65" i="8"/>
  <c r="T61" i="8"/>
  <c r="T57" i="8"/>
  <c r="T53" i="8"/>
  <c r="T49" i="8"/>
  <c r="T45" i="8"/>
  <c r="T41" i="8"/>
  <c r="T37" i="8"/>
  <c r="T33" i="8"/>
  <c r="T29" i="8"/>
  <c r="T25" i="8"/>
  <c r="T21" i="8"/>
  <c r="T17" i="8"/>
  <c r="T13" i="8"/>
  <c r="V109" i="8"/>
  <c r="V105" i="8"/>
  <c r="V101" i="8"/>
  <c r="V97" i="8"/>
  <c r="V93" i="8"/>
  <c r="V89" i="8"/>
  <c r="V85" i="8"/>
  <c r="V81" i="8"/>
  <c r="V77" i="8"/>
  <c r="V73" i="8"/>
  <c r="V69" i="8"/>
  <c r="V65" i="8"/>
  <c r="V61" i="8"/>
  <c r="V57" i="8"/>
  <c r="V53" i="8"/>
  <c r="V49" i="8"/>
  <c r="V45" i="8"/>
  <c r="V41" i="8"/>
  <c r="V37" i="8"/>
  <c r="V33" i="8"/>
  <c r="V29" i="8"/>
  <c r="V25" i="8"/>
  <c r="V21" i="8"/>
  <c r="V17" i="8"/>
  <c r="V13" i="8"/>
  <c r="W103" i="8"/>
  <c r="W98" i="8"/>
  <c r="W91" i="8"/>
  <c r="W83" i="8"/>
  <c r="W75" i="8"/>
  <c r="W67" i="8"/>
  <c r="W59" i="8"/>
  <c r="W51" i="8"/>
  <c r="W43" i="8"/>
  <c r="W35" i="8"/>
  <c r="W27" i="8"/>
  <c r="W19" i="8"/>
  <c r="W11" i="8"/>
  <c r="Y103" i="8"/>
  <c r="Y95" i="8"/>
  <c r="Y87" i="8"/>
  <c r="Y79" i="8"/>
  <c r="Y71" i="8"/>
  <c r="Y63" i="8"/>
  <c r="Y55" i="8"/>
  <c r="Y47" i="8"/>
  <c r="Y39" i="8"/>
  <c r="Y31" i="8"/>
  <c r="Y23" i="8"/>
  <c r="Y15" i="8"/>
  <c r="Z99" i="8"/>
  <c r="Z91" i="8"/>
  <c r="Z83" i="8"/>
  <c r="Z75" i="8"/>
  <c r="Z67" i="8"/>
  <c r="Z59" i="8"/>
  <c r="Z51" i="8"/>
  <c r="Z43" i="8"/>
  <c r="Z35" i="8"/>
  <c r="Z27" i="8"/>
  <c r="Z19" i="8"/>
  <c r="Z11" i="8"/>
  <c r="AB103" i="8"/>
  <c r="AB95" i="8"/>
  <c r="AB87" i="8"/>
  <c r="AB79" i="8"/>
  <c r="AB71" i="8"/>
  <c r="AB63" i="8"/>
  <c r="AB55" i="8"/>
  <c r="AB47" i="8"/>
  <c r="AB39" i="8"/>
  <c r="AB31" i="8"/>
  <c r="AB23" i="8"/>
  <c r="AB15" i="8"/>
  <c r="AC107" i="8"/>
  <c r="AC99" i="8"/>
  <c r="AC91" i="8"/>
  <c r="AC83" i="8"/>
  <c r="AC75" i="8"/>
  <c r="AC67" i="8"/>
  <c r="AC59" i="8"/>
  <c r="AC51" i="8"/>
  <c r="AC43" i="8"/>
  <c r="AC35" i="8"/>
  <c r="AC27" i="8"/>
  <c r="AC19" i="8"/>
  <c r="AC11" i="8"/>
  <c r="AD103" i="8"/>
  <c r="AD95" i="8"/>
  <c r="AD87" i="8"/>
  <c r="AD79" i="8"/>
  <c r="AD71" i="8"/>
  <c r="AD63" i="8"/>
  <c r="AD55" i="8"/>
  <c r="AD47" i="8"/>
  <c r="AD39" i="8"/>
  <c r="AD31" i="8"/>
  <c r="AD23" i="8"/>
  <c r="AD15" i="8"/>
  <c r="AF107" i="8"/>
  <c r="AF99" i="8"/>
  <c r="AF91" i="8"/>
  <c r="AF83" i="8"/>
  <c r="AF75" i="8"/>
  <c r="AF67" i="8"/>
  <c r="AF59" i="8"/>
  <c r="AF51" i="8"/>
  <c r="AF43" i="8"/>
  <c r="AF35" i="8"/>
  <c r="AF27" i="8"/>
  <c r="AF19" i="8"/>
  <c r="AF11" i="8"/>
  <c r="AG103" i="8"/>
  <c r="AG95" i="8"/>
  <c r="AG87" i="8"/>
  <c r="AG79" i="8"/>
  <c r="AG71" i="8"/>
  <c r="AG63" i="8"/>
  <c r="AG55" i="8"/>
  <c r="AG47" i="8"/>
  <c r="AG39" i="8"/>
  <c r="AG31" i="8"/>
  <c r="AG23" i="8"/>
  <c r="AG15" i="8"/>
  <c r="AI107" i="8"/>
  <c r="AI99" i="8"/>
  <c r="AI91" i="8"/>
  <c r="AI83" i="8"/>
  <c r="AI75" i="8"/>
  <c r="AI67" i="8"/>
  <c r="AI59" i="8"/>
  <c r="AI51" i="8"/>
  <c r="AI43" i="8"/>
  <c r="AI35" i="8"/>
  <c r="AI27" i="8"/>
  <c r="AI19" i="8"/>
  <c r="AI11" i="8"/>
  <c r="AJ103" i="8"/>
  <c r="AJ95" i="8"/>
  <c r="AJ87" i="8"/>
  <c r="AJ79" i="8"/>
  <c r="AJ71" i="8"/>
  <c r="AJ63" i="8"/>
  <c r="AJ55" i="8"/>
  <c r="AJ47" i="8"/>
  <c r="AJ39" i="8"/>
  <c r="AJ31" i="8"/>
  <c r="AJ23" i="8"/>
  <c r="AJ15" i="8"/>
  <c r="AL107" i="8"/>
  <c r="AL99" i="8"/>
  <c r="AL91" i="8"/>
  <c r="AL83" i="8"/>
  <c r="AL75" i="8"/>
  <c r="AL67" i="8"/>
  <c r="AL59" i="8"/>
  <c r="AL51" i="8"/>
  <c r="AL43" i="8"/>
  <c r="AL35" i="8"/>
  <c r="AL27" i="8"/>
  <c r="AL19" i="8"/>
  <c r="AL11" i="8"/>
  <c r="AM103" i="8"/>
  <c r="AM95" i="8"/>
  <c r="AM87" i="8"/>
  <c r="AM79" i="8"/>
  <c r="AM71" i="8"/>
  <c r="AM63" i="8"/>
  <c r="AM55" i="8"/>
  <c r="AM47" i="8"/>
  <c r="AM39" i="8"/>
  <c r="AM31" i="8"/>
  <c r="AM23" i="8"/>
  <c r="AM15" i="8"/>
  <c r="O7" i="9"/>
  <c r="K7" i="9" s="1" a="1"/>
  <c r="K7" i="9" s="1"/>
  <c r="O16" i="9"/>
  <c r="B16" i="9" s="1" a="1"/>
  <c r="B16" i="9" s="1"/>
  <c r="AC31" i="10"/>
  <c r="T31" i="10"/>
  <c r="P31" i="10"/>
  <c r="L31" i="10"/>
  <c r="H31" i="10"/>
  <c r="AB31" i="10"/>
  <c r="U31" i="10"/>
  <c r="Q31" i="10"/>
  <c r="M31" i="10"/>
  <c r="AC35" i="10"/>
  <c r="T35" i="10"/>
  <c r="P35" i="10"/>
  <c r="L35" i="10"/>
  <c r="H35" i="10"/>
  <c r="AB35" i="10"/>
  <c r="U35" i="10"/>
  <c r="Q35" i="10"/>
  <c r="M35" i="10"/>
  <c r="AC39" i="10"/>
  <c r="T39" i="10"/>
  <c r="P39" i="10"/>
  <c r="L39" i="10"/>
  <c r="H39" i="10"/>
  <c r="AB39" i="10"/>
  <c r="U39" i="10"/>
  <c r="Q39" i="10"/>
  <c r="M39" i="10"/>
  <c r="AC43" i="10"/>
  <c r="T43" i="10"/>
  <c r="P43" i="10"/>
  <c r="L43" i="10"/>
  <c r="H43" i="10"/>
  <c r="AB43" i="10"/>
  <c r="U43" i="10"/>
  <c r="Q43" i="10"/>
  <c r="M43" i="10"/>
  <c r="AC47" i="10"/>
  <c r="T47" i="10"/>
  <c r="P47" i="10"/>
  <c r="L47" i="10"/>
  <c r="H47" i="10"/>
  <c r="AB47" i="10"/>
  <c r="U47" i="10"/>
  <c r="Q47" i="10"/>
  <c r="M47" i="10"/>
  <c r="AC51" i="10"/>
  <c r="T51" i="10"/>
  <c r="P51" i="10"/>
  <c r="L51" i="10"/>
  <c r="H51" i="10"/>
  <c r="AB51" i="10"/>
  <c r="U51" i="10"/>
  <c r="Q51" i="10"/>
  <c r="M51" i="10"/>
  <c r="AC55" i="10"/>
  <c r="T55" i="10"/>
  <c r="P55" i="10"/>
  <c r="L55" i="10"/>
  <c r="H55" i="10"/>
  <c r="AB55" i="10"/>
  <c r="Q55" i="10"/>
  <c r="M55" i="10"/>
  <c r="H53" i="10"/>
  <c r="H37" i="10"/>
  <c r="L45" i="10"/>
  <c r="L29" i="10"/>
  <c r="N51" i="10"/>
  <c r="N35" i="10"/>
  <c r="P49" i="10"/>
  <c r="P33" i="10"/>
  <c r="R55" i="10"/>
  <c r="R39" i="10"/>
  <c r="V43" i="10"/>
  <c r="AR228" i="5"/>
  <c r="AA229" i="5"/>
  <c r="AP229" i="5" s="1"/>
  <c r="AS229" i="5"/>
  <c r="AT229" i="5"/>
  <c r="AS232" i="5"/>
  <c r="AS233" i="5"/>
  <c r="AA235" i="5"/>
  <c r="AP235" i="5" s="1"/>
  <c r="AS242" i="5"/>
  <c r="AS244" i="5"/>
  <c r="AS254" i="5"/>
  <c r="AS256" i="5"/>
  <c r="AR262" i="5"/>
  <c r="AS268" i="5"/>
  <c r="AT268" i="5"/>
  <c r="AA273" i="5"/>
  <c r="AP273" i="5" s="1"/>
  <c r="AT273" i="5"/>
  <c r="AS277" i="5"/>
  <c r="AR294" i="5"/>
  <c r="AS296" i="5"/>
  <c r="AR298" i="5"/>
  <c r="AA303" i="5"/>
  <c r="AP303" i="5" s="1"/>
  <c r="AS303" i="5"/>
  <c r="AS313" i="5"/>
  <c r="AR318" i="5"/>
  <c r="AR323" i="5"/>
  <c r="AA324" i="5"/>
  <c r="AP324" i="5" s="1"/>
  <c r="AR324" i="5"/>
  <c r="AS326" i="5"/>
  <c r="AS329" i="5"/>
  <c r="AA335" i="5"/>
  <c r="AP335" i="5" s="1"/>
  <c r="AA339" i="5"/>
  <c r="AP339" i="5" s="1"/>
  <c r="AA343" i="5"/>
  <c r="AP343" i="5" s="1"/>
  <c r="AA347" i="5"/>
  <c r="AP347" i="5" s="1"/>
  <c r="AA351" i="5"/>
  <c r="AP351" i="5" s="1"/>
  <c r="AA355" i="5"/>
  <c r="AP355" i="5" s="1"/>
  <c r="AA359" i="5"/>
  <c r="AP359" i="5" s="1"/>
  <c r="AA363" i="5"/>
  <c r="AP363" i="5" s="1"/>
  <c r="AA367" i="5"/>
  <c r="AP367" i="5" s="1"/>
  <c r="AA371" i="5"/>
  <c r="AP371" i="5" s="1"/>
  <c r="AR374" i="5"/>
  <c r="AA377" i="5"/>
  <c r="AP377" i="5" s="1"/>
  <c r="AA382" i="5"/>
  <c r="AP382" i="5" s="1"/>
  <c r="AT382" i="5"/>
  <c r="AA385" i="5"/>
  <c r="AP385" i="5" s="1"/>
  <c r="AA390" i="5"/>
  <c r="AP390" i="5" s="1"/>
  <c r="AT390" i="5"/>
  <c r="AA393" i="5"/>
  <c r="AP393" i="5" s="1"/>
  <c r="AA398" i="5"/>
  <c r="AP398" i="5" s="1"/>
  <c r="AT398" i="5"/>
  <c r="AA401" i="5"/>
  <c r="AP401" i="5" s="1"/>
  <c r="AA406" i="5"/>
  <c r="AP406" i="5" s="1"/>
  <c r="AT406" i="5"/>
  <c r="AA410" i="5"/>
  <c r="AP410" i="5" s="1"/>
  <c r="AT410" i="5"/>
  <c r="AA414" i="5"/>
  <c r="AP414" i="5" s="1"/>
  <c r="AT414" i="5"/>
  <c r="AS416" i="5"/>
  <c r="AT421" i="5"/>
  <c r="AS422" i="5"/>
  <c r="AS424" i="5"/>
  <c r="AR427" i="5"/>
  <c r="AA429" i="5"/>
  <c r="AP429" i="5" s="1"/>
  <c r="AT429" i="5"/>
  <c r="AS436" i="5"/>
  <c r="AR436" i="5"/>
  <c r="AA440" i="5"/>
  <c r="AP440" i="5" s="1"/>
  <c r="AR440" i="5"/>
  <c r="AT440" i="5"/>
  <c r="AA444" i="5"/>
  <c r="AP444" i="5" s="1"/>
  <c r="AA453" i="5"/>
  <c r="AP453" i="5" s="1"/>
  <c r="AT453" i="5"/>
  <c r="AA457" i="5"/>
  <c r="AP457" i="5" s="1"/>
  <c r="AT457" i="5"/>
  <c r="AA460" i="5"/>
  <c r="AP460" i="5" s="1"/>
  <c r="AR460" i="5"/>
  <c r="AT460" i="5"/>
  <c r="AA464" i="5"/>
  <c r="AP464" i="5" s="1"/>
  <c r="AR464" i="5"/>
  <c r="AT464" i="5"/>
  <c r="AA468" i="5"/>
  <c r="AP468" i="5" s="1"/>
  <c r="AT468" i="5"/>
  <c r="AA476" i="5"/>
  <c r="AP476" i="5" s="1"/>
  <c r="AT476" i="5"/>
  <c r="AA480" i="5"/>
  <c r="AP480" i="5" s="1"/>
  <c r="AT480" i="5"/>
  <c r="AA492" i="5"/>
  <c r="AP492" i="5" s="1"/>
  <c r="AT492" i="5"/>
  <c r="AA496" i="5"/>
  <c r="AP496" i="5" s="1"/>
  <c r="AT496" i="5"/>
  <c r="AS498" i="5"/>
  <c r="AA503" i="5"/>
  <c r="AP503" i="5" s="1"/>
  <c r="AT503" i="5"/>
  <c r="P22" i="7"/>
  <c r="D27" i="7" a="1"/>
  <c r="D27" i="7" s="1"/>
  <c r="F31" i="7" a="1"/>
  <c r="F31" i="7" s="1"/>
  <c r="L31" i="7" a="1"/>
  <c r="L31" i="7" s="1"/>
  <c r="AL108" i="8"/>
  <c r="AI108" i="8"/>
  <c r="AG108" i="8"/>
  <c r="AF108" i="8"/>
  <c r="AD108" i="8"/>
  <c r="AB108" i="8"/>
  <c r="Z108" i="8"/>
  <c r="Y108" i="8"/>
  <c r="W108" i="8"/>
  <c r="AM104" i="8"/>
  <c r="AG104" i="8"/>
  <c r="AB104" i="8"/>
  <c r="AM100" i="8"/>
  <c r="AL100" i="8"/>
  <c r="AJ100" i="8"/>
  <c r="AI100" i="8"/>
  <c r="AG100" i="8"/>
  <c r="AF100" i="8"/>
  <c r="AD100" i="8"/>
  <c r="AC100" i="8"/>
  <c r="AB100" i="8"/>
  <c r="Z100" i="8"/>
  <c r="Y100" i="8"/>
  <c r="W100" i="8"/>
  <c r="AM96" i="8"/>
  <c r="AL96" i="8"/>
  <c r="AJ96" i="8"/>
  <c r="AI96" i="8"/>
  <c r="AG96" i="8"/>
  <c r="AF96" i="8"/>
  <c r="AD96" i="8"/>
  <c r="AC96" i="8"/>
  <c r="AB96" i="8"/>
  <c r="Z96" i="8"/>
  <c r="Y96" i="8"/>
  <c r="W96" i="8"/>
  <c r="AM92" i="8"/>
  <c r="AL92" i="8"/>
  <c r="AJ92" i="8"/>
  <c r="AI92" i="8"/>
  <c r="AG92" i="8"/>
  <c r="AF92" i="8"/>
  <c r="AD92" i="8"/>
  <c r="AC92" i="8"/>
  <c r="AB92" i="8"/>
  <c r="Z92" i="8"/>
  <c r="Y92" i="8"/>
  <c r="W92" i="8"/>
  <c r="AM88" i="8"/>
  <c r="AG88" i="8"/>
  <c r="AB88" i="8"/>
  <c r="AM84" i="8"/>
  <c r="AL84" i="8"/>
  <c r="AJ84" i="8"/>
  <c r="AI84" i="8"/>
  <c r="AG84" i="8"/>
  <c r="AF84" i="8"/>
  <c r="AD84" i="8"/>
  <c r="AC84" i="8"/>
  <c r="AB84" i="8"/>
  <c r="Z84" i="8"/>
  <c r="Y84" i="8"/>
  <c r="W84" i="8"/>
  <c r="AM80" i="8"/>
  <c r="AL80" i="8"/>
  <c r="AJ80" i="8"/>
  <c r="AI80" i="8"/>
  <c r="AG80" i="8"/>
  <c r="AF80" i="8"/>
  <c r="AD80" i="8"/>
  <c r="AC80" i="8"/>
  <c r="AB80" i="8"/>
  <c r="Z80" i="8"/>
  <c r="Y80" i="8"/>
  <c r="W80" i="8"/>
  <c r="AM76" i="8"/>
  <c r="AL76" i="8"/>
  <c r="AJ76" i="8"/>
  <c r="AI76" i="8"/>
  <c r="AG76" i="8"/>
  <c r="AF76" i="8"/>
  <c r="AD76" i="8"/>
  <c r="AC76" i="8"/>
  <c r="AB76" i="8"/>
  <c r="Z76" i="8"/>
  <c r="Y76" i="8"/>
  <c r="W76" i="8"/>
  <c r="AM72" i="8"/>
  <c r="AG72" i="8"/>
  <c r="AB72" i="8"/>
  <c r="AM68" i="8"/>
  <c r="AL68" i="8"/>
  <c r="AJ68" i="8"/>
  <c r="AI68" i="8"/>
  <c r="AG68" i="8"/>
  <c r="AF68" i="8"/>
  <c r="AD68" i="8"/>
  <c r="AC68" i="8"/>
  <c r="AB68" i="8"/>
  <c r="Z68" i="8"/>
  <c r="Y68" i="8"/>
  <c r="W68" i="8"/>
  <c r="AM64" i="8"/>
  <c r="AL64" i="8"/>
  <c r="AJ64" i="8"/>
  <c r="AI64" i="8"/>
  <c r="AG64" i="8"/>
  <c r="AF64" i="8"/>
  <c r="AD64" i="8"/>
  <c r="AC64" i="8"/>
  <c r="AB64" i="8"/>
  <c r="Z64" i="8"/>
  <c r="Y64" i="8"/>
  <c r="W64" i="8"/>
  <c r="AM60" i="8"/>
  <c r="AL60" i="8"/>
  <c r="AJ60" i="8"/>
  <c r="AI60" i="8"/>
  <c r="AG60" i="8"/>
  <c r="AF60" i="8"/>
  <c r="AD60" i="8"/>
  <c r="AC60" i="8"/>
  <c r="AB60" i="8"/>
  <c r="Z60" i="8"/>
  <c r="Y60" i="8"/>
  <c r="W60" i="8"/>
  <c r="AM56" i="8"/>
  <c r="AG56" i="8"/>
  <c r="AB56" i="8"/>
  <c r="AM52" i="8"/>
  <c r="AL52" i="8"/>
  <c r="AJ52" i="8"/>
  <c r="AI52" i="8"/>
  <c r="AG52" i="8"/>
  <c r="AF52" i="8"/>
  <c r="AD52" i="8"/>
  <c r="AC52" i="8"/>
  <c r="AB52" i="8"/>
  <c r="Z52" i="8"/>
  <c r="Y52" i="8"/>
  <c r="W52" i="8"/>
  <c r="AM48" i="8"/>
  <c r="AL48" i="8"/>
  <c r="AJ48" i="8"/>
  <c r="AI48" i="8"/>
  <c r="AG48" i="8"/>
  <c r="AF48" i="8"/>
  <c r="AD48" i="8"/>
  <c r="AC48" i="8"/>
  <c r="AB48" i="8"/>
  <c r="Z48" i="8"/>
  <c r="Y48" i="8"/>
  <c r="W48" i="8"/>
  <c r="AM44" i="8"/>
  <c r="AL44" i="8"/>
  <c r="AJ44" i="8"/>
  <c r="AI44" i="8"/>
  <c r="AG44" i="8"/>
  <c r="AF44" i="8"/>
  <c r="AD44" i="8"/>
  <c r="AC44" i="8"/>
  <c r="AB44" i="8"/>
  <c r="Z44" i="8"/>
  <c r="Y44" i="8"/>
  <c r="W44" i="8"/>
  <c r="AM40" i="8"/>
  <c r="AG40" i="8"/>
  <c r="AB40" i="8"/>
  <c r="AM36" i="8"/>
  <c r="AL36" i="8"/>
  <c r="AJ36" i="8"/>
  <c r="AI36" i="8"/>
  <c r="AG36" i="8"/>
  <c r="AF36" i="8"/>
  <c r="AD36" i="8"/>
  <c r="AC36" i="8"/>
  <c r="AB36" i="8"/>
  <c r="Z36" i="8"/>
  <c r="Y36" i="8"/>
  <c r="W36" i="8"/>
  <c r="AM32" i="8"/>
  <c r="AL32" i="8"/>
  <c r="AJ32" i="8"/>
  <c r="AI32" i="8"/>
  <c r="AG32" i="8"/>
  <c r="AF32" i="8"/>
  <c r="AD32" i="8"/>
  <c r="AC32" i="8"/>
  <c r="AB32" i="8"/>
  <c r="Z32" i="8"/>
  <c r="Y32" i="8"/>
  <c r="W32" i="8"/>
  <c r="AM28" i="8"/>
  <c r="AL28" i="8"/>
  <c r="AJ28" i="8"/>
  <c r="AI28" i="8"/>
  <c r="AG28" i="8"/>
  <c r="AF28" i="8"/>
  <c r="AD28" i="8"/>
  <c r="AC28" i="8"/>
  <c r="AB28" i="8"/>
  <c r="Z28" i="8"/>
  <c r="Y28" i="8"/>
  <c r="W28" i="8"/>
  <c r="AM24" i="8"/>
  <c r="AG24" i="8"/>
  <c r="AB24" i="8"/>
  <c r="AM20" i="8"/>
  <c r="AL20" i="8"/>
  <c r="AJ20" i="8"/>
  <c r="AI20" i="8"/>
  <c r="AG20" i="8"/>
  <c r="AF20" i="8"/>
  <c r="AD20" i="8"/>
  <c r="AC20" i="8"/>
  <c r="AB20" i="8"/>
  <c r="Z20" i="8"/>
  <c r="Y20" i="8"/>
  <c r="W20" i="8"/>
  <c r="AM16" i="8"/>
  <c r="AL16" i="8"/>
  <c r="AJ16" i="8"/>
  <c r="AI16" i="8"/>
  <c r="AG16" i="8"/>
  <c r="AF16" i="8"/>
  <c r="AD16" i="8"/>
  <c r="AC16" i="8"/>
  <c r="AB16" i="8"/>
  <c r="Z16" i="8"/>
  <c r="Y16" i="8"/>
  <c r="W16" i="8"/>
  <c r="AM12" i="8"/>
  <c r="AL12" i="8"/>
  <c r="AJ12" i="8"/>
  <c r="AI12" i="8"/>
  <c r="AG12" i="8"/>
  <c r="AF12" i="8"/>
  <c r="AD12" i="8"/>
  <c r="AC12" i="8"/>
  <c r="AB12" i="8"/>
  <c r="Z12" i="8"/>
  <c r="Y12" i="8"/>
  <c r="W12" i="8"/>
  <c r="N104" i="8"/>
  <c r="N100" i="8"/>
  <c r="N96" i="8"/>
  <c r="N92" i="8"/>
  <c r="N88" i="8"/>
  <c r="N84" i="8"/>
  <c r="N80" i="8"/>
  <c r="N76" i="8"/>
  <c r="N72" i="8"/>
  <c r="N68" i="8"/>
  <c r="N64" i="8"/>
  <c r="N60" i="8"/>
  <c r="N56" i="8"/>
  <c r="N52" i="8"/>
  <c r="N48" i="8"/>
  <c r="N44" i="8"/>
  <c r="N40" i="8"/>
  <c r="N36" i="8"/>
  <c r="N32" i="8"/>
  <c r="N28" i="8"/>
  <c r="N24" i="8"/>
  <c r="N20" i="8"/>
  <c r="N16" i="8"/>
  <c r="N12" i="8"/>
  <c r="O108" i="8"/>
  <c r="O104" i="8"/>
  <c r="O100" i="8"/>
  <c r="O96" i="8"/>
  <c r="O92" i="8"/>
  <c r="O88" i="8"/>
  <c r="O84" i="8"/>
  <c r="O80" i="8"/>
  <c r="O76" i="8"/>
  <c r="O72" i="8"/>
  <c r="O68" i="8"/>
  <c r="O64" i="8"/>
  <c r="O60" i="8"/>
  <c r="O56" i="8"/>
  <c r="O52" i="8"/>
  <c r="O48" i="8"/>
  <c r="O44" i="8"/>
  <c r="O40" i="8"/>
  <c r="O36" i="8"/>
  <c r="O32" i="8"/>
  <c r="O28" i="8"/>
  <c r="O24" i="8"/>
  <c r="O20" i="8"/>
  <c r="O16" i="8"/>
  <c r="O12" i="8"/>
  <c r="P104" i="8"/>
  <c r="P100" i="8"/>
  <c r="P96" i="8"/>
  <c r="P92" i="8"/>
  <c r="P88" i="8"/>
  <c r="P84" i="8"/>
  <c r="P80" i="8"/>
  <c r="P76" i="8"/>
  <c r="P72" i="8"/>
  <c r="P68" i="8"/>
  <c r="P64" i="8"/>
  <c r="P60" i="8"/>
  <c r="P56" i="8"/>
  <c r="P52" i="8"/>
  <c r="P48" i="8"/>
  <c r="P44" i="8"/>
  <c r="P40" i="8"/>
  <c r="P36" i="8"/>
  <c r="P32" i="8"/>
  <c r="P28" i="8"/>
  <c r="P24" i="8"/>
  <c r="P20" i="8"/>
  <c r="P16" i="8"/>
  <c r="P12" i="8"/>
  <c r="S108" i="8"/>
  <c r="S100" i="8"/>
  <c r="S96" i="8"/>
  <c r="S92" i="8"/>
  <c r="S84" i="8"/>
  <c r="S80" i="8"/>
  <c r="S76" i="8"/>
  <c r="S68" i="8"/>
  <c r="S64" i="8"/>
  <c r="S60" i="8"/>
  <c r="S52" i="8"/>
  <c r="S48" i="8"/>
  <c r="S44" i="8"/>
  <c r="S36" i="8"/>
  <c r="S32" i="8"/>
  <c r="S28" i="8"/>
  <c r="S20" i="8"/>
  <c r="S16" i="8"/>
  <c r="S12" i="8"/>
  <c r="T100" i="8"/>
  <c r="T96" i="8"/>
  <c r="T92" i="8"/>
  <c r="T84" i="8"/>
  <c r="T80" i="8"/>
  <c r="T76" i="8"/>
  <c r="T68" i="8"/>
  <c r="T64" i="8"/>
  <c r="T60" i="8"/>
  <c r="T52" i="8"/>
  <c r="T48" i="8"/>
  <c r="T44" i="8"/>
  <c r="T36" i="8"/>
  <c r="T32" i="8"/>
  <c r="T28" i="8"/>
  <c r="T20" i="8"/>
  <c r="T16" i="8"/>
  <c r="T12" i="8"/>
  <c r="V108" i="8"/>
  <c r="V104" i="8"/>
  <c r="V100" i="8"/>
  <c r="V96" i="8"/>
  <c r="V92" i="8"/>
  <c r="V88" i="8"/>
  <c r="V84" i="8"/>
  <c r="V80" i="8"/>
  <c r="V76" i="8"/>
  <c r="V72" i="8"/>
  <c r="V68" i="8"/>
  <c r="V64" i="8"/>
  <c r="V60" i="8"/>
  <c r="V56" i="8"/>
  <c r="V52" i="8"/>
  <c r="V48" i="8"/>
  <c r="V44" i="8"/>
  <c r="V40" i="8"/>
  <c r="V36" i="8"/>
  <c r="V32" i="8"/>
  <c r="V28" i="8"/>
  <c r="V24" i="8"/>
  <c r="V20" i="8"/>
  <c r="V16" i="8"/>
  <c r="V12" i="8"/>
  <c r="W107" i="8"/>
  <c r="W102" i="8"/>
  <c r="W97" i="8"/>
  <c r="W90" i="8"/>
  <c r="W82" i="8"/>
  <c r="W74" i="8"/>
  <c r="W66" i="8"/>
  <c r="W58" i="8"/>
  <c r="W50" i="8"/>
  <c r="W42" i="8"/>
  <c r="W34" i="8"/>
  <c r="W26" i="8"/>
  <c r="W18" i="8"/>
  <c r="W10" i="8"/>
  <c r="Y102" i="8"/>
  <c r="Y94" i="8"/>
  <c r="Y86" i="8"/>
  <c r="Y78" i="8"/>
  <c r="Y70" i="8"/>
  <c r="Y62" i="8"/>
  <c r="Y54" i="8"/>
  <c r="Y46" i="8"/>
  <c r="Y38" i="8"/>
  <c r="Y30" i="8"/>
  <c r="Y22" i="8"/>
  <c r="Y14" i="8"/>
  <c r="Z98" i="8"/>
  <c r="Z90" i="8"/>
  <c r="Z82" i="8"/>
  <c r="Z74" i="8"/>
  <c r="Z66" i="8"/>
  <c r="Z58" i="8"/>
  <c r="Z50" i="8"/>
  <c r="Z42" i="8"/>
  <c r="Z34" i="8"/>
  <c r="Z26" i="8"/>
  <c r="Z18" i="8"/>
  <c r="Z10" i="8"/>
  <c r="AB102" i="8"/>
  <c r="AB94" i="8"/>
  <c r="AB86" i="8"/>
  <c r="AB78" i="8"/>
  <c r="AB70" i="8"/>
  <c r="AB62" i="8"/>
  <c r="AB54" i="8"/>
  <c r="AB46" i="8"/>
  <c r="AB38" i="8"/>
  <c r="AB30" i="8"/>
  <c r="AB22" i="8"/>
  <c r="AB14" i="8"/>
  <c r="AC98" i="8"/>
  <c r="AC90" i="8"/>
  <c r="AC82" i="8"/>
  <c r="AC74" i="8"/>
  <c r="AC66" i="8"/>
  <c r="AC58" i="8"/>
  <c r="AC50" i="8"/>
  <c r="AC42" i="8"/>
  <c r="AC34" i="8"/>
  <c r="AC26" i="8"/>
  <c r="AC18" i="8"/>
  <c r="AC10" i="8"/>
  <c r="AD102" i="8"/>
  <c r="AD94" i="8"/>
  <c r="AD86" i="8"/>
  <c r="AD78" i="8"/>
  <c r="AD70" i="8"/>
  <c r="AD62" i="8"/>
  <c r="AD54" i="8"/>
  <c r="AD46" i="8"/>
  <c r="AD38" i="8"/>
  <c r="AD30" i="8"/>
  <c r="AD22" i="8"/>
  <c r="AD14" i="8"/>
  <c r="AF106" i="8"/>
  <c r="AF98" i="8"/>
  <c r="AF90" i="8"/>
  <c r="AF82" i="8"/>
  <c r="AF74" i="8"/>
  <c r="AF66" i="8"/>
  <c r="AF58" i="8"/>
  <c r="AF50" i="8"/>
  <c r="AF42" i="8"/>
  <c r="AF34" i="8"/>
  <c r="AF26" i="8"/>
  <c r="AF18" i="8"/>
  <c r="AF10" i="8"/>
  <c r="AG102" i="8"/>
  <c r="AG94" i="8"/>
  <c r="AG86" i="8"/>
  <c r="AG78" i="8"/>
  <c r="AG70" i="8"/>
  <c r="AG62" i="8"/>
  <c r="AG54" i="8"/>
  <c r="AG46" i="8"/>
  <c r="AG38" i="8"/>
  <c r="AG30" i="8"/>
  <c r="AG22" i="8"/>
  <c r="AG14" i="8"/>
  <c r="AI98" i="8"/>
  <c r="AI90" i="8"/>
  <c r="AI82" i="8"/>
  <c r="AI74" i="8"/>
  <c r="AI66" i="8"/>
  <c r="AI58" i="8"/>
  <c r="AI50" i="8"/>
  <c r="AI42" i="8"/>
  <c r="AI34" i="8"/>
  <c r="AI26" i="8"/>
  <c r="AI18" i="8"/>
  <c r="AI10" i="8"/>
  <c r="AJ102" i="8"/>
  <c r="AJ94" i="8"/>
  <c r="AJ86" i="8"/>
  <c r="AJ78" i="8"/>
  <c r="AJ70" i="8"/>
  <c r="AJ62" i="8"/>
  <c r="AJ54" i="8"/>
  <c r="AJ46" i="8"/>
  <c r="AJ38" i="8"/>
  <c r="AJ30" i="8"/>
  <c r="AJ22" i="8"/>
  <c r="AJ14" i="8"/>
  <c r="AL98" i="8"/>
  <c r="AL90" i="8"/>
  <c r="AL82" i="8"/>
  <c r="AL74" i="8"/>
  <c r="AL66" i="8"/>
  <c r="AL58" i="8"/>
  <c r="AL50" i="8"/>
  <c r="AL42" i="8"/>
  <c r="AL34" i="8"/>
  <c r="AL26" i="8"/>
  <c r="AL18" i="8"/>
  <c r="AL10" i="8"/>
  <c r="AM102" i="8"/>
  <c r="AM94" i="8"/>
  <c r="AM86" i="8"/>
  <c r="AM78" i="8"/>
  <c r="AM70" i="8"/>
  <c r="AM62" i="8"/>
  <c r="AM54" i="8"/>
  <c r="AM46" i="8"/>
  <c r="AM38" i="8"/>
  <c r="AM30" i="8"/>
  <c r="AM22" i="8"/>
  <c r="AM14" i="8"/>
  <c r="O14" i="9"/>
  <c r="K14" i="9" s="1" a="1"/>
  <c r="K14" i="9" s="1"/>
  <c r="V28" i="10"/>
  <c r="R28" i="10"/>
  <c r="N28" i="10"/>
  <c r="AC28" i="10"/>
  <c r="AB28" i="10"/>
  <c r="T28" i="10"/>
  <c r="P28" i="10"/>
  <c r="L28" i="10"/>
  <c r="H28" i="10"/>
  <c r="V32" i="10"/>
  <c r="R32" i="10"/>
  <c r="N32" i="10"/>
  <c r="AC32" i="10"/>
  <c r="AB32" i="10"/>
  <c r="T32" i="10"/>
  <c r="P32" i="10"/>
  <c r="L32" i="10"/>
  <c r="H32" i="10"/>
  <c r="V36" i="10"/>
  <c r="R36" i="10"/>
  <c r="N36" i="10"/>
  <c r="AC36" i="10"/>
  <c r="AB36" i="10"/>
  <c r="T36" i="10"/>
  <c r="P36" i="10"/>
  <c r="L36" i="10"/>
  <c r="H36" i="10"/>
  <c r="V40" i="10"/>
  <c r="R40" i="10"/>
  <c r="N40" i="10"/>
  <c r="AC40" i="10"/>
  <c r="AB40" i="10"/>
  <c r="T40" i="10"/>
  <c r="P40" i="10"/>
  <c r="L40" i="10"/>
  <c r="H40" i="10"/>
  <c r="V44" i="10"/>
  <c r="R44" i="10"/>
  <c r="N44" i="10"/>
  <c r="AC44" i="10"/>
  <c r="AB44" i="10"/>
  <c r="T44" i="10"/>
  <c r="P44" i="10"/>
  <c r="L44" i="10"/>
  <c r="H44" i="10"/>
  <c r="V48" i="10"/>
  <c r="R48" i="10"/>
  <c r="N48" i="10"/>
  <c r="AC48" i="10"/>
  <c r="AB48" i="10"/>
  <c r="T48" i="10"/>
  <c r="P48" i="10"/>
  <c r="L48" i="10"/>
  <c r="H48" i="10"/>
  <c r="V52" i="10"/>
  <c r="R52" i="10"/>
  <c r="N52" i="10"/>
  <c r="AC52" i="10"/>
  <c r="AB52" i="10"/>
  <c r="T52" i="10"/>
  <c r="P52" i="10"/>
  <c r="L52" i="10"/>
  <c r="H52" i="10"/>
  <c r="R56" i="10"/>
  <c r="N56" i="10"/>
  <c r="AC56" i="10"/>
  <c r="AB56" i="10"/>
  <c r="T56" i="10"/>
  <c r="P56" i="10"/>
  <c r="L56" i="10"/>
  <c r="H56" i="10"/>
  <c r="H49" i="10"/>
  <c r="H33" i="10"/>
  <c r="M44" i="10"/>
  <c r="M28" i="10"/>
  <c r="N47" i="10"/>
  <c r="N31" i="10"/>
  <c r="Q48" i="10"/>
  <c r="Q32" i="10"/>
  <c r="R51" i="10"/>
  <c r="R35" i="10"/>
  <c r="U52" i="10"/>
  <c r="U36" i="10"/>
  <c r="V39" i="10"/>
  <c r="AS195" i="5"/>
  <c r="AR196" i="5"/>
  <c r="AS197" i="5"/>
  <c r="AR205" i="5"/>
  <c r="AS209" i="5"/>
  <c r="AS212" i="5"/>
  <c r="AA214" i="5"/>
  <c r="AP214" i="5" s="1"/>
  <c r="AS214" i="5"/>
  <c r="AR214" i="5"/>
  <c r="AS216" i="5"/>
  <c r="AA219" i="5"/>
  <c r="AP219" i="5" s="1"/>
  <c r="AS226" i="5"/>
  <c r="AR227" i="5"/>
  <c r="AR229" i="5"/>
  <c r="AR231" i="5"/>
  <c r="AR232" i="5"/>
  <c r="AT232" i="5"/>
  <c r="AT233" i="5"/>
  <c r="AR234" i="5"/>
  <c r="AR235" i="5"/>
  <c r="AR237" i="5"/>
  <c r="AR243" i="5"/>
  <c r="AR244" i="5"/>
  <c r="AR247" i="5"/>
  <c r="AT247" i="5"/>
  <c r="AS252" i="5"/>
  <c r="AR253" i="5"/>
  <c r="AR254" i="5"/>
  <c r="AS260" i="5"/>
  <c r="AR261" i="5"/>
  <c r="AT265" i="5"/>
  <c r="AS266" i="5"/>
  <c r="AR267" i="5"/>
  <c r="AR268" i="5"/>
  <c r="AS270" i="5"/>
  <c r="AR273" i="5"/>
  <c r="AR274" i="5"/>
  <c r="AR275" i="5"/>
  <c r="AT275" i="5"/>
  <c r="AR277" i="5"/>
  <c r="AS284" i="5"/>
  <c r="AT284" i="5"/>
  <c r="AS286" i="5"/>
  <c r="AS288" i="5"/>
  <c r="AS297" i="5"/>
  <c r="AS302" i="5"/>
  <c r="AR303" i="5"/>
  <c r="AS305" i="5"/>
  <c r="AS308" i="5"/>
  <c r="AR312" i="5"/>
  <c r="AT313" i="5"/>
  <c r="AR321" i="5"/>
  <c r="AT329" i="5"/>
  <c r="AR330" i="5"/>
  <c r="AR331" i="5"/>
  <c r="AT331" i="5"/>
  <c r="AR333" i="5"/>
  <c r="AR337" i="5"/>
  <c r="AR341" i="5"/>
  <c r="AR345" i="5"/>
  <c r="AR349" i="5"/>
  <c r="AR353" i="5"/>
  <c r="AR357" i="5"/>
  <c r="AR361" i="5"/>
  <c r="AR365" i="5"/>
  <c r="AR369" i="5"/>
  <c r="AR377" i="5"/>
  <c r="AS378" i="5"/>
  <c r="AS380" i="5"/>
  <c r="AR382" i="5"/>
  <c r="AR385" i="5"/>
  <c r="AS386" i="5"/>
  <c r="AS388" i="5"/>
  <c r="AR390" i="5"/>
  <c r="AR393" i="5"/>
  <c r="AS394" i="5"/>
  <c r="AS396" i="5"/>
  <c r="AR398" i="5"/>
  <c r="AR401" i="5"/>
  <c r="AS402" i="5"/>
  <c r="AS404" i="5"/>
  <c r="AR406" i="5"/>
  <c r="AS408" i="5"/>
  <c r="AR410" i="5"/>
  <c r="AS412" i="5"/>
  <c r="AR414" i="5"/>
  <c r="AR419" i="5"/>
  <c r="AT422" i="5"/>
  <c r="AR429" i="5"/>
  <c r="AS431" i="5"/>
  <c r="AS433" i="5"/>
  <c r="AT438" i="5"/>
  <c r="AR439" i="5"/>
  <c r="AR441" i="5"/>
  <c r="AT441" i="5"/>
  <c r="AS442" i="5"/>
  <c r="AR444" i="5"/>
  <c r="AR446" i="5"/>
  <c r="AR453" i="5"/>
  <c r="AR454" i="5"/>
  <c r="AR457" i="5"/>
  <c r="AR459" i="5"/>
  <c r="AS461" i="5"/>
  <c r="AR463" i="5"/>
  <c r="AS465" i="5"/>
  <c r="AR468" i="5"/>
  <c r="AR472" i="5"/>
  <c r="AR476" i="5"/>
  <c r="AR480" i="5"/>
  <c r="AR483" i="5"/>
  <c r="AT483" i="5"/>
  <c r="AS484" i="5"/>
  <c r="AR487" i="5"/>
  <c r="AT487" i="5"/>
  <c r="AR489" i="5"/>
  <c r="AR492" i="5"/>
  <c r="AS494" i="5"/>
  <c r="AR496" i="5"/>
  <c r="AR502" i="5"/>
  <c r="E35" i="7" a="1"/>
  <c r="E35" i="7" s="1"/>
  <c r="N103" i="8"/>
  <c r="N99" i="8"/>
  <c r="N95" i="8"/>
  <c r="N91" i="8"/>
  <c r="N87" i="8"/>
  <c r="N83" i="8"/>
  <c r="N79" i="8"/>
  <c r="N75" i="8"/>
  <c r="N71" i="8"/>
  <c r="N67" i="8"/>
  <c r="N63" i="8"/>
  <c r="N59" i="8"/>
  <c r="N55" i="8"/>
  <c r="N51" i="8"/>
  <c r="N47" i="8"/>
  <c r="N43" i="8"/>
  <c r="N39" i="8"/>
  <c r="N35" i="8"/>
  <c r="N31" i="8"/>
  <c r="N27" i="8"/>
  <c r="N23" i="8"/>
  <c r="N19" i="8"/>
  <c r="N15" i="8"/>
  <c r="N11" i="8"/>
  <c r="O103" i="8"/>
  <c r="O99" i="8"/>
  <c r="O95" i="8"/>
  <c r="O91" i="8"/>
  <c r="O87" i="8"/>
  <c r="O83" i="8"/>
  <c r="O79" i="8"/>
  <c r="O75" i="8"/>
  <c r="O71" i="8"/>
  <c r="O67" i="8"/>
  <c r="O63" i="8"/>
  <c r="O59" i="8"/>
  <c r="O55" i="8"/>
  <c r="O51" i="8"/>
  <c r="O47" i="8"/>
  <c r="O43" i="8"/>
  <c r="O39" i="8"/>
  <c r="O35" i="8"/>
  <c r="O31" i="8"/>
  <c r="O27" i="8"/>
  <c r="O23" i="8"/>
  <c r="O19" i="8"/>
  <c r="O15" i="8"/>
  <c r="O11" i="8"/>
  <c r="P103" i="8"/>
  <c r="P99" i="8"/>
  <c r="P95" i="8"/>
  <c r="P91" i="8"/>
  <c r="P87" i="8"/>
  <c r="P83" i="8"/>
  <c r="P79" i="8"/>
  <c r="P75" i="8"/>
  <c r="P71" i="8"/>
  <c r="P67" i="8"/>
  <c r="P63" i="8"/>
  <c r="P59" i="8"/>
  <c r="P55" i="8"/>
  <c r="P51" i="8"/>
  <c r="P47" i="8"/>
  <c r="P43" i="8"/>
  <c r="P39" i="8"/>
  <c r="P35" i="8"/>
  <c r="P31" i="8"/>
  <c r="P27" i="8"/>
  <c r="P23" i="8"/>
  <c r="P19" i="8"/>
  <c r="P15" i="8"/>
  <c r="P11" i="8"/>
  <c r="S107" i="8"/>
  <c r="S103" i="8"/>
  <c r="S99" i="8"/>
  <c r="S95" i="8"/>
  <c r="S91" i="8"/>
  <c r="S87" i="8"/>
  <c r="S83" i="8"/>
  <c r="S79" i="8"/>
  <c r="S75" i="8"/>
  <c r="S71" i="8"/>
  <c r="S67" i="8"/>
  <c r="S63" i="8"/>
  <c r="S59" i="8"/>
  <c r="S55" i="8"/>
  <c r="S51" i="8"/>
  <c r="S47" i="8"/>
  <c r="S43" i="8"/>
  <c r="S39" i="8"/>
  <c r="S35" i="8"/>
  <c r="S31" i="8"/>
  <c r="S27" i="8"/>
  <c r="S23" i="8"/>
  <c r="S19" i="8"/>
  <c r="S15" i="8"/>
  <c r="S11" i="8"/>
  <c r="T103" i="8"/>
  <c r="T99" i="8"/>
  <c r="T95" i="8"/>
  <c r="T91" i="8"/>
  <c r="T87" i="8"/>
  <c r="T83" i="8"/>
  <c r="T79" i="8"/>
  <c r="T75" i="8"/>
  <c r="T71" i="8"/>
  <c r="T67" i="8"/>
  <c r="T63" i="8"/>
  <c r="T59" i="8"/>
  <c r="T55" i="8"/>
  <c r="T51" i="8"/>
  <c r="T47" i="8"/>
  <c r="T43" i="8"/>
  <c r="T39" i="8"/>
  <c r="T35" i="8"/>
  <c r="T31" i="8"/>
  <c r="T27" i="8"/>
  <c r="T23" i="8"/>
  <c r="T19" i="8"/>
  <c r="T15" i="8"/>
  <c r="T11" i="8"/>
  <c r="V107" i="8"/>
  <c r="V103" i="8"/>
  <c r="V99" i="8"/>
  <c r="V95" i="8"/>
  <c r="V91" i="8"/>
  <c r="V87" i="8"/>
  <c r="V83" i="8"/>
  <c r="V79" i="8"/>
  <c r="V75" i="8"/>
  <c r="V71" i="8"/>
  <c r="V67" i="8"/>
  <c r="V63" i="8"/>
  <c r="V59" i="8"/>
  <c r="V55" i="8"/>
  <c r="V51" i="8"/>
  <c r="V47" i="8"/>
  <c r="V43" i="8"/>
  <c r="V39" i="8"/>
  <c r="V35" i="8"/>
  <c r="V31" i="8"/>
  <c r="V27" i="8"/>
  <c r="V23" i="8"/>
  <c r="V19" i="8"/>
  <c r="V15" i="8"/>
  <c r="V11" i="8"/>
  <c r="W101" i="8"/>
  <c r="W95" i="8"/>
  <c r="W87" i="8"/>
  <c r="W79" i="8"/>
  <c r="W71" i="8"/>
  <c r="W63" i="8"/>
  <c r="W55" i="8"/>
  <c r="W47" i="8"/>
  <c r="W39" i="8"/>
  <c r="W31" i="8"/>
  <c r="W23" i="8"/>
  <c r="W15" i="8"/>
  <c r="Y107" i="8"/>
  <c r="Y99" i="8"/>
  <c r="Y91" i="8"/>
  <c r="Y83" i="8"/>
  <c r="Y75" i="8"/>
  <c r="Y67" i="8"/>
  <c r="Y59" i="8"/>
  <c r="Y51" i="8"/>
  <c r="Y43" i="8"/>
  <c r="Y35" i="8"/>
  <c r="Y27" i="8"/>
  <c r="Y19" i="8"/>
  <c r="Y11" i="8"/>
  <c r="Z103" i="8"/>
  <c r="Z95" i="8"/>
  <c r="Z87" i="8"/>
  <c r="Z79" i="8"/>
  <c r="Z71" i="8"/>
  <c r="Z63" i="8"/>
  <c r="Z55" i="8"/>
  <c r="Z47" i="8"/>
  <c r="Z39" i="8"/>
  <c r="Z31" i="8"/>
  <c r="Z23" i="8"/>
  <c r="Z15" i="8"/>
  <c r="AB107" i="8"/>
  <c r="AB99" i="8"/>
  <c r="AB91" i="8"/>
  <c r="AB83" i="8"/>
  <c r="AB75" i="8"/>
  <c r="AB67" i="8"/>
  <c r="AB59" i="8"/>
  <c r="AB51" i="8"/>
  <c r="AB43" i="8"/>
  <c r="AB35" i="8"/>
  <c r="AB27" i="8"/>
  <c r="AB19" i="8"/>
  <c r="AB11" i="8"/>
  <c r="AC103" i="8"/>
  <c r="AC95" i="8"/>
  <c r="AC87" i="8"/>
  <c r="AC79" i="8"/>
  <c r="AC71" i="8"/>
  <c r="AC63" i="8"/>
  <c r="AC55" i="8"/>
  <c r="AC47" i="8"/>
  <c r="AC39" i="8"/>
  <c r="AC31" i="8"/>
  <c r="AC23" i="8"/>
  <c r="AC15" i="8"/>
  <c r="AD107" i="8"/>
  <c r="AD99" i="8"/>
  <c r="AD91" i="8"/>
  <c r="AD83" i="8"/>
  <c r="AD75" i="8"/>
  <c r="AD67" i="8"/>
  <c r="AD59" i="8"/>
  <c r="AD51" i="8"/>
  <c r="AD43" i="8"/>
  <c r="AD35" i="8"/>
  <c r="AD27" i="8"/>
  <c r="AD19" i="8"/>
  <c r="AD11" i="8"/>
  <c r="AF103" i="8"/>
  <c r="AF95" i="8"/>
  <c r="AF87" i="8"/>
  <c r="AF79" i="8"/>
  <c r="AF71" i="8"/>
  <c r="AF63" i="8"/>
  <c r="AF55" i="8"/>
  <c r="AF47" i="8"/>
  <c r="AF39" i="8"/>
  <c r="AF31" i="8"/>
  <c r="AF23" i="8"/>
  <c r="AF15" i="8"/>
  <c r="AG99" i="8"/>
  <c r="AG91" i="8"/>
  <c r="AG83" i="8"/>
  <c r="AG75" i="8"/>
  <c r="AG67" i="8"/>
  <c r="AG59" i="8"/>
  <c r="AG51" i="8"/>
  <c r="AG43" i="8"/>
  <c r="AG35" i="8"/>
  <c r="AG27" i="8"/>
  <c r="AG19" i="8"/>
  <c r="AG11" i="8"/>
  <c r="AI103" i="8"/>
  <c r="AI95" i="8"/>
  <c r="AI87" i="8"/>
  <c r="AI79" i="8"/>
  <c r="AI71" i="8"/>
  <c r="AI63" i="8"/>
  <c r="AI55" i="8"/>
  <c r="AI47" i="8"/>
  <c r="AI39" i="8"/>
  <c r="AI31" i="8"/>
  <c r="AI23" i="8"/>
  <c r="AI15" i="8"/>
  <c r="AJ99" i="8"/>
  <c r="AJ91" i="8"/>
  <c r="AJ83" i="8"/>
  <c r="AJ75" i="8"/>
  <c r="AJ67" i="8"/>
  <c r="AJ59" i="8"/>
  <c r="AJ51" i="8"/>
  <c r="AJ43" i="8"/>
  <c r="AJ35" i="8"/>
  <c r="AJ27" i="8"/>
  <c r="AJ19" i="8"/>
  <c r="AJ11" i="8"/>
  <c r="AM99" i="8"/>
  <c r="B30" i="9" a="1"/>
  <c r="B30" i="9" s="1"/>
  <c r="H30" i="9" a="1"/>
  <c r="H30" i="9" s="1"/>
  <c r="U29" i="10"/>
  <c r="Q29" i="10"/>
  <c r="M29" i="10"/>
  <c r="AC29" i="10"/>
  <c r="V29" i="10"/>
  <c r="R29" i="10"/>
  <c r="N29" i="10"/>
  <c r="AB29" i="10"/>
  <c r="U33" i="10"/>
  <c r="Q33" i="10"/>
  <c r="M33" i="10"/>
  <c r="AC33" i="10"/>
  <c r="V33" i="10"/>
  <c r="R33" i="10"/>
  <c r="N33" i="10"/>
  <c r="AB33" i="10"/>
  <c r="U37" i="10"/>
  <c r="Q37" i="10"/>
  <c r="M37" i="10"/>
  <c r="AC37" i="10"/>
  <c r="V37" i="10"/>
  <c r="R37" i="10"/>
  <c r="N37" i="10"/>
  <c r="AB37" i="10"/>
  <c r="U41" i="10"/>
  <c r="Q41" i="10"/>
  <c r="M41" i="10"/>
  <c r="AC41" i="10"/>
  <c r="V41" i="10"/>
  <c r="R41" i="10"/>
  <c r="N41" i="10"/>
  <c r="AB41" i="10"/>
  <c r="U45" i="10"/>
  <c r="Q45" i="10"/>
  <c r="M45" i="10"/>
  <c r="AC45" i="10"/>
  <c r="V45" i="10"/>
  <c r="R45" i="10"/>
  <c r="N45" i="10"/>
  <c r="AB45" i="10"/>
  <c r="U49" i="10"/>
  <c r="Q49" i="10"/>
  <c r="M49" i="10"/>
  <c r="AC49" i="10"/>
  <c r="V49" i="10"/>
  <c r="R49" i="10"/>
  <c r="N49" i="10"/>
  <c r="AB49" i="10"/>
  <c r="Q53" i="10"/>
  <c r="M53" i="10"/>
  <c r="AC53" i="10"/>
  <c r="R53" i="10"/>
  <c r="N53" i="10"/>
  <c r="AB53" i="10"/>
  <c r="M57" i="10"/>
  <c r="AC57" i="10"/>
  <c r="AB57" i="10"/>
  <c r="H45" i="10"/>
  <c r="H29" i="10"/>
  <c r="L53" i="10"/>
  <c r="L37" i="10"/>
  <c r="M56" i="10"/>
  <c r="M40" i="10"/>
  <c r="N43" i="10"/>
  <c r="P57" i="10"/>
  <c r="P41" i="10"/>
  <c r="Q44" i="10"/>
  <c r="Q28" i="10"/>
  <c r="R47" i="10"/>
  <c r="R31" i="10"/>
  <c r="T45" i="10"/>
  <c r="T29" i="10"/>
  <c r="U48" i="10"/>
  <c r="U32" i="10"/>
  <c r="V51" i="10"/>
  <c r="V35" i="10"/>
  <c r="AR251" i="5"/>
  <c r="AS258" i="5"/>
  <c r="AR259" i="5"/>
  <c r="AS264" i="5"/>
  <c r="AR265" i="5"/>
  <c r="AR266" i="5"/>
  <c r="AS272" i="5"/>
  <c r="AR276" i="5"/>
  <c r="AT276" i="5"/>
  <c r="AS278" i="5"/>
  <c r="AR279" i="5"/>
  <c r="AS281" i="5"/>
  <c r="AR283" i="5"/>
  <c r="AR284" i="5"/>
  <c r="AS285" i="5"/>
  <c r="AR287" i="5"/>
  <c r="AS289" i="5"/>
  <c r="AS290" i="5"/>
  <c r="AS292" i="5"/>
  <c r="AR296" i="5"/>
  <c r="AR299" i="5"/>
  <c r="AT299" i="5"/>
  <c r="AR302" i="5"/>
  <c r="AR304" i="5"/>
  <c r="AT305" i="5"/>
  <c r="AR307" i="5"/>
  <c r="AR308" i="5"/>
  <c r="AT308" i="5"/>
  <c r="AS310" i="5"/>
  <c r="AR313" i="5"/>
  <c r="AR314" i="5"/>
  <c r="AR315" i="5"/>
  <c r="AT315" i="5"/>
  <c r="AR317" i="5"/>
  <c r="AR325" i="5"/>
  <c r="AS328" i="5"/>
  <c r="AR329" i="5"/>
  <c r="AR332" i="5"/>
  <c r="AT332" i="5"/>
  <c r="AS336" i="5"/>
  <c r="AS340" i="5"/>
  <c r="AS344" i="5"/>
  <c r="AS348" i="5"/>
  <c r="AS352" i="5"/>
  <c r="AS356" i="5"/>
  <c r="AS360" i="5"/>
  <c r="AS364" i="5"/>
  <c r="AR375" i="5"/>
  <c r="AT378" i="5"/>
  <c r="AR383" i="5"/>
  <c r="AT386" i="5"/>
  <c r="AR391" i="5"/>
  <c r="AT394" i="5"/>
  <c r="AR399" i="5"/>
  <c r="AT402" i="5"/>
  <c r="AR417" i="5"/>
  <c r="AS418" i="5"/>
  <c r="AS420" i="5"/>
  <c r="AR422" i="5"/>
  <c r="AR425" i="5"/>
  <c r="AS426" i="5"/>
  <c r="AS435" i="5"/>
  <c r="AS437" i="5"/>
  <c r="AR438" i="5"/>
  <c r="AT442" i="5"/>
  <c r="AR443" i="5"/>
  <c r="AT445" i="5"/>
  <c r="AR448" i="5"/>
  <c r="AT448" i="5"/>
  <c r="AS449" i="5"/>
  <c r="AR452" i="5"/>
  <c r="AT452" i="5"/>
  <c r="AR456" i="5"/>
  <c r="AT456" i="5"/>
  <c r="AR458" i="5"/>
  <c r="AT461" i="5"/>
  <c r="AT465" i="5"/>
  <c r="AR482" i="5"/>
  <c r="AT484" i="5"/>
  <c r="AR486" i="5"/>
  <c r="AS488" i="5"/>
  <c r="AR497" i="5"/>
  <c r="AR499" i="5"/>
  <c r="P15" i="7"/>
  <c r="H15" i="7" s="1" a="1"/>
  <c r="H15" i="7" s="1"/>
  <c r="N102" i="8"/>
  <c r="N98" i="8"/>
  <c r="N94" i="8"/>
  <c r="N90" i="8"/>
  <c r="N86" i="8"/>
  <c r="N82" i="8"/>
  <c r="N78" i="8"/>
  <c r="N74" i="8"/>
  <c r="N70" i="8"/>
  <c r="N66" i="8"/>
  <c r="N62" i="8"/>
  <c r="N58" i="8"/>
  <c r="N54" i="8"/>
  <c r="N50" i="8"/>
  <c r="N46" i="8"/>
  <c r="N42" i="8"/>
  <c r="N38" i="8"/>
  <c r="N34" i="8"/>
  <c r="N30" i="8"/>
  <c r="N26" i="8"/>
  <c r="N22" i="8"/>
  <c r="N18" i="8"/>
  <c r="N14" i="8"/>
  <c r="N10" i="8"/>
  <c r="O106" i="8"/>
  <c r="O102" i="8"/>
  <c r="O98" i="8"/>
  <c r="O94" i="8"/>
  <c r="O90" i="8"/>
  <c r="O86" i="8"/>
  <c r="O82" i="8"/>
  <c r="O78" i="8"/>
  <c r="O74" i="8"/>
  <c r="O70" i="8"/>
  <c r="O66" i="8"/>
  <c r="O62" i="8"/>
  <c r="O58" i="8"/>
  <c r="O54" i="8"/>
  <c r="O50" i="8"/>
  <c r="O46" i="8"/>
  <c r="O42" i="8"/>
  <c r="O38" i="8"/>
  <c r="O34" i="8"/>
  <c r="O30" i="8"/>
  <c r="O26" i="8"/>
  <c r="O22" i="8"/>
  <c r="O18" i="8"/>
  <c r="O14" i="8"/>
  <c r="O10" i="8"/>
  <c r="P102" i="8"/>
  <c r="P98" i="8"/>
  <c r="P94" i="8"/>
  <c r="P90" i="8"/>
  <c r="P86" i="8"/>
  <c r="P82" i="8"/>
  <c r="P78" i="8"/>
  <c r="P74" i="8"/>
  <c r="P70" i="8"/>
  <c r="P66" i="8"/>
  <c r="P62" i="8"/>
  <c r="P58" i="8"/>
  <c r="P54" i="8"/>
  <c r="P50" i="8"/>
  <c r="P46" i="8"/>
  <c r="P42" i="8"/>
  <c r="P38" i="8"/>
  <c r="P34" i="8"/>
  <c r="P30" i="8"/>
  <c r="P26" i="8"/>
  <c r="P22" i="8"/>
  <c r="P18" i="8"/>
  <c r="P14" i="8"/>
  <c r="P10" i="8"/>
  <c r="S106" i="8"/>
  <c r="S102" i="8"/>
  <c r="S98" i="8"/>
  <c r="S94" i="8"/>
  <c r="S90" i="8"/>
  <c r="S86" i="8"/>
  <c r="S82" i="8"/>
  <c r="S78" i="8"/>
  <c r="S74" i="8"/>
  <c r="S70" i="8"/>
  <c r="S66" i="8"/>
  <c r="S62" i="8"/>
  <c r="S58" i="8"/>
  <c r="S54" i="8"/>
  <c r="S50" i="8"/>
  <c r="S46" i="8"/>
  <c r="S42" i="8"/>
  <c r="S38" i="8"/>
  <c r="S34" i="8"/>
  <c r="S30" i="8"/>
  <c r="S26" i="8"/>
  <c r="S22" i="8"/>
  <c r="S18" i="8"/>
  <c r="S14" i="8"/>
  <c r="S10" i="8"/>
  <c r="T102" i="8"/>
  <c r="T98" i="8"/>
  <c r="T94" i="8"/>
  <c r="T90" i="8"/>
  <c r="T86" i="8"/>
  <c r="T82" i="8"/>
  <c r="T78" i="8"/>
  <c r="T74" i="8"/>
  <c r="T70" i="8"/>
  <c r="T66" i="8"/>
  <c r="T62" i="8"/>
  <c r="T58" i="8"/>
  <c r="T54" i="8"/>
  <c r="T50" i="8"/>
  <c r="T46" i="8"/>
  <c r="T42" i="8"/>
  <c r="T38" i="8"/>
  <c r="T34" i="8"/>
  <c r="T30" i="8"/>
  <c r="T26" i="8"/>
  <c r="T22" i="8"/>
  <c r="T18" i="8"/>
  <c r="T14" i="8"/>
  <c r="T10" i="8"/>
  <c r="V102" i="8"/>
  <c r="V98" i="8"/>
  <c r="V94" i="8"/>
  <c r="V90" i="8"/>
  <c r="V86" i="8"/>
  <c r="V82" i="8"/>
  <c r="V78" i="8"/>
  <c r="V74" i="8"/>
  <c r="V70" i="8"/>
  <c r="V66" i="8"/>
  <c r="V62" i="8"/>
  <c r="V58" i="8"/>
  <c r="V54" i="8"/>
  <c r="V50" i="8"/>
  <c r="V46" i="8"/>
  <c r="V42" i="8"/>
  <c r="V38" i="8"/>
  <c r="V34" i="8"/>
  <c r="V30" i="8"/>
  <c r="V26" i="8"/>
  <c r="V22" i="8"/>
  <c r="V18" i="8"/>
  <c r="V14" i="8"/>
  <c r="V10" i="8"/>
  <c r="W105" i="8"/>
  <c r="W94" i="8"/>
  <c r="W86" i="8"/>
  <c r="W78" i="8"/>
  <c r="W70" i="8"/>
  <c r="W62" i="8"/>
  <c r="W54" i="8"/>
  <c r="W46" i="8"/>
  <c r="W38" i="8"/>
  <c r="W30" i="8"/>
  <c r="W22" i="8"/>
  <c r="W14" i="8"/>
  <c r="Y98" i="8"/>
  <c r="Y90" i="8"/>
  <c r="Y82" i="8"/>
  <c r="Y74" i="8"/>
  <c r="Y66" i="8"/>
  <c r="Y58" i="8"/>
  <c r="Y50" i="8"/>
  <c r="Y42" i="8"/>
  <c r="Y34" i="8"/>
  <c r="Y26" i="8"/>
  <c r="Y18" i="8"/>
  <c r="Y10" i="8"/>
  <c r="Z102" i="8"/>
  <c r="Z94" i="8"/>
  <c r="Z86" i="8"/>
  <c r="Z78" i="8"/>
  <c r="Z70" i="8"/>
  <c r="Z62" i="8"/>
  <c r="Z54" i="8"/>
  <c r="Z46" i="8"/>
  <c r="Z38" i="8"/>
  <c r="Z30" i="8"/>
  <c r="Z22" i="8"/>
  <c r="Z14" i="8"/>
  <c r="AB106" i="8"/>
  <c r="AB98" i="8"/>
  <c r="AB90" i="8"/>
  <c r="AB82" i="8"/>
  <c r="AB74" i="8"/>
  <c r="AB66" i="8"/>
  <c r="AB58" i="8"/>
  <c r="AB50" i="8"/>
  <c r="AB42" i="8"/>
  <c r="AB34" i="8"/>
  <c r="AB26" i="8"/>
  <c r="AB18" i="8"/>
  <c r="AB10" i="8"/>
  <c r="AC102" i="8"/>
  <c r="AC94" i="8"/>
  <c r="AC86" i="8"/>
  <c r="AC78" i="8"/>
  <c r="AC70" i="8"/>
  <c r="AC62" i="8"/>
  <c r="AC54" i="8"/>
  <c r="AC46" i="8"/>
  <c r="AC38" i="8"/>
  <c r="AC30" i="8"/>
  <c r="AC22" i="8"/>
  <c r="AC14" i="8"/>
  <c r="AD98" i="8"/>
  <c r="AD90" i="8"/>
  <c r="AD82" i="8"/>
  <c r="AD74" i="8"/>
  <c r="AD66" i="8"/>
  <c r="AD58" i="8"/>
  <c r="AD50" i="8"/>
  <c r="AD42" i="8"/>
  <c r="AD34" i="8"/>
  <c r="AD26" i="8"/>
  <c r="AD18" i="8"/>
  <c r="AD10" i="8"/>
  <c r="AF102" i="8"/>
  <c r="AF94" i="8"/>
  <c r="AF86" i="8"/>
  <c r="AF78" i="8"/>
  <c r="AF70" i="8"/>
  <c r="AF62" i="8"/>
  <c r="AF54" i="8"/>
  <c r="AF46" i="8"/>
  <c r="AF38" i="8"/>
  <c r="AF30" i="8"/>
  <c r="AF22" i="8"/>
  <c r="AF14" i="8"/>
  <c r="AG98" i="8"/>
  <c r="AG90" i="8"/>
  <c r="AG82" i="8"/>
  <c r="AG74" i="8"/>
  <c r="AG66" i="8"/>
  <c r="AG58" i="8"/>
  <c r="AG50" i="8"/>
  <c r="AG42" i="8"/>
  <c r="AG34" i="8"/>
  <c r="AG26" i="8"/>
  <c r="AG18" i="8"/>
  <c r="AG10" i="8"/>
  <c r="AI102" i="8"/>
  <c r="AI94" i="8"/>
  <c r="AI86" i="8"/>
  <c r="AI78" i="8"/>
  <c r="AI70" i="8"/>
  <c r="AI62" i="8"/>
  <c r="AI54" i="8"/>
  <c r="AI46" i="8"/>
  <c r="AI38" i="8"/>
  <c r="AI30" i="8"/>
  <c r="AI22" i="8"/>
  <c r="AI14" i="8"/>
  <c r="AJ98" i="8"/>
  <c r="AJ90" i="8"/>
  <c r="AJ82" i="8"/>
  <c r="AJ74" i="8"/>
  <c r="AJ66" i="8"/>
  <c r="AJ58" i="8"/>
  <c r="AJ50" i="8"/>
  <c r="AJ42" i="8"/>
  <c r="AJ34" i="8"/>
  <c r="AJ26" i="8"/>
  <c r="AJ18" i="8"/>
  <c r="AJ10" i="8"/>
  <c r="T30" i="10"/>
  <c r="P30" i="10"/>
  <c r="L30" i="10"/>
  <c r="H30" i="10"/>
  <c r="AC30" i="10"/>
  <c r="U30" i="10"/>
  <c r="Q30" i="10"/>
  <c r="M30" i="10"/>
  <c r="AB30" i="10"/>
  <c r="V30" i="10"/>
  <c r="R30" i="10"/>
  <c r="N30" i="10"/>
  <c r="T34" i="10"/>
  <c r="P34" i="10"/>
  <c r="L34" i="10"/>
  <c r="H34" i="10"/>
  <c r="AC34" i="10"/>
  <c r="U34" i="10"/>
  <c r="Q34" i="10"/>
  <c r="M34" i="10"/>
  <c r="AB34" i="10"/>
  <c r="V34" i="10"/>
  <c r="R34" i="10"/>
  <c r="N34" i="10"/>
  <c r="T38" i="10"/>
  <c r="P38" i="10"/>
  <c r="L38" i="10"/>
  <c r="H38" i="10"/>
  <c r="AC38" i="10"/>
  <c r="U38" i="10"/>
  <c r="Q38" i="10"/>
  <c r="M38" i="10"/>
  <c r="AB38" i="10"/>
  <c r="V38" i="10"/>
  <c r="R38" i="10"/>
  <c r="N38" i="10"/>
  <c r="T42" i="10"/>
  <c r="P42" i="10"/>
  <c r="L42" i="10"/>
  <c r="H42" i="10"/>
  <c r="AC42" i="10"/>
  <c r="U42" i="10"/>
  <c r="Q42" i="10"/>
  <c r="M42" i="10"/>
  <c r="AB42" i="10"/>
  <c r="V42" i="10"/>
  <c r="R42" i="10"/>
  <c r="N42" i="10"/>
  <c r="T46" i="10"/>
  <c r="P46" i="10"/>
  <c r="L46" i="10"/>
  <c r="H46" i="10"/>
  <c r="AC46" i="10"/>
  <c r="U46" i="10"/>
  <c r="Q46" i="10"/>
  <c r="M46" i="10"/>
  <c r="AB46" i="10"/>
  <c r="V46" i="10"/>
  <c r="R46" i="10"/>
  <c r="N46" i="10"/>
  <c r="T50" i="10"/>
  <c r="P50" i="10"/>
  <c r="L50" i="10"/>
  <c r="H50" i="10"/>
  <c r="AC50" i="10"/>
  <c r="U50" i="10"/>
  <c r="Q50" i="10"/>
  <c r="M50" i="10"/>
  <c r="AB50" i="10"/>
  <c r="V50" i="10"/>
  <c r="R50" i="10"/>
  <c r="N50" i="10"/>
  <c r="L54" i="10"/>
  <c r="Q54" i="10"/>
  <c r="R54" i="10"/>
  <c r="H41" i="10"/>
  <c r="L49" i="10"/>
  <c r="L33" i="10"/>
  <c r="M52" i="10"/>
  <c r="M36" i="10"/>
  <c r="N55" i="10"/>
  <c r="N39" i="10"/>
  <c r="P53" i="10"/>
  <c r="P37" i="10"/>
  <c r="Q56" i="10"/>
  <c r="Q40" i="10"/>
  <c r="R43" i="10"/>
  <c r="T57" i="10"/>
  <c r="T41" i="10"/>
  <c r="U44" i="10"/>
  <c r="U28" i="10"/>
  <c r="V47" i="10"/>
  <c r="V31" i="10"/>
  <c r="K39" i="9" a="1"/>
  <c r="K39" i="9" s="1"/>
  <c r="Z65" i="13" a="1"/>
  <c r="Z65" i="13" s="1"/>
  <c r="Z68" i="13" a="1"/>
  <c r="Z68" i="13" s="1"/>
  <c r="Z73" i="13" a="1"/>
  <c r="Z73" i="13" s="1"/>
  <c r="Z76" i="13" a="1"/>
  <c r="Z76" i="13" s="1"/>
  <c r="Z81" i="13" a="1"/>
  <c r="Z81" i="13" s="1"/>
  <c r="Z84" i="13" a="1"/>
  <c r="Z84" i="13" s="1"/>
  <c r="Z61" i="13" a="1"/>
  <c r="Z61" i="13" s="1"/>
  <c r="Z72" i="13" a="1"/>
  <c r="Z72" i="13" s="1"/>
  <c r="Z75" i="13" a="1"/>
  <c r="Z75" i="13" s="1"/>
  <c r="Z79" i="13" a="1"/>
  <c r="Z79" i="13" s="1"/>
  <c r="Z86" i="13" a="1"/>
  <c r="Z86" i="13" s="1"/>
  <c r="Z63" i="13" a="1"/>
  <c r="Z63" i="13" s="1"/>
  <c r="Z67" i="13" a="1"/>
  <c r="Z67" i="13" s="1"/>
  <c r="Z77" i="13" a="1"/>
  <c r="Z77" i="13" s="1"/>
  <c r="Z66" i="13" a="1"/>
  <c r="Z66" i="13" s="1"/>
  <c r="Z70" i="13" a="1"/>
  <c r="Z70" i="13" s="1"/>
  <c r="Z80" i="13" a="1"/>
  <c r="Z80" i="13" s="1"/>
  <c r="Z88" i="13" a="1"/>
  <c r="Z88" i="13" s="1"/>
  <c r="Z83" i="13" a="1"/>
  <c r="Z83" i="13" s="1"/>
  <c r="Z89" i="13" a="1"/>
  <c r="Z89" i="13" s="1"/>
  <c r="Z64" i="13" a="1"/>
  <c r="Z64" i="13" s="1"/>
  <c r="Z78" i="13" a="1"/>
  <c r="Z78" i="13" s="1"/>
  <c r="Z69" i="13" a="1"/>
  <c r="Z69" i="13" s="1"/>
  <c r="Z87" i="13" a="1"/>
  <c r="Z87" i="13" s="1"/>
  <c r="Z71" i="13" a="1"/>
  <c r="Z71" i="13" s="1"/>
  <c r="Z90" i="13" a="1"/>
  <c r="Z90" i="13" s="1"/>
  <c r="Z74" i="13" a="1"/>
  <c r="Z74" i="13" s="1"/>
  <c r="Z82" i="13" a="1"/>
  <c r="Z82" i="13" s="1"/>
  <c r="Z85" i="13" a="1"/>
  <c r="Z85" i="13" s="1"/>
  <c r="Z62" i="13" a="1"/>
  <c r="Z62" i="13" s="1"/>
  <c r="L67" i="11"/>
  <c r="F67" i="11" s="1"/>
  <c r="L59" i="11"/>
  <c r="F59" i="11" s="1"/>
  <c r="L51" i="11"/>
  <c r="F51" i="11" s="1"/>
  <c r="L47" i="11"/>
  <c r="F47" i="11" s="1"/>
  <c r="M67" i="11"/>
  <c r="M63" i="11"/>
  <c r="M59" i="11"/>
  <c r="M51" i="11"/>
  <c r="M47" i="11"/>
  <c r="M31" i="11"/>
  <c r="B67" i="11"/>
  <c r="B55" i="11"/>
  <c r="B51" i="11"/>
  <c r="B47" i="11"/>
  <c r="C67" i="11"/>
  <c r="C63" i="11"/>
  <c r="C59" i="11"/>
  <c r="C47" i="11"/>
  <c r="C31" i="11"/>
  <c r="D67" i="11"/>
  <c r="D59" i="11"/>
  <c r="D55" i="11"/>
  <c r="D51" i="11"/>
  <c r="D35" i="11"/>
  <c r="E67" i="11"/>
  <c r="E59" i="11"/>
  <c r="E51" i="11"/>
  <c r="G67" i="11"/>
  <c r="L69" i="12"/>
  <c r="F69" i="12" s="1"/>
  <c r="L65" i="12"/>
  <c r="F65" i="12" s="1"/>
  <c r="L61" i="12"/>
  <c r="F61" i="12" s="1"/>
  <c r="L53" i="12"/>
  <c r="F53" i="12" s="1"/>
  <c r="L49" i="12"/>
  <c r="F49" i="12" s="1"/>
  <c r="L37" i="12"/>
  <c r="F37" i="12" s="1"/>
  <c r="M69" i="12"/>
  <c r="M65" i="12"/>
  <c r="M61" i="12"/>
  <c r="M57" i="12"/>
  <c r="M45" i="12"/>
  <c r="M41" i="12"/>
  <c r="M33" i="12"/>
  <c r="B69" i="12"/>
  <c r="B65" i="12"/>
  <c r="B61" i="12"/>
  <c r="B49" i="12"/>
  <c r="C69" i="12"/>
  <c r="C65" i="12"/>
  <c r="C61" i="12"/>
  <c r="C49" i="12"/>
  <c r="D69" i="12"/>
  <c r="D65" i="12"/>
  <c r="D61" i="12"/>
  <c r="D49" i="12"/>
  <c r="E69" i="12"/>
  <c r="E65" i="12"/>
  <c r="E61" i="12"/>
  <c r="E49" i="12"/>
  <c r="G69" i="12"/>
  <c r="G65" i="12"/>
  <c r="G61" i="12"/>
  <c r="S502" i="15"/>
  <c r="R502" i="15"/>
  <c r="Q502" i="15"/>
  <c r="P502" i="15"/>
  <c r="T502" i="15"/>
  <c r="U502" i="15"/>
  <c r="O502" i="15"/>
  <c r="N502" i="15"/>
  <c r="M502" i="15"/>
  <c r="K502" i="15"/>
  <c r="J502" i="15"/>
  <c r="I502" i="15"/>
  <c r="H502" i="15"/>
  <c r="G502" i="15"/>
  <c r="F502" i="15"/>
  <c r="E502" i="15"/>
  <c r="D502" i="15"/>
  <c r="C502" i="15"/>
  <c r="B502" i="15"/>
  <c r="S498" i="15"/>
  <c r="R498" i="15"/>
  <c r="Q498" i="15"/>
  <c r="P498" i="15"/>
  <c r="U498" i="15"/>
  <c r="T498" i="15"/>
  <c r="O498" i="15"/>
  <c r="N498" i="15"/>
  <c r="M498" i="15"/>
  <c r="K498" i="15"/>
  <c r="J498" i="15"/>
  <c r="I498" i="15"/>
  <c r="H498" i="15"/>
  <c r="G498" i="15"/>
  <c r="F498" i="15"/>
  <c r="E498" i="15"/>
  <c r="D498" i="15"/>
  <c r="C498" i="15"/>
  <c r="B498" i="15"/>
  <c r="U494" i="15"/>
  <c r="S494" i="15"/>
  <c r="R494" i="15"/>
  <c r="Q494" i="15"/>
  <c r="P494" i="15"/>
  <c r="T494" i="15"/>
  <c r="O494" i="15"/>
  <c r="N494" i="15"/>
  <c r="M494" i="15"/>
  <c r="K494" i="15"/>
  <c r="J494" i="15"/>
  <c r="I494" i="15"/>
  <c r="H494" i="15"/>
  <c r="G494" i="15"/>
  <c r="F494" i="15"/>
  <c r="E494" i="15"/>
  <c r="D494" i="15"/>
  <c r="C494" i="15"/>
  <c r="B494" i="15"/>
  <c r="T490" i="15"/>
  <c r="S490" i="15"/>
  <c r="R490" i="15"/>
  <c r="Q490" i="15"/>
  <c r="P490" i="15"/>
  <c r="U490" i="15"/>
  <c r="O490" i="15"/>
  <c r="N490" i="15"/>
  <c r="M490" i="15"/>
  <c r="K490" i="15"/>
  <c r="J490" i="15"/>
  <c r="I490" i="15"/>
  <c r="H490" i="15"/>
  <c r="G490" i="15"/>
  <c r="F490" i="15"/>
  <c r="E490" i="15"/>
  <c r="D490" i="15"/>
  <c r="C490" i="15"/>
  <c r="B490" i="15"/>
  <c r="S486" i="15"/>
  <c r="R486" i="15"/>
  <c r="Q486" i="15"/>
  <c r="P486" i="15"/>
  <c r="T486" i="15"/>
  <c r="U486" i="15"/>
  <c r="O486" i="15"/>
  <c r="N486" i="15"/>
  <c r="M486" i="15"/>
  <c r="K486" i="15"/>
  <c r="J486" i="15"/>
  <c r="I486" i="15"/>
  <c r="H486" i="15"/>
  <c r="G486" i="15"/>
  <c r="F486" i="15"/>
  <c r="E486" i="15"/>
  <c r="D486" i="15"/>
  <c r="C486" i="15"/>
  <c r="B486" i="15"/>
  <c r="S482" i="15"/>
  <c r="R482" i="15"/>
  <c r="Q482" i="15"/>
  <c r="P482" i="15"/>
  <c r="U482" i="15"/>
  <c r="T482" i="15"/>
  <c r="O482" i="15"/>
  <c r="N482" i="15"/>
  <c r="M482" i="15"/>
  <c r="K482" i="15"/>
  <c r="J482" i="15"/>
  <c r="I482" i="15"/>
  <c r="H482" i="15"/>
  <c r="G482" i="15"/>
  <c r="F482" i="15"/>
  <c r="E482" i="15"/>
  <c r="D482" i="15"/>
  <c r="C482" i="15"/>
  <c r="B482" i="15"/>
  <c r="U478" i="15"/>
  <c r="S478" i="15"/>
  <c r="R478" i="15"/>
  <c r="Q478" i="15"/>
  <c r="P478" i="15"/>
  <c r="T478" i="15"/>
  <c r="O478" i="15"/>
  <c r="N478" i="15"/>
  <c r="M478" i="15"/>
  <c r="K478" i="15"/>
  <c r="J478" i="15"/>
  <c r="I478" i="15"/>
  <c r="H478" i="15"/>
  <c r="G478" i="15"/>
  <c r="F478" i="15"/>
  <c r="E478" i="15"/>
  <c r="D478" i="15"/>
  <c r="C478" i="15"/>
  <c r="B478" i="15"/>
  <c r="T474" i="15"/>
  <c r="S474" i="15"/>
  <c r="R474" i="15"/>
  <c r="Q474" i="15"/>
  <c r="P474" i="15"/>
  <c r="U474" i="15"/>
  <c r="O474" i="15"/>
  <c r="N474" i="15"/>
  <c r="M474" i="15"/>
  <c r="K474" i="15"/>
  <c r="J474" i="15"/>
  <c r="I474" i="15"/>
  <c r="H474" i="15"/>
  <c r="G474" i="15"/>
  <c r="F474" i="15"/>
  <c r="E474" i="15"/>
  <c r="D474" i="15"/>
  <c r="C474" i="15"/>
  <c r="B474" i="15"/>
  <c r="S470" i="15"/>
  <c r="R470" i="15"/>
  <c r="Q470" i="15"/>
  <c r="P470" i="15"/>
  <c r="U470" i="15"/>
  <c r="T470" i="15"/>
  <c r="O470" i="15"/>
  <c r="N470" i="15"/>
  <c r="M470" i="15"/>
  <c r="K470" i="15"/>
  <c r="J470" i="15"/>
  <c r="I470" i="15"/>
  <c r="H470" i="15"/>
  <c r="G470" i="15"/>
  <c r="F470" i="15"/>
  <c r="E470" i="15"/>
  <c r="D470" i="15"/>
  <c r="C470" i="15"/>
  <c r="B470" i="15"/>
  <c r="S466" i="15"/>
  <c r="R466" i="15"/>
  <c r="Q466" i="15"/>
  <c r="P466" i="15"/>
  <c r="U466" i="15"/>
  <c r="T466" i="15"/>
  <c r="O466" i="15"/>
  <c r="N466" i="15"/>
  <c r="M466" i="15"/>
  <c r="K466" i="15"/>
  <c r="J466" i="15"/>
  <c r="I466" i="15"/>
  <c r="H466" i="15"/>
  <c r="G466" i="15"/>
  <c r="F466" i="15"/>
  <c r="E466" i="15"/>
  <c r="D466" i="15"/>
  <c r="C466" i="15"/>
  <c r="B466" i="15"/>
  <c r="U462" i="15"/>
  <c r="S462" i="15"/>
  <c r="R462" i="15"/>
  <c r="Q462" i="15"/>
  <c r="P462" i="15"/>
  <c r="T462" i="15"/>
  <c r="O462" i="15"/>
  <c r="N462" i="15"/>
  <c r="M462" i="15"/>
  <c r="K462" i="15"/>
  <c r="J462" i="15"/>
  <c r="I462" i="15"/>
  <c r="H462" i="15"/>
  <c r="G462" i="15"/>
  <c r="F462" i="15"/>
  <c r="E462" i="15"/>
  <c r="D462" i="15"/>
  <c r="C462" i="15"/>
  <c r="B462" i="15"/>
  <c r="O18" i="9"/>
  <c r="D36" i="9" a="1"/>
  <c r="D36" i="9" s="1"/>
  <c r="C39" i="9" a="1"/>
  <c r="C39" i="9" s="1"/>
  <c r="E45" i="9" a="1"/>
  <c r="E45" i="9" s="1"/>
  <c r="L66" i="11"/>
  <c r="F66" i="11" s="1"/>
  <c r="L62" i="11"/>
  <c r="F62" i="11" s="1"/>
  <c r="L54" i="11"/>
  <c r="F54" i="11" s="1"/>
  <c r="L50" i="11"/>
  <c r="F50" i="11" s="1"/>
  <c r="L46" i="11"/>
  <c r="F46" i="11" s="1"/>
  <c r="M66" i="11"/>
  <c r="M62" i="11"/>
  <c r="M50" i="11"/>
  <c r="M46" i="11"/>
  <c r="M42" i="11"/>
  <c r="B66" i="11"/>
  <c r="B62" i="11"/>
  <c r="B54" i="11"/>
  <c r="B50" i="11"/>
  <c r="B46" i="11"/>
  <c r="C66" i="11"/>
  <c r="C62" i="11"/>
  <c r="C54" i="11"/>
  <c r="C50" i="11"/>
  <c r="C46" i="11"/>
  <c r="C34" i="11"/>
  <c r="D66" i="11"/>
  <c r="D62" i="11"/>
  <c r="D58" i="11"/>
  <c r="D54" i="11"/>
  <c r="D50" i="11"/>
  <c r="D46" i="11"/>
  <c r="D34" i="11"/>
  <c r="E66" i="11"/>
  <c r="E62" i="11"/>
  <c r="E54" i="11"/>
  <c r="E50" i="11"/>
  <c r="E46" i="11"/>
  <c r="G66" i="11"/>
  <c r="G62" i="11"/>
  <c r="L64" i="12"/>
  <c r="F64" i="12" s="1"/>
  <c r="L56" i="12"/>
  <c r="F56" i="12" s="1"/>
  <c r="L52" i="12"/>
  <c r="F52" i="12" s="1"/>
  <c r="M68" i="12"/>
  <c r="M64" i="12"/>
  <c r="M60" i="12"/>
  <c r="M56" i="12"/>
  <c r="B68" i="12"/>
  <c r="B56" i="12"/>
  <c r="B48" i="12"/>
  <c r="B44" i="12"/>
  <c r="C56" i="12"/>
  <c r="C48" i="12"/>
  <c r="C44" i="12"/>
  <c r="C40" i="12"/>
  <c r="D56" i="12"/>
  <c r="E56" i="12"/>
  <c r="E52" i="12"/>
  <c r="G64" i="12"/>
  <c r="G60" i="12"/>
  <c r="U501" i="15"/>
  <c r="T501" i="15"/>
  <c r="S501" i="15"/>
  <c r="R501" i="15"/>
  <c r="Q501" i="15"/>
  <c r="P501" i="15"/>
  <c r="O501" i="15"/>
  <c r="N501" i="15"/>
  <c r="M501" i="15"/>
  <c r="K501" i="15"/>
  <c r="J501" i="15"/>
  <c r="I501" i="15"/>
  <c r="H501" i="15"/>
  <c r="G501" i="15"/>
  <c r="F501" i="15"/>
  <c r="E501" i="15"/>
  <c r="D501" i="15"/>
  <c r="C501" i="15"/>
  <c r="B501" i="15"/>
  <c r="U497" i="15"/>
  <c r="T497" i="15"/>
  <c r="S497" i="15"/>
  <c r="R497" i="15"/>
  <c r="Q497" i="15"/>
  <c r="P497" i="15"/>
  <c r="O497" i="15"/>
  <c r="N497" i="15"/>
  <c r="M497" i="15"/>
  <c r="K497" i="15"/>
  <c r="J497" i="15"/>
  <c r="I497" i="15"/>
  <c r="H497" i="15"/>
  <c r="G497" i="15"/>
  <c r="F497" i="15"/>
  <c r="E497" i="15"/>
  <c r="D497" i="15"/>
  <c r="C497" i="15"/>
  <c r="B497" i="15"/>
  <c r="U493" i="15"/>
  <c r="T493" i="15"/>
  <c r="S493" i="15"/>
  <c r="R493" i="15"/>
  <c r="P493" i="15"/>
  <c r="Q493" i="15"/>
  <c r="O493" i="15"/>
  <c r="N493" i="15"/>
  <c r="M493" i="15"/>
  <c r="K493" i="15"/>
  <c r="J493" i="15"/>
  <c r="I493" i="15"/>
  <c r="H493" i="15"/>
  <c r="G493" i="15"/>
  <c r="F493" i="15"/>
  <c r="E493" i="15"/>
  <c r="D493" i="15"/>
  <c r="C493" i="15"/>
  <c r="B493" i="15"/>
  <c r="U489" i="15"/>
  <c r="T489" i="15"/>
  <c r="R489" i="15"/>
  <c r="S489" i="15"/>
  <c r="Q489" i="15"/>
  <c r="P489" i="15"/>
  <c r="O489" i="15"/>
  <c r="N489" i="15"/>
  <c r="M489" i="15"/>
  <c r="K489" i="15"/>
  <c r="J489" i="15"/>
  <c r="I489" i="15"/>
  <c r="H489" i="15"/>
  <c r="G489" i="15"/>
  <c r="F489" i="15"/>
  <c r="E489" i="15"/>
  <c r="D489" i="15"/>
  <c r="C489" i="15"/>
  <c r="B489" i="15"/>
  <c r="U485" i="15"/>
  <c r="T485" i="15"/>
  <c r="S485" i="15"/>
  <c r="R485" i="15"/>
  <c r="Q485" i="15"/>
  <c r="P485" i="15"/>
  <c r="O485" i="15"/>
  <c r="N485" i="15"/>
  <c r="M485" i="15"/>
  <c r="K485" i="15"/>
  <c r="J485" i="15"/>
  <c r="I485" i="15"/>
  <c r="H485" i="15"/>
  <c r="G485" i="15"/>
  <c r="F485" i="15"/>
  <c r="E485" i="15"/>
  <c r="D485" i="15"/>
  <c r="C485" i="15"/>
  <c r="B485" i="15"/>
  <c r="U481" i="15"/>
  <c r="T481" i="15"/>
  <c r="S481" i="15"/>
  <c r="R481" i="15"/>
  <c r="Q481" i="15"/>
  <c r="P481" i="15"/>
  <c r="O481" i="15"/>
  <c r="N481" i="15"/>
  <c r="M481" i="15"/>
  <c r="K481" i="15"/>
  <c r="J481" i="15"/>
  <c r="I481" i="15"/>
  <c r="H481" i="15"/>
  <c r="G481" i="15"/>
  <c r="F481" i="15"/>
  <c r="E481" i="15"/>
  <c r="D481" i="15"/>
  <c r="C481" i="15"/>
  <c r="B481" i="15"/>
  <c r="U477" i="15"/>
  <c r="T477" i="15"/>
  <c r="S477" i="15"/>
  <c r="R477" i="15"/>
  <c r="Q477" i="15"/>
  <c r="P477" i="15"/>
  <c r="O477" i="15"/>
  <c r="N477" i="15"/>
  <c r="M477" i="15"/>
  <c r="K477" i="15"/>
  <c r="J477" i="15"/>
  <c r="I477" i="15"/>
  <c r="H477" i="15"/>
  <c r="G477" i="15"/>
  <c r="F477" i="15"/>
  <c r="E477" i="15"/>
  <c r="D477" i="15"/>
  <c r="C477" i="15"/>
  <c r="B477" i="15"/>
  <c r="U473" i="15"/>
  <c r="T473" i="15"/>
  <c r="S473" i="15"/>
  <c r="R473" i="15"/>
  <c r="P473" i="15"/>
  <c r="Q473" i="15"/>
  <c r="O473" i="15"/>
  <c r="N473" i="15"/>
  <c r="M473" i="15"/>
  <c r="K473" i="15"/>
  <c r="J473" i="15"/>
  <c r="I473" i="15"/>
  <c r="H473" i="15"/>
  <c r="G473" i="15"/>
  <c r="F473" i="15"/>
  <c r="E473" i="15"/>
  <c r="D473" i="15"/>
  <c r="C473" i="15"/>
  <c r="B473" i="15"/>
  <c r="U469" i="15"/>
  <c r="T469" i="15"/>
  <c r="R469" i="15"/>
  <c r="S469" i="15"/>
  <c r="Q469" i="15"/>
  <c r="P469" i="15"/>
  <c r="O469" i="15"/>
  <c r="N469" i="15"/>
  <c r="M469" i="15"/>
  <c r="K469" i="15"/>
  <c r="J469" i="15"/>
  <c r="I469" i="15"/>
  <c r="H469" i="15"/>
  <c r="G469" i="15"/>
  <c r="F469" i="15"/>
  <c r="E469" i="15"/>
  <c r="D469" i="15"/>
  <c r="C469" i="15"/>
  <c r="B469" i="15"/>
  <c r="U465" i="15"/>
  <c r="T465" i="15"/>
  <c r="S465" i="15"/>
  <c r="R465" i="15"/>
  <c r="Q465" i="15"/>
  <c r="P465" i="15"/>
  <c r="O465" i="15"/>
  <c r="N465" i="15"/>
  <c r="M465" i="15"/>
  <c r="K465" i="15"/>
  <c r="J465" i="15"/>
  <c r="I465" i="15"/>
  <c r="H465" i="15"/>
  <c r="G465" i="15"/>
  <c r="F465" i="15"/>
  <c r="E465" i="15"/>
  <c r="D465" i="15"/>
  <c r="C465" i="15"/>
  <c r="B465" i="15"/>
  <c r="U461" i="15"/>
  <c r="T461" i="15"/>
  <c r="S461" i="15"/>
  <c r="R461" i="15"/>
  <c r="P461" i="15"/>
  <c r="Q461" i="15"/>
  <c r="O461" i="15"/>
  <c r="N461" i="15"/>
  <c r="M461" i="15"/>
  <c r="K461" i="15"/>
  <c r="J461" i="15"/>
  <c r="I461" i="15"/>
  <c r="H461" i="15"/>
  <c r="G461" i="15"/>
  <c r="F461" i="15"/>
  <c r="E461" i="15"/>
  <c r="D461" i="15"/>
  <c r="C461" i="15"/>
  <c r="B461" i="15"/>
  <c r="U457" i="15"/>
  <c r="T457" i="15"/>
  <c r="R457" i="15"/>
  <c r="S457" i="15"/>
  <c r="Q457" i="15"/>
  <c r="P457" i="15"/>
  <c r="O457" i="15"/>
  <c r="N457" i="15"/>
  <c r="M457" i="15"/>
  <c r="K457" i="15"/>
  <c r="J457" i="15"/>
  <c r="I457" i="15"/>
  <c r="H457" i="15"/>
  <c r="G457" i="15"/>
  <c r="F457" i="15"/>
  <c r="E457" i="15"/>
  <c r="D457" i="15"/>
  <c r="C457" i="15"/>
  <c r="B457" i="15"/>
  <c r="U453" i="15"/>
  <c r="T453" i="15"/>
  <c r="S453" i="15"/>
  <c r="R453" i="15"/>
  <c r="Q453" i="15"/>
  <c r="P453" i="15"/>
  <c r="O453" i="15"/>
  <c r="N453" i="15"/>
  <c r="M453" i="15"/>
  <c r="K453" i="15"/>
  <c r="J453" i="15"/>
  <c r="I453" i="15"/>
  <c r="H453" i="15"/>
  <c r="G453" i="15"/>
  <c r="F453" i="15"/>
  <c r="E453" i="15"/>
  <c r="D453" i="15"/>
  <c r="C453" i="15"/>
  <c r="B453" i="15"/>
  <c r="U449" i="15"/>
  <c r="T449" i="15"/>
  <c r="S449" i="15"/>
  <c r="R449" i="15"/>
  <c r="Q449" i="15"/>
  <c r="P449" i="15"/>
  <c r="O449" i="15"/>
  <c r="N449" i="15"/>
  <c r="M449" i="15"/>
  <c r="K449" i="15"/>
  <c r="J449" i="15"/>
  <c r="I449" i="15"/>
  <c r="H449" i="15"/>
  <c r="G449" i="15"/>
  <c r="F449" i="15"/>
  <c r="E449" i="15"/>
  <c r="D449" i="15"/>
  <c r="C449" i="15"/>
  <c r="B449" i="15"/>
  <c r="U445" i="15"/>
  <c r="T445" i="15"/>
  <c r="S445" i="15"/>
  <c r="R445" i="15"/>
  <c r="Q445" i="15"/>
  <c r="P445" i="15"/>
  <c r="O445" i="15"/>
  <c r="N445" i="15"/>
  <c r="M445" i="15"/>
  <c r="K445" i="15"/>
  <c r="J445" i="15"/>
  <c r="I445" i="15"/>
  <c r="H445" i="15"/>
  <c r="G445" i="15"/>
  <c r="F445" i="15"/>
  <c r="E445" i="15"/>
  <c r="D445" i="15"/>
  <c r="C445" i="15"/>
  <c r="B445" i="15"/>
  <c r="U441" i="15"/>
  <c r="T441" i="15"/>
  <c r="S441" i="15"/>
  <c r="R441" i="15"/>
  <c r="P441" i="15"/>
  <c r="Q441" i="15"/>
  <c r="O441" i="15"/>
  <c r="N441" i="15"/>
  <c r="M441" i="15"/>
  <c r="K441" i="15"/>
  <c r="J441" i="15"/>
  <c r="I441" i="15"/>
  <c r="H441" i="15"/>
  <c r="G441" i="15"/>
  <c r="F441" i="15"/>
  <c r="E441" i="15"/>
  <c r="D441" i="15"/>
  <c r="C441" i="15"/>
  <c r="B441" i="15"/>
  <c r="T437" i="15"/>
  <c r="S437" i="15"/>
  <c r="U437" i="15"/>
  <c r="R437" i="15"/>
  <c r="Q437" i="15"/>
  <c r="P437" i="15"/>
  <c r="O437" i="15"/>
  <c r="N437" i="15"/>
  <c r="M437" i="15"/>
  <c r="K437" i="15"/>
  <c r="J437" i="15"/>
  <c r="I437" i="15"/>
  <c r="H437" i="15"/>
  <c r="G437" i="15"/>
  <c r="F437" i="15"/>
  <c r="E437" i="15"/>
  <c r="D437" i="15"/>
  <c r="C437" i="15"/>
  <c r="B437" i="15"/>
  <c r="T433" i="15"/>
  <c r="S433" i="15"/>
  <c r="U433" i="15"/>
  <c r="R433" i="15"/>
  <c r="Q433" i="15"/>
  <c r="P433" i="15"/>
  <c r="O433" i="15"/>
  <c r="N433" i="15"/>
  <c r="M433" i="15"/>
  <c r="K433" i="15"/>
  <c r="J433" i="15"/>
  <c r="I433" i="15"/>
  <c r="H433" i="15"/>
  <c r="G433" i="15"/>
  <c r="F433" i="15"/>
  <c r="E433" i="15"/>
  <c r="D433" i="15"/>
  <c r="C433" i="15"/>
  <c r="B433" i="15"/>
  <c r="T429" i="15"/>
  <c r="S429" i="15"/>
  <c r="U429" i="15"/>
  <c r="R429" i="15"/>
  <c r="P429" i="15"/>
  <c r="Q429" i="15"/>
  <c r="O429" i="15"/>
  <c r="N429" i="15"/>
  <c r="M429" i="15"/>
  <c r="K429" i="15"/>
  <c r="J429" i="15"/>
  <c r="I429" i="15"/>
  <c r="H429" i="15"/>
  <c r="G429" i="15"/>
  <c r="F429" i="15"/>
  <c r="E429" i="15"/>
  <c r="D429" i="15"/>
  <c r="C429" i="15"/>
  <c r="B429" i="15"/>
  <c r="U425" i="15"/>
  <c r="T425" i="15"/>
  <c r="S425" i="15"/>
  <c r="R425" i="15"/>
  <c r="Q425" i="15"/>
  <c r="P425" i="15"/>
  <c r="O425" i="15"/>
  <c r="N425" i="15"/>
  <c r="M425" i="15"/>
  <c r="K425" i="15"/>
  <c r="J425" i="15"/>
  <c r="I425" i="15"/>
  <c r="H425" i="15"/>
  <c r="G425" i="15"/>
  <c r="F425" i="15"/>
  <c r="E425" i="15"/>
  <c r="D425" i="15"/>
  <c r="C425" i="15"/>
  <c r="B425" i="15"/>
  <c r="T421" i="15"/>
  <c r="S421" i="15"/>
  <c r="U421" i="15"/>
  <c r="R421" i="15"/>
  <c r="Q421" i="15"/>
  <c r="P421" i="15"/>
  <c r="O421" i="15"/>
  <c r="N421" i="15"/>
  <c r="M421" i="15"/>
  <c r="K421" i="15"/>
  <c r="J421" i="15"/>
  <c r="I421" i="15"/>
  <c r="H421" i="15"/>
  <c r="G421" i="15"/>
  <c r="F421" i="15"/>
  <c r="E421" i="15"/>
  <c r="D421" i="15"/>
  <c r="C421" i="15"/>
  <c r="B421" i="15"/>
  <c r="T417" i="15"/>
  <c r="S417" i="15"/>
  <c r="U417" i="15"/>
  <c r="R417" i="15"/>
  <c r="Q417" i="15"/>
  <c r="P417" i="15"/>
  <c r="O417" i="15"/>
  <c r="N417" i="15"/>
  <c r="M417" i="15"/>
  <c r="K417" i="15"/>
  <c r="J417" i="15"/>
  <c r="I417" i="15"/>
  <c r="H417" i="15"/>
  <c r="G417" i="15"/>
  <c r="F417" i="15"/>
  <c r="E417" i="15"/>
  <c r="D417" i="15"/>
  <c r="C417" i="15"/>
  <c r="B417" i="15"/>
  <c r="O9" i="9"/>
  <c r="B9" i="9" s="1" a="1"/>
  <c r="B9" i="9" s="1"/>
  <c r="O11" i="9"/>
  <c r="O13" i="9"/>
  <c r="L69" i="11"/>
  <c r="F69" i="11" s="1"/>
  <c r="L65" i="11"/>
  <c r="F65" i="11" s="1"/>
  <c r="L61" i="11"/>
  <c r="F61" i="11" s="1"/>
  <c r="L57" i="11"/>
  <c r="F57" i="11" s="1"/>
  <c r="L33" i="11"/>
  <c r="F33" i="11" s="1"/>
  <c r="M69" i="11"/>
  <c r="M65" i="11"/>
  <c r="M61" i="11"/>
  <c r="M57" i="11"/>
  <c r="M53" i="11"/>
  <c r="M49" i="11"/>
  <c r="B69" i="11"/>
  <c r="B65" i="11"/>
  <c r="B61" i="11"/>
  <c r="B57" i="11"/>
  <c r="B53" i="11"/>
  <c r="C69" i="11"/>
  <c r="C65" i="11"/>
  <c r="C61" i="11"/>
  <c r="C57" i="11"/>
  <c r="D69" i="11"/>
  <c r="D65" i="11"/>
  <c r="D61" i="11"/>
  <c r="D57" i="11"/>
  <c r="D33" i="11"/>
  <c r="E69" i="11"/>
  <c r="E65" i="11"/>
  <c r="E61" i="11"/>
  <c r="E57" i="11"/>
  <c r="G69" i="11"/>
  <c r="G65" i="11"/>
  <c r="G61" i="11"/>
  <c r="L67" i="12"/>
  <c r="F67" i="12" s="1"/>
  <c r="L63" i="12"/>
  <c r="F63" i="12" s="1"/>
  <c r="M67" i="12"/>
  <c r="M63" i="12"/>
  <c r="M59" i="12"/>
  <c r="M55" i="12"/>
  <c r="M43" i="12"/>
  <c r="M35" i="12"/>
  <c r="B63" i="12"/>
  <c r="B35" i="12"/>
  <c r="C63" i="12"/>
  <c r="C51" i="12"/>
  <c r="C35" i="12"/>
  <c r="D63" i="12"/>
  <c r="D55" i="12"/>
  <c r="D35" i="12"/>
  <c r="E63" i="12"/>
  <c r="E55" i="12"/>
  <c r="E51" i="12"/>
  <c r="E39" i="12"/>
  <c r="E35" i="12"/>
  <c r="G63" i="12"/>
  <c r="T500" i="15"/>
  <c r="U500" i="15"/>
  <c r="R500" i="15"/>
  <c r="S500" i="15"/>
  <c r="Q500" i="15"/>
  <c r="P500" i="15"/>
  <c r="O500" i="15"/>
  <c r="N500" i="15"/>
  <c r="M500" i="15"/>
  <c r="K500" i="15"/>
  <c r="J500" i="15"/>
  <c r="I500" i="15"/>
  <c r="H500" i="15"/>
  <c r="G500" i="15"/>
  <c r="F500" i="15"/>
  <c r="E500" i="15"/>
  <c r="D500" i="15"/>
  <c r="C500" i="15"/>
  <c r="B500" i="15"/>
  <c r="U496" i="15"/>
  <c r="T496" i="15"/>
  <c r="S496" i="15"/>
  <c r="R496" i="15"/>
  <c r="Q496" i="15"/>
  <c r="P496" i="15"/>
  <c r="O496" i="15"/>
  <c r="N496" i="15"/>
  <c r="M496" i="15"/>
  <c r="K496" i="15"/>
  <c r="J496" i="15"/>
  <c r="I496" i="15"/>
  <c r="H496" i="15"/>
  <c r="G496" i="15"/>
  <c r="F496" i="15"/>
  <c r="E496" i="15"/>
  <c r="D496" i="15"/>
  <c r="C496" i="15"/>
  <c r="B496" i="15"/>
  <c r="U492" i="15"/>
  <c r="T492" i="15"/>
  <c r="S492" i="15"/>
  <c r="R492" i="15"/>
  <c r="Q492" i="15"/>
  <c r="P492" i="15"/>
  <c r="O492" i="15"/>
  <c r="N492" i="15"/>
  <c r="M492" i="15"/>
  <c r="K492" i="15"/>
  <c r="J492" i="15"/>
  <c r="I492" i="15"/>
  <c r="H492" i="15"/>
  <c r="G492" i="15"/>
  <c r="F492" i="15"/>
  <c r="E492" i="15"/>
  <c r="D492" i="15"/>
  <c r="C492" i="15"/>
  <c r="B492" i="15"/>
  <c r="U488" i="15"/>
  <c r="S488" i="15"/>
  <c r="T488" i="15"/>
  <c r="R488" i="15"/>
  <c r="Q488" i="15"/>
  <c r="P488" i="15"/>
  <c r="O488" i="15"/>
  <c r="N488" i="15"/>
  <c r="M488" i="15"/>
  <c r="K488" i="15"/>
  <c r="J488" i="15"/>
  <c r="I488" i="15"/>
  <c r="H488" i="15"/>
  <c r="G488" i="15"/>
  <c r="F488" i="15"/>
  <c r="E488" i="15"/>
  <c r="D488" i="15"/>
  <c r="C488" i="15"/>
  <c r="B488" i="15"/>
  <c r="T484" i="15"/>
  <c r="U484" i="15"/>
  <c r="S484" i="15"/>
  <c r="R484" i="15"/>
  <c r="P484" i="15"/>
  <c r="Q484" i="15"/>
  <c r="O484" i="15"/>
  <c r="N484" i="15"/>
  <c r="M484" i="15"/>
  <c r="K484" i="15"/>
  <c r="J484" i="15"/>
  <c r="I484" i="15"/>
  <c r="H484" i="15"/>
  <c r="G484" i="15"/>
  <c r="F484" i="15"/>
  <c r="E484" i="15"/>
  <c r="D484" i="15"/>
  <c r="C484" i="15"/>
  <c r="B484" i="15"/>
  <c r="U480" i="15"/>
  <c r="T480" i="15"/>
  <c r="R480" i="15"/>
  <c r="S480" i="15"/>
  <c r="Q480" i="15"/>
  <c r="P480" i="15"/>
  <c r="O480" i="15"/>
  <c r="N480" i="15"/>
  <c r="M480" i="15"/>
  <c r="K480" i="15"/>
  <c r="J480" i="15"/>
  <c r="I480" i="15"/>
  <c r="H480" i="15"/>
  <c r="G480" i="15"/>
  <c r="F480" i="15"/>
  <c r="E480" i="15"/>
  <c r="D480" i="15"/>
  <c r="C480" i="15"/>
  <c r="B480" i="15"/>
  <c r="S476" i="15"/>
  <c r="U476" i="15"/>
  <c r="R476" i="15"/>
  <c r="T476" i="15"/>
  <c r="Q476" i="15"/>
  <c r="P476" i="15"/>
  <c r="O476" i="15"/>
  <c r="N476" i="15"/>
  <c r="M476" i="15"/>
  <c r="K476" i="15"/>
  <c r="J476" i="15"/>
  <c r="I476" i="15"/>
  <c r="H476" i="15"/>
  <c r="G476" i="15"/>
  <c r="F476" i="15"/>
  <c r="E476" i="15"/>
  <c r="D476" i="15"/>
  <c r="C476" i="15"/>
  <c r="B476" i="15"/>
  <c r="U472" i="15"/>
  <c r="T472" i="15"/>
  <c r="S472" i="15"/>
  <c r="R472" i="15"/>
  <c r="P472" i="15"/>
  <c r="Q472" i="15"/>
  <c r="O472" i="15"/>
  <c r="N472" i="15"/>
  <c r="M472" i="15"/>
  <c r="K472" i="15"/>
  <c r="J472" i="15"/>
  <c r="I472" i="15"/>
  <c r="H472" i="15"/>
  <c r="G472" i="15"/>
  <c r="F472" i="15"/>
  <c r="E472" i="15"/>
  <c r="D472" i="15"/>
  <c r="C472" i="15"/>
  <c r="B472" i="15"/>
  <c r="T468" i="15"/>
  <c r="U468" i="15"/>
  <c r="R468" i="15"/>
  <c r="S468" i="15"/>
  <c r="Q468" i="15"/>
  <c r="P468" i="15"/>
  <c r="O468" i="15"/>
  <c r="N468" i="15"/>
  <c r="M468" i="15"/>
  <c r="K468" i="15"/>
  <c r="J468" i="15"/>
  <c r="I468" i="15"/>
  <c r="H468" i="15"/>
  <c r="G468" i="15"/>
  <c r="F468" i="15"/>
  <c r="E468" i="15"/>
  <c r="D468" i="15"/>
  <c r="C468" i="15"/>
  <c r="B468" i="15"/>
  <c r="T464" i="15"/>
  <c r="S464" i="15"/>
  <c r="R464" i="15"/>
  <c r="U464" i="15"/>
  <c r="Q464" i="15"/>
  <c r="P464" i="15"/>
  <c r="O464" i="15"/>
  <c r="N464" i="15"/>
  <c r="M464" i="15"/>
  <c r="K464" i="15"/>
  <c r="J464" i="15"/>
  <c r="I464" i="15"/>
  <c r="H464" i="15"/>
  <c r="G464" i="15"/>
  <c r="F464" i="15"/>
  <c r="E464" i="15"/>
  <c r="D464" i="15"/>
  <c r="C464" i="15"/>
  <c r="B464" i="15"/>
  <c r="U460" i="15"/>
  <c r="S460" i="15"/>
  <c r="T460" i="15"/>
  <c r="R460" i="15"/>
  <c r="Q460" i="15"/>
  <c r="P460" i="15"/>
  <c r="O460" i="15"/>
  <c r="N460" i="15"/>
  <c r="M460" i="15"/>
  <c r="K460" i="15"/>
  <c r="J460" i="15"/>
  <c r="I460" i="15"/>
  <c r="H460" i="15"/>
  <c r="G460" i="15"/>
  <c r="F460" i="15"/>
  <c r="E460" i="15"/>
  <c r="D460" i="15"/>
  <c r="C460" i="15"/>
  <c r="B460" i="15"/>
  <c r="U456" i="15"/>
  <c r="T456" i="15"/>
  <c r="S456" i="15"/>
  <c r="R456" i="15"/>
  <c r="Q456" i="15"/>
  <c r="P456" i="15"/>
  <c r="O456" i="15"/>
  <c r="N456" i="15"/>
  <c r="M456" i="15"/>
  <c r="K456" i="15"/>
  <c r="J456" i="15"/>
  <c r="I456" i="15"/>
  <c r="H456" i="15"/>
  <c r="G456" i="15"/>
  <c r="F456" i="15"/>
  <c r="E456" i="15"/>
  <c r="D456" i="15"/>
  <c r="C456" i="15"/>
  <c r="B456" i="15"/>
  <c r="T452" i="15"/>
  <c r="U452" i="15"/>
  <c r="R452" i="15"/>
  <c r="S452" i="15"/>
  <c r="P452" i="15"/>
  <c r="Q452" i="15"/>
  <c r="O452" i="15"/>
  <c r="N452" i="15"/>
  <c r="M452" i="15"/>
  <c r="K452" i="15"/>
  <c r="J452" i="15"/>
  <c r="I452" i="15"/>
  <c r="H452" i="15"/>
  <c r="G452" i="15"/>
  <c r="F452" i="15"/>
  <c r="E452" i="15"/>
  <c r="D452" i="15"/>
  <c r="C452" i="15"/>
  <c r="B452" i="15"/>
  <c r="S448" i="15"/>
  <c r="U448" i="15"/>
  <c r="R448" i="15"/>
  <c r="Q448" i="15"/>
  <c r="T448" i="15"/>
  <c r="P448" i="15"/>
  <c r="O448" i="15"/>
  <c r="N448" i="15"/>
  <c r="M448" i="15"/>
  <c r="K448" i="15"/>
  <c r="J448" i="15"/>
  <c r="I448" i="15"/>
  <c r="H448" i="15"/>
  <c r="G448" i="15"/>
  <c r="F448" i="15"/>
  <c r="E448" i="15"/>
  <c r="D448" i="15"/>
  <c r="C448" i="15"/>
  <c r="B448" i="15"/>
  <c r="T444" i="15"/>
  <c r="U444" i="15"/>
  <c r="S444" i="15"/>
  <c r="R444" i="15"/>
  <c r="Q444" i="15"/>
  <c r="P444" i="15"/>
  <c r="O444" i="15"/>
  <c r="N444" i="15"/>
  <c r="M444" i="15"/>
  <c r="K444" i="15"/>
  <c r="J444" i="15"/>
  <c r="I444" i="15"/>
  <c r="H444" i="15"/>
  <c r="G444" i="15"/>
  <c r="F444" i="15"/>
  <c r="E444" i="15"/>
  <c r="D444" i="15"/>
  <c r="C444" i="15"/>
  <c r="B444" i="15"/>
  <c r="U440" i="15"/>
  <c r="S440" i="15"/>
  <c r="T440" i="15"/>
  <c r="R440" i="15"/>
  <c r="P440" i="15"/>
  <c r="Q440" i="15"/>
  <c r="O440" i="15"/>
  <c r="N440" i="15"/>
  <c r="M440" i="15"/>
  <c r="K440" i="15"/>
  <c r="J440" i="15"/>
  <c r="I440" i="15"/>
  <c r="H440" i="15"/>
  <c r="G440" i="15"/>
  <c r="F440" i="15"/>
  <c r="E440" i="15"/>
  <c r="D440" i="15"/>
  <c r="C440" i="15"/>
  <c r="B440" i="15"/>
  <c r="U436" i="15"/>
  <c r="T436" i="15"/>
  <c r="S436" i="15"/>
  <c r="R436" i="15"/>
  <c r="Q436" i="15"/>
  <c r="P436" i="15"/>
  <c r="O436" i="15"/>
  <c r="N436" i="15"/>
  <c r="M436" i="15"/>
  <c r="K436" i="15"/>
  <c r="J436" i="15"/>
  <c r="I436" i="15"/>
  <c r="H436" i="15"/>
  <c r="G436" i="15"/>
  <c r="F436" i="15"/>
  <c r="E436" i="15"/>
  <c r="D436" i="15"/>
  <c r="C436" i="15"/>
  <c r="B436" i="15"/>
  <c r="S432" i="15"/>
  <c r="R432" i="15"/>
  <c r="T432" i="15"/>
  <c r="U432" i="15"/>
  <c r="Q432" i="15"/>
  <c r="P432" i="15"/>
  <c r="O432" i="15"/>
  <c r="N432" i="15"/>
  <c r="M432" i="15"/>
  <c r="K432" i="15"/>
  <c r="J432" i="15"/>
  <c r="I432" i="15"/>
  <c r="H432" i="15"/>
  <c r="G432" i="15"/>
  <c r="F432" i="15"/>
  <c r="E432" i="15"/>
  <c r="D432" i="15"/>
  <c r="C432" i="15"/>
  <c r="B432" i="15"/>
  <c r="U428" i="15"/>
  <c r="T428" i="15"/>
  <c r="S428" i="15"/>
  <c r="R428" i="15"/>
  <c r="Q428" i="15"/>
  <c r="P428" i="15"/>
  <c r="O428" i="15"/>
  <c r="N428" i="15"/>
  <c r="M428" i="15"/>
  <c r="K428" i="15"/>
  <c r="J428" i="15"/>
  <c r="I428" i="15"/>
  <c r="H428" i="15"/>
  <c r="G428" i="15"/>
  <c r="F428" i="15"/>
  <c r="E428" i="15"/>
  <c r="D428" i="15"/>
  <c r="C428" i="15"/>
  <c r="B428" i="15"/>
  <c r="U424" i="15"/>
  <c r="T424" i="15"/>
  <c r="S424" i="15"/>
  <c r="R424" i="15"/>
  <c r="Q424" i="15"/>
  <c r="P424" i="15"/>
  <c r="O424" i="15"/>
  <c r="N424" i="15"/>
  <c r="M424" i="15"/>
  <c r="K424" i="15"/>
  <c r="J424" i="15"/>
  <c r="I424" i="15"/>
  <c r="H424" i="15"/>
  <c r="G424" i="15"/>
  <c r="F424" i="15"/>
  <c r="E424" i="15"/>
  <c r="D424" i="15"/>
  <c r="C424" i="15"/>
  <c r="B424" i="15"/>
  <c r="U420" i="15"/>
  <c r="T420" i="15"/>
  <c r="S420" i="15"/>
  <c r="R420" i="15"/>
  <c r="P420" i="15"/>
  <c r="Q420" i="15"/>
  <c r="O420" i="15"/>
  <c r="N420" i="15"/>
  <c r="M420" i="15"/>
  <c r="K420" i="15"/>
  <c r="J420" i="15"/>
  <c r="I420" i="15"/>
  <c r="H420" i="15"/>
  <c r="G420" i="15"/>
  <c r="F420" i="15"/>
  <c r="E420" i="15"/>
  <c r="D420" i="15"/>
  <c r="C420" i="15"/>
  <c r="B420" i="15"/>
  <c r="S416" i="15"/>
  <c r="T416" i="15"/>
  <c r="U416" i="15"/>
  <c r="R416" i="15"/>
  <c r="Q416" i="15"/>
  <c r="P416" i="15"/>
  <c r="O416" i="15"/>
  <c r="N416" i="15"/>
  <c r="M416" i="15"/>
  <c r="K416" i="15"/>
  <c r="J416" i="15"/>
  <c r="I416" i="15"/>
  <c r="H416" i="15"/>
  <c r="G416" i="15"/>
  <c r="F416" i="15"/>
  <c r="E416" i="15"/>
  <c r="D416" i="15"/>
  <c r="C416" i="15"/>
  <c r="B416" i="15"/>
  <c r="L68" i="11"/>
  <c r="F68" i="11" s="1"/>
  <c r="L60" i="11"/>
  <c r="F60" i="11" s="1"/>
  <c r="L56" i="11"/>
  <c r="F56" i="11" s="1"/>
  <c r="L48" i="11"/>
  <c r="F48" i="11" s="1"/>
  <c r="L40" i="11"/>
  <c r="F40" i="11" s="1"/>
  <c r="M68" i="11"/>
  <c r="M64" i="11"/>
  <c r="M60" i="11"/>
  <c r="M56" i="11"/>
  <c r="M52" i="11"/>
  <c r="M48" i="11"/>
  <c r="M36" i="11"/>
  <c r="B68" i="11"/>
  <c r="B60" i="11"/>
  <c r="B48" i="11"/>
  <c r="B40" i="11"/>
  <c r="C68" i="11"/>
  <c r="C60" i="11"/>
  <c r="C48" i="11"/>
  <c r="C40" i="11"/>
  <c r="D68" i="11"/>
  <c r="D60" i="11"/>
  <c r="D48" i="11"/>
  <c r="D40" i="11"/>
  <c r="E68" i="11"/>
  <c r="E60" i="11"/>
  <c r="E52" i="11"/>
  <c r="E48" i="11"/>
  <c r="E40" i="11"/>
  <c r="G68" i="11"/>
  <c r="G64" i="11"/>
  <c r="G60" i="11"/>
  <c r="L66" i="12"/>
  <c r="F66" i="12" s="1"/>
  <c r="L62" i="12"/>
  <c r="F62" i="12" s="1"/>
  <c r="L58" i="12"/>
  <c r="F58" i="12" s="1"/>
  <c r="L54" i="12"/>
  <c r="F54" i="12" s="1"/>
  <c r="M66" i="12"/>
  <c r="M62" i="12"/>
  <c r="M58" i="12"/>
  <c r="M54" i="12"/>
  <c r="M46" i="12"/>
  <c r="M34" i="12"/>
  <c r="M30" i="12"/>
  <c r="B66" i="12"/>
  <c r="B62" i="12"/>
  <c r="B58" i="12"/>
  <c r="B54" i="12"/>
  <c r="B42" i="12"/>
  <c r="B34" i="12"/>
  <c r="C66" i="12"/>
  <c r="C62" i="12"/>
  <c r="C58" i="12"/>
  <c r="C54" i="12"/>
  <c r="D66" i="12"/>
  <c r="D62" i="12"/>
  <c r="D58" i="12"/>
  <c r="D54" i="12"/>
  <c r="D46" i="12"/>
  <c r="D38" i="12"/>
  <c r="E66" i="12"/>
  <c r="E62" i="12"/>
  <c r="E58" i="12"/>
  <c r="E54" i="12"/>
  <c r="E46" i="12"/>
  <c r="E42" i="12"/>
  <c r="E30" i="12"/>
  <c r="G66" i="12"/>
  <c r="G62" i="12"/>
  <c r="U503" i="15"/>
  <c r="S503" i="15"/>
  <c r="T503" i="15"/>
  <c r="R503" i="15"/>
  <c r="Q503" i="15"/>
  <c r="P503" i="15"/>
  <c r="O503" i="15"/>
  <c r="N503" i="15"/>
  <c r="M503" i="15"/>
  <c r="K503" i="15"/>
  <c r="J503" i="15"/>
  <c r="I503" i="15"/>
  <c r="H503" i="15"/>
  <c r="G503" i="15"/>
  <c r="F503" i="15"/>
  <c r="E503" i="15"/>
  <c r="D503" i="15"/>
  <c r="C503" i="15"/>
  <c r="B503" i="15"/>
  <c r="U499" i="15"/>
  <c r="T499" i="15"/>
  <c r="S499" i="15"/>
  <c r="R499" i="15"/>
  <c r="Q499" i="15"/>
  <c r="P499" i="15"/>
  <c r="O499" i="15"/>
  <c r="N499" i="15"/>
  <c r="M499" i="15"/>
  <c r="K499" i="15"/>
  <c r="J499" i="15"/>
  <c r="I499" i="15"/>
  <c r="H499" i="15"/>
  <c r="G499" i="15"/>
  <c r="F499" i="15"/>
  <c r="E499" i="15"/>
  <c r="D499" i="15"/>
  <c r="C499" i="15"/>
  <c r="B499" i="15"/>
  <c r="T495" i="15"/>
  <c r="U495" i="15"/>
  <c r="S495" i="15"/>
  <c r="R495" i="15"/>
  <c r="P495" i="15"/>
  <c r="Q495" i="15"/>
  <c r="O495" i="15"/>
  <c r="N495" i="15"/>
  <c r="M495" i="15"/>
  <c r="K495" i="15"/>
  <c r="J495" i="15"/>
  <c r="I495" i="15"/>
  <c r="H495" i="15"/>
  <c r="G495" i="15"/>
  <c r="F495" i="15"/>
  <c r="E495" i="15"/>
  <c r="D495" i="15"/>
  <c r="C495" i="15"/>
  <c r="B495" i="15"/>
  <c r="R491" i="15"/>
  <c r="Q491" i="15"/>
  <c r="U491" i="15"/>
  <c r="T491" i="15"/>
  <c r="S491" i="15"/>
  <c r="P491" i="15"/>
  <c r="O491" i="15"/>
  <c r="N491" i="15"/>
  <c r="M491" i="15"/>
  <c r="K491" i="15"/>
  <c r="J491" i="15"/>
  <c r="I491" i="15"/>
  <c r="H491" i="15"/>
  <c r="G491" i="15"/>
  <c r="F491" i="15"/>
  <c r="E491" i="15"/>
  <c r="D491" i="15"/>
  <c r="C491" i="15"/>
  <c r="B491" i="15"/>
  <c r="S487" i="15"/>
  <c r="T487" i="15"/>
  <c r="U487" i="15"/>
  <c r="R487" i="15"/>
  <c r="Q487" i="15"/>
  <c r="P487" i="15"/>
  <c r="O487" i="15"/>
  <c r="N487" i="15"/>
  <c r="M487" i="15"/>
  <c r="K487" i="15"/>
  <c r="J487" i="15"/>
  <c r="I487" i="15"/>
  <c r="H487" i="15"/>
  <c r="G487" i="15"/>
  <c r="F487" i="15"/>
  <c r="E487" i="15"/>
  <c r="D487" i="15"/>
  <c r="C487" i="15"/>
  <c r="B487" i="15"/>
  <c r="U483" i="15"/>
  <c r="S483" i="15"/>
  <c r="T483" i="15"/>
  <c r="R483" i="15"/>
  <c r="P483" i="15"/>
  <c r="Q483" i="15"/>
  <c r="O483" i="15"/>
  <c r="N483" i="15"/>
  <c r="M483" i="15"/>
  <c r="K483" i="15"/>
  <c r="J483" i="15"/>
  <c r="I483" i="15"/>
  <c r="H483" i="15"/>
  <c r="G483" i="15"/>
  <c r="F483" i="15"/>
  <c r="E483" i="15"/>
  <c r="D483" i="15"/>
  <c r="C483" i="15"/>
  <c r="B483" i="15"/>
  <c r="T479" i="15"/>
  <c r="U479" i="15"/>
  <c r="R479" i="15"/>
  <c r="S479" i="15"/>
  <c r="Q479" i="15"/>
  <c r="P479" i="15"/>
  <c r="O479" i="15"/>
  <c r="N479" i="15"/>
  <c r="M479" i="15"/>
  <c r="K479" i="15"/>
  <c r="J479" i="15"/>
  <c r="I479" i="15"/>
  <c r="H479" i="15"/>
  <c r="G479" i="15"/>
  <c r="F479" i="15"/>
  <c r="E479" i="15"/>
  <c r="D479" i="15"/>
  <c r="C479" i="15"/>
  <c r="B479" i="15"/>
  <c r="U475" i="15"/>
  <c r="S475" i="15"/>
  <c r="R475" i="15"/>
  <c r="T475" i="15"/>
  <c r="Q475" i="15"/>
  <c r="P475" i="15"/>
  <c r="O475" i="15"/>
  <c r="N475" i="15"/>
  <c r="M475" i="15"/>
  <c r="K475" i="15"/>
  <c r="J475" i="15"/>
  <c r="I475" i="15"/>
  <c r="H475" i="15"/>
  <c r="G475" i="15"/>
  <c r="F475" i="15"/>
  <c r="E475" i="15"/>
  <c r="D475" i="15"/>
  <c r="C475" i="15"/>
  <c r="B475" i="15"/>
  <c r="U471" i="15"/>
  <c r="T471" i="15"/>
  <c r="S471" i="15"/>
  <c r="R471" i="15"/>
  <c r="Q471" i="15"/>
  <c r="P471" i="15"/>
  <c r="O471" i="15"/>
  <c r="N471" i="15"/>
  <c r="M471" i="15"/>
  <c r="K471" i="15"/>
  <c r="J471" i="15"/>
  <c r="I471" i="15"/>
  <c r="H471" i="15"/>
  <c r="G471" i="15"/>
  <c r="F471" i="15"/>
  <c r="E471" i="15"/>
  <c r="D471" i="15"/>
  <c r="C471" i="15"/>
  <c r="B471" i="15"/>
  <c r="U467" i="15"/>
  <c r="S467" i="15"/>
  <c r="T467" i="15"/>
  <c r="R467" i="15"/>
  <c r="Q467" i="15"/>
  <c r="P467" i="15"/>
  <c r="O467" i="15"/>
  <c r="N467" i="15"/>
  <c r="M467" i="15"/>
  <c r="K467" i="15"/>
  <c r="J467" i="15"/>
  <c r="I467" i="15"/>
  <c r="H467" i="15"/>
  <c r="G467" i="15"/>
  <c r="F467" i="15"/>
  <c r="E467" i="15"/>
  <c r="D467" i="15"/>
  <c r="C467" i="15"/>
  <c r="B467" i="15"/>
  <c r="T463" i="15"/>
  <c r="U463" i="15"/>
  <c r="S463" i="15"/>
  <c r="R463" i="15"/>
  <c r="P463" i="15"/>
  <c r="Q463" i="15"/>
  <c r="O463" i="15"/>
  <c r="N463" i="15"/>
  <c r="M463" i="15"/>
  <c r="K463" i="15"/>
  <c r="J463" i="15"/>
  <c r="I463" i="15"/>
  <c r="H463" i="15"/>
  <c r="G463" i="15"/>
  <c r="F463" i="15"/>
  <c r="E463" i="15"/>
  <c r="D463" i="15"/>
  <c r="C463" i="15"/>
  <c r="B463" i="15"/>
  <c r="T459" i="15"/>
  <c r="R459" i="15"/>
  <c r="U459" i="15"/>
  <c r="Q459" i="15"/>
  <c r="S459" i="15"/>
  <c r="P459" i="15"/>
  <c r="O459" i="15"/>
  <c r="N459" i="15"/>
  <c r="M459" i="15"/>
  <c r="K459" i="15"/>
  <c r="J459" i="15"/>
  <c r="I459" i="15"/>
  <c r="H459" i="15"/>
  <c r="G459" i="15"/>
  <c r="F459" i="15"/>
  <c r="E459" i="15"/>
  <c r="D459" i="15"/>
  <c r="C459" i="15"/>
  <c r="B459" i="15"/>
  <c r="T458" i="15"/>
  <c r="S458" i="15"/>
  <c r="R458" i="15"/>
  <c r="Q458" i="15"/>
  <c r="P458" i="15"/>
  <c r="U458" i="15"/>
  <c r="O458" i="15"/>
  <c r="N458" i="15"/>
  <c r="M458" i="15"/>
  <c r="K458" i="15"/>
  <c r="J458" i="15"/>
  <c r="I458" i="15"/>
  <c r="H458" i="15"/>
  <c r="S454" i="15"/>
  <c r="R454" i="15"/>
  <c r="Q454" i="15"/>
  <c r="P454" i="15"/>
  <c r="U454" i="15"/>
  <c r="T454" i="15"/>
  <c r="O454" i="15"/>
  <c r="N454" i="15"/>
  <c r="M454" i="15"/>
  <c r="K454" i="15"/>
  <c r="J454" i="15"/>
  <c r="I454" i="15"/>
  <c r="H454" i="15"/>
  <c r="R450" i="15"/>
  <c r="Q450" i="15"/>
  <c r="P450" i="15"/>
  <c r="U450" i="15"/>
  <c r="T450" i="15"/>
  <c r="S450" i="15"/>
  <c r="O450" i="15"/>
  <c r="N450" i="15"/>
  <c r="M450" i="15"/>
  <c r="K450" i="15"/>
  <c r="J450" i="15"/>
  <c r="I450" i="15"/>
  <c r="H450" i="15"/>
  <c r="U446" i="15"/>
  <c r="R446" i="15"/>
  <c r="Q446" i="15"/>
  <c r="P446" i="15"/>
  <c r="T446" i="15"/>
  <c r="S446" i="15"/>
  <c r="O446" i="15"/>
  <c r="N446" i="15"/>
  <c r="M446" i="15"/>
  <c r="K446" i="15"/>
  <c r="J446" i="15"/>
  <c r="I446" i="15"/>
  <c r="H446" i="15"/>
  <c r="T442" i="15"/>
  <c r="R442" i="15"/>
  <c r="Q442" i="15"/>
  <c r="P442" i="15"/>
  <c r="U442" i="15"/>
  <c r="S442" i="15"/>
  <c r="O442" i="15"/>
  <c r="N442" i="15"/>
  <c r="M442" i="15"/>
  <c r="K442" i="15"/>
  <c r="J442" i="15"/>
  <c r="I442" i="15"/>
  <c r="H442" i="15"/>
  <c r="S438" i="15"/>
  <c r="R438" i="15"/>
  <c r="Q438" i="15"/>
  <c r="P438" i="15"/>
  <c r="U438" i="15"/>
  <c r="T438" i="15"/>
  <c r="O438" i="15"/>
  <c r="N438" i="15"/>
  <c r="M438" i="15"/>
  <c r="K438" i="15"/>
  <c r="J438" i="15"/>
  <c r="I438" i="15"/>
  <c r="H438" i="15"/>
  <c r="R434" i="15"/>
  <c r="Q434" i="15"/>
  <c r="P434" i="15"/>
  <c r="U434" i="15"/>
  <c r="S434" i="15"/>
  <c r="T434" i="15"/>
  <c r="O434" i="15"/>
  <c r="N434" i="15"/>
  <c r="M434" i="15"/>
  <c r="K434" i="15"/>
  <c r="J434" i="15"/>
  <c r="I434" i="15"/>
  <c r="H434" i="15"/>
  <c r="U430" i="15"/>
  <c r="R430" i="15"/>
  <c r="Q430" i="15"/>
  <c r="P430" i="15"/>
  <c r="T430" i="15"/>
  <c r="S430" i="15"/>
  <c r="O430" i="15"/>
  <c r="N430" i="15"/>
  <c r="M430" i="15"/>
  <c r="K430" i="15"/>
  <c r="J430" i="15"/>
  <c r="I430" i="15"/>
  <c r="H430" i="15"/>
  <c r="U426" i="15"/>
  <c r="T426" i="15"/>
  <c r="R426" i="15"/>
  <c r="Q426" i="15"/>
  <c r="P426" i="15"/>
  <c r="S426" i="15"/>
  <c r="O426" i="15"/>
  <c r="N426" i="15"/>
  <c r="M426" i="15"/>
  <c r="K426" i="15"/>
  <c r="J426" i="15"/>
  <c r="I426" i="15"/>
  <c r="H426" i="15"/>
  <c r="S422" i="15"/>
  <c r="R422" i="15"/>
  <c r="Q422" i="15"/>
  <c r="P422" i="15"/>
  <c r="T422" i="15"/>
  <c r="U422" i="15"/>
  <c r="O422" i="15"/>
  <c r="N422" i="15"/>
  <c r="M422" i="15"/>
  <c r="K422" i="15"/>
  <c r="J422" i="15"/>
  <c r="I422" i="15"/>
  <c r="H422" i="15"/>
  <c r="U418" i="15"/>
  <c r="R418" i="15"/>
  <c r="Q418" i="15"/>
  <c r="P418" i="15"/>
  <c r="T418" i="15"/>
  <c r="S418" i="15"/>
  <c r="O418" i="15"/>
  <c r="N418" i="15"/>
  <c r="M418" i="15"/>
  <c r="K418" i="15"/>
  <c r="J418" i="15"/>
  <c r="I418" i="15"/>
  <c r="H418" i="15"/>
  <c r="G418" i="15"/>
  <c r="U414" i="15"/>
  <c r="R414" i="15"/>
  <c r="Q414" i="15"/>
  <c r="P414" i="15"/>
  <c r="T414" i="15"/>
  <c r="S414" i="15"/>
  <c r="O414" i="15"/>
  <c r="N414" i="15"/>
  <c r="M414" i="15"/>
  <c r="K414" i="15"/>
  <c r="J414" i="15"/>
  <c r="I414" i="15"/>
  <c r="H414" i="15"/>
  <c r="G414" i="15"/>
  <c r="T410" i="15"/>
  <c r="R410" i="15"/>
  <c r="Q410" i="15"/>
  <c r="P410" i="15"/>
  <c r="U410" i="15"/>
  <c r="S410" i="15"/>
  <c r="O410" i="15"/>
  <c r="N410" i="15"/>
  <c r="M410" i="15"/>
  <c r="K410" i="15"/>
  <c r="J410" i="15"/>
  <c r="I410" i="15"/>
  <c r="H410" i="15"/>
  <c r="G410" i="15"/>
  <c r="S406" i="15"/>
  <c r="R406" i="15"/>
  <c r="Q406" i="15"/>
  <c r="P406" i="15"/>
  <c r="U406" i="15"/>
  <c r="T406" i="15"/>
  <c r="N406" i="15"/>
  <c r="M406" i="15"/>
  <c r="O406" i="15"/>
  <c r="K406" i="15"/>
  <c r="J406" i="15"/>
  <c r="I406" i="15"/>
  <c r="H406" i="15"/>
  <c r="G406" i="15"/>
  <c r="R402" i="15"/>
  <c r="Q402" i="15"/>
  <c r="P402" i="15"/>
  <c r="U402" i="15"/>
  <c r="T402" i="15"/>
  <c r="S402" i="15"/>
  <c r="O402" i="15"/>
  <c r="N402" i="15"/>
  <c r="M402" i="15"/>
  <c r="K402" i="15"/>
  <c r="J402" i="15"/>
  <c r="I402" i="15"/>
  <c r="H402" i="15"/>
  <c r="G402" i="15"/>
  <c r="U398" i="15"/>
  <c r="R398" i="15"/>
  <c r="Q398" i="15"/>
  <c r="P398" i="15"/>
  <c r="S398" i="15"/>
  <c r="T398" i="15"/>
  <c r="O398" i="15"/>
  <c r="N398" i="15"/>
  <c r="M398" i="15"/>
  <c r="K398" i="15"/>
  <c r="J398" i="15"/>
  <c r="I398" i="15"/>
  <c r="H398" i="15"/>
  <c r="G398" i="15"/>
  <c r="T394" i="15"/>
  <c r="R394" i="15"/>
  <c r="Q394" i="15"/>
  <c r="P394" i="15"/>
  <c r="S394" i="15"/>
  <c r="U394" i="15"/>
  <c r="O394" i="15"/>
  <c r="N394" i="15"/>
  <c r="M394" i="15"/>
  <c r="K394" i="15"/>
  <c r="J394" i="15"/>
  <c r="I394" i="15"/>
  <c r="H394" i="15"/>
  <c r="G394" i="15"/>
  <c r="U390" i="15"/>
  <c r="S390" i="15"/>
  <c r="R390" i="15"/>
  <c r="Q390" i="15"/>
  <c r="P390" i="15"/>
  <c r="T390" i="15"/>
  <c r="N390" i="15"/>
  <c r="M390" i="15"/>
  <c r="O390" i="15"/>
  <c r="K390" i="15"/>
  <c r="J390" i="15"/>
  <c r="I390" i="15"/>
  <c r="H390" i="15"/>
  <c r="G390" i="15"/>
  <c r="R386" i="15"/>
  <c r="Q386" i="15"/>
  <c r="P386" i="15"/>
  <c r="T386" i="15"/>
  <c r="U386" i="15"/>
  <c r="S386" i="15"/>
  <c r="O386" i="15"/>
  <c r="N386" i="15"/>
  <c r="M386" i="15"/>
  <c r="K386" i="15"/>
  <c r="J386" i="15"/>
  <c r="I386" i="15"/>
  <c r="H386" i="15"/>
  <c r="G386" i="15"/>
  <c r="U382" i="15"/>
  <c r="R382" i="15"/>
  <c r="Q382" i="15"/>
  <c r="P382" i="15"/>
  <c r="T382" i="15"/>
  <c r="S382" i="15"/>
  <c r="O382" i="15"/>
  <c r="N382" i="15"/>
  <c r="M382" i="15"/>
  <c r="K382" i="15"/>
  <c r="J382" i="15"/>
  <c r="I382" i="15"/>
  <c r="H382" i="15"/>
  <c r="G382" i="15"/>
  <c r="T378" i="15"/>
  <c r="R378" i="15"/>
  <c r="Q378" i="15"/>
  <c r="P378" i="15"/>
  <c r="U378" i="15"/>
  <c r="S378" i="15"/>
  <c r="O378" i="15"/>
  <c r="N378" i="15"/>
  <c r="M378" i="15"/>
  <c r="K378" i="15"/>
  <c r="J378" i="15"/>
  <c r="I378" i="15"/>
  <c r="H378" i="15"/>
  <c r="G378" i="15"/>
  <c r="S374" i="15"/>
  <c r="R374" i="15"/>
  <c r="Q374" i="15"/>
  <c r="P374" i="15"/>
  <c r="T374" i="15"/>
  <c r="U374" i="15"/>
  <c r="N374" i="15"/>
  <c r="M374" i="15"/>
  <c r="O374" i="15"/>
  <c r="K374" i="15"/>
  <c r="J374" i="15"/>
  <c r="I374" i="15"/>
  <c r="H374" i="15"/>
  <c r="G374" i="15"/>
  <c r="R370" i="15"/>
  <c r="Q370" i="15"/>
  <c r="P370" i="15"/>
  <c r="U370" i="15"/>
  <c r="S370" i="15"/>
  <c r="T370" i="15"/>
  <c r="O370" i="15"/>
  <c r="N370" i="15"/>
  <c r="M370" i="15"/>
  <c r="K370" i="15"/>
  <c r="J370" i="15"/>
  <c r="I370" i="15"/>
  <c r="H370" i="15"/>
  <c r="G370" i="15"/>
  <c r="U366" i="15"/>
  <c r="R366" i="15"/>
  <c r="Q366" i="15"/>
  <c r="P366" i="15"/>
  <c r="T366" i="15"/>
  <c r="S366" i="15"/>
  <c r="O366" i="15"/>
  <c r="N366" i="15"/>
  <c r="M366" i="15"/>
  <c r="K366" i="15"/>
  <c r="J366" i="15"/>
  <c r="I366" i="15"/>
  <c r="H366" i="15"/>
  <c r="G366" i="15"/>
  <c r="U362" i="15"/>
  <c r="T362" i="15"/>
  <c r="R362" i="15"/>
  <c r="Q362" i="15"/>
  <c r="P362" i="15"/>
  <c r="S362" i="15"/>
  <c r="O362" i="15"/>
  <c r="N362" i="15"/>
  <c r="M362" i="15"/>
  <c r="K362" i="15"/>
  <c r="J362" i="15"/>
  <c r="I362" i="15"/>
  <c r="H362" i="15"/>
  <c r="G362" i="15"/>
  <c r="S358" i="15"/>
  <c r="R358" i="15"/>
  <c r="Q358" i="15"/>
  <c r="P358" i="15"/>
  <c r="T358" i="15"/>
  <c r="U358" i="15"/>
  <c r="N358" i="15"/>
  <c r="M358" i="15"/>
  <c r="O358" i="15"/>
  <c r="K358" i="15"/>
  <c r="J358" i="15"/>
  <c r="I358" i="15"/>
  <c r="H358" i="15"/>
  <c r="G358" i="15"/>
  <c r="U354" i="15"/>
  <c r="R354" i="15"/>
  <c r="Q354" i="15"/>
  <c r="P354" i="15"/>
  <c r="T354" i="15"/>
  <c r="S354" i="15"/>
  <c r="O354" i="15"/>
  <c r="N354" i="15"/>
  <c r="M354" i="15"/>
  <c r="K354" i="15"/>
  <c r="J354" i="15"/>
  <c r="I354" i="15"/>
  <c r="H354" i="15"/>
  <c r="G354" i="15"/>
  <c r="U350" i="15"/>
  <c r="R350" i="15"/>
  <c r="Q350" i="15"/>
  <c r="P350" i="15"/>
  <c r="T350" i="15"/>
  <c r="S350" i="15"/>
  <c r="O350" i="15"/>
  <c r="N350" i="15"/>
  <c r="M350" i="15"/>
  <c r="K350" i="15"/>
  <c r="J350" i="15"/>
  <c r="I350" i="15"/>
  <c r="H350" i="15"/>
  <c r="G350" i="15"/>
  <c r="T346" i="15"/>
  <c r="R346" i="15"/>
  <c r="Q346" i="15"/>
  <c r="P346" i="15"/>
  <c r="U346" i="15"/>
  <c r="S346" i="15"/>
  <c r="N346" i="15"/>
  <c r="M346" i="15"/>
  <c r="O346" i="15"/>
  <c r="K346" i="15"/>
  <c r="J346" i="15"/>
  <c r="I346" i="15"/>
  <c r="H346" i="15"/>
  <c r="G346" i="15"/>
  <c r="S342" i="15"/>
  <c r="R342" i="15"/>
  <c r="Q342" i="15"/>
  <c r="P342" i="15"/>
  <c r="U342" i="15"/>
  <c r="T342" i="15"/>
  <c r="O342" i="15"/>
  <c r="N342" i="15"/>
  <c r="M342" i="15"/>
  <c r="K342" i="15"/>
  <c r="J342" i="15"/>
  <c r="I342" i="15"/>
  <c r="H342" i="15"/>
  <c r="G342" i="15"/>
  <c r="R338" i="15"/>
  <c r="Q338" i="15"/>
  <c r="P338" i="15"/>
  <c r="U338" i="15"/>
  <c r="T338" i="15"/>
  <c r="S338" i="15"/>
  <c r="O338" i="15"/>
  <c r="N338" i="15"/>
  <c r="M338" i="15"/>
  <c r="K338" i="15"/>
  <c r="J338" i="15"/>
  <c r="I338" i="15"/>
  <c r="H338" i="15"/>
  <c r="G338" i="15"/>
  <c r="U334" i="15"/>
  <c r="R334" i="15"/>
  <c r="Q334" i="15"/>
  <c r="P334" i="15"/>
  <c r="S334" i="15"/>
  <c r="T334" i="15"/>
  <c r="O334" i="15"/>
  <c r="N334" i="15"/>
  <c r="M334" i="15"/>
  <c r="K334" i="15"/>
  <c r="J334" i="15"/>
  <c r="I334" i="15"/>
  <c r="H334" i="15"/>
  <c r="G334" i="15"/>
  <c r="T330" i="15"/>
  <c r="R330" i="15"/>
  <c r="Q330" i="15"/>
  <c r="P330" i="15"/>
  <c r="U330" i="15"/>
  <c r="S330" i="15"/>
  <c r="O330" i="15"/>
  <c r="N330" i="15"/>
  <c r="M330" i="15"/>
  <c r="K330" i="15"/>
  <c r="J330" i="15"/>
  <c r="I330" i="15"/>
  <c r="H330" i="15"/>
  <c r="G330" i="15"/>
  <c r="U326" i="15"/>
  <c r="S326" i="15"/>
  <c r="R326" i="15"/>
  <c r="Q326" i="15"/>
  <c r="P326" i="15"/>
  <c r="T326" i="15"/>
  <c r="O326" i="15"/>
  <c r="N326" i="15"/>
  <c r="M326" i="15"/>
  <c r="K326" i="15"/>
  <c r="J326" i="15"/>
  <c r="I326" i="15"/>
  <c r="H326" i="15"/>
  <c r="G326" i="15"/>
  <c r="R322" i="15"/>
  <c r="Q322" i="15"/>
  <c r="P322" i="15"/>
  <c r="T322" i="15"/>
  <c r="U322" i="15"/>
  <c r="S322" i="15"/>
  <c r="O322" i="15"/>
  <c r="N322" i="15"/>
  <c r="M322" i="15"/>
  <c r="K322" i="15"/>
  <c r="J322" i="15"/>
  <c r="I322" i="15"/>
  <c r="H322" i="15"/>
  <c r="G322" i="15"/>
  <c r="U318" i="15"/>
  <c r="R318" i="15"/>
  <c r="Q318" i="15"/>
  <c r="P318" i="15"/>
  <c r="T318" i="15"/>
  <c r="S318" i="15"/>
  <c r="O318" i="15"/>
  <c r="N318" i="15"/>
  <c r="M318" i="15"/>
  <c r="K318" i="15"/>
  <c r="J318" i="15"/>
  <c r="I318" i="15"/>
  <c r="H318" i="15"/>
  <c r="G318" i="15"/>
  <c r="T314" i="15"/>
  <c r="R314" i="15"/>
  <c r="Q314" i="15"/>
  <c r="P314" i="15"/>
  <c r="U314" i="15"/>
  <c r="S314" i="15"/>
  <c r="O314" i="15"/>
  <c r="N314" i="15"/>
  <c r="M314" i="15"/>
  <c r="K314" i="15"/>
  <c r="J314" i="15"/>
  <c r="I314" i="15"/>
  <c r="H314" i="15"/>
  <c r="G314" i="15"/>
  <c r="S310" i="15"/>
  <c r="R310" i="15"/>
  <c r="Q310" i="15"/>
  <c r="P310" i="15"/>
  <c r="U310" i="15"/>
  <c r="T310" i="15"/>
  <c r="O310" i="15"/>
  <c r="N310" i="15"/>
  <c r="M310" i="15"/>
  <c r="K310" i="15"/>
  <c r="J310" i="15"/>
  <c r="I310" i="15"/>
  <c r="H310" i="15"/>
  <c r="G310" i="15"/>
  <c r="R306" i="15"/>
  <c r="Q306" i="15"/>
  <c r="P306" i="15"/>
  <c r="U306" i="15"/>
  <c r="S306" i="15"/>
  <c r="T306" i="15"/>
  <c r="O306" i="15"/>
  <c r="N306" i="15"/>
  <c r="M306" i="15"/>
  <c r="K306" i="15"/>
  <c r="J306" i="15"/>
  <c r="I306" i="15"/>
  <c r="H306" i="15"/>
  <c r="G306" i="15"/>
  <c r="U302" i="15"/>
  <c r="R302" i="15"/>
  <c r="Q302" i="15"/>
  <c r="P302" i="15"/>
  <c r="T302" i="15"/>
  <c r="S302" i="15"/>
  <c r="O302" i="15"/>
  <c r="N302" i="15"/>
  <c r="M302" i="15"/>
  <c r="K302" i="15"/>
  <c r="J302" i="15"/>
  <c r="I302" i="15"/>
  <c r="H302" i="15"/>
  <c r="G302" i="15"/>
  <c r="U298" i="15"/>
  <c r="T298" i="15"/>
  <c r="R298" i="15"/>
  <c r="Q298" i="15"/>
  <c r="P298" i="15"/>
  <c r="S298" i="15"/>
  <c r="O298" i="15"/>
  <c r="N298" i="15"/>
  <c r="M298" i="15"/>
  <c r="K298" i="15"/>
  <c r="J298" i="15"/>
  <c r="I298" i="15"/>
  <c r="H298" i="15"/>
  <c r="G298" i="15"/>
  <c r="S294" i="15"/>
  <c r="R294" i="15"/>
  <c r="Q294" i="15"/>
  <c r="P294" i="15"/>
  <c r="T294" i="15"/>
  <c r="U294" i="15"/>
  <c r="O294" i="15"/>
  <c r="N294" i="15"/>
  <c r="M294" i="15"/>
  <c r="K294" i="15"/>
  <c r="J294" i="15"/>
  <c r="I294" i="15"/>
  <c r="H294" i="15"/>
  <c r="G294" i="15"/>
  <c r="U290" i="15"/>
  <c r="R290" i="15"/>
  <c r="Q290" i="15"/>
  <c r="P290" i="15"/>
  <c r="T290" i="15"/>
  <c r="S290" i="15"/>
  <c r="O290" i="15"/>
  <c r="N290" i="15"/>
  <c r="M290" i="15"/>
  <c r="K290" i="15"/>
  <c r="J290" i="15"/>
  <c r="I290" i="15"/>
  <c r="H290" i="15"/>
  <c r="G290" i="15"/>
  <c r="U286" i="15"/>
  <c r="R286" i="15"/>
  <c r="Q286" i="15"/>
  <c r="P286" i="15"/>
  <c r="T286" i="15"/>
  <c r="S286" i="15"/>
  <c r="O286" i="15"/>
  <c r="N286" i="15"/>
  <c r="M286" i="15"/>
  <c r="K286" i="15"/>
  <c r="J286" i="15"/>
  <c r="I286" i="15"/>
  <c r="H286" i="15"/>
  <c r="G286" i="15"/>
  <c r="T282" i="15"/>
  <c r="R282" i="15"/>
  <c r="Q282" i="15"/>
  <c r="P282" i="15"/>
  <c r="U282" i="15"/>
  <c r="S282" i="15"/>
  <c r="O282" i="15"/>
  <c r="N282" i="15"/>
  <c r="M282" i="15"/>
  <c r="K282" i="15"/>
  <c r="J282" i="15"/>
  <c r="I282" i="15"/>
  <c r="H282" i="15"/>
  <c r="G282" i="15"/>
  <c r="S278" i="15"/>
  <c r="R278" i="15"/>
  <c r="Q278" i="15"/>
  <c r="P278" i="15"/>
  <c r="U278" i="15"/>
  <c r="T278" i="15"/>
  <c r="O278" i="15"/>
  <c r="N278" i="15"/>
  <c r="M278" i="15"/>
  <c r="K278" i="15"/>
  <c r="J278" i="15"/>
  <c r="I278" i="15"/>
  <c r="H278" i="15"/>
  <c r="G278" i="15"/>
  <c r="R274" i="15"/>
  <c r="Q274" i="15"/>
  <c r="P274" i="15"/>
  <c r="U274" i="15"/>
  <c r="S274" i="15"/>
  <c r="T274" i="15"/>
  <c r="O274" i="15"/>
  <c r="N274" i="15"/>
  <c r="M274" i="15"/>
  <c r="K274" i="15"/>
  <c r="J274" i="15"/>
  <c r="I274" i="15"/>
  <c r="H274" i="15"/>
  <c r="G274" i="15"/>
  <c r="U270" i="15"/>
  <c r="R270" i="15"/>
  <c r="Q270" i="15"/>
  <c r="P270" i="15"/>
  <c r="S270" i="15"/>
  <c r="T270" i="15"/>
  <c r="O270" i="15"/>
  <c r="N270" i="15"/>
  <c r="M270" i="15"/>
  <c r="K270" i="15"/>
  <c r="J270" i="15"/>
  <c r="I270" i="15"/>
  <c r="H270" i="15"/>
  <c r="G270" i="15"/>
  <c r="T266" i="15"/>
  <c r="R266" i="15"/>
  <c r="Q266" i="15"/>
  <c r="P266" i="15"/>
  <c r="U266" i="15"/>
  <c r="S266" i="15"/>
  <c r="O266" i="15"/>
  <c r="N266" i="15"/>
  <c r="M266" i="15"/>
  <c r="K266" i="15"/>
  <c r="J266" i="15"/>
  <c r="I266" i="15"/>
  <c r="H266" i="15"/>
  <c r="G266" i="15"/>
  <c r="U262" i="15"/>
  <c r="S262" i="15"/>
  <c r="R262" i="15"/>
  <c r="Q262" i="15"/>
  <c r="P262" i="15"/>
  <c r="T262" i="15"/>
  <c r="O262" i="15"/>
  <c r="N262" i="15"/>
  <c r="M262" i="15"/>
  <c r="K262" i="15"/>
  <c r="J262" i="15"/>
  <c r="I262" i="15"/>
  <c r="H262" i="15"/>
  <c r="G262" i="15"/>
  <c r="R258" i="15"/>
  <c r="Q258" i="15"/>
  <c r="P258" i="15"/>
  <c r="T258" i="15"/>
  <c r="S258" i="15"/>
  <c r="U258" i="15"/>
  <c r="O258" i="15"/>
  <c r="N258" i="15"/>
  <c r="M258" i="15"/>
  <c r="K258" i="15"/>
  <c r="J258" i="15"/>
  <c r="I258" i="15"/>
  <c r="H258" i="15"/>
  <c r="G258" i="15"/>
  <c r="U254" i="15"/>
  <c r="R254" i="15"/>
  <c r="Q254" i="15"/>
  <c r="P254" i="15"/>
  <c r="S254" i="15"/>
  <c r="T254" i="15"/>
  <c r="O254" i="15"/>
  <c r="N254" i="15"/>
  <c r="M254" i="15"/>
  <c r="K254" i="15"/>
  <c r="J254" i="15"/>
  <c r="I254" i="15"/>
  <c r="H254" i="15"/>
  <c r="G254" i="15"/>
  <c r="T250" i="15"/>
  <c r="R250" i="15"/>
  <c r="Q250" i="15"/>
  <c r="P250" i="15"/>
  <c r="U250" i="15"/>
  <c r="S250" i="15"/>
  <c r="O250" i="15"/>
  <c r="N250" i="15"/>
  <c r="M250" i="15"/>
  <c r="K250" i="15"/>
  <c r="J250" i="15"/>
  <c r="I250" i="15"/>
  <c r="H250" i="15"/>
  <c r="G250" i="15"/>
  <c r="S246" i="15"/>
  <c r="R246" i="15"/>
  <c r="Q246" i="15"/>
  <c r="P246" i="15"/>
  <c r="U246" i="15"/>
  <c r="T246" i="15"/>
  <c r="O246" i="15"/>
  <c r="N246" i="15"/>
  <c r="M246" i="15"/>
  <c r="K246" i="15"/>
  <c r="J246" i="15"/>
  <c r="I246" i="15"/>
  <c r="H246" i="15"/>
  <c r="G246" i="15"/>
  <c r="R242" i="15"/>
  <c r="Q242" i="15"/>
  <c r="P242" i="15"/>
  <c r="U242" i="15"/>
  <c r="S242" i="15"/>
  <c r="T242" i="15"/>
  <c r="O242" i="15"/>
  <c r="N242" i="15"/>
  <c r="M242" i="15"/>
  <c r="K242" i="15"/>
  <c r="J242" i="15"/>
  <c r="I242" i="15"/>
  <c r="H242" i="15"/>
  <c r="G242" i="15"/>
  <c r="U238" i="15"/>
  <c r="R238" i="15"/>
  <c r="Q238" i="15"/>
  <c r="P238" i="15"/>
  <c r="T238" i="15"/>
  <c r="S238" i="15"/>
  <c r="O238" i="15"/>
  <c r="N238" i="15"/>
  <c r="M238" i="15"/>
  <c r="K238" i="15"/>
  <c r="J238" i="15"/>
  <c r="I238" i="15"/>
  <c r="H238" i="15"/>
  <c r="G238" i="15"/>
  <c r="U234" i="15"/>
  <c r="T234" i="15"/>
  <c r="R234" i="15"/>
  <c r="Q234" i="15"/>
  <c r="P234" i="15"/>
  <c r="S234" i="15"/>
  <c r="O234" i="15"/>
  <c r="N234" i="15"/>
  <c r="M234" i="15"/>
  <c r="K234" i="15"/>
  <c r="J234" i="15"/>
  <c r="I234" i="15"/>
  <c r="H234" i="15"/>
  <c r="G234" i="15"/>
  <c r="S230" i="15"/>
  <c r="R230" i="15"/>
  <c r="Q230" i="15"/>
  <c r="P230" i="15"/>
  <c r="T230" i="15"/>
  <c r="U230" i="15"/>
  <c r="O230" i="15"/>
  <c r="N230" i="15"/>
  <c r="M230" i="15"/>
  <c r="K230" i="15"/>
  <c r="J230" i="15"/>
  <c r="I230" i="15"/>
  <c r="H230" i="15"/>
  <c r="G230" i="15"/>
  <c r="R226" i="15"/>
  <c r="Q226" i="15"/>
  <c r="P226" i="15"/>
  <c r="U226" i="15"/>
  <c r="T226" i="15"/>
  <c r="S226" i="15"/>
  <c r="O226" i="15"/>
  <c r="N226" i="15"/>
  <c r="M226" i="15"/>
  <c r="K226" i="15"/>
  <c r="J226" i="15"/>
  <c r="I226" i="15"/>
  <c r="H226" i="15"/>
  <c r="G226" i="15"/>
  <c r="U222" i="15"/>
  <c r="R222" i="15"/>
  <c r="Q222" i="15"/>
  <c r="P222" i="15"/>
  <c r="T222" i="15"/>
  <c r="S222" i="15"/>
  <c r="O222" i="15"/>
  <c r="N222" i="15"/>
  <c r="M222" i="15"/>
  <c r="K222" i="15"/>
  <c r="J222" i="15"/>
  <c r="I222" i="15"/>
  <c r="H222" i="15"/>
  <c r="G222" i="15"/>
  <c r="U218" i="15"/>
  <c r="T218" i="15"/>
  <c r="R218" i="15"/>
  <c r="Q218" i="15"/>
  <c r="P218" i="15"/>
  <c r="S218" i="15"/>
  <c r="O218" i="15"/>
  <c r="N218" i="15"/>
  <c r="M218" i="15"/>
  <c r="K218" i="15"/>
  <c r="J218" i="15"/>
  <c r="I218" i="15"/>
  <c r="H218" i="15"/>
  <c r="G218" i="15"/>
  <c r="U214" i="15"/>
  <c r="S214" i="15"/>
  <c r="R214" i="15"/>
  <c r="Q214" i="15"/>
  <c r="P214" i="15"/>
  <c r="T214" i="15"/>
  <c r="O214" i="15"/>
  <c r="N214" i="15"/>
  <c r="M214" i="15"/>
  <c r="K214" i="15"/>
  <c r="J214" i="15"/>
  <c r="I214" i="15"/>
  <c r="H214" i="15"/>
  <c r="G214" i="15"/>
  <c r="U210" i="15"/>
  <c r="R210" i="15"/>
  <c r="Q210" i="15"/>
  <c r="P210" i="15"/>
  <c r="T210" i="15"/>
  <c r="S210" i="15"/>
  <c r="O210" i="15"/>
  <c r="N210" i="15"/>
  <c r="M210" i="15"/>
  <c r="K210" i="15"/>
  <c r="J210" i="15"/>
  <c r="I210" i="15"/>
  <c r="H210" i="15"/>
  <c r="G210" i="15"/>
  <c r="R206" i="15"/>
  <c r="Q206" i="15"/>
  <c r="P206" i="15"/>
  <c r="U206" i="15"/>
  <c r="S206" i="15"/>
  <c r="T206" i="15"/>
  <c r="O206" i="15"/>
  <c r="N206" i="15"/>
  <c r="M206" i="15"/>
  <c r="K206" i="15"/>
  <c r="J206" i="15"/>
  <c r="I206" i="15"/>
  <c r="H206" i="15"/>
  <c r="G206" i="15"/>
  <c r="U202" i="15"/>
  <c r="T202" i="15"/>
  <c r="R202" i="15"/>
  <c r="Q202" i="15"/>
  <c r="P202" i="15"/>
  <c r="S202" i="15"/>
  <c r="O202" i="15"/>
  <c r="N202" i="15"/>
  <c r="M202" i="15"/>
  <c r="K202" i="15"/>
  <c r="J202" i="15"/>
  <c r="I202" i="15"/>
  <c r="H202" i="15"/>
  <c r="G202" i="15"/>
  <c r="S198" i="15"/>
  <c r="R198" i="15"/>
  <c r="Q198" i="15"/>
  <c r="P198" i="15"/>
  <c r="U198" i="15"/>
  <c r="T198" i="15"/>
  <c r="O198" i="15"/>
  <c r="N198" i="15"/>
  <c r="M198" i="15"/>
  <c r="K198" i="15"/>
  <c r="J198" i="15"/>
  <c r="I198" i="15"/>
  <c r="H198" i="15"/>
  <c r="G198" i="15"/>
  <c r="U194" i="15"/>
  <c r="R194" i="15"/>
  <c r="Q194" i="15"/>
  <c r="P194" i="15"/>
  <c r="T194" i="15"/>
  <c r="S194" i="15"/>
  <c r="O194" i="15"/>
  <c r="N194" i="15"/>
  <c r="M194" i="15"/>
  <c r="K194" i="15"/>
  <c r="J194" i="15"/>
  <c r="I194" i="15"/>
  <c r="H194" i="15"/>
  <c r="G194" i="15"/>
  <c r="R190" i="15"/>
  <c r="Q190" i="15"/>
  <c r="P190" i="15"/>
  <c r="T190" i="15"/>
  <c r="U190" i="15"/>
  <c r="S190" i="15"/>
  <c r="O190" i="15"/>
  <c r="N190" i="15"/>
  <c r="M190" i="15"/>
  <c r="K190" i="15"/>
  <c r="J190" i="15"/>
  <c r="I190" i="15"/>
  <c r="H190" i="15"/>
  <c r="G190" i="15"/>
  <c r="U186" i="15"/>
  <c r="T186" i="15"/>
  <c r="R186" i="15"/>
  <c r="Q186" i="15"/>
  <c r="P186" i="15"/>
  <c r="S186" i="15"/>
  <c r="O186" i="15"/>
  <c r="N186" i="15"/>
  <c r="M186" i="15"/>
  <c r="K186" i="15"/>
  <c r="J186" i="15"/>
  <c r="I186" i="15"/>
  <c r="H186" i="15"/>
  <c r="G186" i="15"/>
  <c r="U182" i="15"/>
  <c r="S182" i="15"/>
  <c r="R182" i="15"/>
  <c r="Q182" i="15"/>
  <c r="P182" i="15"/>
  <c r="T182" i="15"/>
  <c r="O182" i="15"/>
  <c r="N182" i="15"/>
  <c r="M182" i="15"/>
  <c r="K182" i="15"/>
  <c r="J182" i="15"/>
  <c r="I182" i="15"/>
  <c r="H182" i="15"/>
  <c r="G182" i="15"/>
  <c r="R178" i="15"/>
  <c r="Q178" i="15"/>
  <c r="P178" i="15"/>
  <c r="U178" i="15"/>
  <c r="S178" i="15"/>
  <c r="T178" i="15"/>
  <c r="O178" i="15"/>
  <c r="N178" i="15"/>
  <c r="M178" i="15"/>
  <c r="K178" i="15"/>
  <c r="J178" i="15"/>
  <c r="I178" i="15"/>
  <c r="H178" i="15"/>
  <c r="G178" i="15"/>
  <c r="U174" i="15"/>
  <c r="R174" i="15"/>
  <c r="Q174" i="15"/>
  <c r="P174" i="15"/>
  <c r="T174" i="15"/>
  <c r="S174" i="15"/>
  <c r="O174" i="15"/>
  <c r="N174" i="15"/>
  <c r="M174" i="15"/>
  <c r="K174" i="15"/>
  <c r="J174" i="15"/>
  <c r="I174" i="15"/>
  <c r="H174" i="15"/>
  <c r="G174" i="15"/>
  <c r="U170" i="15"/>
  <c r="T170" i="15"/>
  <c r="R170" i="15"/>
  <c r="Q170" i="15"/>
  <c r="P170" i="15"/>
  <c r="S170" i="15"/>
  <c r="O170" i="15"/>
  <c r="N170" i="15"/>
  <c r="M170" i="15"/>
  <c r="K170" i="15"/>
  <c r="J170" i="15"/>
  <c r="I170" i="15"/>
  <c r="H170" i="15"/>
  <c r="G170" i="15"/>
  <c r="U166" i="15"/>
  <c r="S166" i="15"/>
  <c r="R166" i="15"/>
  <c r="Q166" i="15"/>
  <c r="P166" i="15"/>
  <c r="T166" i="15"/>
  <c r="O166" i="15"/>
  <c r="N166" i="15"/>
  <c r="M166" i="15"/>
  <c r="K166" i="15"/>
  <c r="J166" i="15"/>
  <c r="I166" i="15"/>
  <c r="H166" i="15"/>
  <c r="G166" i="15"/>
  <c r="R162" i="15"/>
  <c r="Q162" i="15"/>
  <c r="P162" i="15"/>
  <c r="T162" i="15"/>
  <c r="U162" i="15"/>
  <c r="S162" i="15"/>
  <c r="O162" i="15"/>
  <c r="N162" i="15"/>
  <c r="M162" i="15"/>
  <c r="K162" i="15"/>
  <c r="J162" i="15"/>
  <c r="I162" i="15"/>
  <c r="H162" i="15"/>
  <c r="G162" i="15"/>
  <c r="R158" i="15"/>
  <c r="Q158" i="15"/>
  <c r="P158" i="15"/>
  <c r="O158" i="15"/>
  <c r="U158" i="15"/>
  <c r="T158" i="15"/>
  <c r="S158" i="15"/>
  <c r="N158" i="15"/>
  <c r="M158" i="15"/>
  <c r="K158" i="15"/>
  <c r="J158" i="15"/>
  <c r="I158" i="15"/>
  <c r="H158" i="15"/>
  <c r="G158" i="15"/>
  <c r="U154" i="15"/>
  <c r="T154" i="15"/>
  <c r="R154" i="15"/>
  <c r="Q154" i="15"/>
  <c r="P154" i="15"/>
  <c r="O154" i="15"/>
  <c r="S154" i="15"/>
  <c r="N154" i="15"/>
  <c r="M154" i="15"/>
  <c r="K154" i="15"/>
  <c r="J154" i="15"/>
  <c r="I154" i="15"/>
  <c r="H154" i="15"/>
  <c r="G154" i="15"/>
  <c r="R150" i="15"/>
  <c r="Q150" i="15"/>
  <c r="P150" i="15"/>
  <c r="O150" i="15"/>
  <c r="N150" i="15"/>
  <c r="M150" i="15"/>
  <c r="K150" i="15"/>
  <c r="J150" i="15"/>
  <c r="I150" i="15"/>
  <c r="H150" i="15"/>
  <c r="G150" i="15"/>
  <c r="R146" i="15"/>
  <c r="Q146" i="15"/>
  <c r="P146" i="15"/>
  <c r="O146" i="15"/>
  <c r="N146" i="15"/>
  <c r="M146" i="15"/>
  <c r="K146" i="15"/>
  <c r="J146" i="15"/>
  <c r="I146" i="15"/>
  <c r="H146" i="15"/>
  <c r="G146" i="15"/>
  <c r="R142" i="15"/>
  <c r="Q142" i="15"/>
  <c r="P142" i="15"/>
  <c r="O142" i="15"/>
  <c r="N142" i="15"/>
  <c r="M142" i="15"/>
  <c r="K142" i="15"/>
  <c r="J142" i="15"/>
  <c r="I142" i="15"/>
  <c r="H142" i="15"/>
  <c r="G142" i="15"/>
  <c r="R138" i="15"/>
  <c r="Q138" i="15"/>
  <c r="P138" i="15"/>
  <c r="O138" i="15"/>
  <c r="N138" i="15"/>
  <c r="M138" i="15"/>
  <c r="K138" i="15"/>
  <c r="J138" i="15"/>
  <c r="I138" i="15"/>
  <c r="H138" i="15"/>
  <c r="G138" i="15"/>
  <c r="R134" i="15"/>
  <c r="Q134" i="15"/>
  <c r="P134" i="15"/>
  <c r="O134" i="15"/>
  <c r="N134" i="15"/>
  <c r="M134" i="15"/>
  <c r="K134" i="15"/>
  <c r="J134" i="15"/>
  <c r="I134" i="15"/>
  <c r="H134" i="15"/>
  <c r="G134" i="15"/>
  <c r="T134" i="15" s="1"/>
  <c r="R130" i="15"/>
  <c r="Q130" i="15"/>
  <c r="P130" i="15"/>
  <c r="O130" i="15"/>
  <c r="N130" i="15"/>
  <c r="M130" i="15"/>
  <c r="K130" i="15"/>
  <c r="J130" i="15"/>
  <c r="I130" i="15"/>
  <c r="H130" i="15"/>
  <c r="G130" i="15"/>
  <c r="R126" i="15"/>
  <c r="Q126" i="15"/>
  <c r="P126" i="15"/>
  <c r="O126" i="15"/>
  <c r="N126" i="15"/>
  <c r="M126" i="15"/>
  <c r="K126" i="15"/>
  <c r="J126" i="15"/>
  <c r="I126" i="15"/>
  <c r="H126" i="15"/>
  <c r="G126" i="15"/>
  <c r="R122" i="15"/>
  <c r="Q122" i="15"/>
  <c r="P122" i="15"/>
  <c r="O122" i="15"/>
  <c r="N122" i="15"/>
  <c r="M122" i="15"/>
  <c r="K122" i="15"/>
  <c r="J122" i="15"/>
  <c r="I122" i="15"/>
  <c r="H122" i="15"/>
  <c r="G122" i="15"/>
  <c r="R118" i="15"/>
  <c r="Q118" i="15"/>
  <c r="P118" i="15"/>
  <c r="O118" i="15"/>
  <c r="N118" i="15"/>
  <c r="M118" i="15"/>
  <c r="K118" i="15"/>
  <c r="J118" i="15"/>
  <c r="I118" i="15"/>
  <c r="H118" i="15"/>
  <c r="G118" i="15"/>
  <c r="R114" i="15"/>
  <c r="Q114" i="15"/>
  <c r="P114" i="15"/>
  <c r="O114" i="15"/>
  <c r="N114" i="15"/>
  <c r="M114" i="15"/>
  <c r="K114" i="15"/>
  <c r="J114" i="15"/>
  <c r="I114" i="15"/>
  <c r="H114" i="15"/>
  <c r="G114" i="15"/>
  <c r="R110" i="15"/>
  <c r="Q110" i="15"/>
  <c r="P110" i="15"/>
  <c r="O110" i="15"/>
  <c r="N110" i="15"/>
  <c r="M110" i="15"/>
  <c r="K110" i="15"/>
  <c r="J110" i="15"/>
  <c r="I110" i="15"/>
  <c r="H110" i="15"/>
  <c r="G110" i="15"/>
  <c r="R106" i="15"/>
  <c r="Q106" i="15"/>
  <c r="P106" i="15"/>
  <c r="O106" i="15"/>
  <c r="N106" i="15"/>
  <c r="M106" i="15"/>
  <c r="K106" i="15"/>
  <c r="J106" i="15"/>
  <c r="I106" i="15"/>
  <c r="H106" i="15"/>
  <c r="G106" i="15"/>
  <c r="R102" i="15"/>
  <c r="Q102" i="15"/>
  <c r="P102" i="15"/>
  <c r="O102" i="15"/>
  <c r="N102" i="15"/>
  <c r="M102" i="15"/>
  <c r="K102" i="15"/>
  <c r="J102" i="15"/>
  <c r="I102" i="15"/>
  <c r="H102" i="15"/>
  <c r="G102" i="15"/>
  <c r="R98" i="15"/>
  <c r="Q98" i="15"/>
  <c r="P98" i="15"/>
  <c r="O98" i="15"/>
  <c r="N98" i="15"/>
  <c r="M98" i="15"/>
  <c r="K98" i="15"/>
  <c r="J98" i="15"/>
  <c r="I98" i="15"/>
  <c r="H98" i="15"/>
  <c r="G98" i="15"/>
  <c r="R94" i="15"/>
  <c r="Q94" i="15"/>
  <c r="P94" i="15"/>
  <c r="O94" i="15"/>
  <c r="N94" i="15"/>
  <c r="M94" i="15"/>
  <c r="K94" i="15"/>
  <c r="J94" i="15"/>
  <c r="I94" i="15"/>
  <c r="H94" i="15"/>
  <c r="G94" i="15"/>
  <c r="R90" i="15"/>
  <c r="Q90" i="15"/>
  <c r="P90" i="15"/>
  <c r="O90" i="15"/>
  <c r="N90" i="15"/>
  <c r="M90" i="15"/>
  <c r="K90" i="15"/>
  <c r="J90" i="15"/>
  <c r="I90" i="15"/>
  <c r="H90" i="15"/>
  <c r="G90" i="15"/>
  <c r="R86" i="15"/>
  <c r="Q86" i="15"/>
  <c r="P86" i="15"/>
  <c r="O86" i="15"/>
  <c r="N86" i="15"/>
  <c r="M86" i="15"/>
  <c r="K86" i="15"/>
  <c r="J86" i="15"/>
  <c r="I86" i="15"/>
  <c r="H86" i="15"/>
  <c r="G86" i="15"/>
  <c r="R82" i="15"/>
  <c r="Q82" i="15"/>
  <c r="P82" i="15"/>
  <c r="O82" i="15"/>
  <c r="N82" i="15"/>
  <c r="M82" i="15"/>
  <c r="K82" i="15"/>
  <c r="J82" i="15"/>
  <c r="I82" i="15"/>
  <c r="H82" i="15"/>
  <c r="G82" i="15"/>
  <c r="R78" i="15"/>
  <c r="Q78" i="15"/>
  <c r="P78" i="15"/>
  <c r="O78" i="15"/>
  <c r="N78" i="15"/>
  <c r="M78" i="15"/>
  <c r="K78" i="15"/>
  <c r="J78" i="15"/>
  <c r="I78" i="15"/>
  <c r="H78" i="15"/>
  <c r="G78" i="15"/>
  <c r="R74" i="15"/>
  <c r="Q74" i="15"/>
  <c r="P74" i="15"/>
  <c r="O74" i="15"/>
  <c r="N74" i="15"/>
  <c r="M74" i="15"/>
  <c r="K74" i="15"/>
  <c r="J74" i="15"/>
  <c r="I74" i="15"/>
  <c r="H74" i="15"/>
  <c r="G74" i="15"/>
  <c r="R70" i="15"/>
  <c r="Q70" i="15"/>
  <c r="P70" i="15"/>
  <c r="O70" i="15"/>
  <c r="N70" i="15"/>
  <c r="M70" i="15"/>
  <c r="K70" i="15"/>
  <c r="J70" i="15"/>
  <c r="I70" i="15"/>
  <c r="H70" i="15"/>
  <c r="G70" i="15"/>
  <c r="R66" i="15"/>
  <c r="Q66" i="15"/>
  <c r="P66" i="15"/>
  <c r="O66" i="15"/>
  <c r="N66" i="15"/>
  <c r="M66" i="15"/>
  <c r="K66" i="15"/>
  <c r="J66" i="15"/>
  <c r="I66" i="15"/>
  <c r="H66" i="15"/>
  <c r="G66" i="15"/>
  <c r="R62" i="15"/>
  <c r="Q62" i="15"/>
  <c r="P62" i="15"/>
  <c r="O62" i="15"/>
  <c r="N62" i="15"/>
  <c r="M62" i="15"/>
  <c r="K62" i="15"/>
  <c r="J62" i="15"/>
  <c r="I62" i="15"/>
  <c r="H62" i="15"/>
  <c r="G62" i="15"/>
  <c r="R58" i="15"/>
  <c r="Q58" i="15"/>
  <c r="P58" i="15"/>
  <c r="O58" i="15"/>
  <c r="N58" i="15"/>
  <c r="M58" i="15"/>
  <c r="K58" i="15"/>
  <c r="J58" i="15"/>
  <c r="I58" i="15"/>
  <c r="H58" i="15"/>
  <c r="G58" i="15"/>
  <c r="R54" i="15"/>
  <c r="Q54" i="15"/>
  <c r="P54" i="15"/>
  <c r="O54" i="15"/>
  <c r="N54" i="15"/>
  <c r="M54" i="15"/>
  <c r="K54" i="15"/>
  <c r="J54" i="15"/>
  <c r="I54" i="15"/>
  <c r="H54" i="15"/>
  <c r="G54" i="15"/>
  <c r="R50" i="15"/>
  <c r="Q50" i="15"/>
  <c r="P50" i="15"/>
  <c r="O50" i="15"/>
  <c r="N50" i="15"/>
  <c r="M50" i="15"/>
  <c r="K50" i="15"/>
  <c r="J50" i="15"/>
  <c r="I50" i="15"/>
  <c r="H50" i="15"/>
  <c r="G50" i="15"/>
  <c r="R46" i="15"/>
  <c r="Q46" i="15"/>
  <c r="P46" i="15"/>
  <c r="O46" i="15"/>
  <c r="N46" i="15"/>
  <c r="M46" i="15"/>
  <c r="K46" i="15"/>
  <c r="J46" i="15"/>
  <c r="I46" i="15"/>
  <c r="H46" i="15"/>
  <c r="G46" i="15"/>
  <c r="R42" i="15"/>
  <c r="Q42" i="15"/>
  <c r="P42" i="15"/>
  <c r="O42" i="15"/>
  <c r="N42" i="15"/>
  <c r="M42" i="15"/>
  <c r="K42" i="15"/>
  <c r="J42" i="15"/>
  <c r="I42" i="15"/>
  <c r="H42" i="15"/>
  <c r="G42" i="15"/>
  <c r="R38" i="15"/>
  <c r="Q38" i="15"/>
  <c r="P38" i="15"/>
  <c r="O38" i="15"/>
  <c r="N38" i="15"/>
  <c r="M38" i="15"/>
  <c r="K38" i="15"/>
  <c r="J38" i="15"/>
  <c r="I38" i="15"/>
  <c r="H38" i="15"/>
  <c r="G38" i="15"/>
  <c r="R34" i="15"/>
  <c r="Q34" i="15"/>
  <c r="P34" i="15"/>
  <c r="O34" i="15"/>
  <c r="N34" i="15"/>
  <c r="M34" i="15"/>
  <c r="K34" i="15"/>
  <c r="J34" i="15"/>
  <c r="I34" i="15"/>
  <c r="H34" i="15"/>
  <c r="G34" i="15"/>
  <c r="R30" i="15"/>
  <c r="Q30" i="15"/>
  <c r="P30" i="15"/>
  <c r="O30" i="15"/>
  <c r="N30" i="15"/>
  <c r="M30" i="15"/>
  <c r="K30" i="15"/>
  <c r="J30" i="15"/>
  <c r="I30" i="15"/>
  <c r="H30" i="15"/>
  <c r="G30" i="15"/>
  <c r="R26" i="15"/>
  <c r="Q26" i="15"/>
  <c r="P26" i="15"/>
  <c r="O26" i="15"/>
  <c r="N26" i="15"/>
  <c r="M26" i="15"/>
  <c r="K26" i="15"/>
  <c r="J26" i="15"/>
  <c r="I26" i="15"/>
  <c r="H26" i="15"/>
  <c r="G26" i="15"/>
  <c r="R22" i="15"/>
  <c r="Q22" i="15"/>
  <c r="P22" i="15"/>
  <c r="O22" i="15"/>
  <c r="N22" i="15"/>
  <c r="M22" i="15"/>
  <c r="K22" i="15"/>
  <c r="J22" i="15"/>
  <c r="I22" i="15"/>
  <c r="H22" i="15"/>
  <c r="G22" i="15"/>
  <c r="R18" i="15"/>
  <c r="Q18" i="15"/>
  <c r="P18" i="15"/>
  <c r="O18" i="15"/>
  <c r="N18" i="15"/>
  <c r="M18" i="15"/>
  <c r="K18" i="15"/>
  <c r="J18" i="15"/>
  <c r="I18" i="15"/>
  <c r="H18" i="15"/>
  <c r="G18" i="15"/>
  <c r="R14" i="15"/>
  <c r="Q14" i="15"/>
  <c r="P14" i="15"/>
  <c r="O14" i="15"/>
  <c r="N14" i="15"/>
  <c r="M14" i="15"/>
  <c r="K14" i="15"/>
  <c r="J14" i="15"/>
  <c r="I14" i="15"/>
  <c r="H14" i="15"/>
  <c r="G14" i="15"/>
  <c r="R10" i="15"/>
  <c r="Q10" i="15"/>
  <c r="P10" i="15"/>
  <c r="O10" i="15"/>
  <c r="N10" i="15"/>
  <c r="M10" i="15"/>
  <c r="K10" i="15"/>
  <c r="J10" i="15"/>
  <c r="I10" i="15"/>
  <c r="H10" i="15"/>
  <c r="G10" i="15"/>
  <c r="R6" i="15"/>
  <c r="Q6" i="15"/>
  <c r="P6" i="15"/>
  <c r="O6" i="15"/>
  <c r="N6" i="15"/>
  <c r="M6" i="15"/>
  <c r="K6" i="15"/>
  <c r="J6" i="15"/>
  <c r="I6" i="15"/>
  <c r="H6" i="15"/>
  <c r="G6" i="15"/>
  <c r="B458" i="15"/>
  <c r="B454" i="15"/>
  <c r="B450" i="15"/>
  <c r="B446" i="15"/>
  <c r="B442" i="15"/>
  <c r="B438" i="15"/>
  <c r="B434" i="15"/>
  <c r="B430" i="15"/>
  <c r="B426" i="15"/>
  <c r="B422" i="15"/>
  <c r="B418" i="15"/>
  <c r="B414" i="15"/>
  <c r="B410" i="15"/>
  <c r="B406" i="15"/>
  <c r="B402" i="15"/>
  <c r="B398" i="15"/>
  <c r="B394" i="15"/>
  <c r="B390" i="15"/>
  <c r="B386" i="15"/>
  <c r="B382" i="15"/>
  <c r="B378" i="15"/>
  <c r="B374" i="15"/>
  <c r="B370" i="15"/>
  <c r="B366" i="15"/>
  <c r="B362" i="15"/>
  <c r="B358" i="15"/>
  <c r="B354" i="15"/>
  <c r="B350" i="15"/>
  <c r="B346" i="15"/>
  <c r="B342" i="15"/>
  <c r="B338" i="15"/>
  <c r="B334" i="15"/>
  <c r="B330" i="15"/>
  <c r="B326" i="15"/>
  <c r="B322" i="15"/>
  <c r="B318" i="15"/>
  <c r="B314" i="15"/>
  <c r="B310" i="15"/>
  <c r="B306" i="15"/>
  <c r="B302" i="15"/>
  <c r="B298" i="15"/>
  <c r="B294" i="15"/>
  <c r="B290" i="15"/>
  <c r="B286" i="15"/>
  <c r="B282" i="15"/>
  <c r="B278" i="15"/>
  <c r="B274" i="15"/>
  <c r="B270" i="15"/>
  <c r="B266" i="15"/>
  <c r="B262" i="15"/>
  <c r="B258" i="15"/>
  <c r="B254" i="15"/>
  <c r="B250" i="15"/>
  <c r="B246" i="15"/>
  <c r="B242" i="15"/>
  <c r="B238" i="15"/>
  <c r="B234" i="15"/>
  <c r="B230" i="15"/>
  <c r="B226" i="15"/>
  <c r="B222" i="15"/>
  <c r="B218" i="15"/>
  <c r="B214" i="15"/>
  <c r="B210" i="15"/>
  <c r="B206" i="15"/>
  <c r="B202" i="15"/>
  <c r="B198" i="15"/>
  <c r="B194" i="15"/>
  <c r="B190" i="15"/>
  <c r="B186" i="15"/>
  <c r="B182" i="15"/>
  <c r="B178" i="15"/>
  <c r="B174" i="15"/>
  <c r="B170" i="15"/>
  <c r="B166" i="15"/>
  <c r="B162" i="15"/>
  <c r="B158" i="15"/>
  <c r="B154" i="15"/>
  <c r="B150" i="15"/>
  <c r="B146" i="15"/>
  <c r="B142" i="15"/>
  <c r="B138" i="15"/>
  <c r="B134" i="15"/>
  <c r="B130" i="15"/>
  <c r="B126" i="15"/>
  <c r="B122" i="15"/>
  <c r="B118" i="15"/>
  <c r="B114" i="15"/>
  <c r="B110" i="15"/>
  <c r="B106" i="15"/>
  <c r="B102" i="15"/>
  <c r="B98" i="15"/>
  <c r="B94" i="15"/>
  <c r="B90" i="15"/>
  <c r="B86" i="15"/>
  <c r="B82" i="15"/>
  <c r="B78" i="15"/>
  <c r="B74" i="15"/>
  <c r="B70" i="15"/>
  <c r="B66" i="15"/>
  <c r="B62" i="15"/>
  <c r="B58" i="15"/>
  <c r="B54" i="15"/>
  <c r="B50" i="15"/>
  <c r="B46" i="15"/>
  <c r="B42" i="15"/>
  <c r="B38" i="15"/>
  <c r="B34" i="15"/>
  <c r="B30" i="15"/>
  <c r="B26" i="15"/>
  <c r="B22" i="15"/>
  <c r="B18" i="15"/>
  <c r="B14" i="15"/>
  <c r="B10" i="15"/>
  <c r="B6" i="15"/>
  <c r="C458" i="15"/>
  <c r="C454" i="15"/>
  <c r="C450" i="15"/>
  <c r="C446" i="15"/>
  <c r="C442" i="15"/>
  <c r="C438" i="15"/>
  <c r="C434" i="15"/>
  <c r="C430" i="15"/>
  <c r="C426" i="15"/>
  <c r="C422" i="15"/>
  <c r="C418" i="15"/>
  <c r="C414" i="15"/>
  <c r="C410" i="15"/>
  <c r="C406" i="15"/>
  <c r="C402" i="15"/>
  <c r="C398" i="15"/>
  <c r="C394" i="15"/>
  <c r="C390" i="15"/>
  <c r="C386" i="15"/>
  <c r="C382" i="15"/>
  <c r="C378" i="15"/>
  <c r="C374" i="15"/>
  <c r="C370" i="15"/>
  <c r="C366" i="15"/>
  <c r="C362" i="15"/>
  <c r="C358" i="15"/>
  <c r="C354" i="15"/>
  <c r="C350" i="15"/>
  <c r="C346" i="15"/>
  <c r="C342" i="15"/>
  <c r="C338" i="15"/>
  <c r="C334" i="15"/>
  <c r="C330" i="15"/>
  <c r="C326" i="15"/>
  <c r="C322" i="15"/>
  <c r="C318" i="15"/>
  <c r="C314" i="15"/>
  <c r="C310" i="15"/>
  <c r="C306" i="15"/>
  <c r="C302" i="15"/>
  <c r="C298" i="15"/>
  <c r="C294" i="15"/>
  <c r="C290" i="15"/>
  <c r="C286" i="15"/>
  <c r="C282" i="15"/>
  <c r="C278" i="15"/>
  <c r="C274" i="15"/>
  <c r="C270" i="15"/>
  <c r="C266" i="15"/>
  <c r="C262" i="15"/>
  <c r="C258" i="15"/>
  <c r="C254" i="15"/>
  <c r="C250" i="15"/>
  <c r="C246" i="15"/>
  <c r="C242" i="15"/>
  <c r="C238" i="15"/>
  <c r="C234" i="15"/>
  <c r="C230" i="15"/>
  <c r="C226" i="15"/>
  <c r="C222" i="15"/>
  <c r="C218" i="15"/>
  <c r="C214" i="15"/>
  <c r="C210" i="15"/>
  <c r="C206" i="15"/>
  <c r="C202" i="15"/>
  <c r="C198" i="15"/>
  <c r="C194" i="15"/>
  <c r="C190" i="15"/>
  <c r="C186" i="15"/>
  <c r="C182" i="15"/>
  <c r="C178" i="15"/>
  <c r="C174" i="15"/>
  <c r="C170" i="15"/>
  <c r="C166" i="15"/>
  <c r="C162" i="15"/>
  <c r="C158" i="15"/>
  <c r="C154" i="15"/>
  <c r="C150" i="15"/>
  <c r="C146" i="15"/>
  <c r="C142" i="15"/>
  <c r="C138" i="15"/>
  <c r="C134" i="15"/>
  <c r="C130" i="15"/>
  <c r="C126" i="15"/>
  <c r="C122" i="15"/>
  <c r="C118" i="15"/>
  <c r="C114" i="15"/>
  <c r="C110" i="15"/>
  <c r="C106" i="15"/>
  <c r="C102" i="15"/>
  <c r="C98" i="15"/>
  <c r="C94" i="15"/>
  <c r="C90" i="15"/>
  <c r="C86" i="15"/>
  <c r="C82" i="15"/>
  <c r="C78" i="15"/>
  <c r="C74" i="15"/>
  <c r="C70" i="15"/>
  <c r="C66" i="15"/>
  <c r="C62" i="15"/>
  <c r="C58" i="15"/>
  <c r="C54" i="15"/>
  <c r="C50" i="15"/>
  <c r="C46" i="15"/>
  <c r="C42" i="15"/>
  <c r="C38" i="15"/>
  <c r="C34" i="15"/>
  <c r="C30" i="15"/>
  <c r="C26" i="15"/>
  <c r="C22" i="15"/>
  <c r="C18" i="15"/>
  <c r="C14" i="15"/>
  <c r="C10" i="15"/>
  <c r="C6" i="15"/>
  <c r="D458" i="15"/>
  <c r="D454" i="15"/>
  <c r="D450" i="15"/>
  <c r="D446" i="15"/>
  <c r="D442" i="15"/>
  <c r="D438" i="15"/>
  <c r="D434" i="15"/>
  <c r="D430" i="15"/>
  <c r="D426" i="15"/>
  <c r="D422" i="15"/>
  <c r="D418" i="15"/>
  <c r="D414" i="15"/>
  <c r="D410" i="15"/>
  <c r="D406" i="15"/>
  <c r="D402" i="15"/>
  <c r="D398" i="15"/>
  <c r="D394" i="15"/>
  <c r="D390" i="15"/>
  <c r="D386" i="15"/>
  <c r="D382" i="15"/>
  <c r="D378" i="15"/>
  <c r="D374" i="15"/>
  <c r="D370" i="15"/>
  <c r="D366" i="15"/>
  <c r="D362" i="15"/>
  <c r="D358" i="15"/>
  <c r="D354" i="15"/>
  <c r="D350" i="15"/>
  <c r="D346" i="15"/>
  <c r="D342" i="15"/>
  <c r="D338" i="15"/>
  <c r="D334" i="15"/>
  <c r="D330" i="15"/>
  <c r="D326" i="15"/>
  <c r="D322" i="15"/>
  <c r="D318" i="15"/>
  <c r="D314" i="15"/>
  <c r="D310" i="15"/>
  <c r="D306" i="15"/>
  <c r="D302" i="15"/>
  <c r="D298" i="15"/>
  <c r="D294" i="15"/>
  <c r="D290" i="15"/>
  <c r="D286" i="15"/>
  <c r="D282" i="15"/>
  <c r="D278" i="15"/>
  <c r="D274" i="15"/>
  <c r="D270" i="15"/>
  <c r="D266" i="15"/>
  <c r="D262" i="15"/>
  <c r="D258" i="15"/>
  <c r="D254" i="15"/>
  <c r="D250" i="15"/>
  <c r="D246" i="15"/>
  <c r="D242" i="15"/>
  <c r="D238" i="15"/>
  <c r="D234" i="15"/>
  <c r="D230" i="15"/>
  <c r="D226" i="15"/>
  <c r="D222" i="15"/>
  <c r="D218" i="15"/>
  <c r="D214" i="15"/>
  <c r="D210" i="15"/>
  <c r="D206" i="15"/>
  <c r="D202" i="15"/>
  <c r="D198" i="15"/>
  <c r="D194" i="15"/>
  <c r="D190" i="15"/>
  <c r="D186" i="15"/>
  <c r="D182" i="15"/>
  <c r="D178" i="15"/>
  <c r="D174" i="15"/>
  <c r="D170" i="15"/>
  <c r="D166" i="15"/>
  <c r="D162" i="15"/>
  <c r="D158" i="15"/>
  <c r="D154" i="15"/>
  <c r="D150" i="15"/>
  <c r="D146" i="15"/>
  <c r="D142" i="15"/>
  <c r="T142" i="15" s="1"/>
  <c r="D138" i="15"/>
  <c r="D134" i="15"/>
  <c r="D130" i="15"/>
  <c r="D126" i="15"/>
  <c r="S126" i="15" s="1"/>
  <c r="D122" i="15"/>
  <c r="D118" i="15"/>
  <c r="D114" i="15"/>
  <c r="D110" i="15"/>
  <c r="D106" i="15"/>
  <c r="D102" i="15"/>
  <c r="D98" i="15"/>
  <c r="D94" i="15"/>
  <c r="D90" i="15"/>
  <c r="D86" i="15"/>
  <c r="D82" i="15"/>
  <c r="D78" i="15"/>
  <c r="D74" i="15"/>
  <c r="D70" i="15"/>
  <c r="D66" i="15"/>
  <c r="D62" i="15"/>
  <c r="D58" i="15"/>
  <c r="D54" i="15"/>
  <c r="D50" i="15"/>
  <c r="D46" i="15"/>
  <c r="D42" i="15"/>
  <c r="D38" i="15"/>
  <c r="D34" i="15"/>
  <c r="D30" i="15"/>
  <c r="D26" i="15"/>
  <c r="D22" i="15"/>
  <c r="D18" i="15"/>
  <c r="D14" i="15"/>
  <c r="D10" i="15"/>
  <c r="D6" i="15"/>
  <c r="E458" i="15"/>
  <c r="E454" i="15"/>
  <c r="E450" i="15"/>
  <c r="E446" i="15"/>
  <c r="E442" i="15"/>
  <c r="E438" i="15"/>
  <c r="E434" i="15"/>
  <c r="E430" i="15"/>
  <c r="E426" i="15"/>
  <c r="E422" i="15"/>
  <c r="E418" i="15"/>
  <c r="E414" i="15"/>
  <c r="E410" i="15"/>
  <c r="E406" i="15"/>
  <c r="E402" i="15"/>
  <c r="E398" i="15"/>
  <c r="E394" i="15"/>
  <c r="E390" i="15"/>
  <c r="E386" i="15"/>
  <c r="E382" i="15"/>
  <c r="E378" i="15"/>
  <c r="E374" i="15"/>
  <c r="E370" i="15"/>
  <c r="E366" i="15"/>
  <c r="E362" i="15"/>
  <c r="E358" i="15"/>
  <c r="E354" i="15"/>
  <c r="E350" i="15"/>
  <c r="E346" i="15"/>
  <c r="E342" i="15"/>
  <c r="E338" i="15"/>
  <c r="E334" i="15"/>
  <c r="E330" i="15"/>
  <c r="E326" i="15"/>
  <c r="E322" i="15"/>
  <c r="E318" i="15"/>
  <c r="E314" i="15"/>
  <c r="E310" i="15"/>
  <c r="E306" i="15"/>
  <c r="E302" i="15"/>
  <c r="E298" i="15"/>
  <c r="E294" i="15"/>
  <c r="E290" i="15"/>
  <c r="E286" i="15"/>
  <c r="E282" i="15"/>
  <c r="E278" i="15"/>
  <c r="E274" i="15"/>
  <c r="E270" i="15"/>
  <c r="E266" i="15"/>
  <c r="E262" i="15"/>
  <c r="E258" i="15"/>
  <c r="E254" i="15"/>
  <c r="E250" i="15"/>
  <c r="E246" i="15"/>
  <c r="E242" i="15"/>
  <c r="E238" i="15"/>
  <c r="E234" i="15"/>
  <c r="E230" i="15"/>
  <c r="E226" i="15"/>
  <c r="E222" i="15"/>
  <c r="E218" i="15"/>
  <c r="E214" i="15"/>
  <c r="E210" i="15"/>
  <c r="E206" i="15"/>
  <c r="E202" i="15"/>
  <c r="E198" i="15"/>
  <c r="E194" i="15"/>
  <c r="E190" i="15"/>
  <c r="E186" i="15"/>
  <c r="E182" i="15"/>
  <c r="E178" i="15"/>
  <c r="E174" i="15"/>
  <c r="E170" i="15"/>
  <c r="E166" i="15"/>
  <c r="E162" i="15"/>
  <c r="E158" i="15"/>
  <c r="E154" i="15"/>
  <c r="E150" i="15"/>
  <c r="T150" i="15" s="1"/>
  <c r="E146" i="15"/>
  <c r="E142" i="15"/>
  <c r="E138" i="15"/>
  <c r="E134" i="15"/>
  <c r="E130" i="15"/>
  <c r="E126" i="15"/>
  <c r="E122" i="15"/>
  <c r="E118" i="15"/>
  <c r="E114" i="15"/>
  <c r="E110" i="15"/>
  <c r="E106" i="15"/>
  <c r="E102" i="15"/>
  <c r="E98" i="15"/>
  <c r="E94" i="15"/>
  <c r="E90" i="15"/>
  <c r="E86" i="15"/>
  <c r="E82" i="15"/>
  <c r="E78" i="15"/>
  <c r="E74" i="15"/>
  <c r="E70" i="15"/>
  <c r="E66" i="15"/>
  <c r="E62" i="15"/>
  <c r="E58" i="15"/>
  <c r="E54" i="15"/>
  <c r="E50" i="15"/>
  <c r="E46" i="15"/>
  <c r="E42" i="15"/>
  <c r="E38" i="15"/>
  <c r="E34" i="15"/>
  <c r="E30" i="15"/>
  <c r="E26" i="15"/>
  <c r="E22" i="15"/>
  <c r="E18" i="15"/>
  <c r="E14" i="15"/>
  <c r="E10" i="15"/>
  <c r="E6" i="15"/>
  <c r="F458" i="15"/>
  <c r="F454" i="15"/>
  <c r="F450" i="15"/>
  <c r="F446" i="15"/>
  <c r="F442" i="15"/>
  <c r="F438" i="15"/>
  <c r="F434" i="15"/>
  <c r="F430" i="15"/>
  <c r="F426" i="15"/>
  <c r="F422" i="15"/>
  <c r="F418" i="15"/>
  <c r="F414" i="15"/>
  <c r="F410" i="15"/>
  <c r="F406" i="15"/>
  <c r="F402" i="15"/>
  <c r="F398" i="15"/>
  <c r="F394" i="15"/>
  <c r="F390" i="15"/>
  <c r="F386" i="15"/>
  <c r="F382" i="15"/>
  <c r="F378" i="15"/>
  <c r="F374" i="15"/>
  <c r="F370" i="15"/>
  <c r="F366" i="15"/>
  <c r="F362" i="15"/>
  <c r="F358" i="15"/>
  <c r="F354" i="15"/>
  <c r="F350" i="15"/>
  <c r="F346" i="15"/>
  <c r="F342" i="15"/>
  <c r="F338" i="15"/>
  <c r="F334" i="15"/>
  <c r="F330" i="15"/>
  <c r="F326" i="15"/>
  <c r="F322" i="15"/>
  <c r="F318" i="15"/>
  <c r="F314" i="15"/>
  <c r="F310" i="15"/>
  <c r="F306" i="15"/>
  <c r="F302" i="15"/>
  <c r="F298" i="15"/>
  <c r="F294" i="15"/>
  <c r="F290" i="15"/>
  <c r="F286" i="15"/>
  <c r="F282" i="15"/>
  <c r="F278" i="15"/>
  <c r="F274" i="15"/>
  <c r="F270" i="15"/>
  <c r="F266" i="15"/>
  <c r="F262" i="15"/>
  <c r="F258" i="15"/>
  <c r="F254" i="15"/>
  <c r="F250" i="15"/>
  <c r="F246" i="15"/>
  <c r="F242" i="15"/>
  <c r="F238" i="15"/>
  <c r="F234" i="15"/>
  <c r="F230" i="15"/>
  <c r="F226" i="15"/>
  <c r="F222" i="15"/>
  <c r="F218" i="15"/>
  <c r="F214" i="15"/>
  <c r="F210" i="15"/>
  <c r="F206" i="15"/>
  <c r="F202" i="15"/>
  <c r="F198" i="15"/>
  <c r="F194" i="15"/>
  <c r="F190" i="15"/>
  <c r="F186" i="15"/>
  <c r="F182" i="15"/>
  <c r="F178" i="15"/>
  <c r="F174" i="15"/>
  <c r="F170" i="15"/>
  <c r="F166" i="15"/>
  <c r="F162" i="15"/>
  <c r="F158" i="15"/>
  <c r="F154" i="15"/>
  <c r="F150" i="15"/>
  <c r="F146" i="15"/>
  <c r="F142" i="15"/>
  <c r="F138" i="15"/>
  <c r="F134" i="15"/>
  <c r="F130" i="15"/>
  <c r="F126" i="15"/>
  <c r="F122" i="15"/>
  <c r="F118" i="15"/>
  <c r="F114" i="15"/>
  <c r="F110" i="15"/>
  <c r="F106" i="15"/>
  <c r="F102" i="15"/>
  <c r="F98" i="15"/>
  <c r="F94" i="15"/>
  <c r="F90" i="15"/>
  <c r="F86" i="15"/>
  <c r="F82" i="15"/>
  <c r="F78" i="15"/>
  <c r="F74" i="15"/>
  <c r="F70" i="15"/>
  <c r="F66" i="15"/>
  <c r="F62" i="15"/>
  <c r="F58" i="15"/>
  <c r="F54" i="15"/>
  <c r="F50" i="15"/>
  <c r="F46" i="15"/>
  <c r="F42" i="15"/>
  <c r="F38" i="15"/>
  <c r="F34" i="15"/>
  <c r="F30" i="15"/>
  <c r="F26" i="15"/>
  <c r="F22" i="15"/>
  <c r="F18" i="15"/>
  <c r="F14" i="15"/>
  <c r="F10" i="15"/>
  <c r="F6" i="15"/>
  <c r="G458" i="15"/>
  <c r="G454" i="15"/>
  <c r="G450" i="15"/>
  <c r="G446" i="15"/>
  <c r="G442" i="15"/>
  <c r="G438" i="15"/>
  <c r="G434" i="15"/>
  <c r="G426" i="15"/>
  <c r="T413" i="15"/>
  <c r="S413" i="15"/>
  <c r="U413" i="15"/>
  <c r="R413" i="15"/>
  <c r="Q413" i="15"/>
  <c r="P413" i="15"/>
  <c r="O413" i="15"/>
  <c r="N413" i="15"/>
  <c r="M413" i="15"/>
  <c r="K413" i="15"/>
  <c r="J413" i="15"/>
  <c r="I413" i="15"/>
  <c r="H413" i="15"/>
  <c r="G413" i="15"/>
  <c r="U409" i="15"/>
  <c r="T409" i="15"/>
  <c r="S409" i="15"/>
  <c r="R409" i="15"/>
  <c r="P409" i="15"/>
  <c r="Q409" i="15"/>
  <c r="O409" i="15"/>
  <c r="N409" i="15"/>
  <c r="M409" i="15"/>
  <c r="K409" i="15"/>
  <c r="J409" i="15"/>
  <c r="I409" i="15"/>
  <c r="H409" i="15"/>
  <c r="G409" i="15"/>
  <c r="T405" i="15"/>
  <c r="S405" i="15"/>
  <c r="U405" i="15"/>
  <c r="R405" i="15"/>
  <c r="Q405" i="15"/>
  <c r="P405" i="15"/>
  <c r="N405" i="15"/>
  <c r="M405" i="15"/>
  <c r="O405" i="15"/>
  <c r="K405" i="15"/>
  <c r="J405" i="15"/>
  <c r="I405" i="15"/>
  <c r="H405" i="15"/>
  <c r="G405" i="15"/>
  <c r="T401" i="15"/>
  <c r="S401" i="15"/>
  <c r="U401" i="15"/>
  <c r="R401" i="15"/>
  <c r="Q401" i="15"/>
  <c r="P401" i="15"/>
  <c r="N401" i="15"/>
  <c r="M401" i="15"/>
  <c r="O401" i="15"/>
  <c r="K401" i="15"/>
  <c r="J401" i="15"/>
  <c r="I401" i="15"/>
  <c r="H401" i="15"/>
  <c r="G401" i="15"/>
  <c r="T397" i="15"/>
  <c r="S397" i="15"/>
  <c r="U397" i="15"/>
  <c r="R397" i="15"/>
  <c r="P397" i="15"/>
  <c r="Q397" i="15"/>
  <c r="O397" i="15"/>
  <c r="N397" i="15"/>
  <c r="M397" i="15"/>
  <c r="K397" i="15"/>
  <c r="J397" i="15"/>
  <c r="I397" i="15"/>
  <c r="H397" i="15"/>
  <c r="G397" i="15"/>
  <c r="U393" i="15"/>
  <c r="T393" i="15"/>
  <c r="S393" i="15"/>
  <c r="R393" i="15"/>
  <c r="Q393" i="15"/>
  <c r="P393" i="15"/>
  <c r="O393" i="15"/>
  <c r="N393" i="15"/>
  <c r="M393" i="15"/>
  <c r="K393" i="15"/>
  <c r="J393" i="15"/>
  <c r="I393" i="15"/>
  <c r="H393" i="15"/>
  <c r="G393" i="15"/>
  <c r="T389" i="15"/>
  <c r="S389" i="15"/>
  <c r="R389" i="15"/>
  <c r="U389" i="15"/>
  <c r="Q389" i="15"/>
  <c r="P389" i="15"/>
  <c r="N389" i="15"/>
  <c r="M389" i="15"/>
  <c r="O389" i="15"/>
  <c r="K389" i="15"/>
  <c r="J389" i="15"/>
  <c r="I389" i="15"/>
  <c r="H389" i="15"/>
  <c r="G389" i="15"/>
  <c r="T385" i="15"/>
  <c r="S385" i="15"/>
  <c r="U385" i="15"/>
  <c r="R385" i="15"/>
  <c r="Q385" i="15"/>
  <c r="P385" i="15"/>
  <c r="N385" i="15"/>
  <c r="M385" i="15"/>
  <c r="O385" i="15"/>
  <c r="K385" i="15"/>
  <c r="J385" i="15"/>
  <c r="I385" i="15"/>
  <c r="H385" i="15"/>
  <c r="G385" i="15"/>
  <c r="T381" i="15"/>
  <c r="S381" i="15"/>
  <c r="U381" i="15"/>
  <c r="R381" i="15"/>
  <c r="Q381" i="15"/>
  <c r="P381" i="15"/>
  <c r="O381" i="15"/>
  <c r="N381" i="15"/>
  <c r="M381" i="15"/>
  <c r="K381" i="15"/>
  <c r="J381" i="15"/>
  <c r="I381" i="15"/>
  <c r="H381" i="15"/>
  <c r="G381" i="15"/>
  <c r="U377" i="15"/>
  <c r="T377" i="15"/>
  <c r="S377" i="15"/>
  <c r="R377" i="15"/>
  <c r="P377" i="15"/>
  <c r="Q377" i="15"/>
  <c r="O377" i="15"/>
  <c r="N377" i="15"/>
  <c r="M377" i="15"/>
  <c r="K377" i="15"/>
  <c r="J377" i="15"/>
  <c r="I377" i="15"/>
  <c r="H377" i="15"/>
  <c r="G377" i="15"/>
  <c r="T373" i="15"/>
  <c r="S373" i="15"/>
  <c r="U373" i="15"/>
  <c r="R373" i="15"/>
  <c r="Q373" i="15"/>
  <c r="P373" i="15"/>
  <c r="N373" i="15"/>
  <c r="M373" i="15"/>
  <c r="O373" i="15"/>
  <c r="K373" i="15"/>
  <c r="J373" i="15"/>
  <c r="I373" i="15"/>
  <c r="H373" i="15"/>
  <c r="G373" i="15"/>
  <c r="T369" i="15"/>
  <c r="S369" i="15"/>
  <c r="U369" i="15"/>
  <c r="R369" i="15"/>
  <c r="Q369" i="15"/>
  <c r="P369" i="15"/>
  <c r="N369" i="15"/>
  <c r="M369" i="15"/>
  <c r="O369" i="15"/>
  <c r="K369" i="15"/>
  <c r="J369" i="15"/>
  <c r="I369" i="15"/>
  <c r="H369" i="15"/>
  <c r="G369" i="15"/>
  <c r="T365" i="15"/>
  <c r="S365" i="15"/>
  <c r="U365" i="15"/>
  <c r="R365" i="15"/>
  <c r="P365" i="15"/>
  <c r="Q365" i="15"/>
  <c r="O365" i="15"/>
  <c r="N365" i="15"/>
  <c r="M365" i="15"/>
  <c r="K365" i="15"/>
  <c r="J365" i="15"/>
  <c r="I365" i="15"/>
  <c r="H365" i="15"/>
  <c r="G365" i="15"/>
  <c r="U361" i="15"/>
  <c r="T361" i="15"/>
  <c r="S361" i="15"/>
  <c r="R361" i="15"/>
  <c r="Q361" i="15"/>
  <c r="P361" i="15"/>
  <c r="O361" i="15"/>
  <c r="N361" i="15"/>
  <c r="M361" i="15"/>
  <c r="K361" i="15"/>
  <c r="J361" i="15"/>
  <c r="I361" i="15"/>
  <c r="H361" i="15"/>
  <c r="G361" i="15"/>
  <c r="T357" i="15"/>
  <c r="S357" i="15"/>
  <c r="U357" i="15"/>
  <c r="R357" i="15"/>
  <c r="Q357" i="15"/>
  <c r="P357" i="15"/>
  <c r="O357" i="15"/>
  <c r="N357" i="15"/>
  <c r="M357" i="15"/>
  <c r="K357" i="15"/>
  <c r="J357" i="15"/>
  <c r="I357" i="15"/>
  <c r="H357" i="15"/>
  <c r="G357" i="15"/>
  <c r="T353" i="15"/>
  <c r="S353" i="15"/>
  <c r="U353" i="15"/>
  <c r="R353" i="15"/>
  <c r="Q353" i="15"/>
  <c r="O353" i="15"/>
  <c r="P353" i="15"/>
  <c r="N353" i="15"/>
  <c r="M353" i="15"/>
  <c r="K353" i="15"/>
  <c r="J353" i="15"/>
  <c r="I353" i="15"/>
  <c r="H353" i="15"/>
  <c r="G353" i="15"/>
  <c r="T349" i="15"/>
  <c r="S349" i="15"/>
  <c r="U349" i="15"/>
  <c r="R349" i="15"/>
  <c r="Q349" i="15"/>
  <c r="P349" i="15"/>
  <c r="O349" i="15"/>
  <c r="N349" i="15"/>
  <c r="M349" i="15"/>
  <c r="K349" i="15"/>
  <c r="J349" i="15"/>
  <c r="I349" i="15"/>
  <c r="H349" i="15"/>
  <c r="G349" i="15"/>
  <c r="U345" i="15"/>
  <c r="T345" i="15"/>
  <c r="S345" i="15"/>
  <c r="R345" i="15"/>
  <c r="P345" i="15"/>
  <c r="O345" i="15"/>
  <c r="Q345" i="15"/>
  <c r="N345" i="15"/>
  <c r="M345" i="15"/>
  <c r="K345" i="15"/>
  <c r="J345" i="15"/>
  <c r="I345" i="15"/>
  <c r="H345" i="15"/>
  <c r="G345" i="15"/>
  <c r="T341" i="15"/>
  <c r="S341" i="15"/>
  <c r="U341" i="15"/>
  <c r="R341" i="15"/>
  <c r="Q341" i="15"/>
  <c r="P341" i="15"/>
  <c r="O341" i="15"/>
  <c r="N341" i="15"/>
  <c r="M341" i="15"/>
  <c r="K341" i="15"/>
  <c r="J341" i="15"/>
  <c r="I341" i="15"/>
  <c r="H341" i="15"/>
  <c r="G341" i="15"/>
  <c r="T337" i="15"/>
  <c r="S337" i="15"/>
  <c r="U337" i="15"/>
  <c r="R337" i="15"/>
  <c r="Q337" i="15"/>
  <c r="O337" i="15"/>
  <c r="P337" i="15"/>
  <c r="N337" i="15"/>
  <c r="M337" i="15"/>
  <c r="K337" i="15"/>
  <c r="J337" i="15"/>
  <c r="I337" i="15"/>
  <c r="H337" i="15"/>
  <c r="G337" i="15"/>
  <c r="T333" i="15"/>
  <c r="S333" i="15"/>
  <c r="U333" i="15"/>
  <c r="R333" i="15"/>
  <c r="P333" i="15"/>
  <c r="Q333" i="15"/>
  <c r="O333" i="15"/>
  <c r="N333" i="15"/>
  <c r="M333" i="15"/>
  <c r="K333" i="15"/>
  <c r="J333" i="15"/>
  <c r="I333" i="15"/>
  <c r="H333" i="15"/>
  <c r="G333" i="15"/>
  <c r="U329" i="15"/>
  <c r="T329" i="15"/>
  <c r="S329" i="15"/>
  <c r="R329" i="15"/>
  <c r="Q329" i="15"/>
  <c r="P329" i="15"/>
  <c r="O329" i="15"/>
  <c r="N329" i="15"/>
  <c r="M329" i="15"/>
  <c r="K329" i="15"/>
  <c r="J329" i="15"/>
  <c r="I329" i="15"/>
  <c r="H329" i="15"/>
  <c r="G329" i="15"/>
  <c r="T325" i="15"/>
  <c r="S325" i="15"/>
  <c r="U325" i="15"/>
  <c r="R325" i="15"/>
  <c r="Q325" i="15"/>
  <c r="P325" i="15"/>
  <c r="O325" i="15"/>
  <c r="N325" i="15"/>
  <c r="M325" i="15"/>
  <c r="K325" i="15"/>
  <c r="J325" i="15"/>
  <c r="I325" i="15"/>
  <c r="H325" i="15"/>
  <c r="G325" i="15"/>
  <c r="T321" i="15"/>
  <c r="S321" i="15"/>
  <c r="U321" i="15"/>
  <c r="R321" i="15"/>
  <c r="Q321" i="15"/>
  <c r="O321" i="15"/>
  <c r="P321" i="15"/>
  <c r="N321" i="15"/>
  <c r="M321" i="15"/>
  <c r="K321" i="15"/>
  <c r="J321" i="15"/>
  <c r="I321" i="15"/>
  <c r="H321" i="15"/>
  <c r="G321" i="15"/>
  <c r="T317" i="15"/>
  <c r="S317" i="15"/>
  <c r="U317" i="15"/>
  <c r="R317" i="15"/>
  <c r="Q317" i="15"/>
  <c r="P317" i="15"/>
  <c r="O317" i="15"/>
  <c r="N317" i="15"/>
  <c r="M317" i="15"/>
  <c r="K317" i="15"/>
  <c r="J317" i="15"/>
  <c r="I317" i="15"/>
  <c r="H317" i="15"/>
  <c r="G317" i="15"/>
  <c r="U313" i="15"/>
  <c r="T313" i="15"/>
  <c r="S313" i="15"/>
  <c r="R313" i="15"/>
  <c r="P313" i="15"/>
  <c r="O313" i="15"/>
  <c r="Q313" i="15"/>
  <c r="N313" i="15"/>
  <c r="M313" i="15"/>
  <c r="K313" i="15"/>
  <c r="J313" i="15"/>
  <c r="I313" i="15"/>
  <c r="H313" i="15"/>
  <c r="G313" i="15"/>
  <c r="T309" i="15"/>
  <c r="S309" i="15"/>
  <c r="U309" i="15"/>
  <c r="R309" i="15"/>
  <c r="Q309" i="15"/>
  <c r="P309" i="15"/>
  <c r="O309" i="15"/>
  <c r="N309" i="15"/>
  <c r="M309" i="15"/>
  <c r="K309" i="15"/>
  <c r="J309" i="15"/>
  <c r="I309" i="15"/>
  <c r="H309" i="15"/>
  <c r="G309" i="15"/>
  <c r="T305" i="15"/>
  <c r="S305" i="15"/>
  <c r="U305" i="15"/>
  <c r="R305" i="15"/>
  <c r="Q305" i="15"/>
  <c r="O305" i="15"/>
  <c r="P305" i="15"/>
  <c r="N305" i="15"/>
  <c r="M305" i="15"/>
  <c r="K305" i="15"/>
  <c r="J305" i="15"/>
  <c r="I305" i="15"/>
  <c r="H305" i="15"/>
  <c r="G305" i="15"/>
  <c r="T301" i="15"/>
  <c r="S301" i="15"/>
  <c r="U301" i="15"/>
  <c r="R301" i="15"/>
  <c r="Q301" i="15"/>
  <c r="P301" i="15"/>
  <c r="O301" i="15"/>
  <c r="N301" i="15"/>
  <c r="M301" i="15"/>
  <c r="K301" i="15"/>
  <c r="J301" i="15"/>
  <c r="I301" i="15"/>
  <c r="H301" i="15"/>
  <c r="G301" i="15"/>
  <c r="U297" i="15"/>
  <c r="T297" i="15"/>
  <c r="S297" i="15"/>
  <c r="R297" i="15"/>
  <c r="P297" i="15"/>
  <c r="Q297" i="15"/>
  <c r="O297" i="15"/>
  <c r="N297" i="15"/>
  <c r="M297" i="15"/>
  <c r="K297" i="15"/>
  <c r="J297" i="15"/>
  <c r="I297" i="15"/>
  <c r="H297" i="15"/>
  <c r="G297" i="15"/>
  <c r="T293" i="15"/>
  <c r="S293" i="15"/>
  <c r="U293" i="15"/>
  <c r="R293" i="15"/>
  <c r="Q293" i="15"/>
  <c r="O293" i="15"/>
  <c r="P293" i="15"/>
  <c r="N293" i="15"/>
  <c r="M293" i="15"/>
  <c r="K293" i="15"/>
  <c r="J293" i="15"/>
  <c r="I293" i="15"/>
  <c r="H293" i="15"/>
  <c r="G293" i="15"/>
  <c r="T289" i="15"/>
  <c r="S289" i="15"/>
  <c r="U289" i="15"/>
  <c r="R289" i="15"/>
  <c r="P289" i="15"/>
  <c r="Q289" i="15"/>
  <c r="O289" i="15"/>
  <c r="N289" i="15"/>
  <c r="M289" i="15"/>
  <c r="K289" i="15"/>
  <c r="J289" i="15"/>
  <c r="I289" i="15"/>
  <c r="H289" i="15"/>
  <c r="G289" i="15"/>
  <c r="T285" i="15"/>
  <c r="S285" i="15"/>
  <c r="U285" i="15"/>
  <c r="R285" i="15"/>
  <c r="Q285" i="15"/>
  <c r="P285" i="15"/>
  <c r="O285" i="15"/>
  <c r="N285" i="15"/>
  <c r="M285" i="15"/>
  <c r="K285" i="15"/>
  <c r="J285" i="15"/>
  <c r="I285" i="15"/>
  <c r="H285" i="15"/>
  <c r="G285" i="15"/>
  <c r="U281" i="15"/>
  <c r="T281" i="15"/>
  <c r="S281" i="15"/>
  <c r="R281" i="15"/>
  <c r="P281" i="15"/>
  <c r="O281" i="15"/>
  <c r="Q281" i="15"/>
  <c r="N281" i="15"/>
  <c r="M281" i="15"/>
  <c r="K281" i="15"/>
  <c r="J281" i="15"/>
  <c r="I281" i="15"/>
  <c r="H281" i="15"/>
  <c r="G281" i="15"/>
  <c r="T277" i="15"/>
  <c r="S277" i="15"/>
  <c r="U277" i="15"/>
  <c r="R277" i="15"/>
  <c r="Q277" i="15"/>
  <c r="P277" i="15"/>
  <c r="O277" i="15"/>
  <c r="N277" i="15"/>
  <c r="M277" i="15"/>
  <c r="K277" i="15"/>
  <c r="J277" i="15"/>
  <c r="I277" i="15"/>
  <c r="H277" i="15"/>
  <c r="G277" i="15"/>
  <c r="T273" i="15"/>
  <c r="S273" i="15"/>
  <c r="U273" i="15"/>
  <c r="R273" i="15"/>
  <c r="P273" i="15"/>
  <c r="Q273" i="15"/>
  <c r="O273" i="15"/>
  <c r="N273" i="15"/>
  <c r="M273" i="15"/>
  <c r="K273" i="15"/>
  <c r="J273" i="15"/>
  <c r="I273" i="15"/>
  <c r="H273" i="15"/>
  <c r="G273" i="15"/>
  <c r="T269" i="15"/>
  <c r="S269" i="15"/>
  <c r="U269" i="15"/>
  <c r="R269" i="15"/>
  <c r="Q269" i="15"/>
  <c r="P269" i="15"/>
  <c r="O269" i="15"/>
  <c r="N269" i="15"/>
  <c r="M269" i="15"/>
  <c r="K269" i="15"/>
  <c r="J269" i="15"/>
  <c r="I269" i="15"/>
  <c r="H269" i="15"/>
  <c r="G269" i="15"/>
  <c r="U265" i="15"/>
  <c r="T265" i="15"/>
  <c r="S265" i="15"/>
  <c r="R265" i="15"/>
  <c r="Q265" i="15"/>
  <c r="O265" i="15"/>
  <c r="P265" i="15"/>
  <c r="N265" i="15"/>
  <c r="M265" i="15"/>
  <c r="K265" i="15"/>
  <c r="J265" i="15"/>
  <c r="I265" i="15"/>
  <c r="H265" i="15"/>
  <c r="G265" i="15"/>
  <c r="T261" i="15"/>
  <c r="S261" i="15"/>
  <c r="U261" i="15"/>
  <c r="R261" i="15"/>
  <c r="Q261" i="15"/>
  <c r="P261" i="15"/>
  <c r="O261" i="15"/>
  <c r="N261" i="15"/>
  <c r="M261" i="15"/>
  <c r="K261" i="15"/>
  <c r="J261" i="15"/>
  <c r="I261" i="15"/>
  <c r="H261" i="15"/>
  <c r="G261" i="15"/>
  <c r="T257" i="15"/>
  <c r="S257" i="15"/>
  <c r="U257" i="15"/>
  <c r="R257" i="15"/>
  <c r="P257" i="15"/>
  <c r="Q257" i="15"/>
  <c r="O257" i="15"/>
  <c r="N257" i="15"/>
  <c r="M257" i="15"/>
  <c r="K257" i="15"/>
  <c r="J257" i="15"/>
  <c r="I257" i="15"/>
  <c r="H257" i="15"/>
  <c r="G257" i="15"/>
  <c r="T253" i="15"/>
  <c r="S253" i="15"/>
  <c r="U253" i="15"/>
  <c r="R253" i="15"/>
  <c r="Q253" i="15"/>
  <c r="P253" i="15"/>
  <c r="O253" i="15"/>
  <c r="N253" i="15"/>
  <c r="M253" i="15"/>
  <c r="K253" i="15"/>
  <c r="J253" i="15"/>
  <c r="I253" i="15"/>
  <c r="H253" i="15"/>
  <c r="G253" i="15"/>
  <c r="U249" i="15"/>
  <c r="T249" i="15"/>
  <c r="S249" i="15"/>
  <c r="R249" i="15"/>
  <c r="Q249" i="15"/>
  <c r="P249" i="15"/>
  <c r="O249" i="15"/>
  <c r="N249" i="15"/>
  <c r="M249" i="15"/>
  <c r="K249" i="15"/>
  <c r="J249" i="15"/>
  <c r="I249" i="15"/>
  <c r="H249" i="15"/>
  <c r="G249" i="15"/>
  <c r="T245" i="15"/>
  <c r="S245" i="15"/>
  <c r="R245" i="15"/>
  <c r="Q245" i="15"/>
  <c r="U245" i="15"/>
  <c r="P245" i="15"/>
  <c r="O245" i="15"/>
  <c r="N245" i="15"/>
  <c r="M245" i="15"/>
  <c r="K245" i="15"/>
  <c r="J245" i="15"/>
  <c r="I245" i="15"/>
  <c r="H245" i="15"/>
  <c r="G245" i="15"/>
  <c r="T241" i="15"/>
  <c r="S241" i="15"/>
  <c r="U241" i="15"/>
  <c r="R241" i="15"/>
  <c r="P241" i="15"/>
  <c r="Q241" i="15"/>
  <c r="O241" i="15"/>
  <c r="N241" i="15"/>
  <c r="M241" i="15"/>
  <c r="K241" i="15"/>
  <c r="J241" i="15"/>
  <c r="I241" i="15"/>
  <c r="H241" i="15"/>
  <c r="G241" i="15"/>
  <c r="T237" i="15"/>
  <c r="S237" i="15"/>
  <c r="U237" i="15"/>
  <c r="R237" i="15"/>
  <c r="Q237" i="15"/>
  <c r="O237" i="15"/>
  <c r="P237" i="15"/>
  <c r="N237" i="15"/>
  <c r="M237" i="15"/>
  <c r="K237" i="15"/>
  <c r="J237" i="15"/>
  <c r="I237" i="15"/>
  <c r="H237" i="15"/>
  <c r="G237" i="15"/>
  <c r="T233" i="15"/>
  <c r="S233" i="15"/>
  <c r="U233" i="15"/>
  <c r="R233" i="15"/>
  <c r="P233" i="15"/>
  <c r="Q233" i="15"/>
  <c r="O233" i="15"/>
  <c r="N233" i="15"/>
  <c r="M233" i="15"/>
  <c r="K233" i="15"/>
  <c r="J233" i="15"/>
  <c r="I233" i="15"/>
  <c r="H233" i="15"/>
  <c r="G233" i="15"/>
  <c r="U229" i="15"/>
  <c r="T229" i="15"/>
  <c r="S229" i="15"/>
  <c r="R229" i="15"/>
  <c r="Q229" i="15"/>
  <c r="O229" i="15"/>
  <c r="P229" i="15"/>
  <c r="N229" i="15"/>
  <c r="M229" i="15"/>
  <c r="K229" i="15"/>
  <c r="J229" i="15"/>
  <c r="I229" i="15"/>
  <c r="H229" i="15"/>
  <c r="G229" i="15"/>
  <c r="U225" i="15"/>
  <c r="T225" i="15"/>
  <c r="S225" i="15"/>
  <c r="R225" i="15"/>
  <c r="P225" i="15"/>
  <c r="Q225" i="15"/>
  <c r="O225" i="15"/>
  <c r="N225" i="15"/>
  <c r="M225" i="15"/>
  <c r="K225" i="15"/>
  <c r="J225" i="15"/>
  <c r="I225" i="15"/>
  <c r="H225" i="15"/>
  <c r="G225" i="15"/>
  <c r="T221" i="15"/>
  <c r="S221" i="15"/>
  <c r="U221" i="15"/>
  <c r="R221" i="15"/>
  <c r="Q221" i="15"/>
  <c r="P221" i="15"/>
  <c r="O221" i="15"/>
  <c r="N221" i="15"/>
  <c r="M221" i="15"/>
  <c r="K221" i="15"/>
  <c r="J221" i="15"/>
  <c r="I221" i="15"/>
  <c r="H221" i="15"/>
  <c r="G221" i="15"/>
  <c r="U217" i="15"/>
  <c r="T217" i="15"/>
  <c r="S217" i="15"/>
  <c r="R217" i="15"/>
  <c r="P217" i="15"/>
  <c r="O217" i="15"/>
  <c r="Q217" i="15"/>
  <c r="N217" i="15"/>
  <c r="M217" i="15"/>
  <c r="K217" i="15"/>
  <c r="J217" i="15"/>
  <c r="I217" i="15"/>
  <c r="H217" i="15"/>
  <c r="G217" i="15"/>
  <c r="U213" i="15"/>
  <c r="T213" i="15"/>
  <c r="S213" i="15"/>
  <c r="R213" i="15"/>
  <c r="Q213" i="15"/>
  <c r="P213" i="15"/>
  <c r="O213" i="15"/>
  <c r="N213" i="15"/>
  <c r="M213" i="15"/>
  <c r="K213" i="15"/>
  <c r="J213" i="15"/>
  <c r="I213" i="15"/>
  <c r="H213" i="15"/>
  <c r="G213" i="15"/>
  <c r="T209" i="15"/>
  <c r="S209" i="15"/>
  <c r="U209" i="15"/>
  <c r="R209" i="15"/>
  <c r="P209" i="15"/>
  <c r="Q209" i="15"/>
  <c r="O209" i="15"/>
  <c r="N209" i="15"/>
  <c r="M209" i="15"/>
  <c r="K209" i="15"/>
  <c r="J209" i="15"/>
  <c r="I209" i="15"/>
  <c r="H209" i="15"/>
  <c r="G209" i="15"/>
  <c r="T205" i="15"/>
  <c r="S205" i="15"/>
  <c r="U205" i="15"/>
  <c r="R205" i="15"/>
  <c r="P205" i="15"/>
  <c r="Q205" i="15"/>
  <c r="O205" i="15"/>
  <c r="N205" i="15"/>
  <c r="M205" i="15"/>
  <c r="K205" i="15"/>
  <c r="J205" i="15"/>
  <c r="I205" i="15"/>
  <c r="H205" i="15"/>
  <c r="G205" i="15"/>
  <c r="T201" i="15"/>
  <c r="S201" i="15"/>
  <c r="U201" i="15"/>
  <c r="R201" i="15"/>
  <c r="Q201" i="15"/>
  <c r="P201" i="15"/>
  <c r="O201" i="15"/>
  <c r="N201" i="15"/>
  <c r="M201" i="15"/>
  <c r="K201" i="15"/>
  <c r="J201" i="15"/>
  <c r="I201" i="15"/>
  <c r="H201" i="15"/>
  <c r="G201" i="15"/>
  <c r="U197" i="15"/>
  <c r="T197" i="15"/>
  <c r="S197" i="15"/>
  <c r="R197" i="15"/>
  <c r="Q197" i="15"/>
  <c r="O197" i="15"/>
  <c r="P197" i="15"/>
  <c r="N197" i="15"/>
  <c r="M197" i="15"/>
  <c r="K197" i="15"/>
  <c r="J197" i="15"/>
  <c r="I197" i="15"/>
  <c r="H197" i="15"/>
  <c r="G197" i="15"/>
  <c r="T193" i="15"/>
  <c r="S193" i="15"/>
  <c r="R193" i="15"/>
  <c r="P193" i="15"/>
  <c r="U193" i="15"/>
  <c r="Q193" i="15"/>
  <c r="O193" i="15"/>
  <c r="N193" i="15"/>
  <c r="M193" i="15"/>
  <c r="K193" i="15"/>
  <c r="J193" i="15"/>
  <c r="I193" i="15"/>
  <c r="H193" i="15"/>
  <c r="G193" i="15"/>
  <c r="U189" i="15"/>
  <c r="T189" i="15"/>
  <c r="S189" i="15"/>
  <c r="P189" i="15"/>
  <c r="R189" i="15"/>
  <c r="Q189" i="15"/>
  <c r="O189" i="15"/>
  <c r="N189" i="15"/>
  <c r="M189" i="15"/>
  <c r="K189" i="15"/>
  <c r="J189" i="15"/>
  <c r="I189" i="15"/>
  <c r="H189" i="15"/>
  <c r="G189" i="15"/>
  <c r="T185" i="15"/>
  <c r="S185" i="15"/>
  <c r="U185" i="15"/>
  <c r="R185" i="15"/>
  <c r="Q185" i="15"/>
  <c r="P185" i="15"/>
  <c r="O185" i="15"/>
  <c r="N185" i="15"/>
  <c r="M185" i="15"/>
  <c r="K185" i="15"/>
  <c r="J185" i="15"/>
  <c r="I185" i="15"/>
  <c r="H185" i="15"/>
  <c r="G185" i="15"/>
  <c r="U181" i="15"/>
  <c r="T181" i="15"/>
  <c r="S181" i="15"/>
  <c r="R181" i="15"/>
  <c r="Q181" i="15"/>
  <c r="P181" i="15"/>
  <c r="O181" i="15"/>
  <c r="N181" i="15"/>
  <c r="M181" i="15"/>
  <c r="K181" i="15"/>
  <c r="J181" i="15"/>
  <c r="I181" i="15"/>
  <c r="H181" i="15"/>
  <c r="G181" i="15"/>
  <c r="T177" i="15"/>
  <c r="S177" i="15"/>
  <c r="U177" i="15"/>
  <c r="R177" i="15"/>
  <c r="P177" i="15"/>
  <c r="Q177" i="15"/>
  <c r="O177" i="15"/>
  <c r="N177" i="15"/>
  <c r="M177" i="15"/>
  <c r="K177" i="15"/>
  <c r="J177" i="15"/>
  <c r="I177" i="15"/>
  <c r="H177" i="15"/>
  <c r="G177" i="15"/>
  <c r="T173" i="15"/>
  <c r="S173" i="15"/>
  <c r="U173" i="15"/>
  <c r="R173" i="15"/>
  <c r="P173" i="15"/>
  <c r="Q173" i="15"/>
  <c r="O173" i="15"/>
  <c r="N173" i="15"/>
  <c r="M173" i="15"/>
  <c r="K173" i="15"/>
  <c r="J173" i="15"/>
  <c r="I173" i="15"/>
  <c r="H173" i="15"/>
  <c r="G173" i="15"/>
  <c r="T169" i="15"/>
  <c r="S169" i="15"/>
  <c r="U169" i="15"/>
  <c r="R169" i="15"/>
  <c r="P169" i="15"/>
  <c r="Q169" i="15"/>
  <c r="O169" i="15"/>
  <c r="N169" i="15"/>
  <c r="M169" i="15"/>
  <c r="K169" i="15"/>
  <c r="J169" i="15"/>
  <c r="I169" i="15"/>
  <c r="H169" i="15"/>
  <c r="G169" i="15"/>
  <c r="U165" i="15"/>
  <c r="T165" i="15"/>
  <c r="S165" i="15"/>
  <c r="R165" i="15"/>
  <c r="Q165" i="15"/>
  <c r="O165" i="15"/>
  <c r="P165" i="15"/>
  <c r="N165" i="15"/>
  <c r="M165" i="15"/>
  <c r="K165" i="15"/>
  <c r="J165" i="15"/>
  <c r="I165" i="15"/>
  <c r="H165" i="15"/>
  <c r="G165" i="15"/>
  <c r="U161" i="15"/>
  <c r="T161" i="15"/>
  <c r="S161" i="15"/>
  <c r="R161" i="15"/>
  <c r="P161" i="15"/>
  <c r="Q161" i="15"/>
  <c r="O161" i="15"/>
  <c r="N161" i="15"/>
  <c r="M161" i="15"/>
  <c r="K161" i="15"/>
  <c r="J161" i="15"/>
  <c r="I161" i="15"/>
  <c r="H161" i="15"/>
  <c r="G161" i="15"/>
  <c r="T157" i="15"/>
  <c r="S157" i="15"/>
  <c r="U157" i="15"/>
  <c r="R157" i="15"/>
  <c r="P157" i="15"/>
  <c r="Q157" i="15"/>
  <c r="O157" i="15"/>
  <c r="N157" i="15"/>
  <c r="M157" i="15"/>
  <c r="K157" i="15"/>
  <c r="J157" i="15"/>
  <c r="I157" i="15"/>
  <c r="H157" i="15"/>
  <c r="G157" i="15"/>
  <c r="U153" i="15"/>
  <c r="T153" i="15"/>
  <c r="S153" i="15"/>
  <c r="R153" i="15"/>
  <c r="Q153" i="15"/>
  <c r="O153" i="15"/>
  <c r="P153" i="15"/>
  <c r="N153" i="15"/>
  <c r="M153" i="15"/>
  <c r="K153" i="15"/>
  <c r="J153" i="15"/>
  <c r="I153" i="15"/>
  <c r="H153" i="15"/>
  <c r="G153" i="15"/>
  <c r="Q149" i="15"/>
  <c r="R149" i="15"/>
  <c r="P149" i="15"/>
  <c r="O149" i="15"/>
  <c r="N149" i="15"/>
  <c r="M149" i="15"/>
  <c r="K149" i="15"/>
  <c r="J149" i="15"/>
  <c r="I149" i="15"/>
  <c r="H149" i="15"/>
  <c r="G149" i="15"/>
  <c r="Q145" i="15"/>
  <c r="R145" i="15"/>
  <c r="P145" i="15"/>
  <c r="O145" i="15"/>
  <c r="N145" i="15"/>
  <c r="M145" i="15"/>
  <c r="K145" i="15"/>
  <c r="J145" i="15"/>
  <c r="I145" i="15"/>
  <c r="H145" i="15"/>
  <c r="G145" i="15"/>
  <c r="R141" i="15"/>
  <c r="P141" i="15"/>
  <c r="Q141" i="15"/>
  <c r="O141" i="15"/>
  <c r="N141" i="15"/>
  <c r="M141" i="15"/>
  <c r="K141" i="15"/>
  <c r="J141" i="15"/>
  <c r="I141" i="15"/>
  <c r="H141" i="15"/>
  <c r="G141" i="15"/>
  <c r="R137" i="15"/>
  <c r="Q137" i="15"/>
  <c r="P137" i="15"/>
  <c r="O137" i="15"/>
  <c r="N137" i="15"/>
  <c r="M137" i="15"/>
  <c r="K137" i="15"/>
  <c r="J137" i="15"/>
  <c r="I137" i="15"/>
  <c r="H137" i="15"/>
  <c r="G137" i="15"/>
  <c r="Q133" i="15"/>
  <c r="R133" i="15"/>
  <c r="O133" i="15"/>
  <c r="P133" i="15"/>
  <c r="N133" i="15"/>
  <c r="M133" i="15"/>
  <c r="K133" i="15"/>
  <c r="J133" i="15"/>
  <c r="I133" i="15"/>
  <c r="H133" i="15"/>
  <c r="G133" i="15"/>
  <c r="Q129" i="15"/>
  <c r="R129" i="15"/>
  <c r="P129" i="15"/>
  <c r="O129" i="15"/>
  <c r="N129" i="15"/>
  <c r="M129" i="15"/>
  <c r="K129" i="15"/>
  <c r="J129" i="15"/>
  <c r="I129" i="15"/>
  <c r="H129" i="15"/>
  <c r="G129" i="15"/>
  <c r="Q125" i="15"/>
  <c r="P125" i="15"/>
  <c r="R125" i="15"/>
  <c r="O125" i="15"/>
  <c r="N125" i="15"/>
  <c r="M125" i="15"/>
  <c r="K125" i="15"/>
  <c r="J125" i="15"/>
  <c r="I125" i="15"/>
  <c r="H125" i="15"/>
  <c r="G125" i="15"/>
  <c r="R121" i="15"/>
  <c r="Q121" i="15"/>
  <c r="O121" i="15"/>
  <c r="P121" i="15"/>
  <c r="N121" i="15"/>
  <c r="M121" i="15"/>
  <c r="K121" i="15"/>
  <c r="J121" i="15"/>
  <c r="I121" i="15"/>
  <c r="H121" i="15"/>
  <c r="G121" i="15"/>
  <c r="Q117" i="15"/>
  <c r="R117" i="15"/>
  <c r="P117" i="15"/>
  <c r="O117" i="15"/>
  <c r="N117" i="15"/>
  <c r="M117" i="15"/>
  <c r="K117" i="15"/>
  <c r="J117" i="15"/>
  <c r="I117" i="15"/>
  <c r="H117" i="15"/>
  <c r="G117" i="15"/>
  <c r="Q113" i="15"/>
  <c r="R113" i="15"/>
  <c r="P113" i="15"/>
  <c r="O113" i="15"/>
  <c r="N113" i="15"/>
  <c r="M113" i="15"/>
  <c r="K113" i="15"/>
  <c r="J113" i="15"/>
  <c r="I113" i="15"/>
  <c r="H113" i="15"/>
  <c r="G113" i="15"/>
  <c r="R109" i="15"/>
  <c r="Q109" i="15"/>
  <c r="P109" i="15"/>
  <c r="O109" i="15"/>
  <c r="N109" i="15"/>
  <c r="M109" i="15"/>
  <c r="K109" i="15"/>
  <c r="J109" i="15"/>
  <c r="I109" i="15"/>
  <c r="H109" i="15"/>
  <c r="G109" i="15"/>
  <c r="R105" i="15"/>
  <c r="Q105" i="15"/>
  <c r="P105" i="15"/>
  <c r="O105" i="15"/>
  <c r="N105" i="15"/>
  <c r="M105" i="15"/>
  <c r="K105" i="15"/>
  <c r="J105" i="15"/>
  <c r="I105" i="15"/>
  <c r="H105" i="15"/>
  <c r="G105" i="15"/>
  <c r="Q101" i="15"/>
  <c r="R101" i="15"/>
  <c r="O101" i="15"/>
  <c r="P101" i="15"/>
  <c r="N101" i="15"/>
  <c r="M101" i="15"/>
  <c r="K101" i="15"/>
  <c r="J101" i="15"/>
  <c r="I101" i="15"/>
  <c r="H101" i="15"/>
  <c r="G101" i="15"/>
  <c r="Q97" i="15"/>
  <c r="R97" i="15"/>
  <c r="P97" i="15"/>
  <c r="O97" i="15"/>
  <c r="N97" i="15"/>
  <c r="M97" i="15"/>
  <c r="K97" i="15"/>
  <c r="J97" i="15"/>
  <c r="I97" i="15"/>
  <c r="H97" i="15"/>
  <c r="G97" i="15"/>
  <c r="R93" i="15"/>
  <c r="Q93" i="15"/>
  <c r="P93" i="15"/>
  <c r="O93" i="15"/>
  <c r="N93" i="15"/>
  <c r="M93" i="15"/>
  <c r="K93" i="15"/>
  <c r="J93" i="15"/>
  <c r="I93" i="15"/>
  <c r="H93" i="15"/>
  <c r="G93" i="15"/>
  <c r="R89" i="15"/>
  <c r="Q89" i="15"/>
  <c r="O89" i="15"/>
  <c r="P89" i="15"/>
  <c r="N89" i="15"/>
  <c r="M89" i="15"/>
  <c r="K89" i="15"/>
  <c r="J89" i="15"/>
  <c r="I89" i="15"/>
  <c r="H89" i="15"/>
  <c r="G89" i="15"/>
  <c r="Q85" i="15"/>
  <c r="R85" i="15"/>
  <c r="P85" i="15"/>
  <c r="O85" i="15"/>
  <c r="N85" i="15"/>
  <c r="M85" i="15"/>
  <c r="K85" i="15"/>
  <c r="J85" i="15"/>
  <c r="H85" i="15"/>
  <c r="G85" i="15"/>
  <c r="I85" i="15"/>
  <c r="Q81" i="15"/>
  <c r="R81" i="15"/>
  <c r="P81" i="15"/>
  <c r="O81" i="15"/>
  <c r="N81" i="15"/>
  <c r="M81" i="15"/>
  <c r="K81" i="15"/>
  <c r="J81" i="15"/>
  <c r="H81" i="15"/>
  <c r="G81" i="15"/>
  <c r="I81" i="15"/>
  <c r="Q77" i="15"/>
  <c r="R77" i="15"/>
  <c r="P77" i="15"/>
  <c r="O77" i="15"/>
  <c r="N77" i="15"/>
  <c r="M77" i="15"/>
  <c r="K77" i="15"/>
  <c r="J77" i="15"/>
  <c r="I77" i="15"/>
  <c r="H77" i="15"/>
  <c r="G77" i="15"/>
  <c r="R73" i="15"/>
  <c r="Q73" i="15"/>
  <c r="P73" i="15"/>
  <c r="O73" i="15"/>
  <c r="N73" i="15"/>
  <c r="M73" i="15"/>
  <c r="K73" i="15"/>
  <c r="J73" i="15"/>
  <c r="H73" i="15"/>
  <c r="G73" i="15"/>
  <c r="I73" i="15"/>
  <c r="Q69" i="15"/>
  <c r="R69" i="15"/>
  <c r="O69" i="15"/>
  <c r="P69" i="15"/>
  <c r="N69" i="15"/>
  <c r="M69" i="15"/>
  <c r="K69" i="15"/>
  <c r="J69" i="15"/>
  <c r="I69" i="15"/>
  <c r="H69" i="15"/>
  <c r="G69" i="15"/>
  <c r="R65" i="15"/>
  <c r="Q65" i="15"/>
  <c r="P65" i="15"/>
  <c r="O65" i="15"/>
  <c r="N65" i="15"/>
  <c r="M65" i="15"/>
  <c r="K65" i="15"/>
  <c r="J65" i="15"/>
  <c r="H65" i="15"/>
  <c r="G65" i="15"/>
  <c r="I65" i="15"/>
  <c r="R61" i="15"/>
  <c r="Q61" i="15"/>
  <c r="P61" i="15"/>
  <c r="O61" i="15"/>
  <c r="N61" i="15"/>
  <c r="M61" i="15"/>
  <c r="K61" i="15"/>
  <c r="J61" i="15"/>
  <c r="I61" i="15"/>
  <c r="H61" i="15"/>
  <c r="G61" i="15"/>
  <c r="R57" i="15"/>
  <c r="Q57" i="15"/>
  <c r="O57" i="15"/>
  <c r="P57" i="15"/>
  <c r="N57" i="15"/>
  <c r="M57" i="15"/>
  <c r="K57" i="15"/>
  <c r="J57" i="15"/>
  <c r="H57" i="15"/>
  <c r="G57" i="15"/>
  <c r="I57" i="15"/>
  <c r="Q53" i="15"/>
  <c r="R53" i="15"/>
  <c r="P53" i="15"/>
  <c r="O53" i="15"/>
  <c r="N53" i="15"/>
  <c r="M53" i="15"/>
  <c r="K53" i="15"/>
  <c r="J53" i="15"/>
  <c r="I53" i="15"/>
  <c r="H53" i="15"/>
  <c r="G53" i="15"/>
  <c r="Q49" i="15"/>
  <c r="P49" i="15"/>
  <c r="R49" i="15"/>
  <c r="O49" i="15"/>
  <c r="N49" i="15"/>
  <c r="M49" i="15"/>
  <c r="K49" i="15"/>
  <c r="J49" i="15"/>
  <c r="H49" i="15"/>
  <c r="G49" i="15"/>
  <c r="I49" i="15"/>
  <c r="R45" i="15"/>
  <c r="Q45" i="15"/>
  <c r="P45" i="15"/>
  <c r="O45" i="15"/>
  <c r="N45" i="15"/>
  <c r="M45" i="15"/>
  <c r="K45" i="15"/>
  <c r="J45" i="15"/>
  <c r="I45" i="15"/>
  <c r="H45" i="15"/>
  <c r="G45" i="15"/>
  <c r="R41" i="15"/>
  <c r="Q41" i="15"/>
  <c r="P41" i="15"/>
  <c r="O41" i="15"/>
  <c r="N41" i="15"/>
  <c r="M41" i="15"/>
  <c r="K41" i="15"/>
  <c r="J41" i="15"/>
  <c r="H41" i="15"/>
  <c r="G41" i="15"/>
  <c r="I41" i="15"/>
  <c r="R37" i="15"/>
  <c r="Q37" i="15"/>
  <c r="O37" i="15"/>
  <c r="P37" i="15"/>
  <c r="N37" i="15"/>
  <c r="M37" i="15"/>
  <c r="K37" i="15"/>
  <c r="J37" i="15"/>
  <c r="I37" i="15"/>
  <c r="H37" i="15"/>
  <c r="G37" i="15"/>
  <c r="Q33" i="15"/>
  <c r="R33" i="15"/>
  <c r="P33" i="15"/>
  <c r="O33" i="15"/>
  <c r="N33" i="15"/>
  <c r="M33" i="15"/>
  <c r="K33" i="15"/>
  <c r="J33" i="15"/>
  <c r="H33" i="15"/>
  <c r="G33" i="15"/>
  <c r="I33" i="15"/>
  <c r="R29" i="15"/>
  <c r="Q29" i="15"/>
  <c r="P29" i="15"/>
  <c r="O29" i="15"/>
  <c r="N29" i="15"/>
  <c r="M29" i="15"/>
  <c r="K29" i="15"/>
  <c r="J29" i="15"/>
  <c r="I29" i="15"/>
  <c r="H29" i="15"/>
  <c r="G29" i="15"/>
  <c r="R25" i="15"/>
  <c r="Q25" i="15"/>
  <c r="O25" i="15"/>
  <c r="P25" i="15"/>
  <c r="N25" i="15"/>
  <c r="M25" i="15"/>
  <c r="K25" i="15"/>
  <c r="J25" i="15"/>
  <c r="I25" i="15"/>
  <c r="H25" i="15"/>
  <c r="G25" i="15"/>
  <c r="Q21" i="15"/>
  <c r="R21" i="15"/>
  <c r="P21" i="15"/>
  <c r="O21" i="15"/>
  <c r="N21" i="15"/>
  <c r="M21" i="15"/>
  <c r="K21" i="15"/>
  <c r="J21" i="15"/>
  <c r="I21" i="15"/>
  <c r="H21" i="15"/>
  <c r="G21" i="15"/>
  <c r="R17" i="15"/>
  <c r="Q17" i="15"/>
  <c r="P17" i="15"/>
  <c r="O17" i="15"/>
  <c r="N17" i="15"/>
  <c r="M17" i="15"/>
  <c r="K17" i="15"/>
  <c r="J17" i="15"/>
  <c r="I17" i="15"/>
  <c r="H17" i="15"/>
  <c r="G17" i="15"/>
  <c r="Q13" i="15"/>
  <c r="R13" i="15"/>
  <c r="P13" i="15"/>
  <c r="O13" i="15"/>
  <c r="N13" i="15"/>
  <c r="M13" i="15"/>
  <c r="K13" i="15"/>
  <c r="J13" i="15"/>
  <c r="I13" i="15"/>
  <c r="H13" i="15"/>
  <c r="G13" i="15"/>
  <c r="R9" i="15"/>
  <c r="Q9" i="15"/>
  <c r="P9" i="15"/>
  <c r="O9" i="15"/>
  <c r="N9" i="15"/>
  <c r="M9" i="15"/>
  <c r="K9" i="15"/>
  <c r="J9" i="15"/>
  <c r="I9" i="15"/>
  <c r="H9" i="15"/>
  <c r="G9" i="15"/>
  <c r="Q5" i="15"/>
  <c r="R5" i="15"/>
  <c r="O5" i="15"/>
  <c r="P5" i="15"/>
  <c r="N5" i="15"/>
  <c r="M5" i="15"/>
  <c r="K5" i="15"/>
  <c r="J5" i="15"/>
  <c r="I5" i="15"/>
  <c r="H5" i="15"/>
  <c r="G5" i="15"/>
  <c r="B413" i="15"/>
  <c r="B409" i="15"/>
  <c r="B405" i="15"/>
  <c r="B401" i="15"/>
  <c r="B397" i="15"/>
  <c r="B393" i="15"/>
  <c r="B389" i="15"/>
  <c r="B385" i="15"/>
  <c r="B381" i="15"/>
  <c r="B377" i="15"/>
  <c r="B373" i="15"/>
  <c r="B369" i="15"/>
  <c r="B365" i="15"/>
  <c r="B361" i="15"/>
  <c r="B357" i="15"/>
  <c r="B353" i="15"/>
  <c r="B349" i="15"/>
  <c r="B345" i="15"/>
  <c r="B341" i="15"/>
  <c r="B337" i="15"/>
  <c r="B333" i="15"/>
  <c r="B329" i="15"/>
  <c r="B325" i="15"/>
  <c r="B321" i="15"/>
  <c r="B317" i="15"/>
  <c r="B313" i="15"/>
  <c r="B309" i="15"/>
  <c r="B305" i="15"/>
  <c r="B301" i="15"/>
  <c r="B297" i="15"/>
  <c r="B293" i="15"/>
  <c r="B289" i="15"/>
  <c r="B285" i="15"/>
  <c r="B281" i="15"/>
  <c r="B277" i="15"/>
  <c r="B273" i="15"/>
  <c r="B269" i="15"/>
  <c r="B265" i="15"/>
  <c r="B261" i="15"/>
  <c r="B257" i="15"/>
  <c r="B253" i="15"/>
  <c r="B249" i="15"/>
  <c r="B245" i="15"/>
  <c r="B241" i="15"/>
  <c r="B237" i="15"/>
  <c r="B233" i="15"/>
  <c r="B229" i="15"/>
  <c r="B225" i="15"/>
  <c r="B221" i="15"/>
  <c r="B217" i="15"/>
  <c r="B213" i="15"/>
  <c r="B209" i="15"/>
  <c r="B205" i="15"/>
  <c r="B201" i="15"/>
  <c r="B197" i="15"/>
  <c r="B193" i="15"/>
  <c r="B189" i="15"/>
  <c r="B185" i="15"/>
  <c r="B181" i="15"/>
  <c r="B177" i="15"/>
  <c r="B173" i="15"/>
  <c r="B169" i="15"/>
  <c r="B165" i="15"/>
  <c r="B161" i="15"/>
  <c r="B157" i="15"/>
  <c r="B153" i="15"/>
  <c r="B149" i="15"/>
  <c r="B145" i="15"/>
  <c r="B141" i="15"/>
  <c r="B137" i="15"/>
  <c r="B133" i="15"/>
  <c r="B129" i="15"/>
  <c r="B125" i="15"/>
  <c r="B121" i="15"/>
  <c r="B117" i="15"/>
  <c r="B113" i="15"/>
  <c r="B109" i="15"/>
  <c r="B105" i="15"/>
  <c r="B101" i="15"/>
  <c r="B97" i="15"/>
  <c r="B93" i="15"/>
  <c r="B89" i="15"/>
  <c r="B85" i="15"/>
  <c r="B81" i="15"/>
  <c r="B77" i="15"/>
  <c r="B73" i="15"/>
  <c r="B69" i="15"/>
  <c r="B65" i="15"/>
  <c r="B61" i="15"/>
  <c r="B57" i="15"/>
  <c r="B53" i="15"/>
  <c r="B49" i="15"/>
  <c r="B45" i="15"/>
  <c r="B41" i="15"/>
  <c r="B37" i="15"/>
  <c r="B33" i="15"/>
  <c r="B29" i="15"/>
  <c r="B25" i="15"/>
  <c r="B21" i="15"/>
  <c r="B17" i="15"/>
  <c r="B13" i="15"/>
  <c r="B9" i="15"/>
  <c r="B5" i="15"/>
  <c r="C413" i="15"/>
  <c r="C409" i="15"/>
  <c r="C405" i="15"/>
  <c r="C401" i="15"/>
  <c r="C397" i="15"/>
  <c r="C393" i="15"/>
  <c r="C389" i="15"/>
  <c r="C385" i="15"/>
  <c r="C381" i="15"/>
  <c r="C377" i="15"/>
  <c r="C373" i="15"/>
  <c r="C369" i="15"/>
  <c r="C365" i="15"/>
  <c r="C361" i="15"/>
  <c r="C357" i="15"/>
  <c r="C353" i="15"/>
  <c r="C349" i="15"/>
  <c r="C345" i="15"/>
  <c r="C341" i="15"/>
  <c r="C337" i="15"/>
  <c r="C333" i="15"/>
  <c r="C329" i="15"/>
  <c r="C325" i="15"/>
  <c r="C321" i="15"/>
  <c r="C317" i="15"/>
  <c r="C313" i="15"/>
  <c r="C309" i="15"/>
  <c r="C305" i="15"/>
  <c r="C301" i="15"/>
  <c r="C297" i="15"/>
  <c r="C293" i="15"/>
  <c r="C289" i="15"/>
  <c r="C285" i="15"/>
  <c r="C281" i="15"/>
  <c r="C277" i="15"/>
  <c r="C273" i="15"/>
  <c r="C269" i="15"/>
  <c r="C265" i="15"/>
  <c r="C261" i="15"/>
  <c r="C257" i="15"/>
  <c r="C253" i="15"/>
  <c r="C249" i="15"/>
  <c r="C245" i="15"/>
  <c r="C241" i="15"/>
  <c r="C237" i="15"/>
  <c r="C233" i="15"/>
  <c r="C229" i="15"/>
  <c r="C225" i="15"/>
  <c r="C221" i="15"/>
  <c r="C217" i="15"/>
  <c r="C213" i="15"/>
  <c r="C209" i="15"/>
  <c r="C205" i="15"/>
  <c r="C201" i="15"/>
  <c r="C197" i="15"/>
  <c r="C193" i="15"/>
  <c r="C189" i="15"/>
  <c r="C185" i="15"/>
  <c r="C181" i="15"/>
  <c r="C177" i="15"/>
  <c r="C173" i="15"/>
  <c r="C169" i="15"/>
  <c r="C165" i="15"/>
  <c r="C161" i="15"/>
  <c r="C157" i="15"/>
  <c r="C153" i="15"/>
  <c r="C149" i="15"/>
  <c r="C145" i="15"/>
  <c r="C141" i="15"/>
  <c r="C137" i="15"/>
  <c r="C133" i="15"/>
  <c r="C129" i="15"/>
  <c r="C125" i="15"/>
  <c r="C121" i="15"/>
  <c r="C117" i="15"/>
  <c r="C113" i="15"/>
  <c r="C109" i="15"/>
  <c r="C105" i="15"/>
  <c r="C101" i="15"/>
  <c r="C97" i="15"/>
  <c r="C93" i="15"/>
  <c r="C89" i="15"/>
  <c r="C85" i="15"/>
  <c r="C81" i="15"/>
  <c r="C77" i="15"/>
  <c r="C73" i="15"/>
  <c r="C69" i="15"/>
  <c r="C65" i="15"/>
  <c r="C61" i="15"/>
  <c r="C57" i="15"/>
  <c r="C53" i="15"/>
  <c r="C49" i="15"/>
  <c r="C45" i="15"/>
  <c r="C41" i="15"/>
  <c r="C37" i="15"/>
  <c r="C33" i="15"/>
  <c r="C29" i="15"/>
  <c r="C25" i="15"/>
  <c r="C21" i="15"/>
  <c r="C17" i="15"/>
  <c r="C13" i="15"/>
  <c r="C9" i="15"/>
  <c r="C5" i="15"/>
  <c r="D413" i="15"/>
  <c r="D409" i="15"/>
  <c r="D405" i="15"/>
  <c r="D401" i="15"/>
  <c r="D397" i="15"/>
  <c r="D393" i="15"/>
  <c r="D389" i="15"/>
  <c r="D385" i="15"/>
  <c r="D381" i="15"/>
  <c r="D377" i="15"/>
  <c r="D373" i="15"/>
  <c r="D369" i="15"/>
  <c r="D365" i="15"/>
  <c r="D361" i="15"/>
  <c r="D357" i="15"/>
  <c r="D353" i="15"/>
  <c r="D349" i="15"/>
  <c r="D345" i="15"/>
  <c r="D341" i="15"/>
  <c r="D337" i="15"/>
  <c r="D333" i="15"/>
  <c r="D329" i="15"/>
  <c r="D325" i="15"/>
  <c r="D321" i="15"/>
  <c r="D317" i="15"/>
  <c r="D313" i="15"/>
  <c r="D309" i="15"/>
  <c r="D305" i="15"/>
  <c r="D301" i="15"/>
  <c r="D297" i="15"/>
  <c r="D293" i="15"/>
  <c r="D289" i="15"/>
  <c r="D285" i="15"/>
  <c r="D281" i="15"/>
  <c r="D277" i="15"/>
  <c r="D273" i="15"/>
  <c r="D269" i="15"/>
  <c r="D265" i="15"/>
  <c r="D261" i="15"/>
  <c r="D257" i="15"/>
  <c r="D253" i="15"/>
  <c r="D249" i="15"/>
  <c r="D245" i="15"/>
  <c r="D241" i="15"/>
  <c r="D237" i="15"/>
  <c r="D233" i="15"/>
  <c r="D229" i="15"/>
  <c r="D225" i="15"/>
  <c r="D221" i="15"/>
  <c r="D217" i="15"/>
  <c r="D213" i="15"/>
  <c r="D209" i="15"/>
  <c r="D205" i="15"/>
  <c r="D201" i="15"/>
  <c r="D197" i="15"/>
  <c r="D193" i="15"/>
  <c r="D189" i="15"/>
  <c r="D185" i="15"/>
  <c r="D181" i="15"/>
  <c r="D177" i="15"/>
  <c r="D173" i="15"/>
  <c r="D169" i="15"/>
  <c r="D165" i="15"/>
  <c r="D161" i="15"/>
  <c r="D157" i="15"/>
  <c r="D153" i="15"/>
  <c r="D149" i="15"/>
  <c r="D145" i="15"/>
  <c r="D141" i="15"/>
  <c r="D137" i="15"/>
  <c r="D133" i="15"/>
  <c r="D129" i="15"/>
  <c r="D125" i="15"/>
  <c r="S125" i="15" s="1"/>
  <c r="D121" i="15"/>
  <c r="D117" i="15"/>
  <c r="D113" i="15"/>
  <c r="D109" i="15"/>
  <c r="D105" i="15"/>
  <c r="D101" i="15"/>
  <c r="D97" i="15"/>
  <c r="D93" i="15"/>
  <c r="D89" i="15"/>
  <c r="D85" i="15"/>
  <c r="D81" i="15"/>
  <c r="D77" i="15"/>
  <c r="D73" i="15"/>
  <c r="D69" i="15"/>
  <c r="D65" i="15"/>
  <c r="D61" i="15"/>
  <c r="D57" i="15"/>
  <c r="D53" i="15"/>
  <c r="D49" i="15"/>
  <c r="D45" i="15"/>
  <c r="D41" i="15"/>
  <c r="D37" i="15"/>
  <c r="D33" i="15"/>
  <c r="D29" i="15"/>
  <c r="D25" i="15"/>
  <c r="D21" i="15"/>
  <c r="D17" i="15"/>
  <c r="D13" i="15"/>
  <c r="D9" i="15"/>
  <c r="D5" i="15"/>
  <c r="E413" i="15"/>
  <c r="E409" i="15"/>
  <c r="E405" i="15"/>
  <c r="E401" i="15"/>
  <c r="E397" i="15"/>
  <c r="E393" i="15"/>
  <c r="E389" i="15"/>
  <c r="E385" i="15"/>
  <c r="E381" i="15"/>
  <c r="E377" i="15"/>
  <c r="E373" i="15"/>
  <c r="E369" i="15"/>
  <c r="E365" i="15"/>
  <c r="E361" i="15"/>
  <c r="E357" i="15"/>
  <c r="E353" i="15"/>
  <c r="E349" i="15"/>
  <c r="E345" i="15"/>
  <c r="E341" i="15"/>
  <c r="E337" i="15"/>
  <c r="E333" i="15"/>
  <c r="E329" i="15"/>
  <c r="E325" i="15"/>
  <c r="E321" i="15"/>
  <c r="E317" i="15"/>
  <c r="E313" i="15"/>
  <c r="E309" i="15"/>
  <c r="E305" i="15"/>
  <c r="E301" i="15"/>
  <c r="E297" i="15"/>
  <c r="E293" i="15"/>
  <c r="E289" i="15"/>
  <c r="E285" i="15"/>
  <c r="E281" i="15"/>
  <c r="E277" i="15"/>
  <c r="E273" i="15"/>
  <c r="E269" i="15"/>
  <c r="E265" i="15"/>
  <c r="E261" i="15"/>
  <c r="E257" i="15"/>
  <c r="E253" i="15"/>
  <c r="E249" i="15"/>
  <c r="E245" i="15"/>
  <c r="E241" i="15"/>
  <c r="E237" i="15"/>
  <c r="E233" i="15"/>
  <c r="E229" i="15"/>
  <c r="E225" i="15"/>
  <c r="E221" i="15"/>
  <c r="E217" i="15"/>
  <c r="E213" i="15"/>
  <c r="E209" i="15"/>
  <c r="E205" i="15"/>
  <c r="E201" i="15"/>
  <c r="E197" i="15"/>
  <c r="E193" i="15"/>
  <c r="E189" i="15"/>
  <c r="E185" i="15"/>
  <c r="E181" i="15"/>
  <c r="E177" i="15"/>
  <c r="E173" i="15"/>
  <c r="E169" i="15"/>
  <c r="E165" i="15"/>
  <c r="E161" i="15"/>
  <c r="E157" i="15"/>
  <c r="E153" i="15"/>
  <c r="E149" i="15"/>
  <c r="E145" i="15"/>
  <c r="E141" i="15"/>
  <c r="E137" i="15"/>
  <c r="E133" i="15"/>
  <c r="E129" i="15"/>
  <c r="E125" i="15"/>
  <c r="E121" i="15"/>
  <c r="E117" i="15"/>
  <c r="E113" i="15"/>
  <c r="E109" i="15"/>
  <c r="E105" i="15"/>
  <c r="E101" i="15"/>
  <c r="E97" i="15"/>
  <c r="E93" i="15"/>
  <c r="E89" i="15"/>
  <c r="E85" i="15"/>
  <c r="E81" i="15"/>
  <c r="E77" i="15"/>
  <c r="E73" i="15"/>
  <c r="E69" i="15"/>
  <c r="E65" i="15"/>
  <c r="E61" i="15"/>
  <c r="E57" i="15"/>
  <c r="E53" i="15"/>
  <c r="E49" i="15"/>
  <c r="E45" i="15"/>
  <c r="E41" i="15"/>
  <c r="E37" i="15"/>
  <c r="E33" i="15"/>
  <c r="E29" i="15"/>
  <c r="E25" i="15"/>
  <c r="E21" i="15"/>
  <c r="E17" i="15"/>
  <c r="E13" i="15"/>
  <c r="E9" i="15"/>
  <c r="E5" i="15"/>
  <c r="F413" i="15"/>
  <c r="F409" i="15"/>
  <c r="F405" i="15"/>
  <c r="F401" i="15"/>
  <c r="F397" i="15"/>
  <c r="F393" i="15"/>
  <c r="F389" i="15"/>
  <c r="F385" i="15"/>
  <c r="F381" i="15"/>
  <c r="F377" i="15"/>
  <c r="F373" i="15"/>
  <c r="F369" i="15"/>
  <c r="F365" i="15"/>
  <c r="F361" i="15"/>
  <c r="F357" i="15"/>
  <c r="F353" i="15"/>
  <c r="F349" i="15"/>
  <c r="F345" i="15"/>
  <c r="F341" i="15"/>
  <c r="F337" i="15"/>
  <c r="F333" i="15"/>
  <c r="F329" i="15"/>
  <c r="F325" i="15"/>
  <c r="F321" i="15"/>
  <c r="F317" i="15"/>
  <c r="F313" i="15"/>
  <c r="F309" i="15"/>
  <c r="F305" i="15"/>
  <c r="F301" i="15"/>
  <c r="F297" i="15"/>
  <c r="F293" i="15"/>
  <c r="F289" i="15"/>
  <c r="F285" i="15"/>
  <c r="F281" i="15"/>
  <c r="F277" i="15"/>
  <c r="F273" i="15"/>
  <c r="F269" i="15"/>
  <c r="F265" i="15"/>
  <c r="F261" i="15"/>
  <c r="F257" i="15"/>
  <c r="F253" i="15"/>
  <c r="F249" i="15"/>
  <c r="F245" i="15"/>
  <c r="F241" i="15"/>
  <c r="F237" i="15"/>
  <c r="F233" i="15"/>
  <c r="F229" i="15"/>
  <c r="F225" i="15"/>
  <c r="F221" i="15"/>
  <c r="F217" i="15"/>
  <c r="F213" i="15"/>
  <c r="F209" i="15"/>
  <c r="F205" i="15"/>
  <c r="F201" i="15"/>
  <c r="F197" i="15"/>
  <c r="F193" i="15"/>
  <c r="F189" i="15"/>
  <c r="F185" i="15"/>
  <c r="F181" i="15"/>
  <c r="F177" i="15"/>
  <c r="F173" i="15"/>
  <c r="F169" i="15"/>
  <c r="F165" i="15"/>
  <c r="F161" i="15"/>
  <c r="F157" i="15"/>
  <c r="F153" i="15"/>
  <c r="F149" i="15"/>
  <c r="F145" i="15"/>
  <c r="F141" i="15"/>
  <c r="F137" i="15"/>
  <c r="F133" i="15"/>
  <c r="F129" i="15"/>
  <c r="F125" i="15"/>
  <c r="F121" i="15"/>
  <c r="F117" i="15"/>
  <c r="F113" i="15"/>
  <c r="F109" i="15"/>
  <c r="F105" i="15"/>
  <c r="F101" i="15"/>
  <c r="F97" i="15"/>
  <c r="F93" i="15"/>
  <c r="F89" i="15"/>
  <c r="F85" i="15"/>
  <c r="F81" i="15"/>
  <c r="F77" i="15"/>
  <c r="F73" i="15"/>
  <c r="F69" i="15"/>
  <c r="F65" i="15"/>
  <c r="F61" i="15"/>
  <c r="F57" i="15"/>
  <c r="F53" i="15"/>
  <c r="F49" i="15"/>
  <c r="F45" i="15"/>
  <c r="F41" i="15"/>
  <c r="F37" i="15"/>
  <c r="F33" i="15"/>
  <c r="F29" i="15"/>
  <c r="F25" i="15"/>
  <c r="F21" i="15"/>
  <c r="F17" i="15"/>
  <c r="F13" i="15"/>
  <c r="F9" i="15"/>
  <c r="F5" i="15"/>
  <c r="U412" i="15"/>
  <c r="S412" i="15"/>
  <c r="T412" i="15"/>
  <c r="R412" i="15"/>
  <c r="Q412" i="15"/>
  <c r="P412" i="15"/>
  <c r="O412" i="15"/>
  <c r="N412" i="15"/>
  <c r="M412" i="15"/>
  <c r="K412" i="15"/>
  <c r="J412" i="15"/>
  <c r="I412" i="15"/>
  <c r="H412" i="15"/>
  <c r="G412" i="15"/>
  <c r="T408" i="15"/>
  <c r="U408" i="15"/>
  <c r="S408" i="15"/>
  <c r="R408" i="15"/>
  <c r="P408" i="15"/>
  <c r="Q408" i="15"/>
  <c r="O408" i="15"/>
  <c r="N408" i="15"/>
  <c r="M408" i="15"/>
  <c r="K408" i="15"/>
  <c r="J408" i="15"/>
  <c r="I408" i="15"/>
  <c r="H408" i="15"/>
  <c r="G408" i="15"/>
  <c r="U404" i="15"/>
  <c r="T404" i="15"/>
  <c r="S404" i="15"/>
  <c r="R404" i="15"/>
  <c r="Q404" i="15"/>
  <c r="P404" i="15"/>
  <c r="N404" i="15"/>
  <c r="M404" i="15"/>
  <c r="O404" i="15"/>
  <c r="K404" i="15"/>
  <c r="J404" i="15"/>
  <c r="I404" i="15"/>
  <c r="H404" i="15"/>
  <c r="G404" i="15"/>
  <c r="S400" i="15"/>
  <c r="U400" i="15"/>
  <c r="T400" i="15"/>
  <c r="R400" i="15"/>
  <c r="Q400" i="15"/>
  <c r="P400" i="15"/>
  <c r="N400" i="15"/>
  <c r="M400" i="15"/>
  <c r="O400" i="15"/>
  <c r="K400" i="15"/>
  <c r="J400" i="15"/>
  <c r="I400" i="15"/>
  <c r="H400" i="15"/>
  <c r="G400" i="15"/>
  <c r="U396" i="15"/>
  <c r="T396" i="15"/>
  <c r="S396" i="15"/>
  <c r="R396" i="15"/>
  <c r="Q396" i="15"/>
  <c r="P396" i="15"/>
  <c r="N396" i="15"/>
  <c r="M396" i="15"/>
  <c r="O396" i="15"/>
  <c r="K396" i="15"/>
  <c r="J396" i="15"/>
  <c r="I396" i="15"/>
  <c r="H396" i="15"/>
  <c r="G396" i="15"/>
  <c r="U392" i="15"/>
  <c r="T392" i="15"/>
  <c r="S392" i="15"/>
  <c r="R392" i="15"/>
  <c r="Q392" i="15"/>
  <c r="P392" i="15"/>
  <c r="O392" i="15"/>
  <c r="N392" i="15"/>
  <c r="M392" i="15"/>
  <c r="K392" i="15"/>
  <c r="J392" i="15"/>
  <c r="I392" i="15"/>
  <c r="H392" i="15"/>
  <c r="G392" i="15"/>
  <c r="U388" i="15"/>
  <c r="T388" i="15"/>
  <c r="R388" i="15"/>
  <c r="S388" i="15"/>
  <c r="P388" i="15"/>
  <c r="Q388" i="15"/>
  <c r="N388" i="15"/>
  <c r="M388" i="15"/>
  <c r="O388" i="15"/>
  <c r="K388" i="15"/>
  <c r="J388" i="15"/>
  <c r="I388" i="15"/>
  <c r="H388" i="15"/>
  <c r="G388" i="15"/>
  <c r="U384" i="15"/>
  <c r="S384" i="15"/>
  <c r="T384" i="15"/>
  <c r="R384" i="15"/>
  <c r="Q384" i="15"/>
  <c r="P384" i="15"/>
  <c r="N384" i="15"/>
  <c r="M384" i="15"/>
  <c r="O384" i="15"/>
  <c r="K384" i="15"/>
  <c r="J384" i="15"/>
  <c r="I384" i="15"/>
  <c r="H384" i="15"/>
  <c r="G384" i="15"/>
  <c r="U380" i="15"/>
  <c r="T380" i="15"/>
  <c r="S380" i="15"/>
  <c r="R380" i="15"/>
  <c r="Q380" i="15"/>
  <c r="P380" i="15"/>
  <c r="N380" i="15"/>
  <c r="M380" i="15"/>
  <c r="O380" i="15"/>
  <c r="K380" i="15"/>
  <c r="J380" i="15"/>
  <c r="I380" i="15"/>
  <c r="H380" i="15"/>
  <c r="G380" i="15"/>
  <c r="U376" i="15"/>
  <c r="S376" i="15"/>
  <c r="T376" i="15"/>
  <c r="R376" i="15"/>
  <c r="P376" i="15"/>
  <c r="Q376" i="15"/>
  <c r="O376" i="15"/>
  <c r="N376" i="15"/>
  <c r="M376" i="15"/>
  <c r="K376" i="15"/>
  <c r="J376" i="15"/>
  <c r="I376" i="15"/>
  <c r="H376" i="15"/>
  <c r="G376" i="15"/>
  <c r="U372" i="15"/>
  <c r="T372" i="15"/>
  <c r="R372" i="15"/>
  <c r="S372" i="15"/>
  <c r="Q372" i="15"/>
  <c r="P372" i="15"/>
  <c r="N372" i="15"/>
  <c r="M372" i="15"/>
  <c r="O372" i="15"/>
  <c r="K372" i="15"/>
  <c r="J372" i="15"/>
  <c r="I372" i="15"/>
  <c r="H372" i="15"/>
  <c r="G372" i="15"/>
  <c r="S368" i="15"/>
  <c r="U368" i="15"/>
  <c r="T368" i="15"/>
  <c r="R368" i="15"/>
  <c r="Q368" i="15"/>
  <c r="P368" i="15"/>
  <c r="N368" i="15"/>
  <c r="M368" i="15"/>
  <c r="O368" i="15"/>
  <c r="K368" i="15"/>
  <c r="J368" i="15"/>
  <c r="I368" i="15"/>
  <c r="H368" i="15"/>
  <c r="G368" i="15"/>
  <c r="U364" i="15"/>
  <c r="T364" i="15"/>
  <c r="S364" i="15"/>
  <c r="R364" i="15"/>
  <c r="Q364" i="15"/>
  <c r="P364" i="15"/>
  <c r="N364" i="15"/>
  <c r="M364" i="15"/>
  <c r="O364" i="15"/>
  <c r="K364" i="15"/>
  <c r="J364" i="15"/>
  <c r="I364" i="15"/>
  <c r="H364" i="15"/>
  <c r="G364" i="15"/>
  <c r="U360" i="15"/>
  <c r="T360" i="15"/>
  <c r="S360" i="15"/>
  <c r="R360" i="15"/>
  <c r="Q360" i="15"/>
  <c r="P360" i="15"/>
  <c r="O360" i="15"/>
  <c r="N360" i="15"/>
  <c r="M360" i="15"/>
  <c r="K360" i="15"/>
  <c r="J360" i="15"/>
  <c r="I360" i="15"/>
  <c r="H360" i="15"/>
  <c r="G360" i="15"/>
  <c r="U356" i="15"/>
  <c r="T356" i="15"/>
  <c r="S356" i="15"/>
  <c r="R356" i="15"/>
  <c r="P356" i="15"/>
  <c r="Q356" i="15"/>
  <c r="N356" i="15"/>
  <c r="M356" i="15"/>
  <c r="O356" i="15"/>
  <c r="K356" i="15"/>
  <c r="J356" i="15"/>
  <c r="I356" i="15"/>
  <c r="H356" i="15"/>
  <c r="G356" i="15"/>
  <c r="S352" i="15"/>
  <c r="T352" i="15"/>
  <c r="R352" i="15"/>
  <c r="U352" i="15"/>
  <c r="Q352" i="15"/>
  <c r="O352" i="15"/>
  <c r="P352" i="15"/>
  <c r="N352" i="15"/>
  <c r="M352" i="15"/>
  <c r="K352" i="15"/>
  <c r="J352" i="15"/>
  <c r="I352" i="15"/>
  <c r="H352" i="15"/>
  <c r="G352" i="15"/>
  <c r="U348" i="15"/>
  <c r="S348" i="15"/>
  <c r="R348" i="15"/>
  <c r="T348" i="15"/>
  <c r="Q348" i="15"/>
  <c r="O348" i="15"/>
  <c r="P348" i="15"/>
  <c r="N348" i="15"/>
  <c r="M348" i="15"/>
  <c r="K348" i="15"/>
  <c r="J348" i="15"/>
  <c r="I348" i="15"/>
  <c r="H348" i="15"/>
  <c r="G348" i="15"/>
  <c r="U344" i="15"/>
  <c r="T344" i="15"/>
  <c r="S344" i="15"/>
  <c r="R344" i="15"/>
  <c r="P344" i="15"/>
  <c r="O344" i="15"/>
  <c r="Q344" i="15"/>
  <c r="N344" i="15"/>
  <c r="M344" i="15"/>
  <c r="K344" i="15"/>
  <c r="J344" i="15"/>
  <c r="I344" i="15"/>
  <c r="H344" i="15"/>
  <c r="G344" i="15"/>
  <c r="U340" i="15"/>
  <c r="T340" i="15"/>
  <c r="S340" i="15"/>
  <c r="R340" i="15"/>
  <c r="Q340" i="15"/>
  <c r="P340" i="15"/>
  <c r="O340" i="15"/>
  <c r="N340" i="15"/>
  <c r="M340" i="15"/>
  <c r="K340" i="15"/>
  <c r="J340" i="15"/>
  <c r="I340" i="15"/>
  <c r="H340" i="15"/>
  <c r="G340" i="15"/>
  <c r="S336" i="15"/>
  <c r="U336" i="15"/>
  <c r="T336" i="15"/>
  <c r="R336" i="15"/>
  <c r="Q336" i="15"/>
  <c r="O336" i="15"/>
  <c r="P336" i="15"/>
  <c r="N336" i="15"/>
  <c r="M336" i="15"/>
  <c r="K336" i="15"/>
  <c r="J336" i="15"/>
  <c r="I336" i="15"/>
  <c r="H336" i="15"/>
  <c r="G336" i="15"/>
  <c r="T332" i="15"/>
  <c r="U332" i="15"/>
  <c r="R332" i="15"/>
  <c r="S332" i="15"/>
  <c r="Q332" i="15"/>
  <c r="O332" i="15"/>
  <c r="P332" i="15"/>
  <c r="N332" i="15"/>
  <c r="M332" i="15"/>
  <c r="K332" i="15"/>
  <c r="J332" i="15"/>
  <c r="I332" i="15"/>
  <c r="H332" i="15"/>
  <c r="G332" i="15"/>
  <c r="U328" i="15"/>
  <c r="T328" i="15"/>
  <c r="S328" i="15"/>
  <c r="R328" i="15"/>
  <c r="Q328" i="15"/>
  <c r="P328" i="15"/>
  <c r="O328" i="15"/>
  <c r="N328" i="15"/>
  <c r="M328" i="15"/>
  <c r="K328" i="15"/>
  <c r="J328" i="15"/>
  <c r="I328" i="15"/>
  <c r="H328" i="15"/>
  <c r="G328" i="15"/>
  <c r="U324" i="15"/>
  <c r="T324" i="15"/>
  <c r="R324" i="15"/>
  <c r="S324" i="15"/>
  <c r="P324" i="15"/>
  <c r="O324" i="15"/>
  <c r="Q324" i="15"/>
  <c r="N324" i="15"/>
  <c r="M324" i="15"/>
  <c r="K324" i="15"/>
  <c r="J324" i="15"/>
  <c r="I324" i="15"/>
  <c r="H324" i="15"/>
  <c r="G324" i="15"/>
  <c r="U320" i="15"/>
  <c r="S320" i="15"/>
  <c r="T320" i="15"/>
  <c r="R320" i="15"/>
  <c r="Q320" i="15"/>
  <c r="O320" i="15"/>
  <c r="P320" i="15"/>
  <c r="N320" i="15"/>
  <c r="M320" i="15"/>
  <c r="K320" i="15"/>
  <c r="J320" i="15"/>
  <c r="I320" i="15"/>
  <c r="H320" i="15"/>
  <c r="G320" i="15"/>
  <c r="T316" i="15"/>
  <c r="U316" i="15"/>
  <c r="S316" i="15"/>
  <c r="R316" i="15"/>
  <c r="Q316" i="15"/>
  <c r="O316" i="15"/>
  <c r="P316" i="15"/>
  <c r="N316" i="15"/>
  <c r="M316" i="15"/>
  <c r="K316" i="15"/>
  <c r="J316" i="15"/>
  <c r="I316" i="15"/>
  <c r="H316" i="15"/>
  <c r="G316" i="15"/>
  <c r="U312" i="15"/>
  <c r="T312" i="15"/>
  <c r="S312" i="15"/>
  <c r="R312" i="15"/>
  <c r="P312" i="15"/>
  <c r="O312" i="15"/>
  <c r="Q312" i="15"/>
  <c r="N312" i="15"/>
  <c r="M312" i="15"/>
  <c r="K312" i="15"/>
  <c r="J312" i="15"/>
  <c r="I312" i="15"/>
  <c r="H312" i="15"/>
  <c r="G312" i="15"/>
  <c r="U308" i="15"/>
  <c r="T308" i="15"/>
  <c r="S308" i="15"/>
  <c r="R308" i="15"/>
  <c r="Q308" i="15"/>
  <c r="P308" i="15"/>
  <c r="O308" i="15"/>
  <c r="N308" i="15"/>
  <c r="M308" i="15"/>
  <c r="K308" i="15"/>
  <c r="J308" i="15"/>
  <c r="I308" i="15"/>
  <c r="H308" i="15"/>
  <c r="G308" i="15"/>
  <c r="S304" i="15"/>
  <c r="U304" i="15"/>
  <c r="T304" i="15"/>
  <c r="R304" i="15"/>
  <c r="Q304" i="15"/>
  <c r="O304" i="15"/>
  <c r="P304" i="15"/>
  <c r="N304" i="15"/>
  <c r="M304" i="15"/>
  <c r="K304" i="15"/>
  <c r="J304" i="15"/>
  <c r="I304" i="15"/>
  <c r="H304" i="15"/>
  <c r="G304" i="15"/>
  <c r="U300" i="15"/>
  <c r="T300" i="15"/>
  <c r="S300" i="15"/>
  <c r="R300" i="15"/>
  <c r="Q300" i="15"/>
  <c r="O300" i="15"/>
  <c r="P300" i="15"/>
  <c r="N300" i="15"/>
  <c r="M300" i="15"/>
  <c r="K300" i="15"/>
  <c r="J300" i="15"/>
  <c r="I300" i="15"/>
  <c r="H300" i="15"/>
  <c r="G300" i="15"/>
  <c r="U296" i="15"/>
  <c r="T296" i="15"/>
  <c r="S296" i="15"/>
  <c r="R296" i="15"/>
  <c r="Q296" i="15"/>
  <c r="P296" i="15"/>
  <c r="O296" i="15"/>
  <c r="N296" i="15"/>
  <c r="M296" i="15"/>
  <c r="K296" i="15"/>
  <c r="J296" i="15"/>
  <c r="I296" i="15"/>
  <c r="H296" i="15"/>
  <c r="G296" i="15"/>
  <c r="U292" i="15"/>
  <c r="T292" i="15"/>
  <c r="S292" i="15"/>
  <c r="R292" i="15"/>
  <c r="Q292" i="15"/>
  <c r="O292" i="15"/>
  <c r="P292" i="15"/>
  <c r="N292" i="15"/>
  <c r="M292" i="15"/>
  <c r="K292" i="15"/>
  <c r="J292" i="15"/>
  <c r="I292" i="15"/>
  <c r="H292" i="15"/>
  <c r="G292" i="15"/>
  <c r="S288" i="15"/>
  <c r="U288" i="15"/>
  <c r="T288" i="15"/>
  <c r="R288" i="15"/>
  <c r="Q288" i="15"/>
  <c r="P288" i="15"/>
  <c r="O288" i="15"/>
  <c r="N288" i="15"/>
  <c r="M288" i="15"/>
  <c r="K288" i="15"/>
  <c r="J288" i="15"/>
  <c r="I288" i="15"/>
  <c r="H288" i="15"/>
  <c r="G288" i="15"/>
  <c r="U284" i="15"/>
  <c r="T284" i="15"/>
  <c r="S284" i="15"/>
  <c r="R284" i="15"/>
  <c r="P284" i="15"/>
  <c r="Q284" i="15"/>
  <c r="O284" i="15"/>
  <c r="N284" i="15"/>
  <c r="M284" i="15"/>
  <c r="K284" i="15"/>
  <c r="J284" i="15"/>
  <c r="I284" i="15"/>
  <c r="H284" i="15"/>
  <c r="G284" i="15"/>
  <c r="T280" i="15"/>
  <c r="S280" i="15"/>
  <c r="U280" i="15"/>
  <c r="R280" i="15"/>
  <c r="Q280" i="15"/>
  <c r="O280" i="15"/>
  <c r="P280" i="15"/>
  <c r="N280" i="15"/>
  <c r="M280" i="15"/>
  <c r="K280" i="15"/>
  <c r="J280" i="15"/>
  <c r="I280" i="15"/>
  <c r="H280" i="15"/>
  <c r="G280" i="15"/>
  <c r="U276" i="15"/>
  <c r="T276" i="15"/>
  <c r="S276" i="15"/>
  <c r="R276" i="15"/>
  <c r="P276" i="15"/>
  <c r="O276" i="15"/>
  <c r="Q276" i="15"/>
  <c r="N276" i="15"/>
  <c r="M276" i="15"/>
  <c r="K276" i="15"/>
  <c r="J276" i="15"/>
  <c r="I276" i="15"/>
  <c r="H276" i="15"/>
  <c r="G276" i="15"/>
  <c r="S272" i="15"/>
  <c r="U272" i="15"/>
  <c r="T272" i="15"/>
  <c r="R272" i="15"/>
  <c r="Q272" i="15"/>
  <c r="O272" i="15"/>
  <c r="P272" i="15"/>
  <c r="N272" i="15"/>
  <c r="M272" i="15"/>
  <c r="K272" i="15"/>
  <c r="J272" i="15"/>
  <c r="I272" i="15"/>
  <c r="H272" i="15"/>
  <c r="G272" i="15"/>
  <c r="U268" i="15"/>
  <c r="T268" i="15"/>
  <c r="S268" i="15"/>
  <c r="R268" i="15"/>
  <c r="P268" i="15"/>
  <c r="Q268" i="15"/>
  <c r="O268" i="15"/>
  <c r="N268" i="15"/>
  <c r="M268" i="15"/>
  <c r="K268" i="15"/>
  <c r="J268" i="15"/>
  <c r="I268" i="15"/>
  <c r="H268" i="15"/>
  <c r="G268" i="15"/>
  <c r="U264" i="15"/>
  <c r="T264" i="15"/>
  <c r="S264" i="15"/>
  <c r="R264" i="15"/>
  <c r="Q264" i="15"/>
  <c r="O264" i="15"/>
  <c r="P264" i="15"/>
  <c r="N264" i="15"/>
  <c r="M264" i="15"/>
  <c r="K264" i="15"/>
  <c r="J264" i="15"/>
  <c r="I264" i="15"/>
  <c r="H264" i="15"/>
  <c r="G264" i="15"/>
  <c r="U260" i="15"/>
  <c r="T260" i="15"/>
  <c r="R260" i="15"/>
  <c r="S260" i="15"/>
  <c r="P260" i="15"/>
  <c r="O260" i="15"/>
  <c r="Q260" i="15"/>
  <c r="N260" i="15"/>
  <c r="M260" i="15"/>
  <c r="K260" i="15"/>
  <c r="J260" i="15"/>
  <c r="I260" i="15"/>
  <c r="H260" i="15"/>
  <c r="G260" i="15"/>
  <c r="U256" i="15"/>
  <c r="S256" i="15"/>
  <c r="T256" i="15"/>
  <c r="R256" i="15"/>
  <c r="Q256" i="15"/>
  <c r="O256" i="15"/>
  <c r="P256" i="15"/>
  <c r="N256" i="15"/>
  <c r="M256" i="15"/>
  <c r="K256" i="15"/>
  <c r="J256" i="15"/>
  <c r="I256" i="15"/>
  <c r="H256" i="15"/>
  <c r="G256" i="15"/>
  <c r="U252" i="15"/>
  <c r="S252" i="15"/>
  <c r="T252" i="15"/>
  <c r="R252" i="15"/>
  <c r="P252" i="15"/>
  <c r="Q252" i="15"/>
  <c r="O252" i="15"/>
  <c r="N252" i="15"/>
  <c r="M252" i="15"/>
  <c r="K252" i="15"/>
  <c r="J252" i="15"/>
  <c r="I252" i="15"/>
  <c r="H252" i="15"/>
  <c r="G252" i="15"/>
  <c r="U248" i="15"/>
  <c r="S248" i="15"/>
  <c r="T248" i="15"/>
  <c r="R248" i="15"/>
  <c r="Q248" i="15"/>
  <c r="P248" i="15"/>
  <c r="O248" i="15"/>
  <c r="N248" i="15"/>
  <c r="M248" i="15"/>
  <c r="K248" i="15"/>
  <c r="J248" i="15"/>
  <c r="I248" i="15"/>
  <c r="H248" i="15"/>
  <c r="G248" i="15"/>
  <c r="U244" i="15"/>
  <c r="T244" i="15"/>
  <c r="R244" i="15"/>
  <c r="S244" i="15"/>
  <c r="Q244" i="15"/>
  <c r="O244" i="15"/>
  <c r="P244" i="15"/>
  <c r="N244" i="15"/>
  <c r="M244" i="15"/>
  <c r="K244" i="15"/>
  <c r="J244" i="15"/>
  <c r="I244" i="15"/>
  <c r="H244" i="15"/>
  <c r="G244" i="15"/>
  <c r="S240" i="15"/>
  <c r="U240" i="15"/>
  <c r="T240" i="15"/>
  <c r="R240" i="15"/>
  <c r="Q240" i="15"/>
  <c r="P240" i="15"/>
  <c r="O240" i="15"/>
  <c r="N240" i="15"/>
  <c r="M240" i="15"/>
  <c r="K240" i="15"/>
  <c r="J240" i="15"/>
  <c r="I240" i="15"/>
  <c r="H240" i="15"/>
  <c r="G240" i="15"/>
  <c r="U236" i="15"/>
  <c r="T236" i="15"/>
  <c r="S236" i="15"/>
  <c r="R236" i="15"/>
  <c r="P236" i="15"/>
  <c r="Q236" i="15"/>
  <c r="O236" i="15"/>
  <c r="N236" i="15"/>
  <c r="M236" i="15"/>
  <c r="K236" i="15"/>
  <c r="J236" i="15"/>
  <c r="I236" i="15"/>
  <c r="H236" i="15"/>
  <c r="G236" i="15"/>
  <c r="U232" i="15"/>
  <c r="T232" i="15"/>
  <c r="S232" i="15"/>
  <c r="R232" i="15"/>
  <c r="Q232" i="15"/>
  <c r="P232" i="15"/>
  <c r="O232" i="15"/>
  <c r="N232" i="15"/>
  <c r="M232" i="15"/>
  <c r="K232" i="15"/>
  <c r="J232" i="15"/>
  <c r="I232" i="15"/>
  <c r="H232" i="15"/>
  <c r="G232" i="15"/>
  <c r="T228" i="15"/>
  <c r="U228" i="15"/>
  <c r="S228" i="15"/>
  <c r="R228" i="15"/>
  <c r="Q228" i="15"/>
  <c r="O228" i="15"/>
  <c r="P228" i="15"/>
  <c r="N228" i="15"/>
  <c r="M228" i="15"/>
  <c r="K228" i="15"/>
  <c r="J228" i="15"/>
  <c r="I228" i="15"/>
  <c r="H228" i="15"/>
  <c r="G228" i="15"/>
  <c r="U224" i="15"/>
  <c r="S224" i="15"/>
  <c r="T224" i="15"/>
  <c r="R224" i="15"/>
  <c r="Q224" i="15"/>
  <c r="P224" i="15"/>
  <c r="O224" i="15"/>
  <c r="N224" i="15"/>
  <c r="M224" i="15"/>
  <c r="K224" i="15"/>
  <c r="J224" i="15"/>
  <c r="I224" i="15"/>
  <c r="H224" i="15"/>
  <c r="G224" i="15"/>
  <c r="S220" i="15"/>
  <c r="T220" i="15"/>
  <c r="U220" i="15"/>
  <c r="R220" i="15"/>
  <c r="P220" i="15"/>
  <c r="Q220" i="15"/>
  <c r="O220" i="15"/>
  <c r="N220" i="15"/>
  <c r="M220" i="15"/>
  <c r="K220" i="15"/>
  <c r="J220" i="15"/>
  <c r="I220" i="15"/>
  <c r="H220" i="15"/>
  <c r="G220" i="15"/>
  <c r="U216" i="15"/>
  <c r="S216" i="15"/>
  <c r="R216" i="15"/>
  <c r="T216" i="15"/>
  <c r="Q216" i="15"/>
  <c r="O216" i="15"/>
  <c r="P216" i="15"/>
  <c r="N216" i="15"/>
  <c r="M216" i="15"/>
  <c r="K216" i="15"/>
  <c r="J216" i="15"/>
  <c r="I216" i="15"/>
  <c r="H216" i="15"/>
  <c r="G216" i="15"/>
  <c r="T212" i="15"/>
  <c r="S212" i="15"/>
  <c r="U212" i="15"/>
  <c r="R212" i="15"/>
  <c r="P212" i="15"/>
  <c r="O212" i="15"/>
  <c r="Q212" i="15"/>
  <c r="N212" i="15"/>
  <c r="M212" i="15"/>
  <c r="K212" i="15"/>
  <c r="J212" i="15"/>
  <c r="I212" i="15"/>
  <c r="H212" i="15"/>
  <c r="G212" i="15"/>
  <c r="U208" i="15"/>
  <c r="S208" i="15"/>
  <c r="T208" i="15"/>
  <c r="R208" i="15"/>
  <c r="Q208" i="15"/>
  <c r="O208" i="15"/>
  <c r="P208" i="15"/>
  <c r="N208" i="15"/>
  <c r="M208" i="15"/>
  <c r="K208" i="15"/>
  <c r="J208" i="15"/>
  <c r="I208" i="15"/>
  <c r="H208" i="15"/>
  <c r="G208" i="15"/>
  <c r="U204" i="15"/>
  <c r="T204" i="15"/>
  <c r="R204" i="15"/>
  <c r="S204" i="15"/>
  <c r="P204" i="15"/>
  <c r="Q204" i="15"/>
  <c r="O204" i="15"/>
  <c r="N204" i="15"/>
  <c r="M204" i="15"/>
  <c r="K204" i="15"/>
  <c r="J204" i="15"/>
  <c r="I204" i="15"/>
  <c r="H204" i="15"/>
  <c r="G204" i="15"/>
  <c r="T200" i="15"/>
  <c r="U200" i="15"/>
  <c r="S200" i="15"/>
  <c r="R200" i="15"/>
  <c r="P200" i="15"/>
  <c r="Q200" i="15"/>
  <c r="O200" i="15"/>
  <c r="N200" i="15"/>
  <c r="M200" i="15"/>
  <c r="K200" i="15"/>
  <c r="J200" i="15"/>
  <c r="I200" i="15"/>
  <c r="H200" i="15"/>
  <c r="G200" i="15"/>
  <c r="U196" i="15"/>
  <c r="T196" i="15"/>
  <c r="R196" i="15"/>
  <c r="S196" i="15"/>
  <c r="O196" i="15"/>
  <c r="P196" i="15"/>
  <c r="Q196" i="15"/>
  <c r="N196" i="15"/>
  <c r="M196" i="15"/>
  <c r="K196" i="15"/>
  <c r="J196" i="15"/>
  <c r="I196" i="15"/>
  <c r="H196" i="15"/>
  <c r="G196" i="15"/>
  <c r="U192" i="15"/>
  <c r="S192" i="15"/>
  <c r="T192" i="15"/>
  <c r="R192" i="15"/>
  <c r="Q192" i="15"/>
  <c r="P192" i="15"/>
  <c r="O192" i="15"/>
  <c r="N192" i="15"/>
  <c r="M192" i="15"/>
  <c r="K192" i="15"/>
  <c r="J192" i="15"/>
  <c r="I192" i="15"/>
  <c r="H192" i="15"/>
  <c r="G192" i="15"/>
  <c r="U188" i="15"/>
  <c r="T188" i="15"/>
  <c r="S188" i="15"/>
  <c r="R188" i="15"/>
  <c r="P188" i="15"/>
  <c r="Q188" i="15"/>
  <c r="O188" i="15"/>
  <c r="N188" i="15"/>
  <c r="M188" i="15"/>
  <c r="K188" i="15"/>
  <c r="J188" i="15"/>
  <c r="I188" i="15"/>
  <c r="H188" i="15"/>
  <c r="G188" i="15"/>
  <c r="U184" i="15"/>
  <c r="S184" i="15"/>
  <c r="T184" i="15"/>
  <c r="R184" i="15"/>
  <c r="P184" i="15"/>
  <c r="Q184" i="15"/>
  <c r="O184" i="15"/>
  <c r="N184" i="15"/>
  <c r="M184" i="15"/>
  <c r="K184" i="15"/>
  <c r="J184" i="15"/>
  <c r="I184" i="15"/>
  <c r="H184" i="15"/>
  <c r="G184" i="15"/>
  <c r="T180" i="15"/>
  <c r="U180" i="15"/>
  <c r="S180" i="15"/>
  <c r="R180" i="15"/>
  <c r="Q180" i="15"/>
  <c r="P180" i="15"/>
  <c r="O180" i="15"/>
  <c r="N180" i="15"/>
  <c r="M180" i="15"/>
  <c r="K180" i="15"/>
  <c r="J180" i="15"/>
  <c r="I180" i="15"/>
  <c r="H180" i="15"/>
  <c r="G180" i="15"/>
  <c r="U176" i="15"/>
  <c r="S176" i="15"/>
  <c r="R176" i="15"/>
  <c r="T176" i="15"/>
  <c r="Q176" i="15"/>
  <c r="O176" i="15"/>
  <c r="P176" i="15"/>
  <c r="N176" i="15"/>
  <c r="M176" i="15"/>
  <c r="K176" i="15"/>
  <c r="J176" i="15"/>
  <c r="I176" i="15"/>
  <c r="H176" i="15"/>
  <c r="G176" i="15"/>
  <c r="T172" i="15"/>
  <c r="S172" i="15"/>
  <c r="U172" i="15"/>
  <c r="R172" i="15"/>
  <c r="P172" i="15"/>
  <c r="Q172" i="15"/>
  <c r="O172" i="15"/>
  <c r="N172" i="15"/>
  <c r="M172" i="15"/>
  <c r="K172" i="15"/>
  <c r="J172" i="15"/>
  <c r="I172" i="15"/>
  <c r="H172" i="15"/>
  <c r="G172" i="15"/>
  <c r="U168" i="15"/>
  <c r="T168" i="15"/>
  <c r="S168" i="15"/>
  <c r="P168" i="15"/>
  <c r="R168" i="15"/>
  <c r="Q168" i="15"/>
  <c r="O168" i="15"/>
  <c r="N168" i="15"/>
  <c r="M168" i="15"/>
  <c r="K168" i="15"/>
  <c r="J168" i="15"/>
  <c r="I168" i="15"/>
  <c r="H168" i="15"/>
  <c r="G168" i="15"/>
  <c r="T164" i="15"/>
  <c r="U164" i="15"/>
  <c r="S164" i="15"/>
  <c r="R164" i="15"/>
  <c r="Q164" i="15"/>
  <c r="O164" i="15"/>
  <c r="P164" i="15"/>
  <c r="N164" i="15"/>
  <c r="M164" i="15"/>
  <c r="K164" i="15"/>
  <c r="J164" i="15"/>
  <c r="I164" i="15"/>
  <c r="H164" i="15"/>
  <c r="G164" i="15"/>
  <c r="U160" i="15"/>
  <c r="S160" i="15"/>
  <c r="R160" i="15"/>
  <c r="Q160" i="15"/>
  <c r="T160" i="15"/>
  <c r="P160" i="15"/>
  <c r="O160" i="15"/>
  <c r="N160" i="15"/>
  <c r="M160" i="15"/>
  <c r="K160" i="15"/>
  <c r="J160" i="15"/>
  <c r="I160" i="15"/>
  <c r="H160" i="15"/>
  <c r="G160" i="15"/>
  <c r="S156" i="15"/>
  <c r="U156" i="15"/>
  <c r="T156" i="15"/>
  <c r="R156" i="15"/>
  <c r="P156" i="15"/>
  <c r="Q156" i="15"/>
  <c r="O156" i="15"/>
  <c r="N156" i="15"/>
  <c r="M156" i="15"/>
  <c r="K156" i="15"/>
  <c r="J156" i="15"/>
  <c r="I156" i="15"/>
  <c r="H156" i="15"/>
  <c r="G156" i="15"/>
  <c r="U152" i="15"/>
  <c r="T152" i="15"/>
  <c r="S152" i="15"/>
  <c r="R152" i="15"/>
  <c r="P152" i="15"/>
  <c r="Q152" i="15"/>
  <c r="O152" i="15"/>
  <c r="N152" i="15"/>
  <c r="M152" i="15"/>
  <c r="K152" i="15"/>
  <c r="J152" i="15"/>
  <c r="I152" i="15"/>
  <c r="H152" i="15"/>
  <c r="G152" i="15"/>
  <c r="R148" i="15"/>
  <c r="Q148" i="15"/>
  <c r="P148" i="15"/>
  <c r="O148" i="15"/>
  <c r="N148" i="15"/>
  <c r="M148" i="15"/>
  <c r="K148" i="15"/>
  <c r="J148" i="15"/>
  <c r="I148" i="15"/>
  <c r="H148" i="15"/>
  <c r="G148" i="15"/>
  <c r="Q144" i="15"/>
  <c r="R144" i="15"/>
  <c r="O144" i="15"/>
  <c r="P144" i="15"/>
  <c r="N144" i="15"/>
  <c r="M144" i="15"/>
  <c r="K144" i="15"/>
  <c r="J144" i="15"/>
  <c r="I144" i="15"/>
  <c r="H144" i="15"/>
  <c r="G144" i="15"/>
  <c r="Q140" i="15"/>
  <c r="R140" i="15"/>
  <c r="P140" i="15"/>
  <c r="O140" i="15"/>
  <c r="N140" i="15"/>
  <c r="M140" i="15"/>
  <c r="K140" i="15"/>
  <c r="J140" i="15"/>
  <c r="I140" i="15"/>
  <c r="H140" i="15"/>
  <c r="G140" i="15"/>
  <c r="R136" i="15"/>
  <c r="Q136" i="15"/>
  <c r="P136" i="15"/>
  <c r="O136" i="15"/>
  <c r="N136" i="15"/>
  <c r="M136" i="15"/>
  <c r="K136" i="15"/>
  <c r="J136" i="15"/>
  <c r="I136" i="15"/>
  <c r="H136" i="15"/>
  <c r="G136" i="15"/>
  <c r="R132" i="15"/>
  <c r="Q132" i="15"/>
  <c r="O132" i="15"/>
  <c r="P132" i="15"/>
  <c r="N132" i="15"/>
  <c r="M132" i="15"/>
  <c r="K132" i="15"/>
  <c r="J132" i="15"/>
  <c r="I132" i="15"/>
  <c r="H132" i="15"/>
  <c r="G132" i="15"/>
  <c r="Q128" i="15"/>
  <c r="R128" i="15"/>
  <c r="P128" i="15"/>
  <c r="O128" i="15"/>
  <c r="N128" i="15"/>
  <c r="M128" i="15"/>
  <c r="K128" i="15"/>
  <c r="J128" i="15"/>
  <c r="I128" i="15"/>
  <c r="H128" i="15"/>
  <c r="G128" i="15"/>
  <c r="Q124" i="15"/>
  <c r="R124" i="15"/>
  <c r="P124" i="15"/>
  <c r="O124" i="15"/>
  <c r="N124" i="15"/>
  <c r="M124" i="15"/>
  <c r="K124" i="15"/>
  <c r="J124" i="15"/>
  <c r="I124" i="15"/>
  <c r="H124" i="15"/>
  <c r="G124" i="15"/>
  <c r="Q120" i="15"/>
  <c r="R120" i="15"/>
  <c r="P120" i="15"/>
  <c r="O120" i="15"/>
  <c r="N120" i="15"/>
  <c r="M120" i="15"/>
  <c r="K120" i="15"/>
  <c r="J120" i="15"/>
  <c r="I120" i="15"/>
  <c r="H120" i="15"/>
  <c r="G120" i="15"/>
  <c r="R116" i="15"/>
  <c r="Q116" i="15"/>
  <c r="P116" i="15"/>
  <c r="O116" i="15"/>
  <c r="N116" i="15"/>
  <c r="M116" i="15"/>
  <c r="K116" i="15"/>
  <c r="J116" i="15"/>
  <c r="I116" i="15"/>
  <c r="H116" i="15"/>
  <c r="G116" i="15"/>
  <c r="Q112" i="15"/>
  <c r="R112" i="15"/>
  <c r="O112" i="15"/>
  <c r="P112" i="15"/>
  <c r="N112" i="15"/>
  <c r="M112" i="15"/>
  <c r="K112" i="15"/>
  <c r="J112" i="15"/>
  <c r="I112" i="15"/>
  <c r="H112" i="15"/>
  <c r="G112" i="15"/>
  <c r="Q108" i="15"/>
  <c r="R108" i="15"/>
  <c r="P108" i="15"/>
  <c r="O108" i="15"/>
  <c r="N108" i="15"/>
  <c r="M108" i="15"/>
  <c r="K108" i="15"/>
  <c r="J108" i="15"/>
  <c r="I108" i="15"/>
  <c r="H108" i="15"/>
  <c r="G108" i="15"/>
  <c r="Q104" i="15"/>
  <c r="P104" i="15"/>
  <c r="R104" i="15"/>
  <c r="O104" i="15"/>
  <c r="N104" i="15"/>
  <c r="M104" i="15"/>
  <c r="K104" i="15"/>
  <c r="J104" i="15"/>
  <c r="I104" i="15"/>
  <c r="H104" i="15"/>
  <c r="G104" i="15"/>
  <c r="R100" i="15"/>
  <c r="Q100" i="15"/>
  <c r="O100" i="15"/>
  <c r="P100" i="15"/>
  <c r="N100" i="15"/>
  <c r="M100" i="15"/>
  <c r="K100" i="15"/>
  <c r="J100" i="15"/>
  <c r="I100" i="15"/>
  <c r="H100" i="15"/>
  <c r="G100" i="15"/>
  <c r="Q96" i="15"/>
  <c r="R96" i="15"/>
  <c r="P96" i="15"/>
  <c r="O96" i="15"/>
  <c r="N96" i="15"/>
  <c r="M96" i="15"/>
  <c r="K96" i="15"/>
  <c r="J96" i="15"/>
  <c r="I96" i="15"/>
  <c r="H96" i="15"/>
  <c r="G96" i="15"/>
  <c r="Q92" i="15"/>
  <c r="R92" i="15"/>
  <c r="P92" i="15"/>
  <c r="O92" i="15"/>
  <c r="N92" i="15"/>
  <c r="M92" i="15"/>
  <c r="K92" i="15"/>
  <c r="J92" i="15"/>
  <c r="I92" i="15"/>
  <c r="H92" i="15"/>
  <c r="G92" i="15"/>
  <c r="R88" i="15"/>
  <c r="Q88" i="15"/>
  <c r="P88" i="15"/>
  <c r="O88" i="15"/>
  <c r="N88" i="15"/>
  <c r="M88" i="15"/>
  <c r="K88" i="15"/>
  <c r="J88" i="15"/>
  <c r="I88" i="15"/>
  <c r="H88" i="15"/>
  <c r="G88" i="15"/>
  <c r="R84" i="15"/>
  <c r="Q84" i="15"/>
  <c r="P84" i="15"/>
  <c r="O84" i="15"/>
  <c r="N84" i="15"/>
  <c r="M84" i="15"/>
  <c r="K84" i="15"/>
  <c r="J84" i="15"/>
  <c r="H84" i="15"/>
  <c r="G84" i="15"/>
  <c r="I84" i="15"/>
  <c r="Q80" i="15"/>
  <c r="R80" i="15"/>
  <c r="O80" i="15"/>
  <c r="P80" i="15"/>
  <c r="N80" i="15"/>
  <c r="M80" i="15"/>
  <c r="K80" i="15"/>
  <c r="J80" i="15"/>
  <c r="H80" i="15"/>
  <c r="G80" i="15"/>
  <c r="I80" i="15"/>
  <c r="Q76" i="15"/>
  <c r="R76" i="15"/>
  <c r="P76" i="15"/>
  <c r="O76" i="15"/>
  <c r="N76" i="15"/>
  <c r="M76" i="15"/>
  <c r="K76" i="15"/>
  <c r="J76" i="15"/>
  <c r="I76" i="15"/>
  <c r="H76" i="15"/>
  <c r="G76" i="15"/>
  <c r="R72" i="15"/>
  <c r="Q72" i="15"/>
  <c r="P72" i="15"/>
  <c r="O72" i="15"/>
  <c r="N72" i="15"/>
  <c r="M72" i="15"/>
  <c r="K72" i="15"/>
  <c r="J72" i="15"/>
  <c r="H72" i="15"/>
  <c r="G72" i="15"/>
  <c r="I72" i="15"/>
  <c r="R68" i="15"/>
  <c r="Q68" i="15"/>
  <c r="O68" i="15"/>
  <c r="P68" i="15"/>
  <c r="N68" i="15"/>
  <c r="M68" i="15"/>
  <c r="K68" i="15"/>
  <c r="J68" i="15"/>
  <c r="I68" i="15"/>
  <c r="H68" i="15"/>
  <c r="G68" i="15"/>
  <c r="Q64" i="15"/>
  <c r="R64" i="15"/>
  <c r="P64" i="15"/>
  <c r="O64" i="15"/>
  <c r="N64" i="15"/>
  <c r="M64" i="15"/>
  <c r="K64" i="15"/>
  <c r="J64" i="15"/>
  <c r="H64" i="15"/>
  <c r="G64" i="15"/>
  <c r="I64" i="15"/>
  <c r="R60" i="15"/>
  <c r="Q60" i="15"/>
  <c r="P60" i="15"/>
  <c r="O60" i="15"/>
  <c r="N60" i="15"/>
  <c r="M60" i="15"/>
  <c r="K60" i="15"/>
  <c r="J60" i="15"/>
  <c r="I60" i="15"/>
  <c r="H60" i="15"/>
  <c r="G60" i="15"/>
  <c r="Q56" i="15"/>
  <c r="P56" i="15"/>
  <c r="R56" i="15"/>
  <c r="O56" i="15"/>
  <c r="N56" i="15"/>
  <c r="M56" i="15"/>
  <c r="K56" i="15"/>
  <c r="J56" i="15"/>
  <c r="H56" i="15"/>
  <c r="G56" i="15"/>
  <c r="I56" i="15"/>
  <c r="R52" i="15"/>
  <c r="Q52" i="15"/>
  <c r="P52" i="15"/>
  <c r="O52" i="15"/>
  <c r="N52" i="15"/>
  <c r="M52" i="15"/>
  <c r="K52" i="15"/>
  <c r="J52" i="15"/>
  <c r="I52" i="15"/>
  <c r="H52" i="15"/>
  <c r="G52" i="15"/>
  <c r="Q48" i="15"/>
  <c r="R48" i="15"/>
  <c r="O48" i="15"/>
  <c r="P48" i="15"/>
  <c r="N48" i="15"/>
  <c r="M48" i="15"/>
  <c r="K48" i="15"/>
  <c r="J48" i="15"/>
  <c r="H48" i="15"/>
  <c r="G48" i="15"/>
  <c r="I48" i="15"/>
  <c r="R44" i="15"/>
  <c r="Q44" i="15"/>
  <c r="P44" i="15"/>
  <c r="O44" i="15"/>
  <c r="N44" i="15"/>
  <c r="M44" i="15"/>
  <c r="K44" i="15"/>
  <c r="J44" i="15"/>
  <c r="I44" i="15"/>
  <c r="H44" i="15"/>
  <c r="G44" i="15"/>
  <c r="R40" i="15"/>
  <c r="Q40" i="15"/>
  <c r="P40" i="15"/>
  <c r="O40" i="15"/>
  <c r="N40" i="15"/>
  <c r="M40" i="15"/>
  <c r="K40" i="15"/>
  <c r="J40" i="15"/>
  <c r="H40" i="15"/>
  <c r="G40" i="15"/>
  <c r="I40" i="15"/>
  <c r="R36" i="15"/>
  <c r="Q36" i="15"/>
  <c r="O36" i="15"/>
  <c r="P36" i="15"/>
  <c r="N36" i="15"/>
  <c r="M36" i="15"/>
  <c r="K36" i="15"/>
  <c r="J36" i="15"/>
  <c r="I36" i="15"/>
  <c r="H36" i="15"/>
  <c r="G36" i="15"/>
  <c r="Q32" i="15"/>
  <c r="R32" i="15"/>
  <c r="P32" i="15"/>
  <c r="O32" i="15"/>
  <c r="N32" i="15"/>
  <c r="M32" i="15"/>
  <c r="K32" i="15"/>
  <c r="J32" i="15"/>
  <c r="H32" i="15"/>
  <c r="G32" i="15"/>
  <c r="I32" i="15"/>
  <c r="Q28" i="15"/>
  <c r="P28" i="15"/>
  <c r="R28" i="15"/>
  <c r="O28" i="15"/>
  <c r="N28" i="15"/>
  <c r="M28" i="15"/>
  <c r="K28" i="15"/>
  <c r="J28" i="15"/>
  <c r="I28" i="15"/>
  <c r="H28" i="15"/>
  <c r="G28" i="15"/>
  <c r="R24" i="15"/>
  <c r="Q24" i="15"/>
  <c r="P24" i="15"/>
  <c r="O24" i="15"/>
  <c r="N24" i="15"/>
  <c r="M24" i="15"/>
  <c r="K24" i="15"/>
  <c r="J24" i="15"/>
  <c r="I24" i="15"/>
  <c r="H24" i="15"/>
  <c r="G24" i="15"/>
  <c r="R20" i="15"/>
  <c r="Q20" i="15"/>
  <c r="P20" i="15"/>
  <c r="O20" i="15"/>
  <c r="N20" i="15"/>
  <c r="M20" i="15"/>
  <c r="K20" i="15"/>
  <c r="J20" i="15"/>
  <c r="I20" i="15"/>
  <c r="H20" i="15"/>
  <c r="G20" i="15"/>
  <c r="R16" i="15"/>
  <c r="Q16" i="15"/>
  <c r="O16" i="15"/>
  <c r="P16" i="15"/>
  <c r="N16" i="15"/>
  <c r="M16" i="15"/>
  <c r="K16" i="15"/>
  <c r="J16" i="15"/>
  <c r="I16" i="15"/>
  <c r="H16" i="15"/>
  <c r="G16" i="15"/>
  <c r="Q12" i="15"/>
  <c r="R12" i="15"/>
  <c r="P12" i="15"/>
  <c r="O12" i="15"/>
  <c r="N12" i="15"/>
  <c r="M12" i="15"/>
  <c r="K12" i="15"/>
  <c r="J12" i="15"/>
  <c r="I12" i="15"/>
  <c r="H12" i="15"/>
  <c r="G12" i="15"/>
  <c r="R8" i="15"/>
  <c r="Q8" i="15"/>
  <c r="P8" i="15"/>
  <c r="O8" i="15"/>
  <c r="N8" i="15"/>
  <c r="M8" i="15"/>
  <c r="K8" i="15"/>
  <c r="J8" i="15"/>
  <c r="I8" i="15"/>
  <c r="H8" i="15"/>
  <c r="G8" i="15"/>
  <c r="R4" i="15"/>
  <c r="Q4" i="15"/>
  <c r="O4" i="15"/>
  <c r="P4" i="15"/>
  <c r="N4" i="15"/>
  <c r="M4" i="15"/>
  <c r="K4" i="15"/>
  <c r="J4" i="15"/>
  <c r="I4" i="15"/>
  <c r="H4" i="15"/>
  <c r="G4" i="15"/>
  <c r="B412" i="15"/>
  <c r="B408" i="15"/>
  <c r="B404" i="15"/>
  <c r="B400" i="15"/>
  <c r="B396" i="15"/>
  <c r="B392" i="15"/>
  <c r="B388" i="15"/>
  <c r="B384" i="15"/>
  <c r="B380" i="15"/>
  <c r="B376" i="15"/>
  <c r="B372" i="15"/>
  <c r="B368" i="15"/>
  <c r="B364" i="15"/>
  <c r="B360" i="15"/>
  <c r="B356" i="15"/>
  <c r="B352" i="15"/>
  <c r="B348" i="15"/>
  <c r="B344" i="15"/>
  <c r="B340" i="15"/>
  <c r="B336" i="15"/>
  <c r="B332" i="15"/>
  <c r="B328" i="15"/>
  <c r="B324" i="15"/>
  <c r="B320" i="15"/>
  <c r="B316" i="15"/>
  <c r="B312" i="15"/>
  <c r="B308" i="15"/>
  <c r="B304" i="15"/>
  <c r="B300" i="15"/>
  <c r="B296" i="15"/>
  <c r="B292" i="15"/>
  <c r="B288" i="15"/>
  <c r="B284" i="15"/>
  <c r="B280" i="15"/>
  <c r="B276" i="15"/>
  <c r="B272" i="15"/>
  <c r="B268" i="15"/>
  <c r="B264" i="15"/>
  <c r="B260" i="15"/>
  <c r="B256" i="15"/>
  <c r="B252" i="15"/>
  <c r="B248" i="15"/>
  <c r="B244" i="15"/>
  <c r="B240" i="15"/>
  <c r="B236" i="15"/>
  <c r="B232" i="15"/>
  <c r="B228" i="15"/>
  <c r="B224" i="15"/>
  <c r="B220" i="15"/>
  <c r="B216" i="15"/>
  <c r="B212" i="15"/>
  <c r="B208" i="15"/>
  <c r="B204" i="15"/>
  <c r="B200" i="15"/>
  <c r="B196" i="15"/>
  <c r="B192" i="15"/>
  <c r="B188" i="15"/>
  <c r="B184" i="15"/>
  <c r="B180" i="15"/>
  <c r="B176" i="15"/>
  <c r="B172" i="15"/>
  <c r="B168" i="15"/>
  <c r="B164" i="15"/>
  <c r="B160" i="15"/>
  <c r="B156" i="15"/>
  <c r="B152" i="15"/>
  <c r="B148" i="15"/>
  <c r="B144" i="15"/>
  <c r="B140" i="15"/>
  <c r="B136" i="15"/>
  <c r="B132" i="15"/>
  <c r="B128" i="15"/>
  <c r="B124" i="15"/>
  <c r="B120" i="15"/>
  <c r="B116" i="15"/>
  <c r="B112" i="15"/>
  <c r="B108" i="15"/>
  <c r="B104" i="15"/>
  <c r="B100" i="15"/>
  <c r="B96" i="15"/>
  <c r="B92" i="15"/>
  <c r="B88" i="15"/>
  <c r="B84" i="15"/>
  <c r="B80" i="15"/>
  <c r="B76" i="15"/>
  <c r="B72" i="15"/>
  <c r="B68" i="15"/>
  <c r="B64" i="15"/>
  <c r="B60" i="15"/>
  <c r="B56" i="15"/>
  <c r="B52" i="15"/>
  <c r="B48" i="15"/>
  <c r="B44" i="15"/>
  <c r="B40" i="15"/>
  <c r="B36" i="15"/>
  <c r="B32" i="15"/>
  <c r="B28" i="15"/>
  <c r="B24" i="15"/>
  <c r="B20" i="15"/>
  <c r="B16" i="15"/>
  <c r="B12" i="15"/>
  <c r="B8" i="15"/>
  <c r="B4" i="15"/>
  <c r="C412" i="15"/>
  <c r="C408" i="15"/>
  <c r="C404" i="15"/>
  <c r="C400" i="15"/>
  <c r="C396" i="15"/>
  <c r="C392" i="15"/>
  <c r="C388" i="15"/>
  <c r="C384" i="15"/>
  <c r="C380" i="15"/>
  <c r="C376" i="15"/>
  <c r="C372" i="15"/>
  <c r="C368" i="15"/>
  <c r="C364" i="15"/>
  <c r="C360" i="15"/>
  <c r="C356" i="15"/>
  <c r="C352" i="15"/>
  <c r="C348" i="15"/>
  <c r="C344" i="15"/>
  <c r="C340" i="15"/>
  <c r="C336" i="15"/>
  <c r="C332" i="15"/>
  <c r="C328" i="15"/>
  <c r="C324" i="15"/>
  <c r="C320" i="15"/>
  <c r="C316" i="15"/>
  <c r="C312" i="15"/>
  <c r="C308" i="15"/>
  <c r="C304" i="15"/>
  <c r="C300" i="15"/>
  <c r="C296" i="15"/>
  <c r="C292" i="15"/>
  <c r="C288" i="15"/>
  <c r="C284" i="15"/>
  <c r="C280" i="15"/>
  <c r="C276" i="15"/>
  <c r="C272" i="15"/>
  <c r="C268" i="15"/>
  <c r="C264" i="15"/>
  <c r="C260" i="15"/>
  <c r="C256" i="15"/>
  <c r="C252" i="15"/>
  <c r="C248" i="15"/>
  <c r="C244" i="15"/>
  <c r="C240" i="15"/>
  <c r="C236" i="15"/>
  <c r="C232" i="15"/>
  <c r="C228" i="15"/>
  <c r="C224" i="15"/>
  <c r="C220" i="15"/>
  <c r="C216" i="15"/>
  <c r="C212" i="15"/>
  <c r="C208" i="15"/>
  <c r="C204" i="15"/>
  <c r="C200" i="15"/>
  <c r="C196" i="15"/>
  <c r="C192" i="15"/>
  <c r="C188" i="15"/>
  <c r="C184" i="15"/>
  <c r="C180" i="15"/>
  <c r="C176" i="15"/>
  <c r="C172" i="15"/>
  <c r="C168" i="15"/>
  <c r="C164" i="15"/>
  <c r="C160" i="15"/>
  <c r="C156" i="15"/>
  <c r="C152" i="15"/>
  <c r="C148" i="15"/>
  <c r="C144" i="15"/>
  <c r="C140" i="15"/>
  <c r="C136" i="15"/>
  <c r="C132" i="15"/>
  <c r="C128" i="15"/>
  <c r="C124" i="15"/>
  <c r="C120" i="15"/>
  <c r="C116" i="15"/>
  <c r="C112" i="15"/>
  <c r="C108" i="15"/>
  <c r="C104" i="15"/>
  <c r="C100" i="15"/>
  <c r="C96" i="15"/>
  <c r="C92" i="15"/>
  <c r="C88" i="15"/>
  <c r="C84" i="15"/>
  <c r="C80" i="15"/>
  <c r="C76" i="15"/>
  <c r="C72" i="15"/>
  <c r="C68" i="15"/>
  <c r="C64" i="15"/>
  <c r="C60" i="15"/>
  <c r="C56" i="15"/>
  <c r="C52" i="15"/>
  <c r="C48" i="15"/>
  <c r="C44" i="15"/>
  <c r="C40" i="15"/>
  <c r="C36" i="15"/>
  <c r="C32" i="15"/>
  <c r="C28" i="15"/>
  <c r="C24" i="15"/>
  <c r="C20" i="15"/>
  <c r="C16" i="15"/>
  <c r="C12" i="15"/>
  <c r="C8" i="15"/>
  <c r="C4" i="15"/>
  <c r="D412" i="15"/>
  <c r="D408" i="15"/>
  <c r="D404" i="15"/>
  <c r="D400" i="15"/>
  <c r="D396" i="15"/>
  <c r="D392" i="15"/>
  <c r="D388" i="15"/>
  <c r="D384" i="15"/>
  <c r="D380" i="15"/>
  <c r="D376" i="15"/>
  <c r="D372" i="15"/>
  <c r="D368" i="15"/>
  <c r="D364" i="15"/>
  <c r="D360" i="15"/>
  <c r="D356" i="15"/>
  <c r="D352" i="15"/>
  <c r="D348" i="15"/>
  <c r="D344" i="15"/>
  <c r="D340" i="15"/>
  <c r="D336" i="15"/>
  <c r="D332" i="15"/>
  <c r="D328" i="15"/>
  <c r="D324" i="15"/>
  <c r="D320" i="15"/>
  <c r="D316" i="15"/>
  <c r="D312" i="15"/>
  <c r="D308" i="15"/>
  <c r="D304" i="15"/>
  <c r="D300" i="15"/>
  <c r="D296" i="15"/>
  <c r="D292" i="15"/>
  <c r="D288" i="15"/>
  <c r="D284" i="15"/>
  <c r="D280" i="15"/>
  <c r="D276" i="15"/>
  <c r="D272" i="15"/>
  <c r="D268" i="15"/>
  <c r="D264" i="15"/>
  <c r="D260" i="15"/>
  <c r="D256" i="15"/>
  <c r="D252" i="15"/>
  <c r="D248" i="15"/>
  <c r="D244" i="15"/>
  <c r="D240" i="15"/>
  <c r="D236" i="15"/>
  <c r="D232" i="15"/>
  <c r="D228" i="15"/>
  <c r="D224" i="15"/>
  <c r="D220" i="15"/>
  <c r="D216" i="15"/>
  <c r="D212" i="15"/>
  <c r="D208" i="15"/>
  <c r="D204" i="15"/>
  <c r="D200" i="15"/>
  <c r="D196" i="15"/>
  <c r="D192" i="15"/>
  <c r="D188" i="15"/>
  <c r="D184" i="15"/>
  <c r="D180" i="15"/>
  <c r="D176" i="15"/>
  <c r="D172" i="15"/>
  <c r="D168" i="15"/>
  <c r="D164" i="15"/>
  <c r="D160" i="15"/>
  <c r="D156" i="15"/>
  <c r="D152" i="15"/>
  <c r="D148" i="15"/>
  <c r="D144" i="15"/>
  <c r="D140" i="15"/>
  <c r="D136" i="15"/>
  <c r="D132" i="15"/>
  <c r="S132" i="15" s="1"/>
  <c r="D128" i="15"/>
  <c r="D124" i="15"/>
  <c r="D120" i="15"/>
  <c r="D116" i="15"/>
  <c r="D112" i="15"/>
  <c r="D108" i="15"/>
  <c r="D104" i="15"/>
  <c r="D100" i="15"/>
  <c r="D96" i="15"/>
  <c r="D92" i="15"/>
  <c r="D88" i="15"/>
  <c r="S88" i="15" s="1"/>
  <c r="D84" i="15"/>
  <c r="D80" i="15"/>
  <c r="D76" i="15"/>
  <c r="D72" i="15"/>
  <c r="S72" i="15" s="1"/>
  <c r="D68" i="15"/>
  <c r="D64" i="15"/>
  <c r="D60" i="15"/>
  <c r="D56" i="15"/>
  <c r="D52" i="15"/>
  <c r="D48" i="15"/>
  <c r="D44" i="15"/>
  <c r="D40" i="15"/>
  <c r="D36" i="15"/>
  <c r="D32" i="15"/>
  <c r="D28" i="15"/>
  <c r="D24" i="15"/>
  <c r="D20" i="15"/>
  <c r="D16" i="15"/>
  <c r="D12" i="15"/>
  <c r="D8" i="15"/>
  <c r="D4" i="15"/>
  <c r="E412" i="15"/>
  <c r="E408" i="15"/>
  <c r="E404" i="15"/>
  <c r="E400" i="15"/>
  <c r="E396" i="15"/>
  <c r="E392" i="15"/>
  <c r="E388" i="15"/>
  <c r="E384" i="15"/>
  <c r="E380" i="15"/>
  <c r="E376" i="15"/>
  <c r="E372" i="15"/>
  <c r="E368" i="15"/>
  <c r="E364" i="15"/>
  <c r="E360" i="15"/>
  <c r="E356" i="15"/>
  <c r="E352" i="15"/>
  <c r="E348" i="15"/>
  <c r="E344" i="15"/>
  <c r="E340" i="15"/>
  <c r="E336" i="15"/>
  <c r="E332" i="15"/>
  <c r="E328" i="15"/>
  <c r="E324" i="15"/>
  <c r="E320" i="15"/>
  <c r="E316" i="15"/>
  <c r="E312" i="15"/>
  <c r="E308" i="15"/>
  <c r="E304" i="15"/>
  <c r="E300" i="15"/>
  <c r="E296" i="15"/>
  <c r="E292" i="15"/>
  <c r="E288" i="15"/>
  <c r="E284" i="15"/>
  <c r="E280" i="15"/>
  <c r="E276" i="15"/>
  <c r="E272" i="15"/>
  <c r="E268" i="15"/>
  <c r="E264" i="15"/>
  <c r="E260" i="15"/>
  <c r="E256" i="15"/>
  <c r="E252" i="15"/>
  <c r="E248" i="15"/>
  <c r="E244" i="15"/>
  <c r="E240" i="15"/>
  <c r="E236" i="15"/>
  <c r="E232" i="15"/>
  <c r="E228" i="15"/>
  <c r="E224" i="15"/>
  <c r="E220" i="15"/>
  <c r="E216" i="15"/>
  <c r="E212" i="15"/>
  <c r="E208" i="15"/>
  <c r="E204" i="15"/>
  <c r="E200" i="15"/>
  <c r="E196" i="15"/>
  <c r="E192" i="15"/>
  <c r="E188" i="15"/>
  <c r="E184" i="15"/>
  <c r="E180" i="15"/>
  <c r="E176" i="15"/>
  <c r="E172" i="15"/>
  <c r="E168" i="15"/>
  <c r="E164" i="15"/>
  <c r="E160" i="15"/>
  <c r="E156" i="15"/>
  <c r="E152" i="15"/>
  <c r="E148" i="15"/>
  <c r="E144" i="15"/>
  <c r="E140" i="15"/>
  <c r="E136" i="15"/>
  <c r="E132" i="15"/>
  <c r="E128" i="15"/>
  <c r="E124" i="15"/>
  <c r="E120" i="15"/>
  <c r="E116" i="15"/>
  <c r="E112" i="15"/>
  <c r="E108" i="15"/>
  <c r="E104" i="15"/>
  <c r="E100" i="15"/>
  <c r="E96" i="15"/>
  <c r="E92" i="15"/>
  <c r="E88" i="15"/>
  <c r="E84" i="15"/>
  <c r="E80" i="15"/>
  <c r="E76" i="15"/>
  <c r="E72" i="15"/>
  <c r="E68" i="15"/>
  <c r="E64" i="15"/>
  <c r="E60" i="15"/>
  <c r="E56" i="15"/>
  <c r="E52" i="15"/>
  <c r="E48" i="15"/>
  <c r="E44" i="15"/>
  <c r="E40" i="15"/>
  <c r="E36" i="15"/>
  <c r="E32" i="15"/>
  <c r="E28" i="15"/>
  <c r="E24" i="15"/>
  <c r="E20" i="15"/>
  <c r="E16" i="15"/>
  <c r="E12" i="15"/>
  <c r="E8" i="15"/>
  <c r="E4" i="15"/>
  <c r="F412" i="15"/>
  <c r="F408" i="15"/>
  <c r="F404" i="15"/>
  <c r="F400" i="15"/>
  <c r="F396" i="15"/>
  <c r="F392" i="15"/>
  <c r="F388" i="15"/>
  <c r="F384" i="15"/>
  <c r="F380" i="15"/>
  <c r="F376" i="15"/>
  <c r="F372" i="15"/>
  <c r="F368" i="15"/>
  <c r="F364" i="15"/>
  <c r="F360" i="15"/>
  <c r="F356" i="15"/>
  <c r="F352" i="15"/>
  <c r="F348" i="15"/>
  <c r="F344" i="15"/>
  <c r="F340" i="15"/>
  <c r="F336" i="15"/>
  <c r="F332" i="15"/>
  <c r="F328" i="15"/>
  <c r="F324" i="15"/>
  <c r="F320" i="15"/>
  <c r="F316" i="15"/>
  <c r="F312" i="15"/>
  <c r="F308" i="15"/>
  <c r="F304" i="15"/>
  <c r="F300" i="15"/>
  <c r="F296" i="15"/>
  <c r="F292" i="15"/>
  <c r="F288" i="15"/>
  <c r="F284" i="15"/>
  <c r="F280" i="15"/>
  <c r="F276" i="15"/>
  <c r="F272" i="15"/>
  <c r="F268" i="15"/>
  <c r="F264" i="15"/>
  <c r="F260" i="15"/>
  <c r="F256" i="15"/>
  <c r="F252" i="15"/>
  <c r="F248" i="15"/>
  <c r="F244" i="15"/>
  <c r="F240" i="15"/>
  <c r="F236" i="15"/>
  <c r="F232" i="15"/>
  <c r="F228" i="15"/>
  <c r="F224" i="15"/>
  <c r="F220" i="15"/>
  <c r="F216" i="15"/>
  <c r="F212" i="15"/>
  <c r="F208" i="15"/>
  <c r="F204" i="15"/>
  <c r="F200" i="15"/>
  <c r="F196" i="15"/>
  <c r="F192" i="15"/>
  <c r="F188" i="15"/>
  <c r="F184" i="15"/>
  <c r="F180" i="15"/>
  <c r="F176" i="15"/>
  <c r="F172" i="15"/>
  <c r="F168" i="15"/>
  <c r="F164" i="15"/>
  <c r="F160" i="15"/>
  <c r="F156" i="15"/>
  <c r="F152" i="15"/>
  <c r="F148" i="15"/>
  <c r="F144" i="15"/>
  <c r="F140" i="15"/>
  <c r="F136" i="15"/>
  <c r="F132" i="15"/>
  <c r="F128" i="15"/>
  <c r="F124" i="15"/>
  <c r="F120" i="15"/>
  <c r="F116" i="15"/>
  <c r="F112" i="15"/>
  <c r="F108" i="15"/>
  <c r="F104" i="15"/>
  <c r="F100" i="15"/>
  <c r="F96" i="15"/>
  <c r="F92" i="15"/>
  <c r="F88" i="15"/>
  <c r="F84" i="15"/>
  <c r="F80" i="15"/>
  <c r="F76" i="15"/>
  <c r="F72" i="15"/>
  <c r="F68" i="15"/>
  <c r="F64" i="15"/>
  <c r="F60" i="15"/>
  <c r="F56" i="15"/>
  <c r="F52" i="15"/>
  <c r="F48" i="15"/>
  <c r="F44" i="15"/>
  <c r="F40" i="15"/>
  <c r="F36" i="15"/>
  <c r="F32" i="15"/>
  <c r="F28" i="15"/>
  <c r="F24" i="15"/>
  <c r="F20" i="15"/>
  <c r="F16" i="15"/>
  <c r="F12" i="15"/>
  <c r="F8" i="15"/>
  <c r="F4" i="15"/>
  <c r="G430" i="15"/>
  <c r="G422" i="15"/>
  <c r="S455" i="15"/>
  <c r="U455" i="15"/>
  <c r="T455" i="15"/>
  <c r="R455" i="15"/>
  <c r="Q455" i="15"/>
  <c r="P455" i="15"/>
  <c r="O455" i="15"/>
  <c r="N455" i="15"/>
  <c r="M455" i="15"/>
  <c r="K455" i="15"/>
  <c r="J455" i="15"/>
  <c r="I455" i="15"/>
  <c r="H455" i="15"/>
  <c r="U451" i="15"/>
  <c r="T451" i="15"/>
  <c r="S451" i="15"/>
  <c r="R451" i="15"/>
  <c r="P451" i="15"/>
  <c r="Q451" i="15"/>
  <c r="O451" i="15"/>
  <c r="N451" i="15"/>
  <c r="M451" i="15"/>
  <c r="K451" i="15"/>
  <c r="J451" i="15"/>
  <c r="I451" i="15"/>
  <c r="H451" i="15"/>
  <c r="T447" i="15"/>
  <c r="U447" i="15"/>
  <c r="S447" i="15"/>
  <c r="R447" i="15"/>
  <c r="Q447" i="15"/>
  <c r="P447" i="15"/>
  <c r="O447" i="15"/>
  <c r="N447" i="15"/>
  <c r="M447" i="15"/>
  <c r="K447" i="15"/>
  <c r="J447" i="15"/>
  <c r="I447" i="15"/>
  <c r="H447" i="15"/>
  <c r="S443" i="15"/>
  <c r="T443" i="15"/>
  <c r="U443" i="15"/>
  <c r="R443" i="15"/>
  <c r="Q443" i="15"/>
  <c r="P443" i="15"/>
  <c r="O443" i="15"/>
  <c r="N443" i="15"/>
  <c r="M443" i="15"/>
  <c r="K443" i="15"/>
  <c r="J443" i="15"/>
  <c r="I443" i="15"/>
  <c r="H443" i="15"/>
  <c r="U439" i="15"/>
  <c r="T439" i="15"/>
  <c r="S439" i="15"/>
  <c r="R439" i="15"/>
  <c r="Q439" i="15"/>
  <c r="P439" i="15"/>
  <c r="O439" i="15"/>
  <c r="N439" i="15"/>
  <c r="M439" i="15"/>
  <c r="K439" i="15"/>
  <c r="J439" i="15"/>
  <c r="I439" i="15"/>
  <c r="H439" i="15"/>
  <c r="U435" i="15"/>
  <c r="T435" i="15"/>
  <c r="S435" i="15"/>
  <c r="R435" i="15"/>
  <c r="Q435" i="15"/>
  <c r="P435" i="15"/>
  <c r="O435" i="15"/>
  <c r="N435" i="15"/>
  <c r="M435" i="15"/>
  <c r="K435" i="15"/>
  <c r="J435" i="15"/>
  <c r="I435" i="15"/>
  <c r="H435" i="15"/>
  <c r="U431" i="15"/>
  <c r="T431" i="15"/>
  <c r="R431" i="15"/>
  <c r="S431" i="15"/>
  <c r="P431" i="15"/>
  <c r="Q431" i="15"/>
  <c r="O431" i="15"/>
  <c r="N431" i="15"/>
  <c r="M431" i="15"/>
  <c r="K431" i="15"/>
  <c r="J431" i="15"/>
  <c r="I431" i="15"/>
  <c r="H431" i="15"/>
  <c r="U427" i="15"/>
  <c r="S427" i="15"/>
  <c r="T427" i="15"/>
  <c r="R427" i="15"/>
  <c r="Q427" i="15"/>
  <c r="P427" i="15"/>
  <c r="O427" i="15"/>
  <c r="N427" i="15"/>
  <c r="M427" i="15"/>
  <c r="K427" i="15"/>
  <c r="J427" i="15"/>
  <c r="I427" i="15"/>
  <c r="H427" i="15"/>
  <c r="U423" i="15"/>
  <c r="T423" i="15"/>
  <c r="S423" i="15"/>
  <c r="R423" i="15"/>
  <c r="Q423" i="15"/>
  <c r="P423" i="15"/>
  <c r="O423" i="15"/>
  <c r="N423" i="15"/>
  <c r="M423" i="15"/>
  <c r="K423" i="15"/>
  <c r="J423" i="15"/>
  <c r="I423" i="15"/>
  <c r="H423" i="15"/>
  <c r="U419" i="15"/>
  <c r="S419" i="15"/>
  <c r="T419" i="15"/>
  <c r="R419" i="15"/>
  <c r="P419" i="15"/>
  <c r="Q419" i="15"/>
  <c r="O419" i="15"/>
  <c r="N419" i="15"/>
  <c r="M419" i="15"/>
  <c r="K419" i="15"/>
  <c r="J419" i="15"/>
  <c r="I419" i="15"/>
  <c r="H419" i="15"/>
  <c r="G419" i="15"/>
  <c r="U415" i="15"/>
  <c r="T415" i="15"/>
  <c r="R415" i="15"/>
  <c r="S415" i="15"/>
  <c r="Q415" i="15"/>
  <c r="P415" i="15"/>
  <c r="O415" i="15"/>
  <c r="N415" i="15"/>
  <c r="M415" i="15"/>
  <c r="K415" i="15"/>
  <c r="J415" i="15"/>
  <c r="I415" i="15"/>
  <c r="H415" i="15"/>
  <c r="G415" i="15"/>
  <c r="U411" i="15"/>
  <c r="S411" i="15"/>
  <c r="T411" i="15"/>
  <c r="R411" i="15"/>
  <c r="Q411" i="15"/>
  <c r="P411" i="15"/>
  <c r="O411" i="15"/>
  <c r="N411" i="15"/>
  <c r="M411" i="15"/>
  <c r="K411" i="15"/>
  <c r="J411" i="15"/>
  <c r="I411" i="15"/>
  <c r="H411" i="15"/>
  <c r="G411" i="15"/>
  <c r="U407" i="15"/>
  <c r="T407" i="15"/>
  <c r="S407" i="15"/>
  <c r="R407" i="15"/>
  <c r="Q407" i="15"/>
  <c r="O407" i="15"/>
  <c r="P407" i="15"/>
  <c r="N407" i="15"/>
  <c r="M407" i="15"/>
  <c r="K407" i="15"/>
  <c r="J407" i="15"/>
  <c r="I407" i="15"/>
  <c r="H407" i="15"/>
  <c r="G407" i="15"/>
  <c r="U403" i="15"/>
  <c r="T403" i="15"/>
  <c r="S403" i="15"/>
  <c r="R403" i="15"/>
  <c r="Q403" i="15"/>
  <c r="P403" i="15"/>
  <c r="O403" i="15"/>
  <c r="N403" i="15"/>
  <c r="M403" i="15"/>
  <c r="K403" i="15"/>
  <c r="J403" i="15"/>
  <c r="I403" i="15"/>
  <c r="H403" i="15"/>
  <c r="G403" i="15"/>
  <c r="U399" i="15"/>
  <c r="T399" i="15"/>
  <c r="S399" i="15"/>
  <c r="R399" i="15"/>
  <c r="O399" i="15"/>
  <c r="P399" i="15"/>
  <c r="Q399" i="15"/>
  <c r="N399" i="15"/>
  <c r="M399" i="15"/>
  <c r="K399" i="15"/>
  <c r="J399" i="15"/>
  <c r="I399" i="15"/>
  <c r="H399" i="15"/>
  <c r="G399" i="15"/>
  <c r="U395" i="15"/>
  <c r="S395" i="15"/>
  <c r="T395" i="15"/>
  <c r="R395" i="15"/>
  <c r="Q395" i="15"/>
  <c r="O395" i="15"/>
  <c r="P395" i="15"/>
  <c r="N395" i="15"/>
  <c r="M395" i="15"/>
  <c r="K395" i="15"/>
  <c r="J395" i="15"/>
  <c r="I395" i="15"/>
  <c r="H395" i="15"/>
  <c r="G395" i="15"/>
  <c r="U391" i="15"/>
  <c r="S391" i="15"/>
  <c r="R391" i="15"/>
  <c r="Q391" i="15"/>
  <c r="T391" i="15"/>
  <c r="O391" i="15"/>
  <c r="P391" i="15"/>
  <c r="N391" i="15"/>
  <c r="M391" i="15"/>
  <c r="K391" i="15"/>
  <c r="J391" i="15"/>
  <c r="I391" i="15"/>
  <c r="H391" i="15"/>
  <c r="G391" i="15"/>
  <c r="U387" i="15"/>
  <c r="T387" i="15"/>
  <c r="S387" i="15"/>
  <c r="R387" i="15"/>
  <c r="P387" i="15"/>
  <c r="O387" i="15"/>
  <c r="Q387" i="15"/>
  <c r="N387" i="15"/>
  <c r="M387" i="15"/>
  <c r="K387" i="15"/>
  <c r="J387" i="15"/>
  <c r="I387" i="15"/>
  <c r="H387" i="15"/>
  <c r="G387" i="15"/>
  <c r="U383" i="15"/>
  <c r="T383" i="15"/>
  <c r="S383" i="15"/>
  <c r="R383" i="15"/>
  <c r="O383" i="15"/>
  <c r="Q383" i="15"/>
  <c r="P383" i="15"/>
  <c r="N383" i="15"/>
  <c r="M383" i="15"/>
  <c r="K383" i="15"/>
  <c r="J383" i="15"/>
  <c r="I383" i="15"/>
  <c r="H383" i="15"/>
  <c r="G383" i="15"/>
  <c r="U379" i="15"/>
  <c r="S379" i="15"/>
  <c r="T379" i="15"/>
  <c r="R379" i="15"/>
  <c r="Q379" i="15"/>
  <c r="O379" i="15"/>
  <c r="P379" i="15"/>
  <c r="N379" i="15"/>
  <c r="M379" i="15"/>
  <c r="K379" i="15"/>
  <c r="J379" i="15"/>
  <c r="I379" i="15"/>
  <c r="H379" i="15"/>
  <c r="G379" i="15"/>
  <c r="U375" i="15"/>
  <c r="T375" i="15"/>
  <c r="R375" i="15"/>
  <c r="S375" i="15"/>
  <c r="Q375" i="15"/>
  <c r="O375" i="15"/>
  <c r="P375" i="15"/>
  <c r="N375" i="15"/>
  <c r="M375" i="15"/>
  <c r="K375" i="15"/>
  <c r="J375" i="15"/>
  <c r="I375" i="15"/>
  <c r="H375" i="15"/>
  <c r="G375" i="15"/>
  <c r="U371" i="15"/>
  <c r="T371" i="15"/>
  <c r="S371" i="15"/>
  <c r="R371" i="15"/>
  <c r="Q371" i="15"/>
  <c r="P371" i="15"/>
  <c r="O371" i="15"/>
  <c r="N371" i="15"/>
  <c r="M371" i="15"/>
  <c r="K371" i="15"/>
  <c r="J371" i="15"/>
  <c r="I371" i="15"/>
  <c r="H371" i="15"/>
  <c r="G371" i="15"/>
  <c r="U367" i="15"/>
  <c r="T367" i="15"/>
  <c r="R367" i="15"/>
  <c r="S367" i="15"/>
  <c r="O367" i="15"/>
  <c r="P367" i="15"/>
  <c r="Q367" i="15"/>
  <c r="N367" i="15"/>
  <c r="M367" i="15"/>
  <c r="K367" i="15"/>
  <c r="J367" i="15"/>
  <c r="I367" i="15"/>
  <c r="H367" i="15"/>
  <c r="G367" i="15"/>
  <c r="U363" i="15"/>
  <c r="S363" i="15"/>
  <c r="R363" i="15"/>
  <c r="T363" i="15"/>
  <c r="Q363" i="15"/>
  <c r="O363" i="15"/>
  <c r="P363" i="15"/>
  <c r="N363" i="15"/>
  <c r="M363" i="15"/>
  <c r="K363" i="15"/>
  <c r="J363" i="15"/>
  <c r="I363" i="15"/>
  <c r="H363" i="15"/>
  <c r="G363" i="15"/>
  <c r="U359" i="15"/>
  <c r="T359" i="15"/>
  <c r="S359" i="15"/>
  <c r="R359" i="15"/>
  <c r="Q359" i="15"/>
  <c r="O359" i="15"/>
  <c r="P359" i="15"/>
  <c r="N359" i="15"/>
  <c r="M359" i="15"/>
  <c r="K359" i="15"/>
  <c r="J359" i="15"/>
  <c r="I359" i="15"/>
  <c r="H359" i="15"/>
  <c r="G359" i="15"/>
  <c r="U355" i="15"/>
  <c r="S355" i="15"/>
  <c r="T355" i="15"/>
  <c r="R355" i="15"/>
  <c r="P355" i="15"/>
  <c r="O355" i="15"/>
  <c r="Q355" i="15"/>
  <c r="N355" i="15"/>
  <c r="M355" i="15"/>
  <c r="K355" i="15"/>
  <c r="J355" i="15"/>
  <c r="I355" i="15"/>
  <c r="H355" i="15"/>
  <c r="G355" i="15"/>
  <c r="U351" i="15"/>
  <c r="T351" i="15"/>
  <c r="S351" i="15"/>
  <c r="R351" i="15"/>
  <c r="O351" i="15"/>
  <c r="Q351" i="15"/>
  <c r="P351" i="15"/>
  <c r="N351" i="15"/>
  <c r="M351" i="15"/>
  <c r="K351" i="15"/>
  <c r="J351" i="15"/>
  <c r="I351" i="15"/>
  <c r="H351" i="15"/>
  <c r="G351" i="15"/>
  <c r="U347" i="15"/>
  <c r="S347" i="15"/>
  <c r="R347" i="15"/>
  <c r="T347" i="15"/>
  <c r="Q347" i="15"/>
  <c r="O347" i="15"/>
  <c r="P347" i="15"/>
  <c r="N347" i="15"/>
  <c r="M347" i="15"/>
  <c r="K347" i="15"/>
  <c r="J347" i="15"/>
  <c r="I347" i="15"/>
  <c r="H347" i="15"/>
  <c r="G347" i="15"/>
  <c r="U343" i="15"/>
  <c r="T343" i="15"/>
  <c r="S343" i="15"/>
  <c r="R343" i="15"/>
  <c r="Q343" i="15"/>
  <c r="O343" i="15"/>
  <c r="P343" i="15"/>
  <c r="N343" i="15"/>
  <c r="M343" i="15"/>
  <c r="K343" i="15"/>
  <c r="J343" i="15"/>
  <c r="I343" i="15"/>
  <c r="H343" i="15"/>
  <c r="G343" i="15"/>
  <c r="U339" i="15"/>
  <c r="T339" i="15"/>
  <c r="S339" i="15"/>
  <c r="R339" i="15"/>
  <c r="Q339" i="15"/>
  <c r="P339" i="15"/>
  <c r="O339" i="15"/>
  <c r="N339" i="15"/>
  <c r="M339" i="15"/>
  <c r="K339" i="15"/>
  <c r="J339" i="15"/>
  <c r="I339" i="15"/>
  <c r="H339" i="15"/>
  <c r="G339" i="15"/>
  <c r="U335" i="15"/>
  <c r="T335" i="15"/>
  <c r="S335" i="15"/>
  <c r="R335" i="15"/>
  <c r="O335" i="15"/>
  <c r="P335" i="15"/>
  <c r="Q335" i="15"/>
  <c r="N335" i="15"/>
  <c r="M335" i="15"/>
  <c r="K335" i="15"/>
  <c r="J335" i="15"/>
  <c r="I335" i="15"/>
  <c r="H335" i="15"/>
  <c r="G335" i="15"/>
  <c r="U331" i="15"/>
  <c r="S331" i="15"/>
  <c r="R331" i="15"/>
  <c r="Q331" i="15"/>
  <c r="T331" i="15"/>
  <c r="O331" i="15"/>
  <c r="P331" i="15"/>
  <c r="N331" i="15"/>
  <c r="M331" i="15"/>
  <c r="K331" i="15"/>
  <c r="J331" i="15"/>
  <c r="I331" i="15"/>
  <c r="H331" i="15"/>
  <c r="G331" i="15"/>
  <c r="U327" i="15"/>
  <c r="S327" i="15"/>
  <c r="T327" i="15"/>
  <c r="R327" i="15"/>
  <c r="Q327" i="15"/>
  <c r="O327" i="15"/>
  <c r="P327" i="15"/>
  <c r="N327" i="15"/>
  <c r="M327" i="15"/>
  <c r="K327" i="15"/>
  <c r="J327" i="15"/>
  <c r="I327" i="15"/>
  <c r="H327" i="15"/>
  <c r="G327" i="15"/>
  <c r="U323" i="15"/>
  <c r="T323" i="15"/>
  <c r="S323" i="15"/>
  <c r="R323" i="15"/>
  <c r="P323" i="15"/>
  <c r="O323" i="15"/>
  <c r="Q323" i="15"/>
  <c r="N323" i="15"/>
  <c r="M323" i="15"/>
  <c r="K323" i="15"/>
  <c r="J323" i="15"/>
  <c r="I323" i="15"/>
  <c r="H323" i="15"/>
  <c r="G323" i="15"/>
  <c r="U319" i="15"/>
  <c r="T319" i="15"/>
  <c r="S319" i="15"/>
  <c r="R319" i="15"/>
  <c r="O319" i="15"/>
  <c r="Q319" i="15"/>
  <c r="P319" i="15"/>
  <c r="N319" i="15"/>
  <c r="M319" i="15"/>
  <c r="K319" i="15"/>
  <c r="J319" i="15"/>
  <c r="I319" i="15"/>
  <c r="H319" i="15"/>
  <c r="G319" i="15"/>
  <c r="U315" i="15"/>
  <c r="S315" i="15"/>
  <c r="T315" i="15"/>
  <c r="R315" i="15"/>
  <c r="Q315" i="15"/>
  <c r="O315" i="15"/>
  <c r="P315" i="15"/>
  <c r="N315" i="15"/>
  <c r="M315" i="15"/>
  <c r="K315" i="15"/>
  <c r="J315" i="15"/>
  <c r="I315" i="15"/>
  <c r="H315" i="15"/>
  <c r="G315" i="15"/>
  <c r="U311" i="15"/>
  <c r="S311" i="15"/>
  <c r="R311" i="15"/>
  <c r="T311" i="15"/>
  <c r="Q311" i="15"/>
  <c r="O311" i="15"/>
  <c r="P311" i="15"/>
  <c r="N311" i="15"/>
  <c r="M311" i="15"/>
  <c r="K311" i="15"/>
  <c r="J311" i="15"/>
  <c r="I311" i="15"/>
  <c r="H311" i="15"/>
  <c r="G311" i="15"/>
  <c r="U307" i="15"/>
  <c r="T307" i="15"/>
  <c r="S307" i="15"/>
  <c r="R307" i="15"/>
  <c r="Q307" i="15"/>
  <c r="P307" i="15"/>
  <c r="O307" i="15"/>
  <c r="N307" i="15"/>
  <c r="M307" i="15"/>
  <c r="K307" i="15"/>
  <c r="J307" i="15"/>
  <c r="I307" i="15"/>
  <c r="H307" i="15"/>
  <c r="G307" i="15"/>
  <c r="U303" i="15"/>
  <c r="T303" i="15"/>
  <c r="R303" i="15"/>
  <c r="S303" i="15"/>
  <c r="O303" i="15"/>
  <c r="P303" i="15"/>
  <c r="Q303" i="15"/>
  <c r="N303" i="15"/>
  <c r="M303" i="15"/>
  <c r="K303" i="15"/>
  <c r="J303" i="15"/>
  <c r="I303" i="15"/>
  <c r="H303" i="15"/>
  <c r="G303" i="15"/>
  <c r="U299" i="15"/>
  <c r="S299" i="15"/>
  <c r="T299" i="15"/>
  <c r="R299" i="15"/>
  <c r="Q299" i="15"/>
  <c r="O299" i="15"/>
  <c r="P299" i="15"/>
  <c r="N299" i="15"/>
  <c r="M299" i="15"/>
  <c r="K299" i="15"/>
  <c r="J299" i="15"/>
  <c r="I299" i="15"/>
  <c r="H299" i="15"/>
  <c r="G299" i="15"/>
  <c r="U295" i="15"/>
  <c r="T295" i="15"/>
  <c r="S295" i="15"/>
  <c r="R295" i="15"/>
  <c r="P295" i="15"/>
  <c r="Q295" i="15"/>
  <c r="O295" i="15"/>
  <c r="N295" i="15"/>
  <c r="M295" i="15"/>
  <c r="K295" i="15"/>
  <c r="J295" i="15"/>
  <c r="I295" i="15"/>
  <c r="H295" i="15"/>
  <c r="G295" i="15"/>
  <c r="U291" i="15"/>
  <c r="S291" i="15"/>
  <c r="T291" i="15"/>
  <c r="R291" i="15"/>
  <c r="Q291" i="15"/>
  <c r="O291" i="15"/>
  <c r="P291" i="15"/>
  <c r="N291" i="15"/>
  <c r="M291" i="15"/>
  <c r="K291" i="15"/>
  <c r="J291" i="15"/>
  <c r="I291" i="15"/>
  <c r="H291" i="15"/>
  <c r="G291" i="15"/>
  <c r="U287" i="15"/>
  <c r="T287" i="15"/>
  <c r="R287" i="15"/>
  <c r="S287" i="15"/>
  <c r="Q287" i="15"/>
  <c r="O287" i="15"/>
  <c r="P287" i="15"/>
  <c r="N287" i="15"/>
  <c r="M287" i="15"/>
  <c r="K287" i="15"/>
  <c r="J287" i="15"/>
  <c r="I287" i="15"/>
  <c r="H287" i="15"/>
  <c r="G287" i="15"/>
  <c r="U283" i="15"/>
  <c r="S283" i="15"/>
  <c r="T283" i="15"/>
  <c r="R283" i="15"/>
  <c r="Q283" i="15"/>
  <c r="O283" i="15"/>
  <c r="P283" i="15"/>
  <c r="N283" i="15"/>
  <c r="M283" i="15"/>
  <c r="K283" i="15"/>
  <c r="J283" i="15"/>
  <c r="I283" i="15"/>
  <c r="H283" i="15"/>
  <c r="G283" i="15"/>
  <c r="U279" i="15"/>
  <c r="T279" i="15"/>
  <c r="S279" i="15"/>
  <c r="R279" i="15"/>
  <c r="P279" i="15"/>
  <c r="Q279" i="15"/>
  <c r="O279" i="15"/>
  <c r="N279" i="15"/>
  <c r="M279" i="15"/>
  <c r="K279" i="15"/>
  <c r="J279" i="15"/>
  <c r="I279" i="15"/>
  <c r="H279" i="15"/>
  <c r="G279" i="15"/>
  <c r="U275" i="15"/>
  <c r="T275" i="15"/>
  <c r="S275" i="15"/>
  <c r="R275" i="15"/>
  <c r="Q275" i="15"/>
  <c r="P275" i="15"/>
  <c r="O275" i="15"/>
  <c r="N275" i="15"/>
  <c r="M275" i="15"/>
  <c r="K275" i="15"/>
  <c r="J275" i="15"/>
  <c r="I275" i="15"/>
  <c r="H275" i="15"/>
  <c r="G275" i="15"/>
  <c r="U271" i="15"/>
  <c r="T271" i="15"/>
  <c r="S271" i="15"/>
  <c r="R271" i="15"/>
  <c r="O271" i="15"/>
  <c r="Q271" i="15"/>
  <c r="P271" i="15"/>
  <c r="N271" i="15"/>
  <c r="M271" i="15"/>
  <c r="K271" i="15"/>
  <c r="J271" i="15"/>
  <c r="I271" i="15"/>
  <c r="H271" i="15"/>
  <c r="G271" i="15"/>
  <c r="U267" i="15"/>
  <c r="S267" i="15"/>
  <c r="T267" i="15"/>
  <c r="R267" i="15"/>
  <c r="Q267" i="15"/>
  <c r="P267" i="15"/>
  <c r="O267" i="15"/>
  <c r="N267" i="15"/>
  <c r="M267" i="15"/>
  <c r="K267" i="15"/>
  <c r="J267" i="15"/>
  <c r="I267" i="15"/>
  <c r="H267" i="15"/>
  <c r="G267" i="15"/>
  <c r="U263" i="15"/>
  <c r="S263" i="15"/>
  <c r="T263" i="15"/>
  <c r="R263" i="15"/>
  <c r="P263" i="15"/>
  <c r="Q263" i="15"/>
  <c r="O263" i="15"/>
  <c r="N263" i="15"/>
  <c r="M263" i="15"/>
  <c r="K263" i="15"/>
  <c r="J263" i="15"/>
  <c r="I263" i="15"/>
  <c r="H263" i="15"/>
  <c r="G263" i="15"/>
  <c r="U259" i="15"/>
  <c r="T259" i="15"/>
  <c r="S259" i="15"/>
  <c r="R259" i="15"/>
  <c r="Q259" i="15"/>
  <c r="O259" i="15"/>
  <c r="P259" i="15"/>
  <c r="N259" i="15"/>
  <c r="M259" i="15"/>
  <c r="K259" i="15"/>
  <c r="J259" i="15"/>
  <c r="I259" i="15"/>
  <c r="H259" i="15"/>
  <c r="G259" i="15"/>
  <c r="U255" i="15"/>
  <c r="T255" i="15"/>
  <c r="S255" i="15"/>
  <c r="R255" i="15"/>
  <c r="O255" i="15"/>
  <c r="P255" i="15"/>
  <c r="Q255" i="15"/>
  <c r="N255" i="15"/>
  <c r="M255" i="15"/>
  <c r="K255" i="15"/>
  <c r="J255" i="15"/>
  <c r="I255" i="15"/>
  <c r="H255" i="15"/>
  <c r="G255" i="15"/>
  <c r="U251" i="15"/>
  <c r="S251" i="15"/>
  <c r="T251" i="15"/>
  <c r="R251" i="15"/>
  <c r="Q251" i="15"/>
  <c r="O251" i="15"/>
  <c r="P251" i="15"/>
  <c r="N251" i="15"/>
  <c r="M251" i="15"/>
  <c r="K251" i="15"/>
  <c r="J251" i="15"/>
  <c r="I251" i="15"/>
  <c r="H251" i="15"/>
  <c r="G251" i="15"/>
  <c r="U247" i="15"/>
  <c r="T247" i="15"/>
  <c r="R247" i="15"/>
  <c r="S247" i="15"/>
  <c r="P247" i="15"/>
  <c r="Q247" i="15"/>
  <c r="O247" i="15"/>
  <c r="N247" i="15"/>
  <c r="M247" i="15"/>
  <c r="K247" i="15"/>
  <c r="J247" i="15"/>
  <c r="I247" i="15"/>
  <c r="H247" i="15"/>
  <c r="G247" i="15"/>
  <c r="U243" i="15"/>
  <c r="T243" i="15"/>
  <c r="S243" i="15"/>
  <c r="R243" i="15"/>
  <c r="Q243" i="15"/>
  <c r="O243" i="15"/>
  <c r="P243" i="15"/>
  <c r="N243" i="15"/>
  <c r="M243" i="15"/>
  <c r="K243" i="15"/>
  <c r="J243" i="15"/>
  <c r="I243" i="15"/>
  <c r="H243" i="15"/>
  <c r="G243" i="15"/>
  <c r="U239" i="15"/>
  <c r="T239" i="15"/>
  <c r="R239" i="15"/>
  <c r="S239" i="15"/>
  <c r="P239" i="15"/>
  <c r="O239" i="15"/>
  <c r="Q239" i="15"/>
  <c r="N239" i="15"/>
  <c r="M239" i="15"/>
  <c r="K239" i="15"/>
  <c r="J239" i="15"/>
  <c r="I239" i="15"/>
  <c r="H239" i="15"/>
  <c r="G239" i="15"/>
  <c r="U235" i="15"/>
  <c r="S235" i="15"/>
  <c r="R235" i="15"/>
  <c r="Q235" i="15"/>
  <c r="T235" i="15"/>
  <c r="O235" i="15"/>
  <c r="P235" i="15"/>
  <c r="N235" i="15"/>
  <c r="M235" i="15"/>
  <c r="K235" i="15"/>
  <c r="J235" i="15"/>
  <c r="I235" i="15"/>
  <c r="H235" i="15"/>
  <c r="G235" i="15"/>
  <c r="U231" i="15"/>
  <c r="T231" i="15"/>
  <c r="S231" i="15"/>
  <c r="R231" i="15"/>
  <c r="P231" i="15"/>
  <c r="Q231" i="15"/>
  <c r="O231" i="15"/>
  <c r="N231" i="15"/>
  <c r="M231" i="15"/>
  <c r="K231" i="15"/>
  <c r="J231" i="15"/>
  <c r="I231" i="15"/>
  <c r="H231" i="15"/>
  <c r="G231" i="15"/>
  <c r="U227" i="15"/>
  <c r="T227" i="15"/>
  <c r="S227" i="15"/>
  <c r="R227" i="15"/>
  <c r="Q227" i="15"/>
  <c r="O227" i="15"/>
  <c r="P227" i="15"/>
  <c r="N227" i="15"/>
  <c r="M227" i="15"/>
  <c r="K227" i="15"/>
  <c r="J227" i="15"/>
  <c r="I227" i="15"/>
  <c r="H227" i="15"/>
  <c r="G227" i="15"/>
  <c r="U223" i="15"/>
  <c r="T223" i="15"/>
  <c r="S223" i="15"/>
  <c r="R223" i="15"/>
  <c r="Q223" i="15"/>
  <c r="O223" i="15"/>
  <c r="P223" i="15"/>
  <c r="N223" i="15"/>
  <c r="M223" i="15"/>
  <c r="K223" i="15"/>
  <c r="J223" i="15"/>
  <c r="I223" i="15"/>
  <c r="H223" i="15"/>
  <c r="G223" i="15"/>
  <c r="U219" i="15"/>
  <c r="S219" i="15"/>
  <c r="T219" i="15"/>
  <c r="R219" i="15"/>
  <c r="Q219" i="15"/>
  <c r="O219" i="15"/>
  <c r="P219" i="15"/>
  <c r="N219" i="15"/>
  <c r="M219" i="15"/>
  <c r="K219" i="15"/>
  <c r="J219" i="15"/>
  <c r="I219" i="15"/>
  <c r="H219" i="15"/>
  <c r="G219" i="15"/>
  <c r="U215" i="15"/>
  <c r="T215" i="15"/>
  <c r="S215" i="15"/>
  <c r="R215" i="15"/>
  <c r="P215" i="15"/>
  <c r="Q215" i="15"/>
  <c r="O215" i="15"/>
  <c r="N215" i="15"/>
  <c r="M215" i="15"/>
  <c r="K215" i="15"/>
  <c r="J215" i="15"/>
  <c r="I215" i="15"/>
  <c r="H215" i="15"/>
  <c r="G215" i="15"/>
  <c r="U211" i="15"/>
  <c r="T211" i="15"/>
  <c r="S211" i="15"/>
  <c r="R211" i="15"/>
  <c r="Q211" i="15"/>
  <c r="P211" i="15"/>
  <c r="O211" i="15"/>
  <c r="N211" i="15"/>
  <c r="M211" i="15"/>
  <c r="K211" i="15"/>
  <c r="J211" i="15"/>
  <c r="I211" i="15"/>
  <c r="H211" i="15"/>
  <c r="G211" i="15"/>
  <c r="U207" i="15"/>
  <c r="T207" i="15"/>
  <c r="S207" i="15"/>
  <c r="R207" i="15"/>
  <c r="O207" i="15"/>
  <c r="Q207" i="15"/>
  <c r="P207" i="15"/>
  <c r="N207" i="15"/>
  <c r="M207" i="15"/>
  <c r="K207" i="15"/>
  <c r="J207" i="15"/>
  <c r="I207" i="15"/>
  <c r="H207" i="15"/>
  <c r="G207" i="15"/>
  <c r="U203" i="15"/>
  <c r="S203" i="15"/>
  <c r="T203" i="15"/>
  <c r="R203" i="15"/>
  <c r="Q203" i="15"/>
  <c r="O203" i="15"/>
  <c r="P203" i="15"/>
  <c r="N203" i="15"/>
  <c r="M203" i="15"/>
  <c r="K203" i="15"/>
  <c r="J203" i="15"/>
  <c r="I203" i="15"/>
  <c r="H203" i="15"/>
  <c r="G203" i="15"/>
  <c r="U199" i="15"/>
  <c r="T199" i="15"/>
  <c r="S199" i="15"/>
  <c r="R199" i="15"/>
  <c r="P199" i="15"/>
  <c r="Q199" i="15"/>
  <c r="O199" i="15"/>
  <c r="N199" i="15"/>
  <c r="M199" i="15"/>
  <c r="K199" i="15"/>
  <c r="J199" i="15"/>
  <c r="I199" i="15"/>
  <c r="H199" i="15"/>
  <c r="G199" i="15"/>
  <c r="U195" i="15"/>
  <c r="S195" i="15"/>
  <c r="T195" i="15"/>
  <c r="R195" i="15"/>
  <c r="P195" i="15"/>
  <c r="Q195" i="15"/>
  <c r="O195" i="15"/>
  <c r="N195" i="15"/>
  <c r="M195" i="15"/>
  <c r="K195" i="15"/>
  <c r="J195" i="15"/>
  <c r="I195" i="15"/>
  <c r="H195" i="15"/>
  <c r="G195" i="15"/>
  <c r="U191" i="15"/>
  <c r="T191" i="15"/>
  <c r="S191" i="15"/>
  <c r="R191" i="15"/>
  <c r="P191" i="15"/>
  <c r="O191" i="15"/>
  <c r="Q191" i="15"/>
  <c r="N191" i="15"/>
  <c r="M191" i="15"/>
  <c r="K191" i="15"/>
  <c r="J191" i="15"/>
  <c r="I191" i="15"/>
  <c r="H191" i="15"/>
  <c r="G191" i="15"/>
  <c r="U187" i="15"/>
  <c r="S187" i="15"/>
  <c r="T187" i="15"/>
  <c r="R187" i="15"/>
  <c r="Q187" i="15"/>
  <c r="O187" i="15"/>
  <c r="P187" i="15"/>
  <c r="N187" i="15"/>
  <c r="M187" i="15"/>
  <c r="K187" i="15"/>
  <c r="J187" i="15"/>
  <c r="I187" i="15"/>
  <c r="H187" i="15"/>
  <c r="G187" i="15"/>
  <c r="U183" i="15"/>
  <c r="T183" i="15"/>
  <c r="S183" i="15"/>
  <c r="R183" i="15"/>
  <c r="P183" i="15"/>
  <c r="Q183" i="15"/>
  <c r="O183" i="15"/>
  <c r="N183" i="15"/>
  <c r="M183" i="15"/>
  <c r="K183" i="15"/>
  <c r="J183" i="15"/>
  <c r="I183" i="15"/>
  <c r="H183" i="15"/>
  <c r="G183" i="15"/>
  <c r="U179" i="15"/>
  <c r="T179" i="15"/>
  <c r="S179" i="15"/>
  <c r="R179" i="15"/>
  <c r="P179" i="15"/>
  <c r="Q179" i="15"/>
  <c r="O179" i="15"/>
  <c r="N179" i="15"/>
  <c r="M179" i="15"/>
  <c r="K179" i="15"/>
  <c r="J179" i="15"/>
  <c r="I179" i="15"/>
  <c r="H179" i="15"/>
  <c r="G179" i="15"/>
  <c r="U175" i="15"/>
  <c r="T175" i="15"/>
  <c r="R175" i="15"/>
  <c r="S175" i="15"/>
  <c r="O175" i="15"/>
  <c r="P175" i="15"/>
  <c r="Q175" i="15"/>
  <c r="N175" i="15"/>
  <c r="M175" i="15"/>
  <c r="K175" i="15"/>
  <c r="J175" i="15"/>
  <c r="I175" i="15"/>
  <c r="H175" i="15"/>
  <c r="G175" i="15"/>
  <c r="U171" i="15"/>
  <c r="S171" i="15"/>
  <c r="T171" i="15"/>
  <c r="R171" i="15"/>
  <c r="Q171" i="15"/>
  <c r="O171" i="15"/>
  <c r="P171" i="15"/>
  <c r="N171" i="15"/>
  <c r="M171" i="15"/>
  <c r="K171" i="15"/>
  <c r="J171" i="15"/>
  <c r="I171" i="15"/>
  <c r="H171" i="15"/>
  <c r="G171" i="15"/>
  <c r="U167" i="15"/>
  <c r="T167" i="15"/>
  <c r="S167" i="15"/>
  <c r="R167" i="15"/>
  <c r="P167" i="15"/>
  <c r="Q167" i="15"/>
  <c r="O167" i="15"/>
  <c r="N167" i="15"/>
  <c r="M167" i="15"/>
  <c r="K167" i="15"/>
  <c r="J167" i="15"/>
  <c r="I167" i="15"/>
  <c r="H167" i="15"/>
  <c r="G167" i="15"/>
  <c r="U163" i="15"/>
  <c r="S163" i="15"/>
  <c r="T163" i="15"/>
  <c r="R163" i="15"/>
  <c r="P163" i="15"/>
  <c r="Q163" i="15"/>
  <c r="O163" i="15"/>
  <c r="N163" i="15"/>
  <c r="M163" i="15"/>
  <c r="K163" i="15"/>
  <c r="J163" i="15"/>
  <c r="I163" i="15"/>
  <c r="H163" i="15"/>
  <c r="G163" i="15"/>
  <c r="U159" i="15"/>
  <c r="T159" i="15"/>
  <c r="R159" i="15"/>
  <c r="S159" i="15"/>
  <c r="Q159" i="15"/>
  <c r="P159" i="15"/>
  <c r="O159" i="15"/>
  <c r="N159" i="15"/>
  <c r="M159" i="15"/>
  <c r="K159" i="15"/>
  <c r="J159" i="15"/>
  <c r="I159" i="15"/>
  <c r="H159" i="15"/>
  <c r="G159" i="15"/>
  <c r="U155" i="15"/>
  <c r="S155" i="15"/>
  <c r="T155" i="15"/>
  <c r="Q155" i="15"/>
  <c r="R155" i="15"/>
  <c r="O155" i="15"/>
  <c r="P155" i="15"/>
  <c r="N155" i="15"/>
  <c r="M155" i="15"/>
  <c r="K155" i="15"/>
  <c r="J155" i="15"/>
  <c r="I155" i="15"/>
  <c r="H155" i="15"/>
  <c r="G155" i="15"/>
  <c r="Q151" i="15"/>
  <c r="R151" i="15"/>
  <c r="P151" i="15"/>
  <c r="O151" i="15"/>
  <c r="N151" i="15"/>
  <c r="M151" i="15"/>
  <c r="K151" i="15"/>
  <c r="J151" i="15"/>
  <c r="I151" i="15"/>
  <c r="H151" i="15"/>
  <c r="G151" i="15"/>
  <c r="Q147" i="15"/>
  <c r="P147" i="15"/>
  <c r="R147" i="15"/>
  <c r="O147" i="15"/>
  <c r="N147" i="15"/>
  <c r="M147" i="15"/>
  <c r="K147" i="15"/>
  <c r="J147" i="15"/>
  <c r="I147" i="15"/>
  <c r="H147" i="15"/>
  <c r="G147" i="15"/>
  <c r="R143" i="15"/>
  <c r="Q143" i="15"/>
  <c r="O143" i="15"/>
  <c r="P143" i="15"/>
  <c r="N143" i="15"/>
  <c r="M143" i="15"/>
  <c r="K143" i="15"/>
  <c r="J143" i="15"/>
  <c r="I143" i="15"/>
  <c r="H143" i="15"/>
  <c r="G143" i="15"/>
  <c r="Q139" i="15"/>
  <c r="R139" i="15"/>
  <c r="P139" i="15"/>
  <c r="O139" i="15"/>
  <c r="N139" i="15"/>
  <c r="M139" i="15"/>
  <c r="K139" i="15"/>
  <c r="J139" i="15"/>
  <c r="I139" i="15"/>
  <c r="H139" i="15"/>
  <c r="G139" i="15"/>
  <c r="Q135" i="15"/>
  <c r="R135" i="15"/>
  <c r="P135" i="15"/>
  <c r="O135" i="15"/>
  <c r="N135" i="15"/>
  <c r="M135" i="15"/>
  <c r="K135" i="15"/>
  <c r="J135" i="15"/>
  <c r="I135" i="15"/>
  <c r="H135" i="15"/>
  <c r="G135" i="15"/>
  <c r="R131" i="15"/>
  <c r="P131" i="15"/>
  <c r="Q131" i="15"/>
  <c r="O131" i="15"/>
  <c r="N131" i="15"/>
  <c r="M131" i="15"/>
  <c r="K131" i="15"/>
  <c r="J131" i="15"/>
  <c r="I131" i="15"/>
  <c r="H131" i="15"/>
  <c r="G131" i="15"/>
  <c r="R127" i="15"/>
  <c r="Q127" i="15"/>
  <c r="P127" i="15"/>
  <c r="O127" i="15"/>
  <c r="N127" i="15"/>
  <c r="M127" i="15"/>
  <c r="K127" i="15"/>
  <c r="J127" i="15"/>
  <c r="I127" i="15"/>
  <c r="H127" i="15"/>
  <c r="G127" i="15"/>
  <c r="Q123" i="15"/>
  <c r="R123" i="15"/>
  <c r="O123" i="15"/>
  <c r="P123" i="15"/>
  <c r="N123" i="15"/>
  <c r="M123" i="15"/>
  <c r="K123" i="15"/>
  <c r="J123" i="15"/>
  <c r="I123" i="15"/>
  <c r="H123" i="15"/>
  <c r="G123" i="15"/>
  <c r="Q119" i="15"/>
  <c r="R119" i="15"/>
  <c r="P119" i="15"/>
  <c r="O119" i="15"/>
  <c r="N119" i="15"/>
  <c r="M119" i="15"/>
  <c r="K119" i="15"/>
  <c r="J119" i="15"/>
  <c r="I119" i="15"/>
  <c r="H119" i="15"/>
  <c r="G119" i="15"/>
  <c r="R115" i="15"/>
  <c r="Q115" i="15"/>
  <c r="P115" i="15"/>
  <c r="O115" i="15"/>
  <c r="N115" i="15"/>
  <c r="M115" i="15"/>
  <c r="K115" i="15"/>
  <c r="J115" i="15"/>
  <c r="I115" i="15"/>
  <c r="H115" i="15"/>
  <c r="G115" i="15"/>
  <c r="R111" i="15"/>
  <c r="Q111" i="15"/>
  <c r="O111" i="15"/>
  <c r="P111" i="15"/>
  <c r="N111" i="15"/>
  <c r="M111" i="15"/>
  <c r="K111" i="15"/>
  <c r="J111" i="15"/>
  <c r="I111" i="15"/>
  <c r="H111" i="15"/>
  <c r="G111" i="15"/>
  <c r="Q107" i="15"/>
  <c r="R107" i="15"/>
  <c r="P107" i="15"/>
  <c r="O107" i="15"/>
  <c r="N107" i="15"/>
  <c r="M107" i="15"/>
  <c r="K107" i="15"/>
  <c r="J107" i="15"/>
  <c r="I107" i="15"/>
  <c r="H107" i="15"/>
  <c r="G107" i="15"/>
  <c r="Q103" i="15"/>
  <c r="R103" i="15"/>
  <c r="P103" i="15"/>
  <c r="O103" i="15"/>
  <c r="N103" i="15"/>
  <c r="M103" i="15"/>
  <c r="K103" i="15"/>
  <c r="J103" i="15"/>
  <c r="I103" i="15"/>
  <c r="H103" i="15"/>
  <c r="G103" i="15"/>
  <c r="Q99" i="15"/>
  <c r="R99" i="15"/>
  <c r="P99" i="15"/>
  <c r="O99" i="15"/>
  <c r="N99" i="15"/>
  <c r="M99" i="15"/>
  <c r="K99" i="15"/>
  <c r="J99" i="15"/>
  <c r="I99" i="15"/>
  <c r="H99" i="15"/>
  <c r="G99" i="15"/>
  <c r="R95" i="15"/>
  <c r="Q95" i="15"/>
  <c r="P95" i="15"/>
  <c r="O95" i="15"/>
  <c r="N95" i="15"/>
  <c r="M95" i="15"/>
  <c r="K95" i="15"/>
  <c r="J95" i="15"/>
  <c r="I95" i="15"/>
  <c r="H95" i="15"/>
  <c r="G95" i="15"/>
  <c r="Q91" i="15"/>
  <c r="R91" i="15"/>
  <c r="O91" i="15"/>
  <c r="P91" i="15"/>
  <c r="N91" i="15"/>
  <c r="M91" i="15"/>
  <c r="K91" i="15"/>
  <c r="J91" i="15"/>
  <c r="I91" i="15"/>
  <c r="H91" i="15"/>
  <c r="G91" i="15"/>
  <c r="Q87" i="15"/>
  <c r="R87" i="15"/>
  <c r="P87" i="15"/>
  <c r="O87" i="15"/>
  <c r="N87" i="15"/>
  <c r="M87" i="15"/>
  <c r="K87" i="15"/>
  <c r="J87" i="15"/>
  <c r="I87" i="15"/>
  <c r="H87" i="15"/>
  <c r="G87" i="15"/>
  <c r="Q83" i="15"/>
  <c r="P83" i="15"/>
  <c r="R83" i="15"/>
  <c r="O83" i="15"/>
  <c r="N83" i="15"/>
  <c r="M83" i="15"/>
  <c r="K83" i="15"/>
  <c r="J83" i="15"/>
  <c r="I83" i="15"/>
  <c r="H83" i="15"/>
  <c r="G83" i="15"/>
  <c r="R79" i="15"/>
  <c r="Q79" i="15"/>
  <c r="O79" i="15"/>
  <c r="P79" i="15"/>
  <c r="N79" i="15"/>
  <c r="M79" i="15"/>
  <c r="K79" i="15"/>
  <c r="J79" i="15"/>
  <c r="I79" i="15"/>
  <c r="H79" i="15"/>
  <c r="G79" i="15"/>
  <c r="Q75" i="15"/>
  <c r="R75" i="15"/>
  <c r="P75" i="15"/>
  <c r="O75" i="15"/>
  <c r="N75" i="15"/>
  <c r="M75" i="15"/>
  <c r="K75" i="15"/>
  <c r="J75" i="15"/>
  <c r="I75" i="15"/>
  <c r="H75" i="15"/>
  <c r="G75" i="15"/>
  <c r="Q71" i="15"/>
  <c r="R71" i="15"/>
  <c r="P71" i="15"/>
  <c r="O71" i="15"/>
  <c r="N71" i="15"/>
  <c r="M71" i="15"/>
  <c r="K71" i="15"/>
  <c r="J71" i="15"/>
  <c r="I71" i="15"/>
  <c r="H71" i="15"/>
  <c r="G71" i="15"/>
  <c r="R67" i="15"/>
  <c r="Q67" i="15"/>
  <c r="P67" i="15"/>
  <c r="O67" i="15"/>
  <c r="N67" i="15"/>
  <c r="M67" i="15"/>
  <c r="K67" i="15"/>
  <c r="J67" i="15"/>
  <c r="I67" i="15"/>
  <c r="H67" i="15"/>
  <c r="G67" i="15"/>
  <c r="R63" i="15"/>
  <c r="Q63" i="15"/>
  <c r="P63" i="15"/>
  <c r="O63" i="15"/>
  <c r="N63" i="15"/>
  <c r="M63" i="15"/>
  <c r="K63" i="15"/>
  <c r="J63" i="15"/>
  <c r="I63" i="15"/>
  <c r="H63" i="15"/>
  <c r="G63" i="15"/>
  <c r="R59" i="15"/>
  <c r="Q59" i="15"/>
  <c r="O59" i="15"/>
  <c r="P59" i="15"/>
  <c r="N59" i="15"/>
  <c r="M59" i="15"/>
  <c r="K59" i="15"/>
  <c r="J59" i="15"/>
  <c r="I59" i="15"/>
  <c r="H59" i="15"/>
  <c r="G59" i="15"/>
  <c r="Q55" i="15"/>
  <c r="R55" i="15"/>
  <c r="P55" i="15"/>
  <c r="O55" i="15"/>
  <c r="N55" i="15"/>
  <c r="M55" i="15"/>
  <c r="K55" i="15"/>
  <c r="J55" i="15"/>
  <c r="I55" i="15"/>
  <c r="H55" i="15"/>
  <c r="G55" i="15"/>
  <c r="R51" i="15"/>
  <c r="Q51" i="15"/>
  <c r="P51" i="15"/>
  <c r="O51" i="15"/>
  <c r="N51" i="15"/>
  <c r="M51" i="15"/>
  <c r="K51" i="15"/>
  <c r="J51" i="15"/>
  <c r="I51" i="15"/>
  <c r="H51" i="15"/>
  <c r="G51" i="15"/>
  <c r="R47" i="15"/>
  <c r="Q47" i="15"/>
  <c r="O47" i="15"/>
  <c r="P47" i="15"/>
  <c r="N47" i="15"/>
  <c r="M47" i="15"/>
  <c r="K47" i="15"/>
  <c r="J47" i="15"/>
  <c r="I47" i="15"/>
  <c r="H47" i="15"/>
  <c r="G47" i="15"/>
  <c r="Q43" i="15"/>
  <c r="R43" i="15"/>
  <c r="P43" i="15"/>
  <c r="O43" i="15"/>
  <c r="N43" i="15"/>
  <c r="M43" i="15"/>
  <c r="K43" i="15"/>
  <c r="J43" i="15"/>
  <c r="I43" i="15"/>
  <c r="H43" i="15"/>
  <c r="G43" i="15"/>
  <c r="R39" i="15"/>
  <c r="Q39" i="15"/>
  <c r="P39" i="15"/>
  <c r="O39" i="15"/>
  <c r="N39" i="15"/>
  <c r="M39" i="15"/>
  <c r="K39" i="15"/>
  <c r="J39" i="15"/>
  <c r="I39" i="15"/>
  <c r="H39" i="15"/>
  <c r="G39" i="15"/>
  <c r="R35" i="15"/>
  <c r="Q35" i="15"/>
  <c r="P35" i="15"/>
  <c r="O35" i="15"/>
  <c r="N35" i="15"/>
  <c r="M35" i="15"/>
  <c r="K35" i="15"/>
  <c r="J35" i="15"/>
  <c r="I35" i="15"/>
  <c r="H35" i="15"/>
  <c r="G35" i="15"/>
  <c r="R31" i="15"/>
  <c r="Q31" i="15"/>
  <c r="P31" i="15"/>
  <c r="O31" i="15"/>
  <c r="N31" i="15"/>
  <c r="M31" i="15"/>
  <c r="K31" i="15"/>
  <c r="J31" i="15"/>
  <c r="I31" i="15"/>
  <c r="H31" i="15"/>
  <c r="G31" i="15"/>
  <c r="Q27" i="15"/>
  <c r="R27" i="15"/>
  <c r="O27" i="15"/>
  <c r="P27" i="15"/>
  <c r="N27" i="15"/>
  <c r="M27" i="15"/>
  <c r="K27" i="15"/>
  <c r="J27" i="15"/>
  <c r="I27" i="15"/>
  <c r="H27" i="15"/>
  <c r="G27" i="15"/>
  <c r="R23" i="15"/>
  <c r="Q23" i="15"/>
  <c r="P23" i="15"/>
  <c r="O23" i="15"/>
  <c r="N23" i="15"/>
  <c r="M23" i="15"/>
  <c r="K23" i="15"/>
  <c r="J23" i="15"/>
  <c r="I23" i="15"/>
  <c r="H23" i="15"/>
  <c r="G23" i="15"/>
  <c r="R19" i="15"/>
  <c r="Q19" i="15"/>
  <c r="P19" i="15"/>
  <c r="O19" i="15"/>
  <c r="N19" i="15"/>
  <c r="M19" i="15"/>
  <c r="K19" i="15"/>
  <c r="J19" i="15"/>
  <c r="I19" i="15"/>
  <c r="H19" i="15"/>
  <c r="G19" i="15"/>
  <c r="R15" i="15"/>
  <c r="Q15" i="15"/>
  <c r="O15" i="15"/>
  <c r="P15" i="15"/>
  <c r="N15" i="15"/>
  <c r="M15" i="15"/>
  <c r="K15" i="15"/>
  <c r="J15" i="15"/>
  <c r="I15" i="15"/>
  <c r="H15" i="15"/>
  <c r="G15" i="15"/>
  <c r="Q11" i="15"/>
  <c r="R11" i="15"/>
  <c r="P11" i="15"/>
  <c r="O11" i="15"/>
  <c r="N11" i="15"/>
  <c r="M11" i="15"/>
  <c r="K11" i="15"/>
  <c r="J11" i="15"/>
  <c r="I11" i="15"/>
  <c r="H11" i="15"/>
  <c r="G11" i="15"/>
  <c r="Q7" i="15"/>
  <c r="R7" i="15"/>
  <c r="P7" i="15"/>
  <c r="O7" i="15"/>
  <c r="N7" i="15"/>
  <c r="M7" i="15"/>
  <c r="K7" i="15"/>
  <c r="J7" i="15"/>
  <c r="I7" i="15"/>
  <c r="H7" i="15"/>
  <c r="G7" i="15"/>
  <c r="B455" i="15"/>
  <c r="B451" i="15"/>
  <c r="B447" i="15"/>
  <c r="B443" i="15"/>
  <c r="B439" i="15"/>
  <c r="B435" i="15"/>
  <c r="B431" i="15"/>
  <c r="B427" i="15"/>
  <c r="B423" i="15"/>
  <c r="B419" i="15"/>
  <c r="B415" i="15"/>
  <c r="B411" i="15"/>
  <c r="B407" i="15"/>
  <c r="B403" i="15"/>
  <c r="B399" i="15"/>
  <c r="B395" i="15"/>
  <c r="B391" i="15"/>
  <c r="B387" i="15"/>
  <c r="B383" i="15"/>
  <c r="B379" i="15"/>
  <c r="B375" i="15"/>
  <c r="B371" i="15"/>
  <c r="B367" i="15"/>
  <c r="B363" i="15"/>
  <c r="B359" i="15"/>
  <c r="B355" i="15"/>
  <c r="B351" i="15"/>
  <c r="B347" i="15"/>
  <c r="B343" i="15"/>
  <c r="B339" i="15"/>
  <c r="B335" i="15"/>
  <c r="B331" i="15"/>
  <c r="B327" i="15"/>
  <c r="B323" i="15"/>
  <c r="B319" i="15"/>
  <c r="B315" i="15"/>
  <c r="B311" i="15"/>
  <c r="B307" i="15"/>
  <c r="B303" i="15"/>
  <c r="B299" i="15"/>
  <c r="B295" i="15"/>
  <c r="B291" i="15"/>
  <c r="B287" i="15"/>
  <c r="B283" i="15"/>
  <c r="B279" i="15"/>
  <c r="B275" i="15"/>
  <c r="B271" i="15"/>
  <c r="B267" i="15"/>
  <c r="B263" i="15"/>
  <c r="B259" i="15"/>
  <c r="B255" i="15"/>
  <c r="B251" i="15"/>
  <c r="B247" i="15"/>
  <c r="B243" i="15"/>
  <c r="B239" i="15"/>
  <c r="B235" i="15"/>
  <c r="B231" i="15"/>
  <c r="B227" i="15"/>
  <c r="B223" i="15"/>
  <c r="B219" i="15"/>
  <c r="B215" i="15"/>
  <c r="B211" i="15"/>
  <c r="B207" i="15"/>
  <c r="B203" i="15"/>
  <c r="B199" i="15"/>
  <c r="B195" i="15"/>
  <c r="B191" i="15"/>
  <c r="B187" i="15"/>
  <c r="B183" i="15"/>
  <c r="B179" i="15"/>
  <c r="B175" i="15"/>
  <c r="B171" i="15"/>
  <c r="B167" i="15"/>
  <c r="B163" i="15"/>
  <c r="B159" i="15"/>
  <c r="B155" i="15"/>
  <c r="B151" i="15"/>
  <c r="B147" i="15"/>
  <c r="B143" i="15"/>
  <c r="B139" i="15"/>
  <c r="B135" i="15"/>
  <c r="B131" i="15"/>
  <c r="B127" i="15"/>
  <c r="B123" i="15"/>
  <c r="B119" i="15"/>
  <c r="B115" i="15"/>
  <c r="B111" i="15"/>
  <c r="B107" i="15"/>
  <c r="B103" i="15"/>
  <c r="B99" i="15"/>
  <c r="B95" i="15"/>
  <c r="B91" i="15"/>
  <c r="B87" i="15"/>
  <c r="B83" i="15"/>
  <c r="B79" i="15"/>
  <c r="B75" i="15"/>
  <c r="B71" i="15"/>
  <c r="B67" i="15"/>
  <c r="B63" i="15"/>
  <c r="B59" i="15"/>
  <c r="B55" i="15"/>
  <c r="B51" i="15"/>
  <c r="B47" i="15"/>
  <c r="B43" i="15"/>
  <c r="B39" i="15"/>
  <c r="B35" i="15"/>
  <c r="B31" i="15"/>
  <c r="B27" i="15"/>
  <c r="B23" i="15"/>
  <c r="B19" i="15"/>
  <c r="B15" i="15"/>
  <c r="B11" i="15"/>
  <c r="B7" i="15"/>
  <c r="C455" i="15"/>
  <c r="C451" i="15"/>
  <c r="C447" i="15"/>
  <c r="C443" i="15"/>
  <c r="C439" i="15"/>
  <c r="C435" i="15"/>
  <c r="C431" i="15"/>
  <c r="C427" i="15"/>
  <c r="C423" i="15"/>
  <c r="C419" i="15"/>
  <c r="C415" i="15"/>
  <c r="C411" i="15"/>
  <c r="C407" i="15"/>
  <c r="C403" i="15"/>
  <c r="C399" i="15"/>
  <c r="C395" i="15"/>
  <c r="C391" i="15"/>
  <c r="C387" i="15"/>
  <c r="C383" i="15"/>
  <c r="C379" i="15"/>
  <c r="C375" i="15"/>
  <c r="C371" i="15"/>
  <c r="C367" i="15"/>
  <c r="C363" i="15"/>
  <c r="C359" i="15"/>
  <c r="C355" i="15"/>
  <c r="C351" i="15"/>
  <c r="C347" i="15"/>
  <c r="C343" i="15"/>
  <c r="C339" i="15"/>
  <c r="C335" i="15"/>
  <c r="C331" i="15"/>
  <c r="C327" i="15"/>
  <c r="C323" i="15"/>
  <c r="C319" i="15"/>
  <c r="C315" i="15"/>
  <c r="C311" i="15"/>
  <c r="C307" i="15"/>
  <c r="C303" i="15"/>
  <c r="C299" i="15"/>
  <c r="C295" i="15"/>
  <c r="C291" i="15"/>
  <c r="C287" i="15"/>
  <c r="C283" i="15"/>
  <c r="C279" i="15"/>
  <c r="C275" i="15"/>
  <c r="C271" i="15"/>
  <c r="C267" i="15"/>
  <c r="C263" i="15"/>
  <c r="C259" i="15"/>
  <c r="C255" i="15"/>
  <c r="C251" i="15"/>
  <c r="C247" i="15"/>
  <c r="C243" i="15"/>
  <c r="C239" i="15"/>
  <c r="C235" i="15"/>
  <c r="C231" i="15"/>
  <c r="C227" i="15"/>
  <c r="C223" i="15"/>
  <c r="C219" i="15"/>
  <c r="C215" i="15"/>
  <c r="C211" i="15"/>
  <c r="C207" i="15"/>
  <c r="C203" i="15"/>
  <c r="C199" i="15"/>
  <c r="C195" i="15"/>
  <c r="C191" i="15"/>
  <c r="C187" i="15"/>
  <c r="C183" i="15"/>
  <c r="C179" i="15"/>
  <c r="C175" i="15"/>
  <c r="C171" i="15"/>
  <c r="C167" i="15"/>
  <c r="C163" i="15"/>
  <c r="C159" i="15"/>
  <c r="C155" i="15"/>
  <c r="C151" i="15"/>
  <c r="C147" i="15"/>
  <c r="C143" i="15"/>
  <c r="C139" i="15"/>
  <c r="C135" i="15"/>
  <c r="C131" i="15"/>
  <c r="C127" i="15"/>
  <c r="C123" i="15"/>
  <c r="C119" i="15"/>
  <c r="C115" i="15"/>
  <c r="C111" i="15"/>
  <c r="C107" i="15"/>
  <c r="C103" i="15"/>
  <c r="C99" i="15"/>
  <c r="C95" i="15"/>
  <c r="C91" i="15"/>
  <c r="C87" i="15"/>
  <c r="C83" i="15"/>
  <c r="C79" i="15"/>
  <c r="C75" i="15"/>
  <c r="C71" i="15"/>
  <c r="C67" i="15"/>
  <c r="C63" i="15"/>
  <c r="C59" i="15"/>
  <c r="C55" i="15"/>
  <c r="C51" i="15"/>
  <c r="C47" i="15"/>
  <c r="C43" i="15"/>
  <c r="C39" i="15"/>
  <c r="C35" i="15"/>
  <c r="C31" i="15"/>
  <c r="C27" i="15"/>
  <c r="C23" i="15"/>
  <c r="C19" i="15"/>
  <c r="C15" i="15"/>
  <c r="C11" i="15"/>
  <c r="C7" i="15"/>
  <c r="D455" i="15"/>
  <c r="D451" i="15"/>
  <c r="D447" i="15"/>
  <c r="D443" i="15"/>
  <c r="D439" i="15"/>
  <c r="D435" i="15"/>
  <c r="D431" i="15"/>
  <c r="D427" i="15"/>
  <c r="D423" i="15"/>
  <c r="D419" i="15"/>
  <c r="D415" i="15"/>
  <c r="D411" i="15"/>
  <c r="D407" i="15"/>
  <c r="D403" i="15"/>
  <c r="D399" i="15"/>
  <c r="D395" i="15"/>
  <c r="D391" i="15"/>
  <c r="D387" i="15"/>
  <c r="D383" i="15"/>
  <c r="D379" i="15"/>
  <c r="D375" i="15"/>
  <c r="D371" i="15"/>
  <c r="D367" i="15"/>
  <c r="D363" i="15"/>
  <c r="D359" i="15"/>
  <c r="D355" i="15"/>
  <c r="D351" i="15"/>
  <c r="D347" i="15"/>
  <c r="D343" i="15"/>
  <c r="D339" i="15"/>
  <c r="D335" i="15"/>
  <c r="D331" i="15"/>
  <c r="D327" i="15"/>
  <c r="D323" i="15"/>
  <c r="D319" i="15"/>
  <c r="D315" i="15"/>
  <c r="D311" i="15"/>
  <c r="D307" i="15"/>
  <c r="D303" i="15"/>
  <c r="D299" i="15"/>
  <c r="D295" i="15"/>
  <c r="D291" i="15"/>
  <c r="D287" i="15"/>
  <c r="D283" i="15"/>
  <c r="D279" i="15"/>
  <c r="D275" i="15"/>
  <c r="D271" i="15"/>
  <c r="D267" i="15"/>
  <c r="D263" i="15"/>
  <c r="D259" i="15"/>
  <c r="D255" i="15"/>
  <c r="D251" i="15"/>
  <c r="D247" i="15"/>
  <c r="D243" i="15"/>
  <c r="D239" i="15"/>
  <c r="D235" i="15"/>
  <c r="D231" i="15"/>
  <c r="D227" i="15"/>
  <c r="D223" i="15"/>
  <c r="D219" i="15"/>
  <c r="D215" i="15"/>
  <c r="D211" i="15"/>
  <c r="D207" i="15"/>
  <c r="D203" i="15"/>
  <c r="D199" i="15"/>
  <c r="D195" i="15"/>
  <c r="D191" i="15"/>
  <c r="D187" i="15"/>
  <c r="D183" i="15"/>
  <c r="D179" i="15"/>
  <c r="D175" i="15"/>
  <c r="D171" i="15"/>
  <c r="D167" i="15"/>
  <c r="D163" i="15"/>
  <c r="D159" i="15"/>
  <c r="D155" i="15"/>
  <c r="D151" i="15"/>
  <c r="D147" i="15"/>
  <c r="D143" i="15"/>
  <c r="D139" i="15"/>
  <c r="S139" i="15" s="1"/>
  <c r="D135" i="15"/>
  <c r="D131" i="15"/>
  <c r="D127" i="15"/>
  <c r="D123" i="15"/>
  <c r="S123" i="15" s="1"/>
  <c r="D119" i="15"/>
  <c r="D115" i="15"/>
  <c r="D111" i="15"/>
  <c r="T111" i="15" s="1"/>
  <c r="D107" i="15"/>
  <c r="D103" i="15"/>
  <c r="D99" i="15"/>
  <c r="D95" i="15"/>
  <c r="T95" i="15" s="1"/>
  <c r="D91" i="15"/>
  <c r="D87" i="15"/>
  <c r="D83" i="15"/>
  <c r="D79" i="15"/>
  <c r="T79" i="15" s="1"/>
  <c r="D75" i="15"/>
  <c r="D71" i="15"/>
  <c r="D67" i="15"/>
  <c r="D63" i="15"/>
  <c r="T63" i="15" s="1"/>
  <c r="D59" i="15"/>
  <c r="D55" i="15"/>
  <c r="D51" i="15"/>
  <c r="D47" i="15"/>
  <c r="T47" i="15" s="1"/>
  <c r="D43" i="15"/>
  <c r="D39" i="15"/>
  <c r="D35" i="15"/>
  <c r="D31" i="15"/>
  <c r="D27" i="15"/>
  <c r="D23" i="15"/>
  <c r="D19" i="15"/>
  <c r="D15" i="15"/>
  <c r="D11" i="15"/>
  <c r="D7" i="15"/>
  <c r="E455" i="15"/>
  <c r="E451" i="15"/>
  <c r="E447" i="15"/>
  <c r="E443" i="15"/>
  <c r="E439" i="15"/>
  <c r="E435" i="15"/>
  <c r="E431" i="15"/>
  <c r="E427" i="15"/>
  <c r="E423" i="15"/>
  <c r="E419" i="15"/>
  <c r="E415" i="15"/>
  <c r="E411" i="15"/>
  <c r="E407" i="15"/>
  <c r="E403" i="15"/>
  <c r="E399" i="15"/>
  <c r="E395" i="15"/>
  <c r="E391" i="15"/>
  <c r="E387" i="15"/>
  <c r="E383" i="15"/>
  <c r="E379" i="15"/>
  <c r="E375" i="15"/>
  <c r="E371" i="15"/>
  <c r="E367" i="15"/>
  <c r="E363" i="15"/>
  <c r="E359" i="15"/>
  <c r="E355" i="15"/>
  <c r="E351" i="15"/>
  <c r="E347" i="15"/>
  <c r="E343" i="15"/>
  <c r="E339" i="15"/>
  <c r="E335" i="15"/>
  <c r="E331" i="15"/>
  <c r="E327" i="15"/>
  <c r="E323" i="15"/>
  <c r="E319" i="15"/>
  <c r="E315" i="15"/>
  <c r="E311" i="15"/>
  <c r="E307" i="15"/>
  <c r="E303" i="15"/>
  <c r="E299" i="15"/>
  <c r="E295" i="15"/>
  <c r="E291" i="15"/>
  <c r="E287" i="15"/>
  <c r="E283" i="15"/>
  <c r="E279" i="15"/>
  <c r="E275" i="15"/>
  <c r="E271" i="15"/>
  <c r="E267" i="15"/>
  <c r="E263" i="15"/>
  <c r="E259" i="15"/>
  <c r="E255" i="15"/>
  <c r="E251" i="15"/>
  <c r="E247" i="15"/>
  <c r="E243" i="15"/>
  <c r="E239" i="15"/>
  <c r="E235" i="15"/>
  <c r="E231" i="15"/>
  <c r="E227" i="15"/>
  <c r="E223" i="15"/>
  <c r="E219" i="15"/>
  <c r="E215" i="15"/>
  <c r="E211" i="15"/>
  <c r="E207" i="15"/>
  <c r="E203" i="15"/>
  <c r="E199" i="15"/>
  <c r="E195" i="15"/>
  <c r="E191" i="15"/>
  <c r="E187" i="15"/>
  <c r="E183" i="15"/>
  <c r="E179" i="15"/>
  <c r="E175" i="15"/>
  <c r="E171" i="15"/>
  <c r="E167" i="15"/>
  <c r="E163" i="15"/>
  <c r="E159" i="15"/>
  <c r="E155" i="15"/>
  <c r="E151" i="15"/>
  <c r="E147" i="15"/>
  <c r="E143" i="15"/>
  <c r="E139" i="15"/>
  <c r="E135" i="15"/>
  <c r="E131" i="15"/>
  <c r="E127" i="15"/>
  <c r="E123" i="15"/>
  <c r="E119" i="15"/>
  <c r="E115" i="15"/>
  <c r="E111" i="15"/>
  <c r="E107" i="15"/>
  <c r="E103" i="15"/>
  <c r="E99" i="15"/>
  <c r="E95" i="15"/>
  <c r="E91" i="15"/>
  <c r="E87" i="15"/>
  <c r="E83" i="15"/>
  <c r="E79" i="15"/>
  <c r="E75" i="15"/>
  <c r="E71" i="15"/>
  <c r="E67" i="15"/>
  <c r="E63" i="15"/>
  <c r="E59" i="15"/>
  <c r="E55" i="15"/>
  <c r="E51" i="15"/>
  <c r="E47" i="15"/>
  <c r="E43" i="15"/>
  <c r="E39" i="15"/>
  <c r="E35" i="15"/>
  <c r="E31" i="15"/>
  <c r="E27" i="15"/>
  <c r="E23" i="15"/>
  <c r="E19" i="15"/>
  <c r="E15" i="15"/>
  <c r="E11" i="15"/>
  <c r="E7" i="15"/>
  <c r="F455" i="15"/>
  <c r="F451" i="15"/>
  <c r="F447" i="15"/>
  <c r="F443" i="15"/>
  <c r="F439" i="15"/>
  <c r="F435" i="15"/>
  <c r="F431" i="15"/>
  <c r="F427" i="15"/>
  <c r="F423" i="15"/>
  <c r="F419" i="15"/>
  <c r="F415" i="15"/>
  <c r="F411" i="15"/>
  <c r="F407" i="15"/>
  <c r="F403" i="15"/>
  <c r="F399" i="15"/>
  <c r="F395" i="15"/>
  <c r="F391" i="15"/>
  <c r="F387" i="15"/>
  <c r="F383" i="15"/>
  <c r="F379" i="15"/>
  <c r="F375" i="15"/>
  <c r="F371" i="15"/>
  <c r="F367" i="15"/>
  <c r="F363" i="15"/>
  <c r="F359" i="15"/>
  <c r="F355" i="15"/>
  <c r="F351" i="15"/>
  <c r="F347" i="15"/>
  <c r="F343" i="15"/>
  <c r="F339" i="15"/>
  <c r="F335" i="15"/>
  <c r="F331" i="15"/>
  <c r="F327" i="15"/>
  <c r="F323" i="15"/>
  <c r="F319" i="15"/>
  <c r="F315" i="15"/>
  <c r="F311" i="15"/>
  <c r="F307" i="15"/>
  <c r="F303" i="15"/>
  <c r="F299" i="15"/>
  <c r="F295" i="15"/>
  <c r="F291" i="15"/>
  <c r="F287" i="15"/>
  <c r="F283" i="15"/>
  <c r="F279" i="15"/>
  <c r="F275" i="15"/>
  <c r="F271" i="15"/>
  <c r="F267" i="15"/>
  <c r="F263" i="15"/>
  <c r="F259" i="15"/>
  <c r="F255" i="15"/>
  <c r="F251" i="15"/>
  <c r="F247" i="15"/>
  <c r="F243" i="15"/>
  <c r="F239" i="15"/>
  <c r="F235" i="15"/>
  <c r="F231" i="15"/>
  <c r="F227" i="15"/>
  <c r="F223" i="15"/>
  <c r="F219" i="15"/>
  <c r="F215" i="15"/>
  <c r="F211" i="15"/>
  <c r="F207" i="15"/>
  <c r="F203" i="15"/>
  <c r="F199" i="15"/>
  <c r="F195" i="15"/>
  <c r="F191" i="15"/>
  <c r="F187" i="15"/>
  <c r="F183" i="15"/>
  <c r="F179" i="15"/>
  <c r="F175" i="15"/>
  <c r="F171" i="15"/>
  <c r="F167" i="15"/>
  <c r="F163" i="15"/>
  <c r="F159" i="15"/>
  <c r="F155" i="15"/>
  <c r="F151" i="15"/>
  <c r="F147" i="15"/>
  <c r="F143" i="15"/>
  <c r="F139" i="15"/>
  <c r="F135" i="15"/>
  <c r="F131" i="15"/>
  <c r="F127" i="15"/>
  <c r="F123" i="15"/>
  <c r="F119" i="15"/>
  <c r="F115" i="15"/>
  <c r="F111" i="15"/>
  <c r="F107" i="15"/>
  <c r="F103" i="15"/>
  <c r="F99" i="15"/>
  <c r="F95" i="15"/>
  <c r="F91" i="15"/>
  <c r="F87" i="15"/>
  <c r="F83" i="15"/>
  <c r="F79" i="15"/>
  <c r="F75" i="15"/>
  <c r="F71" i="15"/>
  <c r="F67" i="15"/>
  <c r="F63" i="15"/>
  <c r="F59" i="15"/>
  <c r="F55" i="15"/>
  <c r="F51" i="15"/>
  <c r="F47" i="15"/>
  <c r="F43" i="15"/>
  <c r="F39" i="15"/>
  <c r="F35" i="15"/>
  <c r="F31" i="15"/>
  <c r="F27" i="15"/>
  <c r="F23" i="15"/>
  <c r="F19" i="15"/>
  <c r="F15" i="15"/>
  <c r="F11" i="15"/>
  <c r="F7" i="15"/>
  <c r="G455" i="15"/>
  <c r="G451" i="15"/>
  <c r="G447" i="15"/>
  <c r="G443" i="15"/>
  <c r="G439" i="15"/>
  <c r="G435" i="15"/>
  <c r="G427" i="15"/>
  <c r="AW61" i="13"/>
  <c r="AV62" i="13"/>
  <c r="AW62" i="13"/>
  <c r="AU62" i="13"/>
  <c r="AV64" i="13"/>
  <c r="AW66" i="13"/>
  <c r="AU66" i="13"/>
  <c r="AV68" i="13"/>
  <c r="AW68" i="13"/>
  <c r="AV70" i="13"/>
  <c r="AU67" i="13"/>
  <c r="AV67" i="13"/>
  <c r="AV69" i="13"/>
  <c r="AU69" i="13"/>
  <c r="AW69" i="13"/>
  <c r="K9" i="9" a="1"/>
  <c r="K9" i="9" s="1"/>
  <c r="K11" i="9" a="1"/>
  <c r="K11" i="9" s="1"/>
  <c r="I11" i="9" a="1"/>
  <c r="I11" i="9" s="1"/>
  <c r="B7" i="9" a="1"/>
  <c r="B7" i="9" s="1"/>
  <c r="E7" i="9" a="1"/>
  <c r="E7" i="9" s="1"/>
  <c r="E14" i="9" a="1"/>
  <c r="E14" i="9" s="1"/>
  <c r="C14" i="9" a="1"/>
  <c r="C14" i="9" s="1"/>
  <c r="B14" i="9" a="1"/>
  <c r="B14" i="9" s="1"/>
  <c r="K44" i="9" a="1"/>
  <c r="K44" i="9" s="1"/>
  <c r="I44" i="9" a="1"/>
  <c r="I44" i="9" s="1"/>
  <c r="G44" i="9" a="1"/>
  <c r="G44" i="9" s="1"/>
  <c r="E44" i="9" a="1"/>
  <c r="E44" i="9" s="1"/>
  <c r="C44" i="9" a="1"/>
  <c r="C44" i="9" s="1"/>
  <c r="H44" i="9" a="1"/>
  <c r="H44" i="9" s="1"/>
  <c r="F44" i="9" a="1"/>
  <c r="F44" i="9" s="1"/>
  <c r="B44" i="9" a="1"/>
  <c r="B44" i="9" s="1"/>
  <c r="J44" i="9" a="1"/>
  <c r="J44" i="9" s="1"/>
  <c r="L44" i="9"/>
  <c r="N44" i="9" s="1"/>
  <c r="M44" i="9" s="1" a="1"/>
  <c r="M44" i="9" s="1"/>
  <c r="D44" i="9" a="1"/>
  <c r="D44" i="9" s="1"/>
  <c r="B27" i="9" a="1"/>
  <c r="B27" i="9" s="1"/>
  <c r="F26" i="9" a="1"/>
  <c r="F26" i="9" s="1"/>
  <c r="G28" i="9" a="1"/>
  <c r="G28" i="9" s="1"/>
  <c r="F28" i="9" a="1"/>
  <c r="F28" i="9" s="1"/>
  <c r="F29" i="9" a="1"/>
  <c r="F29" i="9" s="1"/>
  <c r="G30" i="9" a="1"/>
  <c r="G30" i="9" s="1"/>
  <c r="F30" i="9" a="1"/>
  <c r="F30" i="9" s="1"/>
  <c r="G32" i="9" a="1"/>
  <c r="G32" i="9" s="1"/>
  <c r="F32" i="9" a="1"/>
  <c r="F32" i="9" s="1"/>
  <c r="G34" i="9" a="1"/>
  <c r="G34" i="9" s="1"/>
  <c r="E34" i="9" a="1"/>
  <c r="E34" i="9" s="1"/>
  <c r="B34" i="9" a="1"/>
  <c r="B34" i="9" s="1"/>
  <c r="H34" i="9" a="1"/>
  <c r="H34" i="9" s="1"/>
  <c r="L37" i="9"/>
  <c r="N37" i="9" s="1"/>
  <c r="M37" i="9" s="1" a="1"/>
  <c r="M37" i="9" s="1"/>
  <c r="J37" i="9" a="1"/>
  <c r="J37" i="9" s="1"/>
  <c r="H37" i="9" a="1"/>
  <c r="H37" i="9" s="1"/>
  <c r="F37" i="9" a="1"/>
  <c r="F37" i="9" s="1"/>
  <c r="D37" i="9" a="1"/>
  <c r="D37" i="9" s="1"/>
  <c r="B37" i="9" a="1"/>
  <c r="B37" i="9" s="1"/>
  <c r="K37" i="9" a="1"/>
  <c r="K37" i="9" s="1"/>
  <c r="C37" i="9" a="1"/>
  <c r="C37" i="9" s="1"/>
  <c r="E37" i="9" a="1"/>
  <c r="E37" i="9" s="1"/>
  <c r="K38" i="9" a="1"/>
  <c r="K38" i="9" s="1"/>
  <c r="I38" i="9" a="1"/>
  <c r="I38" i="9" s="1"/>
  <c r="G38" i="9" a="1"/>
  <c r="G38" i="9" s="1"/>
  <c r="E38" i="9" a="1"/>
  <c r="E38" i="9" s="1"/>
  <c r="C38" i="9" a="1"/>
  <c r="C38" i="9" s="1"/>
  <c r="F38" i="9" a="1"/>
  <c r="F38" i="9" s="1"/>
  <c r="D38" i="9" a="1"/>
  <c r="D38" i="9" s="1"/>
  <c r="L38" i="9"/>
  <c r="N38" i="9" s="1"/>
  <c r="M38" i="9" s="1" a="1"/>
  <c r="M38" i="9" s="1"/>
  <c r="B38" i="9" a="1"/>
  <c r="B38" i="9" s="1"/>
  <c r="H38" i="9" a="1"/>
  <c r="H38" i="9" s="1"/>
  <c r="K40" i="9" a="1"/>
  <c r="K40" i="9" s="1"/>
  <c r="I40" i="9" a="1"/>
  <c r="I40" i="9" s="1"/>
  <c r="G40" i="9" a="1"/>
  <c r="G40" i="9" s="1"/>
  <c r="E40" i="9" a="1"/>
  <c r="E40" i="9" s="1"/>
  <c r="C40" i="9" a="1"/>
  <c r="C40" i="9" s="1"/>
  <c r="L40" i="9"/>
  <c r="N40" i="9" s="1"/>
  <c r="M40" i="9" s="1" a="1"/>
  <c r="M40" i="9" s="1"/>
  <c r="D40" i="9" a="1"/>
  <c r="D40" i="9" s="1"/>
  <c r="B40" i="9" a="1"/>
  <c r="B40" i="9" s="1"/>
  <c r="K42" i="9" a="1"/>
  <c r="K42" i="9" s="1"/>
  <c r="I42" i="9" a="1"/>
  <c r="I42" i="9" s="1"/>
  <c r="G42" i="9" a="1"/>
  <c r="G42" i="9" s="1"/>
  <c r="E42" i="9" a="1"/>
  <c r="E42" i="9" s="1"/>
  <c r="C42" i="9" a="1"/>
  <c r="C42" i="9" s="1"/>
  <c r="J42" i="9" a="1"/>
  <c r="J42" i="9" s="1"/>
  <c r="B42" i="9" a="1"/>
  <c r="B42" i="9" s="1"/>
  <c r="L42" i="9"/>
  <c r="N42" i="9" s="1"/>
  <c r="M42" i="9" s="1" a="1"/>
  <c r="M42" i="9" s="1"/>
  <c r="H42" i="9" a="1"/>
  <c r="H42" i="9" s="1"/>
  <c r="L43" i="9"/>
  <c r="N43" i="9" s="1"/>
  <c r="M43" i="9" s="1" a="1"/>
  <c r="M43" i="9" s="1"/>
  <c r="J43" i="9" a="1"/>
  <c r="J43" i="9" s="1"/>
  <c r="H43" i="9" a="1"/>
  <c r="H43" i="9" s="1"/>
  <c r="F43" i="9" a="1"/>
  <c r="F43" i="9" s="1"/>
  <c r="D43" i="9" a="1"/>
  <c r="D43" i="9" s="1"/>
  <c r="B43" i="9" a="1"/>
  <c r="B43" i="9" s="1"/>
  <c r="E43" i="9" a="1"/>
  <c r="E43" i="9" s="1"/>
  <c r="I43" i="9" a="1"/>
  <c r="I43" i="9" s="1"/>
  <c r="G43" i="9" a="1"/>
  <c r="G43" i="9" s="1"/>
  <c r="E10" i="9" a="1"/>
  <c r="E10" i="9" s="1"/>
  <c r="G10" i="9" a="1"/>
  <c r="G10" i="9" s="1"/>
  <c r="I10" i="9" a="1"/>
  <c r="I10" i="9" s="1"/>
  <c r="E17" i="9" a="1"/>
  <c r="E17" i="9" s="1"/>
  <c r="C20" i="9" a="1"/>
  <c r="C20" i="9" s="1"/>
  <c r="C22" i="9" a="1"/>
  <c r="C22" i="9" s="1"/>
  <c r="K24" i="9" a="1"/>
  <c r="K24" i="9" s="1"/>
  <c r="K28" i="9" a="1"/>
  <c r="K28" i="9" s="1"/>
  <c r="L28" i="9" s="1"/>
  <c r="N28" i="9" s="1"/>
  <c r="M28" i="9" s="1" a="1"/>
  <c r="M28" i="9" s="1"/>
  <c r="E29" i="9" a="1"/>
  <c r="E29" i="9" s="1"/>
  <c r="K30" i="9" a="1"/>
  <c r="K30" i="9" s="1"/>
  <c r="K32" i="9" a="1"/>
  <c r="K32" i="9" s="1"/>
  <c r="B35" i="9" a="1"/>
  <c r="B35" i="9" s="1"/>
  <c r="E35" i="9" a="1"/>
  <c r="E35" i="9" s="1"/>
  <c r="K35" i="9" a="1"/>
  <c r="K35" i="9" s="1"/>
  <c r="I35" i="9" a="1"/>
  <c r="I35" i="9" s="1"/>
  <c r="I37" i="9" a="1"/>
  <c r="I37" i="9" s="1"/>
  <c r="J40" i="9" a="1"/>
  <c r="J40" i="9" s="1"/>
  <c r="D42" i="9" a="1"/>
  <c r="D42" i="9" s="1"/>
  <c r="C43" i="9" a="1"/>
  <c r="C43" i="9" s="1"/>
  <c r="K36" i="9" a="1"/>
  <c r="K36" i="9" s="1"/>
  <c r="I36" i="9" a="1"/>
  <c r="I36" i="9" s="1"/>
  <c r="G36" i="9" a="1"/>
  <c r="G36" i="9" s="1"/>
  <c r="E36" i="9" a="1"/>
  <c r="E36" i="9" s="1"/>
  <c r="C36" i="9" a="1"/>
  <c r="C36" i="9" s="1"/>
  <c r="H36" i="9" a="1"/>
  <c r="H36" i="9" s="1"/>
  <c r="L36" i="9"/>
  <c r="N36" i="9" s="1"/>
  <c r="M36" i="9" s="1" a="1"/>
  <c r="M36" i="9" s="1"/>
  <c r="L45" i="9"/>
  <c r="N45" i="9" s="1"/>
  <c r="M45" i="9" s="1" a="1"/>
  <c r="M45" i="9" s="1"/>
  <c r="J45" i="9" a="1"/>
  <c r="J45" i="9" s="1"/>
  <c r="H45" i="9" a="1"/>
  <c r="H45" i="9" s="1"/>
  <c r="F45" i="9" a="1"/>
  <c r="F45" i="9" s="1"/>
  <c r="D45" i="9" a="1"/>
  <c r="D45" i="9" s="1"/>
  <c r="B45" i="9" a="1"/>
  <c r="B45" i="9" s="1"/>
  <c r="K45" i="9" a="1"/>
  <c r="K45" i="9" s="1"/>
  <c r="C45" i="9" a="1"/>
  <c r="C45" i="9" s="1"/>
  <c r="G45" i="9" a="1"/>
  <c r="G45" i="9" s="1"/>
  <c r="L39" i="9"/>
  <c r="N39" i="9" s="1"/>
  <c r="M39" i="9" s="1" a="1"/>
  <c r="M39" i="9" s="1"/>
  <c r="J39" i="9" a="1"/>
  <c r="J39" i="9" s="1"/>
  <c r="H39" i="9" a="1"/>
  <c r="H39" i="9" s="1"/>
  <c r="F39" i="9" a="1"/>
  <c r="F39" i="9" s="1"/>
  <c r="D39" i="9" a="1"/>
  <c r="D39" i="9" s="1"/>
  <c r="B39" i="9" a="1"/>
  <c r="B39" i="9" s="1"/>
  <c r="I39" i="9" a="1"/>
  <c r="I39" i="9" s="1"/>
  <c r="E39" i="9" a="1"/>
  <c r="E39" i="9" s="1"/>
  <c r="G33" i="9" a="1"/>
  <c r="G33" i="9" s="1"/>
  <c r="L41" i="9"/>
  <c r="N41" i="9" s="1"/>
  <c r="M41" i="9" s="1" a="1"/>
  <c r="M41" i="9" s="1"/>
  <c r="J41" i="9" a="1"/>
  <c r="J41" i="9" s="1"/>
  <c r="H41" i="9" a="1"/>
  <c r="H41" i="9" s="1"/>
  <c r="F41" i="9" a="1"/>
  <c r="F41" i="9" s="1"/>
  <c r="D41" i="9" a="1"/>
  <c r="D41" i="9" s="1"/>
  <c r="B41" i="9" a="1"/>
  <c r="B41" i="9" s="1"/>
  <c r="G41" i="9" a="1"/>
  <c r="G41" i="9" s="1"/>
  <c r="G6" i="9" a="1"/>
  <c r="G6" i="9" s="1"/>
  <c r="I14" i="7" a="1"/>
  <c r="I14" i="7" s="1"/>
  <c r="E14" i="7" a="1"/>
  <c r="E14" i="7" s="1"/>
  <c r="C14" i="7" a="1"/>
  <c r="C14" i="7" s="1"/>
  <c r="L15" i="7" a="1"/>
  <c r="L15" i="7" s="1"/>
  <c r="F15" i="7" a="1"/>
  <c r="F15" i="7" s="1"/>
  <c r="D15" i="7" a="1"/>
  <c r="D15" i="7" s="1"/>
  <c r="I15" i="7" a="1"/>
  <c r="I15" i="7" s="1"/>
  <c r="D22" i="7" a="1"/>
  <c r="D22" i="7" s="1"/>
  <c r="I22" i="7" a="1"/>
  <c r="I22" i="7" s="1"/>
  <c r="K8" i="7" a="1"/>
  <c r="K8" i="7" s="1"/>
  <c r="I8" i="7" a="1"/>
  <c r="I8" i="7" s="1"/>
  <c r="G8" i="7" a="1"/>
  <c r="G8" i="7" s="1"/>
  <c r="C8" i="7" a="1"/>
  <c r="C8" i="7" s="1"/>
  <c r="P11" i="7"/>
  <c r="B11" i="7" a="1"/>
  <c r="B11" i="7" s="1"/>
  <c r="P9" i="7"/>
  <c r="B9" i="7" a="1"/>
  <c r="B9" i="7" s="1"/>
  <c r="D14" i="7" a="1"/>
  <c r="D14" i="7" s="1"/>
  <c r="P7" i="7"/>
  <c r="B7" i="7" a="1"/>
  <c r="B7" i="7" s="1"/>
  <c r="F8" i="7" a="1"/>
  <c r="F8" i="7" s="1"/>
  <c r="K12" i="7" a="1"/>
  <c r="K12" i="7" s="1"/>
  <c r="I12" i="7" a="1"/>
  <c r="I12" i="7" s="1"/>
  <c r="L14" i="7" a="1"/>
  <c r="L14" i="7" s="1"/>
  <c r="L17" i="7" a="1"/>
  <c r="L17" i="7" s="1"/>
  <c r="H17" i="7" a="1"/>
  <c r="H17" i="7" s="1"/>
  <c r="F17" i="7" a="1"/>
  <c r="F17" i="7" s="1"/>
  <c r="D17" i="7" a="1"/>
  <c r="D17" i="7" s="1"/>
  <c r="I17" i="7" a="1"/>
  <c r="I17" i="7" s="1"/>
  <c r="P44" i="7"/>
  <c r="B44" i="7" a="1"/>
  <c r="B44" i="7" s="1"/>
  <c r="H8" i="7" a="1"/>
  <c r="H8" i="7" s="1"/>
  <c r="L8" i="7" a="1"/>
  <c r="L8" i="7" s="1"/>
  <c r="H14" i="7" a="1"/>
  <c r="H14" i="7" s="1"/>
  <c r="E21" i="7" a="1"/>
  <c r="E21" i="7" s="1"/>
  <c r="H21" i="7" a="1"/>
  <c r="H21" i="7" s="1"/>
  <c r="F21" i="7" a="1"/>
  <c r="F21" i="7" s="1"/>
  <c r="P42" i="7"/>
  <c r="B42" i="7" a="1"/>
  <c r="B42" i="7" s="1"/>
  <c r="K10" i="7" a="1"/>
  <c r="K10" i="7" s="1"/>
  <c r="P13" i="7"/>
  <c r="B13" i="7" a="1"/>
  <c r="B13" i="7" s="1"/>
  <c r="F14" i="7" a="1"/>
  <c r="F14" i="7" s="1"/>
  <c r="E15" i="7" a="1"/>
  <c r="E15" i="7" s="1"/>
  <c r="E19" i="7" a="1"/>
  <c r="E19" i="7" s="1"/>
  <c r="L19" i="7" a="1"/>
  <c r="L19" i="7" s="1"/>
  <c r="H19" i="7" a="1"/>
  <c r="H19" i="7" s="1"/>
  <c r="I29" i="7" a="1"/>
  <c r="I29" i="7" s="1"/>
  <c r="G29" i="7" a="1"/>
  <c r="G29" i="7" s="1"/>
  <c r="P32" i="7"/>
  <c r="B32" i="7" a="1"/>
  <c r="B32" i="7" s="1"/>
  <c r="I34" i="7" a="1"/>
  <c r="I34" i="7" s="1"/>
  <c r="P36" i="7"/>
  <c r="B36" i="7" a="1"/>
  <c r="B36" i="7" s="1"/>
  <c r="P38" i="7"/>
  <c r="B38" i="7" a="1"/>
  <c r="B38" i="7" s="1"/>
  <c r="P40" i="7"/>
  <c r="B40" i="7" a="1"/>
  <c r="B40" i="7" s="1"/>
  <c r="B15" i="7" a="1"/>
  <c r="B15" i="7" s="1"/>
  <c r="B17" i="7" a="1"/>
  <c r="B17" i="7" s="1"/>
  <c r="G18" i="7" a="1"/>
  <c r="G18" i="7" s="1"/>
  <c r="I18" i="7" a="1"/>
  <c r="I18" i="7" s="1"/>
  <c r="B19" i="7" a="1"/>
  <c r="B19" i="7" s="1"/>
  <c r="E20" i="7" a="1"/>
  <c r="E20" i="7" s="1"/>
  <c r="I20" i="7" a="1"/>
  <c r="I20" i="7" s="1"/>
  <c r="B21" i="7" a="1"/>
  <c r="B21" i="7" s="1"/>
  <c r="B23" i="7" a="1"/>
  <c r="B23" i="7" s="1"/>
  <c r="C25" i="7" a="1"/>
  <c r="C25" i="7" s="1"/>
  <c r="F25" i="7" a="1"/>
  <c r="F25" i="7" s="1"/>
  <c r="K25" i="7" a="1"/>
  <c r="K25" i="7" s="1"/>
  <c r="D26" i="7" a="1"/>
  <c r="D26" i="7" s="1"/>
  <c r="G26" i="7" a="1"/>
  <c r="G26" i="7" s="1"/>
  <c r="L26" i="7" a="1"/>
  <c r="L26" i="7" s="1"/>
  <c r="G27" i="7" a="1"/>
  <c r="G27" i="7" s="1"/>
  <c r="E27" i="7" a="1"/>
  <c r="E27" i="7" s="1"/>
  <c r="C27" i="7" a="1"/>
  <c r="C27" i="7" s="1"/>
  <c r="P30" i="7"/>
  <c r="B30" i="7" a="1"/>
  <c r="B30" i="7" s="1"/>
  <c r="D25" i="7" a="1"/>
  <c r="D25" i="7" s="1"/>
  <c r="I25" i="7" a="1"/>
  <c r="I25" i="7" s="1"/>
  <c r="L25" i="7" a="1"/>
  <c r="L25" i="7" s="1"/>
  <c r="B26" i="7" a="1"/>
  <c r="B26" i="7" s="1"/>
  <c r="E26" i="7" a="1"/>
  <c r="E26" i="7" s="1"/>
  <c r="P28" i="7"/>
  <c r="B28" i="7" a="1"/>
  <c r="B28" i="7" s="1"/>
  <c r="E34" i="7" a="1"/>
  <c r="E34" i="7" s="1"/>
  <c r="N39" i="7" a="1"/>
  <c r="N39" i="7" s="1"/>
  <c r="L39" i="7" a="1"/>
  <c r="L39" i="7" s="1"/>
  <c r="J39" i="7" a="1"/>
  <c r="J39" i="7" s="1"/>
  <c r="H39" i="7" a="1"/>
  <c r="H39" i="7" s="1"/>
  <c r="F39" i="7" a="1"/>
  <c r="F39" i="7" s="1"/>
  <c r="D39" i="7" a="1"/>
  <c r="D39" i="7" s="1"/>
  <c r="O39" i="7" a="1"/>
  <c r="O39" i="7" s="1"/>
  <c r="M39" i="7" a="1"/>
  <c r="M39" i="7" s="1"/>
  <c r="K39" i="7" a="1"/>
  <c r="K39" i="7" s="1"/>
  <c r="I39" i="7" a="1"/>
  <c r="I39" i="7" s="1"/>
  <c r="G39" i="7" a="1"/>
  <c r="G39" i="7" s="1"/>
  <c r="E39" i="7" a="1"/>
  <c r="E39" i="7" s="1"/>
  <c r="C39" i="7" a="1"/>
  <c r="C39" i="7" s="1"/>
  <c r="N41" i="7" a="1"/>
  <c r="N41" i="7" s="1"/>
  <c r="L41" i="7" a="1"/>
  <c r="L41" i="7" s="1"/>
  <c r="J41" i="7" a="1"/>
  <c r="J41" i="7" s="1"/>
  <c r="H41" i="7" a="1"/>
  <c r="H41" i="7" s="1"/>
  <c r="F41" i="7" a="1"/>
  <c r="F41" i="7" s="1"/>
  <c r="D41" i="7" a="1"/>
  <c r="D41" i="7" s="1"/>
  <c r="O41" i="7" a="1"/>
  <c r="O41" i="7" s="1"/>
  <c r="M41" i="7" a="1"/>
  <c r="M41" i="7" s="1"/>
  <c r="K41" i="7" a="1"/>
  <c r="K41" i="7" s="1"/>
  <c r="I41" i="7" a="1"/>
  <c r="I41" i="7" s="1"/>
  <c r="G41" i="7" a="1"/>
  <c r="G41" i="7" s="1"/>
  <c r="E41" i="7" a="1"/>
  <c r="E41" i="7" s="1"/>
  <c r="C41" i="7" a="1"/>
  <c r="C41" i="7" s="1"/>
  <c r="N43" i="7" a="1"/>
  <c r="N43" i="7" s="1"/>
  <c r="L43" i="7" a="1"/>
  <c r="L43" i="7" s="1"/>
  <c r="J43" i="7" a="1"/>
  <c r="J43" i="7" s="1"/>
  <c r="H43" i="7" a="1"/>
  <c r="H43" i="7" s="1"/>
  <c r="F43" i="7" a="1"/>
  <c r="F43" i="7" s="1"/>
  <c r="D43" i="7" a="1"/>
  <c r="D43" i="7" s="1"/>
  <c r="O43" i="7" a="1"/>
  <c r="O43" i="7" s="1"/>
  <c r="M43" i="7" a="1"/>
  <c r="M43" i="7" s="1"/>
  <c r="K43" i="7" a="1"/>
  <c r="K43" i="7" s="1"/>
  <c r="I43" i="7" a="1"/>
  <c r="I43" i="7" s="1"/>
  <c r="G43" i="7" a="1"/>
  <c r="G43" i="7" s="1"/>
  <c r="E43" i="7" a="1"/>
  <c r="E43" i="7" s="1"/>
  <c r="C43" i="7" a="1"/>
  <c r="C43" i="7" s="1"/>
  <c r="N45" i="7" a="1"/>
  <c r="N45" i="7" s="1"/>
  <c r="L45" i="7" a="1"/>
  <c r="L45" i="7" s="1"/>
  <c r="J45" i="7" a="1"/>
  <c r="J45" i="7" s="1"/>
  <c r="H45" i="7" a="1"/>
  <c r="H45" i="7" s="1"/>
  <c r="F45" i="7" a="1"/>
  <c r="F45" i="7" s="1"/>
  <c r="D45" i="7" a="1"/>
  <c r="D45" i="7" s="1"/>
  <c r="O45" i="7" a="1"/>
  <c r="O45" i="7" s="1"/>
  <c r="M45" i="7" a="1"/>
  <c r="M45" i="7" s="1"/>
  <c r="K45" i="7" a="1"/>
  <c r="K45" i="7" s="1"/>
  <c r="I45" i="7" a="1"/>
  <c r="I45" i="7" s="1"/>
  <c r="G45" i="7" a="1"/>
  <c r="G45" i="7" s="1"/>
  <c r="E45" i="7" a="1"/>
  <c r="E45" i="7" s="1"/>
  <c r="C45" i="7" a="1"/>
  <c r="C45" i="7" s="1"/>
  <c r="D24" i="7" a="1"/>
  <c r="D24" i="7" s="1"/>
  <c r="H24" i="7" a="1"/>
  <c r="H24" i="7" s="1"/>
  <c r="L24" i="7" a="1"/>
  <c r="L24" i="7" s="1"/>
  <c r="G25" i="7" a="1"/>
  <c r="G25" i="7" s="1"/>
  <c r="C26" i="7" a="1"/>
  <c r="C26" i="7" s="1"/>
  <c r="H26" i="7" a="1"/>
  <c r="H26" i="7" s="1"/>
  <c r="K26" i="7" a="1"/>
  <c r="K26" i="7" s="1"/>
  <c r="F27" i="7" a="1"/>
  <c r="F27" i="7" s="1"/>
  <c r="I31" i="7" a="1"/>
  <c r="I31" i="7" s="1"/>
  <c r="G31" i="7" a="1"/>
  <c r="G31" i="7" s="1"/>
  <c r="E31" i="7" a="1"/>
  <c r="E31" i="7" s="1"/>
  <c r="L33" i="7" a="1"/>
  <c r="L33" i="7" s="1"/>
  <c r="H33" i="7" a="1"/>
  <c r="H33" i="7" s="1"/>
  <c r="F33" i="7" a="1"/>
  <c r="F33" i="7" s="1"/>
  <c r="K33" i="7" a="1"/>
  <c r="K33" i="7" s="1"/>
  <c r="I33" i="7" a="1"/>
  <c r="I33" i="7" s="1"/>
  <c r="G33" i="7" a="1"/>
  <c r="G33" i="7" s="1"/>
  <c r="C33" i="7" a="1"/>
  <c r="C33" i="7" s="1"/>
  <c r="C35" i="7" a="1"/>
  <c r="C35" i="7" s="1"/>
  <c r="F35" i="7" a="1"/>
  <c r="F35" i="7" s="1"/>
  <c r="G35" i="7" a="1"/>
  <c r="G35" i="7" s="1"/>
  <c r="N37" i="7" a="1"/>
  <c r="N37" i="7" s="1"/>
  <c r="L37" i="7" a="1"/>
  <c r="L37" i="7" s="1"/>
  <c r="J37" i="7" a="1"/>
  <c r="J37" i="7" s="1"/>
  <c r="H37" i="7" a="1"/>
  <c r="H37" i="7" s="1"/>
  <c r="F37" i="7" a="1"/>
  <c r="F37" i="7" s="1"/>
  <c r="D37" i="7" a="1"/>
  <c r="D37" i="7" s="1"/>
  <c r="O37" i="7" a="1"/>
  <c r="O37" i="7" s="1"/>
  <c r="M37" i="7" a="1"/>
  <c r="M37" i="7" s="1"/>
  <c r="K37" i="7" a="1"/>
  <c r="K37" i="7" s="1"/>
  <c r="I37" i="7" a="1"/>
  <c r="I37" i="7" s="1"/>
  <c r="G37" i="7" a="1"/>
  <c r="G37" i="7" s="1"/>
  <c r="E37" i="7" a="1"/>
  <c r="E37" i="7" s="1"/>
  <c r="C37" i="7" a="1"/>
  <c r="C37" i="7" s="1"/>
  <c r="B39" i="7" a="1"/>
  <c r="B39" i="7" s="1"/>
  <c r="B41" i="7" a="1"/>
  <c r="B41" i="7" s="1"/>
  <c r="B43" i="7" a="1"/>
  <c r="B43" i="7" s="1"/>
  <c r="B45" i="7" a="1"/>
  <c r="B45" i="7" s="1"/>
  <c r="K6" i="7" a="1"/>
  <c r="K6" i="7" s="1"/>
  <c r="F6" i="7" a="1"/>
  <c r="F6" i="7" s="1"/>
  <c r="C9" i="6"/>
  <c r="C13" i="6"/>
  <c r="C17" i="6" a="1"/>
  <c r="C17" i="6" s="1"/>
  <c r="C6" i="6"/>
  <c r="A7" i="13" s="1"/>
  <c r="C10" i="6"/>
  <c r="C14" i="6"/>
  <c r="C7" i="6"/>
  <c r="C7" i="13" s="1"/>
  <c r="C11" i="6"/>
  <c r="C15" i="6"/>
  <c r="C8" i="6"/>
  <c r="E7" i="13" s="1"/>
  <c r="C16" i="6"/>
  <c r="AS63" i="13" s="1"/>
  <c r="AT11" i="5"/>
  <c r="AT12" i="5"/>
  <c r="AT35" i="5"/>
  <c r="AT44" i="5"/>
  <c r="AT56" i="5"/>
  <c r="AT5" i="5"/>
  <c r="B42" i="19" s="1"/>
  <c r="D42" i="19" s="1"/>
  <c r="AS7" i="5"/>
  <c r="AT15" i="5"/>
  <c r="AT19" i="5"/>
  <c r="AT23" i="5"/>
  <c r="AS40" i="5"/>
  <c r="AT46" i="5"/>
  <c r="AT52" i="5"/>
  <c r="AS54" i="5"/>
  <c r="AT58" i="5"/>
  <c r="AT8" i="5"/>
  <c r="AS13" i="5"/>
  <c r="AT27" i="5"/>
  <c r="AT36" i="5"/>
  <c r="AS38" i="5"/>
  <c r="AT40" i="5"/>
  <c r="AT48" i="5"/>
  <c r="AT60" i="5"/>
  <c r="AS6" i="5"/>
  <c r="AT16" i="5"/>
  <c r="AT20" i="5"/>
  <c r="AT24" i="5"/>
  <c r="AT28" i="5"/>
  <c r="AS29" i="5"/>
  <c r="AT31" i="5"/>
  <c r="AT32" i="5"/>
  <c r="AT42" i="5"/>
  <c r="AS50" i="5"/>
  <c r="Z11" i="5"/>
  <c r="Z15" i="5"/>
  <c r="AD23" i="5"/>
  <c r="AE24" i="5"/>
  <c r="AB25" i="5"/>
  <c r="AC25" i="5" s="1"/>
  <c r="AR25" i="5" s="1"/>
  <c r="Z27" i="5"/>
  <c r="AD27" i="5"/>
  <c r="AE28" i="5"/>
  <c r="Z35" i="5"/>
  <c r="AD35" i="5"/>
  <c r="AT38" i="5"/>
  <c r="AD39" i="5"/>
  <c r="AD40" i="5"/>
  <c r="AD41" i="5"/>
  <c r="Z43" i="5"/>
  <c r="Z44" i="5"/>
  <c r="Z45" i="5"/>
  <c r="AT49" i="5"/>
  <c r="AE50" i="5"/>
  <c r="AB53" i="5"/>
  <c r="AC53" i="5" s="1"/>
  <c r="AR53" i="5" s="1"/>
  <c r="AB78" i="5"/>
  <c r="AC78" i="5" s="1"/>
  <c r="AR78" i="5" s="1"/>
  <c r="AB74" i="5"/>
  <c r="AC74" i="5" s="1"/>
  <c r="AR74" i="5" s="1"/>
  <c r="AE78" i="5"/>
  <c r="AD78" i="5"/>
  <c r="Z78" i="5"/>
  <c r="AB76" i="5"/>
  <c r="AC76" i="5" s="1"/>
  <c r="AR76" i="5" s="1"/>
  <c r="AE74" i="5"/>
  <c r="Z66" i="5"/>
  <c r="Z64" i="5"/>
  <c r="AD54" i="5"/>
  <c r="Z54" i="5"/>
  <c r="AD74" i="5"/>
  <c r="AT54" i="5"/>
  <c r="Z59" i="5"/>
  <c r="Z60" i="5"/>
  <c r="Z61" i="5"/>
  <c r="AD63" i="5"/>
  <c r="Z63" i="5"/>
  <c r="AB63" i="5"/>
  <c r="AC63" i="5" s="1"/>
  <c r="AD65" i="5"/>
  <c r="AB65" i="5"/>
  <c r="AC65" i="5" s="1"/>
  <c r="AR65" i="5" s="1"/>
  <c r="AE65" i="5"/>
  <c r="Z65" i="5"/>
  <c r="Z68" i="5"/>
  <c r="Z69" i="5"/>
  <c r="AD70" i="5"/>
  <c r="Z74" i="5"/>
  <c r="AB6" i="5"/>
  <c r="AC6" i="5" s="1"/>
  <c r="AR6" i="5" s="1"/>
  <c r="AD11" i="5"/>
  <c r="AD19" i="5"/>
  <c r="Z23" i="5"/>
  <c r="Z10" i="5"/>
  <c r="AD10" i="5"/>
  <c r="AE11" i="5"/>
  <c r="Z22" i="5"/>
  <c r="AD22" i="5"/>
  <c r="AB24" i="5"/>
  <c r="AC24" i="5" s="1"/>
  <c r="AR24" i="5" s="1"/>
  <c r="Z26" i="5"/>
  <c r="AD26" i="5"/>
  <c r="H28" i="9" s="1" a="1"/>
  <c r="H28" i="9" s="1"/>
  <c r="AE27" i="5"/>
  <c r="I29" i="9" s="1" a="1"/>
  <c r="I29" i="9" s="1"/>
  <c r="AB28" i="5"/>
  <c r="AC28" i="5" s="1"/>
  <c r="AR28" i="5" s="1"/>
  <c r="Z30" i="5"/>
  <c r="AD30" i="5"/>
  <c r="H32" i="9" s="1" a="1"/>
  <c r="H32" i="9" s="1"/>
  <c r="Z34" i="5"/>
  <c r="AD34" i="5"/>
  <c r="Z38" i="5"/>
  <c r="AD38" i="5"/>
  <c r="Z39" i="5"/>
  <c r="Z40" i="5"/>
  <c r="Z41" i="5"/>
  <c r="AB43" i="5"/>
  <c r="AC43" i="5" s="1"/>
  <c r="AR43" i="5" s="1"/>
  <c r="AT43" i="5"/>
  <c r="AT45" i="5"/>
  <c r="AB49" i="5"/>
  <c r="AC49" i="5" s="1"/>
  <c r="AR49" i="5" s="1"/>
  <c r="AD50" i="5"/>
  <c r="Z50" i="5"/>
  <c r="AT50" i="5"/>
  <c r="AD51" i="5"/>
  <c r="AD52" i="5"/>
  <c r="AD53" i="5"/>
  <c r="AB54" i="5"/>
  <c r="AC54" i="5" s="1"/>
  <c r="AR54" i="5" s="1"/>
  <c r="AB59" i="5"/>
  <c r="AC59" i="5" s="1"/>
  <c r="AR59" i="5" s="1"/>
  <c r="AT59" i="5"/>
  <c r="AT61" i="5"/>
  <c r="AT62" i="5"/>
  <c r="Z70" i="5"/>
  <c r="AT74" i="5"/>
  <c r="AE89" i="5"/>
  <c r="AD89" i="5"/>
  <c r="Z89" i="5"/>
  <c r="AB89" i="5"/>
  <c r="AC89" i="5" s="1"/>
  <c r="AR89" i="5" s="1"/>
  <c r="AD90" i="5"/>
  <c r="AT89" i="5"/>
  <c r="AD15" i="5"/>
  <c r="Z19" i="5"/>
  <c r="Z6" i="5"/>
  <c r="AD6" i="5"/>
  <c r="AE7" i="5"/>
  <c r="Z14" i="5"/>
  <c r="AD14" i="5"/>
  <c r="Z18" i="5"/>
  <c r="AD18" i="5"/>
  <c r="Z5" i="5"/>
  <c r="P105" i="8" s="1"/>
  <c r="AD5" i="5"/>
  <c r="N105" i="8" s="1"/>
  <c r="Z9" i="5"/>
  <c r="AE10" i="5"/>
  <c r="Z13" i="5"/>
  <c r="AD13" i="5"/>
  <c r="AE14" i="5"/>
  <c r="Z17" i="5"/>
  <c r="AD17" i="5"/>
  <c r="AE18" i="5"/>
  <c r="Z21" i="5"/>
  <c r="AD21" i="5"/>
  <c r="AE22" i="5"/>
  <c r="Z25" i="5"/>
  <c r="AD25" i="5"/>
  <c r="AE26" i="5"/>
  <c r="I28" i="9" s="1" a="1"/>
  <c r="I28" i="9" s="1"/>
  <c r="Z29" i="5"/>
  <c r="AD29" i="5"/>
  <c r="H31" i="9" s="1" a="1"/>
  <c r="H31" i="9" s="1"/>
  <c r="AE30" i="5"/>
  <c r="I32" i="9" s="1" a="1"/>
  <c r="I32" i="9" s="1"/>
  <c r="Z33" i="5"/>
  <c r="AD33" i="5"/>
  <c r="AE34" i="5"/>
  <c r="Z37" i="5"/>
  <c r="AD37" i="5"/>
  <c r="AE38" i="5"/>
  <c r="AB39" i="5"/>
  <c r="AC39" i="5" s="1"/>
  <c r="AR39" i="5" s="1"/>
  <c r="AT39" i="5"/>
  <c r="AD46" i="5"/>
  <c r="Z46" i="5"/>
  <c r="AD47" i="5"/>
  <c r="AD48" i="5"/>
  <c r="AD49" i="5"/>
  <c r="AB50" i="5"/>
  <c r="AC50" i="5" s="1"/>
  <c r="AR50" i="5" s="1"/>
  <c r="Z51" i="5"/>
  <c r="AE51" i="5"/>
  <c r="Z52" i="5"/>
  <c r="Z53" i="5"/>
  <c r="AE53" i="5"/>
  <c r="AB55" i="5"/>
  <c r="AC55" i="5" s="1"/>
  <c r="AR55" i="5" s="1"/>
  <c r="AT55" i="5"/>
  <c r="AA56" i="5"/>
  <c r="AP56" i="5" s="1"/>
  <c r="AA57" i="5"/>
  <c r="AP57" i="5" s="1"/>
  <c r="AH57" i="5" s="1"/>
  <c r="AJ57" i="5" s="1"/>
  <c r="AD62" i="5"/>
  <c r="Z62" i="5"/>
  <c r="AS65" i="5"/>
  <c r="AD67" i="5"/>
  <c r="Z67" i="5"/>
  <c r="AT67" i="5"/>
  <c r="AD69" i="5"/>
  <c r="AD73" i="5"/>
  <c r="AE73" i="5"/>
  <c r="AB73" i="5"/>
  <c r="AC73" i="5" s="1"/>
  <c r="AR73" i="5" s="1"/>
  <c r="Z73" i="5"/>
  <c r="AB75" i="5"/>
  <c r="AC75" i="5" s="1"/>
  <c r="AR75" i="5" s="1"/>
  <c r="AD86" i="5"/>
  <c r="Z12" i="5"/>
  <c r="AD12" i="5"/>
  <c r="Z16" i="5"/>
  <c r="AD16" i="5"/>
  <c r="Z20" i="5"/>
  <c r="AD20" i="5"/>
  <c r="Z24" i="5"/>
  <c r="AD24" i="5"/>
  <c r="Z28" i="5"/>
  <c r="AE29" i="5"/>
  <c r="Z36" i="5"/>
  <c r="AD36" i="5"/>
  <c r="AD42" i="5"/>
  <c r="Z42" i="5"/>
  <c r="AD43" i="5"/>
  <c r="AD44" i="5"/>
  <c r="AD45" i="5"/>
  <c r="Z47" i="5"/>
  <c r="Z48" i="5"/>
  <c r="AE48" i="5"/>
  <c r="Z49" i="5"/>
  <c r="AE49" i="5"/>
  <c r="AB52" i="5"/>
  <c r="AC52" i="5" s="1"/>
  <c r="AR52" i="5" s="1"/>
  <c r="AE54" i="5"/>
  <c r="AD58" i="5"/>
  <c r="Z58" i="5"/>
  <c r="AD59" i="5"/>
  <c r="AD60" i="5"/>
  <c r="AD61" i="5"/>
  <c r="AE63" i="5"/>
  <c r="O107" i="8" s="1"/>
  <c r="AD64" i="5"/>
  <c r="AD66" i="5"/>
  <c r="AE68" i="5"/>
  <c r="AB68" i="5"/>
  <c r="AC68" i="5" s="1"/>
  <c r="AR68" i="5" s="1"/>
  <c r="AD71" i="5"/>
  <c r="AE75" i="5"/>
  <c r="AD95" i="5"/>
  <c r="AD100" i="5"/>
  <c r="AE101" i="5"/>
  <c r="AT132" i="5"/>
  <c r="AT140" i="5"/>
  <c r="AT152" i="5"/>
  <c r="AD72" i="5"/>
  <c r="Z72" i="5"/>
  <c r="AE72" i="5"/>
  <c r="AT72" i="5"/>
  <c r="AS75" i="5"/>
  <c r="AD75" i="5"/>
  <c r="AE77" i="5"/>
  <c r="AD77" i="5"/>
  <c r="Z77" i="5"/>
  <c r="AB77" i="5"/>
  <c r="AC77" i="5" s="1"/>
  <c r="AR77" i="5" s="1"/>
  <c r="AT77" i="5"/>
  <c r="AS79" i="5"/>
  <c r="AE85" i="5"/>
  <c r="AD85" i="5"/>
  <c r="Z85" i="5"/>
  <c r="AB85" i="5"/>
  <c r="AC85" i="5" s="1"/>
  <c r="AR85" i="5" s="1"/>
  <c r="AT85" i="5"/>
  <c r="Z90" i="5"/>
  <c r="AT91" i="5"/>
  <c r="AD91" i="5"/>
  <c r="AD92" i="5"/>
  <c r="AT103" i="5"/>
  <c r="AD103" i="5"/>
  <c r="AT107" i="5"/>
  <c r="AT111" i="5"/>
  <c r="AT115" i="5"/>
  <c r="AT119" i="5"/>
  <c r="AT123" i="5"/>
  <c r="AT128" i="5"/>
  <c r="AT71" i="5"/>
  <c r="AS76" i="5"/>
  <c r="AE81" i="5"/>
  <c r="AD81" i="5"/>
  <c r="Z81" i="5"/>
  <c r="AD94" i="5"/>
  <c r="Z94" i="5"/>
  <c r="AB81" i="5"/>
  <c r="AC81" i="5" s="1"/>
  <c r="AR81" i="5" s="1"/>
  <c r="AT81" i="5"/>
  <c r="Z86" i="5"/>
  <c r="AT87" i="5"/>
  <c r="AD87" i="5"/>
  <c r="AS88" i="5"/>
  <c r="AD88" i="5"/>
  <c r="AS91" i="5"/>
  <c r="AT95" i="5"/>
  <c r="AT99" i="5"/>
  <c r="AD99" i="5"/>
  <c r="AS100" i="5"/>
  <c r="AT127" i="5"/>
  <c r="AS134" i="5"/>
  <c r="AT138" i="5"/>
  <c r="AD76" i="5"/>
  <c r="AT83" i="5"/>
  <c r="AS84" i="5"/>
  <c r="AD84" i="5"/>
  <c r="AD96" i="5"/>
  <c r="AS108" i="5"/>
  <c r="AS112" i="5"/>
  <c r="AS116" i="5"/>
  <c r="AS120" i="5"/>
  <c r="AS124" i="5"/>
  <c r="AT136" i="5"/>
  <c r="Z71" i="5"/>
  <c r="Z75" i="5"/>
  <c r="AE76" i="5"/>
  <c r="Z79" i="5"/>
  <c r="AD79" i="5"/>
  <c r="AE80" i="5"/>
  <c r="Z83" i="5"/>
  <c r="AE84" i="5"/>
  <c r="Z87" i="5"/>
  <c r="AE88" i="5"/>
  <c r="Z91" i="5"/>
  <c r="AE92" i="5"/>
  <c r="AB93" i="5"/>
  <c r="AC93" i="5" s="1"/>
  <c r="Z95" i="5"/>
  <c r="AE96" i="5"/>
  <c r="AB97" i="5"/>
  <c r="AC97" i="5" s="1"/>
  <c r="AR97" i="5" s="1"/>
  <c r="Z99" i="5"/>
  <c r="AE100" i="5"/>
  <c r="I14" i="9" s="1" a="1"/>
  <c r="I14" i="9" s="1"/>
  <c r="AB101" i="5"/>
  <c r="AC101" i="5" s="1"/>
  <c r="AR101" i="5" s="1"/>
  <c r="Z103" i="5"/>
  <c r="AE104" i="5"/>
  <c r="AB105" i="5"/>
  <c r="AC105" i="5" s="1"/>
  <c r="AR105" i="5" s="1"/>
  <c r="Z107" i="5"/>
  <c r="AE108" i="5"/>
  <c r="AB109" i="5"/>
  <c r="Z111" i="5"/>
  <c r="AE112" i="5"/>
  <c r="AB113" i="5"/>
  <c r="AC113" i="5" s="1"/>
  <c r="AR113" i="5" s="1"/>
  <c r="Z115" i="5"/>
  <c r="AE116" i="5"/>
  <c r="AB117" i="5"/>
  <c r="AC117" i="5" s="1"/>
  <c r="AR117" i="5" s="1"/>
  <c r="Z119" i="5"/>
  <c r="AE120" i="5"/>
  <c r="AB121" i="5"/>
  <c r="AC121" i="5" s="1"/>
  <c r="AR121" i="5" s="1"/>
  <c r="Z123" i="5"/>
  <c r="AE124" i="5"/>
  <c r="AB125" i="5"/>
  <c r="AC125" i="5" s="1"/>
  <c r="AR125" i="5" s="1"/>
  <c r="Z127" i="5"/>
  <c r="AB128" i="5"/>
  <c r="AC128" i="5" s="1"/>
  <c r="AR128" i="5" s="1"/>
  <c r="AA129" i="5"/>
  <c r="AP129" i="5" s="1"/>
  <c r="AE130" i="5"/>
  <c r="AA131" i="5"/>
  <c r="AP131" i="5" s="1"/>
  <c r="AB136" i="5"/>
  <c r="AC136" i="5" s="1"/>
  <c r="AR136" i="5" s="1"/>
  <c r="AD136" i="5"/>
  <c r="Z136" i="5"/>
  <c r="AT137" i="5"/>
  <c r="AE146" i="5"/>
  <c r="AD146" i="5"/>
  <c r="Z146" i="5"/>
  <c r="AB146" i="5"/>
  <c r="AC146" i="5" s="1"/>
  <c r="AR146" i="5" s="1"/>
  <c r="AT146" i="5"/>
  <c r="AT148" i="5"/>
  <c r="AT149" i="5"/>
  <c r="AS152" i="5"/>
  <c r="AT154" i="5"/>
  <c r="AD158" i="5"/>
  <c r="Z158" i="5"/>
  <c r="AB158" i="5"/>
  <c r="AC158" i="5" s="1"/>
  <c r="AR158" i="5" s="1"/>
  <c r="AE158" i="5"/>
  <c r="AT158" i="5"/>
  <c r="AT164" i="5"/>
  <c r="Z165" i="5"/>
  <c r="AT170" i="5"/>
  <c r="AD174" i="5"/>
  <c r="Z174" i="5"/>
  <c r="AB174" i="5"/>
  <c r="AC174" i="5" s="1"/>
  <c r="AR174" i="5" s="1"/>
  <c r="AE174" i="5"/>
  <c r="AT174" i="5"/>
  <c r="AD176" i="5"/>
  <c r="AE176" i="5"/>
  <c r="AT180" i="5"/>
  <c r="AT184" i="5"/>
  <c r="AT193" i="5"/>
  <c r="Z98" i="5"/>
  <c r="AD98" i="5"/>
  <c r="AE99" i="5"/>
  <c r="AB100" i="5"/>
  <c r="Z102" i="5"/>
  <c r="AD102" i="5"/>
  <c r="AE103" i="5"/>
  <c r="Z110" i="5"/>
  <c r="AD110" i="5"/>
  <c r="Z114" i="5"/>
  <c r="C28" i="9" s="1" a="1"/>
  <c r="C28" i="9" s="1"/>
  <c r="AD114" i="5"/>
  <c r="Z118" i="5"/>
  <c r="AD118" i="5"/>
  <c r="Z122" i="5"/>
  <c r="AD122" i="5"/>
  <c r="AB124" i="5"/>
  <c r="AC124" i="5" s="1"/>
  <c r="AR124" i="5" s="1"/>
  <c r="Z126" i="5"/>
  <c r="AD126" i="5"/>
  <c r="AE127" i="5"/>
  <c r="AD130" i="5"/>
  <c r="Z130" i="5"/>
  <c r="AT130" i="5"/>
  <c r="AD134" i="5"/>
  <c r="Z134" i="5"/>
  <c r="AB134" i="5"/>
  <c r="AC134" i="5" s="1"/>
  <c r="AR134" i="5" s="1"/>
  <c r="Z135" i="5"/>
  <c r="Z137" i="5"/>
  <c r="AD139" i="5"/>
  <c r="AD141" i="5"/>
  <c r="AD142" i="5"/>
  <c r="Z142" i="5"/>
  <c r="AB142" i="5"/>
  <c r="AC142" i="5" s="1"/>
  <c r="AR142" i="5" s="1"/>
  <c r="Z143" i="5"/>
  <c r="AT144" i="5"/>
  <c r="AT145" i="5"/>
  <c r="AT153" i="5"/>
  <c r="AB168" i="5"/>
  <c r="AC168" i="5" s="1"/>
  <c r="AR168" i="5" s="1"/>
  <c r="AD168" i="5"/>
  <c r="AE168" i="5"/>
  <c r="Z168" i="5"/>
  <c r="AD175" i="5"/>
  <c r="AE186" i="5"/>
  <c r="AD186" i="5"/>
  <c r="Z186" i="5"/>
  <c r="AB186" i="5"/>
  <c r="AC186" i="5" s="1"/>
  <c r="AR186" i="5" s="1"/>
  <c r="AT186" i="5"/>
  <c r="AE190" i="5"/>
  <c r="AD190" i="5"/>
  <c r="Z190" i="5"/>
  <c r="AB190" i="5"/>
  <c r="AC190" i="5" s="1"/>
  <c r="AR190" i="5" s="1"/>
  <c r="AT190" i="5"/>
  <c r="AD195" i="5"/>
  <c r="Z93" i="5"/>
  <c r="AD93" i="5"/>
  <c r="Z97" i="5"/>
  <c r="C11" i="9" s="1" a="1"/>
  <c r="C11" i="9" s="1"/>
  <c r="AD97" i="5"/>
  <c r="AB99" i="5"/>
  <c r="AC99" i="5" s="1"/>
  <c r="AR99" i="5" s="1"/>
  <c r="Z101" i="5"/>
  <c r="AD101" i="5"/>
  <c r="AE102" i="5"/>
  <c r="AB103" i="5"/>
  <c r="AC103" i="5" s="1"/>
  <c r="AR103" i="5" s="1"/>
  <c r="Z105" i="5"/>
  <c r="AD105" i="5"/>
  <c r="Z109" i="5"/>
  <c r="AD109" i="5"/>
  <c r="Z113" i="5"/>
  <c r="AD113" i="5"/>
  <c r="Z117" i="5"/>
  <c r="AD117" i="5"/>
  <c r="Z121" i="5"/>
  <c r="AD121" i="5"/>
  <c r="Z125" i="5"/>
  <c r="AD125" i="5"/>
  <c r="AE126" i="5"/>
  <c r="AB127" i="5"/>
  <c r="AC127" i="5" s="1"/>
  <c r="AR127" i="5" s="1"/>
  <c r="AD128" i="5"/>
  <c r="AB130" i="5"/>
  <c r="AC130" i="5" s="1"/>
  <c r="AR130" i="5" s="1"/>
  <c r="AS135" i="5"/>
  <c r="AB140" i="5"/>
  <c r="AC140" i="5" s="1"/>
  <c r="AR140" i="5" s="1"/>
  <c r="AD140" i="5"/>
  <c r="Z140" i="5"/>
  <c r="AS143" i="5"/>
  <c r="AA147" i="5"/>
  <c r="AP147" i="5" s="1"/>
  <c r="AH147" i="5" s="1"/>
  <c r="AJ147" i="5" s="1"/>
  <c r="AD147" i="5"/>
  <c r="AB149" i="5"/>
  <c r="AC149" i="5" s="1"/>
  <c r="AR149" i="5" s="1"/>
  <c r="AE150" i="5"/>
  <c r="AD150" i="5"/>
  <c r="Z150" i="5"/>
  <c r="AB150" i="5"/>
  <c r="AC150" i="5" s="1"/>
  <c r="AR150" i="5" s="1"/>
  <c r="AT150" i="5"/>
  <c r="Z151" i="5"/>
  <c r="AD160" i="5"/>
  <c r="AE163" i="5"/>
  <c r="AB163" i="5"/>
  <c r="AC163" i="5" s="1"/>
  <c r="AR163" i="5" s="1"/>
  <c r="AD163" i="5"/>
  <c r="AT163" i="5"/>
  <c r="Z164" i="5"/>
  <c r="AD177" i="5"/>
  <c r="AE202" i="5"/>
  <c r="AD201" i="5"/>
  <c r="Z201" i="5"/>
  <c r="AA201" i="5" s="1"/>
  <c r="AP201" i="5" s="1"/>
  <c r="AD197" i="5"/>
  <c r="Z197" i="5"/>
  <c r="AD193" i="5"/>
  <c r="Z193" i="5"/>
  <c r="AD189" i="5"/>
  <c r="Z189" i="5"/>
  <c r="AD185" i="5"/>
  <c r="Z185" i="5"/>
  <c r="AE179" i="5"/>
  <c r="AB201" i="5"/>
  <c r="AC201" i="5" s="1"/>
  <c r="AR201" i="5" s="1"/>
  <c r="AB202" i="5"/>
  <c r="AC202" i="5" s="1"/>
  <c r="AR202" i="5" s="1"/>
  <c r="AE201" i="5"/>
  <c r="AD200" i="5"/>
  <c r="Z200" i="5"/>
  <c r="AA200" i="5" s="1"/>
  <c r="AP200" i="5" s="1"/>
  <c r="AD196" i="5"/>
  <c r="Z196" i="5"/>
  <c r="AD192" i="5"/>
  <c r="Z192" i="5"/>
  <c r="AE200" i="5"/>
  <c r="Z199" i="5"/>
  <c r="AA199" i="5" s="1"/>
  <c r="AP199" i="5" s="1"/>
  <c r="Z188" i="5"/>
  <c r="AD191" i="5"/>
  <c r="AD184" i="5"/>
  <c r="AB179" i="5"/>
  <c r="AC179" i="5" s="1"/>
  <c r="AR179" i="5" s="1"/>
  <c r="AD199" i="5"/>
  <c r="Z195" i="5"/>
  <c r="AD187" i="5"/>
  <c r="Z184" i="5"/>
  <c r="AD179" i="5"/>
  <c r="AT179" i="5"/>
  <c r="AB183" i="5"/>
  <c r="AC183" i="5" s="1"/>
  <c r="AR183" i="5" s="1"/>
  <c r="AE183" i="5"/>
  <c r="Z183" i="5"/>
  <c r="AS186" i="5"/>
  <c r="Z76" i="5"/>
  <c r="Z80" i="5"/>
  <c r="Z84" i="5"/>
  <c r="Z88" i="5"/>
  <c r="Z92" i="5"/>
  <c r="Z96" i="5"/>
  <c r="C10" i="9" s="1" a="1"/>
  <c r="C10" i="9" s="1"/>
  <c r="Z100" i="5"/>
  <c r="Z104" i="5"/>
  <c r="AD104" i="5"/>
  <c r="Z108" i="5"/>
  <c r="Z112" i="5"/>
  <c r="C26" i="9" s="1" a="1"/>
  <c r="C26" i="9" s="1"/>
  <c r="Z116" i="5"/>
  <c r="C30" i="9" s="1" a="1"/>
  <c r="C30" i="9" s="1"/>
  <c r="Z120" i="5"/>
  <c r="Z124" i="5"/>
  <c r="AB126" i="5"/>
  <c r="AC126" i="5" s="1"/>
  <c r="AR126" i="5" s="1"/>
  <c r="Z128" i="5"/>
  <c r="AB131" i="5"/>
  <c r="AC131" i="5" s="1"/>
  <c r="AR131" i="5" s="1"/>
  <c r="AA132" i="5"/>
  <c r="AP132" i="5" s="1"/>
  <c r="AD135" i="5"/>
  <c r="AD137" i="5"/>
  <c r="AD138" i="5"/>
  <c r="Z138" i="5"/>
  <c r="AB138" i="5"/>
  <c r="AC138" i="5" s="1"/>
  <c r="AR138" i="5" s="1"/>
  <c r="Z139" i="5"/>
  <c r="Z141" i="5"/>
  <c r="AD143" i="5"/>
  <c r="AS151" i="5"/>
  <c r="AD151" i="5"/>
  <c r="AE151" i="5"/>
  <c r="AB152" i="5"/>
  <c r="AC152" i="5" s="1"/>
  <c r="AR152" i="5" s="1"/>
  <c r="AD152" i="5"/>
  <c r="AE152" i="5"/>
  <c r="Z152" i="5"/>
  <c r="AB177" i="5"/>
  <c r="AC177" i="5" s="1"/>
  <c r="AR177" i="5" s="1"/>
  <c r="AT156" i="5"/>
  <c r="AD159" i="5"/>
  <c r="AS160" i="5"/>
  <c r="Z163" i="5"/>
  <c r="AA163" i="5" s="1"/>
  <c r="AP163" i="5" s="1"/>
  <c r="AH163" i="5" s="1"/>
  <c r="AJ163" i="5" s="1"/>
  <c r="AS166" i="5"/>
  <c r="AT168" i="5"/>
  <c r="AT172" i="5"/>
  <c r="AB178" i="5"/>
  <c r="AC178" i="5" s="1"/>
  <c r="AR178" i="5" s="1"/>
  <c r="Z179" i="5"/>
  <c r="AA179" i="5" s="1"/>
  <c r="AP179" i="5" s="1"/>
  <c r="AH179" i="5" s="1"/>
  <c r="AJ179" i="5" s="1"/>
  <c r="AD183" i="5"/>
  <c r="AD188" i="5"/>
  <c r="Z144" i="5"/>
  <c r="AD144" i="5"/>
  <c r="Z148" i="5"/>
  <c r="AD148" i="5"/>
  <c r="AE149" i="5"/>
  <c r="AS153" i="5"/>
  <c r="Z153" i="5"/>
  <c r="AE153" i="5"/>
  <c r="AB155" i="5"/>
  <c r="AC155" i="5" s="1"/>
  <c r="AR155" i="5" s="1"/>
  <c r="AH155" i="5" s="1"/>
  <c r="AJ155" i="5" s="1"/>
  <c r="AA156" i="5"/>
  <c r="AP156" i="5" s="1"/>
  <c r="AH156" i="5" s="1"/>
  <c r="AJ156" i="5" s="1"/>
  <c r="AA157" i="5"/>
  <c r="AP157" i="5" s="1"/>
  <c r="AH157" i="5" s="1"/>
  <c r="AJ157" i="5" s="1"/>
  <c r="AT157" i="5"/>
  <c r="AD162" i="5"/>
  <c r="Z162" i="5"/>
  <c r="AT162" i="5"/>
  <c r="AD164" i="5"/>
  <c r="AD165" i="5"/>
  <c r="AB166" i="5"/>
  <c r="AC166" i="5" s="1"/>
  <c r="AR166" i="5" s="1"/>
  <c r="Z167" i="5"/>
  <c r="AA167" i="5" s="1"/>
  <c r="AP167" i="5" s="1"/>
  <c r="AH167" i="5" s="1"/>
  <c r="AJ167" i="5" s="1"/>
  <c r="AS169" i="5"/>
  <c r="Z169" i="5"/>
  <c r="AT173" i="5"/>
  <c r="AD178" i="5"/>
  <c r="Z178" i="5"/>
  <c r="AT178" i="5"/>
  <c r="AS184" i="5"/>
  <c r="AB187" i="5"/>
  <c r="AC187" i="5" s="1"/>
  <c r="AR187" i="5" s="1"/>
  <c r="AE187" i="5"/>
  <c r="AT187" i="5"/>
  <c r="AS192" i="5"/>
  <c r="AE194" i="5"/>
  <c r="AD194" i="5"/>
  <c r="Z194" i="5"/>
  <c r="AB194" i="5"/>
  <c r="AC194" i="5" s="1"/>
  <c r="AR194" i="5" s="1"/>
  <c r="AT194" i="5"/>
  <c r="AT196" i="5"/>
  <c r="AT197" i="5"/>
  <c r="AB199" i="5"/>
  <c r="AC199" i="5" s="1"/>
  <c r="AR199" i="5" s="1"/>
  <c r="AB203" i="5"/>
  <c r="AC203" i="5" s="1"/>
  <c r="AR203" i="5" s="1"/>
  <c r="AB153" i="5"/>
  <c r="AC153" i="5" s="1"/>
  <c r="AR153" i="5" s="1"/>
  <c r="AD154" i="5"/>
  <c r="Z154" i="5"/>
  <c r="AD155" i="5"/>
  <c r="AD156" i="5"/>
  <c r="Z159" i="5"/>
  <c r="Z160" i="5"/>
  <c r="AE160" i="5"/>
  <c r="Z161" i="5"/>
  <c r="AD170" i="5"/>
  <c r="Z170" i="5"/>
  <c r="AD171" i="5"/>
  <c r="AD172" i="5"/>
  <c r="AD173" i="5"/>
  <c r="Z175" i="5"/>
  <c r="AE175" i="5"/>
  <c r="Z176" i="5"/>
  <c r="AA176" i="5" s="1"/>
  <c r="AP176" i="5" s="1"/>
  <c r="AH176" i="5" s="1"/>
  <c r="AJ176" i="5" s="1"/>
  <c r="Z177" i="5"/>
  <c r="AE177" i="5"/>
  <c r="AA180" i="5"/>
  <c r="AP180" i="5" s="1"/>
  <c r="AH180" i="5" s="1"/>
  <c r="AJ180" i="5" s="1"/>
  <c r="AA181" i="5"/>
  <c r="AP181" i="5" s="1"/>
  <c r="AH181" i="5" s="1"/>
  <c r="AJ181" i="5" s="1"/>
  <c r="AD182" i="5"/>
  <c r="Z182" i="5"/>
  <c r="AT185" i="5"/>
  <c r="Z187" i="5"/>
  <c r="AS189" i="5"/>
  <c r="AS191" i="5"/>
  <c r="AS200" i="5"/>
  <c r="AD202" i="5"/>
  <c r="AS203" i="5"/>
  <c r="Z145" i="5"/>
  <c r="AD145" i="5"/>
  <c r="Z149" i="5"/>
  <c r="AD149" i="5"/>
  <c r="AB151" i="5"/>
  <c r="AC151" i="5" s="1"/>
  <c r="AR151" i="5" s="1"/>
  <c r="AE162" i="5"/>
  <c r="AD166" i="5"/>
  <c r="Z166" i="5"/>
  <c r="AD167" i="5"/>
  <c r="AD169" i="5"/>
  <c r="Z171" i="5"/>
  <c r="Z172" i="5"/>
  <c r="AE172" i="5"/>
  <c r="Z173" i="5"/>
  <c r="AB175" i="5"/>
  <c r="AC175" i="5" s="1"/>
  <c r="AR175" i="5" s="1"/>
  <c r="AB176" i="5"/>
  <c r="AC176" i="5" s="1"/>
  <c r="AR176" i="5" s="1"/>
  <c r="AE178" i="5"/>
  <c r="AS185" i="5"/>
  <c r="AS188" i="5"/>
  <c r="AA191" i="5"/>
  <c r="AP191" i="5" s="1"/>
  <c r="AH191" i="5" s="1"/>
  <c r="AJ191" i="5" s="1"/>
  <c r="AE198" i="5"/>
  <c r="AD198" i="5"/>
  <c r="Z198" i="5"/>
  <c r="AA198" i="5" s="1"/>
  <c r="AP198" i="5" s="1"/>
  <c r="AH198" i="5" s="1"/>
  <c r="AJ198" i="5" s="1"/>
  <c r="AB198" i="5"/>
  <c r="AC198" i="5" s="1"/>
  <c r="AR198" i="5" s="1"/>
  <c r="AT198" i="5"/>
  <c r="AT200" i="5"/>
  <c r="AH200" i="5"/>
  <c r="AJ200" i="5" s="1"/>
  <c r="AB200" i="5"/>
  <c r="AC200" i="5" s="1"/>
  <c r="AR200" i="5" s="1"/>
  <c r="AT201" i="5"/>
  <c r="AH201" i="5"/>
  <c r="AJ201" i="5" s="1"/>
  <c r="AA205" i="5"/>
  <c r="AP205" i="5" s="1"/>
  <c r="AA209" i="5"/>
  <c r="AP209" i="5" s="1"/>
  <c r="AA213" i="5"/>
  <c r="AP213" i="5" s="1"/>
  <c r="AA217" i="5"/>
  <c r="AP217" i="5" s="1"/>
  <c r="AA225" i="5"/>
  <c r="AP225" i="5" s="1"/>
  <c r="AA227" i="5"/>
  <c r="AP227" i="5" s="1"/>
  <c r="AA230" i="5"/>
  <c r="AP230" i="5" s="1"/>
  <c r="AA241" i="5"/>
  <c r="AP241" i="5" s="1"/>
  <c r="AA243" i="5"/>
  <c r="AP243" i="5" s="1"/>
  <c r="AA246" i="5"/>
  <c r="AP246" i="5" s="1"/>
  <c r="AA271" i="5"/>
  <c r="AP271" i="5" s="1"/>
  <c r="AA294" i="5"/>
  <c r="AP294" i="5" s="1"/>
  <c r="Z203" i="5"/>
  <c r="AD203" i="5"/>
  <c r="AT206" i="5"/>
  <c r="AT210" i="5"/>
  <c r="AT214" i="5"/>
  <c r="AA221" i="5"/>
  <c r="AP221" i="5" s="1"/>
  <c r="AA226" i="5"/>
  <c r="AP226" i="5" s="1"/>
  <c r="AA228" i="5"/>
  <c r="AP228" i="5" s="1"/>
  <c r="AT231" i="5"/>
  <c r="AA237" i="5"/>
  <c r="AP237" i="5" s="1"/>
  <c r="AA239" i="5"/>
  <c r="AP239" i="5" s="1"/>
  <c r="AA242" i="5"/>
  <c r="AP242" i="5" s="1"/>
  <c r="AA244" i="5"/>
  <c r="AP244" i="5" s="1"/>
  <c r="AA253" i="5"/>
  <c r="AP253" i="5" s="1"/>
  <c r="AA257" i="5"/>
  <c r="AP257" i="5" s="1"/>
  <c r="AA261" i="5"/>
  <c r="AP261" i="5" s="1"/>
  <c r="AA285" i="5"/>
  <c r="AP285" i="5" s="1"/>
  <c r="AE191" i="5"/>
  <c r="AE195" i="5"/>
  <c r="AE199" i="5"/>
  <c r="Z202" i="5"/>
  <c r="AE203" i="5"/>
  <c r="AS218" i="5"/>
  <c r="AA222" i="5"/>
  <c r="AP222" i="5" s="1"/>
  <c r="AA224" i="5"/>
  <c r="AP224" i="5" s="1"/>
  <c r="AS234" i="5"/>
  <c r="AA238" i="5"/>
  <c r="AP238" i="5" s="1"/>
  <c r="AA240" i="5"/>
  <c r="AP240" i="5" s="1"/>
  <c r="AS250" i="5"/>
  <c r="AA252" i="5"/>
  <c r="AP252" i="5" s="1"/>
  <c r="AA256" i="5"/>
  <c r="AP256" i="5" s="1"/>
  <c r="AA260" i="5"/>
  <c r="AP260" i="5" s="1"/>
  <c r="AA264" i="5"/>
  <c r="AP264" i="5" s="1"/>
  <c r="AA269" i="5"/>
  <c r="AP269" i="5" s="1"/>
  <c r="AA218" i="5"/>
  <c r="AP218" i="5" s="1"/>
  <c r="AS230" i="5"/>
  <c r="AA234" i="5"/>
  <c r="AP234" i="5" s="1"/>
  <c r="AS246" i="5"/>
  <c r="AA250" i="5"/>
  <c r="AP250" i="5" s="1"/>
  <c r="AA274" i="5"/>
  <c r="AP274" i="5" s="1"/>
  <c r="AA325" i="5"/>
  <c r="AP325" i="5" s="1"/>
  <c r="AA373" i="5"/>
  <c r="AP373" i="5" s="1"/>
  <c r="AA254" i="5"/>
  <c r="AP254" i="5" s="1"/>
  <c r="AA258" i="5"/>
  <c r="AP258" i="5" s="1"/>
  <c r="AA262" i="5"/>
  <c r="AP262" i="5" s="1"/>
  <c r="AA266" i="5"/>
  <c r="AP266" i="5" s="1"/>
  <c r="AA267" i="5"/>
  <c r="AP267" i="5" s="1"/>
  <c r="AA270" i="5"/>
  <c r="AP270" i="5" s="1"/>
  <c r="AA272" i="5"/>
  <c r="AP272" i="5" s="1"/>
  <c r="AS282" i="5"/>
  <c r="AA283" i="5"/>
  <c r="AP283" i="5" s="1"/>
  <c r="AA291" i="5"/>
  <c r="AP291" i="5" s="1"/>
  <c r="AA298" i="5"/>
  <c r="AP298" i="5" s="1"/>
  <c r="AA330" i="5"/>
  <c r="AP330" i="5" s="1"/>
  <c r="AA277" i="5"/>
  <c r="AP277" i="5" s="1"/>
  <c r="AA282" i="5"/>
  <c r="AP282" i="5" s="1"/>
  <c r="AA306" i="5"/>
  <c r="AP306" i="5" s="1"/>
  <c r="AA314" i="5"/>
  <c r="AP314" i="5" s="1"/>
  <c r="AA327" i="5"/>
  <c r="AP327" i="5" s="1"/>
  <c r="AA334" i="5"/>
  <c r="AP334" i="5" s="1"/>
  <c r="AA338" i="5"/>
  <c r="AP338" i="5" s="1"/>
  <c r="AA342" i="5"/>
  <c r="AP342" i="5" s="1"/>
  <c r="AA346" i="5"/>
  <c r="AP346" i="5" s="1"/>
  <c r="AA350" i="5"/>
  <c r="AP350" i="5" s="1"/>
  <c r="AA354" i="5"/>
  <c r="AP354" i="5" s="1"/>
  <c r="AA358" i="5"/>
  <c r="AP358" i="5" s="1"/>
  <c r="AA362" i="5"/>
  <c r="AP362" i="5" s="1"/>
  <c r="AA366" i="5"/>
  <c r="AP366" i="5" s="1"/>
  <c r="AA370" i="5"/>
  <c r="AP370" i="5" s="1"/>
  <c r="AS274" i="5"/>
  <c r="AA278" i="5"/>
  <c r="AP278" i="5" s="1"/>
  <c r="AA280" i="5"/>
  <c r="AP280" i="5" s="1"/>
  <c r="AA290" i="5"/>
  <c r="AP290" i="5" s="1"/>
  <c r="AS294" i="5"/>
  <c r="AA297" i="5"/>
  <c r="AP297" i="5" s="1"/>
  <c r="AA301" i="5"/>
  <c r="AP301" i="5" s="1"/>
  <c r="AA309" i="5"/>
  <c r="AP309" i="5" s="1"/>
  <c r="AA311" i="5"/>
  <c r="AP311" i="5" s="1"/>
  <c r="AA321" i="5"/>
  <c r="AP321" i="5" s="1"/>
  <c r="AA296" i="5"/>
  <c r="AP296" i="5" s="1"/>
  <c r="AS306" i="5"/>
  <c r="AA307" i="5"/>
  <c r="AP307" i="5" s="1"/>
  <c r="AA310" i="5"/>
  <c r="AP310" i="5" s="1"/>
  <c r="AA312" i="5"/>
  <c r="AP312" i="5" s="1"/>
  <c r="AS322" i="5"/>
  <c r="AA323" i="5"/>
  <c r="AP323" i="5" s="1"/>
  <c r="AA326" i="5"/>
  <c r="AP326" i="5" s="1"/>
  <c r="AA328" i="5"/>
  <c r="AP328" i="5" s="1"/>
  <c r="AA333" i="5"/>
  <c r="AP333" i="5" s="1"/>
  <c r="AA336" i="5"/>
  <c r="AP336" i="5" s="1"/>
  <c r="AA337" i="5"/>
  <c r="AP337" i="5" s="1"/>
  <c r="AA340" i="5"/>
  <c r="AP340" i="5" s="1"/>
  <c r="AA341" i="5"/>
  <c r="AP341" i="5" s="1"/>
  <c r="AA344" i="5"/>
  <c r="AP344" i="5" s="1"/>
  <c r="AA345" i="5"/>
  <c r="AP345" i="5" s="1"/>
  <c r="AA348" i="5"/>
  <c r="AP348" i="5" s="1"/>
  <c r="AA349" i="5"/>
  <c r="AP349" i="5" s="1"/>
  <c r="AA352" i="5"/>
  <c r="AP352" i="5" s="1"/>
  <c r="AA353" i="5"/>
  <c r="AP353" i="5" s="1"/>
  <c r="AA356" i="5"/>
  <c r="AP356" i="5" s="1"/>
  <c r="AA357" i="5"/>
  <c r="AP357" i="5" s="1"/>
  <c r="AA360" i="5"/>
  <c r="AP360" i="5" s="1"/>
  <c r="AA361" i="5"/>
  <c r="AP361" i="5" s="1"/>
  <c r="AA364" i="5"/>
  <c r="AP364" i="5" s="1"/>
  <c r="AA365" i="5"/>
  <c r="AP365" i="5" s="1"/>
  <c r="AA368" i="5"/>
  <c r="AP368" i="5" s="1"/>
  <c r="AA369" i="5"/>
  <c r="AP369" i="5" s="1"/>
  <c r="AA372" i="5"/>
  <c r="AP372" i="5" s="1"/>
  <c r="AA317" i="5"/>
  <c r="AP317" i="5" s="1"/>
  <c r="AA322" i="5"/>
  <c r="AP322" i="5" s="1"/>
  <c r="AA497" i="5"/>
  <c r="AP497" i="5" s="1"/>
  <c r="AA286" i="5"/>
  <c r="AP286" i="5" s="1"/>
  <c r="AA288" i="5"/>
  <c r="AP288" i="5" s="1"/>
  <c r="AS298" i="5"/>
  <c r="AA302" i="5"/>
  <c r="AP302" i="5" s="1"/>
  <c r="AA304" i="5"/>
  <c r="AP304" i="5" s="1"/>
  <c r="AS314" i="5"/>
  <c r="AA318" i="5"/>
  <c r="AP318" i="5" s="1"/>
  <c r="AA320" i="5"/>
  <c r="AP320" i="5" s="1"/>
  <c r="AS330" i="5"/>
  <c r="AS334" i="5"/>
  <c r="AS338" i="5"/>
  <c r="AS342" i="5"/>
  <c r="AS346" i="5"/>
  <c r="AS350" i="5"/>
  <c r="AS354" i="5"/>
  <c r="AS358" i="5"/>
  <c r="AS362" i="5"/>
  <c r="AS366" i="5"/>
  <c r="AS370" i="5"/>
  <c r="AA374" i="5"/>
  <c r="AP374" i="5" s="1"/>
  <c r="AA434" i="5"/>
  <c r="AP434" i="5" s="1"/>
  <c r="AA435" i="5"/>
  <c r="AP435" i="5" s="1"/>
  <c r="AA471" i="5"/>
  <c r="AP471" i="5" s="1"/>
  <c r="AS375" i="5"/>
  <c r="AA376" i="5"/>
  <c r="AP376" i="5" s="1"/>
  <c r="AS379" i="5"/>
  <c r="AA380" i="5"/>
  <c r="AP380" i="5" s="1"/>
  <c r="AS383" i="5"/>
  <c r="AA384" i="5"/>
  <c r="AP384" i="5" s="1"/>
  <c r="AS387" i="5"/>
  <c r="AA388" i="5"/>
  <c r="AP388" i="5" s="1"/>
  <c r="AS391" i="5"/>
  <c r="AA392" i="5"/>
  <c r="AP392" i="5" s="1"/>
  <c r="AS395" i="5"/>
  <c r="AA396" i="5"/>
  <c r="AP396" i="5" s="1"/>
  <c r="AS399" i="5"/>
  <c r="AA400" i="5"/>
  <c r="AP400" i="5" s="1"/>
  <c r="AS403" i="5"/>
  <c r="AA404" i="5"/>
  <c r="AP404" i="5" s="1"/>
  <c r="AS407" i="5"/>
  <c r="AA408" i="5"/>
  <c r="AP408" i="5" s="1"/>
  <c r="AS411" i="5"/>
  <c r="AA412" i="5"/>
  <c r="AP412" i="5" s="1"/>
  <c r="AS415" i="5"/>
  <c r="AA416" i="5"/>
  <c r="AP416" i="5" s="1"/>
  <c r="AS419" i="5"/>
  <c r="AA420" i="5"/>
  <c r="AP420" i="5" s="1"/>
  <c r="AS423" i="5"/>
  <c r="AA424" i="5"/>
  <c r="AP424" i="5" s="1"/>
  <c r="AA430" i="5"/>
  <c r="AP430" i="5" s="1"/>
  <c r="AA437" i="5"/>
  <c r="AP437" i="5" s="1"/>
  <c r="AA375" i="5"/>
  <c r="AP375" i="5" s="1"/>
  <c r="AA379" i="5"/>
  <c r="AP379" i="5" s="1"/>
  <c r="AA383" i="5"/>
  <c r="AP383" i="5" s="1"/>
  <c r="AA387" i="5"/>
  <c r="AP387" i="5" s="1"/>
  <c r="AA391" i="5"/>
  <c r="AP391" i="5" s="1"/>
  <c r="AA395" i="5"/>
  <c r="AP395" i="5" s="1"/>
  <c r="AA399" i="5"/>
  <c r="AP399" i="5" s="1"/>
  <c r="AA403" i="5"/>
  <c r="AP403" i="5" s="1"/>
  <c r="AA407" i="5"/>
  <c r="AP407" i="5" s="1"/>
  <c r="AA411" i="5"/>
  <c r="AP411" i="5" s="1"/>
  <c r="AA415" i="5"/>
  <c r="AP415" i="5" s="1"/>
  <c r="AA419" i="5"/>
  <c r="AP419" i="5" s="1"/>
  <c r="AA423" i="5"/>
  <c r="AP423" i="5" s="1"/>
  <c r="AA432" i="5"/>
  <c r="AP432" i="5" s="1"/>
  <c r="AA436" i="5"/>
  <c r="AP436" i="5" s="1"/>
  <c r="AA439" i="5"/>
  <c r="AP439" i="5" s="1"/>
  <c r="AA446" i="5"/>
  <c r="AP446" i="5" s="1"/>
  <c r="AA450" i="5"/>
  <c r="AP450" i="5" s="1"/>
  <c r="AA454" i="5"/>
  <c r="AP454" i="5" s="1"/>
  <c r="AA458" i="5"/>
  <c r="AP458" i="5" s="1"/>
  <c r="AA462" i="5"/>
  <c r="AP462" i="5" s="1"/>
  <c r="AA466" i="5"/>
  <c r="AP466" i="5" s="1"/>
  <c r="AA493" i="5"/>
  <c r="AP493" i="5" s="1"/>
  <c r="AS427" i="5"/>
  <c r="AA431" i="5"/>
  <c r="AP431" i="5" s="1"/>
  <c r="AA433" i="5"/>
  <c r="AP433" i="5" s="1"/>
  <c r="AS443" i="5"/>
  <c r="AS447" i="5"/>
  <c r="AS451" i="5"/>
  <c r="AS455" i="5"/>
  <c r="AS459" i="5"/>
  <c r="AS463" i="5"/>
  <c r="AA473" i="5"/>
  <c r="AP473" i="5" s="1"/>
  <c r="AA477" i="5"/>
  <c r="AP477" i="5" s="1"/>
  <c r="AA481" i="5"/>
  <c r="AP481" i="5" s="1"/>
  <c r="AA485" i="5"/>
  <c r="AP485" i="5" s="1"/>
  <c r="AA489" i="5"/>
  <c r="AP489" i="5" s="1"/>
  <c r="AS502" i="5"/>
  <c r="AA427" i="5"/>
  <c r="AP427" i="5" s="1"/>
  <c r="AS439" i="5"/>
  <c r="AA443" i="5"/>
  <c r="AP443" i="5" s="1"/>
  <c r="AS446" i="5"/>
  <c r="AA447" i="5"/>
  <c r="AP447" i="5" s="1"/>
  <c r="AS450" i="5"/>
  <c r="AA451" i="5"/>
  <c r="AP451" i="5" s="1"/>
  <c r="AS454" i="5"/>
  <c r="AA455" i="5"/>
  <c r="AP455" i="5" s="1"/>
  <c r="AS458" i="5"/>
  <c r="AA459" i="5"/>
  <c r="AP459" i="5" s="1"/>
  <c r="AS462" i="5"/>
  <c r="AA463" i="5"/>
  <c r="AP463" i="5" s="1"/>
  <c r="AS466" i="5"/>
  <c r="AA469" i="5"/>
  <c r="AP469" i="5" s="1"/>
  <c r="AA501" i="5"/>
  <c r="AP501" i="5" s="1"/>
  <c r="AA502" i="5"/>
  <c r="AP502" i="5" s="1"/>
  <c r="AA470" i="5"/>
  <c r="AP470" i="5" s="1"/>
  <c r="AA472" i="5"/>
  <c r="AP472" i="5" s="1"/>
  <c r="AS474" i="5"/>
  <c r="AS478" i="5"/>
  <c r="AS482" i="5"/>
  <c r="AS486" i="5"/>
  <c r="AS490" i="5"/>
  <c r="AS473" i="5"/>
  <c r="AA474" i="5"/>
  <c r="AP474" i="5" s="1"/>
  <c r="AS477" i="5"/>
  <c r="AA478" i="5"/>
  <c r="AP478" i="5" s="1"/>
  <c r="AS481" i="5"/>
  <c r="AA482" i="5"/>
  <c r="AP482" i="5" s="1"/>
  <c r="AS485" i="5"/>
  <c r="AA486" i="5"/>
  <c r="AP486" i="5" s="1"/>
  <c r="AS489" i="5"/>
  <c r="AA490" i="5"/>
  <c r="AP490" i="5" s="1"/>
  <c r="AS493" i="5"/>
  <c r="AA494" i="5"/>
  <c r="AP494" i="5" s="1"/>
  <c r="AS497" i="5"/>
  <c r="AA498" i="5"/>
  <c r="AP498" i="5" s="1"/>
  <c r="AS501" i="5"/>
  <c r="Z4" i="5"/>
  <c r="AD4" i="5"/>
  <c r="AE4" i="5"/>
  <c r="W5" i="20" l="1"/>
  <c r="E5" i="20" s="1"/>
  <c r="J5" i="20" s="1"/>
  <c r="W27" i="20"/>
  <c r="E27" i="20" s="1"/>
  <c r="J27" i="20" s="1"/>
  <c r="F23" i="20"/>
  <c r="F32" i="20"/>
  <c r="W30" i="20"/>
  <c r="E30" i="20" s="1"/>
  <c r="J30" i="20" s="1"/>
  <c r="F20" i="20"/>
  <c r="W13" i="20"/>
  <c r="E13" i="20" s="1"/>
  <c r="J13" i="20" s="1"/>
  <c r="W12" i="20"/>
  <c r="E12" i="20" s="1"/>
  <c r="W11" i="20"/>
  <c r="E11" i="20" s="1"/>
  <c r="J11" i="20" s="1"/>
  <c r="U40" i="21"/>
  <c r="AD40" i="21" s="1"/>
  <c r="AE40" i="21" s="1"/>
  <c r="J20" i="20"/>
  <c r="U27" i="21"/>
  <c r="AD27" i="21" s="1"/>
  <c r="AE27" i="21" s="1"/>
  <c r="J7" i="20"/>
  <c r="U32" i="21"/>
  <c r="AD32" i="21" s="1"/>
  <c r="AE32" i="21" s="1"/>
  <c r="J12" i="20"/>
  <c r="W21" i="20"/>
  <c r="E21" i="20" s="1"/>
  <c r="J21" i="20" s="1"/>
  <c r="U52" i="21"/>
  <c r="AD52" i="21" s="1"/>
  <c r="AE52" i="21" s="1"/>
  <c r="J32" i="20"/>
  <c r="F19" i="20"/>
  <c r="W8" i="20"/>
  <c r="E8" i="20" s="1"/>
  <c r="W16" i="20"/>
  <c r="E16" i="20" s="1"/>
  <c r="U48" i="21"/>
  <c r="AD48" i="21" s="1"/>
  <c r="AE48" i="21" s="1"/>
  <c r="F31" i="20"/>
  <c r="F28" i="20"/>
  <c r="W24" i="20"/>
  <c r="E24" i="20" s="1"/>
  <c r="U47" i="21"/>
  <c r="AD47" i="21" s="1"/>
  <c r="AE47" i="21" s="1"/>
  <c r="U54" i="21"/>
  <c r="AD54" i="21" s="1"/>
  <c r="AE54" i="21" s="1"/>
  <c r="U43" i="21"/>
  <c r="AD43" i="21" s="1"/>
  <c r="AE43" i="21" s="1"/>
  <c r="U33" i="21"/>
  <c r="AD33" i="21" s="1"/>
  <c r="AE33" i="21" s="1"/>
  <c r="U29" i="21"/>
  <c r="AD29" i="21" s="1"/>
  <c r="AE29" i="21" s="1"/>
  <c r="U25" i="21"/>
  <c r="AD25" i="21" s="1"/>
  <c r="AE25" i="21" s="1"/>
  <c r="U38" i="21"/>
  <c r="AD38" i="21" s="1"/>
  <c r="AE38" i="21" s="1"/>
  <c r="U30" i="21"/>
  <c r="AD30" i="21" s="1"/>
  <c r="AE30" i="21" s="1"/>
  <c r="U49" i="21"/>
  <c r="AD49" i="21" s="1"/>
  <c r="AE49" i="21" s="1"/>
  <c r="U37" i="21"/>
  <c r="AD37" i="21" s="1"/>
  <c r="AE37" i="21" s="1"/>
  <c r="U45" i="21"/>
  <c r="AD45" i="21" s="1"/>
  <c r="AE45" i="21" s="1"/>
  <c r="U34" i="21"/>
  <c r="AD34" i="21" s="1"/>
  <c r="AE34" i="21" s="1"/>
  <c r="U50" i="21"/>
  <c r="AD50" i="21" s="1"/>
  <c r="AE50" i="21" s="1"/>
  <c r="U35" i="21"/>
  <c r="AD35" i="21" s="1"/>
  <c r="AE35" i="21" s="1"/>
  <c r="U53" i="21"/>
  <c r="AD53" i="21" s="1"/>
  <c r="AE53" i="21" s="1"/>
  <c r="U31" i="21"/>
  <c r="AD31" i="21" s="1"/>
  <c r="AE31" i="21" s="1"/>
  <c r="U41" i="21"/>
  <c r="AD41" i="21" s="1"/>
  <c r="AE41" i="21" s="1"/>
  <c r="U42" i="21"/>
  <c r="AD42" i="21" s="1"/>
  <c r="AE42" i="21" s="1"/>
  <c r="U46" i="21"/>
  <c r="AD46" i="21" s="1"/>
  <c r="AE46" i="21" s="1"/>
  <c r="U51" i="21"/>
  <c r="AD51" i="21" s="1"/>
  <c r="AE51" i="21" s="1"/>
  <c r="U39" i="21"/>
  <c r="AD39" i="21" s="1"/>
  <c r="AE39" i="21" s="1"/>
  <c r="U26" i="21"/>
  <c r="AD26" i="21" s="1"/>
  <c r="AE26" i="21" s="1"/>
  <c r="AV63" i="13"/>
  <c r="AU63" i="13"/>
  <c r="L34" i="7" a="1"/>
  <c r="L34" i="7" s="1"/>
  <c r="F34" i="7" a="1"/>
  <c r="F34" i="7" s="1"/>
  <c r="G34" i="7" a="1"/>
  <c r="G34" i="7" s="1"/>
  <c r="K34" i="7" a="1"/>
  <c r="K34" i="7" s="1"/>
  <c r="H33" i="9" a="1"/>
  <c r="H33" i="9" s="1"/>
  <c r="F33" i="9" a="1"/>
  <c r="F33" i="9" s="1"/>
  <c r="D34" i="7" a="1"/>
  <c r="D34" i="7" s="1"/>
  <c r="B18" i="9" a="1"/>
  <c r="B18" i="9" s="1"/>
  <c r="K18" i="9" a="1"/>
  <c r="K18" i="9" s="1"/>
  <c r="L18" i="9" s="1"/>
  <c r="N18" i="9" s="1"/>
  <c r="M18" i="9" s="1" a="1"/>
  <c r="M18" i="9" s="1"/>
  <c r="G12" i="7" a="1"/>
  <c r="G12" i="7" s="1"/>
  <c r="E12" i="7" a="1"/>
  <c r="E12" i="7" s="1"/>
  <c r="L29" i="7" a="1"/>
  <c r="L29" i="7" s="1"/>
  <c r="E29" i="7" a="1"/>
  <c r="E29" i="7" s="1"/>
  <c r="K29" i="7" a="1"/>
  <c r="K29" i="7" s="1"/>
  <c r="C29" i="7" a="1"/>
  <c r="C29" i="7" s="1"/>
  <c r="F29" i="7" a="1"/>
  <c r="F29" i="7" s="1"/>
  <c r="K29" i="9" a="1"/>
  <c r="K29" i="9" s="1"/>
  <c r="B29" i="9" a="1"/>
  <c r="B29" i="9" s="1"/>
  <c r="G29" i="9" a="1"/>
  <c r="G29" i="9" s="1"/>
  <c r="B24" i="9" a="1"/>
  <c r="B24" i="9" s="1"/>
  <c r="F24" i="9" a="1"/>
  <c r="F24" i="9" s="1"/>
  <c r="E24" i="9" a="1"/>
  <c r="E24" i="9" s="1"/>
  <c r="K25" i="9" a="1"/>
  <c r="K25" i="9" s="1"/>
  <c r="B25" i="9" a="1"/>
  <c r="B25" i="9" s="1"/>
  <c r="F25" i="9" a="1"/>
  <c r="F25" i="9" s="1"/>
  <c r="K31" i="9" a="1"/>
  <c r="K31" i="9" s="1"/>
  <c r="E31" i="9" a="1"/>
  <c r="E31" i="9" s="1"/>
  <c r="L31" i="9" s="1"/>
  <c r="N31" i="9" s="1"/>
  <c r="M31" i="9" s="1" a="1"/>
  <c r="M31" i="9" s="1"/>
  <c r="I31" i="9" a="1"/>
  <c r="I31" i="9" s="1"/>
  <c r="B33" i="9" a="1"/>
  <c r="B33" i="9" s="1"/>
  <c r="G26" i="9" a="1"/>
  <c r="G26" i="9" s="1"/>
  <c r="G25" i="9" a="1"/>
  <c r="G25" i="9" s="1"/>
  <c r="C18" i="7" a="1"/>
  <c r="C18" i="7" s="1"/>
  <c r="K18" i="7" a="1"/>
  <c r="K18" i="7" s="1"/>
  <c r="E18" i="7" a="1"/>
  <c r="E18" i="7" s="1"/>
  <c r="K6" i="9" a="1"/>
  <c r="K6" i="9" s="1"/>
  <c r="B6" i="9" a="1"/>
  <c r="B6" i="9" s="1"/>
  <c r="E33" i="9" a="1"/>
  <c r="E33" i="9" s="1"/>
  <c r="K33" i="9" a="1"/>
  <c r="K33" i="9" s="1"/>
  <c r="L33" i="9" s="1"/>
  <c r="N33" i="9" s="1"/>
  <c r="M33" i="9" s="1" a="1"/>
  <c r="M33" i="9" s="1"/>
  <c r="I27" i="9" a="1"/>
  <c r="I27" i="9" s="1"/>
  <c r="E27" i="9" a="1"/>
  <c r="E27" i="9" s="1"/>
  <c r="AU65" i="13"/>
  <c r="AV65" i="13"/>
  <c r="AW65" i="13"/>
  <c r="C34" i="7" a="1"/>
  <c r="C34" i="7" s="1"/>
  <c r="G24" i="9" a="1"/>
  <c r="G24" i="9" s="1"/>
  <c r="E18" i="9" a="1"/>
  <c r="E18" i="9" s="1"/>
  <c r="AU70" i="13"/>
  <c r="B13" i="9" a="1"/>
  <c r="B13" i="9" s="1"/>
  <c r="E13" i="9" a="1"/>
  <c r="E13" i="9" s="1"/>
  <c r="K21" i="7" a="1"/>
  <c r="K21" i="7" s="1"/>
  <c r="C21" i="7" a="1"/>
  <c r="C21" i="7" s="1"/>
  <c r="D21" i="7" a="1"/>
  <c r="D21" i="7" s="1"/>
  <c r="I21" i="7" a="1"/>
  <c r="I21" i="7" s="1"/>
  <c r="L21" i="7" a="1"/>
  <c r="L21" i="7" s="1"/>
  <c r="C6" i="7" a="1"/>
  <c r="C6" i="7" s="1"/>
  <c r="E6" i="7" a="1"/>
  <c r="E6" i="7" s="1"/>
  <c r="L6" i="7" a="1"/>
  <c r="L6" i="7" s="1"/>
  <c r="B23" i="9" a="1"/>
  <c r="B23" i="9" s="1"/>
  <c r="E23" i="9" a="1"/>
  <c r="E23" i="9" s="1"/>
  <c r="K8" i="9" a="1"/>
  <c r="K8" i="9" s="1"/>
  <c r="I8" i="9" a="1"/>
  <c r="I8" i="9" s="1"/>
  <c r="D20" i="9" a="1"/>
  <c r="D20" i="9" s="1"/>
  <c r="G20" i="9" a="1"/>
  <c r="G20" i="9" s="1"/>
  <c r="C33" i="9" a="1"/>
  <c r="C33" i="9" s="1"/>
  <c r="H26" i="9" a="1"/>
  <c r="H26" i="9" s="1"/>
  <c r="H34" i="7" a="1"/>
  <c r="H34" i="7" s="1"/>
  <c r="G21" i="7" a="1"/>
  <c r="G21" i="7" s="1"/>
  <c r="C12" i="7" a="1"/>
  <c r="C12" i="7" s="1"/>
  <c r="E6" i="9" a="1"/>
  <c r="E6" i="9" s="1"/>
  <c r="E25" i="9" a="1"/>
  <c r="E25" i="9" s="1"/>
  <c r="L25" i="9" s="1"/>
  <c r="N25" i="9" s="1"/>
  <c r="M25" i="9" s="1" a="1"/>
  <c r="M25" i="9" s="1"/>
  <c r="E8" i="9" a="1"/>
  <c r="E8" i="9" s="1"/>
  <c r="B31" i="9" a="1"/>
  <c r="B31" i="9" s="1"/>
  <c r="AW64" i="13"/>
  <c r="E11" i="9" a="1"/>
  <c r="E11" i="9" s="1"/>
  <c r="L11" i="9" s="1"/>
  <c r="N11" i="9" s="1"/>
  <c r="M11" i="9" s="1" a="1"/>
  <c r="M11" i="9" s="1"/>
  <c r="B11" i="9" a="1"/>
  <c r="B11" i="9" s="1"/>
  <c r="F22" i="7" a="1"/>
  <c r="F22" i="7" s="1"/>
  <c r="L22" i="7" a="1"/>
  <c r="L22" i="7" s="1"/>
  <c r="E22" i="7" a="1"/>
  <c r="E22" i="7" s="1"/>
  <c r="H22" i="7" a="1"/>
  <c r="H22" i="7" s="1"/>
  <c r="I24" i="9" a="1"/>
  <c r="I24" i="9" s="1"/>
  <c r="H29" i="9" a="1"/>
  <c r="H29" i="9" s="1"/>
  <c r="H25" i="9" a="1"/>
  <c r="H25" i="9" s="1"/>
  <c r="C34" i="9" a="1"/>
  <c r="C34" i="9" s="1"/>
  <c r="C31" i="9" a="1"/>
  <c r="C31" i="9" s="1"/>
  <c r="H11" i="9" a="1"/>
  <c r="H11" i="9" s="1"/>
  <c r="C32" i="9" a="1"/>
  <c r="C32" i="9" s="1"/>
  <c r="C24" i="9" a="1"/>
  <c r="C24" i="9" s="1"/>
  <c r="I34" i="9" a="1"/>
  <c r="I34" i="9" s="1"/>
  <c r="H9" i="9" a="1"/>
  <c r="H9" i="9" s="1"/>
  <c r="I9" i="9" a="1"/>
  <c r="I9" i="9" s="1"/>
  <c r="E33" i="7" a="1"/>
  <c r="E33" i="7" s="1"/>
  <c r="C31" i="7" a="1"/>
  <c r="C31" i="7" s="1"/>
  <c r="K31" i="7" a="1"/>
  <c r="K31" i="7" s="1"/>
  <c r="F24" i="7" a="1"/>
  <c r="F24" i="7" s="1"/>
  <c r="I27" i="7" a="1"/>
  <c r="I27" i="7" s="1"/>
  <c r="D19" i="7" a="1"/>
  <c r="D19" i="7" s="1"/>
  <c r="D8" i="7" a="1"/>
  <c r="D8" i="7" s="1"/>
  <c r="C15" i="7" a="1"/>
  <c r="C15" i="7" s="1"/>
  <c r="F34" i="9" a="1"/>
  <c r="F34" i="9" s="1"/>
  <c r="E9" i="9" a="1"/>
  <c r="E9" i="9" s="1"/>
  <c r="E32" i="9" a="1"/>
  <c r="E32" i="9" s="1"/>
  <c r="E24" i="7" a="1"/>
  <c r="E24" i="7" s="1"/>
  <c r="I24" i="7" a="1"/>
  <c r="I24" i="7" s="1"/>
  <c r="AH129" i="5"/>
  <c r="AJ129" i="5" s="1"/>
  <c r="S136" i="15"/>
  <c r="S138" i="15"/>
  <c r="AR107" i="5"/>
  <c r="G22" i="9" a="1"/>
  <c r="G22" i="9" s="1"/>
  <c r="T125" i="15"/>
  <c r="S141" i="15"/>
  <c r="S122" i="15"/>
  <c r="T146" i="15"/>
  <c r="F27" i="9" a="1"/>
  <c r="F27" i="9" s="1"/>
  <c r="G31" i="9" a="1"/>
  <c r="G31" i="9" s="1"/>
  <c r="G27" i="9" a="1"/>
  <c r="G27" i="9" s="1"/>
  <c r="F11" i="9" a="1"/>
  <c r="F11" i="9" s="1"/>
  <c r="T135" i="15"/>
  <c r="S151" i="15"/>
  <c r="U151" i="15" s="1"/>
  <c r="R151" i="5" s="1" a="1"/>
  <c r="R151" i="5" s="1"/>
  <c r="AI151" i="5" s="1"/>
  <c r="T131" i="15"/>
  <c r="T147" i="15"/>
  <c r="T132" i="15"/>
  <c r="T148" i="15"/>
  <c r="T136" i="15"/>
  <c r="T124" i="15"/>
  <c r="T140" i="15"/>
  <c r="T141" i="15"/>
  <c r="S133" i="15"/>
  <c r="S149" i="15"/>
  <c r="S134" i="15"/>
  <c r="U134" i="15" s="1"/>
  <c r="R134" i="5" s="1" a="1"/>
  <c r="R134" i="5" s="1"/>
  <c r="S150" i="15"/>
  <c r="U150" i="15" s="1"/>
  <c r="R150" i="5" s="1" a="1"/>
  <c r="R150" i="5" s="1"/>
  <c r="AI150" i="5" s="1"/>
  <c r="T126" i="15"/>
  <c r="U126" i="15" s="1"/>
  <c r="R126" i="5" s="1" a="1"/>
  <c r="R126" i="5" s="1"/>
  <c r="AI126" i="5" s="1"/>
  <c r="F21" i="9" a="1"/>
  <c r="F21" i="9" s="1"/>
  <c r="F18" i="9" a="1"/>
  <c r="F18" i="9" s="1"/>
  <c r="AV61" i="13"/>
  <c r="T129" i="15"/>
  <c r="T145" i="15"/>
  <c r="T130" i="15"/>
  <c r="L30" i="9"/>
  <c r="N30" i="9" s="1"/>
  <c r="M30" i="9" s="1" a="1"/>
  <c r="M30" i="9" s="1"/>
  <c r="AH131" i="5"/>
  <c r="AJ131" i="5" s="1"/>
  <c r="AI134" i="5"/>
  <c r="L24" i="9"/>
  <c r="N24" i="9" s="1"/>
  <c r="M24" i="9" s="1" a="1"/>
  <c r="M24" i="9" s="1"/>
  <c r="P107" i="8"/>
  <c r="G35" i="9" a="1"/>
  <c r="G35" i="9" s="1"/>
  <c r="F35" i="9" a="1"/>
  <c r="F35" i="9" s="1"/>
  <c r="F22" i="9" a="1"/>
  <c r="F22" i="9" s="1"/>
  <c r="F19" i="9" a="1"/>
  <c r="F19" i="9" s="1"/>
  <c r="T127" i="15"/>
  <c r="T143" i="15"/>
  <c r="T139" i="15"/>
  <c r="S135" i="15"/>
  <c r="U135" i="15" s="1"/>
  <c r="R135" i="5" s="1" a="1"/>
  <c r="R135" i="5" s="1"/>
  <c r="AI135" i="5" s="1"/>
  <c r="T151" i="15"/>
  <c r="S127" i="15"/>
  <c r="S128" i="15"/>
  <c r="U128" i="15" s="1"/>
  <c r="R128" i="5" s="1" a="1"/>
  <c r="R128" i="5" s="1"/>
  <c r="AI128" i="5" s="1"/>
  <c r="S144" i="15"/>
  <c r="T137" i="15"/>
  <c r="T122" i="15"/>
  <c r="T138" i="15"/>
  <c r="S142" i="15"/>
  <c r="U142" i="15" s="1"/>
  <c r="R142" i="5" s="1" a="1"/>
  <c r="R142" i="5" s="1"/>
  <c r="AI142" i="5" s="1"/>
  <c r="AC100" i="5"/>
  <c r="F14" i="9" a="1"/>
  <c r="F14" i="9" s="1"/>
  <c r="U136" i="15"/>
  <c r="R136" i="5" s="1" a="1"/>
  <c r="R136" i="5" s="1"/>
  <c r="U141" i="15"/>
  <c r="R141" i="5" s="1" a="1"/>
  <c r="R141" i="5" s="1"/>
  <c r="AI141" i="5" s="1"/>
  <c r="AI136" i="5"/>
  <c r="AC109" i="5"/>
  <c r="F23" i="9" a="1"/>
  <c r="F23" i="9" s="1"/>
  <c r="U127" i="15"/>
  <c r="R127" i="5" s="1" a="1"/>
  <c r="R127" i="5" s="1"/>
  <c r="AI127" i="5" s="1"/>
  <c r="D26" i="6" a="1"/>
  <c r="D26" i="6" s="1"/>
  <c r="C26" i="6" s="1" a="1"/>
  <c r="C26" i="6" s="1"/>
  <c r="Z26" i="21"/>
  <c r="U139" i="15"/>
  <c r="R139" i="5" s="1" a="1"/>
  <c r="R139" i="5" s="1"/>
  <c r="AI139" i="5" s="1"/>
  <c r="U132" i="15"/>
  <c r="R132" i="5" s="1" a="1"/>
  <c r="R132" i="5" s="1"/>
  <c r="AI132" i="5" s="1"/>
  <c r="U125" i="15"/>
  <c r="R125" i="5" s="1" a="1"/>
  <c r="R125" i="5" s="1"/>
  <c r="AI125" i="5" s="1"/>
  <c r="S143" i="15"/>
  <c r="U143" i="15" s="1"/>
  <c r="R143" i="5" s="1" a="1"/>
  <c r="R143" i="5" s="1"/>
  <c r="S124" i="15"/>
  <c r="U124" i="15" s="1"/>
  <c r="R124" i="5" s="1" a="1"/>
  <c r="R124" i="5" s="1"/>
  <c r="S148" i="15"/>
  <c r="T133" i="15"/>
  <c r="U133" i="15" s="1"/>
  <c r="R133" i="5" s="1" a="1"/>
  <c r="R133" i="5" s="1"/>
  <c r="AI133" i="5" s="1"/>
  <c r="T149" i="15"/>
  <c r="U149" i="15" s="1"/>
  <c r="R149" i="5" s="1" a="1"/>
  <c r="R149" i="5" s="1"/>
  <c r="AI149" i="5" s="1"/>
  <c r="I41" i="11"/>
  <c r="C25" i="9" a="1"/>
  <c r="C25" i="9" s="1"/>
  <c r="Z46" i="21"/>
  <c r="Z34" i="21"/>
  <c r="H27" i="9" a="1"/>
  <c r="H27" i="9" s="1"/>
  <c r="H8" i="9" a="1"/>
  <c r="H8" i="9" s="1"/>
  <c r="I39" i="11"/>
  <c r="I37" i="11"/>
  <c r="I55" i="11"/>
  <c r="C27" i="9" a="1"/>
  <c r="C27" i="9" s="1"/>
  <c r="Z50" i="21"/>
  <c r="Z38" i="21"/>
  <c r="AA151" i="5"/>
  <c r="AP151" i="5" s="1"/>
  <c r="AH151" i="5" s="1"/>
  <c r="AJ151" i="5" s="1"/>
  <c r="S140" i="15"/>
  <c r="U140" i="15" s="1"/>
  <c r="R140" i="5" s="1" a="1"/>
  <c r="R140" i="5" s="1"/>
  <c r="H16" i="9" a="1"/>
  <c r="H16" i="9" s="1"/>
  <c r="H13" i="9" a="1"/>
  <c r="H13" i="9" s="1"/>
  <c r="S147" i="15"/>
  <c r="U147" i="15" s="1"/>
  <c r="R147" i="5" s="1" a="1"/>
  <c r="R147" i="5" s="1"/>
  <c r="T128" i="15"/>
  <c r="T144" i="15"/>
  <c r="S129" i="15"/>
  <c r="U129" i="15" s="1"/>
  <c r="R129" i="5" s="1" a="1"/>
  <c r="R129" i="5" s="1"/>
  <c r="AI129" i="5" s="1"/>
  <c r="S137" i="15"/>
  <c r="U137" i="15" s="1"/>
  <c r="R137" i="5" s="1" a="1"/>
  <c r="R137" i="5" s="1"/>
  <c r="AI137" i="5" s="1"/>
  <c r="S145" i="15"/>
  <c r="U145" i="15" s="1"/>
  <c r="R145" i="5" s="1" a="1"/>
  <c r="R145" i="5" s="1"/>
  <c r="AI145" i="5" s="1"/>
  <c r="S130" i="15"/>
  <c r="U130" i="15" s="1"/>
  <c r="R130" i="5" s="1" a="1"/>
  <c r="R130" i="5" s="1"/>
  <c r="AI130" i="5" s="1"/>
  <c r="S146" i="15"/>
  <c r="U146" i="15" s="1"/>
  <c r="R146" i="5" s="1" a="1"/>
  <c r="R146" i="5" s="1"/>
  <c r="AI146" i="5" s="1"/>
  <c r="D44" i="12"/>
  <c r="H57" i="10"/>
  <c r="N57" i="10"/>
  <c r="Q57" i="10"/>
  <c r="K19" i="7" a="1"/>
  <c r="K19" i="7" s="1"/>
  <c r="AC108" i="8"/>
  <c r="Z32" i="21"/>
  <c r="AJ27" i="21"/>
  <c r="AJ31" i="21"/>
  <c r="AJ35" i="21"/>
  <c r="AJ39" i="21"/>
  <c r="AJ43" i="21"/>
  <c r="AJ47" i="21"/>
  <c r="AJ51" i="21"/>
  <c r="AJ55" i="21"/>
  <c r="AK55" i="21" s="1"/>
  <c r="AJ59" i="21"/>
  <c r="AK59" i="21" s="1"/>
  <c r="AJ63" i="21"/>
  <c r="AK63" i="21" s="1"/>
  <c r="AJ28" i="21"/>
  <c r="AJ33" i="21"/>
  <c r="AJ38" i="21"/>
  <c r="AJ44" i="21"/>
  <c r="AJ49" i="21"/>
  <c r="AJ54" i="21"/>
  <c r="AJ60" i="21"/>
  <c r="AK60" i="21" s="1"/>
  <c r="AJ29" i="21"/>
  <c r="AJ34" i="21"/>
  <c r="AJ40" i="21"/>
  <c r="AJ45" i="21"/>
  <c r="AJ50" i="21"/>
  <c r="AJ56" i="21"/>
  <c r="AK56" i="21" s="1"/>
  <c r="AJ61" i="21"/>
  <c r="AK61" i="21" s="1"/>
  <c r="AJ25" i="21"/>
  <c r="AJ30" i="21"/>
  <c r="AJ36" i="21"/>
  <c r="AJ41" i="21"/>
  <c r="AJ46" i="21"/>
  <c r="AJ52" i="21"/>
  <c r="AJ57" i="21"/>
  <c r="AK57" i="21" s="1"/>
  <c r="AJ62" i="21"/>
  <c r="AK62" i="21" s="1"/>
  <c r="AJ26" i="21"/>
  <c r="AJ32" i="21"/>
  <c r="AJ37" i="21"/>
  <c r="AJ42" i="21"/>
  <c r="AJ48" i="21"/>
  <c r="AJ53" i="21"/>
  <c r="AJ58" i="21"/>
  <c r="AK58" i="21" s="1"/>
  <c r="AJ64" i="21"/>
  <c r="AK64" i="21" s="1"/>
  <c r="Z36" i="21"/>
  <c r="Z54" i="21"/>
  <c r="Y39" i="21"/>
  <c r="T123" i="15"/>
  <c r="U123" i="15" s="1"/>
  <c r="R123" i="5" s="1" a="1"/>
  <c r="R123" i="5" s="1"/>
  <c r="AI123" i="5" s="1"/>
  <c r="S131" i="15"/>
  <c r="U131" i="15" s="1"/>
  <c r="R131" i="5" s="1" a="1"/>
  <c r="R131" i="5" s="1"/>
  <c r="AI131" i="5" s="1"/>
  <c r="H6" i="9" a="1"/>
  <c r="H6" i="9" s="1"/>
  <c r="AH132" i="5"/>
  <c r="AJ132" i="5" s="1"/>
  <c r="AI124" i="5"/>
  <c r="AI140" i="5"/>
  <c r="AI143" i="5"/>
  <c r="AA126" i="5"/>
  <c r="AP126" i="5" s="1"/>
  <c r="AA127" i="5"/>
  <c r="AP127" i="5" s="1"/>
  <c r="AH127" i="5" s="1"/>
  <c r="AJ127" i="5" s="1"/>
  <c r="H14" i="9" a="1"/>
  <c r="H14" i="9" s="1"/>
  <c r="H24" i="9" a="1"/>
  <c r="H24" i="9" s="1"/>
  <c r="I30" i="9" a="1"/>
  <c r="I30" i="9" s="1"/>
  <c r="I26" i="9" a="1"/>
  <c r="I26" i="9" s="1"/>
  <c r="K35" i="7" a="1"/>
  <c r="K35" i="7" s="1"/>
  <c r="K27" i="7" a="1"/>
  <c r="K27" i="7" s="1"/>
  <c r="K15" i="7" a="1"/>
  <c r="K15" i="7" s="1"/>
  <c r="F31" i="9" a="1"/>
  <c r="F31" i="9" s="1"/>
  <c r="G11" i="9" a="1"/>
  <c r="G11" i="9" s="1"/>
  <c r="T80" i="15"/>
  <c r="T96" i="15"/>
  <c r="S68" i="15"/>
  <c r="S84" i="15"/>
  <c r="S100" i="15"/>
  <c r="T116" i="15"/>
  <c r="T104" i="15"/>
  <c r="T120" i="15"/>
  <c r="E44" i="12"/>
  <c r="M39" i="11"/>
  <c r="R57" i="10"/>
  <c r="T109" i="8"/>
  <c r="I40" i="11"/>
  <c r="I107" i="8"/>
  <c r="I40" i="12"/>
  <c r="I39" i="12"/>
  <c r="I37" i="12"/>
  <c r="I59" i="11"/>
  <c r="C35" i="9" a="1"/>
  <c r="C35" i="9" s="1"/>
  <c r="I55" i="12"/>
  <c r="I41" i="12"/>
  <c r="Z30" i="21"/>
  <c r="Z49" i="21"/>
  <c r="AI147" i="5"/>
  <c r="D50" i="12"/>
  <c r="E47" i="12"/>
  <c r="E64" i="12"/>
  <c r="D64" i="12"/>
  <c r="M44" i="12"/>
  <c r="L68" i="12"/>
  <c r="F68" i="12" s="1"/>
  <c r="D47" i="12"/>
  <c r="C47" i="12"/>
  <c r="B47" i="12"/>
  <c r="L47" i="12"/>
  <c r="F47" i="12" s="1"/>
  <c r="E68" i="12"/>
  <c r="D68" i="12"/>
  <c r="M49" i="12"/>
  <c r="L59" i="12"/>
  <c r="C64" i="12"/>
  <c r="B64" i="12"/>
  <c r="P33" i="12"/>
  <c r="M50" i="12"/>
  <c r="E56" i="11"/>
  <c r="D64" i="11"/>
  <c r="C56" i="11"/>
  <c r="B64" i="11"/>
  <c r="C55" i="12"/>
  <c r="B55" i="12"/>
  <c r="D49" i="11"/>
  <c r="M33" i="11"/>
  <c r="L49" i="11"/>
  <c r="D48" i="12"/>
  <c r="B52" i="12"/>
  <c r="E58" i="11"/>
  <c r="B58" i="11"/>
  <c r="L58" i="11"/>
  <c r="F58" i="11" s="1"/>
  <c r="C53" i="12"/>
  <c r="L35" i="11"/>
  <c r="L64" i="11"/>
  <c r="F64" i="11" s="1"/>
  <c r="M47" i="12"/>
  <c r="F49" i="11"/>
  <c r="C49" i="11"/>
  <c r="D52" i="12"/>
  <c r="M48" i="12"/>
  <c r="E53" i="12"/>
  <c r="B53" i="12"/>
  <c r="Q52" i="12"/>
  <c r="M38" i="12"/>
  <c r="E64" i="11"/>
  <c r="D56" i="11"/>
  <c r="C64" i="11"/>
  <c r="B56" i="11"/>
  <c r="M31" i="12"/>
  <c r="E49" i="11"/>
  <c r="B49" i="11"/>
  <c r="E48" i="12"/>
  <c r="L48" i="12"/>
  <c r="F48" i="12" s="1"/>
  <c r="C58" i="11"/>
  <c r="M54" i="11"/>
  <c r="D53" i="12"/>
  <c r="C12" i="6"/>
  <c r="G7" i="13" s="1"/>
  <c r="I6" i="7" a="1"/>
  <c r="I6" i="7" s="1"/>
  <c r="H6" i="7" a="1"/>
  <c r="H6" i="7" s="1"/>
  <c r="G6" i="7" a="1"/>
  <c r="G6" i="7" s="1"/>
  <c r="G20" i="7" a="1"/>
  <c r="G20" i="7" s="1"/>
  <c r="G19" i="7" a="1"/>
  <c r="G19" i="7" s="1"/>
  <c r="C22" i="7" a="1"/>
  <c r="C22" i="7" s="1"/>
  <c r="K22" i="7" a="1"/>
  <c r="K22" i="7" s="1"/>
  <c r="F20" i="9" a="1"/>
  <c r="F20" i="9" s="1"/>
  <c r="C8" i="9" a="1"/>
  <c r="C8" i="9" s="1"/>
  <c r="F8" i="9" a="1"/>
  <c r="F8" i="9" s="1"/>
  <c r="G7" i="9" a="1"/>
  <c r="G7" i="9" s="1"/>
  <c r="G13" i="9" a="1"/>
  <c r="G13" i="9" s="1"/>
  <c r="F13" i="9" a="1"/>
  <c r="F13" i="9" s="1"/>
  <c r="G9" i="9" a="1"/>
  <c r="G9" i="9" s="1"/>
  <c r="F9" i="9" a="1"/>
  <c r="F9" i="9" s="1"/>
  <c r="I18" i="9" a="1"/>
  <c r="I18" i="9" s="1"/>
  <c r="C18" i="9" a="1"/>
  <c r="C18" i="9" s="1"/>
  <c r="C29" i="9" a="1"/>
  <c r="C29" i="9" s="1"/>
  <c r="I7" i="9" a="1"/>
  <c r="I7" i="9" s="1"/>
  <c r="F7" i="9" a="1"/>
  <c r="F7" i="9" s="1"/>
  <c r="K13" i="9" a="1"/>
  <c r="K13" i="9" s="1"/>
  <c r="L13" i="9" s="1"/>
  <c r="N13" i="9" s="1"/>
  <c r="M13" i="9" s="1" a="1"/>
  <c r="M13" i="9" s="1"/>
  <c r="H18" i="9" a="1"/>
  <c r="H18" i="9" s="1"/>
  <c r="I13" i="9" a="1"/>
  <c r="I13" i="9" s="1"/>
  <c r="D6" i="7" a="1"/>
  <c r="D6" i="7" s="1"/>
  <c r="K20" i="7" a="1"/>
  <c r="K20" i="7" s="1"/>
  <c r="F19" i="7" a="1"/>
  <c r="F19" i="7" s="1"/>
  <c r="C19" i="7" a="1"/>
  <c r="C19" i="7" s="1"/>
  <c r="G22" i="7" a="1"/>
  <c r="G22" i="7" s="1"/>
  <c r="G8" i="9" a="1"/>
  <c r="G8" i="9" s="1"/>
  <c r="B8" i="9" a="1"/>
  <c r="B8" i="9" s="1"/>
  <c r="C7" i="9" a="1"/>
  <c r="C7" i="9" s="1"/>
  <c r="C13" i="9" a="1"/>
  <c r="C13" i="9" s="1"/>
  <c r="C9" i="9" a="1"/>
  <c r="C9" i="9" s="1"/>
  <c r="G18" i="9" a="1"/>
  <c r="G18" i="9" s="1"/>
  <c r="H29" i="7" a="1"/>
  <c r="H29" i="7" s="1"/>
  <c r="AW63" i="13"/>
  <c r="S75" i="15"/>
  <c r="S91" i="15"/>
  <c r="U91" i="15" s="1"/>
  <c r="R91" i="5" s="1" a="1"/>
  <c r="R91" i="5" s="1"/>
  <c r="AI91" i="5" s="1"/>
  <c r="S107" i="15"/>
  <c r="S67" i="15"/>
  <c r="U67" i="15" s="1"/>
  <c r="R67" i="5" s="1" a="1"/>
  <c r="R67" i="5" s="1"/>
  <c r="T83" i="15"/>
  <c r="T99" i="15"/>
  <c r="S115" i="15"/>
  <c r="S111" i="15"/>
  <c r="U111" i="15" s="1"/>
  <c r="R111" i="5" s="1" a="1"/>
  <c r="R111" i="5" s="1"/>
  <c r="AI111" i="5" s="1"/>
  <c r="AB44" i="21" s="1"/>
  <c r="T76" i="15"/>
  <c r="S92" i="15"/>
  <c r="T108" i="15"/>
  <c r="T65" i="15"/>
  <c r="T81" i="15"/>
  <c r="S77" i="15"/>
  <c r="T46" i="15"/>
  <c r="AH7" i="5"/>
  <c r="AJ7" i="5" s="1"/>
  <c r="S63" i="15"/>
  <c r="U63" i="15" s="1"/>
  <c r="R63" i="5" s="1" a="1"/>
  <c r="R63" i="5" s="1"/>
  <c r="AI63" i="5" s="1"/>
  <c r="S79" i="15"/>
  <c r="U79" i="15" s="1"/>
  <c r="R79" i="5" s="1" a="1"/>
  <c r="R79" i="5" s="1"/>
  <c r="AI79" i="5" s="1"/>
  <c r="S71" i="15"/>
  <c r="T87" i="15"/>
  <c r="T103" i="15"/>
  <c r="S119" i="15"/>
  <c r="T64" i="15"/>
  <c r="S80" i="15"/>
  <c r="U80" i="15" s="1"/>
  <c r="R80" i="5" s="1" a="1"/>
  <c r="R80" i="5" s="1"/>
  <c r="AI80" i="5" s="1"/>
  <c r="S96" i="15"/>
  <c r="T112" i="15"/>
  <c r="S95" i="15"/>
  <c r="U95" i="15" s="1"/>
  <c r="R95" i="5" s="1" a="1"/>
  <c r="R95" i="5" s="1"/>
  <c r="AI95" i="5" s="1"/>
  <c r="AB28" i="21" s="1"/>
  <c r="T75" i="15"/>
  <c r="T91" i="15"/>
  <c r="T107" i="15"/>
  <c r="U107" i="15" s="1"/>
  <c r="R107" i="5" s="1" a="1"/>
  <c r="R107" i="5" s="1"/>
  <c r="AI107" i="5" s="1"/>
  <c r="AB40" i="21" s="1"/>
  <c r="T68" i="15"/>
  <c r="U68" i="15" s="1"/>
  <c r="R68" i="5" s="1" a="1"/>
  <c r="R68" i="5" s="1"/>
  <c r="AI68" i="5" s="1"/>
  <c r="T100" i="15"/>
  <c r="U100" i="15" s="1"/>
  <c r="R100" i="5" s="1" a="1"/>
  <c r="R100" i="5" s="1"/>
  <c r="AI100" i="5" s="1"/>
  <c r="AB33" i="21" s="1"/>
  <c r="S116" i="15"/>
  <c r="S76" i="15"/>
  <c r="S65" i="15"/>
  <c r="S81" i="15"/>
  <c r="T69" i="15"/>
  <c r="S85" i="15"/>
  <c r="T73" i="15"/>
  <c r="S89" i="15"/>
  <c r="T105" i="15"/>
  <c r="T121" i="15"/>
  <c r="T62" i="15"/>
  <c r="S94" i="15"/>
  <c r="T110" i="15"/>
  <c r="U89" i="15"/>
  <c r="R89" i="5" s="1" a="1"/>
  <c r="R89" i="5" s="1"/>
  <c r="AI89" i="5" s="1"/>
  <c r="T84" i="15"/>
  <c r="U84" i="15" s="1"/>
  <c r="R84" i="5" s="1" a="1"/>
  <c r="R84" i="5" s="1"/>
  <c r="AI84" i="5" s="1"/>
  <c r="S104" i="15"/>
  <c r="U104" i="15" s="1"/>
  <c r="R104" i="5" s="1" a="1"/>
  <c r="R104" i="5" s="1"/>
  <c r="S86" i="15"/>
  <c r="H43" i="12"/>
  <c r="L43" i="12"/>
  <c r="F43" i="12" s="1"/>
  <c r="AR63" i="5"/>
  <c r="I108" i="8"/>
  <c r="T71" i="15"/>
  <c r="S87" i="15"/>
  <c r="S103" i="15"/>
  <c r="T119" i="15"/>
  <c r="S64" i="15"/>
  <c r="T72" i="15"/>
  <c r="U72" i="15" s="1"/>
  <c r="R72" i="5" s="1" a="1"/>
  <c r="R72" i="5" s="1"/>
  <c r="AI72" i="5" s="1"/>
  <c r="T88" i="15"/>
  <c r="U88" i="15" s="1"/>
  <c r="R88" i="5" s="1" a="1"/>
  <c r="R88" i="5" s="1"/>
  <c r="AI88" i="5" s="1"/>
  <c r="S112" i="15"/>
  <c r="S120" i="15"/>
  <c r="U120" i="15" s="1"/>
  <c r="R120" i="5" s="1" a="1"/>
  <c r="R120" i="5" s="1"/>
  <c r="AI120" i="5" s="1"/>
  <c r="AB53" i="21" s="1"/>
  <c r="T77" i="15"/>
  <c r="T93" i="15"/>
  <c r="S93" i="15"/>
  <c r="T109" i="15"/>
  <c r="S109" i="15"/>
  <c r="S69" i="15"/>
  <c r="T89" i="15"/>
  <c r="S121" i="15"/>
  <c r="S74" i="15"/>
  <c r="S90" i="15"/>
  <c r="S106" i="15"/>
  <c r="I32" i="12"/>
  <c r="M32" i="12"/>
  <c r="H51" i="12"/>
  <c r="B51" i="12"/>
  <c r="D51" i="12"/>
  <c r="L51" i="12"/>
  <c r="F51" i="12" s="1"/>
  <c r="H67" i="12"/>
  <c r="C67" i="12"/>
  <c r="E67" i="12"/>
  <c r="G67" i="12"/>
  <c r="B67" i="12"/>
  <c r="D67" i="12"/>
  <c r="H63" i="11"/>
  <c r="L63" i="11"/>
  <c r="F63" i="11" s="1"/>
  <c r="E63" i="11"/>
  <c r="D63" i="11"/>
  <c r="B63" i="11"/>
  <c r="G63" i="11"/>
  <c r="H52" i="11"/>
  <c r="L52" i="11"/>
  <c r="F52" i="11" s="1"/>
  <c r="D52" i="11"/>
  <c r="C52" i="11"/>
  <c r="B52" i="11"/>
  <c r="H55" i="11"/>
  <c r="C55" i="11"/>
  <c r="E55" i="11"/>
  <c r="H60" i="12"/>
  <c r="B60" i="12"/>
  <c r="E60" i="12"/>
  <c r="D60" i="12"/>
  <c r="C60" i="12"/>
  <c r="M58" i="11"/>
  <c r="M53" i="12"/>
  <c r="AL24" i="8"/>
  <c r="AF24" i="8"/>
  <c r="Z24" i="8"/>
  <c r="AJ24" i="8"/>
  <c r="AD24" i="8"/>
  <c r="Y24" i="8"/>
  <c r="S24" i="8"/>
  <c r="AI24" i="8"/>
  <c r="AC24" i="8"/>
  <c r="W24" i="8"/>
  <c r="T24" i="8"/>
  <c r="AL40" i="8"/>
  <c r="AF40" i="8"/>
  <c r="Z40" i="8"/>
  <c r="AJ40" i="8"/>
  <c r="AD40" i="8"/>
  <c r="Y40" i="8"/>
  <c r="S40" i="8"/>
  <c r="AI40" i="8"/>
  <c r="AC40" i="8"/>
  <c r="W40" i="8"/>
  <c r="T40" i="8"/>
  <c r="AL56" i="8"/>
  <c r="AF56" i="8"/>
  <c r="Z56" i="8"/>
  <c r="AJ56" i="8"/>
  <c r="AD56" i="8"/>
  <c r="Y56" i="8"/>
  <c r="S56" i="8"/>
  <c r="AI56" i="8"/>
  <c r="AC56" i="8"/>
  <c r="W56" i="8"/>
  <c r="T56" i="8"/>
  <c r="AL72" i="8"/>
  <c r="AF72" i="8"/>
  <c r="Z72" i="8"/>
  <c r="AJ72" i="8"/>
  <c r="AD72" i="8"/>
  <c r="Y72" i="8"/>
  <c r="S72" i="8"/>
  <c r="AI72" i="8"/>
  <c r="AC72" i="8"/>
  <c r="W72" i="8"/>
  <c r="T72" i="8"/>
  <c r="AL88" i="8"/>
  <c r="AF88" i="8"/>
  <c r="Z88" i="8"/>
  <c r="AJ88" i="8"/>
  <c r="AD88" i="8"/>
  <c r="Y88" i="8"/>
  <c r="S88" i="8"/>
  <c r="AI88" i="8"/>
  <c r="AC88" i="8"/>
  <c r="W88" i="8"/>
  <c r="T88" i="8"/>
  <c r="AL104" i="8"/>
  <c r="AF104" i="8"/>
  <c r="Z104" i="8"/>
  <c r="AJ104" i="8"/>
  <c r="AD104" i="8"/>
  <c r="Y104" i="8"/>
  <c r="S104" i="8"/>
  <c r="AI104" i="8"/>
  <c r="AC104" i="8"/>
  <c r="W104" i="8"/>
  <c r="T104" i="8"/>
  <c r="B26" i="9" a="1"/>
  <c r="B26" i="9" s="1"/>
  <c r="E26" i="9" a="1"/>
  <c r="E26" i="9" s="1"/>
  <c r="L26" i="9" s="1"/>
  <c r="N26" i="9" s="1"/>
  <c r="M26" i="9" s="1" a="1"/>
  <c r="M26" i="9" s="1"/>
  <c r="I106" i="8"/>
  <c r="AA89" i="5"/>
  <c r="AP89" i="5" s="1"/>
  <c r="AH89" i="5" s="1"/>
  <c r="AJ89" i="5" s="1"/>
  <c r="AA68" i="5"/>
  <c r="AP68" i="5" s="1"/>
  <c r="T118" i="15"/>
  <c r="T86" i="15"/>
  <c r="AI67" i="5"/>
  <c r="AA65" i="5"/>
  <c r="AP65" i="5" s="1"/>
  <c r="AH65" i="5" s="1"/>
  <c r="AJ65" i="5" s="1"/>
  <c r="AR93" i="5"/>
  <c r="B40" i="19" s="1"/>
  <c r="D40" i="19" s="1"/>
  <c r="I109" i="8"/>
  <c r="G6" i="8" s="1"/>
  <c r="AA85" i="5"/>
  <c r="AP85" i="5" s="1"/>
  <c r="AH85" i="5" s="1"/>
  <c r="AJ85" i="5" s="1"/>
  <c r="AA73" i="5"/>
  <c r="AP73" i="5" s="1"/>
  <c r="AH73" i="5" s="1"/>
  <c r="AJ73" i="5" s="1"/>
  <c r="N109" i="8"/>
  <c r="B6" i="8" s="1"/>
  <c r="N106" i="8"/>
  <c r="T92" i="15"/>
  <c r="S108" i="15"/>
  <c r="S97" i="15"/>
  <c r="T113" i="15"/>
  <c r="S73" i="15"/>
  <c r="T97" i="15"/>
  <c r="S113" i="15"/>
  <c r="S62" i="15"/>
  <c r="T78" i="15"/>
  <c r="T94" i="15"/>
  <c r="U94" i="15" s="1"/>
  <c r="R94" i="5" s="1" a="1"/>
  <c r="R94" i="5" s="1"/>
  <c r="AI94" i="5" s="1"/>
  <c r="AB27" i="21" s="1"/>
  <c r="S110" i="15"/>
  <c r="I25" i="9" a="1"/>
  <c r="I25" i="9" s="1"/>
  <c r="H38" i="11"/>
  <c r="B38" i="11"/>
  <c r="L38" i="11"/>
  <c r="F38" i="11" s="1"/>
  <c r="D38" i="11"/>
  <c r="H30" i="12"/>
  <c r="C30" i="12"/>
  <c r="AI106" i="8"/>
  <c r="T106" i="8"/>
  <c r="AD106" i="8"/>
  <c r="Z106" i="8"/>
  <c r="AL106" i="8"/>
  <c r="V106" i="8"/>
  <c r="AG106" i="8"/>
  <c r="AC106" i="8"/>
  <c r="W106" i="8"/>
  <c r="Y106" i="8"/>
  <c r="AA70" i="5"/>
  <c r="AP70" i="5" s="1"/>
  <c r="AH70" i="5" s="1"/>
  <c r="AJ70" i="5" s="1"/>
  <c r="T67" i="15"/>
  <c r="S83" i="15"/>
  <c r="S99" i="15"/>
  <c r="T115" i="15"/>
  <c r="U115" i="15" s="1"/>
  <c r="R115" i="5" s="1" a="1"/>
  <c r="R115" i="5" s="1"/>
  <c r="AI115" i="5" s="1"/>
  <c r="AB48" i="21" s="1"/>
  <c r="T70" i="15"/>
  <c r="S70" i="15"/>
  <c r="T102" i="15"/>
  <c r="S102" i="15"/>
  <c r="S118" i="15"/>
  <c r="H43" i="11"/>
  <c r="L43" i="11"/>
  <c r="F43" i="11" s="1"/>
  <c r="E43" i="11"/>
  <c r="D43" i="11"/>
  <c r="AI104" i="5"/>
  <c r="AB37" i="21" s="1"/>
  <c r="AA103" i="5"/>
  <c r="H35" i="9" a="1"/>
  <c r="H35" i="9" s="1"/>
  <c r="N107" i="8"/>
  <c r="P108" i="8"/>
  <c r="P106" i="8"/>
  <c r="AA64" i="5"/>
  <c r="AP64" i="5" s="1"/>
  <c r="AH64" i="5" s="1"/>
  <c r="AJ64" i="5" s="1"/>
  <c r="S36" i="15"/>
  <c r="S52" i="15"/>
  <c r="S45" i="15"/>
  <c r="T61" i="15"/>
  <c r="T49" i="15"/>
  <c r="T37" i="15"/>
  <c r="T53" i="15"/>
  <c r="T85" i="15"/>
  <c r="U85" i="15" s="1"/>
  <c r="R85" i="5" s="1" a="1"/>
  <c r="R85" i="5" s="1"/>
  <c r="AI85" i="5" s="1"/>
  <c r="T101" i="15"/>
  <c r="T117" i="15"/>
  <c r="S117" i="15"/>
  <c r="S101" i="15"/>
  <c r="S105" i="15"/>
  <c r="S66" i="15"/>
  <c r="S82" i="15"/>
  <c r="T98" i="15"/>
  <c r="S114" i="15"/>
  <c r="T74" i="15"/>
  <c r="T90" i="15"/>
  <c r="T106" i="15"/>
  <c r="T66" i="15"/>
  <c r="T82" i="15"/>
  <c r="S98" i="15"/>
  <c r="T114" i="15"/>
  <c r="H45" i="12"/>
  <c r="B45" i="12"/>
  <c r="E45" i="12"/>
  <c r="D45" i="12"/>
  <c r="H33" i="11"/>
  <c r="C33" i="11"/>
  <c r="B33" i="11"/>
  <c r="E33" i="11"/>
  <c r="H34" i="12"/>
  <c r="C34" i="12"/>
  <c r="D34" i="12"/>
  <c r="E34" i="12"/>
  <c r="H34" i="11"/>
  <c r="E34" i="11"/>
  <c r="D35" i="7" a="1"/>
  <c r="D35" i="7" s="1"/>
  <c r="L35" i="7" a="1"/>
  <c r="L35" i="7" s="1"/>
  <c r="H35" i="7" a="1"/>
  <c r="H35" i="7" s="1"/>
  <c r="M51" i="12"/>
  <c r="M52" i="12"/>
  <c r="H53" i="11"/>
  <c r="E53" i="11"/>
  <c r="L53" i="11"/>
  <c r="F53" i="11" s="1"/>
  <c r="D53" i="11"/>
  <c r="C53" i="11"/>
  <c r="H57" i="12"/>
  <c r="C57" i="12"/>
  <c r="L57" i="12"/>
  <c r="F57" i="12" s="1"/>
  <c r="B57" i="12"/>
  <c r="E57" i="12"/>
  <c r="H50" i="12"/>
  <c r="C50" i="12"/>
  <c r="B50" i="12"/>
  <c r="L50" i="12"/>
  <c r="F50" i="12" s="1"/>
  <c r="H54" i="10"/>
  <c r="M54" i="10"/>
  <c r="N54" i="10"/>
  <c r="T54" i="10"/>
  <c r="AC54" i="10"/>
  <c r="J54" i="10" s="1"/>
  <c r="AB54" i="10"/>
  <c r="I54" i="10" s="1"/>
  <c r="P54" i="10"/>
  <c r="S78" i="15"/>
  <c r="S38" i="15"/>
  <c r="T38" i="15"/>
  <c r="S54" i="15"/>
  <c r="I33" i="9" a="1"/>
  <c r="I33" i="9" s="1"/>
  <c r="S35" i="15"/>
  <c r="S51" i="15"/>
  <c r="T48" i="15"/>
  <c r="T36" i="15"/>
  <c r="T52" i="15"/>
  <c r="T40" i="15"/>
  <c r="T56" i="15"/>
  <c r="S41" i="15"/>
  <c r="S57" i="15"/>
  <c r="T41" i="15"/>
  <c r="T57" i="15"/>
  <c r="T34" i="15"/>
  <c r="S50" i="15"/>
  <c r="S43" i="15"/>
  <c r="S59" i="15"/>
  <c r="S7" i="15"/>
  <c r="T39" i="15"/>
  <c r="T55" i="15"/>
  <c r="T35" i="15"/>
  <c r="T51" i="15"/>
  <c r="S44" i="15"/>
  <c r="T60" i="15"/>
  <c r="T45" i="15"/>
  <c r="T54" i="15"/>
  <c r="S46" i="15"/>
  <c r="U46" i="15" s="1"/>
  <c r="R46" i="5" s="1" a="1"/>
  <c r="R46" i="5" s="1"/>
  <c r="AI46" i="5" s="1"/>
  <c r="AH55" i="5"/>
  <c r="AJ55" i="5" s="1"/>
  <c r="S47" i="15"/>
  <c r="U47" i="15" s="1"/>
  <c r="R47" i="5" s="1" a="1"/>
  <c r="R47" i="5" s="1"/>
  <c r="AI47" i="5" s="1"/>
  <c r="T43" i="15"/>
  <c r="T59" i="15"/>
  <c r="S48" i="15"/>
  <c r="T44" i="15"/>
  <c r="S49" i="15"/>
  <c r="S34" i="15"/>
  <c r="T50" i="15"/>
  <c r="T42" i="15"/>
  <c r="T58" i="15"/>
  <c r="AA39" i="5"/>
  <c r="AP39" i="5" s="1"/>
  <c r="AH39" i="5" s="1"/>
  <c r="AJ39" i="5" s="1"/>
  <c r="S37" i="15"/>
  <c r="S53" i="15"/>
  <c r="U53" i="15" s="1"/>
  <c r="R53" i="5" s="1" a="1"/>
  <c r="R53" i="5" s="1"/>
  <c r="AI53" i="5" s="1"/>
  <c r="S61" i="15"/>
  <c r="AA59" i="5"/>
  <c r="AP59" i="5" s="1"/>
  <c r="AH59" i="5" s="1"/>
  <c r="AJ59" i="5" s="1"/>
  <c r="AH56" i="5"/>
  <c r="AJ56" i="5" s="1"/>
  <c r="S39" i="15"/>
  <c r="S55" i="15"/>
  <c r="S40" i="15"/>
  <c r="S56" i="15"/>
  <c r="S60" i="15"/>
  <c r="U60" i="15" s="1"/>
  <c r="R60" i="5" s="1" a="1"/>
  <c r="R60" i="5" s="1"/>
  <c r="AI60" i="5" s="1"/>
  <c r="S42" i="15"/>
  <c r="S58" i="15"/>
  <c r="P109" i="8"/>
  <c r="E6" i="8" s="1"/>
  <c r="AA52" i="5"/>
  <c r="AP52" i="5" s="1"/>
  <c r="AH52" i="5" s="1"/>
  <c r="AJ52" i="5" s="1"/>
  <c r="AA43" i="5"/>
  <c r="AP43" i="5" s="1"/>
  <c r="AH43" i="5" s="1"/>
  <c r="AJ43" i="5" s="1"/>
  <c r="T33" i="15"/>
  <c r="N108" i="8"/>
  <c r="I21" i="9" a="1"/>
  <c r="I21" i="9" s="1"/>
  <c r="I23" i="9" a="1"/>
  <c r="I23" i="9" s="1"/>
  <c r="AH31" i="5"/>
  <c r="J48" i="10"/>
  <c r="J32" i="10"/>
  <c r="I50" i="10"/>
  <c r="I46" i="10"/>
  <c r="I42" i="10"/>
  <c r="I38" i="10"/>
  <c r="I34" i="10"/>
  <c r="I30" i="10"/>
  <c r="I56" i="10"/>
  <c r="I40" i="10"/>
  <c r="T23" i="15"/>
  <c r="I53" i="10"/>
  <c r="I49" i="10"/>
  <c r="I45" i="10"/>
  <c r="I41" i="10"/>
  <c r="I37" i="10"/>
  <c r="I33" i="10"/>
  <c r="I29" i="10"/>
  <c r="I44" i="10"/>
  <c r="I28" i="10"/>
  <c r="I43" i="10"/>
  <c r="I57" i="10"/>
  <c r="I52" i="10"/>
  <c r="I36" i="10"/>
  <c r="I51" i="10"/>
  <c r="I35" i="10"/>
  <c r="I48" i="10"/>
  <c r="I32" i="10"/>
  <c r="I47" i="10"/>
  <c r="I31" i="10"/>
  <c r="J50" i="10"/>
  <c r="J46" i="10"/>
  <c r="J42" i="10"/>
  <c r="J38" i="10"/>
  <c r="J34" i="10"/>
  <c r="J30" i="10"/>
  <c r="I55" i="10"/>
  <c r="I39" i="10"/>
  <c r="S28" i="15"/>
  <c r="J51" i="10"/>
  <c r="J35" i="10"/>
  <c r="S29" i="15"/>
  <c r="H7" i="9" a="1"/>
  <c r="H7" i="9" s="1"/>
  <c r="T32" i="15"/>
  <c r="H25" i="7" a="1"/>
  <c r="H25" i="7" s="1"/>
  <c r="H31" i="7" a="1"/>
  <c r="H31" i="7" s="1"/>
  <c r="C24" i="7" a="1"/>
  <c r="C24" i="7" s="1"/>
  <c r="C46" i="12"/>
  <c r="B46" i="12"/>
  <c r="L46" i="12"/>
  <c r="F46" i="12" s="1"/>
  <c r="E32" i="11"/>
  <c r="D32" i="11"/>
  <c r="C32" i="11"/>
  <c r="B32" i="11"/>
  <c r="M32" i="11"/>
  <c r="L32" i="11"/>
  <c r="F32" i="11" s="1"/>
  <c r="F59" i="12"/>
  <c r="E43" i="12"/>
  <c r="E59" i="12"/>
  <c r="D43" i="12"/>
  <c r="D59" i="12"/>
  <c r="C43" i="12"/>
  <c r="C59" i="12"/>
  <c r="B43" i="12"/>
  <c r="B59" i="12"/>
  <c r="L35" i="12"/>
  <c r="F35" i="12" s="1"/>
  <c r="L55" i="12"/>
  <c r="F55" i="12" s="1"/>
  <c r="E41" i="11"/>
  <c r="D41" i="11"/>
  <c r="C41" i="11"/>
  <c r="B41" i="11"/>
  <c r="M37" i="11"/>
  <c r="L41" i="11"/>
  <c r="F41" i="11" s="1"/>
  <c r="G68" i="12"/>
  <c r="E36" i="12"/>
  <c r="D36" i="12"/>
  <c r="C32" i="12"/>
  <c r="C52" i="12"/>
  <c r="C68" i="12"/>
  <c r="L44" i="12"/>
  <c r="F44" i="12" s="1"/>
  <c r="L60" i="12"/>
  <c r="F60" i="12" s="1"/>
  <c r="B34" i="11"/>
  <c r="M38" i="11"/>
  <c r="L34" i="11"/>
  <c r="F34" i="11" s="1"/>
  <c r="C45" i="12"/>
  <c r="L45" i="12"/>
  <c r="F45" i="12" s="1"/>
  <c r="E47" i="11"/>
  <c r="D47" i="11"/>
  <c r="C51" i="11"/>
  <c r="B59" i="11"/>
  <c r="M35" i="11"/>
  <c r="M55" i="11"/>
  <c r="L55" i="11"/>
  <c r="F55" i="11" s="1"/>
  <c r="D29" i="7" a="1"/>
  <c r="D29" i="7" s="1"/>
  <c r="K24" i="7" a="1"/>
  <c r="K24" i="7" s="1"/>
  <c r="D42" i="12"/>
  <c r="L38" i="12"/>
  <c r="F38" i="12" s="1"/>
  <c r="D39" i="12"/>
  <c r="L39" i="12"/>
  <c r="F39" i="12" s="1"/>
  <c r="C36" i="12"/>
  <c r="Q56" i="12"/>
  <c r="C38" i="12"/>
  <c r="L42" i="12"/>
  <c r="F42" i="12" s="1"/>
  <c r="C39" i="12"/>
  <c r="B36" i="12"/>
  <c r="L36" i="12"/>
  <c r="F36" i="12" s="1"/>
  <c r="E37" i="12"/>
  <c r="D37" i="12"/>
  <c r="C14" i="12"/>
  <c r="E38" i="12"/>
  <c r="C42" i="12"/>
  <c r="B38" i="12"/>
  <c r="B39" i="12"/>
  <c r="E32" i="12"/>
  <c r="L40" i="12"/>
  <c r="F40" i="12" s="1"/>
  <c r="D41" i="12"/>
  <c r="C37" i="12"/>
  <c r="B37" i="12"/>
  <c r="Q54" i="12"/>
  <c r="P54" i="12"/>
  <c r="D31" i="12"/>
  <c r="M39" i="12"/>
  <c r="L31" i="12"/>
  <c r="E40" i="12"/>
  <c r="B40" i="12"/>
  <c r="M30" i="11"/>
  <c r="C41" i="12"/>
  <c r="L41" i="12"/>
  <c r="F41" i="12" s="1"/>
  <c r="C35" i="11"/>
  <c r="B31" i="11"/>
  <c r="P45" i="12"/>
  <c r="Q45" i="12"/>
  <c r="Q42" i="12"/>
  <c r="P42" i="12"/>
  <c r="Q58" i="12"/>
  <c r="P58" i="12"/>
  <c r="Q43" i="12"/>
  <c r="P43" i="12"/>
  <c r="Q59" i="12"/>
  <c r="P59" i="12"/>
  <c r="P57" i="12"/>
  <c r="Q57" i="12"/>
  <c r="Q38" i="12"/>
  <c r="P38" i="12"/>
  <c r="Q55" i="12"/>
  <c r="P55" i="12"/>
  <c r="F31" i="12"/>
  <c r="B31" i="12"/>
  <c r="M45" i="11"/>
  <c r="M44" i="11"/>
  <c r="D40" i="12"/>
  <c r="M36" i="12"/>
  <c r="B41" i="12"/>
  <c r="F35" i="11"/>
  <c r="E31" i="11"/>
  <c r="C43" i="11"/>
  <c r="B35" i="11"/>
  <c r="C14" i="11"/>
  <c r="P49" i="12"/>
  <c r="Q49" i="12"/>
  <c r="Q30" i="12"/>
  <c r="P30" i="12"/>
  <c r="Q46" i="12"/>
  <c r="P46" i="12"/>
  <c r="Q31" i="12"/>
  <c r="P31" i="12"/>
  <c r="Q47" i="12"/>
  <c r="P47" i="12"/>
  <c r="P41" i="12"/>
  <c r="Q41" i="12"/>
  <c r="Q39" i="12"/>
  <c r="P39" i="12"/>
  <c r="M42" i="12"/>
  <c r="E31" i="12"/>
  <c r="C31" i="12"/>
  <c r="M40" i="12"/>
  <c r="E41" i="12"/>
  <c r="M37" i="12"/>
  <c r="E35" i="11"/>
  <c r="D31" i="11"/>
  <c r="B43" i="11"/>
  <c r="L31" i="11"/>
  <c r="F31" i="11" s="1"/>
  <c r="P37" i="12"/>
  <c r="Q37" i="12"/>
  <c r="P53" i="12"/>
  <c r="Q53" i="12"/>
  <c r="Q34" i="12"/>
  <c r="P34" i="12"/>
  <c r="Q50" i="12"/>
  <c r="P50" i="12"/>
  <c r="Q35" i="12"/>
  <c r="P35" i="12"/>
  <c r="Q51" i="12"/>
  <c r="P51" i="12"/>
  <c r="L30" i="11"/>
  <c r="F30" i="11" s="1"/>
  <c r="E30" i="11"/>
  <c r="D30" i="11"/>
  <c r="C11" i="11"/>
  <c r="C30" i="11"/>
  <c r="B30" i="11"/>
  <c r="L9" i="9"/>
  <c r="N9" i="9" s="1"/>
  <c r="M9" i="9" s="1" a="1"/>
  <c r="M9" i="9" s="1"/>
  <c r="S15" i="15"/>
  <c r="S13" i="15"/>
  <c r="S33" i="15"/>
  <c r="S10" i="15"/>
  <c r="T9" i="15"/>
  <c r="T25" i="15"/>
  <c r="S25" i="15"/>
  <c r="S6" i="15"/>
  <c r="T10" i="15"/>
  <c r="T12" i="15"/>
  <c r="T17" i="15"/>
  <c r="T8" i="15"/>
  <c r="S8" i="15"/>
  <c r="S24" i="15"/>
  <c r="T29" i="15"/>
  <c r="S26" i="15"/>
  <c r="AH8" i="5"/>
  <c r="T7" i="15"/>
  <c r="S23" i="15"/>
  <c r="S19" i="15"/>
  <c r="S16" i="15"/>
  <c r="S32" i="15"/>
  <c r="T18" i="15"/>
  <c r="T26" i="15"/>
  <c r="AA69" i="5"/>
  <c r="AP69" i="5" s="1"/>
  <c r="AH69" i="5" s="1"/>
  <c r="AJ69" i="5" s="1"/>
  <c r="T19" i="15"/>
  <c r="T24" i="15"/>
  <c r="I10" i="7" a="1"/>
  <c r="I10" i="7" s="1"/>
  <c r="G10" i="7" a="1"/>
  <c r="G10" i="7" s="1"/>
  <c r="E10" i="7" a="1"/>
  <c r="E10" i="7" s="1"/>
  <c r="E16" i="7" a="1"/>
  <c r="E16" i="7" s="1"/>
  <c r="K16" i="7" a="1"/>
  <c r="K16" i="7" s="1"/>
  <c r="C16" i="7" a="1"/>
  <c r="C16" i="7" s="1"/>
  <c r="D16" i="7" a="1"/>
  <c r="D16" i="7" s="1"/>
  <c r="L16" i="7" a="1"/>
  <c r="L16" i="7" s="1"/>
  <c r="I16" i="7" a="1"/>
  <c r="I16" i="7" s="1"/>
  <c r="G12" i="9" a="1"/>
  <c r="G12" i="9" s="1"/>
  <c r="I12" i="9" a="1"/>
  <c r="I12" i="9" s="1"/>
  <c r="C12" i="9" a="1"/>
  <c r="C12" i="9" s="1"/>
  <c r="T16" i="15"/>
  <c r="S4" i="15"/>
  <c r="T4" i="15"/>
  <c r="T20" i="15"/>
  <c r="S20" i="15"/>
  <c r="T22" i="15"/>
  <c r="T14" i="15"/>
  <c r="S14" i="15"/>
  <c r="S30" i="15"/>
  <c r="T30" i="15"/>
  <c r="T6" i="15"/>
  <c r="U6" i="15" s="1"/>
  <c r="R6" i="5" s="1" a="1"/>
  <c r="R6" i="5" s="1"/>
  <c r="AA193" i="5"/>
  <c r="AP193" i="5" s="1"/>
  <c r="AH193" i="5" s="1"/>
  <c r="AJ193" i="5" s="1"/>
  <c r="AA186" i="5"/>
  <c r="AP186" i="5" s="1"/>
  <c r="AH186" i="5" s="1"/>
  <c r="AJ186" i="5" s="1"/>
  <c r="E23" i="7" a="1"/>
  <c r="E23" i="7" s="1"/>
  <c r="K23" i="7" a="1"/>
  <c r="K23" i="7" s="1"/>
  <c r="C23" i="7" a="1"/>
  <c r="C23" i="7" s="1"/>
  <c r="H23" i="7" a="1"/>
  <c r="H23" i="7" s="1"/>
  <c r="F23" i="7" a="1"/>
  <c r="F23" i="7" s="1"/>
  <c r="I23" i="7" a="1"/>
  <c r="I23" i="7" s="1"/>
  <c r="D23" i="7" a="1"/>
  <c r="D23" i="7" s="1"/>
  <c r="E12" i="9" a="1"/>
  <c r="E12" i="9" s="1"/>
  <c r="S27" i="15"/>
  <c r="T27" i="15"/>
  <c r="S17" i="15"/>
  <c r="U17" i="15" s="1"/>
  <c r="R17" i="5" s="1" a="1"/>
  <c r="R17" i="5" s="1"/>
  <c r="C16" i="9" a="1"/>
  <c r="C16" i="9" s="1"/>
  <c r="G16" i="9" a="1"/>
  <c r="G16" i="9" s="1"/>
  <c r="K16" i="9" a="1"/>
  <c r="K16" i="9" s="1"/>
  <c r="E16" i="9" a="1"/>
  <c r="E16" i="9" s="1"/>
  <c r="F16" i="9" a="1"/>
  <c r="F16" i="9" s="1"/>
  <c r="I16" i="9" a="1"/>
  <c r="I16" i="9" s="1"/>
  <c r="AA115" i="5"/>
  <c r="S11" i="15"/>
  <c r="T11" i="15"/>
  <c r="C10" i="7" a="1"/>
  <c r="C10" i="7" s="1"/>
  <c r="L23" i="7" a="1"/>
  <c r="L23" i="7" s="1"/>
  <c r="G16" i="7" a="1"/>
  <c r="G16" i="7" s="1"/>
  <c r="T15" i="15"/>
  <c r="S31" i="15"/>
  <c r="S12" i="15"/>
  <c r="T28" i="15"/>
  <c r="T13" i="15"/>
  <c r="T5" i="15"/>
  <c r="S5" i="15"/>
  <c r="T21" i="15"/>
  <c r="S21" i="15"/>
  <c r="S22" i="15"/>
  <c r="S9" i="15"/>
  <c r="S18" i="15"/>
  <c r="E36" i="11"/>
  <c r="D44" i="11"/>
  <c r="C36" i="11"/>
  <c r="B44" i="11"/>
  <c r="L44" i="11"/>
  <c r="F44" i="11" s="1"/>
  <c r="E37" i="11"/>
  <c r="D45" i="11"/>
  <c r="C37" i="11"/>
  <c r="B45" i="11"/>
  <c r="L45" i="11"/>
  <c r="F45" i="11" s="1"/>
  <c r="D42" i="11"/>
  <c r="B42" i="11"/>
  <c r="M34" i="11"/>
  <c r="L42" i="11"/>
  <c r="F42" i="11" s="1"/>
  <c r="D33" i="12"/>
  <c r="B33" i="12"/>
  <c r="L33" i="12"/>
  <c r="F33" i="12" s="1"/>
  <c r="E39" i="11"/>
  <c r="C39" i="11"/>
  <c r="J44" i="10"/>
  <c r="J28" i="10"/>
  <c r="J47" i="10"/>
  <c r="J31" i="10"/>
  <c r="T31" i="15"/>
  <c r="AA53" i="5"/>
  <c r="AP53" i="5" s="1"/>
  <c r="AH53" i="5" s="1"/>
  <c r="AJ53" i="5" s="1"/>
  <c r="AA23" i="5"/>
  <c r="AP23" i="5" s="1"/>
  <c r="AH23" i="5" s="1"/>
  <c r="D30" i="12"/>
  <c r="B30" i="12"/>
  <c r="L30" i="12"/>
  <c r="F30" i="12" s="1"/>
  <c r="M40" i="11"/>
  <c r="M41" i="11"/>
  <c r="D32" i="12"/>
  <c r="B32" i="12"/>
  <c r="L32" i="12"/>
  <c r="F32" i="12" s="1"/>
  <c r="E38" i="11"/>
  <c r="C38" i="11"/>
  <c r="M43" i="11"/>
  <c r="J57" i="10"/>
  <c r="J53" i="10"/>
  <c r="J49" i="10"/>
  <c r="J45" i="10"/>
  <c r="J41" i="10"/>
  <c r="J37" i="10"/>
  <c r="J33" i="10"/>
  <c r="J29" i="10"/>
  <c r="J56" i="10"/>
  <c r="J40" i="10"/>
  <c r="J43" i="10"/>
  <c r="AH32" i="5"/>
  <c r="E44" i="11"/>
  <c r="D36" i="11"/>
  <c r="C44" i="11"/>
  <c r="B36" i="11"/>
  <c r="L36" i="11"/>
  <c r="F36" i="11" s="1"/>
  <c r="E45" i="11"/>
  <c r="D37" i="11"/>
  <c r="C45" i="11"/>
  <c r="B37" i="11"/>
  <c r="L37" i="11"/>
  <c r="F37" i="11" s="1"/>
  <c r="E42" i="11"/>
  <c r="C42" i="11"/>
  <c r="E33" i="12"/>
  <c r="C33" i="12"/>
  <c r="D39" i="11"/>
  <c r="B39" i="11"/>
  <c r="L39" i="11"/>
  <c r="F39" i="11" s="1"/>
  <c r="J52" i="10"/>
  <c r="J36" i="10"/>
  <c r="J55" i="10"/>
  <c r="J39" i="10"/>
  <c r="AA141" i="5"/>
  <c r="AP141" i="5" s="1"/>
  <c r="AH141" i="5" s="1"/>
  <c r="AJ141" i="5" s="1"/>
  <c r="AA61" i="5"/>
  <c r="AP61" i="5" s="1"/>
  <c r="AH61" i="5" s="1"/>
  <c r="AJ61" i="5" s="1"/>
  <c r="AA137" i="5"/>
  <c r="AP137" i="5" s="1"/>
  <c r="AH137" i="5" s="1"/>
  <c r="AJ137" i="5" s="1"/>
  <c r="AA195" i="5"/>
  <c r="AP195" i="5" s="1"/>
  <c r="AH195" i="5" s="1"/>
  <c r="AJ195" i="5" s="1"/>
  <c r="AA41" i="5"/>
  <c r="AP41" i="5" s="1"/>
  <c r="AH41" i="5" s="1"/>
  <c r="AJ41" i="5" s="1"/>
  <c r="AA44" i="5"/>
  <c r="AP44" i="5" s="1"/>
  <c r="AH44" i="5" s="1"/>
  <c r="AJ44" i="5" s="1"/>
  <c r="AA190" i="5"/>
  <c r="AP190" i="5" s="1"/>
  <c r="AH190" i="5" s="1"/>
  <c r="AJ190" i="5" s="1"/>
  <c r="AA107" i="5"/>
  <c r="AA27" i="5"/>
  <c r="AP27" i="5" s="1"/>
  <c r="AH27" i="5" s="1"/>
  <c r="AJ85" i="13"/>
  <c r="AG85" i="13"/>
  <c r="AD85" i="13"/>
  <c r="AA85" i="13"/>
  <c r="AF85" i="13"/>
  <c r="AC85" i="13"/>
  <c r="AI85" i="13"/>
  <c r="AI71" i="13"/>
  <c r="AF71" i="13"/>
  <c r="AC71" i="13"/>
  <c r="AD71" i="13"/>
  <c r="AG71" i="13"/>
  <c r="AJ71" i="13"/>
  <c r="AA71" i="13"/>
  <c r="AF64" i="13"/>
  <c r="AA64" i="13"/>
  <c r="AG64" i="13"/>
  <c r="AJ64" i="13"/>
  <c r="AD64" i="13"/>
  <c r="AC64" i="13"/>
  <c r="AI64" i="13"/>
  <c r="AF80" i="13"/>
  <c r="AA80" i="13"/>
  <c r="AI80" i="13"/>
  <c r="AG80" i="13"/>
  <c r="AJ80" i="13"/>
  <c r="AD80" i="13"/>
  <c r="AC80" i="13"/>
  <c r="AI67" i="13"/>
  <c r="AF67" i="13"/>
  <c r="AC67" i="13"/>
  <c r="AG67" i="13"/>
  <c r="AJ67" i="13"/>
  <c r="AD67" i="13"/>
  <c r="AA67" i="13"/>
  <c r="AI75" i="13"/>
  <c r="AF75" i="13"/>
  <c r="AC75" i="13"/>
  <c r="AA75" i="13"/>
  <c r="AJ75" i="13"/>
  <c r="AD75" i="13"/>
  <c r="AG75" i="13"/>
  <c r="AJ81" i="13"/>
  <c r="AG81" i="13"/>
  <c r="AD81" i="13"/>
  <c r="AA81" i="13"/>
  <c r="AI81" i="13"/>
  <c r="AC81" i="13"/>
  <c r="AF81" i="13"/>
  <c r="AJ65" i="13"/>
  <c r="AG65" i="13"/>
  <c r="AD65" i="13"/>
  <c r="AA65" i="13"/>
  <c r="AI65" i="13"/>
  <c r="AF65" i="13"/>
  <c r="AC65" i="13"/>
  <c r="H10" i="7" a="1"/>
  <c r="H10" i="7" s="1"/>
  <c r="L10" i="7" a="1"/>
  <c r="L10" i="7" s="1"/>
  <c r="F10" i="7" a="1"/>
  <c r="F10" i="7" s="1"/>
  <c r="D10" i="7" a="1"/>
  <c r="D10" i="7" s="1"/>
  <c r="H16" i="7" a="1"/>
  <c r="H16" i="7" s="1"/>
  <c r="F16" i="7" a="1"/>
  <c r="F16" i="7" s="1"/>
  <c r="H17" i="9" a="1"/>
  <c r="H17" i="9" s="1"/>
  <c r="K17" i="9" a="1"/>
  <c r="K17" i="9" s="1"/>
  <c r="L17" i="9" s="1"/>
  <c r="N17" i="9" s="1"/>
  <c r="M17" i="9" s="1" a="1"/>
  <c r="M17" i="9" s="1"/>
  <c r="B17" i="9" a="1"/>
  <c r="B17" i="9" s="1"/>
  <c r="F17" i="9" a="1"/>
  <c r="F17" i="9" s="1"/>
  <c r="D17" i="9" a="1"/>
  <c r="D17" i="9" s="1"/>
  <c r="C17" i="9" a="1"/>
  <c r="C17" i="9" s="1"/>
  <c r="I17" i="9" a="1"/>
  <c r="I17" i="9" s="1"/>
  <c r="G17" i="9" a="1"/>
  <c r="G17" i="9" s="1"/>
  <c r="K12" i="9" a="1"/>
  <c r="K12" i="9" s="1"/>
  <c r="F12" i="9" a="1"/>
  <c r="F12" i="9" s="1"/>
  <c r="H12" i="9" a="1"/>
  <c r="H12" i="9" s="1"/>
  <c r="B12" i="9" a="1"/>
  <c r="B12" i="9" s="1"/>
  <c r="B21" i="10" a="1"/>
  <c r="B21" i="10" s="1"/>
  <c r="B15" i="10" a="1"/>
  <c r="B15" i="10" s="1"/>
  <c r="B14" i="10" a="1"/>
  <c r="B14" i="10" s="1"/>
  <c r="B10" i="10" a="1"/>
  <c r="B10" i="10" s="1"/>
  <c r="B9" i="10" a="1"/>
  <c r="B9" i="10" s="1"/>
  <c r="B16" i="10" a="1"/>
  <c r="B16" i="10" s="1"/>
  <c r="B19" i="10" a="1"/>
  <c r="B19" i="10" s="1"/>
  <c r="B18" i="10" a="1"/>
  <c r="B18" i="10" s="1"/>
  <c r="B17" i="10" a="1"/>
  <c r="B17" i="10" s="1"/>
  <c r="B12" i="10" a="1"/>
  <c r="B12" i="10" s="1"/>
  <c r="B13" i="10" a="1"/>
  <c r="B13" i="10" s="1"/>
  <c r="B11" i="10" a="1"/>
  <c r="B11" i="10" s="1"/>
  <c r="AA165" i="5"/>
  <c r="AP165" i="5" s="1"/>
  <c r="AH165" i="5" s="1"/>
  <c r="AJ165" i="5" s="1"/>
  <c r="AA35" i="5"/>
  <c r="AP35" i="5" s="1"/>
  <c r="AH35" i="5" s="1"/>
  <c r="AJ35" i="5" s="1"/>
  <c r="AA197" i="5"/>
  <c r="AP197" i="5" s="1"/>
  <c r="AH197" i="5" s="1"/>
  <c r="AJ197" i="5" s="1"/>
  <c r="AA161" i="5"/>
  <c r="AP161" i="5" s="1"/>
  <c r="AH161" i="5" s="1"/>
  <c r="AJ161" i="5" s="1"/>
  <c r="AA164" i="5"/>
  <c r="AP164" i="5" s="1"/>
  <c r="AH164" i="5" s="1"/>
  <c r="AJ164" i="5" s="1"/>
  <c r="AA143" i="5"/>
  <c r="AP143" i="5" s="1"/>
  <c r="AH143" i="5" s="1"/>
  <c r="AJ143" i="5" s="1"/>
  <c r="AA135" i="5"/>
  <c r="AP135" i="5" s="1"/>
  <c r="AH135" i="5" s="1"/>
  <c r="AJ135" i="5" s="1"/>
  <c r="AA123" i="5"/>
  <c r="AP123" i="5" s="1"/>
  <c r="AH123" i="5" s="1"/>
  <c r="AJ123" i="5" s="1"/>
  <c r="AA111" i="5"/>
  <c r="AA95" i="5"/>
  <c r="J9" i="7" s="1" a="1"/>
  <c r="J9" i="7" s="1"/>
  <c r="AA78" i="5"/>
  <c r="AP78" i="5" s="1"/>
  <c r="AA74" i="5"/>
  <c r="AP74" i="5" s="1"/>
  <c r="AH74" i="5" s="1"/>
  <c r="AJ74" i="5" s="1"/>
  <c r="AA11" i="5"/>
  <c r="AP11" i="5" s="1"/>
  <c r="AH11" i="5" s="1"/>
  <c r="AD82" i="13"/>
  <c r="AJ82" i="13"/>
  <c r="AI82" i="13"/>
  <c r="AG82" i="13"/>
  <c r="AA82" i="13"/>
  <c r="AF82" i="13"/>
  <c r="AC82" i="13"/>
  <c r="AI87" i="13"/>
  <c r="AF87" i="13"/>
  <c r="AC87" i="13"/>
  <c r="AD87" i="13"/>
  <c r="AA87" i="13"/>
  <c r="AG87" i="13"/>
  <c r="AG89" i="13"/>
  <c r="AD89" i="13"/>
  <c r="AA89" i="13"/>
  <c r="AC89" i="13"/>
  <c r="AI89" i="13"/>
  <c r="AF89" i="13"/>
  <c r="AI70" i="13"/>
  <c r="AA70" i="13"/>
  <c r="AF70" i="13"/>
  <c r="AJ70" i="13"/>
  <c r="AC70" i="13"/>
  <c r="AG70" i="13"/>
  <c r="AD70" i="13"/>
  <c r="AI63" i="13"/>
  <c r="AF63" i="13"/>
  <c r="AC63" i="13"/>
  <c r="AJ63" i="13"/>
  <c r="AD63" i="13"/>
  <c r="AG63" i="13"/>
  <c r="AA63" i="13"/>
  <c r="AG72" i="13"/>
  <c r="AA72" i="13"/>
  <c r="AF72" i="13"/>
  <c r="AD72" i="13"/>
  <c r="AJ72" i="13"/>
  <c r="AI72" i="13"/>
  <c r="AC72" i="13"/>
  <c r="AI76" i="13"/>
  <c r="AD76" i="13"/>
  <c r="AJ76" i="13"/>
  <c r="AA76" i="13"/>
  <c r="AF76" i="13"/>
  <c r="AC76" i="13"/>
  <c r="AG76" i="13"/>
  <c r="H12" i="7" a="1"/>
  <c r="H12" i="7" s="1"/>
  <c r="F12" i="7" a="1"/>
  <c r="F12" i="7" s="1"/>
  <c r="L12" i="7" a="1"/>
  <c r="L12" i="7" s="1"/>
  <c r="D12" i="7" a="1"/>
  <c r="D12" i="7" s="1"/>
  <c r="H18" i="7" a="1"/>
  <c r="H18" i="7" s="1"/>
  <c r="F18" i="7" a="1"/>
  <c r="F18" i="7" s="1"/>
  <c r="L18" i="7" a="1"/>
  <c r="L18" i="7" s="1"/>
  <c r="D18" i="7" a="1"/>
  <c r="D18" i="7" s="1"/>
  <c r="I22" i="9" a="1"/>
  <c r="I22" i="9" s="1"/>
  <c r="H22" i="9" a="1"/>
  <c r="H22" i="9" s="1"/>
  <c r="E22" i="9" a="1"/>
  <c r="E22" i="9" s="1"/>
  <c r="B22" i="9" a="1"/>
  <c r="B22" i="9" s="1"/>
  <c r="G19" i="9" a="1"/>
  <c r="G19" i="9" s="1"/>
  <c r="E19" i="9" a="1"/>
  <c r="E19" i="9" s="1"/>
  <c r="C19" i="9" a="1"/>
  <c r="C19" i="9" s="1"/>
  <c r="B19" i="9" a="1"/>
  <c r="B19" i="9" s="1"/>
  <c r="K19" i="9" a="1"/>
  <c r="K19" i="9" s="1"/>
  <c r="H19" i="9" a="1"/>
  <c r="H19" i="9" s="1"/>
  <c r="I6" i="9" a="1"/>
  <c r="I6" i="9" s="1"/>
  <c r="F6" i="9" a="1"/>
  <c r="F6" i="9" s="1"/>
  <c r="C6" i="9" a="1"/>
  <c r="C6" i="9" s="1"/>
  <c r="AA5" i="5"/>
  <c r="G105" i="8" s="1"/>
  <c r="AM105" i="8" s="1"/>
  <c r="AS62" i="13"/>
  <c r="K7" i="13"/>
  <c r="AJ74" i="13"/>
  <c r="AF74" i="13"/>
  <c r="AC74" i="13"/>
  <c r="AI74" i="13"/>
  <c r="AG74" i="13"/>
  <c r="AD74" i="13"/>
  <c r="AA74" i="13"/>
  <c r="AJ69" i="13"/>
  <c r="AG69" i="13"/>
  <c r="AD69" i="13"/>
  <c r="AA69" i="13"/>
  <c r="AF69" i="13"/>
  <c r="AI69" i="13"/>
  <c r="AC69" i="13"/>
  <c r="AI83" i="13"/>
  <c r="AF83" i="13"/>
  <c r="AC83" i="13"/>
  <c r="AG83" i="13"/>
  <c r="AD83" i="13"/>
  <c r="AJ83" i="13"/>
  <c r="AA83" i="13"/>
  <c r="AD66" i="13"/>
  <c r="AI66" i="13"/>
  <c r="AC66" i="13"/>
  <c r="AA66" i="13"/>
  <c r="AG66" i="13"/>
  <c r="AF66" i="13"/>
  <c r="AJ66" i="13"/>
  <c r="AI86" i="13"/>
  <c r="AA86" i="13"/>
  <c r="AG86" i="13"/>
  <c r="AD86" i="13"/>
  <c r="AC86" i="13"/>
  <c r="AF86" i="13"/>
  <c r="AJ61" i="13"/>
  <c r="AG61" i="13"/>
  <c r="AD61" i="13"/>
  <c r="AA61" i="13"/>
  <c r="AI61" i="13"/>
  <c r="AF61" i="13"/>
  <c r="AC61" i="13"/>
  <c r="AJ73" i="13"/>
  <c r="AG73" i="13"/>
  <c r="AD73" i="13"/>
  <c r="AA73" i="13"/>
  <c r="AC73" i="13"/>
  <c r="AI73" i="13"/>
  <c r="AF73" i="13"/>
  <c r="G15" i="7" a="1"/>
  <c r="G15" i="7" s="1"/>
  <c r="K23" i="9" a="1"/>
  <c r="K23" i="9" s="1"/>
  <c r="L23" i="9" s="1"/>
  <c r="N23" i="9" s="1"/>
  <c r="M23" i="9" s="1" a="1"/>
  <c r="M23" i="9" s="1"/>
  <c r="H23" i="9" a="1"/>
  <c r="H23" i="9" s="1"/>
  <c r="C23" i="9" a="1"/>
  <c r="C23" i="9" s="1"/>
  <c r="J20" i="7" a="1"/>
  <c r="J20" i="7" s="1"/>
  <c r="F20" i="7" a="1"/>
  <c r="F20" i="7" s="1"/>
  <c r="L20" i="7" a="1"/>
  <c r="L20" i="7" s="1"/>
  <c r="H20" i="7" a="1"/>
  <c r="H20" i="7" s="1"/>
  <c r="D20" i="7" a="1"/>
  <c r="D20" i="7" s="1"/>
  <c r="I20" i="9" a="1"/>
  <c r="I20" i="9" s="1"/>
  <c r="H20" i="9" a="1"/>
  <c r="H20" i="9" s="1"/>
  <c r="B20" i="9" a="1"/>
  <c r="B20" i="9" s="1"/>
  <c r="K20" i="9" a="1"/>
  <c r="K20" i="9" s="1"/>
  <c r="E20" i="9" a="1"/>
  <c r="E20" i="9" s="1"/>
  <c r="C18" i="10" a="1"/>
  <c r="C18" i="10" s="1"/>
  <c r="C16" i="10" a="1"/>
  <c r="C16" i="10" s="1"/>
  <c r="C19" i="10" a="1"/>
  <c r="C19" i="10" s="1"/>
  <c r="C17" i="10" a="1"/>
  <c r="C17" i="10" s="1"/>
  <c r="C12" i="10" a="1"/>
  <c r="C12" i="10" s="1"/>
  <c r="C11" i="10" a="1"/>
  <c r="C11" i="10" s="1"/>
  <c r="C20" i="10" a="1"/>
  <c r="C20" i="10" s="1"/>
  <c r="C13" i="10" a="1"/>
  <c r="C13" i="10" s="1"/>
  <c r="C10" i="10" a="1"/>
  <c r="C10" i="10" s="1"/>
  <c r="C9" i="10" a="1"/>
  <c r="C9" i="10" s="1"/>
  <c r="C21" i="10" a="1"/>
  <c r="C21" i="10" s="1"/>
  <c r="C15" i="10" a="1"/>
  <c r="C15" i="10" s="1"/>
  <c r="C14" i="10" a="1"/>
  <c r="C14" i="10" s="1"/>
  <c r="AS61" i="13"/>
  <c r="I7" i="13"/>
  <c r="AA40" i="5"/>
  <c r="AP40" i="5" s="1"/>
  <c r="AH40" i="5" s="1"/>
  <c r="AJ40" i="5" s="1"/>
  <c r="AA19" i="5"/>
  <c r="AP19" i="5" s="1"/>
  <c r="AH19" i="5" s="1"/>
  <c r="AA60" i="5"/>
  <c r="AP60" i="5" s="1"/>
  <c r="AH60" i="5" s="1"/>
  <c r="AJ60" i="5" s="1"/>
  <c r="AA45" i="5"/>
  <c r="AP45" i="5" s="1"/>
  <c r="AH45" i="5" s="1"/>
  <c r="AJ45" i="5" s="1"/>
  <c r="AA15" i="5"/>
  <c r="AP15" i="5" s="1"/>
  <c r="AH15" i="5" s="1"/>
  <c r="AG62" i="13"/>
  <c r="AC62" i="13"/>
  <c r="AF62" i="13"/>
  <c r="AD62" i="13"/>
  <c r="AJ62" i="13"/>
  <c r="AI62" i="13"/>
  <c r="AA62" i="13"/>
  <c r="AF90" i="13"/>
  <c r="AD90" i="13"/>
  <c r="AI90" i="13"/>
  <c r="AG90" i="13"/>
  <c r="AA90" i="13"/>
  <c r="AC90" i="13"/>
  <c r="AG78" i="13"/>
  <c r="AC78" i="13"/>
  <c r="AF78" i="13"/>
  <c r="AJ78" i="13"/>
  <c r="AA78" i="13"/>
  <c r="AI78" i="13"/>
  <c r="AD78" i="13"/>
  <c r="AG88" i="13"/>
  <c r="AI88" i="13"/>
  <c r="AC88" i="13"/>
  <c r="AF88" i="13"/>
  <c r="AD88" i="13"/>
  <c r="AA88" i="13"/>
  <c r="AJ77" i="13"/>
  <c r="AG77" i="13"/>
  <c r="AD77" i="13"/>
  <c r="AA77" i="13"/>
  <c r="AF77" i="13"/>
  <c r="AI77" i="13"/>
  <c r="AC77" i="13"/>
  <c r="AI79" i="13"/>
  <c r="AF79" i="13"/>
  <c r="AC79" i="13"/>
  <c r="AJ79" i="13"/>
  <c r="AG79" i="13"/>
  <c r="AA79" i="13"/>
  <c r="AD79" i="13"/>
  <c r="AJ84" i="13"/>
  <c r="AC84" i="13"/>
  <c r="AF84" i="13"/>
  <c r="AI84" i="13"/>
  <c r="AA84" i="13"/>
  <c r="AD84" i="13"/>
  <c r="AG84" i="13"/>
  <c r="AJ68" i="13"/>
  <c r="AC68" i="13"/>
  <c r="AD68" i="13"/>
  <c r="AI68" i="13"/>
  <c r="AG68" i="13"/>
  <c r="AA68" i="13"/>
  <c r="AF68" i="13"/>
  <c r="G17" i="7" a="1"/>
  <c r="G17" i="7" s="1"/>
  <c r="E17" i="7" a="1"/>
  <c r="E17" i="7" s="1"/>
  <c r="C17" i="7" a="1"/>
  <c r="C17" i="7" s="1"/>
  <c r="K17" i="7" a="1"/>
  <c r="K17" i="7" s="1"/>
  <c r="H15" i="9" a="1"/>
  <c r="H15" i="9" s="1"/>
  <c r="G15" i="9" a="1"/>
  <c r="G15" i="9" s="1"/>
  <c r="C15" i="9" a="1"/>
  <c r="C15" i="9" s="1"/>
  <c r="K15" i="9" a="1"/>
  <c r="K15" i="9" s="1"/>
  <c r="L15" i="9" s="1"/>
  <c r="N15" i="9" s="1"/>
  <c r="M15" i="9" s="1" a="1"/>
  <c r="M15" i="9" s="1"/>
  <c r="B15" i="9" a="1"/>
  <c r="B15" i="9" s="1"/>
  <c r="I15" i="9" a="1"/>
  <c r="I15" i="9" s="1"/>
  <c r="F15" i="9" a="1"/>
  <c r="F15" i="9" s="1"/>
  <c r="K10" i="9" a="1"/>
  <c r="K10" i="9" s="1"/>
  <c r="L10" i="9" s="1"/>
  <c r="N10" i="9" s="1"/>
  <c r="M10" i="9" s="1" a="1"/>
  <c r="M10" i="9" s="1"/>
  <c r="F10" i="9" a="1"/>
  <c r="F10" i="9" s="1"/>
  <c r="D10" i="9" a="1"/>
  <c r="D10" i="9" s="1"/>
  <c r="H10" i="9" a="1"/>
  <c r="H10" i="9" s="1"/>
  <c r="B10" i="9" a="1"/>
  <c r="B10" i="9" s="1"/>
  <c r="G21" i="9" a="1"/>
  <c r="G21" i="9" s="1"/>
  <c r="E21" i="9" a="1"/>
  <c r="E21" i="9" s="1"/>
  <c r="K21" i="9" a="1"/>
  <c r="K21" i="9" s="1"/>
  <c r="H21" i="9" a="1"/>
  <c r="H21" i="9" s="1"/>
  <c r="C21" i="9" a="1"/>
  <c r="C21" i="9" s="1"/>
  <c r="B21" i="9" a="1"/>
  <c r="B21" i="9" s="1"/>
  <c r="L32" i="7" a="1"/>
  <c r="L32" i="7" s="1"/>
  <c r="H32" i="7" a="1"/>
  <c r="H32" i="7" s="1"/>
  <c r="F32" i="7" a="1"/>
  <c r="F32" i="7" s="1"/>
  <c r="D32" i="7" a="1"/>
  <c r="D32" i="7" s="1"/>
  <c r="I32" i="7" a="1"/>
  <c r="I32" i="7" s="1"/>
  <c r="E32" i="7" a="1"/>
  <c r="E32" i="7" s="1"/>
  <c r="K32" i="7" a="1"/>
  <c r="K32" i="7" s="1"/>
  <c r="G32" i="7" a="1"/>
  <c r="G32" i="7" s="1"/>
  <c r="C32" i="7" a="1"/>
  <c r="C32" i="7" s="1"/>
  <c r="L13" i="7" a="1"/>
  <c r="L13" i="7" s="1"/>
  <c r="J13" i="7" a="1"/>
  <c r="J13" i="7" s="1"/>
  <c r="H13" i="7" a="1"/>
  <c r="H13" i="7" s="1"/>
  <c r="F13" i="7" a="1"/>
  <c r="F13" i="7" s="1"/>
  <c r="D13" i="7" a="1"/>
  <c r="D13" i="7" s="1"/>
  <c r="K13" i="7" a="1"/>
  <c r="K13" i="7" s="1"/>
  <c r="G13" i="7" a="1"/>
  <c r="G13" i="7" s="1"/>
  <c r="C13" i="7" a="1"/>
  <c r="C13" i="7" s="1"/>
  <c r="I13" i="7" a="1"/>
  <c r="I13" i="7" s="1"/>
  <c r="E13" i="7" a="1"/>
  <c r="E13" i="7" s="1"/>
  <c r="L7" i="7" a="1"/>
  <c r="L7" i="7" s="1"/>
  <c r="H7" i="7" a="1"/>
  <c r="H7" i="7" s="1"/>
  <c r="F7" i="7" a="1"/>
  <c r="F7" i="7" s="1"/>
  <c r="D7" i="7" a="1"/>
  <c r="D7" i="7" s="1"/>
  <c r="K7" i="7" a="1"/>
  <c r="K7" i="7" s="1"/>
  <c r="G7" i="7" a="1"/>
  <c r="G7" i="7" s="1"/>
  <c r="C7" i="7" a="1"/>
  <c r="C7" i="7" s="1"/>
  <c r="E7" i="7" a="1"/>
  <c r="E7" i="7" s="1"/>
  <c r="I7" i="7" a="1"/>
  <c r="I7" i="7" s="1"/>
  <c r="O38" i="7" a="1"/>
  <c r="O38" i="7" s="1"/>
  <c r="M38" i="7" a="1"/>
  <c r="M38" i="7" s="1"/>
  <c r="K38" i="7" a="1"/>
  <c r="K38" i="7" s="1"/>
  <c r="I38" i="7" a="1"/>
  <c r="I38" i="7" s="1"/>
  <c r="G38" i="7" a="1"/>
  <c r="G38" i="7" s="1"/>
  <c r="E38" i="7" a="1"/>
  <c r="E38" i="7" s="1"/>
  <c r="C38" i="7" a="1"/>
  <c r="C38" i="7" s="1"/>
  <c r="N38" i="7" a="1"/>
  <c r="N38" i="7" s="1"/>
  <c r="L38" i="7" a="1"/>
  <c r="L38" i="7" s="1"/>
  <c r="J38" i="7" a="1"/>
  <c r="J38" i="7" s="1"/>
  <c r="H38" i="7" a="1"/>
  <c r="H38" i="7" s="1"/>
  <c r="F38" i="7" a="1"/>
  <c r="F38" i="7" s="1"/>
  <c r="D38" i="7" a="1"/>
  <c r="D38" i="7" s="1"/>
  <c r="O44" i="7" a="1"/>
  <c r="O44" i="7" s="1"/>
  <c r="M44" i="7" a="1"/>
  <c r="M44" i="7" s="1"/>
  <c r="K44" i="7" a="1"/>
  <c r="K44" i="7" s="1"/>
  <c r="I44" i="7" a="1"/>
  <c r="I44" i="7" s="1"/>
  <c r="G44" i="7" a="1"/>
  <c r="G44" i="7" s="1"/>
  <c r="E44" i="7" a="1"/>
  <c r="E44" i="7" s="1"/>
  <c r="C44" i="7" a="1"/>
  <c r="C44" i="7" s="1"/>
  <c r="N44" i="7" a="1"/>
  <c r="N44" i="7" s="1"/>
  <c r="L44" i="7" a="1"/>
  <c r="L44" i="7" s="1"/>
  <c r="J44" i="7" a="1"/>
  <c r="J44" i="7" s="1"/>
  <c r="H44" i="7" a="1"/>
  <c r="H44" i="7" s="1"/>
  <c r="F44" i="7" a="1"/>
  <c r="F44" i="7" s="1"/>
  <c r="D44" i="7" a="1"/>
  <c r="D44" i="7" s="1"/>
  <c r="L30" i="7" a="1"/>
  <c r="L30" i="7" s="1"/>
  <c r="H30" i="7" a="1"/>
  <c r="H30" i="7" s="1"/>
  <c r="F30" i="7" a="1"/>
  <c r="F30" i="7" s="1"/>
  <c r="D30" i="7" a="1"/>
  <c r="D30" i="7" s="1"/>
  <c r="K30" i="7" a="1"/>
  <c r="K30" i="7" s="1"/>
  <c r="G30" i="7" a="1"/>
  <c r="G30" i="7" s="1"/>
  <c r="C30" i="7" a="1"/>
  <c r="C30" i="7" s="1"/>
  <c r="I30" i="7" a="1"/>
  <c r="I30" i="7" s="1"/>
  <c r="E30" i="7" a="1"/>
  <c r="E30" i="7" s="1"/>
  <c r="O42" i="7" a="1"/>
  <c r="O42" i="7" s="1"/>
  <c r="M42" i="7" a="1"/>
  <c r="M42" i="7" s="1"/>
  <c r="K42" i="7" a="1"/>
  <c r="K42" i="7" s="1"/>
  <c r="I42" i="7" a="1"/>
  <c r="I42" i="7" s="1"/>
  <c r="G42" i="7" a="1"/>
  <c r="G42" i="7" s="1"/>
  <c r="E42" i="7" a="1"/>
  <c r="E42" i="7" s="1"/>
  <c r="C42" i="7" a="1"/>
  <c r="C42" i="7" s="1"/>
  <c r="N42" i="7" a="1"/>
  <c r="N42" i="7" s="1"/>
  <c r="L42" i="7" a="1"/>
  <c r="L42" i="7" s="1"/>
  <c r="J42" i="7" a="1"/>
  <c r="J42" i="7" s="1"/>
  <c r="H42" i="7" a="1"/>
  <c r="H42" i="7" s="1"/>
  <c r="F42" i="7" a="1"/>
  <c r="F42" i="7" s="1"/>
  <c r="D42" i="7" a="1"/>
  <c r="D42" i="7" s="1"/>
  <c r="L11" i="7" a="1"/>
  <c r="L11" i="7" s="1"/>
  <c r="H11" i="7" a="1"/>
  <c r="H11" i="7" s="1"/>
  <c r="F11" i="7" a="1"/>
  <c r="F11" i="7" s="1"/>
  <c r="D11" i="7" a="1"/>
  <c r="D11" i="7" s="1"/>
  <c r="I11" i="7" a="1"/>
  <c r="I11" i="7" s="1"/>
  <c r="E11" i="7" a="1"/>
  <c r="E11" i="7" s="1"/>
  <c r="K11" i="7" a="1"/>
  <c r="K11" i="7" s="1"/>
  <c r="C11" i="7" a="1"/>
  <c r="C11" i="7" s="1"/>
  <c r="G11" i="7" a="1"/>
  <c r="G11" i="7" s="1"/>
  <c r="L28" i="7" a="1"/>
  <c r="L28" i="7" s="1"/>
  <c r="H28" i="7" a="1"/>
  <c r="H28" i="7" s="1"/>
  <c r="F28" i="7" a="1"/>
  <c r="F28" i="7" s="1"/>
  <c r="D28" i="7" a="1"/>
  <c r="D28" i="7" s="1"/>
  <c r="K28" i="7" a="1"/>
  <c r="K28" i="7" s="1"/>
  <c r="G28" i="7" a="1"/>
  <c r="G28" i="7" s="1"/>
  <c r="C28" i="7" a="1"/>
  <c r="C28" i="7" s="1"/>
  <c r="I28" i="7" a="1"/>
  <c r="I28" i="7" s="1"/>
  <c r="E28" i="7" a="1"/>
  <c r="E28" i="7" s="1"/>
  <c r="O40" i="7" a="1"/>
  <c r="O40" i="7" s="1"/>
  <c r="M40" i="7" a="1"/>
  <c r="M40" i="7" s="1"/>
  <c r="K40" i="7" a="1"/>
  <c r="K40" i="7" s="1"/>
  <c r="I40" i="7" a="1"/>
  <c r="I40" i="7" s="1"/>
  <c r="G40" i="7" a="1"/>
  <c r="G40" i="7" s="1"/>
  <c r="E40" i="7" a="1"/>
  <c r="E40" i="7" s="1"/>
  <c r="C40" i="7" a="1"/>
  <c r="C40" i="7" s="1"/>
  <c r="N40" i="7" a="1"/>
  <c r="N40" i="7" s="1"/>
  <c r="L40" i="7" a="1"/>
  <c r="L40" i="7" s="1"/>
  <c r="J40" i="7" a="1"/>
  <c r="J40" i="7" s="1"/>
  <c r="H40" i="7" a="1"/>
  <c r="H40" i="7" s="1"/>
  <c r="F40" i="7" a="1"/>
  <c r="F40" i="7" s="1"/>
  <c r="D40" i="7" a="1"/>
  <c r="D40" i="7" s="1"/>
  <c r="N36" i="7" a="1"/>
  <c r="N36" i="7" s="1"/>
  <c r="L36" i="7" a="1"/>
  <c r="L36" i="7" s="1"/>
  <c r="J36" i="7" a="1"/>
  <c r="J36" i="7" s="1"/>
  <c r="H36" i="7" a="1"/>
  <c r="H36" i="7" s="1"/>
  <c r="F36" i="7" a="1"/>
  <c r="F36" i="7" s="1"/>
  <c r="D36" i="7" a="1"/>
  <c r="D36" i="7" s="1"/>
  <c r="M36" i="7" a="1"/>
  <c r="M36" i="7" s="1"/>
  <c r="I36" i="7" a="1"/>
  <c r="I36" i="7" s="1"/>
  <c r="E36" i="7" a="1"/>
  <c r="E36" i="7" s="1"/>
  <c r="O36" i="7" a="1"/>
  <c r="O36" i="7" s="1"/>
  <c r="K36" i="7" a="1"/>
  <c r="K36" i="7" s="1"/>
  <c r="G36" i="7" a="1"/>
  <c r="G36" i="7" s="1"/>
  <c r="C36" i="7" a="1"/>
  <c r="C36" i="7" s="1"/>
  <c r="L9" i="7" a="1"/>
  <c r="L9" i="7" s="1"/>
  <c r="H9" i="7" a="1"/>
  <c r="H9" i="7" s="1"/>
  <c r="F9" i="7" a="1"/>
  <c r="F9" i="7" s="1"/>
  <c r="D9" i="7" a="1"/>
  <c r="D9" i="7" s="1"/>
  <c r="E9" i="7" a="1"/>
  <c r="E9" i="7" s="1"/>
  <c r="K9" i="7" a="1"/>
  <c r="K9" i="7" s="1"/>
  <c r="G9" i="7" a="1"/>
  <c r="G9" i="7" s="1"/>
  <c r="C9" i="7" a="1"/>
  <c r="C9" i="7" s="1"/>
  <c r="I9" i="7" a="1"/>
  <c r="I9" i="7" s="1"/>
  <c r="AT202" i="5"/>
  <c r="AA138" i="5"/>
  <c r="AP138" i="5" s="1"/>
  <c r="AH138" i="5" s="1"/>
  <c r="AJ138" i="5" s="1"/>
  <c r="AT189" i="5"/>
  <c r="AA139" i="5"/>
  <c r="AP139" i="5" s="1"/>
  <c r="AH139" i="5" s="1"/>
  <c r="AJ139" i="5" s="1"/>
  <c r="AA182" i="5"/>
  <c r="AP182" i="5" s="1"/>
  <c r="AA158" i="5"/>
  <c r="AP158" i="5" s="1"/>
  <c r="AH158" i="5" s="1"/>
  <c r="AJ158" i="5" s="1"/>
  <c r="AA144" i="5"/>
  <c r="AP144" i="5" s="1"/>
  <c r="AH144" i="5" s="1"/>
  <c r="AJ144" i="5" s="1"/>
  <c r="AA91" i="5"/>
  <c r="AP91" i="5" s="1"/>
  <c r="AH91" i="5" s="1"/>
  <c r="AJ91" i="5" s="1"/>
  <c r="AT86" i="5"/>
  <c r="AA118" i="5"/>
  <c r="AA110" i="5"/>
  <c r="AA96" i="5"/>
  <c r="J10" i="7" s="1" a="1"/>
  <c r="J10" i="7" s="1"/>
  <c r="AA80" i="5"/>
  <c r="AP80" i="5" s="1"/>
  <c r="AH80" i="5" s="1"/>
  <c r="AJ80" i="5" s="1"/>
  <c r="AA120" i="5"/>
  <c r="AA112" i="5"/>
  <c r="AA102" i="5"/>
  <c r="D16" i="9" s="1" a="1"/>
  <c r="D16" i="9" s="1"/>
  <c r="AT79" i="5"/>
  <c r="AT9" i="5"/>
  <c r="AA12" i="5"/>
  <c r="AP12" i="5" s="1"/>
  <c r="AH12" i="5" s="1"/>
  <c r="AA24" i="5"/>
  <c r="AP24" i="5" s="1"/>
  <c r="AH24" i="5" s="1"/>
  <c r="AA34" i="5"/>
  <c r="AP34" i="5" s="1"/>
  <c r="AH34" i="5" s="1"/>
  <c r="AJ34" i="5" s="1"/>
  <c r="AA18" i="5"/>
  <c r="AP18" i="5" s="1"/>
  <c r="AH18" i="5" s="1"/>
  <c r="V53" i="10" s="1"/>
  <c r="AA148" i="5"/>
  <c r="AP148" i="5" s="1"/>
  <c r="AH148" i="5" s="1"/>
  <c r="AJ148" i="5" s="1"/>
  <c r="AA160" i="5"/>
  <c r="AP160" i="5" s="1"/>
  <c r="AH160" i="5" s="1"/>
  <c r="AJ160" i="5" s="1"/>
  <c r="AA170" i="5"/>
  <c r="AP170" i="5" s="1"/>
  <c r="AH170" i="5" s="1"/>
  <c r="AJ170" i="5" s="1"/>
  <c r="AA154" i="5"/>
  <c r="AP154" i="5" s="1"/>
  <c r="AH154" i="5" s="1"/>
  <c r="AJ154" i="5" s="1"/>
  <c r="AA188" i="5"/>
  <c r="AP188" i="5" s="1"/>
  <c r="AH188" i="5" s="1"/>
  <c r="AJ188" i="5" s="1"/>
  <c r="AA187" i="5"/>
  <c r="AP187" i="5" s="1"/>
  <c r="AH187" i="5" s="1"/>
  <c r="AJ187" i="5" s="1"/>
  <c r="AA178" i="5"/>
  <c r="AP178" i="5" s="1"/>
  <c r="AH178" i="5" s="1"/>
  <c r="AJ178" i="5" s="1"/>
  <c r="AA173" i="5"/>
  <c r="AP173" i="5" s="1"/>
  <c r="AH173" i="5" s="1"/>
  <c r="AJ173" i="5" s="1"/>
  <c r="AA159" i="5"/>
  <c r="AP159" i="5" s="1"/>
  <c r="AH159" i="5" s="1"/>
  <c r="AJ159" i="5" s="1"/>
  <c r="AA145" i="5"/>
  <c r="AP145" i="5" s="1"/>
  <c r="AH145" i="5" s="1"/>
  <c r="AJ145" i="5" s="1"/>
  <c r="AA192" i="5"/>
  <c r="AP192" i="5" s="1"/>
  <c r="AA184" i="5"/>
  <c r="AP184" i="5" s="1"/>
  <c r="AH184" i="5" s="1"/>
  <c r="AJ184" i="5" s="1"/>
  <c r="AA196" i="5"/>
  <c r="AP196" i="5" s="1"/>
  <c r="AH196" i="5" s="1"/>
  <c r="AJ196" i="5" s="1"/>
  <c r="AA185" i="5"/>
  <c r="AP185" i="5" s="1"/>
  <c r="AH185" i="5" s="1"/>
  <c r="AJ185" i="5" s="1"/>
  <c r="AA130" i="5"/>
  <c r="AP130" i="5" s="1"/>
  <c r="AH130" i="5" s="1"/>
  <c r="AJ130" i="5" s="1"/>
  <c r="AA174" i="5"/>
  <c r="AP174" i="5" s="1"/>
  <c r="AH174" i="5" s="1"/>
  <c r="AJ174" i="5" s="1"/>
  <c r="AA153" i="5"/>
  <c r="AP153" i="5" s="1"/>
  <c r="AH153" i="5" s="1"/>
  <c r="AJ153" i="5" s="1"/>
  <c r="AA140" i="5"/>
  <c r="AP140" i="5" s="1"/>
  <c r="AH140" i="5" s="1"/>
  <c r="AJ140" i="5" s="1"/>
  <c r="AT126" i="5"/>
  <c r="AT122" i="5"/>
  <c r="AT118" i="5"/>
  <c r="AT114" i="5"/>
  <c r="AT110" i="5"/>
  <c r="AT106" i="5"/>
  <c r="AH106" i="5" s="1"/>
  <c r="AT102" i="5"/>
  <c r="AT98" i="5"/>
  <c r="AT94" i="5"/>
  <c r="AT90" i="5"/>
  <c r="AA117" i="5"/>
  <c r="AA109" i="5"/>
  <c r="AA93" i="5"/>
  <c r="B20" i="10" s="1" a="1"/>
  <c r="B20" i="10" s="1"/>
  <c r="AA100" i="5"/>
  <c r="AA101" i="5"/>
  <c r="AA94" i="5"/>
  <c r="AA67" i="5"/>
  <c r="AP67" i="5" s="1"/>
  <c r="AH67" i="5" s="1"/>
  <c r="AJ67" i="5" s="1"/>
  <c r="AA77" i="5"/>
  <c r="AP77" i="5" s="1"/>
  <c r="AH77" i="5" s="1"/>
  <c r="AJ77" i="5" s="1"/>
  <c r="AA75" i="5"/>
  <c r="AP75" i="5" s="1"/>
  <c r="AA66" i="5"/>
  <c r="AP66" i="5" s="1"/>
  <c r="AH66" i="5" s="1"/>
  <c r="AJ66" i="5" s="1"/>
  <c r="AA49" i="5"/>
  <c r="AP49" i="5" s="1"/>
  <c r="AH49" i="5" s="1"/>
  <c r="AJ49" i="5" s="1"/>
  <c r="AA33" i="5"/>
  <c r="AA63" i="5"/>
  <c r="AP63" i="5" s="1"/>
  <c r="AH63" i="5" s="1"/>
  <c r="AJ63" i="5" s="1"/>
  <c r="AA17" i="5"/>
  <c r="AP17" i="5" s="1"/>
  <c r="AH17" i="5" s="1"/>
  <c r="AA177" i="5"/>
  <c r="AP177" i="5" s="1"/>
  <c r="AH177" i="5" s="1"/>
  <c r="AJ177" i="5" s="1"/>
  <c r="AA202" i="5"/>
  <c r="AP202" i="5" s="1"/>
  <c r="AH202" i="5" s="1"/>
  <c r="AJ202" i="5" s="1"/>
  <c r="AA172" i="5"/>
  <c r="AP172" i="5" s="1"/>
  <c r="AH172" i="5" s="1"/>
  <c r="AJ172" i="5" s="1"/>
  <c r="AA149" i="5"/>
  <c r="AP149" i="5" s="1"/>
  <c r="AH149" i="5" s="1"/>
  <c r="AJ149" i="5" s="1"/>
  <c r="AH199" i="5"/>
  <c r="AJ199" i="5" s="1"/>
  <c r="AA171" i="5"/>
  <c r="AP171" i="5" s="1"/>
  <c r="AH171" i="5" s="1"/>
  <c r="AJ171" i="5" s="1"/>
  <c r="AT192" i="5"/>
  <c r="AH192" i="5"/>
  <c r="AJ192" i="5" s="1"/>
  <c r="AA166" i="5"/>
  <c r="AP166" i="5" s="1"/>
  <c r="AA150" i="5"/>
  <c r="AP150" i="5" s="1"/>
  <c r="AH150" i="5" s="1"/>
  <c r="AJ150" i="5" s="1"/>
  <c r="AA168" i="5"/>
  <c r="AP168" i="5" s="1"/>
  <c r="AH168" i="5" s="1"/>
  <c r="AJ168" i="5" s="1"/>
  <c r="AT142" i="5"/>
  <c r="AA152" i="5"/>
  <c r="AP152" i="5" s="1"/>
  <c r="AH152" i="5" s="1"/>
  <c r="AJ152" i="5" s="1"/>
  <c r="AA71" i="5"/>
  <c r="AP71" i="5" s="1"/>
  <c r="AH71" i="5" s="1"/>
  <c r="AJ71" i="5" s="1"/>
  <c r="AA122" i="5"/>
  <c r="AP122" i="5" s="1"/>
  <c r="AA114" i="5"/>
  <c r="AA97" i="5"/>
  <c r="J11" i="7" s="1" a="1"/>
  <c r="J11" i="7" s="1"/>
  <c r="AA86" i="5"/>
  <c r="AP86" i="5" s="1"/>
  <c r="AH86" i="5" s="1"/>
  <c r="AJ86" i="5" s="1"/>
  <c r="AA124" i="5"/>
  <c r="AP124" i="5" s="1"/>
  <c r="AH124" i="5" s="1"/>
  <c r="AJ124" i="5" s="1"/>
  <c r="AA116" i="5"/>
  <c r="AA108" i="5"/>
  <c r="J22" i="7" s="1" a="1"/>
  <c r="J22" i="7" s="1"/>
  <c r="AA84" i="5"/>
  <c r="AP84" i="5" s="1"/>
  <c r="AH84" i="5" s="1"/>
  <c r="AJ84" i="5" s="1"/>
  <c r="AA142" i="5"/>
  <c r="AP142" i="5" s="1"/>
  <c r="AA125" i="5"/>
  <c r="AP125" i="5" s="1"/>
  <c r="AH125" i="5" s="1"/>
  <c r="AJ125" i="5" s="1"/>
  <c r="AA83" i="5"/>
  <c r="AP83" i="5" s="1"/>
  <c r="AH83" i="5" s="1"/>
  <c r="AJ83" i="5" s="1"/>
  <c r="AA105" i="5"/>
  <c r="AA92" i="5"/>
  <c r="AA62" i="5"/>
  <c r="AP62" i="5" s="1"/>
  <c r="AH62" i="5" s="1"/>
  <c r="AJ62" i="5" s="1"/>
  <c r="AT13" i="5"/>
  <c r="AA47" i="5"/>
  <c r="AP47" i="5" s="1"/>
  <c r="AH47" i="5" s="1"/>
  <c r="AJ47" i="5" s="1"/>
  <c r="AA20" i="5"/>
  <c r="AP20" i="5" s="1"/>
  <c r="AH20" i="5" s="1"/>
  <c r="AT75" i="5"/>
  <c r="AA54" i="5"/>
  <c r="AP54" i="5" s="1"/>
  <c r="AH54" i="5" s="1"/>
  <c r="AJ54" i="5" s="1"/>
  <c r="AA51" i="5"/>
  <c r="AP51" i="5" s="1"/>
  <c r="AH51" i="5" s="1"/>
  <c r="AJ51" i="5" s="1"/>
  <c r="AA48" i="5"/>
  <c r="AP48" i="5" s="1"/>
  <c r="AH48" i="5" s="1"/>
  <c r="AJ48" i="5" s="1"/>
  <c r="AA36" i="5"/>
  <c r="AP36" i="5" s="1"/>
  <c r="AH36" i="5" s="1"/>
  <c r="AJ36" i="5" s="1"/>
  <c r="AA16" i="5"/>
  <c r="AP16" i="5" s="1"/>
  <c r="AH16" i="5" s="1"/>
  <c r="AA38" i="5"/>
  <c r="AP38" i="5" s="1"/>
  <c r="AH38" i="5" s="1"/>
  <c r="AJ38" i="5" s="1"/>
  <c r="AA30" i="5"/>
  <c r="AP30" i="5" s="1"/>
  <c r="AH30" i="5" s="1"/>
  <c r="AA25" i="5"/>
  <c r="AP25" i="5" s="1"/>
  <c r="AH25" i="5" s="1"/>
  <c r="AA13" i="5"/>
  <c r="AP13" i="5" s="1"/>
  <c r="AH13" i="5" s="1"/>
  <c r="AA22" i="5"/>
  <c r="AP22" i="5" s="1"/>
  <c r="AH22" i="5" s="1"/>
  <c r="AA14" i="5"/>
  <c r="AP14" i="5" s="1"/>
  <c r="AH14" i="5" s="1"/>
  <c r="AA194" i="5"/>
  <c r="AP194" i="5" s="1"/>
  <c r="AH194" i="5" s="1"/>
  <c r="AJ194" i="5" s="1"/>
  <c r="AA175" i="5"/>
  <c r="AP175" i="5" s="1"/>
  <c r="AH175" i="5" s="1"/>
  <c r="AJ175" i="5" s="1"/>
  <c r="AA169" i="5"/>
  <c r="AP169" i="5" s="1"/>
  <c r="AH169" i="5" s="1"/>
  <c r="AJ169" i="5" s="1"/>
  <c r="AA162" i="5"/>
  <c r="AP162" i="5" s="1"/>
  <c r="AH162" i="5" s="1"/>
  <c r="AJ162" i="5" s="1"/>
  <c r="AT166" i="5"/>
  <c r="AH166" i="5"/>
  <c r="AJ166" i="5" s="1"/>
  <c r="AA203" i="5"/>
  <c r="AP203" i="5" s="1"/>
  <c r="AH203" i="5" s="1"/>
  <c r="AJ203" i="5" s="1"/>
  <c r="AA189" i="5"/>
  <c r="AP189" i="5" s="1"/>
  <c r="AH189" i="5" s="1"/>
  <c r="AJ189" i="5" s="1"/>
  <c r="AA183" i="5"/>
  <c r="AP183" i="5" s="1"/>
  <c r="AH183" i="5" s="1"/>
  <c r="AJ183" i="5" s="1"/>
  <c r="AT134" i="5"/>
  <c r="AA119" i="5"/>
  <c r="AA99" i="5"/>
  <c r="AT182" i="5"/>
  <c r="AH182" i="5"/>
  <c r="AJ182" i="5" s="1"/>
  <c r="AA146" i="5"/>
  <c r="AP146" i="5" s="1"/>
  <c r="AH146" i="5" s="1"/>
  <c r="AJ146" i="5" s="1"/>
  <c r="AA136" i="5"/>
  <c r="AP136" i="5" s="1"/>
  <c r="AH136" i="5" s="1"/>
  <c r="AJ136" i="5" s="1"/>
  <c r="AA128" i="5"/>
  <c r="AP128" i="5" s="1"/>
  <c r="AH128" i="5" s="1"/>
  <c r="AJ128" i="5" s="1"/>
  <c r="AA87" i="5"/>
  <c r="AP87" i="5" s="1"/>
  <c r="AH87" i="5" s="1"/>
  <c r="AJ87" i="5" s="1"/>
  <c r="AT82" i="5"/>
  <c r="AH82" i="5" s="1"/>
  <c r="AJ82" i="5" s="1"/>
  <c r="AT78" i="5"/>
  <c r="AH78" i="5" s="1"/>
  <c r="AJ78" i="5" s="1"/>
  <c r="AA121" i="5"/>
  <c r="AA113" i="5"/>
  <c r="AA90" i="5"/>
  <c r="AP90" i="5" s="1"/>
  <c r="AH90" i="5" s="1"/>
  <c r="AJ90" i="5" s="1"/>
  <c r="AA134" i="5"/>
  <c r="AP134" i="5" s="1"/>
  <c r="AA88" i="5"/>
  <c r="AP88" i="5" s="1"/>
  <c r="AH88" i="5" s="1"/>
  <c r="AJ88" i="5" s="1"/>
  <c r="AA81" i="5"/>
  <c r="AP81" i="5" s="1"/>
  <c r="AH81" i="5" s="1"/>
  <c r="AJ81" i="5" s="1"/>
  <c r="AA76" i="5"/>
  <c r="AP76" i="5" s="1"/>
  <c r="AH76" i="5" s="1"/>
  <c r="AJ76" i="5" s="1"/>
  <c r="AA104" i="5"/>
  <c r="AA98" i="5"/>
  <c r="AA79" i="5"/>
  <c r="AP79" i="5" s="1"/>
  <c r="AH79" i="5" s="1"/>
  <c r="AJ79" i="5" s="1"/>
  <c r="AA72" i="5"/>
  <c r="AP72" i="5" s="1"/>
  <c r="AH72" i="5" s="1"/>
  <c r="AJ72" i="5" s="1"/>
  <c r="AH68" i="5"/>
  <c r="AJ68" i="5" s="1"/>
  <c r="AA58" i="5"/>
  <c r="AP58" i="5" s="1"/>
  <c r="AH58" i="5" s="1"/>
  <c r="AJ58" i="5" s="1"/>
  <c r="AA42" i="5"/>
  <c r="AP42" i="5" s="1"/>
  <c r="AH42" i="5" s="1"/>
  <c r="AJ42" i="5" s="1"/>
  <c r="AA46" i="5"/>
  <c r="AP46" i="5" s="1"/>
  <c r="AH46" i="5" s="1"/>
  <c r="AA50" i="5"/>
  <c r="AP50" i="5" s="1"/>
  <c r="AH50" i="5" s="1"/>
  <c r="AJ50" i="5" s="1"/>
  <c r="AT63" i="5"/>
  <c r="AA28" i="5"/>
  <c r="AP28" i="5" s="1"/>
  <c r="AH28" i="5" s="1"/>
  <c r="AA37" i="5"/>
  <c r="AP37" i="5" s="1"/>
  <c r="AH37" i="5" s="1"/>
  <c r="AJ37" i="5" s="1"/>
  <c r="AA9" i="5"/>
  <c r="AP9" i="5" s="1"/>
  <c r="AA29" i="5"/>
  <c r="AP29" i="5" s="1"/>
  <c r="AH29" i="5" s="1"/>
  <c r="AA6" i="5"/>
  <c r="AP6" i="5" s="1"/>
  <c r="AH6" i="5" s="1"/>
  <c r="AA26" i="5"/>
  <c r="AP26" i="5" s="1"/>
  <c r="AH26" i="5" s="1"/>
  <c r="AA21" i="5"/>
  <c r="AP21" i="5" s="1"/>
  <c r="AH21" i="5" s="1"/>
  <c r="AA10" i="5"/>
  <c r="AP10" i="5" s="1"/>
  <c r="AH10" i="5" s="1"/>
  <c r="AA4" i="5"/>
  <c r="AP4" i="5" s="1"/>
  <c r="AH4" i="5" s="1"/>
  <c r="AF40" i="21" l="1"/>
  <c r="AL40" i="21" s="1"/>
  <c r="AG40" i="21"/>
  <c r="AF33" i="21"/>
  <c r="AL33" i="21" s="1"/>
  <c r="AF52" i="21"/>
  <c r="AL52" i="21" s="1"/>
  <c r="AG52" i="21"/>
  <c r="AF27" i="21"/>
  <c r="AL27" i="21" s="1"/>
  <c r="U36" i="21"/>
  <c r="AD36" i="21" s="1"/>
  <c r="AE36" i="21" s="1"/>
  <c r="J16" i="20"/>
  <c r="U28" i="21"/>
  <c r="J8" i="20"/>
  <c r="AG32" i="21"/>
  <c r="U44" i="21"/>
  <c r="AD44" i="21" s="1"/>
  <c r="AE44" i="21" s="1"/>
  <c r="J24" i="20"/>
  <c r="AF49" i="21"/>
  <c r="AL49" i="21" s="1"/>
  <c r="AG49" i="21"/>
  <c r="AF35" i="21"/>
  <c r="AL35" i="21" s="1"/>
  <c r="AF48" i="21"/>
  <c r="AL48" i="21" s="1"/>
  <c r="AF51" i="21"/>
  <c r="AL51" i="21" s="1"/>
  <c r="A10" i="21"/>
  <c r="AF46" i="21"/>
  <c r="AL46" i="21" s="1"/>
  <c r="AG54" i="21"/>
  <c r="AF54" i="21"/>
  <c r="AL54" i="21" s="1"/>
  <c r="AG50" i="21"/>
  <c r="AF50" i="21"/>
  <c r="AL50" i="21" s="1"/>
  <c r="AG43" i="21"/>
  <c r="AF43" i="21"/>
  <c r="AL43" i="21" s="1"/>
  <c r="AF34" i="21"/>
  <c r="AL34" i="21" s="1"/>
  <c r="AF39" i="21"/>
  <c r="I58" i="12"/>
  <c r="I54" i="12"/>
  <c r="U116" i="15"/>
  <c r="R116" i="5" s="1" a="1"/>
  <c r="R116" i="5" s="1"/>
  <c r="AI116" i="5" s="1"/>
  <c r="AB49" i="21" s="1"/>
  <c r="U96" i="15"/>
  <c r="R96" i="5" s="1" a="1"/>
  <c r="R96" i="5" s="1"/>
  <c r="AI96" i="5" s="1"/>
  <c r="AB29" i="21" s="1"/>
  <c r="I45" i="12"/>
  <c r="I35" i="12"/>
  <c r="U144" i="15"/>
  <c r="R144" i="5" s="1" a="1"/>
  <c r="R144" i="5" s="1"/>
  <c r="AI144" i="5" s="1"/>
  <c r="I42" i="11"/>
  <c r="U148" i="15"/>
  <c r="R148" i="5" s="1" a="1"/>
  <c r="R148" i="5" s="1"/>
  <c r="AI148" i="5" s="1"/>
  <c r="U138" i="15"/>
  <c r="R138" i="5" s="1" a="1"/>
  <c r="R138" i="5" s="1"/>
  <c r="AI138" i="5" s="1"/>
  <c r="U50" i="15"/>
  <c r="R50" i="5" s="1" a="1"/>
  <c r="R50" i="5" s="1"/>
  <c r="AI50" i="5" s="1"/>
  <c r="U99" i="15"/>
  <c r="R99" i="5" s="1" a="1"/>
  <c r="R99" i="5" s="1"/>
  <c r="AI99" i="5" s="1"/>
  <c r="AB32" i="21" s="1"/>
  <c r="AH126" i="5"/>
  <c r="AJ126" i="5" s="1"/>
  <c r="I50" i="11"/>
  <c r="I32" i="11"/>
  <c r="I49" i="11"/>
  <c r="I44" i="11"/>
  <c r="O8" i="7" a="1"/>
  <c r="O8" i="7" s="1"/>
  <c r="U61" i="15"/>
  <c r="R61" i="5" s="1" a="1"/>
  <c r="R61" i="5" s="1"/>
  <c r="AI61" i="5" s="1"/>
  <c r="U54" i="15"/>
  <c r="R54" i="5" s="1" a="1"/>
  <c r="R54" i="5" s="1"/>
  <c r="AI54" i="5" s="1"/>
  <c r="U78" i="15"/>
  <c r="R78" i="5" s="1" a="1"/>
  <c r="R78" i="5" s="1"/>
  <c r="AI78" i="5" s="1"/>
  <c r="U77" i="15"/>
  <c r="R77" i="5" s="1" a="1"/>
  <c r="R77" i="5" s="1"/>
  <c r="AI77" i="5" s="1"/>
  <c r="U87" i="15"/>
  <c r="R87" i="5" s="1" a="1"/>
  <c r="R87" i="5" s="1"/>
  <c r="AI87" i="5" s="1"/>
  <c r="U65" i="15"/>
  <c r="R65" i="5" s="1" a="1"/>
  <c r="R65" i="5" s="1"/>
  <c r="AI65" i="5" s="1"/>
  <c r="I30" i="12"/>
  <c r="U122" i="15"/>
  <c r="R122" i="5" s="1" a="1"/>
  <c r="R122" i="5" s="1"/>
  <c r="AI122" i="5" s="1"/>
  <c r="AP98" i="5"/>
  <c r="AH98" i="5" s="1"/>
  <c r="Y31" i="21"/>
  <c r="AP116" i="5"/>
  <c r="AH116" i="5" s="1"/>
  <c r="G54" i="12" s="1"/>
  <c r="D30" i="9" a="1"/>
  <c r="D30" i="9" s="1"/>
  <c r="Y49" i="21"/>
  <c r="AP110" i="5"/>
  <c r="AH110" i="5" s="1"/>
  <c r="G48" i="11" s="1"/>
  <c r="D24" i="9" a="1"/>
  <c r="D24" i="9" s="1"/>
  <c r="J24" i="7" a="1"/>
  <c r="J24" i="7" s="1"/>
  <c r="Y43" i="21"/>
  <c r="U45" i="15"/>
  <c r="R45" i="5" s="1" a="1"/>
  <c r="R45" i="5" s="1"/>
  <c r="AI45" i="5" s="1"/>
  <c r="I51" i="12"/>
  <c r="U83" i="15"/>
  <c r="R83" i="5" s="1" a="1"/>
  <c r="R83" i="5" s="1"/>
  <c r="AI83" i="5" s="1"/>
  <c r="U110" i="15"/>
  <c r="R110" i="5" s="1" a="1"/>
  <c r="R110" i="5" s="1"/>
  <c r="AI110" i="5" s="1"/>
  <c r="AB43" i="21" s="1"/>
  <c r="U97" i="15"/>
  <c r="R97" i="5" s="1" a="1"/>
  <c r="R97" i="5" s="1"/>
  <c r="AI97" i="5" s="1"/>
  <c r="AB30" i="21" s="1"/>
  <c r="I58" i="11"/>
  <c r="U81" i="15"/>
  <c r="R81" i="5" s="1" a="1"/>
  <c r="R81" i="5" s="1"/>
  <c r="AI81" i="5" s="1"/>
  <c r="U75" i="15"/>
  <c r="R75" i="5" s="1" a="1"/>
  <c r="R75" i="5" s="1"/>
  <c r="AI75" i="5" s="1"/>
  <c r="D7" i="9" a="1"/>
  <c r="D7" i="9" s="1"/>
  <c r="L7" i="9" s="1"/>
  <c r="N7" i="9" s="1"/>
  <c r="M7" i="9" s="1" a="1"/>
  <c r="M7" i="9" s="1"/>
  <c r="I56" i="12"/>
  <c r="I46" i="12"/>
  <c r="I51" i="11"/>
  <c r="I30" i="11"/>
  <c r="I42" i="12"/>
  <c r="I49" i="12"/>
  <c r="I31" i="11"/>
  <c r="I48" i="11"/>
  <c r="I31" i="12"/>
  <c r="I38" i="11"/>
  <c r="I45" i="11"/>
  <c r="I57" i="11"/>
  <c r="I35" i="11"/>
  <c r="AP121" i="5"/>
  <c r="AH121" i="5" s="1"/>
  <c r="Y54" i="21"/>
  <c r="D35" i="9" a="1"/>
  <c r="D35" i="9" s="1"/>
  <c r="L35" i="9" s="1"/>
  <c r="N35" i="9" s="1"/>
  <c r="M35" i="9" s="1" a="1"/>
  <c r="M35" i="9" s="1"/>
  <c r="J35" i="7" a="1"/>
  <c r="J35" i="7" s="1"/>
  <c r="AP109" i="5"/>
  <c r="Y42" i="21"/>
  <c r="AP112" i="5"/>
  <c r="AH112" i="5" s="1"/>
  <c r="J26" i="9" s="1" a="1"/>
  <c r="J26" i="9" s="1"/>
  <c r="Y45" i="21"/>
  <c r="J26" i="7" a="1"/>
  <c r="J26" i="7" s="1"/>
  <c r="D26" i="9" a="1"/>
  <c r="D26" i="9" s="1"/>
  <c r="D23" i="9" a="1"/>
  <c r="D23" i="9" s="1"/>
  <c r="I33" i="11"/>
  <c r="I48" i="12"/>
  <c r="AP104" i="5"/>
  <c r="AH104" i="5" s="1"/>
  <c r="D18" i="9" a="1"/>
  <c r="D18" i="9" s="1"/>
  <c r="Y37" i="21"/>
  <c r="AH134" i="5"/>
  <c r="AJ134" i="5" s="1"/>
  <c r="AP99" i="5"/>
  <c r="AH99" i="5" s="1"/>
  <c r="D13" i="9" a="1"/>
  <c r="D13" i="9" s="1"/>
  <c r="Y32" i="21"/>
  <c r="AP92" i="5"/>
  <c r="AH92" i="5" s="1"/>
  <c r="AP61" i="13" a="1"/>
  <c r="AP61" i="13" s="1"/>
  <c r="AO61" i="13" s="1" a="1"/>
  <c r="AO61" i="13" s="1"/>
  <c r="AP66" i="13" a="1"/>
  <c r="AP66" i="13" s="1"/>
  <c r="AO66" i="13" s="1" a="1"/>
  <c r="AO66" i="13" s="1"/>
  <c r="D25" i="6" a="1"/>
  <c r="D25" i="6" s="1"/>
  <c r="C25" i="6" s="1" a="1"/>
  <c r="C25" i="6" s="1"/>
  <c r="J6" i="7" a="1"/>
  <c r="J6" i="7" s="1"/>
  <c r="AP69" i="13" a="1"/>
  <c r="AP69" i="13" s="1"/>
  <c r="AO69" i="13" s="1" a="1"/>
  <c r="AO69" i="13" s="1"/>
  <c r="AP62" i="13" a="1"/>
  <c r="AP62" i="13" s="1"/>
  <c r="AO62" i="13" s="1" a="1"/>
  <c r="AO62" i="13" s="1"/>
  <c r="D6" i="9" a="1"/>
  <c r="D6" i="9" s="1"/>
  <c r="L6" i="9" s="1"/>
  <c r="N6" i="9" s="1"/>
  <c r="M6" i="9" s="1" a="1"/>
  <c r="M6" i="9" s="1"/>
  <c r="AP70" i="13" a="1"/>
  <c r="AP70" i="13" s="1"/>
  <c r="AO70" i="13" s="1" a="1"/>
  <c r="AO70" i="13" s="1"/>
  <c r="AP68" i="13" a="1"/>
  <c r="AP68" i="13" s="1"/>
  <c r="AO68" i="13" s="1" a="1"/>
  <c r="AO68" i="13" s="1"/>
  <c r="AP65" i="13" a="1"/>
  <c r="AP65" i="13" s="1"/>
  <c r="AO65" i="13" s="1" a="1"/>
  <c r="AO65" i="13" s="1"/>
  <c r="Y25" i="21"/>
  <c r="AP64" i="13" a="1"/>
  <c r="AP64" i="13" s="1"/>
  <c r="AO64" i="13" s="1" a="1"/>
  <c r="AO64" i="13" s="1"/>
  <c r="AP67" i="13" a="1"/>
  <c r="AP67" i="13" s="1"/>
  <c r="AO67" i="13" s="1" a="1"/>
  <c r="AO67" i="13" s="1"/>
  <c r="AP63" i="13" a="1"/>
  <c r="AP63" i="13" s="1"/>
  <c r="AO63" i="13" s="1" a="1"/>
  <c r="AO63" i="13" s="1"/>
  <c r="AH142" i="5"/>
  <c r="AJ142" i="5" s="1"/>
  <c r="AH122" i="5"/>
  <c r="AJ122" i="5" s="1"/>
  <c r="AP101" i="5"/>
  <c r="AH101" i="5" s="1"/>
  <c r="G39" i="11" s="1"/>
  <c r="J15" i="7" a="1"/>
  <c r="J15" i="7" s="1"/>
  <c r="Y34" i="21"/>
  <c r="AP117" i="5"/>
  <c r="AH117" i="5" s="1"/>
  <c r="Y50" i="21"/>
  <c r="D31" i="9" a="1"/>
  <c r="D31" i="9" s="1"/>
  <c r="AP120" i="5"/>
  <c r="AH120" i="5" s="1"/>
  <c r="J34" i="9" s="1" a="1"/>
  <c r="J34" i="9" s="1"/>
  <c r="Y53" i="21"/>
  <c r="J34" i="7" a="1"/>
  <c r="J34" i="7" s="1"/>
  <c r="AP118" i="5"/>
  <c r="AH118" i="5" s="1"/>
  <c r="Y51" i="21"/>
  <c r="D32" i="9" a="1"/>
  <c r="D32" i="9" s="1"/>
  <c r="L32" i="9" s="1"/>
  <c r="N32" i="9" s="1"/>
  <c r="M32" i="9" s="1" a="1"/>
  <c r="M32" i="9" s="1"/>
  <c r="J30" i="7" a="1"/>
  <c r="J30" i="7" s="1"/>
  <c r="J7" i="7" a="1"/>
  <c r="J7" i="7" s="1"/>
  <c r="J32" i="7" a="1"/>
  <c r="J32" i="7" s="1"/>
  <c r="D15" i="9" a="1"/>
  <c r="D15" i="9" s="1"/>
  <c r="AP119" i="5"/>
  <c r="AH119" i="5" s="1"/>
  <c r="Y52" i="21"/>
  <c r="D33" i="9" a="1"/>
  <c r="D33" i="9" s="1"/>
  <c r="J33" i="7" a="1"/>
  <c r="J33" i="7" s="1"/>
  <c r="AP105" i="5"/>
  <c r="AH105" i="5" s="1"/>
  <c r="J19" i="9" s="1" a="1"/>
  <c r="J19" i="9" s="1"/>
  <c r="D19" i="9" a="1"/>
  <c r="D19" i="9" s="1"/>
  <c r="Y38" i="21"/>
  <c r="AP100" i="5"/>
  <c r="Y33" i="21"/>
  <c r="D14" i="9" a="1"/>
  <c r="D14" i="9" s="1"/>
  <c r="L14" i="9" s="1"/>
  <c r="N14" i="9" s="1"/>
  <c r="M14" i="9" s="1" a="1"/>
  <c r="M14" i="9" s="1"/>
  <c r="J14" i="7" a="1"/>
  <c r="J14" i="7" s="1"/>
  <c r="J18" i="7" a="1"/>
  <c r="J18" i="7" s="1"/>
  <c r="AP95" i="5"/>
  <c r="AH95" i="5" s="1"/>
  <c r="D9" i="9" a="1"/>
  <c r="D9" i="9" s="1"/>
  <c r="Y28" i="21"/>
  <c r="AP107" i="5"/>
  <c r="AH107" i="5" s="1"/>
  <c r="Y40" i="21"/>
  <c r="D21" i="9" a="1"/>
  <c r="D21" i="9" s="1"/>
  <c r="J21" i="7" a="1"/>
  <c r="J21" i="7" s="1"/>
  <c r="AP115" i="5"/>
  <c r="AH115" i="5" s="1"/>
  <c r="G53" i="12" s="1"/>
  <c r="J29" i="7" a="1"/>
  <c r="J29" i="7" s="1"/>
  <c r="D29" i="9" a="1"/>
  <c r="D29" i="9" s="1"/>
  <c r="L29" i="9" s="1"/>
  <c r="N29" i="9" s="1"/>
  <c r="M29" i="9" s="1" a="1"/>
  <c r="M29" i="9" s="1"/>
  <c r="Y48" i="21"/>
  <c r="U114" i="15"/>
  <c r="R114" i="5" s="1" a="1"/>
  <c r="R114" i="5" s="1"/>
  <c r="AI114" i="5" s="1"/>
  <c r="AB47" i="21" s="1"/>
  <c r="U105" i="15"/>
  <c r="R105" i="5" s="1" a="1"/>
  <c r="R105" i="5" s="1"/>
  <c r="AI105" i="5" s="1"/>
  <c r="AB38" i="21" s="1"/>
  <c r="AP103" i="5"/>
  <c r="AH103" i="5" s="1"/>
  <c r="G41" i="11" s="1"/>
  <c r="Y36" i="21"/>
  <c r="J17" i="7" a="1"/>
  <c r="J17" i="7" s="1"/>
  <c r="U69" i="15"/>
  <c r="R69" i="5" s="1" a="1"/>
  <c r="R69" i="5" s="1"/>
  <c r="AI69" i="5" s="1"/>
  <c r="U103" i="15"/>
  <c r="R103" i="5" s="1" a="1"/>
  <c r="R103" i="5" s="1"/>
  <c r="AI103" i="5" s="1"/>
  <c r="AB36" i="21" s="1"/>
  <c r="J19" i="7" a="1"/>
  <c r="J19" i="7" s="1"/>
  <c r="I56" i="11"/>
  <c r="I53" i="11"/>
  <c r="I43" i="12"/>
  <c r="I38" i="12"/>
  <c r="I34" i="12"/>
  <c r="I52" i="11"/>
  <c r="I44" i="12"/>
  <c r="I54" i="11"/>
  <c r="I47" i="11"/>
  <c r="I36" i="11"/>
  <c r="I59" i="12"/>
  <c r="I46" i="11"/>
  <c r="AP114" i="5"/>
  <c r="AH114" i="5" s="1"/>
  <c r="D28" i="9" a="1"/>
  <c r="D28" i="9" s="1"/>
  <c r="Y47" i="21"/>
  <c r="AP94" i="5"/>
  <c r="AH94" i="5" s="1"/>
  <c r="J8" i="7" a="1"/>
  <c r="J8" i="7" s="1"/>
  <c r="D8" i="9" a="1"/>
  <c r="D8" i="9" s="1"/>
  <c r="L8" i="9" s="1"/>
  <c r="N8" i="9" s="1"/>
  <c r="M8" i="9" s="1" a="1"/>
  <c r="M8" i="9" s="1"/>
  <c r="Y27" i="21"/>
  <c r="J28" i="7" a="1"/>
  <c r="J28" i="7" s="1"/>
  <c r="J23" i="7" a="1"/>
  <c r="J23" i="7" s="1"/>
  <c r="M30" i="7" a="1"/>
  <c r="M30" i="7" s="1"/>
  <c r="AP113" i="5"/>
  <c r="AH113" i="5" s="1"/>
  <c r="G51" i="12" s="1"/>
  <c r="J27" i="7" a="1"/>
  <c r="J27" i="7" s="1"/>
  <c r="D27" i="9" a="1"/>
  <c r="D27" i="9" s="1"/>
  <c r="L27" i="9" s="1"/>
  <c r="N27" i="9" s="1"/>
  <c r="M27" i="9" s="1" a="1"/>
  <c r="M27" i="9" s="1"/>
  <c r="Y46" i="21"/>
  <c r="G42" i="11"/>
  <c r="AP108" i="5"/>
  <c r="AH108" i="5" s="1"/>
  <c r="D22" i="9" a="1"/>
  <c r="D22" i="9" s="1"/>
  <c r="L22" i="9" s="1"/>
  <c r="N22" i="9" s="1"/>
  <c r="M22" i="9" s="1" a="1"/>
  <c r="M22" i="9" s="1"/>
  <c r="Y41" i="21"/>
  <c r="AP97" i="5"/>
  <c r="AH97" i="5" s="1"/>
  <c r="Y30" i="21"/>
  <c r="D11" i="9" a="1"/>
  <c r="D11" i="9" s="1"/>
  <c r="AP93" i="5"/>
  <c r="Y26" i="21"/>
  <c r="AJ106" i="5"/>
  <c r="W39" i="21"/>
  <c r="AP102" i="5"/>
  <c r="AH102" i="5" s="1"/>
  <c r="Y35" i="21"/>
  <c r="AP96" i="5"/>
  <c r="AH96" i="5" s="1"/>
  <c r="J10" i="9" s="1" a="1"/>
  <c r="J10" i="9" s="1"/>
  <c r="Y29" i="21"/>
  <c r="J12" i="7" a="1"/>
  <c r="J12" i="7" s="1"/>
  <c r="G37" i="12"/>
  <c r="AP111" i="5"/>
  <c r="AH111" i="5" s="1"/>
  <c r="M25" i="7" s="1" a="1"/>
  <c r="M25" i="7" s="1"/>
  <c r="J25" i="7" a="1"/>
  <c r="J25" i="7" s="1"/>
  <c r="Y44" i="21"/>
  <c r="D25" i="9" a="1"/>
  <c r="D25" i="9" s="1"/>
  <c r="D12" i="9" a="1"/>
  <c r="D12" i="9" s="1"/>
  <c r="J16" i="7" a="1"/>
  <c r="J16" i="7" s="1"/>
  <c r="J31" i="7" a="1"/>
  <c r="J31" i="7" s="1"/>
  <c r="I52" i="12"/>
  <c r="U102" i="15"/>
  <c r="R102" i="5" s="1" a="1"/>
  <c r="R102" i="5" s="1"/>
  <c r="AI102" i="5" s="1"/>
  <c r="AB35" i="21" s="1"/>
  <c r="I53" i="12"/>
  <c r="U76" i="15"/>
  <c r="R76" i="5" s="1" a="1"/>
  <c r="R76" i="5" s="1"/>
  <c r="AI76" i="5" s="1"/>
  <c r="U92" i="15"/>
  <c r="R92" i="5" s="1" a="1"/>
  <c r="R92" i="5" s="1"/>
  <c r="AI92" i="5" s="1"/>
  <c r="AB25" i="21" s="1"/>
  <c r="I33" i="12"/>
  <c r="I57" i="12"/>
  <c r="I47" i="12"/>
  <c r="I36" i="12"/>
  <c r="I34" i="11"/>
  <c r="I43" i="11"/>
  <c r="D34" i="9" a="1"/>
  <c r="D34" i="9" s="1"/>
  <c r="L34" i="9" s="1"/>
  <c r="N34" i="9" s="1"/>
  <c r="M34" i="9" s="1" a="1"/>
  <c r="M34" i="9" s="1"/>
  <c r="I50" i="12"/>
  <c r="AR109" i="5"/>
  <c r="Z42" i="21"/>
  <c r="G23" i="9" a="1"/>
  <c r="G23" i="9" s="1"/>
  <c r="AR100" i="5"/>
  <c r="Z33" i="21"/>
  <c r="G14" i="9" a="1"/>
  <c r="G14" i="9" s="1"/>
  <c r="K14" i="7" a="1"/>
  <c r="K14" i="7" s="1"/>
  <c r="D26" i="12"/>
  <c r="C26" i="12" s="1"/>
  <c r="L21" i="9"/>
  <c r="N21" i="9" s="1"/>
  <c r="M21" i="9" s="1" a="1"/>
  <c r="M21" i="9" s="1"/>
  <c r="U39" i="15"/>
  <c r="R39" i="5" s="1" a="1"/>
  <c r="R39" i="5" s="1"/>
  <c r="AI39" i="5" s="1"/>
  <c r="U38" i="15"/>
  <c r="R38" i="5" s="1" a="1"/>
  <c r="R38" i="5" s="1"/>
  <c r="AI38" i="5" s="1"/>
  <c r="U108" i="15"/>
  <c r="R108" i="5" s="1" a="1"/>
  <c r="R108" i="5" s="1"/>
  <c r="AI108" i="5" s="1"/>
  <c r="AB41" i="21" s="1"/>
  <c r="U35" i="15"/>
  <c r="R35" i="5" s="1" a="1"/>
  <c r="R35" i="5" s="1"/>
  <c r="AI35" i="5" s="1"/>
  <c r="U59" i="15"/>
  <c r="R59" i="5" s="1" a="1"/>
  <c r="R59" i="5" s="1"/>
  <c r="AI59" i="5" s="1"/>
  <c r="U73" i="15"/>
  <c r="R73" i="5" s="1" a="1"/>
  <c r="R73" i="5" s="1"/>
  <c r="AI73" i="5" s="1"/>
  <c r="U121" i="15"/>
  <c r="R121" i="5" s="1" a="1"/>
  <c r="R121" i="5" s="1"/>
  <c r="AI121" i="5" s="1"/>
  <c r="AB54" i="21" s="1"/>
  <c r="U64" i="15"/>
  <c r="R64" i="5" s="1" a="1"/>
  <c r="R64" i="5" s="1"/>
  <c r="AI64" i="5" s="1"/>
  <c r="U71" i="15"/>
  <c r="R71" i="5" s="1" a="1"/>
  <c r="R71" i="5" s="1"/>
  <c r="AI71" i="5" s="1"/>
  <c r="D26" i="11"/>
  <c r="C26" i="11" s="1"/>
  <c r="U66" i="15"/>
  <c r="R66" i="5" s="1" a="1"/>
  <c r="R66" i="5" s="1"/>
  <c r="AI66" i="5" s="1"/>
  <c r="U52" i="15"/>
  <c r="R52" i="5" s="1" a="1"/>
  <c r="R52" i="5" s="1"/>
  <c r="AI52" i="5" s="1"/>
  <c r="U118" i="15"/>
  <c r="R118" i="5" s="1" a="1"/>
  <c r="R118" i="5" s="1"/>
  <c r="AI118" i="5" s="1"/>
  <c r="AB51" i="21" s="1"/>
  <c r="U62" i="15"/>
  <c r="R62" i="5" s="1" a="1"/>
  <c r="R62" i="5" s="1"/>
  <c r="AI62" i="5" s="1"/>
  <c r="U106" i="15"/>
  <c r="R106" i="5" s="1" a="1"/>
  <c r="R106" i="5" s="1"/>
  <c r="AI106" i="5" s="1"/>
  <c r="AB39" i="21" s="1"/>
  <c r="U93" i="15"/>
  <c r="R93" i="5" s="1" a="1"/>
  <c r="R93" i="5" s="1"/>
  <c r="AI93" i="5" s="1"/>
  <c r="AB26" i="21" s="1"/>
  <c r="U112" i="15"/>
  <c r="R112" i="5" s="1" a="1"/>
  <c r="R112" i="5" s="1"/>
  <c r="AI112" i="5" s="1"/>
  <c r="AB45" i="21" s="1"/>
  <c r="U119" i="15"/>
  <c r="R119" i="5" s="1" a="1"/>
  <c r="R119" i="5" s="1"/>
  <c r="AI119" i="5" s="1"/>
  <c r="AB52" i="21" s="1"/>
  <c r="AP33" i="5"/>
  <c r="AH33" i="5" s="1"/>
  <c r="AJ33" i="5" s="1"/>
  <c r="G107" i="8"/>
  <c r="AM107" i="8" s="1"/>
  <c r="D24" i="12"/>
  <c r="C24" i="12" s="1"/>
  <c r="U56" i="15"/>
  <c r="R56" i="5" s="1" a="1"/>
  <c r="R56" i="5" s="1"/>
  <c r="AI56" i="5" s="1"/>
  <c r="U37" i="15"/>
  <c r="R37" i="5" s="1" a="1"/>
  <c r="R37" i="5" s="1"/>
  <c r="AI37" i="5" s="1"/>
  <c r="V56" i="10"/>
  <c r="G108" i="8"/>
  <c r="AM108" i="8" s="1"/>
  <c r="G106" i="8"/>
  <c r="AM106" i="8" s="1"/>
  <c r="U40" i="15"/>
  <c r="R40" i="5" s="1" a="1"/>
  <c r="R40" i="5" s="1"/>
  <c r="AI40" i="5" s="1"/>
  <c r="V54" i="10"/>
  <c r="U101" i="15"/>
  <c r="R101" i="5" s="1" a="1"/>
  <c r="R101" i="5" s="1"/>
  <c r="AI101" i="5" s="1"/>
  <c r="AB34" i="21" s="1"/>
  <c r="U90" i="15"/>
  <c r="R90" i="5" s="1" a="1"/>
  <c r="R90" i="5" s="1"/>
  <c r="AI90" i="5" s="1"/>
  <c r="U86" i="15"/>
  <c r="R86" i="5" s="1" a="1"/>
  <c r="R86" i="5" s="1"/>
  <c r="AI86" i="5" s="1"/>
  <c r="AJ46" i="5"/>
  <c r="V55" i="10"/>
  <c r="U113" i="15"/>
  <c r="R113" i="5" s="1" a="1"/>
  <c r="R113" i="5" s="1"/>
  <c r="AI113" i="5" s="1"/>
  <c r="AB46" i="21" s="1"/>
  <c r="AH75" i="5"/>
  <c r="AJ75" i="5" s="1"/>
  <c r="U55" i="15"/>
  <c r="R55" i="5" s="1" a="1"/>
  <c r="R55" i="5" s="1"/>
  <c r="AI55" i="5" s="1"/>
  <c r="U49" i="15"/>
  <c r="R49" i="5" s="1" a="1"/>
  <c r="R49" i="5" s="1"/>
  <c r="AI49" i="5" s="1"/>
  <c r="U51" i="15"/>
  <c r="R51" i="5" s="1" a="1"/>
  <c r="R51" i="5" s="1"/>
  <c r="AI51" i="5" s="1"/>
  <c r="U41" i="15"/>
  <c r="R41" i="5" s="1" a="1"/>
  <c r="R41" i="5" s="1"/>
  <c r="AI41" i="5" s="1"/>
  <c r="U36" i="15"/>
  <c r="R36" i="5" s="1" a="1"/>
  <c r="R36" i="5" s="1"/>
  <c r="AI36" i="5" s="1"/>
  <c r="U98" i="15"/>
  <c r="R98" i="5" s="1" a="1"/>
  <c r="R98" i="5" s="1"/>
  <c r="AI98" i="5" s="1"/>
  <c r="AB31" i="21" s="1"/>
  <c r="U82" i="15"/>
  <c r="R82" i="5" s="1" a="1"/>
  <c r="R82" i="5" s="1"/>
  <c r="AI82" i="5" s="1"/>
  <c r="U117" i="15"/>
  <c r="R117" i="5" s="1" a="1"/>
  <c r="R117" i="5" s="1"/>
  <c r="AI117" i="5" s="1"/>
  <c r="AB50" i="21" s="1"/>
  <c r="U70" i="15"/>
  <c r="R70" i="5" s="1" a="1"/>
  <c r="R70" i="5" s="1"/>
  <c r="AI70" i="5" s="1"/>
  <c r="U74" i="15"/>
  <c r="R74" i="5" s="1" a="1"/>
  <c r="R74" i="5" s="1"/>
  <c r="AI74" i="5" s="1"/>
  <c r="U109" i="15"/>
  <c r="R109" i="5" s="1" a="1"/>
  <c r="R109" i="5" s="1"/>
  <c r="AI109" i="5" s="1"/>
  <c r="AB42" i="21" s="1"/>
  <c r="U23" i="15"/>
  <c r="R23" i="5" s="1" a="1"/>
  <c r="R23" i="5" s="1"/>
  <c r="O25" i="7" s="1" a="1"/>
  <c r="O25" i="7" s="1"/>
  <c r="U7" i="15"/>
  <c r="R7" i="5" s="1" a="1"/>
  <c r="R7" i="5" s="1"/>
  <c r="AI7" i="5" s="1"/>
  <c r="U58" i="15"/>
  <c r="R58" i="5" s="1" a="1"/>
  <c r="R58" i="5" s="1"/>
  <c r="AI58" i="5" s="1"/>
  <c r="U48" i="15"/>
  <c r="R48" i="5" s="1" a="1"/>
  <c r="R48" i="5" s="1"/>
  <c r="AI48" i="5" s="1"/>
  <c r="U43" i="15"/>
  <c r="R43" i="5" s="1" a="1"/>
  <c r="R43" i="5" s="1"/>
  <c r="AI43" i="5" s="1"/>
  <c r="U33" i="15"/>
  <c r="R33" i="5" s="1" a="1"/>
  <c r="R33" i="5" s="1"/>
  <c r="O35" i="7" s="1" a="1"/>
  <c r="O35" i="7" s="1"/>
  <c r="U42" i="15"/>
  <c r="R42" i="5" s="1" a="1"/>
  <c r="R42" i="5" s="1"/>
  <c r="AI42" i="5" s="1"/>
  <c r="U34" i="15"/>
  <c r="R34" i="5" s="1" a="1"/>
  <c r="R34" i="5" s="1"/>
  <c r="AI34" i="5" s="1"/>
  <c r="U44" i="15"/>
  <c r="R44" i="5" s="1" a="1"/>
  <c r="R44" i="5" s="1"/>
  <c r="AI44" i="5" s="1"/>
  <c r="U57" i="15"/>
  <c r="R57" i="5" s="1" a="1"/>
  <c r="R57" i="5" s="1"/>
  <c r="AI57" i="5" s="1"/>
  <c r="AI23" i="5"/>
  <c r="AI17" i="5"/>
  <c r="AI6" i="5"/>
  <c r="T38" i="12"/>
  <c r="S38" i="12" s="1"/>
  <c r="M13" i="7" a="1"/>
  <c r="M13" i="7" s="1"/>
  <c r="G37" i="11"/>
  <c r="G42" i="12"/>
  <c r="M10" i="7" a="1"/>
  <c r="M10" i="7" s="1"/>
  <c r="G59" i="12"/>
  <c r="G59" i="11"/>
  <c r="J35" i="9" a="1"/>
  <c r="J35" i="9" s="1"/>
  <c r="M35" i="7" a="1"/>
  <c r="M35" i="7" s="1"/>
  <c r="AJ32" i="5"/>
  <c r="G58" i="12"/>
  <c r="AJ31" i="5"/>
  <c r="G57" i="12"/>
  <c r="AJ30" i="5"/>
  <c r="G56" i="11"/>
  <c r="AJ29" i="5"/>
  <c r="J31" i="9" a="1"/>
  <c r="J31" i="9" s="1"/>
  <c r="G55" i="11"/>
  <c r="G55" i="12"/>
  <c r="M31" i="7" a="1"/>
  <c r="M31" i="7" s="1"/>
  <c r="AJ28" i="5"/>
  <c r="G54" i="11"/>
  <c r="AJ27" i="5"/>
  <c r="G53" i="11"/>
  <c r="AJ26" i="5"/>
  <c r="AJ25" i="5"/>
  <c r="J27" i="9" a="1"/>
  <c r="J27" i="9" s="1"/>
  <c r="AJ24" i="5"/>
  <c r="G50" i="11"/>
  <c r="AJ23" i="5"/>
  <c r="AJ22" i="5"/>
  <c r="J24" i="9" a="1"/>
  <c r="J24" i="9" s="1"/>
  <c r="AJ21" i="5"/>
  <c r="AJ20" i="5"/>
  <c r="M22" i="7" a="1"/>
  <c r="M22" i="7" s="1"/>
  <c r="J22" i="9" a="1"/>
  <c r="J22" i="9" s="1"/>
  <c r="G46" i="12"/>
  <c r="G46" i="11"/>
  <c r="AJ19" i="5"/>
  <c r="G45" i="12"/>
  <c r="G44" i="12"/>
  <c r="J20" i="9" a="1"/>
  <c r="J20" i="9" s="1"/>
  <c r="M20" i="7" a="1"/>
  <c r="M20" i="7" s="1"/>
  <c r="G44" i="11"/>
  <c r="C22" i="10" a="1"/>
  <c r="C22" i="10" s="1"/>
  <c r="AJ17" i="5"/>
  <c r="G43" i="12"/>
  <c r="U15" i="15"/>
  <c r="R15" i="5" s="1" a="1"/>
  <c r="R15" i="5" s="1"/>
  <c r="AJ16" i="5"/>
  <c r="J18" i="9" a="1"/>
  <c r="J18" i="9" s="1"/>
  <c r="M18" i="7" a="1"/>
  <c r="M18" i="7" s="1"/>
  <c r="AJ15" i="5"/>
  <c r="AJ14" i="5"/>
  <c r="AJ13" i="5"/>
  <c r="M15" i="7" a="1"/>
  <c r="M15" i="7" s="1"/>
  <c r="AJ12" i="5"/>
  <c r="AJ11" i="5"/>
  <c r="J13" i="9" a="1"/>
  <c r="J13" i="9" s="1"/>
  <c r="AJ10" i="5"/>
  <c r="M12" i="7" a="1"/>
  <c r="M12" i="7" s="1"/>
  <c r="G36" i="11"/>
  <c r="G36" i="12"/>
  <c r="J12" i="9" a="1"/>
  <c r="J12" i="9" s="1"/>
  <c r="U8" i="15"/>
  <c r="R8" i="5" s="1" a="1"/>
  <c r="R8" i="5" s="1"/>
  <c r="U25" i="15"/>
  <c r="R25" i="5" s="1" a="1"/>
  <c r="R25" i="5" s="1"/>
  <c r="U13" i="15"/>
  <c r="R13" i="5" s="1" a="1"/>
  <c r="R13" i="5" s="1"/>
  <c r="U32" i="15"/>
  <c r="R32" i="5" s="1" a="1"/>
  <c r="R32" i="5" s="1"/>
  <c r="AJ8" i="5"/>
  <c r="G34" i="11"/>
  <c r="U18" i="15"/>
  <c r="R18" i="5" s="1" a="1"/>
  <c r="R18" i="5" s="1"/>
  <c r="U28" i="15"/>
  <c r="R28" i="5" s="1" a="1"/>
  <c r="R28" i="5" s="1"/>
  <c r="U9" i="15"/>
  <c r="R9" i="5" s="1" a="1"/>
  <c r="R9" i="5" s="1"/>
  <c r="AJ6" i="5"/>
  <c r="U22" i="15"/>
  <c r="R22" i="5" s="1" a="1"/>
  <c r="R22" i="5" s="1"/>
  <c r="U20" i="15"/>
  <c r="R20" i="5" s="1" a="1"/>
  <c r="R20" i="5" s="1"/>
  <c r="U19" i="15"/>
  <c r="R19" i="5" s="1" a="1"/>
  <c r="R19" i="5" s="1"/>
  <c r="U21" i="15"/>
  <c r="R21" i="5" s="1" a="1"/>
  <c r="R21" i="5" s="1"/>
  <c r="U26" i="15"/>
  <c r="R26" i="5" s="1" a="1"/>
  <c r="R26" i="5" s="1"/>
  <c r="U4" i="15"/>
  <c r="R4" i="5" s="1" a="1"/>
  <c r="R4" i="5" s="1"/>
  <c r="AJ4" i="5"/>
  <c r="G30" i="12"/>
  <c r="M6" i="7" a="1"/>
  <c r="M6" i="7" s="1"/>
  <c r="U12" i="15"/>
  <c r="R12" i="5" s="1" a="1"/>
  <c r="R12" i="5" s="1"/>
  <c r="U29" i="15"/>
  <c r="R29" i="5" s="1" a="1"/>
  <c r="R29" i="5" s="1"/>
  <c r="G30" i="11"/>
  <c r="L19" i="9"/>
  <c r="N19" i="9" s="1"/>
  <c r="M19" i="9" s="1" a="1"/>
  <c r="M19" i="9" s="1"/>
  <c r="L20" i="9"/>
  <c r="N20" i="9" s="1"/>
  <c r="M20" i="9" s="1" a="1"/>
  <c r="M20" i="9" s="1"/>
  <c r="T31" i="12"/>
  <c r="S31" i="12" s="1"/>
  <c r="T36" i="12"/>
  <c r="S36" i="12" s="1"/>
  <c r="T37" i="12"/>
  <c r="S37" i="12" s="1"/>
  <c r="T32" i="12"/>
  <c r="S32" i="12" s="1"/>
  <c r="T33" i="12"/>
  <c r="S33" i="12" s="1"/>
  <c r="D23" i="11"/>
  <c r="C23" i="11" s="1"/>
  <c r="L12" i="9"/>
  <c r="N12" i="9" s="1"/>
  <c r="M12" i="9" s="1" a="1"/>
  <c r="M12" i="9" s="1"/>
  <c r="L16" i="9"/>
  <c r="N16" i="9" s="1"/>
  <c r="M16" i="9" s="1" a="1"/>
  <c r="M16" i="9" s="1"/>
  <c r="U30" i="15"/>
  <c r="R30" i="5" s="1" a="1"/>
  <c r="R30" i="5" s="1"/>
  <c r="U16" i="15"/>
  <c r="R16" i="5" s="1" a="1"/>
  <c r="R16" i="5" s="1"/>
  <c r="U11" i="15"/>
  <c r="R11" i="5" s="1" a="1"/>
  <c r="R11" i="5" s="1"/>
  <c r="U14" i="15"/>
  <c r="R14" i="5" s="1" a="1"/>
  <c r="R14" i="5" s="1"/>
  <c r="U31" i="15"/>
  <c r="R31" i="5" s="1" a="1"/>
  <c r="R31" i="5" s="1"/>
  <c r="U10" i="15"/>
  <c r="R10" i="5" s="1" a="1"/>
  <c r="R10" i="5" s="1"/>
  <c r="T30" i="12"/>
  <c r="S30" i="12" s="1"/>
  <c r="D24" i="11"/>
  <c r="C24" i="11" s="1"/>
  <c r="U5" i="15"/>
  <c r="R5" i="5" s="1" a="1"/>
  <c r="R5" i="5" s="1"/>
  <c r="AI5" i="5" s="1"/>
  <c r="U24" i="15"/>
  <c r="R24" i="5" s="1" a="1"/>
  <c r="R24" i="5" s="1"/>
  <c r="D22" i="11"/>
  <c r="C22" i="11" s="1"/>
  <c r="D21" i="11"/>
  <c r="C21" i="11" s="1"/>
  <c r="D22" i="12"/>
  <c r="C22" i="12" s="1"/>
  <c r="D21" i="12"/>
  <c r="C21" i="12" s="1"/>
  <c r="U27" i="15"/>
  <c r="R27" i="5" s="1" a="1"/>
  <c r="R27" i="5" s="1"/>
  <c r="T39" i="12"/>
  <c r="S39" i="12" s="1"/>
  <c r="T34" i="12"/>
  <c r="S34" i="12" s="1"/>
  <c r="AP5" i="5"/>
  <c r="AH5" i="5" s="1"/>
  <c r="G109" i="8"/>
  <c r="D23" i="12"/>
  <c r="C23" i="12" s="1"/>
  <c r="AJ18" i="5"/>
  <c r="C24" i="10" s="1" a="1"/>
  <c r="C24" i="10" s="1"/>
  <c r="V57" i="10"/>
  <c r="AH9" i="5"/>
  <c r="T35" i="12"/>
  <c r="S35" i="12" s="1"/>
  <c r="D20" i="10"/>
  <c r="D18" i="10"/>
  <c r="D15" i="10"/>
  <c r="D13" i="10"/>
  <c r="D19" i="10"/>
  <c r="D9" i="10"/>
  <c r="D21" i="10"/>
  <c r="D12" i="10"/>
  <c r="D10" i="10"/>
  <c r="D11" i="10"/>
  <c r="D17" i="10"/>
  <c r="D16" i="10"/>
  <c r="D14" i="10"/>
  <c r="O9" i="7" a="1"/>
  <c r="O9" i="7" s="1"/>
  <c r="AD28" i="21" l="1"/>
  <c r="AE28" i="21" s="1"/>
  <c r="AG51" i="21"/>
  <c r="AG33" i="21"/>
  <c r="AG46" i="21"/>
  <c r="AG31" i="21"/>
  <c r="AG35" i="21"/>
  <c r="AG34" i="21"/>
  <c r="AG42" i="21"/>
  <c r="AG29" i="21"/>
  <c r="AG27" i="21"/>
  <c r="AF44" i="21"/>
  <c r="AL44" i="21" s="1"/>
  <c r="AF37" i="21"/>
  <c r="AL37" i="21" s="1"/>
  <c r="AF53" i="21"/>
  <c r="AL53" i="21" s="1"/>
  <c r="AG53" i="21"/>
  <c r="AF25" i="21"/>
  <c r="AL25" i="21" s="1"/>
  <c r="AF38" i="21"/>
  <c r="AL38" i="21" s="1"/>
  <c r="AF41" i="21"/>
  <c r="AL41" i="21" s="1"/>
  <c r="AF45" i="21"/>
  <c r="AL45" i="21" s="1"/>
  <c r="AG30" i="21"/>
  <c r="AF47" i="21"/>
  <c r="AL47" i="21" s="1"/>
  <c r="AG41" i="21"/>
  <c r="AF42" i="21"/>
  <c r="AL42" i="21" s="1"/>
  <c r="AG48" i="21"/>
  <c r="AF32" i="21"/>
  <c r="AL32" i="21" s="1"/>
  <c r="AF30" i="21"/>
  <c r="AL30" i="21" s="1"/>
  <c r="AF31" i="21"/>
  <c r="AL31" i="21" s="1"/>
  <c r="AF29" i="21"/>
  <c r="AL29" i="21" s="1"/>
  <c r="AF26" i="21"/>
  <c r="AL39" i="21"/>
  <c r="AG39" i="21"/>
  <c r="G52" i="12"/>
  <c r="J28" i="9" a="1"/>
  <c r="J28" i="9" s="1"/>
  <c r="D25" i="12" a="1"/>
  <c r="D25" i="12" s="1"/>
  <c r="C25" i="12" s="1" a="1"/>
  <c r="C25" i="12" s="1"/>
  <c r="G41" i="12"/>
  <c r="G49" i="12"/>
  <c r="J30" i="9" a="1"/>
  <c r="J30" i="9" s="1"/>
  <c r="G58" i="11"/>
  <c r="G34" i="12"/>
  <c r="M34" i="7" a="1"/>
  <c r="M34" i="7" s="1"/>
  <c r="D25" i="11" a="1"/>
  <c r="D25" i="11" s="1"/>
  <c r="C25" i="11" s="1" a="1"/>
  <c r="C25" i="11" s="1"/>
  <c r="AI33" i="5"/>
  <c r="G39" i="12"/>
  <c r="O19" i="7" a="1"/>
  <c r="O19" i="7" s="1"/>
  <c r="AJ94" i="5"/>
  <c r="N8" i="7" s="1" a="1"/>
  <c r="N8" i="7" s="1"/>
  <c r="W27" i="21"/>
  <c r="M8" i="7" a="1"/>
  <c r="M8" i="7" s="1"/>
  <c r="J8" i="9" a="1"/>
  <c r="J8" i="9" s="1"/>
  <c r="G32" i="12"/>
  <c r="G32" i="11"/>
  <c r="AJ102" i="5"/>
  <c r="W35" i="21"/>
  <c r="M16" i="7" a="1"/>
  <c r="M16" i="7" s="1"/>
  <c r="AH93" i="5"/>
  <c r="B38" i="19"/>
  <c r="D38" i="19" s="1"/>
  <c r="D43" i="19" s="1"/>
  <c r="G51" i="11"/>
  <c r="AJ119" i="5"/>
  <c r="W52" i="21"/>
  <c r="AJ118" i="5"/>
  <c r="W51" i="21"/>
  <c r="AJ111" i="5"/>
  <c r="N25" i="7" s="1" a="1"/>
  <c r="N25" i="7" s="1"/>
  <c r="W44" i="21"/>
  <c r="U53" i="10"/>
  <c r="K105" i="8"/>
  <c r="M24" i="7" a="1"/>
  <c r="M24" i="7" s="1"/>
  <c r="G49" i="11"/>
  <c r="J32" i="9" a="1"/>
  <c r="J32" i="9" s="1"/>
  <c r="G57" i="11"/>
  <c r="AJ97" i="5"/>
  <c r="W30" i="21"/>
  <c r="AJ95" i="5"/>
  <c r="N9" i="7" s="1" a="1"/>
  <c r="N9" i="7" s="1"/>
  <c r="W28" i="21"/>
  <c r="G33" i="12"/>
  <c r="G33" i="11"/>
  <c r="M9" i="7" a="1"/>
  <c r="M9" i="7" s="1"/>
  <c r="J9" i="9" a="1"/>
  <c r="J9" i="9" s="1"/>
  <c r="AJ120" i="5"/>
  <c r="W53" i="21"/>
  <c r="J16" i="9" a="1"/>
  <c r="J16" i="9" s="1"/>
  <c r="G43" i="11"/>
  <c r="AJ121" i="5"/>
  <c r="W54" i="21"/>
  <c r="AJ116" i="5"/>
  <c r="W49" i="21"/>
  <c r="AJ114" i="5"/>
  <c r="W47" i="21"/>
  <c r="AJ113" i="5"/>
  <c r="W46" i="21"/>
  <c r="AJ115" i="5"/>
  <c r="W48" i="21"/>
  <c r="AJ107" i="5"/>
  <c r="W40" i="21"/>
  <c r="AJ105" i="5"/>
  <c r="W38" i="21"/>
  <c r="G40" i="12"/>
  <c r="M21" i="7" a="1"/>
  <c r="M21" i="7" s="1"/>
  <c r="M32" i="7" a="1"/>
  <c r="M32" i="7" s="1"/>
  <c r="J33" i="9" a="1"/>
  <c r="J33" i="9" s="1"/>
  <c r="AJ98" i="5"/>
  <c r="W31" i="21"/>
  <c r="N35" i="7" a="1"/>
  <c r="N35" i="7" s="1"/>
  <c r="AJ112" i="5"/>
  <c r="W45" i="21"/>
  <c r="AJ110" i="5"/>
  <c r="W43" i="21"/>
  <c r="M19" i="7" a="1"/>
  <c r="M19" i="7" s="1"/>
  <c r="M26" i="7" a="1"/>
  <c r="M26" i="7" s="1"/>
  <c r="G52" i="11"/>
  <c r="M29" i="7" a="1"/>
  <c r="M29" i="7" s="1"/>
  <c r="AM39" i="21"/>
  <c r="AN39" i="21"/>
  <c r="AJ103" i="5"/>
  <c r="W36" i="21"/>
  <c r="M17" i="7" a="1"/>
  <c r="M17" i="7" s="1"/>
  <c r="J17" i="9" a="1"/>
  <c r="J17" i="9" s="1"/>
  <c r="AH100" i="5"/>
  <c r="G45" i="11"/>
  <c r="AJ101" i="5"/>
  <c r="W34" i="21"/>
  <c r="J15" i="9" a="1"/>
  <c r="J15" i="9" s="1"/>
  <c r="G40" i="11"/>
  <c r="J21" i="9" a="1"/>
  <c r="J21" i="9" s="1"/>
  <c r="G48" i="12"/>
  <c r="J25" i="9" a="1"/>
  <c r="J25" i="9" s="1"/>
  <c r="G50" i="12"/>
  <c r="M27" i="7" a="1"/>
  <c r="M27" i="7" s="1"/>
  <c r="M28" i="7" a="1"/>
  <c r="M28" i="7" s="1"/>
  <c r="J29" i="9" a="1"/>
  <c r="J29" i="9" s="1"/>
  <c r="G56" i="12"/>
  <c r="M33" i="7" a="1"/>
  <c r="M33" i="7" s="1"/>
  <c r="AJ96" i="5"/>
  <c r="W29" i="21"/>
  <c r="AJ108" i="5"/>
  <c r="W41" i="21"/>
  <c r="AJ117" i="5"/>
  <c r="W50" i="21"/>
  <c r="AJ92" i="5"/>
  <c r="W25" i="21"/>
  <c r="J6" i="9" a="1"/>
  <c r="J6" i="9" s="1"/>
  <c r="AJ99" i="5"/>
  <c r="W32" i="21"/>
  <c r="AJ104" i="5"/>
  <c r="W37" i="21"/>
  <c r="AH109" i="5"/>
  <c r="AJ86" i="13"/>
  <c r="U55" i="10"/>
  <c r="K107" i="8"/>
  <c r="AJ88" i="13"/>
  <c r="K106" i="8"/>
  <c r="U54" i="10"/>
  <c r="AJ87" i="13"/>
  <c r="O29" i="7" a="1"/>
  <c r="O29" i="7" s="1"/>
  <c r="AI27" i="5"/>
  <c r="O13" i="7" a="1"/>
  <c r="O13" i="7" s="1"/>
  <c r="AI11" i="5"/>
  <c r="O6" i="7" a="1"/>
  <c r="O6" i="7" s="1"/>
  <c r="AI4" i="5"/>
  <c r="O22" i="7" a="1"/>
  <c r="O22" i="7" s="1"/>
  <c r="AI20" i="5"/>
  <c r="O30" i="7" a="1"/>
  <c r="O30" i="7" s="1"/>
  <c r="AI28" i="5"/>
  <c r="O34" i="7" a="1"/>
  <c r="O34" i="7" s="1"/>
  <c r="N34" i="7" s="1" a="1"/>
  <c r="N34" i="7" s="1"/>
  <c r="AI32" i="5"/>
  <c r="O17" i="7" a="1"/>
  <c r="O17" i="7" s="1"/>
  <c r="AI15" i="5"/>
  <c r="K108" i="8"/>
  <c r="U56" i="10"/>
  <c r="O26" i="7" a="1"/>
  <c r="O26" i="7" s="1"/>
  <c r="AI24" i="5"/>
  <c r="O12" i="7" a="1"/>
  <c r="O12" i="7" s="1"/>
  <c r="N12" i="7" s="1" a="1"/>
  <c r="N12" i="7" s="1"/>
  <c r="AI10" i="5"/>
  <c r="O18" i="7" a="1"/>
  <c r="O18" i="7" s="1"/>
  <c r="AI16" i="5"/>
  <c r="O28" i="7" a="1"/>
  <c r="O28" i="7" s="1"/>
  <c r="AI26" i="5"/>
  <c r="O24" i="7" a="1"/>
  <c r="O24" i="7" s="1"/>
  <c r="AI22" i="5"/>
  <c r="C23" i="10" a="1"/>
  <c r="C23" i="10" s="1"/>
  <c r="AI18" i="5"/>
  <c r="O15" i="7" a="1"/>
  <c r="O15" i="7" s="1"/>
  <c r="AI13" i="5"/>
  <c r="O23" i="7" a="1"/>
  <c r="O23" i="7" s="1"/>
  <c r="AI21" i="5"/>
  <c r="O27" i="7" a="1"/>
  <c r="O27" i="7" s="1"/>
  <c r="AI25" i="5"/>
  <c r="O33" i="7" a="1"/>
  <c r="O33" i="7" s="1"/>
  <c r="N33" i="7" s="1" a="1"/>
  <c r="N33" i="7" s="1"/>
  <c r="AI31" i="5"/>
  <c r="O32" i="7" a="1"/>
  <c r="O32" i="7" s="1"/>
  <c r="AI30" i="5"/>
  <c r="O31" i="7" a="1"/>
  <c r="O31" i="7" s="1"/>
  <c r="AI29" i="5"/>
  <c r="O16" i="7" a="1"/>
  <c r="O16" i="7" s="1"/>
  <c r="AI14" i="5"/>
  <c r="O14" i="7" a="1"/>
  <c r="O14" i="7" s="1"/>
  <c r="AI12" i="5"/>
  <c r="O21" i="7" a="1"/>
  <c r="O21" i="7" s="1"/>
  <c r="AI19" i="5"/>
  <c r="O11" i="7" a="1"/>
  <c r="O11" i="7" s="1"/>
  <c r="AI9" i="5"/>
  <c r="O10" i="7" a="1"/>
  <c r="O10" i="7" s="1"/>
  <c r="AI8" i="5"/>
  <c r="N6" i="7" a="1"/>
  <c r="N6" i="7" s="1"/>
  <c r="AJ9" i="5"/>
  <c r="G35" i="12"/>
  <c r="J11" i="9" a="1"/>
  <c r="J11" i="9" s="1"/>
  <c r="M11" i="7" a="1"/>
  <c r="M11" i="7" s="1"/>
  <c r="G35" i="11"/>
  <c r="O20" i="7" a="1"/>
  <c r="O20" i="7" s="1"/>
  <c r="N20" i="7" s="1" a="1"/>
  <c r="N20" i="7" s="1"/>
  <c r="AJ90" i="13"/>
  <c r="J7" i="9" a="1"/>
  <c r="J7" i="9" s="1"/>
  <c r="M7" i="7" a="1"/>
  <c r="M7" i="7" s="1"/>
  <c r="B22" i="10" a="1"/>
  <c r="B22" i="10" s="1"/>
  <c r="D22" i="10" s="1"/>
  <c r="G31" i="12"/>
  <c r="G31" i="11"/>
  <c r="D27" i="6" a="1"/>
  <c r="D27" i="6" s="1"/>
  <c r="C27" i="6" s="1" a="1"/>
  <c r="C27" i="6" s="1"/>
  <c r="D28" i="6" a="1"/>
  <c r="D28" i="6" s="1"/>
  <c r="C28" i="6" s="1" a="1"/>
  <c r="C28" i="6" s="1"/>
  <c r="D45" i="19"/>
  <c r="O7" i="7" a="1"/>
  <c r="O7" i="7" s="1"/>
  <c r="C19" i="6"/>
  <c r="E2" i="15"/>
  <c r="B23" i="10" a="1"/>
  <c r="B23" i="10" s="1"/>
  <c r="G2" i="15"/>
  <c r="I2" i="15"/>
  <c r="F6" i="8"/>
  <c r="AM109" i="8"/>
  <c r="K2" i="15"/>
  <c r="AJ5" i="5"/>
  <c r="U57" i="10"/>
  <c r="K109" i="8"/>
  <c r="AF28" i="21" l="1"/>
  <c r="AI39" i="21"/>
  <c r="AG47" i="21"/>
  <c r="AG45" i="21"/>
  <c r="AG44" i="21"/>
  <c r="AG37" i="21"/>
  <c r="AG38" i="21"/>
  <c r="AG25" i="21"/>
  <c r="AL26" i="21"/>
  <c r="AG26" i="21"/>
  <c r="AF36" i="21"/>
  <c r="AL36" i="21" s="1"/>
  <c r="N22" i="7" a="1"/>
  <c r="N22" i="7" s="1"/>
  <c r="N19" i="7" a="1"/>
  <c r="N19" i="7" s="1"/>
  <c r="N21" i="7" a="1"/>
  <c r="N21" i="7" s="1"/>
  <c r="N27" i="7" a="1"/>
  <c r="N27" i="7" s="1"/>
  <c r="N15" i="7" a="1"/>
  <c r="N15" i="7" s="1"/>
  <c r="N18" i="7" a="1"/>
  <c r="N18" i="7" s="1"/>
  <c r="N26" i="7" a="1"/>
  <c r="N26" i="7" s="1"/>
  <c r="N30" i="7" a="1"/>
  <c r="N30" i="7" s="1"/>
  <c r="N13" i="7" a="1"/>
  <c r="N13" i="7" s="1"/>
  <c r="C15" i="12"/>
  <c r="A72" i="12" s="1"/>
  <c r="N17" i="7" a="1"/>
  <c r="N17" i="7" s="1"/>
  <c r="AJ89" i="13"/>
  <c r="N31" i="7" a="1"/>
  <c r="N31" i="7" s="1"/>
  <c r="N23" i="7" a="1"/>
  <c r="N23" i="7" s="1"/>
  <c r="N28" i="7" a="1"/>
  <c r="N28" i="7" s="1"/>
  <c r="AJ109" i="5"/>
  <c r="W42" i="21"/>
  <c r="J23" i="9" a="1"/>
  <c r="J23" i="9" s="1"/>
  <c r="M23" i="7" a="1"/>
  <c r="M23" i="7" s="1"/>
  <c r="G47" i="12"/>
  <c r="G47" i="11"/>
  <c r="AM50" i="21"/>
  <c r="AI50" i="21" s="1"/>
  <c r="AH50" i="21" s="1" a="1"/>
  <c r="AH50" i="21" s="1"/>
  <c r="AK50" i="21" s="1"/>
  <c r="AN50" i="21"/>
  <c r="AM29" i="21"/>
  <c r="AI29" i="21" s="1"/>
  <c r="AH29" i="21" s="1" a="1"/>
  <c r="AH29" i="21" s="1"/>
  <c r="AK29" i="21" s="1"/>
  <c r="AN29" i="21"/>
  <c r="AM36" i="21"/>
  <c r="AN36" i="21"/>
  <c r="AM43" i="21"/>
  <c r="AI43" i="21" s="1"/>
  <c r="AH43" i="21" s="1" a="1"/>
  <c r="AH43" i="21" s="1"/>
  <c r="AK43" i="21" s="1"/>
  <c r="AN43" i="21"/>
  <c r="AM38" i="21"/>
  <c r="AI38" i="21" s="1"/>
  <c r="AN38" i="21"/>
  <c r="AM48" i="21"/>
  <c r="AI48" i="21" s="1"/>
  <c r="AN48" i="21"/>
  <c r="AM47" i="21"/>
  <c r="AI47" i="21" s="1"/>
  <c r="AN47" i="21"/>
  <c r="AM51" i="21"/>
  <c r="AI51" i="21" s="1"/>
  <c r="AN51" i="21"/>
  <c r="AM35" i="21"/>
  <c r="AI35" i="21" s="1"/>
  <c r="AN35" i="21"/>
  <c r="AM54" i="21"/>
  <c r="AI54" i="21" s="1"/>
  <c r="AH54" i="21" s="1" a="1"/>
  <c r="AH54" i="21" s="1"/>
  <c r="AK54" i="21" s="1"/>
  <c r="AN54" i="21"/>
  <c r="AM53" i="21"/>
  <c r="AI53" i="21" s="1"/>
  <c r="AH53" i="21" s="1" a="1"/>
  <c r="AH53" i="21" s="1"/>
  <c r="AK53" i="21" s="1"/>
  <c r="AN53" i="21"/>
  <c r="AM30" i="21"/>
  <c r="AI30" i="21" s="1"/>
  <c r="AH30" i="21" s="1" a="1"/>
  <c r="AH30" i="21" s="1"/>
  <c r="AK30" i="21" s="1"/>
  <c r="AN30" i="21"/>
  <c r="D23" i="10"/>
  <c r="N10" i="7" a="1"/>
  <c r="N10" i="7" s="1"/>
  <c r="N16" i="7" a="1"/>
  <c r="N16" i="7" s="1"/>
  <c r="N32" i="7" a="1"/>
  <c r="N32" i="7" s="1"/>
  <c r="N24" i="7" a="1"/>
  <c r="N24" i="7" s="1"/>
  <c r="N29" i="7" a="1"/>
  <c r="N29" i="7" s="1"/>
  <c r="AM25" i="21"/>
  <c r="AI25" i="21" s="1"/>
  <c r="AN25" i="21"/>
  <c r="AM41" i="21"/>
  <c r="AI41" i="21" s="1"/>
  <c r="AH41" i="21" s="1" a="1"/>
  <c r="AH41" i="21" s="1"/>
  <c r="AK41" i="21" s="1"/>
  <c r="AN41" i="21"/>
  <c r="AM34" i="21"/>
  <c r="AI34" i="21" s="1"/>
  <c r="AN34" i="21"/>
  <c r="AM45" i="21"/>
  <c r="AI45" i="21" s="1"/>
  <c r="AN45" i="21"/>
  <c r="AM31" i="21"/>
  <c r="AI31" i="21" s="1"/>
  <c r="AH31" i="21" s="1" a="1"/>
  <c r="AH31" i="21" s="1"/>
  <c r="AK31" i="21" s="1"/>
  <c r="AN31" i="21"/>
  <c r="AM40" i="21"/>
  <c r="AI40" i="21" s="1"/>
  <c r="AH40" i="21" s="1" a="1"/>
  <c r="AH40" i="21" s="1"/>
  <c r="AK40" i="21" s="1"/>
  <c r="AN40" i="21"/>
  <c r="AM46" i="21"/>
  <c r="AI46" i="21" s="1"/>
  <c r="AN46" i="21"/>
  <c r="AM44" i="21"/>
  <c r="AI44" i="21" s="1"/>
  <c r="AN44" i="21"/>
  <c r="AM52" i="21"/>
  <c r="AI52" i="21" s="1"/>
  <c r="AH52" i="21" s="1" a="1"/>
  <c r="AH52" i="21" s="1"/>
  <c r="AK52" i="21" s="1"/>
  <c r="AN52" i="21"/>
  <c r="AJ93" i="5"/>
  <c r="N7" i="7" s="1" a="1"/>
  <c r="N7" i="7" s="1"/>
  <c r="W26" i="21"/>
  <c r="C15" i="11"/>
  <c r="A72" i="11" s="1"/>
  <c r="AM27" i="21"/>
  <c r="AI27" i="21" s="1"/>
  <c r="AN27" i="21"/>
  <c r="AM37" i="21"/>
  <c r="AI37" i="21" s="1"/>
  <c r="AN37" i="21"/>
  <c r="AJ100" i="5"/>
  <c r="N14" i="7" s="1" a="1"/>
  <c r="N14" i="7" s="1"/>
  <c r="W33" i="21"/>
  <c r="G38" i="11"/>
  <c r="J14" i="9" a="1"/>
  <c r="J14" i="9" s="1"/>
  <c r="M14" i="7" a="1"/>
  <c r="M14" i="7" s="1"/>
  <c r="G38" i="12"/>
  <c r="C18" i="6"/>
  <c r="M7" i="13" s="1"/>
  <c r="N11" i="7" a="1"/>
  <c r="N11" i="7" s="1"/>
  <c r="AM32" i="21"/>
  <c r="AI32" i="21" s="1"/>
  <c r="AH32" i="21" s="1" a="1"/>
  <c r="AH32" i="21" s="1"/>
  <c r="AK32" i="21" s="1"/>
  <c r="AN32" i="21"/>
  <c r="AM49" i="21"/>
  <c r="AI49" i="21" s="1"/>
  <c r="AH49" i="21" s="1" a="1"/>
  <c r="AH49" i="21" s="1"/>
  <c r="AK49" i="21" s="1"/>
  <c r="AN49" i="21"/>
  <c r="AM28" i="21"/>
  <c r="AN28" i="21"/>
  <c r="L105" i="8"/>
  <c r="AJ105" i="8"/>
  <c r="L107" i="8"/>
  <c r="AJ107" i="8"/>
  <c r="L106" i="8"/>
  <c r="AJ106" i="8"/>
  <c r="L108" i="8"/>
  <c r="AJ108" i="8"/>
  <c r="A7" i="19"/>
  <c r="L109" i="8"/>
  <c r="H6" i="8"/>
  <c r="AJ109" i="8"/>
  <c r="AL28" i="21" l="1"/>
  <c r="AI28" i="21" s="1"/>
  <c r="AG28" i="21"/>
  <c r="AI36" i="21"/>
  <c r="AG36" i="21"/>
  <c r="B24" i="10" a="1"/>
  <c r="B24" i="10" s="1"/>
  <c r="D44" i="19"/>
  <c r="AM42" i="21"/>
  <c r="AI42" i="21" s="1"/>
  <c r="AH42" i="21" s="1" a="1"/>
  <c r="AH42" i="21" s="1"/>
  <c r="AK42" i="21" s="1"/>
  <c r="AN42" i="21"/>
  <c r="AM33" i="21"/>
  <c r="AI33" i="21" s="1"/>
  <c r="AN33" i="21"/>
  <c r="AM26" i="21"/>
  <c r="AI26" i="21" s="1"/>
  <c r="AN26" i="21"/>
  <c r="AH51" i="21" l="1" a="1"/>
  <c r="AH51" i="21" s="1"/>
  <c r="AK51" i="21" s="1"/>
  <c r="AH46" i="21" a="1"/>
  <c r="AH46" i="21" s="1"/>
  <c r="AK46" i="21" s="1"/>
  <c r="AH47" i="21" a="1"/>
  <c r="AH47" i="21" s="1"/>
  <c r="AK47" i="21" s="1"/>
  <c r="AH45" i="21" a="1"/>
  <c r="AH45" i="21" s="1"/>
  <c r="AK45" i="21" s="1"/>
  <c r="AH44" i="21" a="1"/>
  <c r="AH44" i="21" s="1"/>
  <c r="AK44" i="21" s="1"/>
  <c r="AH37" i="21" a="1"/>
  <c r="AH37" i="21" s="1"/>
  <c r="AK37" i="21" s="1"/>
  <c r="AH38" i="21" a="1"/>
  <c r="AH38" i="21" s="1"/>
  <c r="AK38" i="21" s="1"/>
  <c r="AH34" i="21" a="1"/>
  <c r="AH34" i="21" s="1"/>
  <c r="AK34" i="21" s="1"/>
  <c r="AH36" i="21" a="1"/>
  <c r="AH36" i="21" s="1"/>
  <c r="AK36" i="21" s="1"/>
  <c r="AH35" i="21" a="1"/>
  <c r="AH35" i="21" s="1"/>
  <c r="AK35" i="21" s="1"/>
  <c r="AH33" i="21" a="1"/>
  <c r="AH33" i="21" s="1"/>
  <c r="AK33" i="21" s="1"/>
  <c r="AH26" i="21" a="1"/>
  <c r="AH26" i="21" s="1"/>
  <c r="AK26" i="21" s="1"/>
  <c r="AH28" i="21" a="1"/>
  <c r="AH28" i="21" s="1"/>
  <c r="AK28" i="21" s="1"/>
  <c r="AH27" i="21" a="1"/>
  <c r="AH27" i="21" s="1"/>
  <c r="AK27" i="21" s="1"/>
  <c r="AH25" i="21" a="1"/>
  <c r="AH25" i="21" s="1"/>
  <c r="AK25" i="21" s="1"/>
  <c r="AH48" i="21" a="1"/>
  <c r="AH48" i="21" s="1"/>
  <c r="AK48" i="21" s="1"/>
  <c r="AH39" i="21" a="1"/>
  <c r="AH39" i="21" s="1"/>
  <c r="AK39" i="21" s="1"/>
  <c r="Q32" i="21" l="1" a="1"/>
  <c r="Q32" i="21" s="1"/>
  <c r="C32" i="21" s="1" a="1"/>
  <c r="C32" i="21" s="1"/>
  <c r="Q29" i="21" a="1"/>
  <c r="Q29" i="21" s="1"/>
  <c r="A29" i="21" s="1" a="1"/>
  <c r="A29" i="21" s="1"/>
  <c r="Q56" i="21" a="1"/>
  <c r="Q56" i="21" s="1"/>
  <c r="K56" i="21" s="1" a="1"/>
  <c r="K56" i="21" s="1"/>
  <c r="Q47" i="21" a="1"/>
  <c r="Q47" i="21" s="1"/>
  <c r="D47" i="21" s="1" a="1"/>
  <c r="D47" i="21" s="1"/>
  <c r="Q52" i="21" a="1"/>
  <c r="Q52" i="21" s="1"/>
  <c r="B52" i="21" s="1" a="1"/>
  <c r="B52" i="21" s="1"/>
  <c r="Q33" i="21" a="1"/>
  <c r="Q33" i="21" s="1"/>
  <c r="H33" i="21" s="1" a="1"/>
  <c r="H33" i="21" s="1"/>
  <c r="Q35" i="21" a="1"/>
  <c r="Q35" i="21" s="1"/>
  <c r="N35" i="21" s="1"/>
  <c r="Q37" i="21" a="1"/>
  <c r="Q37" i="21" s="1"/>
  <c r="P37" i="21" s="1" a="1"/>
  <c r="P37" i="21" s="1"/>
  <c r="Q38" i="21" a="1"/>
  <c r="Q38" i="21" s="1"/>
  <c r="H38" i="21" s="1" a="1"/>
  <c r="H38" i="21" s="1"/>
  <c r="Q39" i="21" a="1"/>
  <c r="Q39" i="21" s="1"/>
  <c r="G39" i="21" s="1" a="1"/>
  <c r="G39" i="21" s="1"/>
  <c r="Q57" i="21" a="1"/>
  <c r="Q57" i="21" s="1"/>
  <c r="A57" i="21" s="1" a="1"/>
  <c r="A57" i="21" s="1"/>
  <c r="Q44" i="21" a="1"/>
  <c r="Q44" i="21" s="1"/>
  <c r="B44" i="21" s="1" a="1"/>
  <c r="B44" i="21" s="1"/>
  <c r="Q34" i="21" a="1"/>
  <c r="Q34" i="21" s="1"/>
  <c r="C34" i="21" s="1" a="1"/>
  <c r="C34" i="21" s="1"/>
  <c r="Q62" i="21" a="1"/>
  <c r="Q62" i="21" s="1"/>
  <c r="A62" i="21" s="1" a="1"/>
  <c r="A62" i="21" s="1"/>
  <c r="Q40" i="21" a="1"/>
  <c r="Q40" i="21" s="1"/>
  <c r="C40" i="21" s="1" a="1"/>
  <c r="C40" i="21" s="1"/>
  <c r="Q30" i="21" a="1"/>
  <c r="Q30" i="21" s="1"/>
  <c r="I30" i="21" s="1" a="1"/>
  <c r="I30" i="21" s="1"/>
  <c r="Q46" i="21" a="1"/>
  <c r="Q46" i="21" s="1"/>
  <c r="D46" i="21" s="1" a="1"/>
  <c r="D46" i="21" s="1"/>
  <c r="Q63" i="21" a="1"/>
  <c r="Q63" i="21" s="1"/>
  <c r="C63" i="21" s="1" a="1"/>
  <c r="C63" i="21" s="1"/>
  <c r="Q59" i="21" a="1"/>
  <c r="Q59" i="21" s="1"/>
  <c r="D59" i="21" s="1" a="1"/>
  <c r="D59" i="21" s="1"/>
  <c r="Q48" i="21" a="1"/>
  <c r="Q48" i="21" s="1"/>
  <c r="D48" i="21" s="1" a="1"/>
  <c r="D48" i="21" s="1"/>
  <c r="Q45" i="21" a="1"/>
  <c r="Q45" i="21" s="1"/>
  <c r="N45" i="21" s="1"/>
  <c r="Q54" i="21" a="1"/>
  <c r="Q54" i="21" s="1"/>
  <c r="F54" i="21" s="1" a="1"/>
  <c r="F54" i="21" s="1"/>
  <c r="Q28" i="21" a="1"/>
  <c r="Q28" i="21" s="1"/>
  <c r="O28" i="21" s="1" a="1"/>
  <c r="O28" i="21" s="1"/>
  <c r="Q36" i="21" a="1"/>
  <c r="Q36" i="21" s="1"/>
  <c r="F36" i="21" s="1" a="1"/>
  <c r="F36" i="21" s="1"/>
  <c r="Q58" i="21" a="1"/>
  <c r="Q58" i="21" s="1"/>
  <c r="C58" i="21" s="1" a="1"/>
  <c r="C58" i="21" s="1"/>
  <c r="Q53" i="21" a="1"/>
  <c r="Q53" i="21" s="1"/>
  <c r="P53" i="21" s="1" a="1"/>
  <c r="P53" i="21" s="1"/>
  <c r="Q31" i="21" a="1"/>
  <c r="Q31" i="21" s="1"/>
  <c r="P31" i="21" s="1" a="1"/>
  <c r="P31" i="21" s="1"/>
  <c r="Q42" i="21" a="1"/>
  <c r="Q42" i="21" s="1"/>
  <c r="Q49" i="21" a="1"/>
  <c r="Q49" i="21" s="1"/>
  <c r="N49" i="21" s="1"/>
  <c r="Q50" i="21" a="1"/>
  <c r="Q50" i="21" s="1"/>
  <c r="C50" i="21" s="1" a="1"/>
  <c r="C50" i="21" s="1"/>
  <c r="Q41" i="21" a="1"/>
  <c r="Q41" i="21" s="1"/>
  <c r="I41" i="21" s="1" a="1"/>
  <c r="I41" i="21" s="1"/>
  <c r="Q61" i="21" a="1"/>
  <c r="Q61" i="21" s="1"/>
  <c r="G61" i="21" s="1" a="1"/>
  <c r="G61" i="21" s="1"/>
  <c r="Q25" i="21" a="1"/>
  <c r="Q25" i="21" s="1"/>
  <c r="B25" i="21" s="1" a="1"/>
  <c r="B25" i="21" s="1"/>
  <c r="Q27" i="21" a="1"/>
  <c r="Q27" i="21" s="1"/>
  <c r="P27" i="21" s="1" a="1"/>
  <c r="P27" i="21" s="1"/>
  <c r="Q64" i="21" a="1"/>
  <c r="Q64" i="21" s="1"/>
  <c r="B64" i="21" s="1" a="1"/>
  <c r="B64" i="21" s="1"/>
  <c r="Q51" i="21" a="1"/>
  <c r="Q51" i="21" s="1"/>
  <c r="M51" i="21" s="1" a="1"/>
  <c r="M51" i="21" s="1"/>
  <c r="Q43" i="21" a="1"/>
  <c r="Q43" i="21" s="1"/>
  <c r="O43" i="21" s="1" a="1"/>
  <c r="O43" i="21" s="1"/>
  <c r="Q26" i="21" a="1"/>
  <c r="Q26" i="21" s="1"/>
  <c r="F26" i="21" s="1" a="1"/>
  <c r="F26" i="21" s="1"/>
  <c r="H13" i="21"/>
  <c r="B16" i="21" s="1" a="1"/>
  <c r="B16" i="21" s="1"/>
  <c r="Q55" i="21" a="1"/>
  <c r="Q55" i="21" s="1"/>
  <c r="L55" i="21" s="1" a="1"/>
  <c r="L55" i="21" s="1"/>
  <c r="Q60" i="21" a="1"/>
  <c r="Q60" i="21" s="1"/>
  <c r="K60" i="21" s="1" a="1"/>
  <c r="K60" i="21" s="1"/>
  <c r="P33" i="21" a="1"/>
  <c r="P33" i="21" s="1"/>
  <c r="M29" i="21" a="1"/>
  <c r="M29" i="21" s="1"/>
  <c r="L29" i="21" a="1"/>
  <c r="L29" i="21" s="1"/>
  <c r="B29" i="21" l="1" a="1"/>
  <c r="B29" i="21" s="1"/>
  <c r="B33" i="21" a="1"/>
  <c r="B33" i="21" s="1"/>
  <c r="K29" i="21" a="1"/>
  <c r="K29" i="21" s="1"/>
  <c r="G52" i="21" a="1"/>
  <c r="G52" i="21" s="1"/>
  <c r="M52" i="21" a="1"/>
  <c r="M52" i="21" s="1"/>
  <c r="P29" i="21" a="1"/>
  <c r="P29" i="21" s="1"/>
  <c r="D39" i="21" a="1"/>
  <c r="D39" i="21" s="1"/>
  <c r="J29" i="21" a="1"/>
  <c r="J29" i="21" s="1"/>
  <c r="O39" i="21" a="1"/>
  <c r="O39" i="21" s="1"/>
  <c r="E62" i="21" a="1"/>
  <c r="E62" i="21" s="1"/>
  <c r="E38" i="21" a="1"/>
  <c r="E38" i="21" s="1"/>
  <c r="N54" i="21"/>
  <c r="E29" i="21" a="1"/>
  <c r="E29" i="21" s="1"/>
  <c r="P62" i="21" a="1"/>
  <c r="P62" i="21" s="1"/>
  <c r="I29" i="21" a="1"/>
  <c r="I29" i="21" s="1"/>
  <c r="N29" i="21"/>
  <c r="H39" i="21" a="1"/>
  <c r="H39" i="21" s="1"/>
  <c r="O33" i="21" a="1"/>
  <c r="O33" i="21" s="1"/>
  <c r="F34" i="21" a="1"/>
  <c r="F34" i="21" s="1"/>
  <c r="A38" i="21" a="1"/>
  <c r="A38" i="21" s="1"/>
  <c r="H52" i="21" a="1"/>
  <c r="H52" i="21" s="1"/>
  <c r="E63" i="21" a="1"/>
  <c r="E63" i="21" s="1"/>
  <c r="M38" i="21" a="1"/>
  <c r="M38" i="21" s="1"/>
  <c r="C33" i="21" a="1"/>
  <c r="C33" i="21" s="1"/>
  <c r="O52" i="21" a="1"/>
  <c r="O52" i="21" s="1"/>
  <c r="B38" i="21" a="1"/>
  <c r="B38" i="21" s="1"/>
  <c r="F29" i="21" a="1"/>
  <c r="F29" i="21" s="1"/>
  <c r="O29" i="21" a="1"/>
  <c r="O29" i="21" s="1"/>
  <c r="D29" i="21" a="1"/>
  <c r="D29" i="21" s="1"/>
  <c r="F63" i="21" a="1"/>
  <c r="F63" i="21" s="1"/>
  <c r="M62" i="21" a="1"/>
  <c r="M62" i="21" s="1"/>
  <c r="M39" i="21" a="1"/>
  <c r="M39" i="21" s="1"/>
  <c r="J33" i="21" a="1"/>
  <c r="J33" i="21" s="1"/>
  <c r="G46" i="21" a="1"/>
  <c r="G46" i="21" s="1"/>
  <c r="E34" i="21" a="1"/>
  <c r="E34" i="21" s="1"/>
  <c r="J38" i="21" a="1"/>
  <c r="J38" i="21" s="1"/>
  <c r="O59" i="21" a="1"/>
  <c r="O59" i="21" s="1"/>
  <c r="M26" i="21" a="1"/>
  <c r="M26" i="21" s="1"/>
  <c r="N53" i="21"/>
  <c r="I52" i="21" a="1"/>
  <c r="I52" i="21" s="1"/>
  <c r="J34" i="21" a="1"/>
  <c r="J34" i="21" s="1"/>
  <c r="B34" i="21" a="1"/>
  <c r="B34" i="21" s="1"/>
  <c r="J32" i="21" a="1"/>
  <c r="J32" i="21" s="1"/>
  <c r="A32" i="21" a="1"/>
  <c r="A32" i="21" s="1"/>
  <c r="I32" i="21" a="1"/>
  <c r="I32" i="21" s="1"/>
  <c r="D32" i="21" a="1"/>
  <c r="D32" i="21" s="1"/>
  <c r="H26" i="21" a="1"/>
  <c r="H26" i="21" s="1"/>
  <c r="L52" i="21" a="1"/>
  <c r="L52" i="21" s="1"/>
  <c r="F38" i="21" a="1"/>
  <c r="F38" i="21" s="1"/>
  <c r="C38" i="21" a="1"/>
  <c r="C38" i="21" s="1"/>
  <c r="J52" i="21" a="1"/>
  <c r="J52" i="21" s="1"/>
  <c r="N52" i="21"/>
  <c r="D52" i="21" a="1"/>
  <c r="D52" i="21" s="1"/>
  <c r="O46" i="21" a="1"/>
  <c r="O46" i="21" s="1"/>
  <c r="A34" i="21" a="1"/>
  <c r="A34" i="21" s="1"/>
  <c r="G34" i="21" a="1"/>
  <c r="G34" i="21" s="1"/>
  <c r="N38" i="21"/>
  <c r="L38" i="21" a="1"/>
  <c r="L38" i="21" s="1"/>
  <c r="L32" i="21" a="1"/>
  <c r="L32" i="21" s="1"/>
  <c r="H32" i="21" a="1"/>
  <c r="H32" i="21" s="1"/>
  <c r="I46" i="21" a="1"/>
  <c r="I46" i="21" s="1"/>
  <c r="I34" i="21" a="1"/>
  <c r="I34" i="21" s="1"/>
  <c r="P32" i="21" a="1"/>
  <c r="P32" i="21" s="1"/>
  <c r="N32" i="21"/>
  <c r="F32" i="21" a="1"/>
  <c r="F32" i="21" s="1"/>
  <c r="A27" i="21" a="1"/>
  <c r="A27" i="21" s="1"/>
  <c r="G29" i="21" a="1"/>
  <c r="G29" i="21" s="1"/>
  <c r="C29" i="21" a="1"/>
  <c r="C29" i="21" s="1"/>
  <c r="H29" i="21" a="1"/>
  <c r="H29" i="21" s="1"/>
  <c r="D63" i="21" a="1"/>
  <c r="D63" i="21" s="1"/>
  <c r="E39" i="21" a="1"/>
  <c r="E39" i="21" s="1"/>
  <c r="N39" i="21"/>
  <c r="K33" i="21" a="1"/>
  <c r="K33" i="21" s="1"/>
  <c r="E53" i="21" a="1"/>
  <c r="E53" i="21" s="1"/>
  <c r="E27" i="21" a="1"/>
  <c r="E27" i="21" s="1"/>
  <c r="P54" i="21" a="1"/>
  <c r="P54" i="21" s="1"/>
  <c r="H45" i="21" a="1"/>
  <c r="H45" i="21" s="1"/>
  <c r="M46" i="21" a="1"/>
  <c r="M46" i="21" s="1"/>
  <c r="N46" i="21"/>
  <c r="E46" i="21" a="1"/>
  <c r="E46" i="21" s="1"/>
  <c r="H46" i="21" a="1"/>
  <c r="H46" i="21" s="1"/>
  <c r="P34" i="21" a="1"/>
  <c r="P34" i="21" s="1"/>
  <c r="L34" i="21" a="1"/>
  <c r="L34" i="21" s="1"/>
  <c r="L63" i="21" a="1"/>
  <c r="L63" i="21" s="1"/>
  <c r="M63" i="21" a="1"/>
  <c r="M63" i="21" s="1"/>
  <c r="P63" i="21" a="1"/>
  <c r="P63" i="21" s="1"/>
  <c r="N62" i="21"/>
  <c r="J54" i="21" a="1"/>
  <c r="J54" i="21" s="1"/>
  <c r="P26" i="21" a="1"/>
  <c r="P26" i="21" s="1"/>
  <c r="C26" i="21" a="1"/>
  <c r="C26" i="21" s="1"/>
  <c r="J27" i="21" a="1"/>
  <c r="J27" i="21" s="1"/>
  <c r="D27" i="21" a="1"/>
  <c r="D27" i="21" s="1"/>
  <c r="A52" i="21" a="1"/>
  <c r="A52" i="21" s="1"/>
  <c r="E52" i="21" a="1"/>
  <c r="E52" i="21" s="1"/>
  <c r="A63" i="21" a="1"/>
  <c r="A63" i="21" s="1"/>
  <c r="J63" i="21" a="1"/>
  <c r="J63" i="21" s="1"/>
  <c r="G63" i="21" a="1"/>
  <c r="G63" i="21" s="1"/>
  <c r="B46" i="21" a="1"/>
  <c r="B46" i="21" s="1"/>
  <c r="P46" i="21" a="1"/>
  <c r="P46" i="21" s="1"/>
  <c r="K62" i="21" a="1"/>
  <c r="K62" i="21" s="1"/>
  <c r="O62" i="21" a="1"/>
  <c r="O62" i="21" s="1"/>
  <c r="J62" i="21" a="1"/>
  <c r="J62" i="21" s="1"/>
  <c r="K34" i="21" a="1"/>
  <c r="K34" i="21" s="1"/>
  <c r="O34" i="21" a="1"/>
  <c r="O34" i="21" s="1"/>
  <c r="I45" i="21" a="1"/>
  <c r="I45" i="21" s="1"/>
  <c r="C39" i="21" a="1"/>
  <c r="C39" i="21" s="1"/>
  <c r="I39" i="21" a="1"/>
  <c r="I39" i="21" s="1"/>
  <c r="P39" i="21" a="1"/>
  <c r="P39" i="21" s="1"/>
  <c r="E50" i="21" a="1"/>
  <c r="E50" i="21" s="1"/>
  <c r="I38" i="21" a="1"/>
  <c r="I38" i="21" s="1"/>
  <c r="O38" i="21" a="1"/>
  <c r="O38" i="21" s="1"/>
  <c r="E33" i="21" a="1"/>
  <c r="E33" i="21" s="1"/>
  <c r="N33" i="21"/>
  <c r="I33" i="21" a="1"/>
  <c r="I33" i="21" s="1"/>
  <c r="A53" i="21" a="1"/>
  <c r="A53" i="21" s="1"/>
  <c r="C54" i="21" a="1"/>
  <c r="C54" i="21" s="1"/>
  <c r="D54" i="21" a="1"/>
  <c r="D54" i="21" s="1"/>
  <c r="G32" i="21" a="1"/>
  <c r="G32" i="21" s="1"/>
  <c r="K32" i="21" a="1"/>
  <c r="K32" i="21" s="1"/>
  <c r="H50" i="21" a="1"/>
  <c r="H50" i="21" s="1"/>
  <c r="D26" i="21" a="1"/>
  <c r="D26" i="21" s="1"/>
  <c r="B26" i="21" a="1"/>
  <c r="B26" i="21" s="1"/>
  <c r="G27" i="21" a="1"/>
  <c r="G27" i="21" s="1"/>
  <c r="N27" i="21"/>
  <c r="D62" i="21" a="1"/>
  <c r="D62" i="21" s="1"/>
  <c r="I62" i="21" a="1"/>
  <c r="I62" i="21" s="1"/>
  <c r="D50" i="21" a="1"/>
  <c r="D50" i="21" s="1"/>
  <c r="F53" i="21" a="1"/>
  <c r="F53" i="21" s="1"/>
  <c r="K53" i="21" a="1"/>
  <c r="K53" i="21" s="1"/>
  <c r="O26" i="21" a="1"/>
  <c r="O26" i="21" s="1"/>
  <c r="E43" i="21" a="1"/>
  <c r="E43" i="21" s="1"/>
  <c r="K27" i="21" a="1"/>
  <c r="K27" i="21" s="1"/>
  <c r="I63" i="21" a="1"/>
  <c r="I63" i="21" s="1"/>
  <c r="B63" i="21" a="1"/>
  <c r="B63" i="21" s="1"/>
  <c r="K63" i="21" a="1"/>
  <c r="K63" i="21" s="1"/>
  <c r="L62" i="21" a="1"/>
  <c r="L62" i="21" s="1"/>
  <c r="H62" i="21" a="1"/>
  <c r="H62" i="21" s="1"/>
  <c r="F62" i="21" a="1"/>
  <c r="F62" i="21" s="1"/>
  <c r="K39" i="21" a="1"/>
  <c r="K39" i="21" s="1"/>
  <c r="J39" i="21" a="1"/>
  <c r="J39" i="21" s="1"/>
  <c r="A39" i="21" a="1"/>
  <c r="A39" i="21" s="1"/>
  <c r="K50" i="21" a="1"/>
  <c r="K50" i="21" s="1"/>
  <c r="L33" i="21" a="1"/>
  <c r="L33" i="21" s="1"/>
  <c r="M33" i="21" a="1"/>
  <c r="M33" i="21" s="1"/>
  <c r="F33" i="21" a="1"/>
  <c r="F33" i="21" s="1"/>
  <c r="M53" i="21" a="1"/>
  <c r="M53" i="21" s="1"/>
  <c r="J53" i="21" a="1"/>
  <c r="J53" i="21" s="1"/>
  <c r="I54" i="21" a="1"/>
  <c r="I54" i="21" s="1"/>
  <c r="H54" i="21" a="1"/>
  <c r="H54" i="21" s="1"/>
  <c r="I56" i="21" a="1"/>
  <c r="I56" i="21" s="1"/>
  <c r="K26" i="21" a="1"/>
  <c r="K26" i="21" s="1"/>
  <c r="G26" i="21" a="1"/>
  <c r="G26" i="21" s="1"/>
  <c r="M27" i="21" a="1"/>
  <c r="M27" i="21" s="1"/>
  <c r="F27" i="21" a="1"/>
  <c r="F27" i="21" s="1"/>
  <c r="N63" i="21"/>
  <c r="O63" i="21" a="1"/>
  <c r="O63" i="21" s="1"/>
  <c r="H63" i="21" a="1"/>
  <c r="H63" i="21" s="1"/>
  <c r="C62" i="21" a="1"/>
  <c r="C62" i="21" s="1"/>
  <c r="B62" i="21" a="1"/>
  <c r="B62" i="21" s="1"/>
  <c r="G62" i="21" a="1"/>
  <c r="G62" i="21" s="1"/>
  <c r="O56" i="21" a="1"/>
  <c r="O56" i="21" s="1"/>
  <c r="B39" i="21" a="1"/>
  <c r="B39" i="21" s="1"/>
  <c r="F39" i="21" a="1"/>
  <c r="F39" i="21" s="1"/>
  <c r="L39" i="21" a="1"/>
  <c r="L39" i="21" s="1"/>
  <c r="O50" i="21" a="1"/>
  <c r="O50" i="21" s="1"/>
  <c r="P50" i="21" a="1"/>
  <c r="P50" i="21" s="1"/>
  <c r="D33" i="21" a="1"/>
  <c r="D33" i="21" s="1"/>
  <c r="G33" i="21" a="1"/>
  <c r="G33" i="21" s="1"/>
  <c r="A33" i="21" a="1"/>
  <c r="A33" i="21" s="1"/>
  <c r="C53" i="21" a="1"/>
  <c r="C53" i="21" s="1"/>
  <c r="L53" i="21" a="1"/>
  <c r="L53" i="21" s="1"/>
  <c r="B54" i="21" a="1"/>
  <c r="B54" i="21" s="1"/>
  <c r="K54" i="21" a="1"/>
  <c r="K54" i="21" s="1"/>
  <c r="I26" i="21" a="1"/>
  <c r="I26" i="21" s="1"/>
  <c r="N26" i="21"/>
  <c r="L26" i="21" a="1"/>
  <c r="L26" i="21" s="1"/>
  <c r="L27" i="21" a="1"/>
  <c r="L27" i="21" s="1"/>
  <c r="B27" i="21" a="1"/>
  <c r="B27" i="21" s="1"/>
  <c r="H27" i="21" a="1"/>
  <c r="H27" i="21" s="1"/>
  <c r="O57" i="21" a="1"/>
  <c r="O57" i="21" s="1"/>
  <c r="M50" i="21" a="1"/>
  <c r="M50" i="21" s="1"/>
  <c r="I53" i="21" a="1"/>
  <c r="I53" i="21" s="1"/>
  <c r="G53" i="21" a="1"/>
  <c r="G53" i="21" s="1"/>
  <c r="H53" i="21" a="1"/>
  <c r="H53" i="21" s="1"/>
  <c r="G54" i="21" a="1"/>
  <c r="G54" i="21" s="1"/>
  <c r="E54" i="21" a="1"/>
  <c r="E54" i="21" s="1"/>
  <c r="L54" i="21" a="1"/>
  <c r="L54" i="21" s="1"/>
  <c r="F56" i="21" a="1"/>
  <c r="F56" i="21" s="1"/>
  <c r="I35" i="21" a="1"/>
  <c r="I35" i="21" s="1"/>
  <c r="J57" i="21" a="1"/>
  <c r="J57" i="21" s="1"/>
  <c r="A56" i="21" a="1"/>
  <c r="A56" i="21" s="1"/>
  <c r="F40" i="21" a="1"/>
  <c r="F40" i="21" s="1"/>
  <c r="M57" i="21" a="1"/>
  <c r="M57" i="21" s="1"/>
  <c r="N56" i="21"/>
  <c r="O35" i="21" a="1"/>
  <c r="O35" i="21" s="1"/>
  <c r="E40" i="21" a="1"/>
  <c r="E40" i="21" s="1"/>
  <c r="G50" i="21" a="1"/>
  <c r="G50" i="21" s="1"/>
  <c r="A50" i="21" a="1"/>
  <c r="A50" i="21" s="1"/>
  <c r="C31" i="21" a="1"/>
  <c r="C31" i="21" s="1"/>
  <c r="D15" i="21" a="1"/>
  <c r="D15" i="21" s="1"/>
  <c r="M41" i="21" a="1"/>
  <c r="M41" i="21" s="1"/>
  <c r="O31" i="21" a="1"/>
  <c r="O31" i="21" s="1"/>
  <c r="C28" i="21" a="1"/>
  <c r="C28" i="21" s="1"/>
  <c r="J50" i="21" a="1"/>
  <c r="J50" i="21" s="1"/>
  <c r="F50" i="21" a="1"/>
  <c r="F50" i="21" s="1"/>
  <c r="I50" i="21" a="1"/>
  <c r="I50" i="21" s="1"/>
  <c r="P25" i="21" a="1"/>
  <c r="P25" i="21" s="1"/>
  <c r="I25" i="21" a="1"/>
  <c r="I25" i="21" s="1"/>
  <c r="J58" i="21" a="1"/>
  <c r="J58" i="21" s="1"/>
  <c r="B59" i="21" a="1"/>
  <c r="B59" i="21" s="1"/>
  <c r="L59" i="21" a="1"/>
  <c r="L59" i="21" s="1"/>
  <c r="J64" i="21" a="1"/>
  <c r="J64" i="21" s="1"/>
  <c r="F59" i="21" a="1"/>
  <c r="F59" i="21" s="1"/>
  <c r="K41" i="21" a="1"/>
  <c r="K41" i="21" s="1"/>
  <c r="F57" i="21" a="1"/>
  <c r="F57" i="21" s="1"/>
  <c r="N57" i="21"/>
  <c r="M56" i="21" a="1"/>
  <c r="M56" i="21" s="1"/>
  <c r="G56" i="21" a="1"/>
  <c r="G56" i="21" s="1"/>
  <c r="C35" i="21" a="1"/>
  <c r="C35" i="21" s="1"/>
  <c r="B17" i="21" a="1"/>
  <c r="B17" i="21" s="1"/>
  <c r="E26" i="21" a="1"/>
  <c r="E26" i="21" s="1"/>
  <c r="J26" i="21" a="1"/>
  <c r="J26" i="21" s="1"/>
  <c r="A26" i="21" a="1"/>
  <c r="A26" i="21" s="1"/>
  <c r="C27" i="21" a="1"/>
  <c r="C27" i="21" s="1"/>
  <c r="O27" i="21" a="1"/>
  <c r="O27" i="21" s="1"/>
  <c r="I27" i="21" a="1"/>
  <c r="I27" i="21" s="1"/>
  <c r="M28" i="21" a="1"/>
  <c r="M28" i="21" s="1"/>
  <c r="E59" i="21" a="1"/>
  <c r="E59" i="21" s="1"/>
  <c r="P40" i="21" a="1"/>
  <c r="P40" i="21" s="1"/>
  <c r="H57" i="21" a="1"/>
  <c r="H57" i="21" s="1"/>
  <c r="B57" i="21" a="1"/>
  <c r="B57" i="21" s="1"/>
  <c r="D56" i="21" a="1"/>
  <c r="D56" i="21" s="1"/>
  <c r="B50" i="21" a="1"/>
  <c r="B50" i="21" s="1"/>
  <c r="N50" i="21"/>
  <c r="L50" i="21" a="1"/>
  <c r="L50" i="21" s="1"/>
  <c r="D35" i="21" a="1"/>
  <c r="D35" i="21" s="1"/>
  <c r="B53" i="21" a="1"/>
  <c r="B53" i="21" s="1"/>
  <c r="O53" i="21" a="1"/>
  <c r="O53" i="21" s="1"/>
  <c r="D53" i="21" a="1"/>
  <c r="D53" i="21" s="1"/>
  <c r="O54" i="21" a="1"/>
  <c r="O54" i="21" s="1"/>
  <c r="A54" i="21" a="1"/>
  <c r="A54" i="21" s="1"/>
  <c r="M54" i="21" a="1"/>
  <c r="M54" i="21" s="1"/>
  <c r="D60" i="21" a="1"/>
  <c r="D60" i="21" s="1"/>
  <c r="L60" i="21" a="1"/>
  <c r="L60" i="21" s="1"/>
  <c r="A60" i="21" a="1"/>
  <c r="A60" i="21" s="1"/>
  <c r="C43" i="21" a="1"/>
  <c r="C43" i="21" s="1"/>
  <c r="K25" i="21" a="1"/>
  <c r="K25" i="21" s="1"/>
  <c r="A25" i="21" a="1"/>
  <c r="A25" i="21" s="1"/>
  <c r="A45" i="21" a="1"/>
  <c r="A45" i="21" s="1"/>
  <c r="M45" i="21" a="1"/>
  <c r="M45" i="21" s="1"/>
  <c r="K58" i="21" a="1"/>
  <c r="K58" i="21" s="1"/>
  <c r="B60" i="21" a="1"/>
  <c r="B60" i="21" s="1"/>
  <c r="P43" i="21" a="1"/>
  <c r="P43" i="21" s="1"/>
  <c r="F25" i="21" a="1"/>
  <c r="F25" i="21" s="1"/>
  <c r="G25" i="21" a="1"/>
  <c r="G25" i="21" s="1"/>
  <c r="R68" i="21" s="1"/>
  <c r="C45" i="21" a="1"/>
  <c r="C45" i="21" s="1"/>
  <c r="D45" i="21" a="1"/>
  <c r="D45" i="21" s="1"/>
  <c r="D58" i="21" a="1"/>
  <c r="D58" i="21" s="1"/>
  <c r="F49" i="21" a="1"/>
  <c r="F49" i="21" s="1"/>
  <c r="O60" i="21" a="1"/>
  <c r="O60" i="21" s="1"/>
  <c r="A43" i="21" a="1"/>
  <c r="A43" i="21" s="1"/>
  <c r="J25" i="21" a="1"/>
  <c r="J25" i="21" s="1"/>
  <c r="B45" i="21" a="1"/>
  <c r="B45" i="21" s="1"/>
  <c r="L49" i="21" a="1"/>
  <c r="L49" i="21" s="1"/>
  <c r="A58" i="21" a="1"/>
  <c r="A58" i="21" s="1"/>
  <c r="L58" i="21" a="1"/>
  <c r="L58" i="21" s="1"/>
  <c r="M37" i="21" a="1"/>
  <c r="M37" i="21" s="1"/>
  <c r="E64" i="21" a="1"/>
  <c r="E64" i="21" s="1"/>
  <c r="B41" i="21" a="1"/>
  <c r="B41" i="21" s="1"/>
  <c r="I28" i="21" a="1"/>
  <c r="I28" i="21" s="1"/>
  <c r="I59" i="21" a="1"/>
  <c r="I59" i="21" s="1"/>
  <c r="A59" i="21" a="1"/>
  <c r="A59" i="21" s="1"/>
  <c r="J40" i="21" a="1"/>
  <c r="J40" i="21" s="1"/>
  <c r="M35" i="21" a="1"/>
  <c r="M35" i="21" s="1"/>
  <c r="L35" i="21" a="1"/>
  <c r="L35" i="21" s="1"/>
  <c r="H64" i="21" a="1"/>
  <c r="H64" i="21" s="1"/>
  <c r="K28" i="21" a="1"/>
  <c r="K28" i="21" s="1"/>
  <c r="G28" i="21" a="1"/>
  <c r="G28" i="21" s="1"/>
  <c r="P61" i="21" a="1"/>
  <c r="P61" i="21" s="1"/>
  <c r="G49" i="21" a="1"/>
  <c r="G49" i="21" s="1"/>
  <c r="L43" i="21" a="1"/>
  <c r="L43" i="21" s="1"/>
  <c r="N43" i="21"/>
  <c r="D49" i="21" a="1"/>
  <c r="D49" i="21" s="1"/>
  <c r="C49" i="21" a="1"/>
  <c r="C49" i="21" s="1"/>
  <c r="C60" i="21" a="1"/>
  <c r="C60" i="21" s="1"/>
  <c r="H60" i="21" a="1"/>
  <c r="H60" i="21" s="1"/>
  <c r="E60" i="21" a="1"/>
  <c r="E60" i="21" s="1"/>
  <c r="F60" i="21" a="1"/>
  <c r="F60" i="21" s="1"/>
  <c r="K43" i="21" a="1"/>
  <c r="K43" i="21" s="1"/>
  <c r="A49" i="21" a="1"/>
  <c r="A49" i="21" s="1"/>
  <c r="K49" i="21" a="1"/>
  <c r="K49" i="21" s="1"/>
  <c r="M58" i="21" a="1"/>
  <c r="M58" i="21" s="1"/>
  <c r="H58" i="21" a="1"/>
  <c r="H58" i="21" s="1"/>
  <c r="B15" i="21" a="1"/>
  <c r="B15" i="21" s="1"/>
  <c r="D16" i="21" a="1"/>
  <c r="D16" i="21" s="1"/>
  <c r="M64" i="21" a="1"/>
  <c r="M64" i="21" s="1"/>
  <c r="O41" i="21" a="1"/>
  <c r="O41" i="21" s="1"/>
  <c r="F41" i="21" a="1"/>
  <c r="F41" i="21" s="1"/>
  <c r="P28" i="21" a="1"/>
  <c r="P28" i="21" s="1"/>
  <c r="N31" i="21"/>
  <c r="F15" i="21" a="1"/>
  <c r="F15" i="21" s="1"/>
  <c r="D18" i="21" a="1"/>
  <c r="D18" i="21" s="1"/>
  <c r="D64" i="21" a="1"/>
  <c r="D64" i="21" s="1"/>
  <c r="L64" i="21" a="1"/>
  <c r="L64" i="21" s="1"/>
  <c r="N41" i="21"/>
  <c r="G41" i="21" a="1"/>
  <c r="G41" i="21" s="1"/>
  <c r="M31" i="21" a="1"/>
  <c r="M31" i="21" s="1"/>
  <c r="K31" i="21" a="1"/>
  <c r="K31" i="21" s="1"/>
  <c r="G36" i="21" a="1"/>
  <c r="G36" i="21" s="1"/>
  <c r="M60" i="21" a="1"/>
  <c r="M60" i="21" s="1"/>
  <c r="G60" i="21" a="1"/>
  <c r="G60" i="21" s="1"/>
  <c r="J60" i="21" a="1"/>
  <c r="J60" i="21" s="1"/>
  <c r="D14" i="21" a="1"/>
  <c r="D14" i="21" s="1"/>
  <c r="B14" i="21" a="1"/>
  <c r="B14" i="21" s="1"/>
  <c r="I43" i="21" a="1"/>
  <c r="I43" i="21" s="1"/>
  <c r="H43" i="21" a="1"/>
  <c r="H43" i="21" s="1"/>
  <c r="C64" i="21" a="1"/>
  <c r="C64" i="21" s="1"/>
  <c r="F64" i="21" a="1"/>
  <c r="F64" i="21" s="1"/>
  <c r="E25" i="21" a="1"/>
  <c r="E25" i="21" s="1"/>
  <c r="O25" i="21" a="1"/>
  <c r="O25" i="21" s="1"/>
  <c r="C41" i="21" a="1"/>
  <c r="C41" i="21" s="1"/>
  <c r="B28" i="21" a="1"/>
  <c r="B28" i="21" s="1"/>
  <c r="S71" i="21" s="1"/>
  <c r="A28" i="21" a="1"/>
  <c r="A28" i="21" s="1"/>
  <c r="M59" i="21" a="1"/>
  <c r="M59" i="21" s="1"/>
  <c r="K40" i="21" a="1"/>
  <c r="K40" i="21" s="1"/>
  <c r="B40" i="21" a="1"/>
  <c r="B40" i="21" s="1"/>
  <c r="D40" i="21" a="1"/>
  <c r="D40" i="21" s="1"/>
  <c r="K57" i="21" a="1"/>
  <c r="K57" i="21" s="1"/>
  <c r="J45" i="21" a="1"/>
  <c r="J45" i="21" s="1"/>
  <c r="P45" i="21" a="1"/>
  <c r="P45" i="21" s="1"/>
  <c r="J49" i="21" a="1"/>
  <c r="J49" i="21" s="1"/>
  <c r="B49" i="21" a="1"/>
  <c r="B49" i="21" s="1"/>
  <c r="H35" i="21" a="1"/>
  <c r="H35" i="21" s="1"/>
  <c r="E35" i="21" a="1"/>
  <c r="E35" i="21" s="1"/>
  <c r="O58" i="21" a="1"/>
  <c r="O58" i="21" s="1"/>
  <c r="N58" i="21"/>
  <c r="H55" i="21" a="1"/>
  <c r="H55" i="21" s="1"/>
  <c r="O40" i="21" a="1"/>
  <c r="O40" i="21" s="1"/>
  <c r="A51" i="21" a="1"/>
  <c r="A51" i="21" s="1"/>
  <c r="H51" i="21" a="1"/>
  <c r="H51" i="21" s="1"/>
  <c r="O42" i="21" a="1"/>
  <c r="O42" i="21" s="1"/>
  <c r="F42" i="21" a="1"/>
  <c r="F42" i="21" s="1"/>
  <c r="E48" i="21" a="1"/>
  <c r="E48" i="21" s="1"/>
  <c r="C48" i="21" a="1"/>
  <c r="C48" i="21" s="1"/>
  <c r="N44" i="21"/>
  <c r="K44" i="21" a="1"/>
  <c r="K44" i="21" s="1"/>
  <c r="C47" i="21" a="1"/>
  <c r="C47" i="21" s="1"/>
  <c r="O47" i="21" a="1"/>
  <c r="O47" i="21" s="1"/>
  <c r="I55" i="21" a="1"/>
  <c r="I55" i="21" s="1"/>
  <c r="P51" i="21" a="1"/>
  <c r="P51" i="21" s="1"/>
  <c r="D44" i="21" a="1"/>
  <c r="D44" i="21" s="1"/>
  <c r="E42" i="21" a="1"/>
  <c r="E42" i="21" s="1"/>
  <c r="B47" i="21" a="1"/>
  <c r="B47" i="21" s="1"/>
  <c r="A64" i="21" a="1"/>
  <c r="A64" i="21" s="1"/>
  <c r="K64" i="21" a="1"/>
  <c r="K64" i="21" s="1"/>
  <c r="N64" i="21"/>
  <c r="P64" i="21" a="1"/>
  <c r="P64" i="21" s="1"/>
  <c r="H41" i="21" a="1"/>
  <c r="H41" i="21" s="1"/>
  <c r="E41" i="21" a="1"/>
  <c r="E41" i="21" s="1"/>
  <c r="J41" i="21" a="1"/>
  <c r="J41" i="21" s="1"/>
  <c r="L41" i="21" a="1"/>
  <c r="L41" i="21" s="1"/>
  <c r="E31" i="21" a="1"/>
  <c r="E31" i="21" s="1"/>
  <c r="B31" i="21" a="1"/>
  <c r="B31" i="21" s="1"/>
  <c r="A31" i="21" a="1"/>
  <c r="A31" i="21" s="1"/>
  <c r="G31" i="21" a="1"/>
  <c r="G31" i="21" s="1"/>
  <c r="L28" i="21" a="1"/>
  <c r="L28" i="21" s="1"/>
  <c r="H28" i="21" a="1"/>
  <c r="H28" i="21" s="1"/>
  <c r="E28" i="21" a="1"/>
  <c r="E28" i="21" s="1"/>
  <c r="D28" i="21" a="1"/>
  <c r="D28" i="21" s="1"/>
  <c r="C59" i="21" a="1"/>
  <c r="C59" i="21" s="1"/>
  <c r="N59" i="21"/>
  <c r="P59" i="21" a="1"/>
  <c r="P59" i="21" s="1"/>
  <c r="H59" i="21" a="1"/>
  <c r="H59" i="21" s="1"/>
  <c r="G40" i="21" a="1"/>
  <c r="G40" i="21" s="1"/>
  <c r="N40" i="21"/>
  <c r="M40" i="21" a="1"/>
  <c r="M40" i="21" s="1"/>
  <c r="I40" i="21" a="1"/>
  <c r="I40" i="21" s="1"/>
  <c r="I57" i="21" a="1"/>
  <c r="I57" i="21" s="1"/>
  <c r="G57" i="21" a="1"/>
  <c r="G57" i="21" s="1"/>
  <c r="L57" i="21" a="1"/>
  <c r="L57" i="21" s="1"/>
  <c r="P57" i="21" a="1"/>
  <c r="P57" i="21" s="1"/>
  <c r="P35" i="21" a="1"/>
  <c r="P35" i="21" s="1"/>
  <c r="B35" i="21" a="1"/>
  <c r="B35" i="21" s="1"/>
  <c r="K35" i="21" a="1"/>
  <c r="K35" i="21" s="1"/>
  <c r="J35" i="21" a="1"/>
  <c r="J35" i="21" s="1"/>
  <c r="H56" i="21" a="1"/>
  <c r="H56" i="21" s="1"/>
  <c r="E56" i="21" a="1"/>
  <c r="E56" i="21" s="1"/>
  <c r="J56" i="21" a="1"/>
  <c r="J56" i="21" s="1"/>
  <c r="C56" i="21" a="1"/>
  <c r="C56" i="21" s="1"/>
  <c r="I60" i="21" a="1"/>
  <c r="I60" i="21" s="1"/>
  <c r="P60" i="21" a="1"/>
  <c r="P60" i="21" s="1"/>
  <c r="N60" i="21"/>
  <c r="P55" i="21" a="1"/>
  <c r="P55" i="21" s="1"/>
  <c r="F18" i="21" a="1"/>
  <c r="F18" i="21" s="1"/>
  <c r="B18" i="21" a="1"/>
  <c r="B18" i="21" s="1"/>
  <c r="F43" i="21" a="1"/>
  <c r="F43" i="21" s="1"/>
  <c r="D43" i="21" a="1"/>
  <c r="D43" i="21" s="1"/>
  <c r="C51" i="21" a="1"/>
  <c r="C51" i="21" s="1"/>
  <c r="G64" i="21" a="1"/>
  <c r="G64" i="21" s="1"/>
  <c r="O64" i="21" a="1"/>
  <c r="O64" i="21" s="1"/>
  <c r="I64" i="21" a="1"/>
  <c r="I64" i="21" s="1"/>
  <c r="N25" i="21"/>
  <c r="H25" i="21" a="1"/>
  <c r="H25" i="21" s="1"/>
  <c r="D41" i="21" a="1"/>
  <c r="D41" i="21" s="1"/>
  <c r="P41" i="21" a="1"/>
  <c r="P41" i="21" s="1"/>
  <c r="A41" i="21" a="1"/>
  <c r="A41" i="21" s="1"/>
  <c r="F28" i="21" a="1"/>
  <c r="F28" i="21" s="1"/>
  <c r="N28" i="21"/>
  <c r="J28" i="21" a="1"/>
  <c r="J28" i="21" s="1"/>
  <c r="L48" i="21" a="1"/>
  <c r="L48" i="21" s="1"/>
  <c r="K59" i="21" a="1"/>
  <c r="K59" i="21" s="1"/>
  <c r="J59" i="21" a="1"/>
  <c r="J59" i="21" s="1"/>
  <c r="G59" i="21" a="1"/>
  <c r="G59" i="21" s="1"/>
  <c r="L46" i="21" a="1"/>
  <c r="L46" i="21" s="1"/>
  <c r="A46" i="21" a="1"/>
  <c r="A46" i="21" s="1"/>
  <c r="L40" i="21" a="1"/>
  <c r="L40" i="21" s="1"/>
  <c r="H40" i="21" a="1"/>
  <c r="H40" i="21" s="1"/>
  <c r="A40" i="21" a="1"/>
  <c r="A40" i="21" s="1"/>
  <c r="O44" i="21" a="1"/>
  <c r="O44" i="21" s="1"/>
  <c r="D57" i="21" a="1"/>
  <c r="D57" i="21" s="1"/>
  <c r="C57" i="21" a="1"/>
  <c r="C57" i="21" s="1"/>
  <c r="E57" i="21" a="1"/>
  <c r="E57" i="21" s="1"/>
  <c r="B56" i="21" a="1"/>
  <c r="B56" i="21" s="1"/>
  <c r="L56" i="21" a="1"/>
  <c r="L56" i="21" s="1"/>
  <c r="P56" i="21" a="1"/>
  <c r="P56" i="21" s="1"/>
  <c r="F45" i="21" a="1"/>
  <c r="F45" i="21" s="1"/>
  <c r="O45" i="21" a="1"/>
  <c r="O45" i="21" s="1"/>
  <c r="O49" i="21" a="1"/>
  <c r="O49" i="21" s="1"/>
  <c r="H49" i="21" a="1"/>
  <c r="H49" i="21" s="1"/>
  <c r="P42" i="21" a="1"/>
  <c r="P42" i="21" s="1"/>
  <c r="F35" i="21" a="1"/>
  <c r="F35" i="21" s="1"/>
  <c r="G35" i="21" a="1"/>
  <c r="G35" i="21" s="1"/>
  <c r="A35" i="21" a="1"/>
  <c r="A35" i="21" s="1"/>
  <c r="J31" i="21" a="1"/>
  <c r="J31" i="21" s="1"/>
  <c r="L31" i="21" a="1"/>
  <c r="L31" i="21" s="1"/>
  <c r="F31" i="21" a="1"/>
  <c r="F31" i="21" s="1"/>
  <c r="G58" i="21" a="1"/>
  <c r="G58" i="21" s="1"/>
  <c r="F58" i="21" a="1"/>
  <c r="F58" i="21" s="1"/>
  <c r="F47" i="21" a="1"/>
  <c r="F47" i="21" s="1"/>
  <c r="F61" i="21" a="1"/>
  <c r="F61" i="21" s="1"/>
  <c r="O61" i="21" a="1"/>
  <c r="O61" i="21" s="1"/>
  <c r="B36" i="21" a="1"/>
  <c r="B36" i="21" s="1"/>
  <c r="O36" i="21" a="1"/>
  <c r="O36" i="21" s="1"/>
  <c r="D30" i="21" a="1"/>
  <c r="D30" i="21" s="1"/>
  <c r="E30" i="21" a="1"/>
  <c r="E30" i="21" s="1"/>
  <c r="K37" i="21" a="1"/>
  <c r="K37" i="21" s="1"/>
  <c r="B37" i="21" a="1"/>
  <c r="B37" i="21" s="1"/>
  <c r="H30" i="21" a="1"/>
  <c r="H30" i="21" s="1"/>
  <c r="O55" i="21" a="1"/>
  <c r="O55" i="21" s="1"/>
  <c r="N61" i="21"/>
  <c r="I48" i="21" a="1"/>
  <c r="I48" i="21" s="1"/>
  <c r="G30" i="21" a="1"/>
  <c r="G30" i="21" s="1"/>
  <c r="J36" i="21" a="1"/>
  <c r="J36" i="21" s="1"/>
  <c r="N37" i="21"/>
  <c r="D42" i="21" a="1"/>
  <c r="D42" i="21" s="1"/>
  <c r="I31" i="21" a="1"/>
  <c r="I31" i="21" s="1"/>
  <c r="D31" i="21" a="1"/>
  <c r="D31" i="21" s="1"/>
  <c r="H31" i="21" a="1"/>
  <c r="H31" i="21" s="1"/>
  <c r="M43" i="21" a="1"/>
  <c r="M43" i="21" s="1"/>
  <c r="B43" i="21" a="1"/>
  <c r="B43" i="21" s="1"/>
  <c r="J43" i="21" a="1"/>
  <c r="J43" i="21" s="1"/>
  <c r="G43" i="21" a="1"/>
  <c r="G43" i="21" s="1"/>
  <c r="M25" i="21" a="1"/>
  <c r="M25" i="21" s="1"/>
  <c r="D25" i="21" a="1"/>
  <c r="D25" i="21" s="1"/>
  <c r="L25" i="21" a="1"/>
  <c r="L25" i="21" s="1"/>
  <c r="C25" i="21" a="1"/>
  <c r="C25" i="21" s="1"/>
  <c r="I49" i="21" a="1"/>
  <c r="I49" i="21" s="1"/>
  <c r="E49" i="21" a="1"/>
  <c r="E49" i="21" s="1"/>
  <c r="M49" i="21" a="1"/>
  <c r="M49" i="21" s="1"/>
  <c r="P49" i="21" a="1"/>
  <c r="P49" i="21" s="1"/>
  <c r="I58" i="21" a="1"/>
  <c r="I58" i="21" s="1"/>
  <c r="E58" i="21" a="1"/>
  <c r="E58" i="21" s="1"/>
  <c r="P58" i="21" a="1"/>
  <c r="P58" i="21" s="1"/>
  <c r="B58" i="21" a="1"/>
  <c r="B58" i="21" s="1"/>
  <c r="K45" i="21" a="1"/>
  <c r="K45" i="21" s="1"/>
  <c r="E45" i="21" a="1"/>
  <c r="E45" i="21" s="1"/>
  <c r="G45" i="21" a="1"/>
  <c r="G45" i="21" s="1"/>
  <c r="L45" i="21" a="1"/>
  <c r="L45" i="21" s="1"/>
  <c r="J46" i="21" a="1"/>
  <c r="J46" i="21" s="1"/>
  <c r="F46" i="21" a="1"/>
  <c r="F46" i="21" s="1"/>
  <c r="K46" i="21" a="1"/>
  <c r="K46" i="21" s="1"/>
  <c r="C46" i="21" a="1"/>
  <c r="C46" i="21" s="1"/>
  <c r="M34" i="21" a="1"/>
  <c r="M34" i="21" s="1"/>
  <c r="D34" i="21" a="1"/>
  <c r="D34" i="21" s="1"/>
  <c r="H34" i="21" a="1"/>
  <c r="H34" i="21" s="1"/>
  <c r="N34" i="21"/>
  <c r="K38" i="21" a="1"/>
  <c r="K38" i="21" s="1"/>
  <c r="G38" i="21" a="1"/>
  <c r="G38" i="21" s="1"/>
  <c r="P38" i="21" a="1"/>
  <c r="P38" i="21" s="1"/>
  <c r="D38" i="21" a="1"/>
  <c r="D38" i="21" s="1"/>
  <c r="P52" i="21" a="1"/>
  <c r="P52" i="21" s="1"/>
  <c r="F52" i="21" a="1"/>
  <c r="F52" i="21" s="1"/>
  <c r="C52" i="21" a="1"/>
  <c r="C52" i="21" s="1"/>
  <c r="K52" i="21" a="1"/>
  <c r="K52" i="21" s="1"/>
  <c r="E32" i="21" a="1"/>
  <c r="E32" i="21" s="1"/>
  <c r="B32" i="21" a="1"/>
  <c r="B32" i="21" s="1"/>
  <c r="O32" i="21" a="1"/>
  <c r="O32" i="21" s="1"/>
  <c r="M32" i="21" a="1"/>
  <c r="M32" i="21" s="1"/>
  <c r="K55" i="21" a="1"/>
  <c r="K55" i="21" s="1"/>
  <c r="J51" i="21" a="1"/>
  <c r="J51" i="21" s="1"/>
  <c r="F48" i="21" a="1"/>
  <c r="F48" i="21" s="1"/>
  <c r="A48" i="21" a="1"/>
  <c r="A48" i="21" s="1"/>
  <c r="H48" i="21" a="1"/>
  <c r="H48" i="21" s="1"/>
  <c r="P48" i="21" a="1"/>
  <c r="P48" i="21" s="1"/>
  <c r="A30" i="21" a="1"/>
  <c r="A30" i="21" s="1"/>
  <c r="C30" i="21" a="1"/>
  <c r="C30" i="21" s="1"/>
  <c r="L30" i="21" a="1"/>
  <c r="L30" i="21" s="1"/>
  <c r="B30" i="21" a="1"/>
  <c r="B30" i="21" s="1"/>
  <c r="J44" i="21" a="1"/>
  <c r="J44" i="21" s="1"/>
  <c r="E44" i="21" a="1"/>
  <c r="E44" i="21" s="1"/>
  <c r="H44" i="21" a="1"/>
  <c r="H44" i="21" s="1"/>
  <c r="L44" i="21" a="1"/>
  <c r="L44" i="21" s="1"/>
  <c r="C36" i="21" a="1"/>
  <c r="C36" i="21" s="1"/>
  <c r="I36" i="21" a="1"/>
  <c r="I36" i="21" s="1"/>
  <c r="N36" i="21"/>
  <c r="P36" i="21" a="1"/>
  <c r="P36" i="21" s="1"/>
  <c r="G37" i="21" a="1"/>
  <c r="G37" i="21" s="1"/>
  <c r="D37" i="21" a="1"/>
  <c r="D37" i="21" s="1"/>
  <c r="C37" i="21" a="1"/>
  <c r="C37" i="21" s="1"/>
  <c r="H37" i="21" a="1"/>
  <c r="H37" i="21" s="1"/>
  <c r="N42" i="21"/>
  <c r="K42" i="21" a="1"/>
  <c r="K42" i="21" s="1"/>
  <c r="G42" i="21" a="1"/>
  <c r="G42" i="21" s="1"/>
  <c r="C42" i="21" a="1"/>
  <c r="C42" i="21" s="1"/>
  <c r="J47" i="21" a="1"/>
  <c r="J47" i="21" s="1"/>
  <c r="N47" i="21"/>
  <c r="I47" i="21" a="1"/>
  <c r="I47" i="21" s="1"/>
  <c r="H47" i="21" a="1"/>
  <c r="H47" i="21" s="1"/>
  <c r="N55" i="21"/>
  <c r="E55" i="21" a="1"/>
  <c r="E55" i="21" s="1"/>
  <c r="J55" i="21" a="1"/>
  <c r="J55" i="21" s="1"/>
  <c r="F51" i="21" a="1"/>
  <c r="F51" i="21" s="1"/>
  <c r="A61" i="21" a="1"/>
  <c r="A61" i="21" s="1"/>
  <c r="K61" i="21" a="1"/>
  <c r="K61" i="21" s="1"/>
  <c r="E61" i="21" a="1"/>
  <c r="E61" i="21" s="1"/>
  <c r="J61" i="21" a="1"/>
  <c r="J61" i="21" s="1"/>
  <c r="A55" i="21" a="1"/>
  <c r="A55" i="21" s="1"/>
  <c r="D55" i="21" a="1"/>
  <c r="D55" i="21" s="1"/>
  <c r="M55" i="21" a="1"/>
  <c r="M55" i="21" s="1"/>
  <c r="C55" i="21" a="1"/>
  <c r="C55" i="21" s="1"/>
  <c r="G51" i="21" a="1"/>
  <c r="G51" i="21" s="1"/>
  <c r="E51" i="21" a="1"/>
  <c r="E51" i="21" s="1"/>
  <c r="I51" i="21" a="1"/>
  <c r="I51" i="21" s="1"/>
  <c r="L51" i="21" a="1"/>
  <c r="L51" i="21" s="1"/>
  <c r="D61" i="21" a="1"/>
  <c r="D61" i="21" s="1"/>
  <c r="I61" i="21" a="1"/>
  <c r="I61" i="21" s="1"/>
  <c r="H61" i="21" a="1"/>
  <c r="H61" i="21" s="1"/>
  <c r="L61" i="21" a="1"/>
  <c r="L61" i="21" s="1"/>
  <c r="K48" i="21" a="1"/>
  <c r="K48" i="21" s="1"/>
  <c r="N48" i="21"/>
  <c r="B48" i="21" a="1"/>
  <c r="B48" i="21" s="1"/>
  <c r="O48" i="21" a="1"/>
  <c r="O48" i="21" s="1"/>
  <c r="O30" i="21" a="1"/>
  <c r="O30" i="21" s="1"/>
  <c r="M30" i="21" a="1"/>
  <c r="M30" i="21" s="1"/>
  <c r="F30" i="21" a="1"/>
  <c r="F30" i="21" s="1"/>
  <c r="P30" i="21" a="1"/>
  <c r="P30" i="21" s="1"/>
  <c r="F44" i="21" a="1"/>
  <c r="F44" i="21" s="1"/>
  <c r="I44" i="21" a="1"/>
  <c r="I44" i="21" s="1"/>
  <c r="C44" i="21" a="1"/>
  <c r="C44" i="21" s="1"/>
  <c r="P44" i="21" a="1"/>
  <c r="P44" i="21" s="1"/>
  <c r="D36" i="21" a="1"/>
  <c r="D36" i="21" s="1"/>
  <c r="M36" i="21" a="1"/>
  <c r="M36" i="21" s="1"/>
  <c r="A36" i="21" a="1"/>
  <c r="A36" i="21" s="1"/>
  <c r="L36" i="21" a="1"/>
  <c r="L36" i="21" s="1"/>
  <c r="E37" i="21" a="1"/>
  <c r="E37" i="21" s="1"/>
  <c r="O37" i="21" a="1"/>
  <c r="O37" i="21" s="1"/>
  <c r="I37" i="21" a="1"/>
  <c r="I37" i="21" s="1"/>
  <c r="L37" i="21" a="1"/>
  <c r="L37" i="21" s="1"/>
  <c r="H42" i="21" a="1"/>
  <c r="H42" i="21" s="1"/>
  <c r="L42" i="21" a="1"/>
  <c r="L42" i="21" s="1"/>
  <c r="J42" i="21" a="1"/>
  <c r="J42" i="21" s="1"/>
  <c r="M42" i="21" a="1"/>
  <c r="M42" i="21" s="1"/>
  <c r="G47" i="21" a="1"/>
  <c r="G47" i="21" s="1"/>
  <c r="P47" i="21" a="1"/>
  <c r="P47" i="21" s="1"/>
  <c r="E47" i="21" a="1"/>
  <c r="E47" i="21" s="1"/>
  <c r="A47" i="21" a="1"/>
  <c r="A47" i="21" s="1"/>
  <c r="K51" i="21" a="1"/>
  <c r="K51" i="21" s="1"/>
  <c r="O51" i="21" a="1"/>
  <c r="O51" i="21" s="1"/>
  <c r="B55" i="21" a="1"/>
  <c r="B55" i="21" s="1"/>
  <c r="G55" i="21" a="1"/>
  <c r="G55" i="21" s="1"/>
  <c r="F55" i="21" a="1"/>
  <c r="F55" i="21" s="1"/>
  <c r="B51" i="21" a="1"/>
  <c r="B51" i="21" s="1"/>
  <c r="N51" i="21"/>
  <c r="D51" i="21" a="1"/>
  <c r="D51" i="21" s="1"/>
  <c r="M61" i="21" a="1"/>
  <c r="M61" i="21" s="1"/>
  <c r="B61" i="21" a="1"/>
  <c r="B61" i="21" s="1"/>
  <c r="C61" i="21" a="1"/>
  <c r="C61" i="21" s="1"/>
  <c r="G48" i="21" a="1"/>
  <c r="G48" i="21" s="1"/>
  <c r="M48" i="21" a="1"/>
  <c r="M48" i="21" s="1"/>
  <c r="J48" i="21" a="1"/>
  <c r="J48" i="21" s="1"/>
  <c r="J30" i="21" a="1"/>
  <c r="J30" i="21" s="1"/>
  <c r="K30" i="21" a="1"/>
  <c r="K30" i="21" s="1"/>
  <c r="N30" i="21"/>
  <c r="G44" i="21" a="1"/>
  <c r="G44" i="21" s="1"/>
  <c r="A44" i="21" a="1"/>
  <c r="A44" i="21" s="1"/>
  <c r="M44" i="21" a="1"/>
  <c r="M44" i="21" s="1"/>
  <c r="E36" i="21" a="1"/>
  <c r="E36" i="21" s="1"/>
  <c r="H36" i="21" a="1"/>
  <c r="H36" i="21" s="1"/>
  <c r="K36" i="21" a="1"/>
  <c r="K36" i="21" s="1"/>
  <c r="A37" i="21" a="1"/>
  <c r="A37" i="21" s="1"/>
  <c r="J37" i="21" a="1"/>
  <c r="J37" i="21" s="1"/>
  <c r="F37" i="21" a="1"/>
  <c r="F37" i="21" s="1"/>
  <c r="B42" i="21" a="1"/>
  <c r="B42" i="21" s="1"/>
  <c r="I42" i="21" a="1"/>
  <c r="I42" i="21" s="1"/>
  <c r="A42" i="21" a="1"/>
  <c r="A42" i="21" s="1"/>
  <c r="M47" i="21" a="1"/>
  <c r="M47" i="21" s="1"/>
  <c r="L47" i="21" a="1"/>
  <c r="L47" i="21" s="1"/>
  <c r="K47" i="21" a="1"/>
  <c r="K47" i="21" s="1"/>
  <c r="S72" i="21" l="1"/>
  <c r="R73" i="21"/>
  <c r="S76" i="21"/>
  <c r="R77" i="21"/>
  <c r="S77" i="21"/>
  <c r="R72" i="21"/>
  <c r="R69" i="21"/>
  <c r="R76" i="21"/>
  <c r="S69" i="21"/>
  <c r="R70" i="21"/>
  <c r="S68" i="21"/>
  <c r="R75" i="21"/>
  <c r="S70" i="21"/>
  <c r="R74" i="21"/>
  <c r="S75" i="21"/>
  <c r="S74" i="21"/>
  <c r="R71" i="21"/>
  <c r="S73"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<sst xmlns="http://schemas.openxmlformats.org/spreadsheetml/2006/main" count="2665" uniqueCount="1442">
  <si>
    <t>KADIOKO DSE SHEET</t>
  </si>
  <si>
    <t>Settings — all model assumptions are configurable here. Amber cells are user inputs; grey cells are calculated.</t>
  </si>
  <si>
    <t>Setting</t>
  </si>
  <si>
    <t>Value</t>
  </si>
  <si>
    <t>Notes / Description</t>
  </si>
  <si>
    <t>IDENTITY &amp; OPERATIONS</t>
  </si>
  <si>
    <t>Kadioko DSE Sheet</t>
  </si>
  <si>
    <t>Model / Formula Version</t>
  </si>
  <si>
    <t>Increment when scoring logic changes</t>
  </si>
  <si>
    <t>Default Language</t>
  </si>
  <si>
    <t>English</t>
  </si>
  <si>
    <t>English or Kiswahili (report narrative)</t>
  </si>
  <si>
    <t>Data Source Mode</t>
  </si>
  <si>
    <t>Manual CSV | Official Feed | Configured Endpoint</t>
  </si>
  <si>
    <t>Import Endpoint URL (optional)</t>
  </si>
  <si>
    <t>Used only by importFromConfiguredEndpoint()</t>
  </si>
  <si>
    <t>Last Import Date</t>
  </si>
  <si>
    <t>Written by Apps Script</t>
  </si>
  <si>
    <t>Last Successful Refresh</t>
  </si>
  <si>
    <t>SELECTIONS</t>
  </si>
  <si>
    <t>Selected Analysis Date</t>
  </si>
  <si>
    <t>Drives Daily Summary &amp; Market Sentiment</t>
  </si>
  <si>
    <t>Selected Symbol</t>
  </si>
  <si>
    <t>CRDB</t>
  </si>
  <si>
    <t>Drives Stock Analyzer</t>
  </si>
  <si>
    <t>Comparison Symbol A</t>
  </si>
  <si>
    <t>Compare sheet</t>
  </si>
  <si>
    <t>Comparison Symbol B</t>
  </si>
  <si>
    <t>NMB</t>
  </si>
  <si>
    <t>Report Week Number (ISO)</t>
  </si>
  <si>
    <t>Weekly Report</t>
  </si>
  <si>
    <t>Report Year</t>
  </si>
  <si>
    <t>Weekly &amp; Monthly Report</t>
  </si>
  <si>
    <t>Report Month (1-12)</t>
  </si>
  <si>
    <t>Monthly Report</t>
  </si>
  <si>
    <t>ANALYSIS WINDOWS (trading observations)</t>
  </si>
  <si>
    <t>Rolling B/O window</t>
  </si>
  <si>
    <t>Default 5 prior observations</t>
  </si>
  <si>
    <t>Rolling volume window</t>
  </si>
  <si>
    <t>Default 20 prior observations</t>
  </si>
  <si>
    <t>Momentum / price-return window</t>
  </si>
  <si>
    <t>Used for 5D return</t>
  </si>
  <si>
    <t>LIQUIDITY THRESHOLDS &amp; BENCHMARKS</t>
  </si>
  <si>
    <t>Minimum trading volume threshold</t>
  </si>
  <si>
    <t>Below this a counter is flagged Illiquid</t>
  </si>
  <si>
    <t>Minimum turnover threshold (TZS)</t>
  </si>
  <si>
    <t>Turnover benchmark = score 100 (TZS)</t>
  </si>
  <si>
    <t>Liquidity sub-score scaling</t>
  </si>
  <si>
    <t>Volume benchmark = score 100 (shares)</t>
  </si>
  <si>
    <t>Deals benchmark = score 100</t>
  </si>
  <si>
    <t>Minimum liquidity score to be ranked</t>
  </si>
  <si>
    <t>Stops illiquid counters topping rankings</t>
  </si>
  <si>
    <t>MARKET PRESSURE MODEL WEIGHTS (must total 100%)</t>
  </si>
  <si>
    <t>W1 - B/O position</t>
  </si>
  <si>
    <t>Order-book imbalance level</t>
  </si>
  <si>
    <t>W2 - B/O momentum</t>
  </si>
  <si>
    <t>Change in imbalance vs rolling average</t>
  </si>
  <si>
    <t>W3 - Price momentum</t>
  </si>
  <si>
    <t>Daily change %</t>
  </si>
  <si>
    <t>W4 - Volume confirmation</t>
  </si>
  <si>
    <t>Does volume confirm the price move?</t>
  </si>
  <si>
    <t>W5 - Book depth vs market cap</t>
  </si>
  <si>
    <t>Absolute size of book vs MCAP</t>
  </si>
  <si>
    <t>W6 - Liquidity confirmation</t>
  </si>
  <si>
    <t>Damps book signal for illiquid names</t>
  </si>
  <si>
    <t>Total weight check</t>
  </si>
  <si>
    <t>Must equal 100%</t>
  </si>
  <si>
    <t>SCORE CALIBRATION</t>
  </si>
  <si>
    <t>B/O ratio cap (x) = score 100</t>
  </si>
  <si>
    <t>B/O of 4.0x scores 100; 0.25x scores 0 (log scale)</t>
  </si>
  <si>
    <t>B/O momentum sensitivity (pts per 1%)</t>
  </si>
  <si>
    <t>50 + mom% x sensitivity</t>
  </si>
  <si>
    <t>Price momentum sensitivity (pts per 1%)</t>
  </si>
  <si>
    <t>A +5% move reaches score 100</t>
  </si>
  <si>
    <t>Volume ratio upside cap</t>
  </si>
  <si>
    <t>VolRatio of 2.0x = full confirmation</t>
  </si>
  <si>
    <t>Book depth benchmark (% of MCAP)</t>
  </si>
  <si>
    <t>Net bid-offer depth for a full-strength signal</t>
  </si>
  <si>
    <t>SIGNAL THRESHOLDS (Market Pressure Score)</t>
  </si>
  <si>
    <t>Extreme Sell Pressure below</t>
  </si>
  <si>
    <t>Sell Pressure below</t>
  </si>
  <si>
    <t>Neutral upper bound</t>
  </si>
  <si>
    <t>Buy Pressure upper bound</t>
  </si>
  <si>
    <t>Above this = Extreme Buy Pressure</t>
  </si>
  <si>
    <t>MOMENTUM STATUS THRESHOLDS (B/O momentum %)</t>
  </si>
  <si>
    <t>Strong Acceleration above</t>
  </si>
  <si>
    <t>Improving above</t>
  </si>
  <si>
    <t>Weakening below</t>
  </si>
  <si>
    <t>Strong Deterioration below</t>
  </si>
  <si>
    <t>DATA QUALITY</t>
  </si>
  <si>
    <t>Max expected daily change</t>
  </si>
  <si>
    <t>Larger moves raise a WARNING</t>
  </si>
  <si>
    <t>Minimum data confidence to trust score</t>
  </si>
  <si>
    <t>Below this scores are flagged Low Confidence</t>
  </si>
  <si>
    <t>KADIOKO DSE SHEET — SECURITY MASTER</t>
  </si>
  <si>
    <t>Add every DSE-listed instrument you track here. All analytics work for ANY symbol in this list (rows 4-43). Shares outstanding are indicative — verify against the official DSE register before relying on market-cap figures.</t>
  </si>
  <si>
    <t>Symbol</t>
  </si>
  <si>
    <t>Company / Security Name</t>
  </si>
  <si>
    <t>Security Type</t>
  </si>
  <si>
    <t>Sector</t>
  </si>
  <si>
    <t>Listed</t>
  </si>
  <si>
    <t>Active</t>
  </si>
  <si>
    <t>Currency</t>
  </si>
  <si>
    <t>Shares Outstanding</t>
  </si>
  <si>
    <t>Notes</t>
  </si>
  <si>
    <t>Data Source Identifier</t>
  </si>
  <si>
    <t>CRDB Bank PLC</t>
  </si>
  <si>
    <t>Ordinary Share</t>
  </si>
  <si>
    <t>Banking</t>
  </si>
  <si>
    <t>Yes</t>
  </si>
  <si>
    <t>TZS</t>
  </si>
  <si>
    <t>NMB Bank PLC</t>
  </si>
  <si>
    <t>TBL</t>
  </si>
  <si>
    <t>Tanzania Breweries Ltd</t>
  </si>
  <si>
    <t>Consumer Goods</t>
  </si>
  <si>
    <t>TCC</t>
  </si>
  <si>
    <t>TPCC</t>
  </si>
  <si>
    <t>Tanzania Portland Cement PLC (Twiga)</t>
  </si>
  <si>
    <t>TCCL</t>
  </si>
  <si>
    <t>Tanga Cement PLC</t>
  </si>
  <si>
    <t>DSE</t>
  </si>
  <si>
    <t>Dar es Salaam Stock Exchange PLC</t>
  </si>
  <si>
    <t>Financial Services</t>
  </si>
  <si>
    <t>VODA</t>
  </si>
  <si>
    <t>Vodacom Tanzania PLC</t>
  </si>
  <si>
    <t>Telecommunications</t>
  </si>
  <si>
    <t>SWIS</t>
  </si>
  <si>
    <t>Swissport Tanzania PLC</t>
  </si>
  <si>
    <t>JHL</t>
  </si>
  <si>
    <t>Jubilee Holdings Ltd</t>
  </si>
  <si>
    <t>Insurance</t>
  </si>
  <si>
    <t>Cross-listed</t>
  </si>
  <si>
    <t>TOL</t>
  </si>
  <si>
    <t>TOL Gases Ltd</t>
  </si>
  <si>
    <t>NICO</t>
  </si>
  <si>
    <t>Investment</t>
  </si>
  <si>
    <t>MBP</t>
  </si>
  <si>
    <t>Maendeleo Bank PLC</t>
  </si>
  <si>
    <t>MKCB</t>
  </si>
  <si>
    <t>Mkombozi Commercial Bank PLC</t>
  </si>
  <si>
    <t>MUCOBA</t>
  </si>
  <si>
    <t>YETU</t>
  </si>
  <si>
    <t>Yetu Microfinance Bank PLC</t>
  </si>
  <si>
    <t>PAL</t>
  </si>
  <si>
    <t>Precision Air Services PLC</t>
  </si>
  <si>
    <t>ETF</t>
  </si>
  <si>
    <t>KADIOKO DSE SHEET — DAILY DATA (MASTER OBSERVATION TABLE)</t>
  </si>
  <si>
    <t>Date</t>
  </si>
  <si>
    <t>Open</t>
  </si>
  <si>
    <t>Previous Close</t>
  </si>
  <si>
    <t>Close</t>
  </si>
  <si>
    <t>High</t>
  </si>
  <si>
    <t>Low</t>
  </si>
  <si>
    <t>Change %</t>
  </si>
  <si>
    <t>Turnover TZS</t>
  </si>
  <si>
    <t>Deals</t>
  </si>
  <si>
    <t>Volume</t>
  </si>
  <si>
    <t>Outstanding Bid Qty</t>
  </si>
  <si>
    <t>Outstanding Offer Qty</t>
  </si>
  <si>
    <t>Market Cap TZS</t>
  </si>
  <si>
    <t>Source</t>
  </si>
  <si>
    <t>Imported At</t>
  </si>
  <si>
    <t>Import Run ID</t>
  </si>
  <si>
    <t>Validation Status</t>
  </si>
  <si>
    <t>B/O Ratio</t>
  </si>
  <si>
    <t>Bid Value</t>
  </si>
  <si>
    <t>Offer Value</t>
  </si>
  <si>
    <t>Bid % of MCAP</t>
  </si>
  <si>
    <t>Offer % of MCAP</t>
  </si>
  <si>
    <t>Average Trade Volume</t>
  </si>
  <si>
    <t>Average Deal Value</t>
  </si>
  <si>
    <t>5D Average B/O</t>
  </si>
  <si>
    <t>B/O Momentum %</t>
  </si>
  <si>
    <t>20D Average Volume</t>
  </si>
  <si>
    <t>Volume Ratio</t>
  </si>
  <si>
    <t>5D Price Return</t>
  </si>
  <si>
    <t>20D Price Return</t>
  </si>
  <si>
    <t>Daily Range %</t>
  </si>
  <si>
    <t>Liquidity Score</t>
  </si>
  <si>
    <t>Market Pressure Score</t>
  </si>
  <si>
    <t>Data Confidence Score</t>
  </si>
  <si>
    <t>Signal</t>
  </si>
  <si>
    <t>Obs Index</t>
  </si>
  <si>
    <t>Year</t>
  </si>
  <si>
    <t>ISO Week</t>
  </si>
  <si>
    <t>Month</t>
  </si>
  <si>
    <t>P1 B/O Position</t>
  </si>
  <si>
    <t>P2 B/O Momentum</t>
  </si>
  <si>
    <t>P3 Price Momentum</t>
  </si>
  <si>
    <t>P4 Volume Confirm</t>
  </si>
  <si>
    <t>P5 Book Depth/MCAP</t>
  </si>
  <si>
    <t>P6 Liquidity Confirm</t>
  </si>
  <si>
    <t>Row Key</t>
  </si>
  <si>
    <t>KADIOKO DSE SHEET — DAILY MARKET SUMMARY</t>
  </si>
  <si>
    <t>Everything below is derived from the Daily Data master table for the single trading date selected in Settings.</t>
  </si>
  <si>
    <t>Analysis Date</t>
  </si>
  <si>
    <t>← change the date in Settings!C13</t>
  </si>
  <si>
    <t>MARKET AGGREGATES</t>
  </si>
  <si>
    <t>Total Market Turnover (TZS)</t>
  </si>
  <si>
    <t>Total Volume (shares)</t>
  </si>
  <si>
    <t>Total Deals</t>
  </si>
  <si>
    <t>Number of Counters Traded</t>
  </si>
  <si>
    <t>Total Outstanding Bid Qty</t>
  </si>
  <si>
    <t>Total Outstanding Offer Qty</t>
  </si>
  <si>
    <t>Market B/O Ratio</t>
  </si>
  <si>
    <t>Total Market Capitalisation (TZS)</t>
  </si>
  <si>
    <t>Gainers</t>
  </si>
  <si>
    <t>Losers</t>
  </si>
  <si>
    <t>Unchanged</t>
  </si>
  <si>
    <t>Median Stock Return</t>
  </si>
  <si>
    <t>Average Market Pressure Score</t>
  </si>
  <si>
    <t>Average Data Confidence Score</t>
  </si>
  <si>
    <t>Observations Recorded</t>
  </si>
  <si>
    <t>MARKET EXTREMES (liquidity-filtered where noted)</t>
  </si>
  <si>
    <t>Strongest B/O Ratio</t>
  </si>
  <si>
    <t>Weakest B/O Ratio</t>
  </si>
  <si>
    <t>Largest B/O Momentum (liquid only)</t>
  </si>
  <si>
    <t>Highest Volume Ratio (liquid only)</t>
  </si>
  <si>
    <t>Highest Market Pressure Score</t>
  </si>
  <si>
    <t>Lowest Market Pressure Score</t>
  </si>
  <si>
    <t>TOP 5 BY TURNOVER</t>
  </si>
  <si>
    <t>Turnover (TZS)</t>
  </si>
  <si>
    <t>TOP 5 BY VOLUME</t>
  </si>
  <si>
    <t>TOP 5 GAINERS</t>
  </si>
  <si>
    <t>TOP 5 LOSERS</t>
  </si>
  <si>
    <t>KADIOKO DSE SHEET — MARKET SENTIMENT</t>
  </si>
  <si>
    <t>Order-book pressure for every security on the selected date. Bid/Offer figures are OUTSTANDING ORDER QUANTITIES — they are not "buyers" or "sellers", and a high pressure score is not a buy recommendation.</t>
  </si>
  <si>
    <t>← set in Settings!C13</t>
  </si>
  <si>
    <t>Company / Security</t>
  </si>
  <si>
    <t>Signal (pressure, not advice)</t>
  </si>
  <si>
    <t>Data Confidence</t>
  </si>
  <si>
    <t>Src Row</t>
  </si>
  <si>
    <t>KADIOKO DSE SHEET — STOCK ANALYZER</t>
  </si>
  <si>
    <t>Full observation history for one security. Change the security in Settings!C14 (dropdown). The most recent observation is always the last row of the table (row 109).</t>
  </si>
  <si>
    <t>Selected Security</t>
  </si>
  <si>
    <t>Current Price</t>
  </si>
  <si>
    <t>5D Return</t>
  </si>
  <si>
    <t>20D Return</t>
  </si>
  <si>
    <t>Current B/O</t>
  </si>
  <si>
    <t>5D Avg B/O</t>
  </si>
  <si>
    <t>B/O Momentum</t>
  </si>
  <si>
    <t>Market Pressure</t>
  </si>
  <si>
    <t>HISTORICAL OBSERVATIONS (oldest first — latest observation is the final row)</t>
  </si>
  <si>
    <t>Obs #</t>
  </si>
  <si>
    <t>Liquidity</t>
  </si>
  <si>
    <t>CHART FEED — calculated, do not edit</t>
  </si>
  <si>
    <t>KADIOKO DSE SHEET — MOMENTUM SCANNER</t>
  </si>
  <si>
    <t>Market-wide order-book and price momentum for the selected date. Counters below the liquidity floor (Settings!C30) or the minimum volume threshold (Settings!C25) are marked Illiquid and are excluded from the ranking so distorted ratios cannot top the table.</t>
  </si>
  <si>
    <t>Current Volume</t>
  </si>
  <si>
    <t>20D Avg Volume</t>
  </si>
  <si>
    <t>Momentum Status</t>
  </si>
  <si>
    <t>Rank</t>
  </si>
  <si>
    <t>Eligible</t>
  </si>
  <si>
    <t>KADIOKO DSE SHEET — SECURITY COMPARISON</t>
  </si>
  <si>
    <t>Compare ANY two securities in the Symbols master. Choose them in Settings!C15 and Settings!C16. Nothing here is hardcoded to a particular counter.</t>
  </si>
  <si>
    <t>Security A</t>
  </si>
  <si>
    <t>Security B</t>
  </si>
  <si>
    <t>Src Row A</t>
  </si>
  <si>
    <t>Src Row B</t>
  </si>
  <si>
    <t>Metric</t>
  </si>
  <si>
    <t>Difference (A − B)</t>
  </si>
  <si>
    <t>Close Price</t>
  </si>
  <si>
    <t>Market Capitalisation (TZS)</t>
  </si>
  <si>
    <t>Daily Change %</t>
  </si>
  <si>
    <t>A Close</t>
  </si>
  <si>
    <t>B Close</t>
  </si>
  <si>
    <t>Rebase bases</t>
  </si>
  <si>
    <t>New Date Flag</t>
  </si>
  <si>
    <t>MARKET TREND THRESHOLDS (average daily change across the period)</t>
  </si>
  <si>
    <t>Bullish above (avg daily change)</t>
  </si>
  <si>
    <t>Above this the period is labelled Bullish</t>
  </si>
  <si>
    <t>Mildly Bullish above (avg daily change)</t>
  </si>
  <si>
    <t>Mirror negatives are used for Bearish / Mildly Bearish</t>
  </si>
  <si>
    <t>KADIOKO DSE SHEET — WEEKLY REPORT</t>
  </si>
  <si>
    <t>All figures are aggregated from the Daily Data master table for the selected weekly. Set the period in Settings.</t>
  </si>
  <si>
    <t>ISO Week Number</t>
  </si>
  <si>
    <t>← set in Settings</t>
  </si>
  <si>
    <t>WEEKLY AGGREGATES</t>
  </si>
  <si>
    <t>Total Turnover (TZS)</t>
  </si>
  <si>
    <t>Total Volume</t>
  </si>
  <si>
    <t>Active Trading Days</t>
  </si>
  <si>
    <t>Average Daily Turnover (TZS)</t>
  </si>
  <si>
    <t>Period B/O Ratio</t>
  </si>
  <si>
    <t>Average Daily Change</t>
  </si>
  <si>
    <t>Market Trend</t>
  </si>
  <si>
    <t>WEEKLY LEADERS</t>
  </si>
  <si>
    <t>Best Performing Counter</t>
  </si>
  <si>
    <t>Worst Performing Counter</t>
  </si>
  <si>
    <t>Highest Turnover Counter</t>
  </si>
  <si>
    <t>Highest Volume Counter</t>
  </si>
  <si>
    <t>Strongest B/O Momentum (liquid only)</t>
  </si>
  <si>
    <t>Most Liquid Counter</t>
  </si>
  <si>
    <t>Avg B/O</t>
  </si>
  <si>
    <t>Period Return</t>
  </si>
  <si>
    <t>Avg Market Pressure</t>
  </si>
  <si>
    <t>Avg Liquidity</t>
  </si>
  <si>
    <t>B/O Momentum (last day)</t>
  </si>
  <si>
    <t>Min Obs #</t>
  </si>
  <si>
    <t>Max Obs #</t>
  </si>
  <si>
    <t>First Prev Close</t>
  </si>
  <si>
    <t>Last Close</t>
  </si>
  <si>
    <t>PER-SECURITY WEEKLY RANKING TABLE</t>
  </si>
  <si>
    <t>KADIOKO DSE SHEET — MONTHLY REPORT</t>
  </si>
  <si>
    <t>All figures are aggregated from the Daily Data master table for the selected monthly. Set the period in Settings.</t>
  </si>
  <si>
    <t>Month (1-12)</t>
  </si>
  <si>
    <t>MONTHLY AGGREGATES</t>
  </si>
  <si>
    <t>MONTHLY LEADERS</t>
  </si>
  <si>
    <t>PER-SECURITY MONTHLY RANKING TABLE</t>
  </si>
  <si>
    <t>AUTOMATED NARRATIVE SUMMARY (language follows Settings!C7)</t>
  </si>
  <si>
    <t>KADIOKO DSE SHEET — DATA QUALITY</t>
  </si>
  <si>
    <t>Every row of Daily Data is checked automatically. Bad data is never silently accepted — the overall status is written back to Daily Data column R and reduces the Data Confidence Score.</t>
  </si>
  <si>
    <t>ERRORS</t>
  </si>
  <si>
    <t>WARNINGS</t>
  </si>
  <si>
    <t>PASSED ROWS</t>
  </si>
  <si>
    <t>ROWS CHECKED</t>
  </si>
  <si>
    <t>Daily Data Row</t>
  </si>
  <si>
    <t>Duplicate Symbol/Date</t>
  </si>
  <si>
    <t>Missing Symbol</t>
  </si>
  <si>
    <t>Missing Date</t>
  </si>
  <si>
    <t>Negative or Zero Price</t>
  </si>
  <si>
    <t>Negative Volume</t>
  </si>
  <si>
    <t>Negative Turnover</t>
  </si>
  <si>
    <t>Negative Bid</t>
  </si>
  <si>
    <t>Negative Offer</t>
  </si>
  <si>
    <t>Close Outside High/Low</t>
  </si>
  <si>
    <t>Previous Close Mismatch</t>
  </si>
  <si>
    <t>Missing Market Cap</t>
  </si>
  <si>
    <t>Change Above Threshold</t>
  </si>
  <si>
    <t>Suspicious Zero Values</t>
  </si>
  <si>
    <t>Duplicate Import</t>
  </si>
  <si>
    <t>Missing Deals</t>
  </si>
  <si>
    <t>Errors</t>
  </si>
  <si>
    <t>Warnings</t>
  </si>
  <si>
    <t>Overall Status</t>
  </si>
  <si>
    <t>KADIOKO DSE SHEET — INVESTOR DASHBOARD</t>
  </si>
  <si>
    <t>Dar es Salaam Stock Exchange · all figures derived from the Daily Data master table</t>
  </si>
  <si>
    <t>← set the date and the focus security in Settings (C13 / C14)</t>
  </si>
  <si>
    <t>Focus Security</t>
  </si>
  <si>
    <t>Market Turnover (TZS)</t>
  </si>
  <si>
    <t>Market Volume</t>
  </si>
  <si>
    <t>Market B/O</t>
  </si>
  <si>
    <t>Category</t>
  </si>
  <si>
    <t>Counters</t>
  </si>
  <si>
    <t>A daily market-analysis workbook for the Dar es Salaam Stock Exchange (DSE). It stores every market observation once, in a single master table, and derives every summary, score, report and chart from that one table. Built to run in Google Sheets, and kept compatible with Microsoft Excel 365.</t>
  </si>
  <si>
    <t>1. WHAT THIS WORKBOOK IS</t>
  </si>
  <si>
    <t>Kadioko DSE Sheet turns raw end-of-day DSE data (price, turnover, volume, deals, outstanding bid and offer quantities, market capitalisation) into daily summaries, order-book pressure scores, momentum rankings, liquidity measures, weekly and monthly reports, and an investor dashboard.</t>
  </si>
  <si>
    <t>There is exactly ONE source of truth: the 'Daily Data' sheet. One row = one security on one trading date. Nothing is ever copied by hand between sheets. If a number looks wrong anywhere, it is fixed in Daily Data (or in Settings) and the whole workbook updates.</t>
  </si>
  <si>
    <t>2. HOW TO ENTER OR IMPORT DATA</t>
  </si>
  <si>
    <t>Manual entry — type or paste raw values into Daily Data columns A to Q (Date … Validation Status). Columns R to AV are formulas and fill themselves; never type over them.</t>
  </si>
  <si>
    <t>CSV import — use the layout on the 'CSV Template' sheet. Column order must match exactly. Paste new rows underneath the last populated row, starting in column A.</t>
  </si>
  <si>
    <t>Google Apps Script — copy the code from the 'Apps Script' sheet into your Sheet's script editor. manualCsvImport() loads a CSV from Drive; importFromOfficialFeed() is the adapter for a licensed DSE data feed. Imports are idempotent: the same Symbol + Date is never inserted twice.</t>
  </si>
  <si>
    <t>Add a new security to the 'Symbols' sheet BEFORE importing its first observation, otherwise it will not appear on the sentiment, momentum or report sheets.</t>
  </si>
  <si>
    <t>3. WHICH CELLS YOU MAY EDIT</t>
  </si>
  <si>
    <t>GREEN text on a light-grey background = a linked value pulled from Settings. Do not type over it; change it in Settings.</t>
  </si>
  <si>
    <t>BLUE text on a pale-yellow background = an input you are meant to change (Settings sheet, and the shares-outstanding column on Symbols).</t>
  </si>
  <si>
    <t>BLACK text = a calculated cell. Do not overwrite it.</t>
  </si>
  <si>
    <t>Daily Data columns A–Q are raw data you enter or import. Columns R–AV are calculated.</t>
  </si>
  <si>
    <t>4. HOW TO SELECT A DATE</t>
  </si>
  <si>
    <t>Settings!C13 is the single analysis date used by Daily Summary, Market Sentiment, Momentum, Compare and the Dashboard. Type a trading date there (format yyyy-mm-dd). If no observations exist for that date, the sheets will simply show blanks rather than wrong numbers.</t>
  </si>
  <si>
    <t>5. HOW TO SELECT A STOCK</t>
  </si>
  <si>
    <t>Settings!C14 drives the Stock Analyzer (dropdown, sourced from the Symbols sheet). Settings!C15 and C16 drive the Compare sheet. Any security in the Symbols master can be selected — nothing is hardcoded to CRDB, NMB or any other counter.</t>
  </si>
  <si>
    <t>6. HOW TO COMPARE TWO SECURITIES</t>
  </si>
  <si>
    <t>Set Security A in Settings!C15 and Security B in Settings!C16, then open the Compare sheet. It shows a side-by-side metric table with the A − B difference, plus four overlay charts: a rebased price index (each series = 100 at its first observation in the window, so counters with very different price levels can be compared), volume, B/O ratio and market pressure.</t>
  </si>
  <si>
    <t>7. HOW THE WEEKLY AND MONTHLY REPORTS WORK</t>
  </si>
  <si>
    <t>Weekly Report reads the ISO week number from Settings!C17 and the year from Settings!C18. Monthly Report reads the month number from Settings!C19 and the same year. Both aggregate straight from Daily Data, build a per-security ranking table, pick the leaders from that table, and write an automated narrative summary in English or Kiswahili depending on Settings!C7.</t>
  </si>
  <si>
    <t>8. THE ANALYTICAL SCORES, IN PLAIN LANGUAGE</t>
  </si>
  <si>
    <t>Outstanding bid quantity divided by outstanding offer quantity. Above 1.0 means more shares are queued to buy than to sell at the close; below 1.0 means the opposite. If there is no offer quantity the cell is left blank rather than dividing by zero.</t>
  </si>
  <si>
    <t>Today's B/O ratio compared with the average of the previous 5 trading observations for the same security (window configurable). It answers: is demand pressure building or fading? Blank until there is enough history — the workbook never invents a value.</t>
  </si>
  <si>
    <t>Today's volume divided by the security's own 20-day average volume. 1.00x is a normal day; 3.00x means three times normal activity.</t>
  </si>
  <si>
    <t>Liquidity Score (0–100)</t>
  </si>
  <si>
    <t>An equally-weighted average of three components: turnover, volume and number of deals, each measured against a benchmark set in Settings and capped at 100. It exists so that thin, rarely-traded counters cannot dominate rankings on the strength of a distorted ratio.</t>
  </si>
  <si>
    <t>Market Pressure Score (0–100)</t>
  </si>
  <si>
    <t>0 = extreme sell-side pressure, 50 = balanced, 100 = extreme buy-side pressure. It is a weighted blend of six separately-calculated component scores (order-book position, B/O momentum, price momentum, volume confirmation, book depth relative to market cap, and a liquidity adjustment). Every component is visible in Daily Data columns AO–AT, and every weight is editable in Settings.</t>
  </si>
  <si>
    <t>A high Market Pressure Score is NOT a buy recommendation. It means demand pressure is strong. A low score means supply pressure is strong. That is all it means.</t>
  </si>
  <si>
    <t>Plain-language wording of the pressure score only: Extreme Sell Pressure, Sell Pressure, Neutral, Buy Pressure, Extreme Buy Pressure. Thresholds are in Settings!C46:C49.</t>
  </si>
  <si>
    <t>Data Confidence Score (0–100)</t>
  </si>
  <si>
    <t>How much of the underlying input was actually available: market cap, bid and offer quantities, deals, and enough history for the rolling windows, less a penalty for any data-quality error or warning on that row. A score below Settings!C57 flags the row as low confidence.</t>
  </si>
  <si>
    <t>9. REFRESHING IMPORTED DATA</t>
  </si>
  <si>
    <t>Excel: data refreshes automatically on recalculation. Press F9 if calculation is set to manual.</t>
  </si>
  <si>
    <t>Google Sheets: run refreshAll() from the Kadioko menu, or let the time-driven trigger (createDailyTrigger) run it on a schedule.</t>
  </si>
  <si>
    <t>After any import, open the Data Quality sheet and check the ERROR and WARNING counters at the top before trusting the analytics.</t>
  </si>
  <si>
    <t>10. DISCLAIMER</t>
  </si>
  <si>
    <t>Kadioko DSE Sheet is a decision-support tool. The scores, signals and rankings it produces are descriptive summaries of historical order-book and trading data. They are not investment advice, not a recommendation to buy or sell any security, and not a guarantee of future performance. Data may be incomplete, delayed or wrong. Always verify against official DSE publications before acting. Users are responsible for their own investment decisions and for complying with any licensing terms attached to the data they load into this workbook.</t>
  </si>
  <si>
    <t>METHODOLOGY — HOW EVERY NUMBER IS CALCULATED</t>
  </si>
  <si>
    <t>This sheet documents every derived field in Kadioko DSE Sheet. Column letters refer to the Daily Data sheet, where data rows run from row 4 to row 503. Every threshold, window and weight named below lives in Settings and can be changed without editing a single formula.</t>
  </si>
  <si>
    <t>1. ORDER-BOOK MEASURES</t>
  </si>
  <si>
    <t>B/O Ratio (column S)</t>
  </si>
  <si>
    <t>S = IF(Outstanding Offer Qty &gt; 0, Outstanding Bid Qty / Outstanding Offer Qty, blank)</t>
  </si>
  <si>
    <t>Division by zero is impossible: when the offer quantity is zero or missing the cell is left blank and every downstream score treats it as unavailable rather than as infinity.</t>
  </si>
  <si>
    <t>Bid Value (T) and Offer Value (U)</t>
  </si>
  <si>
    <t>T = Outstanding Bid Qty × Close     U = Outstanding Offer Qty × Close</t>
  </si>
  <si>
    <t>Bid % of Market Cap (V) and Offer % of Market Cap (W)</t>
  </si>
  <si>
    <t>V = Bid Value / Market Cap          W = Offer Value / Market Cap    (blank when Market Cap ≤ 0)</t>
  </si>
  <si>
    <t>These express the size of the resting order book relative to the size of the company. A 0.20% bid book on a large bank is a far bigger commitment of capital than the same percentage on a micro-cap.</t>
  </si>
  <si>
    <t>Rolling B/O Average (Z)</t>
  </si>
  <si>
    <t>Z = AVERAGEIFS(B/O ratio for the SAME symbol, over the previous N observations)   N = Settings!C21 (default 5)</t>
  </si>
  <si>
    <t>The window is counted in trading observations for that specific security, not calendar days, so a counter that does not trade every day is still averaged over its own last five observations. If the security has fewer than N prior observations the cell stays blank — the workbook does not fabricate history.</t>
  </si>
  <si>
    <t>B/O Momentum % (AA)</t>
  </si>
  <si>
    <t>AA = (Current B/O ÷ Rolling B/O Average) − 1     (displayed as a percentage)</t>
  </si>
  <si>
    <t>+50% means the current order-book imbalance is half as strong again as its recent norm. Blank whenever either input is unavailable.</t>
  </si>
  <si>
    <t>2. ACTIVITY AND LIQUIDITY MEASURES</t>
  </si>
  <si>
    <t>Average Trade Volume (X) and Average Deal Value (Y)</t>
  </si>
  <si>
    <t>X = Volume / Deals        Y = Turnover / Deals      (blank when Deals = 0)</t>
  </si>
  <si>
    <t>20-Day Average Volume (AB) and Volume Ratio (AC)</t>
  </si>
  <si>
    <t>AB = average Volume over the previous M observations for the same symbol   M = Settings!C22 (default 20)</t>
  </si>
  <si>
    <t>AC = Current Volume / AB</t>
  </si>
  <si>
    <t>5D and 20D Price Return (AD, AE)</t>
  </si>
  <si>
    <t>AD = Close ÷ Close(N observations ago) − 1        AE = Close ÷ Close(M observations ago) − 1</t>
  </si>
  <si>
    <t>Daily Range % (AF)</t>
  </si>
  <si>
    <t>AF = (High − Low) / Close</t>
  </si>
  <si>
    <t>Liquidity Score (AG), 0–100</t>
  </si>
  <si>
    <t>turnover component = MIN(100, 100 × Turnover / Settings!C27)</t>
  </si>
  <si>
    <t>volume component   = MIN(100, 100 × Volume   / Settings!C28)</t>
  </si>
  <si>
    <t>deals component    = MIN(100, 100 × Deals    / Settings!C29)</t>
  </si>
  <si>
    <t>AG = average of the three components</t>
  </si>
  <si>
    <t>Equal weighting is deliberate: it keeps the score readable. Raise or lower the three benchmarks in Settings to re-calibrate the whole market at once.</t>
  </si>
  <si>
    <t>3. MARKET PRESSURE SCORE (AH), 0–100</t>
  </si>
  <si>
    <t>0 = extreme sell-side pressure · 50 = balanced · 100 = extreme buy-side pressure. Six component scores are calculated separately in columns AO to AT, each on the same 0–100 scale, then blended using the weights in Settings!C32:C37. Nothing is hidden inside a single mega-formula.</t>
  </si>
  <si>
    <t>P1 — Order-book position (AO), default weight 30%</t>
  </si>
  <si>
    <t>P2 — B/O momentum (AP), default weight 20%</t>
  </si>
  <si>
    <t>AP = clamp( 50 + B/O Momentum % × 100 × Settings!C41 , 0, 100 )     default sensitivity 0.5 points per 1%</t>
  </si>
  <si>
    <t>When momentum cannot be calculated (not enough history) this component is set to a neutral 50, and the Data Confidence Score for that row is reduced so the user can see the score is running on thinner information.</t>
  </si>
  <si>
    <t>P3 — Price momentum (AQ), default weight 15%</t>
  </si>
  <si>
    <t>AQ = clamp( 50 + Change % × 100 × Settings!C42 , 0, 100 )           default 10 points per 1%, so ±5% saturates</t>
  </si>
  <si>
    <t>P4 — Volume confirmation (AR), default weight 15%</t>
  </si>
  <si>
    <t>intensity = clamp( (Volume Ratio − 1) / Settings!C43 , 0, 1 )</t>
  </si>
  <si>
    <t>AR = clamp( 50 + SIGN(Change %) × 50 × intensity , 0, 100 )</t>
  </si>
  <si>
    <t>Volume alone has no direction. This component only amplifies the direction the price actually moved: heavy volume on an up day pushes the score above 50, heavy volume on a down day pushes it below 50, and a quiet day leaves it near neutral.</t>
  </si>
  <si>
    <t>P5 — Book depth relative to market cap (AS), default weight 10%</t>
  </si>
  <si>
    <t>AS = clamp( 50 + 50 × (Bid % of MCAP − Offer % of MCAP) / Settings!C44 , 0, 100 )</t>
  </si>
  <si>
    <t>Unlike P1, which is a pure ratio, this measures the absolute imbalance as a share of company value. Settings!C44 (default 0.05% of market cap) is the imbalance that saturates the component.</t>
  </si>
  <si>
    <t>P6 — Liquidity adjustment (AT), default weight 10%</t>
  </si>
  <si>
    <t>AT = 50 + (Liquidity Score / 100) × (P1 − 50)</t>
  </si>
  <si>
    <t>This deliberately pulls illiquid counters back toward neutral. A 10x B/O ratio built on two small orders is not the same evidence as a 10x ratio on a heavily-traded counter, and the score should not pretend otherwise.</t>
  </si>
  <si>
    <t>Blending</t>
  </si>
  <si>
    <t>AH = (w1×P1 + w2×P2 + w3×P3 + w4×P4 + w5×P5 + w6×P6) / (w1+…+w6)</t>
  </si>
  <si>
    <t>Weights live in Settings!C32:C37 and are checked against 100% in Settings!C38. Because the divisor is the sum of the weights, the score stays on a 0–100 scale even if you change the weights so they no longer add to exactly 100%.</t>
  </si>
  <si>
    <t>The initial weights are a model, not a fact. They are a starting calibration to be reviewed against DSE behaviour over time — that is precisely why they are inputs and not constants.</t>
  </si>
  <si>
    <t>Signal (AJ)</t>
  </si>
  <si>
    <t>&lt; C46 Extreme Sell Pressure · &lt; C47 Sell Pressure · ≤ C48 Neutral · ≤ C49 Buy Pressure · else Extreme Buy Pressure</t>
  </si>
  <si>
    <t>The signal describes ORDER-BOOK PRESSURE ONLY. It is deliberately worded so that it can never be mistaken for a buy or sell instruction.</t>
  </si>
  <si>
    <t>4. DATA CONFIDENCE SCORE (AI), 0–100</t>
  </si>
  <si>
    <t>5. MOMENTUM STATUS (Momentum sheet)</t>
  </si>
  <si>
    <t>Evaluated in strict order, so an illiquid counter can never be ranked on a distorted ratio:</t>
  </si>
  <si>
    <t>No Observation — the security has no row for the selected date.</t>
  </si>
  <si>
    <t>Illiquid — Liquidity Score below Settings!C30, or Volume below Settings!C25. Excluded from the ranking.</t>
  </si>
  <si>
    <t>Insufficient Data — not enough history yet for a rolling B/O average or momentum figure.</t>
  </si>
  <si>
    <t>Strong Acceleration / Improving / Neutral / Weakening / Strong Deterioration — thresholds in Settings!C51:C54, applied to B/O Momentum %.</t>
  </si>
  <si>
    <t>Rank is a dense competition rank over eligible counters only, ordered by B/O Momentum % descending.</t>
  </si>
  <si>
    <t>6. WEEKLY AND MONTHLY TREND</t>
  </si>
  <si>
    <t>Period Return per security = Last Close of period ÷ Previous Close on the first day of the period − 1</t>
  </si>
  <si>
    <t>Using the previous close of the first observation (rather than that day's close) captures the whole period including its opening gap.</t>
  </si>
  <si>
    <t>Market Trend = classification of the average daily change across all observations in the period</t>
  </si>
  <si>
    <t>&gt; Settings!C59 Bullish · &gt; C60 Mildly Bullish · &lt; −C59 Bearish · &lt; −C60 Mildly Bearish · otherwise Flat</t>
  </si>
  <si>
    <t>Active trading days are counted from a first-occurrence flag on each date (Daily Data column AV), so the same date is never counted twice however many securities traded on it.</t>
  </si>
  <si>
    <t>7. DATA QUALITY</t>
  </si>
  <si>
    <t>Every row of Daily Data is tested by fourteen independent checks on the Data Quality sheet. Each returns OK, WARNING or ERROR. ERROR covers structural faults that make a row untrustworthy: duplicate symbol+date, missing symbol, missing or non-numeric date, negative or zero prices, negative volume, turnover, bid or offer, and a close outside the day's high/low range. WARNING covers suspicious but survivable conditions: previous-close mismatch against the prior observation, missing market cap, a daily change larger than Settings!C56, suspicious zero values, a duplicate import of the same key under the same run ID, and missing deals. The overall row status is written back to Daily Data column R and feeds the Data Confidence Score.</t>
  </si>
  <si>
    <t>8. KNOWN LIMITATIONS</t>
  </si>
  <si>
    <t>Outstanding bid and offer quantities are end-of-day snapshots of resting orders. They are not a count of buyers or sellers, and they say nothing about orders that were cancelled or filled during the session.</t>
  </si>
  <si>
    <t>Rolling windows count observations, not calendar days. For an infrequently-traded counter a '5-day' average may span several weeks.</t>
  </si>
  <si>
    <t>All scores are descriptive statistics of past data. They carry no forecasting guarantee.</t>
  </si>
  <si>
    <t>The sample rows shipped with this workbook are TEST FIXTURES dated 2026-08-11, provided only to prove the formulas. They are not current market prices.</t>
  </si>
  <si>
    <t>KADIOKO DSE SHEET — GOOGLE APPS SCRIPT MODULES</t>
  </si>
  <si>
    <t>//// FILE: Code.gs ////</t>
  </si>
  <si>
    <t>/**</t>
  </si>
  <si>
    <t xml:space="preserve"> * KADIOKO DSE SHEET - Code.gs (core)</t>
  </si>
  <si>
    <t xml:space="preserve"> * Menu, configuration access, logging and the master refresh routine.</t>
  </si>
  <si>
    <t xml:space="preserve"> * Paste this file into Extensions &gt; Apps Script in Google Sheets.</t>
  </si>
  <si>
    <t xml:space="preserve"> */</t>
  </si>
  <si>
    <t xml:space="preserve"> </t>
  </si>
  <si>
    <t>var SHEET_DAILY    = 'Daily Data';</t>
  </si>
  <si>
    <t>var SHEET_SETTINGS = 'Settings';</t>
  </si>
  <si>
    <t>var SHEET_SYMBOLS  = 'Symbols';</t>
  </si>
  <si>
    <t>var SHEET_LOG      = 'Import Log';</t>
  </si>
  <si>
    <t>var DATA_FIRST_ROW = 4;</t>
  </si>
  <si>
    <t>var DATA_LAST_ROW  = 503;</t>
  </si>
  <si>
    <t>function onOpen() {</t>
  </si>
  <si>
    <t xml:space="preserve">  SpreadsheetApp.getUi()</t>
  </si>
  <si>
    <t xml:space="preserve">    .createMenu('Kadioko')</t>
  </si>
  <si>
    <t xml:space="preserve">    .addItem('Import CSV from Drive...', 'manualCsvImportPrompt')</t>
  </si>
  <si>
    <t xml:space="preserve">    .addItem('Import from official feed', 'importFromOfficialFeed')</t>
  </si>
  <si>
    <t xml:space="preserve">    .addSeparator()</t>
  </si>
  <si>
    <t xml:space="preserve">    .addItem('Validate data', 'validateData')</t>
  </si>
  <si>
    <t xml:space="preserve">    .addItem('Refresh everything', 'refreshAll')</t>
  </si>
  <si>
    <t xml:space="preserve">    .addItem('Create daily trigger', 'createDailyTrigger')</t>
  </si>
  <si>
    <t xml:space="preserve">    .addItem('Remove Kadioko triggers', 'removeAllTriggers')</t>
  </si>
  <si>
    <t xml:space="preserve">    .addToUi();</t>
  </si>
  <si>
    <t>}</t>
  </si>
  <si>
    <t>/** Reads a Settings value by its label in column B. Returns null if absent. */</t>
  </si>
  <si>
    <t>function getSetting(label) {</t>
  </si>
  <si>
    <t xml:space="preserve">  var sh = SpreadsheetApp.getActive().getSheetByName(SHEET_SETTINGS);</t>
  </si>
  <si>
    <t xml:space="preserve">  var v  = sh.getRange('B1:C80').getValues();</t>
  </si>
  <si>
    <t xml:space="preserve">  for (var i = 0; i &lt; v.length; i++) {</t>
  </si>
  <si>
    <t xml:space="preserve">    if (String(v[i][0]).trim().toLowerCase() === String(label).trim().toLowerCase()) return v[i][1];</t>
  </si>
  <si>
    <t xml:space="preserve">  }</t>
  </si>
  <si>
    <t xml:space="preserve">  return null;</t>
  </si>
  <si>
    <t>function setSetting(label, value) {</t>
  </si>
  <si>
    <t xml:space="preserve">  var v  = sh.getRange('B1:B80').getValues();</t>
  </si>
  <si>
    <t xml:space="preserve">    if (String(v[i][0]).trim().toLowerCase() === String(label).trim().toLowerCase()) {</t>
  </si>
  <si>
    <t xml:space="preserve">      sh.getRange(i + 1, 3).setValue(value);</t>
  </si>
  <si>
    <t xml:space="preserve">      return true;</t>
  </si>
  <si>
    <t xml:space="preserve">    }</t>
  </si>
  <si>
    <t xml:space="preserve">  return false;</t>
  </si>
  <si>
    <t>function logEvent(action, status, detail) {</t>
  </si>
  <si>
    <t xml:space="preserve">  var ss = SpreadsheetApp.getActive();</t>
  </si>
  <si>
    <t xml:space="preserve">  var sh = ss.getSheetByName(SHEET_LOG);</t>
  </si>
  <si>
    <t xml:space="preserve">  if (!sh) {</t>
  </si>
  <si>
    <t xml:space="preserve">    sh = ss.insertSheet(SHEET_LOG);</t>
  </si>
  <si>
    <t xml:space="preserve">    sh.appendRow(['Timestamp', 'Action', 'Status', 'Detail', 'User']);</t>
  </si>
  <si>
    <t xml:space="preserve">    sh.getRange('A1:E1').setFontWeight('bold').setBackground('#0F2440').setFontColor('#FFFFFF');</t>
  </si>
  <si>
    <t xml:space="preserve">    sh.setFrozenRows(1);</t>
  </si>
  <si>
    <t xml:space="preserve">  sh.appendRow([new Date(), action, status, detail, Session.getActiveUser().getEmail()]);</t>
  </si>
  <si>
    <t>/** Validates, recalculates the whole workbook and stamps the refresh time. */</t>
  </si>
  <si>
    <t>function refreshAll() {</t>
  </si>
  <si>
    <t xml:space="preserve">  try {</t>
  </si>
  <si>
    <t xml:space="preserve">    validateData();</t>
  </si>
  <si>
    <t xml:space="preserve">    SpreadsheetApp.flush();</t>
  </si>
  <si>
    <t xml:space="preserve">    setSetting('Last Successful Refresh', new Date());</t>
  </si>
  <si>
    <t xml:space="preserve">    logEvent('refreshAll', 'OK', 'Workbook refreshed');</t>
  </si>
  <si>
    <t xml:space="preserve">  } catch (e) {</t>
  </si>
  <si>
    <t xml:space="preserve">    logEvent('refreshAll', 'ERROR', e.message);</t>
  </si>
  <si>
    <t xml:space="preserve">    throw e;</t>
  </si>
  <si>
    <t>//// FILE: Import.gs ////</t>
  </si>
  <si>
    <t xml:space="preserve"> * KADIOKO DSE SHEET - Import.gs</t>
  </si>
  <si>
    <t xml:space="preserve"> * Import architecture. Every path funnels into upsertRows_(), which is idempotent:</t>
  </si>
  <si>
    <t xml:space="preserve"> * the same Symbol + Date is never written twice.</t>
  </si>
  <si>
    <t>/** Raw column order of Daily Data, columns A..Q. */</t>
  </si>
  <si>
    <t>var IMPORT_SCHEMA = ['Date','Symbol','Open','Previous Close','Close','High','Low','Change %',</t>
  </si>
  <si>
    <t xml:space="preserve">  'Turnover TZS','Deals','Volume','Outstanding Bid Qty','Outstanding Offer Qty','Market Cap TZS',</t>
  </si>
  <si>
    <t xml:space="preserve">  'Source','Imported At','Import Run ID'];</t>
  </si>
  <si>
    <t>/** DEVELOPMENT ONLY. Never enable against a source you are not licensed to parse. */</t>
  </si>
  <si>
    <t>var ENABLE_DEV_PARSER = false;</t>
  </si>
  <si>
    <t>function newRunId() {</t>
  </si>
  <si>
    <t xml:space="preserve">  return 'RUN-' + Utilities.formatDate(new Date(), 'Africa/Dar_es_Salaam', 'yyyyMMdd-HHmmss');</t>
  </si>
  <si>
    <t>function keyOf_(dateVal, symbol) {</t>
  </si>
  <si>
    <t xml:space="preserve">  var d = (dateVal instanceof Date)</t>
  </si>
  <si>
    <t xml:space="preserve">        ? Utilities.formatDate(dateVal, 'Africa/Dar_es_Salaam', 'yyyy-MM-dd')</t>
  </si>
  <si>
    <t xml:space="preserve">        : String(dateVal).trim();</t>
  </si>
  <si>
    <t xml:space="preserve">  return String(symbol).trim().toUpperCase() + '|' + d;</t>
  </si>
  <si>
    <t>function num_(v) {</t>
  </si>
  <si>
    <t xml:space="preserve">  if (v === '' || v === null || v === undefined) return '';</t>
  </si>
  <si>
    <t xml:space="preserve">  var n = Number(String(v).replace(/[,\s]/g, ''));</t>
  </si>
  <si>
    <t xml:space="preserve">  return isNaN(n) ? '' : n;</t>
  </si>
  <si>
    <t xml:space="preserve"> * Writes observations into Daily Data.</t>
  </si>
  <si>
    <t xml:space="preserve"> * rows: array of arrays following IMPORT_SCHEMA (Change %, Imported At and Run ID may be blank).</t>
  </si>
  <si>
    <t xml:space="preserve"> * Existing Symbol+Date rows are UPDATED in place; new ones are appended. Nothing is duplicated.</t>
  </si>
  <si>
    <t>function upsertRows_(rows, source, runId) {</t>
  </si>
  <si>
    <t xml:space="preserve">  var sh  = SpreadsheetApp.getActive().getSheetByName(SHEET_DAILY);</t>
  </si>
  <si>
    <t xml:space="preserve">  var cur = sh.getRange(DATA_FIRST_ROW, 1, DATA_LAST_ROW - DATA_FIRST_ROW + 1, 2).getValues();</t>
  </si>
  <si>
    <t xml:space="preserve">  var index = {}, firstFree = -1;</t>
  </si>
  <si>
    <t xml:space="preserve">  for (var i = 0; i &lt; cur.length; i++) {</t>
  </si>
  <si>
    <t xml:space="preserve">    if (cur[i][1] === '' || cur[i][1] === null) {</t>
  </si>
  <si>
    <t xml:space="preserve">      if (firstFree &lt; 0) firstFree = DATA_FIRST_ROW + i;</t>
  </si>
  <si>
    <t xml:space="preserve">      continue;</t>
  </si>
  <si>
    <t xml:space="preserve">    index[keyOf_(cur[i][0], cur[i][1])] = DATA_FIRST_ROW + i;</t>
  </si>
  <si>
    <t xml:space="preserve">  var inserted = 0, updated = 0, skipped = 0, stamp = new Date();</t>
  </si>
  <si>
    <t xml:space="preserve">  for (var r = 0; r &lt; rows.length; r++) {</t>
  </si>
  <si>
    <t xml:space="preserve">    var row = rows[r].slice(0, 17);</t>
  </si>
  <si>
    <t xml:space="preserve">    while (row.length &lt; 17) row.push('');</t>
  </si>
  <si>
    <t xml:space="preserve">    if (!row[1] || !row[0]) { skipped++; continue; }</t>
  </si>
  <si>
    <t xml:space="preserve">    row[1]  = String(row[1]).trim().toUpperCase();</t>
  </si>
  <si>
    <t xml:space="preserve">    row[7]  = '';                       // Change % is a formula in the sheet</t>
  </si>
  <si>
    <t xml:space="preserve">    row[14] = source || 'Manual CSV';</t>
  </si>
  <si>
    <t xml:space="preserve">    row[15] = stamp;</t>
  </si>
  <si>
    <t xml:space="preserve">    row[16] = runId;</t>
  </si>
  <si>
    <t xml:space="preserve">    var k = keyOf_(row[0], row[1]);</t>
  </si>
  <si>
    <t xml:space="preserve">    var target = index[k];</t>
  </si>
  <si>
    <t xml:space="preserve">    if (target) {</t>
  </si>
  <si>
    <t xml:space="preserve">      sh.getRange(target, 1, 1, 7).setValues([row.slice(0, 7)]);</t>
  </si>
  <si>
    <t xml:space="preserve">      sh.getRange(target, 9, 1, 9).setValues([row.slice(8, 17)]);</t>
  </si>
  <si>
    <t xml:space="preserve">      updated++;</t>
  </si>
  <si>
    <t xml:space="preserve">    } else {</t>
  </si>
  <si>
    <t xml:space="preserve">      if (firstFree &lt; 0 || firstFree &gt; DATA_LAST_ROW) { skipped++; continue; }</t>
  </si>
  <si>
    <t xml:space="preserve">      sh.getRange(firstFree, 1, 1, 7).setValues([row.slice(0, 7)]);</t>
  </si>
  <si>
    <t xml:space="preserve">      sh.getRange(firstFree, 9, 1, 9).setValues([row.slice(8, 17)]);</t>
  </si>
  <si>
    <t xml:space="preserve">      index[k] = firstFree;</t>
  </si>
  <si>
    <t xml:space="preserve">      firstFree++;</t>
  </si>
  <si>
    <t xml:space="preserve">      inserted++;</t>
  </si>
  <si>
    <t xml:space="preserve">  setSetting('Last Import Date', stamp);</t>
  </si>
  <si>
    <t xml:space="preserve">  logEvent('upsertRows_', skipped ? 'WARNING' : 'OK',</t>
  </si>
  <si>
    <t xml:space="preserve">    'source=' + source + ' run=' + runId + ' inserted=' + inserted +</t>
  </si>
  <si>
    <t xml:space="preserve">    ' updated=' + updated + ' skipped=' + skipped);</t>
  </si>
  <si>
    <t xml:space="preserve">  SpreadsheetApp.flush();</t>
  </si>
  <si>
    <t xml:space="preserve">  return { inserted: inserted, updated: updated, skipped: skipped, runId: runId };</t>
  </si>
  <si>
    <t>function parseCsv_(text) {</t>
  </si>
  <si>
    <t xml:space="preserve">  var data = Utilities.parseCsv(text);</t>
  </si>
  <si>
    <t xml:space="preserve">  if (!data.length) return [];</t>
  </si>
  <si>
    <t xml:space="preserve">  data.shift();                                   // drop the header row</t>
  </si>
  <si>
    <t xml:space="preserve">  return data</t>
  </si>
  <si>
    <t xml:space="preserve">    .filter(function (r) { return r.join('').trim() !== ''; })</t>
  </si>
  <si>
    <t xml:space="preserve">    .map(function (r) {</t>
  </si>
  <si>
    <t xml:space="preserve">      return [r[0], r[1], num_(r[2]), num_(r[3]), num_(r[4]), num_(r[5]), num_(r[6]), '',</t>
  </si>
  <si>
    <t xml:space="preserve">              num_(r[7]), num_(r[8]), num_(r[9]), num_(r[10]), num_(r[11]), num_(r[12])];</t>
  </si>
  <si>
    <t xml:space="preserve">    });</t>
  </si>
  <si>
    <t>/** PATH 1 - manual CSV upload. Works today, with no external dependency. */</t>
  </si>
  <si>
    <t>function manualCsvImport(fileIdOrName) {</t>
  </si>
  <si>
    <t xml:space="preserve">  var file = null;</t>
  </si>
  <si>
    <t xml:space="preserve">    file = DriveApp.getFileById(fileIdOrName);</t>
  </si>
  <si>
    <t xml:space="preserve">    var it = DriveApp.getFilesByName(fileIdOrName);</t>
  </si>
  <si>
    <t xml:space="preserve">    if (it.hasNext()) file = it.next();</t>
  </si>
  <si>
    <t xml:space="preserve">  if (!file) {</t>
  </si>
  <si>
    <t xml:space="preserve">    logEvent('manualCsvImport', 'ERROR', 'File not found: ' + fileIdOrName);</t>
  </si>
  <si>
    <t xml:space="preserve">    throw new Error('CSV file not found.');</t>
  </si>
  <si>
    <t xml:space="preserve">  var rows = parseCsv_(file.getBlob().getDataAsString());</t>
  </si>
  <si>
    <t xml:space="preserve">  return upsertRows_(rows, 'Manual CSV', newRunId());</t>
  </si>
  <si>
    <t>function manualCsvImportPrompt() {</t>
  </si>
  <si>
    <t xml:space="preserve">  var ui  = SpreadsheetApp.getUi();</t>
  </si>
  <si>
    <t xml:space="preserve">  var res = ui.prompt('Kadioko import', 'Drive file name or file ID of the CSV:', ui.ButtonSet.OK_CANCEL);</t>
  </si>
  <si>
    <t xml:space="preserve">  if (res.getSelectedButton() !== ui.Button.OK) return;</t>
  </si>
  <si>
    <t xml:space="preserve">  var out = manualCsvImport(res.getResponseText().trim());</t>
  </si>
  <si>
    <t xml:space="preserve">  ui.alert('Import complete\n\nInserted: ' + out.inserted +</t>
  </si>
  <si>
    <t xml:space="preserve">           '\nUpdated: ' + out.updated + '\nSkipped: ' + out.skipped);</t>
  </si>
  <si>
    <t xml:space="preserve"> * PATH 2 - licensed official DSE feed.</t>
  </si>
  <si>
    <t xml:space="preserve"> * Point 'Import Endpoint URL' in Settings at the licensed endpoint. Expected response:</t>
  </si>
  <si>
    <t xml:space="preserve"> * a JSON array of objects with keys date, symbol, open, previousClose, close, high, low,</t>
  </si>
  <si>
    <t xml:space="preserve"> * turnover, deals, volume, bidQty, offerQty, marketCap.</t>
  </si>
  <si>
    <t xml:space="preserve"> * If your provider uses different field names, change mapFeedRecord_() only - nothing else.</t>
  </si>
  <si>
    <t>function importFromOfficialFeed() {</t>
  </si>
  <si>
    <t xml:space="preserve">  var url = getSetting('Import Endpoint URL (optional)');</t>
  </si>
  <si>
    <t xml:space="preserve">  if (!url) {</t>
  </si>
  <si>
    <t xml:space="preserve">    logEvent('importFromOfficialFeed', 'ERROR', 'No endpoint configured');</t>
  </si>
  <si>
    <t xml:space="preserve">    throw new Error('Set the endpoint URL in Settings first.');</t>
  </si>
  <si>
    <t xml:space="preserve">  var resp = UrlFetchApp.fetch(url, { muteHttpExceptions: true, followRedirects: true });</t>
  </si>
  <si>
    <t xml:space="preserve">  if (resp.getResponseCode() !== 200) {</t>
  </si>
  <si>
    <t xml:space="preserve">    logEvent('importFromOfficialFeed', 'ERROR', 'HTTP ' + resp.getResponseCode());</t>
  </si>
  <si>
    <t xml:space="preserve">    throw new Error('Feed returned HTTP ' + resp.getResponseCode());</t>
  </si>
  <si>
    <t xml:space="preserve">  var payload = JSON.parse(resp.getContentText());</t>
  </si>
  <si>
    <t xml:space="preserve">  var rows = (payload.data || payload).map(mapFeedRecord_);</t>
  </si>
  <si>
    <t xml:space="preserve">  return upsertRows_(rows, 'Official Feed', newRunId());</t>
  </si>
  <si>
    <t>function mapFeedRecord_(o) {</t>
  </si>
  <si>
    <t xml:space="preserve">  return [o.date, o.symbol, num_(o.open), num_(o.previousClose), num_(o.close),</t>
  </si>
  <si>
    <t xml:space="preserve">          num_(o.high), num_(o.low), '', num_(o.turnover), num_(o.deals), num_(o.volume),</t>
  </si>
  <si>
    <t xml:space="preserve">          num_(o.bidQty), num_(o.offerQty), num_(o.marketCap)];</t>
  </si>
  <si>
    <t>/** PATH 3 - any other configured endpoint (internal warehouse, broker file drop, etc). */</t>
  </si>
  <si>
    <t>function importFromConfiguredEndpoint() {</t>
  </si>
  <si>
    <t xml:space="preserve">  var mode = getSetting('Data Source Mode');</t>
  </si>
  <si>
    <t xml:space="preserve">  if (mode === 'Manual CSV')          return manualCsvImportPrompt();</t>
  </si>
  <si>
    <t xml:space="preserve">  if (mode === 'Official Feed')       return importFromOfficialFeed();</t>
  </si>
  <si>
    <t xml:space="preserve">  if (mode === 'Configured Endpoint') return importFromOfficialFeed();</t>
  </si>
  <si>
    <t xml:space="preserve">  throw new Error('Unknown data source mode: ' + mode);</t>
  </si>
  <si>
    <t xml:space="preserve"> * DEVELOPMENT-ONLY prototype parser for a public HTML page.</t>
  </si>
  <si>
    <t xml:space="preserve"> * Disabled by default, isolated from all analytical logic, never called by refreshAll().</t>
  </si>
  <si>
    <t xml:space="preserve"> * Do not enable it unless you hold the rights to parse the page in question.</t>
  </si>
  <si>
    <t>function DEV_parsePublicPage_(url) {</t>
  </si>
  <si>
    <t xml:space="preserve">  if (!ENABLE_DEV_PARSER) throw new Error('Development parser is disabled. Use a licensed feed.');</t>
  </si>
  <si>
    <t xml:space="preserve">  var html = UrlFetchApp.fetch(url).getContentText();</t>
  </si>
  <si>
    <t xml:space="preserve">  var rows = [];</t>
  </si>
  <si>
    <t xml:space="preserve">  // Intentionally a stub: implement only against a source you are licensed to use,</t>
  </si>
  <si>
    <t xml:space="preserve">  // and always return rows in IMPORT_SCHEMA order so upsertRows_() stays unchanged.</t>
  </si>
  <si>
    <t xml:space="preserve">  logEvent('DEV_parsePublicPage_', 'WARNING', 'Development parser invoked for ' + url);</t>
  </si>
  <si>
    <t xml:space="preserve">  return rows;</t>
  </si>
  <si>
    <t>//// FILE: Reports.gs ////</t>
  </si>
  <si>
    <t xml:space="preserve"> * KADIOKO DSE SHEET - Reports.gs</t>
  </si>
  <si>
    <t xml:space="preserve"> * The reports are formula-driven, so these functions set the period selectors and force a</t>
  </si>
  <si>
    <t xml:space="preserve"> * recalculation. No script ever copies market data between sheets.</t>
  </si>
  <si>
    <t>function rebuildDailySummary(dateValue) {</t>
  </si>
  <si>
    <t xml:space="preserve">  if (dateValue) setSetting('Selected Analysis Date', dateValue);</t>
  </si>
  <si>
    <t xml:space="preserve">  logEvent('rebuildDailySummary', 'OK', String(dateValue || getSetting('Selected Analysis Date')));</t>
  </si>
  <si>
    <t>function rebuildWeeklyReport(week, year) {</t>
  </si>
  <si>
    <t xml:space="preserve">  if (week) setSetting('Report Week Number (ISO)', week);</t>
  </si>
  <si>
    <t xml:space="preserve">  if (year) setSetting('Report Year', year);</t>
  </si>
  <si>
    <t xml:space="preserve">  logEvent('rebuildWeeklyReport', 'OK', 'week=' + week + ' year=' + year);</t>
  </si>
  <si>
    <t>function rebuildMonthlyReport(month, year) {</t>
  </si>
  <si>
    <t xml:space="preserve">  if (month) setSetting('Report Month (1-12)', month);</t>
  </si>
  <si>
    <t xml:space="preserve">  if (year)  setSetting('Report Year', year);</t>
  </si>
  <si>
    <t xml:space="preserve">  logEvent('rebuildMonthlyReport', 'OK', 'month=' + month + ' year=' + year);</t>
  </si>
  <si>
    <t>function refreshDashboard() {</t>
  </si>
  <si>
    <t xml:space="preserve">  logEvent('refreshDashboard', 'OK', 'Dashboard recalculated');</t>
  </si>
  <si>
    <t>/** Reads the Data Quality summary. Bad data is never silently accepted. */</t>
  </si>
  <si>
    <t>function validateData() {</t>
  </si>
  <si>
    <t xml:space="preserve">  var sh = SpreadsheetApp.getActive().getSheetByName('Data Quality');</t>
  </si>
  <si>
    <t xml:space="preserve">  var errors   = sh.getRange('E2').getValue();</t>
  </si>
  <si>
    <t xml:space="preserve">  var warnings = sh.getRange('G2').getValue();</t>
  </si>
  <si>
    <t xml:space="preserve">  var status   = errors &gt; 0 ? 'ERROR' : (warnings &gt; 0 ? 'WARNING' : 'OK');</t>
  </si>
  <si>
    <t xml:space="preserve">  logEvent('validateData', status, 'errors=' + errors + ' warnings=' + warnings);</t>
  </si>
  <si>
    <t xml:space="preserve">  if (errors &gt; 0) {</t>
  </si>
  <si>
    <t xml:space="preserve">    try {</t>
  </si>
  <si>
    <t xml:space="preserve">      SpreadsheetApp.getUi().alert('Data Quality: ' + errors +</t>
  </si>
  <si>
    <t xml:space="preserve">        ' ERROR row(s) found. Open the Data Quality sheet before relying on the analytics.');</t>
  </si>
  <si>
    <t xml:space="preserve">    } catch (e) { /* no UI in a trigger context */ }</t>
  </si>
  <si>
    <t xml:space="preserve">  return { errors: errors, warnings: warnings, status: status };</t>
  </si>
  <si>
    <t>/** Convenience chain used by the daily trigger: import, validate, refresh. */</t>
  </si>
  <si>
    <t>function refreshDailyData() {</t>
  </si>
  <si>
    <t xml:space="preserve">    importFromConfiguredEndpoint();</t>
  </si>
  <si>
    <t xml:space="preserve">    logEvent('refreshDailyData', 'WARNING', 'Import skipped: ' + e.message);</t>
  </si>
  <si>
    <t xml:space="preserve">  validateData();</t>
  </si>
  <si>
    <t xml:space="preserve">  refreshAll();</t>
  </si>
  <si>
    <t>//// FILE: Triggers.gs ////</t>
  </si>
  <si>
    <t xml:space="preserve"> * KADIOKO DSE SHEET - Triggers.gs</t>
  </si>
  <si>
    <t xml:space="preserve"> * Time-driven automation. Only one Kadioko trigger is ever installed.</t>
  </si>
  <si>
    <t>var TRIGGER_FN = 'refreshDailyData';</t>
  </si>
  <si>
    <t>function createDailyTrigger() {</t>
  </si>
  <si>
    <t xml:space="preserve">  removeAllTriggers();</t>
  </si>
  <si>
    <t xml:space="preserve">  ScriptApp.newTrigger(TRIGGER_FN)</t>
  </si>
  <si>
    <t xml:space="preserve">    .timeBased()</t>
  </si>
  <si>
    <t xml:space="preserve">    .atHour(18)                        // after the DSE close, East Africa Time</t>
  </si>
  <si>
    <t xml:space="preserve">    .everyDays(1)</t>
  </si>
  <si>
    <t xml:space="preserve">    .inTimezone('Africa/Dar_es_Salaam')</t>
  </si>
  <si>
    <t xml:space="preserve">    .create();</t>
  </si>
  <si>
    <t xml:space="preserve">  logEvent('createDailyTrigger', 'OK', 'Daily trigger installed for 18:00 EAT');</t>
  </si>
  <si>
    <t>function removeAllTriggers() {</t>
  </si>
  <si>
    <t xml:space="preserve">  var t = ScriptApp.getProjectTriggers(), n = 0;</t>
  </si>
  <si>
    <t xml:space="preserve">  for (var i = 0; i &lt; t.length; i++) {</t>
  </si>
  <si>
    <t xml:space="preserve">    if (t[i].getHandlerFunction() === TRIGGER_FN) {</t>
  </si>
  <si>
    <t xml:space="preserve">      ScriptApp.deleteTrigger(t[i]);</t>
  </si>
  <si>
    <t xml:space="preserve">      n++;</t>
  </si>
  <si>
    <t xml:space="preserve">  logEvent('removeAllTriggers', 'OK', 'removed=' + n);</t>
  </si>
  <si>
    <t>KADIOKO DSE SHEET — CSV IMPORT TEMPLATE</t>
  </si>
  <si>
    <t>Save row 4 (headers) plus your data rows as a .csv file and load it with manualCsvImport(). Column order must match exactly. Change %, Source, Imported At, Import Run ID and every derived column are filled in by the workbook — do not include them. Imports are idempotent: re-importing the same Symbol + Date updates the existing row instead of duplicating it.</t>
  </si>
  <si>
    <t>RULES</t>
  </si>
  <si>
    <t>1. Date must be yyyy-mm-dd. One row = one security on one trading date.</t>
  </si>
  <si>
    <t>2. Symbol must already exist in the Symbols sheet, otherwise the row imports but will not appear on the sentiment, momentum or report sheets.</t>
  </si>
  <si>
    <t>3. Numbers must have no thousands separators and no currency symbols when saved as CSV.</t>
  </si>
  <si>
    <t>4. Leave a cell empty if a field is genuinely unknown — do not enter 0. A zero is treated as real data and will be flagged by the Data Quality checks.</t>
  </si>
  <si>
    <t>5. Previous Close should be the official previous closing price; the workbook cross-checks it against the prior observation and raises a warning on a mismatch.</t>
  </si>
  <si>
    <t>6. Market Cap TZS is normally Close × Shares Outstanding. If your feed supplies it, use the feed value.</t>
  </si>
  <si>
    <t>7. The two example rows above are the 2026-08-11 TEST FIXTURES used to validate the formulas. Delete them before importing live data.</t>
  </si>
  <si>
    <t>KADIOKO DSE SHEET — DATA DICTIONARY</t>
  </si>
  <si>
    <t>Every field in the workbook: where it lives, what it is, and whether you may type into it. RAW = you enter or import it. CALC = a formula owns the cell. INPUT = a configurable assumption.</t>
  </si>
  <si>
    <t>Sheet</t>
  </si>
  <si>
    <t>Cell / Column</t>
  </si>
  <si>
    <t>Field</t>
  </si>
  <si>
    <t>Class</t>
  </si>
  <si>
    <t>Definition</t>
  </si>
  <si>
    <t>Daily Data</t>
  </si>
  <si>
    <t>A</t>
  </si>
  <si>
    <t>RAW</t>
  </si>
  <si>
    <t>Trading date of the observation (yyyy-mm-dd).</t>
  </si>
  <si>
    <t>B</t>
  </si>
  <si>
    <t>DSE ticker. Must exist in the Symbols master.</t>
  </si>
  <si>
    <t>C</t>
  </si>
  <si>
    <t>Opening price, TZS.</t>
  </si>
  <si>
    <t>D</t>
  </si>
  <si>
    <t>Official previous closing price, TZS.</t>
  </si>
  <si>
    <t>E</t>
  </si>
  <si>
    <t>Closing price, TZS. Drives bid/offer values and all returns.</t>
  </si>
  <si>
    <t>F</t>
  </si>
  <si>
    <t>Session high, TZS.</t>
  </si>
  <si>
    <t>G</t>
  </si>
  <si>
    <t>Session low, TZS.</t>
  </si>
  <si>
    <t>H</t>
  </si>
  <si>
    <t>CALC</t>
  </si>
  <si>
    <t>Close / Previous Close − 1.</t>
  </si>
  <si>
    <t>I</t>
  </si>
  <si>
    <t>Value traded during the session.</t>
  </si>
  <si>
    <t>J</t>
  </si>
  <si>
    <t>Number of executed trades.</t>
  </si>
  <si>
    <t>K</t>
  </si>
  <si>
    <t>Number of shares traded.</t>
  </si>
  <si>
    <t>L</t>
  </si>
  <si>
    <t>Shares resting on the bid side at the close. NOT a count of buyers.</t>
  </si>
  <si>
    <t>M</t>
  </si>
  <si>
    <t>Shares resting on the offer side at the close. NOT a count of sellers.</t>
  </si>
  <si>
    <t>N</t>
  </si>
  <si>
    <t>Market capitalisation, normally Close × Shares Outstanding.</t>
  </si>
  <si>
    <t>O</t>
  </si>
  <si>
    <t>Provenance tag written by the importer (Manual CSV, Official Feed, Sample Fixture).</t>
  </si>
  <si>
    <t>P</t>
  </si>
  <si>
    <t>Timestamp the row was written.</t>
  </si>
  <si>
    <t>Q</t>
  </si>
  <si>
    <t>Batch identifier, used to detect duplicate imports.</t>
  </si>
  <si>
    <t>R</t>
  </si>
  <si>
    <t>PASS / WARNING / ERROR, mirrored from the Data Quality sheet.</t>
  </si>
  <si>
    <t>S</t>
  </si>
  <si>
    <t>Outstanding Bid Qty ÷ Outstanding Offer Qty. Blank when the offer side is zero.</t>
  </si>
  <si>
    <t>T</t>
  </si>
  <si>
    <t>Outstanding Bid Qty × Close.</t>
  </si>
  <si>
    <t>U</t>
  </si>
  <si>
    <t>Outstanding Offer Qty × Close.</t>
  </si>
  <si>
    <t>V</t>
  </si>
  <si>
    <t>Bid % of Market Cap</t>
  </si>
  <si>
    <t>Bid Value ÷ Market Cap.</t>
  </si>
  <si>
    <t>W</t>
  </si>
  <si>
    <t>Offer % of Market Cap</t>
  </si>
  <si>
    <t>Offer Value ÷ Market Cap.</t>
  </si>
  <si>
    <t>X</t>
  </si>
  <si>
    <t>Volume ÷ Deals.</t>
  </si>
  <si>
    <t>Y</t>
  </si>
  <si>
    <t>Turnover ÷ Deals.</t>
  </si>
  <si>
    <t>Z</t>
  </si>
  <si>
    <t>Mean B/O ratio over the previous N observations for the same symbol (N = Settings!C21).</t>
  </si>
  <si>
    <t>AA</t>
  </si>
  <si>
    <t>Current B/O ÷ 5D Average B/O − 1. Blank without enough history.</t>
  </si>
  <si>
    <t>AB</t>
  </si>
  <si>
    <t>Mean volume over the previous M observations (M = Settings!C22).</t>
  </si>
  <si>
    <t>AC</t>
  </si>
  <si>
    <t>Current Volume ÷ 20D Average Volume.</t>
  </si>
  <si>
    <t>AD</t>
  </si>
  <si>
    <t>Close ÷ Close N observations ago − 1.</t>
  </si>
  <si>
    <t>AE</t>
  </si>
  <si>
    <t>Close ÷ Close M observations ago − 1.</t>
  </si>
  <si>
    <t>AF</t>
  </si>
  <si>
    <t>(High − Low) ÷ Close.</t>
  </si>
  <si>
    <t>AG</t>
  </si>
  <si>
    <t>0–100 average of capped turnover, volume and deals components.</t>
  </si>
  <si>
    <t>AH</t>
  </si>
  <si>
    <t>0–100 weighted blend of the six component scores in AO:AT.</t>
  </si>
  <si>
    <t>AI</t>
  </si>
  <si>
    <t>0–100 completeness and reliability score for the row.</t>
  </si>
  <si>
    <t>AJ</t>
  </si>
  <si>
    <t>Plain-language wording of the pressure score. Not investment advice.</t>
  </si>
  <si>
    <t>AK</t>
  </si>
  <si>
    <t>Sequence number of this observation within its own symbol. Powers all rolling windows.</t>
  </si>
  <si>
    <t>AL</t>
  </si>
  <si>
    <t>YEAR(Date).</t>
  </si>
  <si>
    <t>AM</t>
  </si>
  <si>
    <t>ISOWEEKNUM(Date). Drives the Weekly Report.</t>
  </si>
  <si>
    <t>AN</t>
  </si>
  <si>
    <t>MONTH(Date). Drives the Monthly Report.</t>
  </si>
  <si>
    <t>AO</t>
  </si>
  <si>
    <t>P1 B/O Position Score</t>
  </si>
  <si>
    <t>Component 1 of Market Pressure — logarithmic order-book position.</t>
  </si>
  <si>
    <t>AP</t>
  </si>
  <si>
    <t>P2 B/O Momentum Score</t>
  </si>
  <si>
    <t>Component 2 — change in order-book imbalance.</t>
  </si>
  <si>
    <t>AQ</t>
  </si>
  <si>
    <t>P3 Price Momentum Score</t>
  </si>
  <si>
    <t>Component 3 — today's price change.</t>
  </si>
  <si>
    <t>AR</t>
  </si>
  <si>
    <t>P4 Volume Confirmation Score</t>
  </si>
  <si>
    <t>Component 4 — volume in the direction the price moved.</t>
  </si>
  <si>
    <t>AS</t>
  </si>
  <si>
    <t>P5 Book Depth vs MCAP Score</t>
  </si>
  <si>
    <t>Component 5 — absolute book imbalance relative to company size.</t>
  </si>
  <si>
    <t>AT</t>
  </si>
  <si>
    <t>P6 Liquidity Confirmation Score</t>
  </si>
  <si>
    <t>Component 6 — pulls illiquid counters back toward neutral.</t>
  </si>
  <si>
    <t>AU</t>
  </si>
  <si>
    <t>Symbol|yyyy-mm-dd. The unique key used by lookups and by the idempotent importer.</t>
  </si>
  <si>
    <t>AV</t>
  </si>
  <si>
    <t>1 on the first row of each trading date. Used to count active trading days.</t>
  </si>
  <si>
    <t>Symbols</t>
  </si>
  <si>
    <t>A–J</t>
  </si>
  <si>
    <t>Security master</t>
  </si>
  <si>
    <t>RAW/INPUT</t>
  </si>
  <si>
    <t>Symbol, name, type, sector, listing date, active flag, currency, shares outstanding, notes, source identifier.</t>
  </si>
  <si>
    <t>Settings</t>
  </si>
  <si>
    <t>C13</t>
  </si>
  <si>
    <t>INPUT</t>
  </si>
  <si>
    <t>Single date used by Daily Summary, Sentiment, Momentum, Compare and Dashboard.</t>
  </si>
  <si>
    <t>C14–C16</t>
  </si>
  <si>
    <t>Selected / comparison symbols</t>
  </si>
  <si>
    <t>Drive the Stock Analyzer and the Compare sheet.</t>
  </si>
  <si>
    <t>C17–C19</t>
  </si>
  <si>
    <t>Report period</t>
  </si>
  <si>
    <t>ISO week, year and month for the periodic reports.</t>
  </si>
  <si>
    <t>C21–C23</t>
  </si>
  <si>
    <t>Analysis windows</t>
  </si>
  <si>
    <t>Rolling B/O window, rolling volume window, momentum window.</t>
  </si>
  <si>
    <t>C25–C30</t>
  </si>
  <si>
    <t>Liquidity thresholds</t>
  </si>
  <si>
    <t>Minimum volume and turnover, the three liquidity benchmarks, and the ranking floor.</t>
  </si>
  <si>
    <t>C32–C38</t>
  </si>
  <si>
    <t>Pressure weights</t>
  </si>
  <si>
    <t>Weights for the six pressure components, with a 100% check in C38.</t>
  </si>
  <si>
    <t>C40–C44</t>
  </si>
  <si>
    <t>Score calibration</t>
  </si>
  <si>
    <t>B/O ratio cap, momentum and price sensitivities, volume cap, book depth benchmark.</t>
  </si>
  <si>
    <t>C46–C49</t>
  </si>
  <si>
    <t>Signal thresholds</t>
  </si>
  <si>
    <t>Cut-offs between the five pressure signals.</t>
  </si>
  <si>
    <t>C51–C54</t>
  </si>
  <si>
    <t>Momentum thresholds</t>
  </si>
  <si>
    <t>Cut-offs between the five momentum statuses.</t>
  </si>
  <si>
    <t>C56–C57</t>
  </si>
  <si>
    <t>Data quality</t>
  </si>
  <si>
    <t>Maximum expected daily change; minimum confidence to trust a score.</t>
  </si>
  <si>
    <t>C59–C60</t>
  </si>
  <si>
    <t>Trend thresholds</t>
  </si>
  <si>
    <t>Average daily change cut-offs for the weekly and monthly trend labels.</t>
  </si>
  <si>
    <t>Data Quality</t>
  </si>
  <si>
    <t>D–R</t>
  </si>
  <si>
    <t>Fourteen checks</t>
  </si>
  <si>
    <t>OK / WARNING / ERROR per row.</t>
  </si>
  <si>
    <t>ERROR if any check errors, else WARNING if any warns, else PASS.</t>
  </si>
  <si>
    <t>Created by GODFREY MARIKI · NECUVA GROUP</t>
  </si>
  <si>
    <t>Kadioko DSE Sheet · workbook name, authorship and this README are locked. All analytical sheets are protected; the data-entry and Settings cells remain open for everyday use.</t>
  </si>
  <si>
    <t>Workbook Name (locked)</t>
  </si>
  <si>
    <t>Locked — created by Godfrey Mariki, Necuva Group</t>
  </si>
  <si>
    <t>Author / Owner (locked)</t>
  </si>
  <si>
    <t>Godfrey Mariki — Necuva Group</t>
  </si>
  <si>
    <t>Locked — attribution, do not edit</t>
  </si>
  <si>
    <t>HOW TO READ KADIOKO DSE SHEET</t>
  </si>
  <si>
    <t>A five-minute routine for reading the workbook correctly, and a full explanation of the Market Pressure Score and the Signal wording. Read this before you act on any number in this file.</t>
  </si>
  <si>
    <t>STEP 1 — CHECK THE DATA BEFORE YOU READ ANY SCORE</t>
  </si>
  <si>
    <t>Every score is only as good as the row it was built from. Open the Data Quality sheet and look at the three counters at the top. If ERRORS is anything other than zero, fix those rows in Daily Data first — an error means the row is structurally wrong (duplicate date, negative price, close outside the day's high/low) and the analytics built on it cannot be trusted.</t>
  </si>
  <si>
    <t>STEP 2 — READ THE DAY BEFORE YOU READ A COUNTER</t>
  </si>
  <si>
    <t>Set the date in Settings!C13, then open Daily Summary. Look at total turnover, the number of counters that actually traded, and the gainers/losers split. This is your context. A pressure score of 85 on a day when only three counters traded means far less than the same score on a busy day.</t>
  </si>
  <si>
    <t>Then open Market Sentiment. It lists every security in the Symbols master for that one date, side by side.</t>
  </si>
  <si>
    <t>STEP 3 — THE MARKET PRESSURE SCORE (0–100)</t>
  </si>
  <si>
    <t>The Market Pressure Score answers exactly one question: at the close, was the resting order book leaning toward the buy side or the sell side, and was that lean confirmed by price and volume? It is a measure of PRESSURE. It is not a forecast, and it is not advice.</t>
  </si>
  <si>
    <t>0 = extreme sell-side pressure   ·   50 = balanced   ·   100 = extreme buy-side pressure</t>
  </si>
  <si>
    <t>Score band</t>
  </si>
  <si>
    <t>Signal shown</t>
  </si>
  <si>
    <t>What it means</t>
  </si>
  <si>
    <t>What it does NOT mean</t>
  </si>
  <si>
    <t>0 – 19</t>
  </si>
  <si>
    <t>Extreme Sell Pressure</t>
  </si>
  <si>
    <t>The offer side of the book overwhelms the bid side, and price/volume confirm the downward lean.</t>
  </si>
  <si>
    <t>It does not mean 'sell now'. Heavy offers can be one large seller working an order, and can clear in a day.</t>
  </si>
  <si>
    <t>20 – 39</t>
  </si>
  <si>
    <t>Sell Pressure</t>
  </si>
  <si>
    <t>More shares queued to sell than to buy; the lean is real but not extreme.</t>
  </si>
  <si>
    <t>It does not mean the price will fall.</t>
  </si>
  <si>
    <t>40 – 60</t>
  </si>
  <si>
    <t>Neutral</t>
  </si>
  <si>
    <t>Bid and offer are roughly balanced, or the signals disagree with each other.</t>
  </si>
  <si>
    <t>It does not mean 'nothing is happening' — check volume and momentum separately.</t>
  </si>
  <si>
    <t>61 – 80</t>
  </si>
  <si>
    <t>Buy Pressure</t>
  </si>
  <si>
    <t>More shares queued to buy than to sell; demand is leaning positive.</t>
  </si>
  <si>
    <t>It does not mean 'buy'.</t>
  </si>
  <si>
    <t>81 – 100</t>
  </si>
  <si>
    <t>Extreme Buy Pressure</t>
  </si>
  <si>
    <t>The bid side overwhelms the offer side, confirmed by price and volume.</t>
  </si>
  <si>
    <t>It does NOT mean 'strong buy'. A thin offer side can simply mean nobody is willing to sell at that price yet.</t>
  </si>
  <si>
    <t>HOW THE SIGNAL IS PRODUCED — THE FULL CHAIN</t>
  </si>
  <si>
    <t>Six component scores are calculated separately, each on its own 0–100 scale, in Daily Data columns AO to AT. They are then blended using the weights in Settings!C32:C37 to give the Market Pressure Score in column AH. The Signal in column AJ is nothing more than the score compared with the four thresholds in Settings!C46:C49. Nothing is hidden: you can click any component and read its formula.</t>
  </si>
  <si>
    <t>Component (column)</t>
  </si>
  <si>
    <t>Default weight</t>
  </si>
  <si>
    <t>The question it answers</t>
  </si>
  <si>
    <t>Where to see it</t>
  </si>
  <si>
    <t>P1 Order-book position (AO)</t>
  </si>
  <si>
    <t>How far from balance is the bid/offer ratio right now?</t>
  </si>
  <si>
    <t>Daily Data column S (B/O Ratio)</t>
  </si>
  <si>
    <t>P2 B/O momentum (AP)</t>
  </si>
  <si>
    <t>Is that imbalance building or fading versus its own recent average?</t>
  </si>
  <si>
    <t>Daily Data column AA (B/O Momentum %)</t>
  </si>
  <si>
    <t>P3 Price momentum (AQ)</t>
  </si>
  <si>
    <t>Did the price actually move in the same direction?</t>
  </si>
  <si>
    <t>Daily Data column H (Change %)</t>
  </si>
  <si>
    <t>P4 Volume confirmation (AR)</t>
  </si>
  <si>
    <t>Was the move backed by heavier-than-normal trading?</t>
  </si>
  <si>
    <t>Daily Data column AC (Volume Ratio)</t>
  </si>
  <si>
    <t>P5 Book depth vs market cap (AS)</t>
  </si>
  <si>
    <t>Is the imbalance big relative to the size of the company?</t>
  </si>
  <si>
    <t>Daily Data columns V and W</t>
  </si>
  <si>
    <t>P6 Liquidity adjustment (AT)</t>
  </si>
  <si>
    <t>Is this counter liquid enough for the reading to mean anything? Illiquid names are pulled back toward 50.</t>
  </si>
  <si>
    <t>Daily Data column AG (Liquidity Score)</t>
  </si>
  <si>
    <t>STEP 4 — WORKED EXAMPLE, CALCULATED LIVE</t>
  </si>
  <si>
    <t>Component</t>
  </si>
  <si>
    <t>Score (0–100)</t>
  </si>
  <si>
    <t>Weight</t>
  </si>
  <si>
    <t>Weighted contribution</t>
  </si>
  <si>
    <t>P1 Order-book position</t>
  </si>
  <si>
    <t>P2 B/O momentum</t>
  </si>
  <si>
    <t>P3 Price momentum</t>
  </si>
  <si>
    <t>P4 Volume confirmation</t>
  </si>
  <si>
    <t>P5 Book depth vs market cap</t>
  </si>
  <si>
    <t>P6 Liquidity adjustment</t>
  </si>
  <si>
    <t>MARKET PRESSURE SCORE  =  sum of contributions ÷ sum of weights</t>
  </si>
  <si>
    <t>SIGNAL SHOWN (from Settings!C46:C49)</t>
  </si>
  <si>
    <t>DATA CONFIDENCE FOR THIS ROW (trust the score only above Settings!C57)</t>
  </si>
  <si>
    <t>STEP 5 — THREE CONFIRMATIONS BEFORE THE SCORE MEANS ANYTHING</t>
  </si>
  <si>
    <t>Check</t>
  </si>
  <si>
    <t>Where to look</t>
  </si>
  <si>
    <t>Only treat the score as meaningful if…</t>
  </si>
  <si>
    <t>Daily Data AG · Momentum sheet</t>
  </si>
  <si>
    <t>Liquidity Score is above Settings!C30. Below that the Momentum sheet marks the counter Illiquid and refuses to rank it.</t>
  </si>
  <si>
    <t>Enough history</t>
  </si>
  <si>
    <t>Daily Data Z and AB</t>
  </si>
  <si>
    <t>The 5-day B/O average and 20-day average volume are populated. If they are blank, the momentum component falls back to a neutral 50.</t>
  </si>
  <si>
    <t>Data confidence</t>
  </si>
  <si>
    <t>Daily Data AI</t>
  </si>
  <si>
    <t>Confidence is at or above Settings!C57. Below that, Market Sentiment appends '(low confidence)' to the signal.</t>
  </si>
  <si>
    <t>Momentum direction</t>
  </si>
  <si>
    <t>Momentum sheet</t>
  </si>
  <si>
    <t>Pressure and momentum agree. High pressure with 'Strong Deterioration' is a contradiction worth investigating, not a signal.</t>
  </si>
  <si>
    <t>Order-book size</t>
  </si>
  <si>
    <t>Daily Data V and W</t>
  </si>
  <si>
    <t>The book is a meaningful share of market cap. A 10x ratio built on two tiny orders is noise.</t>
  </si>
  <si>
    <t>THE FIVE MISTAKES THIS WORKBOOK IS DESIGNED TO PREVENT</t>
  </si>
  <si>
    <t>1.  Reading a high pressure score as 'buy'. It measures resting demand pressure at one moment on one day. Nothing more.</t>
  </si>
  <si>
    <t>2.  Calling the bid quantity 'buyers' and the offer quantity 'sellers'. These are OUTSTANDING ORDER QUANTITIES in shares. One buyer can place a huge bid; a thousand can place tiny ones.</t>
  </si>
  <si>
    <t>3.  Ranking on ratios without a liquidity filter. A counter that traded twice can show a spectacular B/O ratio. The Momentum sheet excludes it deliberately.</t>
  </si>
  <si>
    <t>4.  Trusting a score built on missing inputs. That is what the Data Confidence Score is for — check it before quoting a number.</t>
  </si>
  <si>
    <t>5.  Comparing raw prices between counters. Use the rebased index on the Compare sheet, where each series starts at 100.</t>
  </si>
  <si>
    <t>Kadioko DSE Sheet is a decision-support tool created by Godfrey Mariki, Necuva Group. The scores, signals and rankings are descriptive summaries of historical order-book and trading data. They are not investment advice, not a recommendation to buy or sell any security, and not a guarantee of future performance. Verify against official DSE publications before acting.</t>
  </si>
  <si>
    <t>Kadioko DSE Sheet — created by Godfrey Mariki, Necuva Group. Decision-support analytics only; not investment advice.</t>
  </si>
  <si>
    <t>START HERE ▸ open the 'How To Read' sheet (second tab). It explains, in five steps, how to check the data, how the Market Pressure Score is built from its six components, exactly what each Signal does and does not mean, and the three confirmations to run before you rely on any score.</t>
  </si>
  <si>
    <t>Verification Status</t>
  </si>
  <si>
    <t>SYMBOLS TO VERIFY</t>
  </si>
  <si>
    <t>//// FILE: Admin.gs ////</t>
  </si>
  <si>
    <t xml:space="preserve"> * KADIOKO DSE SHEET - Admin.gs</t>
  </si>
  <si>
    <t xml:space="preserve"> * Housekeeping that used to be manual:</t>
  </si>
  <si>
    <t xml:space="preserve"> *   clearSampleFixtures()        - removes the shipped test rows and compacts the table</t>
  </si>
  <si>
    <t xml:space="preserve"> *   applyGoogleSheetsProtection()- rebuilds the Excel protection model natively in Google Sheets</t>
  </si>
  <si>
    <t xml:space="preserve"> *   testFeedConnection()         - checks a licensed endpoint and reports the field mapping</t>
  </si>
  <si>
    <t xml:space="preserve"> *   symbolsNeedingVerification() - lists securities with no listing date or share count</t>
  </si>
  <si>
    <t>var RAW_FIRST_COL = 1;   // A</t>
  </si>
  <si>
    <t>var RAW_LAST_COL  = 17;  // Q</t>
  </si>
  <si>
    <t xml:space="preserve"> * Deletes every observation whose Source is 'Sample Fixture', then compacts the remaining</t>
  </si>
  <si>
    <t xml:space="preserve"> * rows to the top of the table so the master data stays contiguous. Formulas are untouched.</t>
  </si>
  <si>
    <t>function clearSampleFixtures() {</t>
  </si>
  <si>
    <t xml:space="preserve">  var sh   = SpreadsheetApp.getActive().getSheetByName(SHEET_DAILY);</t>
  </si>
  <si>
    <t xml:space="preserve">  var n    = DATA_LAST_ROW - DATA_FIRST_ROW + 1;</t>
  </si>
  <si>
    <t xml:space="preserve">  var rng  = sh.getRange(DATA_FIRST_ROW, RAW_FIRST_COL, n, RAW_LAST_COL);</t>
  </si>
  <si>
    <t xml:space="preserve">  var vals = rng.getValues();</t>
  </si>
  <si>
    <t xml:space="preserve">  var keep = [], removed = 0;</t>
  </si>
  <si>
    <t xml:space="preserve">  for (var i = 0; i &lt; vals.length; i++) {</t>
  </si>
  <si>
    <t xml:space="preserve">    var row = vals[i];</t>
  </si>
  <si>
    <t xml:space="preserve">    if (row[1] === '' || row[1] === null) continue;               // blank row</t>
  </si>
  <si>
    <t xml:space="preserve">    if (String(row[14]).trim().toLowerCase() === 'sample fixture') { removed++; continue; }</t>
  </si>
  <si>
    <t xml:space="preserve">    keep.push(row);</t>
  </si>
  <si>
    <t xml:space="preserve">  var blank = [];</t>
  </si>
  <si>
    <t xml:space="preserve">  for (var c = 0; c &lt; RAW_LAST_COL; c++) blank.push('');</t>
  </si>
  <si>
    <t xml:space="preserve">  var out = keep.slice();</t>
  </si>
  <si>
    <t xml:space="preserve">  while (out.length &lt; n) out.push(blank.slice());</t>
  </si>
  <si>
    <t xml:space="preserve">  rng.setValues(out);</t>
  </si>
  <si>
    <t xml:space="preserve">  logEvent('clearSampleFixtures', removed ? 'OK' : 'WARNING',</t>
  </si>
  <si>
    <t xml:space="preserve">           'removed=' + removed + ' remaining=' + keep.length);</t>
  </si>
  <si>
    <t xml:space="preserve">    SpreadsheetApp.getUi().alert('Sample fixtures cleared.\n\nRemoved: ' + removed +</t>
  </si>
  <si>
    <t xml:space="preserve">                                 '\nRemaining observations: ' + keep.length);</t>
  </si>
  <si>
    <t xml:space="preserve">  } catch (e) {}</t>
  </si>
  <si>
    <t xml:space="preserve">  return { removed: removed, remaining: keep.length };</t>
  </si>
  <si>
    <t xml:space="preserve"> * Google Sheets ignores Excel's protection passwords, so this rebuilds the same model</t>
  </si>
  <si>
    <t xml:space="preserve"> * natively: every sheet protected, with named exceptions for the cells people must edit.</t>
  </si>
  <si>
    <t xml:space="preserve"> * Run it ONCE after importing the workbook into Google Sheets.</t>
  </si>
  <si>
    <t>function applyGoogleSheetsProtection() {</t>
  </si>
  <si>
    <t xml:space="preserve">  var open = {</t>
  </si>
  <si>
    <t xml:space="preserve">    'Daily Data'  : ['A4:Q503'],</t>
  </si>
  <si>
    <t xml:space="preserve">    'Symbols'     : ['A4:J43', 'E4:E43'],</t>
  </si>
  <si>
    <t xml:space="preserve">    'CSV Template': ['A5:M60'],</t>
  </si>
  <si>
    <t xml:space="preserve">    'Settings'    : ['C7:C11', 'C13:C19', 'C21:C23', 'C25:C30',</t>
  </si>
  <si>
    <t xml:space="preserve">                     'C32:C37', 'C40:C44', 'C46:C49', 'C51:C54', 'C56:C57', 'C59:C60']</t>
  </si>
  <si>
    <t xml:space="preserve">  };</t>
  </si>
  <si>
    <t xml:space="preserve">  var me = Session.getEffectiveUser();</t>
  </si>
  <si>
    <t xml:space="preserve">  var sheets = ss.getSheets(), count = 0;</t>
  </si>
  <si>
    <t xml:space="preserve">  for (var i = 0; i &lt; sheets.length; i++) {</t>
  </si>
  <si>
    <t xml:space="preserve">    var sh = sheets[i], name = sh.getName();</t>
  </si>
  <si>
    <t xml:space="preserve">    // drop any protection this script created before, so the function is safe to re-run</t>
  </si>
  <si>
    <t xml:space="preserve">    var existing = sh.getProtections(SpreadsheetApp.ProtectionType.SHEET);</t>
  </si>
  <si>
    <t xml:space="preserve">    for (var p = 0; p &lt; existing.length; p++) {</t>
  </si>
  <si>
    <t xml:space="preserve">      if (existing[p].canEdit()) existing[p].remove();</t>
  </si>
  <si>
    <t xml:space="preserve">    var prot = sh.protect().setDescription('Kadioko - ' + name);</t>
  </si>
  <si>
    <t xml:space="preserve">    prot.addEditor(me);</t>
  </si>
  <si>
    <t xml:space="preserve">    prot.removeEditors(prot.getEditors().filter(function (u) {</t>
  </si>
  <si>
    <t xml:space="preserve">      return u.getEmail() !== me.getEmail();</t>
  </si>
  <si>
    <t xml:space="preserve">    }));</t>
  </si>
  <si>
    <t xml:space="preserve">    if (open[name]) {</t>
  </si>
  <si>
    <t xml:space="preserve">      var ranges = [];</t>
  </si>
  <si>
    <t xml:space="preserve">      for (var r = 0; r &lt; open[name].length; r++) ranges.push(sh.getRange(open[name][r]));</t>
  </si>
  <si>
    <t xml:space="preserve">      prot.setUnprotectedRanges(ranges);</t>
  </si>
  <si>
    <t xml:space="preserve">    prot.setWarningOnly(false);</t>
  </si>
  <si>
    <t xml:space="preserve">    count++;</t>
  </si>
  <si>
    <t xml:space="preserve">  logEvent('applyGoogleSheetsProtection', 'OK', 'sheets protected=' + count);</t>
  </si>
  <si>
    <t xml:space="preserve">  return count;</t>
  </si>
  <si>
    <t xml:space="preserve"> * Validates a licensed endpoint without writing anything to the workbook.</t>
  </si>
  <si>
    <t xml:space="preserve"> * Reports the HTTP status, the record count and any IMPORT_SCHEMA field the feed is missing,</t>
  </si>
  <si>
    <t xml:space="preserve"> * so the mapping can be fixed in mapFeedRecord_() before a real import is attempted.</t>
  </si>
  <si>
    <t>function testFeedConnection() {</t>
  </si>
  <si>
    <t xml:space="preserve">    logEvent('testFeedConnection', 'ERROR', 'No endpoint configured');</t>
  </si>
  <si>
    <t xml:space="preserve">    throw new Error('Set the endpoint URL in Settings!C9 first.');</t>
  </si>
  <si>
    <t xml:space="preserve">  var code = resp.getResponseCode();</t>
  </si>
  <si>
    <t xml:space="preserve">  if (code !== 200) {</t>
  </si>
  <si>
    <t xml:space="preserve">    logEvent('testFeedConnection', 'ERROR', 'HTTP ' + code);</t>
  </si>
  <si>
    <t xml:space="preserve">    return { ok: false, http: code };</t>
  </si>
  <si>
    <t xml:space="preserve">  var payload, records;</t>
  </si>
  <si>
    <t xml:space="preserve">    payload = JSON.parse(resp.getContentText());</t>
  </si>
  <si>
    <t xml:space="preserve">    records = payload.data || payload;</t>
  </si>
  <si>
    <t xml:space="preserve">    logEvent('testFeedConnection', 'ERROR', 'Response is not valid JSON');</t>
  </si>
  <si>
    <t xml:space="preserve">    return { ok: false, http: code, error: 'Response is not valid JSON' };</t>
  </si>
  <si>
    <t xml:space="preserve">  if (!records || !records.length) {</t>
  </si>
  <si>
    <t xml:space="preserve">    logEvent('testFeedConnection', 'WARNING', 'HTTP 200 but zero records');</t>
  </si>
  <si>
    <t xml:space="preserve">    return { ok: false, http: code, records: 0 };</t>
  </si>
  <si>
    <t xml:space="preserve">  var expected = ['date','symbol','open','previousClose','close','high','low',</t>
  </si>
  <si>
    <t xml:space="preserve">                  'turnover','deals','volume','bidQty','offerQty','marketCap'];</t>
  </si>
  <si>
    <t xml:space="preserve">  var first = records[0], missing = [];</t>
  </si>
  <si>
    <t xml:space="preserve">  for (var i = 0; i &lt; expected.length; i++) {</t>
  </si>
  <si>
    <t xml:space="preserve">    if (!(expected[i] in first)) missing.push(expected[i]);</t>
  </si>
  <si>
    <t xml:space="preserve">  var status = missing.length ? 'WARNING' : 'OK';</t>
  </si>
  <si>
    <t xml:space="preserve">  logEvent('testFeedConnection', status,</t>
  </si>
  <si>
    <t xml:space="preserve">           'records=' + records.length + ' missing=' + (missing.join('|') || 'none'));</t>
  </si>
  <si>
    <t xml:space="preserve">    SpreadsheetApp.getUi().alert('Feed test\n\nHTTP: ' + code +</t>
  </si>
  <si>
    <t xml:space="preserve">      '\nRecords: ' + records.length +</t>
  </si>
  <si>
    <t xml:space="preserve">      '\nMissing fields: ' + (missing.join(', ') || 'none') +</t>
  </si>
  <si>
    <t xml:space="preserve">      (missing.length ? '\n\nEdit mapFeedRecord_() in Import.gs to map these.' : '\n\nMapping is complete - safe to import.'));</t>
  </si>
  <si>
    <t xml:space="preserve">  return { ok: !missing.length, http: code, records: records.length, missing: missing };</t>
  </si>
  <si>
    <t>/** Lists securities still missing a listing date or a share count. */</t>
  </si>
  <si>
    <t>function symbolsNeedingVerification() {</t>
  </si>
  <si>
    <t xml:space="preserve">  var sh = SpreadsheetApp.getActive().getSheetByName(SHEET_SYMBOLS);</t>
  </si>
  <si>
    <t xml:space="preserve">  var v  = sh.getRange('A4:K43').getValues();</t>
  </si>
  <si>
    <t xml:space="preserve">  var out = [];</t>
  </si>
  <si>
    <t xml:space="preserve">    if (!v[i][0]) continue;</t>
  </si>
  <si>
    <t xml:space="preserve">    if (String(v[i][10]).indexOf('VERIFY') === 0) out.push(v[i][0] + ': ' + v[i][10]);</t>
  </si>
  <si>
    <t xml:space="preserve">  logEvent('symbolsNeedingVerification', out.length ? 'WARNING' : 'OK', 'count=' + out.length);</t>
  </si>
  <si>
    <t xml:space="preserve">  return out;</t>
  </si>
  <si>
    <t>Copy each block into a separate file in Extensions ▸ Apps Script (boundaries marked //// FILE: name.gs ////). Five modules: Code.gs, Import.gs, Reports.gs, Triggers.gs, Admin.gs. The development-only public-page parser is disabled by default (ENABLE_DEV_PARSER = false) and is never called by any refresh routine. In Google Sheets, run applyGoogleSheetsProtection() once to rebuild the lock model natively.</t>
  </si>
  <si>
    <t xml:space="preserve">    .addItem('Test feed connection', 'testFeedConnection')</t>
  </si>
  <si>
    <t xml:space="preserve">    .addItem('Clear sample fixtures', 'clearSampleFixtures')</t>
  </si>
  <si>
    <t xml:space="preserve">    .addItem('Symbols needing verification', 'symbolsNeedingVerification')</t>
  </si>
  <si>
    <t xml:space="preserve">    .addItem('Apply Google Sheets protection', 'applyGoogleSheetsProtection')</t>
  </si>
  <si>
    <t>AFRIPRISE</t>
  </si>
  <si>
    <t>DCB</t>
  </si>
  <si>
    <t>EABL</t>
  </si>
  <si>
    <t>JATU</t>
  </si>
  <si>
    <t>KA</t>
  </si>
  <si>
    <t>KCB</t>
  </si>
  <si>
    <t>MCB</t>
  </si>
  <si>
    <t>NMG</t>
  </si>
  <si>
    <t>SWALA</t>
  </si>
  <si>
    <t>TTP</t>
  </si>
  <si>
    <t>USL</t>
  </si>
  <si>
    <t>IEACLC-ETF</t>
  </si>
  <si>
    <t>VERTEX-ETF</t>
  </si>
  <si>
    <t>DSE Official Daily Market Report</t>
  </si>
  <si>
    <t>Official Feed</t>
  </si>
  <si>
    <t>Afriprise Investment PLC</t>
  </si>
  <si>
    <t>DCB Commercial Bank PLC</t>
  </si>
  <si>
    <t>East African Breweries PLC</t>
  </si>
  <si>
    <t>Ordinary Share (cross-listed)</t>
  </si>
  <si>
    <t>JATU PLC</t>
  </si>
  <si>
    <t>Agriculture</t>
  </si>
  <si>
    <t>Kenya Airways PLC</t>
  </si>
  <si>
    <t>Transport</t>
  </si>
  <si>
    <t>KCB Group PLC</t>
  </si>
  <si>
    <t>MCB — name to confirm with DSE</t>
  </si>
  <si>
    <t>MUCOBA Bank PLC</t>
  </si>
  <si>
    <t>National Investments Company Ltd (NICOL)</t>
  </si>
  <si>
    <t>Nation Media Group PLC</t>
  </si>
  <si>
    <t>Media</t>
  </si>
  <si>
    <t>Swala Oil and Gas (Tanzania) PLC</t>
  </si>
  <si>
    <t>Oil &amp; Gas</t>
  </si>
  <si>
    <t>Industrials</t>
  </si>
  <si>
    <t>Tanzania Cigarette Company Ltd</t>
  </si>
  <si>
    <t>Basic Materials</t>
  </si>
  <si>
    <t>Tanzania Tea Packers Ltd (TATEPA)</t>
  </si>
  <si>
    <t>Uchumi Supermarkets PLC</t>
  </si>
  <si>
    <t>Retail</t>
  </si>
  <si>
    <t>IEACLC ETF</t>
  </si>
  <si>
    <t>Exchange Traded Fund</t>
  </si>
  <si>
    <t>VERTEX ETF</t>
  </si>
  <si>
    <t>Derived: official DSE market capitalisation ÷ closing price (Daily Market Report, 23-Feb-2026). Listing date still to be confirmed against the DSE register.</t>
  </si>
  <si>
    <t>Source URL of last data load</t>
  </si>
  <si>
    <t>AO = 50 if there is no order book at all (bid = 0 and offer = 0)   ·   100 if there are bids but no offers   ·   0 if there are offers but no bids   ·   otherwise clamp( 50 + 50 × LN(B/O Ratio) / LN(Settings!C40), 0, 100 )</t>
  </si>
  <si>
    <t>The three edge cases matter on the DSE, where many counters go a whole session without a single resting order. A one-sided book is real information — offers with no bids is maximum supply pressure — but an EMPTY book is no information at all, so it scores a neutral 50 and the Data Confidence Score for that row is cut instead.</t>
  </si>
  <si>
    <t>Starts at 100 and deducts: 20 if market capitalisation is missing; 15 if there is no order book at all (bid and offer both zero); 10 if deals is zero; 10 if volume is zero (the counter did not trade); 15 if the rolling B/O average is not yet available; 10 if the 20-day average volume is not yet available; and 20 for a data-quality ERROR on that row or 10 for a WARNING. The floor is 0. Rows below Settings!C57 are marked low confidence wherever a signal is displayed.</t>
  </si>
  <si>
    <t>DSE-202608-10to13</t>
  </si>
  <si>
    <t>Official DSE Daily Market Reports, 10–13 August 2026</t>
  </si>
  <si>
    <t>RANKING MODEL (Ranking sheet)</t>
  </si>
  <si>
    <t>Fundamental Weight</t>
  </si>
  <si>
    <t>Named range: RankingFundamentalWeight</t>
  </si>
  <si>
    <t>Sentiment Weight</t>
  </si>
  <si>
    <t>Named range: RankingSentimentWeight</t>
  </si>
  <si>
    <t>Weight Check</t>
  </si>
  <si>
    <t>Ranking is blocked while this shows an error</t>
  </si>
  <si>
    <t>Ranking As Of Date</t>
  </si>
  <si>
    <t>The trading date the sentiment side of the ranking must match</t>
  </si>
  <si>
    <t>Use latest trading date on or before</t>
  </si>
  <si>
    <t>YES</t>
  </si>
  <si>
    <t>If NO, the ranking is blank when the exact date has no observations</t>
  </si>
  <si>
    <t>Maximum staleness (calendar days)</t>
  </si>
  <si>
    <t>A warning is shown when the fallback date is older than this</t>
  </si>
  <si>
    <t>Minimum Data Confidence to rank</t>
  </si>
  <si>
    <t>Securities below this are not ranking-eligible</t>
  </si>
  <si>
    <t>Minimum Liquidity to rank</t>
  </si>
  <si>
    <t>0 = do not exclude on liquidity; liquidity is always displayed</t>
  </si>
  <si>
    <t>Hide incomplete rankings</t>
  </si>
  <si>
    <t>YES hides securities without a complete score set</t>
  </si>
  <si>
    <t>Ranking Model Version</t>
  </si>
  <si>
    <t>RANK-1.0</t>
  </si>
  <si>
    <t>Increment when the ranking logic changes</t>
  </si>
  <si>
    <t>DARAJA / GRADE BANDS (minimum Overall Score)</t>
  </si>
  <si>
    <t>BORA SANA min</t>
  </si>
  <si>
    <t>NZURI SANA min</t>
  </si>
  <si>
    <t>NZURI min</t>
  </si>
  <si>
    <t>WASTANI min</t>
  </si>
  <si>
    <t>DHAIFU min</t>
  </si>
  <si>
    <t>Below this = DHAIFU SANA</t>
  </si>
  <si>
    <t>DEMAND YA SOKO BANDS (minimum Sentiment Score)</t>
  </si>
  <si>
    <t>Demand kubwa sana min</t>
  </si>
  <si>
    <t>Demand kubwa min</t>
  </si>
  <si>
    <t>Demand ya wastani min</t>
  </si>
  <si>
    <t>Below this = Demand ndogo sana</t>
  </si>
  <si>
    <t>UAMUZI / INTERPRETATION THRESHOLDS</t>
  </si>
  <si>
    <t>Strong fundamental min</t>
  </si>
  <si>
    <t>Fundamental at or above this = strong company</t>
  </si>
  <si>
    <t>Supportive sentiment min</t>
  </si>
  <si>
    <t>Sentiment at or above this = supportive market</t>
  </si>
  <si>
    <t>Medium fundamental min</t>
  </si>
  <si>
    <t>Below this = weak fundamentals, always Epuka</t>
  </si>
  <si>
    <t>Adequate demand min</t>
  </si>
  <si>
    <t>Sentiment at or above this = adequate demand</t>
  </si>
  <si>
    <t>KADIOKO DSE — FUNDAMENTAL SCORECARD</t>
  </si>
  <si>
    <t>Ticker</t>
  </si>
  <si>
    <t>Company</t>
  </si>
  <si>
    <t>Latest Financial Period</t>
  </si>
  <si>
    <t>Fundamental Score (0–100)</t>
  </si>
  <si>
    <t>Data Completeness %</t>
  </si>
  <si>
    <t>Last Updated</t>
  </si>
  <si>
    <t>Source / Notes</t>
  </si>
  <si>
    <t>Sector Model</t>
  </si>
  <si>
    <t>Status</t>
  </si>
  <si>
    <t>SCORING MODULES — the methodology is modular because banks, insurers, funds and industrial companies need different ratios</t>
  </si>
  <si>
    <t>Bank module</t>
  </si>
  <si>
    <t>Capital adequacy, NPL ratio, cost-to-income, ROE, ROA, loan growth, net interest margin</t>
  </si>
  <si>
    <t>Insurer module</t>
  </si>
  <si>
    <t>Solvency ratio, combined ratio, claims ratio, investment yield, premium growth, ROE</t>
  </si>
  <si>
    <t>Investment company module</t>
  </si>
  <si>
    <t>NAV growth, discount/premium to NAV, dividend income cover, cost-to-income, portfolio concentration</t>
  </si>
  <si>
    <t>Fund / ETF module</t>
  </si>
  <si>
    <t>Tracking difference, total expense ratio, NAV per unit trend, fund size, liquidity of underlying</t>
  </si>
  <si>
    <t>Industrial / general module</t>
  </si>
  <si>
    <t>Revenue growth, EBITDA margin, net margin, ROE, net debt/EBITDA, interest cover, free cash flow</t>
  </si>
  <si>
    <t>Each module must produce a normalised 0–100 score so that scores stay comparable across sectors. Record which module and which statements were used in the Source / Notes column, and cite the DSE filing or annual report.</t>
  </si>
  <si>
    <t>KADIOKO DSE — OVERALL RANKING</t>
  </si>
  <si>
    <t>Fundamental strength combined with market sentiment</t>
  </si>
  <si>
    <t>MODEL CONTEXT</t>
  </si>
  <si>
    <t>Ranking Date Requested:</t>
  </si>
  <si>
    <t>Market Data Date Used:</t>
  </si>
  <si>
    <t>Fundamental Period Used:</t>
  </si>
  <si>
    <t>Model Version:</t>
  </si>
  <si>
    <t>FILTERS — leave a cell blank to ignore that filter</t>
  </si>
  <si>
    <t>Daraja / Grade</t>
  </si>
  <si>
    <t>Demand ya Soko</t>
  </si>
  <si>
    <t>Min Fundamental</t>
  </si>
  <si>
    <t>Min Sentiment</t>
  </si>
  <si>
    <t>Min Overall</t>
  </si>
  <si>
    <t>Min Liquidity</t>
  </si>
  <si>
    <t>Min Confidence</t>
  </si>
  <si>
    <t>Active only</t>
  </si>
  <si>
    <t>Hide incomplete</t>
  </si>
  <si>
    <t>Previous Ranking Date:</t>
  </si>
  <si>
    <t>used for Previous Rank / Rank Change</t>
  </si>
  <si>
    <t>CALCULATION ENGINE — calculated, do not edit</t>
  </si>
  <si>
    <t>Fundamental</t>
  </si>
  <si>
    <t>Fund Period</t>
  </si>
  <si>
    <t>Sentiment</t>
  </si>
  <si>
    <t>Confidence</t>
  </si>
  <si>
    <t>Reason</t>
  </si>
  <si>
    <t>Overall</t>
  </si>
  <si>
    <t>Sort Key</t>
  </si>
  <si>
    <t>Show</t>
  </si>
  <si>
    <t>Prev Rank</t>
  </si>
  <si>
    <t>Rank Change</t>
  </si>
  <si>
    <t>Grade</t>
  </si>
  <si>
    <t>Demand</t>
  </si>
  <si>
    <t>Uamuzi</t>
  </si>
  <si>
    <t>KAMPUNI BORA KWA UJUMLA  —  TOP-RANKED COMPANY</t>
  </si>
  <si>
    <t>Kampuni / Company</t>
  </si>
  <si>
    <t>Alama ya Pamoja / Overall</t>
  </si>
  <si>
    <t>Uamuzi / Interpretation</t>
  </si>
  <si>
    <t>Nafasi / Rank</t>
  </si>
  <si>
    <t>Fundamental (Scorecard)</t>
  </si>
  <si>
    <t>Sentiment (Soko)</t>
  </si>
  <si>
    <t>Fundamental Period</t>
  </si>
  <si>
    <t>Market Data Date</t>
  </si>
  <si>
    <t>Previous Rank</t>
  </si>
  <si>
    <t>MODEL TEST FIXTURES — these validate the ranking ENGINE. They are not securities, not holdings and not recommendations. Change the Fundamental / Sentiment inputs and every calculated column below recalculates from the same Settings weights and bands used by the live table above.</t>
  </si>
  <si>
    <t>Overall (calculated)</t>
  </si>
  <si>
    <t>Overall expected</t>
  </si>
  <si>
    <t>Daraja (calculated)</t>
  </si>
  <si>
    <t>Daraja expected</t>
  </si>
  <si>
    <t>Uamuzi (calculated)</t>
  </si>
  <si>
    <t>Uamuzi expected</t>
  </si>
  <si>
    <t>Result</t>
  </si>
  <si>
    <t>BORA SANA</t>
  </si>
  <si>
    <t>Nunua : ubora na mwelekeo vinaungana</t>
  </si>
  <si>
    <t>NZURI SANA</t>
  </si>
  <si>
    <t>Fuatilia : ubora wa wastani</t>
  </si>
  <si>
    <t>WASTANI</t>
  </si>
  <si>
    <t>Epuka : ubora dhaifu</t>
  </si>
  <si>
    <t>DHAIFU SANA</t>
  </si>
  <si>
    <t>KADIOKO DSE — RANKING HISTORY</t>
  </si>
  <si>
    <t>An append-only archive of past ranking runs. The Ranking sheet reads it for Previous Rank and Rank Change. Append a snapshot with snapshotRanking() from the Kadioko menu, or paste rows manually. Never edit a historical row — the point of this sheet is that it records what the model actually said on the day.</t>
  </si>
  <si>
    <t>Ranking Date</t>
  </si>
  <si>
    <t>Fundamental Score</t>
  </si>
  <si>
    <t>Sentiment Score</t>
  </si>
  <si>
    <t>Overall Score</t>
  </si>
  <si>
    <t>Model Version</t>
  </si>
  <si>
    <t>Rows archived:</t>
  </si>
  <si>
    <t>Distinct ranking dates:</t>
  </si>
  <si>
    <t>9. OVERALL RANKING MODEL (Ranking sheet)</t>
  </si>
  <si>
    <t>The Ranking sheet is a CONSUMER of data. It holds no market data and no fundamental data of its own: it reads securities from Symbols, company quality from the Fundamental Scorecard, and market pressure from the same Daily Data columns that feed the Market Sentiment sheet. It never recalculates a second, contradictory sentiment model.</t>
  </si>
  <si>
    <t>Overall = ROUND(Fundamental x RankingFundamentalWeight + Sentiment x RankingSentimentWeight, 1)</t>
  </si>
  <si>
    <t>Weights live in Settings!C65 and C66 (named ranges RankingFundamentalWeight and RankingSentimentWeight), default 70% / 30%. Settings!C67 blocks the model with 'CONFIGURATION ERROR: Ranking weights must total 100%' if they do not sum to 1.</t>
  </si>
  <si>
    <t>Date discipline</t>
  </si>
  <si>
    <t>Settings!C68 is the Ranking As Of Date. The sheet shows the date requested AND the market data date actually used. If the requested date has no observations, the latest trading date on or before it is used only when Settings!C69 allows it, the substitution is displayed on screen, and a staleness warning appears once the gap exceeds Settings!C70. Data is never silently substituted.</t>
  </si>
  <si>
    <t>Ranking eligibility</t>
  </si>
  <si>
    <t>A security is ranked only when it is active, has a numeric Fundamental Score, has a market observation on the date used, has Data Confidence at or above Settings!C71, and meets Settings!C72 for liquidity. A missing fundamental score is left BLANK and the security is marked ineligible with the reason 'Missing fundamental data'. It is never converted to zero, because zero would falsely assert that the company is poor quality. Liquidity is always displayed; it only excludes a security if Settings!C72 is raised above zero.</t>
  </si>
  <si>
    <t>Sort order: Overall Score DESC, then Fundamental DESC, then Sentiment DESC, then Data Confidence DESC, then Ticker ASC. Ranks are computed, never typed.</t>
  </si>
  <si>
    <t>Daraja and Demand are separate on purpose</t>
  </si>
  <si>
    <t>Daraja (grade) is banded from the Overall Score using Settings!C76:C80. Demand ya Soko is banded from the Sentiment Score alone using Settings!C82:C84. They are deliberately different measures: a weak company can attract strong short-term demand, and the workbook must be able to say so.</t>
  </si>
  <si>
    <t>Uamuzi is driven by BOTH components, never by the Overall Score alone: Fundamental below Settings!C88 always returns 'Epuka : ubora dhaifu' regardless of how strong sentiment is. Strong fundamental plus supportive sentiment returns 'Nunua'. Strong fundamental with unconfirmed sentiment returns 'Fuatilia : ubora mzuri, mwelekeo bado haujathibitisha'. Note the wording: the workbook says the DIRECTION is unconfirmed (mwelekeo bado dhaifu), never that a price has or has not risen, because order-book pressure is not evidence about price movement.</t>
  </si>
  <si>
    <t>The engine is validated on the Ranking sheet itself by six test fixtures covering the grade boundaries and the weak-fundamental override. They test the model, not any security.</t>
  </si>
  <si>
    <t>//// FILE: Ranking.gs ////</t>
  </si>
  <si>
    <t xml:space="preserve"> * KADIOKO DSE SHEET - Ranking.gs</t>
  </si>
  <si>
    <t xml:space="preserve"> * Archives a ranking run so the Ranking sheet can show Previous Rank and Rank Change.</t>
  </si>
  <si>
    <t xml:space="preserve"> * The ranking itself is entirely formula-driven; this script only records the result.</t>
  </si>
  <si>
    <t>var SHEET_RANKING = 'Ranking';</t>
  </si>
  <si>
    <t>var SHEET_RANK_HISTORY = 'Ranking History';</t>
  </si>
  <si>
    <t>var HIST_FIRST_ROW = 5;</t>
  </si>
  <si>
    <t>var HIST_LAST_ROW  = 2000;</t>
  </si>
  <si>
    <t xml:space="preserve"> * Appends today's ranking to Ranking History.</t>
  </si>
  <si>
    <t xml:space="preserve"> * Idempotent: a ranking date already archived is replaced, never duplicated.</t>
  </si>
  <si>
    <t>function snapshotRanking() {</t>
  </si>
  <si>
    <t xml:space="preserve">  var rk = ss.getSheetByName(SHEET_RANKING);</t>
  </si>
  <si>
    <t xml:space="preserve">  var hs = ss.getSheetByName(SHEET_RANK_HISTORY);</t>
  </si>
  <si>
    <t xml:space="preserve">  if (!rk || !hs) throw new Error('Ranking or Ranking History sheet is missing.');</t>
  </si>
  <si>
    <t xml:space="preserve">  var asOf    = rk.getRange('C7').getValue();          // market data date actually used</t>
  </si>
  <si>
    <t xml:space="preserve">  var version = rk.getRange('C9').getValue();</t>
  </si>
  <si>
    <t xml:space="preserve">  if (!asOf) {</t>
  </si>
  <si>
    <t xml:space="preserve">    logEvent('snapshotRanking', 'ERROR', 'No market data date - nothing to archive');</t>
  </si>
  <si>
    <t xml:space="preserve">    throw new Error('No market data date is in use. Nothing to archive.');</t>
  </si>
  <si>
    <t xml:space="preserve">  // display table: A rank, B ticker, E fundamental, F sentiment, G overall, H grade, L confidence</t>
  </si>
  <si>
    <t xml:space="preserve">  var tbl = rk.getRange('A25:L64').getValues();</t>
  </si>
  <si>
    <t xml:space="preserve">  for (var i = 0; i &lt; tbl.length; i++) {</t>
  </si>
  <si>
    <t xml:space="preserve">    var rank = tbl[i][0], ticker = tbl[i][1];</t>
  </si>
  <si>
    <t xml:space="preserve">    if (!ticker || typeof rank !== 'number') continue;   // skip blanks and unranked rows</t>
  </si>
  <si>
    <t xml:space="preserve">    rows.push([asOf, ticker, rank, tbl[i][4], tbl[i][5], tbl[i][6], tbl[i][7], tbl[i][11], version]);</t>
  </si>
  <si>
    <t xml:space="preserve">  if (!rows.length) {</t>
  </si>
  <si>
    <t xml:space="preserve">    logEvent('snapshotRanking', 'WARNING', 'No ranking-eligible securities to archive');</t>
  </si>
  <si>
    <t xml:space="preserve">    return { archived: 0 };</t>
  </si>
  <si>
    <t xml:space="preserve">  // remove any existing rows for this date, then append</t>
  </si>
  <si>
    <t xml:space="preserve">  var n   = HIST_LAST_ROW - HIST_FIRST_ROW + 1;</t>
  </si>
  <si>
    <t xml:space="preserve">  var cur = hs.getRange(HIST_FIRST_ROW, 1, n, 9).getValues();</t>
  </si>
  <si>
    <t xml:space="preserve">  var keep = [];</t>
  </si>
  <si>
    <t xml:space="preserve">  var target = Utilities.formatDate(new Date(asOf), 'Africa/Dar_es_Salaam', 'yyyy-MM-dd');</t>
  </si>
  <si>
    <t xml:space="preserve">  for (var j = 0; j &lt; cur.length; j++) {</t>
  </si>
  <si>
    <t xml:space="preserve">    if (!cur[j][1]) continue;</t>
  </si>
  <si>
    <t xml:space="preserve">    var d = cur[j][0];</t>
  </si>
  <si>
    <t xml:space="preserve">    var key = (d instanceof Date)</t>
  </si>
  <si>
    <t xml:space="preserve">            ? Utilities.formatDate(d, 'Africa/Dar_es_Salaam', 'yyyy-MM-dd')</t>
  </si>
  <si>
    <t xml:space="preserve">            : String(d);</t>
  </si>
  <si>
    <t xml:space="preserve">    if (key === target) continue;                       // drop the old run for this date</t>
  </si>
  <si>
    <t xml:space="preserve">    keep.push(cur[j]);</t>
  </si>
  <si>
    <t xml:space="preserve">  var out = keep.concat(rows);</t>
  </si>
  <si>
    <t xml:space="preserve">  if (out.length &gt; n) throw new Error('Ranking History is full. Archive and clear old rows.');</t>
  </si>
  <si>
    <t xml:space="preserve">  var blank = ['','','','','','','','',''];</t>
  </si>
  <si>
    <t xml:space="preserve">  hs.getRange(HIST_FIRST_ROW, 1, n, 9).setValues(out);</t>
  </si>
  <si>
    <t xml:space="preserve">  logEvent('snapshotRanking', 'OK', 'date=' + target + ' rows=' + rows.length);</t>
  </si>
  <si>
    <t xml:space="preserve">    SpreadsheetApp.getUi().alert('Ranking archived.\n\nDate: ' + target + '\nSecurities: ' + rows.length);</t>
  </si>
  <si>
    <t xml:space="preserve">  return { archived: rows.length, date: target };</t>
  </si>
  <si>
    <t>/** Convenience: which securities cannot be ranked today, and why. */</t>
  </si>
  <si>
    <t>function rankingExclusions() {</t>
  </si>
  <si>
    <t xml:space="preserve">  var rk = SpreadsheetApp.getActive().getSheetByName(SHEET_RANKING);</t>
  </si>
  <si>
    <t xml:space="preserve">  var v  = rk.getRange('R25:AE64').getValues();         // ticker .. eligible .. reason</t>
  </si>
  <si>
    <t xml:space="preserve">    if (v[i][12] !== 'YES') out.push(v[i][0] + ': ' + v[i][13]);</t>
  </si>
  <si>
    <t xml:space="preserve">  logEvent('rankingExclusions', out.length ? 'WARNING' : 'OK', 'excluded=' + out.length);</t>
  </si>
  <si>
    <t xml:space="preserve">    .addItem('Archive today\'s ranking', 'snapshotRanking')</t>
  </si>
  <si>
    <t xml:space="preserve">    .addItem('Why is a security unranked?', 'rankingExclusions')</t>
  </si>
  <si>
    <t>DSE-20260814</t>
  </si>
  <si>
    <t>https://dse.co.tz/ — Daily Market Reports for 10–14 August 2026</t>
  </si>
  <si>
    <t>MASTER DATA TABLE — one row = one security on one trading date. Columns A–Q are raw data; R–AV are calculated.   ||   SOURCE: Dar es Salaam Stock Exchange, Official Daily Market Reports for 10, 11, 12, 13 and 14 August 2026 (Equity Daily Prices + ETF Daily Prices), retrieved from https://dse.co.tz/ on 15 August 2026. Previous Close is carried from the prior trading day's official close within this loaded set; it is blank for each security's first day.</t>
  </si>
  <si>
    <t>FUNDAMENTAL SCORING BENCHMARKS (Fundamental Scorecard)</t>
  </si>
  <si>
    <t>Revenue growth — 0 pts at</t>
  </si>
  <si>
    <t>Year-on-year revenue growth</t>
  </si>
  <si>
    <t>Revenue growth — 100 pts at</t>
  </si>
  <si>
    <t>Profit growth — 0 pts at</t>
  </si>
  <si>
    <t>Year-on-year profit growth</t>
  </si>
  <si>
    <t>Profit growth — 100 pts at</t>
  </si>
  <si>
    <t>Net margin — 0 pts at</t>
  </si>
  <si>
    <t>Net profit / revenue. Banks: profit / total income</t>
  </si>
  <si>
    <t>Net margin — 100 pts at</t>
  </si>
  <si>
    <t>Return on equity — 0 pts at</t>
  </si>
  <si>
    <t>Return on equity — 100 pts at</t>
  </si>
  <si>
    <t>Leverage — 100 pts at (best)</t>
  </si>
  <si>
    <t>Debt / equity. Lower is better, so the scale is inverted</t>
  </si>
  <si>
    <t>Leverage — 0 pts at (worst)</t>
  </si>
  <si>
    <t>Minimum metrics required to score</t>
  </si>
  <si>
    <t>Fewer than this leaves the Fundamental Score blank</t>
  </si>
  <si>
    <t>Manual Override</t>
  </si>
  <si>
    <t>Revenue Growth % (YoY)</t>
  </si>
  <si>
    <t>Profit Growth % (YoY)</t>
  </si>
  <si>
    <t>Net Margin %</t>
  </si>
  <si>
    <t>Return on Equity %</t>
  </si>
  <si>
    <t>Leverage (Debt/Equity)</t>
  </si>
  <si>
    <t>Sub: Revenue</t>
  </si>
  <si>
    <t>Sub: Profit</t>
  </si>
  <si>
    <t>Sub: Margin</t>
  </si>
  <si>
    <t>Sub: ROE</t>
  </si>
  <si>
    <t>Sub: Leverage</t>
  </si>
  <si>
    <t>Metrics Provided</t>
  </si>
  <si>
    <t>Computed Score</t>
  </si>
  <si>
    <t>Company quality, measured from published financial statements — deliberately SEPARATE from market sentiment. Enter the raw financial metrics in columns L–P (from DSE-published annual or quarterly statements) and the Fundamental Score in column E is CALCULATED from them against the benchmarks in Settings!C92:C101. Use column K only to override with an externally-produced score. Fewer than Settings!C102 metrics leaves the score BLANK — never zero, because zero would falsely imply poor company quality.</t>
  </si>
  <si>
    <t>RANGI / COLOUR KEY</t>
  </si>
  <si>
    <t>NZURI</t>
  </si>
  <si>
    <t>DHAIFU</t>
  </si>
  <si>
    <t>Green = strong, amber = average, red = weak. Scores 0–100 shade continuously; grades, demand and Uamuzi are banded.</t>
  </si>
  <si>
    <t>Q2 2026 (30 Jun 2026)</t>
  </si>
  <si>
    <t>11. DATA CURRENTLY LOADED</t>
  </si>
  <si>
    <t>Dar es Salaam Stock Exchange, Official Daily Market Reports for 10, 11, 12, 13 and 14 August 2026 — Equity Daily Prices plus ETF Daily Prices. 150 observations across 30 securities over 5 consecutive trading days, retrieved from https://dse.co.tz/ on 15 August 2026. The source URL is recorded in Settings!C62 and in the header line of the Daily Data sheet.</t>
  </si>
  <si>
    <t>Previous Close is carried from the prior trading day's official close within the loaded set, so Change % is live from the second day onward. Rolling 5-day metrics need five prior observations per security and 20-day metrics need twenty, so B/O Momentum, Volume Ratio and the 5D/20D returns stay blank until enough days are loaded. That is a guard, not a fault — the workbook does not invent history.</t>
  </si>
  <si>
    <t>Two rows are flagged ERROR because the official reports contradict themselves: JATU on 12 August (close 265 outside its own 270/270 high-low) and SWIS on 14 August (close 2,570 below its published low of 2,600). The figures are left exactly as published and flagged rather than silently corrected.</t>
  </si>
  <si>
    <t>12. THE OVERALL RANKING ENGINE</t>
  </si>
  <si>
    <t>Three sheets work together: Fundamental Scorecard (company quality), Market Sentiment (order-book demand) and Ranking (the combined view). Ranking is a pure consumer — it stores no market data and no fundamental data of its own.</t>
  </si>
  <si>
    <t>Overall Score = Fundamental x 70% + Sentiment x 30%</t>
  </si>
  <si>
    <t>The weights are Settings!C65 and C66 (named ranges RankingFundamentalWeight and RankingSentimentWeight). Change them and the whole ranking re-sorts. Settings!C67 blocks the model if they do not total 100%. Grade bands are Settings!C76:C80, market-demand bands Settings!C82:C84, and the interpretation thresholds Settings!C86:C89.</t>
  </si>
  <si>
    <t>Daraja (grade) measures the combined score. Demand ya Soko measures market appetite alone. They are deliberately separate, because a weak company can attract strong short-term demand — and the Uamuzi column will say Epuka : ubora dhaifu for any company below the fundamental floor no matter how hot the order book is.</t>
  </si>
  <si>
    <t>How to produce a ranking</t>
  </si>
  <si>
    <t>1.  Open Fundamental Scorecard. For each company enter five figures from its published statements into columns L to P: revenue growth (YoY), profit growth (YoY), net margin, return on equity, and debt/equity.</t>
  </si>
  <si>
    <t>2.  The Fundamental Score in column E is CALCULATED from those five against the benchmarks in Settings!C92:C101. You are entering financial facts, not an opinion. Column K exists only to override with an externally-produced score.</t>
  </si>
  <si>
    <t>3.  Fewer than three metrics (Settings!C102) leaves the score blank and the security stays unranked with the reason 'Missing fundamental data'. A blank is never treated as zero.</t>
  </si>
  <si>
    <t>4.  The Ranking sheet then sorts automatically, the hero card shows rank #1, and the Top 10 chart fills in.</t>
  </si>
  <si>
    <t>5.  Run Kadioko ▸ Archive today's ranking to store the run in Ranking History, which drives Previous Rank and Rank Change.</t>
  </si>
  <si>
    <t>The four largest counters have already been prepared: CRDB, NMB, TPCC and TBL rows carry the financial period (Q2 2026, 30 June 2026) and a direct link to the official DSE filing in the Source / Notes column. Only the five numbers are outstanding.</t>
  </si>
  <si>
    <t>The Ranking sheet is colour-coded: green = strong, amber = average, red = weak, with a colour key at rows 79-81.</t>
  </si>
  <si>
    <t>STEP 6 — THE RANKING SHEET: QUALITY FIRST, DEMAND SECOND</t>
  </si>
  <si>
    <t>Market Pressure answers 'who is being bought today'. The Ranking sheet answers a different and more important question: 'which company is worth owning'. It weights company quality at 70% and market demand at 30%, so a counter cannot reach the top of the table on a hot order book alone.</t>
  </si>
  <si>
    <t>Read the Ranking sheet in this order:</t>
  </si>
  <si>
    <t>1.  Check the status bar under the model context. It tells you whether the weights are valid, whether the market data date is an exact match or a fallback, and whether any fundamental scores exist at all.</t>
  </si>
  <si>
    <t>2.  Read Daraja (grade) for overall standing — BORA SANA down to DHAIFU SANA, green through red.</t>
  </si>
  <si>
    <t>3.  Read Demand ya Soko separately. It comes from sentiment ONLY. High demand on a weak company is a warning, not an endorsement.</t>
  </si>
  <si>
    <t>4.  Read Uamuzi last. It is the only column that combines both sides. Below the fundamental floor it always says Epuka : ubora dhaifu, however strong demand is.</t>
  </si>
  <si>
    <t>5.  Check Data Confidence and Liquidity before acting on any row. Illiquid counters are shown, never hidden, so you can judge them yourself.</t>
  </si>
  <si>
    <t>Why the ranking may be empty</t>
  </si>
  <si>
    <t>If no fundamental scores have been entered, the table, hero card and chart are deliberately blank and every security reads 'Missing fundamental data'. The workbook will not rank on sentiment alone, and it will not score a missing fundamental as zero — zero would falsely claim the company is poor quality. Enter the five financial metrics on the Fundamental Scorecard and the ranking appears.</t>
  </si>
  <si>
    <t>A high Overall Score is still not investment advice. It says the company scores well on the financial metrics you entered and that the order book was supportive on one trading day. It says nothing about valuation, price, or what happens next.</t>
  </si>
  <si>
    <t>Official DSE filing, Q2 2026 quarterly report (6 months to 30 June 2026). Figures supplied by the workbook owner from that filing; ratios derived as rev26/rev25-1, pat26/pat25-1, pat26/rev26, (pat26 x 2)/equity annualised, borrowings/equity. Banks: revenue = total operating income; borrowings exclude customer deposits.</t>
  </si>
  <si>
    <t>Official DSE filing, Q2 2026 quarterly report (6 months to 30 June 2026). Figures supplied by the workbook owner from that filing; ratios derived as rev26/rev25-1, pat26/pat25-1, pat26/rev26, (pat26 x 2)/equity annualised, borrowings/equity.</t>
  </si>
  <si>
    <t>Score shading: red at 40 and below, amber at 60, green at 80 and above — matched to the Daraja bands in Settings!C76:C80. If you change those bands, adjust the colour scale on columns E, F and G to match.</t>
  </si>
  <si>
    <t>NO</t>
  </si>
  <si>
    <t>Reporting periods per year</t>
  </si>
  <si>
    <t>2 = half-year results (profit is annualised x2 for ROE). Use 1 for full-year, 4 for a single quarter.</t>
  </si>
  <si>
    <t>Revenue — current period</t>
  </si>
  <si>
    <t>Revenue — prior year</t>
  </si>
  <si>
    <t>Profit after tax — current</t>
  </si>
  <si>
    <t>Profit after tax — prior year</t>
  </si>
  <si>
    <t>Total equity</t>
  </si>
  <si>
    <t>Borrowings</t>
  </si>
  <si>
    <t>PASTE RAW FIGURES FROM THE PUBLISHED STATEMENT HERE — the ratios in columns L–P are calculated from these</t>
  </si>
  <si>
    <t>Maximum fundamental age (months)</t>
  </si>
  <si>
    <t>Statements older than this are flagged STALE and excluded from ranking. Blank statement date = age unknown, allowed but flagged.</t>
  </si>
  <si>
    <t>Statement Date</t>
  </si>
  <si>
    <t>Age (months)</t>
  </si>
  <si>
    <t>Fund Age (m)</t>
  </si>
  <si>
    <t>Periods per Year</t>
  </si>
  <si>
    <t>Period Type</t>
  </si>
  <si>
    <t>quarter</t>
  </si>
  <si>
    <t>full</t>
  </si>
  <si>
    <t>half</t>
  </si>
  <si>
    <t>Figures supplied by the workbook owner from the official published statement. Prior = same period one year earlier; n/a where the filing gives no comparable prior. Ratios calculated in columns L-P from the raw figures in X-AC.</t>
  </si>
  <si>
    <t>ANNUALISATION (column AF): set it from the period the INCOME STATEMENT actually covers, never from the folder or category a filing is stored under. 3 months = 4 · 6 months = 2 · 9 months = 1.3333 · 12 months = 1. Decimals are allowed, so cumulative nine-month filings use 1.3333 rather than being forced into 1, 2 or 4.</t>
  </si>
  <si>
    <t>Figures supplied by the workbook owner from the official published statements. Both the June 2026 and June 2025 TCC statements are explicitly DISCRETE THREE-MONTH quarters ('the three months ended 30 June'), not H1 cumulative — hence AF = 4. Prior = the three months ended 30 June 2025: revenue 131,772m, PAT 35,266m.</t>
  </si>
  <si>
    <t>Exclude cross-listed securities</t>
  </si>
  <si>
    <t>YES ranks Tanzanian-domiciled listings only. Cross-listed counters (Kenyan primary listings) are excluded with a stated reason, not deleted.</t>
  </si>
  <si>
    <t>Official filing. Prior = Q2 2025 total operating income 2,900,542 + other operating gains 132,618 = 3,033,160 (matches the bank/financial-institution definition of total operating income); PAT 2,732,085. Filing identifies these as Q2 2025, so AF = 4.</t>
  </si>
  <si>
    <t>Official filing, three months ended 31 Mar 2025: revenue 11,372m, PAT 1,435m. Revenue line used, not Total revenue 11,435m — the 63m difference is other operating income, excluded under the turnover/net sales definition for non-financial companies.</t>
  </si>
  <si>
    <t>Official filing, Q1 ended 31 Mar 2025: revenue 7,093,779k, PAT 1,403,421k. Statement carries the Q1 2024 comparison, confirming a discrete three-month quarter, so AF = 4.</t>
  </si>
  <si>
    <t>Official filings. Both the June 2026 and June 2025 statements are headed 'FOR THE QUARTER ENDED 30 JUNE' — discrete three-month periods, NOT H1 cumulative, so AF = 4 (corrected from 2). Prior: Q2 2025 revenue 65,515,287k, PAT 679,106k.</t>
  </si>
  <si>
    <t>Official Q2 2026 filing, which carries the 31 Mar 2026 comparative balance sheet: group total equity 710,175m. No conventional borrowing/loan line, so borrowings = 0 under the current debt definition. NOTE: IFRS 16 lease liabilities at 31 Mar 2026 were 6,093m long-term + 6,286m current = 12,379m. If the model is ever changed to treat leases as debt, use 12,379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</si>
</sst>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0.000%"/>
    <numFmt numFmtId="166" formatCode="0.0%;[Red]\(0.0%\);\-"/>
    <numFmt numFmtId="167" formatCode="#,##0;\(#,##0\);\-"/>
    <numFmt numFmtId="168" formatCode="0.00&quot;x&quot;;\(0.00\);\-"/>
    <numFmt numFmtId="169" formatCode="0.00&quot;x&quot;"/>
    <numFmt numFmtId="170" formatCode="0.0"/>
    <numFmt numFmtId="171" formatCode="#,##0,,&quot;M&quot;"/>
    <numFmt numFmtId="172" formatCode="0.0%"/>
    <numFmt numFmtId="173" formatCode="#,##0.000"/>
    <numFmt numFmtId="174" formatCode="0.####"/>
  </numFmts>
  <fonts count="74" x14ac:knownFonts="1">
    <font>
      <sz val="11"/>
      <color theme="1"/>
      <name val="Calibri"/>
      <family val="2"/>
      <scheme val="minor"/>
    </font>
    <font>
      <b/>
      <sz val="11"/>
      <color theme="1"/>
      <name val="Calibri"/>
      <family val="2"/>
      <scheme val="minor"/>
    </font>
    <font>
      <b/>
      <sz val="18"/>
      <color rgb="FF0F2440"/>
      <name val="Calibri"/>
      <family val="2"/>
      <scheme val="minor"/>
    </font>
    <font>
      <i/>
      <sz val="11"/>
      <color rgb="FF5A6472"/>
      <name val="Calibri"/>
      <family val="2"/>
      <scheme val="minor"/>
    </font>
    <font>
      <b/>
      <sz val="11"/>
      <color rgb="FFFFFFFF"/>
      <name val="Calibri"/>
      <family val="2"/>
      <scheme val="minor"/>
    </font>
    <font>
      <b/>
      <sz val="11"/>
      <color rgb="FF0F2440"/>
      <name val="Calibri"/>
      <family val="2"/>
      <scheme val="minor"/>
    </font>
    <font>
      <sz val="11"/>
      <color rgb="FF0000FF"/>
      <name val="Calibri"/>
      <family val="2"/>
      <scheme val="minor"/>
    </font>
    <font>
      <sz val="11"/>
      <color rgb="FF5A6472"/>
      <name val="Calibri"/>
      <family val="2"/>
      <scheme val="minor"/>
    </font>
    <font>
      <b/>
      <sz val="16"/>
      <color rgb="FF0F2440"/>
      <name val="Calibri"/>
      <family val="2"/>
      <scheme val="minor"/>
    </font>
    <font>
      <b/>
      <sz val="11"/>
      <color rgb="FF0000FF"/>
      <name val="Calibri"/>
      <family val="2"/>
      <scheme val="minor"/>
    </font>
    <font>
      <sz val="11"/>
      <color rgb="FF0000FF"/>
      <name val="Calibri"/>
      <scheme val="minor"/>
    </font>
    <font>
      <sz val="11"/>
      <color theme="1"/>
      <name val="Calibri"/>
      <scheme val="minor"/>
    </font>
    <font>
      <sz val="11"/>
      <color rgb="FF000000"/>
      <name val="Calibri"/>
      <scheme val="minor"/>
    </font>
    <font>
      <b/>
      <sz val="11"/>
      <color rgb="FF008000"/>
      <name val="Calibri"/>
      <family val="2"/>
      <scheme val="minor"/>
    </font>
    <font>
      <b/>
      <sz val="11"/>
      <color rgb="FF1E7B34"/>
      <name val="Calibri"/>
      <family val="2"/>
      <scheme val="minor"/>
    </font>
    <font>
      <b/>
      <sz val="11"/>
      <color rgb="FFC0392B"/>
      <name val="Calibri"/>
      <family val="2"/>
      <scheme val="minor"/>
    </font>
    <font>
      <sz val="11"/>
      <color rgb="FFB0B7BF"/>
      <name val="Calibri"/>
      <family val="2"/>
      <scheme val="minor"/>
    </font>
    <font>
      <b/>
      <sz val="13"/>
      <color theme="1"/>
      <name val="Calibri"/>
      <family val="2"/>
      <scheme val="minor"/>
    </font>
    <font>
      <b/>
      <sz val="9"/>
      <color rgb="FFFFFFFF"/>
      <name val="Calibri"/>
      <family val="2"/>
      <scheme val="minor"/>
    </font>
    <font>
      <sz val="11"/>
      <color rgb="FFC9CFD6"/>
      <name val="Calibri"/>
      <family val="2"/>
      <scheme val="minor"/>
    </font>
    <font>
      <sz val="8"/>
      <color rgb="FFC9CFD6"/>
      <name val="Calibri"/>
      <family val="2"/>
      <scheme val="minor"/>
    </font>
    <font>
      <i/>
      <sz val="11"/>
      <color rgb="FF9AA3AD"/>
      <name val="Calibri"/>
      <family val="2"/>
      <scheme val="minor"/>
    </font>
    <font>
      <sz val="11"/>
      <color rgb="FF9AA3AD"/>
      <name val="Calibri"/>
      <family val="2"/>
      <scheme val="minor"/>
    </font>
    <font>
      <b/>
      <sz val="14"/>
      <color rgb="FFC0392B"/>
      <name val="Calibri"/>
      <family val="2"/>
      <scheme val="minor"/>
    </font>
    <font>
      <b/>
      <sz val="14"/>
      <color rgb="FFB7791F"/>
      <name val="Calibri"/>
      <family val="2"/>
      <scheme val="minor"/>
    </font>
    <font>
      <b/>
      <sz val="14"/>
      <color rgb="FF1E7B34"/>
      <name val="Calibri"/>
      <family val="2"/>
      <scheme val="minor"/>
    </font>
    <font>
      <b/>
      <sz val="14"/>
      <color rgb="FF0F2440"/>
      <name val="Calibri"/>
      <family val="2"/>
      <scheme val="minor"/>
    </font>
    <font>
      <b/>
      <sz val="15"/>
      <color rgb="FF0F2440"/>
      <name val="Calibri"/>
      <family val="2"/>
      <scheme val="minor"/>
    </font>
    <font>
      <b/>
      <sz val="15"/>
      <color rgb="FF1E7B34"/>
      <name val="Calibri"/>
      <family val="2"/>
      <scheme val="minor"/>
    </font>
    <font>
      <b/>
      <sz val="15"/>
      <color rgb="FFC0392B"/>
      <name val="Calibri"/>
      <family val="2"/>
      <scheme val="minor"/>
    </font>
    <font>
      <sz val="10.5"/>
      <color theme="1"/>
      <name val="Calibri"/>
      <family val="2"/>
      <scheme val="minor"/>
    </font>
    <font>
      <sz val="10.5"/>
      <color rgb="FF2C3542"/>
      <name val="Calibri"/>
      <family val="2"/>
      <scheme val="minor"/>
    </font>
    <font>
      <b/>
      <sz val="12"/>
      <color rgb="FFFFFFFF"/>
      <name val="Calibri"/>
      <family val="2"/>
      <scheme val="minor"/>
    </font>
    <font>
      <sz val="11"/>
      <color rgb="FF2C3542"/>
      <name val="Calibri"/>
      <family val="2"/>
      <scheme val="minor"/>
    </font>
    <font>
      <b/>
      <sz val="10.5"/>
      <color rgb="FF7F1D1D"/>
      <name val="Calibri"/>
      <family val="2"/>
      <scheme val="minor"/>
    </font>
    <font>
      <sz val="10"/>
      <color theme="1"/>
      <name val="Calibri"/>
      <family val="2"/>
      <scheme val="minor"/>
    </font>
    <font>
      <sz val="10"/>
      <color rgb="FF0B3A5B"/>
      <name val="Consolas"/>
    </font>
    <font>
      <b/>
      <sz val="11"/>
      <color rgb="FF0F2440"/>
      <name val="Consolas"/>
    </font>
    <font>
      <b/>
      <sz val="10"/>
      <color rgb="FF0B3A5B"/>
      <name val="Consolas"/>
    </font>
    <font>
      <sz val="10.5"/>
      <color rgb="FF2C3542"/>
      <name val="Consolas"/>
    </font>
    <font>
      <b/>
      <sz val="12"/>
      <color rgb="FFFFFFFF"/>
      <name val="Consolas"/>
    </font>
    <font>
      <b/>
      <sz val="10.5"/>
      <color rgb="FF2C3542"/>
      <name val="Calibri"/>
      <family val="2"/>
      <scheme val="minor"/>
    </font>
    <font>
      <sz val="9.5"/>
      <color rgb="FF0B3A5B"/>
      <name val="Consolas"/>
    </font>
    <font>
      <b/>
      <sz val="11"/>
      <color rgb="FFFFFFFF"/>
      <name val="Consolas"/>
    </font>
    <font>
      <b/>
      <sz val="12"/>
      <color rgb="FF0F2440"/>
      <name val="Calibri"/>
      <family val="2"/>
      <scheme val="minor"/>
    </font>
    <font>
      <b/>
      <i/>
      <sz val="18"/>
      <color rgb="FF5A6472"/>
      <name val="Calibri"/>
      <family val="2"/>
      <scheme val="minor"/>
    </font>
    <font>
      <i/>
      <sz val="9"/>
      <color rgb="FF5A6472"/>
      <name val="Calibri"/>
      <family val="2"/>
      <scheme val="minor"/>
    </font>
    <font>
      <b/>
      <i/>
      <sz val="11"/>
      <color rgb="FF0F2440"/>
      <name val="Calibri"/>
      <family val="2"/>
      <scheme val="minor"/>
    </font>
    <font>
      <b/>
      <sz val="11"/>
      <color rgb="FF92400E"/>
      <name val="Calibri"/>
      <family val="2"/>
      <scheme val="minor"/>
    </font>
    <font>
      <sz val="11"/>
      <color rgb="FF000000"/>
      <name val="Calibri"/>
      <family val="2"/>
      <scheme val="minor"/>
    </font>
    <font>
      <b/>
      <sz val="10"/>
      <color rgb="FF0000FF"/>
      <name val="Calibri"/>
      <family val="2"/>
      <scheme val="minor"/>
    </font>
    <font>
      <sz val="10"/>
      <color rgb="FF0000FF"/>
      <name val="Calibri"/>
      <family val="2"/>
      <scheme val="minor"/>
    </font>
    <font>
      <sz val="10"/>
      <color rgb="FF000000"/>
      <name val="Calibri"/>
      <family val="2"/>
      <scheme val="minor"/>
    </font>
    <font>
      <sz val="10"/>
      <color rgb="FF5A6472"/>
      <name val="Calibri"/>
      <family val="2"/>
      <scheme val="minor"/>
    </font>
    <font>
      <i/>
      <sz val="9"/>
      <color rgb="FF0F2440"/>
      <name val="Calibri"/>
      <family val="2"/>
      <scheme val="minor"/>
    </font>
    <font>
      <sz val="8"/>
      <color rgb="FF0F2440"/>
      <name val="Calibri"/>
      <family val="2"/>
      <scheme val="minor"/>
    </font>
    <font>
      <sz val="10.5"/>
      <color rgb="FF2C3542"/>
      <name val="Calibri"/>
      <scheme val="minor"/>
    </font>
    <font>
      <b/>
      <sz val="10"/>
      <color theme="1"/>
      <name val="Calibri"/>
      <family val="2"/>
      <scheme val="minor"/>
    </font>
    <font>
      <b/>
      <i/>
      <sz val="10"/>
      <color rgb="FF5A6472"/>
      <name val="Calibri"/>
      <family val="2"/>
      <scheme val="minor"/>
    </font>
    <font>
      <i/>
      <sz val="11"/>
      <color rgb="FF92400E"/>
      <name val="Calibri"/>
      <family val="2"/>
      <scheme val="minor"/>
    </font>
    <font>
      <sz val="9"/>
      <color rgb="FF8A93A0"/>
      <name val="Calibri"/>
      <family val="2"/>
      <scheme val="minor"/>
    </font>
    <font>
      <b/>
      <sz val="9"/>
      <color rgb="FF5A6472"/>
      <name val="Calibri"/>
      <family val="2"/>
      <scheme val="minor"/>
    </font>
    <font>
      <b/>
      <sz val="11"/>
      <color rgb="FF14532D"/>
      <name val="Calibri"/>
      <family val="2"/>
      <scheme val="minor"/>
    </font>
    <font>
      <b/>
      <sz val="12"/>
      <color rgb="FFFFFFFF"/>
      <name val="Calibri"/>
      <scheme val="minor"/>
    </font>
    <font>
      <b/>
      <sz val="11"/>
      <color rgb="FF0F2440"/>
      <name val="Calibri"/>
      <scheme val="minor"/>
    </font>
    <font>
      <b/>
      <sz val="10.5"/>
      <color rgb="FF2C3542"/>
      <name val="Calibri"/>
      <scheme val="minor"/>
    </font>
    <font>
      <b/>
      <sz val="9"/>
      <color rgb="FF0B3D1C"/>
      <name val="Calibri"/>
      <family val="2"/>
      <scheme val="minor"/>
    </font>
    <font>
      <b/>
      <sz val="9"/>
      <color rgb="FF006100"/>
      <name val="Calibri"/>
      <family val="2"/>
      <scheme val="minor"/>
    </font>
    <font>
      <b/>
      <sz val="9"/>
      <color rgb="FF166534"/>
      <name val="Calibri"/>
      <family val="2"/>
      <scheme val="minor"/>
    </font>
    <font>
      <b/>
      <sz val="9"/>
      <color rgb="FF9C6500"/>
      <name val="Calibri"/>
      <family val="2"/>
      <scheme val="minor"/>
    </font>
    <font>
      <b/>
      <sz val="9"/>
      <color rgb="FF9C0006"/>
      <name val="Calibri"/>
      <family val="2"/>
      <scheme val="minor"/>
    </font>
    <font>
      <b/>
      <sz val="9"/>
      <color rgb="FF7F1D1D"/>
      <name val="Calibri"/>
      <family val="2"/>
      <scheme val="minor"/>
    </font>
    <font>
      <sz val="8"/>
      <color rgb="FF0000FF"/>
      <name val="Calibri"/>
      <family val="2"/>
      <scheme val="minor"/>
    </font>
    <font>
      <b/>
      <i/>
      <sz val="10"/>
      <color rgb="FF92400E"/>
      <name val="Calibri"/>
      <family val="2"/>
      <scheme val="minor"/>
    </font>
  </fonts>
  <fills count="20">
    <fill>
      <patternFill patternType="none"/>
    </fill>
    <fill>
      <patternFill patternType="gray125"/>
    </fill>
    <fill>
      <patternFill patternType="solid">
        <fgColor rgb="FF0F2440"/>
        <bgColor indexed="64"/>
      </patternFill>
    </fill>
    <fill>
      <patternFill patternType="solid">
        <fgColor rgb="FFEAF0F7"/>
        <bgColor indexed="64"/>
      </patternFill>
    </fill>
    <fill>
      <patternFill patternType="solid">
        <fgColor rgb="FFFFF9E6"/>
        <bgColor indexed="64"/>
      </patternFill>
    </fill>
    <fill>
      <patternFill patternType="solid">
        <fgColor rgb="FFF2F2F2"/>
        <bgColor indexed="64"/>
      </patternFill>
    </fill>
    <fill>
      <patternFill patternType="solid">
        <fgColor rgb="FF3A4A61"/>
        <bgColor indexed="64"/>
      </patternFill>
    </fill>
    <fill>
      <patternFill patternType="solid">
        <fgColor rgb="FFF7F9FC"/>
        <bgColor indexed="64"/>
      </patternFill>
    </fill>
    <fill>
      <patternFill patternType="solid">
        <fgColor rgb="FFFDECC8"/>
        <bgColor indexed="64"/>
      </patternFill>
    </fill>
    <fill>
      <patternFill patternType="solid">
        <fgColor rgb="FFF4F6F8"/>
        <bgColor indexed="64"/>
      </patternFill>
    </fill>
    <fill>
      <patternFill patternType="solid">
        <fgColor rgb="FFF5D6D3"/>
        <bgColor indexed="64"/>
      </patternFill>
    </fill>
    <fill>
      <patternFill patternType="solid">
        <fgColor rgb="FFFBEAEA"/>
        <bgColor indexed="64"/>
      </patternFill>
    </fill>
    <fill>
      <patternFill patternType="solid">
        <fgColor rgb="FFEAF5EC"/>
        <bgColor indexed="64"/>
      </patternFill>
    </fill>
    <fill>
      <patternFill patternType="solid">
        <fgColor rgb="FFD6EBDB"/>
        <bgColor indexed="64"/>
      </patternFill>
    </fill>
    <fill>
      <patternFill patternType="solid">
        <fgColor rgb="FF7BC98F"/>
        <bgColor indexed="64"/>
      </patternFill>
    </fill>
    <fill>
      <patternFill patternType="solid">
        <fgColor rgb="FFC6EFCE"/>
        <bgColor indexed="64"/>
      </patternFill>
    </fill>
    <fill>
      <patternFill patternType="solid">
        <fgColor rgb="FFE2F3E5"/>
        <bgColor indexed="64"/>
      </patternFill>
    </fill>
    <fill>
      <patternFill patternType="solid">
        <fgColor rgb="FFFFEB9C"/>
        <bgColor indexed="64"/>
      </patternFill>
    </fill>
    <fill>
      <patternFill patternType="solid">
        <fgColor rgb="FFFFC7CE"/>
        <bgColor indexed="64"/>
      </patternFill>
    </fill>
    <fill>
      <patternFill patternType="solid">
        <fgColor rgb="FFFF9B93"/>
        <bgColor indexed="64"/>
      </patternFill>
    </fill>
  </fills>
  <borders count="29">
    <border>
      <left/>
      <right/>
      <top/>
      <bottom/>
      <diagonal/>
    </border>
    <border>
      <left/>
      <right/>
      <top/>
      <bottom style="thin">
        <color rgb="FFDDE3EA"/>
      </bottom>
      <diagonal/>
    </border>
    <border>
      <left/>
      <right/>
      <top style="thin">
        <color rgb="FFDDE3EA"/>
      </top>
      <bottom style="thin">
        <color rgb="FFDDE3EA"/>
      </bottom>
      <diagonal/>
    </border>
    <border>
      <left/>
      <right/>
      <top style="thin">
        <color rgb="FFDDE3EA"/>
      </top>
      <bottom/>
      <diagonal/>
    </border>
    <border>
      <left/>
      <right style="thin">
        <color rgb="FFDDE3EA"/>
      </right>
      <top/>
      <bottom style="thin">
        <color rgb="FFDDE3EA"/>
      </bottom>
      <diagonal/>
    </border>
    <border>
      <left style="thin">
        <color rgb="FFDDE3EA"/>
      </left>
      <right style="thin">
        <color rgb="FFDDE3EA"/>
      </right>
      <top/>
      <bottom style="thin">
        <color rgb="FFDDE3EA"/>
      </bottom>
      <diagonal/>
    </border>
    <border>
      <left style="thin">
        <color rgb="FFDDE3EA"/>
      </left>
      <right/>
      <top/>
      <bottom style="thin">
        <color rgb="FFDDE3EA"/>
      </bottom>
      <diagonal/>
    </border>
    <border>
      <left/>
      <right style="thin">
        <color rgb="FFDDE3EA"/>
      </right>
      <top style="thin">
        <color rgb="FFDDE3EA"/>
      </top>
      <bottom style="thin">
        <color rgb="FFDDE3EA"/>
      </bottom>
      <diagonal/>
    </border>
    <border>
      <left style="thin">
        <color rgb="FFDDE3EA"/>
      </left>
      <right style="thin">
        <color rgb="FFDDE3EA"/>
      </right>
      <top style="thin">
        <color rgb="FFDDE3EA"/>
      </top>
      <bottom style="thin">
        <color rgb="FFDDE3EA"/>
      </bottom>
      <diagonal/>
    </border>
    <border>
      <left style="thin">
        <color rgb="FFDDE3EA"/>
      </left>
      <right/>
      <top style="thin">
        <color rgb="FFDDE3EA"/>
      </top>
      <bottom style="thin">
        <color rgb="FFDDE3EA"/>
      </bottom>
      <diagonal/>
    </border>
    <border>
      <left/>
      <right style="thin">
        <color rgb="FFDDE3EA"/>
      </right>
      <top style="thin">
        <color rgb="FFDDE3EA"/>
      </top>
      <bottom/>
      <diagonal/>
    </border>
    <border>
      <left style="thin">
        <color rgb="FFDDE3EA"/>
      </left>
      <right style="thin">
        <color rgb="FFDDE3EA"/>
      </right>
      <top style="thin">
        <color rgb="FFDDE3EA"/>
      </top>
      <bottom/>
      <diagonal/>
    </border>
    <border>
      <left style="thin">
        <color rgb="FFDDE3EA"/>
      </left>
      <right/>
      <top style="thin">
        <color rgb="FFDDE3EA"/>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EF1F5"/>
      </bottom>
      <diagonal/>
    </border>
    <border>
      <left/>
      <right/>
      <top style="thin">
        <color rgb="FFEEF1F5"/>
      </top>
      <bottom style="thin">
        <color rgb="FFEEF1F5"/>
      </bottom>
      <diagonal/>
    </border>
    <border>
      <left/>
      <right/>
      <top style="thin">
        <color rgb="FFEEF1F5"/>
      </top>
      <bottom/>
      <diagonal/>
    </border>
    <border>
      <left/>
      <right/>
      <top style="thin">
        <color rgb="FF0F2440"/>
      </top>
      <bottom style="thin">
        <color rgb="FF0F2440"/>
      </bottom>
      <diagonal/>
    </border>
    <border>
      <left/>
      <right/>
      <top/>
      <bottom style="thin">
        <color rgb="FF0F2440"/>
      </bottom>
      <diagonal/>
    </border>
    <border>
      <left/>
      <right style="thin">
        <color rgb="FFFFFFFF"/>
      </right>
      <top/>
      <bottom style="thin">
        <color rgb="FF0F2440"/>
      </bottom>
      <diagonal/>
    </border>
    <border>
      <left style="thin">
        <color rgb="FFFFFFFF"/>
      </left>
      <right style="thin">
        <color rgb="FFFFFFFF"/>
      </right>
      <top/>
      <bottom style="thin">
        <color rgb="FF0F2440"/>
      </bottom>
      <diagonal/>
    </border>
    <border>
      <left style="thin">
        <color rgb="FFFFFFFF"/>
      </left>
      <right/>
      <top/>
      <bottom style="thin">
        <color rgb="FF0F2440"/>
      </bottom>
      <diagonal/>
    </border>
    <border>
      <left style="thin">
        <color rgb="FFDDE3EA"/>
      </left>
      <right/>
      <top/>
      <bottom/>
      <diagonal/>
    </border>
    <border>
      <left style="thin">
        <color rgb="FF0F2440"/>
      </left>
      <right/>
      <top/>
      <bottom style="thin">
        <color rgb="FF0F2440"/>
      </bottom>
      <diagonal/>
    </border>
    <border>
      <left style="thin">
        <color rgb="FF0F2440"/>
      </left>
      <right/>
      <top/>
      <bottom/>
      <diagonal/>
    </border>
    <border>
      <left/>
      <right style="thin">
        <color rgb="FF0F2440"/>
      </right>
      <top/>
      <bottom/>
      <diagonal/>
    </border>
    <border>
      <left/>
      <right style="thin">
        <color rgb="FF0F2440"/>
      </right>
      <top/>
      <bottom style="thin">
        <color rgb="FF0F2440"/>
      </bottom>
      <diagonal/>
    </border>
  </borders>
  <cellStyleXfs count="1">
    <xf numFmtId="0" fontId="0" fillId="0" borderId="0"/>
  </cellStyleXfs>
  <cellXfs count="400">
    <xf numFmtId="0" fontId="0" fillId="0" borderId="0" xfId="0"/>
    <xf numFmtId="0" fontId="2" fillId="0" borderId="0" xfId="0" applyFont="1"/>
    <xf numFmtId="0" fontId="3" fillId="0" borderId="0" xfId="0" applyFont="1"/>
    <xf numFmtId="0" fontId="4" fillId="2" borderId="0" xfId="0" applyFont="1" applyFill="1"/>
    <xf numFmtId="0" fontId="1" fillId="3" borderId="0" xfId="0" applyFont="1" applyFill="1"/>
    <xf numFmtId="0" fontId="5" fillId="3" borderId="0" xfId="0" applyFont="1" applyFill="1"/>
    <xf numFmtId="0" fontId="7" fillId="0" borderId="0" xfId="0" applyFont="1"/>
    <xf numFmtId="0" fontId="4" fillId="2" borderId="1" xfId="0" applyFont="1" applyFill="1" applyBorder="1"/>
    <xf numFmtId="0" fontId="5" fillId="3" borderId="2" xfId="0" applyFont="1" applyFill="1" applyBorder="1"/>
    <xf numFmtId="0" fontId="0" fillId="0" borderId="2" xfId="0" applyBorder="1"/>
    <xf numFmtId="0" fontId="7" fillId="0" borderId="2" xfId="0" applyFont="1" applyBorder="1"/>
    <xf numFmtId="9" fontId="6" fillId="5" borderId="2" xfId="0" applyNumberFormat="1" applyFont="1" applyFill="1" applyBorder="1" applyAlignment="1">
      <alignment horizontal="right"/>
    </xf>
    <xf numFmtId="0" fontId="0" fillId="0" borderId="3" xfId="0" applyBorder="1"/>
    <xf numFmtId="0" fontId="7" fillId="0" borderId="3" xfId="0" applyFont="1" applyBorder="1"/>
    <xf numFmtId="0" fontId="8" fillId="0" borderId="0" xfId="0" applyFont="1"/>
    <xf numFmtId="0" fontId="4" fillId="2" borderId="0" xfId="0" applyFont="1" applyFill="1" applyAlignment="1">
      <alignment horizontal="center"/>
    </xf>
    <xf numFmtId="164" fontId="0" fillId="0" borderId="0" xfId="0" applyNumberFormat="1"/>
    <xf numFmtId="0" fontId="4" fillId="2" borderId="1"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0" xfId="0" applyFont="1" applyFill="1" applyAlignment="1">
      <alignment horizontal="center" wrapText="1"/>
    </xf>
    <xf numFmtId="170" fontId="0" fillId="0" borderId="0" xfId="0" applyNumberFormat="1"/>
    <xf numFmtId="0" fontId="11" fillId="0" borderId="0" xfId="0" applyFont="1"/>
    <xf numFmtId="168" fontId="12" fillId="0" borderId="0" xfId="0" applyNumberFormat="1" applyFont="1"/>
    <xf numFmtId="167" fontId="12" fillId="0" borderId="0" xfId="0" applyNumberFormat="1" applyFont="1"/>
    <xf numFmtId="165" fontId="12" fillId="0" borderId="0" xfId="0" applyNumberFormat="1" applyFont="1"/>
    <xf numFmtId="169" fontId="12" fillId="0" borderId="0" xfId="0" applyNumberFormat="1" applyFont="1"/>
    <xf numFmtId="166" fontId="12" fillId="0" borderId="0" xfId="0" applyNumberFormat="1" applyFont="1"/>
    <xf numFmtId="170" fontId="12" fillId="0" borderId="0" xfId="0" applyNumberFormat="1" applyFont="1"/>
    <xf numFmtId="0" fontId="12" fillId="0" borderId="0" xfId="0" applyFont="1"/>
    <xf numFmtId="0" fontId="4" fillId="6" borderId="0" xfId="0" applyFont="1" applyFill="1" applyAlignment="1">
      <alignment horizontal="center" wrapText="1"/>
    </xf>
    <xf numFmtId="0" fontId="1" fillId="0" borderId="0" xfId="0" applyFont="1"/>
    <xf numFmtId="0" fontId="13" fillId="5" borderId="0" xfId="0" applyFont="1" applyFill="1"/>
    <xf numFmtId="0" fontId="13" fillId="5" borderId="0" xfId="0" applyFont="1" applyFill="1" applyAlignment="1">
      <alignment horizontal="center"/>
    </xf>
    <xf numFmtId="164" fontId="13" fillId="5" borderId="0" xfId="0" applyNumberFormat="1" applyFont="1" applyFill="1" applyAlignment="1">
      <alignment horizontal="center"/>
    </xf>
    <xf numFmtId="0" fontId="1" fillId="0" borderId="0" xfId="0" applyFont="1" applyAlignment="1">
      <alignment horizontal="center"/>
    </xf>
    <xf numFmtId="0" fontId="1" fillId="3" borderId="2" xfId="0" applyFont="1" applyFill="1" applyBorder="1"/>
    <xf numFmtId="0" fontId="1" fillId="0" borderId="2" xfId="0" applyFont="1" applyBorder="1"/>
    <xf numFmtId="167" fontId="0" fillId="0" borderId="2" xfId="0" applyNumberFormat="1" applyBorder="1"/>
    <xf numFmtId="0" fontId="1" fillId="0" borderId="3" xfId="0" applyFont="1" applyBorder="1"/>
    <xf numFmtId="167" fontId="0" fillId="0" borderId="3" xfId="0" applyNumberFormat="1" applyBorder="1"/>
    <xf numFmtId="166" fontId="0" fillId="0" borderId="2" xfId="0" applyNumberFormat="1" applyBorder="1"/>
    <xf numFmtId="166" fontId="0" fillId="0" borderId="3" xfId="0" applyNumberFormat="1" applyBorder="1"/>
    <xf numFmtId="0" fontId="0" fillId="0" borderId="1" xfId="0" applyBorder="1"/>
    <xf numFmtId="3" fontId="0" fillId="0" borderId="2" xfId="0" applyNumberFormat="1" applyBorder="1"/>
    <xf numFmtId="169" fontId="1" fillId="0" borderId="2" xfId="0" applyNumberFormat="1" applyFont="1" applyBorder="1"/>
    <xf numFmtId="3" fontId="14" fillId="0" borderId="2" xfId="0" applyNumberFormat="1" applyFont="1" applyBorder="1"/>
    <xf numFmtId="3" fontId="15" fillId="0" borderId="2" xfId="0" applyNumberFormat="1" applyFont="1" applyBorder="1"/>
    <xf numFmtId="170" fontId="1" fillId="0" borderId="2" xfId="0" applyNumberFormat="1" applyFont="1" applyBorder="1"/>
    <xf numFmtId="170" fontId="0" fillId="0" borderId="2" xfId="0" applyNumberFormat="1" applyBorder="1"/>
    <xf numFmtId="0" fontId="4" fillId="2" borderId="2" xfId="0" applyFont="1" applyFill="1" applyBorder="1"/>
    <xf numFmtId="0" fontId="4" fillId="2" borderId="2" xfId="0" applyFont="1" applyFill="1" applyBorder="1" applyAlignment="1">
      <alignment horizontal="center"/>
    </xf>
    <xf numFmtId="0" fontId="1" fillId="0" borderId="2" xfId="0" applyFont="1" applyBorder="1" applyAlignment="1">
      <alignment horizontal="center"/>
    </xf>
    <xf numFmtId="169" fontId="0" fillId="0" borderId="2" xfId="0" applyNumberFormat="1" applyBorder="1"/>
    <xf numFmtId="0" fontId="1" fillId="0" borderId="3" xfId="0" applyFont="1" applyBorder="1" applyAlignment="1">
      <alignment horizontal="center"/>
    </xf>
    <xf numFmtId="170" fontId="0" fillId="0" borderId="3" xfId="0" applyNumberFormat="1" applyBorder="1"/>
    <xf numFmtId="0" fontId="16" fillId="0" borderId="0" xfId="0" applyFont="1"/>
    <xf numFmtId="0" fontId="1" fillId="0" borderId="1" xfId="0" applyFont="1" applyBorder="1"/>
    <xf numFmtId="4" fontId="0" fillId="0" borderId="1" xfId="0" applyNumberFormat="1" applyBorder="1"/>
    <xf numFmtId="166" fontId="0" fillId="0" borderId="1" xfId="0" applyNumberFormat="1" applyBorder="1"/>
    <xf numFmtId="167" fontId="0" fillId="0" borderId="1" xfId="0" applyNumberFormat="1" applyBorder="1"/>
    <xf numFmtId="169" fontId="1" fillId="0" borderId="1" xfId="0" applyNumberFormat="1" applyFont="1" applyBorder="1"/>
    <xf numFmtId="165" fontId="0" fillId="0" borderId="1" xfId="0" applyNumberFormat="1" applyBorder="1"/>
    <xf numFmtId="169" fontId="0" fillId="0" borderId="1" xfId="0" applyNumberFormat="1" applyBorder="1"/>
    <xf numFmtId="170" fontId="0" fillId="0" borderId="1" xfId="0" applyNumberFormat="1" applyBorder="1"/>
    <xf numFmtId="170" fontId="1" fillId="0" borderId="1" xfId="0" applyNumberFormat="1" applyFont="1" applyBorder="1"/>
    <xf numFmtId="1" fontId="16" fillId="0" borderId="1" xfId="0" applyNumberFormat="1" applyFont="1" applyBorder="1"/>
    <xf numFmtId="4" fontId="0" fillId="0" borderId="2" xfId="0" applyNumberFormat="1" applyBorder="1"/>
    <xf numFmtId="165" fontId="0" fillId="0" borderId="2" xfId="0" applyNumberFormat="1" applyBorder="1"/>
    <xf numFmtId="1" fontId="16" fillId="0" borderId="2" xfId="0" applyNumberFormat="1" applyFont="1" applyBorder="1"/>
    <xf numFmtId="4" fontId="0" fillId="0" borderId="3" xfId="0" applyNumberFormat="1" applyBorder="1"/>
    <xf numFmtId="169" fontId="1" fillId="0" borderId="3" xfId="0" applyNumberFormat="1" applyFont="1" applyBorder="1"/>
    <xf numFmtId="165" fontId="0" fillId="0" borderId="3" xfId="0" applyNumberFormat="1" applyBorder="1"/>
    <xf numFmtId="169" fontId="0" fillId="0" borderId="3" xfId="0" applyNumberFormat="1" applyBorder="1"/>
    <xf numFmtId="170" fontId="1" fillId="0" borderId="3" xfId="0" applyNumberFormat="1" applyFont="1" applyBorder="1"/>
    <xf numFmtId="1" fontId="16" fillId="0" borderId="3" xfId="0" applyNumberFormat="1" applyFont="1" applyBorder="1"/>
    <xf numFmtId="170" fontId="1" fillId="3" borderId="0" xfId="0" applyNumberFormat="1" applyFont="1" applyFill="1"/>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0" fontId="4" fillId="2" borderId="15" xfId="0" applyFont="1" applyFill="1" applyBorder="1" applyAlignment="1">
      <alignment horizontal="center" wrapText="1"/>
    </xf>
    <xf numFmtId="4" fontId="17" fillId="3" borderId="13" xfId="0" applyNumberFormat="1" applyFont="1" applyFill="1" applyBorder="1" applyAlignment="1">
      <alignment horizontal="center"/>
    </xf>
    <xf numFmtId="166" fontId="17" fillId="3" borderId="14" xfId="0" applyNumberFormat="1" applyFont="1" applyFill="1" applyBorder="1" applyAlignment="1">
      <alignment horizontal="center"/>
    </xf>
    <xf numFmtId="169" fontId="17" fillId="3" borderId="14" xfId="0" applyNumberFormat="1" applyFont="1" applyFill="1" applyBorder="1" applyAlignment="1">
      <alignment horizontal="center"/>
    </xf>
    <xf numFmtId="170" fontId="17" fillId="3" borderId="14" xfId="0" applyNumberFormat="1" applyFont="1" applyFill="1" applyBorder="1" applyAlignment="1">
      <alignment horizontal="center"/>
    </xf>
    <xf numFmtId="170" fontId="17" fillId="3" borderId="15" xfId="0" applyNumberFormat="1" applyFont="1" applyFill="1" applyBorder="1" applyAlignment="1">
      <alignment horizontal="center"/>
    </xf>
    <xf numFmtId="0" fontId="5" fillId="0" borderId="0" xfId="0" applyFont="1"/>
    <xf numFmtId="1" fontId="0" fillId="0" borderId="0" xfId="0" applyNumberFormat="1"/>
    <xf numFmtId="164" fontId="0" fillId="0" borderId="16" xfId="0" applyNumberFormat="1" applyBorder="1"/>
    <xf numFmtId="4" fontId="0" fillId="0" borderId="16" xfId="0" applyNumberFormat="1" applyBorder="1"/>
    <xf numFmtId="166" fontId="0" fillId="0" borderId="16" xfId="0" applyNumberFormat="1" applyBorder="1"/>
    <xf numFmtId="167" fontId="0" fillId="0" borderId="16" xfId="0" applyNumberFormat="1" applyBorder="1"/>
    <xf numFmtId="169" fontId="0" fillId="0" borderId="16" xfId="0" applyNumberFormat="1" applyBorder="1"/>
    <xf numFmtId="170" fontId="0" fillId="0" borderId="16" xfId="0" applyNumberFormat="1" applyBorder="1"/>
    <xf numFmtId="0" fontId="0" fillId="0" borderId="16" xfId="0" applyNumberFormat="1" applyBorder="1"/>
    <xf numFmtId="164" fontId="0" fillId="0" borderId="17" xfId="0" applyNumberFormat="1" applyBorder="1"/>
    <xf numFmtId="4" fontId="0" fillId="0" borderId="17" xfId="0" applyNumberFormat="1" applyBorder="1"/>
    <xf numFmtId="166" fontId="0" fillId="0" borderId="17" xfId="0" applyNumberFormat="1" applyBorder="1"/>
    <xf numFmtId="167" fontId="0" fillId="0" borderId="17" xfId="0" applyNumberFormat="1" applyBorder="1"/>
    <xf numFmtId="169" fontId="0" fillId="0" borderId="17" xfId="0" applyNumberFormat="1" applyBorder="1"/>
    <xf numFmtId="170" fontId="0" fillId="0" borderId="17" xfId="0" applyNumberFormat="1" applyBorder="1"/>
    <xf numFmtId="0" fontId="0" fillId="0" borderId="17" xfId="0" applyNumberFormat="1" applyBorder="1"/>
    <xf numFmtId="1" fontId="0" fillId="0" borderId="17" xfId="0" applyNumberFormat="1" applyBorder="1"/>
    <xf numFmtId="164" fontId="0" fillId="0" borderId="18" xfId="0" applyNumberFormat="1" applyBorder="1"/>
    <xf numFmtId="4" fontId="0" fillId="0" borderId="18" xfId="0" applyNumberFormat="1" applyBorder="1"/>
    <xf numFmtId="166" fontId="0" fillId="0" borderId="18" xfId="0" applyNumberFormat="1" applyBorder="1"/>
    <xf numFmtId="167" fontId="0" fillId="0" borderId="18" xfId="0" applyNumberFormat="1" applyBorder="1"/>
    <xf numFmtId="169" fontId="0" fillId="0" borderId="18" xfId="0" applyNumberFormat="1" applyBorder="1"/>
    <xf numFmtId="170" fontId="0" fillId="0" borderId="18" xfId="0" applyNumberFormat="1" applyBorder="1"/>
    <xf numFmtId="0" fontId="0" fillId="0" borderId="18" xfId="0" applyNumberFormat="1" applyBorder="1"/>
    <xf numFmtId="1" fontId="0" fillId="0" borderId="18" xfId="0" applyNumberFormat="1" applyBorder="1"/>
    <xf numFmtId="1" fontId="16" fillId="0" borderId="16" xfId="0" applyNumberFormat="1" applyFont="1" applyBorder="1"/>
    <xf numFmtId="1" fontId="16" fillId="0" borderId="17" xfId="0" applyNumberFormat="1" applyFont="1" applyBorder="1"/>
    <xf numFmtId="1" fontId="16" fillId="0" borderId="18" xfId="0" applyNumberFormat="1" applyFont="1" applyBorder="1"/>
    <xf numFmtId="0" fontId="18" fillId="6" borderId="0" xfId="0" applyFont="1" applyFill="1" applyAlignment="1">
      <alignment horizontal="center" wrapText="1"/>
    </xf>
    <xf numFmtId="0" fontId="19" fillId="0" borderId="0" xfId="0" applyFont="1"/>
    <xf numFmtId="0" fontId="20" fillId="0" borderId="0" xfId="0" applyFont="1"/>
    <xf numFmtId="164" fontId="20" fillId="0" borderId="0" xfId="0" applyNumberFormat="1" applyFont="1"/>
    <xf numFmtId="0" fontId="18" fillId="6" borderId="0" xfId="0" applyFont="1" applyFill="1"/>
    <xf numFmtId="0" fontId="21" fillId="0" borderId="0" xfId="0" applyFont="1"/>
    <xf numFmtId="1" fontId="1" fillId="0" borderId="1" xfId="0" applyNumberFormat="1" applyFont="1" applyBorder="1" applyAlignment="1">
      <alignment horizontal="center"/>
    </xf>
    <xf numFmtId="0" fontId="16" fillId="0" borderId="1" xfId="0" applyFont="1" applyBorder="1"/>
    <xf numFmtId="1" fontId="1" fillId="0" borderId="2" xfId="0" applyNumberFormat="1" applyFont="1" applyBorder="1" applyAlignment="1">
      <alignment horizontal="center"/>
    </xf>
    <xf numFmtId="0" fontId="16" fillId="0" borderId="2" xfId="0" applyFont="1" applyBorder="1"/>
    <xf numFmtId="1" fontId="1" fillId="0" borderId="3" xfId="0" applyNumberFormat="1" applyFont="1" applyBorder="1" applyAlignment="1">
      <alignment horizontal="center"/>
    </xf>
    <xf numFmtId="0" fontId="16" fillId="0" borderId="3" xfId="0" applyFont="1" applyBorder="1"/>
    <xf numFmtId="0" fontId="0" fillId="7" borderId="0" xfId="0" applyFill="1"/>
    <xf numFmtId="170" fontId="0" fillId="7" borderId="0" xfId="0" applyNumberFormat="1" applyFill="1"/>
    <xf numFmtId="167" fontId="0" fillId="7" borderId="0" xfId="0" applyNumberFormat="1" applyFill="1" applyAlignment="1">
      <alignment horizontal="right"/>
    </xf>
    <xf numFmtId="166" fontId="0" fillId="0" borderId="0" xfId="0" applyNumberFormat="1" applyAlignment="1">
      <alignment horizontal="right"/>
    </xf>
    <xf numFmtId="166" fontId="0" fillId="7" borderId="0" xfId="0" applyNumberFormat="1" applyFill="1" applyAlignment="1">
      <alignment horizontal="right"/>
    </xf>
    <xf numFmtId="167" fontId="0" fillId="0" borderId="0" xfId="0" applyNumberFormat="1" applyAlignment="1">
      <alignment horizontal="right"/>
    </xf>
    <xf numFmtId="169" fontId="0" fillId="7" borderId="0" xfId="0" applyNumberFormat="1" applyFill="1" applyAlignment="1">
      <alignment horizontal="right"/>
    </xf>
    <xf numFmtId="170" fontId="0" fillId="0" borderId="0" xfId="0" applyNumberFormat="1" applyAlignment="1">
      <alignment horizontal="right"/>
    </xf>
    <xf numFmtId="170" fontId="0" fillId="7" borderId="0" xfId="0" applyNumberFormat="1" applyFill="1" applyAlignment="1">
      <alignment horizontal="right"/>
    </xf>
    <xf numFmtId="4" fontId="0" fillId="0" borderId="2" xfId="0" applyNumberFormat="1" applyBorder="1" applyAlignment="1">
      <alignment horizontal="right"/>
    </xf>
    <xf numFmtId="0" fontId="1" fillId="7" borderId="2" xfId="0" applyFont="1" applyFill="1" applyBorder="1"/>
    <xf numFmtId="167" fontId="0" fillId="7" borderId="2" xfId="0" applyNumberFormat="1" applyFill="1" applyBorder="1" applyAlignment="1">
      <alignment horizontal="right"/>
    </xf>
    <xf numFmtId="166" fontId="0" fillId="0" borderId="2" xfId="0" applyNumberFormat="1" applyBorder="1" applyAlignment="1">
      <alignment horizontal="right"/>
    </xf>
    <xf numFmtId="0" fontId="0" fillId="7" borderId="2" xfId="0" applyFill="1" applyBorder="1"/>
    <xf numFmtId="166" fontId="0" fillId="7" borderId="2" xfId="0" applyNumberFormat="1" applyFill="1" applyBorder="1" applyAlignment="1">
      <alignment horizontal="right"/>
    </xf>
    <xf numFmtId="167" fontId="0" fillId="0" borderId="2" xfId="0" applyNumberFormat="1" applyBorder="1" applyAlignment="1">
      <alignment horizontal="right"/>
    </xf>
    <xf numFmtId="169" fontId="0" fillId="7" borderId="2" xfId="0" applyNumberFormat="1" applyFill="1" applyBorder="1" applyAlignment="1">
      <alignment horizontal="right"/>
    </xf>
    <xf numFmtId="169" fontId="0" fillId="0" borderId="2" xfId="0" applyNumberFormat="1" applyBorder="1" applyAlignment="1">
      <alignment horizontal="right"/>
    </xf>
    <xf numFmtId="170" fontId="0" fillId="0" borderId="2" xfId="0" applyNumberFormat="1" applyBorder="1" applyAlignment="1">
      <alignment horizontal="right"/>
    </xf>
    <xf numFmtId="170" fontId="0" fillId="7" borderId="2" xfId="0" applyNumberFormat="1" applyFill="1" applyBorder="1" applyAlignment="1">
      <alignment horizontal="right"/>
    </xf>
    <xf numFmtId="0" fontId="0" fillId="7" borderId="3" xfId="0" applyFill="1" applyBorder="1"/>
    <xf numFmtId="0" fontId="0" fillId="7" borderId="3" xfId="0" applyNumberFormat="1" applyFill="1" applyBorder="1" applyAlignment="1">
      <alignment horizontal="right"/>
    </xf>
    <xf numFmtId="0" fontId="22" fillId="0" borderId="0" xfId="0" applyFont="1"/>
    <xf numFmtId="170" fontId="20" fillId="0" borderId="0" xfId="0" applyNumberFormat="1" applyFont="1"/>
    <xf numFmtId="1" fontId="13" fillId="5" borderId="0" xfId="0" applyNumberFormat="1" applyFont="1" applyFill="1" applyAlignment="1">
      <alignment horizontal="center"/>
    </xf>
    <xf numFmtId="3" fontId="0" fillId="7" borderId="0" xfId="0" applyNumberFormat="1" applyFill="1" applyAlignment="1">
      <alignment horizontal="right"/>
    </xf>
    <xf numFmtId="0" fontId="1" fillId="0" borderId="0" xfId="0" applyNumberFormat="1" applyFont="1" applyAlignment="1">
      <alignment horizontal="right"/>
    </xf>
    <xf numFmtId="0" fontId="1" fillId="7" borderId="0" xfId="0" applyFont="1" applyFill="1" applyAlignment="1">
      <alignment horizontal="center"/>
    </xf>
    <xf numFmtId="0" fontId="4" fillId="2" borderId="16" xfId="0" applyFont="1" applyFill="1" applyBorder="1" applyAlignment="1">
      <alignment horizontal="center" wrapText="1"/>
    </xf>
    <xf numFmtId="0" fontId="1" fillId="0" borderId="17" xfId="0" applyNumberFormat="1" applyFont="1" applyBorder="1"/>
    <xf numFmtId="4" fontId="16" fillId="0" borderId="17" xfId="0" applyNumberFormat="1" applyFont="1" applyBorder="1"/>
    <xf numFmtId="0" fontId="1" fillId="0" borderId="18" xfId="0" applyNumberFormat="1" applyFont="1" applyBorder="1"/>
    <xf numFmtId="4" fontId="16" fillId="0" borderId="18" xfId="0" applyNumberFormat="1" applyFont="1" applyBorder="1"/>
    <xf numFmtId="0" fontId="0" fillId="0" borderId="0" xfId="0"/>
    <xf numFmtId="0" fontId="0" fillId="7" borderId="19" xfId="0" applyFill="1" applyBorder="1" applyAlignment="1">
      <alignment vertical="top" wrapText="1"/>
    </xf>
    <xf numFmtId="0" fontId="23" fillId="3" borderId="0" xfId="0" applyFont="1" applyFill="1" applyAlignment="1">
      <alignment horizontal="center"/>
    </xf>
    <xf numFmtId="0" fontId="24" fillId="3" borderId="0" xfId="0" applyFont="1" applyFill="1" applyAlignment="1">
      <alignment horizontal="center"/>
    </xf>
    <xf numFmtId="0" fontId="25" fillId="3" borderId="0" xfId="0" applyFont="1" applyFill="1" applyAlignment="1">
      <alignment horizontal="center"/>
    </xf>
    <xf numFmtId="0" fontId="26" fillId="3" borderId="0" xfId="0" applyFont="1" applyFill="1" applyAlignment="1">
      <alignment horizontal="center"/>
    </xf>
    <xf numFmtId="0" fontId="0" fillId="0" borderId="0" xfId="0" applyAlignment="1">
      <alignment horizontal="center"/>
    </xf>
    <xf numFmtId="0" fontId="18" fillId="2" borderId="13" xfId="0" applyFont="1" applyFill="1" applyBorder="1" applyAlignment="1">
      <alignment horizontal="center" wrapText="1"/>
    </xf>
    <xf numFmtId="0" fontId="18" fillId="2" borderId="14" xfId="0" applyFont="1" applyFill="1" applyBorder="1" applyAlignment="1">
      <alignment horizontal="center" wrapText="1"/>
    </xf>
    <xf numFmtId="0" fontId="18" fillId="2" borderId="15" xfId="0" applyFont="1" applyFill="1" applyBorder="1" applyAlignment="1">
      <alignment horizontal="center" wrapText="1"/>
    </xf>
    <xf numFmtId="171" fontId="27" fillId="3" borderId="21" xfId="0" applyNumberFormat="1" applyFont="1" applyFill="1" applyBorder="1" applyAlignment="1">
      <alignment horizontal="center"/>
    </xf>
    <xf numFmtId="171" fontId="27" fillId="3" borderId="22" xfId="0" applyNumberFormat="1" applyFont="1" applyFill="1" applyBorder="1" applyAlignment="1">
      <alignment horizontal="center"/>
    </xf>
    <xf numFmtId="3" fontId="27" fillId="3" borderId="22" xfId="0" applyNumberFormat="1" applyFont="1" applyFill="1" applyBorder="1" applyAlignment="1">
      <alignment horizontal="center"/>
    </xf>
    <xf numFmtId="169" fontId="27" fillId="3" borderId="22" xfId="0" applyNumberFormat="1" applyFont="1" applyFill="1" applyBorder="1" applyAlignment="1">
      <alignment horizontal="center"/>
    </xf>
    <xf numFmtId="1" fontId="28" fillId="3" borderId="22" xfId="0" applyNumberFormat="1" applyFont="1" applyFill="1" applyBorder="1" applyAlignment="1">
      <alignment horizontal="center"/>
    </xf>
    <xf numFmtId="1" fontId="29" fillId="3" borderId="22" xfId="0" applyNumberFormat="1" applyFont="1" applyFill="1" applyBorder="1" applyAlignment="1">
      <alignment horizontal="center"/>
    </xf>
    <xf numFmtId="170" fontId="27" fillId="3" borderId="22" xfId="0" applyNumberFormat="1" applyFont="1" applyFill="1" applyBorder="1" applyAlignment="1">
      <alignment horizontal="center"/>
    </xf>
    <xf numFmtId="170" fontId="27" fillId="3" borderId="23" xfId="0" applyNumberFormat="1" applyFont="1" applyFill="1" applyBorder="1" applyAlignment="1">
      <alignment horizontal="center"/>
    </xf>
    <xf numFmtId="0" fontId="2" fillId="0" borderId="0" xfId="0" applyFont="1" applyAlignment="1">
      <alignment vertical="top" wrapText="1"/>
    </xf>
    <xf numFmtId="0" fontId="31" fillId="0" borderId="0" xfId="0" applyFont="1" applyAlignment="1">
      <alignment vertical="top" wrapText="1"/>
    </xf>
    <xf numFmtId="0" fontId="32" fillId="2" borderId="0" xfId="0" applyFont="1" applyFill="1" applyAlignment="1">
      <alignment vertical="top" wrapText="1"/>
    </xf>
    <xf numFmtId="0" fontId="31" fillId="0" borderId="0" xfId="0" applyFont="1" applyAlignment="1">
      <alignment vertical="top" wrapText="1" indent="1"/>
    </xf>
    <xf numFmtId="0" fontId="30" fillId="0" borderId="0" xfId="0" applyFont="1" applyAlignment="1">
      <alignment vertical="top" wrapText="1" indent="1"/>
    </xf>
    <xf numFmtId="0" fontId="32" fillId="2" borderId="0" xfId="0" applyFont="1" applyFill="1" applyAlignment="1">
      <alignment vertical="top" wrapText="1" indent="1"/>
    </xf>
    <xf numFmtId="0" fontId="5" fillId="0" borderId="0" xfId="0" applyFont="1" applyAlignment="1">
      <alignment vertical="top" wrapText="1"/>
    </xf>
    <xf numFmtId="0" fontId="34" fillId="8" borderId="0" xfId="0" applyFont="1" applyFill="1" applyAlignment="1">
      <alignment vertical="top" wrapText="1"/>
    </xf>
    <xf numFmtId="0" fontId="34" fillId="8" borderId="0" xfId="0" applyFont="1" applyFill="1" applyAlignment="1">
      <alignment vertical="top" wrapText="1" indent="1"/>
    </xf>
    <xf numFmtId="0" fontId="36" fillId="9" borderId="0" xfId="0" applyFont="1" applyFill="1" applyAlignment="1">
      <alignment vertical="top" wrapText="1"/>
    </xf>
    <xf numFmtId="0" fontId="37" fillId="9" borderId="0" xfId="0" applyFont="1" applyFill="1" applyAlignment="1">
      <alignment vertical="top" wrapText="1"/>
    </xf>
    <xf numFmtId="0" fontId="38" fillId="9" borderId="0" xfId="0" applyFont="1" applyFill="1" applyAlignment="1">
      <alignment vertical="top" wrapText="1"/>
    </xf>
    <xf numFmtId="0" fontId="39" fillId="9" borderId="0" xfId="0" applyFont="1" applyFill="1" applyAlignment="1">
      <alignment vertical="top" wrapText="1"/>
    </xf>
    <xf numFmtId="0" fontId="40" fillId="2" borderId="0" xfId="0" applyFont="1" applyFill="1" applyAlignment="1">
      <alignment vertical="top" wrapText="1"/>
    </xf>
    <xf numFmtId="0" fontId="41" fillId="2" borderId="0" xfId="0" applyFont="1" applyFill="1" applyAlignment="1">
      <alignment vertical="top" wrapText="1"/>
    </xf>
    <xf numFmtId="0" fontId="3" fillId="0" borderId="0" xfId="0" applyFont="1" applyAlignment="1">
      <alignment wrapText="1"/>
    </xf>
    <xf numFmtId="0" fontId="42" fillId="7" borderId="0" xfId="0" applyFont="1" applyFill="1"/>
    <xf numFmtId="0" fontId="43" fillId="2" borderId="0" xfId="0" applyFont="1" applyFill="1"/>
    <xf numFmtId="0" fontId="35" fillId="0" borderId="0" xfId="0" applyFont="1" applyAlignment="1">
      <alignment wrapText="1"/>
    </xf>
    <xf numFmtId="0" fontId="35" fillId="0" borderId="16" xfId="0" applyFont="1" applyBorder="1" applyAlignment="1">
      <alignment wrapText="1"/>
    </xf>
    <xf numFmtId="0" fontId="35" fillId="0" borderId="17" xfId="0" applyFont="1" applyBorder="1" applyAlignment="1">
      <alignment wrapText="1"/>
    </xf>
    <xf numFmtId="0" fontId="35" fillId="0" borderId="18" xfId="0" applyFont="1" applyBorder="1" applyAlignment="1">
      <alignment wrapText="1"/>
    </xf>
    <xf numFmtId="0" fontId="35" fillId="0" borderId="16" xfId="0" applyFont="1" applyBorder="1" applyAlignment="1">
      <alignment horizontal="center" wrapText="1"/>
    </xf>
    <xf numFmtId="0" fontId="35" fillId="0" borderId="17" xfId="0" applyFont="1" applyBorder="1" applyAlignment="1">
      <alignment horizontal="center" wrapText="1"/>
    </xf>
    <xf numFmtId="0" fontId="35" fillId="0" borderId="18" xfId="0" applyFont="1" applyBorder="1" applyAlignment="1">
      <alignment horizontal="center" wrapText="1"/>
    </xf>
    <xf numFmtId="0" fontId="45" fillId="0" borderId="0" xfId="0" applyFont="1" applyAlignment="1">
      <alignment vertical="top" wrapText="1"/>
    </xf>
    <xf numFmtId="0" fontId="5" fillId="3" borderId="2" xfId="0" applyFont="1" applyFill="1" applyBorder="1" applyAlignment="1">
      <alignment horizontal="right"/>
    </xf>
    <xf numFmtId="0" fontId="2" fillId="0" borderId="0" xfId="0" applyFont="1" applyAlignment="1">
      <alignment vertical="top" wrapText="1"/>
    </xf>
    <xf numFmtId="0" fontId="32" fillId="2" borderId="0" xfId="0" applyFont="1" applyFill="1" applyAlignment="1">
      <alignment vertical="top" wrapText="1"/>
    </xf>
    <xf numFmtId="0" fontId="31" fillId="0" borderId="0" xfId="0" applyFont="1" applyAlignment="1">
      <alignment vertical="top" wrapText="1"/>
    </xf>
    <xf numFmtId="0" fontId="1" fillId="0" borderId="0" xfId="0" applyFont="1"/>
    <xf numFmtId="0" fontId="5" fillId="3" borderId="0" xfId="0" applyFont="1" applyFill="1" applyAlignment="1">
      <alignment wrapText="1"/>
    </xf>
    <xf numFmtId="9" fontId="0" fillId="0" borderId="0" xfId="0" applyNumberFormat="1"/>
    <xf numFmtId="0" fontId="35" fillId="7" borderId="2" xfId="0" applyFont="1" applyFill="1" applyBorder="1" applyAlignment="1">
      <alignment vertical="top" wrapText="1"/>
    </xf>
    <xf numFmtId="0" fontId="35" fillId="0" borderId="2" xfId="0" applyFont="1" applyBorder="1" applyAlignment="1">
      <alignment vertical="top" wrapText="1"/>
    </xf>
    <xf numFmtId="0" fontId="4" fillId="6" borderId="4" xfId="0" applyFont="1" applyFill="1" applyBorder="1" applyAlignment="1">
      <alignment horizontal="center" wrapText="1"/>
    </xf>
    <xf numFmtId="0" fontId="4" fillId="6" borderId="5" xfId="0" applyFont="1" applyFill="1" applyBorder="1" applyAlignment="1">
      <alignment horizontal="center" wrapText="1"/>
    </xf>
    <xf numFmtId="0" fontId="4" fillId="6" borderId="6" xfId="0" applyFont="1" applyFill="1" applyBorder="1" applyAlignment="1">
      <alignment horizontal="center" wrapText="1"/>
    </xf>
    <xf numFmtId="0" fontId="35" fillId="10" borderId="7" xfId="0" applyFont="1" applyFill="1" applyBorder="1" applyAlignment="1">
      <alignment vertical="top" wrapText="1"/>
    </xf>
    <xf numFmtId="0" fontId="35" fillId="10" borderId="8" xfId="0" applyFont="1" applyFill="1" applyBorder="1" applyAlignment="1">
      <alignment vertical="top" wrapText="1"/>
    </xf>
    <xf numFmtId="0" fontId="35" fillId="10" borderId="9" xfId="0" applyFont="1" applyFill="1" applyBorder="1" applyAlignment="1">
      <alignment vertical="top" wrapText="1"/>
    </xf>
    <xf numFmtId="0" fontId="35" fillId="11" borderId="7" xfId="0" applyFont="1" applyFill="1" applyBorder="1" applyAlignment="1">
      <alignment vertical="top" wrapText="1"/>
    </xf>
    <xf numFmtId="0" fontId="35" fillId="11" borderId="8" xfId="0" applyFont="1" applyFill="1" applyBorder="1" applyAlignment="1">
      <alignment vertical="top" wrapText="1"/>
    </xf>
    <xf numFmtId="0" fontId="35" fillId="11" borderId="9" xfId="0" applyFont="1" applyFill="1" applyBorder="1" applyAlignment="1">
      <alignment vertical="top" wrapText="1"/>
    </xf>
    <xf numFmtId="0" fontId="35" fillId="7" borderId="7" xfId="0" applyFont="1" applyFill="1" applyBorder="1" applyAlignment="1">
      <alignment vertical="top" wrapText="1"/>
    </xf>
    <xf numFmtId="0" fontId="35" fillId="7" borderId="8" xfId="0" applyFont="1" applyFill="1" applyBorder="1" applyAlignment="1">
      <alignment vertical="top" wrapText="1"/>
    </xf>
    <xf numFmtId="0" fontId="35" fillId="7" borderId="9" xfId="0" applyFont="1" applyFill="1" applyBorder="1" applyAlignment="1">
      <alignment vertical="top" wrapText="1"/>
    </xf>
    <xf numFmtId="0" fontId="35" fillId="12" borderId="7" xfId="0" applyFont="1" applyFill="1" applyBorder="1" applyAlignment="1">
      <alignment vertical="top" wrapText="1"/>
    </xf>
    <xf numFmtId="0" fontId="35" fillId="12" borderId="8" xfId="0" applyFont="1" applyFill="1" applyBorder="1" applyAlignment="1">
      <alignment vertical="top" wrapText="1"/>
    </xf>
    <xf numFmtId="0" fontId="35" fillId="12" borderId="9" xfId="0" applyFont="1" applyFill="1" applyBorder="1" applyAlignment="1">
      <alignment vertical="top" wrapText="1"/>
    </xf>
    <xf numFmtId="0" fontId="35" fillId="13" borderId="7" xfId="0" applyFont="1" applyFill="1" applyBorder="1" applyAlignment="1">
      <alignment vertical="top" wrapText="1"/>
    </xf>
    <xf numFmtId="0" fontId="35" fillId="13" borderId="8" xfId="0" applyFont="1" applyFill="1" applyBorder="1" applyAlignment="1">
      <alignment vertical="top" wrapText="1"/>
    </xf>
    <xf numFmtId="0" fontId="35" fillId="13" borderId="9" xfId="0" applyFont="1" applyFill="1" applyBorder="1" applyAlignment="1">
      <alignment vertical="top" wrapText="1"/>
    </xf>
    <xf numFmtId="0" fontId="0" fillId="0" borderId="7" xfId="0" applyBorder="1"/>
    <xf numFmtId="0" fontId="0" fillId="0" borderId="8" xfId="0" applyBorder="1"/>
    <xf numFmtId="0" fontId="0" fillId="0" borderId="9" xfId="0" applyBorder="1"/>
    <xf numFmtId="0" fontId="32" fillId="2" borderId="7" xfId="0" applyFont="1" applyFill="1" applyBorder="1" applyAlignment="1">
      <alignment vertical="top" wrapText="1"/>
    </xf>
    <xf numFmtId="0" fontId="32" fillId="2" borderId="8" xfId="0" applyFont="1" applyFill="1" applyBorder="1" applyAlignment="1">
      <alignment vertical="top" wrapText="1"/>
    </xf>
    <xf numFmtId="0" fontId="32" fillId="2" borderId="9" xfId="0" applyFont="1" applyFill="1" applyBorder="1" applyAlignment="1">
      <alignment vertical="top" wrapText="1"/>
    </xf>
    <xf numFmtId="0" fontId="31" fillId="0" borderId="7" xfId="0" applyFont="1" applyBorder="1" applyAlignment="1">
      <alignment vertical="top" wrapText="1"/>
    </xf>
    <xf numFmtId="0" fontId="31" fillId="0" borderId="8" xfId="0" applyFont="1" applyBorder="1" applyAlignment="1">
      <alignment vertical="top" wrapText="1"/>
    </xf>
    <xf numFmtId="0" fontId="31" fillId="0" borderId="9" xfId="0" applyFont="1" applyBorder="1" applyAlignment="1">
      <alignment vertical="top" wrapText="1"/>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4" fillId="6" borderId="9" xfId="0" applyFont="1" applyFill="1" applyBorder="1" applyAlignment="1">
      <alignment horizontal="center" wrapText="1"/>
    </xf>
    <xf numFmtId="9" fontId="35" fillId="7" borderId="8" xfId="0" applyNumberFormat="1" applyFont="1" applyFill="1" applyBorder="1" applyAlignment="1">
      <alignment vertical="top" wrapText="1"/>
    </xf>
    <xf numFmtId="0" fontId="35" fillId="0" borderId="7" xfId="0" applyFont="1" applyBorder="1" applyAlignment="1">
      <alignment vertical="top" wrapText="1"/>
    </xf>
    <xf numFmtId="9" fontId="35" fillId="0" borderId="8" xfId="0" applyNumberFormat="1" applyFont="1" applyBorder="1" applyAlignment="1">
      <alignment vertical="top" wrapText="1"/>
    </xf>
    <xf numFmtId="0" fontId="35" fillId="0" borderId="8" xfId="0" applyFont="1" applyBorder="1" applyAlignment="1">
      <alignment vertical="top" wrapText="1"/>
    </xf>
    <xf numFmtId="0" fontId="35" fillId="0" borderId="9" xfId="0" applyFont="1" applyBorder="1" applyAlignment="1">
      <alignment vertical="top" wrapText="1"/>
    </xf>
    <xf numFmtId="0" fontId="35" fillId="0" borderId="10" xfId="0" applyFont="1" applyBorder="1" applyAlignment="1">
      <alignment vertical="top" wrapText="1"/>
    </xf>
    <xf numFmtId="9" fontId="35" fillId="0" borderId="11" xfId="0" applyNumberFormat="1" applyFont="1" applyBorder="1" applyAlignment="1">
      <alignment vertical="top" wrapText="1"/>
    </xf>
    <xf numFmtId="0" fontId="35" fillId="0" borderId="11" xfId="0" applyFont="1" applyBorder="1" applyAlignment="1">
      <alignment vertical="top" wrapText="1"/>
    </xf>
    <xf numFmtId="0" fontId="35" fillId="0" borderId="12" xfId="0" applyFont="1" applyBorder="1" applyAlignment="1">
      <alignment vertical="top" wrapText="1"/>
    </xf>
    <xf numFmtId="0" fontId="3" fillId="0" borderId="0" xfId="0" applyFont="1" applyAlignment="1">
      <alignment wrapText="1"/>
    </xf>
    <xf numFmtId="2" fontId="0" fillId="0" borderId="0" xfId="0" applyNumberFormat="1"/>
    <xf numFmtId="9" fontId="0" fillId="7" borderId="0" xfId="0" applyNumberFormat="1" applyFill="1"/>
    <xf numFmtId="2" fontId="0" fillId="7" borderId="0" xfId="0" applyNumberFormat="1" applyFill="1"/>
    <xf numFmtId="9" fontId="1" fillId="3" borderId="0" xfId="0" applyNumberFormat="1" applyFont="1" applyFill="1"/>
    <xf numFmtId="0" fontId="30" fillId="0" borderId="0" xfId="0" applyFont="1" applyAlignment="1">
      <alignment vertical="top" wrapText="1" indent="1"/>
    </xf>
    <xf numFmtId="0" fontId="34" fillId="8" borderId="0" xfId="0" applyFont="1" applyFill="1" applyAlignment="1">
      <alignment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35" fillId="7" borderId="2" xfId="0" applyFont="1" applyFill="1" applyBorder="1" applyAlignment="1">
      <alignment vertical="top" wrapText="1"/>
    </xf>
    <xf numFmtId="0" fontId="35" fillId="0" borderId="2" xfId="0" applyFont="1" applyBorder="1" applyAlignment="1">
      <alignment vertical="top" wrapText="1"/>
    </xf>
    <xf numFmtId="0" fontId="35" fillId="7" borderId="3" xfId="0" applyFont="1" applyFill="1" applyBorder="1" applyAlignment="1">
      <alignment vertical="top" wrapText="1"/>
    </xf>
    <xf numFmtId="0" fontId="35" fillId="7" borderId="3" xfId="0" applyFont="1" applyFill="1" applyBorder="1" applyAlignment="1">
      <alignment vertical="top" wrapText="1"/>
    </xf>
    <xf numFmtId="0" fontId="46" fillId="0" borderId="0" xfId="0" applyFont="1"/>
    <xf numFmtId="164" fontId="10" fillId="0" borderId="0" xfId="0" applyNumberFormat="1" applyFont="1" applyProtection="1">
      <protection locked="0"/>
    </xf>
    <xf numFmtId="0" fontId="10" fillId="0" borderId="0" xfId="0" applyFont="1" applyProtection="1">
      <protection locked="0"/>
    </xf>
    <xf numFmtId="4" fontId="10" fillId="0" borderId="0" xfId="0" applyNumberFormat="1" applyFont="1" applyProtection="1">
      <protection locked="0"/>
    </xf>
    <xf numFmtId="166" fontId="10" fillId="0" borderId="0" xfId="0" applyNumberFormat="1" applyFont="1" applyProtection="1">
      <protection locked="0"/>
    </xf>
    <xf numFmtId="167" fontId="10" fillId="0" borderId="0" xfId="0" applyNumberFormat="1" applyFont="1" applyProtection="1">
      <protection locked="0"/>
    </xf>
    <xf numFmtId="164" fontId="11" fillId="0" borderId="0" xfId="0" applyNumberFormat="1" applyFont="1" applyProtection="1">
      <protection locked="0"/>
    </xf>
    <xf numFmtId="0" fontId="11" fillId="0" borderId="0" xfId="0" applyFont="1" applyProtection="1">
      <protection locked="0"/>
    </xf>
    <xf numFmtId="4" fontId="11" fillId="0" borderId="0" xfId="0" applyNumberFormat="1" applyFont="1" applyProtection="1">
      <protection locked="0"/>
    </xf>
    <xf numFmtId="167" fontId="11" fillId="0" borderId="0" xfId="0" applyNumberFormat="1" applyFont="1" applyProtection="1">
      <protection locked="0"/>
    </xf>
    <xf numFmtId="14" fontId="6" fillId="0" borderId="0" xfId="0" applyNumberFormat="1" applyFont="1" applyProtection="1">
      <protection locked="0"/>
    </xf>
    <xf numFmtId="0" fontId="6" fillId="0" borderId="0" xfId="0" applyFont="1" applyProtection="1">
      <protection locked="0"/>
    </xf>
    <xf numFmtId="4" fontId="6" fillId="0" borderId="0" xfId="0" applyNumberFormat="1" applyFont="1" applyProtection="1">
      <protection locked="0"/>
    </xf>
    <xf numFmtId="3" fontId="6" fillId="0" borderId="0" xfId="0" applyNumberFormat="1" applyFont="1" applyProtection="1">
      <protection locked="0"/>
    </xf>
    <xf numFmtId="0" fontId="0" fillId="0" borderId="0" xfId="0" applyProtection="1">
      <protection locked="0"/>
    </xf>
    <xf numFmtId="0" fontId="5" fillId="0" borderId="0" xfId="0" applyFont="1" applyProtection="1">
      <protection locked="0"/>
    </xf>
    <xf numFmtId="0" fontId="33" fillId="0" borderId="0" xfId="0" applyFont="1" applyAlignment="1" applyProtection="1">
      <alignment wrapText="1"/>
      <protection locked="0"/>
    </xf>
    <xf numFmtId="0" fontId="6" fillId="4" borderId="2" xfId="0" applyFont="1" applyFill="1" applyBorder="1" applyAlignment="1" applyProtection="1">
      <alignment horizontal="right"/>
      <protection locked="0"/>
    </xf>
    <xf numFmtId="164" fontId="6" fillId="4" borderId="2" xfId="0" applyNumberFormat="1" applyFont="1" applyFill="1" applyBorder="1" applyAlignment="1" applyProtection="1">
      <alignment horizontal="right"/>
      <protection locked="0"/>
    </xf>
    <xf numFmtId="3" fontId="6" fillId="4" borderId="2" xfId="0" applyNumberFormat="1" applyFont="1" applyFill="1" applyBorder="1" applyAlignment="1" applyProtection="1">
      <alignment horizontal="right"/>
      <protection locked="0"/>
    </xf>
    <xf numFmtId="9" fontId="6" fillId="4" borderId="2" xfId="0" applyNumberFormat="1" applyFont="1" applyFill="1" applyBorder="1" applyAlignment="1" applyProtection="1">
      <alignment horizontal="right"/>
      <protection locked="0"/>
    </xf>
    <xf numFmtId="165" fontId="6" fillId="4" borderId="2" xfId="0" applyNumberFormat="1" applyFont="1" applyFill="1" applyBorder="1" applyAlignment="1" applyProtection="1">
      <alignment horizontal="right"/>
      <protection locked="0"/>
    </xf>
    <xf numFmtId="0" fontId="6" fillId="4" borderId="3" xfId="0" applyFont="1" applyFill="1" applyBorder="1" applyAlignment="1" applyProtection="1">
      <alignment horizontal="right"/>
      <protection locked="0"/>
    </xf>
    <xf numFmtId="10" fontId="6" fillId="4" borderId="0" xfId="0" applyNumberFormat="1" applyFont="1" applyFill="1" applyAlignment="1" applyProtection="1">
      <alignment horizontal="right"/>
      <protection locked="0"/>
    </xf>
    <xf numFmtId="0" fontId="47" fillId="3" borderId="0" xfId="0" applyFont="1" applyFill="1" applyAlignment="1">
      <alignment vertical="top" wrapText="1"/>
    </xf>
    <xf numFmtId="0" fontId="4" fillId="2" borderId="24" xfId="0" applyFont="1" applyFill="1" applyBorder="1" applyAlignment="1">
      <alignment horizontal="center" wrapText="1"/>
    </xf>
    <xf numFmtId="0" fontId="35" fillId="0" borderId="0" xfId="0" applyFont="1" applyProtection="1"/>
    <xf numFmtId="0" fontId="48" fillId="8" borderId="0" xfId="0" applyFont="1" applyFill="1" applyAlignment="1">
      <alignment wrapText="1"/>
    </xf>
    <xf numFmtId="0" fontId="48" fillId="8" borderId="0" xfId="0" applyFont="1" applyFill="1" applyAlignment="1">
      <alignment vertical="center" wrapText="1"/>
    </xf>
    <xf numFmtId="0" fontId="42" fillId="7" borderId="0" xfId="0" applyFont="1" applyFill="1" applyAlignment="1"/>
    <xf numFmtId="0" fontId="50" fillId="0" borderId="7" xfId="0" applyFont="1" applyBorder="1" applyProtection="1">
      <protection locked="0"/>
    </xf>
    <xf numFmtId="0" fontId="51" fillId="0" borderId="8" xfId="0" applyFont="1" applyBorder="1" applyProtection="1">
      <protection locked="0"/>
    </xf>
    <xf numFmtId="164" fontId="51" fillId="0" borderId="8" xfId="0" applyNumberFormat="1" applyFont="1" applyBorder="1" applyProtection="1">
      <protection locked="0"/>
    </xf>
    <xf numFmtId="3" fontId="52" fillId="0" borderId="8" xfId="0" applyNumberFormat="1" applyFont="1" applyBorder="1" applyProtection="1">
      <protection locked="0"/>
    </xf>
    <xf numFmtId="0" fontId="51" fillId="0" borderId="9" xfId="0" applyFont="1" applyBorder="1" applyProtection="1">
      <protection locked="0"/>
    </xf>
    <xf numFmtId="0" fontId="50" fillId="0" borderId="10" xfId="0" applyFont="1" applyBorder="1" applyProtection="1">
      <protection locked="0"/>
    </xf>
    <xf numFmtId="0" fontId="51" fillId="0" borderId="11" xfId="0" applyFont="1" applyBorder="1" applyProtection="1">
      <protection locked="0"/>
    </xf>
    <xf numFmtId="164" fontId="51" fillId="0" borderId="11" xfId="0" applyNumberFormat="1" applyFont="1" applyBorder="1" applyProtection="1">
      <protection locked="0"/>
    </xf>
    <xf numFmtId="3" fontId="52" fillId="0" borderId="11" xfId="0" applyNumberFormat="1" applyFont="1" applyBorder="1" applyProtection="1">
      <protection locked="0"/>
    </xf>
    <xf numFmtId="0" fontId="51" fillId="0" borderId="12" xfId="0" applyFont="1" applyBorder="1" applyProtection="1">
      <protection locked="0"/>
    </xf>
    <xf numFmtId="0" fontId="53" fillId="0" borderId="8" xfId="0" applyFont="1" applyBorder="1" applyAlignment="1" applyProtection="1">
      <alignment wrapText="1"/>
      <protection locked="0"/>
    </xf>
    <xf numFmtId="0" fontId="53" fillId="0" borderId="11" xfId="0" applyFont="1" applyBorder="1" applyAlignment="1" applyProtection="1">
      <alignment wrapText="1"/>
      <protection locked="0"/>
    </xf>
    <xf numFmtId="0" fontId="54" fillId="0" borderId="0" xfId="0" applyFont="1"/>
    <xf numFmtId="0" fontId="55" fillId="3" borderId="0" xfId="0" applyFont="1" applyFill="1"/>
    <xf numFmtId="0" fontId="56" fillId="0" borderId="0" xfId="0" applyFont="1" applyAlignment="1">
      <alignment vertical="top" wrapText="1"/>
    </xf>
    <xf numFmtId="0" fontId="56" fillId="0" borderId="0" xfId="0" applyFont="1" applyFill="1" applyAlignment="1">
      <alignment vertical="top" wrapText="1"/>
    </xf>
    <xf numFmtId="9" fontId="6" fillId="4" borderId="0" xfId="0" applyNumberFormat="1" applyFont="1" applyFill="1" applyAlignment="1" applyProtection="1">
      <alignment horizontal="right"/>
      <protection locked="0"/>
    </xf>
    <xf numFmtId="164" fontId="6" fillId="4" borderId="0" xfId="0" applyNumberFormat="1" applyFont="1" applyFill="1" applyAlignment="1" applyProtection="1">
      <alignment horizontal="right"/>
      <protection locked="0"/>
    </xf>
    <xf numFmtId="0" fontId="6" fillId="4" borderId="0" xfId="0" applyFont="1" applyFill="1" applyAlignment="1" applyProtection="1">
      <alignment horizontal="right"/>
      <protection locked="0"/>
    </xf>
    <xf numFmtId="1" fontId="6" fillId="4" borderId="0" xfId="0" applyNumberFormat="1" applyFont="1" applyFill="1" applyAlignment="1" applyProtection="1">
      <alignment horizontal="right"/>
      <protection locked="0"/>
    </xf>
    <xf numFmtId="170" fontId="6" fillId="4" borderId="0" xfId="0" applyNumberFormat="1" applyFont="1" applyFill="1" applyAlignment="1" applyProtection="1">
      <alignment horizontal="right"/>
      <protection locked="0"/>
    </xf>
    <xf numFmtId="0" fontId="6" fillId="4" borderId="0" xfId="0" applyFont="1" applyFill="1" applyProtection="1">
      <protection locked="0"/>
    </xf>
    <xf numFmtId="170" fontId="6" fillId="4" borderId="0" xfId="0" applyNumberFormat="1" applyFont="1" applyFill="1" applyProtection="1">
      <protection locked="0"/>
    </xf>
    <xf numFmtId="164" fontId="6" fillId="4" borderId="0" xfId="0" applyNumberFormat="1" applyFont="1" applyFill="1" applyProtection="1">
      <protection locked="0"/>
    </xf>
    <xf numFmtId="0" fontId="1" fillId="0" borderId="17" xfId="0" applyFont="1" applyBorder="1"/>
    <xf numFmtId="0" fontId="0" fillId="0" borderId="17" xfId="0" applyBorder="1"/>
    <xf numFmtId="0" fontId="6" fillId="4" borderId="17" xfId="0" applyFont="1" applyFill="1" applyBorder="1" applyProtection="1">
      <protection locked="0"/>
    </xf>
    <xf numFmtId="164" fontId="6" fillId="4" borderId="17" xfId="0" applyNumberFormat="1" applyFont="1" applyFill="1" applyBorder="1" applyProtection="1">
      <protection locked="0"/>
    </xf>
    <xf numFmtId="0" fontId="1" fillId="0" borderId="18" xfId="0" applyFont="1" applyBorder="1"/>
    <xf numFmtId="0" fontId="0" fillId="0" borderId="18" xfId="0" applyBorder="1"/>
    <xf numFmtId="0" fontId="6" fillId="4" borderId="18" xfId="0" applyFont="1" applyFill="1" applyBorder="1" applyProtection="1">
      <protection locked="0"/>
    </xf>
    <xf numFmtId="164" fontId="6" fillId="4" borderId="18" xfId="0" applyNumberFormat="1" applyFont="1" applyFill="1" applyBorder="1" applyProtection="1">
      <protection locked="0"/>
    </xf>
    <xf numFmtId="0" fontId="57" fillId="0" borderId="0" xfId="0" applyFont="1"/>
    <xf numFmtId="0" fontId="58" fillId="0" borderId="0" xfId="0" applyFont="1" applyAlignment="1">
      <alignment wrapText="1"/>
    </xf>
    <xf numFmtId="0" fontId="32" fillId="2" borderId="0" xfId="0" applyFont="1" applyFill="1" applyAlignment="1">
      <alignment horizontal="center"/>
    </xf>
    <xf numFmtId="164" fontId="1" fillId="3" borderId="0" xfId="0" applyNumberFormat="1" applyFont="1" applyFill="1" applyAlignment="1">
      <alignment horizontal="center"/>
    </xf>
    <xf numFmtId="0" fontId="1" fillId="3" borderId="0" xfId="0" applyFont="1" applyFill="1" applyAlignment="1">
      <alignment horizontal="center"/>
    </xf>
    <xf numFmtId="0" fontId="59" fillId="0" borderId="0" xfId="0" applyFont="1"/>
    <xf numFmtId="0" fontId="0" fillId="6" borderId="0" xfId="0" applyFill="1"/>
    <xf numFmtId="0" fontId="4" fillId="6" borderId="0" xfId="0" applyFont="1" applyFill="1"/>
    <xf numFmtId="0" fontId="5" fillId="3" borderId="0" xfId="0" applyFont="1" applyFill="1" applyAlignment="1">
      <alignment horizontal="center" wrapText="1"/>
    </xf>
    <xf numFmtId="0" fontId="9" fillId="4" borderId="0" xfId="0" applyFont="1" applyFill="1" applyAlignment="1">
      <alignment horizontal="center"/>
    </xf>
    <xf numFmtId="0" fontId="9" fillId="4" borderId="0" xfId="0" applyFont="1" applyFill="1" applyAlignment="1" applyProtection="1">
      <alignment horizontal="center"/>
      <protection locked="0"/>
    </xf>
    <xf numFmtId="164" fontId="0" fillId="3" borderId="0" xfId="0" applyNumberFormat="1" applyFill="1" applyAlignment="1">
      <alignment horizontal="center"/>
    </xf>
    <xf numFmtId="0" fontId="18" fillId="6" borderId="0" xfId="0" applyFont="1" applyFill="1" applyAlignment="1">
      <alignment wrapText="1"/>
    </xf>
    <xf numFmtId="0" fontId="60" fillId="0" borderId="0" xfId="0" applyFont="1"/>
    <xf numFmtId="170" fontId="60" fillId="0" borderId="0" xfId="0" applyNumberFormat="1" applyFont="1"/>
    <xf numFmtId="169" fontId="60" fillId="0" borderId="0" xfId="0" applyNumberFormat="1" applyFont="1"/>
    <xf numFmtId="172" fontId="60" fillId="0" borderId="0" xfId="0" applyNumberFormat="1" applyFont="1"/>
    <xf numFmtId="1" fontId="60" fillId="0" borderId="0" xfId="0" applyNumberFormat="1" applyFont="1"/>
    <xf numFmtId="1" fontId="1" fillId="0" borderId="17" xfId="0" applyNumberFormat="1" applyFont="1" applyBorder="1" applyAlignment="1">
      <alignment horizontal="center"/>
    </xf>
    <xf numFmtId="1" fontId="1" fillId="0" borderId="18" xfId="0" applyNumberFormat="1" applyFont="1" applyBorder="1" applyAlignment="1">
      <alignment horizontal="center"/>
    </xf>
    <xf numFmtId="0" fontId="4" fillId="6" borderId="0" xfId="0" applyFont="1" applyFill="1" applyAlignment="1">
      <alignment wrapText="1"/>
    </xf>
    <xf numFmtId="0" fontId="5" fillId="3" borderId="1" xfId="0" applyFont="1" applyFill="1" applyBorder="1" applyAlignment="1">
      <alignment horizontal="center" wrapText="1"/>
    </xf>
    <xf numFmtId="170" fontId="51" fillId="4" borderId="2" xfId="0" applyNumberFormat="1" applyFont="1" applyFill="1" applyBorder="1" applyProtection="1">
      <protection locked="0"/>
    </xf>
    <xf numFmtId="170" fontId="35" fillId="0" borderId="2" xfId="0" applyNumberFormat="1" applyFont="1" applyBorder="1"/>
    <xf numFmtId="0" fontId="35" fillId="0" borderId="2" xfId="0" applyFont="1" applyBorder="1"/>
    <xf numFmtId="0" fontId="35" fillId="0" borderId="2" xfId="0" applyFont="1" applyBorder="1" applyAlignment="1">
      <alignment wrapText="1"/>
    </xf>
    <xf numFmtId="170" fontId="51" fillId="4" borderId="3" xfId="0" applyNumberFormat="1" applyFont="1" applyFill="1" applyBorder="1" applyProtection="1">
      <protection locked="0"/>
    </xf>
    <xf numFmtId="170" fontId="35" fillId="0" borderId="3" xfId="0" applyNumberFormat="1" applyFont="1" applyBorder="1"/>
    <xf numFmtId="0" fontId="35" fillId="0" borderId="3" xfId="0" applyFont="1" applyBorder="1"/>
    <xf numFmtId="0" fontId="35" fillId="0" borderId="3" xfId="0" applyFont="1" applyBorder="1" applyAlignment="1">
      <alignment wrapText="1"/>
    </xf>
    <xf numFmtId="164" fontId="0" fillId="0" borderId="0" xfId="0" applyNumberFormat="1" applyProtection="1">
      <protection locked="0"/>
    </xf>
    <xf numFmtId="1" fontId="0" fillId="0" borderId="0" xfId="0" applyNumberFormat="1" applyProtection="1">
      <protection locked="0"/>
    </xf>
    <xf numFmtId="170" fontId="0" fillId="0" borderId="0" xfId="0" applyNumberFormat="1" applyProtection="1">
      <protection locked="0"/>
    </xf>
    <xf numFmtId="0" fontId="63" fillId="2" borderId="0" xfId="0" applyFont="1" applyFill="1" applyAlignment="1">
      <alignment vertical="top" wrapText="1"/>
    </xf>
    <xf numFmtId="0" fontId="64" fillId="0" borderId="0" xfId="0" applyFont="1" applyAlignment="1">
      <alignment vertical="top" wrapText="1"/>
    </xf>
    <xf numFmtId="0" fontId="65" fillId="0" borderId="0" xfId="0" applyFont="1" applyAlignment="1">
      <alignment vertical="top" wrapText="1"/>
    </xf>
    <xf numFmtId="0" fontId="61" fillId="7" borderId="26" xfId="0" applyFont="1" applyFill="1" applyBorder="1" applyAlignment="1">
      <alignment vertical="center" wrapText="1"/>
    </xf>
    <xf numFmtId="0" fontId="61" fillId="7" borderId="25" xfId="0" applyFont="1" applyFill="1" applyBorder="1" applyAlignment="1">
      <alignment vertical="center" wrapText="1"/>
    </xf>
    <xf numFmtId="0" fontId="62" fillId="7" borderId="0" xfId="0" applyFont="1" applyFill="1" applyBorder="1" applyAlignment="1">
      <alignment vertical="center" wrapText="1"/>
    </xf>
    <xf numFmtId="0" fontId="32" fillId="2" borderId="26" xfId="0" applyFont="1" applyFill="1" applyBorder="1" applyAlignment="1">
      <alignment horizontal="center" vertical="center"/>
    </xf>
    <xf numFmtId="0" fontId="0" fillId="7" borderId="0" xfId="0" applyFill="1" applyBorder="1" applyAlignment="1">
      <alignment vertical="center"/>
    </xf>
    <xf numFmtId="0" fontId="0" fillId="7" borderId="27" xfId="0" applyFill="1" applyBorder="1" applyAlignment="1">
      <alignment vertical="center"/>
    </xf>
    <xf numFmtId="0" fontId="44" fillId="7" borderId="0" xfId="0" applyFont="1" applyFill="1" applyBorder="1" applyAlignment="1">
      <alignment vertical="center"/>
    </xf>
    <xf numFmtId="0" fontId="44" fillId="7" borderId="0" xfId="0" applyFont="1" applyFill="1" applyBorder="1" applyAlignment="1">
      <alignment vertical="center"/>
    </xf>
    <xf numFmtId="170" fontId="44" fillId="7" borderId="0" xfId="0" applyNumberFormat="1" applyFont="1" applyFill="1" applyBorder="1" applyAlignment="1">
      <alignment vertical="center"/>
    </xf>
    <xf numFmtId="170" fontId="8" fillId="7" borderId="27" xfId="0" applyNumberFormat="1" applyFont="1" applyFill="1" applyBorder="1" applyAlignment="1">
      <alignment vertical="center"/>
    </xf>
    <xf numFmtId="170" fontId="44" fillId="7" borderId="20" xfId="0" applyNumberFormat="1" applyFont="1" applyFill="1" applyBorder="1" applyAlignment="1">
      <alignment vertical="center"/>
    </xf>
    <xf numFmtId="0" fontId="5" fillId="7" borderId="28" xfId="0" applyFont="1" applyFill="1" applyBorder="1" applyAlignment="1">
      <alignment vertical="center"/>
    </xf>
    <xf numFmtId="0" fontId="61" fillId="7" borderId="0" xfId="0" applyFont="1" applyFill="1" applyBorder="1" applyAlignment="1">
      <alignment vertical="center" wrapText="1"/>
    </xf>
    <xf numFmtId="0" fontId="0" fillId="7" borderId="0" xfId="0" applyFill="1" applyBorder="1" applyAlignment="1">
      <alignment vertical="center" wrapText="1"/>
    </xf>
    <xf numFmtId="0" fontId="61" fillId="7" borderId="20" xfId="0" applyFont="1" applyFill="1" applyBorder="1" applyAlignment="1">
      <alignment vertical="center" wrapText="1"/>
    </xf>
    <xf numFmtId="0" fontId="4" fillId="6" borderId="0" xfId="0" applyFont="1" applyFill="1" applyAlignment="1">
      <alignment horizontal="left"/>
    </xf>
    <xf numFmtId="170" fontId="49" fillId="0" borderId="17" xfId="0" applyNumberFormat="1" applyFont="1" applyFill="1" applyBorder="1" applyProtection="1"/>
    <xf numFmtId="170" fontId="49" fillId="0" borderId="18" xfId="0" applyNumberFormat="1" applyFont="1" applyFill="1" applyBorder="1" applyProtection="1"/>
    <xf numFmtId="9" fontId="49" fillId="0" borderId="17" xfId="0" applyNumberFormat="1" applyFont="1" applyFill="1" applyBorder="1" applyProtection="1"/>
    <xf numFmtId="9" fontId="49" fillId="0" borderId="18" xfId="0" applyNumberFormat="1" applyFont="1" applyFill="1" applyBorder="1" applyProtection="1"/>
    <xf numFmtId="0" fontId="66" fillId="14" borderId="0" xfId="0" applyFont="1" applyFill="1" applyAlignment="1">
      <alignment horizontal="center"/>
    </xf>
    <xf numFmtId="0" fontId="67" fillId="15" borderId="0" xfId="0" applyFont="1" applyFill="1" applyAlignment="1">
      <alignment horizontal="center"/>
    </xf>
    <xf numFmtId="0" fontId="68" fillId="16" borderId="0" xfId="0" applyFont="1" applyFill="1" applyAlignment="1">
      <alignment horizontal="center"/>
    </xf>
    <xf numFmtId="0" fontId="69" fillId="17" borderId="0" xfId="0" applyFont="1" applyFill="1" applyAlignment="1">
      <alignment horizontal="center"/>
    </xf>
    <xf numFmtId="0" fontId="70" fillId="18" borderId="0" xfId="0" applyFont="1" applyFill="1" applyAlignment="1">
      <alignment horizontal="center"/>
    </xf>
    <xf numFmtId="0" fontId="71" fillId="19" borderId="0" xfId="0" applyFont="1" applyFill="1" applyAlignment="1">
      <alignment horizontal="center"/>
    </xf>
    <xf numFmtId="0" fontId="46" fillId="0" borderId="0" xfId="0" applyFont="1"/>
    <xf numFmtId="0" fontId="72" fillId="4" borderId="17" xfId="0" applyFont="1" applyFill="1" applyBorder="1" applyAlignment="1" applyProtection="1">
      <alignment wrapText="1"/>
      <protection locked="0"/>
    </xf>
    <xf numFmtId="0" fontId="31" fillId="0" borderId="0" xfId="0" applyFont="1" applyAlignment="1">
      <alignment vertical="top" wrapText="1" indent="1"/>
    </xf>
    <xf numFmtId="0" fontId="18" fillId="2" borderId="0" xfId="0" applyFont="1" applyFill="1" applyAlignment="1">
      <alignment horizontal="center" wrapText="1"/>
    </xf>
    <xf numFmtId="172" fontId="49" fillId="0" borderId="0" xfId="0" applyNumberFormat="1" applyFont="1" applyFill="1" applyProtection="1"/>
    <xf numFmtId="2" fontId="49" fillId="0" borderId="0" xfId="0" applyNumberFormat="1" applyFont="1" applyFill="1" applyProtection="1"/>
    <xf numFmtId="173" fontId="6" fillId="4" borderId="0" xfId="0" applyNumberFormat="1" applyFont="1" applyFill="1" applyProtection="1">
      <protection locked="0"/>
    </xf>
    <xf numFmtId="0" fontId="72" fillId="4" borderId="18" xfId="0" applyFont="1" applyFill="1" applyBorder="1" applyAlignment="1" applyProtection="1">
      <alignment wrapText="1"/>
      <protection locked="0"/>
    </xf>
    <xf numFmtId="174" fontId="6" fillId="4" borderId="0" xfId="0" applyNumberFormat="1" applyFont="1" applyFill="1" applyProtection="1">
      <protection locked="0"/>
    </xf>
    <xf numFmtId="0" fontId="57" fillId="0" borderId="0" xfId="0" applyFont="1"/>
    <xf numFmtId="0" fontId="73" fillId="8" borderId="0" xfId="0" applyFont="1" applyFill="1" applyAlignment="1">
      <alignment wrapText="1"/>
    </xf>
    <xf numFmtId="0" fontId="6" fillId="4" borderId="0" xfId="0" applyFont="1" applyFill="1" applyAlignment="1" applyProtection="1">
      <alignment horizontal="center"/>
      <protection locked="0"/>
    </xf>
  </cellXfs>
  <cellStyles count="1">
    <cellStyle name="Normal" xfId="0" builtinId="0"/>
  </cellStyles>
  <dxfs count="96">
    <dxf>
      <font>
        <color rgb="FF92400E"/>
      </font>
      <fill>
        <patternFill patternType="solid">
          <fgColor indexed="64"/>
          <bgColor rgb="FFFDECC8"/>
        </patternFill>
      </fill>
    </dxf>
    <dxf>
      <font>
        <b/>
        <i val="0"/>
        <color rgb="FF9C0006"/>
      </font>
    </dxf>
    <dxf>
      <font>
        <b/>
        <i val="0"/>
        <color rgb="FF006100"/>
      </font>
    </dxf>
    <dxf>
      <font>
        <b/>
        <i val="0"/>
        <color rgb="FF9C0006"/>
      </font>
    </dxf>
    <dxf>
      <font>
        <b/>
        <i val="0"/>
        <color rgb="FF0B3D1C"/>
      </font>
    </dxf>
    <dxf>
      <font>
        <b/>
        <i val="0"/>
        <color rgb="FF6B7280"/>
      </font>
      <fill>
        <patternFill patternType="solid">
          <fgColor indexed="64"/>
          <bgColor rgb="FFF2F2F2"/>
        </patternFill>
      </fill>
    </dxf>
    <dxf>
      <font>
        <b/>
        <i val="0"/>
        <color rgb="FF6B7280"/>
      </font>
      <fill>
        <patternFill patternType="solid">
          <fgColor indexed="64"/>
          <bgColor rgb="FFF2F2F2"/>
        </patternFill>
      </fill>
    </dxf>
    <dxf>
      <font>
        <b/>
        <i val="0"/>
        <color rgb="FF7A5A00"/>
      </font>
      <fill>
        <patternFill patternType="solid">
          <fgColor indexed="64"/>
          <bgColor rgb="FFFFF2C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6B7280"/>
      </font>
      <fill>
        <patternFill patternType="solid">
          <fgColor indexed="64"/>
          <bgColor rgb="FFF2F2F2"/>
        </patternFill>
      </fill>
    </dxf>
    <dxf>
      <font>
        <b/>
        <i val="0"/>
        <color rgb="FF6B7280"/>
      </font>
      <fill>
        <patternFill patternType="solid">
          <fgColor indexed="64"/>
          <bgColor rgb="FFF2F2F2"/>
        </patternFill>
      </fill>
    </dxf>
    <dxf>
      <font>
        <b/>
        <i val="0"/>
        <color rgb="FF7A5A00"/>
      </font>
      <fill>
        <patternFill patternType="solid">
          <fgColor indexed="64"/>
          <bgColor rgb="FFFFF2C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6500"/>
      </font>
      <fill>
        <patternFill patternType="solid">
          <fgColor indexed="64"/>
          <bgColor rgb="FFFFEB9C"/>
        </patternFill>
      </fill>
    </dxf>
    <dxf>
      <font>
        <b/>
        <i val="0"/>
        <color rgb="FF0B3D1C"/>
      </font>
      <fill>
        <patternFill patternType="solid">
          <fgColor indexed="64"/>
          <bgColor rgb="FF7BC98F"/>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6500"/>
      </font>
      <fill>
        <patternFill patternType="solid">
          <fgColor indexed="64"/>
          <bgColor rgb="FFFFEB9C"/>
        </patternFill>
      </fill>
    </dxf>
    <dxf>
      <font>
        <b/>
        <i val="0"/>
        <color rgb="FF0B3D1C"/>
      </font>
      <fill>
        <patternFill patternType="solid">
          <fgColor indexed="64"/>
          <bgColor rgb="FF7BC98F"/>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166534"/>
      </font>
      <fill>
        <patternFill patternType="solid">
          <fgColor indexed="64"/>
          <bgColor rgb="FFE2F3E5"/>
        </patternFill>
      </fill>
    </dxf>
    <dxf>
      <font>
        <b/>
        <i val="0"/>
        <color rgb="FF006100"/>
      </font>
      <fill>
        <patternFill patternType="solid">
          <fgColor indexed="64"/>
          <bgColor rgb="FFC6EFCE"/>
        </patternFill>
      </fill>
    </dxf>
    <dxf>
      <font>
        <b/>
        <i val="0"/>
        <color rgb="FF0B3D1C"/>
      </font>
      <fill>
        <patternFill patternType="solid">
          <fgColor indexed="64"/>
          <bgColor rgb="FF7BC98F"/>
        </patternFill>
      </fill>
    </dxf>
    <dxf>
      <font>
        <b/>
        <i val="0"/>
        <color rgb="FF7F1D1D"/>
      </font>
      <fill>
        <patternFill patternType="solid">
          <fgColor indexed="64"/>
          <bgColor rgb="FFFF9B93"/>
        </patternFill>
      </fill>
    </dxf>
    <dxf>
      <font>
        <b/>
        <i val="0"/>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166534"/>
      </font>
      <fill>
        <patternFill patternType="solid">
          <fgColor indexed="64"/>
          <bgColor rgb="FFE2F3E5"/>
        </patternFill>
      </fill>
    </dxf>
    <dxf>
      <font>
        <b/>
        <i val="0"/>
        <color rgb="FF006100"/>
      </font>
      <fill>
        <patternFill patternType="solid">
          <fgColor indexed="64"/>
          <bgColor rgb="FFC6EFCE"/>
        </patternFill>
      </fill>
    </dxf>
    <dxf>
      <font>
        <b/>
        <i val="0"/>
        <color rgb="FF0B3D1C"/>
      </font>
      <fill>
        <patternFill patternType="solid">
          <fgColor indexed="64"/>
          <bgColor rgb="FF7BC98F"/>
        </patternFill>
      </fill>
    </dxf>
    <dxf>
      <font>
        <b/>
        <i val="0"/>
        <color rgb="FF7F1D1D"/>
      </font>
      <fill>
        <patternFill patternType="solid">
          <fgColor indexed="64"/>
          <bgColor rgb="FFFF9B93"/>
        </patternFill>
      </fill>
    </dxf>
    <dxf>
      <font>
        <color rgb="FF14532D"/>
      </font>
      <fill>
        <patternFill patternType="solid">
          <fgColor indexed="64"/>
          <bgColor rgb="FFF1F7F1"/>
        </patternFill>
      </fill>
    </dxf>
    <dxf>
      <font>
        <color rgb="FF7A5A00"/>
      </font>
      <fill>
        <patternFill patternType="solid">
          <fgColor indexed="64"/>
          <bgColor rgb="FFFFF9E6"/>
        </patternFill>
      </fill>
    </dxf>
    <dxf>
      <font>
        <color rgb="FF0F2440"/>
      </font>
      <fill>
        <patternFill patternType="solid">
          <fgColor indexed="64"/>
          <bgColor rgb="FFEAF0F7"/>
        </patternFill>
      </fill>
    </dxf>
    <dxf>
      <font>
        <color rgb="FF8A9A8E"/>
      </font>
      <fill>
        <patternFill patternType="solid">
          <fgColor indexed="64"/>
          <bgColor rgb="FFF4F7F4"/>
        </patternFill>
      </fill>
    </dxf>
    <dxf>
      <font>
        <color rgb="FF14532D"/>
      </font>
      <fill>
        <patternFill patternType="solid">
          <fgColor indexed="64"/>
          <bgColor rgb="FFDDF0E3"/>
        </patternFill>
      </fill>
    </dxf>
    <dxf>
      <font>
        <color rgb="FF92400E"/>
      </font>
      <fill>
        <patternFill patternType="solid">
          <fgColor indexed="64"/>
          <bgColor rgb="FFFDECC8"/>
        </patternFill>
      </fill>
    </dxf>
    <dxf>
      <font>
        <color rgb="FF7F1D1D"/>
      </font>
      <fill>
        <patternFill patternType="solid">
          <fgColor indexed="64"/>
          <bgColor rgb="FFF5D6D3"/>
        </patternFill>
      </fill>
    </dxf>
    <dxf>
      <font>
        <color rgb="FFC0392B"/>
      </font>
    </dxf>
    <dxf>
      <font>
        <color rgb="FF1E7B34"/>
      </font>
    </dxf>
    <dxf>
      <font>
        <color rgb="FFC0392B"/>
      </font>
    </dxf>
    <dxf>
      <font>
        <color rgb="FF1E7B34"/>
      </font>
    </dxf>
    <dxf>
      <font>
        <color rgb="FFC0392B"/>
      </font>
    </dxf>
    <dxf>
      <font>
        <color rgb="FF1E7B34"/>
      </font>
    </dxf>
    <dxf>
      <font>
        <color rgb="FF92400E"/>
      </font>
      <fill>
        <patternFill patternType="solid">
          <fgColor indexed="64"/>
          <bgColor rgb="FFFFF4DE"/>
        </patternFill>
      </fill>
    </dxf>
    <dxf>
      <font>
        <color rgb="FF6B7280"/>
      </font>
      <fill>
        <patternFill patternType="solid">
          <fgColor indexed="64"/>
          <bgColor rgb="FFF2F2F2"/>
        </patternFill>
      </fill>
    </dxf>
    <dxf>
      <font>
        <color rgb="FF7F1D1D"/>
      </font>
      <fill>
        <patternFill patternType="solid">
          <fgColor indexed="64"/>
          <bgColor rgb="FFF5D6D3"/>
        </patternFill>
      </fill>
    </dxf>
    <dxf>
      <font>
        <color rgb="FF7F1D1D"/>
      </font>
      <fill>
        <patternFill patternType="solid">
          <fgColor indexed="64"/>
          <bgColor rgb="FFFBEAEA"/>
        </patternFill>
      </fill>
    </dxf>
    <dxf>
      <font>
        <color rgb="FF166534"/>
      </font>
      <fill>
        <patternFill patternType="solid">
          <fgColor indexed="64"/>
          <bgColor rgb="FFEAF5EC"/>
        </patternFill>
      </fill>
    </dxf>
    <dxf>
      <font>
        <color rgb="FF14532D"/>
      </font>
      <fill>
        <patternFill patternType="solid">
          <fgColor indexed="64"/>
          <bgColor rgb="FFD6EBDB"/>
        </patternFill>
      </fill>
    </dxf>
    <dxf>
      <font>
        <color rgb="FFC0392B"/>
      </font>
    </dxf>
    <dxf>
      <font>
        <color rgb="FF1E7B34"/>
      </font>
    </dxf>
    <dxf>
      <font>
        <color rgb="FF6B7280"/>
      </font>
      <fill>
        <patternFill patternType="solid">
          <fgColor indexed="64"/>
          <bgColor rgb="FFF2F2F2"/>
        </patternFill>
      </fill>
    </dxf>
    <dxf>
      <font>
        <color rgb="FF7A5A00"/>
      </font>
      <fill>
        <patternFill patternType="solid">
          <fgColor indexed="64"/>
          <bgColor rgb="FFFDF6E3"/>
        </patternFill>
      </fill>
    </dxf>
    <dxf>
      <font>
        <color rgb="FF14532D"/>
      </font>
      <fill>
        <patternFill patternType="solid">
          <fgColor indexed="64"/>
          <bgColor rgb="FFDDF0E3"/>
        </patternFill>
      </fill>
    </dxf>
    <dxf>
      <font>
        <color rgb="FF7F1D1D"/>
      </font>
      <fill>
        <patternFill patternType="solid">
          <fgColor indexed="64"/>
          <bgColor rgb="FFF5D6D3"/>
        </patternFill>
      </fill>
    </dxf>
    <dxf>
      <font>
        <color rgb="FF166534"/>
      </font>
      <fill>
        <patternFill patternType="solid">
          <fgColor indexed="64"/>
          <bgColor rgb="FFEEF7F0"/>
        </patternFill>
      </fill>
    </dxf>
    <dxf>
      <font>
        <color rgb="FF92400E"/>
      </font>
      <fill>
        <patternFill patternType="solid">
          <fgColor indexed="64"/>
          <bgColor rgb="FFFDECC8"/>
        </patternFill>
      </fill>
    </dxf>
    <dxf>
      <font>
        <color rgb="FF14532D"/>
      </font>
      <fill>
        <patternFill patternType="solid">
          <fgColor indexed="64"/>
          <bgColor rgb="FFDDF0E3"/>
        </patternFill>
      </fill>
    </dxf>
    <dxf>
      <font>
        <color rgb="FF7C2D12"/>
      </font>
      <fill>
        <patternFill patternType="solid">
          <fgColor indexed="64"/>
          <bgColor rgb="FFF7D6C9"/>
        </patternFill>
      </fill>
    </dxf>
    <dxf>
      <font>
        <b/>
        <i val="0"/>
        <color rgb="FF7C2D12"/>
      </font>
      <fill>
        <patternFill patternType="solid">
          <fgColor indexed="64"/>
          <bgColor rgb="FFF7D6C9"/>
        </patternFill>
      </fill>
    </dxf>
    <dxf>
      <font>
        <b/>
        <i val="0"/>
        <color rgb="FF92400E"/>
      </font>
      <fill>
        <patternFill patternType="solid">
          <fgColor indexed="64"/>
          <bgColor rgb="FFFDECC8"/>
        </patternFill>
      </fill>
    </dxf>
    <dxf>
      <font>
        <b/>
        <i val="0"/>
        <color rgb="FF166534"/>
      </font>
      <fill>
        <patternFill patternType="solid">
          <fgColor indexed="64"/>
          <bgColor rgb="FFEEF7F0"/>
        </patternFill>
      </fill>
    </dxf>
    <dxf>
      <font>
        <b/>
        <i val="0"/>
        <color rgb="FF14532D"/>
      </font>
      <fill>
        <patternFill patternType="solid">
          <fgColor indexed="64"/>
          <bgColor rgb="FFDDF0E3"/>
        </patternFill>
      </fill>
    </dxf>
    <dxf>
      <font>
        <b/>
        <i val="0"/>
        <color rgb="FF14532D"/>
      </font>
      <fill>
        <patternFill patternType="solid">
          <fgColor indexed="64"/>
          <bgColor rgb="FFBFE3C8"/>
        </patternFill>
      </fill>
    </dxf>
    <dxf>
      <font>
        <b/>
        <i val="0"/>
        <color rgb="FF5B1512"/>
      </font>
      <fill>
        <patternFill patternType="solid">
          <fgColor indexed="64"/>
          <bgColor rgb="FFE8A6A0"/>
        </patternFill>
      </fill>
    </dxf>
    <dxf>
      <font>
        <color rgb="FF14532D"/>
      </font>
      <fill>
        <patternFill patternType="solid">
          <fgColor indexed="64"/>
          <bgColor rgb="FFDDF0E3"/>
        </patternFill>
      </fill>
    </dxf>
    <dxf>
      <font>
        <color rgb="FF7F1D1D"/>
      </font>
      <fill>
        <patternFill patternType="solid">
          <fgColor indexed="64"/>
          <bgColor rgb="FFF5D6D3"/>
        </patternFill>
      </fill>
    </dxf>
    <dxf>
      <font>
        <color rgb="FF7F1D1D"/>
      </font>
      <fill>
        <patternFill patternType="solid">
          <fgColor indexed="64"/>
          <bgColor rgb="FFF5D6D3"/>
        </patternFill>
      </fill>
    </dxf>
    <dxf>
      <font>
        <color rgb="FF14532D"/>
      </font>
      <fill>
        <patternFill patternType="solid">
          <fgColor indexed="64"/>
          <bgColor rgb="FFDDF0E3"/>
        </patternFill>
      </fill>
    </dxf>
    <dxf>
      <font>
        <color rgb="FF14532D"/>
      </font>
      <fill>
        <patternFill patternType="solid">
          <fgColor indexed="64"/>
          <bgColor rgb="FFDDF0E3"/>
        </patternFill>
      </fill>
    </dxf>
    <dxf>
      <font>
        <color rgb="FF92400E"/>
      </font>
      <fill>
        <patternFill patternType="solid">
          <fgColor indexed="64"/>
          <bgColor rgb="FFFDECC8"/>
        </patternFill>
      </fill>
    </dxf>
    <dxf>
      <font>
        <color rgb="FF7F1D1D"/>
      </font>
      <fill>
        <patternFill patternType="solid">
          <fgColor indexed="64"/>
          <bgColor rgb="FFF5D6D3"/>
        </patternFill>
      </fill>
    </dxf>
    <dxf>
      <fill>
        <patternFill patternType="solid">
          <fgColor indexed="64"/>
          <bgColor rgb="FFFDE9D9"/>
        </patternFill>
      </fill>
    </dxf>
    <dxf>
      <font>
        <color rgb="FFC0392B"/>
      </font>
    </dxf>
    <dxf>
      <font>
        <color rgb="FF1E7B34"/>
      </font>
    </dxf>
    <dxf>
      <font>
        <color rgb="FFC0392B"/>
      </font>
    </dxf>
    <dxf>
      <font>
        <color rgb="FF1E7B34"/>
      </font>
    </dxf>
    <dxf>
      <font>
        <color rgb="FF92400E"/>
      </font>
      <fill>
        <patternFill patternType="solid">
          <fgColor indexed="64"/>
          <bgColor rgb="FFFDE9D9"/>
        </patternFill>
      </fill>
    </dxf>
    <dxf>
      <font>
        <color rgb="FFC0392B"/>
      </font>
    </dxf>
    <dxf>
      <font>
        <color rgb="FF1E7B34"/>
      </font>
    </dxf>
    <dxf>
      <font>
        <color rgb="FFC0392B"/>
      </font>
    </dxf>
    <dxf>
      <font>
        <color rgb="FF1E7B34"/>
      </font>
    </dxf>
    <dxf>
      <font>
        <color rgb="FFC0392B"/>
      </font>
    </dxf>
    <dxf>
      <font>
        <color rgb="FF1E7B34"/>
      </font>
    </dxf>
    <dxf>
      <font>
        <color rgb="FFC0392B"/>
      </font>
    </dxf>
    <dxf>
      <font>
        <color rgb="FF1E7B34"/>
      </font>
    </dxf>
    <dxf>
      <font>
        <color rgb="FFC0392B"/>
      </font>
    </dxf>
    <dxf>
      <font>
        <color rgb="FF1E7B34"/>
      </font>
    </dxf>
    <dxf>
      <fill>
        <patternFill patternType="solid">
          <fgColor indexed="64"/>
          <bgColor rgb="FFFDECC8"/>
        </patternFill>
      </fill>
    </dxf>
    <dxf>
      <font>
        <color rgb="FF14532D"/>
      </font>
      <fill>
        <patternFill patternType="solid">
          <fgColor indexed="64"/>
          <bgColor rgb="FFDDF0E3"/>
        </patternFill>
      </fill>
    </dxf>
    <dxf>
      <font>
        <b/>
        <i val="0"/>
        <color rgb="FF92400E"/>
      </font>
      <fill>
        <patternFill patternType="solid">
          <fgColor indexed="64"/>
          <bgColor rgb="FFFDECC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Top 10 — Alama ya Pamoja (Overall Score)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bar"/>
        <c:grouping val="clustered"/>
        <c:varyColors val="0"/>
        <c:ser>
          <c:idx val="0"/>
          <c:order val="0"/>
          <c:tx>
            <c:strRef>
              <c:f>Ranking!$R$67</c:f>
              <c:strCache>
                <c:ptCount val="1"/>
                <c:pt idx="0">
                  <c:v>Ticker</c:v>
                </c:pt>
              </c:strCache>
            </c:strRef>
          </c:tx>
          <c:spPr>
            <a:solidFill>
              <a:schemeClr val="accent1"/>
            </a:solidFill>
            <a:ln>
              <a:noFill/>
            </a:ln>
            <a:effectLst/>
          </c:spPr>
          <c:invertIfNegative val="0"/>
          <c:val>
            <c:numRef>
              <c:f>Ranking!$R$68:$R$77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31-4C3E-BB79-94980E91B75D}"/>
            </c:ext>
          </c:extLst>
        </c:ser>
        <c:ser>
          <c:idx val="1"/>
          <c:order val="1"/>
          <c:tx>
            <c:strRef>
              <c:f>Ranking!$S$67</c:f>
              <c:strCache>
                <c:ptCount val="1"/>
                <c:pt idx="0">
                  <c:v>Overall Score</c:v>
                </c:pt>
              </c:strCache>
            </c:strRef>
          </c:tx>
          <c:spPr>
            <a:solidFill>
              <a:schemeClr val="accent2"/>
            </a:solidFill>
            <a:ln>
              <a:noFill/>
            </a:ln>
            <a:effectLst/>
          </c:spPr>
          <c:invertIfNegative val="0"/>
          <c:val>
            <c:numRef>
              <c:f>Ranking!$S$68:$S$77</c:f>
              <c:numCache>
                <c:formatCode>General</c:formatCode>
                <c:ptCount val="10"/>
                <c:pt idx="0">
                  <c:v>86.7</c:v>
                </c:pt>
                <c:pt idx="1">
                  <c:v>82.7</c:v>
                </c:pt>
                <c:pt idx="2">
                  <c:v>79</c:v>
                </c:pt>
                <c:pt idx="3">
                  <c:v>78.099999999999994</c:v>
                </c:pt>
                <c:pt idx="4">
                  <c:v>73.3</c:v>
                </c:pt>
                <c:pt idx="5">
                  <c:v>73.3</c:v>
                </c:pt>
                <c:pt idx="6">
                  <c:v>72.3</c:v>
                </c:pt>
                <c:pt idx="7">
                  <c:v>69.900000000000006</c:v>
                </c:pt>
                <c:pt idx="8">
                  <c:v>68</c:v>
                </c:pt>
                <c:pt idx="9">
                  <c:v>67.599999999999994</c:v>
                </c:pt>
              </c:numCache>
            </c:numRef>
          </c:val>
          <c:extLst>
            <c:ext xmlns:c16="http://schemas.microsoft.com/office/drawing/2014/chart" uri="{C3380CC4-5D6E-409C-BE32-E72D297353CC}">
              <c16:uniqueId val="{00000001-5731-4C3E-BB79-94980E91B75D}"/>
            </c:ext>
          </c:extLst>
        </c:ser>
        <c:dLbls>
          <c:showLegendKey val="0"/>
          <c:showVal val="0"/>
          <c:showCatName val="0"/>
          <c:showSerName val="0"/>
          <c:showPercent val="0"/>
          <c:showBubbleSize val="0"/>
        </c:dLbls>
        <c:gapWidth val="182"/>
        <c:axId val="253305472"/>
        <c:axId val="253306720"/>
      </c:barChart>
      <c:catAx>
        <c:axId val="25330547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06720"/>
        <c:crosses val="autoZero"/>
        <c:auto val="1"/>
        <c:lblAlgn val="ctr"/>
        <c:lblOffset val="100"/>
        <c:noMultiLvlLbl val="0"/>
      </c:catAx>
      <c:valAx>
        <c:axId val="25330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0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Price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'Stock Analyzer'!$T$9</c:f>
              <c:strCache>
                <c:ptCount val="1"/>
                <c:pt idx="0">
                  <c:v>Close</c:v>
                </c:pt>
              </c:strCache>
            </c:strRef>
          </c:tx>
          <c:spPr>
            <a:ln w="28575" cap="rnd">
              <a:solidFill>
                <a:schemeClr val="accent1"/>
              </a:solidFill>
              <a:round/>
            </a:ln>
            <a:effectLst/>
          </c:spPr>
          <c:marker>
            <c:symbol val="none"/>
          </c:marker>
          <c:cat>
            <c:numRef>
              <c:f>'Stock Analyzer'!$S$10:$S$109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Analyzer'!$T$10:$T$109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2600</c:v>
                </c:pt>
                <c:pt idx="96">
                  <c:v>2600</c:v>
                </c:pt>
                <c:pt idx="97">
                  <c:v>2620</c:v>
                </c:pt>
                <c:pt idx="98">
                  <c:v>2700</c:v>
                </c:pt>
                <c:pt idx="99">
                  <c:v>2700</c:v>
                </c:pt>
              </c:numCache>
            </c:numRef>
          </c:val>
          <c:smooth val="0"/>
          <c:extLst>
            <c:ext xmlns:c16="http://schemas.microsoft.com/office/drawing/2014/chart" uri="{C3380CC4-5D6E-409C-BE32-E72D297353CC}">
              <c16:uniqueId val="{00000000-0783-47C2-B116-FC18597E7921}"/>
            </c:ext>
          </c:extLst>
        </c:ser>
        <c:dLbls>
          <c:showLegendKey val="0"/>
          <c:showVal val="0"/>
          <c:showCatName val="0"/>
          <c:showSerName val="0"/>
          <c:showPercent val="0"/>
          <c:showBubbleSize val="0"/>
        </c:dLbls>
        <c:smooth val="0"/>
        <c:axId val="251003248"/>
        <c:axId val="251004496"/>
      </c:lineChart>
      <c:dateAx>
        <c:axId val="25100324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04496"/>
        <c:crosses val="autoZero"/>
        <c:auto val="1"/>
        <c:lblOffset val="100"/>
        <c:baseTimeUnit val="days"/>
      </c:dateAx>
      <c:valAx>
        <c:axId val="25100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0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Volume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col"/>
        <c:grouping val="clustered"/>
        <c:varyColors val="0"/>
        <c:ser>
          <c:idx val="0"/>
          <c:order val="0"/>
          <c:tx>
            <c:strRef>
              <c:f>'Stock Analyzer'!$W$9</c:f>
              <c:strCache>
                <c:ptCount val="1"/>
                <c:pt idx="0">
                  <c:v>Volume</c:v>
                </c:pt>
              </c:strCache>
            </c:strRef>
          </c:tx>
          <c:spPr>
            <a:solidFill>
              <a:schemeClr val="accent1"/>
            </a:solidFill>
            <a:ln>
              <a:noFill/>
            </a:ln>
            <a:effectLst/>
          </c:spPr>
          <c:invertIfNegative val="0"/>
          <c:cat>
            <c:numRef>
              <c:f>'Stock Analyzer'!$V$10:$V$109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Analyzer'!$W$10:$W$109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2869227</c:v>
                </c:pt>
                <c:pt idx="96">
                  <c:v>553818</c:v>
                </c:pt>
                <c:pt idx="97">
                  <c:v>340739</c:v>
                </c:pt>
                <c:pt idx="98">
                  <c:v>299605</c:v>
                </c:pt>
                <c:pt idx="99">
                  <c:v>390325</c:v>
                </c:pt>
              </c:numCache>
            </c:numRef>
          </c:val>
          <c:extLst>
            <c:ext xmlns:c16="http://schemas.microsoft.com/office/drawing/2014/chart" uri="{C3380CC4-5D6E-409C-BE32-E72D297353CC}">
              <c16:uniqueId val="{00000000-1EBA-4DE9-A561-5AE2ABB260D3}"/>
            </c:ext>
          </c:extLst>
        </c:ser>
        <c:dLbls>
          <c:showLegendKey val="0"/>
          <c:showVal val="0"/>
          <c:showCatName val="0"/>
          <c:showSerName val="0"/>
          <c:showPercent val="0"/>
          <c:showBubbleSize val="0"/>
        </c:dLbls>
        <c:gapWidth val="219"/>
        <c:overlap val="-27"/>
        <c:axId val="371033776"/>
        <c:axId val="371026704"/>
      </c:barChart>
      <c:dateAx>
        <c:axId val="371033776"/>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26704"/>
        <c:crosses val="autoZero"/>
        <c:auto val="1"/>
        <c:lblOffset val="100"/>
        <c:baseTimeUnit val="days"/>
      </c:dateAx>
      <c:valAx>
        <c:axId val="37102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Turnover History (TZS)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col"/>
        <c:grouping val="clustered"/>
        <c:varyColors val="0"/>
        <c:ser>
          <c:idx val="0"/>
          <c:order val="0"/>
          <c:tx>
            <c:strRef>
              <c:f>'Stock Analyzer'!$Z$9</c:f>
              <c:strCache>
                <c:ptCount val="1"/>
                <c:pt idx="0">
                  <c:v>Turnover TZS</c:v>
                </c:pt>
              </c:strCache>
            </c:strRef>
          </c:tx>
          <c:spPr>
            <a:solidFill>
              <a:schemeClr val="accent1"/>
            </a:solidFill>
            <a:ln>
              <a:noFill/>
            </a:ln>
            <a:effectLst/>
          </c:spPr>
          <c:invertIfNegative val="0"/>
          <c:cat>
            <c:numRef>
              <c:f>'Stock Analyzer'!$Y$10:$Y$109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Analyzer'!$Z$10:$Z$109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7453641800</c:v>
                </c:pt>
                <c:pt idx="96">
                  <c:v>1442616130</c:v>
                </c:pt>
                <c:pt idx="97">
                  <c:v>894277490</c:v>
                </c:pt>
                <c:pt idx="98">
                  <c:v>807856780</c:v>
                </c:pt>
                <c:pt idx="99">
                  <c:v>1052659120</c:v>
                </c:pt>
              </c:numCache>
            </c:numRef>
          </c:val>
          <c:extLst>
            <c:ext xmlns:c16="http://schemas.microsoft.com/office/drawing/2014/chart" uri="{C3380CC4-5D6E-409C-BE32-E72D297353CC}">
              <c16:uniqueId val="{00000000-3E5C-40F3-91AE-32344A914FA5}"/>
            </c:ext>
          </c:extLst>
        </c:ser>
        <c:dLbls>
          <c:showLegendKey val="0"/>
          <c:showVal val="0"/>
          <c:showCatName val="0"/>
          <c:showSerName val="0"/>
          <c:showPercent val="0"/>
          <c:showBubbleSize val="0"/>
        </c:dLbls>
        <c:gapWidth val="219"/>
        <c:overlap val="-27"/>
        <c:axId val="255388224"/>
        <c:axId val="255388640"/>
      </c:barChart>
      <c:dateAx>
        <c:axId val="25538822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388640"/>
        <c:crosses val="autoZero"/>
        <c:auto val="1"/>
        <c:lblOffset val="100"/>
        <c:baseTimeUnit val="days"/>
      </c:dateAx>
      <c:valAx>
        <c:axId val="25538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38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Outstanding Bid vs Offer Quantity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'Stock Analyzer'!$AC$9</c:f>
              <c:strCache>
                <c:ptCount val="1"/>
                <c:pt idx="0">
                  <c:v>Outstanding Bid Qty</c:v>
                </c:pt>
              </c:strCache>
            </c:strRef>
          </c:tx>
          <c:spPr>
            <a:ln w="28575" cap="rnd">
              <a:solidFill>
                <a:schemeClr val="accent1"/>
              </a:solidFill>
              <a:round/>
            </a:ln>
            <a:effectLst/>
          </c:spPr>
          <c:marker>
            <c:symbol val="none"/>
          </c:marker>
          <c:cat>
            <c:numRef>
              <c:f>'Stock Analyzer'!$AB$10:$AB$109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Analyzer'!$AC$10:$AC$109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129405</c:v>
                </c:pt>
                <c:pt idx="96">
                  <c:v>435736</c:v>
                </c:pt>
                <c:pt idx="97">
                  <c:v>431200</c:v>
                </c:pt>
                <c:pt idx="98">
                  <c:v>462792</c:v>
                </c:pt>
                <c:pt idx="99">
                  <c:v>332026</c:v>
                </c:pt>
              </c:numCache>
            </c:numRef>
          </c:val>
          <c:smooth val="0"/>
          <c:extLst>
            <c:ext xmlns:c16="http://schemas.microsoft.com/office/drawing/2014/chart" uri="{C3380CC4-5D6E-409C-BE32-E72D297353CC}">
              <c16:uniqueId val="{00000000-9D76-4C53-B34A-1874A033E0E0}"/>
            </c:ext>
          </c:extLst>
        </c:ser>
        <c:ser>
          <c:idx val="1"/>
          <c:order val="1"/>
          <c:tx>
            <c:strRef>
              <c:f>'Stock Analyzer'!$AD$9</c:f>
              <c:strCache>
                <c:ptCount val="1"/>
                <c:pt idx="0">
                  <c:v>Outstanding Offer Qty</c:v>
                </c:pt>
              </c:strCache>
            </c:strRef>
          </c:tx>
          <c:spPr>
            <a:ln w="28575" cap="rnd">
              <a:solidFill>
                <a:schemeClr val="accent2"/>
              </a:solidFill>
              <a:round/>
            </a:ln>
            <a:effectLst/>
          </c:spPr>
          <c:marker>
            <c:symbol val="none"/>
          </c:marker>
          <c:cat>
            <c:numRef>
              <c:f>'Stock Analyzer'!$AB$10:$AB$109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Analyzer'!$AD$10:$AD$109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58236</c:v>
                </c:pt>
                <c:pt idx="96">
                  <c:v>138838</c:v>
                </c:pt>
                <c:pt idx="97">
                  <c:v>35034</c:v>
                </c:pt>
                <c:pt idx="98">
                  <c:v>85287</c:v>
                </c:pt>
                <c:pt idx="99">
                  <c:v>68633</c:v>
                </c:pt>
              </c:numCache>
            </c:numRef>
          </c:val>
          <c:smooth val="0"/>
          <c:extLst>
            <c:ext xmlns:c16="http://schemas.microsoft.com/office/drawing/2014/chart" uri="{C3380CC4-5D6E-409C-BE32-E72D297353CC}">
              <c16:uniqueId val="{00000001-9D76-4C53-B34A-1874A033E0E0}"/>
            </c:ext>
          </c:extLst>
        </c:ser>
        <c:dLbls>
          <c:showLegendKey val="0"/>
          <c:showVal val="0"/>
          <c:showCatName val="0"/>
          <c:showSerName val="0"/>
          <c:showPercent val="0"/>
          <c:showBubbleSize val="0"/>
        </c:dLbls>
        <c:smooth val="0"/>
        <c:axId val="425810496"/>
        <c:axId val="425810912"/>
      </c:lineChart>
      <c:dateAx>
        <c:axId val="425810496"/>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10912"/>
        <c:crosses val="autoZero"/>
        <c:auto val="1"/>
        <c:lblOffset val="100"/>
        <c:baseTimeUnit val="days"/>
      </c:dateAx>
      <c:valAx>
        <c:axId val="42581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10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B/O Ratio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'Stock Analyzer'!$AG$9</c:f>
              <c:strCache>
                <c:ptCount val="1"/>
                <c:pt idx="0">
                  <c:v>B/O Ratio</c:v>
                </c:pt>
              </c:strCache>
            </c:strRef>
          </c:tx>
          <c:spPr>
            <a:ln w="28575" cap="rnd">
              <a:solidFill>
                <a:schemeClr val="accent1"/>
              </a:solidFill>
              <a:round/>
            </a:ln>
            <a:effectLst/>
          </c:spPr>
          <c:marker>
            <c:symbol val="none"/>
          </c:marker>
          <c:cat>
            <c:numRef>
              <c:f>'Stock Analyzer'!$AF$10:$AF$109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Analyzer'!$AG$10:$AG$109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2.2220791263136204</c:v>
                </c:pt>
                <c:pt idx="96">
                  <c:v>3.1384491277604116</c:v>
                </c:pt>
                <c:pt idx="97">
                  <c:v>12.308043614774219</c:v>
                </c:pt>
                <c:pt idx="98">
                  <c:v>5.4262900559288054</c:v>
                </c:pt>
                <c:pt idx="99">
                  <c:v>4.8377019800970382</c:v>
                </c:pt>
              </c:numCache>
            </c:numRef>
          </c:val>
          <c:smooth val="0"/>
          <c:extLst>
            <c:ext xmlns:c16="http://schemas.microsoft.com/office/drawing/2014/chart" uri="{C3380CC4-5D6E-409C-BE32-E72D297353CC}">
              <c16:uniqueId val="{00000000-EE26-4100-BD5C-F250197290D9}"/>
            </c:ext>
          </c:extLst>
        </c:ser>
        <c:dLbls>
          <c:showLegendKey val="0"/>
          <c:showVal val="0"/>
          <c:showCatName val="0"/>
          <c:showSerName val="0"/>
          <c:showPercent val="0"/>
          <c:showBubbleSize val="0"/>
        </c:dLbls>
        <c:smooth val="0"/>
        <c:axId val="181643632"/>
        <c:axId val="369002880"/>
      </c:lineChart>
      <c:dateAx>
        <c:axId val="181643632"/>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02880"/>
        <c:crosses val="autoZero"/>
        <c:auto val="1"/>
        <c:lblOffset val="100"/>
        <c:baseTimeUnit val="days"/>
      </c:dateAx>
      <c:valAx>
        <c:axId val="36900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Market Pressure Score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'Stock Analyzer'!$AJ$9</c:f>
              <c:strCache>
                <c:ptCount val="1"/>
                <c:pt idx="0">
                  <c:v>Market Pressure Score</c:v>
                </c:pt>
              </c:strCache>
            </c:strRef>
          </c:tx>
          <c:spPr>
            <a:ln w="28575" cap="rnd">
              <a:solidFill>
                <a:schemeClr val="accent1"/>
              </a:solidFill>
              <a:round/>
            </a:ln>
            <a:effectLst/>
          </c:spPr>
          <c:marker>
            <c:symbol val="none"/>
          </c:marker>
          <c:cat>
            <c:numRef>
              <c:f>'Stock Analyzer'!$AI$10:$AI$109</c:f>
              <c:numCache>
                <c:formatCode>yyyy\-mm\-dd</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46244</c:v>
                </c:pt>
                <c:pt idx="96">
                  <c:v>46245</c:v>
                </c:pt>
                <c:pt idx="97">
                  <c:v>46246</c:v>
                </c:pt>
                <c:pt idx="98">
                  <c:v>46247</c:v>
                </c:pt>
                <c:pt idx="99">
                  <c:v>46248</c:v>
                </c:pt>
              </c:numCache>
            </c:numRef>
          </c:cat>
          <c:val>
            <c:numRef>
              <c:f>'Stock Analyzer'!$AJ$10:$AJ$109</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61.8</c:v>
                </c:pt>
                <c:pt idx="96">
                  <c:v>67.599999999999994</c:v>
                </c:pt>
                <c:pt idx="97">
                  <c:v>72</c:v>
                </c:pt>
                <c:pt idx="98">
                  <c:v>75</c:v>
                </c:pt>
                <c:pt idx="99">
                  <c:v>70.599999999999994</c:v>
                </c:pt>
              </c:numCache>
            </c:numRef>
          </c:val>
          <c:smooth val="0"/>
          <c:extLst>
            <c:ext xmlns:c16="http://schemas.microsoft.com/office/drawing/2014/chart" uri="{C3380CC4-5D6E-409C-BE32-E72D297353CC}">
              <c16:uniqueId val="{00000000-F796-47B3-95E0-AD641F4B3F96}"/>
            </c:ext>
          </c:extLst>
        </c:ser>
        <c:dLbls>
          <c:showLegendKey val="0"/>
          <c:showVal val="0"/>
          <c:showCatName val="0"/>
          <c:showSerName val="0"/>
          <c:showPercent val="0"/>
          <c:showBubbleSize val="0"/>
        </c:dLbls>
        <c:smooth val="0"/>
        <c:axId val="363086800"/>
        <c:axId val="363088464"/>
      </c:lineChart>
      <c:dateAx>
        <c:axId val="363086800"/>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088464"/>
        <c:crosses val="autoZero"/>
        <c:auto val="1"/>
        <c:lblOffset val="100"/>
        <c:baseTimeUnit val="days"/>
      </c:dateAx>
      <c:valAx>
        <c:axId val="36308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086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B/O Momentum %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'Stock Analyzer'!$AM$9:$AM$89</c:f>
              <c:strCache>
                <c:ptCount val="81"/>
                <c:pt idx="0">
                  <c:v>B/O Momentum %</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strCache>
            </c:strRef>
          </c:tx>
          <c:spPr>
            <a:ln w="28575" cap="rnd">
              <a:solidFill>
                <a:schemeClr val="accent1"/>
              </a:solidFill>
              <a:round/>
            </a:ln>
            <a:effectLst/>
          </c:spPr>
          <c:marker>
            <c:symbol val="none"/>
          </c:marker>
          <c:cat>
            <c:numRef>
              <c:f>'Stock Analyzer'!$AL$90:$AL$109</c:f>
              <c:numCache>
                <c:formatCode>yyyy\-mm\-dd</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46244</c:v>
                </c:pt>
                <c:pt idx="16">
                  <c:v>46245</c:v>
                </c:pt>
                <c:pt idx="17">
                  <c:v>46246</c:v>
                </c:pt>
                <c:pt idx="18">
                  <c:v>46247</c:v>
                </c:pt>
                <c:pt idx="19">
                  <c:v>46248</c:v>
                </c:pt>
              </c:numCache>
            </c:numRef>
          </c:cat>
          <c:val>
            <c:numRef>
              <c:f>'Stock Analyzer'!$AM$90:$AM$109</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0</c:v>
                </c:pt>
                <c:pt idx="16">
                  <c:v>0</c:v>
                </c:pt>
                <c:pt idx="17">
                  <c:v>0</c:v>
                </c:pt>
                <c:pt idx="18">
                  <c:v>0</c:v>
                </c:pt>
                <c:pt idx="19">
                  <c:v>0</c:v>
                </c:pt>
              </c:numCache>
            </c:numRef>
          </c:val>
          <c:smooth val="0"/>
          <c:extLst>
            <c:ext xmlns:c16="http://schemas.microsoft.com/office/drawing/2014/chart" uri="{C3380CC4-5D6E-409C-BE32-E72D297353CC}">
              <c16:uniqueId val="{00000000-7727-4EC3-81F3-E49725BDDD99}"/>
            </c:ext>
          </c:extLst>
        </c:ser>
        <c:dLbls>
          <c:showLegendKey val="0"/>
          <c:showVal val="0"/>
          <c:showCatName val="0"/>
          <c:showSerName val="0"/>
          <c:showPercent val="0"/>
          <c:showBubbleSize val="0"/>
        </c:dLbls>
        <c:smooth val="0"/>
        <c:axId val="423864528"/>
        <c:axId val="423860368"/>
      </c:lineChart>
      <c:dateAx>
        <c:axId val="42386452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60368"/>
        <c:crosses val="autoZero"/>
        <c:auto val="1"/>
        <c:lblOffset val="100"/>
        <c:baseTimeUnit val="days"/>
      </c:dateAx>
      <c:valAx>
        <c:axId val="42386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64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Rebased Price Index (100 = first observation in window)</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Compare!$I$27</c:f>
              <c:strCache>
                <c:ptCount val="1"/>
                <c:pt idx="0">
                  <c:v>CRDB</c:v>
                </c:pt>
              </c:strCache>
            </c:strRef>
          </c:tx>
          <c:spPr>
            <a:ln w="28575" cap="rnd">
              <a:solidFill>
                <a:schemeClr val="accent1"/>
              </a:solidFill>
              <a:round/>
            </a:ln>
            <a:effectLst/>
          </c:spPr>
          <c:marker>
            <c:symbol val="none"/>
          </c:marker>
          <c:cat>
            <c:numRef>
              <c:f>Compare!$H$28:$H$57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Compare!$I$28:$I$57</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100</c:v>
                </c:pt>
                <c:pt idx="26">
                  <c:v>100</c:v>
                </c:pt>
                <c:pt idx="27">
                  <c:v>100.76923076923077</c:v>
                </c:pt>
                <c:pt idx="28">
                  <c:v>103.84615384615385</c:v>
                </c:pt>
                <c:pt idx="29">
                  <c:v>103.84615384615385</c:v>
                </c:pt>
              </c:numCache>
            </c:numRef>
          </c:val>
          <c:smooth val="0"/>
          <c:extLst>
            <c:ext xmlns:c16="http://schemas.microsoft.com/office/drawing/2014/chart" uri="{C3380CC4-5D6E-409C-BE32-E72D297353CC}">
              <c16:uniqueId val="{00000000-4F72-4529-8006-FC9B045435CF}"/>
            </c:ext>
          </c:extLst>
        </c:ser>
        <c:ser>
          <c:idx val="1"/>
          <c:order val="1"/>
          <c:tx>
            <c:strRef>
              <c:f>Compare!$J$27</c:f>
              <c:strCache>
                <c:ptCount val="1"/>
                <c:pt idx="0">
                  <c:v>NMB</c:v>
                </c:pt>
              </c:strCache>
            </c:strRef>
          </c:tx>
          <c:spPr>
            <a:ln w="28575" cap="rnd">
              <a:solidFill>
                <a:schemeClr val="accent2"/>
              </a:solidFill>
              <a:round/>
            </a:ln>
            <a:effectLst/>
          </c:spPr>
          <c:marker>
            <c:symbol val="none"/>
          </c:marker>
          <c:cat>
            <c:numRef>
              <c:f>Compare!$H$28:$H$57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Compare!$J$28:$J$57</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100</c:v>
                </c:pt>
                <c:pt idx="26">
                  <c:v>100</c:v>
                </c:pt>
                <c:pt idx="27">
                  <c:v>100</c:v>
                </c:pt>
                <c:pt idx="28">
                  <c:v>100.28409090909092</c:v>
                </c:pt>
                <c:pt idx="29">
                  <c:v>100.56818181818181</c:v>
                </c:pt>
              </c:numCache>
            </c:numRef>
          </c:val>
          <c:smooth val="0"/>
          <c:extLst>
            <c:ext xmlns:c16="http://schemas.microsoft.com/office/drawing/2014/chart" uri="{C3380CC4-5D6E-409C-BE32-E72D297353CC}">
              <c16:uniqueId val="{00000001-4F72-4529-8006-FC9B045435CF}"/>
            </c:ext>
          </c:extLst>
        </c:ser>
        <c:dLbls>
          <c:showLegendKey val="0"/>
          <c:showVal val="0"/>
          <c:showCatName val="0"/>
          <c:showSerName val="0"/>
          <c:showPercent val="0"/>
          <c:showBubbleSize val="0"/>
        </c:dLbls>
        <c:smooth val="0"/>
        <c:axId val="428084512"/>
        <c:axId val="428084096"/>
      </c:lineChart>
      <c:dateAx>
        <c:axId val="428084512"/>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4096"/>
        <c:crosses val="autoZero"/>
        <c:auto val="1"/>
        <c:lblOffset val="100"/>
        <c:baseTimeUnit val="days"/>
      </c:dateAx>
      <c:valAx>
        <c:axId val="428084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Volume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Compare!$M$27</c:f>
              <c:strCache>
                <c:ptCount val="1"/>
                <c:pt idx="0">
                  <c:v>CRDB</c:v>
                </c:pt>
              </c:strCache>
            </c:strRef>
          </c:tx>
          <c:spPr>
            <a:ln w="28575" cap="rnd">
              <a:solidFill>
                <a:schemeClr val="accent1"/>
              </a:solidFill>
              <a:round/>
            </a:ln>
            <a:effectLst/>
          </c:spPr>
          <c:marker>
            <c:symbol val="none"/>
          </c:marker>
          <c:cat>
            <c:numRef>
              <c:f>Compare!$L$28:$L$57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Compare!$M$28:$M$57</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2869227</c:v>
                </c:pt>
                <c:pt idx="26">
                  <c:v>553818</c:v>
                </c:pt>
                <c:pt idx="27">
                  <c:v>340739</c:v>
                </c:pt>
                <c:pt idx="28">
                  <c:v>299605</c:v>
                </c:pt>
                <c:pt idx="29">
                  <c:v>390325</c:v>
                </c:pt>
              </c:numCache>
            </c:numRef>
          </c:val>
          <c:smooth val="0"/>
          <c:extLst>
            <c:ext xmlns:c16="http://schemas.microsoft.com/office/drawing/2014/chart" uri="{C3380CC4-5D6E-409C-BE32-E72D297353CC}">
              <c16:uniqueId val="{00000000-0A87-413A-A45B-34C9AF3F46CE}"/>
            </c:ext>
          </c:extLst>
        </c:ser>
        <c:ser>
          <c:idx val="1"/>
          <c:order val="1"/>
          <c:tx>
            <c:strRef>
              <c:f>Compare!$N$27</c:f>
              <c:strCache>
                <c:ptCount val="1"/>
                <c:pt idx="0">
                  <c:v>NMB</c:v>
                </c:pt>
              </c:strCache>
            </c:strRef>
          </c:tx>
          <c:spPr>
            <a:ln w="28575" cap="rnd">
              <a:solidFill>
                <a:schemeClr val="accent2"/>
              </a:solidFill>
              <a:round/>
            </a:ln>
            <a:effectLst/>
          </c:spPr>
          <c:marker>
            <c:symbol val="none"/>
          </c:marker>
          <c:cat>
            <c:numRef>
              <c:f>Compare!$L$28:$L$57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Compare!$N$28:$N$57</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95563</c:v>
                </c:pt>
                <c:pt idx="26">
                  <c:v>115239</c:v>
                </c:pt>
                <c:pt idx="27">
                  <c:v>199132</c:v>
                </c:pt>
                <c:pt idx="28">
                  <c:v>159601</c:v>
                </c:pt>
                <c:pt idx="29">
                  <c:v>202667</c:v>
                </c:pt>
              </c:numCache>
            </c:numRef>
          </c:val>
          <c:smooth val="0"/>
          <c:extLst>
            <c:ext xmlns:c16="http://schemas.microsoft.com/office/drawing/2014/chart" uri="{C3380CC4-5D6E-409C-BE32-E72D297353CC}">
              <c16:uniqueId val="{00000001-0A87-413A-A45B-34C9AF3F46CE}"/>
            </c:ext>
          </c:extLst>
        </c:ser>
        <c:dLbls>
          <c:showLegendKey val="0"/>
          <c:showVal val="0"/>
          <c:showCatName val="0"/>
          <c:showSerName val="0"/>
          <c:showPercent val="0"/>
          <c:showBubbleSize val="0"/>
        </c:dLbls>
        <c:smooth val="0"/>
        <c:axId val="428084928"/>
        <c:axId val="428081600"/>
      </c:lineChart>
      <c:dateAx>
        <c:axId val="42808492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1600"/>
        <c:crosses val="autoZero"/>
        <c:auto val="1"/>
        <c:lblOffset val="100"/>
        <c:baseTimeUnit val="days"/>
      </c:dateAx>
      <c:valAx>
        <c:axId val="42808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B/O Ratio</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Compare!$Q$27</c:f>
              <c:strCache>
                <c:ptCount val="1"/>
                <c:pt idx="0">
                  <c:v>CRDB</c:v>
                </c:pt>
              </c:strCache>
            </c:strRef>
          </c:tx>
          <c:spPr>
            <a:ln w="28575" cap="rnd">
              <a:solidFill>
                <a:schemeClr val="accent1"/>
              </a:solidFill>
              <a:round/>
            </a:ln>
            <a:effectLst/>
          </c:spPr>
          <c:marker>
            <c:symbol val="none"/>
          </c:marker>
          <c:cat>
            <c:numRef>
              <c:f>Compare!$P$28:$P$57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Compare!$Q$28:$Q$57</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2.2220791263136204</c:v>
                </c:pt>
                <c:pt idx="26">
                  <c:v>3.1384491277604116</c:v>
                </c:pt>
                <c:pt idx="27">
                  <c:v>12.308043614774219</c:v>
                </c:pt>
                <c:pt idx="28">
                  <c:v>5.4262900559288054</c:v>
                </c:pt>
                <c:pt idx="29">
                  <c:v>4.8377019800970382</c:v>
                </c:pt>
              </c:numCache>
            </c:numRef>
          </c:val>
          <c:smooth val="0"/>
          <c:extLst>
            <c:ext xmlns:c16="http://schemas.microsoft.com/office/drawing/2014/chart" uri="{C3380CC4-5D6E-409C-BE32-E72D297353CC}">
              <c16:uniqueId val="{00000000-1BEE-4B7D-B970-947E04AA10D6}"/>
            </c:ext>
          </c:extLst>
        </c:ser>
        <c:ser>
          <c:idx val="1"/>
          <c:order val="1"/>
          <c:tx>
            <c:strRef>
              <c:f>Compare!$R$27</c:f>
              <c:strCache>
                <c:ptCount val="1"/>
                <c:pt idx="0">
                  <c:v>NMB</c:v>
                </c:pt>
              </c:strCache>
            </c:strRef>
          </c:tx>
          <c:spPr>
            <a:ln w="28575" cap="rnd">
              <a:solidFill>
                <a:schemeClr val="accent2"/>
              </a:solidFill>
              <a:round/>
            </a:ln>
            <a:effectLst/>
          </c:spPr>
          <c:marker>
            <c:symbol val="none"/>
          </c:marker>
          <c:cat>
            <c:numRef>
              <c:f>Compare!$P$28:$P$57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Compare!$R$28:$R$57</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0.60157104504325343</c:v>
                </c:pt>
                <c:pt idx="26">
                  <c:v>0.19549876678542066</c:v>
                </c:pt>
                <c:pt idx="27">
                  <c:v>3.655097298867267</c:v>
                </c:pt>
                <c:pt idx="28">
                  <c:v>1.068073047858942</c:v>
                </c:pt>
                <c:pt idx="29">
                  <c:v>293.21457489878543</c:v>
                </c:pt>
              </c:numCache>
            </c:numRef>
          </c:val>
          <c:smooth val="0"/>
          <c:extLst>
            <c:ext xmlns:c16="http://schemas.microsoft.com/office/drawing/2014/chart" uri="{C3380CC4-5D6E-409C-BE32-E72D297353CC}">
              <c16:uniqueId val="{00000001-1BEE-4B7D-B970-947E04AA10D6}"/>
            </c:ext>
          </c:extLst>
        </c:ser>
        <c:dLbls>
          <c:showLegendKey val="0"/>
          <c:showVal val="0"/>
          <c:showCatName val="0"/>
          <c:showSerName val="0"/>
          <c:showPercent val="0"/>
          <c:showBubbleSize val="0"/>
        </c:dLbls>
        <c:smooth val="0"/>
        <c:axId val="428083264"/>
        <c:axId val="428082432"/>
      </c:lineChart>
      <c:dateAx>
        <c:axId val="42808326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2432"/>
        <c:crosses val="autoZero"/>
        <c:auto val="1"/>
        <c:lblOffset val="100"/>
        <c:baseTimeUnit val="days"/>
      </c:dateAx>
      <c:valAx>
        <c:axId val="42808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Market Pressure Score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Compare!$U$27</c:f>
              <c:strCache>
                <c:ptCount val="1"/>
                <c:pt idx="0">
                  <c:v>CRDB</c:v>
                </c:pt>
              </c:strCache>
            </c:strRef>
          </c:tx>
          <c:spPr>
            <a:ln w="28575" cap="rnd">
              <a:solidFill>
                <a:schemeClr val="accent1"/>
              </a:solidFill>
              <a:round/>
            </a:ln>
            <a:effectLst/>
          </c:spPr>
          <c:marker>
            <c:symbol val="none"/>
          </c:marker>
          <c:cat>
            <c:numRef>
              <c:f>Compare!$T$28:$T$57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Compare!$U$28:$U$57</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61.8</c:v>
                </c:pt>
                <c:pt idx="26">
                  <c:v>67.599999999999994</c:v>
                </c:pt>
                <c:pt idx="27">
                  <c:v>72</c:v>
                </c:pt>
                <c:pt idx="28">
                  <c:v>75</c:v>
                </c:pt>
                <c:pt idx="29">
                  <c:v>70.599999999999994</c:v>
                </c:pt>
              </c:numCache>
            </c:numRef>
          </c:val>
          <c:smooth val="0"/>
          <c:extLst>
            <c:ext xmlns:c16="http://schemas.microsoft.com/office/drawing/2014/chart" uri="{C3380CC4-5D6E-409C-BE32-E72D297353CC}">
              <c16:uniqueId val="{00000000-3729-4C54-83CB-95EBDB2D2776}"/>
            </c:ext>
          </c:extLst>
        </c:ser>
        <c:ser>
          <c:idx val="1"/>
          <c:order val="1"/>
          <c:tx>
            <c:strRef>
              <c:f>Compare!$V$27</c:f>
              <c:strCache>
                <c:ptCount val="1"/>
                <c:pt idx="0">
                  <c:v>NMB</c:v>
                </c:pt>
              </c:strCache>
            </c:strRef>
          </c:tx>
          <c:spPr>
            <a:ln w="28575" cap="rnd">
              <a:solidFill>
                <a:schemeClr val="accent2"/>
              </a:solidFill>
              <a:round/>
            </a:ln>
            <a:effectLst/>
          </c:spPr>
          <c:marker>
            <c:symbol val="none"/>
          </c:marker>
          <c:cat>
            <c:numRef>
              <c:f>Compare!$T$28:$T$57</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Compare!$V$28:$V$57</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43</c:v>
                </c:pt>
                <c:pt idx="26">
                  <c:v>30.3</c:v>
                </c:pt>
                <c:pt idx="27">
                  <c:v>68.099999999999994</c:v>
                </c:pt>
                <c:pt idx="28">
                  <c:v>51.3</c:v>
                </c:pt>
                <c:pt idx="29">
                  <c:v>70.900000000000006</c:v>
                </c:pt>
              </c:numCache>
            </c:numRef>
          </c:val>
          <c:smooth val="0"/>
          <c:extLst>
            <c:ext xmlns:c16="http://schemas.microsoft.com/office/drawing/2014/chart" uri="{C3380CC4-5D6E-409C-BE32-E72D297353CC}">
              <c16:uniqueId val="{00000001-3729-4C54-83CB-95EBDB2D2776}"/>
            </c:ext>
          </c:extLst>
        </c:ser>
        <c:dLbls>
          <c:showLegendKey val="0"/>
          <c:showVal val="0"/>
          <c:showCatName val="0"/>
          <c:showSerName val="0"/>
          <c:showPercent val="0"/>
          <c:showBubbleSize val="0"/>
        </c:dLbls>
        <c:smooth val="0"/>
        <c:axId val="428082848"/>
        <c:axId val="426795824"/>
      </c:lineChart>
      <c:dateAx>
        <c:axId val="42808284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95824"/>
        <c:crosses val="autoZero"/>
        <c:auto val="1"/>
        <c:lblOffset val="100"/>
        <c:baseTimeUnit val="days"/>
      </c:dateAx>
      <c:valAx>
        <c:axId val="42679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8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Daily Turnover in Selected Month (TZS)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col"/>
        <c:grouping val="clustered"/>
        <c:varyColors val="0"/>
        <c:ser>
          <c:idx val="0"/>
          <c:order val="0"/>
          <c:tx>
            <c:strRef>
              <c:f>'Monthly Report'!$P$29</c:f>
              <c:strCache>
                <c:ptCount val="1"/>
                <c:pt idx="0">
                  <c:v>Turnover (TZS)</c:v>
                </c:pt>
              </c:strCache>
            </c:strRef>
          </c:tx>
          <c:spPr>
            <a:solidFill>
              <a:schemeClr val="accent1"/>
            </a:solidFill>
            <a:ln>
              <a:noFill/>
            </a:ln>
            <a:effectLst/>
          </c:spPr>
          <c:invertIfNegative val="0"/>
          <c:cat>
            <c:numRef>
              <c:f>'Monthly Report'!$O$30:$O$60</c:f>
              <c:numCache>
                <c:formatCode>yyyy\-mm\-dd</c:formatCode>
                <c:ptCount val="31"/>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numCache>
            </c:numRef>
          </c:cat>
          <c:val>
            <c:numRef>
              <c:f>'Monthly Report'!$P$30:$P$60</c:f>
              <c:numCache>
                <c:formatCode>General</c:formatCode>
                <c:ptCount val="31"/>
                <c:pt idx="0">
                  <c:v>#N/A</c:v>
                </c:pt>
                <c:pt idx="1">
                  <c:v>#N/A</c:v>
                </c:pt>
                <c:pt idx="2">
                  <c:v>#N/A</c:v>
                </c:pt>
                <c:pt idx="3">
                  <c:v>#N/A</c:v>
                </c:pt>
                <c:pt idx="4">
                  <c:v>#N/A</c:v>
                </c:pt>
                <c:pt idx="5">
                  <c:v>#N/A</c:v>
                </c:pt>
                <c:pt idx="6">
                  <c:v>#N/A</c:v>
                </c:pt>
                <c:pt idx="7">
                  <c:v>#N/A</c:v>
                </c:pt>
                <c:pt idx="8">
                  <c:v>#N/A</c:v>
                </c:pt>
                <c:pt idx="9">
                  <c:v>9746556990</c:v>
                </c:pt>
                <c:pt idx="10">
                  <c:v>4102000500</c:v>
                </c:pt>
                <c:pt idx="11">
                  <c:v>4857384595</c:v>
                </c:pt>
                <c:pt idx="12">
                  <c:v>4320179065</c:v>
                </c:pt>
                <c:pt idx="13">
                  <c:v>7277674125</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0-F22B-4BF2-A2BF-A8A2238BB02E}"/>
            </c:ext>
          </c:extLst>
        </c:ser>
        <c:dLbls>
          <c:showLegendKey val="0"/>
          <c:showVal val="0"/>
          <c:showCatName val="0"/>
          <c:showSerName val="0"/>
          <c:showPercent val="0"/>
          <c:showBubbleSize val="0"/>
        </c:dLbls>
        <c:gapWidth val="219"/>
        <c:overlap val="-27"/>
        <c:axId val="423864944"/>
        <c:axId val="423863696"/>
      </c:barChart>
      <c:dateAx>
        <c:axId val="42386494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63696"/>
        <c:crosses val="autoZero"/>
        <c:auto val="1"/>
        <c:lblOffset val="100"/>
        <c:baseTimeUnit val="days"/>
      </c:dateAx>
      <c:valAx>
        <c:axId val="42386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6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Top 10 Counters by Monthly Turnover (TZS)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bar"/>
        <c:grouping val="clustered"/>
        <c:varyColors val="0"/>
        <c:ser>
          <c:idx val="0"/>
          <c:order val="0"/>
          <c:tx>
            <c:strRef>
              <c:f>'Monthly Report'!$T$29</c:f>
              <c:strCache>
                <c:ptCount val="1"/>
                <c:pt idx="0">
                  <c:v>Turnover (TZS)</c:v>
                </c:pt>
              </c:strCache>
            </c:strRef>
          </c:tx>
          <c:spPr>
            <a:solidFill>
              <a:schemeClr val="accent1"/>
            </a:solidFill>
            <a:ln>
              <a:noFill/>
            </a:ln>
            <a:effectLst/>
          </c:spPr>
          <c:invertIfNegative val="0"/>
          <c:cat>
            <c:strRef>
              <c:f>'Monthly Report'!$S$30:$S$39</c:f>
              <c:strCache>
                <c:ptCount val="10"/>
                <c:pt idx="0">
                  <c:v>NMB</c:v>
                </c:pt>
                <c:pt idx="1">
                  <c:v>CRDB</c:v>
                </c:pt>
                <c:pt idx="2">
                  <c:v>TPCC</c:v>
                </c:pt>
                <c:pt idx="3">
                  <c:v>VODA</c:v>
                </c:pt>
                <c:pt idx="4">
                  <c:v>TCCL</c:v>
                </c:pt>
                <c:pt idx="5">
                  <c:v>MCB</c:v>
                </c:pt>
                <c:pt idx="6">
                  <c:v>KCB</c:v>
                </c:pt>
                <c:pt idx="7">
                  <c:v>NICO</c:v>
                </c:pt>
                <c:pt idx="8">
                  <c:v>AFRIPRISE</c:v>
                </c:pt>
                <c:pt idx="9">
                  <c:v>IEACLC-ETF</c:v>
                </c:pt>
              </c:strCache>
            </c:strRef>
          </c:cat>
          <c:val>
            <c:numRef>
              <c:f>'Monthly Report'!$T$30:$T$39</c:f>
              <c:numCache>
                <c:formatCode>General</c:formatCode>
                <c:ptCount val="10"/>
                <c:pt idx="0">
                  <c:v>13611779350</c:v>
                </c:pt>
                <c:pt idx="1">
                  <c:v>11651051320</c:v>
                </c:pt>
                <c:pt idx="2">
                  <c:v>1537428110</c:v>
                </c:pt>
                <c:pt idx="3">
                  <c:v>765694410</c:v>
                </c:pt>
                <c:pt idx="4">
                  <c:v>713928490</c:v>
                </c:pt>
                <c:pt idx="5">
                  <c:v>545083750</c:v>
                </c:pt>
                <c:pt idx="6">
                  <c:v>284359020</c:v>
                </c:pt>
                <c:pt idx="7">
                  <c:v>274307070</c:v>
                </c:pt>
                <c:pt idx="8">
                  <c:v>216141040</c:v>
                </c:pt>
                <c:pt idx="9">
                  <c:v>204044380</c:v>
                </c:pt>
              </c:numCache>
            </c:numRef>
          </c:val>
          <c:extLst>
            <c:ext xmlns:c16="http://schemas.microsoft.com/office/drawing/2014/chart" uri="{C3380CC4-5D6E-409C-BE32-E72D297353CC}">
              <c16:uniqueId val="{00000000-B98A-4C0B-AF0D-7B1AB88C2C1D}"/>
            </c:ext>
          </c:extLst>
        </c:ser>
        <c:dLbls>
          <c:showLegendKey val="0"/>
          <c:showVal val="0"/>
          <c:showCatName val="0"/>
          <c:showSerName val="0"/>
          <c:showPercent val="0"/>
          <c:showBubbleSize val="0"/>
        </c:dLbls>
        <c:gapWidth val="182"/>
        <c:axId val="423864112"/>
        <c:axId val="423858288"/>
      </c:barChart>
      <c:catAx>
        <c:axId val="42386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58288"/>
        <c:crosses val="autoZero"/>
        <c:auto val="1"/>
        <c:lblAlgn val="ctr"/>
        <c:lblOffset val="100"/>
        <c:noMultiLvlLbl val="0"/>
      </c:catAx>
      <c:valAx>
        <c:axId val="423858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6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Daily Market Turnover (TZS)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col"/>
        <c:grouping val="clustered"/>
        <c:varyColors val="0"/>
        <c:ser>
          <c:idx val="0"/>
          <c:order val="0"/>
          <c:tx>
            <c:strRef>
              <c:f>Dashboard!$AA$60</c:f>
              <c:strCache>
                <c:ptCount val="1"/>
                <c:pt idx="0">
                  <c:v>Market Turnover (TZS)</c:v>
                </c:pt>
              </c:strCache>
            </c:strRef>
          </c:tx>
          <c:spPr>
            <a:solidFill>
              <a:schemeClr val="accent1"/>
            </a:solidFill>
            <a:ln>
              <a:noFill/>
            </a:ln>
            <a:effectLst/>
          </c:spPr>
          <c:invertIfNegative val="0"/>
          <c:cat>
            <c:numRef>
              <c:f>Dashboard!$Z$61:$Z$90</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Dashboard!$AA$61:$AA$90</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9746556990</c:v>
                </c:pt>
                <c:pt idx="26">
                  <c:v>4102000500</c:v>
                </c:pt>
                <c:pt idx="27">
                  <c:v>4857384595</c:v>
                </c:pt>
                <c:pt idx="28">
                  <c:v>4320179065</c:v>
                </c:pt>
                <c:pt idx="29">
                  <c:v>7277674125</c:v>
                </c:pt>
              </c:numCache>
            </c:numRef>
          </c:val>
          <c:extLst>
            <c:ext xmlns:c16="http://schemas.microsoft.com/office/drawing/2014/chart" uri="{C3380CC4-5D6E-409C-BE32-E72D297353CC}">
              <c16:uniqueId val="{00000000-9DF6-45D6-820E-3A47E42C4999}"/>
            </c:ext>
          </c:extLst>
        </c:ser>
        <c:dLbls>
          <c:showLegendKey val="0"/>
          <c:showVal val="0"/>
          <c:showCatName val="0"/>
          <c:showSerName val="0"/>
          <c:showPercent val="0"/>
          <c:showBubbleSize val="0"/>
        </c:dLbls>
        <c:gapWidth val="219"/>
        <c:overlap val="-27"/>
        <c:axId val="426793328"/>
        <c:axId val="480633296"/>
      </c:barChart>
      <c:dateAx>
        <c:axId val="42679332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33296"/>
        <c:crosses val="autoZero"/>
        <c:auto val="1"/>
        <c:lblOffset val="100"/>
        <c:baseTimeUnit val="days"/>
      </c:dateAx>
      <c:valAx>
        <c:axId val="48063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93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Daily Market Volume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col"/>
        <c:grouping val="clustered"/>
        <c:varyColors val="0"/>
        <c:ser>
          <c:idx val="0"/>
          <c:order val="0"/>
          <c:tx>
            <c:strRef>
              <c:f>Dashboard!$AD$60</c:f>
              <c:strCache>
                <c:ptCount val="1"/>
                <c:pt idx="0">
                  <c:v>Market Volume</c:v>
                </c:pt>
              </c:strCache>
            </c:strRef>
          </c:tx>
          <c:spPr>
            <a:solidFill>
              <a:schemeClr val="accent1"/>
            </a:solidFill>
            <a:ln>
              <a:noFill/>
            </a:ln>
            <a:effectLst/>
          </c:spPr>
          <c:invertIfNegative val="0"/>
          <c:cat>
            <c:numRef>
              <c:f>Dashboard!$AC$61:$AC$90</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Dashboard!$AD$61:$AD$90</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3658256</c:v>
                </c:pt>
                <c:pt idx="26">
                  <c:v>1321509</c:v>
                </c:pt>
                <c:pt idx="27">
                  <c:v>990002</c:v>
                </c:pt>
                <c:pt idx="28">
                  <c:v>1169998</c:v>
                </c:pt>
                <c:pt idx="29">
                  <c:v>1598388</c:v>
                </c:pt>
              </c:numCache>
            </c:numRef>
          </c:val>
          <c:extLst>
            <c:ext xmlns:c16="http://schemas.microsoft.com/office/drawing/2014/chart" uri="{C3380CC4-5D6E-409C-BE32-E72D297353CC}">
              <c16:uniqueId val="{00000000-7C2A-4FD1-99E7-B02E5C4DD3D2}"/>
            </c:ext>
          </c:extLst>
        </c:ser>
        <c:dLbls>
          <c:showLegendKey val="0"/>
          <c:showVal val="0"/>
          <c:showCatName val="0"/>
          <c:showSerName val="0"/>
          <c:showPercent val="0"/>
          <c:showBubbleSize val="0"/>
        </c:dLbls>
        <c:gapWidth val="219"/>
        <c:overlap val="-27"/>
        <c:axId val="372310432"/>
        <c:axId val="372310848"/>
      </c:barChart>
      <c:dateAx>
        <c:axId val="372310432"/>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10848"/>
        <c:crosses val="autoZero"/>
        <c:auto val="1"/>
        <c:lblOffset val="100"/>
        <c:baseTimeUnit val="days"/>
      </c:dateAx>
      <c:valAx>
        <c:axId val="37231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1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Market B/O Ratio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Dashboard!$AG$60</c:f>
              <c:strCache>
                <c:ptCount val="1"/>
                <c:pt idx="0">
                  <c:v>Market B/O Ratio</c:v>
                </c:pt>
              </c:strCache>
            </c:strRef>
          </c:tx>
          <c:spPr>
            <a:ln w="28575" cap="rnd">
              <a:solidFill>
                <a:schemeClr val="accent1"/>
              </a:solidFill>
              <a:round/>
            </a:ln>
            <a:effectLst/>
          </c:spPr>
          <c:marker>
            <c:symbol val="none"/>
          </c:marker>
          <c:cat>
            <c:numRef>
              <c:f>Dashboard!$AF$61:$AF$90</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Dashboard!$AG$61:$AG$90</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0.84170241731077533</c:v>
                </c:pt>
                <c:pt idx="26">
                  <c:v>0.86849699931644886</c:v>
                </c:pt>
                <c:pt idx="27">
                  <c:v>1.0816264583732587</c:v>
                </c:pt>
                <c:pt idx="28">
                  <c:v>1.2206492266116979</c:v>
                </c:pt>
                <c:pt idx="29">
                  <c:v>1.7661218549825632</c:v>
                </c:pt>
              </c:numCache>
            </c:numRef>
          </c:val>
          <c:smooth val="0"/>
          <c:extLst>
            <c:ext xmlns:c16="http://schemas.microsoft.com/office/drawing/2014/chart" uri="{C3380CC4-5D6E-409C-BE32-E72D297353CC}">
              <c16:uniqueId val="{00000000-F389-49D9-B611-6838534A00EA}"/>
            </c:ext>
          </c:extLst>
        </c:ser>
        <c:dLbls>
          <c:showLegendKey val="0"/>
          <c:showVal val="0"/>
          <c:showCatName val="0"/>
          <c:showSerName val="0"/>
          <c:showPercent val="0"/>
          <c:showBubbleSize val="0"/>
        </c:dLbls>
        <c:smooth val="0"/>
        <c:axId val="372317088"/>
        <c:axId val="372310016"/>
      </c:lineChart>
      <c:dateAx>
        <c:axId val="37231708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10016"/>
        <c:crosses val="autoZero"/>
        <c:auto val="1"/>
        <c:lblOffset val="100"/>
        <c:baseTimeUnit val="days"/>
      </c:dateAx>
      <c:valAx>
        <c:axId val="37231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1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Average Market Pressure History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lineChart>
        <c:grouping val="standard"/>
        <c:varyColors val="0"/>
        <c:ser>
          <c:idx val="0"/>
          <c:order val="0"/>
          <c:tx>
            <c:strRef>
              <c:f>Dashboard!$AJ$60</c:f>
              <c:strCache>
                <c:ptCount val="1"/>
                <c:pt idx="0">
                  <c:v>Avg Market Pressure</c:v>
                </c:pt>
              </c:strCache>
            </c:strRef>
          </c:tx>
          <c:spPr>
            <a:ln w="28575" cap="rnd">
              <a:solidFill>
                <a:schemeClr val="accent1"/>
              </a:solidFill>
              <a:round/>
            </a:ln>
            <a:effectLst/>
          </c:spPr>
          <c:marker>
            <c:symbol val="none"/>
          </c:marker>
          <c:cat>
            <c:numRef>
              <c:f>Dashboard!$AI$61:$AI$90</c:f>
              <c:numCache>
                <c:formatCode>yyyy\-mm\-dd</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46244</c:v>
                </c:pt>
                <c:pt idx="26">
                  <c:v>46245</c:v>
                </c:pt>
                <c:pt idx="27">
                  <c:v>46246</c:v>
                </c:pt>
                <c:pt idx="28">
                  <c:v>46247</c:v>
                </c:pt>
                <c:pt idx="29">
                  <c:v>46248</c:v>
                </c:pt>
              </c:numCache>
            </c:numRef>
          </c:cat>
          <c:val>
            <c:numRef>
              <c:f>Dashboard!$AJ$61:$AJ$90</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48.407142857142858</c:v>
                </c:pt>
                <c:pt idx="26">
                  <c:v>49.176666666666655</c:v>
                </c:pt>
                <c:pt idx="27">
                  <c:v>49.776666666666657</c:v>
                </c:pt>
                <c:pt idx="28">
                  <c:v>51.879999999999995</c:v>
                </c:pt>
                <c:pt idx="29">
                  <c:v>53.79</c:v>
                </c:pt>
              </c:numCache>
            </c:numRef>
          </c:val>
          <c:smooth val="0"/>
          <c:extLst>
            <c:ext xmlns:c16="http://schemas.microsoft.com/office/drawing/2014/chart" uri="{C3380CC4-5D6E-409C-BE32-E72D297353CC}">
              <c16:uniqueId val="{00000000-A91C-4B38-B009-F8FC498AB0D6}"/>
            </c:ext>
          </c:extLst>
        </c:ser>
        <c:dLbls>
          <c:showLegendKey val="0"/>
          <c:showVal val="0"/>
          <c:showCatName val="0"/>
          <c:showSerName val="0"/>
          <c:showPercent val="0"/>
          <c:showBubbleSize val="0"/>
        </c:dLbls>
        <c:smooth val="0"/>
        <c:axId val="372312096"/>
        <c:axId val="368656448"/>
      </c:lineChart>
      <c:dateAx>
        <c:axId val="372312096"/>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6448"/>
        <c:crosses val="autoZero"/>
        <c:auto val="1"/>
        <c:lblOffset val="100"/>
        <c:baseTimeUnit val="days"/>
      </c:dateAx>
      <c:valAx>
        <c:axId val="3686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1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Top Counters by Turnover (selected date)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bar"/>
        <c:grouping val="clustered"/>
        <c:varyColors val="0"/>
        <c:ser>
          <c:idx val="0"/>
          <c:order val="0"/>
          <c:tx>
            <c:strRef>
              <c:f>Dashboard!$AM$60</c:f>
              <c:strCache>
                <c:ptCount val="1"/>
                <c:pt idx="0">
                  <c:v>Turnover (TZS)</c:v>
                </c:pt>
              </c:strCache>
            </c:strRef>
          </c:tx>
          <c:spPr>
            <a:solidFill>
              <a:schemeClr val="accent1"/>
            </a:solidFill>
            <a:ln>
              <a:noFill/>
            </a:ln>
            <a:effectLst/>
          </c:spPr>
          <c:invertIfNegative val="0"/>
          <c:cat>
            <c:strRef>
              <c:f>Dashboard!$AL$61:$AL$70</c:f>
              <c:strCache>
                <c:ptCount val="10"/>
                <c:pt idx="0">
                  <c:v>NMB</c:v>
                </c:pt>
                <c:pt idx="1">
                  <c:v>TPCC</c:v>
                </c:pt>
                <c:pt idx="2">
                  <c:v>CRDB</c:v>
                </c:pt>
                <c:pt idx="3">
                  <c:v>TCCL</c:v>
                </c:pt>
                <c:pt idx="4">
                  <c:v>VODA</c:v>
                </c:pt>
                <c:pt idx="5">
                  <c:v>NICO</c:v>
                </c:pt>
                <c:pt idx="6">
                  <c:v>MCB</c:v>
                </c:pt>
                <c:pt idx="7">
                  <c:v>KCB</c:v>
                </c:pt>
                <c:pt idx="8">
                  <c:v>AFRIPRISE</c:v>
                </c:pt>
                <c:pt idx="9">
                  <c:v>DCB</c:v>
                </c:pt>
              </c:strCache>
            </c:strRef>
          </c:cat>
          <c:val>
            <c:numRef>
              <c:f>Dashboard!$AM$61:$AM$70</c:f>
              <c:numCache>
                <c:formatCode>General</c:formatCode>
                <c:ptCount val="10"/>
                <c:pt idx="0">
                  <c:v>3582788330</c:v>
                </c:pt>
                <c:pt idx="1">
                  <c:v>1504962160</c:v>
                </c:pt>
                <c:pt idx="2">
                  <c:v>1052659120</c:v>
                </c:pt>
                <c:pt idx="3">
                  <c:v>643331900</c:v>
                </c:pt>
                <c:pt idx="4">
                  <c:v>126296500</c:v>
                </c:pt>
                <c:pt idx="5">
                  <c:v>101531480</c:v>
                </c:pt>
                <c:pt idx="6">
                  <c:v>76744885</c:v>
                </c:pt>
                <c:pt idx="7">
                  <c:v>44643680</c:v>
                </c:pt>
                <c:pt idx="8">
                  <c:v>32287830</c:v>
                </c:pt>
                <c:pt idx="9">
                  <c:v>28346610</c:v>
                </c:pt>
              </c:numCache>
            </c:numRef>
          </c:val>
          <c:extLst>
            <c:ext xmlns:c16="http://schemas.microsoft.com/office/drawing/2014/chart" uri="{C3380CC4-5D6E-409C-BE32-E72D297353CC}">
              <c16:uniqueId val="{00000000-1C4E-4EC2-8BE3-987BEAA6C303}"/>
            </c:ext>
          </c:extLst>
        </c:ser>
        <c:dLbls>
          <c:showLegendKey val="0"/>
          <c:showVal val="0"/>
          <c:showCatName val="0"/>
          <c:showSerName val="0"/>
          <c:showPercent val="0"/>
          <c:showBubbleSize val="0"/>
        </c:dLbls>
        <c:gapWidth val="182"/>
        <c:axId val="368653952"/>
        <c:axId val="368656864"/>
      </c:barChart>
      <c:catAx>
        <c:axId val="36865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6864"/>
        <c:crosses val="autoZero"/>
        <c:auto val="1"/>
        <c:lblAlgn val="ctr"/>
        <c:lblOffset val="100"/>
        <c:noMultiLvlLbl val="0"/>
      </c:catAx>
      <c:valAx>
        <c:axId val="36865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Top Counters by B/O Momentum (liquid only)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bar"/>
        <c:grouping val="clustered"/>
        <c:varyColors val="0"/>
        <c:ser>
          <c:idx val="0"/>
          <c:order val="0"/>
          <c:tx>
            <c:strRef>
              <c:f>Dashboard!$AP$60</c:f>
              <c:strCache>
                <c:ptCount val="1"/>
                <c:pt idx="0">
                  <c:v>B/O Momentum %</c:v>
                </c:pt>
              </c:strCache>
            </c:strRef>
          </c:tx>
          <c:spPr>
            <a:solidFill>
              <a:schemeClr val="accent1"/>
            </a:solidFill>
            <a:ln>
              <a:noFill/>
            </a:ln>
            <a:effectLst/>
          </c:spPr>
          <c:invertIfNegative val="0"/>
          <c:cat>
            <c:strRef>
              <c:f>Dashboard!$AO$61:$AO$70</c:f>
            </c:strRef>
          </c:cat>
          <c:val>
            <c:numRef>
              <c:f>Dashboard!$AP$61:$AP$70</c:f>
              <c:numCache>
                <c:formatCode>General</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6EDB-43EF-8F4A-13237E7E4B6D}"/>
            </c:ext>
          </c:extLst>
        </c:ser>
        <c:dLbls>
          <c:showLegendKey val="0"/>
          <c:showVal val="0"/>
          <c:showCatName val="0"/>
          <c:showSerName val="0"/>
          <c:showPercent val="0"/>
          <c:showBubbleSize val="0"/>
        </c:dLbls>
        <c:gapWidth val="182"/>
        <c:axId val="368657696"/>
        <c:axId val="368655616"/>
      </c:barChart>
      <c:catAx>
        <c:axId val="36865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5616"/>
        <c:crosses val="autoZero"/>
        <c:auto val="1"/>
        <c:lblAlgn val="ctr"/>
        <c:lblOffset val="100"/>
        <c:noMultiLvlLbl val="0"/>
      </c:catAx>
      <c:valAx>
        <c:axId val="36865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Gainers / Losers / Unchanged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col"/>
        <c:grouping val="clustered"/>
        <c:varyColors val="0"/>
        <c:ser>
          <c:idx val="0"/>
          <c:order val="0"/>
          <c:tx>
            <c:strRef>
              <c:f>Dashboard!$AS$60</c:f>
              <c:strCache>
                <c:ptCount val="1"/>
                <c:pt idx="0">
                  <c:v>Counters</c:v>
                </c:pt>
              </c:strCache>
            </c:strRef>
          </c:tx>
          <c:spPr>
            <a:solidFill>
              <a:schemeClr val="accent1"/>
            </a:solidFill>
            <a:ln>
              <a:noFill/>
            </a:ln>
            <a:effectLst/>
          </c:spPr>
          <c:invertIfNegative val="0"/>
          <c:cat>
            <c:strRef>
              <c:f>Dashboard!$AR$61:$AR$63</c:f>
              <c:strCache>
                <c:ptCount val="3"/>
                <c:pt idx="0">
                  <c:v>Gainers</c:v>
                </c:pt>
                <c:pt idx="1">
                  <c:v>Losers</c:v>
                </c:pt>
                <c:pt idx="2">
                  <c:v>Unchanged</c:v>
                </c:pt>
              </c:strCache>
            </c:strRef>
          </c:cat>
          <c:val>
            <c:numRef>
              <c:f>Dashboard!$AS$61:$AS$63</c:f>
              <c:numCache>
                <c:formatCode>General</c:formatCode>
                <c:ptCount val="3"/>
                <c:pt idx="0">
                  <c:v>11</c:v>
                </c:pt>
                <c:pt idx="1">
                  <c:v>7</c:v>
                </c:pt>
                <c:pt idx="2">
                  <c:v>12</c:v>
                </c:pt>
              </c:numCache>
            </c:numRef>
          </c:val>
          <c:extLst>
            <c:ext xmlns:c16="http://schemas.microsoft.com/office/drawing/2014/chart" uri="{C3380CC4-5D6E-409C-BE32-E72D297353CC}">
              <c16:uniqueId val="{00000000-33C8-45A8-BE8D-05F8EEAA08F0}"/>
            </c:ext>
          </c:extLst>
        </c:ser>
        <c:dLbls>
          <c:showLegendKey val="0"/>
          <c:showVal val="0"/>
          <c:showCatName val="0"/>
          <c:showSerName val="0"/>
          <c:showPercent val="0"/>
          <c:showBubbleSize val="0"/>
        </c:dLbls>
        <c:gapWidth val="219"/>
        <c:overlap val="-27"/>
        <c:axId val="368654368"/>
        <c:axId val="368652288"/>
      </c:barChart>
      <c:catAx>
        <c:axId val="36865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2288"/>
        <c:crosses val="autoZero"/>
        <c:auto val="1"/>
        <c:lblAlgn val="ctr"/>
        <c:lblOffset val="100"/>
        <c:noMultiLvlLbl val="0"/>
      </c:catAx>
      <c:valAx>
        <c:axId val="3686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r>
              <a:rPr lang="en-US"/>
              <a:t>Outstanding Bid vs Offer Quantity (selected date)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440"/>
              </a:solidFill>
              <a:latin typeface="+mn-lt"/>
              <a:ea typeface="+mn-ea"/>
              <a:cs typeface="+mn-cs"/>
            </a:defRPr>
          </a:pPr>
          <a:endParaRPr lang="en-US"/>
        </a:p>
      </c:txPr>
    </c:title>
    <c:autoTitleDeleted val="0"/>
    <c:plotArea>
      <c:layout/>
      <c:barChart>
        <c:barDir val="bar"/>
        <c:grouping val="clustered"/>
        <c:varyColors val="0"/>
        <c:ser>
          <c:idx val="0"/>
          <c:order val="0"/>
          <c:tx>
            <c:strRef>
              <c:f>Dashboard!$AV$60</c:f>
              <c:strCache>
                <c:ptCount val="1"/>
                <c:pt idx="0">
                  <c:v>Outstanding Bid Qty</c:v>
                </c:pt>
              </c:strCache>
            </c:strRef>
          </c:tx>
          <c:spPr>
            <a:solidFill>
              <a:schemeClr val="accent1"/>
            </a:solidFill>
            <a:ln>
              <a:noFill/>
            </a:ln>
            <a:effectLst/>
          </c:spPr>
          <c:invertIfNegative val="0"/>
          <c:cat>
            <c:strRef>
              <c:f>Dashboard!$AU$61:$AU$70</c:f>
              <c:strCache>
                <c:ptCount val="10"/>
                <c:pt idx="0">
                  <c:v>NMB</c:v>
                </c:pt>
                <c:pt idx="1">
                  <c:v>TPCC</c:v>
                </c:pt>
                <c:pt idx="2">
                  <c:v>CRDB</c:v>
                </c:pt>
                <c:pt idx="3">
                  <c:v>TCCL</c:v>
                </c:pt>
                <c:pt idx="4">
                  <c:v>VODA</c:v>
                </c:pt>
                <c:pt idx="5">
                  <c:v>NICO</c:v>
                </c:pt>
                <c:pt idx="6">
                  <c:v>MCB</c:v>
                </c:pt>
                <c:pt idx="7">
                  <c:v>KCB</c:v>
                </c:pt>
                <c:pt idx="8">
                  <c:v>AFRIPRISE</c:v>
                </c:pt>
                <c:pt idx="9">
                  <c:v>DCB</c:v>
                </c:pt>
              </c:strCache>
            </c:strRef>
          </c:cat>
          <c:val>
            <c:numRef>
              <c:f>Dashboard!$AV$61:$AV$70</c:f>
              <c:numCache>
                <c:formatCode>General</c:formatCode>
                <c:ptCount val="10"/>
                <c:pt idx="0">
                  <c:v>72424</c:v>
                </c:pt>
                <c:pt idx="1">
                  <c:v>8660</c:v>
                </c:pt>
                <c:pt idx="2">
                  <c:v>332026</c:v>
                </c:pt>
                <c:pt idx="3">
                  <c:v>9525</c:v>
                </c:pt>
                <c:pt idx="4">
                  <c:v>139041</c:v>
                </c:pt>
                <c:pt idx="5">
                  <c:v>15795</c:v>
                </c:pt>
                <c:pt idx="6">
                  <c:v>23652</c:v>
                </c:pt>
                <c:pt idx="7">
                  <c:v>16139</c:v>
                </c:pt>
                <c:pt idx="8">
                  <c:v>21261</c:v>
                </c:pt>
                <c:pt idx="9">
                  <c:v>137957</c:v>
                </c:pt>
              </c:numCache>
            </c:numRef>
          </c:val>
          <c:extLst>
            <c:ext xmlns:c16="http://schemas.microsoft.com/office/drawing/2014/chart" uri="{C3380CC4-5D6E-409C-BE32-E72D297353CC}">
              <c16:uniqueId val="{00000000-649F-4B86-991E-A4D6A888F8D4}"/>
            </c:ext>
          </c:extLst>
        </c:ser>
        <c:ser>
          <c:idx val="1"/>
          <c:order val="1"/>
          <c:tx>
            <c:strRef>
              <c:f>Dashboard!$AW$60</c:f>
              <c:strCache>
                <c:ptCount val="1"/>
                <c:pt idx="0">
                  <c:v>Outstanding Offer Qty</c:v>
                </c:pt>
              </c:strCache>
            </c:strRef>
          </c:tx>
          <c:spPr>
            <a:solidFill>
              <a:schemeClr val="accent2"/>
            </a:solidFill>
            <a:ln>
              <a:noFill/>
            </a:ln>
            <a:effectLst/>
          </c:spPr>
          <c:invertIfNegative val="0"/>
          <c:cat>
            <c:strRef>
              <c:f>Dashboard!$AU$61:$AU$70</c:f>
              <c:strCache>
                <c:ptCount val="10"/>
                <c:pt idx="0">
                  <c:v>NMB</c:v>
                </c:pt>
                <c:pt idx="1">
                  <c:v>TPCC</c:v>
                </c:pt>
                <c:pt idx="2">
                  <c:v>CRDB</c:v>
                </c:pt>
                <c:pt idx="3">
                  <c:v>TCCL</c:v>
                </c:pt>
                <c:pt idx="4">
                  <c:v>VODA</c:v>
                </c:pt>
                <c:pt idx="5">
                  <c:v>NICO</c:v>
                </c:pt>
                <c:pt idx="6">
                  <c:v>MCB</c:v>
                </c:pt>
                <c:pt idx="7">
                  <c:v>KCB</c:v>
                </c:pt>
                <c:pt idx="8">
                  <c:v>AFRIPRISE</c:v>
                </c:pt>
                <c:pt idx="9">
                  <c:v>DCB</c:v>
                </c:pt>
              </c:strCache>
            </c:strRef>
          </c:cat>
          <c:val>
            <c:numRef>
              <c:f>Dashboard!$AW$61:$AW$70</c:f>
              <c:numCache>
                <c:formatCode>General</c:formatCode>
                <c:ptCount val="10"/>
                <c:pt idx="0">
                  <c:v>247</c:v>
                </c:pt>
                <c:pt idx="1">
                  <c:v>10</c:v>
                </c:pt>
                <c:pt idx="2">
                  <c:v>68633</c:v>
                </c:pt>
                <c:pt idx="3">
                  <c:v>3627</c:v>
                </c:pt>
                <c:pt idx="4">
                  <c:v>153707</c:v>
                </c:pt>
                <c:pt idx="5">
                  <c:v>2447</c:v>
                </c:pt>
                <c:pt idx="6">
                  <c:v>43610</c:v>
                </c:pt>
                <c:pt idx="7">
                  <c:v>37220</c:v>
                </c:pt>
                <c:pt idx="8">
                  <c:v>78845</c:v>
                </c:pt>
                <c:pt idx="9">
                  <c:v>0</c:v>
                </c:pt>
              </c:numCache>
            </c:numRef>
          </c:val>
          <c:extLst>
            <c:ext xmlns:c16="http://schemas.microsoft.com/office/drawing/2014/chart" uri="{C3380CC4-5D6E-409C-BE32-E72D297353CC}">
              <c16:uniqueId val="{00000001-649F-4B86-991E-A4D6A888F8D4}"/>
            </c:ext>
          </c:extLst>
        </c:ser>
        <c:dLbls>
          <c:showLegendKey val="0"/>
          <c:showVal val="0"/>
          <c:showCatName val="0"/>
          <c:showSerName val="0"/>
          <c:showPercent val="0"/>
          <c:showBubbleSize val="0"/>
        </c:dLbls>
        <c:gapWidth val="182"/>
        <c:axId val="368656032"/>
        <c:axId val="368657280"/>
      </c:barChart>
      <c:catAx>
        <c:axId val="36865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7280"/>
        <c:crosses val="autoZero"/>
        <c:auto val="1"/>
        <c:lblAlgn val="ctr"/>
        <c:lblOffset val="100"/>
        <c:noMultiLvlLbl val="0"/>
      </c:catAx>
      <c:valAx>
        <c:axId val="36865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8</xdr:col>
      <xdr:colOff>1775459</xdr:colOff>
      <xdr:row>66</xdr:row>
      <xdr:rowOff>0</xdr:rowOff>
    </xdr:from>
    <xdr:to>
      <xdr:col>15</xdr:col>
      <xdr:colOff>1142999</xdr:colOff>
      <xdr:row>86</xdr:row>
      <xdr:rowOff>0</xdr:rowOff>
    </xdr:to>
    <xdr:graphicFrame macro="">
      <xdr:nvGraphicFramePr>
        <xdr:cNvPr id="2" name="Chart 1">
          <a:extLst>
            <a:ext uri="{FF2B5EF4-FFF2-40B4-BE49-F238E27FC236}">
              <a16:creationId xmlns:a16="http://schemas.microsoft.com/office/drawing/2014/main" id="{58B457E6-207A-4E5D-8C7B-CE3BA9167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111</xdr:row>
      <xdr:rowOff>0</xdr:rowOff>
    </xdr:from>
    <xdr:to>
      <xdr:col>8</xdr:col>
      <xdr:colOff>0</xdr:colOff>
      <xdr:row>131</xdr:row>
      <xdr:rowOff>0</xdr:rowOff>
    </xdr:to>
    <xdr:graphicFrame macro="">
      <xdr:nvGraphicFramePr>
        <xdr:cNvPr id="2" name="Chart 1">
          <a:extLst>
            <a:ext uri="{FF2B5EF4-FFF2-40B4-BE49-F238E27FC236}">
              <a16:creationId xmlns:a16="http://schemas.microsoft.com/office/drawing/2014/main" id="{8AD2DE98-EA67-44C1-9976-6A86273E3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111</xdr:row>
      <xdr:rowOff>0</xdr:rowOff>
    </xdr:from>
    <xdr:to>
      <xdr:col>16</xdr:col>
      <xdr:colOff>0</xdr:colOff>
      <xdr:row>131</xdr:row>
      <xdr:rowOff>0</xdr:rowOff>
    </xdr:to>
    <xdr:graphicFrame macro="">
      <xdr:nvGraphicFramePr>
        <xdr:cNvPr id="3" name="Chart 2">
          <a:extLst>
            <a:ext uri="{FF2B5EF4-FFF2-40B4-BE49-F238E27FC236}">
              <a16:creationId xmlns:a16="http://schemas.microsoft.com/office/drawing/2014/main" id="{F7C8D210-FE08-4042-97BF-F3A3E52AB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132</xdr:row>
      <xdr:rowOff>1</xdr:rowOff>
    </xdr:from>
    <xdr:to>
      <xdr:col>8</xdr:col>
      <xdr:colOff>0</xdr:colOff>
      <xdr:row>152</xdr:row>
      <xdr:rowOff>1</xdr:rowOff>
    </xdr:to>
    <xdr:graphicFrame macro="">
      <xdr:nvGraphicFramePr>
        <xdr:cNvPr id="4" name="Chart 3">
          <a:extLst>
            <a:ext uri="{FF2B5EF4-FFF2-40B4-BE49-F238E27FC236}">
              <a16:creationId xmlns:a16="http://schemas.microsoft.com/office/drawing/2014/main" id="{BC5314A3-92D0-4FB7-9209-7C34BB722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132</xdr:row>
      <xdr:rowOff>1</xdr:rowOff>
    </xdr:from>
    <xdr:to>
      <xdr:col>16</xdr:col>
      <xdr:colOff>0</xdr:colOff>
      <xdr:row>152</xdr:row>
      <xdr:rowOff>1</xdr:rowOff>
    </xdr:to>
    <xdr:graphicFrame macro="">
      <xdr:nvGraphicFramePr>
        <xdr:cNvPr id="5" name="Chart 4">
          <a:extLst>
            <a:ext uri="{FF2B5EF4-FFF2-40B4-BE49-F238E27FC236}">
              <a16:creationId xmlns:a16="http://schemas.microsoft.com/office/drawing/2014/main" id="{E6409456-DAEA-4AD3-8912-EA18AEBB9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152</xdr:row>
      <xdr:rowOff>182879</xdr:rowOff>
    </xdr:from>
    <xdr:to>
      <xdr:col>8</xdr:col>
      <xdr:colOff>0</xdr:colOff>
      <xdr:row>172</xdr:row>
      <xdr:rowOff>182879</xdr:rowOff>
    </xdr:to>
    <xdr:graphicFrame macro="">
      <xdr:nvGraphicFramePr>
        <xdr:cNvPr id="6" name="Chart 5">
          <a:extLst>
            <a:ext uri="{FF2B5EF4-FFF2-40B4-BE49-F238E27FC236}">
              <a16:creationId xmlns:a16="http://schemas.microsoft.com/office/drawing/2014/main" id="{8324D092-9EED-44D3-B95B-585AB1439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152</xdr:row>
      <xdr:rowOff>182879</xdr:rowOff>
    </xdr:from>
    <xdr:to>
      <xdr:col>16</xdr:col>
      <xdr:colOff>0</xdr:colOff>
      <xdr:row>172</xdr:row>
      <xdr:rowOff>182879</xdr:rowOff>
    </xdr:to>
    <xdr:graphicFrame macro="">
      <xdr:nvGraphicFramePr>
        <xdr:cNvPr id="7" name="Chart 6">
          <a:extLst>
            <a:ext uri="{FF2B5EF4-FFF2-40B4-BE49-F238E27FC236}">
              <a16:creationId xmlns:a16="http://schemas.microsoft.com/office/drawing/2014/main" id="{255AE3A9-4D02-42D4-8FE0-296AF74A3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174</xdr:row>
      <xdr:rowOff>1</xdr:rowOff>
    </xdr:from>
    <xdr:to>
      <xdr:col>8</xdr:col>
      <xdr:colOff>0</xdr:colOff>
      <xdr:row>194</xdr:row>
      <xdr:rowOff>1</xdr:rowOff>
    </xdr:to>
    <xdr:graphicFrame macro="">
      <xdr:nvGraphicFramePr>
        <xdr:cNvPr id="8" name="Chart 7">
          <a:extLst>
            <a:ext uri="{FF2B5EF4-FFF2-40B4-BE49-F238E27FC236}">
              <a16:creationId xmlns:a16="http://schemas.microsoft.com/office/drawing/2014/main" id="{B311E0FF-9EA3-49AE-ADE4-85956DBE8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0</xdr:rowOff>
    </xdr:from>
    <xdr:to>
      <xdr:col>7</xdr:col>
      <xdr:colOff>0</xdr:colOff>
      <xdr:row>46</xdr:row>
      <xdr:rowOff>0</xdr:rowOff>
    </xdr:to>
    <xdr:graphicFrame macro="">
      <xdr:nvGraphicFramePr>
        <xdr:cNvPr id="2" name="Chart 1">
          <a:extLst>
            <a:ext uri="{FF2B5EF4-FFF2-40B4-BE49-F238E27FC236}">
              <a16:creationId xmlns:a16="http://schemas.microsoft.com/office/drawing/2014/main" id="{CEE328B8-DDD5-4D39-A1AB-B5D1CECFC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47</xdr:row>
      <xdr:rowOff>0</xdr:rowOff>
    </xdr:from>
    <xdr:to>
      <xdr:col>7</xdr:col>
      <xdr:colOff>0</xdr:colOff>
      <xdr:row>67</xdr:row>
      <xdr:rowOff>0</xdr:rowOff>
    </xdr:to>
    <xdr:graphicFrame macro="">
      <xdr:nvGraphicFramePr>
        <xdr:cNvPr id="3" name="Chart 2">
          <a:extLst>
            <a:ext uri="{FF2B5EF4-FFF2-40B4-BE49-F238E27FC236}">
              <a16:creationId xmlns:a16="http://schemas.microsoft.com/office/drawing/2014/main" id="{07BFCF78-3741-4415-ACD2-BFD4E2085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68</xdr:row>
      <xdr:rowOff>0</xdr:rowOff>
    </xdr:from>
    <xdr:to>
      <xdr:col>7</xdr:col>
      <xdr:colOff>0</xdr:colOff>
      <xdr:row>88</xdr:row>
      <xdr:rowOff>0</xdr:rowOff>
    </xdr:to>
    <xdr:graphicFrame macro="">
      <xdr:nvGraphicFramePr>
        <xdr:cNvPr id="4" name="Chart 3">
          <a:extLst>
            <a:ext uri="{FF2B5EF4-FFF2-40B4-BE49-F238E27FC236}">
              <a16:creationId xmlns:a16="http://schemas.microsoft.com/office/drawing/2014/main" id="{331F14B5-EE2D-4DDB-9FD6-DC027B614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88</xdr:row>
      <xdr:rowOff>182879</xdr:rowOff>
    </xdr:from>
    <xdr:to>
      <xdr:col>7</xdr:col>
      <xdr:colOff>0</xdr:colOff>
      <xdr:row>108</xdr:row>
      <xdr:rowOff>182879</xdr:rowOff>
    </xdr:to>
    <xdr:graphicFrame macro="">
      <xdr:nvGraphicFramePr>
        <xdr:cNvPr id="5" name="Chart 4">
          <a:extLst>
            <a:ext uri="{FF2B5EF4-FFF2-40B4-BE49-F238E27FC236}">
              <a16:creationId xmlns:a16="http://schemas.microsoft.com/office/drawing/2014/main" id="{D5549310-B3A4-47C1-8383-6B120F89D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74</xdr:row>
      <xdr:rowOff>0</xdr:rowOff>
    </xdr:from>
    <xdr:to>
      <xdr:col>7</xdr:col>
      <xdr:colOff>0</xdr:colOff>
      <xdr:row>94</xdr:row>
      <xdr:rowOff>0</xdr:rowOff>
    </xdr:to>
    <xdr:graphicFrame macro="">
      <xdr:nvGraphicFramePr>
        <xdr:cNvPr id="2" name="Chart 1">
          <a:extLst>
            <a:ext uri="{FF2B5EF4-FFF2-40B4-BE49-F238E27FC236}">
              <a16:creationId xmlns:a16="http://schemas.microsoft.com/office/drawing/2014/main" id="{CDF3E88E-6D17-4BE0-940A-F3239F554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74</xdr:row>
      <xdr:rowOff>0</xdr:rowOff>
    </xdr:from>
    <xdr:to>
      <xdr:col>14</xdr:col>
      <xdr:colOff>0</xdr:colOff>
      <xdr:row>94</xdr:row>
      <xdr:rowOff>0</xdr:rowOff>
    </xdr:to>
    <xdr:graphicFrame macro="">
      <xdr:nvGraphicFramePr>
        <xdr:cNvPr id="3" name="Chart 2">
          <a:extLst>
            <a:ext uri="{FF2B5EF4-FFF2-40B4-BE49-F238E27FC236}">
              <a16:creationId xmlns:a16="http://schemas.microsoft.com/office/drawing/2014/main" id="{CAB44ABE-16CE-4BC8-954E-AA55E7009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0</xdr:colOff>
      <xdr:row>28</xdr:row>
      <xdr:rowOff>0</xdr:rowOff>
    </xdr:to>
    <xdr:graphicFrame macro="">
      <xdr:nvGraphicFramePr>
        <xdr:cNvPr id="2" name="Chart 1">
          <a:extLst>
            <a:ext uri="{FF2B5EF4-FFF2-40B4-BE49-F238E27FC236}">
              <a16:creationId xmlns:a16="http://schemas.microsoft.com/office/drawing/2014/main" id="{C36F33D3-7ECA-4769-8449-BBD4E9A90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8</xdr:row>
      <xdr:rowOff>0</xdr:rowOff>
    </xdr:from>
    <xdr:to>
      <xdr:col>14</xdr:col>
      <xdr:colOff>0</xdr:colOff>
      <xdr:row>28</xdr:row>
      <xdr:rowOff>0</xdr:rowOff>
    </xdr:to>
    <xdr:graphicFrame macro="">
      <xdr:nvGraphicFramePr>
        <xdr:cNvPr id="3" name="Chart 2">
          <a:extLst>
            <a:ext uri="{FF2B5EF4-FFF2-40B4-BE49-F238E27FC236}">
              <a16:creationId xmlns:a16="http://schemas.microsoft.com/office/drawing/2014/main" id="{688F2661-A70D-4F39-BEA2-A84F177F6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7</xdr:col>
      <xdr:colOff>0</xdr:colOff>
      <xdr:row>49</xdr:row>
      <xdr:rowOff>0</xdr:rowOff>
    </xdr:to>
    <xdr:graphicFrame macro="">
      <xdr:nvGraphicFramePr>
        <xdr:cNvPr id="4" name="Chart 3">
          <a:extLst>
            <a:ext uri="{FF2B5EF4-FFF2-40B4-BE49-F238E27FC236}">
              <a16:creationId xmlns:a16="http://schemas.microsoft.com/office/drawing/2014/main" id="{04C491CB-F909-4C78-A85A-0B27AC358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29</xdr:row>
      <xdr:rowOff>0</xdr:rowOff>
    </xdr:from>
    <xdr:to>
      <xdr:col>14</xdr:col>
      <xdr:colOff>0</xdr:colOff>
      <xdr:row>49</xdr:row>
      <xdr:rowOff>0</xdr:rowOff>
    </xdr:to>
    <xdr:graphicFrame macro="">
      <xdr:nvGraphicFramePr>
        <xdr:cNvPr id="5" name="Chart 4">
          <a:extLst>
            <a:ext uri="{FF2B5EF4-FFF2-40B4-BE49-F238E27FC236}">
              <a16:creationId xmlns:a16="http://schemas.microsoft.com/office/drawing/2014/main" id="{DAAAA6A9-EC31-4B6B-AA6A-F6D096801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0</xdr:rowOff>
    </xdr:from>
    <xdr:to>
      <xdr:col>7</xdr:col>
      <xdr:colOff>0</xdr:colOff>
      <xdr:row>70</xdr:row>
      <xdr:rowOff>0</xdr:rowOff>
    </xdr:to>
    <xdr:graphicFrame macro="">
      <xdr:nvGraphicFramePr>
        <xdr:cNvPr id="6" name="Chart 5">
          <a:extLst>
            <a:ext uri="{FF2B5EF4-FFF2-40B4-BE49-F238E27FC236}">
              <a16:creationId xmlns:a16="http://schemas.microsoft.com/office/drawing/2014/main" id="{9C8C8808-1E3A-4D14-906A-F5963A776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50</xdr:row>
      <xdr:rowOff>0</xdr:rowOff>
    </xdr:from>
    <xdr:to>
      <xdr:col>14</xdr:col>
      <xdr:colOff>0</xdr:colOff>
      <xdr:row>70</xdr:row>
      <xdr:rowOff>0</xdr:rowOff>
    </xdr:to>
    <xdr:graphicFrame macro="">
      <xdr:nvGraphicFramePr>
        <xdr:cNvPr id="7" name="Chart 6">
          <a:extLst>
            <a:ext uri="{FF2B5EF4-FFF2-40B4-BE49-F238E27FC236}">
              <a16:creationId xmlns:a16="http://schemas.microsoft.com/office/drawing/2014/main" id="{99F325C8-10CD-4C2B-B92A-97F85BFF0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71</xdr:row>
      <xdr:rowOff>0</xdr:rowOff>
    </xdr:from>
    <xdr:to>
      <xdr:col>7</xdr:col>
      <xdr:colOff>0</xdr:colOff>
      <xdr:row>91</xdr:row>
      <xdr:rowOff>0</xdr:rowOff>
    </xdr:to>
    <xdr:graphicFrame macro="">
      <xdr:nvGraphicFramePr>
        <xdr:cNvPr id="8" name="Chart 7">
          <a:extLst>
            <a:ext uri="{FF2B5EF4-FFF2-40B4-BE49-F238E27FC236}">
              <a16:creationId xmlns:a16="http://schemas.microsoft.com/office/drawing/2014/main" id="{EDB341F7-078E-4EBC-84CF-0BA9AA16F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71</xdr:row>
      <xdr:rowOff>0</xdr:rowOff>
    </xdr:from>
    <xdr:to>
      <xdr:col>14</xdr:col>
      <xdr:colOff>0</xdr:colOff>
      <xdr:row>91</xdr:row>
      <xdr:rowOff>0</xdr:rowOff>
    </xdr:to>
    <xdr:graphicFrame macro="">
      <xdr:nvGraphicFramePr>
        <xdr:cNvPr id="9" name="Chart 8">
          <a:extLst>
            <a:ext uri="{FF2B5EF4-FFF2-40B4-BE49-F238E27FC236}">
              <a16:creationId xmlns:a16="http://schemas.microsoft.com/office/drawing/2014/main" id="{0D740CC3-8BCD-4C59-9BC8-A7D17892B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FFB7A0C-903A-4AC2-A94F-F2767B0B5B56}">
  <we:reference id="wa200009404" version="1.0.0.8" store="en-US" storeType="OMEX"/>
  <we:alternateReferences>
    <we:reference id="wa200009404" version="1.0.0.8" store="WA200009404" storeType="OMEX"/>
  </we:alternateReferences>
  <we:properties>
    <we:property name="claude.fileId" value="&quot;4c128894-e116-4ea5-b2e0-d8a18523ce3f&quot;"/>
  </we:properties>
  <we:bindings/>
  <we:snapshot xmlns:r="http://schemas.openxmlformats.org/officeDocument/2006/relationships"/>
</we:webextension>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FE8C-47DA-4AA6-86F7-AA4F341C7C35}">
  <dimension ref="A1:A66"/>
  <sheetViews>
    <sheetView topLeftCell="A7" workbookViewId="0"/>
  </sheetViews>
  <sheetFormatPr defaultRowHeight="14.4" x14ac:dyDescent="0.3"/>
  <cols>
    <col min="1" max="1" width="144.44140625" customWidth="1"/>
  </cols>
  <sheetData>
    <row r="1" spans="1:1" ht="23.4" x14ac:dyDescent="0.3">
      <c r="A1" s="177" t="s">
        <v>0</v>
      </c>
    </row>
    <row r="2" spans="1:1" ht="15.6" x14ac:dyDescent="0.3">
      <c r="A2" s="179" t="s">
        <v>875</v>
      </c>
    </row>
    <row r="3" spans="1:1" ht="46.8" x14ac:dyDescent="0.3">
      <c r="A3" s="202" t="s">
        <v>876</v>
      </c>
    </row>
    <row r="4" spans="1:1" ht="28.8" x14ac:dyDescent="0.3">
      <c r="A4" s="288" t="s">
        <v>980</v>
      </c>
    </row>
    <row r="5" spans="1:1" ht="28.8" x14ac:dyDescent="0.3">
      <c r="A5" s="178" t="s">
        <v>343</v>
      </c>
    </row>
    <row r="6" spans="1:1" ht="15.6" x14ac:dyDescent="0.3">
      <c r="A6" s="179" t="s">
        <v>344</v>
      </c>
    </row>
    <row r="7" spans="1:1" ht="28.8" x14ac:dyDescent="0.3">
      <c r="A7" s="178" t="s">
        <v>345</v>
      </c>
    </row>
    <row r="8" spans="1:1" ht="28.8" x14ac:dyDescent="0.3">
      <c r="A8" s="178" t="s">
        <v>346</v>
      </c>
    </row>
    <row r="9" spans="1:1" ht="15.6" x14ac:dyDescent="0.3">
      <c r="A9" s="179" t="s">
        <v>347</v>
      </c>
    </row>
    <row r="10" spans="1:1" ht="28.8" x14ac:dyDescent="0.3">
      <c r="A10" s="180" t="s">
        <v>348</v>
      </c>
    </row>
    <row r="11" spans="1:1" x14ac:dyDescent="0.3">
      <c r="A11" s="181" t="s">
        <v>349</v>
      </c>
    </row>
    <row r="12" spans="1:1" ht="28.8" x14ac:dyDescent="0.3">
      <c r="A12" s="181" t="s">
        <v>350</v>
      </c>
    </row>
    <row r="13" spans="1:1" x14ac:dyDescent="0.3">
      <c r="A13" s="181" t="s">
        <v>351</v>
      </c>
    </row>
    <row r="14" spans="1:1" ht="15.6" x14ac:dyDescent="0.3">
      <c r="A14" s="182" t="s">
        <v>352</v>
      </c>
    </row>
    <row r="15" spans="1:1" x14ac:dyDescent="0.3">
      <c r="A15" s="181" t="s">
        <v>353</v>
      </c>
    </row>
    <row r="16" spans="1:1" x14ac:dyDescent="0.3">
      <c r="A16" s="181" t="s">
        <v>354</v>
      </c>
    </row>
    <row r="17" spans="1:1" x14ac:dyDescent="0.3">
      <c r="A17" s="181" t="s">
        <v>355</v>
      </c>
    </row>
    <row r="18" spans="1:1" x14ac:dyDescent="0.3">
      <c r="A18" s="181" t="s">
        <v>356</v>
      </c>
    </row>
    <row r="19" spans="1:1" ht="15.6" x14ac:dyDescent="0.3">
      <c r="A19" s="182" t="s">
        <v>357</v>
      </c>
    </row>
    <row r="20" spans="1:1" ht="28.8" x14ac:dyDescent="0.3">
      <c r="A20" s="180" t="s">
        <v>358</v>
      </c>
    </row>
    <row r="21" spans="1:1" ht="15.6" x14ac:dyDescent="0.3">
      <c r="A21" s="182" t="s">
        <v>359</v>
      </c>
    </row>
    <row r="22" spans="1:1" ht="28.8" x14ac:dyDescent="0.3">
      <c r="A22" s="178" t="s">
        <v>360</v>
      </c>
    </row>
    <row r="23" spans="1:1" ht="15.6" x14ac:dyDescent="0.3">
      <c r="A23" s="179" t="s">
        <v>361</v>
      </c>
    </row>
    <row r="24" spans="1:1" ht="43.2" x14ac:dyDescent="0.3">
      <c r="A24" s="178" t="s">
        <v>362</v>
      </c>
    </row>
    <row r="25" spans="1:1" ht="15.6" x14ac:dyDescent="0.3">
      <c r="A25" s="179" t="s">
        <v>363</v>
      </c>
    </row>
    <row r="26" spans="1:1" ht="43.2" x14ac:dyDescent="0.3">
      <c r="A26" s="178" t="s">
        <v>364</v>
      </c>
    </row>
    <row r="27" spans="1:1" ht="15.6" x14ac:dyDescent="0.3">
      <c r="A27" s="179" t="s">
        <v>365</v>
      </c>
    </row>
    <row r="28" spans="1:1" x14ac:dyDescent="0.3">
      <c r="A28" s="183" t="s">
        <v>164</v>
      </c>
    </row>
    <row r="29" spans="1:1" ht="28.8" x14ac:dyDescent="0.3">
      <c r="A29" s="178" t="s">
        <v>366</v>
      </c>
    </row>
    <row r="30" spans="1:1" x14ac:dyDescent="0.3">
      <c r="A30" s="183" t="s">
        <v>172</v>
      </c>
    </row>
    <row r="31" spans="1:1" ht="28.8" x14ac:dyDescent="0.3">
      <c r="A31" s="178" t="s">
        <v>367</v>
      </c>
    </row>
    <row r="32" spans="1:1" x14ac:dyDescent="0.3">
      <c r="A32" s="183" t="s">
        <v>174</v>
      </c>
    </row>
    <row r="33" spans="1:1" x14ac:dyDescent="0.3">
      <c r="A33" s="178" t="s">
        <v>368</v>
      </c>
    </row>
    <row r="34" spans="1:1" x14ac:dyDescent="0.3">
      <c r="A34" s="183" t="s">
        <v>369</v>
      </c>
    </row>
    <row r="35" spans="1:1" ht="28.8" x14ac:dyDescent="0.3">
      <c r="A35" s="178" t="s">
        <v>370</v>
      </c>
    </row>
    <row r="36" spans="1:1" x14ac:dyDescent="0.3">
      <c r="A36" s="183" t="s">
        <v>371</v>
      </c>
    </row>
    <row r="37" spans="1:1" ht="43.2" x14ac:dyDescent="0.3">
      <c r="A37" s="178" t="s">
        <v>372</v>
      </c>
    </row>
    <row r="38" spans="1:1" x14ac:dyDescent="0.3">
      <c r="A38" s="184" t="s">
        <v>373</v>
      </c>
    </row>
    <row r="39" spans="1:1" x14ac:dyDescent="0.3">
      <c r="A39" s="183" t="s">
        <v>181</v>
      </c>
    </row>
    <row r="40" spans="1:1" x14ac:dyDescent="0.3">
      <c r="A40" s="178" t="s">
        <v>374</v>
      </c>
    </row>
    <row r="41" spans="1:1" x14ac:dyDescent="0.3">
      <c r="A41" s="183" t="s">
        <v>375</v>
      </c>
    </row>
    <row r="42" spans="1:1" ht="28.8" x14ac:dyDescent="0.3">
      <c r="A42" s="178" t="s">
        <v>376</v>
      </c>
    </row>
    <row r="43" spans="1:1" ht="15.6" x14ac:dyDescent="0.3">
      <c r="A43" s="179" t="s">
        <v>377</v>
      </c>
    </row>
    <row r="44" spans="1:1" x14ac:dyDescent="0.3">
      <c r="A44" s="181" t="s">
        <v>378</v>
      </c>
    </row>
    <row r="45" spans="1:1" x14ac:dyDescent="0.3">
      <c r="A45" s="181" t="s">
        <v>379</v>
      </c>
    </row>
    <row r="46" spans="1:1" x14ac:dyDescent="0.3">
      <c r="A46" s="181" t="s">
        <v>380</v>
      </c>
    </row>
    <row r="47" spans="1:1" ht="15.6" x14ac:dyDescent="0.3">
      <c r="A47" s="182" t="s">
        <v>381</v>
      </c>
    </row>
    <row r="48" spans="1:1" ht="57.6" x14ac:dyDescent="0.3">
      <c r="A48" s="185" t="s">
        <v>382</v>
      </c>
    </row>
    <row r="50" spans="1:1" ht="15.6" x14ac:dyDescent="0.3">
      <c r="A50" s="179" t="s">
        <v>1381</v>
      </c>
    </row>
    <row r="51" spans="1:1" ht="43.2" x14ac:dyDescent="0.3">
      <c r="A51" s="178" t="s">
        <v>1382</v>
      </c>
    </row>
    <row r="52" spans="1:1" ht="43.2" x14ac:dyDescent="0.3">
      <c r="A52" s="178" t="s">
        <v>1383</v>
      </c>
    </row>
    <row r="53" spans="1:1" ht="28.8" x14ac:dyDescent="0.3">
      <c r="A53" s="184" t="s">
        <v>1384</v>
      </c>
    </row>
    <row r="54" spans="1:1" ht="15.6" x14ac:dyDescent="0.3">
      <c r="A54" s="179" t="s">
        <v>1385</v>
      </c>
    </row>
    <row r="55" spans="1:1" ht="28.8" x14ac:dyDescent="0.3">
      <c r="A55" s="178" t="s">
        <v>1386</v>
      </c>
    </row>
    <row r="56" spans="1:1" x14ac:dyDescent="0.3">
      <c r="A56" s="183" t="s">
        <v>1387</v>
      </c>
    </row>
    <row r="57" spans="1:1" ht="28.8" x14ac:dyDescent="0.3">
      <c r="A57" s="178" t="s">
        <v>1388</v>
      </c>
    </row>
    <row r="58" spans="1:1" ht="28.8" x14ac:dyDescent="0.3">
      <c r="A58" s="178" t="s">
        <v>1389</v>
      </c>
    </row>
    <row r="59" spans="1:1" x14ac:dyDescent="0.3">
      <c r="A59" s="183" t="s">
        <v>1390</v>
      </c>
    </row>
    <row r="60" spans="1:1" ht="28.8" x14ac:dyDescent="0.3">
      <c r="A60" s="180" t="s">
        <v>1391</v>
      </c>
    </row>
    <row r="61" spans="1:1" ht="28.8" x14ac:dyDescent="0.3">
      <c r="A61" s="180" t="s">
        <v>1392</v>
      </c>
    </row>
    <row r="62" spans="1:1" ht="28.8" x14ac:dyDescent="0.3">
      <c r="A62" s="180" t="s">
        <v>1393</v>
      </c>
    </row>
    <row r="63" spans="1:1" x14ac:dyDescent="0.3">
      <c r="A63" s="180" t="s">
        <v>1394</v>
      </c>
    </row>
    <row r="64" spans="1:1" x14ac:dyDescent="0.3">
      <c r="A64" s="180" t="s">
        <v>1395</v>
      </c>
    </row>
    <row r="65" spans="1:1" ht="28.8" x14ac:dyDescent="0.3">
      <c r="A65" s="180" t="s">
        <v>1396</v>
      </c>
    </row>
    <row r="66" spans="1:1" x14ac:dyDescent="0.3">
      <c r="A66" s="180" t="s">
        <v>1397</v>
      </c>
    </row>
  </sheetData>
  <sheetProtection algorithmName="SHA-512" hashValue="9+mHak3IDnaZRGGh5kpxHl7nU0EJ/LB6DQs9fQOV8iVPrupenZwdFEPHr7KToaVhG3NHSo6GJzgHAV+IOPhAIw==" saltValue="0xvfusStdTQwgpLSv7kSJQ==" spinCount="100000" sheet="1" objects="1" scenarios="1"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EFCF-5C75-43AA-B730-390252BBA709}">
  <dimension ref="A1:D74"/>
  <sheetViews>
    <sheetView workbookViewId="0">
      <pane ySplit="3" topLeftCell="A4" activePane="bottomLeft" state="frozen"/>
      <selection pane="bottomLeft" activeCell="C22" sqref="C22"/>
    </sheetView>
  </sheetViews>
  <sheetFormatPr defaultRowHeight="14.4" x14ac:dyDescent="0.3"/>
  <cols>
    <col min="1" max="1" width="39.77734375" customWidth="1"/>
    <col min="2" max="2" width="25.88671875" customWidth="1"/>
    <col min="3" max="3" width="50" customWidth="1"/>
    <col min="4" max="4" width="50.88671875" customWidth="1"/>
  </cols>
  <sheetData>
    <row r="1" spans="1:4" ht="23.4" x14ac:dyDescent="0.3">
      <c r="A1" s="204" t="s">
        <v>882</v>
      </c>
      <c r="B1" s="204"/>
      <c r="C1" s="204"/>
      <c r="D1" s="204"/>
    </row>
    <row r="2" spans="1:4" ht="15.6" x14ac:dyDescent="0.3">
      <c r="A2" s="205" t="s">
        <v>875</v>
      </c>
      <c r="B2" s="205"/>
      <c r="C2" s="205"/>
      <c r="D2" s="205"/>
    </row>
    <row r="3" spans="1:4" x14ac:dyDescent="0.3">
      <c r="A3" s="206" t="s">
        <v>883</v>
      </c>
      <c r="B3" s="206"/>
      <c r="C3" s="206"/>
      <c r="D3" s="206"/>
    </row>
    <row r="5" spans="1:4" ht="15.6" x14ac:dyDescent="0.3">
      <c r="A5" s="205" t="s">
        <v>884</v>
      </c>
      <c r="B5" s="205"/>
      <c r="C5" s="205"/>
      <c r="D5" s="205"/>
    </row>
    <row r="6" spans="1:4" x14ac:dyDescent="0.3">
      <c r="A6" s="206" t="s">
        <v>885</v>
      </c>
      <c r="B6" s="206"/>
      <c r="C6" s="206"/>
      <c r="D6" s="206"/>
    </row>
    <row r="7" spans="1:4" x14ac:dyDescent="0.3">
      <c r="A7" s="208" t="str">
        <f>"Live status:  ERRORS = "&amp;'Data Quality'!$E$2&amp;"    WARNINGS = "&amp;'Data Quality'!$G$2&amp;"    ROWS PASSED = "&amp;'Data Quality'!$I$2&amp;"    →  "&amp;IF('Data Quality'!$E$2&gt;0,"DO NOT rely on the analytics until the errors are cleared.",IF('Data Quality'!$G$2&gt;0,"Usable, but review the warnings.","Data is clean."))</f>
        <v>Live status:  ERRORS = 2    WARNINGS = 14    ROWS PASSED = 132    →  DO NOT rely on the analytics until the errors are cleared.</v>
      </c>
      <c r="B7" s="159"/>
      <c r="C7" s="159"/>
      <c r="D7" s="159"/>
    </row>
    <row r="9" spans="1:4" ht="15.6" x14ac:dyDescent="0.3">
      <c r="A9" s="205" t="s">
        <v>886</v>
      </c>
      <c r="B9" s="205"/>
      <c r="C9" s="205"/>
      <c r="D9" s="205"/>
    </row>
    <row r="10" spans="1:4" x14ac:dyDescent="0.3">
      <c r="A10" s="206" t="s">
        <v>887</v>
      </c>
      <c r="B10" s="206"/>
      <c r="C10" s="206"/>
      <c r="D10" s="206"/>
    </row>
    <row r="11" spans="1:4" x14ac:dyDescent="0.3">
      <c r="A11" s="206" t="s">
        <v>888</v>
      </c>
      <c r="B11" s="206"/>
      <c r="C11" s="206"/>
      <c r="D11" s="206"/>
    </row>
    <row r="13" spans="1:4" ht="15.6" x14ac:dyDescent="0.3">
      <c r="A13" s="205" t="s">
        <v>889</v>
      </c>
      <c r="B13" s="205"/>
      <c r="C13" s="205"/>
      <c r="D13" s="205"/>
    </row>
    <row r="14" spans="1:4" x14ac:dyDescent="0.3">
      <c r="A14" s="206" t="s">
        <v>890</v>
      </c>
      <c r="B14" s="206"/>
      <c r="C14" s="206"/>
      <c r="D14" s="206"/>
    </row>
    <row r="15" spans="1:4" x14ac:dyDescent="0.3">
      <c r="A15" s="206" t="s">
        <v>891</v>
      </c>
      <c r="B15" s="206"/>
      <c r="C15" s="206"/>
      <c r="D15" s="206"/>
    </row>
    <row r="17" spans="1:4" x14ac:dyDescent="0.3">
      <c r="A17" s="212" t="s">
        <v>892</v>
      </c>
      <c r="B17" s="213" t="s">
        <v>893</v>
      </c>
      <c r="C17" s="213" t="s">
        <v>894</v>
      </c>
      <c r="D17" s="214" t="s">
        <v>895</v>
      </c>
    </row>
    <row r="18" spans="1:4" ht="27.6" x14ac:dyDescent="0.3">
      <c r="A18" s="215" t="s">
        <v>896</v>
      </c>
      <c r="B18" s="216" t="s">
        <v>897</v>
      </c>
      <c r="C18" s="216" t="s">
        <v>898</v>
      </c>
      <c r="D18" s="217" t="s">
        <v>899</v>
      </c>
    </row>
    <row r="19" spans="1:4" ht="27.6" x14ac:dyDescent="0.3">
      <c r="A19" s="218" t="s">
        <v>900</v>
      </c>
      <c r="B19" s="219" t="s">
        <v>901</v>
      </c>
      <c r="C19" s="219" t="s">
        <v>902</v>
      </c>
      <c r="D19" s="220" t="s">
        <v>903</v>
      </c>
    </row>
    <row r="20" spans="1:4" ht="27.6" x14ac:dyDescent="0.3">
      <c r="A20" s="221" t="s">
        <v>904</v>
      </c>
      <c r="B20" s="222" t="s">
        <v>905</v>
      </c>
      <c r="C20" s="222" t="s">
        <v>906</v>
      </c>
      <c r="D20" s="223" t="s">
        <v>907</v>
      </c>
    </row>
    <row r="21" spans="1:4" ht="27.6" x14ac:dyDescent="0.3">
      <c r="A21" s="224" t="s">
        <v>908</v>
      </c>
      <c r="B21" s="225" t="s">
        <v>909</v>
      </c>
      <c r="C21" s="225" t="s">
        <v>910</v>
      </c>
      <c r="D21" s="226" t="s">
        <v>911</v>
      </c>
    </row>
    <row r="22" spans="1:4" ht="27.6" x14ac:dyDescent="0.3">
      <c r="A22" s="227" t="s">
        <v>912</v>
      </c>
      <c r="B22" s="228" t="s">
        <v>913</v>
      </c>
      <c r="C22" s="228" t="s">
        <v>914</v>
      </c>
      <c r="D22" s="229" t="s">
        <v>915</v>
      </c>
    </row>
    <row r="23" spans="1:4" x14ac:dyDescent="0.3">
      <c r="A23" s="230"/>
      <c r="B23" s="231"/>
      <c r="C23" s="231"/>
      <c r="D23" s="232"/>
    </row>
    <row r="24" spans="1:4" ht="15.6" x14ac:dyDescent="0.3">
      <c r="A24" s="233" t="s">
        <v>916</v>
      </c>
      <c r="B24" s="234"/>
      <c r="C24" s="234"/>
      <c r="D24" s="235"/>
    </row>
    <row r="25" spans="1:4" x14ac:dyDescent="0.3">
      <c r="A25" s="236" t="s">
        <v>917</v>
      </c>
      <c r="B25" s="237"/>
      <c r="C25" s="237"/>
      <c r="D25" s="238"/>
    </row>
    <row r="26" spans="1:4" x14ac:dyDescent="0.3">
      <c r="A26" s="239" t="s">
        <v>918</v>
      </c>
      <c r="B26" s="240" t="s">
        <v>919</v>
      </c>
      <c r="C26" s="240" t="s">
        <v>920</v>
      </c>
      <c r="D26" s="241" t="s">
        <v>921</v>
      </c>
    </row>
    <row r="27" spans="1:4" x14ac:dyDescent="0.3">
      <c r="A27" s="221" t="s">
        <v>922</v>
      </c>
      <c r="B27" s="242">
        <v>0.3</v>
      </c>
      <c r="C27" s="222" t="s">
        <v>923</v>
      </c>
      <c r="D27" s="223" t="s">
        <v>924</v>
      </c>
    </row>
    <row r="28" spans="1:4" ht="27.6" x14ac:dyDescent="0.3">
      <c r="A28" s="243" t="s">
        <v>925</v>
      </c>
      <c r="B28" s="244">
        <v>0.2</v>
      </c>
      <c r="C28" s="245" t="s">
        <v>926</v>
      </c>
      <c r="D28" s="246" t="s">
        <v>927</v>
      </c>
    </row>
    <row r="29" spans="1:4" x14ac:dyDescent="0.3">
      <c r="A29" s="221" t="s">
        <v>928</v>
      </c>
      <c r="B29" s="242">
        <v>0.15</v>
      </c>
      <c r="C29" s="222" t="s">
        <v>929</v>
      </c>
      <c r="D29" s="223" t="s">
        <v>930</v>
      </c>
    </row>
    <row r="30" spans="1:4" x14ac:dyDescent="0.3">
      <c r="A30" s="243" t="s">
        <v>931</v>
      </c>
      <c r="B30" s="244">
        <v>0.15</v>
      </c>
      <c r="C30" s="245" t="s">
        <v>932</v>
      </c>
      <c r="D30" s="246" t="s">
        <v>933</v>
      </c>
    </row>
    <row r="31" spans="1:4" x14ac:dyDescent="0.3">
      <c r="A31" s="221" t="s">
        <v>934</v>
      </c>
      <c r="B31" s="242">
        <v>0.1</v>
      </c>
      <c r="C31" s="222" t="s">
        <v>935</v>
      </c>
      <c r="D31" s="223" t="s">
        <v>936</v>
      </c>
    </row>
    <row r="32" spans="1:4" ht="27.6" x14ac:dyDescent="0.3">
      <c r="A32" s="247" t="s">
        <v>937</v>
      </c>
      <c r="B32" s="248">
        <v>0.1</v>
      </c>
      <c r="C32" s="249" t="s">
        <v>938</v>
      </c>
      <c r="D32" s="250" t="s">
        <v>939</v>
      </c>
    </row>
    <row r="34" spans="1:4" ht="15.6" x14ac:dyDescent="0.3">
      <c r="A34" s="205" t="s">
        <v>940</v>
      </c>
      <c r="B34" s="205"/>
      <c r="C34" s="205"/>
      <c r="D34" s="205"/>
    </row>
    <row r="35" spans="1:4" x14ac:dyDescent="0.3">
      <c r="A35" s="251" t="str">
        <f>"This example follows the security selected in Settings!C14 ("&amp;Settings!$C$14&amp;") on "&amp;TEXT(Settings!$C$13,"yyyy-mm-dd")&amp;". Change either setting and the numbers below recalculate."</f>
        <v>This example follows the security selected in Settings!C14 (CRDB) on 2026-08-14. Change either setting and the numbers below recalculate.</v>
      </c>
      <c r="B35" s="159"/>
      <c r="C35" s="159"/>
      <c r="D35" s="159"/>
    </row>
    <row r="36" spans="1:4" x14ac:dyDescent="0.3">
      <c r="A36" s="31" t="s">
        <v>941</v>
      </c>
      <c r="B36" s="31" t="s">
        <v>942</v>
      </c>
      <c r="C36" s="31" t="s">
        <v>943</v>
      </c>
      <c r="D36" s="31" t="s">
        <v>944</v>
      </c>
    </row>
    <row r="37" spans="1:4" x14ac:dyDescent="0.3">
      <c r="A37" s="126" t="s">
        <v>945</v>
      </c>
      <c r="B37" s="127">
        <f>IFERROR(INDEX('Daily Data'!$AO$4:$AO$503,MATCH(Settings!$C$14&amp;"|"&amp;TEXT(Settings!$C$13,"yyyy-mm-dd"),'Daily Data'!$AU$4:$AU$503,0)),"no data")</f>
        <v>100</v>
      </c>
      <c r="C37" s="253">
        <f>Settings!$C$32</f>
        <v>0.3</v>
      </c>
      <c r="D37" s="254">
        <f>IF(NOT(ISNUMBER($B37)),"",$B37*$C37)</f>
        <v>30</v>
      </c>
    </row>
    <row r="38" spans="1:4" x14ac:dyDescent="0.3">
      <c r="A38" t="s">
        <v>946</v>
      </c>
      <c r="B38" s="22">
        <f>IFERROR(INDEX('Daily Data'!$AP$4:$AP$503,MATCH(Settings!$C$14&amp;"|"&amp;TEXT(Settings!$C$13,"yyyy-mm-dd"),'Daily Data'!$AU$4:$AU$503,0)),"no data")</f>
        <v>50</v>
      </c>
      <c r="C38" s="209">
        <f>Settings!$C$33</f>
        <v>0.2</v>
      </c>
      <c r="D38" s="252">
        <f>IF(NOT(ISNUMBER($B38)),"",$B38*$C38)</f>
        <v>10</v>
      </c>
    </row>
    <row r="39" spans="1:4" x14ac:dyDescent="0.3">
      <c r="A39" s="126" t="s">
        <v>947</v>
      </c>
      <c r="B39" s="127">
        <f>IFERROR(INDEX('Daily Data'!$AQ$4:$AQ$503,MATCH(Settings!$C$14&amp;"|"&amp;TEXT(Settings!$C$13,"yyyy-mm-dd"),'Daily Data'!$AU$4:$AU$503,0)),"no data")</f>
        <v>50</v>
      </c>
      <c r="C39" s="253">
        <f>Settings!$C$34</f>
        <v>0.15</v>
      </c>
      <c r="D39" s="254">
        <f>IF(NOT(ISNUMBER($B39)),"",$B39*$C39)</f>
        <v>7.5</v>
      </c>
    </row>
    <row r="40" spans="1:4" x14ac:dyDescent="0.3">
      <c r="A40" t="s">
        <v>948</v>
      </c>
      <c r="B40" s="22">
        <f>IFERROR(INDEX('Daily Data'!$AR$4:$AR$503,MATCH(Settings!$C$14&amp;"|"&amp;TEXT(Settings!$C$13,"yyyy-mm-dd"),'Daily Data'!$AU$4:$AU$503,0)),"no data")</f>
        <v>50</v>
      </c>
      <c r="C40" s="209">
        <f>Settings!$C$35</f>
        <v>0.15</v>
      </c>
      <c r="D40" s="252">
        <f>IF(NOT(ISNUMBER($B40)),"",$B40*$C40)</f>
        <v>7.5</v>
      </c>
    </row>
    <row r="41" spans="1:4" x14ac:dyDescent="0.3">
      <c r="A41" s="126" t="s">
        <v>949</v>
      </c>
      <c r="B41" s="127">
        <f>IFERROR(INDEX('Daily Data'!$AS$4:$AS$503,MATCH(Settings!$C$14&amp;"|"&amp;TEXT(Settings!$C$13,"yyyy-mm-dd"),'Daily Data'!$AU$4:$AU$503,0)),"no data")</f>
        <v>60.084587830900915</v>
      </c>
      <c r="C41" s="253">
        <f>Settings!$C$36</f>
        <v>0.1</v>
      </c>
      <c r="D41" s="254">
        <f>IF(NOT(ISNUMBER($B41)),"",$B41*$C41)</f>
        <v>6.0084587830900915</v>
      </c>
    </row>
    <row r="42" spans="1:4" x14ac:dyDescent="0.3">
      <c r="A42" t="s">
        <v>950</v>
      </c>
      <c r="B42" s="22">
        <f>IFERROR(INDEX('Daily Data'!$AT$4:$AT$503,MATCH(Settings!$C$14&amp;"|"&amp;TEXT(Settings!$C$13,"yyyy-mm-dd"),'Daily Data'!$AU$4:$AU$503,0)),"no data")</f>
        <v>96.35</v>
      </c>
      <c r="C42" s="209">
        <f>Settings!$C$37</f>
        <v>0.1</v>
      </c>
      <c r="D42" s="252">
        <f>IF(NOT(ISNUMBER($B42)),"",$B42*$C42)</f>
        <v>9.6349999999999998</v>
      </c>
    </row>
    <row r="43" spans="1:4" x14ac:dyDescent="0.3">
      <c r="A43" s="4" t="s">
        <v>951</v>
      </c>
      <c r="B43" s="4"/>
      <c r="C43" s="255">
        <f>SUM($C$37:$C$42)</f>
        <v>1</v>
      </c>
      <c r="D43" s="77">
        <f>IFERROR(ROUND(SUM($D$37:$D$42)/SUM($C$37:$C$42),1),"no data")</f>
        <v>70.599999999999994</v>
      </c>
    </row>
    <row r="44" spans="1:4" x14ac:dyDescent="0.3">
      <c r="A44" s="4" t="s">
        <v>952</v>
      </c>
      <c r="B44" s="4"/>
      <c r="C44" s="4"/>
      <c r="D44" s="4" t="str">
        <f>IFERROR(INDEX('Daily Data'!$AJ$4:$AJ$503,MATCH(Settings!$C$14&amp;"|"&amp;TEXT(Settings!$C$13,"yyyy-mm-dd"),'Daily Data'!$AU$4:$AU$503,0)),"no data")</f>
        <v>Buy Pressure</v>
      </c>
    </row>
    <row r="45" spans="1:4" x14ac:dyDescent="0.3">
      <c r="A45" s="126" t="s">
        <v>953</v>
      </c>
      <c r="B45" s="126"/>
      <c r="C45" s="126"/>
      <c r="D45" s="127">
        <f>IFERROR(INDEX('Daily Data'!$AI$4:$AI$503,MATCH(Settings!$C$14&amp;"|"&amp;TEXT(Settings!$C$13,"yyyy-mm-dd"),'Daily Data'!$AU$4:$AU$503,0)),"no data")</f>
        <v>75</v>
      </c>
    </row>
    <row r="47" spans="1:4" ht="15.6" x14ac:dyDescent="0.3">
      <c r="A47" s="205" t="s">
        <v>954</v>
      </c>
      <c r="B47" s="205"/>
      <c r="C47" s="205"/>
      <c r="D47" s="205"/>
    </row>
    <row r="48" spans="1:4" x14ac:dyDescent="0.3">
      <c r="A48" s="258" t="s">
        <v>955</v>
      </c>
      <c r="B48" s="258" t="s">
        <v>956</v>
      </c>
      <c r="C48" s="259" t="s">
        <v>957</v>
      </c>
      <c r="D48" s="259"/>
    </row>
    <row r="49" spans="1:4" ht="27.6" x14ac:dyDescent="0.3">
      <c r="A49" s="210" t="s">
        <v>244</v>
      </c>
      <c r="B49" s="210" t="s">
        <v>958</v>
      </c>
      <c r="C49" s="260" t="s">
        <v>959</v>
      </c>
      <c r="D49" s="260"/>
    </row>
    <row r="50" spans="1:4" x14ac:dyDescent="0.3">
      <c r="A50" s="211" t="s">
        <v>960</v>
      </c>
      <c r="B50" s="211" t="s">
        <v>961</v>
      </c>
      <c r="C50" s="261" t="s">
        <v>962</v>
      </c>
      <c r="D50" s="261"/>
    </row>
    <row r="51" spans="1:4" x14ac:dyDescent="0.3">
      <c r="A51" s="210" t="s">
        <v>963</v>
      </c>
      <c r="B51" s="210" t="s">
        <v>964</v>
      </c>
      <c r="C51" s="260" t="s">
        <v>965</v>
      </c>
      <c r="D51" s="260"/>
    </row>
    <row r="52" spans="1:4" x14ac:dyDescent="0.3">
      <c r="A52" s="211" t="s">
        <v>966</v>
      </c>
      <c r="B52" s="211" t="s">
        <v>967</v>
      </c>
      <c r="C52" s="261" t="s">
        <v>968</v>
      </c>
      <c r="D52" s="261"/>
    </row>
    <row r="53" spans="1:4" x14ac:dyDescent="0.3">
      <c r="A53" s="262" t="s">
        <v>969</v>
      </c>
      <c r="B53" s="262" t="s">
        <v>970</v>
      </c>
      <c r="C53" s="263" t="s">
        <v>971</v>
      </c>
      <c r="D53" s="263"/>
    </row>
    <row r="55" spans="1:4" ht="15.6" x14ac:dyDescent="0.3">
      <c r="A55" s="205" t="s">
        <v>972</v>
      </c>
      <c r="B55" s="205"/>
      <c r="C55" s="205"/>
      <c r="D55" s="205"/>
    </row>
    <row r="56" spans="1:4" x14ac:dyDescent="0.3">
      <c r="A56" s="256" t="s">
        <v>973</v>
      </c>
      <c r="B56" s="256"/>
      <c r="C56" s="256"/>
      <c r="D56" s="256"/>
    </row>
    <row r="57" spans="1:4" x14ac:dyDescent="0.3">
      <c r="A57" s="256" t="s">
        <v>974</v>
      </c>
      <c r="B57" s="256"/>
      <c r="C57" s="256"/>
      <c r="D57" s="256"/>
    </row>
    <row r="58" spans="1:4" x14ac:dyDescent="0.3">
      <c r="A58" s="256" t="s">
        <v>975</v>
      </c>
      <c r="B58" s="256"/>
      <c r="C58" s="256"/>
      <c r="D58" s="256"/>
    </row>
    <row r="59" spans="1:4" x14ac:dyDescent="0.3">
      <c r="A59" s="256" t="s">
        <v>976</v>
      </c>
      <c r="B59" s="256"/>
      <c r="C59" s="256"/>
      <c r="D59" s="256"/>
    </row>
    <row r="60" spans="1:4" x14ac:dyDescent="0.3">
      <c r="A60" s="256" t="s">
        <v>977</v>
      </c>
      <c r="B60" s="256"/>
      <c r="C60" s="256"/>
      <c r="D60" s="256"/>
    </row>
    <row r="62" spans="1:4" x14ac:dyDescent="0.3">
      <c r="A62" s="257" t="s">
        <v>978</v>
      </c>
      <c r="B62" s="257"/>
      <c r="C62" s="257"/>
      <c r="D62" s="257"/>
    </row>
    <row r="64" spans="1:4" ht="15.6" x14ac:dyDescent="0.3">
      <c r="A64" s="205" t="s">
        <v>1398</v>
      </c>
      <c r="B64" s="205"/>
      <c r="C64" s="205"/>
      <c r="D64" s="205"/>
    </row>
    <row r="65" spans="1:4" x14ac:dyDescent="0.3">
      <c r="A65" s="206" t="s">
        <v>1399</v>
      </c>
      <c r="B65" s="206"/>
      <c r="C65" s="206"/>
      <c r="D65" s="206"/>
    </row>
    <row r="66" spans="1:4" x14ac:dyDescent="0.3">
      <c r="A66" s="206" t="s">
        <v>1400</v>
      </c>
      <c r="B66" s="206"/>
      <c r="C66" s="206"/>
      <c r="D66" s="206"/>
    </row>
    <row r="67" spans="1:4" x14ac:dyDescent="0.3">
      <c r="A67" s="390" t="s">
        <v>1401</v>
      </c>
      <c r="B67" s="390"/>
      <c r="C67" s="390"/>
      <c r="D67" s="390"/>
    </row>
    <row r="68" spans="1:4" x14ac:dyDescent="0.3">
      <c r="A68" s="390" t="s">
        <v>1402</v>
      </c>
      <c r="B68" s="390"/>
      <c r="C68" s="390"/>
      <c r="D68" s="390"/>
    </row>
    <row r="69" spans="1:4" x14ac:dyDescent="0.3">
      <c r="A69" s="390" t="s">
        <v>1403</v>
      </c>
      <c r="B69" s="390"/>
      <c r="C69" s="390"/>
      <c r="D69" s="390"/>
    </row>
    <row r="70" spans="1:4" x14ac:dyDescent="0.3">
      <c r="A70" s="390" t="s">
        <v>1404</v>
      </c>
      <c r="B70" s="390"/>
      <c r="C70" s="390"/>
      <c r="D70" s="390"/>
    </row>
    <row r="71" spans="1:4" x14ac:dyDescent="0.3">
      <c r="A71" s="390" t="s">
        <v>1405</v>
      </c>
      <c r="B71" s="390"/>
      <c r="C71" s="390"/>
      <c r="D71" s="390"/>
    </row>
    <row r="72" spans="1:4" x14ac:dyDescent="0.3">
      <c r="A72" s="206" t="s">
        <v>1406</v>
      </c>
      <c r="B72" s="206"/>
      <c r="C72" s="206"/>
      <c r="D72" s="206"/>
    </row>
    <row r="73" spans="1:4" x14ac:dyDescent="0.3">
      <c r="A73" s="390" t="s">
        <v>1407</v>
      </c>
      <c r="B73" s="390"/>
      <c r="C73" s="390"/>
      <c r="D73" s="390"/>
    </row>
    <row r="74" spans="1:4" x14ac:dyDescent="0.3">
      <c r="A74" s="257" t="s">
        <v>1408</v>
      </c>
      <c r="B74" s="257"/>
      <c r="C74" s="257"/>
      <c r="D74" s="257"/>
    </row>
  </sheetData>
  <sheetProtection algorithmName="SHA-512" hashValue="YeJ8K9ts36X2BF559ERRan89GnabN8XAJGujSJp1eaal99aPOjmzqsCHrgIwbebkAz+rLNgvADmg8stAajqGNA==" saltValue="fY4dhCqbewobFVpvUHzdoQ==" spinCount="100000" sheet="1" objects="1" scenarios="1" sort="0" autoFilter="0"/>
  <mergeCells count="41">
    <mergeCell ref="A70:D70"/>
    <mergeCell ref="A71:D71"/>
    <mergeCell ref="A72:D72"/>
    <mergeCell ref="A73:D73"/>
    <mergeCell ref="A74:D74"/>
    <mergeCell ref="A64:D64"/>
    <mergeCell ref="A65:D65"/>
    <mergeCell ref="A66:D66"/>
    <mergeCell ref="A67:D67"/>
    <mergeCell ref="A68:D68"/>
    <mergeCell ref="A69:D69"/>
    <mergeCell ref="A56:D56"/>
    <mergeCell ref="A57:D57"/>
    <mergeCell ref="A58:D58"/>
    <mergeCell ref="A59:D59"/>
    <mergeCell ref="A60:D60"/>
    <mergeCell ref="A62:D62"/>
    <mergeCell ref="C49:D49"/>
    <mergeCell ref="C50:D50"/>
    <mergeCell ref="C51:D51"/>
    <mergeCell ref="C52:D52"/>
    <mergeCell ref="C53:D53"/>
    <mergeCell ref="A55:D55"/>
    <mergeCell ref="A24:D24"/>
    <mergeCell ref="A25:D25"/>
    <mergeCell ref="A34:D34"/>
    <mergeCell ref="A35:D35"/>
    <mergeCell ref="A47:D47"/>
    <mergeCell ref="C48:D48"/>
    <mergeCell ref="A9:D9"/>
    <mergeCell ref="A10:D10"/>
    <mergeCell ref="A11:D11"/>
    <mergeCell ref="A13:D13"/>
    <mergeCell ref="A14:D14"/>
    <mergeCell ref="A15:D15"/>
    <mergeCell ref="A1:D1"/>
    <mergeCell ref="A2:D2"/>
    <mergeCell ref="A3:D3"/>
    <mergeCell ref="A5:D5"/>
    <mergeCell ref="A6:D6"/>
    <mergeCell ref="A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F3F1-2948-41CB-AB69-2B2FEA93DF42}">
  <dimension ref="A1:D105"/>
  <sheetViews>
    <sheetView workbookViewId="0">
      <pane ySplit="3" topLeftCell="A4" activePane="bottomLeft" state="frozen"/>
      <selection pane="bottomLeft"/>
    </sheetView>
  </sheetViews>
  <sheetFormatPr defaultRowHeight="14.4" x14ac:dyDescent="0.3"/>
  <cols>
    <col min="1" max="1" width="3.6640625" customWidth="1"/>
    <col min="2" max="2" width="42.5546875" customWidth="1"/>
    <col min="3" max="3" width="22.21875" customWidth="1"/>
    <col min="4" max="4" width="63" customWidth="1"/>
  </cols>
  <sheetData>
    <row r="1" spans="1:4" ht="23.4" x14ac:dyDescent="0.45">
      <c r="A1" s="1">
        <v>0.03</v>
      </c>
    </row>
    <row r="2" spans="1:4" x14ac:dyDescent="0.3">
      <c r="A2" s="2" t="s">
        <v>1</v>
      </c>
    </row>
    <row r="3" spans="1:4" x14ac:dyDescent="0.3">
      <c r="B3" s="7" t="s">
        <v>2</v>
      </c>
      <c r="C3" s="7" t="s">
        <v>3</v>
      </c>
      <c r="D3" s="7" t="s">
        <v>4</v>
      </c>
    </row>
    <row r="4" spans="1:4" x14ac:dyDescent="0.3">
      <c r="B4" s="8" t="s">
        <v>5</v>
      </c>
      <c r="C4" s="8"/>
      <c r="D4" s="8"/>
    </row>
    <row r="5" spans="1:4" x14ac:dyDescent="0.3">
      <c r="B5" s="9" t="s">
        <v>877</v>
      </c>
      <c r="C5" s="203" t="s">
        <v>6</v>
      </c>
      <c r="D5" s="10" t="s">
        <v>878</v>
      </c>
    </row>
    <row r="6" spans="1:4" x14ac:dyDescent="0.3">
      <c r="B6" s="9" t="s">
        <v>879</v>
      </c>
      <c r="C6" s="203" t="s">
        <v>880</v>
      </c>
      <c r="D6" s="10" t="s">
        <v>881</v>
      </c>
    </row>
    <row r="7" spans="1:4" x14ac:dyDescent="0.3">
      <c r="B7" s="9" t="s">
        <v>9</v>
      </c>
      <c r="C7" s="281" t="s">
        <v>10</v>
      </c>
      <c r="D7" s="10" t="s">
        <v>11</v>
      </c>
    </row>
    <row r="8" spans="1:4" x14ac:dyDescent="0.3">
      <c r="B8" s="9" t="s">
        <v>12</v>
      </c>
      <c r="C8" s="281" t="s">
        <v>1107</v>
      </c>
      <c r="D8" s="10" t="s">
        <v>13</v>
      </c>
    </row>
    <row r="9" spans="1:4" x14ac:dyDescent="0.3">
      <c r="B9" s="9" t="s">
        <v>14</v>
      </c>
      <c r="C9" s="281"/>
      <c r="D9" s="10" t="s">
        <v>15</v>
      </c>
    </row>
    <row r="10" spans="1:4" x14ac:dyDescent="0.3">
      <c r="B10" s="9" t="s">
        <v>16</v>
      </c>
      <c r="C10" s="281">
        <v>46265</v>
      </c>
      <c r="D10" s="10" t="s">
        <v>17</v>
      </c>
    </row>
    <row r="11" spans="1:4" x14ac:dyDescent="0.3">
      <c r="B11" s="9" t="s">
        <v>18</v>
      </c>
      <c r="C11" s="281"/>
      <c r="D11" s="10" t="s">
        <v>17</v>
      </c>
    </row>
    <row r="12" spans="1:4" x14ac:dyDescent="0.3">
      <c r="B12" s="8" t="s">
        <v>19</v>
      </c>
      <c r="C12" s="8"/>
      <c r="D12" s="8"/>
    </row>
    <row r="13" spans="1:4" x14ac:dyDescent="0.3">
      <c r="B13" s="9" t="s">
        <v>20</v>
      </c>
      <c r="C13" s="282">
        <v>46248</v>
      </c>
      <c r="D13" s="10" t="s">
        <v>21</v>
      </c>
    </row>
    <row r="14" spans="1:4" x14ac:dyDescent="0.3">
      <c r="B14" s="9" t="s">
        <v>22</v>
      </c>
      <c r="C14" s="281" t="s">
        <v>23</v>
      </c>
      <c r="D14" s="10" t="s">
        <v>24</v>
      </c>
    </row>
    <row r="15" spans="1:4" x14ac:dyDescent="0.3">
      <c r="B15" s="9" t="s">
        <v>25</v>
      </c>
      <c r="C15" s="281" t="s">
        <v>23</v>
      </c>
      <c r="D15" s="10" t="s">
        <v>26</v>
      </c>
    </row>
    <row r="16" spans="1:4" x14ac:dyDescent="0.3">
      <c r="B16" s="9" t="s">
        <v>27</v>
      </c>
      <c r="C16" s="281" t="s">
        <v>28</v>
      </c>
      <c r="D16" s="10" t="s">
        <v>26</v>
      </c>
    </row>
    <row r="17" spans="2:4" x14ac:dyDescent="0.3">
      <c r="B17" s="9" t="s">
        <v>29</v>
      </c>
      <c r="C17" s="281">
        <v>33</v>
      </c>
      <c r="D17" s="10" t="s">
        <v>30</v>
      </c>
    </row>
    <row r="18" spans="2:4" x14ac:dyDescent="0.3">
      <c r="B18" s="9" t="s">
        <v>31</v>
      </c>
      <c r="C18" s="281">
        <v>2026</v>
      </c>
      <c r="D18" s="10" t="s">
        <v>32</v>
      </c>
    </row>
    <row r="19" spans="2:4" x14ac:dyDescent="0.3">
      <c r="B19" s="9" t="s">
        <v>33</v>
      </c>
      <c r="C19" s="281">
        <v>8</v>
      </c>
      <c r="D19" s="10" t="s">
        <v>34</v>
      </c>
    </row>
    <row r="20" spans="2:4" x14ac:dyDescent="0.3">
      <c r="B20" s="8" t="s">
        <v>35</v>
      </c>
      <c r="C20" s="8"/>
      <c r="D20" s="8"/>
    </row>
    <row r="21" spans="2:4" x14ac:dyDescent="0.3">
      <c r="B21" s="9" t="s">
        <v>36</v>
      </c>
      <c r="C21" s="281">
        <v>5</v>
      </c>
      <c r="D21" s="10" t="s">
        <v>37</v>
      </c>
    </row>
    <row r="22" spans="2:4" x14ac:dyDescent="0.3">
      <c r="B22" s="9" t="s">
        <v>38</v>
      </c>
      <c r="C22" s="281">
        <v>20</v>
      </c>
      <c r="D22" s="10" t="s">
        <v>39</v>
      </c>
    </row>
    <row r="23" spans="2:4" x14ac:dyDescent="0.3">
      <c r="B23" s="9" t="s">
        <v>40</v>
      </c>
      <c r="C23" s="281">
        <v>5</v>
      </c>
      <c r="D23" s="10" t="s">
        <v>41</v>
      </c>
    </row>
    <row r="24" spans="2:4" x14ac:dyDescent="0.3">
      <c r="B24" s="8" t="s">
        <v>42</v>
      </c>
      <c r="C24" s="8"/>
      <c r="D24" s="8"/>
    </row>
    <row r="25" spans="2:4" x14ac:dyDescent="0.3">
      <c r="B25" s="9" t="s">
        <v>43</v>
      </c>
      <c r="C25" s="281">
        <v>1000</v>
      </c>
      <c r="D25" s="10" t="s">
        <v>44</v>
      </c>
    </row>
    <row r="26" spans="2:4" x14ac:dyDescent="0.3">
      <c r="B26" s="9" t="s">
        <v>45</v>
      </c>
      <c r="C26" s="283">
        <v>5000000</v>
      </c>
      <c r="D26" s="10" t="s">
        <v>44</v>
      </c>
    </row>
    <row r="27" spans="2:4" x14ac:dyDescent="0.3">
      <c r="B27" s="9" t="s">
        <v>46</v>
      </c>
      <c r="C27" s="283">
        <v>1000000000</v>
      </c>
      <c r="D27" s="10" t="s">
        <v>47</v>
      </c>
    </row>
    <row r="28" spans="2:4" x14ac:dyDescent="0.3">
      <c r="B28" s="9" t="s">
        <v>48</v>
      </c>
      <c r="C28" s="283">
        <v>500000</v>
      </c>
      <c r="D28" s="10" t="s">
        <v>47</v>
      </c>
    </row>
    <row r="29" spans="2:4" x14ac:dyDescent="0.3">
      <c r="B29" s="9" t="s">
        <v>49</v>
      </c>
      <c r="C29" s="281">
        <v>100</v>
      </c>
      <c r="D29" s="10" t="s">
        <v>47</v>
      </c>
    </row>
    <row r="30" spans="2:4" x14ac:dyDescent="0.3">
      <c r="B30" s="9" t="s">
        <v>50</v>
      </c>
      <c r="C30" s="281">
        <v>20</v>
      </c>
      <c r="D30" s="10" t="s">
        <v>51</v>
      </c>
    </row>
    <row r="31" spans="2:4" x14ac:dyDescent="0.3">
      <c r="B31" s="8" t="s">
        <v>52</v>
      </c>
      <c r="C31" s="8"/>
      <c r="D31" s="8"/>
    </row>
    <row r="32" spans="2:4" x14ac:dyDescent="0.3">
      <c r="B32" s="9" t="s">
        <v>53</v>
      </c>
      <c r="C32" s="284">
        <v>0.3</v>
      </c>
      <c r="D32" s="10" t="s">
        <v>54</v>
      </c>
    </row>
    <row r="33" spans="2:4" x14ac:dyDescent="0.3">
      <c r="B33" s="9" t="s">
        <v>55</v>
      </c>
      <c r="C33" s="284">
        <v>0.2</v>
      </c>
      <c r="D33" s="10" t="s">
        <v>56</v>
      </c>
    </row>
    <row r="34" spans="2:4" x14ac:dyDescent="0.3">
      <c r="B34" s="9" t="s">
        <v>57</v>
      </c>
      <c r="C34" s="284">
        <v>0.15</v>
      </c>
      <c r="D34" s="10" t="s">
        <v>58</v>
      </c>
    </row>
    <row r="35" spans="2:4" x14ac:dyDescent="0.3">
      <c r="B35" s="9" t="s">
        <v>59</v>
      </c>
      <c r="C35" s="284">
        <v>0.15</v>
      </c>
      <c r="D35" s="10" t="s">
        <v>60</v>
      </c>
    </row>
    <row r="36" spans="2:4" x14ac:dyDescent="0.3">
      <c r="B36" s="9" t="s">
        <v>61</v>
      </c>
      <c r="C36" s="284">
        <v>0.1</v>
      </c>
      <c r="D36" s="10" t="s">
        <v>62</v>
      </c>
    </row>
    <row r="37" spans="2:4" x14ac:dyDescent="0.3">
      <c r="B37" s="9" t="s">
        <v>63</v>
      </c>
      <c r="C37" s="284">
        <v>0.1</v>
      </c>
      <c r="D37" s="10" t="s">
        <v>64</v>
      </c>
    </row>
    <row r="38" spans="2:4" x14ac:dyDescent="0.3">
      <c r="B38" s="9" t="s">
        <v>65</v>
      </c>
      <c r="C38" s="11">
        <f>SUM(C32:C37)</f>
        <v>1</v>
      </c>
      <c r="D38" s="10" t="s">
        <v>66</v>
      </c>
    </row>
    <row r="39" spans="2:4" x14ac:dyDescent="0.3">
      <c r="B39" s="8" t="s">
        <v>67</v>
      </c>
      <c r="C39" s="8"/>
      <c r="D39" s="8"/>
    </row>
    <row r="40" spans="2:4" x14ac:dyDescent="0.3">
      <c r="B40" s="9" t="s">
        <v>68</v>
      </c>
      <c r="C40" s="281">
        <v>4</v>
      </c>
      <c r="D40" s="10" t="s">
        <v>69</v>
      </c>
    </row>
    <row r="41" spans="2:4" x14ac:dyDescent="0.3">
      <c r="B41" s="9" t="s">
        <v>70</v>
      </c>
      <c r="C41" s="281">
        <v>0.5</v>
      </c>
      <c r="D41" s="10" t="s">
        <v>71</v>
      </c>
    </row>
    <row r="42" spans="2:4" x14ac:dyDescent="0.3">
      <c r="B42" s="9" t="s">
        <v>72</v>
      </c>
      <c r="C42" s="281">
        <v>10</v>
      </c>
      <c r="D42" s="10" t="s">
        <v>73</v>
      </c>
    </row>
    <row r="43" spans="2:4" x14ac:dyDescent="0.3">
      <c r="B43" s="9" t="s">
        <v>74</v>
      </c>
      <c r="C43" s="281">
        <v>1</v>
      </c>
      <c r="D43" s="10" t="s">
        <v>75</v>
      </c>
    </row>
    <row r="44" spans="2:4" x14ac:dyDescent="0.3">
      <c r="B44" s="9" t="s">
        <v>76</v>
      </c>
      <c r="C44" s="285">
        <v>5.0000000000000001E-4</v>
      </c>
      <c r="D44" s="10" t="s">
        <v>77</v>
      </c>
    </row>
    <row r="45" spans="2:4" x14ac:dyDescent="0.3">
      <c r="B45" s="8" t="s">
        <v>78</v>
      </c>
      <c r="C45" s="8"/>
      <c r="D45" s="8"/>
    </row>
    <row r="46" spans="2:4" x14ac:dyDescent="0.3">
      <c r="B46" s="9" t="s">
        <v>79</v>
      </c>
      <c r="C46" s="281">
        <v>20</v>
      </c>
      <c r="D46" s="10"/>
    </row>
    <row r="47" spans="2:4" x14ac:dyDescent="0.3">
      <c r="B47" s="9" t="s">
        <v>80</v>
      </c>
      <c r="C47" s="281">
        <v>40</v>
      </c>
      <c r="D47" s="10"/>
    </row>
    <row r="48" spans="2:4" x14ac:dyDescent="0.3">
      <c r="B48" s="9" t="s">
        <v>81</v>
      </c>
      <c r="C48" s="281">
        <v>60</v>
      </c>
      <c r="D48" s="10"/>
    </row>
    <row r="49" spans="2:4" x14ac:dyDescent="0.3">
      <c r="B49" s="9" t="s">
        <v>82</v>
      </c>
      <c r="C49" s="281">
        <v>80</v>
      </c>
      <c r="D49" s="10" t="s">
        <v>83</v>
      </c>
    </row>
    <row r="50" spans="2:4" x14ac:dyDescent="0.3">
      <c r="B50" s="8" t="s">
        <v>84</v>
      </c>
      <c r="C50" s="8"/>
      <c r="D50" s="8"/>
    </row>
    <row r="51" spans="2:4" x14ac:dyDescent="0.3">
      <c r="B51" s="9" t="s">
        <v>85</v>
      </c>
      <c r="C51" s="284">
        <v>0.25</v>
      </c>
      <c r="D51" s="10"/>
    </row>
    <row r="52" spans="2:4" x14ac:dyDescent="0.3">
      <c r="B52" s="9" t="s">
        <v>86</v>
      </c>
      <c r="C52" s="284">
        <v>0.05</v>
      </c>
      <c r="D52" s="10"/>
    </row>
    <row r="53" spans="2:4" x14ac:dyDescent="0.3">
      <c r="B53" s="9" t="s">
        <v>87</v>
      </c>
      <c r="C53" s="284">
        <v>-0.05</v>
      </c>
      <c r="D53" s="10"/>
    </row>
    <row r="54" spans="2:4" x14ac:dyDescent="0.3">
      <c r="B54" s="9" t="s">
        <v>88</v>
      </c>
      <c r="C54" s="284">
        <v>-0.25</v>
      </c>
      <c r="D54" s="10"/>
    </row>
    <row r="55" spans="2:4" x14ac:dyDescent="0.3">
      <c r="B55" s="8" t="s">
        <v>89</v>
      </c>
      <c r="C55" s="8"/>
      <c r="D55" s="8"/>
    </row>
    <row r="56" spans="2:4" x14ac:dyDescent="0.3">
      <c r="B56" s="9" t="s">
        <v>90</v>
      </c>
      <c r="C56" s="284">
        <v>0.2</v>
      </c>
      <c r="D56" s="10" t="s">
        <v>91</v>
      </c>
    </row>
    <row r="57" spans="2:4" x14ac:dyDescent="0.3">
      <c r="B57" s="12" t="s">
        <v>92</v>
      </c>
      <c r="C57" s="286">
        <v>60</v>
      </c>
      <c r="D57" s="13" t="s">
        <v>93</v>
      </c>
    </row>
    <row r="58" spans="2:4" x14ac:dyDescent="0.3">
      <c r="B58" s="5" t="s">
        <v>268</v>
      </c>
      <c r="C58" s="5"/>
      <c r="D58" s="5"/>
    </row>
    <row r="59" spans="2:4" x14ac:dyDescent="0.3">
      <c r="B59" t="s">
        <v>269</v>
      </c>
      <c r="C59" s="287">
        <v>0.01</v>
      </c>
      <c r="D59" s="6" t="s">
        <v>270</v>
      </c>
    </row>
    <row r="60" spans="2:4" x14ac:dyDescent="0.3">
      <c r="B60" t="s">
        <v>271</v>
      </c>
      <c r="C60" s="287">
        <v>2E-3</v>
      </c>
      <c r="D60" s="6" t="s">
        <v>272</v>
      </c>
    </row>
    <row r="61" spans="2:4" x14ac:dyDescent="0.3">
      <c r="B61" t="s">
        <v>7</v>
      </c>
      <c r="C61" s="77">
        <v>1</v>
      </c>
      <c r="D61" t="s">
        <v>8</v>
      </c>
    </row>
    <row r="62" spans="2:4" x14ac:dyDescent="0.3">
      <c r="B62" t="s">
        <v>1134</v>
      </c>
      <c r="C62" s="307" t="s">
        <v>1343</v>
      </c>
      <c r="D62" s="6" t="s">
        <v>1139</v>
      </c>
    </row>
    <row r="64" spans="2:4" x14ac:dyDescent="0.3">
      <c r="B64" s="5" t="s">
        <v>1140</v>
      </c>
      <c r="C64" s="5"/>
      <c r="D64" s="5"/>
    </row>
    <row r="65" spans="2:4" x14ac:dyDescent="0.3">
      <c r="B65" t="s">
        <v>1141</v>
      </c>
      <c r="C65" s="310">
        <v>0.7</v>
      </c>
      <c r="D65" s="6" t="s">
        <v>1142</v>
      </c>
    </row>
    <row r="66" spans="2:4" x14ac:dyDescent="0.3">
      <c r="B66" t="s">
        <v>1143</v>
      </c>
      <c r="C66" s="310">
        <v>0.3</v>
      </c>
      <c r="D66" s="6" t="s">
        <v>1144</v>
      </c>
    </row>
    <row r="67" spans="2:4" x14ac:dyDescent="0.3">
      <c r="B67" t="s">
        <v>1145</v>
      </c>
      <c r="C67" s="32" t="str">
        <f>IF(ROUND($C$65+$C$66,6)=1,"OK — weights total 100%","CONFIGURATION ERROR: Ranking weights must total 100%")</f>
        <v>OK — weights total 100%</v>
      </c>
      <c r="D67" s="6" t="s">
        <v>1146</v>
      </c>
    </row>
    <row r="68" spans="2:4" x14ac:dyDescent="0.3">
      <c r="B68" t="s">
        <v>1147</v>
      </c>
      <c r="C68" s="311">
        <v>46248</v>
      </c>
      <c r="D68" s="6" t="s">
        <v>1148</v>
      </c>
    </row>
    <row r="69" spans="2:4" x14ac:dyDescent="0.3">
      <c r="B69" t="s">
        <v>1149</v>
      </c>
      <c r="C69" s="312" t="s">
        <v>1150</v>
      </c>
      <c r="D69" s="6" t="s">
        <v>1151</v>
      </c>
    </row>
    <row r="70" spans="2:4" x14ac:dyDescent="0.3">
      <c r="B70" t="s">
        <v>1152</v>
      </c>
      <c r="C70" s="313">
        <v>7</v>
      </c>
      <c r="D70" s="6" t="s">
        <v>1153</v>
      </c>
    </row>
    <row r="71" spans="2:4" x14ac:dyDescent="0.3">
      <c r="B71" t="s">
        <v>1154</v>
      </c>
      <c r="C71" s="313">
        <v>60</v>
      </c>
      <c r="D71" s="6" t="s">
        <v>1155</v>
      </c>
    </row>
    <row r="72" spans="2:4" x14ac:dyDescent="0.3">
      <c r="B72" t="s">
        <v>1156</v>
      </c>
      <c r="C72" s="313">
        <v>0</v>
      </c>
      <c r="D72" s="6" t="s">
        <v>1157</v>
      </c>
    </row>
    <row r="73" spans="2:4" x14ac:dyDescent="0.3">
      <c r="B73" t="s">
        <v>1158</v>
      </c>
      <c r="C73" s="312" t="s">
        <v>1412</v>
      </c>
      <c r="D73" s="6" t="s">
        <v>1159</v>
      </c>
    </row>
    <row r="74" spans="2:4" x14ac:dyDescent="0.3">
      <c r="B74" t="s">
        <v>1160</v>
      </c>
      <c r="C74" s="312" t="s">
        <v>1161</v>
      </c>
      <c r="D74" s="6" t="s">
        <v>1162</v>
      </c>
    </row>
    <row r="75" spans="2:4" x14ac:dyDescent="0.3">
      <c r="B75" s="5" t="s">
        <v>1163</v>
      </c>
      <c r="C75" s="5"/>
      <c r="D75" s="5"/>
    </row>
    <row r="76" spans="2:4" x14ac:dyDescent="0.3">
      <c r="B76" t="s">
        <v>1164</v>
      </c>
      <c r="C76" s="314">
        <v>80</v>
      </c>
      <c r="D76" s="6"/>
    </row>
    <row r="77" spans="2:4" x14ac:dyDescent="0.3">
      <c r="B77" t="s">
        <v>1165</v>
      </c>
      <c r="C77" s="314">
        <v>70</v>
      </c>
      <c r="D77" s="6"/>
    </row>
    <row r="78" spans="2:4" x14ac:dyDescent="0.3">
      <c r="B78" t="s">
        <v>1166</v>
      </c>
      <c r="C78" s="314">
        <v>60</v>
      </c>
      <c r="D78" s="6"/>
    </row>
    <row r="79" spans="2:4" x14ac:dyDescent="0.3">
      <c r="B79" t="s">
        <v>1167</v>
      </c>
      <c r="C79" s="314">
        <v>50</v>
      </c>
      <c r="D79" s="6"/>
    </row>
    <row r="80" spans="2:4" x14ac:dyDescent="0.3">
      <c r="B80" t="s">
        <v>1168</v>
      </c>
      <c r="C80" s="314">
        <v>40</v>
      </c>
      <c r="D80" s="6" t="s">
        <v>1169</v>
      </c>
    </row>
    <row r="81" spans="2:4" x14ac:dyDescent="0.3">
      <c r="B81" s="5" t="s">
        <v>1170</v>
      </c>
      <c r="C81" s="5"/>
      <c r="D81" s="5"/>
    </row>
    <row r="82" spans="2:4" x14ac:dyDescent="0.3">
      <c r="B82" t="s">
        <v>1171</v>
      </c>
      <c r="C82" s="314">
        <v>80</v>
      </c>
      <c r="D82" s="6"/>
    </row>
    <row r="83" spans="2:4" x14ac:dyDescent="0.3">
      <c r="B83" t="s">
        <v>1172</v>
      </c>
      <c r="C83" s="314">
        <v>50</v>
      </c>
      <c r="D83" s="6"/>
    </row>
    <row r="84" spans="2:4" x14ac:dyDescent="0.3">
      <c r="B84" t="s">
        <v>1173</v>
      </c>
      <c r="C84" s="314">
        <v>30</v>
      </c>
      <c r="D84" s="6" t="s">
        <v>1174</v>
      </c>
    </row>
    <row r="85" spans="2:4" x14ac:dyDescent="0.3">
      <c r="B85" s="5" t="s">
        <v>1175</v>
      </c>
      <c r="C85" s="5"/>
      <c r="D85" s="5"/>
    </row>
    <row r="86" spans="2:4" x14ac:dyDescent="0.3">
      <c r="B86" t="s">
        <v>1176</v>
      </c>
      <c r="C86" s="314">
        <v>70</v>
      </c>
      <c r="D86" s="6" t="s">
        <v>1177</v>
      </c>
    </row>
    <row r="87" spans="2:4" x14ac:dyDescent="0.3">
      <c r="B87" t="s">
        <v>1178</v>
      </c>
      <c r="C87" s="314">
        <v>70</v>
      </c>
      <c r="D87" s="6" t="s">
        <v>1179</v>
      </c>
    </row>
    <row r="88" spans="2:4" x14ac:dyDescent="0.3">
      <c r="B88" t="s">
        <v>1180</v>
      </c>
      <c r="C88" s="314">
        <v>50</v>
      </c>
      <c r="D88" s="6" t="s">
        <v>1181</v>
      </c>
    </row>
    <row r="89" spans="2:4" x14ac:dyDescent="0.3">
      <c r="B89" t="s">
        <v>1182</v>
      </c>
      <c r="C89" s="314">
        <v>30</v>
      </c>
      <c r="D89" s="6" t="s">
        <v>1183</v>
      </c>
    </row>
    <row r="91" spans="2:4" x14ac:dyDescent="0.3">
      <c r="B91" s="5" t="s">
        <v>1345</v>
      </c>
      <c r="C91" s="5"/>
      <c r="D91" s="5"/>
    </row>
    <row r="92" spans="2:4" x14ac:dyDescent="0.3">
      <c r="B92" t="s">
        <v>1346</v>
      </c>
      <c r="C92" s="310">
        <v>-0.1</v>
      </c>
      <c r="D92" s="6" t="s">
        <v>1347</v>
      </c>
    </row>
    <row r="93" spans="2:4" x14ac:dyDescent="0.3">
      <c r="B93" t="s">
        <v>1348</v>
      </c>
      <c r="C93" s="310">
        <v>0.25</v>
      </c>
      <c r="D93" s="6"/>
    </row>
    <row r="94" spans="2:4" x14ac:dyDescent="0.3">
      <c r="B94" t="s">
        <v>1349</v>
      </c>
      <c r="C94" s="310">
        <v>-0.2</v>
      </c>
      <c r="D94" s="6" t="s">
        <v>1350</v>
      </c>
    </row>
    <row r="95" spans="2:4" x14ac:dyDescent="0.3">
      <c r="B95" t="s">
        <v>1351</v>
      </c>
      <c r="C95" s="310">
        <v>0.4</v>
      </c>
      <c r="D95" s="6"/>
    </row>
    <row r="96" spans="2:4" x14ac:dyDescent="0.3">
      <c r="B96" t="s">
        <v>1352</v>
      </c>
      <c r="C96" s="310">
        <v>0</v>
      </c>
      <c r="D96" s="6" t="s">
        <v>1353</v>
      </c>
    </row>
    <row r="97" spans="2:4" x14ac:dyDescent="0.3">
      <c r="B97" t="s">
        <v>1354</v>
      </c>
      <c r="C97" s="310">
        <v>0.25</v>
      </c>
      <c r="D97" s="6"/>
    </row>
    <row r="98" spans="2:4" x14ac:dyDescent="0.3">
      <c r="B98" t="s">
        <v>1355</v>
      </c>
      <c r="C98" s="310">
        <v>0</v>
      </c>
      <c r="D98" s="6"/>
    </row>
    <row r="99" spans="2:4" x14ac:dyDescent="0.3">
      <c r="B99" t="s">
        <v>1356</v>
      </c>
      <c r="C99" s="310">
        <v>0.25</v>
      </c>
      <c r="D99" s="6"/>
    </row>
    <row r="100" spans="2:4" x14ac:dyDescent="0.3">
      <c r="B100" t="s">
        <v>1357</v>
      </c>
      <c r="C100" s="314">
        <v>0</v>
      </c>
      <c r="D100" s="6" t="s">
        <v>1358</v>
      </c>
    </row>
    <row r="101" spans="2:4" x14ac:dyDescent="0.3">
      <c r="B101" t="s">
        <v>1359</v>
      </c>
      <c r="C101" s="314">
        <v>3</v>
      </c>
      <c r="D101" s="6"/>
    </row>
    <row r="102" spans="2:4" x14ac:dyDescent="0.3">
      <c r="B102" t="s">
        <v>1360</v>
      </c>
      <c r="C102" s="313">
        <v>3</v>
      </c>
      <c r="D102" s="6" t="s">
        <v>1361</v>
      </c>
    </row>
    <row r="103" spans="2:4" x14ac:dyDescent="0.3">
      <c r="B103" t="s">
        <v>1413</v>
      </c>
      <c r="C103" s="313">
        <v>2</v>
      </c>
      <c r="D103" s="6" t="s">
        <v>1414</v>
      </c>
    </row>
    <row r="104" spans="2:4" x14ac:dyDescent="0.3">
      <c r="B104" t="s">
        <v>1422</v>
      </c>
      <c r="C104" s="313">
        <v>18</v>
      </c>
      <c r="D104" s="6" t="s">
        <v>1423</v>
      </c>
    </row>
    <row r="105" spans="2:4" x14ac:dyDescent="0.3">
      <c r="B105" t="s">
        <v>1435</v>
      </c>
      <c r="C105" s="399" t="s">
        <v>1412</v>
      </c>
      <c r="D105" s="6" t="s">
        <v>1436</v>
      </c>
    </row>
  </sheetData>
  <sheetProtection algorithmName="SHA-512" hashValue="yHlqLOXe8bbhYT+w8foT31VksoxPQ09YFT7T3tCXp/fykMAQxOiIumPF+xoDMtWp8j2oS9ipyfl0OpTm4PhcFw==" saltValue="L2UJJDyta7sOXhewi0ZZFQ==" spinCount="100000" sheet="1" objects="1" scenarios="1" sort="0" autoFilter="0"/>
  <dataValidations count="3">
    <dataValidation type="list" allowBlank="1" showInputMessage="1" showErrorMessage="1" sqref="C7" xr:uid="{D992D616-7D02-44C1-AE74-8805FABB0B08}">
      <formula1>"English,Kiswahili"</formula1>
    </dataValidation>
    <dataValidation type="list" allowBlank="1" showInputMessage="1" showErrorMessage="1" sqref="C8" xr:uid="{60056C1A-B509-488C-AA1A-ABF94E5F1D88}">
      <formula1>"Manual CSV,Official Feed,Configured Endpoint"</formula1>
    </dataValidation>
    <dataValidation type="list" allowBlank="1" showInputMessage="1" showErrorMessage="1" sqref="C69 C73 C105" xr:uid="{88B7030D-5F82-4BCC-BDF4-013FED407F56}">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5A5ADE3-63D6-4693-A868-8321B5F1F38B}">
          <x14:formula1>
            <xm:f>Symbols!$A$4:$A$43</xm:f>
          </x14:formula1>
          <xm:sqref>C14 C15 C16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A5C7-67BD-45FC-BDD9-E6BE938D8E03}">
  <dimension ref="A1:K43"/>
  <sheetViews>
    <sheetView workbookViewId="0">
      <pane ySplit="3" topLeftCell="A4" activePane="bottomLeft" state="frozen"/>
      <selection pane="bottomLeft"/>
    </sheetView>
  </sheetViews>
  <sheetFormatPr defaultRowHeight="14.4" x14ac:dyDescent="0.3"/>
  <cols>
    <col min="1" max="1" width="17.5546875" customWidth="1"/>
    <col min="2" max="2" width="46.33203125" customWidth="1"/>
    <col min="3" max="3" width="20.33203125" customWidth="1"/>
    <col min="4" max="4" width="27.77734375" customWidth="1"/>
    <col min="5" max="5" width="15.77734375" customWidth="1"/>
    <col min="6" max="6" width="11.109375" customWidth="1"/>
    <col min="7" max="7" width="13" customWidth="1"/>
    <col min="8" max="8" width="24.109375" customWidth="1"/>
    <col min="9" max="9" width="55.5546875" customWidth="1"/>
    <col min="10" max="10" width="25.88671875" customWidth="1"/>
    <col min="11" max="11" width="42.5546875" customWidth="1"/>
  </cols>
  <sheetData>
    <row r="1" spans="1:11" ht="21" x14ac:dyDescent="0.4">
      <c r="A1" s="14" t="s">
        <v>94</v>
      </c>
    </row>
    <row r="2" spans="1:11" x14ac:dyDescent="0.3">
      <c r="A2" s="2" t="s">
        <v>95</v>
      </c>
    </row>
    <row r="3" spans="1:11" ht="28.8" x14ac:dyDescent="0.3">
      <c r="A3" s="18" t="s">
        <v>96</v>
      </c>
      <c r="B3" s="19" t="s">
        <v>97</v>
      </c>
      <c r="C3" s="19" t="s">
        <v>98</v>
      </c>
      <c r="D3" s="19" t="s">
        <v>99</v>
      </c>
      <c r="E3" s="19" t="s">
        <v>100</v>
      </c>
      <c r="F3" s="19" t="s">
        <v>101</v>
      </c>
      <c r="G3" s="19" t="s">
        <v>102</v>
      </c>
      <c r="H3" s="19" t="s">
        <v>103</v>
      </c>
      <c r="I3" s="19" t="s">
        <v>104</v>
      </c>
      <c r="J3" s="20" t="s">
        <v>105</v>
      </c>
      <c r="K3" s="289" t="s">
        <v>981</v>
      </c>
    </row>
    <row r="4" spans="1:11" ht="41.4" x14ac:dyDescent="0.3">
      <c r="A4" s="294" t="s">
        <v>1093</v>
      </c>
      <c r="B4" s="295" t="s">
        <v>1108</v>
      </c>
      <c r="C4" s="295" t="s">
        <v>107</v>
      </c>
      <c r="D4" s="295" t="s">
        <v>135</v>
      </c>
      <c r="E4" s="296"/>
      <c r="F4" s="295" t="s">
        <v>109</v>
      </c>
      <c r="G4" s="295" t="s">
        <v>110</v>
      </c>
      <c r="H4" s="297">
        <f>IF($A4="","",IFERROR(ROUND(SUMIFS('Daily Data'!$N$4:$N$503,'Daily Data'!$B$4:$B$503,$A4,'Daily Data'!$AK$4:$AK$503,COUNTIF('Daily Data'!$B$4:$B$503,$A4))/SUMIFS('Daily Data'!$E$4:$E$503,'Daily Data'!$B$4:$B$503,$A4,'Daily Data'!$AK$4:$AK$503,COUNTIF('Daily Data'!$B$4:$B$503,$A4)),0),""))</f>
        <v>146032000</v>
      </c>
      <c r="I4" s="304" t="s">
        <v>1133</v>
      </c>
      <c r="J4" s="298" t="s">
        <v>1093</v>
      </c>
      <c r="K4" s="290" t="str">
        <f>IF($A4="","",IF(OR($E4="",NOT(ISNUMBER($E4))),"VERIFY — listing date missing",IF(N($H4)&lt;=0,"VERIFY — shares outstanding missing","Verified")))</f>
        <v>VERIFY — listing date missing</v>
      </c>
    </row>
    <row r="5" spans="1:11" ht="41.4" x14ac:dyDescent="0.3">
      <c r="A5" s="294" t="s">
        <v>23</v>
      </c>
      <c r="B5" s="295" t="s">
        <v>106</v>
      </c>
      <c r="C5" s="295" t="s">
        <v>107</v>
      </c>
      <c r="D5" s="295" t="s">
        <v>108</v>
      </c>
      <c r="E5" s="296"/>
      <c r="F5" s="295" t="s">
        <v>109</v>
      </c>
      <c r="G5" s="295" t="s">
        <v>110</v>
      </c>
      <c r="H5" s="297">
        <f>IF($A5="","",IFERROR(ROUND(SUMIFS('Daily Data'!$N$4:$N$503,'Daily Data'!$B$4:$B$503,$A5,'Daily Data'!$AK$4:$AK$503,COUNTIF('Daily Data'!$B$4:$B$503,$A5))/SUMIFS('Daily Data'!$E$4:$E$503,'Daily Data'!$B$4:$B$503,$A5,'Daily Data'!$AK$4:$AK$503,COUNTIF('Daily Data'!$B$4:$B$503,$A5)),0),""))</f>
        <v>2611837037</v>
      </c>
      <c r="I5" s="304" t="s">
        <v>1133</v>
      </c>
      <c r="J5" s="298" t="s">
        <v>23</v>
      </c>
      <c r="K5" s="290" t="str">
        <f>IF($A5="","",IF(OR($E5="",NOT(ISNUMBER($E5))),"VERIFY — listing date missing",IF(N($H5)&lt;=0,"VERIFY — shares outstanding missing","Verified")))</f>
        <v>VERIFY — listing date missing</v>
      </c>
    </row>
    <row r="6" spans="1:11" ht="41.4" x14ac:dyDescent="0.3">
      <c r="A6" s="294" t="s">
        <v>1094</v>
      </c>
      <c r="B6" s="295" t="s">
        <v>1109</v>
      </c>
      <c r="C6" s="295" t="s">
        <v>107</v>
      </c>
      <c r="D6" s="295" t="s">
        <v>108</v>
      </c>
      <c r="E6" s="296"/>
      <c r="F6" s="295" t="s">
        <v>109</v>
      </c>
      <c r="G6" s="295" t="s">
        <v>110</v>
      </c>
      <c r="H6" s="297">
        <f>IF($A6="","",IFERROR(ROUND(SUMIFS('Daily Data'!$N$4:$N$503,'Daily Data'!$B$4:$B$503,$A6,'Daily Data'!$AK$4:$AK$503,COUNTIF('Daily Data'!$B$4:$B$503,$A6))/SUMIFS('Daily Data'!$E$4:$E$503,'Daily Data'!$B$4:$B$503,$A6,'Daily Data'!$AK$4:$AK$503,COUNTIF('Daily Data'!$B$4:$B$503,$A6)),0),""))</f>
        <v>191591398</v>
      </c>
      <c r="I6" s="304" t="s">
        <v>1133</v>
      </c>
      <c r="J6" s="298" t="s">
        <v>1094</v>
      </c>
      <c r="K6" s="290" t="str">
        <f>IF($A6="","",IF(OR($E6="",NOT(ISNUMBER($E6))),"VERIFY — listing date missing",IF(N($H6)&lt;=0,"VERIFY — shares outstanding missing","Verified")))</f>
        <v>VERIFY — listing date missing</v>
      </c>
    </row>
    <row r="7" spans="1:11" ht="41.4" x14ac:dyDescent="0.3">
      <c r="A7" s="294" t="s">
        <v>120</v>
      </c>
      <c r="B7" s="295" t="s">
        <v>121</v>
      </c>
      <c r="C7" s="295" t="s">
        <v>107</v>
      </c>
      <c r="D7" s="295" t="s">
        <v>122</v>
      </c>
      <c r="E7" s="296"/>
      <c r="F7" s="295" t="s">
        <v>109</v>
      </c>
      <c r="G7" s="295" t="s">
        <v>110</v>
      </c>
      <c r="H7" s="297">
        <f>IF($A7="","",IFERROR(ROUND(SUMIFS('Daily Data'!$N$4:$N$503,'Daily Data'!$B$4:$B$503,$A7,'Daily Data'!$AK$4:$AK$503,COUNTIF('Daily Data'!$B$4:$B$503,$A7))/SUMIFS('Daily Data'!$E$4:$E$503,'Daily Data'!$B$4:$B$503,$A7,'Daily Data'!$AK$4:$AK$503,COUNTIF('Daily Data'!$B$4:$B$503,$A7)),0),""))</f>
        <v>23823440</v>
      </c>
      <c r="I7" s="304" t="s">
        <v>1133</v>
      </c>
      <c r="J7" s="298" t="s">
        <v>120</v>
      </c>
      <c r="K7" s="290" t="str">
        <f>IF($A7="","",IF(OR($E7="",NOT(ISNUMBER($E7))),"VERIFY — listing date missing",IF(N($H7)&lt;=0,"VERIFY — shares outstanding missing","Verified")))</f>
        <v>VERIFY — listing date missing</v>
      </c>
    </row>
    <row r="8" spans="1:11" ht="41.4" x14ac:dyDescent="0.3">
      <c r="A8" s="294" t="s">
        <v>1095</v>
      </c>
      <c r="B8" s="295" t="s">
        <v>1110</v>
      </c>
      <c r="C8" s="295" t="s">
        <v>1111</v>
      </c>
      <c r="D8" s="295" t="s">
        <v>114</v>
      </c>
      <c r="E8" s="296"/>
      <c r="F8" s="295" t="s">
        <v>109</v>
      </c>
      <c r="G8" s="295" t="s">
        <v>110</v>
      </c>
      <c r="H8" s="297">
        <f>IF($A8="","",IFERROR(ROUND(SUMIFS('Daily Data'!$N$4:$N$503,'Daily Data'!$B$4:$B$503,$A8,'Daily Data'!$AK$4:$AK$503,COUNTIF('Daily Data'!$B$4:$B$503,$A8))/SUMIFS('Daily Data'!$E$4:$E$503,'Daily Data'!$B$4:$B$503,$A8,'Daily Data'!$AK$4:$AK$503,COUNTIF('Daily Data'!$B$4:$B$503,$A8)),0),""))</f>
        <v>790774597</v>
      </c>
      <c r="I8" s="304" t="s">
        <v>1133</v>
      </c>
      <c r="J8" s="298" t="s">
        <v>1095</v>
      </c>
      <c r="K8" s="290" t="str">
        <f>IF($A8="","",IF(OR($E8="",NOT(ISNUMBER($E8))),"VERIFY — listing date missing",IF(N($H8)&lt;=0,"VERIFY — shares outstanding missing","Verified")))</f>
        <v>VERIFY — listing date missing</v>
      </c>
    </row>
    <row r="9" spans="1:11" ht="41.4" x14ac:dyDescent="0.3">
      <c r="A9" s="294" t="s">
        <v>1096</v>
      </c>
      <c r="B9" s="295" t="s">
        <v>1112</v>
      </c>
      <c r="C9" s="295" t="s">
        <v>107</v>
      </c>
      <c r="D9" s="295" t="s">
        <v>1113</v>
      </c>
      <c r="E9" s="296"/>
      <c r="F9" s="295" t="s">
        <v>109</v>
      </c>
      <c r="G9" s="295" t="s">
        <v>110</v>
      </c>
      <c r="H9" s="297">
        <f>IF($A9="","",IFERROR(ROUND(SUMIFS('Daily Data'!$N$4:$N$503,'Daily Data'!$B$4:$B$503,$A9,'Daily Data'!$AK$4:$AK$503,COUNTIF('Daily Data'!$B$4:$B$503,$A9))/SUMIFS('Daily Data'!$E$4:$E$503,'Daily Data'!$B$4:$B$503,$A9,'Daily Data'!$AK$4:$AK$503,COUNTIF('Daily Data'!$B$4:$B$503,$A9)),0),""))</f>
        <v>19924528</v>
      </c>
      <c r="I9" s="304" t="s">
        <v>1133</v>
      </c>
      <c r="J9" s="298" t="s">
        <v>1096</v>
      </c>
      <c r="K9" s="290" t="str">
        <f>IF($A9="","",IF(OR($E9="",NOT(ISNUMBER($E9))),"VERIFY — listing date missing",IF(N($H9)&lt;=0,"VERIFY — shares outstanding missing","Verified")))</f>
        <v>VERIFY — listing date missing</v>
      </c>
    </row>
    <row r="10" spans="1:11" ht="41.4" x14ac:dyDescent="0.3">
      <c r="A10" s="294" t="s">
        <v>128</v>
      </c>
      <c r="B10" s="295" t="s">
        <v>129</v>
      </c>
      <c r="C10" s="295" t="s">
        <v>1111</v>
      </c>
      <c r="D10" s="295" t="s">
        <v>130</v>
      </c>
      <c r="E10" s="296"/>
      <c r="F10" s="295" t="s">
        <v>109</v>
      </c>
      <c r="G10" s="295" t="s">
        <v>110</v>
      </c>
      <c r="H10" s="297">
        <f>IF($A10="","",IFERROR(ROUND(SUMIFS('Daily Data'!$N$4:$N$503,'Daily Data'!$B$4:$B$503,$A10,'Daily Data'!$AK$4:$AK$503,COUNTIF('Daily Data'!$B$4:$B$503,$A10))/SUMIFS('Daily Data'!$E$4:$E$503,'Daily Data'!$B$4:$B$503,$A10,'Daily Data'!$AK$4:$AK$503,COUNTIF('Daily Data'!$B$4:$B$503,$A10)),0),""))</f>
        <v>72472832</v>
      </c>
      <c r="I10" s="304" t="s">
        <v>1133</v>
      </c>
      <c r="J10" s="298" t="s">
        <v>128</v>
      </c>
      <c r="K10" s="290" t="str">
        <f>IF($A10="","",IF(OR($E10="",NOT(ISNUMBER($E10))),"VERIFY — listing date missing",IF(N($H10)&lt;=0,"VERIFY — shares outstanding missing","Verified")))</f>
        <v>VERIFY — listing date missing</v>
      </c>
    </row>
    <row r="11" spans="1:11" ht="41.4" x14ac:dyDescent="0.3">
      <c r="A11" s="294" t="s">
        <v>1097</v>
      </c>
      <c r="B11" s="295" t="s">
        <v>1114</v>
      </c>
      <c r="C11" s="295" t="s">
        <v>1111</v>
      </c>
      <c r="D11" s="295" t="s">
        <v>1115</v>
      </c>
      <c r="E11" s="296"/>
      <c r="F11" s="295" t="s">
        <v>109</v>
      </c>
      <c r="G11" s="295" t="s">
        <v>110</v>
      </c>
      <c r="H11" s="297">
        <f>IF($A11="","",IFERROR(ROUND(SUMIFS('Daily Data'!$N$4:$N$503,'Daily Data'!$B$4:$B$503,$A11,'Daily Data'!$AK$4:$AK$503,COUNTIF('Daily Data'!$B$4:$B$503,$A11))/SUMIFS('Daily Data'!$E$4:$E$503,'Daily Data'!$B$4:$B$503,$A11,'Daily Data'!$AK$4:$AK$503,COUNTIF('Daily Data'!$B$4:$B$503,$A11)),0),""))</f>
        <v>5681454545</v>
      </c>
      <c r="I11" s="304" t="s">
        <v>1133</v>
      </c>
      <c r="J11" s="298" t="s">
        <v>1097</v>
      </c>
      <c r="K11" s="290" t="str">
        <f>IF($A11="","",IF(OR($E11="",NOT(ISNUMBER($E11))),"VERIFY — listing date missing",IF(N($H11)&lt;=0,"VERIFY — shares outstanding missing","Verified")))</f>
        <v>VERIFY — listing date missing</v>
      </c>
    </row>
    <row r="12" spans="1:11" ht="41.4" x14ac:dyDescent="0.3">
      <c r="A12" s="294" t="s">
        <v>1098</v>
      </c>
      <c r="B12" s="295" t="s">
        <v>1116</v>
      </c>
      <c r="C12" s="295" t="s">
        <v>1111</v>
      </c>
      <c r="D12" s="295" t="s">
        <v>108</v>
      </c>
      <c r="E12" s="296"/>
      <c r="F12" s="295" t="s">
        <v>109</v>
      </c>
      <c r="G12" s="295" t="s">
        <v>110</v>
      </c>
      <c r="H12" s="297">
        <f>IF($A12="","",IFERROR(ROUND(SUMIFS('Daily Data'!$N$4:$N$503,'Daily Data'!$B$4:$B$503,$A12,'Daily Data'!$AK$4:$AK$503,COUNTIF('Daily Data'!$B$4:$B$503,$A12))/SUMIFS('Daily Data'!$E$4:$E$503,'Daily Data'!$B$4:$B$503,$A12,'Daily Data'!$AK$4:$AK$503,COUNTIF('Daily Data'!$B$4:$B$503,$A12)),0),""))</f>
        <v>2970338462</v>
      </c>
      <c r="I12" s="304" t="s">
        <v>1133</v>
      </c>
      <c r="J12" s="298" t="s">
        <v>1098</v>
      </c>
      <c r="K12" s="290" t="str">
        <f>IF($A12="","",IF(OR($E12="",NOT(ISNUMBER($E12))),"VERIFY — listing date missing",IF(N($H12)&lt;=0,"VERIFY — shares outstanding missing","Verified")))</f>
        <v>VERIFY — listing date missing</v>
      </c>
    </row>
    <row r="13" spans="1:11" ht="41.4" x14ac:dyDescent="0.3">
      <c r="A13" s="294" t="s">
        <v>136</v>
      </c>
      <c r="B13" s="295" t="s">
        <v>137</v>
      </c>
      <c r="C13" s="295" t="s">
        <v>107</v>
      </c>
      <c r="D13" s="295" t="s">
        <v>108</v>
      </c>
      <c r="E13" s="296"/>
      <c r="F13" s="295" t="s">
        <v>109</v>
      </c>
      <c r="G13" s="295" t="s">
        <v>110</v>
      </c>
      <c r="H13" s="297">
        <f>IF($A13="","",IFERROR(ROUND(SUMIFS('Daily Data'!$N$4:$N$503,'Daily Data'!$B$4:$B$503,$A13,'Daily Data'!$AK$4:$AK$503,COUNTIF('Daily Data'!$B$4:$B$503,$A13))/SUMIFS('Daily Data'!$E$4:$E$503,'Daily Data'!$B$4:$B$503,$A13,'Daily Data'!$AK$4:$AK$503,COUNTIF('Daily Data'!$B$4:$B$503,$A13)),0),""))</f>
        <v>29988095</v>
      </c>
      <c r="I13" s="304" t="s">
        <v>1133</v>
      </c>
      <c r="J13" s="298" t="s">
        <v>136</v>
      </c>
      <c r="K13" s="290" t="str">
        <f>IF($A13="","",IF(OR($E13="",NOT(ISNUMBER($E13))),"VERIFY — listing date missing",IF(N($H13)&lt;=0,"VERIFY — shares outstanding missing","Verified")))</f>
        <v>VERIFY — listing date missing</v>
      </c>
    </row>
    <row r="14" spans="1:11" ht="41.4" x14ac:dyDescent="0.3">
      <c r="A14" s="294" t="s">
        <v>1099</v>
      </c>
      <c r="B14" s="295" t="s">
        <v>1117</v>
      </c>
      <c r="C14" s="295" t="s">
        <v>107</v>
      </c>
      <c r="D14" s="295" t="s">
        <v>108</v>
      </c>
      <c r="E14" s="296"/>
      <c r="F14" s="295" t="s">
        <v>109</v>
      </c>
      <c r="G14" s="295" t="s">
        <v>110</v>
      </c>
      <c r="H14" s="297">
        <f>IF($A14="","",IFERROR(ROUND(SUMIFS('Daily Data'!$N$4:$N$503,'Daily Data'!$B$4:$B$503,$A14,'Daily Data'!$AK$4:$AK$503,COUNTIF('Daily Data'!$B$4:$B$503,$A14))/SUMIFS('Daily Data'!$E$4:$E$503,'Daily Data'!$B$4:$B$503,$A14,'Daily Data'!$AK$4:$AK$503,COUNTIF('Daily Data'!$B$4:$B$503,$A14)),0),""))</f>
        <v>247308642</v>
      </c>
      <c r="I14" s="304" t="s">
        <v>1133</v>
      </c>
      <c r="J14" s="298" t="s">
        <v>1099</v>
      </c>
      <c r="K14" s="290" t="str">
        <f>IF($A14="","",IF(OR($E14="",NOT(ISNUMBER($E14))),"VERIFY — listing date missing",IF(N($H14)&lt;=0,"VERIFY — shares outstanding missing","Verified")))</f>
        <v>VERIFY — listing date missing</v>
      </c>
    </row>
    <row r="15" spans="1:11" ht="41.4" x14ac:dyDescent="0.3">
      <c r="A15" s="294" t="s">
        <v>138</v>
      </c>
      <c r="B15" s="295" t="s">
        <v>139</v>
      </c>
      <c r="C15" s="295" t="s">
        <v>107</v>
      </c>
      <c r="D15" s="295" t="s">
        <v>108</v>
      </c>
      <c r="E15" s="296"/>
      <c r="F15" s="295" t="s">
        <v>109</v>
      </c>
      <c r="G15" s="295" t="s">
        <v>110</v>
      </c>
      <c r="H15" s="297">
        <f>IF($A15="","",IFERROR(ROUND(SUMIFS('Daily Data'!$N$4:$N$503,'Daily Data'!$B$4:$B$503,$A15,'Daily Data'!$AK$4:$AK$503,COUNTIF('Daily Data'!$B$4:$B$503,$A15))/SUMIFS('Daily Data'!$E$4:$E$503,'Daily Data'!$B$4:$B$503,$A15,'Daily Data'!$AK$4:$AK$503,COUNTIF('Daily Data'!$B$4:$B$503,$A15)),0),""))</f>
        <v>23555851</v>
      </c>
      <c r="I15" s="304" t="s">
        <v>1133</v>
      </c>
      <c r="J15" s="298" t="s">
        <v>138</v>
      </c>
      <c r="K15" s="290" t="str">
        <f>IF($A15="","",IF(OR($E15="",NOT(ISNUMBER($E15))),"VERIFY — listing date missing",IF(N($H15)&lt;=0,"VERIFY — shares outstanding missing","Verified")))</f>
        <v>VERIFY — listing date missing</v>
      </c>
    </row>
    <row r="16" spans="1:11" ht="41.4" x14ac:dyDescent="0.3">
      <c r="A16" s="294" t="s">
        <v>140</v>
      </c>
      <c r="B16" s="295" t="s">
        <v>1118</v>
      </c>
      <c r="C16" s="295" t="s">
        <v>107</v>
      </c>
      <c r="D16" s="295" t="s">
        <v>108</v>
      </c>
      <c r="E16" s="296"/>
      <c r="F16" s="295" t="s">
        <v>109</v>
      </c>
      <c r="G16" s="295" t="s">
        <v>110</v>
      </c>
      <c r="H16" s="297">
        <f>IF($A16="","",IFERROR(ROUND(SUMIFS('Daily Data'!$N$4:$N$503,'Daily Data'!$B$4:$B$503,$A16,'Daily Data'!$AK$4:$AK$503,COUNTIF('Daily Data'!$B$4:$B$503,$A16))/SUMIFS('Daily Data'!$E$4:$E$503,'Daily Data'!$B$4:$B$503,$A16,'Daily Data'!$AK$4:$AK$503,COUNTIF('Daily Data'!$B$4:$B$503,$A16)),0),""))</f>
        <v>32659341</v>
      </c>
      <c r="I16" s="304" t="s">
        <v>1133</v>
      </c>
      <c r="J16" s="298" t="s">
        <v>140</v>
      </c>
      <c r="K16" s="290" t="str">
        <f>IF($A16="","",IF(OR($E16="",NOT(ISNUMBER($E16))),"VERIFY — listing date missing",IF(N($H16)&lt;=0,"VERIFY — shares outstanding missing","Verified")))</f>
        <v>VERIFY — listing date missing</v>
      </c>
    </row>
    <row r="17" spans="1:11" ht="41.4" x14ac:dyDescent="0.3">
      <c r="A17" s="294" t="s">
        <v>134</v>
      </c>
      <c r="B17" s="295" t="s">
        <v>1119</v>
      </c>
      <c r="C17" s="295" t="s">
        <v>107</v>
      </c>
      <c r="D17" s="295" t="s">
        <v>135</v>
      </c>
      <c r="E17" s="296"/>
      <c r="F17" s="295" t="s">
        <v>109</v>
      </c>
      <c r="G17" s="295" t="s">
        <v>110</v>
      </c>
      <c r="H17" s="297">
        <f>IF($A17="","",IFERROR(ROUND(SUMIFS('Daily Data'!$N$4:$N$503,'Daily Data'!$B$4:$B$503,$A17,'Daily Data'!$AK$4:$AK$503,COUNTIF('Daily Data'!$B$4:$B$503,$A17))/SUMIFS('Daily Data'!$E$4:$E$503,'Daily Data'!$B$4:$B$503,$A17,'Daily Data'!$AK$4:$AK$503,COUNTIF('Daily Data'!$B$4:$B$503,$A17)),0),""))</f>
        <v>61643979</v>
      </c>
      <c r="I17" s="304" t="s">
        <v>1133</v>
      </c>
      <c r="J17" s="298" t="s">
        <v>134</v>
      </c>
      <c r="K17" s="290" t="str">
        <f>IF($A17="","",IF(OR($E17="",NOT(ISNUMBER($E17))),"VERIFY — listing date missing",IF(N($H17)&lt;=0,"VERIFY — shares outstanding missing","Verified")))</f>
        <v>VERIFY — listing date missing</v>
      </c>
    </row>
    <row r="18" spans="1:11" ht="41.4" x14ac:dyDescent="0.3">
      <c r="A18" s="294" t="s">
        <v>28</v>
      </c>
      <c r="B18" s="295" t="s">
        <v>111</v>
      </c>
      <c r="C18" s="295" t="s">
        <v>107</v>
      </c>
      <c r="D18" s="295" t="s">
        <v>108</v>
      </c>
      <c r="E18" s="296"/>
      <c r="F18" s="295" t="s">
        <v>109</v>
      </c>
      <c r="G18" s="295" t="s">
        <v>110</v>
      </c>
      <c r="H18" s="297">
        <f>IF($A18="","",IFERROR(ROUND(SUMIFS('Daily Data'!$N$4:$N$503,'Daily Data'!$B$4:$B$503,$A18,'Daily Data'!$AK$4:$AK$503,COUNTIF('Daily Data'!$B$4:$B$503,$A18))/SUMIFS('Daily Data'!$E$4:$E$503,'Daily Data'!$B$4:$B$503,$A18,'Daily Data'!$AK$4:$AK$503,COUNTIF('Daily Data'!$B$4:$B$503,$A18)),0),""))</f>
        <v>500000000</v>
      </c>
      <c r="I18" s="304" t="s">
        <v>1133</v>
      </c>
      <c r="J18" s="298" t="s">
        <v>28</v>
      </c>
      <c r="K18" s="290" t="str">
        <f>IF($A18="","",IF(OR($E18="",NOT(ISNUMBER($E18))),"VERIFY — listing date missing",IF(N($H18)&lt;=0,"VERIFY — shares outstanding missing","Verified")))</f>
        <v>VERIFY — listing date missing</v>
      </c>
    </row>
    <row r="19" spans="1:11" ht="41.4" x14ac:dyDescent="0.3">
      <c r="A19" s="294" t="s">
        <v>1100</v>
      </c>
      <c r="B19" s="295" t="s">
        <v>1120</v>
      </c>
      <c r="C19" s="295" t="s">
        <v>1111</v>
      </c>
      <c r="D19" s="295" t="s">
        <v>1121</v>
      </c>
      <c r="E19" s="296"/>
      <c r="F19" s="295" t="s">
        <v>109</v>
      </c>
      <c r="G19" s="295" t="s">
        <v>110</v>
      </c>
      <c r="H19" s="297">
        <f>IF($A19="","",IFERROR(ROUND(SUMIFS('Daily Data'!$N$4:$N$503,'Daily Data'!$B$4:$B$503,$A19,'Daily Data'!$AK$4:$AK$503,COUNTIF('Daily Data'!$B$4:$B$503,$A19))/SUMIFS('Daily Data'!$E$4:$E$503,'Daily Data'!$B$4:$B$503,$A19,'Daily Data'!$AK$4:$AK$503,COUNTIF('Daily Data'!$B$4:$B$503,$A19)),0),""))</f>
        <v>188545455</v>
      </c>
      <c r="I19" s="304" t="s">
        <v>1133</v>
      </c>
      <c r="J19" s="298" t="s">
        <v>1100</v>
      </c>
      <c r="K19" s="290" t="str">
        <f>IF($A19="","",IF(OR($E19="",NOT(ISNUMBER($E19))),"VERIFY — listing date missing",IF(N($H19)&lt;=0,"VERIFY — shares outstanding missing","Verified")))</f>
        <v>VERIFY — listing date missing</v>
      </c>
    </row>
    <row r="20" spans="1:11" ht="41.4" x14ac:dyDescent="0.3">
      <c r="A20" s="294" t="s">
        <v>143</v>
      </c>
      <c r="B20" s="295" t="s">
        <v>144</v>
      </c>
      <c r="C20" s="295" t="s">
        <v>107</v>
      </c>
      <c r="D20" s="295" t="s">
        <v>1115</v>
      </c>
      <c r="E20" s="296"/>
      <c r="F20" s="295" t="s">
        <v>109</v>
      </c>
      <c r="G20" s="295" t="s">
        <v>110</v>
      </c>
      <c r="H20" s="297">
        <f>IF($A20="","",IFERROR(ROUND(SUMIFS('Daily Data'!$N$4:$N$503,'Daily Data'!$B$4:$B$503,$A20,'Daily Data'!$AK$4:$AK$503,COUNTIF('Daily Data'!$B$4:$B$503,$A20))/SUMIFS('Daily Data'!$E$4:$E$503,'Daily Data'!$B$4:$B$503,$A20,'Daily Data'!$AK$4:$AK$503,COUNTIF('Daily Data'!$B$4:$B$503,$A20)),0),""))</f>
        <v>160463768</v>
      </c>
      <c r="I20" s="304" t="s">
        <v>1133</v>
      </c>
      <c r="J20" s="298" t="s">
        <v>143</v>
      </c>
      <c r="K20" s="290" t="str">
        <f>IF($A20="","",IF(OR($E20="",NOT(ISNUMBER($E20))),"VERIFY — listing date missing",IF(N($H20)&lt;=0,"VERIFY — shares outstanding missing","Verified")))</f>
        <v>VERIFY — listing date missing</v>
      </c>
    </row>
    <row r="21" spans="1:11" ht="41.4" x14ac:dyDescent="0.3">
      <c r="A21" s="294" t="s">
        <v>1101</v>
      </c>
      <c r="B21" s="295" t="s">
        <v>1122</v>
      </c>
      <c r="C21" s="295" t="s">
        <v>107</v>
      </c>
      <c r="D21" s="295" t="s">
        <v>1123</v>
      </c>
      <c r="E21" s="296"/>
      <c r="F21" s="295" t="s">
        <v>109</v>
      </c>
      <c r="G21" s="295" t="s">
        <v>110</v>
      </c>
      <c r="H21" s="297">
        <f>IF($A21="","",IFERROR(ROUND(SUMIFS('Daily Data'!$N$4:$N$503,'Daily Data'!$B$4:$B$503,$A21,'Daily Data'!$AK$4:$AK$503,COUNTIF('Daily Data'!$B$4:$B$503,$A21))/SUMIFS('Daily Data'!$E$4:$E$503,'Daily Data'!$B$4:$B$503,$A21,'Daily Data'!$AK$4:$AK$503,COUNTIF('Daily Data'!$B$4:$B$503,$A21)),0),""))</f>
        <v>106200000</v>
      </c>
      <c r="I21" s="304" t="s">
        <v>1133</v>
      </c>
      <c r="J21" s="298" t="s">
        <v>1101</v>
      </c>
      <c r="K21" s="290" t="str">
        <f>IF($A21="","",IF(OR($E21="",NOT(ISNUMBER($E21))),"VERIFY — listing date missing",IF(N($H21)&lt;=0,"VERIFY — shares outstanding missing","Verified")))</f>
        <v>VERIFY — listing date missing</v>
      </c>
    </row>
    <row r="22" spans="1:11" ht="41.4" x14ac:dyDescent="0.3">
      <c r="A22" s="294" t="s">
        <v>126</v>
      </c>
      <c r="B22" s="295" t="s">
        <v>127</v>
      </c>
      <c r="C22" s="295" t="s">
        <v>107</v>
      </c>
      <c r="D22" s="295" t="s">
        <v>1124</v>
      </c>
      <c r="E22" s="296"/>
      <c r="F22" s="295" t="s">
        <v>109</v>
      </c>
      <c r="G22" s="295" t="s">
        <v>110</v>
      </c>
      <c r="H22" s="297">
        <f>IF($A22="","",IFERROR(ROUND(SUMIFS('Daily Data'!$N$4:$N$503,'Daily Data'!$B$4:$B$503,$A22,'Daily Data'!$AK$4:$AK$503,COUNTIF('Daily Data'!$B$4:$B$503,$A22))/SUMIFS('Daily Data'!$E$4:$E$503,'Daily Data'!$B$4:$B$503,$A22,'Daily Data'!$AK$4:$AK$503,COUNTIF('Daily Data'!$B$4:$B$503,$A22)),0),""))</f>
        <v>36000000</v>
      </c>
      <c r="I22" s="304" t="s">
        <v>1133</v>
      </c>
      <c r="J22" s="298" t="s">
        <v>126</v>
      </c>
      <c r="K22" s="290" t="str">
        <f>IF($A22="","",IF(OR($E22="",NOT(ISNUMBER($E22))),"VERIFY — listing date missing",IF(N($H22)&lt;=0,"VERIFY — shares outstanding missing","Verified")))</f>
        <v>VERIFY — listing date missing</v>
      </c>
    </row>
    <row r="23" spans="1:11" ht="41.4" x14ac:dyDescent="0.3">
      <c r="A23" s="294" t="s">
        <v>112</v>
      </c>
      <c r="B23" s="295" t="s">
        <v>113</v>
      </c>
      <c r="C23" s="295" t="s">
        <v>107</v>
      </c>
      <c r="D23" s="295" t="s">
        <v>114</v>
      </c>
      <c r="E23" s="296"/>
      <c r="F23" s="295" t="s">
        <v>109</v>
      </c>
      <c r="G23" s="295" t="s">
        <v>110</v>
      </c>
      <c r="H23" s="297">
        <f>IF($A23="","",IFERROR(ROUND(SUMIFS('Daily Data'!$N$4:$N$503,'Daily Data'!$B$4:$B$503,$A23,'Daily Data'!$AK$4:$AK$503,COUNTIF('Daily Data'!$B$4:$B$503,$A23))/SUMIFS('Daily Data'!$E$4:$E$503,'Daily Data'!$B$4:$B$503,$A23,'Daily Data'!$AK$4:$AK$503,COUNTIF('Daily Data'!$B$4:$B$503,$A23)),0),""))</f>
        <v>295056395</v>
      </c>
      <c r="I23" s="304" t="s">
        <v>1133</v>
      </c>
      <c r="J23" s="298" t="s">
        <v>112</v>
      </c>
      <c r="K23" s="290" t="str">
        <f>IF($A23="","",IF(OR($E23="",NOT(ISNUMBER($E23))),"VERIFY — listing date missing",IF(N($H23)&lt;=0,"VERIFY — shares outstanding missing","Verified")))</f>
        <v>VERIFY — listing date missing</v>
      </c>
    </row>
    <row r="24" spans="1:11" ht="41.4" x14ac:dyDescent="0.3">
      <c r="A24" s="294" t="s">
        <v>115</v>
      </c>
      <c r="B24" s="295" t="s">
        <v>1125</v>
      </c>
      <c r="C24" s="295" t="s">
        <v>107</v>
      </c>
      <c r="D24" s="295" t="s">
        <v>114</v>
      </c>
      <c r="E24" s="296"/>
      <c r="F24" s="295" t="s">
        <v>109</v>
      </c>
      <c r="G24" s="295" t="s">
        <v>110</v>
      </c>
      <c r="H24" s="297">
        <f>IF($A24="","",IFERROR(ROUND(SUMIFS('Daily Data'!$N$4:$N$503,'Daily Data'!$B$4:$B$503,$A24,'Daily Data'!$AK$4:$AK$503,COUNTIF('Daily Data'!$B$4:$B$503,$A24))/SUMIFS('Daily Data'!$E$4:$E$503,'Daily Data'!$B$4:$B$503,$A24,'Daily Data'!$AK$4:$AK$503,COUNTIF('Daily Data'!$B$4:$B$503,$A24)),0),""))</f>
        <v>100000000</v>
      </c>
      <c r="I24" s="304" t="s">
        <v>1133</v>
      </c>
      <c r="J24" s="298" t="s">
        <v>115</v>
      </c>
      <c r="K24" s="290" t="str">
        <f>IF($A24="","",IF(OR($E24="",NOT(ISNUMBER($E24))),"VERIFY — listing date missing",IF(N($H24)&lt;=0,"VERIFY — shares outstanding missing","Verified")))</f>
        <v>VERIFY — listing date missing</v>
      </c>
    </row>
    <row r="25" spans="1:11" ht="41.4" x14ac:dyDescent="0.3">
      <c r="A25" s="294" t="s">
        <v>118</v>
      </c>
      <c r="B25" s="295" t="s">
        <v>119</v>
      </c>
      <c r="C25" s="295" t="s">
        <v>107</v>
      </c>
      <c r="D25" s="295" t="s">
        <v>1124</v>
      </c>
      <c r="E25" s="296"/>
      <c r="F25" s="295" t="s">
        <v>109</v>
      </c>
      <c r="G25" s="295" t="s">
        <v>110</v>
      </c>
      <c r="H25" s="297">
        <f>IF($A25="","",IFERROR(ROUND(SUMIFS('Daily Data'!$N$4:$N$503,'Daily Data'!$B$4:$B$503,$A25,'Daily Data'!$AK$4:$AK$503,COUNTIF('Daily Data'!$B$4:$B$503,$A25))/SUMIFS('Daily Data'!$E$4:$E$503,'Daily Data'!$B$4:$B$503,$A25,'Daily Data'!$AK$4:$AK$503,COUNTIF('Daily Data'!$B$4:$B$503,$A25)),0),""))</f>
        <v>191012658</v>
      </c>
      <c r="I25" s="304" t="s">
        <v>1133</v>
      </c>
      <c r="J25" s="298" t="s">
        <v>118</v>
      </c>
      <c r="K25" s="290" t="str">
        <f>IF($A25="","",IF(OR($E25="",NOT(ISNUMBER($E25))),"VERIFY — listing date missing",IF(N($H25)&lt;=0,"VERIFY — shares outstanding missing","Verified")))</f>
        <v>VERIFY — listing date missing</v>
      </c>
    </row>
    <row r="26" spans="1:11" ht="41.4" x14ac:dyDescent="0.3">
      <c r="A26" s="294" t="s">
        <v>132</v>
      </c>
      <c r="B26" s="295" t="s">
        <v>133</v>
      </c>
      <c r="C26" s="295" t="s">
        <v>107</v>
      </c>
      <c r="D26" s="295" t="s">
        <v>1126</v>
      </c>
      <c r="E26" s="296"/>
      <c r="F26" s="295" t="s">
        <v>109</v>
      </c>
      <c r="G26" s="295" t="s">
        <v>110</v>
      </c>
      <c r="H26" s="297">
        <f>IF($A26="","",IFERROR(ROUND(SUMIFS('Daily Data'!$N$4:$N$503,'Daily Data'!$B$4:$B$503,$A26,'Daily Data'!$AK$4:$AK$503,COUNTIF('Daily Data'!$B$4:$B$503,$A26))/SUMIFS('Daily Data'!$E$4:$E$503,'Daily Data'!$B$4:$B$503,$A26,'Daily Data'!$AK$4:$AK$503,COUNTIF('Daily Data'!$B$4:$B$503,$A26)),0),""))</f>
        <v>57503356</v>
      </c>
      <c r="I26" s="304" t="s">
        <v>1133</v>
      </c>
      <c r="J26" s="298" t="s">
        <v>132</v>
      </c>
      <c r="K26" s="290" t="str">
        <f>IF($A26="","",IF(OR($E26="",NOT(ISNUMBER($E26))),"VERIFY — listing date missing",IF(N($H26)&lt;=0,"VERIFY — shares outstanding missing","Verified")))</f>
        <v>VERIFY — listing date missing</v>
      </c>
    </row>
    <row r="27" spans="1:11" ht="41.4" x14ac:dyDescent="0.3">
      <c r="A27" s="294" t="s">
        <v>116</v>
      </c>
      <c r="B27" s="295" t="s">
        <v>117</v>
      </c>
      <c r="C27" s="295" t="s">
        <v>107</v>
      </c>
      <c r="D27" s="295" t="s">
        <v>1124</v>
      </c>
      <c r="E27" s="296"/>
      <c r="F27" s="295" t="s">
        <v>109</v>
      </c>
      <c r="G27" s="295" t="s">
        <v>110</v>
      </c>
      <c r="H27" s="297">
        <f>IF($A27="","",IFERROR(ROUND(SUMIFS('Daily Data'!$N$4:$N$503,'Daily Data'!$B$4:$B$503,$A27,'Daily Data'!$AK$4:$AK$503,COUNTIF('Daily Data'!$B$4:$B$503,$A27))/SUMIFS('Daily Data'!$E$4:$E$503,'Daily Data'!$B$4:$B$503,$A27,'Daily Data'!$AK$4:$AK$503,COUNTIF('Daily Data'!$B$4:$B$503,$A27)),0),""))</f>
        <v>179922314</v>
      </c>
      <c r="I27" s="304" t="s">
        <v>1133</v>
      </c>
      <c r="J27" s="298" t="s">
        <v>116</v>
      </c>
      <c r="K27" s="290" t="str">
        <f>IF($A27="","",IF(OR($E27="",NOT(ISNUMBER($E27))),"VERIFY — listing date missing",IF(N($H27)&lt;=0,"VERIFY — shares outstanding missing","Verified")))</f>
        <v>VERIFY — listing date missing</v>
      </c>
    </row>
    <row r="28" spans="1:11" ht="41.4" x14ac:dyDescent="0.3">
      <c r="A28" s="294" t="s">
        <v>1102</v>
      </c>
      <c r="B28" s="295" t="s">
        <v>1127</v>
      </c>
      <c r="C28" s="295" t="s">
        <v>107</v>
      </c>
      <c r="D28" s="295" t="s">
        <v>114</v>
      </c>
      <c r="E28" s="296"/>
      <c r="F28" s="295" t="s">
        <v>109</v>
      </c>
      <c r="G28" s="295" t="s">
        <v>110</v>
      </c>
      <c r="H28" s="297">
        <f>IF($A28="","",IFERROR(ROUND(SUMIFS('Daily Data'!$N$4:$N$503,'Daily Data'!$B$4:$B$503,$A28,'Daily Data'!$AK$4:$AK$503,COUNTIF('Daily Data'!$B$4:$B$503,$A28))/SUMIFS('Daily Data'!$E$4:$E$503,'Daily Data'!$B$4:$B$503,$A28,'Daily Data'!$AK$4:$AK$503,COUNTIF('Daily Data'!$B$4:$B$503,$A28)),0),""))</f>
        <v>95066667</v>
      </c>
      <c r="I28" s="304" t="s">
        <v>1133</v>
      </c>
      <c r="J28" s="298" t="s">
        <v>1102</v>
      </c>
      <c r="K28" s="290" t="str">
        <f>IF($A28="","",IF(OR($E28="",NOT(ISNUMBER($E28))),"VERIFY — listing date missing",IF(N($H28)&lt;=0,"VERIFY — shares outstanding missing","Verified")))</f>
        <v>VERIFY — listing date missing</v>
      </c>
    </row>
    <row r="29" spans="1:11" ht="41.4" x14ac:dyDescent="0.3">
      <c r="A29" s="294" t="s">
        <v>1103</v>
      </c>
      <c r="B29" s="295" t="s">
        <v>1128</v>
      </c>
      <c r="C29" s="295" t="s">
        <v>1111</v>
      </c>
      <c r="D29" s="295" t="s">
        <v>1129</v>
      </c>
      <c r="E29" s="296"/>
      <c r="F29" s="295" t="s">
        <v>109</v>
      </c>
      <c r="G29" s="295" t="s">
        <v>110</v>
      </c>
      <c r="H29" s="297">
        <f>IF($A29="","",IFERROR(ROUND(SUMIFS('Daily Data'!$N$4:$N$503,'Daily Data'!$B$4:$B$503,$A29,'Daily Data'!$AK$4:$AK$503,COUNTIF('Daily Data'!$B$4:$B$503,$A29))/SUMIFS('Daily Data'!$E$4:$E$503,'Daily Data'!$B$4:$B$503,$A29,'Daily Data'!$AK$4:$AK$503,COUNTIF('Daily Data'!$B$4:$B$503,$A29)),0),""))</f>
        <v>365000000</v>
      </c>
      <c r="I29" s="304" t="s">
        <v>1133</v>
      </c>
      <c r="J29" s="298" t="s">
        <v>1103</v>
      </c>
      <c r="K29" s="290" t="str">
        <f>IF($A29="","",IF(OR($E29="",NOT(ISNUMBER($E29))),"VERIFY — listing date missing",IF(N($H29)&lt;=0,"VERIFY — shares outstanding missing","Verified")))</f>
        <v>VERIFY — listing date missing</v>
      </c>
    </row>
    <row r="30" spans="1:11" ht="41.4" x14ac:dyDescent="0.3">
      <c r="A30" s="294" t="s">
        <v>123</v>
      </c>
      <c r="B30" s="295" t="s">
        <v>124</v>
      </c>
      <c r="C30" s="295" t="s">
        <v>107</v>
      </c>
      <c r="D30" s="295" t="s">
        <v>125</v>
      </c>
      <c r="E30" s="296"/>
      <c r="F30" s="295" t="s">
        <v>109</v>
      </c>
      <c r="G30" s="295" t="s">
        <v>110</v>
      </c>
      <c r="H30" s="297">
        <f>IF($A30="","",IFERROR(ROUND(SUMIFS('Daily Data'!$N$4:$N$503,'Daily Data'!$B$4:$B$503,$A30,'Daily Data'!$AK$4:$AK$503,COUNTIF('Daily Data'!$B$4:$B$503,$A30))/SUMIFS('Daily Data'!$E$4:$E$503,'Daily Data'!$B$4:$B$503,$A30,'Daily Data'!$AK$4:$AK$503,COUNTIF('Daily Data'!$B$4:$B$503,$A30)),0),""))</f>
        <v>2240000000</v>
      </c>
      <c r="I30" s="304" t="s">
        <v>1133</v>
      </c>
      <c r="J30" s="298" t="s">
        <v>123</v>
      </c>
      <c r="K30" s="290" t="str">
        <f>IF($A30="","",IF(OR($E30="",NOT(ISNUMBER($E30))),"VERIFY — listing date missing",IF(N($H30)&lt;=0,"VERIFY — shares outstanding missing","Verified")))</f>
        <v>VERIFY — listing date missing</v>
      </c>
    </row>
    <row r="31" spans="1:11" ht="41.4" x14ac:dyDescent="0.3">
      <c r="A31" s="294" t="s">
        <v>141</v>
      </c>
      <c r="B31" s="295" t="s">
        <v>142</v>
      </c>
      <c r="C31" s="295" t="s">
        <v>107</v>
      </c>
      <c r="D31" s="295" t="s">
        <v>108</v>
      </c>
      <c r="E31" s="296"/>
      <c r="F31" s="295" t="s">
        <v>109</v>
      </c>
      <c r="G31" s="295" t="s">
        <v>110</v>
      </c>
      <c r="H31" s="297">
        <f>IF($A31="","",IFERROR(ROUND(SUMIFS('Daily Data'!$N$4:$N$503,'Daily Data'!$B$4:$B$503,$A31,'Daily Data'!$AK$4:$AK$503,COUNTIF('Daily Data'!$B$4:$B$503,$A31))/SUMIFS('Daily Data'!$E$4:$E$503,'Daily Data'!$B$4:$B$503,$A31,'Daily Data'!$AK$4:$AK$503,COUNTIF('Daily Data'!$B$4:$B$503,$A31)),0),""))</f>
        <v>12117647</v>
      </c>
      <c r="I31" s="304" t="s">
        <v>1133</v>
      </c>
      <c r="J31" s="298" t="s">
        <v>141</v>
      </c>
      <c r="K31" s="290" t="str">
        <f>IF($A31="","",IF(OR($E31="",NOT(ISNUMBER($E31))),"VERIFY — listing date missing",IF(N($H31)&lt;=0,"VERIFY — shares outstanding missing","Verified")))</f>
        <v>VERIFY — listing date missing</v>
      </c>
    </row>
    <row r="32" spans="1:11" ht="41.4" x14ac:dyDescent="0.3">
      <c r="A32" s="294" t="s">
        <v>1104</v>
      </c>
      <c r="B32" s="295" t="s">
        <v>1130</v>
      </c>
      <c r="C32" s="295" t="s">
        <v>145</v>
      </c>
      <c r="D32" s="295" t="s">
        <v>1131</v>
      </c>
      <c r="E32" s="296"/>
      <c r="F32" s="295" t="s">
        <v>109</v>
      </c>
      <c r="G32" s="295" t="s">
        <v>110</v>
      </c>
      <c r="H32" s="297">
        <f>IF($A32="","",IFERROR(ROUND(SUMIFS('Daily Data'!$N$4:$N$503,'Daily Data'!$B$4:$B$503,$A32,'Daily Data'!$AK$4:$AK$503,COUNTIF('Daily Data'!$B$4:$B$503,$A32))/SUMIFS('Daily Data'!$E$4:$E$503,'Daily Data'!$B$4:$B$503,$A32,'Daily Data'!$AK$4:$AK$503,COUNTIF('Daily Data'!$B$4:$B$503,$A32)),0),""))</f>
        <v>141111940</v>
      </c>
      <c r="I32" s="304" t="s">
        <v>1133</v>
      </c>
      <c r="J32" s="298" t="s">
        <v>1104</v>
      </c>
      <c r="K32" s="290" t="str">
        <f>IF($A32="","",IF(OR($E32="",NOT(ISNUMBER($E32))),"VERIFY — listing date missing",IF(N($H32)&lt;=0,"VERIFY — shares outstanding missing","Verified")))</f>
        <v>VERIFY — listing date missing</v>
      </c>
    </row>
    <row r="33" spans="1:11" ht="41.4" x14ac:dyDescent="0.3">
      <c r="A33" s="294" t="s">
        <v>1105</v>
      </c>
      <c r="B33" s="295" t="s">
        <v>1132</v>
      </c>
      <c r="C33" s="295" t="s">
        <v>145</v>
      </c>
      <c r="D33" s="295" t="s">
        <v>1131</v>
      </c>
      <c r="E33" s="296"/>
      <c r="F33" s="295" t="s">
        <v>109</v>
      </c>
      <c r="G33" s="295" t="s">
        <v>110</v>
      </c>
      <c r="H33" s="297">
        <f>IF($A33="","",IFERROR(ROUND(SUMIFS('Daily Data'!$N$4:$N$503,'Daily Data'!$B$4:$B$503,$A33,'Daily Data'!$AK$4:$AK$503,COUNTIF('Daily Data'!$B$4:$B$503,$A33))/SUMIFS('Daily Data'!$E$4:$E$503,'Daily Data'!$B$4:$B$503,$A33,'Daily Data'!$AK$4:$AK$503,COUNTIF('Daily Data'!$B$4:$B$503,$A33)),0),""))</f>
        <v>54000000</v>
      </c>
      <c r="I33" s="304" t="s">
        <v>1133</v>
      </c>
      <c r="J33" s="298" t="s">
        <v>1105</v>
      </c>
      <c r="K33" s="290" t="str">
        <f>IF($A33="","",IF(OR($E33="",NOT(ISNUMBER($E33))),"VERIFY — listing date missing",IF(N($H33)&lt;=0,"VERIFY — shares outstanding missing","Verified")))</f>
        <v>VERIFY — listing date missing</v>
      </c>
    </row>
    <row r="34" spans="1:11" x14ac:dyDescent="0.3">
      <c r="A34" s="294"/>
      <c r="B34" s="295"/>
      <c r="C34" s="295"/>
      <c r="D34" s="295"/>
      <c r="E34" s="296"/>
      <c r="F34" s="295"/>
      <c r="G34" s="295"/>
      <c r="H34" s="297"/>
      <c r="I34" s="304"/>
      <c r="J34" s="298"/>
      <c r="K34" s="290" t="str">
        <f>IF($A34="","",IF(OR($E34="",NOT(ISNUMBER($E34))),"VERIFY — listing date missing",IF(N($H34)&lt;=0,"VERIFY — shares outstanding missing","Verified")))</f>
        <v/>
      </c>
    </row>
    <row r="35" spans="1:11" x14ac:dyDescent="0.3">
      <c r="A35" s="294"/>
      <c r="B35" s="295"/>
      <c r="C35" s="295"/>
      <c r="D35" s="295"/>
      <c r="E35" s="296"/>
      <c r="F35" s="295"/>
      <c r="G35" s="295"/>
      <c r="H35" s="297"/>
      <c r="I35" s="304"/>
      <c r="J35" s="298"/>
      <c r="K35" s="290" t="str">
        <f>IF($A35="","",IF(OR($E35="",NOT(ISNUMBER($E35))),"VERIFY — listing date missing",IF(N($H35)&lt;=0,"VERIFY — shares outstanding missing","Verified")))</f>
        <v/>
      </c>
    </row>
    <row r="36" spans="1:11" x14ac:dyDescent="0.3">
      <c r="A36" s="294"/>
      <c r="B36" s="295"/>
      <c r="C36" s="295"/>
      <c r="D36" s="295"/>
      <c r="E36" s="296"/>
      <c r="F36" s="295"/>
      <c r="G36" s="295"/>
      <c r="H36" s="297"/>
      <c r="I36" s="304"/>
      <c r="J36" s="298"/>
      <c r="K36" s="290" t="str">
        <f>IF($A36="","",IF(OR($E36="",NOT(ISNUMBER($E36))),"VERIFY — listing date missing",IF(N($H36)&lt;=0,"VERIFY — shares outstanding missing","Verified")))</f>
        <v/>
      </c>
    </row>
    <row r="37" spans="1:11" x14ac:dyDescent="0.3">
      <c r="A37" s="294"/>
      <c r="B37" s="295"/>
      <c r="C37" s="295"/>
      <c r="D37" s="295"/>
      <c r="E37" s="296"/>
      <c r="F37" s="295"/>
      <c r="G37" s="295"/>
      <c r="H37" s="297"/>
      <c r="I37" s="304"/>
      <c r="J37" s="298"/>
      <c r="K37" s="290" t="str">
        <f>IF($A37="","",IF(OR($E37="",NOT(ISNUMBER($E37))),"VERIFY — listing date missing",IF(N($H37)&lt;=0,"VERIFY — shares outstanding missing","Verified")))</f>
        <v/>
      </c>
    </row>
    <row r="38" spans="1:11" x14ac:dyDescent="0.3">
      <c r="A38" s="294"/>
      <c r="B38" s="295"/>
      <c r="C38" s="295"/>
      <c r="D38" s="295"/>
      <c r="E38" s="296"/>
      <c r="F38" s="295"/>
      <c r="G38" s="295"/>
      <c r="H38" s="297"/>
      <c r="I38" s="304"/>
      <c r="J38" s="298"/>
      <c r="K38" s="290" t="str">
        <f>IF($A38="","",IF(OR($E38="",NOT(ISNUMBER($E38))),"VERIFY — listing date missing",IF(N($H38)&lt;=0,"VERIFY — shares outstanding missing","Verified")))</f>
        <v/>
      </c>
    </row>
    <row r="39" spans="1:11" x14ac:dyDescent="0.3">
      <c r="A39" s="294"/>
      <c r="B39" s="295"/>
      <c r="C39" s="295"/>
      <c r="D39" s="295"/>
      <c r="E39" s="296"/>
      <c r="F39" s="295"/>
      <c r="G39" s="295"/>
      <c r="H39" s="297"/>
      <c r="I39" s="304"/>
      <c r="J39" s="298"/>
      <c r="K39" s="290" t="str">
        <f>IF($A39="","",IF(OR($E39="",NOT(ISNUMBER($E39))),"VERIFY — listing date missing",IF(N($H39)&lt;=0,"VERIFY — shares outstanding missing","Verified")))</f>
        <v/>
      </c>
    </row>
    <row r="40" spans="1:11" x14ac:dyDescent="0.3">
      <c r="A40" s="294"/>
      <c r="B40" s="295"/>
      <c r="C40" s="295"/>
      <c r="D40" s="295"/>
      <c r="E40" s="296"/>
      <c r="F40" s="295"/>
      <c r="G40" s="295"/>
      <c r="H40" s="297"/>
      <c r="I40" s="304"/>
      <c r="J40" s="298"/>
      <c r="K40" s="290" t="str">
        <f>IF($A40="","",IF(OR($E40="",NOT(ISNUMBER($E40))),"VERIFY — listing date missing",IF(N($H40)&lt;=0,"VERIFY — shares outstanding missing","Verified")))</f>
        <v/>
      </c>
    </row>
    <row r="41" spans="1:11" x14ac:dyDescent="0.3">
      <c r="A41" s="294"/>
      <c r="B41" s="295"/>
      <c r="C41" s="295"/>
      <c r="D41" s="295"/>
      <c r="E41" s="296"/>
      <c r="F41" s="295"/>
      <c r="G41" s="295"/>
      <c r="H41" s="297"/>
      <c r="I41" s="304"/>
      <c r="J41" s="298"/>
      <c r="K41" s="290" t="str">
        <f>IF($A41="","",IF(OR($E41="",NOT(ISNUMBER($E41))),"VERIFY — listing date missing",IF(N($H41)&lt;=0,"VERIFY — shares outstanding missing","Verified")))</f>
        <v/>
      </c>
    </row>
    <row r="42" spans="1:11" x14ac:dyDescent="0.3">
      <c r="A42" s="294"/>
      <c r="B42" s="295"/>
      <c r="C42" s="295"/>
      <c r="D42" s="295"/>
      <c r="E42" s="296"/>
      <c r="F42" s="295"/>
      <c r="G42" s="295"/>
      <c r="H42" s="297"/>
      <c r="I42" s="304"/>
      <c r="J42" s="298"/>
      <c r="K42" s="290" t="str">
        <f>IF($A42="","",IF(OR($E42="",NOT(ISNUMBER($E42))),"VERIFY — listing date missing",IF(N($H42)&lt;=0,"VERIFY — shares outstanding missing","Verified")))</f>
        <v/>
      </c>
    </row>
    <row r="43" spans="1:11" x14ac:dyDescent="0.3">
      <c r="A43" s="299"/>
      <c r="B43" s="300"/>
      <c r="C43" s="300"/>
      <c r="D43" s="300"/>
      <c r="E43" s="301"/>
      <c r="F43" s="300"/>
      <c r="G43" s="300"/>
      <c r="H43" s="302"/>
      <c r="I43" s="305"/>
      <c r="J43" s="303"/>
      <c r="K43" s="290" t="str">
        <f>IF($A43="","",IF(OR($E43="",NOT(ISNUMBER($E43))),"VERIFY — listing date missing",IF(N($H43)&lt;=0,"VERIFY — shares outstanding missing","Verified")))</f>
        <v/>
      </c>
    </row>
  </sheetData>
  <sheetProtection algorithmName="SHA-512" hashValue="bNgvPVJZLzAGXmdaJU4oOUIJktQojZH7qxXwDBoakJob7Q+CYxS2CGBgL2n+3HeBTsxHSVLWrtKp4dbmXYaxpA==" saltValue="ViFfOQ98fn0JbfU/SnWCeg==" spinCount="100000" sheet="1" objects="1" scenarios="1" sort="0" autoFilter="0"/>
  <conditionalFormatting sqref="K4:K43">
    <cfRule type="containsText" dxfId="95" priority="1" operator="containsText" text="VERIFY">
      <formula>NOT(ISERROR(SEARCH("VERIFY",K4)))</formula>
    </cfRule>
  </conditionalFormatting>
  <conditionalFormatting sqref="K4:K43">
    <cfRule type="containsText" dxfId="94" priority="2" operator="containsText" text="Verified">
      <formula>NOT(ISERROR(SEARCH("Verified",K4)))</formula>
    </cfRule>
  </conditionalFormatting>
  <conditionalFormatting sqref="E4:E43">
    <cfRule type="expression" dxfId="93" priority="3">
      <formula>AND($A4&lt;&gt;"",$E4="")</formula>
    </cfRule>
  </conditionalFormatting>
  <dataValidations count="2">
    <dataValidation type="list" allowBlank="1" showInputMessage="1" showErrorMessage="1" sqref="F4:F43" xr:uid="{E24357AC-514D-4280-8CF4-8265855D0B17}">
      <formula1>"Yes,No"</formula1>
    </dataValidation>
    <dataValidation type="list" allowBlank="1" showInputMessage="1" showErrorMessage="1" sqref="C4:C43" xr:uid="{E62EC061-A477-4BD8-BFC1-DEA544E9E57C}">
      <formula1>"Ordinary Share,Preference Share,ETF,Bond,REIT,Other"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9D6A-54CB-4189-BFA0-45444E5E4EB9}">
  <dimension ref="A1:AV503"/>
  <sheetViews>
    <sheetView topLeftCell="S1" workbookViewId="0">
      <pane ySplit="3" topLeftCell="A4" activePane="bottomLeft" state="frozen"/>
      <selection pane="bottomLeft"/>
    </sheetView>
  </sheetViews>
  <sheetFormatPr defaultRowHeight="14.4" x14ac:dyDescent="0.3"/>
  <cols>
    <col min="1" max="1" width="15.77734375" customWidth="1"/>
    <col min="2" max="2" width="14.77734375" customWidth="1"/>
    <col min="3" max="48" width="16.6640625" customWidth="1"/>
  </cols>
  <sheetData>
    <row r="1" spans="1:48" ht="21" x14ac:dyDescent="0.4">
      <c r="A1" s="14" t="s">
        <v>146</v>
      </c>
      <c r="E1" s="292" t="str">
        <f>IF(COUNTIF($O$4:$O$503,"Sample Fixture")&gt;0,"⚠  SAMPLE FIXTURE ROWS PRESENT: "&amp;COUNTIF($O$4:$O$503,"Sample Fixture")&amp;"  —  run clearSampleFixtures() from the Kadioko menu, or delete them, before using this workbook on live data.","✔  No sample fixture rows — live data only.")</f>
        <v>✔  No sample fixture rows — live data only.</v>
      </c>
      <c r="F1" s="159"/>
      <c r="G1" s="159"/>
      <c r="H1" s="159"/>
      <c r="I1" s="159"/>
      <c r="J1" s="159"/>
      <c r="K1" s="159"/>
      <c r="L1" s="159"/>
      <c r="M1" s="159"/>
      <c r="N1" s="159"/>
      <c r="O1" s="159"/>
      <c r="P1" s="159"/>
      <c r="Q1" s="159"/>
      <c r="R1" s="159"/>
    </row>
    <row r="2" spans="1:48" x14ac:dyDescent="0.3">
      <c r="A2" s="306" t="s">
        <v>1344</v>
      </c>
    </row>
    <row r="3" spans="1:48" ht="42" customHeight="1" x14ac:dyDescent="0.3">
      <c r="A3" s="21" t="s">
        <v>147</v>
      </c>
      <c r="B3" s="21" t="s">
        <v>96</v>
      </c>
      <c r="C3" s="21" t="s">
        <v>148</v>
      </c>
      <c r="D3" s="21" t="s">
        <v>149</v>
      </c>
      <c r="E3" s="21" t="s">
        <v>150</v>
      </c>
      <c r="F3" s="21" t="s">
        <v>151</v>
      </c>
      <c r="G3" s="21" t="s">
        <v>152</v>
      </c>
      <c r="H3" s="21" t="s">
        <v>153</v>
      </c>
      <c r="I3" s="21" t="s">
        <v>154</v>
      </c>
      <c r="J3" s="21" t="s">
        <v>155</v>
      </c>
      <c r="K3" s="21" t="s">
        <v>156</v>
      </c>
      <c r="L3" s="21" t="s">
        <v>157</v>
      </c>
      <c r="M3" s="21" t="s">
        <v>158</v>
      </c>
      <c r="N3" s="21" t="s">
        <v>159</v>
      </c>
      <c r="O3" s="21" t="s">
        <v>160</v>
      </c>
      <c r="P3" s="21" t="s">
        <v>161</v>
      </c>
      <c r="Q3" s="21" t="s">
        <v>162</v>
      </c>
      <c r="R3" s="21" t="s">
        <v>163</v>
      </c>
      <c r="S3" s="21" t="s">
        <v>164</v>
      </c>
      <c r="T3" s="21" t="s">
        <v>165</v>
      </c>
      <c r="U3" s="21" t="s">
        <v>166</v>
      </c>
      <c r="V3" s="21" t="s">
        <v>167</v>
      </c>
      <c r="W3" s="21" t="s">
        <v>168</v>
      </c>
      <c r="X3" s="21" t="s">
        <v>169</v>
      </c>
      <c r="Y3" s="21" t="s">
        <v>170</v>
      </c>
      <c r="Z3" s="21" t="s">
        <v>171</v>
      </c>
      <c r="AA3" s="21" t="s">
        <v>172</v>
      </c>
      <c r="AB3" s="21" t="s">
        <v>173</v>
      </c>
      <c r="AC3" s="21" t="s">
        <v>174</v>
      </c>
      <c r="AD3" s="21" t="s">
        <v>175</v>
      </c>
      <c r="AE3" s="21" t="s">
        <v>176</v>
      </c>
      <c r="AF3" s="21" t="s">
        <v>177</v>
      </c>
      <c r="AG3" s="21" t="s">
        <v>178</v>
      </c>
      <c r="AH3" s="21" t="s">
        <v>179</v>
      </c>
      <c r="AI3" s="21" t="s">
        <v>180</v>
      </c>
      <c r="AJ3" s="21" t="s">
        <v>181</v>
      </c>
      <c r="AK3" s="31" t="s">
        <v>182</v>
      </c>
      <c r="AL3" s="31" t="s">
        <v>183</v>
      </c>
      <c r="AM3" s="31" t="s">
        <v>184</v>
      </c>
      <c r="AN3" s="31" t="s">
        <v>185</v>
      </c>
      <c r="AO3" s="31" t="s">
        <v>186</v>
      </c>
      <c r="AP3" s="31" t="s">
        <v>187</v>
      </c>
      <c r="AQ3" s="31" t="s">
        <v>188</v>
      </c>
      <c r="AR3" s="31" t="s">
        <v>189</v>
      </c>
      <c r="AS3" s="31" t="s">
        <v>190</v>
      </c>
      <c r="AT3" s="31" t="s">
        <v>191</v>
      </c>
      <c r="AU3" s="31" t="s">
        <v>192</v>
      </c>
      <c r="AV3" s="31" t="s">
        <v>267</v>
      </c>
    </row>
    <row r="4" spans="1:48" x14ac:dyDescent="0.3">
      <c r="A4" s="265">
        <v>46244</v>
      </c>
      <c r="B4" s="266" t="s">
        <v>1093</v>
      </c>
      <c r="C4" s="267">
        <v>640</v>
      </c>
      <c r="D4" s="267"/>
      <c r="E4" s="267">
        <v>635</v>
      </c>
      <c r="F4" s="267">
        <v>645</v>
      </c>
      <c r="G4" s="267">
        <v>630</v>
      </c>
      <c r="H4" s="268" t="str">
        <f>IF($B4="","",IFERROR($E4/$D4-1,""))</f>
        <v/>
      </c>
      <c r="I4" s="269">
        <v>32583365</v>
      </c>
      <c r="J4" s="269">
        <v>207</v>
      </c>
      <c r="K4" s="269">
        <v>51224</v>
      </c>
      <c r="L4" s="269">
        <v>14378</v>
      </c>
      <c r="M4" s="269">
        <v>21492</v>
      </c>
      <c r="N4" s="269">
        <v>92730000000</v>
      </c>
      <c r="O4" s="266" t="s">
        <v>1106</v>
      </c>
      <c r="P4" s="265">
        <v>46265</v>
      </c>
      <c r="Q4" s="266" t="s">
        <v>1138</v>
      </c>
      <c r="R4" s="23" t="str" cm="1">
        <f t="array" ref="R4">IF($B4="","",IFERROR(IF(INDEX('Data Quality'!$U$4:$U$503,ROW()-3)=0,"PENDING",INDEX('Data Quality'!$U$4:$U$503,ROW()-3)),"PENDING"))</f>
        <v>PASS</v>
      </c>
      <c r="S4" s="24">
        <f>IF($B4="","",IF(N($M4)&gt;0,$L4/$M4,""))</f>
        <v>0.66899311371673176</v>
      </c>
      <c r="T4" s="25">
        <f>IF($B4="","",$L4*$E4)</f>
        <v>9130030</v>
      </c>
      <c r="U4" s="25">
        <f>IF($B4="","",$M4*$E4)</f>
        <v>13647420</v>
      </c>
      <c r="V4" s="26">
        <f>IF($B4="","",IF(N($N4)&gt;0,$T4/$N4,""))</f>
        <v>9.8458212013372161E-5</v>
      </c>
      <c r="W4" s="26">
        <f>IF($B4="","",IF(N($N4)&gt;0,$U4/$N4,""))</f>
        <v>1.4717373018440633E-4</v>
      </c>
      <c r="X4" s="25">
        <f>IF($B4="","",IF(N($J4)&gt;0,$K4/$J4,""))</f>
        <v>247.45893719806764</v>
      </c>
      <c r="Y4" s="25">
        <f>IF($B4="","",IF(N($J4)&gt;0,$I4/$J4,""))</f>
        <v>157407.56038647343</v>
      </c>
      <c r="Z4" s="27" t="str">
        <f>IF($B4="","",IF($AK4&lt;=Settings!$C$21,"",IFERROR(AVERAGEIFS($S$4:$S$503,$B$4:$B$503,$B4,$AK$4:$AK$503,"&gt;="&amp;$AK4-Settings!$C$21,$AK$4:$AK$503,"&lt;="&amp;$AK4-1),"")))</f>
        <v/>
      </c>
      <c r="AA4" s="28" t="str">
        <f>IF(OR($S4="",$Z4="",N($Z4)=0),"",$S4/$Z4-1)</f>
        <v/>
      </c>
      <c r="AB4" s="25" t="str">
        <f>IF($B4="","",IF($AK4&lt;=Settings!$C$22,"",IFERROR(AVERAGEIFS($K$4:$K$503,$B$4:$B$503,$B4,$AK$4:$AK$503,"&gt;="&amp;$AK4-Settings!$C$22,$AK$4:$AK$503,"&lt;="&amp;$AK4-1),"")))</f>
        <v/>
      </c>
      <c r="AC4" s="27" t="str">
        <f>IF(OR($AB4="",N($AB4)=0),"",$K4/$AB4)</f>
        <v/>
      </c>
      <c r="AD4" s="28" t="str">
        <f>IF($B4="","",IF($AK4&lt;=Settings!$C$23,"",IFERROR($E4/SUMIFS($E$4:$E$503,$B$4:$B$503,$B4,$AK$4:$AK$503,$AK4-Settings!$C$23)-1,"")))</f>
        <v/>
      </c>
      <c r="AE4" s="28" t="str">
        <f>IF($B4="","",IF($AK4&lt;=Settings!$C$22,"",IFERROR($E4/SUMIFS($E$4:$E$503,$B$4:$B$503,$B4,$AK$4:$AK$503,$AK4-Settings!$C$22)-1,"")))</f>
        <v/>
      </c>
      <c r="AF4" s="28">
        <f>IF($B4="","",IF(N($E4)&gt;0,($F4-$G4)/$E4,""))</f>
        <v>2.3622047244094488E-2</v>
      </c>
      <c r="AG4" s="29">
        <f>IF($B4="","",ROUND((MIN(100,100*N($I4)/Settings!$C$27)+MIN(100,100*N($K4)/Settings!$C$28)+MIN(100,100*N($J4)/Settings!$C$29))/3,1))</f>
        <v>37.799999999999997</v>
      </c>
      <c r="AH4" s="29">
        <f>IF($B4="","",IF(SUM(Settings!$C$32:$C$37)=0,"",ROUND((Settings!$C$32*$AO4+Settings!$C$33*$AP4+Settings!$C$34*$AQ4+Settings!$C$35*$AR4+Settings!$C$36*$AS4+Settings!$C$37*$AT4)/SUM(Settings!$C$32:$C$37),1)))</f>
        <v>44.6</v>
      </c>
      <c r="AI4" s="29">
        <f>IF($B4="","",MAX(0,100-IF(N($N4)&gt;0,0,20)-IF(AND(N($L4)=0,N($M4)=0),15,0)-IF(N($J4)&gt;0,0,10)-IF(N($K4)&gt;0,0,10)-IF($Z4&lt;&gt;"",0,15)-IF($AB4&lt;&gt;"",0,10)-IF($R4="ERROR",20,IF($R4="WARNING",10,0))))</f>
        <v>75</v>
      </c>
      <c r="AJ4" s="30" t="str">
        <f>IF($AH4="","",IF($AH4&lt;Settings!$C$46,"Extreme Sell Pressure",IF($AH4&lt;Settings!$C$47,"Sell Pressure",IF($AH4&lt;=Settings!$C$48,"Neutral",IF($AH4&lt;=Settings!$C$49,"Buy Pressure","Extreme Buy Pressure")))))</f>
        <v>Neutral</v>
      </c>
      <c r="AK4" s="30">
        <f>IF($B4="","",COUNTIFS($B$4:$B$503,$B4,$A$4:$A$503,"&lt;="&amp;$A4))</f>
        <v>1</v>
      </c>
      <c r="AL4" s="30">
        <f>IF($A4="","",YEAR($A4))</f>
        <v>2026</v>
      </c>
      <c r="AM4" s="30">
        <f>IF($A4="","",_xlfn.ISOWEEKNUM($A4))</f>
        <v>33</v>
      </c>
      <c r="AN4" s="30">
        <f>IF($A4="","",MONTH($A4))</f>
        <v>8</v>
      </c>
      <c r="AO4" s="29">
        <f>IF($B4="","",IF(AND(N($L4)=0,N($M4)=0),50,IF(N($M4)=0,100,IF(N($L4)=0,0,MEDIAN(0,100,50+50*LN($S4)/LN(Settings!$C$40))))))</f>
        <v>35.501581641717046</v>
      </c>
      <c r="AP4" s="29">
        <f>IF($AA4="",50,MEDIAN(0,100,50+$AA4*100*Settings!$C$41))</f>
        <v>50</v>
      </c>
      <c r="AQ4" s="29">
        <f>IF($H4="",50,MEDIAN(0,100,50+$H4*100*Settings!$C$42))</f>
        <v>50</v>
      </c>
      <c r="AR4" s="29">
        <f>IF(OR($AC4="",$H4=""),50,MEDIAN(0,100,50+SIGN($H4)*50*MEDIAN(0,1,($AC4-1)/Settings!$C$43)))</f>
        <v>50</v>
      </c>
      <c r="AS4" s="29">
        <f>IF(OR($V4="",$W4=""),50,MEDIAN(0,100,50+50*($V4-$W4)/Settings!$C$44))</f>
        <v>45.128448182896584</v>
      </c>
      <c r="AT4" s="29">
        <f>IF($AO4="",50,50+(N($AG4)/100)*($AO4-50))</f>
        <v>44.519597860569043</v>
      </c>
      <c r="AU4" s="30" t="str">
        <f>IF($B4="","",$B4&amp;"|"&amp;TEXT($A4,"yyyy-mm-dd"))</f>
        <v>AFRIPRISE|2026-08-10</v>
      </c>
      <c r="AV4" s="87">
        <f>IF($A4="","",IF(COUNTIFS($A$4:$A4,$A4)=1,1,0))</f>
        <v>1</v>
      </c>
    </row>
    <row r="5" spans="1:48" x14ac:dyDescent="0.3">
      <c r="A5" s="265">
        <v>46244</v>
      </c>
      <c r="B5" s="266" t="s">
        <v>23</v>
      </c>
      <c r="C5" s="267">
        <v>2590</v>
      </c>
      <c r="D5" s="267"/>
      <c r="E5" s="267">
        <v>2600</v>
      </c>
      <c r="F5" s="267">
        <v>2620</v>
      </c>
      <c r="G5" s="267">
        <v>2580</v>
      </c>
      <c r="H5" s="268" t="str">
        <f t="shared" ref="H5:H68" si="0">IF($B5="","",IFERROR($E5/$D5-1,""))</f>
        <v/>
      </c>
      <c r="I5" s="269">
        <v>7453641800</v>
      </c>
      <c r="J5" s="269">
        <v>1739</v>
      </c>
      <c r="K5" s="269">
        <v>2869227</v>
      </c>
      <c r="L5" s="269">
        <v>129405</v>
      </c>
      <c r="M5" s="269">
        <v>58236</v>
      </c>
      <c r="N5" s="269">
        <v>6790780000000</v>
      </c>
      <c r="O5" s="266" t="s">
        <v>1106</v>
      </c>
      <c r="P5" s="265">
        <v>46265</v>
      </c>
      <c r="Q5" s="266" t="s">
        <v>1138</v>
      </c>
      <c r="R5" s="23" t="str" cm="1">
        <f t="array" ref="R5">IF($B5="","",IFERROR(IF(INDEX('Data Quality'!$U$4:$U$503,ROW()-3)=0,"PENDING",INDEX('Data Quality'!$U$4:$U$503,ROW()-3)),"PENDING"))</f>
        <v>PASS</v>
      </c>
      <c r="S5" s="24">
        <f t="shared" ref="S5:S68" si="1">IF($B5="","",IF(N($M5)&gt;0,$L5/$M5,""))</f>
        <v>2.2220791263136204</v>
      </c>
      <c r="T5" s="25">
        <f t="shared" ref="T5:T68" si="2">IF($B5="","",$L5*$E5)</f>
        <v>336453000</v>
      </c>
      <c r="U5" s="25">
        <f t="shared" ref="U5:U68" si="3">IF($B5="","",$M5*$E5)</f>
        <v>151413600</v>
      </c>
      <c r="V5" s="26">
        <f t="shared" ref="V5:V68" si="4">IF($B5="","",IF(N($N5)&gt;0,$T5/$N5,""))</f>
        <v>4.9545560303823711E-5</v>
      </c>
      <c r="W5" s="26">
        <f t="shared" ref="W5:W68" si="5">IF($B5="","",IF(N($N5)&gt;0,$U5/$N5,""))</f>
        <v>2.2296937906985649E-5</v>
      </c>
      <c r="X5" s="25">
        <f t="shared" ref="X5:X68" si="6">IF($B5="","",IF(N($J5)&gt;0,$K5/$J5,""))</f>
        <v>1649.929269695227</v>
      </c>
      <c r="Y5" s="25">
        <f t="shared" ref="Y5:Y68" si="7">IF($B5="","",IF(N($J5)&gt;0,$I5/$J5,""))</f>
        <v>4286165.4974123063</v>
      </c>
      <c r="Z5" s="27" t="str">
        <f>IF($B5="","",IF($AK5&lt;=Settings!$C$21,"",IFERROR(AVERAGEIFS($S$4:$S$503,$B$4:$B$503,$B5,$AK$4:$AK$503,"&gt;="&amp;$AK5-Settings!$C$21,$AK$4:$AK$503,"&lt;="&amp;$AK5-1),"")))</f>
        <v/>
      </c>
      <c r="AA5" s="28" t="str">
        <f t="shared" ref="AA5:AA68" si="8">IF(OR($S5="",$Z5="",N($Z5)=0),"",$S5/$Z5-1)</f>
        <v/>
      </c>
      <c r="AB5" s="25" t="str">
        <f>IF($B5="","",IF($AK5&lt;=Settings!$C$22,"",IFERROR(AVERAGEIFS($K$4:$K$503,$B$4:$B$503,$B5,$AK$4:$AK$503,"&gt;="&amp;$AK5-Settings!$C$22,$AK$4:$AK$503,"&lt;="&amp;$AK5-1),"")))</f>
        <v/>
      </c>
      <c r="AC5" s="27" t="str">
        <f t="shared" ref="AC5:AC68" si="9">IF(OR($AB5="",N($AB5)=0),"",$K5/$AB5)</f>
        <v/>
      </c>
      <c r="AD5" s="28" t="str">
        <f>IF($B5="","",IF($AK5&lt;=Settings!$C$23,"",IFERROR($E5/SUMIFS($E$4:$E$503,$B$4:$B$503,$B5,$AK$4:$AK$503,$AK5-Settings!$C$23)-1,"")))</f>
        <v/>
      </c>
      <c r="AE5" s="28" t="str">
        <f>IF($B5="","",IF($AK5&lt;=Settings!$C$22,"",IFERROR($E5/SUMIFS($E$4:$E$503,$B$4:$B$503,$B5,$AK$4:$AK$503,$AK5-Settings!$C$22)-1,"")))</f>
        <v/>
      </c>
      <c r="AF5" s="28">
        <f t="shared" ref="AF5:AF68" si="10">IF($B5="","",IF(N($E5)&gt;0,($F5-$G5)/$E5,""))</f>
        <v>1.5384615384615385E-2</v>
      </c>
      <c r="AG5" s="29">
        <f>IF($B5="","",ROUND((MIN(100,100*N($I5)/Settings!$C$27)+MIN(100,100*N($K5)/Settings!$C$28)+MIN(100,100*N($J5)/Settings!$C$29))/3,1))</f>
        <v>100</v>
      </c>
      <c r="AH5" s="29">
        <f>IF($B5="","",IF(SUM(Settings!$C$32:$C$37)=0,"",ROUND((Settings!$C$32*$AO5+Settings!$C$33*$AP5+Settings!$C$34*$AQ5+Settings!$C$35*$AR5+Settings!$C$36*$AS5+Settings!$C$37*$AT5)/SUM(Settings!$C$32:$C$37),1)))</f>
        <v>61.8</v>
      </c>
      <c r="AI5" s="29">
        <f>IF($B5="","",MAX(0,100-IF(N($N5)&gt;0,0,20)-IF(AND(N($L5)=0,N($M5)=0),15,0)-IF(N($J5)&gt;0,0,10)-IF(N($K5)&gt;0,0,10)-IF($Z5&lt;&gt;"",0,15)-IF($AB5&lt;&gt;"",0,10)-IF($R5="ERROR",20,IF($R5="WARNING",10,0))))</f>
        <v>75</v>
      </c>
      <c r="AJ5" s="30" t="str">
        <f>IF($AH5="","",IF($AH5&lt;Settings!$C$46,"Extreme Sell Pressure",IF($AH5&lt;Settings!$C$47,"Sell Pressure",IF($AH5&lt;=Settings!$C$48,"Neutral",IF($AH5&lt;=Settings!$C$49,"Buy Pressure","Extreme Buy Pressure")))))</f>
        <v>Buy Pressure</v>
      </c>
      <c r="AK5" s="30">
        <f t="shared" ref="AK5:AK68" si="11">IF($B5="","",COUNTIFS($B$4:$B$503,$B5,$A$4:$A$503,"&lt;="&amp;$A5))</f>
        <v>1</v>
      </c>
      <c r="AL5" s="30">
        <f t="shared" ref="AL5:AL68" si="12">IF($A5="","",YEAR($A5))</f>
        <v>2026</v>
      </c>
      <c r="AM5" s="30">
        <f t="shared" ref="AM5:AM68" si="13">IF($A5="","",_xlfn.ISOWEEKNUM($A5))</f>
        <v>33</v>
      </c>
      <c r="AN5" s="30">
        <f t="shared" ref="AN5:AN68" si="14">IF($A5="","",MONTH($A5))</f>
        <v>8</v>
      </c>
      <c r="AO5" s="29">
        <f>IF($B5="","",IF(AND(N($L5)=0,N($M5)=0),50,IF(N($M5)=0,100,IF(N($L5)=0,0,MEDIAN(0,100,50+50*LN($S5)/LN(Settings!$C$40))))))</f>
        <v>78.797754769072483</v>
      </c>
      <c r="AP5" s="29">
        <f>IF($AA5="",50,MEDIAN(0,100,50+$AA5*100*Settings!$C$41))</f>
        <v>50</v>
      </c>
      <c r="AQ5" s="29">
        <f>IF($H5="",50,MEDIAN(0,100,50+$H5*100*Settings!$C$42))</f>
        <v>50</v>
      </c>
      <c r="AR5" s="29">
        <f>IF(OR($AC5="",$H5=""),50,MEDIAN(0,100,50+SIGN($H5)*50*MEDIAN(0,1,($AC5-1)/Settings!$C$43)))</f>
        <v>50</v>
      </c>
      <c r="AS5" s="29">
        <f>IF(OR($V5="",$W5=""),50,MEDIAN(0,100,50+50*($V5-$W5)/Settings!$C$44))</f>
        <v>52.724862239683809</v>
      </c>
      <c r="AT5" s="29">
        <f t="shared" ref="AT5:AT68" si="15">IF($AO5="",50,50+(N($AG5)/100)*($AO5-50))</f>
        <v>78.797754769072483</v>
      </c>
      <c r="AU5" s="30" t="str">
        <f t="shared" ref="AU5:AU68" si="16">IF($B5="","",$B5&amp;"|"&amp;TEXT($A5,"yyyy-mm-dd"))</f>
        <v>CRDB|2026-08-10</v>
      </c>
      <c r="AV5" s="87">
        <f>IF($A5="","",IF(COUNTIFS($A$4:$A5,$A5)=1,1,0))</f>
        <v>0</v>
      </c>
    </row>
    <row r="6" spans="1:48" x14ac:dyDescent="0.3">
      <c r="A6" s="265">
        <v>46244</v>
      </c>
      <c r="B6" s="266" t="s">
        <v>1094</v>
      </c>
      <c r="C6" s="267">
        <v>420</v>
      </c>
      <c r="D6" s="267"/>
      <c r="E6" s="267">
        <v>410</v>
      </c>
      <c r="F6" s="267">
        <v>420</v>
      </c>
      <c r="G6" s="267">
        <v>390</v>
      </c>
      <c r="H6" s="268" t="str">
        <f t="shared" si="0"/>
        <v/>
      </c>
      <c r="I6" s="269">
        <v>5769690</v>
      </c>
      <c r="J6" s="269">
        <v>116</v>
      </c>
      <c r="K6" s="269">
        <v>14097</v>
      </c>
      <c r="L6" s="269">
        <v>4055</v>
      </c>
      <c r="M6" s="269">
        <v>95305</v>
      </c>
      <c r="N6" s="269">
        <v>78550000000</v>
      </c>
      <c r="O6" s="266" t="s">
        <v>1106</v>
      </c>
      <c r="P6" s="265">
        <v>46265</v>
      </c>
      <c r="Q6" s="266" t="s">
        <v>1138</v>
      </c>
      <c r="R6" s="23" t="str" cm="1">
        <f t="array" ref="R6">IF($B6="","",IFERROR(IF(INDEX('Data Quality'!$U$4:$U$503,ROW()-3)=0,"PENDING",INDEX('Data Quality'!$U$4:$U$503,ROW()-3)),"PENDING"))</f>
        <v>PASS</v>
      </c>
      <c r="S6" s="24">
        <f t="shared" si="1"/>
        <v>4.2547610303761606E-2</v>
      </c>
      <c r="T6" s="25">
        <f t="shared" si="2"/>
        <v>1662550</v>
      </c>
      <c r="U6" s="25">
        <f t="shared" si="3"/>
        <v>39075050</v>
      </c>
      <c r="V6" s="26">
        <f t="shared" si="4"/>
        <v>2.1165499681731381E-5</v>
      </c>
      <c r="W6" s="26">
        <f t="shared" si="5"/>
        <v>4.9745448758752389E-4</v>
      </c>
      <c r="X6" s="25">
        <f t="shared" si="6"/>
        <v>121.52586206896552</v>
      </c>
      <c r="Y6" s="25">
        <f t="shared" si="7"/>
        <v>49738.706896551725</v>
      </c>
      <c r="Z6" s="27" t="str">
        <f>IF($B6="","",IF($AK6&lt;=Settings!$C$21,"",IFERROR(AVERAGEIFS($S$4:$S$503,$B$4:$B$503,$B6,$AK$4:$AK$503,"&gt;="&amp;$AK6-Settings!$C$21,$AK$4:$AK$503,"&lt;="&amp;$AK6-1),"")))</f>
        <v/>
      </c>
      <c r="AA6" s="28" t="str">
        <f t="shared" si="8"/>
        <v/>
      </c>
      <c r="AB6" s="25" t="str">
        <f>IF($B6="","",IF($AK6&lt;=Settings!$C$22,"",IFERROR(AVERAGEIFS($K$4:$K$503,$B$4:$B$503,$B6,$AK$4:$AK$503,"&gt;="&amp;$AK6-Settings!$C$22,$AK$4:$AK$503,"&lt;="&amp;$AK6-1),"")))</f>
        <v/>
      </c>
      <c r="AC6" s="27" t="str">
        <f t="shared" si="9"/>
        <v/>
      </c>
      <c r="AD6" s="28" t="str">
        <f>IF($B6="","",IF($AK6&lt;=Settings!$C$23,"",IFERROR($E6/SUMIFS($E$4:$E$503,$B$4:$B$503,$B6,$AK$4:$AK$503,$AK6-Settings!$C$23)-1,"")))</f>
        <v/>
      </c>
      <c r="AE6" s="28" t="str">
        <f>IF($B6="","",IF($AK6&lt;=Settings!$C$22,"",IFERROR($E6/SUMIFS($E$4:$E$503,$B$4:$B$503,$B6,$AK$4:$AK$503,$AK6-Settings!$C$22)-1,"")))</f>
        <v/>
      </c>
      <c r="AF6" s="28">
        <f t="shared" si="10"/>
        <v>7.3170731707317069E-2</v>
      </c>
      <c r="AG6" s="29">
        <f>IF($B6="","",ROUND((MIN(100,100*N($I6)/Settings!$C$27)+MIN(100,100*N($K6)/Settings!$C$28)+MIN(100,100*N($J6)/Settings!$C$29))/3,1))</f>
        <v>34.5</v>
      </c>
      <c r="AH6" s="29">
        <f>IF($B6="","",IF(SUM(Settings!$C$32:$C$37)=0,"",ROUND((Settings!$C$32*$AO6+Settings!$C$33*$AP6+Settings!$C$34*$AQ6+Settings!$C$35*$AR6+Settings!$C$36*$AS6+Settings!$C$37*$AT6)/SUM(Settings!$C$32:$C$37),1)))</f>
        <v>28.5</v>
      </c>
      <c r="AI6" s="29">
        <f>IF($B6="","",MAX(0,100-IF(N($N6)&gt;0,0,20)-IF(AND(N($L6)=0,N($M6)=0),15,0)-IF(N($J6)&gt;0,0,10)-IF(N($K6)&gt;0,0,10)-IF($Z6&lt;&gt;"",0,15)-IF($AB6&lt;&gt;"",0,10)-IF($R6="ERROR",20,IF($R6="WARNING",10,0))))</f>
        <v>75</v>
      </c>
      <c r="AJ6" s="30" t="str">
        <f>IF($AH6="","",IF($AH6&lt;Settings!$C$46,"Extreme Sell Pressure",IF($AH6&lt;Settings!$C$47,"Sell Pressure",IF($AH6&lt;=Settings!$C$48,"Neutral",IF($AH6&lt;=Settings!$C$49,"Buy Pressure","Extreme Buy Pressure")))))</f>
        <v>Sell Pressure</v>
      </c>
      <c r="AK6" s="30">
        <f t="shared" si="11"/>
        <v>1</v>
      </c>
      <c r="AL6" s="30">
        <f t="shared" si="12"/>
        <v>2026</v>
      </c>
      <c r="AM6" s="30">
        <f t="shared" si="13"/>
        <v>33</v>
      </c>
      <c r="AN6" s="30">
        <f t="shared" si="14"/>
        <v>8</v>
      </c>
      <c r="AO6" s="29">
        <f>IF($B6="","",IF(AND(N($L6)=0,N($M6)=0),50,IF(N($M6)=0,100,IF(N($L6)=0,0,MEDIAN(0,100,50+50*LN($S6)/LN(Settings!$C$40))))))</f>
        <v>0</v>
      </c>
      <c r="AP6" s="29">
        <f>IF($AA6="",50,MEDIAN(0,100,50+$AA6*100*Settings!$C$41))</f>
        <v>50</v>
      </c>
      <c r="AQ6" s="29">
        <f>IF($H6="",50,MEDIAN(0,100,50+$H6*100*Settings!$C$42))</f>
        <v>50</v>
      </c>
      <c r="AR6" s="29">
        <f>IF(OR($AC6="",$H6=""),50,MEDIAN(0,100,50+SIGN($H6)*50*MEDIAN(0,1,($AC6-1)/Settings!$C$43)))</f>
        <v>50</v>
      </c>
      <c r="AS6" s="29">
        <f>IF(OR($V6="",$W6=""),50,MEDIAN(0,100,50+50*($V6-$W6)/Settings!$C$44))</f>
        <v>2.3711012094207504</v>
      </c>
      <c r="AT6" s="29">
        <f t="shared" si="15"/>
        <v>32.75</v>
      </c>
      <c r="AU6" s="30" t="str">
        <f t="shared" si="16"/>
        <v>DCB|2026-08-10</v>
      </c>
      <c r="AV6" s="87">
        <f>IF($A6="","",IF(COUNTIFS($A$4:$A6,$A6)=1,1,0))</f>
        <v>0</v>
      </c>
    </row>
    <row r="7" spans="1:48" x14ac:dyDescent="0.3">
      <c r="A7" s="265">
        <v>46244</v>
      </c>
      <c r="B7" s="266" t="s">
        <v>120</v>
      </c>
      <c r="C7" s="267">
        <v>6580</v>
      </c>
      <c r="D7" s="267"/>
      <c r="E7" s="267">
        <v>6450</v>
      </c>
      <c r="F7" s="267">
        <v>6580</v>
      </c>
      <c r="G7" s="267">
        <v>5760</v>
      </c>
      <c r="H7" s="268" t="str">
        <f t="shared" si="0"/>
        <v/>
      </c>
      <c r="I7" s="269">
        <v>15493780</v>
      </c>
      <c r="J7" s="269">
        <v>32</v>
      </c>
      <c r="K7" s="269">
        <v>2411</v>
      </c>
      <c r="L7" s="269">
        <v>1282</v>
      </c>
      <c r="M7" s="269">
        <v>4500</v>
      </c>
      <c r="N7" s="269">
        <v>153660000000</v>
      </c>
      <c r="O7" s="266" t="s">
        <v>1106</v>
      </c>
      <c r="P7" s="265">
        <v>46265</v>
      </c>
      <c r="Q7" s="266" t="s">
        <v>1138</v>
      </c>
      <c r="R7" s="23" t="str" cm="1">
        <f t="array" ref="R7">IF($B7="","",IFERROR(IF(INDEX('Data Quality'!$U$4:$U$503,ROW()-3)=0,"PENDING",INDEX('Data Quality'!$U$4:$U$503,ROW()-3)),"PENDING"))</f>
        <v>PASS</v>
      </c>
      <c r="S7" s="24">
        <f t="shared" si="1"/>
        <v>0.28488888888888891</v>
      </c>
      <c r="T7" s="25">
        <f t="shared" si="2"/>
        <v>8268900</v>
      </c>
      <c r="U7" s="25">
        <f t="shared" si="3"/>
        <v>29025000</v>
      </c>
      <c r="V7" s="26">
        <f t="shared" si="4"/>
        <v>5.3812963686060129E-5</v>
      </c>
      <c r="W7" s="26">
        <f t="shared" si="5"/>
        <v>1.8889105818039828E-4</v>
      </c>
      <c r="X7" s="25">
        <f t="shared" si="6"/>
        <v>75.34375</v>
      </c>
      <c r="Y7" s="25">
        <f t="shared" si="7"/>
        <v>484180.625</v>
      </c>
      <c r="Z7" s="27" t="str">
        <f>IF($B7="","",IF($AK7&lt;=Settings!$C$21,"",IFERROR(AVERAGEIFS($S$4:$S$503,$B$4:$B$503,$B7,$AK$4:$AK$503,"&gt;="&amp;$AK7-Settings!$C$21,$AK$4:$AK$503,"&lt;="&amp;$AK7-1),"")))</f>
        <v/>
      </c>
      <c r="AA7" s="28" t="str">
        <f t="shared" si="8"/>
        <v/>
      </c>
      <c r="AB7" s="25" t="str">
        <f>IF($B7="","",IF($AK7&lt;=Settings!$C$22,"",IFERROR(AVERAGEIFS($K$4:$K$503,$B$4:$B$503,$B7,$AK$4:$AK$503,"&gt;="&amp;$AK7-Settings!$C$22,$AK$4:$AK$503,"&lt;="&amp;$AK7-1),"")))</f>
        <v/>
      </c>
      <c r="AC7" s="27" t="str">
        <f t="shared" si="9"/>
        <v/>
      </c>
      <c r="AD7" s="28" t="str">
        <f>IF($B7="","",IF($AK7&lt;=Settings!$C$23,"",IFERROR($E7/SUMIFS($E$4:$E$503,$B$4:$B$503,$B7,$AK$4:$AK$503,$AK7-Settings!$C$23)-1,"")))</f>
        <v/>
      </c>
      <c r="AE7" s="28" t="str">
        <f>IF($B7="","",IF($AK7&lt;=Settings!$C$22,"",IFERROR($E7/SUMIFS($E$4:$E$503,$B$4:$B$503,$B7,$AK$4:$AK$503,$AK7-Settings!$C$22)-1,"")))</f>
        <v/>
      </c>
      <c r="AF7" s="28">
        <f t="shared" si="10"/>
        <v>0.12713178294573643</v>
      </c>
      <c r="AG7" s="29">
        <f>IF($B7="","",ROUND((MIN(100,100*N($I7)/Settings!$C$27)+MIN(100,100*N($K7)/Settings!$C$28)+MIN(100,100*N($J7)/Settings!$C$29))/3,1))</f>
        <v>11.3</v>
      </c>
      <c r="AH7" s="29">
        <f>IF($B7="","",IF(SUM(Settings!$C$32:$C$37)=0,"",ROUND((Settings!$C$32*$AO7+Settings!$C$33*$AP7+Settings!$C$34*$AQ7+Settings!$C$35*$AR7+Settings!$C$36*$AS7+Settings!$C$37*$AT7)/SUM(Settings!$C$32:$C$37),1)))</f>
        <v>34.6</v>
      </c>
      <c r="AI7" s="29">
        <f>IF($B7="","",MAX(0,100-IF(N($N7)&gt;0,0,20)-IF(AND(N($L7)=0,N($M7)=0),15,0)-IF(N($J7)&gt;0,0,10)-IF(N($K7)&gt;0,0,10)-IF($Z7&lt;&gt;"",0,15)-IF($AB7&lt;&gt;"",0,10)-IF($R7="ERROR",20,IF($R7="WARNING",10,0))))</f>
        <v>75</v>
      </c>
      <c r="AJ7" s="30" t="str">
        <f>IF($AH7="","",IF($AH7&lt;Settings!$C$46,"Extreme Sell Pressure",IF($AH7&lt;Settings!$C$47,"Sell Pressure",IF($AH7&lt;=Settings!$C$48,"Neutral",IF($AH7&lt;=Settings!$C$49,"Buy Pressure","Extreme Buy Pressure")))))</f>
        <v>Sell Pressure</v>
      </c>
      <c r="AK7" s="30">
        <f t="shared" si="11"/>
        <v>1</v>
      </c>
      <c r="AL7" s="30">
        <f t="shared" si="12"/>
        <v>2026</v>
      </c>
      <c r="AM7" s="30">
        <f t="shared" si="13"/>
        <v>33</v>
      </c>
      <c r="AN7" s="30">
        <f t="shared" si="14"/>
        <v>8</v>
      </c>
      <c r="AO7" s="29">
        <f>IF($B7="","",IF(AND(N($L7)=0,N($M7)=0),50,IF(N($M7)=0,100,IF(N($L7)=0,0,MEDIAN(0,100,50+50*LN($S7)/LN(Settings!$C$40))))))</f>
        <v>4.7117815128585434</v>
      </c>
      <c r="AP7" s="29">
        <f>IF($AA7="",50,MEDIAN(0,100,50+$AA7*100*Settings!$C$41))</f>
        <v>50</v>
      </c>
      <c r="AQ7" s="29">
        <f>IF($H7="",50,MEDIAN(0,100,50+$H7*100*Settings!$C$42))</f>
        <v>50</v>
      </c>
      <c r="AR7" s="29">
        <f>IF(OR($AC7="",$H7=""),50,MEDIAN(0,100,50+SIGN($H7)*50*MEDIAN(0,1,($AC7-1)/Settings!$C$43)))</f>
        <v>50</v>
      </c>
      <c r="AS7" s="29">
        <f>IF(OR($V7="",$W7=""),50,MEDIAN(0,100,50+50*($V7-$W7)/Settings!$C$44))</f>
        <v>36.492190550566185</v>
      </c>
      <c r="AT7" s="29">
        <f t="shared" si="15"/>
        <v>44.882431310953017</v>
      </c>
      <c r="AU7" s="30" t="str">
        <f t="shared" si="16"/>
        <v>DSE|2026-08-10</v>
      </c>
      <c r="AV7" s="87">
        <f>IF($A7="","",IF(COUNTIFS($A$4:$A7,$A7)=1,1,0))</f>
        <v>0</v>
      </c>
    </row>
    <row r="8" spans="1:48" x14ac:dyDescent="0.3">
      <c r="A8" s="265">
        <v>46244</v>
      </c>
      <c r="B8" s="266" t="s">
        <v>1095</v>
      </c>
      <c r="C8" s="267">
        <v>5830</v>
      </c>
      <c r="D8" s="267"/>
      <c r="E8" s="267">
        <v>5680</v>
      </c>
      <c r="F8" s="267"/>
      <c r="G8" s="267"/>
      <c r="H8" s="268" t="str">
        <f t="shared" si="0"/>
        <v/>
      </c>
      <c r="I8" s="269">
        <v>0</v>
      </c>
      <c r="J8" s="269">
        <v>0</v>
      </c>
      <c r="K8" s="269">
        <v>0</v>
      </c>
      <c r="L8" s="269">
        <v>20</v>
      </c>
      <c r="M8" s="269">
        <v>0</v>
      </c>
      <c r="N8" s="269">
        <v>4491600000000</v>
      </c>
      <c r="O8" s="266" t="s">
        <v>1106</v>
      </c>
      <c r="P8" s="265">
        <v>46265</v>
      </c>
      <c r="Q8" s="266" t="s">
        <v>1138</v>
      </c>
      <c r="R8" s="23" t="str" cm="1">
        <f t="array" ref="R8">IF($B8="","",IFERROR(IF(INDEX('Data Quality'!$U$4:$U$503,ROW()-3)=0,"PENDING",INDEX('Data Quality'!$U$4:$U$503,ROW()-3)),"PENDING"))</f>
        <v>PASS</v>
      </c>
      <c r="S8" s="24" t="str">
        <f t="shared" si="1"/>
        <v/>
      </c>
      <c r="T8" s="25">
        <f t="shared" si="2"/>
        <v>113600</v>
      </c>
      <c r="U8" s="25">
        <f t="shared" si="3"/>
        <v>0</v>
      </c>
      <c r="V8" s="26">
        <f t="shared" si="4"/>
        <v>2.5291655534776026E-8</v>
      </c>
      <c r="W8" s="26">
        <f t="shared" si="5"/>
        <v>0</v>
      </c>
      <c r="X8" s="25" t="str">
        <f t="shared" si="6"/>
        <v/>
      </c>
      <c r="Y8" s="25" t="str">
        <f t="shared" si="7"/>
        <v/>
      </c>
      <c r="Z8" s="27" t="str">
        <f>IF($B8="","",IF($AK8&lt;=Settings!$C$21,"",IFERROR(AVERAGEIFS($S$4:$S$503,$B$4:$B$503,$B8,$AK$4:$AK$503,"&gt;="&amp;$AK8-Settings!$C$21,$AK$4:$AK$503,"&lt;="&amp;$AK8-1),"")))</f>
        <v/>
      </c>
      <c r="AA8" s="28" t="str">
        <f t="shared" si="8"/>
        <v/>
      </c>
      <c r="AB8" s="25" t="str">
        <f>IF($B8="","",IF($AK8&lt;=Settings!$C$22,"",IFERROR(AVERAGEIFS($K$4:$K$503,$B$4:$B$503,$B8,$AK$4:$AK$503,"&gt;="&amp;$AK8-Settings!$C$22,$AK$4:$AK$503,"&lt;="&amp;$AK8-1),"")))</f>
        <v/>
      </c>
      <c r="AC8" s="27" t="str">
        <f t="shared" si="9"/>
        <v/>
      </c>
      <c r="AD8" s="28" t="str">
        <f>IF($B8="","",IF($AK8&lt;=Settings!$C$23,"",IFERROR($E8/SUMIFS($E$4:$E$503,$B$4:$B$503,$B8,$AK$4:$AK$503,$AK8-Settings!$C$23)-1,"")))</f>
        <v/>
      </c>
      <c r="AE8" s="28" t="str">
        <f>IF($B8="","",IF($AK8&lt;=Settings!$C$22,"",IFERROR($E8/SUMIFS($E$4:$E$503,$B$4:$B$503,$B8,$AK$4:$AK$503,$AK8-Settings!$C$22)-1,"")))</f>
        <v/>
      </c>
      <c r="AF8" s="28">
        <f t="shared" si="10"/>
        <v>0</v>
      </c>
      <c r="AG8" s="29">
        <f>IF($B8="","",ROUND((MIN(100,100*N($I8)/Settings!$C$27)+MIN(100,100*N($K8)/Settings!$C$28)+MIN(100,100*N($J8)/Settings!$C$29))/3,1))</f>
        <v>0</v>
      </c>
      <c r="AH8" s="29">
        <f>IF($B8="","",IF(SUM(Settings!$C$32:$C$37)=0,"",ROUND((Settings!$C$32*$AO8+Settings!$C$33*$AP8+Settings!$C$34*$AQ8+Settings!$C$35*$AR8+Settings!$C$36*$AS8+Settings!$C$37*$AT8)/SUM(Settings!$C$32:$C$37),1)))</f>
        <v>65</v>
      </c>
      <c r="AI8" s="29">
        <f>IF($B8="","",MAX(0,100-IF(N($N8)&gt;0,0,20)-IF(AND(N($L8)=0,N($M8)=0),15,0)-IF(N($J8)&gt;0,0,10)-IF(N($K8)&gt;0,0,10)-IF($Z8&lt;&gt;"",0,15)-IF($AB8&lt;&gt;"",0,10)-IF($R8="ERROR",20,IF($R8="WARNING",10,0))))</f>
        <v>55</v>
      </c>
      <c r="AJ8" s="30" t="str">
        <f>IF($AH8="","",IF($AH8&lt;Settings!$C$46,"Extreme Sell Pressure",IF($AH8&lt;Settings!$C$47,"Sell Pressure",IF($AH8&lt;=Settings!$C$48,"Neutral",IF($AH8&lt;=Settings!$C$49,"Buy Pressure","Extreme Buy Pressure")))))</f>
        <v>Buy Pressure</v>
      </c>
      <c r="AK8" s="30">
        <f t="shared" si="11"/>
        <v>1</v>
      </c>
      <c r="AL8" s="30">
        <f t="shared" si="12"/>
        <v>2026</v>
      </c>
      <c r="AM8" s="30">
        <f t="shared" si="13"/>
        <v>33</v>
      </c>
      <c r="AN8" s="30">
        <f t="shared" si="14"/>
        <v>8</v>
      </c>
      <c r="AO8" s="29">
        <f>IF($B8="","",IF(AND(N($L8)=0,N($M8)=0),50,IF(N($M8)=0,100,IF(N($L8)=0,0,MEDIAN(0,100,50+50*LN($S8)/LN(Settings!$C$40))))))</f>
        <v>100</v>
      </c>
      <c r="AP8" s="29">
        <f>IF($AA8="",50,MEDIAN(0,100,50+$AA8*100*Settings!$C$41))</f>
        <v>50</v>
      </c>
      <c r="AQ8" s="29">
        <f>IF($H8="",50,MEDIAN(0,100,50+$H8*100*Settings!$C$42))</f>
        <v>50</v>
      </c>
      <c r="AR8" s="29">
        <f>IF(OR($AC8="",$H8=""),50,MEDIAN(0,100,50+SIGN($H8)*50*MEDIAN(0,1,($AC8-1)/Settings!$C$43)))</f>
        <v>50</v>
      </c>
      <c r="AS8" s="29">
        <f>IF(OR($V8="",$W8=""),50,MEDIAN(0,100,50+50*($V8-$W8)/Settings!$C$44))</f>
        <v>50.002529165553476</v>
      </c>
      <c r="AT8" s="29">
        <f t="shared" si="15"/>
        <v>50</v>
      </c>
      <c r="AU8" s="30" t="str">
        <f t="shared" si="16"/>
        <v>EABL|2026-08-10</v>
      </c>
      <c r="AV8" s="87">
        <f>IF($A8="","",IF(COUNTIFS($A$4:$A8,$A8)=1,1,0))</f>
        <v>0</v>
      </c>
    </row>
    <row r="9" spans="1:48" x14ac:dyDescent="0.3">
      <c r="A9" s="265">
        <v>46244</v>
      </c>
      <c r="B9" s="266" t="s">
        <v>1096</v>
      </c>
      <c r="C9" s="267">
        <v>265</v>
      </c>
      <c r="D9" s="267"/>
      <c r="E9" s="267">
        <v>265</v>
      </c>
      <c r="F9" s="267"/>
      <c r="G9" s="267"/>
      <c r="H9" s="268" t="str">
        <f t="shared" si="0"/>
        <v/>
      </c>
      <c r="I9" s="269">
        <v>0</v>
      </c>
      <c r="J9" s="269">
        <v>0</v>
      </c>
      <c r="K9" s="269">
        <v>0</v>
      </c>
      <c r="L9" s="269">
        <v>0</v>
      </c>
      <c r="M9" s="269">
        <v>0</v>
      </c>
      <c r="N9" s="269">
        <v>5280000000</v>
      </c>
      <c r="O9" s="266" t="s">
        <v>1106</v>
      </c>
      <c r="P9" s="265">
        <v>46265</v>
      </c>
      <c r="Q9" s="266" t="s">
        <v>1138</v>
      </c>
      <c r="R9" s="23" t="str" cm="1">
        <f t="array" ref="R9">IF($B9="","",IFERROR(IF(INDEX('Data Quality'!$U$4:$U$503,ROW()-3)=0,"PENDING",INDEX('Data Quality'!$U$4:$U$503,ROW()-3)),"PENDING"))</f>
        <v>WARNING</v>
      </c>
      <c r="S9" s="24" t="str">
        <f t="shared" si="1"/>
        <v/>
      </c>
      <c r="T9" s="25">
        <f t="shared" si="2"/>
        <v>0</v>
      </c>
      <c r="U9" s="25">
        <f t="shared" si="3"/>
        <v>0</v>
      </c>
      <c r="V9" s="26">
        <f t="shared" si="4"/>
        <v>0</v>
      </c>
      <c r="W9" s="26">
        <f t="shared" si="5"/>
        <v>0</v>
      </c>
      <c r="X9" s="25" t="str">
        <f t="shared" si="6"/>
        <v/>
      </c>
      <c r="Y9" s="25" t="str">
        <f t="shared" si="7"/>
        <v/>
      </c>
      <c r="Z9" s="27" t="str">
        <f>IF($B9="","",IF($AK9&lt;=Settings!$C$21,"",IFERROR(AVERAGEIFS($S$4:$S$503,$B$4:$B$503,$B9,$AK$4:$AK$503,"&gt;="&amp;$AK9-Settings!$C$21,$AK$4:$AK$503,"&lt;="&amp;$AK9-1),"")))</f>
        <v/>
      </c>
      <c r="AA9" s="28" t="str">
        <f t="shared" si="8"/>
        <v/>
      </c>
      <c r="AB9" s="25" t="str">
        <f>IF($B9="","",IF($AK9&lt;=Settings!$C$22,"",IFERROR(AVERAGEIFS($K$4:$K$503,$B$4:$B$503,$B9,$AK$4:$AK$503,"&gt;="&amp;$AK9-Settings!$C$22,$AK$4:$AK$503,"&lt;="&amp;$AK9-1),"")))</f>
        <v/>
      </c>
      <c r="AC9" s="27" t="str">
        <f t="shared" si="9"/>
        <v/>
      </c>
      <c r="AD9" s="28" t="str">
        <f>IF($B9="","",IF($AK9&lt;=Settings!$C$23,"",IFERROR($E9/SUMIFS($E$4:$E$503,$B$4:$B$503,$B9,$AK$4:$AK$503,$AK9-Settings!$C$23)-1,"")))</f>
        <v/>
      </c>
      <c r="AE9" s="28" t="str">
        <f>IF($B9="","",IF($AK9&lt;=Settings!$C$22,"",IFERROR($E9/SUMIFS($E$4:$E$503,$B$4:$B$503,$B9,$AK$4:$AK$503,$AK9-Settings!$C$22)-1,"")))</f>
        <v/>
      </c>
      <c r="AF9" s="28">
        <f t="shared" si="10"/>
        <v>0</v>
      </c>
      <c r="AG9" s="29">
        <f>IF($B9="","",ROUND((MIN(100,100*N($I9)/Settings!$C$27)+MIN(100,100*N($K9)/Settings!$C$28)+MIN(100,100*N($J9)/Settings!$C$29))/3,1))</f>
        <v>0</v>
      </c>
      <c r="AH9" s="29">
        <f>IF($B9="","",IF(SUM(Settings!$C$32:$C$37)=0,"",ROUND((Settings!$C$32*$AO9+Settings!$C$33*$AP9+Settings!$C$34*$AQ9+Settings!$C$35*$AR9+Settings!$C$36*$AS9+Settings!$C$37*$AT9)/SUM(Settings!$C$32:$C$37),1)))</f>
        <v>50</v>
      </c>
      <c r="AI9" s="29">
        <f>IF($B9="","",MAX(0,100-IF(N($N9)&gt;0,0,20)-IF(AND(N($L9)=0,N($M9)=0),15,0)-IF(N($J9)&gt;0,0,10)-IF(N($K9)&gt;0,0,10)-IF($Z9&lt;&gt;"",0,15)-IF($AB9&lt;&gt;"",0,10)-IF($R9="ERROR",20,IF($R9="WARNING",10,0))))</f>
        <v>30</v>
      </c>
      <c r="AJ9" s="30" t="str">
        <f>IF($AH9="","",IF($AH9&lt;Settings!$C$46,"Extreme Sell Pressure",IF($AH9&lt;Settings!$C$47,"Sell Pressure",IF($AH9&lt;=Settings!$C$48,"Neutral",IF($AH9&lt;=Settings!$C$49,"Buy Pressure","Extreme Buy Pressure")))))</f>
        <v>Neutral</v>
      </c>
      <c r="AK9" s="30">
        <f t="shared" si="11"/>
        <v>1</v>
      </c>
      <c r="AL9" s="30">
        <f t="shared" si="12"/>
        <v>2026</v>
      </c>
      <c r="AM9" s="30">
        <f t="shared" si="13"/>
        <v>33</v>
      </c>
      <c r="AN9" s="30">
        <f t="shared" si="14"/>
        <v>8</v>
      </c>
      <c r="AO9" s="29">
        <f>IF($B9="","",IF(AND(N($L9)=0,N($M9)=0),50,IF(N($M9)=0,100,IF(N($L9)=0,0,MEDIAN(0,100,50+50*LN($S9)/LN(Settings!$C$40))))))</f>
        <v>50</v>
      </c>
      <c r="AP9" s="29">
        <f>IF($AA9="",50,MEDIAN(0,100,50+$AA9*100*Settings!$C$41))</f>
        <v>50</v>
      </c>
      <c r="AQ9" s="29">
        <f>IF($H9="",50,MEDIAN(0,100,50+$H9*100*Settings!$C$42))</f>
        <v>50</v>
      </c>
      <c r="AR9" s="29">
        <f>IF(OR($AC9="",$H9=""),50,MEDIAN(0,100,50+SIGN($H9)*50*MEDIAN(0,1,($AC9-1)/Settings!$C$43)))</f>
        <v>50</v>
      </c>
      <c r="AS9" s="29">
        <f>IF(OR($V9="",$W9=""),50,MEDIAN(0,100,50+50*($V9-$W9)/Settings!$C$44))</f>
        <v>50</v>
      </c>
      <c r="AT9" s="29">
        <f t="shared" si="15"/>
        <v>50</v>
      </c>
      <c r="AU9" s="30" t="str">
        <f t="shared" si="16"/>
        <v>JATU|2026-08-10</v>
      </c>
      <c r="AV9" s="87">
        <f>IF($A9="","",IF(COUNTIFS($A$4:$A9,$A9)=1,1,0))</f>
        <v>0</v>
      </c>
    </row>
    <row r="10" spans="1:48" x14ac:dyDescent="0.3">
      <c r="A10" s="265">
        <v>46244</v>
      </c>
      <c r="B10" s="266" t="s">
        <v>128</v>
      </c>
      <c r="C10" s="267">
        <v>8650</v>
      </c>
      <c r="D10" s="267"/>
      <c r="E10" s="267">
        <v>8650</v>
      </c>
      <c r="F10" s="267"/>
      <c r="G10" s="267"/>
      <c r="H10" s="268" t="str">
        <f t="shared" si="0"/>
        <v/>
      </c>
      <c r="I10" s="269">
        <v>0</v>
      </c>
      <c r="J10" s="269">
        <v>0</v>
      </c>
      <c r="K10" s="269">
        <v>0</v>
      </c>
      <c r="L10" s="269">
        <v>0</v>
      </c>
      <c r="M10" s="269">
        <v>0</v>
      </c>
      <c r="N10" s="269">
        <v>626890000000</v>
      </c>
      <c r="O10" s="266" t="s">
        <v>1106</v>
      </c>
      <c r="P10" s="265">
        <v>46265</v>
      </c>
      <c r="Q10" s="266" t="s">
        <v>1138</v>
      </c>
      <c r="R10" s="23" t="str" cm="1">
        <f t="array" ref="R10">IF($B10="","",IFERROR(IF(INDEX('Data Quality'!$U$4:$U$503,ROW()-3)=0,"PENDING",INDEX('Data Quality'!$U$4:$U$503,ROW()-3)),"PENDING"))</f>
        <v>WARNING</v>
      </c>
      <c r="S10" s="24" t="str">
        <f t="shared" si="1"/>
        <v/>
      </c>
      <c r="T10" s="25">
        <f t="shared" si="2"/>
        <v>0</v>
      </c>
      <c r="U10" s="25">
        <f t="shared" si="3"/>
        <v>0</v>
      </c>
      <c r="V10" s="26">
        <f t="shared" si="4"/>
        <v>0</v>
      </c>
      <c r="W10" s="26">
        <f t="shared" si="5"/>
        <v>0</v>
      </c>
      <c r="X10" s="25" t="str">
        <f t="shared" si="6"/>
        <v/>
      </c>
      <c r="Y10" s="25" t="str">
        <f t="shared" si="7"/>
        <v/>
      </c>
      <c r="Z10" s="27" t="str">
        <f>IF($B10="","",IF($AK10&lt;=Settings!$C$21,"",IFERROR(AVERAGEIFS($S$4:$S$503,$B$4:$B$503,$B10,$AK$4:$AK$503,"&gt;="&amp;$AK10-Settings!$C$21,$AK$4:$AK$503,"&lt;="&amp;$AK10-1),"")))</f>
        <v/>
      </c>
      <c r="AA10" s="28" t="str">
        <f t="shared" si="8"/>
        <v/>
      </c>
      <c r="AB10" s="25" t="str">
        <f>IF($B10="","",IF($AK10&lt;=Settings!$C$22,"",IFERROR(AVERAGEIFS($K$4:$K$503,$B$4:$B$503,$B10,$AK$4:$AK$503,"&gt;="&amp;$AK10-Settings!$C$22,$AK$4:$AK$503,"&lt;="&amp;$AK10-1),"")))</f>
        <v/>
      </c>
      <c r="AC10" s="27" t="str">
        <f t="shared" si="9"/>
        <v/>
      </c>
      <c r="AD10" s="28" t="str">
        <f>IF($B10="","",IF($AK10&lt;=Settings!$C$23,"",IFERROR($E10/SUMIFS($E$4:$E$503,$B$4:$B$503,$B10,$AK$4:$AK$503,$AK10-Settings!$C$23)-1,"")))</f>
        <v/>
      </c>
      <c r="AE10" s="28" t="str">
        <f>IF($B10="","",IF($AK10&lt;=Settings!$C$22,"",IFERROR($E10/SUMIFS($E$4:$E$503,$B$4:$B$503,$B10,$AK$4:$AK$503,$AK10-Settings!$C$22)-1,"")))</f>
        <v/>
      </c>
      <c r="AF10" s="28">
        <f t="shared" si="10"/>
        <v>0</v>
      </c>
      <c r="AG10" s="29">
        <f>IF($B10="","",ROUND((MIN(100,100*N($I10)/Settings!$C$27)+MIN(100,100*N($K10)/Settings!$C$28)+MIN(100,100*N($J10)/Settings!$C$29))/3,1))</f>
        <v>0</v>
      </c>
      <c r="AH10" s="29">
        <f>IF($B10="","",IF(SUM(Settings!$C$32:$C$37)=0,"",ROUND((Settings!$C$32*$AO10+Settings!$C$33*$AP10+Settings!$C$34*$AQ10+Settings!$C$35*$AR10+Settings!$C$36*$AS10+Settings!$C$37*$AT10)/SUM(Settings!$C$32:$C$37),1)))</f>
        <v>50</v>
      </c>
      <c r="AI10" s="29">
        <f>IF($B10="","",MAX(0,100-IF(N($N10)&gt;0,0,20)-IF(AND(N($L10)=0,N($M10)=0),15,0)-IF(N($J10)&gt;0,0,10)-IF(N($K10)&gt;0,0,10)-IF($Z10&lt;&gt;"",0,15)-IF($AB10&lt;&gt;"",0,10)-IF($R10="ERROR",20,IF($R10="WARNING",10,0))))</f>
        <v>30</v>
      </c>
      <c r="AJ10" s="30" t="str">
        <f>IF($AH10="","",IF($AH10&lt;Settings!$C$46,"Extreme Sell Pressure",IF($AH10&lt;Settings!$C$47,"Sell Pressure",IF($AH10&lt;=Settings!$C$48,"Neutral",IF($AH10&lt;=Settings!$C$49,"Buy Pressure","Extreme Buy Pressure")))))</f>
        <v>Neutral</v>
      </c>
      <c r="AK10" s="30">
        <f t="shared" si="11"/>
        <v>1</v>
      </c>
      <c r="AL10" s="30">
        <f t="shared" si="12"/>
        <v>2026</v>
      </c>
      <c r="AM10" s="30">
        <f t="shared" si="13"/>
        <v>33</v>
      </c>
      <c r="AN10" s="30">
        <f t="shared" si="14"/>
        <v>8</v>
      </c>
      <c r="AO10" s="29">
        <f>IF($B10="","",IF(AND(N($L10)=0,N($M10)=0),50,IF(N($M10)=0,100,IF(N($L10)=0,0,MEDIAN(0,100,50+50*LN($S10)/LN(Settings!$C$40))))))</f>
        <v>50</v>
      </c>
      <c r="AP10" s="29">
        <f>IF($AA10="",50,MEDIAN(0,100,50+$AA10*100*Settings!$C$41))</f>
        <v>50</v>
      </c>
      <c r="AQ10" s="29">
        <f>IF($H10="",50,MEDIAN(0,100,50+$H10*100*Settings!$C$42))</f>
        <v>50</v>
      </c>
      <c r="AR10" s="29">
        <f>IF(OR($AC10="",$H10=""),50,MEDIAN(0,100,50+SIGN($H10)*50*MEDIAN(0,1,($AC10-1)/Settings!$C$43)))</f>
        <v>50</v>
      </c>
      <c r="AS10" s="29">
        <f>IF(OR($V10="",$W10=""),50,MEDIAN(0,100,50+50*($V10-$W10)/Settings!$C$44))</f>
        <v>50</v>
      </c>
      <c r="AT10" s="29">
        <f t="shared" si="15"/>
        <v>50</v>
      </c>
      <c r="AU10" s="30" t="str">
        <f t="shared" si="16"/>
        <v>JHL|2026-08-10</v>
      </c>
      <c r="AV10" s="87">
        <f>IF($A10="","",IF(COUNTIFS($A$4:$A10,$A10)=1,1,0))</f>
        <v>0</v>
      </c>
    </row>
    <row r="11" spans="1:48" x14ac:dyDescent="0.3">
      <c r="A11" s="265">
        <v>46244</v>
      </c>
      <c r="B11" s="266" t="s">
        <v>1097</v>
      </c>
      <c r="C11" s="267">
        <v>110</v>
      </c>
      <c r="D11" s="267"/>
      <c r="E11" s="267">
        <v>110</v>
      </c>
      <c r="F11" s="267"/>
      <c r="G11" s="267"/>
      <c r="H11" s="268" t="str">
        <f t="shared" si="0"/>
        <v/>
      </c>
      <c r="I11" s="269">
        <v>0</v>
      </c>
      <c r="J11" s="269">
        <v>0</v>
      </c>
      <c r="K11" s="269">
        <v>0</v>
      </c>
      <c r="L11" s="269">
        <v>230</v>
      </c>
      <c r="M11" s="269">
        <v>0</v>
      </c>
      <c r="N11" s="269">
        <v>624960000000</v>
      </c>
      <c r="O11" s="266" t="s">
        <v>1106</v>
      </c>
      <c r="P11" s="265">
        <v>46265</v>
      </c>
      <c r="Q11" s="266" t="s">
        <v>1138</v>
      </c>
      <c r="R11" s="23" t="str" cm="1">
        <f t="array" ref="R11">IF($B11="","",IFERROR(IF(INDEX('Data Quality'!$U$4:$U$503,ROW()-3)=0,"PENDING",INDEX('Data Quality'!$U$4:$U$503,ROW()-3)),"PENDING"))</f>
        <v>PASS</v>
      </c>
      <c r="S11" s="24" t="str">
        <f t="shared" si="1"/>
        <v/>
      </c>
      <c r="T11" s="25">
        <f t="shared" si="2"/>
        <v>25300</v>
      </c>
      <c r="U11" s="25">
        <f t="shared" si="3"/>
        <v>0</v>
      </c>
      <c r="V11" s="26">
        <f t="shared" si="4"/>
        <v>4.0482590885816694E-8</v>
      </c>
      <c r="W11" s="26">
        <f t="shared" si="5"/>
        <v>0</v>
      </c>
      <c r="X11" s="25" t="str">
        <f t="shared" si="6"/>
        <v/>
      </c>
      <c r="Y11" s="25" t="str">
        <f t="shared" si="7"/>
        <v/>
      </c>
      <c r="Z11" s="27" t="str">
        <f>IF($B11="","",IF($AK11&lt;=Settings!$C$21,"",IFERROR(AVERAGEIFS($S$4:$S$503,$B$4:$B$503,$B11,$AK$4:$AK$503,"&gt;="&amp;$AK11-Settings!$C$21,$AK$4:$AK$503,"&lt;="&amp;$AK11-1),"")))</f>
        <v/>
      </c>
      <c r="AA11" s="28" t="str">
        <f t="shared" si="8"/>
        <v/>
      </c>
      <c r="AB11" s="25" t="str">
        <f>IF($B11="","",IF($AK11&lt;=Settings!$C$22,"",IFERROR(AVERAGEIFS($K$4:$K$503,$B$4:$B$503,$B11,$AK$4:$AK$503,"&gt;="&amp;$AK11-Settings!$C$22,$AK$4:$AK$503,"&lt;="&amp;$AK11-1),"")))</f>
        <v/>
      </c>
      <c r="AC11" s="27" t="str">
        <f t="shared" si="9"/>
        <v/>
      </c>
      <c r="AD11" s="28" t="str">
        <f>IF($B11="","",IF($AK11&lt;=Settings!$C$23,"",IFERROR($E11/SUMIFS($E$4:$E$503,$B$4:$B$503,$B11,$AK$4:$AK$503,$AK11-Settings!$C$23)-1,"")))</f>
        <v/>
      </c>
      <c r="AE11" s="28" t="str">
        <f>IF($B11="","",IF($AK11&lt;=Settings!$C$22,"",IFERROR($E11/SUMIFS($E$4:$E$503,$B$4:$B$503,$B11,$AK$4:$AK$503,$AK11-Settings!$C$22)-1,"")))</f>
        <v/>
      </c>
      <c r="AF11" s="28">
        <f t="shared" si="10"/>
        <v>0</v>
      </c>
      <c r="AG11" s="29">
        <f>IF($B11="","",ROUND((MIN(100,100*N($I11)/Settings!$C$27)+MIN(100,100*N($K11)/Settings!$C$28)+MIN(100,100*N($J11)/Settings!$C$29))/3,1))</f>
        <v>0</v>
      </c>
      <c r="AH11" s="29">
        <f>IF($B11="","",IF(SUM(Settings!$C$32:$C$37)=0,"",ROUND((Settings!$C$32*$AO11+Settings!$C$33*$AP11+Settings!$C$34*$AQ11+Settings!$C$35*$AR11+Settings!$C$36*$AS11+Settings!$C$37*$AT11)/SUM(Settings!$C$32:$C$37),1)))</f>
        <v>65</v>
      </c>
      <c r="AI11" s="29">
        <f>IF($B11="","",MAX(0,100-IF(N($N11)&gt;0,0,20)-IF(AND(N($L11)=0,N($M11)=0),15,0)-IF(N($J11)&gt;0,0,10)-IF(N($K11)&gt;0,0,10)-IF($Z11&lt;&gt;"",0,15)-IF($AB11&lt;&gt;"",0,10)-IF($R11="ERROR",20,IF($R11="WARNING",10,0))))</f>
        <v>55</v>
      </c>
      <c r="AJ11" s="30" t="str">
        <f>IF($AH11="","",IF($AH11&lt;Settings!$C$46,"Extreme Sell Pressure",IF($AH11&lt;Settings!$C$47,"Sell Pressure",IF($AH11&lt;=Settings!$C$48,"Neutral",IF($AH11&lt;=Settings!$C$49,"Buy Pressure","Extreme Buy Pressure")))))</f>
        <v>Buy Pressure</v>
      </c>
      <c r="AK11" s="30">
        <f t="shared" si="11"/>
        <v>1</v>
      </c>
      <c r="AL11" s="30">
        <f t="shared" si="12"/>
        <v>2026</v>
      </c>
      <c r="AM11" s="30">
        <f t="shared" si="13"/>
        <v>33</v>
      </c>
      <c r="AN11" s="30">
        <f t="shared" si="14"/>
        <v>8</v>
      </c>
      <c r="AO11" s="29">
        <f>IF($B11="","",IF(AND(N($L11)=0,N($M11)=0),50,IF(N($M11)=0,100,IF(N($L11)=0,0,MEDIAN(0,100,50+50*LN($S11)/LN(Settings!$C$40))))))</f>
        <v>100</v>
      </c>
      <c r="AP11" s="29">
        <f>IF($AA11="",50,MEDIAN(0,100,50+$AA11*100*Settings!$C$41))</f>
        <v>50</v>
      </c>
      <c r="AQ11" s="29">
        <f>IF($H11="",50,MEDIAN(0,100,50+$H11*100*Settings!$C$42))</f>
        <v>50</v>
      </c>
      <c r="AR11" s="29">
        <f>IF(OR($AC11="",$H11=""),50,MEDIAN(0,100,50+SIGN($H11)*50*MEDIAN(0,1,($AC11-1)/Settings!$C$43)))</f>
        <v>50</v>
      </c>
      <c r="AS11" s="29">
        <f>IF(OR($V11="",$W11=""),50,MEDIAN(0,100,50+50*($V11-$W11)/Settings!$C$44))</f>
        <v>50.004048259088584</v>
      </c>
      <c r="AT11" s="29">
        <f t="shared" si="15"/>
        <v>50</v>
      </c>
      <c r="AU11" s="30" t="str">
        <f t="shared" si="16"/>
        <v>KA|2026-08-10</v>
      </c>
      <c r="AV11" s="87">
        <f>IF($A11="","",IF(COUNTIFS($A$4:$A11,$A11)=1,1,0))</f>
        <v>0</v>
      </c>
    </row>
    <row r="12" spans="1:48" x14ac:dyDescent="0.3">
      <c r="A12" s="265">
        <v>46244</v>
      </c>
      <c r="B12" s="266" t="s">
        <v>1098</v>
      </c>
      <c r="C12" s="267">
        <v>1890</v>
      </c>
      <c r="D12" s="267"/>
      <c r="E12" s="267">
        <v>1900</v>
      </c>
      <c r="F12" s="267">
        <v>1900</v>
      </c>
      <c r="G12" s="267">
        <v>1880</v>
      </c>
      <c r="H12" s="268" t="str">
        <f t="shared" si="0"/>
        <v/>
      </c>
      <c r="I12" s="269">
        <v>10287840</v>
      </c>
      <c r="J12" s="269">
        <v>53</v>
      </c>
      <c r="K12" s="269">
        <v>5425</v>
      </c>
      <c r="L12" s="269">
        <v>10141</v>
      </c>
      <c r="M12" s="269">
        <v>23591</v>
      </c>
      <c r="N12" s="269">
        <v>5643650000000</v>
      </c>
      <c r="O12" s="266" t="s">
        <v>1106</v>
      </c>
      <c r="P12" s="265">
        <v>46265</v>
      </c>
      <c r="Q12" s="266" t="s">
        <v>1138</v>
      </c>
      <c r="R12" s="23" t="str" cm="1">
        <f t="array" ref="R12">IF($B12="","",IFERROR(IF(INDEX('Data Quality'!$U$4:$U$503,ROW()-3)=0,"PENDING",INDEX('Data Quality'!$U$4:$U$503,ROW()-3)),"PENDING"))</f>
        <v>PASS</v>
      </c>
      <c r="S12" s="24">
        <f t="shared" si="1"/>
        <v>0.42986732228392183</v>
      </c>
      <c r="T12" s="25">
        <f t="shared" si="2"/>
        <v>19267900</v>
      </c>
      <c r="U12" s="25">
        <f t="shared" si="3"/>
        <v>44822900</v>
      </c>
      <c r="V12" s="26">
        <f t="shared" si="4"/>
        <v>3.4140848564315647E-6</v>
      </c>
      <c r="W12" s="26">
        <f t="shared" si="5"/>
        <v>7.9421828072258198E-6</v>
      </c>
      <c r="X12" s="25">
        <f t="shared" si="6"/>
        <v>102.35849056603773</v>
      </c>
      <c r="Y12" s="25">
        <f t="shared" si="7"/>
        <v>194110.18867924527</v>
      </c>
      <c r="Z12" s="27" t="str">
        <f>IF($B12="","",IF($AK12&lt;=Settings!$C$21,"",IFERROR(AVERAGEIFS($S$4:$S$503,$B$4:$B$503,$B12,$AK$4:$AK$503,"&gt;="&amp;$AK12-Settings!$C$21,$AK$4:$AK$503,"&lt;="&amp;$AK12-1),"")))</f>
        <v/>
      </c>
      <c r="AA12" s="28" t="str">
        <f t="shared" si="8"/>
        <v/>
      </c>
      <c r="AB12" s="25" t="str">
        <f>IF($B12="","",IF($AK12&lt;=Settings!$C$22,"",IFERROR(AVERAGEIFS($K$4:$K$503,$B$4:$B$503,$B12,$AK$4:$AK$503,"&gt;="&amp;$AK12-Settings!$C$22,$AK$4:$AK$503,"&lt;="&amp;$AK12-1),"")))</f>
        <v/>
      </c>
      <c r="AC12" s="27" t="str">
        <f t="shared" si="9"/>
        <v/>
      </c>
      <c r="AD12" s="28" t="str">
        <f>IF($B12="","",IF($AK12&lt;=Settings!$C$23,"",IFERROR($E12/SUMIFS($E$4:$E$503,$B$4:$B$503,$B12,$AK$4:$AK$503,$AK12-Settings!$C$23)-1,"")))</f>
        <v/>
      </c>
      <c r="AE12" s="28" t="str">
        <f>IF($B12="","",IF($AK12&lt;=Settings!$C$22,"",IFERROR($E12/SUMIFS($E$4:$E$503,$B$4:$B$503,$B12,$AK$4:$AK$503,$AK12-Settings!$C$22)-1,"")))</f>
        <v/>
      </c>
      <c r="AF12" s="28">
        <f t="shared" si="10"/>
        <v>1.0526315789473684E-2</v>
      </c>
      <c r="AG12" s="29">
        <f>IF($B12="","",ROUND((MIN(100,100*N($I12)/Settings!$C$27)+MIN(100,100*N($K12)/Settings!$C$28)+MIN(100,100*N($J12)/Settings!$C$29))/3,1))</f>
        <v>18.399999999999999</v>
      </c>
      <c r="AH12" s="29">
        <f>IF($B12="","",IF(SUM(Settings!$C$32:$C$37)=0,"",ROUND((Settings!$C$32*$AO12+Settings!$C$33*$AP12+Settings!$C$34*$AQ12+Settings!$C$35*$AR12+Settings!$C$36*$AS12+Settings!$C$37*$AT12)/SUM(Settings!$C$32:$C$37),1)))</f>
        <v>40.299999999999997</v>
      </c>
      <c r="AI12" s="29">
        <f>IF($B12="","",MAX(0,100-IF(N($N12)&gt;0,0,20)-IF(AND(N($L12)=0,N($M12)=0),15,0)-IF(N($J12)&gt;0,0,10)-IF(N($K12)&gt;0,0,10)-IF($Z12&lt;&gt;"",0,15)-IF($AB12&lt;&gt;"",0,10)-IF($R12="ERROR",20,IF($R12="WARNING",10,0))))</f>
        <v>75</v>
      </c>
      <c r="AJ12" s="30" t="str">
        <f>IF($AH12="","",IF($AH12&lt;Settings!$C$46,"Extreme Sell Pressure",IF($AH12&lt;Settings!$C$47,"Sell Pressure",IF($AH12&lt;=Settings!$C$48,"Neutral",IF($AH12&lt;=Settings!$C$49,"Buy Pressure","Extreme Buy Pressure")))))</f>
        <v>Neutral</v>
      </c>
      <c r="AK12" s="30">
        <f t="shared" si="11"/>
        <v>1</v>
      </c>
      <c r="AL12" s="30">
        <f t="shared" si="12"/>
        <v>2026</v>
      </c>
      <c r="AM12" s="30">
        <f t="shared" si="13"/>
        <v>33</v>
      </c>
      <c r="AN12" s="30">
        <f t="shared" si="14"/>
        <v>8</v>
      </c>
      <c r="AO12" s="29">
        <f>IF($B12="","",IF(AND(N($L12)=0,N($M12)=0),50,IF(N($M12)=0,100,IF(N($L12)=0,0,MEDIAN(0,100,50+50*LN($S12)/LN(Settings!$C$40))))))</f>
        <v>19.549083715063158</v>
      </c>
      <c r="AP12" s="29">
        <f>IF($AA12="",50,MEDIAN(0,100,50+$AA12*100*Settings!$C$41))</f>
        <v>50</v>
      </c>
      <c r="AQ12" s="29">
        <f>IF($H12="",50,MEDIAN(0,100,50+$H12*100*Settings!$C$42))</f>
        <v>50</v>
      </c>
      <c r="AR12" s="29">
        <f>IF(OR($AC12="",$H12=""),50,MEDIAN(0,100,50+SIGN($H12)*50*MEDIAN(0,1,($AC12-1)/Settings!$C$43)))</f>
        <v>50</v>
      </c>
      <c r="AS12" s="29">
        <f>IF(OR($V12="",$W12=""),50,MEDIAN(0,100,50+50*($V12-$W12)/Settings!$C$44))</f>
        <v>49.547190204920575</v>
      </c>
      <c r="AT12" s="29">
        <f t="shared" si="15"/>
        <v>44.397031403571624</v>
      </c>
      <c r="AU12" s="30" t="str">
        <f t="shared" si="16"/>
        <v>KCB|2026-08-10</v>
      </c>
      <c r="AV12" s="87">
        <f>IF($A12="","",IF(COUNTIFS($A$4:$A12,$A12)=1,1,0))</f>
        <v>0</v>
      </c>
    </row>
    <row r="13" spans="1:48" x14ac:dyDescent="0.3">
      <c r="A13" s="265">
        <v>46244</v>
      </c>
      <c r="B13" s="266" t="s">
        <v>136</v>
      </c>
      <c r="C13" s="267">
        <v>1600</v>
      </c>
      <c r="D13" s="267"/>
      <c r="E13" s="267">
        <v>1660</v>
      </c>
      <c r="F13" s="267">
        <v>1790</v>
      </c>
      <c r="G13" s="267">
        <v>1600</v>
      </c>
      <c r="H13" s="268" t="str">
        <f t="shared" si="0"/>
        <v/>
      </c>
      <c r="I13" s="269">
        <v>2049600</v>
      </c>
      <c r="J13" s="269">
        <v>13</v>
      </c>
      <c r="K13" s="269">
        <v>1232</v>
      </c>
      <c r="L13" s="269">
        <v>4005</v>
      </c>
      <c r="M13" s="269">
        <v>23587</v>
      </c>
      <c r="N13" s="269">
        <v>49780000000</v>
      </c>
      <c r="O13" s="266" t="s">
        <v>1106</v>
      </c>
      <c r="P13" s="265">
        <v>46265</v>
      </c>
      <c r="Q13" s="266" t="s">
        <v>1138</v>
      </c>
      <c r="R13" s="23" t="str" cm="1">
        <f t="array" ref="R13">IF($B13="","",IFERROR(IF(INDEX('Data Quality'!$U$4:$U$503,ROW()-3)=0,"PENDING",INDEX('Data Quality'!$U$4:$U$503,ROW()-3)),"PENDING"))</f>
        <v>PASS</v>
      </c>
      <c r="S13" s="24">
        <f t="shared" si="1"/>
        <v>0.16979692203332344</v>
      </c>
      <c r="T13" s="25">
        <f t="shared" si="2"/>
        <v>6648300</v>
      </c>
      <c r="U13" s="25">
        <f t="shared" si="3"/>
        <v>39154420</v>
      </c>
      <c r="V13" s="26">
        <f t="shared" si="4"/>
        <v>1.3355363599839293E-4</v>
      </c>
      <c r="W13" s="26">
        <f t="shared" si="5"/>
        <v>7.8654921655283241E-4</v>
      </c>
      <c r="X13" s="25">
        <f t="shared" si="6"/>
        <v>94.769230769230774</v>
      </c>
      <c r="Y13" s="25">
        <f t="shared" si="7"/>
        <v>157661.53846153847</v>
      </c>
      <c r="Z13" s="27" t="str">
        <f>IF($B13="","",IF($AK13&lt;=Settings!$C$21,"",IFERROR(AVERAGEIFS($S$4:$S$503,$B$4:$B$503,$B13,$AK$4:$AK$503,"&gt;="&amp;$AK13-Settings!$C$21,$AK$4:$AK$503,"&lt;="&amp;$AK13-1),"")))</f>
        <v/>
      </c>
      <c r="AA13" s="28" t="str">
        <f t="shared" si="8"/>
        <v/>
      </c>
      <c r="AB13" s="25" t="str">
        <f>IF($B13="","",IF($AK13&lt;=Settings!$C$22,"",IFERROR(AVERAGEIFS($K$4:$K$503,$B$4:$B$503,$B13,$AK$4:$AK$503,"&gt;="&amp;$AK13-Settings!$C$22,$AK$4:$AK$503,"&lt;="&amp;$AK13-1),"")))</f>
        <v/>
      </c>
      <c r="AC13" s="27" t="str">
        <f t="shared" si="9"/>
        <v/>
      </c>
      <c r="AD13" s="28" t="str">
        <f>IF($B13="","",IF($AK13&lt;=Settings!$C$23,"",IFERROR($E13/SUMIFS($E$4:$E$503,$B$4:$B$503,$B13,$AK$4:$AK$503,$AK13-Settings!$C$23)-1,"")))</f>
        <v/>
      </c>
      <c r="AE13" s="28" t="str">
        <f>IF($B13="","",IF($AK13&lt;=Settings!$C$22,"",IFERROR($E13/SUMIFS($E$4:$E$503,$B$4:$B$503,$B13,$AK$4:$AK$503,$AK13-Settings!$C$22)-1,"")))</f>
        <v/>
      </c>
      <c r="AF13" s="28">
        <f t="shared" si="10"/>
        <v>0.1144578313253012</v>
      </c>
      <c r="AG13" s="29">
        <f>IF($B13="","",ROUND((MIN(100,100*N($I13)/Settings!$C$27)+MIN(100,100*N($K13)/Settings!$C$28)+MIN(100,100*N($J13)/Settings!$C$29))/3,1))</f>
        <v>4.5</v>
      </c>
      <c r="AH13" s="29">
        <f>IF($B13="","",IF(SUM(Settings!$C$32:$C$37)=0,"",ROUND((Settings!$C$32*$AO13+Settings!$C$33*$AP13+Settings!$C$34*$AQ13+Settings!$C$35*$AR13+Settings!$C$36*$AS13+Settings!$C$37*$AT13)/SUM(Settings!$C$32:$C$37),1)))</f>
        <v>29.8</v>
      </c>
      <c r="AI13" s="29">
        <f>IF($B13="","",MAX(0,100-IF(N($N13)&gt;0,0,20)-IF(AND(N($L13)=0,N($M13)=0),15,0)-IF(N($J13)&gt;0,0,10)-IF(N($K13)&gt;0,0,10)-IF($Z13&lt;&gt;"",0,15)-IF($AB13&lt;&gt;"",0,10)-IF($R13="ERROR",20,IF($R13="WARNING",10,0))))</f>
        <v>75</v>
      </c>
      <c r="AJ13" s="30" t="str">
        <f>IF($AH13="","",IF($AH13&lt;Settings!$C$46,"Extreme Sell Pressure",IF($AH13&lt;Settings!$C$47,"Sell Pressure",IF($AH13&lt;=Settings!$C$48,"Neutral",IF($AH13&lt;=Settings!$C$49,"Buy Pressure","Extreme Buy Pressure")))))</f>
        <v>Sell Pressure</v>
      </c>
      <c r="AK13" s="30">
        <f t="shared" si="11"/>
        <v>1</v>
      </c>
      <c r="AL13" s="30">
        <f t="shared" si="12"/>
        <v>2026</v>
      </c>
      <c r="AM13" s="30">
        <f t="shared" si="13"/>
        <v>33</v>
      </c>
      <c r="AN13" s="30">
        <f t="shared" si="14"/>
        <v>8</v>
      </c>
      <c r="AO13" s="29">
        <f>IF($B13="","",IF(AND(N($L13)=0,N($M13)=0),50,IF(N($M13)=0,100,IF(N($L13)=0,0,MEDIAN(0,100,50+50*LN($S13)/LN(Settings!$C$40))))))</f>
        <v>0</v>
      </c>
      <c r="AP13" s="29">
        <f>IF($AA13="",50,MEDIAN(0,100,50+$AA13*100*Settings!$C$41))</f>
        <v>50</v>
      </c>
      <c r="AQ13" s="29">
        <f>IF($H13="",50,MEDIAN(0,100,50+$H13*100*Settings!$C$42))</f>
        <v>50</v>
      </c>
      <c r="AR13" s="29">
        <f>IF(OR($AC13="",$H13=""),50,MEDIAN(0,100,50+SIGN($H13)*50*MEDIAN(0,1,($AC13-1)/Settings!$C$43)))</f>
        <v>50</v>
      </c>
      <c r="AS13" s="29">
        <f>IF(OR($V13="",$W13=""),50,MEDIAN(0,100,50+50*($V13-$W13)/Settings!$C$44))</f>
        <v>0</v>
      </c>
      <c r="AT13" s="29">
        <f t="shared" si="15"/>
        <v>47.75</v>
      </c>
      <c r="AU13" s="30" t="str">
        <f t="shared" si="16"/>
        <v>MBP|2026-08-10</v>
      </c>
      <c r="AV13" s="87">
        <f>IF($A13="","",IF(COUNTIFS($A$4:$A13,$A13)=1,1,0))</f>
        <v>0</v>
      </c>
    </row>
    <row r="14" spans="1:48" x14ac:dyDescent="0.3">
      <c r="A14" s="265">
        <v>46244</v>
      </c>
      <c r="B14" s="266" t="s">
        <v>1099</v>
      </c>
      <c r="C14" s="267">
        <v>470</v>
      </c>
      <c r="D14" s="267"/>
      <c r="E14" s="267">
        <v>525</v>
      </c>
      <c r="F14" s="267">
        <v>540</v>
      </c>
      <c r="G14" s="267">
        <v>470</v>
      </c>
      <c r="H14" s="268" t="str">
        <f t="shared" si="0"/>
        <v/>
      </c>
      <c r="I14" s="269">
        <v>197649400</v>
      </c>
      <c r="J14" s="269">
        <v>621</v>
      </c>
      <c r="K14" s="269">
        <v>376487</v>
      </c>
      <c r="L14" s="269">
        <v>102784</v>
      </c>
      <c r="M14" s="269">
        <v>137956</v>
      </c>
      <c r="N14" s="269">
        <v>129830000000</v>
      </c>
      <c r="O14" s="266" t="s">
        <v>1106</v>
      </c>
      <c r="P14" s="265">
        <v>46265</v>
      </c>
      <c r="Q14" s="266" t="s">
        <v>1138</v>
      </c>
      <c r="R14" s="23" t="str" cm="1">
        <f t="array" ref="R14">IF($B14="","",IFERROR(IF(INDEX('Data Quality'!$U$4:$U$503,ROW()-3)=0,"PENDING",INDEX('Data Quality'!$U$4:$U$503,ROW()-3)),"PENDING"))</f>
        <v>PASS</v>
      </c>
      <c r="S14" s="24">
        <f t="shared" si="1"/>
        <v>0.74504914610455508</v>
      </c>
      <c r="T14" s="25">
        <f t="shared" si="2"/>
        <v>53961600</v>
      </c>
      <c r="U14" s="25">
        <f t="shared" si="3"/>
        <v>72426900</v>
      </c>
      <c r="V14" s="26">
        <f t="shared" si="4"/>
        <v>4.1563275051991063E-4</v>
      </c>
      <c r="W14" s="26">
        <f t="shared" si="5"/>
        <v>5.5785950858815376E-4</v>
      </c>
      <c r="X14" s="25">
        <f t="shared" si="6"/>
        <v>606.25925925925924</v>
      </c>
      <c r="Y14" s="25">
        <f t="shared" si="7"/>
        <v>318276.00644122384</v>
      </c>
      <c r="Z14" s="27" t="str">
        <f>IF($B14="","",IF($AK14&lt;=Settings!$C$21,"",IFERROR(AVERAGEIFS($S$4:$S$503,$B$4:$B$503,$B14,$AK$4:$AK$503,"&gt;="&amp;$AK14-Settings!$C$21,$AK$4:$AK$503,"&lt;="&amp;$AK14-1),"")))</f>
        <v/>
      </c>
      <c r="AA14" s="28" t="str">
        <f t="shared" si="8"/>
        <v/>
      </c>
      <c r="AB14" s="25" t="str">
        <f>IF($B14="","",IF($AK14&lt;=Settings!$C$22,"",IFERROR(AVERAGEIFS($K$4:$K$503,$B$4:$B$503,$B14,$AK$4:$AK$503,"&gt;="&amp;$AK14-Settings!$C$22,$AK$4:$AK$503,"&lt;="&amp;$AK14-1),"")))</f>
        <v/>
      </c>
      <c r="AC14" s="27" t="str">
        <f t="shared" si="9"/>
        <v/>
      </c>
      <c r="AD14" s="28" t="str">
        <f>IF($B14="","",IF($AK14&lt;=Settings!$C$23,"",IFERROR($E14/SUMIFS($E$4:$E$503,$B$4:$B$503,$B14,$AK$4:$AK$503,$AK14-Settings!$C$23)-1,"")))</f>
        <v/>
      </c>
      <c r="AE14" s="28" t="str">
        <f>IF($B14="","",IF($AK14&lt;=Settings!$C$22,"",IFERROR($E14/SUMIFS($E$4:$E$503,$B$4:$B$503,$B14,$AK$4:$AK$503,$AK14-Settings!$C$22)-1,"")))</f>
        <v/>
      </c>
      <c r="AF14" s="28">
        <f t="shared" si="10"/>
        <v>0.13333333333333333</v>
      </c>
      <c r="AG14" s="29">
        <f>IF($B14="","",ROUND((MIN(100,100*N($I14)/Settings!$C$27)+MIN(100,100*N($K14)/Settings!$C$28)+MIN(100,100*N($J14)/Settings!$C$29))/3,1))</f>
        <v>65</v>
      </c>
      <c r="AH14" s="29">
        <f>IF($B14="","",IF(SUM(Settings!$C$32:$C$37)=0,"",ROUND((Settings!$C$32*$AO14+Settings!$C$33*$AP14+Settings!$C$34*$AQ14+Settings!$C$35*$AR14+Settings!$C$36*$AS14+Settings!$C$37*$AT14)/SUM(Settings!$C$32:$C$37),1)))</f>
        <v>44.7</v>
      </c>
      <c r="AI14" s="29">
        <f>IF($B14="","",MAX(0,100-IF(N($N14)&gt;0,0,20)-IF(AND(N($L14)=0,N($M14)=0),15,0)-IF(N($J14)&gt;0,0,10)-IF(N($K14)&gt;0,0,10)-IF($Z14&lt;&gt;"",0,15)-IF($AB14&lt;&gt;"",0,10)-IF($R14="ERROR",20,IF($R14="WARNING",10,0))))</f>
        <v>75</v>
      </c>
      <c r="AJ14" s="30" t="str">
        <f>IF($AH14="","",IF($AH14&lt;Settings!$C$46,"Extreme Sell Pressure",IF($AH14&lt;Settings!$C$47,"Sell Pressure",IF($AH14&lt;=Settings!$C$48,"Neutral",IF($AH14&lt;=Settings!$C$49,"Buy Pressure","Extreme Buy Pressure")))))</f>
        <v>Neutral</v>
      </c>
      <c r="AK14" s="30">
        <f t="shared" si="11"/>
        <v>1</v>
      </c>
      <c r="AL14" s="30">
        <f t="shared" si="12"/>
        <v>2026</v>
      </c>
      <c r="AM14" s="30">
        <f t="shared" si="13"/>
        <v>33</v>
      </c>
      <c r="AN14" s="30">
        <f t="shared" si="14"/>
        <v>8</v>
      </c>
      <c r="AO14" s="29">
        <f>IF($B14="","",IF(AND(N($L14)=0,N($M14)=0),50,IF(N($M14)=0,100,IF(N($L14)=0,0,MEDIAN(0,100,50+50*LN($S14)/LN(Settings!$C$40))))))</f>
        <v>39.385187478688167</v>
      </c>
      <c r="AP14" s="29">
        <f>IF($AA14="",50,MEDIAN(0,100,50+$AA14*100*Settings!$C$41))</f>
        <v>50</v>
      </c>
      <c r="AQ14" s="29">
        <f>IF($H14="",50,MEDIAN(0,100,50+$H14*100*Settings!$C$42))</f>
        <v>50</v>
      </c>
      <c r="AR14" s="29">
        <f>IF(OR($AC14="",$H14=""),50,MEDIAN(0,100,50+SIGN($H14)*50*MEDIAN(0,1,($AC14-1)/Settings!$C$43)))</f>
        <v>50</v>
      </c>
      <c r="AS14" s="29">
        <f>IF(OR($V14="",$W14=""),50,MEDIAN(0,100,50+50*($V14-$W14)/Settings!$C$44))</f>
        <v>35.777324193175687</v>
      </c>
      <c r="AT14" s="29">
        <f t="shared" si="15"/>
        <v>43.100371861147309</v>
      </c>
      <c r="AU14" s="30" t="str">
        <f t="shared" si="16"/>
        <v>MCB|2026-08-10</v>
      </c>
      <c r="AV14" s="87">
        <f>IF($A14="","",IF(COUNTIFS($A$4:$A14,$A14)=1,1,0))</f>
        <v>0</v>
      </c>
    </row>
    <row r="15" spans="1:48" x14ac:dyDescent="0.3">
      <c r="A15" s="265">
        <v>46244</v>
      </c>
      <c r="B15" s="266" t="s">
        <v>138</v>
      </c>
      <c r="C15" s="267">
        <v>3670</v>
      </c>
      <c r="D15" s="267"/>
      <c r="E15" s="267">
        <v>3740</v>
      </c>
      <c r="F15" s="267">
        <v>3800</v>
      </c>
      <c r="G15" s="267">
        <v>3500</v>
      </c>
      <c r="H15" s="268" t="str">
        <f t="shared" si="0"/>
        <v/>
      </c>
      <c r="I15" s="269">
        <v>10029550</v>
      </c>
      <c r="J15" s="269">
        <v>21</v>
      </c>
      <c r="K15" s="269">
        <v>2692</v>
      </c>
      <c r="L15" s="269">
        <v>1039</v>
      </c>
      <c r="M15" s="269">
        <v>818</v>
      </c>
      <c r="N15" s="269">
        <v>88100000000</v>
      </c>
      <c r="O15" s="266" t="s">
        <v>1106</v>
      </c>
      <c r="P15" s="265">
        <v>46265</v>
      </c>
      <c r="Q15" s="266" t="s">
        <v>1138</v>
      </c>
      <c r="R15" s="23" t="str" cm="1">
        <f t="array" ref="R15">IF($B15="","",IFERROR(IF(INDEX('Data Quality'!$U$4:$U$503,ROW()-3)=0,"PENDING",INDEX('Data Quality'!$U$4:$U$503,ROW()-3)),"PENDING"))</f>
        <v>PASS</v>
      </c>
      <c r="S15" s="24">
        <f t="shared" si="1"/>
        <v>1.2701711491442542</v>
      </c>
      <c r="T15" s="25">
        <f t="shared" si="2"/>
        <v>3885860</v>
      </c>
      <c r="U15" s="25">
        <f t="shared" si="3"/>
        <v>3059320</v>
      </c>
      <c r="V15" s="26">
        <f t="shared" si="4"/>
        <v>4.4107377979568675E-5</v>
      </c>
      <c r="W15" s="26">
        <f t="shared" si="5"/>
        <v>3.4725539160045403E-5</v>
      </c>
      <c r="X15" s="25">
        <f t="shared" si="6"/>
        <v>128.1904761904762</v>
      </c>
      <c r="Y15" s="25">
        <f t="shared" si="7"/>
        <v>477597.61904761905</v>
      </c>
      <c r="Z15" s="27" t="str">
        <f>IF($B15="","",IF($AK15&lt;=Settings!$C$21,"",IFERROR(AVERAGEIFS($S$4:$S$503,$B$4:$B$503,$B15,$AK$4:$AK$503,"&gt;="&amp;$AK15-Settings!$C$21,$AK$4:$AK$503,"&lt;="&amp;$AK15-1),"")))</f>
        <v/>
      </c>
      <c r="AA15" s="28" t="str">
        <f t="shared" si="8"/>
        <v/>
      </c>
      <c r="AB15" s="25" t="str">
        <f>IF($B15="","",IF($AK15&lt;=Settings!$C$22,"",IFERROR(AVERAGEIFS($K$4:$K$503,$B$4:$B$503,$B15,$AK$4:$AK$503,"&gt;="&amp;$AK15-Settings!$C$22,$AK$4:$AK$503,"&lt;="&amp;$AK15-1),"")))</f>
        <v/>
      </c>
      <c r="AC15" s="27" t="str">
        <f t="shared" si="9"/>
        <v/>
      </c>
      <c r="AD15" s="28" t="str">
        <f>IF($B15="","",IF($AK15&lt;=Settings!$C$23,"",IFERROR($E15/SUMIFS($E$4:$E$503,$B$4:$B$503,$B15,$AK$4:$AK$503,$AK15-Settings!$C$23)-1,"")))</f>
        <v/>
      </c>
      <c r="AE15" s="28" t="str">
        <f>IF($B15="","",IF($AK15&lt;=Settings!$C$22,"",IFERROR($E15/SUMIFS($E$4:$E$503,$B$4:$B$503,$B15,$AK$4:$AK$503,$AK15-Settings!$C$22)-1,"")))</f>
        <v/>
      </c>
      <c r="AF15" s="28">
        <f t="shared" si="10"/>
        <v>8.0213903743315509E-2</v>
      </c>
      <c r="AG15" s="29">
        <f>IF($B15="","",ROUND((MIN(100,100*N($I15)/Settings!$C$27)+MIN(100,100*N($K15)/Settings!$C$28)+MIN(100,100*N($J15)/Settings!$C$29))/3,1))</f>
        <v>7.5</v>
      </c>
      <c r="AH15" s="29">
        <f>IF($B15="","",IF(SUM(Settings!$C$32:$C$37)=0,"",ROUND((Settings!$C$32*$AO15+Settings!$C$33*$AP15+Settings!$C$34*$AQ15+Settings!$C$35*$AR15+Settings!$C$36*$AS15+Settings!$C$37*$AT15)/SUM(Settings!$C$32:$C$37),1)))</f>
        <v>52.7</v>
      </c>
      <c r="AI15" s="29">
        <f>IF($B15="","",MAX(0,100-IF(N($N15)&gt;0,0,20)-IF(AND(N($L15)=0,N($M15)=0),15,0)-IF(N($J15)&gt;0,0,10)-IF(N($K15)&gt;0,0,10)-IF($Z15&lt;&gt;"",0,15)-IF($AB15&lt;&gt;"",0,10)-IF($R15="ERROR",20,IF($R15="WARNING",10,0))))</f>
        <v>75</v>
      </c>
      <c r="AJ15" s="30" t="str">
        <f>IF($AH15="","",IF($AH15&lt;Settings!$C$46,"Extreme Sell Pressure",IF($AH15&lt;Settings!$C$47,"Sell Pressure",IF($AH15&lt;=Settings!$C$48,"Neutral",IF($AH15&lt;=Settings!$C$49,"Buy Pressure","Extreme Buy Pressure")))))</f>
        <v>Neutral</v>
      </c>
      <c r="AK15" s="30">
        <f t="shared" si="11"/>
        <v>1</v>
      </c>
      <c r="AL15" s="30">
        <f t="shared" si="12"/>
        <v>2026</v>
      </c>
      <c r="AM15" s="30">
        <f t="shared" si="13"/>
        <v>33</v>
      </c>
      <c r="AN15" s="30">
        <f t="shared" si="14"/>
        <v>8</v>
      </c>
      <c r="AO15" s="29">
        <f>IF($B15="","",IF(AND(N($L15)=0,N($M15)=0),50,IF(N($M15)=0,100,IF(N($L15)=0,0,MEDIAN(0,100,50+50*LN($S15)/LN(Settings!$C$40))))))</f>
        <v>58.625572649061574</v>
      </c>
      <c r="AP15" s="29">
        <f>IF($AA15="",50,MEDIAN(0,100,50+$AA15*100*Settings!$C$41))</f>
        <v>50</v>
      </c>
      <c r="AQ15" s="29">
        <f>IF($H15="",50,MEDIAN(0,100,50+$H15*100*Settings!$C$42))</f>
        <v>50</v>
      </c>
      <c r="AR15" s="29">
        <f>IF(OR($AC15="",$H15=""),50,MEDIAN(0,100,50+SIGN($H15)*50*MEDIAN(0,1,($AC15-1)/Settings!$C$43)))</f>
        <v>50</v>
      </c>
      <c r="AS15" s="29">
        <f>IF(OR($V15="",$W15=""),50,MEDIAN(0,100,50+50*($V15-$W15)/Settings!$C$44))</f>
        <v>50.938183881952327</v>
      </c>
      <c r="AT15" s="29">
        <f t="shared" si="15"/>
        <v>50.646917948679615</v>
      </c>
      <c r="AU15" s="30" t="str">
        <f t="shared" si="16"/>
        <v>MKCB|2026-08-10</v>
      </c>
      <c r="AV15" s="87">
        <f>IF($A15="","",IF(COUNTIFS($A$4:$A15,$A15)=1,1,0))</f>
        <v>0</v>
      </c>
    </row>
    <row r="16" spans="1:48" x14ac:dyDescent="0.3">
      <c r="A16" s="265">
        <v>46244</v>
      </c>
      <c r="B16" s="266" t="s">
        <v>140</v>
      </c>
      <c r="C16" s="267">
        <v>440</v>
      </c>
      <c r="D16" s="267"/>
      <c r="E16" s="267">
        <v>455</v>
      </c>
      <c r="F16" s="267">
        <v>465</v>
      </c>
      <c r="G16" s="267">
        <v>445</v>
      </c>
      <c r="H16" s="268" t="str">
        <f t="shared" si="0"/>
        <v/>
      </c>
      <c r="I16" s="269">
        <v>666475</v>
      </c>
      <c r="J16" s="269">
        <v>29</v>
      </c>
      <c r="K16" s="269">
        <v>1455</v>
      </c>
      <c r="L16" s="269">
        <v>2688</v>
      </c>
      <c r="M16" s="269">
        <v>1705</v>
      </c>
      <c r="N16" s="269">
        <v>14860000000</v>
      </c>
      <c r="O16" s="266" t="s">
        <v>1106</v>
      </c>
      <c r="P16" s="265">
        <v>46265</v>
      </c>
      <c r="Q16" s="266" t="s">
        <v>1138</v>
      </c>
      <c r="R16" s="23" t="str" cm="1">
        <f t="array" ref="R16">IF($B16="","",IFERROR(IF(INDEX('Data Quality'!$U$4:$U$503,ROW()-3)=0,"PENDING",INDEX('Data Quality'!$U$4:$U$503,ROW()-3)),"PENDING"))</f>
        <v>PASS</v>
      </c>
      <c r="S16" s="24">
        <f t="shared" si="1"/>
        <v>1.5765395894428154</v>
      </c>
      <c r="T16" s="25">
        <f t="shared" si="2"/>
        <v>1223040</v>
      </c>
      <c r="U16" s="25">
        <f t="shared" si="3"/>
        <v>775775</v>
      </c>
      <c r="V16" s="26">
        <f t="shared" si="4"/>
        <v>8.2304172274562579E-5</v>
      </c>
      <c r="W16" s="26">
        <f t="shared" si="5"/>
        <v>5.2205585464333785E-5</v>
      </c>
      <c r="X16" s="25">
        <f t="shared" si="6"/>
        <v>50.172413793103445</v>
      </c>
      <c r="Y16" s="25">
        <f t="shared" si="7"/>
        <v>22981.896551724138</v>
      </c>
      <c r="Z16" s="27" t="str">
        <f>IF($B16="","",IF($AK16&lt;=Settings!$C$21,"",IFERROR(AVERAGEIFS($S$4:$S$503,$B$4:$B$503,$B16,$AK$4:$AK$503,"&gt;="&amp;$AK16-Settings!$C$21,$AK$4:$AK$503,"&lt;="&amp;$AK16-1),"")))</f>
        <v/>
      </c>
      <c r="AA16" s="28" t="str">
        <f t="shared" si="8"/>
        <v/>
      </c>
      <c r="AB16" s="25" t="str">
        <f>IF($B16="","",IF($AK16&lt;=Settings!$C$22,"",IFERROR(AVERAGEIFS($K$4:$K$503,$B$4:$B$503,$B16,$AK$4:$AK$503,"&gt;="&amp;$AK16-Settings!$C$22,$AK$4:$AK$503,"&lt;="&amp;$AK16-1),"")))</f>
        <v/>
      </c>
      <c r="AC16" s="27" t="str">
        <f t="shared" si="9"/>
        <v/>
      </c>
      <c r="AD16" s="28" t="str">
        <f>IF($B16="","",IF($AK16&lt;=Settings!$C$23,"",IFERROR($E16/SUMIFS($E$4:$E$503,$B$4:$B$503,$B16,$AK$4:$AK$503,$AK16-Settings!$C$23)-1,"")))</f>
        <v/>
      </c>
      <c r="AE16" s="28" t="str">
        <f>IF($B16="","",IF($AK16&lt;=Settings!$C$22,"",IFERROR($E16/SUMIFS($E$4:$E$503,$B$4:$B$503,$B16,$AK$4:$AK$503,$AK16-Settings!$C$22)-1,"")))</f>
        <v/>
      </c>
      <c r="AF16" s="28">
        <f t="shared" si="10"/>
        <v>4.3956043956043959E-2</v>
      </c>
      <c r="AG16" s="29">
        <f>IF($B16="","",ROUND((MIN(100,100*N($I16)/Settings!$C$27)+MIN(100,100*N($K16)/Settings!$C$28)+MIN(100,100*N($J16)/Settings!$C$29))/3,1))</f>
        <v>9.8000000000000007</v>
      </c>
      <c r="AH16" s="29">
        <f>IF($B16="","",IF(SUM(Settings!$C$32:$C$37)=0,"",ROUND((Settings!$C$32*$AO16+Settings!$C$33*$AP16+Settings!$C$34*$AQ16+Settings!$C$35*$AR16+Settings!$C$36*$AS16+Settings!$C$37*$AT16)/SUM(Settings!$C$32:$C$37),1)))</f>
        <v>55.4</v>
      </c>
      <c r="AI16" s="29">
        <f>IF($B16="","",MAX(0,100-IF(N($N16)&gt;0,0,20)-IF(AND(N($L16)=0,N($M16)=0),15,0)-IF(N($J16)&gt;0,0,10)-IF(N($K16)&gt;0,0,10)-IF($Z16&lt;&gt;"",0,15)-IF($AB16&lt;&gt;"",0,10)-IF($R16="ERROR",20,IF($R16="WARNING",10,0))))</f>
        <v>75</v>
      </c>
      <c r="AJ16" s="30" t="str">
        <f>IF($AH16="","",IF($AH16&lt;Settings!$C$46,"Extreme Sell Pressure",IF($AH16&lt;Settings!$C$47,"Sell Pressure",IF($AH16&lt;=Settings!$C$48,"Neutral",IF($AH16&lt;=Settings!$C$49,"Buy Pressure","Extreme Buy Pressure")))))</f>
        <v>Neutral</v>
      </c>
      <c r="AK16" s="30">
        <f t="shared" si="11"/>
        <v>1</v>
      </c>
      <c r="AL16" s="30">
        <f t="shared" si="12"/>
        <v>2026</v>
      </c>
      <c r="AM16" s="30">
        <f t="shared" si="13"/>
        <v>33</v>
      </c>
      <c r="AN16" s="30">
        <f t="shared" si="14"/>
        <v>8</v>
      </c>
      <c r="AO16" s="29">
        <f>IF($B16="","",IF(AND(N($L16)=0,N($M16)=0),50,IF(N($M16)=0,100,IF(N($L16)=0,0,MEDIAN(0,100,50+50*LN($S16)/LN(Settings!$C$40))))))</f>
        <v>66.419034971680645</v>
      </c>
      <c r="AP16" s="29">
        <f>IF($AA16="",50,MEDIAN(0,100,50+$AA16*100*Settings!$C$41))</f>
        <v>50</v>
      </c>
      <c r="AQ16" s="29">
        <f>IF($H16="",50,MEDIAN(0,100,50+$H16*100*Settings!$C$42))</f>
        <v>50</v>
      </c>
      <c r="AR16" s="29">
        <f>IF(OR($AC16="",$H16=""),50,MEDIAN(0,100,50+SIGN($H16)*50*MEDIAN(0,1,($AC16-1)/Settings!$C$43)))</f>
        <v>50</v>
      </c>
      <c r="AS16" s="29">
        <f>IF(OR($V16="",$W16=""),50,MEDIAN(0,100,50+50*($V16-$W16)/Settings!$C$44))</f>
        <v>53.009858681022877</v>
      </c>
      <c r="AT16" s="29">
        <f t="shared" si="15"/>
        <v>51.609065427224706</v>
      </c>
      <c r="AU16" s="30" t="str">
        <f t="shared" si="16"/>
        <v>MUCOBA|2026-08-10</v>
      </c>
      <c r="AV16" s="87">
        <f>IF($A16="","",IF(COUNTIFS($A$4:$A16,$A16)=1,1,0))</f>
        <v>0</v>
      </c>
    </row>
    <row r="17" spans="1:48" x14ac:dyDescent="0.3">
      <c r="A17" s="265">
        <v>46244</v>
      </c>
      <c r="B17" s="266" t="s">
        <v>134</v>
      </c>
      <c r="C17" s="267">
        <v>3550</v>
      </c>
      <c r="D17" s="267"/>
      <c r="E17" s="267">
        <v>3590</v>
      </c>
      <c r="F17" s="267">
        <v>3730</v>
      </c>
      <c r="G17" s="267">
        <v>3500</v>
      </c>
      <c r="H17" s="268" t="str">
        <f t="shared" si="0"/>
        <v/>
      </c>
      <c r="I17" s="269">
        <v>61151520</v>
      </c>
      <c r="J17" s="269">
        <v>126</v>
      </c>
      <c r="K17" s="269">
        <v>17044</v>
      </c>
      <c r="L17" s="269">
        <v>6476</v>
      </c>
      <c r="M17" s="269">
        <v>12387</v>
      </c>
      <c r="N17" s="269">
        <v>221300000000</v>
      </c>
      <c r="O17" s="266" t="s">
        <v>1106</v>
      </c>
      <c r="P17" s="265">
        <v>46265</v>
      </c>
      <c r="Q17" s="266" t="s">
        <v>1138</v>
      </c>
      <c r="R17" s="23" t="str" cm="1">
        <f t="array" ref="R17">IF($B17="","",IFERROR(IF(INDEX('Data Quality'!$U$4:$U$503,ROW()-3)=0,"PENDING",INDEX('Data Quality'!$U$4:$U$503,ROW()-3)),"PENDING"))</f>
        <v>PASS</v>
      </c>
      <c r="S17" s="24">
        <f t="shared" si="1"/>
        <v>0.52280616775651889</v>
      </c>
      <c r="T17" s="25">
        <f t="shared" si="2"/>
        <v>23248840</v>
      </c>
      <c r="U17" s="25">
        <f t="shared" si="3"/>
        <v>44469330</v>
      </c>
      <c r="V17" s="26">
        <f t="shared" si="4"/>
        <v>1.0505576140985088E-4</v>
      </c>
      <c r="W17" s="26">
        <f t="shared" si="5"/>
        <v>2.0094591052869409E-4</v>
      </c>
      <c r="X17" s="25">
        <f t="shared" si="6"/>
        <v>135.26984126984127</v>
      </c>
      <c r="Y17" s="25">
        <f t="shared" si="7"/>
        <v>485329.52380952379</v>
      </c>
      <c r="Z17" s="27" t="str">
        <f>IF($B17="","",IF($AK17&lt;=Settings!$C$21,"",IFERROR(AVERAGEIFS($S$4:$S$503,$B$4:$B$503,$B17,$AK$4:$AK$503,"&gt;="&amp;$AK17-Settings!$C$21,$AK$4:$AK$503,"&lt;="&amp;$AK17-1),"")))</f>
        <v/>
      </c>
      <c r="AA17" s="28" t="str">
        <f t="shared" si="8"/>
        <v/>
      </c>
      <c r="AB17" s="25" t="str">
        <f>IF($B17="","",IF($AK17&lt;=Settings!$C$22,"",IFERROR(AVERAGEIFS($K$4:$K$503,$B$4:$B$503,$B17,$AK$4:$AK$503,"&gt;="&amp;$AK17-Settings!$C$22,$AK$4:$AK$503,"&lt;="&amp;$AK17-1),"")))</f>
        <v/>
      </c>
      <c r="AC17" s="27" t="str">
        <f t="shared" si="9"/>
        <v/>
      </c>
      <c r="AD17" s="28" t="str">
        <f>IF($B17="","",IF($AK17&lt;=Settings!$C$23,"",IFERROR($E17/SUMIFS($E$4:$E$503,$B$4:$B$503,$B17,$AK$4:$AK$503,$AK17-Settings!$C$23)-1,"")))</f>
        <v/>
      </c>
      <c r="AE17" s="28" t="str">
        <f>IF($B17="","",IF($AK17&lt;=Settings!$C$22,"",IFERROR($E17/SUMIFS($E$4:$E$503,$B$4:$B$503,$B17,$AK$4:$AK$503,$AK17-Settings!$C$22)-1,"")))</f>
        <v/>
      </c>
      <c r="AF17" s="28">
        <f t="shared" si="10"/>
        <v>6.4066852367688026E-2</v>
      </c>
      <c r="AG17" s="29">
        <f>IF($B17="","",ROUND((MIN(100,100*N($I17)/Settings!$C$27)+MIN(100,100*N($K17)/Settings!$C$28)+MIN(100,100*N($J17)/Settings!$C$29))/3,1))</f>
        <v>36.5</v>
      </c>
      <c r="AH17" s="29">
        <f>IF($B17="","",IF(SUM(Settings!$C$32:$C$37)=0,"",ROUND((Settings!$C$32*$AO17+Settings!$C$33*$AP17+Settings!$C$34*$AQ17+Settings!$C$35*$AR17+Settings!$C$36*$AS17+Settings!$C$37*$AT17)/SUM(Settings!$C$32:$C$37),1)))</f>
        <v>41.2</v>
      </c>
      <c r="AI17" s="29">
        <f>IF($B17="","",MAX(0,100-IF(N($N17)&gt;0,0,20)-IF(AND(N($L17)=0,N($M17)=0),15,0)-IF(N($J17)&gt;0,0,10)-IF(N($K17)&gt;0,0,10)-IF($Z17&lt;&gt;"",0,15)-IF($AB17&lt;&gt;"",0,10)-IF($R17="ERROR",20,IF($R17="WARNING",10,0))))</f>
        <v>75</v>
      </c>
      <c r="AJ17" s="30" t="str">
        <f>IF($AH17="","",IF($AH17&lt;Settings!$C$46,"Extreme Sell Pressure",IF($AH17&lt;Settings!$C$47,"Sell Pressure",IF($AH17&lt;=Settings!$C$48,"Neutral",IF($AH17&lt;=Settings!$C$49,"Buy Pressure","Extreme Buy Pressure")))))</f>
        <v>Neutral</v>
      </c>
      <c r="AK17" s="30">
        <f t="shared" si="11"/>
        <v>1</v>
      </c>
      <c r="AL17" s="30">
        <f t="shared" si="12"/>
        <v>2026</v>
      </c>
      <c r="AM17" s="30">
        <f t="shared" si="13"/>
        <v>33</v>
      </c>
      <c r="AN17" s="30">
        <f t="shared" si="14"/>
        <v>8</v>
      </c>
      <c r="AO17" s="29">
        <f>IF($B17="","",IF(AND(N($L17)=0,N($M17)=0),50,IF(N($M17)=0,100,IF(N($L17)=0,0,MEDIAN(0,100,50+50*LN($S17)/LN(Settings!$C$40))))))</f>
        <v>26.608701660130812</v>
      </c>
      <c r="AP17" s="29">
        <f>IF($AA17="",50,MEDIAN(0,100,50+$AA17*100*Settings!$C$41))</f>
        <v>50</v>
      </c>
      <c r="AQ17" s="29">
        <f>IF($H17="",50,MEDIAN(0,100,50+$H17*100*Settings!$C$42))</f>
        <v>50</v>
      </c>
      <c r="AR17" s="29">
        <f>IF(OR($AC17="",$H17=""),50,MEDIAN(0,100,50+SIGN($H17)*50*MEDIAN(0,1,($AC17-1)/Settings!$C$43)))</f>
        <v>50</v>
      </c>
      <c r="AS17" s="29">
        <f>IF(OR($V17="",$W17=""),50,MEDIAN(0,100,50+50*($V17-$W17)/Settings!$C$44))</f>
        <v>40.41098508811568</v>
      </c>
      <c r="AT17" s="29">
        <f t="shared" si="15"/>
        <v>41.462176105947748</v>
      </c>
      <c r="AU17" s="30" t="str">
        <f t="shared" si="16"/>
        <v>NICO|2026-08-10</v>
      </c>
      <c r="AV17" s="87">
        <f>IF($A17="","",IF(COUNTIFS($A$4:$A17,$A17)=1,1,0))</f>
        <v>0</v>
      </c>
    </row>
    <row r="18" spans="1:48" x14ac:dyDescent="0.3">
      <c r="A18" s="265">
        <v>46244</v>
      </c>
      <c r="B18" s="266" t="s">
        <v>28</v>
      </c>
      <c r="C18" s="267">
        <v>17580</v>
      </c>
      <c r="D18" s="267"/>
      <c r="E18" s="267">
        <v>17600</v>
      </c>
      <c r="F18" s="267">
        <v>17660</v>
      </c>
      <c r="G18" s="267">
        <v>17570</v>
      </c>
      <c r="H18" s="268" t="str">
        <f t="shared" si="0"/>
        <v/>
      </c>
      <c r="I18" s="269">
        <v>1681576840</v>
      </c>
      <c r="J18" s="269">
        <v>528</v>
      </c>
      <c r="K18" s="269">
        <v>95563</v>
      </c>
      <c r="L18" s="269">
        <v>12100</v>
      </c>
      <c r="M18" s="269">
        <v>20114</v>
      </c>
      <c r="N18" s="269">
        <v>8800000000000</v>
      </c>
      <c r="O18" s="266" t="s">
        <v>1106</v>
      </c>
      <c r="P18" s="265">
        <v>46265</v>
      </c>
      <c r="Q18" s="266" t="s">
        <v>1138</v>
      </c>
      <c r="R18" s="23" t="str" cm="1">
        <f t="array" ref="R18">IF($B18="","",IFERROR(IF(INDEX('Data Quality'!$U$4:$U$503,ROW()-3)=0,"PENDING",INDEX('Data Quality'!$U$4:$U$503,ROW()-3)),"PENDING"))</f>
        <v>PASS</v>
      </c>
      <c r="S18" s="24">
        <f t="shared" si="1"/>
        <v>0.60157104504325343</v>
      </c>
      <c r="T18" s="25">
        <f t="shared" si="2"/>
        <v>212960000</v>
      </c>
      <c r="U18" s="25">
        <f t="shared" si="3"/>
        <v>354006400</v>
      </c>
      <c r="V18" s="26">
        <f t="shared" si="4"/>
        <v>2.4199999999999999E-5</v>
      </c>
      <c r="W18" s="26">
        <f t="shared" si="5"/>
        <v>4.0228000000000002E-5</v>
      </c>
      <c r="X18" s="25">
        <f t="shared" si="6"/>
        <v>180.99053030303031</v>
      </c>
      <c r="Y18" s="25">
        <f t="shared" si="7"/>
        <v>3184804.6212121211</v>
      </c>
      <c r="Z18" s="27" t="str">
        <f>IF($B18="","",IF($AK18&lt;=Settings!$C$21,"",IFERROR(AVERAGEIFS($S$4:$S$503,$B$4:$B$503,$B18,$AK$4:$AK$503,"&gt;="&amp;$AK18-Settings!$C$21,$AK$4:$AK$503,"&lt;="&amp;$AK18-1),"")))</f>
        <v/>
      </c>
      <c r="AA18" s="28" t="str">
        <f t="shared" si="8"/>
        <v/>
      </c>
      <c r="AB18" s="25" t="str">
        <f>IF($B18="","",IF($AK18&lt;=Settings!$C$22,"",IFERROR(AVERAGEIFS($K$4:$K$503,$B$4:$B$503,$B18,$AK$4:$AK$503,"&gt;="&amp;$AK18-Settings!$C$22,$AK$4:$AK$503,"&lt;="&amp;$AK18-1),"")))</f>
        <v/>
      </c>
      <c r="AC18" s="27" t="str">
        <f t="shared" si="9"/>
        <v/>
      </c>
      <c r="AD18" s="28" t="str">
        <f>IF($B18="","",IF($AK18&lt;=Settings!$C$23,"",IFERROR($E18/SUMIFS($E$4:$E$503,$B$4:$B$503,$B18,$AK$4:$AK$503,$AK18-Settings!$C$23)-1,"")))</f>
        <v/>
      </c>
      <c r="AE18" s="28" t="str">
        <f>IF($B18="","",IF($AK18&lt;=Settings!$C$22,"",IFERROR($E18/SUMIFS($E$4:$E$503,$B$4:$B$503,$B18,$AK$4:$AK$503,$AK18-Settings!$C$22)-1,"")))</f>
        <v/>
      </c>
      <c r="AF18" s="28">
        <f t="shared" si="10"/>
        <v>5.1136363636363636E-3</v>
      </c>
      <c r="AG18" s="29">
        <f>IF($B18="","",ROUND((MIN(100,100*N($I18)/Settings!$C$27)+MIN(100,100*N($K18)/Settings!$C$28)+MIN(100,100*N($J18)/Settings!$C$29))/3,1))</f>
        <v>73</v>
      </c>
      <c r="AH18" s="29">
        <f>IF($B18="","",IF(SUM(Settings!$C$32:$C$37)=0,"",ROUND((Settings!$C$32*$AO18+Settings!$C$33*$AP18+Settings!$C$34*$AQ18+Settings!$C$35*$AR18+Settings!$C$36*$AS18+Settings!$C$37*$AT18)/SUM(Settings!$C$32:$C$37),1)))</f>
        <v>43</v>
      </c>
      <c r="AI18" s="29">
        <f>IF($B18="","",MAX(0,100-IF(N($N18)&gt;0,0,20)-IF(AND(N($L18)=0,N($M18)=0),15,0)-IF(N($J18)&gt;0,0,10)-IF(N($K18)&gt;0,0,10)-IF($Z18&lt;&gt;"",0,15)-IF($AB18&lt;&gt;"",0,10)-IF($R18="ERROR",20,IF($R18="WARNING",10,0))))</f>
        <v>75</v>
      </c>
      <c r="AJ18" s="30" t="str">
        <f>IF($AH18="","",IF($AH18&lt;Settings!$C$46,"Extreme Sell Pressure",IF($AH18&lt;Settings!$C$47,"Sell Pressure",IF($AH18&lt;=Settings!$C$48,"Neutral",IF($AH18&lt;=Settings!$C$49,"Buy Pressure","Extreme Buy Pressure")))))</f>
        <v>Neutral</v>
      </c>
      <c r="AK18" s="30">
        <f t="shared" si="11"/>
        <v>1</v>
      </c>
      <c r="AL18" s="30">
        <f t="shared" si="12"/>
        <v>2026</v>
      </c>
      <c r="AM18" s="30">
        <f t="shared" si="13"/>
        <v>33</v>
      </c>
      <c r="AN18" s="30">
        <f t="shared" si="14"/>
        <v>8</v>
      </c>
      <c r="AO18" s="29">
        <f>IF($B18="","",IF(AND(N($L18)=0,N($M18)=0),50,IF(N($M18)=0,100,IF(N($L18)=0,0,MEDIAN(0,100,50+50*LN($S18)/LN(Settings!$C$40))))))</f>
        <v>31.670175841693343</v>
      </c>
      <c r="AP18" s="29">
        <f>IF($AA18="",50,MEDIAN(0,100,50+$AA18*100*Settings!$C$41))</f>
        <v>50</v>
      </c>
      <c r="AQ18" s="29">
        <f>IF($H18="",50,MEDIAN(0,100,50+$H18*100*Settings!$C$42))</f>
        <v>50</v>
      </c>
      <c r="AR18" s="29">
        <f>IF(OR($AC18="",$H18=""),50,MEDIAN(0,100,50+SIGN($H18)*50*MEDIAN(0,1,($AC18-1)/Settings!$C$43)))</f>
        <v>50</v>
      </c>
      <c r="AS18" s="29">
        <f>IF(OR($V18="",$W18=""),50,MEDIAN(0,100,50+50*($V18-$W18)/Settings!$C$44))</f>
        <v>48.397199999999998</v>
      </c>
      <c r="AT18" s="29">
        <f t="shared" si="15"/>
        <v>36.61922836443614</v>
      </c>
      <c r="AU18" s="30" t="str">
        <f t="shared" si="16"/>
        <v>NMB|2026-08-10</v>
      </c>
      <c r="AV18" s="87">
        <f>IF($A18="","",IF(COUNTIFS($A$4:$A18,$A18)=1,1,0))</f>
        <v>0</v>
      </c>
    </row>
    <row r="19" spans="1:48" x14ac:dyDescent="0.3">
      <c r="A19" s="265">
        <v>46244</v>
      </c>
      <c r="B19" s="266" t="s">
        <v>1100</v>
      </c>
      <c r="C19" s="267">
        <v>265</v>
      </c>
      <c r="D19" s="267"/>
      <c r="E19" s="267">
        <v>265</v>
      </c>
      <c r="F19" s="267"/>
      <c r="G19" s="267"/>
      <c r="H19" s="268" t="str">
        <f t="shared" si="0"/>
        <v/>
      </c>
      <c r="I19" s="269">
        <v>0</v>
      </c>
      <c r="J19" s="269">
        <v>0</v>
      </c>
      <c r="K19" s="269">
        <v>0</v>
      </c>
      <c r="L19" s="269">
        <v>2843</v>
      </c>
      <c r="M19" s="269">
        <v>0</v>
      </c>
      <c r="N19" s="269">
        <v>49960000000</v>
      </c>
      <c r="O19" s="266" t="s">
        <v>1106</v>
      </c>
      <c r="P19" s="265">
        <v>46265</v>
      </c>
      <c r="Q19" s="266" t="s">
        <v>1138</v>
      </c>
      <c r="R19" s="23" t="str" cm="1">
        <f t="array" ref="R19">IF($B19="","",IFERROR(IF(INDEX('Data Quality'!$U$4:$U$503,ROW()-3)=0,"PENDING",INDEX('Data Quality'!$U$4:$U$503,ROW()-3)),"PENDING"))</f>
        <v>PASS</v>
      </c>
      <c r="S19" s="24" t="str">
        <f t="shared" si="1"/>
        <v/>
      </c>
      <c r="T19" s="25">
        <f t="shared" si="2"/>
        <v>753395</v>
      </c>
      <c r="U19" s="25">
        <f t="shared" si="3"/>
        <v>0</v>
      </c>
      <c r="V19" s="26">
        <f t="shared" si="4"/>
        <v>1.5079963971176942E-5</v>
      </c>
      <c r="W19" s="26">
        <f t="shared" si="5"/>
        <v>0</v>
      </c>
      <c r="X19" s="25" t="str">
        <f t="shared" si="6"/>
        <v/>
      </c>
      <c r="Y19" s="25" t="str">
        <f t="shared" si="7"/>
        <v/>
      </c>
      <c r="Z19" s="27" t="str">
        <f>IF($B19="","",IF($AK19&lt;=Settings!$C$21,"",IFERROR(AVERAGEIFS($S$4:$S$503,$B$4:$B$503,$B19,$AK$4:$AK$503,"&gt;="&amp;$AK19-Settings!$C$21,$AK$4:$AK$503,"&lt;="&amp;$AK19-1),"")))</f>
        <v/>
      </c>
      <c r="AA19" s="28" t="str">
        <f t="shared" si="8"/>
        <v/>
      </c>
      <c r="AB19" s="25" t="str">
        <f>IF($B19="","",IF($AK19&lt;=Settings!$C$22,"",IFERROR(AVERAGEIFS($K$4:$K$503,$B$4:$B$503,$B19,$AK$4:$AK$503,"&gt;="&amp;$AK19-Settings!$C$22,$AK$4:$AK$503,"&lt;="&amp;$AK19-1),"")))</f>
        <v/>
      </c>
      <c r="AC19" s="27" t="str">
        <f t="shared" si="9"/>
        <v/>
      </c>
      <c r="AD19" s="28" t="str">
        <f>IF($B19="","",IF($AK19&lt;=Settings!$C$23,"",IFERROR($E19/SUMIFS($E$4:$E$503,$B$4:$B$503,$B19,$AK$4:$AK$503,$AK19-Settings!$C$23)-1,"")))</f>
        <v/>
      </c>
      <c r="AE19" s="28" t="str">
        <f>IF($B19="","",IF($AK19&lt;=Settings!$C$22,"",IFERROR($E19/SUMIFS($E$4:$E$503,$B$4:$B$503,$B19,$AK$4:$AK$503,$AK19-Settings!$C$22)-1,"")))</f>
        <v/>
      </c>
      <c r="AF19" s="28">
        <f t="shared" si="10"/>
        <v>0</v>
      </c>
      <c r="AG19" s="29">
        <f>IF($B19="","",ROUND((MIN(100,100*N($I19)/Settings!$C$27)+MIN(100,100*N($K19)/Settings!$C$28)+MIN(100,100*N($J19)/Settings!$C$29))/3,1))</f>
        <v>0</v>
      </c>
      <c r="AH19" s="29">
        <f>IF($B19="","",IF(SUM(Settings!$C$32:$C$37)=0,"",ROUND((Settings!$C$32*$AO19+Settings!$C$33*$AP19+Settings!$C$34*$AQ19+Settings!$C$35*$AR19+Settings!$C$36*$AS19+Settings!$C$37*$AT19)/SUM(Settings!$C$32:$C$37),1)))</f>
        <v>65.2</v>
      </c>
      <c r="AI19" s="29">
        <f>IF($B19="","",MAX(0,100-IF(N($N19)&gt;0,0,20)-IF(AND(N($L19)=0,N($M19)=0),15,0)-IF(N($J19)&gt;0,0,10)-IF(N($K19)&gt;0,0,10)-IF($Z19&lt;&gt;"",0,15)-IF($AB19&lt;&gt;"",0,10)-IF($R19="ERROR",20,IF($R19="WARNING",10,0))))</f>
        <v>55</v>
      </c>
      <c r="AJ19" s="30" t="str">
        <f>IF($AH19="","",IF($AH19&lt;Settings!$C$46,"Extreme Sell Pressure",IF($AH19&lt;Settings!$C$47,"Sell Pressure",IF($AH19&lt;=Settings!$C$48,"Neutral",IF($AH19&lt;=Settings!$C$49,"Buy Pressure","Extreme Buy Pressure")))))</f>
        <v>Buy Pressure</v>
      </c>
      <c r="AK19" s="30">
        <f t="shared" si="11"/>
        <v>1</v>
      </c>
      <c r="AL19" s="30">
        <f t="shared" si="12"/>
        <v>2026</v>
      </c>
      <c r="AM19" s="30">
        <f t="shared" si="13"/>
        <v>33</v>
      </c>
      <c r="AN19" s="30">
        <f t="shared" si="14"/>
        <v>8</v>
      </c>
      <c r="AO19" s="29">
        <f>IF($B19="","",IF(AND(N($L19)=0,N($M19)=0),50,IF(N($M19)=0,100,IF(N($L19)=0,0,MEDIAN(0,100,50+50*LN($S19)/LN(Settings!$C$40))))))</f>
        <v>100</v>
      </c>
      <c r="AP19" s="29">
        <f>IF($AA19="",50,MEDIAN(0,100,50+$AA19*100*Settings!$C$41))</f>
        <v>50</v>
      </c>
      <c r="AQ19" s="29">
        <f>IF($H19="",50,MEDIAN(0,100,50+$H19*100*Settings!$C$42))</f>
        <v>50</v>
      </c>
      <c r="AR19" s="29">
        <f>IF(OR($AC19="",$H19=""),50,MEDIAN(0,100,50+SIGN($H19)*50*MEDIAN(0,1,($AC19-1)/Settings!$C$43)))</f>
        <v>50</v>
      </c>
      <c r="AS19" s="29">
        <f>IF(OR($V19="",$W19=""),50,MEDIAN(0,100,50+50*($V19-$W19)/Settings!$C$44))</f>
        <v>51.507996397117694</v>
      </c>
      <c r="AT19" s="29">
        <f t="shared" si="15"/>
        <v>50</v>
      </c>
      <c r="AU19" s="30" t="str">
        <f t="shared" si="16"/>
        <v>NMG|2026-08-10</v>
      </c>
      <c r="AV19" s="87">
        <f>IF($A19="","",IF(COUNTIFS($A$4:$A19,$A19)=1,1,0))</f>
        <v>0</v>
      </c>
    </row>
    <row r="20" spans="1:48" x14ac:dyDescent="0.3">
      <c r="A20" s="265">
        <v>46244</v>
      </c>
      <c r="B20" s="266" t="s">
        <v>143</v>
      </c>
      <c r="C20" s="267">
        <v>310</v>
      </c>
      <c r="D20" s="267"/>
      <c r="E20" s="267">
        <v>310</v>
      </c>
      <c r="F20" s="267">
        <v>310</v>
      </c>
      <c r="G20" s="267">
        <v>300</v>
      </c>
      <c r="H20" s="268" t="str">
        <f t="shared" si="0"/>
        <v/>
      </c>
      <c r="I20" s="269">
        <v>1771480</v>
      </c>
      <c r="J20" s="269">
        <v>58</v>
      </c>
      <c r="K20" s="269">
        <v>5749</v>
      </c>
      <c r="L20" s="269">
        <v>4655</v>
      </c>
      <c r="M20" s="269">
        <v>15362</v>
      </c>
      <c r="N20" s="269">
        <v>49750000000</v>
      </c>
      <c r="O20" s="266" t="s">
        <v>1106</v>
      </c>
      <c r="P20" s="265">
        <v>46265</v>
      </c>
      <c r="Q20" s="266" t="s">
        <v>1138</v>
      </c>
      <c r="R20" s="23" t="str" cm="1">
        <f t="array" ref="R20">IF($B20="","",IFERROR(IF(INDEX('Data Quality'!$U$4:$U$503,ROW()-3)=0,"PENDING",INDEX('Data Quality'!$U$4:$U$503,ROW()-3)),"PENDING"))</f>
        <v>PASS</v>
      </c>
      <c r="S20" s="24">
        <f t="shared" si="1"/>
        <v>0.3030204400468689</v>
      </c>
      <c r="T20" s="25">
        <f t="shared" si="2"/>
        <v>1443050</v>
      </c>
      <c r="U20" s="25">
        <f t="shared" si="3"/>
        <v>4762220</v>
      </c>
      <c r="V20" s="26">
        <f t="shared" si="4"/>
        <v>2.900603015075377E-5</v>
      </c>
      <c r="W20" s="26">
        <f t="shared" si="5"/>
        <v>9.5723015075376878E-5</v>
      </c>
      <c r="X20" s="25">
        <f t="shared" si="6"/>
        <v>99.120689655172413</v>
      </c>
      <c r="Y20" s="25">
        <f t="shared" si="7"/>
        <v>30542.758620689656</v>
      </c>
      <c r="Z20" s="27" t="str">
        <f>IF($B20="","",IF($AK20&lt;=Settings!$C$21,"",IFERROR(AVERAGEIFS($S$4:$S$503,$B$4:$B$503,$B20,$AK$4:$AK$503,"&gt;="&amp;$AK20-Settings!$C$21,$AK$4:$AK$503,"&lt;="&amp;$AK20-1),"")))</f>
        <v/>
      </c>
      <c r="AA20" s="28" t="str">
        <f t="shared" si="8"/>
        <v/>
      </c>
      <c r="AB20" s="25" t="str">
        <f>IF($B20="","",IF($AK20&lt;=Settings!$C$22,"",IFERROR(AVERAGEIFS($K$4:$K$503,$B$4:$B$503,$B20,$AK$4:$AK$503,"&gt;="&amp;$AK20-Settings!$C$22,$AK$4:$AK$503,"&lt;="&amp;$AK20-1),"")))</f>
        <v/>
      </c>
      <c r="AC20" s="27" t="str">
        <f t="shared" si="9"/>
        <v/>
      </c>
      <c r="AD20" s="28" t="str">
        <f>IF($B20="","",IF($AK20&lt;=Settings!$C$23,"",IFERROR($E20/SUMIFS($E$4:$E$503,$B$4:$B$503,$B20,$AK$4:$AK$503,$AK20-Settings!$C$23)-1,"")))</f>
        <v/>
      </c>
      <c r="AE20" s="28" t="str">
        <f>IF($B20="","",IF($AK20&lt;=Settings!$C$22,"",IFERROR($E20/SUMIFS($E$4:$E$503,$B$4:$B$503,$B20,$AK$4:$AK$503,$AK20-Settings!$C$22)-1,"")))</f>
        <v/>
      </c>
      <c r="AF20" s="28">
        <f t="shared" si="10"/>
        <v>3.2258064516129031E-2</v>
      </c>
      <c r="AG20" s="29">
        <f>IF($B20="","",ROUND((MIN(100,100*N($I20)/Settings!$C$27)+MIN(100,100*N($K20)/Settings!$C$28)+MIN(100,100*N($J20)/Settings!$C$29))/3,1))</f>
        <v>19.8</v>
      </c>
      <c r="AH20" s="29">
        <f>IF($B20="","",IF(SUM(Settings!$C$32:$C$37)=0,"",ROUND((Settings!$C$32*$AO20+Settings!$C$33*$AP20+Settings!$C$34*$AQ20+Settings!$C$35*$AR20+Settings!$C$36*$AS20+Settings!$C$37*$AT20)/SUM(Settings!$C$32:$C$37),1)))</f>
        <v>35.6</v>
      </c>
      <c r="AI20" s="29">
        <f>IF($B20="","",MAX(0,100-IF(N($N20)&gt;0,0,20)-IF(AND(N($L20)=0,N($M20)=0),15,0)-IF(N($J20)&gt;0,0,10)-IF(N($K20)&gt;0,0,10)-IF($Z20&lt;&gt;"",0,15)-IF($AB20&lt;&gt;"",0,10)-IF($R20="ERROR",20,IF($R20="WARNING",10,0))))</f>
        <v>75</v>
      </c>
      <c r="AJ20" s="30" t="str">
        <f>IF($AH20="","",IF($AH20&lt;Settings!$C$46,"Extreme Sell Pressure",IF($AH20&lt;Settings!$C$47,"Sell Pressure",IF($AH20&lt;=Settings!$C$48,"Neutral",IF($AH20&lt;=Settings!$C$49,"Buy Pressure","Extreme Buy Pressure")))))</f>
        <v>Sell Pressure</v>
      </c>
      <c r="AK20" s="30">
        <f t="shared" si="11"/>
        <v>1</v>
      </c>
      <c r="AL20" s="30">
        <f t="shared" si="12"/>
        <v>2026</v>
      </c>
      <c r="AM20" s="30">
        <f t="shared" si="13"/>
        <v>33</v>
      </c>
      <c r="AN20" s="30">
        <f t="shared" si="14"/>
        <v>8</v>
      </c>
      <c r="AO20" s="29">
        <f>IF($B20="","",IF(AND(N($L20)=0,N($M20)=0),50,IF(N($M20)=0,100,IF(N($L20)=0,0,MEDIAN(0,100,50+50*LN($S20)/LN(Settings!$C$40))))))</f>
        <v>6.9371754537417729</v>
      </c>
      <c r="AP20" s="29">
        <f>IF($AA20="",50,MEDIAN(0,100,50+$AA20*100*Settings!$C$41))</f>
        <v>50</v>
      </c>
      <c r="AQ20" s="29">
        <f>IF($H20="",50,MEDIAN(0,100,50+$H20*100*Settings!$C$42))</f>
        <v>50</v>
      </c>
      <c r="AR20" s="29">
        <f>IF(OR($AC20="",$H20=""),50,MEDIAN(0,100,50+SIGN($H20)*50*MEDIAN(0,1,($AC20-1)/Settings!$C$43)))</f>
        <v>50</v>
      </c>
      <c r="AS20" s="29">
        <f>IF(OR($V20="",$W20=""),50,MEDIAN(0,100,50+50*($V20-$W20)/Settings!$C$44))</f>
        <v>43.328301507537688</v>
      </c>
      <c r="AT20" s="29">
        <f t="shared" si="15"/>
        <v>41.47356073984087</v>
      </c>
      <c r="AU20" s="30" t="str">
        <f t="shared" si="16"/>
        <v>PAL|2026-08-10</v>
      </c>
      <c r="AV20" s="87">
        <f>IF($A20="","",IF(COUNTIFS($A$4:$A20,$A20)=1,1,0))</f>
        <v>0</v>
      </c>
    </row>
    <row r="21" spans="1:48" x14ac:dyDescent="0.3">
      <c r="A21" s="265">
        <v>46244</v>
      </c>
      <c r="B21" s="266" t="s">
        <v>1101</v>
      </c>
      <c r="C21" s="267">
        <v>450</v>
      </c>
      <c r="D21" s="267"/>
      <c r="E21" s="267">
        <v>450</v>
      </c>
      <c r="F21" s="267"/>
      <c r="G21" s="267"/>
      <c r="H21" s="268" t="str">
        <f t="shared" si="0"/>
        <v/>
      </c>
      <c r="I21" s="269">
        <v>0</v>
      </c>
      <c r="J21" s="269">
        <v>0</v>
      </c>
      <c r="K21" s="269">
        <v>0</v>
      </c>
      <c r="L21" s="269">
        <v>0</v>
      </c>
      <c r="M21" s="269">
        <v>0</v>
      </c>
      <c r="N21" s="269">
        <v>47790000000</v>
      </c>
      <c r="O21" s="266" t="s">
        <v>1106</v>
      </c>
      <c r="P21" s="265">
        <v>46265</v>
      </c>
      <c r="Q21" s="266" t="s">
        <v>1138</v>
      </c>
      <c r="R21" s="23" t="str" cm="1">
        <f t="array" ref="R21">IF($B21="","",IFERROR(IF(INDEX('Data Quality'!$U$4:$U$503,ROW()-3)=0,"PENDING",INDEX('Data Quality'!$U$4:$U$503,ROW()-3)),"PENDING"))</f>
        <v>WARNING</v>
      </c>
      <c r="S21" s="24" t="str">
        <f t="shared" si="1"/>
        <v/>
      </c>
      <c r="T21" s="25">
        <f t="shared" si="2"/>
        <v>0</v>
      </c>
      <c r="U21" s="25">
        <f t="shared" si="3"/>
        <v>0</v>
      </c>
      <c r="V21" s="26">
        <f t="shared" si="4"/>
        <v>0</v>
      </c>
      <c r="W21" s="26">
        <f t="shared" si="5"/>
        <v>0</v>
      </c>
      <c r="X21" s="25" t="str">
        <f t="shared" si="6"/>
        <v/>
      </c>
      <c r="Y21" s="25" t="str">
        <f t="shared" si="7"/>
        <v/>
      </c>
      <c r="Z21" s="27" t="str">
        <f>IF($B21="","",IF($AK21&lt;=Settings!$C$21,"",IFERROR(AVERAGEIFS($S$4:$S$503,$B$4:$B$503,$B21,$AK$4:$AK$503,"&gt;="&amp;$AK21-Settings!$C$21,$AK$4:$AK$503,"&lt;="&amp;$AK21-1),"")))</f>
        <v/>
      </c>
      <c r="AA21" s="28" t="str">
        <f t="shared" si="8"/>
        <v/>
      </c>
      <c r="AB21" s="25" t="str">
        <f>IF($B21="","",IF($AK21&lt;=Settings!$C$22,"",IFERROR(AVERAGEIFS($K$4:$K$503,$B$4:$B$503,$B21,$AK$4:$AK$503,"&gt;="&amp;$AK21-Settings!$C$22,$AK$4:$AK$503,"&lt;="&amp;$AK21-1),"")))</f>
        <v/>
      </c>
      <c r="AC21" s="27" t="str">
        <f t="shared" si="9"/>
        <v/>
      </c>
      <c r="AD21" s="28" t="str">
        <f>IF($B21="","",IF($AK21&lt;=Settings!$C$23,"",IFERROR($E21/SUMIFS($E$4:$E$503,$B$4:$B$503,$B21,$AK$4:$AK$503,$AK21-Settings!$C$23)-1,"")))</f>
        <v/>
      </c>
      <c r="AE21" s="28" t="str">
        <f>IF($B21="","",IF($AK21&lt;=Settings!$C$22,"",IFERROR($E21/SUMIFS($E$4:$E$503,$B$4:$B$503,$B21,$AK$4:$AK$503,$AK21-Settings!$C$22)-1,"")))</f>
        <v/>
      </c>
      <c r="AF21" s="28">
        <f t="shared" si="10"/>
        <v>0</v>
      </c>
      <c r="AG21" s="29">
        <f>IF($B21="","",ROUND((MIN(100,100*N($I21)/Settings!$C$27)+MIN(100,100*N($K21)/Settings!$C$28)+MIN(100,100*N($J21)/Settings!$C$29))/3,1))</f>
        <v>0</v>
      </c>
      <c r="AH21" s="29">
        <f>IF($B21="","",IF(SUM(Settings!$C$32:$C$37)=0,"",ROUND((Settings!$C$32*$AO21+Settings!$C$33*$AP21+Settings!$C$34*$AQ21+Settings!$C$35*$AR21+Settings!$C$36*$AS21+Settings!$C$37*$AT21)/SUM(Settings!$C$32:$C$37),1)))</f>
        <v>50</v>
      </c>
      <c r="AI21" s="29">
        <f>IF($B21="","",MAX(0,100-IF(N($N21)&gt;0,0,20)-IF(AND(N($L21)=0,N($M21)=0),15,0)-IF(N($J21)&gt;0,0,10)-IF(N($K21)&gt;0,0,10)-IF($Z21&lt;&gt;"",0,15)-IF($AB21&lt;&gt;"",0,10)-IF($R21="ERROR",20,IF($R21="WARNING",10,0))))</f>
        <v>30</v>
      </c>
      <c r="AJ21" s="30" t="str">
        <f>IF($AH21="","",IF($AH21&lt;Settings!$C$46,"Extreme Sell Pressure",IF($AH21&lt;Settings!$C$47,"Sell Pressure",IF($AH21&lt;=Settings!$C$48,"Neutral",IF($AH21&lt;=Settings!$C$49,"Buy Pressure","Extreme Buy Pressure")))))</f>
        <v>Neutral</v>
      </c>
      <c r="AK21" s="30">
        <f t="shared" si="11"/>
        <v>1</v>
      </c>
      <c r="AL21" s="30">
        <f t="shared" si="12"/>
        <v>2026</v>
      </c>
      <c r="AM21" s="30">
        <f t="shared" si="13"/>
        <v>33</v>
      </c>
      <c r="AN21" s="30">
        <f t="shared" si="14"/>
        <v>8</v>
      </c>
      <c r="AO21" s="29">
        <f>IF($B21="","",IF(AND(N($L21)=0,N($M21)=0),50,IF(N($M21)=0,100,IF(N($L21)=0,0,MEDIAN(0,100,50+50*LN($S21)/LN(Settings!$C$40))))))</f>
        <v>50</v>
      </c>
      <c r="AP21" s="29">
        <f>IF($AA21="",50,MEDIAN(0,100,50+$AA21*100*Settings!$C$41))</f>
        <v>50</v>
      </c>
      <c r="AQ21" s="29">
        <f>IF($H21="",50,MEDIAN(0,100,50+$H21*100*Settings!$C$42))</f>
        <v>50</v>
      </c>
      <c r="AR21" s="29">
        <f>IF(OR($AC21="",$H21=""),50,MEDIAN(0,100,50+SIGN($H21)*50*MEDIAN(0,1,($AC21-1)/Settings!$C$43)))</f>
        <v>50</v>
      </c>
      <c r="AS21" s="29">
        <f>IF(OR($V21="",$W21=""),50,MEDIAN(0,100,50+50*($V21-$W21)/Settings!$C$44))</f>
        <v>50</v>
      </c>
      <c r="AT21" s="29">
        <f t="shared" si="15"/>
        <v>50</v>
      </c>
      <c r="AU21" s="30" t="str">
        <f t="shared" si="16"/>
        <v>SWALA|2026-08-10</v>
      </c>
      <c r="AV21" s="87">
        <f>IF($A21="","",IF(COUNTIFS($A$4:$A21,$A21)=1,1,0))</f>
        <v>0</v>
      </c>
    </row>
    <row r="22" spans="1:48" x14ac:dyDescent="0.3">
      <c r="A22" s="265">
        <v>46244</v>
      </c>
      <c r="B22" s="266" t="s">
        <v>126</v>
      </c>
      <c r="C22" s="267">
        <v>2690</v>
      </c>
      <c r="D22" s="267"/>
      <c r="E22" s="267">
        <v>2620</v>
      </c>
      <c r="F22" s="267">
        <v>2690</v>
      </c>
      <c r="G22" s="267">
        <v>2550</v>
      </c>
      <c r="H22" s="268" t="str">
        <f t="shared" si="0"/>
        <v/>
      </c>
      <c r="I22" s="269">
        <v>3429910</v>
      </c>
      <c r="J22" s="269">
        <v>24</v>
      </c>
      <c r="K22" s="269">
        <v>1305</v>
      </c>
      <c r="L22" s="269">
        <v>10151</v>
      </c>
      <c r="M22" s="269">
        <v>21238</v>
      </c>
      <c r="N22" s="269">
        <v>94320000000</v>
      </c>
      <c r="O22" s="266" t="s">
        <v>1106</v>
      </c>
      <c r="P22" s="265">
        <v>46265</v>
      </c>
      <c r="Q22" s="266" t="s">
        <v>1138</v>
      </c>
      <c r="R22" s="23" t="str" cm="1">
        <f t="array" ref="R22">IF($B22="","",IFERROR(IF(INDEX('Data Quality'!$U$4:$U$503,ROW()-3)=0,"PENDING",INDEX('Data Quality'!$U$4:$U$503,ROW()-3)),"PENDING"))</f>
        <v>PASS</v>
      </c>
      <c r="S22" s="24">
        <f t="shared" si="1"/>
        <v>0.47796402674451455</v>
      </c>
      <c r="T22" s="25">
        <f t="shared" si="2"/>
        <v>26595620</v>
      </c>
      <c r="U22" s="25">
        <f t="shared" si="3"/>
        <v>55643560</v>
      </c>
      <c r="V22" s="26">
        <f t="shared" si="4"/>
        <v>2.8197222222222225E-4</v>
      </c>
      <c r="W22" s="26">
        <f t="shared" si="5"/>
        <v>5.8994444444444448E-4</v>
      </c>
      <c r="X22" s="25">
        <f t="shared" si="6"/>
        <v>54.375</v>
      </c>
      <c r="Y22" s="25">
        <f t="shared" si="7"/>
        <v>142912.91666666666</v>
      </c>
      <c r="Z22" s="27" t="str">
        <f>IF($B22="","",IF($AK22&lt;=Settings!$C$21,"",IFERROR(AVERAGEIFS($S$4:$S$503,$B$4:$B$503,$B22,$AK$4:$AK$503,"&gt;="&amp;$AK22-Settings!$C$21,$AK$4:$AK$503,"&lt;="&amp;$AK22-1),"")))</f>
        <v/>
      </c>
      <c r="AA22" s="28" t="str">
        <f t="shared" si="8"/>
        <v/>
      </c>
      <c r="AB22" s="25" t="str">
        <f>IF($B22="","",IF($AK22&lt;=Settings!$C$22,"",IFERROR(AVERAGEIFS($K$4:$K$503,$B$4:$B$503,$B22,$AK$4:$AK$503,"&gt;="&amp;$AK22-Settings!$C$22,$AK$4:$AK$503,"&lt;="&amp;$AK22-1),"")))</f>
        <v/>
      </c>
      <c r="AC22" s="27" t="str">
        <f t="shared" si="9"/>
        <v/>
      </c>
      <c r="AD22" s="28" t="str">
        <f>IF($B22="","",IF($AK22&lt;=Settings!$C$23,"",IFERROR($E22/SUMIFS($E$4:$E$503,$B$4:$B$503,$B22,$AK$4:$AK$503,$AK22-Settings!$C$23)-1,"")))</f>
        <v/>
      </c>
      <c r="AE22" s="28" t="str">
        <f>IF($B22="","",IF($AK22&lt;=Settings!$C$22,"",IFERROR($E22/SUMIFS($E$4:$E$503,$B$4:$B$503,$B22,$AK$4:$AK$503,$AK22-Settings!$C$22)-1,"")))</f>
        <v/>
      </c>
      <c r="AF22" s="28">
        <f t="shared" si="10"/>
        <v>5.3435114503816793E-2</v>
      </c>
      <c r="AG22" s="29">
        <f>IF($B22="","",ROUND((MIN(100,100*N($I22)/Settings!$C$27)+MIN(100,100*N($K22)/Settings!$C$28)+MIN(100,100*N($J22)/Settings!$C$29))/3,1))</f>
        <v>8.1999999999999993</v>
      </c>
      <c r="AH22" s="29">
        <f>IF($B22="","",IF(SUM(Settings!$C$32:$C$37)=0,"",ROUND((Settings!$C$32*$AO22+Settings!$C$33*$AP22+Settings!$C$34*$AQ22+Settings!$C$35*$AR22+Settings!$C$36*$AS22+Settings!$C$37*$AT22)/SUM(Settings!$C$32:$C$37),1)))</f>
        <v>38.700000000000003</v>
      </c>
      <c r="AI22" s="29">
        <f>IF($B22="","",MAX(0,100-IF(N($N22)&gt;0,0,20)-IF(AND(N($L22)=0,N($M22)=0),15,0)-IF(N($J22)&gt;0,0,10)-IF(N($K22)&gt;0,0,10)-IF($Z22&lt;&gt;"",0,15)-IF($AB22&lt;&gt;"",0,10)-IF($R22="ERROR",20,IF($R22="WARNING",10,0))))</f>
        <v>75</v>
      </c>
      <c r="AJ22" s="30" t="str">
        <f>IF($AH22="","",IF($AH22&lt;Settings!$C$46,"Extreme Sell Pressure",IF($AH22&lt;Settings!$C$47,"Sell Pressure",IF($AH22&lt;=Settings!$C$48,"Neutral",IF($AH22&lt;=Settings!$C$49,"Buy Pressure","Extreme Buy Pressure")))))</f>
        <v>Sell Pressure</v>
      </c>
      <c r="AK22" s="30">
        <f t="shared" si="11"/>
        <v>1</v>
      </c>
      <c r="AL22" s="30">
        <f t="shared" si="12"/>
        <v>2026</v>
      </c>
      <c r="AM22" s="30">
        <f t="shared" si="13"/>
        <v>33</v>
      </c>
      <c r="AN22" s="30">
        <f t="shared" si="14"/>
        <v>8</v>
      </c>
      <c r="AO22" s="29">
        <f>IF($B22="","",IF(AND(N($L22)=0,N($M22)=0),50,IF(N($M22)=0,100,IF(N($L22)=0,0,MEDIAN(0,100,50+50*LN($S22)/LN(Settings!$C$40))))))</f>
        <v>23.374348627408274</v>
      </c>
      <c r="AP22" s="29">
        <f>IF($AA22="",50,MEDIAN(0,100,50+$AA22*100*Settings!$C$41))</f>
        <v>50</v>
      </c>
      <c r="AQ22" s="29">
        <f>IF($H22="",50,MEDIAN(0,100,50+$H22*100*Settings!$C$42))</f>
        <v>50</v>
      </c>
      <c r="AR22" s="29">
        <f>IF(OR($AC22="",$H22=""),50,MEDIAN(0,100,50+SIGN($H22)*50*MEDIAN(0,1,($AC22-1)/Settings!$C$43)))</f>
        <v>50</v>
      </c>
      <c r="AS22" s="29">
        <f>IF(OR($V22="",$W22=""),50,MEDIAN(0,100,50+50*($V22-$W22)/Settings!$C$44))</f>
        <v>19.202777777777779</v>
      </c>
      <c r="AT22" s="29">
        <f t="shared" si="15"/>
        <v>47.816696587447481</v>
      </c>
      <c r="AU22" s="30" t="str">
        <f t="shared" si="16"/>
        <v>SWIS|2026-08-10</v>
      </c>
      <c r="AV22" s="87">
        <f>IF($A22="","",IF(COUNTIFS($A$4:$A22,$A22)=1,1,0))</f>
        <v>0</v>
      </c>
    </row>
    <row r="23" spans="1:48" x14ac:dyDescent="0.3">
      <c r="A23" s="265">
        <v>46244</v>
      </c>
      <c r="B23" s="266" t="s">
        <v>112</v>
      </c>
      <c r="C23" s="267">
        <v>10000</v>
      </c>
      <c r="D23" s="267"/>
      <c r="E23" s="267">
        <v>9950</v>
      </c>
      <c r="F23" s="267">
        <v>10110</v>
      </c>
      <c r="G23" s="267">
        <v>9950</v>
      </c>
      <c r="H23" s="268" t="str">
        <f t="shared" si="0"/>
        <v/>
      </c>
      <c r="I23" s="269">
        <v>10970760</v>
      </c>
      <c r="J23" s="269">
        <v>23</v>
      </c>
      <c r="K23" s="269">
        <v>1100</v>
      </c>
      <c r="L23" s="269">
        <v>352</v>
      </c>
      <c r="M23" s="269">
        <v>944</v>
      </c>
      <c r="N23" s="269">
        <v>2935810000000</v>
      </c>
      <c r="O23" s="266" t="s">
        <v>1106</v>
      </c>
      <c r="P23" s="265">
        <v>46265</v>
      </c>
      <c r="Q23" s="266" t="s">
        <v>1138</v>
      </c>
      <c r="R23" s="23" t="str" cm="1">
        <f t="array" ref="R23">IF($B23="","",IFERROR(IF(INDEX('Data Quality'!$U$4:$U$503,ROW()-3)=0,"PENDING",INDEX('Data Quality'!$U$4:$U$503,ROW()-3)),"PENDING"))</f>
        <v>PASS</v>
      </c>
      <c r="S23" s="24">
        <f t="shared" si="1"/>
        <v>0.3728813559322034</v>
      </c>
      <c r="T23" s="25">
        <f t="shared" si="2"/>
        <v>3502400</v>
      </c>
      <c r="U23" s="25">
        <f t="shared" si="3"/>
        <v>9392800</v>
      </c>
      <c r="V23" s="26">
        <f t="shared" si="4"/>
        <v>1.192992734543448E-6</v>
      </c>
      <c r="W23" s="26">
        <f t="shared" si="5"/>
        <v>3.1993896062756106E-6</v>
      </c>
      <c r="X23" s="25">
        <f t="shared" si="6"/>
        <v>47.826086956521742</v>
      </c>
      <c r="Y23" s="25">
        <f t="shared" si="7"/>
        <v>476989.5652173913</v>
      </c>
      <c r="Z23" s="27" t="str">
        <f>IF($B23="","",IF($AK23&lt;=Settings!$C$21,"",IFERROR(AVERAGEIFS($S$4:$S$503,$B$4:$B$503,$B23,$AK$4:$AK$503,"&gt;="&amp;$AK23-Settings!$C$21,$AK$4:$AK$503,"&lt;="&amp;$AK23-1),"")))</f>
        <v/>
      </c>
      <c r="AA23" s="28" t="str">
        <f t="shared" si="8"/>
        <v/>
      </c>
      <c r="AB23" s="25" t="str">
        <f>IF($B23="","",IF($AK23&lt;=Settings!$C$22,"",IFERROR(AVERAGEIFS($K$4:$K$503,$B$4:$B$503,$B23,$AK$4:$AK$503,"&gt;="&amp;$AK23-Settings!$C$22,$AK$4:$AK$503,"&lt;="&amp;$AK23-1),"")))</f>
        <v/>
      </c>
      <c r="AC23" s="27" t="str">
        <f t="shared" si="9"/>
        <v/>
      </c>
      <c r="AD23" s="28" t="str">
        <f>IF($B23="","",IF($AK23&lt;=Settings!$C$23,"",IFERROR($E23/SUMIFS($E$4:$E$503,$B$4:$B$503,$B23,$AK$4:$AK$503,$AK23-Settings!$C$23)-1,"")))</f>
        <v/>
      </c>
      <c r="AE23" s="28" t="str">
        <f>IF($B23="","",IF($AK23&lt;=Settings!$C$22,"",IFERROR($E23/SUMIFS($E$4:$E$503,$B$4:$B$503,$B23,$AK$4:$AK$503,$AK23-Settings!$C$22)-1,"")))</f>
        <v/>
      </c>
      <c r="AF23" s="28">
        <f t="shared" si="10"/>
        <v>1.6080402010050253E-2</v>
      </c>
      <c r="AG23" s="29">
        <f>IF($B23="","",ROUND((MIN(100,100*N($I23)/Settings!$C$27)+MIN(100,100*N($K23)/Settings!$C$28)+MIN(100,100*N($J23)/Settings!$C$29))/3,1))</f>
        <v>8.1</v>
      </c>
      <c r="AH23" s="29">
        <f>IF($B23="","",IF(SUM(Settings!$C$32:$C$37)=0,"",ROUND((Settings!$C$32*$AO23+Settings!$C$33*$AP23+Settings!$C$34*$AQ23+Settings!$C$35*$AR23+Settings!$C$36*$AS23+Settings!$C$37*$AT23)/SUM(Settings!$C$32:$C$37),1)))</f>
        <v>39</v>
      </c>
      <c r="AI23" s="29">
        <f>IF($B23="","",MAX(0,100-IF(N($N23)&gt;0,0,20)-IF(AND(N($L23)=0,N($M23)=0),15,0)-IF(N($J23)&gt;0,0,10)-IF(N($K23)&gt;0,0,10)-IF($Z23&lt;&gt;"",0,15)-IF($AB23&lt;&gt;"",0,10)-IF($R23="ERROR",20,IF($R23="WARNING",10,0))))</f>
        <v>75</v>
      </c>
      <c r="AJ23" s="30" t="str">
        <f>IF($AH23="","",IF($AH23&lt;Settings!$C$46,"Extreme Sell Pressure",IF($AH23&lt;Settings!$C$47,"Sell Pressure",IF($AH23&lt;=Settings!$C$48,"Neutral",IF($AH23&lt;=Settings!$C$49,"Buy Pressure","Extreme Buy Pressure")))))</f>
        <v>Sell Pressure</v>
      </c>
      <c r="AK23" s="30">
        <f t="shared" si="11"/>
        <v>1</v>
      </c>
      <c r="AL23" s="30">
        <f t="shared" si="12"/>
        <v>2026</v>
      </c>
      <c r="AM23" s="30">
        <f t="shared" si="13"/>
        <v>33</v>
      </c>
      <c r="AN23" s="30">
        <f t="shared" si="14"/>
        <v>8</v>
      </c>
      <c r="AO23" s="29">
        <f>IF($B23="","",IF(AND(N($L23)=0,N($M23)=0),50,IF(N($M23)=0,100,IF(N($L23)=0,0,MEDIAN(0,100,50+50*LN($S23)/LN(Settings!$C$40))))))</f>
        <v>14.419714231886402</v>
      </c>
      <c r="AP23" s="29">
        <f>IF($AA23="",50,MEDIAN(0,100,50+$AA23*100*Settings!$C$41))</f>
        <v>50</v>
      </c>
      <c r="AQ23" s="29">
        <f>IF($H23="",50,MEDIAN(0,100,50+$H23*100*Settings!$C$42))</f>
        <v>50</v>
      </c>
      <c r="AR23" s="29">
        <f>IF(OR($AC23="",$H23=""),50,MEDIAN(0,100,50+SIGN($H23)*50*MEDIAN(0,1,($AC23-1)/Settings!$C$43)))</f>
        <v>50</v>
      </c>
      <c r="AS23" s="29">
        <f>IF(OR($V23="",$W23=""),50,MEDIAN(0,100,50+50*($V23-$W23)/Settings!$C$44))</f>
        <v>49.799360312826785</v>
      </c>
      <c r="AT23" s="29">
        <f t="shared" si="15"/>
        <v>47.117996852782795</v>
      </c>
      <c r="AU23" s="30" t="str">
        <f t="shared" si="16"/>
        <v>TBL|2026-08-10</v>
      </c>
      <c r="AV23" s="87">
        <f>IF($A23="","",IF(COUNTIFS($A$4:$A23,$A23)=1,1,0))</f>
        <v>0</v>
      </c>
    </row>
    <row r="24" spans="1:48" x14ac:dyDescent="0.3">
      <c r="A24" s="265">
        <v>46244</v>
      </c>
      <c r="B24" s="266" t="s">
        <v>115</v>
      </c>
      <c r="C24" s="267">
        <v>12300</v>
      </c>
      <c r="D24" s="267"/>
      <c r="E24" s="267">
        <v>12500</v>
      </c>
      <c r="F24" s="267">
        <v>12500</v>
      </c>
      <c r="G24" s="267">
        <v>12500</v>
      </c>
      <c r="H24" s="268" t="str">
        <f t="shared" si="0"/>
        <v/>
      </c>
      <c r="I24" s="269">
        <v>20175000</v>
      </c>
      <c r="J24" s="269">
        <v>13</v>
      </c>
      <c r="K24" s="269">
        <v>1614</v>
      </c>
      <c r="L24" s="269">
        <v>279</v>
      </c>
      <c r="M24" s="269">
        <v>0</v>
      </c>
      <c r="N24" s="269">
        <v>1250000000000</v>
      </c>
      <c r="O24" s="266" t="s">
        <v>1106</v>
      </c>
      <c r="P24" s="265">
        <v>46265</v>
      </c>
      <c r="Q24" s="266" t="s">
        <v>1138</v>
      </c>
      <c r="R24" s="23" t="str" cm="1">
        <f t="array" ref="R24">IF($B24="","",IFERROR(IF(INDEX('Data Quality'!$U$4:$U$503,ROW()-3)=0,"PENDING",INDEX('Data Quality'!$U$4:$U$503,ROW()-3)),"PENDING"))</f>
        <v>PASS</v>
      </c>
      <c r="S24" s="24" t="str">
        <f t="shared" si="1"/>
        <v/>
      </c>
      <c r="T24" s="25">
        <f t="shared" si="2"/>
        <v>3487500</v>
      </c>
      <c r="U24" s="25">
        <f t="shared" si="3"/>
        <v>0</v>
      </c>
      <c r="V24" s="26">
        <f t="shared" si="4"/>
        <v>2.79E-6</v>
      </c>
      <c r="W24" s="26">
        <f t="shared" si="5"/>
        <v>0</v>
      </c>
      <c r="X24" s="25">
        <f t="shared" si="6"/>
        <v>124.15384615384616</v>
      </c>
      <c r="Y24" s="25">
        <f t="shared" si="7"/>
        <v>1551923.076923077</v>
      </c>
      <c r="Z24" s="27" t="str">
        <f>IF($B24="","",IF($AK24&lt;=Settings!$C$21,"",IFERROR(AVERAGEIFS($S$4:$S$503,$B$4:$B$503,$B24,$AK$4:$AK$503,"&gt;="&amp;$AK24-Settings!$C$21,$AK$4:$AK$503,"&lt;="&amp;$AK24-1),"")))</f>
        <v/>
      </c>
      <c r="AA24" s="28" t="str">
        <f t="shared" si="8"/>
        <v/>
      </c>
      <c r="AB24" s="25" t="str">
        <f>IF($B24="","",IF($AK24&lt;=Settings!$C$22,"",IFERROR(AVERAGEIFS($K$4:$K$503,$B$4:$B$503,$B24,$AK$4:$AK$503,"&gt;="&amp;$AK24-Settings!$C$22,$AK$4:$AK$503,"&lt;="&amp;$AK24-1),"")))</f>
        <v/>
      </c>
      <c r="AC24" s="27" t="str">
        <f t="shared" si="9"/>
        <v/>
      </c>
      <c r="AD24" s="28" t="str">
        <f>IF($B24="","",IF($AK24&lt;=Settings!$C$23,"",IFERROR($E24/SUMIFS($E$4:$E$503,$B$4:$B$503,$B24,$AK$4:$AK$503,$AK24-Settings!$C$23)-1,"")))</f>
        <v/>
      </c>
      <c r="AE24" s="28" t="str">
        <f>IF($B24="","",IF($AK24&lt;=Settings!$C$22,"",IFERROR($E24/SUMIFS($E$4:$E$503,$B$4:$B$503,$B24,$AK$4:$AK$503,$AK24-Settings!$C$22)-1,"")))</f>
        <v/>
      </c>
      <c r="AF24" s="28">
        <f t="shared" si="10"/>
        <v>0</v>
      </c>
      <c r="AG24" s="29">
        <f>IF($B24="","",ROUND((MIN(100,100*N($I24)/Settings!$C$27)+MIN(100,100*N($K24)/Settings!$C$28)+MIN(100,100*N($J24)/Settings!$C$29))/3,1))</f>
        <v>5.0999999999999996</v>
      </c>
      <c r="AH24" s="29">
        <f>IF($B24="","",IF(SUM(Settings!$C$32:$C$37)=0,"",ROUND((Settings!$C$32*$AO24+Settings!$C$33*$AP24+Settings!$C$34*$AQ24+Settings!$C$35*$AR24+Settings!$C$36*$AS24+Settings!$C$37*$AT24)/SUM(Settings!$C$32:$C$37),1)))</f>
        <v>65.3</v>
      </c>
      <c r="AI24" s="29">
        <f>IF($B24="","",MAX(0,100-IF(N($N24)&gt;0,0,20)-IF(AND(N($L24)=0,N($M24)=0),15,0)-IF(N($J24)&gt;0,0,10)-IF(N($K24)&gt;0,0,10)-IF($Z24&lt;&gt;"",0,15)-IF($AB24&lt;&gt;"",0,10)-IF($R24="ERROR",20,IF($R24="WARNING",10,0))))</f>
        <v>75</v>
      </c>
      <c r="AJ24" s="30" t="str">
        <f>IF($AH24="","",IF($AH24&lt;Settings!$C$46,"Extreme Sell Pressure",IF($AH24&lt;Settings!$C$47,"Sell Pressure",IF($AH24&lt;=Settings!$C$48,"Neutral",IF($AH24&lt;=Settings!$C$49,"Buy Pressure","Extreme Buy Pressure")))))</f>
        <v>Buy Pressure</v>
      </c>
      <c r="AK24" s="30">
        <f t="shared" si="11"/>
        <v>1</v>
      </c>
      <c r="AL24" s="30">
        <f t="shared" si="12"/>
        <v>2026</v>
      </c>
      <c r="AM24" s="30">
        <f t="shared" si="13"/>
        <v>33</v>
      </c>
      <c r="AN24" s="30">
        <f t="shared" si="14"/>
        <v>8</v>
      </c>
      <c r="AO24" s="29">
        <f>IF($B24="","",IF(AND(N($L24)=0,N($M24)=0),50,IF(N($M24)=0,100,IF(N($L24)=0,0,MEDIAN(0,100,50+50*LN($S24)/LN(Settings!$C$40))))))</f>
        <v>100</v>
      </c>
      <c r="AP24" s="29">
        <f>IF($AA24="",50,MEDIAN(0,100,50+$AA24*100*Settings!$C$41))</f>
        <v>50</v>
      </c>
      <c r="AQ24" s="29">
        <f>IF($H24="",50,MEDIAN(0,100,50+$H24*100*Settings!$C$42))</f>
        <v>50</v>
      </c>
      <c r="AR24" s="29">
        <f>IF(OR($AC24="",$H24=""),50,MEDIAN(0,100,50+SIGN($H24)*50*MEDIAN(0,1,($AC24-1)/Settings!$C$43)))</f>
        <v>50</v>
      </c>
      <c r="AS24" s="29">
        <f>IF(OR($V24="",$W24=""),50,MEDIAN(0,100,50+50*($V24-$W24)/Settings!$C$44))</f>
        <v>50.279000000000003</v>
      </c>
      <c r="AT24" s="29">
        <f t="shared" si="15"/>
        <v>52.55</v>
      </c>
      <c r="AU24" s="30" t="str">
        <f t="shared" si="16"/>
        <v>TCC|2026-08-10</v>
      </c>
      <c r="AV24" s="87">
        <f>IF($A24="","",IF(COUNTIFS($A$4:$A24,$A24)=1,1,0))</f>
        <v>0</v>
      </c>
    </row>
    <row r="25" spans="1:48" x14ac:dyDescent="0.3">
      <c r="A25" s="265">
        <v>46244</v>
      </c>
      <c r="B25" s="266" t="s">
        <v>118</v>
      </c>
      <c r="C25" s="267">
        <v>3710</v>
      </c>
      <c r="D25" s="267"/>
      <c r="E25" s="267">
        <v>3850</v>
      </c>
      <c r="F25" s="267">
        <v>4000</v>
      </c>
      <c r="G25" s="267">
        <v>3620</v>
      </c>
      <c r="H25" s="268" t="str">
        <f t="shared" si="0"/>
        <v/>
      </c>
      <c r="I25" s="269">
        <v>7866260</v>
      </c>
      <c r="J25" s="269">
        <v>21</v>
      </c>
      <c r="K25" s="269">
        <v>2046</v>
      </c>
      <c r="L25" s="269">
        <v>20117</v>
      </c>
      <c r="M25" s="269">
        <v>17999</v>
      </c>
      <c r="N25" s="269">
        <v>735400000000</v>
      </c>
      <c r="O25" s="266" t="s">
        <v>1106</v>
      </c>
      <c r="P25" s="265">
        <v>46265</v>
      </c>
      <c r="Q25" s="266" t="s">
        <v>1138</v>
      </c>
      <c r="R25" s="23" t="str" cm="1">
        <f t="array" ref="R25">IF($B25="","",IFERROR(IF(INDEX('Data Quality'!$U$4:$U$503,ROW()-3)=0,"PENDING",INDEX('Data Quality'!$U$4:$U$503,ROW()-3)),"PENDING"))</f>
        <v>PASS</v>
      </c>
      <c r="S25" s="24">
        <f t="shared" si="1"/>
        <v>1.1176732040668926</v>
      </c>
      <c r="T25" s="25">
        <f t="shared" si="2"/>
        <v>77450450</v>
      </c>
      <c r="U25" s="25">
        <f t="shared" si="3"/>
        <v>69296150</v>
      </c>
      <c r="V25" s="26">
        <f t="shared" si="4"/>
        <v>1.0531744628773457E-4</v>
      </c>
      <c r="W25" s="26">
        <f t="shared" si="5"/>
        <v>9.4229194995920583E-5</v>
      </c>
      <c r="X25" s="25">
        <f t="shared" si="6"/>
        <v>97.428571428571431</v>
      </c>
      <c r="Y25" s="25">
        <f t="shared" si="7"/>
        <v>374583.80952380953</v>
      </c>
      <c r="Z25" s="27" t="str">
        <f>IF($B25="","",IF($AK25&lt;=Settings!$C$21,"",IFERROR(AVERAGEIFS($S$4:$S$503,$B$4:$B$503,$B25,$AK$4:$AK$503,"&gt;="&amp;$AK25-Settings!$C$21,$AK$4:$AK$503,"&lt;="&amp;$AK25-1),"")))</f>
        <v/>
      </c>
      <c r="AA25" s="28" t="str">
        <f t="shared" si="8"/>
        <v/>
      </c>
      <c r="AB25" s="25" t="str">
        <f>IF($B25="","",IF($AK25&lt;=Settings!$C$22,"",IFERROR(AVERAGEIFS($K$4:$K$503,$B$4:$B$503,$B25,$AK$4:$AK$503,"&gt;="&amp;$AK25-Settings!$C$22,$AK$4:$AK$503,"&lt;="&amp;$AK25-1),"")))</f>
        <v/>
      </c>
      <c r="AC25" s="27" t="str">
        <f t="shared" si="9"/>
        <v/>
      </c>
      <c r="AD25" s="28" t="str">
        <f>IF($B25="","",IF($AK25&lt;=Settings!$C$23,"",IFERROR($E25/SUMIFS($E$4:$E$503,$B$4:$B$503,$B25,$AK$4:$AK$503,$AK25-Settings!$C$23)-1,"")))</f>
        <v/>
      </c>
      <c r="AE25" s="28" t="str">
        <f>IF($B25="","",IF($AK25&lt;=Settings!$C$22,"",IFERROR($E25/SUMIFS($E$4:$E$503,$B$4:$B$503,$B25,$AK$4:$AK$503,$AK25-Settings!$C$22)-1,"")))</f>
        <v/>
      </c>
      <c r="AF25" s="28">
        <f t="shared" si="10"/>
        <v>9.8701298701298706E-2</v>
      </c>
      <c r="AG25" s="29">
        <f>IF($B25="","",ROUND((MIN(100,100*N($I25)/Settings!$C$27)+MIN(100,100*N($K25)/Settings!$C$28)+MIN(100,100*N($J25)/Settings!$C$29))/3,1))</f>
        <v>7.4</v>
      </c>
      <c r="AH25" s="29">
        <f>IF($B25="","",IF(SUM(Settings!$C$32:$C$37)=0,"",ROUND((Settings!$C$32*$AO25+Settings!$C$33*$AP25+Settings!$C$34*$AQ25+Settings!$C$35*$AR25+Settings!$C$36*$AS25+Settings!$C$37*$AT25)/SUM(Settings!$C$32:$C$37),1)))</f>
        <v>51.3</v>
      </c>
      <c r="AI25" s="29">
        <f>IF($B25="","",MAX(0,100-IF(N($N25)&gt;0,0,20)-IF(AND(N($L25)=0,N($M25)=0),15,0)-IF(N($J25)&gt;0,0,10)-IF(N($K25)&gt;0,0,10)-IF($Z25&lt;&gt;"",0,15)-IF($AB25&lt;&gt;"",0,10)-IF($R25="ERROR",20,IF($R25="WARNING",10,0))))</f>
        <v>75</v>
      </c>
      <c r="AJ25" s="30" t="str">
        <f>IF($AH25="","",IF($AH25&lt;Settings!$C$46,"Extreme Sell Pressure",IF($AH25&lt;Settings!$C$47,"Sell Pressure",IF($AH25&lt;=Settings!$C$48,"Neutral",IF($AH25&lt;=Settings!$C$49,"Buy Pressure","Extreme Buy Pressure")))))</f>
        <v>Neutral</v>
      </c>
      <c r="AK25" s="30">
        <f t="shared" si="11"/>
        <v>1</v>
      </c>
      <c r="AL25" s="30">
        <f t="shared" si="12"/>
        <v>2026</v>
      </c>
      <c r="AM25" s="30">
        <f t="shared" si="13"/>
        <v>33</v>
      </c>
      <c r="AN25" s="30">
        <f t="shared" si="14"/>
        <v>8</v>
      </c>
      <c r="AO25" s="29">
        <f>IF($B25="","",IF(AND(N($L25)=0,N($M25)=0),50,IF(N($M25)=0,100,IF(N($L25)=0,0,MEDIAN(0,100,50+50*LN($S25)/LN(Settings!$C$40))))))</f>
        <v>54.012460523146842</v>
      </c>
      <c r="AP25" s="29">
        <f>IF($AA25="",50,MEDIAN(0,100,50+$AA25*100*Settings!$C$41))</f>
        <v>50</v>
      </c>
      <c r="AQ25" s="29">
        <f>IF($H25="",50,MEDIAN(0,100,50+$H25*100*Settings!$C$42))</f>
        <v>50</v>
      </c>
      <c r="AR25" s="29">
        <f>IF(OR($AC25="",$H25=""),50,MEDIAN(0,100,50+SIGN($H25)*50*MEDIAN(0,1,($AC25-1)/Settings!$C$43)))</f>
        <v>50</v>
      </c>
      <c r="AS25" s="29">
        <f>IF(OR($V25="",$W25=""),50,MEDIAN(0,100,50+50*($V25-$W25)/Settings!$C$44))</f>
        <v>51.108825129181398</v>
      </c>
      <c r="AT25" s="29">
        <f t="shared" si="15"/>
        <v>50.296922078712868</v>
      </c>
      <c r="AU25" s="30" t="str">
        <f t="shared" si="16"/>
        <v>TCCL|2026-08-10</v>
      </c>
      <c r="AV25" s="87">
        <f>IF($A25="","",IF(COUNTIFS($A$4:$A25,$A25)=1,1,0))</f>
        <v>0</v>
      </c>
    </row>
    <row r="26" spans="1:48" x14ac:dyDescent="0.3">
      <c r="A26" s="265">
        <v>46244</v>
      </c>
      <c r="B26" s="266" t="s">
        <v>132</v>
      </c>
      <c r="C26" s="267">
        <v>1500</v>
      </c>
      <c r="D26" s="267"/>
      <c r="E26" s="267">
        <v>1500</v>
      </c>
      <c r="F26" s="267">
        <v>1500</v>
      </c>
      <c r="G26" s="267">
        <v>1480</v>
      </c>
      <c r="H26" s="268" t="str">
        <f t="shared" si="0"/>
        <v/>
      </c>
      <c r="I26" s="269">
        <v>5100790</v>
      </c>
      <c r="J26" s="269">
        <v>29</v>
      </c>
      <c r="K26" s="269">
        <v>3406</v>
      </c>
      <c r="L26" s="269">
        <v>3987</v>
      </c>
      <c r="M26" s="269">
        <v>26585</v>
      </c>
      <c r="N26" s="269">
        <v>86260000000</v>
      </c>
      <c r="O26" s="266" t="s">
        <v>1106</v>
      </c>
      <c r="P26" s="265">
        <v>46265</v>
      </c>
      <c r="Q26" s="266" t="s">
        <v>1138</v>
      </c>
      <c r="R26" s="23" t="str" cm="1">
        <f t="array" ref="R26">IF($B26="","",IFERROR(IF(INDEX('Data Quality'!$U$4:$U$503,ROW()-3)=0,"PENDING",INDEX('Data Quality'!$U$4:$U$503,ROW()-3)),"PENDING"))</f>
        <v>PASS</v>
      </c>
      <c r="S26" s="24">
        <f t="shared" si="1"/>
        <v>0.14997178860259544</v>
      </c>
      <c r="T26" s="25">
        <f t="shared" si="2"/>
        <v>5980500</v>
      </c>
      <c r="U26" s="25">
        <f t="shared" si="3"/>
        <v>39877500</v>
      </c>
      <c r="V26" s="26">
        <f t="shared" si="4"/>
        <v>6.9331092047298864E-5</v>
      </c>
      <c r="W26" s="26">
        <f t="shared" si="5"/>
        <v>4.6229422675631812E-4</v>
      </c>
      <c r="X26" s="25">
        <f t="shared" si="6"/>
        <v>117.44827586206897</v>
      </c>
      <c r="Y26" s="25">
        <f t="shared" si="7"/>
        <v>175889.31034482759</v>
      </c>
      <c r="Z26" s="27" t="str">
        <f>IF($B26="","",IF($AK26&lt;=Settings!$C$21,"",IFERROR(AVERAGEIFS($S$4:$S$503,$B$4:$B$503,$B26,$AK$4:$AK$503,"&gt;="&amp;$AK26-Settings!$C$21,$AK$4:$AK$503,"&lt;="&amp;$AK26-1),"")))</f>
        <v/>
      </c>
      <c r="AA26" s="28" t="str">
        <f t="shared" si="8"/>
        <v/>
      </c>
      <c r="AB26" s="25" t="str">
        <f>IF($B26="","",IF($AK26&lt;=Settings!$C$22,"",IFERROR(AVERAGEIFS($K$4:$K$503,$B$4:$B$503,$B26,$AK$4:$AK$503,"&gt;="&amp;$AK26-Settings!$C$22,$AK$4:$AK$503,"&lt;="&amp;$AK26-1),"")))</f>
        <v/>
      </c>
      <c r="AC26" s="27" t="str">
        <f t="shared" si="9"/>
        <v/>
      </c>
      <c r="AD26" s="28" t="str">
        <f>IF($B26="","",IF($AK26&lt;=Settings!$C$23,"",IFERROR($E26/SUMIFS($E$4:$E$503,$B$4:$B$503,$B26,$AK$4:$AK$503,$AK26-Settings!$C$23)-1,"")))</f>
        <v/>
      </c>
      <c r="AE26" s="28" t="str">
        <f>IF($B26="","",IF($AK26&lt;=Settings!$C$22,"",IFERROR($E26/SUMIFS($E$4:$E$503,$B$4:$B$503,$B26,$AK$4:$AK$503,$AK26-Settings!$C$22)-1,"")))</f>
        <v/>
      </c>
      <c r="AF26" s="28">
        <f t="shared" si="10"/>
        <v>1.3333333333333334E-2</v>
      </c>
      <c r="AG26" s="29">
        <f>IF($B26="","",ROUND((MIN(100,100*N($I26)/Settings!$C$27)+MIN(100,100*N($K26)/Settings!$C$28)+MIN(100,100*N($J26)/Settings!$C$29))/3,1))</f>
        <v>10.1</v>
      </c>
      <c r="AH26" s="29">
        <f>IF($B26="","",IF(SUM(Settings!$C$32:$C$37)=0,"",ROUND((Settings!$C$32*$AO26+Settings!$C$33*$AP26+Settings!$C$34*$AQ26+Settings!$C$35*$AR26+Settings!$C$36*$AS26+Settings!$C$37*$AT26)/SUM(Settings!$C$32:$C$37),1)))</f>
        <v>30.6</v>
      </c>
      <c r="AI26" s="29">
        <f>IF($B26="","",MAX(0,100-IF(N($N26)&gt;0,0,20)-IF(AND(N($L26)=0,N($M26)=0),15,0)-IF(N($J26)&gt;0,0,10)-IF(N($K26)&gt;0,0,10)-IF($Z26&lt;&gt;"",0,15)-IF($AB26&lt;&gt;"",0,10)-IF($R26="ERROR",20,IF($R26="WARNING",10,0))))</f>
        <v>75</v>
      </c>
      <c r="AJ26" s="30" t="str">
        <f>IF($AH26="","",IF($AH26&lt;Settings!$C$46,"Extreme Sell Pressure",IF($AH26&lt;Settings!$C$47,"Sell Pressure",IF($AH26&lt;=Settings!$C$48,"Neutral",IF($AH26&lt;=Settings!$C$49,"Buy Pressure","Extreme Buy Pressure")))))</f>
        <v>Sell Pressure</v>
      </c>
      <c r="AK26" s="30">
        <f t="shared" si="11"/>
        <v>1</v>
      </c>
      <c r="AL26" s="30">
        <f t="shared" si="12"/>
        <v>2026</v>
      </c>
      <c r="AM26" s="30">
        <f t="shared" si="13"/>
        <v>33</v>
      </c>
      <c r="AN26" s="30">
        <f t="shared" si="14"/>
        <v>8</v>
      </c>
      <c r="AO26" s="29">
        <f>IF($B26="","",IF(AND(N($L26)=0,N($M26)=0),50,IF(N($M26)=0,100,IF(N($L26)=0,0,MEDIAN(0,100,50+50*LN($S26)/LN(Settings!$C$40))))))</f>
        <v>0</v>
      </c>
      <c r="AP26" s="29">
        <f>IF($AA26="",50,MEDIAN(0,100,50+$AA26*100*Settings!$C$41))</f>
        <v>50</v>
      </c>
      <c r="AQ26" s="29">
        <f>IF($H26="",50,MEDIAN(0,100,50+$H26*100*Settings!$C$42))</f>
        <v>50</v>
      </c>
      <c r="AR26" s="29">
        <f>IF(OR($AC26="",$H26=""),50,MEDIAN(0,100,50+SIGN($H26)*50*MEDIAN(0,1,($AC26-1)/Settings!$C$43)))</f>
        <v>50</v>
      </c>
      <c r="AS26" s="29">
        <f>IF(OR($V26="",$W26=""),50,MEDIAN(0,100,50+50*($V26-$W26)/Settings!$C$44))</f>
        <v>10.703686529098071</v>
      </c>
      <c r="AT26" s="29">
        <f t="shared" si="15"/>
        <v>44.95</v>
      </c>
      <c r="AU26" s="30" t="str">
        <f t="shared" si="16"/>
        <v>TOL|2026-08-10</v>
      </c>
      <c r="AV26" s="87">
        <f>IF($A26="","",IF(COUNTIFS($A$4:$A26,$A26)=1,1,0))</f>
        <v>0</v>
      </c>
    </row>
    <row r="27" spans="1:48" x14ac:dyDescent="0.3">
      <c r="A27" s="265">
        <v>46244</v>
      </c>
      <c r="B27" s="266" t="s">
        <v>116</v>
      </c>
      <c r="C27" s="267">
        <v>5850</v>
      </c>
      <c r="D27" s="267"/>
      <c r="E27" s="267">
        <v>5850</v>
      </c>
      <c r="F27" s="267">
        <v>5950</v>
      </c>
      <c r="G27" s="267">
        <v>5850</v>
      </c>
      <c r="H27" s="268" t="str">
        <f t="shared" si="0"/>
        <v/>
      </c>
      <c r="I27" s="269">
        <v>16039250</v>
      </c>
      <c r="J27" s="269">
        <v>33</v>
      </c>
      <c r="K27" s="269">
        <v>2739</v>
      </c>
      <c r="L27" s="269">
        <v>979</v>
      </c>
      <c r="M27" s="269">
        <v>0</v>
      </c>
      <c r="N27" s="269">
        <v>1052550000000</v>
      </c>
      <c r="O27" s="266" t="s">
        <v>1106</v>
      </c>
      <c r="P27" s="265">
        <v>46265</v>
      </c>
      <c r="Q27" s="266" t="s">
        <v>1138</v>
      </c>
      <c r="R27" s="23" t="str" cm="1">
        <f t="array" ref="R27">IF($B27="","",IFERROR(IF(INDEX('Data Quality'!$U$4:$U$503,ROW()-3)=0,"PENDING",INDEX('Data Quality'!$U$4:$U$503,ROW()-3)),"PENDING"))</f>
        <v>PASS</v>
      </c>
      <c r="S27" s="24" t="str">
        <f t="shared" si="1"/>
        <v/>
      </c>
      <c r="T27" s="25">
        <f t="shared" si="2"/>
        <v>5727150</v>
      </c>
      <c r="U27" s="25">
        <f t="shared" si="3"/>
        <v>0</v>
      </c>
      <c r="V27" s="26">
        <f t="shared" si="4"/>
        <v>5.4412141941000423E-6</v>
      </c>
      <c r="W27" s="26">
        <f t="shared" si="5"/>
        <v>0</v>
      </c>
      <c r="X27" s="25">
        <f t="shared" si="6"/>
        <v>83</v>
      </c>
      <c r="Y27" s="25">
        <f t="shared" si="7"/>
        <v>486037.87878787878</v>
      </c>
      <c r="Z27" s="27" t="str">
        <f>IF($B27="","",IF($AK27&lt;=Settings!$C$21,"",IFERROR(AVERAGEIFS($S$4:$S$503,$B$4:$B$503,$B27,$AK$4:$AK$503,"&gt;="&amp;$AK27-Settings!$C$21,$AK$4:$AK$503,"&lt;="&amp;$AK27-1),"")))</f>
        <v/>
      </c>
      <c r="AA27" s="28" t="str">
        <f t="shared" si="8"/>
        <v/>
      </c>
      <c r="AB27" s="25" t="str">
        <f>IF($B27="","",IF($AK27&lt;=Settings!$C$22,"",IFERROR(AVERAGEIFS($K$4:$K$503,$B$4:$B$503,$B27,$AK$4:$AK$503,"&gt;="&amp;$AK27-Settings!$C$22,$AK$4:$AK$503,"&lt;="&amp;$AK27-1),"")))</f>
        <v/>
      </c>
      <c r="AC27" s="27" t="str">
        <f t="shared" si="9"/>
        <v/>
      </c>
      <c r="AD27" s="28" t="str">
        <f>IF($B27="","",IF($AK27&lt;=Settings!$C$23,"",IFERROR($E27/SUMIFS($E$4:$E$503,$B$4:$B$503,$B27,$AK$4:$AK$503,$AK27-Settings!$C$23)-1,"")))</f>
        <v/>
      </c>
      <c r="AE27" s="28" t="str">
        <f>IF($B27="","",IF($AK27&lt;=Settings!$C$22,"",IFERROR($E27/SUMIFS($E$4:$E$503,$B$4:$B$503,$B27,$AK$4:$AK$503,$AK27-Settings!$C$22)-1,"")))</f>
        <v/>
      </c>
      <c r="AF27" s="28">
        <f t="shared" si="10"/>
        <v>1.7094017094017096E-2</v>
      </c>
      <c r="AG27" s="29">
        <f>IF($B27="","",ROUND((MIN(100,100*N($I27)/Settings!$C$27)+MIN(100,100*N($K27)/Settings!$C$28)+MIN(100,100*N($J27)/Settings!$C$29))/3,1))</f>
        <v>11.7</v>
      </c>
      <c r="AH27" s="29">
        <f>IF($B27="","",IF(SUM(Settings!$C$32:$C$37)=0,"",ROUND((Settings!$C$32*$AO27+Settings!$C$33*$AP27+Settings!$C$34*$AQ27+Settings!$C$35*$AR27+Settings!$C$36*$AS27+Settings!$C$37*$AT27)/SUM(Settings!$C$32:$C$37),1)))</f>
        <v>65.599999999999994</v>
      </c>
      <c r="AI27" s="29">
        <f>IF($B27="","",MAX(0,100-IF(N($N27)&gt;0,0,20)-IF(AND(N($L27)=0,N($M27)=0),15,0)-IF(N($J27)&gt;0,0,10)-IF(N($K27)&gt;0,0,10)-IF($Z27&lt;&gt;"",0,15)-IF($AB27&lt;&gt;"",0,10)-IF($R27="ERROR",20,IF($R27="WARNING",10,0))))</f>
        <v>75</v>
      </c>
      <c r="AJ27" s="30" t="str">
        <f>IF($AH27="","",IF($AH27&lt;Settings!$C$46,"Extreme Sell Pressure",IF($AH27&lt;Settings!$C$47,"Sell Pressure",IF($AH27&lt;=Settings!$C$48,"Neutral",IF($AH27&lt;=Settings!$C$49,"Buy Pressure","Extreme Buy Pressure")))))</f>
        <v>Buy Pressure</v>
      </c>
      <c r="AK27" s="30">
        <f t="shared" si="11"/>
        <v>1</v>
      </c>
      <c r="AL27" s="30">
        <f t="shared" si="12"/>
        <v>2026</v>
      </c>
      <c r="AM27" s="30">
        <f t="shared" si="13"/>
        <v>33</v>
      </c>
      <c r="AN27" s="30">
        <f t="shared" si="14"/>
        <v>8</v>
      </c>
      <c r="AO27" s="29">
        <f>IF($B27="","",IF(AND(N($L27)=0,N($M27)=0),50,IF(N($M27)=0,100,IF(N($L27)=0,0,MEDIAN(0,100,50+50*LN($S27)/LN(Settings!$C$40))))))</f>
        <v>100</v>
      </c>
      <c r="AP27" s="29">
        <f>IF($AA27="",50,MEDIAN(0,100,50+$AA27*100*Settings!$C$41))</f>
        <v>50</v>
      </c>
      <c r="AQ27" s="29">
        <f>IF($H27="",50,MEDIAN(0,100,50+$H27*100*Settings!$C$42))</f>
        <v>50</v>
      </c>
      <c r="AR27" s="29">
        <f>IF(OR($AC27="",$H27=""),50,MEDIAN(0,100,50+SIGN($H27)*50*MEDIAN(0,1,($AC27-1)/Settings!$C$43)))</f>
        <v>50</v>
      </c>
      <c r="AS27" s="29">
        <f>IF(OR($V27="",$W27=""),50,MEDIAN(0,100,50+50*($V27-$W27)/Settings!$C$44))</f>
        <v>50.544121419410004</v>
      </c>
      <c r="AT27" s="29">
        <f t="shared" si="15"/>
        <v>55.85</v>
      </c>
      <c r="AU27" s="30" t="str">
        <f t="shared" si="16"/>
        <v>TPCC|2026-08-10</v>
      </c>
      <c r="AV27" s="87">
        <f>IF($A27="","",IF(COUNTIFS($A$4:$A27,$A27)=1,1,0))</f>
        <v>0</v>
      </c>
    </row>
    <row r="28" spans="1:48" x14ac:dyDescent="0.3">
      <c r="A28" s="265">
        <v>46244</v>
      </c>
      <c r="B28" s="266" t="s">
        <v>1102</v>
      </c>
      <c r="C28" s="267">
        <v>450</v>
      </c>
      <c r="D28" s="267"/>
      <c r="E28" s="267">
        <v>450</v>
      </c>
      <c r="F28" s="267">
        <v>450</v>
      </c>
      <c r="G28" s="267">
        <v>450</v>
      </c>
      <c r="H28" s="268" t="str">
        <f t="shared" si="0"/>
        <v/>
      </c>
      <c r="I28" s="269">
        <v>158400</v>
      </c>
      <c r="J28" s="269">
        <v>16</v>
      </c>
      <c r="K28" s="269">
        <v>352</v>
      </c>
      <c r="L28" s="269">
        <v>46</v>
      </c>
      <c r="M28" s="269">
        <v>1529</v>
      </c>
      <c r="N28" s="269">
        <v>42780000000</v>
      </c>
      <c r="O28" s="266" t="s">
        <v>1106</v>
      </c>
      <c r="P28" s="265">
        <v>46265</v>
      </c>
      <c r="Q28" s="266" t="s">
        <v>1138</v>
      </c>
      <c r="R28" s="23" t="str" cm="1">
        <f t="array" ref="R28">IF($B28="","",IFERROR(IF(INDEX('Data Quality'!$U$4:$U$503,ROW()-3)=0,"PENDING",INDEX('Data Quality'!$U$4:$U$503,ROW()-3)),"PENDING"))</f>
        <v>PASS</v>
      </c>
      <c r="S28" s="24">
        <f t="shared" si="1"/>
        <v>3.0085022890778287E-2</v>
      </c>
      <c r="T28" s="25">
        <f t="shared" si="2"/>
        <v>20700</v>
      </c>
      <c r="U28" s="25">
        <f t="shared" si="3"/>
        <v>688050</v>
      </c>
      <c r="V28" s="26">
        <f t="shared" si="4"/>
        <v>4.838709677419355E-7</v>
      </c>
      <c r="W28" s="26">
        <f t="shared" si="5"/>
        <v>1.608345021037868E-5</v>
      </c>
      <c r="X28" s="25">
        <f t="shared" si="6"/>
        <v>22</v>
      </c>
      <c r="Y28" s="25">
        <f t="shared" si="7"/>
        <v>9900</v>
      </c>
      <c r="Z28" s="27" t="str">
        <f>IF($B28="","",IF($AK28&lt;=Settings!$C$21,"",IFERROR(AVERAGEIFS($S$4:$S$503,$B$4:$B$503,$B28,$AK$4:$AK$503,"&gt;="&amp;$AK28-Settings!$C$21,$AK$4:$AK$503,"&lt;="&amp;$AK28-1),"")))</f>
        <v/>
      </c>
      <c r="AA28" s="28" t="str">
        <f t="shared" si="8"/>
        <v/>
      </c>
      <c r="AB28" s="25" t="str">
        <f>IF($B28="","",IF($AK28&lt;=Settings!$C$22,"",IFERROR(AVERAGEIFS($K$4:$K$503,$B$4:$B$503,$B28,$AK$4:$AK$503,"&gt;="&amp;$AK28-Settings!$C$22,$AK$4:$AK$503,"&lt;="&amp;$AK28-1),"")))</f>
        <v/>
      </c>
      <c r="AC28" s="27" t="str">
        <f t="shared" si="9"/>
        <v/>
      </c>
      <c r="AD28" s="28" t="str">
        <f>IF($B28="","",IF($AK28&lt;=Settings!$C$23,"",IFERROR($E28/SUMIFS($E$4:$E$503,$B$4:$B$503,$B28,$AK$4:$AK$503,$AK28-Settings!$C$23)-1,"")))</f>
        <v/>
      </c>
      <c r="AE28" s="28" t="str">
        <f>IF($B28="","",IF($AK28&lt;=Settings!$C$22,"",IFERROR($E28/SUMIFS($E$4:$E$503,$B$4:$B$503,$B28,$AK$4:$AK$503,$AK28-Settings!$C$22)-1,"")))</f>
        <v/>
      </c>
      <c r="AF28" s="28">
        <f t="shared" si="10"/>
        <v>0</v>
      </c>
      <c r="AG28" s="29">
        <f>IF($B28="","",ROUND((MIN(100,100*N($I28)/Settings!$C$27)+MIN(100,100*N($K28)/Settings!$C$28)+MIN(100,100*N($J28)/Settings!$C$29))/3,1))</f>
        <v>5.4</v>
      </c>
      <c r="AH28" s="29">
        <f>IF($B28="","",IF(SUM(Settings!$C$32:$C$37)=0,"",ROUND((Settings!$C$32*$AO28+Settings!$C$33*$AP28+Settings!$C$34*$AQ28+Settings!$C$35*$AR28+Settings!$C$36*$AS28+Settings!$C$37*$AT28)/SUM(Settings!$C$32:$C$37),1)))</f>
        <v>34.6</v>
      </c>
      <c r="AI28" s="29">
        <f>IF($B28="","",MAX(0,100-IF(N($N28)&gt;0,0,20)-IF(AND(N($L28)=0,N($M28)=0),15,0)-IF(N($J28)&gt;0,0,10)-IF(N($K28)&gt;0,0,10)-IF($Z28&lt;&gt;"",0,15)-IF($AB28&lt;&gt;"",0,10)-IF($R28="ERROR",20,IF($R28="WARNING",10,0))))</f>
        <v>75</v>
      </c>
      <c r="AJ28" s="30" t="str">
        <f>IF($AH28="","",IF($AH28&lt;Settings!$C$46,"Extreme Sell Pressure",IF($AH28&lt;Settings!$C$47,"Sell Pressure",IF($AH28&lt;=Settings!$C$48,"Neutral",IF($AH28&lt;=Settings!$C$49,"Buy Pressure","Extreme Buy Pressure")))))</f>
        <v>Sell Pressure</v>
      </c>
      <c r="AK28" s="30">
        <f t="shared" si="11"/>
        <v>1</v>
      </c>
      <c r="AL28" s="30">
        <f t="shared" si="12"/>
        <v>2026</v>
      </c>
      <c r="AM28" s="30">
        <f t="shared" si="13"/>
        <v>33</v>
      </c>
      <c r="AN28" s="30">
        <f t="shared" si="14"/>
        <v>8</v>
      </c>
      <c r="AO28" s="29">
        <f>IF($B28="","",IF(AND(N($L28)=0,N($M28)=0),50,IF(N($M28)=0,100,IF(N($L28)=0,0,MEDIAN(0,100,50+50*LN($S28)/LN(Settings!$C$40))))))</f>
        <v>0</v>
      </c>
      <c r="AP28" s="29">
        <f>IF($AA28="",50,MEDIAN(0,100,50+$AA28*100*Settings!$C$41))</f>
        <v>50</v>
      </c>
      <c r="AQ28" s="29">
        <f>IF($H28="",50,MEDIAN(0,100,50+$H28*100*Settings!$C$42))</f>
        <v>50</v>
      </c>
      <c r="AR28" s="29">
        <f>IF(OR($AC28="",$H28=""),50,MEDIAN(0,100,50+SIGN($H28)*50*MEDIAN(0,1,($AC28-1)/Settings!$C$43)))</f>
        <v>50</v>
      </c>
      <c r="AS28" s="29">
        <f>IF(OR($V28="",$W28=""),50,MEDIAN(0,100,50+50*($V28-$W28)/Settings!$C$44))</f>
        <v>48.440042075736322</v>
      </c>
      <c r="AT28" s="29">
        <f t="shared" si="15"/>
        <v>47.3</v>
      </c>
      <c r="AU28" s="30" t="str">
        <f t="shared" si="16"/>
        <v>TTP|2026-08-10</v>
      </c>
      <c r="AV28" s="87">
        <f>IF($A28="","",IF(COUNTIFS($A$4:$A28,$A28)=1,1,0))</f>
        <v>0</v>
      </c>
    </row>
    <row r="29" spans="1:48" x14ac:dyDescent="0.3">
      <c r="A29" s="265">
        <v>46244</v>
      </c>
      <c r="B29" s="266" t="s">
        <v>1103</v>
      </c>
      <c r="C29" s="267">
        <v>30</v>
      </c>
      <c r="D29" s="267"/>
      <c r="E29" s="267">
        <v>30</v>
      </c>
      <c r="F29" s="267"/>
      <c r="G29" s="267"/>
      <c r="H29" s="268" t="str">
        <f t="shared" si="0"/>
        <v/>
      </c>
      <c r="I29" s="269">
        <v>0</v>
      </c>
      <c r="J29" s="269">
        <v>0</v>
      </c>
      <c r="K29" s="269">
        <v>0</v>
      </c>
      <c r="L29" s="269">
        <v>1686</v>
      </c>
      <c r="M29" s="269">
        <v>0</v>
      </c>
      <c r="N29" s="269">
        <v>10950000000</v>
      </c>
      <c r="O29" s="266" t="s">
        <v>1106</v>
      </c>
      <c r="P29" s="265">
        <v>46265</v>
      </c>
      <c r="Q29" s="266" t="s">
        <v>1138</v>
      </c>
      <c r="R29" s="23" t="str" cm="1">
        <f t="array" ref="R29">IF($B29="","",IFERROR(IF(INDEX('Data Quality'!$U$4:$U$503,ROW()-3)=0,"PENDING",INDEX('Data Quality'!$U$4:$U$503,ROW()-3)),"PENDING"))</f>
        <v>PASS</v>
      </c>
      <c r="S29" s="24" t="str">
        <f t="shared" si="1"/>
        <v/>
      </c>
      <c r="T29" s="25">
        <f t="shared" si="2"/>
        <v>50580</v>
      </c>
      <c r="U29" s="25">
        <f t="shared" si="3"/>
        <v>0</v>
      </c>
      <c r="V29" s="26">
        <f t="shared" si="4"/>
        <v>4.6191780821917806E-6</v>
      </c>
      <c r="W29" s="26">
        <f t="shared" si="5"/>
        <v>0</v>
      </c>
      <c r="X29" s="25" t="str">
        <f t="shared" si="6"/>
        <v/>
      </c>
      <c r="Y29" s="25" t="str">
        <f t="shared" si="7"/>
        <v/>
      </c>
      <c r="Z29" s="27" t="str">
        <f>IF($B29="","",IF($AK29&lt;=Settings!$C$21,"",IFERROR(AVERAGEIFS($S$4:$S$503,$B$4:$B$503,$B29,$AK$4:$AK$503,"&gt;="&amp;$AK29-Settings!$C$21,$AK$4:$AK$503,"&lt;="&amp;$AK29-1),"")))</f>
        <v/>
      </c>
      <c r="AA29" s="28" t="str">
        <f t="shared" si="8"/>
        <v/>
      </c>
      <c r="AB29" s="25" t="str">
        <f>IF($B29="","",IF($AK29&lt;=Settings!$C$22,"",IFERROR(AVERAGEIFS($K$4:$K$503,$B$4:$B$503,$B29,$AK$4:$AK$503,"&gt;="&amp;$AK29-Settings!$C$22,$AK$4:$AK$503,"&lt;="&amp;$AK29-1),"")))</f>
        <v/>
      </c>
      <c r="AC29" s="27" t="str">
        <f t="shared" si="9"/>
        <v/>
      </c>
      <c r="AD29" s="28" t="str">
        <f>IF($B29="","",IF($AK29&lt;=Settings!$C$23,"",IFERROR($E29/SUMIFS($E$4:$E$503,$B$4:$B$503,$B29,$AK$4:$AK$503,$AK29-Settings!$C$23)-1,"")))</f>
        <v/>
      </c>
      <c r="AE29" s="28" t="str">
        <f>IF($B29="","",IF($AK29&lt;=Settings!$C$22,"",IFERROR($E29/SUMIFS($E$4:$E$503,$B$4:$B$503,$B29,$AK$4:$AK$503,$AK29-Settings!$C$22)-1,"")))</f>
        <v/>
      </c>
      <c r="AF29" s="28">
        <f t="shared" si="10"/>
        <v>0</v>
      </c>
      <c r="AG29" s="29">
        <f>IF($B29="","",ROUND((MIN(100,100*N($I29)/Settings!$C$27)+MIN(100,100*N($K29)/Settings!$C$28)+MIN(100,100*N($J29)/Settings!$C$29))/3,1))</f>
        <v>0</v>
      </c>
      <c r="AH29" s="29">
        <f>IF($B29="","",IF(SUM(Settings!$C$32:$C$37)=0,"",ROUND((Settings!$C$32*$AO29+Settings!$C$33*$AP29+Settings!$C$34*$AQ29+Settings!$C$35*$AR29+Settings!$C$36*$AS29+Settings!$C$37*$AT29)/SUM(Settings!$C$32:$C$37),1)))</f>
        <v>65</v>
      </c>
      <c r="AI29" s="29">
        <f>IF($B29="","",MAX(0,100-IF(N($N29)&gt;0,0,20)-IF(AND(N($L29)=0,N($M29)=0),15,0)-IF(N($J29)&gt;0,0,10)-IF(N($K29)&gt;0,0,10)-IF($Z29&lt;&gt;"",0,15)-IF($AB29&lt;&gt;"",0,10)-IF($R29="ERROR",20,IF($R29="WARNING",10,0))))</f>
        <v>55</v>
      </c>
      <c r="AJ29" s="30" t="str">
        <f>IF($AH29="","",IF($AH29&lt;Settings!$C$46,"Extreme Sell Pressure",IF($AH29&lt;Settings!$C$47,"Sell Pressure",IF($AH29&lt;=Settings!$C$48,"Neutral",IF($AH29&lt;=Settings!$C$49,"Buy Pressure","Extreme Buy Pressure")))))</f>
        <v>Buy Pressure</v>
      </c>
      <c r="AK29" s="30">
        <f t="shared" si="11"/>
        <v>1</v>
      </c>
      <c r="AL29" s="30">
        <f t="shared" si="12"/>
        <v>2026</v>
      </c>
      <c r="AM29" s="30">
        <f t="shared" si="13"/>
        <v>33</v>
      </c>
      <c r="AN29" s="30">
        <f t="shared" si="14"/>
        <v>8</v>
      </c>
      <c r="AO29" s="29">
        <f>IF($B29="","",IF(AND(N($L29)=0,N($M29)=0),50,IF(N($M29)=0,100,IF(N($L29)=0,0,MEDIAN(0,100,50+50*LN($S29)/LN(Settings!$C$40))))))</f>
        <v>100</v>
      </c>
      <c r="AP29" s="29">
        <f>IF($AA29="",50,MEDIAN(0,100,50+$AA29*100*Settings!$C$41))</f>
        <v>50</v>
      </c>
      <c r="AQ29" s="29">
        <f>IF($H29="",50,MEDIAN(0,100,50+$H29*100*Settings!$C$42))</f>
        <v>50</v>
      </c>
      <c r="AR29" s="29">
        <f>IF(OR($AC29="",$H29=""),50,MEDIAN(0,100,50+SIGN($H29)*50*MEDIAN(0,1,($AC29-1)/Settings!$C$43)))</f>
        <v>50</v>
      </c>
      <c r="AS29" s="29">
        <f>IF(OR($V29="",$W29=""),50,MEDIAN(0,100,50+50*($V29-$W29)/Settings!$C$44))</f>
        <v>50.461917808219177</v>
      </c>
      <c r="AT29" s="29">
        <f t="shared" si="15"/>
        <v>50</v>
      </c>
      <c r="AU29" s="30" t="str">
        <f t="shared" si="16"/>
        <v>USL|2026-08-10</v>
      </c>
      <c r="AV29" s="87">
        <f>IF($A29="","",IF(COUNTIFS($A$4:$A29,$A29)=1,1,0))</f>
        <v>0</v>
      </c>
    </row>
    <row r="30" spans="1:48" x14ac:dyDescent="0.3">
      <c r="A30" s="265">
        <v>46244</v>
      </c>
      <c r="B30" s="266" t="s">
        <v>123</v>
      </c>
      <c r="C30" s="267">
        <v>1020</v>
      </c>
      <c r="D30" s="267"/>
      <c r="E30" s="267">
        <v>1030</v>
      </c>
      <c r="F30" s="267">
        <v>1050</v>
      </c>
      <c r="G30" s="267">
        <v>1010</v>
      </c>
      <c r="H30" s="268" t="str">
        <f t="shared" si="0"/>
        <v/>
      </c>
      <c r="I30" s="269">
        <v>210145280</v>
      </c>
      <c r="J30" s="269">
        <v>323</v>
      </c>
      <c r="K30" s="269">
        <v>203088</v>
      </c>
      <c r="L30" s="269">
        <v>136195</v>
      </c>
      <c r="M30" s="269">
        <v>74917</v>
      </c>
      <c r="N30" s="269">
        <v>2307200000000</v>
      </c>
      <c r="O30" s="266" t="s">
        <v>1106</v>
      </c>
      <c r="P30" s="265">
        <v>46265</v>
      </c>
      <c r="Q30" s="266" t="s">
        <v>1138</v>
      </c>
      <c r="R30" s="23" t="str" cm="1">
        <f t="array" ref="R30">IF($B30="","",IFERROR(IF(INDEX('Data Quality'!$U$4:$U$503,ROW()-3)=0,"PENDING",INDEX('Data Quality'!$U$4:$U$503,ROW()-3)),"PENDING"))</f>
        <v>PASS</v>
      </c>
      <c r="S30" s="24">
        <f t="shared" si="1"/>
        <v>1.8179451926798991</v>
      </c>
      <c r="T30" s="25">
        <f t="shared" si="2"/>
        <v>140280850</v>
      </c>
      <c r="U30" s="25">
        <f t="shared" si="3"/>
        <v>77164510</v>
      </c>
      <c r="V30" s="26">
        <f t="shared" si="4"/>
        <v>6.0801339285714286E-5</v>
      </c>
      <c r="W30" s="26">
        <f t="shared" si="5"/>
        <v>3.3445089285714289E-5</v>
      </c>
      <c r="X30" s="25">
        <f t="shared" si="6"/>
        <v>628.7554179566564</v>
      </c>
      <c r="Y30" s="25">
        <f t="shared" si="7"/>
        <v>650604.58204334369</v>
      </c>
      <c r="Z30" s="27" t="str">
        <f>IF($B30="","",IF($AK30&lt;=Settings!$C$21,"",IFERROR(AVERAGEIFS($S$4:$S$503,$B$4:$B$503,$B30,$AK$4:$AK$503,"&gt;="&amp;$AK30-Settings!$C$21,$AK$4:$AK$503,"&lt;="&amp;$AK30-1),"")))</f>
        <v/>
      </c>
      <c r="AA30" s="28" t="str">
        <f t="shared" si="8"/>
        <v/>
      </c>
      <c r="AB30" s="25" t="str">
        <f>IF($B30="","",IF($AK30&lt;=Settings!$C$22,"",IFERROR(AVERAGEIFS($K$4:$K$503,$B$4:$B$503,$B30,$AK$4:$AK$503,"&gt;="&amp;$AK30-Settings!$C$22,$AK$4:$AK$503,"&lt;="&amp;$AK30-1),"")))</f>
        <v/>
      </c>
      <c r="AC30" s="27" t="str">
        <f t="shared" si="9"/>
        <v/>
      </c>
      <c r="AD30" s="28" t="str">
        <f>IF($B30="","",IF($AK30&lt;=Settings!$C$23,"",IFERROR($E30/SUMIFS($E$4:$E$503,$B$4:$B$503,$B30,$AK$4:$AK$503,$AK30-Settings!$C$23)-1,"")))</f>
        <v/>
      </c>
      <c r="AE30" s="28" t="str">
        <f>IF($B30="","",IF($AK30&lt;=Settings!$C$22,"",IFERROR($E30/SUMIFS($E$4:$E$503,$B$4:$B$503,$B30,$AK$4:$AK$503,$AK30-Settings!$C$22)-1,"")))</f>
        <v/>
      </c>
      <c r="AF30" s="28">
        <f t="shared" si="10"/>
        <v>3.8834951456310676E-2</v>
      </c>
      <c r="AG30" s="29">
        <f>IF($B30="","",ROUND((MIN(100,100*N($I30)/Settings!$C$27)+MIN(100,100*N($K30)/Settings!$C$28)+MIN(100,100*N($J30)/Settings!$C$29))/3,1))</f>
        <v>53.9</v>
      </c>
      <c r="AH30" s="29">
        <f>IF($B30="","",IF(SUM(Settings!$C$32:$C$37)=0,"",ROUND((Settings!$C$32*$AO30+Settings!$C$33*$AP30+Settings!$C$34*$AQ30+Settings!$C$35*$AR30+Settings!$C$36*$AS30+Settings!$C$37*$AT30)/SUM(Settings!$C$32:$C$37),1)))</f>
        <v>57.9</v>
      </c>
      <c r="AI30" s="29">
        <f>IF($B30="","",MAX(0,100-IF(N($N30)&gt;0,0,20)-IF(AND(N($L30)=0,N($M30)=0),15,0)-IF(N($J30)&gt;0,0,10)-IF(N($K30)&gt;0,0,10)-IF($Z30&lt;&gt;"",0,15)-IF($AB30&lt;&gt;"",0,10)-IF($R30="ERROR",20,IF($R30="WARNING",10,0))))</f>
        <v>75</v>
      </c>
      <c r="AJ30" s="30" t="str">
        <f>IF($AH30="","",IF($AH30&lt;Settings!$C$46,"Extreme Sell Pressure",IF($AH30&lt;Settings!$C$47,"Sell Pressure",IF($AH30&lt;=Settings!$C$48,"Neutral",IF($AH30&lt;=Settings!$C$49,"Buy Pressure","Extreme Buy Pressure")))))</f>
        <v>Neutral</v>
      </c>
      <c r="AK30" s="30">
        <f t="shared" si="11"/>
        <v>1</v>
      </c>
      <c r="AL30" s="30">
        <f t="shared" si="12"/>
        <v>2026</v>
      </c>
      <c r="AM30" s="30">
        <f t="shared" si="13"/>
        <v>33</v>
      </c>
      <c r="AN30" s="30">
        <f t="shared" si="14"/>
        <v>8</v>
      </c>
      <c r="AO30" s="29">
        <f>IF($B30="","",IF(AND(N($L30)=0,N($M30)=0),50,IF(N($M30)=0,100,IF(N($L30)=0,0,MEDIAN(0,100,50+50*LN($S30)/LN(Settings!$C$40))))))</f>
        <v>71.55771764725533</v>
      </c>
      <c r="AP30" s="29">
        <f>IF($AA30="",50,MEDIAN(0,100,50+$AA30*100*Settings!$C$41))</f>
        <v>50</v>
      </c>
      <c r="AQ30" s="29">
        <f>IF($H30="",50,MEDIAN(0,100,50+$H30*100*Settings!$C$42))</f>
        <v>50</v>
      </c>
      <c r="AR30" s="29">
        <f>IF(OR($AC30="",$H30=""),50,MEDIAN(0,100,50+SIGN($H30)*50*MEDIAN(0,1,($AC30-1)/Settings!$C$43)))</f>
        <v>50</v>
      </c>
      <c r="AS30" s="29">
        <f>IF(OR($V30="",$W30=""),50,MEDIAN(0,100,50+50*($V30-$W30)/Settings!$C$44))</f>
        <v>52.735624999999999</v>
      </c>
      <c r="AT30" s="29">
        <f t="shared" si="15"/>
        <v>61.619609811870625</v>
      </c>
      <c r="AU30" s="30" t="str">
        <f t="shared" si="16"/>
        <v>VODA|2026-08-10</v>
      </c>
      <c r="AV30" s="87">
        <f>IF($A30="","",IF(COUNTIFS($A$4:$A30,$A30)=1,1,0))</f>
        <v>0</v>
      </c>
    </row>
    <row r="31" spans="1:48" x14ac:dyDescent="0.3">
      <c r="A31" s="265">
        <v>46244</v>
      </c>
      <c r="B31" s="266" t="s">
        <v>141</v>
      </c>
      <c r="C31" s="267">
        <v>510</v>
      </c>
      <c r="D31" s="267"/>
      <c r="E31" s="267">
        <v>510</v>
      </c>
      <c r="F31" s="267"/>
      <c r="G31" s="267"/>
      <c r="H31" s="268" t="str">
        <f t="shared" si="0"/>
        <v/>
      </c>
      <c r="I31" s="269">
        <v>0</v>
      </c>
      <c r="J31" s="269">
        <v>0</v>
      </c>
      <c r="K31" s="269">
        <v>0</v>
      </c>
      <c r="L31" s="269">
        <v>0</v>
      </c>
      <c r="M31" s="269">
        <v>0</v>
      </c>
      <c r="N31" s="269">
        <v>6180000000</v>
      </c>
      <c r="O31" s="266" t="s">
        <v>1106</v>
      </c>
      <c r="P31" s="265">
        <v>46265</v>
      </c>
      <c r="Q31" s="266" t="s">
        <v>1138</v>
      </c>
      <c r="R31" s="23" t="str" cm="1">
        <f t="array" ref="R31">IF($B31="","",IFERROR(IF(INDEX('Data Quality'!$U$4:$U$503,ROW()-3)=0,"PENDING",INDEX('Data Quality'!$U$4:$U$503,ROW()-3)),"PENDING"))</f>
        <v>WARNING</v>
      </c>
      <c r="S31" s="24" t="str">
        <f t="shared" si="1"/>
        <v/>
      </c>
      <c r="T31" s="25">
        <f t="shared" si="2"/>
        <v>0</v>
      </c>
      <c r="U31" s="25">
        <f t="shared" si="3"/>
        <v>0</v>
      </c>
      <c r="V31" s="26">
        <f t="shared" si="4"/>
        <v>0</v>
      </c>
      <c r="W31" s="26">
        <f t="shared" si="5"/>
        <v>0</v>
      </c>
      <c r="X31" s="25" t="str">
        <f t="shared" si="6"/>
        <v/>
      </c>
      <c r="Y31" s="25" t="str">
        <f t="shared" si="7"/>
        <v/>
      </c>
      <c r="Z31" s="27" t="str">
        <f>IF($B31="","",IF($AK31&lt;=Settings!$C$21,"",IFERROR(AVERAGEIFS($S$4:$S$503,$B$4:$B$503,$B31,$AK$4:$AK$503,"&gt;="&amp;$AK31-Settings!$C$21,$AK$4:$AK$503,"&lt;="&amp;$AK31-1),"")))</f>
        <v/>
      </c>
      <c r="AA31" s="28" t="str">
        <f t="shared" si="8"/>
        <v/>
      </c>
      <c r="AB31" s="25" t="str">
        <f>IF($B31="","",IF($AK31&lt;=Settings!$C$22,"",IFERROR(AVERAGEIFS($K$4:$K$503,$B$4:$B$503,$B31,$AK$4:$AK$503,"&gt;="&amp;$AK31-Settings!$C$22,$AK$4:$AK$503,"&lt;="&amp;$AK31-1),"")))</f>
        <v/>
      </c>
      <c r="AC31" s="27" t="str">
        <f t="shared" si="9"/>
        <v/>
      </c>
      <c r="AD31" s="28" t="str">
        <f>IF($B31="","",IF($AK31&lt;=Settings!$C$23,"",IFERROR($E31/SUMIFS($E$4:$E$503,$B$4:$B$503,$B31,$AK$4:$AK$503,$AK31-Settings!$C$23)-1,"")))</f>
        <v/>
      </c>
      <c r="AE31" s="28" t="str">
        <f>IF($B31="","",IF($AK31&lt;=Settings!$C$22,"",IFERROR($E31/SUMIFS($E$4:$E$503,$B$4:$B$503,$B31,$AK$4:$AK$503,$AK31-Settings!$C$22)-1,"")))</f>
        <v/>
      </c>
      <c r="AF31" s="28">
        <f t="shared" si="10"/>
        <v>0</v>
      </c>
      <c r="AG31" s="29">
        <f>IF($B31="","",ROUND((MIN(100,100*N($I31)/Settings!$C$27)+MIN(100,100*N($K31)/Settings!$C$28)+MIN(100,100*N($J31)/Settings!$C$29))/3,1))</f>
        <v>0</v>
      </c>
      <c r="AH31" s="29">
        <f>IF($B31="","",IF(SUM(Settings!$C$32:$C$37)=0,"",ROUND((Settings!$C$32*$AO31+Settings!$C$33*$AP31+Settings!$C$34*$AQ31+Settings!$C$35*$AR31+Settings!$C$36*$AS31+Settings!$C$37*$AT31)/SUM(Settings!$C$32:$C$37),1)))</f>
        <v>50</v>
      </c>
      <c r="AI31" s="29">
        <f>IF($B31="","",MAX(0,100-IF(N($N31)&gt;0,0,20)-IF(AND(N($L31)=0,N($M31)=0),15,0)-IF(N($J31)&gt;0,0,10)-IF(N($K31)&gt;0,0,10)-IF($Z31&lt;&gt;"",0,15)-IF($AB31&lt;&gt;"",0,10)-IF($R31="ERROR",20,IF($R31="WARNING",10,0))))</f>
        <v>30</v>
      </c>
      <c r="AJ31" s="30" t="str">
        <f>IF($AH31="","",IF($AH31&lt;Settings!$C$46,"Extreme Sell Pressure",IF($AH31&lt;Settings!$C$47,"Sell Pressure",IF($AH31&lt;=Settings!$C$48,"Neutral",IF($AH31&lt;=Settings!$C$49,"Buy Pressure","Extreme Buy Pressure")))))</f>
        <v>Neutral</v>
      </c>
      <c r="AK31" s="30">
        <f t="shared" si="11"/>
        <v>1</v>
      </c>
      <c r="AL31" s="30">
        <f t="shared" si="12"/>
        <v>2026</v>
      </c>
      <c r="AM31" s="30">
        <f t="shared" si="13"/>
        <v>33</v>
      </c>
      <c r="AN31" s="30">
        <f t="shared" si="14"/>
        <v>8</v>
      </c>
      <c r="AO31" s="29">
        <f>IF($B31="","",IF(AND(N($L31)=0,N($M31)=0),50,IF(N($M31)=0,100,IF(N($L31)=0,0,MEDIAN(0,100,50+50*LN($S31)/LN(Settings!$C$40))))))</f>
        <v>50</v>
      </c>
      <c r="AP31" s="29">
        <f>IF($AA31="",50,MEDIAN(0,100,50+$AA31*100*Settings!$C$41))</f>
        <v>50</v>
      </c>
      <c r="AQ31" s="29">
        <f>IF($H31="",50,MEDIAN(0,100,50+$H31*100*Settings!$C$42))</f>
        <v>50</v>
      </c>
      <c r="AR31" s="29">
        <f>IF(OR($AC31="",$H31=""),50,MEDIAN(0,100,50+SIGN($H31)*50*MEDIAN(0,1,($AC31-1)/Settings!$C$43)))</f>
        <v>50</v>
      </c>
      <c r="AS31" s="29">
        <f>IF(OR($V31="",$W31=""),50,MEDIAN(0,100,50+50*($V31-$W31)/Settings!$C$44))</f>
        <v>50</v>
      </c>
      <c r="AT31" s="29">
        <f t="shared" si="15"/>
        <v>50</v>
      </c>
      <c r="AU31" s="30" t="str">
        <f t="shared" si="16"/>
        <v>YETU|2026-08-10</v>
      </c>
      <c r="AV31" s="87">
        <f>IF($A31="","",IF(COUNTIFS($A$4:$A31,$A31)=1,1,0))</f>
        <v>0</v>
      </c>
    </row>
    <row r="32" spans="1:48" x14ac:dyDescent="0.3">
      <c r="A32" s="265">
        <v>46245</v>
      </c>
      <c r="B32" s="266" t="s">
        <v>1093</v>
      </c>
      <c r="C32" s="267">
        <v>635</v>
      </c>
      <c r="D32" s="267">
        <v>635</v>
      </c>
      <c r="E32" s="267">
        <v>630</v>
      </c>
      <c r="F32" s="267">
        <v>640</v>
      </c>
      <c r="G32" s="267">
        <v>620</v>
      </c>
      <c r="H32" s="268">
        <f t="shared" si="0"/>
        <v>-7.8740157480314821E-3</v>
      </c>
      <c r="I32" s="269">
        <v>35937360</v>
      </c>
      <c r="J32" s="269">
        <v>176</v>
      </c>
      <c r="K32" s="269">
        <v>57149</v>
      </c>
      <c r="L32" s="269">
        <v>7197</v>
      </c>
      <c r="M32" s="269">
        <v>38536</v>
      </c>
      <c r="N32" s="269">
        <v>92000000000</v>
      </c>
      <c r="O32" s="266" t="s">
        <v>1106</v>
      </c>
      <c r="P32" s="265">
        <v>46265</v>
      </c>
      <c r="Q32" s="266" t="s">
        <v>1138</v>
      </c>
      <c r="R32" s="23" t="str" cm="1">
        <f t="array" ref="R32">IF($B32="","",IFERROR(IF(INDEX('Data Quality'!$U$4:$U$503,ROW()-3)=0,"PENDING",INDEX('Data Quality'!$U$4:$U$503,ROW()-3)),"PENDING"))</f>
        <v>PASS</v>
      </c>
      <c r="S32" s="24">
        <f t="shared" si="1"/>
        <v>0.1867604318040274</v>
      </c>
      <c r="T32" s="25">
        <f t="shared" si="2"/>
        <v>4534110</v>
      </c>
      <c r="U32" s="25">
        <f t="shared" si="3"/>
        <v>24277680</v>
      </c>
      <c r="V32" s="26">
        <f t="shared" si="4"/>
        <v>4.9283804347826085E-5</v>
      </c>
      <c r="W32" s="26">
        <f t="shared" si="5"/>
        <v>2.6388782608695652E-4</v>
      </c>
      <c r="X32" s="25">
        <f t="shared" si="6"/>
        <v>324.71022727272725</v>
      </c>
      <c r="Y32" s="25">
        <f t="shared" si="7"/>
        <v>204189.54545454544</v>
      </c>
      <c r="Z32" s="27" t="str">
        <f>IF($B32="","",IF($AK32&lt;=Settings!$C$21,"",IFERROR(AVERAGEIFS($S$4:$S$503,$B$4:$B$503,$B32,$AK$4:$AK$503,"&gt;="&amp;$AK32-Settings!$C$21,$AK$4:$AK$503,"&lt;="&amp;$AK32-1),"")))</f>
        <v/>
      </c>
      <c r="AA32" s="28" t="str">
        <f t="shared" si="8"/>
        <v/>
      </c>
      <c r="AB32" s="25" t="str">
        <f>IF($B32="","",IF($AK32&lt;=Settings!$C$22,"",IFERROR(AVERAGEIFS($K$4:$K$503,$B$4:$B$503,$B32,$AK$4:$AK$503,"&gt;="&amp;$AK32-Settings!$C$22,$AK$4:$AK$503,"&lt;="&amp;$AK32-1),"")))</f>
        <v/>
      </c>
      <c r="AC32" s="27" t="str">
        <f t="shared" si="9"/>
        <v/>
      </c>
      <c r="AD32" s="28" t="str">
        <f>IF($B32="","",IF($AK32&lt;=Settings!$C$23,"",IFERROR($E32/SUMIFS($E$4:$E$503,$B$4:$B$503,$B32,$AK$4:$AK$503,$AK32-Settings!$C$23)-1,"")))</f>
        <v/>
      </c>
      <c r="AE32" s="28" t="str">
        <f>IF($B32="","",IF($AK32&lt;=Settings!$C$22,"",IFERROR($E32/SUMIFS($E$4:$E$503,$B$4:$B$503,$B32,$AK$4:$AK$503,$AK32-Settings!$C$22)-1,"")))</f>
        <v/>
      </c>
      <c r="AF32" s="28">
        <f t="shared" si="10"/>
        <v>3.1746031746031744E-2</v>
      </c>
      <c r="AG32" s="29">
        <f>IF($B32="","",ROUND((MIN(100,100*N($I32)/Settings!$C$27)+MIN(100,100*N($K32)/Settings!$C$28)+MIN(100,100*N($J32)/Settings!$C$29))/3,1))</f>
        <v>38.299999999999997</v>
      </c>
      <c r="AH32" s="29">
        <f>IF($B32="","",IF(SUM(Settings!$C$32:$C$37)=0,"",ROUND((Settings!$C$32*$AO32+Settings!$C$33*$AP32+Settings!$C$34*$AQ32+Settings!$C$35*$AR32+Settings!$C$36*$AS32+Settings!$C$37*$AT32)/SUM(Settings!$C$32:$C$37),1)))</f>
        <v>29.8</v>
      </c>
      <c r="AI32" s="29">
        <f>IF($B32="","",MAX(0,100-IF(N($N32)&gt;0,0,20)-IF(AND(N($L32)=0,N($M32)=0),15,0)-IF(N($J32)&gt;0,0,10)-IF(N($K32)&gt;0,0,10)-IF($Z32&lt;&gt;"",0,15)-IF($AB32&lt;&gt;"",0,10)-IF($R32="ERROR",20,IF($R32="WARNING",10,0))))</f>
        <v>75</v>
      </c>
      <c r="AJ32" s="30" t="str">
        <f>IF($AH32="","",IF($AH32&lt;Settings!$C$46,"Extreme Sell Pressure",IF($AH32&lt;Settings!$C$47,"Sell Pressure",IF($AH32&lt;=Settings!$C$48,"Neutral",IF($AH32&lt;=Settings!$C$49,"Buy Pressure","Extreme Buy Pressure")))))</f>
        <v>Sell Pressure</v>
      </c>
      <c r="AK32" s="30">
        <f t="shared" si="11"/>
        <v>2</v>
      </c>
      <c r="AL32" s="30">
        <f t="shared" si="12"/>
        <v>2026</v>
      </c>
      <c r="AM32" s="30">
        <f t="shared" si="13"/>
        <v>33</v>
      </c>
      <c r="AN32" s="30">
        <f t="shared" si="14"/>
        <v>8</v>
      </c>
      <c r="AO32" s="29">
        <f>IF($B32="","",IF(AND(N($L32)=0,N($M32)=0),50,IF(N($M32)=0,100,IF(N($L32)=0,0,MEDIAN(0,100,50+50*LN($S32)/LN(Settings!$C$40))))))</f>
        <v>0</v>
      </c>
      <c r="AP32" s="29">
        <f>IF($AA32="",50,MEDIAN(0,100,50+$AA32*100*Settings!$C$41))</f>
        <v>50</v>
      </c>
      <c r="AQ32" s="29">
        <f>IF($H32="",50,MEDIAN(0,100,50+$H32*100*Settings!$C$42))</f>
        <v>42.125984251968518</v>
      </c>
      <c r="AR32" s="29">
        <f>IF(OR($AC32="",$H32=""),50,MEDIAN(0,100,50+SIGN($H32)*50*MEDIAN(0,1,($AC32-1)/Settings!$C$43)))</f>
        <v>50</v>
      </c>
      <c r="AS32" s="29">
        <f>IF(OR($V32="",$W32=""),50,MEDIAN(0,100,50+50*($V32-$W32)/Settings!$C$44))</f>
        <v>28.539597826086958</v>
      </c>
      <c r="AT32" s="29">
        <f t="shared" si="15"/>
        <v>30.85</v>
      </c>
      <c r="AU32" s="30" t="str">
        <f t="shared" si="16"/>
        <v>AFRIPRISE|2026-08-11</v>
      </c>
      <c r="AV32" s="87">
        <f>IF($A32="","",IF(COUNTIFS($A$4:$A32,$A32)=1,1,0))</f>
        <v>1</v>
      </c>
    </row>
    <row r="33" spans="1:48" x14ac:dyDescent="0.3">
      <c r="A33" s="265">
        <v>46245</v>
      </c>
      <c r="B33" s="266" t="s">
        <v>23</v>
      </c>
      <c r="C33" s="267">
        <v>2600</v>
      </c>
      <c r="D33" s="267">
        <v>2600</v>
      </c>
      <c r="E33" s="267">
        <v>2600</v>
      </c>
      <c r="F33" s="267">
        <v>2620</v>
      </c>
      <c r="G33" s="267">
        <v>2590</v>
      </c>
      <c r="H33" s="268">
        <f t="shared" si="0"/>
        <v>0</v>
      </c>
      <c r="I33" s="269">
        <v>1442616130</v>
      </c>
      <c r="J33" s="269">
        <v>1035</v>
      </c>
      <c r="K33" s="269">
        <v>553818</v>
      </c>
      <c r="L33" s="269">
        <v>435736</v>
      </c>
      <c r="M33" s="269">
        <v>138838</v>
      </c>
      <c r="N33" s="269">
        <v>6790780000000</v>
      </c>
      <c r="O33" s="266" t="s">
        <v>1106</v>
      </c>
      <c r="P33" s="265">
        <v>46265</v>
      </c>
      <c r="Q33" s="266" t="s">
        <v>1138</v>
      </c>
      <c r="R33" s="23" t="str" cm="1">
        <f t="array" ref="R33">IF($B33="","",IFERROR(IF(INDEX('Data Quality'!$U$4:$U$503,ROW()-3)=0,"PENDING",INDEX('Data Quality'!$U$4:$U$503,ROW()-3)),"PENDING"))</f>
        <v>PASS</v>
      </c>
      <c r="S33" s="24">
        <f t="shared" si="1"/>
        <v>3.1384491277604116</v>
      </c>
      <c r="T33" s="25">
        <f t="shared" si="2"/>
        <v>1132913600</v>
      </c>
      <c r="U33" s="25">
        <f t="shared" si="3"/>
        <v>360978800</v>
      </c>
      <c r="V33" s="26">
        <f t="shared" si="4"/>
        <v>1.668311445813294E-4</v>
      </c>
      <c r="W33" s="26">
        <f t="shared" si="5"/>
        <v>5.3157192546364337E-5</v>
      </c>
      <c r="X33" s="25">
        <f t="shared" si="6"/>
        <v>535.08985507246382</v>
      </c>
      <c r="Y33" s="25">
        <f t="shared" si="7"/>
        <v>1393832.0096618359</v>
      </c>
      <c r="Z33" s="27" t="str">
        <f>IF($B33="","",IF($AK33&lt;=Settings!$C$21,"",IFERROR(AVERAGEIFS($S$4:$S$503,$B$4:$B$503,$B33,$AK$4:$AK$503,"&gt;="&amp;$AK33-Settings!$C$21,$AK$4:$AK$503,"&lt;="&amp;$AK33-1),"")))</f>
        <v/>
      </c>
      <c r="AA33" s="28" t="str">
        <f t="shared" si="8"/>
        <v/>
      </c>
      <c r="AB33" s="25" t="str">
        <f>IF($B33="","",IF($AK33&lt;=Settings!$C$22,"",IFERROR(AVERAGEIFS($K$4:$K$503,$B$4:$B$503,$B33,$AK$4:$AK$503,"&gt;="&amp;$AK33-Settings!$C$22,$AK$4:$AK$503,"&lt;="&amp;$AK33-1),"")))</f>
        <v/>
      </c>
      <c r="AC33" s="27" t="str">
        <f t="shared" si="9"/>
        <v/>
      </c>
      <c r="AD33" s="28" t="str">
        <f>IF($B33="","",IF($AK33&lt;=Settings!$C$23,"",IFERROR($E33/SUMIFS($E$4:$E$503,$B$4:$B$503,$B33,$AK$4:$AK$503,$AK33-Settings!$C$23)-1,"")))</f>
        <v/>
      </c>
      <c r="AE33" s="28" t="str">
        <f>IF($B33="","",IF($AK33&lt;=Settings!$C$22,"",IFERROR($E33/SUMIFS($E$4:$E$503,$B$4:$B$503,$B33,$AK$4:$AK$503,$AK33-Settings!$C$22)-1,"")))</f>
        <v/>
      </c>
      <c r="AF33" s="28">
        <f t="shared" si="10"/>
        <v>1.1538461538461539E-2</v>
      </c>
      <c r="AG33" s="29">
        <f>IF($B33="","",ROUND((MIN(100,100*N($I33)/Settings!$C$27)+MIN(100,100*N($K33)/Settings!$C$28)+MIN(100,100*N($J33)/Settings!$C$29))/3,1))</f>
        <v>100</v>
      </c>
      <c r="AH33" s="29">
        <f>IF($B33="","",IF(SUM(Settings!$C$32:$C$37)=0,"",ROUND((Settings!$C$32*$AO33+Settings!$C$33*$AP33+Settings!$C$34*$AQ33+Settings!$C$35*$AR33+Settings!$C$36*$AS33+Settings!$C$37*$AT33)/SUM(Settings!$C$32:$C$37),1)))</f>
        <v>67.599999999999994</v>
      </c>
      <c r="AI33" s="29">
        <f>IF($B33="","",MAX(0,100-IF(N($N33)&gt;0,0,20)-IF(AND(N($L33)=0,N($M33)=0),15,0)-IF(N($J33)&gt;0,0,10)-IF(N($K33)&gt;0,0,10)-IF($Z33&lt;&gt;"",0,15)-IF($AB33&lt;&gt;"",0,10)-IF($R33="ERROR",20,IF($R33="WARNING",10,0))))</f>
        <v>75</v>
      </c>
      <c r="AJ33" s="30" t="str">
        <f>IF($AH33="","",IF($AH33&lt;Settings!$C$46,"Extreme Sell Pressure",IF($AH33&lt;Settings!$C$47,"Sell Pressure",IF($AH33&lt;=Settings!$C$48,"Neutral",IF($AH33&lt;=Settings!$C$49,"Buy Pressure","Extreme Buy Pressure")))))</f>
        <v>Buy Pressure</v>
      </c>
      <c r="AK33" s="30">
        <f t="shared" si="11"/>
        <v>2</v>
      </c>
      <c r="AL33" s="30">
        <f t="shared" si="12"/>
        <v>2026</v>
      </c>
      <c r="AM33" s="30">
        <f t="shared" si="13"/>
        <v>33</v>
      </c>
      <c r="AN33" s="30">
        <f t="shared" si="14"/>
        <v>8</v>
      </c>
      <c r="AO33" s="29">
        <f>IF($B33="","",IF(AND(N($L33)=0,N($M33)=0),50,IF(N($M33)=0,100,IF(N($L33)=0,0,MEDIAN(0,100,50+50*LN($S33)/LN(Settings!$C$40))))))</f>
        <v>91.251295598820619</v>
      </c>
      <c r="AP33" s="29">
        <f>IF($AA33="",50,MEDIAN(0,100,50+$AA33*100*Settings!$C$41))</f>
        <v>50</v>
      </c>
      <c r="AQ33" s="29">
        <f>IF($H33="",50,MEDIAN(0,100,50+$H33*100*Settings!$C$42))</f>
        <v>50</v>
      </c>
      <c r="AR33" s="29">
        <f>IF(OR($AC33="",$H33=""),50,MEDIAN(0,100,50+SIGN($H33)*50*MEDIAN(0,1,($AC33-1)/Settings!$C$43)))</f>
        <v>50</v>
      </c>
      <c r="AS33" s="29">
        <f>IF(OR($V33="",$W33=""),50,MEDIAN(0,100,50+50*($V33-$W33)/Settings!$C$44))</f>
        <v>61.367395203496507</v>
      </c>
      <c r="AT33" s="29">
        <f t="shared" si="15"/>
        <v>91.251295598820619</v>
      </c>
      <c r="AU33" s="30" t="str">
        <f t="shared" si="16"/>
        <v>CRDB|2026-08-11</v>
      </c>
      <c r="AV33" s="87">
        <f>IF($A33="","",IF(COUNTIFS($A$4:$A33,$A33)=1,1,0))</f>
        <v>0</v>
      </c>
    </row>
    <row r="34" spans="1:48" x14ac:dyDescent="0.3">
      <c r="A34" s="265">
        <v>46245</v>
      </c>
      <c r="B34" s="266" t="s">
        <v>1094</v>
      </c>
      <c r="C34" s="267">
        <v>410</v>
      </c>
      <c r="D34" s="267">
        <v>410</v>
      </c>
      <c r="E34" s="267">
        <v>400</v>
      </c>
      <c r="F34" s="267">
        <v>420</v>
      </c>
      <c r="G34" s="267">
        <v>390</v>
      </c>
      <c r="H34" s="268">
        <f t="shared" si="0"/>
        <v>-2.4390243902439046E-2</v>
      </c>
      <c r="I34" s="269">
        <v>8608950</v>
      </c>
      <c r="J34" s="269">
        <v>100</v>
      </c>
      <c r="K34" s="269">
        <v>21550</v>
      </c>
      <c r="L34" s="269">
        <v>18979</v>
      </c>
      <c r="M34" s="269">
        <v>96752</v>
      </c>
      <c r="N34" s="269">
        <v>76630000000</v>
      </c>
      <c r="O34" s="266" t="s">
        <v>1106</v>
      </c>
      <c r="P34" s="265">
        <v>46265</v>
      </c>
      <c r="Q34" s="266" t="s">
        <v>1138</v>
      </c>
      <c r="R34" s="23" t="str" cm="1">
        <f t="array" ref="R34">IF($B34="","",IFERROR(IF(INDEX('Data Quality'!$U$4:$U$503,ROW()-3)=0,"PENDING",INDEX('Data Quality'!$U$4:$U$503,ROW()-3)),"PENDING"))</f>
        <v>PASS</v>
      </c>
      <c r="S34" s="24">
        <f t="shared" si="1"/>
        <v>0.19616131966264264</v>
      </c>
      <c r="T34" s="25">
        <f t="shared" si="2"/>
        <v>7591600</v>
      </c>
      <c r="U34" s="25">
        <f t="shared" si="3"/>
        <v>38700800</v>
      </c>
      <c r="V34" s="26">
        <f t="shared" si="4"/>
        <v>9.9068250032624292E-5</v>
      </c>
      <c r="W34" s="26">
        <f t="shared" si="5"/>
        <v>5.0503458175649228E-4</v>
      </c>
      <c r="X34" s="25">
        <f t="shared" si="6"/>
        <v>215.5</v>
      </c>
      <c r="Y34" s="25">
        <f t="shared" si="7"/>
        <v>86089.5</v>
      </c>
      <c r="Z34" s="27" t="str">
        <f>IF($B34="","",IF($AK34&lt;=Settings!$C$21,"",IFERROR(AVERAGEIFS($S$4:$S$503,$B$4:$B$503,$B34,$AK$4:$AK$503,"&gt;="&amp;$AK34-Settings!$C$21,$AK$4:$AK$503,"&lt;="&amp;$AK34-1),"")))</f>
        <v/>
      </c>
      <c r="AA34" s="28" t="str">
        <f t="shared" si="8"/>
        <v/>
      </c>
      <c r="AB34" s="25" t="str">
        <f>IF($B34="","",IF($AK34&lt;=Settings!$C$22,"",IFERROR(AVERAGEIFS($K$4:$K$503,$B$4:$B$503,$B34,$AK$4:$AK$503,"&gt;="&amp;$AK34-Settings!$C$22,$AK$4:$AK$503,"&lt;="&amp;$AK34-1),"")))</f>
        <v/>
      </c>
      <c r="AC34" s="27" t="str">
        <f t="shared" si="9"/>
        <v/>
      </c>
      <c r="AD34" s="28" t="str">
        <f>IF($B34="","",IF($AK34&lt;=Settings!$C$23,"",IFERROR($E34/SUMIFS($E$4:$E$503,$B$4:$B$503,$B34,$AK$4:$AK$503,$AK34-Settings!$C$23)-1,"")))</f>
        <v/>
      </c>
      <c r="AE34" s="28" t="str">
        <f>IF($B34="","",IF($AK34&lt;=Settings!$C$22,"",IFERROR($E34/SUMIFS($E$4:$E$503,$B$4:$B$503,$B34,$AK$4:$AK$503,$AK34-Settings!$C$22)-1,"")))</f>
        <v/>
      </c>
      <c r="AF34" s="28">
        <f t="shared" si="10"/>
        <v>7.4999999999999997E-2</v>
      </c>
      <c r="AG34" s="29">
        <f>IF($B34="","",ROUND((MIN(100,100*N($I34)/Settings!$C$27)+MIN(100,100*N($K34)/Settings!$C$28)+MIN(100,100*N($J34)/Settings!$C$29))/3,1))</f>
        <v>35.1</v>
      </c>
      <c r="AH34" s="29">
        <f>IF($B34="","",IF(SUM(Settings!$C$32:$C$37)=0,"",ROUND((Settings!$C$32*$AO34+Settings!$C$33*$AP34+Settings!$C$34*$AQ34+Settings!$C$35*$AR34+Settings!$C$36*$AS34+Settings!$C$37*$AT34)/SUM(Settings!$C$32:$C$37),1)))</f>
        <v>25.5</v>
      </c>
      <c r="AI34" s="29">
        <f>IF($B34="","",MAX(0,100-IF(N($N34)&gt;0,0,20)-IF(AND(N($L34)=0,N($M34)=0),15,0)-IF(N($J34)&gt;0,0,10)-IF(N($K34)&gt;0,0,10)-IF($Z34&lt;&gt;"",0,15)-IF($AB34&lt;&gt;"",0,10)-IF($R34="ERROR",20,IF($R34="WARNING",10,0))))</f>
        <v>75</v>
      </c>
      <c r="AJ34" s="30" t="str">
        <f>IF($AH34="","",IF($AH34&lt;Settings!$C$46,"Extreme Sell Pressure",IF($AH34&lt;Settings!$C$47,"Sell Pressure",IF($AH34&lt;=Settings!$C$48,"Neutral",IF($AH34&lt;=Settings!$C$49,"Buy Pressure","Extreme Buy Pressure")))))</f>
        <v>Sell Pressure</v>
      </c>
      <c r="AK34" s="30">
        <f t="shared" si="11"/>
        <v>2</v>
      </c>
      <c r="AL34" s="30">
        <f t="shared" si="12"/>
        <v>2026</v>
      </c>
      <c r="AM34" s="30">
        <f t="shared" si="13"/>
        <v>33</v>
      </c>
      <c r="AN34" s="30">
        <f t="shared" si="14"/>
        <v>8</v>
      </c>
      <c r="AO34" s="29">
        <f>IF($B34="","",IF(AND(N($L34)=0,N($M34)=0),50,IF(N($M34)=0,100,IF(N($L34)=0,0,MEDIAN(0,100,50+50*LN($S34)/LN(Settings!$C$40))))))</f>
        <v>0</v>
      </c>
      <c r="AP34" s="29">
        <f>IF($AA34="",50,MEDIAN(0,100,50+$AA34*100*Settings!$C$41))</f>
        <v>50</v>
      </c>
      <c r="AQ34" s="29">
        <f>IF($H34="",50,MEDIAN(0,100,50+$H34*100*Settings!$C$42))</f>
        <v>25.609756097560954</v>
      </c>
      <c r="AR34" s="29">
        <f>IF(OR($AC34="",$H34=""),50,MEDIAN(0,100,50+SIGN($H34)*50*MEDIAN(0,1,($AC34-1)/Settings!$C$43)))</f>
        <v>50</v>
      </c>
      <c r="AS34" s="29">
        <f>IF(OR($V34="",$W34=""),50,MEDIAN(0,100,50+50*($V34-$W34)/Settings!$C$44))</f>
        <v>9.4033668276132047</v>
      </c>
      <c r="AT34" s="29">
        <f t="shared" si="15"/>
        <v>32.450000000000003</v>
      </c>
      <c r="AU34" s="30" t="str">
        <f t="shared" si="16"/>
        <v>DCB|2026-08-11</v>
      </c>
      <c r="AV34" s="87">
        <f>IF($A34="","",IF(COUNTIFS($A$4:$A34,$A34)=1,1,0))</f>
        <v>0</v>
      </c>
    </row>
    <row r="35" spans="1:48" x14ac:dyDescent="0.3">
      <c r="A35" s="265">
        <v>46245</v>
      </c>
      <c r="B35" s="266" t="s">
        <v>120</v>
      </c>
      <c r="C35" s="267">
        <v>6450</v>
      </c>
      <c r="D35" s="267">
        <v>6450</v>
      </c>
      <c r="E35" s="267">
        <v>6090</v>
      </c>
      <c r="F35" s="267">
        <v>6570</v>
      </c>
      <c r="G35" s="267">
        <v>5800</v>
      </c>
      <c r="H35" s="268">
        <f t="shared" si="0"/>
        <v>-5.5813953488372148E-2</v>
      </c>
      <c r="I35" s="269">
        <v>7567340</v>
      </c>
      <c r="J35" s="269">
        <v>21</v>
      </c>
      <c r="K35" s="269">
        <v>1242</v>
      </c>
      <c r="L35" s="269">
        <v>3464</v>
      </c>
      <c r="M35" s="269">
        <v>1454</v>
      </c>
      <c r="N35" s="269">
        <v>145090000000</v>
      </c>
      <c r="O35" s="266" t="s">
        <v>1106</v>
      </c>
      <c r="P35" s="265">
        <v>46265</v>
      </c>
      <c r="Q35" s="266" t="s">
        <v>1138</v>
      </c>
      <c r="R35" s="23" t="str" cm="1">
        <f t="array" ref="R35">IF($B35="","",IFERROR(IF(INDEX('Data Quality'!$U$4:$U$503,ROW()-3)=0,"PENDING",INDEX('Data Quality'!$U$4:$U$503,ROW()-3)),"PENDING"))</f>
        <v>PASS</v>
      </c>
      <c r="S35" s="24">
        <f t="shared" si="1"/>
        <v>2.3823933975240714</v>
      </c>
      <c r="T35" s="25">
        <f t="shared" si="2"/>
        <v>21095760</v>
      </c>
      <c r="U35" s="25">
        <f t="shared" si="3"/>
        <v>8854860</v>
      </c>
      <c r="V35" s="26">
        <f t="shared" si="4"/>
        <v>1.4539775311875387E-4</v>
      </c>
      <c r="W35" s="26">
        <f t="shared" si="5"/>
        <v>6.1030119236336066E-5</v>
      </c>
      <c r="X35" s="25">
        <f t="shared" si="6"/>
        <v>59.142857142857146</v>
      </c>
      <c r="Y35" s="25">
        <f t="shared" si="7"/>
        <v>360349.52380952379</v>
      </c>
      <c r="Z35" s="27" t="str">
        <f>IF($B35="","",IF($AK35&lt;=Settings!$C$21,"",IFERROR(AVERAGEIFS($S$4:$S$503,$B$4:$B$503,$B35,$AK$4:$AK$503,"&gt;="&amp;$AK35-Settings!$C$21,$AK$4:$AK$503,"&lt;="&amp;$AK35-1),"")))</f>
        <v/>
      </c>
      <c r="AA35" s="28" t="str">
        <f t="shared" si="8"/>
        <v/>
      </c>
      <c r="AB35" s="25" t="str">
        <f>IF($B35="","",IF($AK35&lt;=Settings!$C$22,"",IFERROR(AVERAGEIFS($K$4:$K$503,$B$4:$B$503,$B35,$AK$4:$AK$503,"&gt;="&amp;$AK35-Settings!$C$22,$AK$4:$AK$503,"&lt;="&amp;$AK35-1),"")))</f>
        <v/>
      </c>
      <c r="AC35" s="27" t="str">
        <f t="shared" si="9"/>
        <v/>
      </c>
      <c r="AD35" s="28" t="str">
        <f>IF($B35="","",IF($AK35&lt;=Settings!$C$23,"",IFERROR($E35/SUMIFS($E$4:$E$503,$B$4:$B$503,$B35,$AK$4:$AK$503,$AK35-Settings!$C$23)-1,"")))</f>
        <v/>
      </c>
      <c r="AE35" s="28" t="str">
        <f>IF($B35="","",IF($AK35&lt;=Settings!$C$22,"",IFERROR($E35/SUMIFS($E$4:$E$503,$B$4:$B$503,$B35,$AK$4:$AK$503,$AK35-Settings!$C$22)-1,"")))</f>
        <v/>
      </c>
      <c r="AF35" s="28">
        <f t="shared" si="10"/>
        <v>0.12643678160919541</v>
      </c>
      <c r="AG35" s="29">
        <f>IF($B35="","",ROUND((MIN(100,100*N($I35)/Settings!$C$27)+MIN(100,100*N($K35)/Settings!$C$28)+MIN(100,100*N($J35)/Settings!$C$29))/3,1))</f>
        <v>7.3</v>
      </c>
      <c r="AH35" s="29">
        <f>IF($B35="","",IF(SUM(Settings!$C$32:$C$37)=0,"",ROUND((Settings!$C$32*$AO35+Settings!$C$33*$AP35+Settings!$C$34*$AQ35+Settings!$C$35*$AR35+Settings!$C$36*$AS35+Settings!$C$37*$AT35)/SUM(Settings!$C$32:$C$37),1)))</f>
        <v>53</v>
      </c>
      <c r="AI35" s="29">
        <f>IF($B35="","",MAX(0,100-IF(N($N35)&gt;0,0,20)-IF(AND(N($L35)=0,N($M35)=0),15,0)-IF(N($J35)&gt;0,0,10)-IF(N($K35)&gt;0,0,10)-IF($Z35&lt;&gt;"",0,15)-IF($AB35&lt;&gt;"",0,10)-IF($R35="ERROR",20,IF($R35="WARNING",10,0))))</f>
        <v>75</v>
      </c>
      <c r="AJ35" s="30" t="str">
        <f>IF($AH35="","",IF($AH35&lt;Settings!$C$46,"Extreme Sell Pressure",IF($AH35&lt;Settings!$C$47,"Sell Pressure",IF($AH35&lt;=Settings!$C$48,"Neutral",IF($AH35&lt;=Settings!$C$49,"Buy Pressure","Extreme Buy Pressure")))))</f>
        <v>Neutral</v>
      </c>
      <c r="AK35" s="30">
        <f t="shared" si="11"/>
        <v>2</v>
      </c>
      <c r="AL35" s="30">
        <f t="shared" si="12"/>
        <v>2026</v>
      </c>
      <c r="AM35" s="30">
        <f t="shared" si="13"/>
        <v>33</v>
      </c>
      <c r="AN35" s="30">
        <f t="shared" si="14"/>
        <v>8</v>
      </c>
      <c r="AO35" s="29">
        <f>IF($B35="","",IF(AND(N($L35)=0,N($M35)=0),50,IF(N($M35)=0,100,IF(N($L35)=0,0,MEDIAN(0,100,50+50*LN($S35)/LN(Settings!$C$40))))))</f>
        <v>81.310291520178254</v>
      </c>
      <c r="AP35" s="29">
        <f>IF($AA35="",50,MEDIAN(0,100,50+$AA35*100*Settings!$C$41))</f>
        <v>50</v>
      </c>
      <c r="AQ35" s="29">
        <f>IF($H35="",50,MEDIAN(0,100,50+$H35*100*Settings!$C$42))</f>
        <v>0</v>
      </c>
      <c r="AR35" s="29">
        <f>IF(OR($AC35="",$H35=""),50,MEDIAN(0,100,50+SIGN($H35)*50*MEDIAN(0,1,($AC35-1)/Settings!$C$43)))</f>
        <v>50</v>
      </c>
      <c r="AS35" s="29">
        <f>IF(OR($V35="",$W35=""),50,MEDIAN(0,100,50+50*($V35-$W35)/Settings!$C$44))</f>
        <v>58.436763388241786</v>
      </c>
      <c r="AT35" s="29">
        <f t="shared" si="15"/>
        <v>52.285651280973013</v>
      </c>
      <c r="AU35" s="30" t="str">
        <f t="shared" si="16"/>
        <v>DSE|2026-08-11</v>
      </c>
      <c r="AV35" s="87">
        <f>IF($A35="","",IF(COUNTIFS($A$4:$A35,$A35)=1,1,0))</f>
        <v>0</v>
      </c>
    </row>
    <row r="36" spans="1:48" x14ac:dyDescent="0.3">
      <c r="A36" s="265">
        <v>46245</v>
      </c>
      <c r="B36" s="266" t="s">
        <v>1095</v>
      </c>
      <c r="C36" s="267">
        <v>5680</v>
      </c>
      <c r="D36" s="267">
        <v>5680</v>
      </c>
      <c r="E36" s="267">
        <v>5510</v>
      </c>
      <c r="F36" s="267"/>
      <c r="G36" s="267"/>
      <c r="H36" s="268">
        <f t="shared" si="0"/>
        <v>-2.9929577464788748E-2</v>
      </c>
      <c r="I36" s="269">
        <v>0</v>
      </c>
      <c r="J36" s="269">
        <v>0</v>
      </c>
      <c r="K36" s="269">
        <v>0</v>
      </c>
      <c r="L36" s="269">
        <v>45</v>
      </c>
      <c r="M36" s="269">
        <v>0</v>
      </c>
      <c r="N36" s="269">
        <v>4357170000000</v>
      </c>
      <c r="O36" s="266" t="s">
        <v>1106</v>
      </c>
      <c r="P36" s="265">
        <v>46265</v>
      </c>
      <c r="Q36" s="266" t="s">
        <v>1138</v>
      </c>
      <c r="R36" s="23" t="str" cm="1">
        <f t="array" ref="R36">IF($B36="","",IFERROR(IF(INDEX('Data Quality'!$U$4:$U$503,ROW()-3)=0,"PENDING",INDEX('Data Quality'!$U$4:$U$503,ROW()-3)),"PENDING"))</f>
        <v>PASS</v>
      </c>
      <c r="S36" s="24" t="str">
        <f t="shared" si="1"/>
        <v/>
      </c>
      <c r="T36" s="25">
        <f t="shared" si="2"/>
        <v>247950</v>
      </c>
      <c r="U36" s="25">
        <f t="shared" si="3"/>
        <v>0</v>
      </c>
      <c r="V36" s="26">
        <f t="shared" si="4"/>
        <v>5.69062028793919E-8</v>
      </c>
      <c r="W36" s="26">
        <f t="shared" si="5"/>
        <v>0</v>
      </c>
      <c r="X36" s="25" t="str">
        <f t="shared" si="6"/>
        <v/>
      </c>
      <c r="Y36" s="25" t="str">
        <f t="shared" si="7"/>
        <v/>
      </c>
      <c r="Z36" s="27" t="str">
        <f>IF($B36="","",IF($AK36&lt;=Settings!$C$21,"",IFERROR(AVERAGEIFS($S$4:$S$503,$B$4:$B$503,$B36,$AK$4:$AK$503,"&gt;="&amp;$AK36-Settings!$C$21,$AK$4:$AK$503,"&lt;="&amp;$AK36-1),"")))</f>
        <v/>
      </c>
      <c r="AA36" s="28" t="str">
        <f t="shared" si="8"/>
        <v/>
      </c>
      <c r="AB36" s="25" t="str">
        <f>IF($B36="","",IF($AK36&lt;=Settings!$C$22,"",IFERROR(AVERAGEIFS($K$4:$K$503,$B$4:$B$503,$B36,$AK$4:$AK$503,"&gt;="&amp;$AK36-Settings!$C$22,$AK$4:$AK$503,"&lt;="&amp;$AK36-1),"")))</f>
        <v/>
      </c>
      <c r="AC36" s="27" t="str">
        <f t="shared" si="9"/>
        <v/>
      </c>
      <c r="AD36" s="28" t="str">
        <f>IF($B36="","",IF($AK36&lt;=Settings!$C$23,"",IFERROR($E36/SUMIFS($E$4:$E$503,$B$4:$B$503,$B36,$AK$4:$AK$503,$AK36-Settings!$C$23)-1,"")))</f>
        <v/>
      </c>
      <c r="AE36" s="28" t="str">
        <f>IF($B36="","",IF($AK36&lt;=Settings!$C$22,"",IFERROR($E36/SUMIFS($E$4:$E$503,$B$4:$B$503,$B36,$AK$4:$AK$503,$AK36-Settings!$C$22)-1,"")))</f>
        <v/>
      </c>
      <c r="AF36" s="28">
        <f t="shared" si="10"/>
        <v>0</v>
      </c>
      <c r="AG36" s="29">
        <f>IF($B36="","",ROUND((MIN(100,100*N($I36)/Settings!$C$27)+MIN(100,100*N($K36)/Settings!$C$28)+MIN(100,100*N($J36)/Settings!$C$29))/3,1))</f>
        <v>0</v>
      </c>
      <c r="AH36" s="29">
        <f>IF($B36="","",IF(SUM(Settings!$C$32:$C$37)=0,"",ROUND((Settings!$C$32*$AO36+Settings!$C$33*$AP36+Settings!$C$34*$AQ36+Settings!$C$35*$AR36+Settings!$C$36*$AS36+Settings!$C$37*$AT36)/SUM(Settings!$C$32:$C$37),1)))</f>
        <v>60.5</v>
      </c>
      <c r="AI36" s="29">
        <f>IF($B36="","",MAX(0,100-IF(N($N36)&gt;0,0,20)-IF(AND(N($L36)=0,N($M36)=0),15,0)-IF(N($J36)&gt;0,0,10)-IF(N($K36)&gt;0,0,10)-IF($Z36&lt;&gt;"",0,15)-IF($AB36&lt;&gt;"",0,10)-IF($R36="ERROR",20,IF($R36="WARNING",10,0))))</f>
        <v>55</v>
      </c>
      <c r="AJ36" s="30" t="str">
        <f>IF($AH36="","",IF($AH36&lt;Settings!$C$46,"Extreme Sell Pressure",IF($AH36&lt;Settings!$C$47,"Sell Pressure",IF($AH36&lt;=Settings!$C$48,"Neutral",IF($AH36&lt;=Settings!$C$49,"Buy Pressure","Extreme Buy Pressure")))))</f>
        <v>Buy Pressure</v>
      </c>
      <c r="AK36" s="30">
        <f t="shared" si="11"/>
        <v>2</v>
      </c>
      <c r="AL36" s="30">
        <f t="shared" si="12"/>
        <v>2026</v>
      </c>
      <c r="AM36" s="30">
        <f t="shared" si="13"/>
        <v>33</v>
      </c>
      <c r="AN36" s="30">
        <f t="shared" si="14"/>
        <v>8</v>
      </c>
      <c r="AO36" s="29">
        <f>IF($B36="","",IF(AND(N($L36)=0,N($M36)=0),50,IF(N($M36)=0,100,IF(N($L36)=0,0,MEDIAN(0,100,50+50*LN($S36)/LN(Settings!$C$40))))))</f>
        <v>100</v>
      </c>
      <c r="AP36" s="29">
        <f>IF($AA36="",50,MEDIAN(0,100,50+$AA36*100*Settings!$C$41))</f>
        <v>50</v>
      </c>
      <c r="AQ36" s="29">
        <f>IF($H36="",50,MEDIAN(0,100,50+$H36*100*Settings!$C$42))</f>
        <v>20.07042253521125</v>
      </c>
      <c r="AR36" s="29">
        <f>IF(OR($AC36="",$H36=""),50,MEDIAN(0,100,50+SIGN($H36)*50*MEDIAN(0,1,($AC36-1)/Settings!$C$43)))</f>
        <v>50</v>
      </c>
      <c r="AS36" s="29">
        <f>IF(OR($V36="",$W36=""),50,MEDIAN(0,100,50+50*($V36-$W36)/Settings!$C$44))</f>
        <v>50.005690620287936</v>
      </c>
      <c r="AT36" s="29">
        <f t="shared" si="15"/>
        <v>50</v>
      </c>
      <c r="AU36" s="30" t="str">
        <f t="shared" si="16"/>
        <v>EABL|2026-08-11</v>
      </c>
      <c r="AV36" s="87">
        <f>IF($A36="","",IF(COUNTIFS($A$4:$A36,$A36)=1,1,0))</f>
        <v>0</v>
      </c>
    </row>
    <row r="37" spans="1:48" x14ac:dyDescent="0.3">
      <c r="A37" s="265">
        <v>46245</v>
      </c>
      <c r="B37" s="266" t="s">
        <v>1096</v>
      </c>
      <c r="C37" s="267">
        <v>265</v>
      </c>
      <c r="D37" s="267">
        <v>265</v>
      </c>
      <c r="E37" s="267">
        <v>265</v>
      </c>
      <c r="F37" s="267"/>
      <c r="G37" s="267"/>
      <c r="H37" s="268">
        <f t="shared" si="0"/>
        <v>0</v>
      </c>
      <c r="I37" s="269">
        <v>0</v>
      </c>
      <c r="J37" s="269">
        <v>0</v>
      </c>
      <c r="K37" s="269">
        <v>0</v>
      </c>
      <c r="L37" s="269">
        <v>0</v>
      </c>
      <c r="M37" s="269">
        <v>0</v>
      </c>
      <c r="N37" s="269">
        <v>5280000000</v>
      </c>
      <c r="O37" s="266" t="s">
        <v>1106</v>
      </c>
      <c r="P37" s="265">
        <v>46265</v>
      </c>
      <c r="Q37" s="266" t="s">
        <v>1138</v>
      </c>
      <c r="R37" s="23" t="str" cm="1">
        <f t="array" ref="R37">IF($B37="","",IFERROR(IF(INDEX('Data Quality'!$U$4:$U$503,ROW()-3)=0,"PENDING",INDEX('Data Quality'!$U$4:$U$503,ROW()-3)),"PENDING"))</f>
        <v>WARNING</v>
      </c>
      <c r="S37" s="24" t="str">
        <f t="shared" si="1"/>
        <v/>
      </c>
      <c r="T37" s="25">
        <f t="shared" si="2"/>
        <v>0</v>
      </c>
      <c r="U37" s="25">
        <f t="shared" si="3"/>
        <v>0</v>
      </c>
      <c r="V37" s="26">
        <f t="shared" si="4"/>
        <v>0</v>
      </c>
      <c r="W37" s="26">
        <f t="shared" si="5"/>
        <v>0</v>
      </c>
      <c r="X37" s="25" t="str">
        <f t="shared" si="6"/>
        <v/>
      </c>
      <c r="Y37" s="25" t="str">
        <f t="shared" si="7"/>
        <v/>
      </c>
      <c r="Z37" s="27" t="str">
        <f>IF($B37="","",IF($AK37&lt;=Settings!$C$21,"",IFERROR(AVERAGEIFS($S$4:$S$503,$B$4:$B$503,$B37,$AK$4:$AK$503,"&gt;="&amp;$AK37-Settings!$C$21,$AK$4:$AK$503,"&lt;="&amp;$AK37-1),"")))</f>
        <v/>
      </c>
      <c r="AA37" s="28" t="str">
        <f t="shared" si="8"/>
        <v/>
      </c>
      <c r="AB37" s="25" t="str">
        <f>IF($B37="","",IF($AK37&lt;=Settings!$C$22,"",IFERROR(AVERAGEIFS($K$4:$K$503,$B$4:$B$503,$B37,$AK$4:$AK$503,"&gt;="&amp;$AK37-Settings!$C$22,$AK$4:$AK$503,"&lt;="&amp;$AK37-1),"")))</f>
        <v/>
      </c>
      <c r="AC37" s="27" t="str">
        <f t="shared" si="9"/>
        <v/>
      </c>
      <c r="AD37" s="28" t="str">
        <f>IF($B37="","",IF($AK37&lt;=Settings!$C$23,"",IFERROR($E37/SUMIFS($E$4:$E$503,$B$4:$B$503,$B37,$AK$4:$AK$503,$AK37-Settings!$C$23)-1,"")))</f>
        <v/>
      </c>
      <c r="AE37" s="28" t="str">
        <f>IF($B37="","",IF($AK37&lt;=Settings!$C$22,"",IFERROR($E37/SUMIFS($E$4:$E$503,$B$4:$B$503,$B37,$AK$4:$AK$503,$AK37-Settings!$C$22)-1,"")))</f>
        <v/>
      </c>
      <c r="AF37" s="28">
        <f t="shared" si="10"/>
        <v>0</v>
      </c>
      <c r="AG37" s="29">
        <f>IF($B37="","",ROUND((MIN(100,100*N($I37)/Settings!$C$27)+MIN(100,100*N($K37)/Settings!$C$28)+MIN(100,100*N($J37)/Settings!$C$29))/3,1))</f>
        <v>0</v>
      </c>
      <c r="AH37" s="29">
        <f>IF($B37="","",IF(SUM(Settings!$C$32:$C$37)=0,"",ROUND((Settings!$C$32*$AO37+Settings!$C$33*$AP37+Settings!$C$34*$AQ37+Settings!$C$35*$AR37+Settings!$C$36*$AS37+Settings!$C$37*$AT37)/SUM(Settings!$C$32:$C$37),1)))</f>
        <v>50</v>
      </c>
      <c r="AI37" s="29">
        <f>IF($B37="","",MAX(0,100-IF(N($N37)&gt;0,0,20)-IF(AND(N($L37)=0,N($M37)=0),15,0)-IF(N($J37)&gt;0,0,10)-IF(N($K37)&gt;0,0,10)-IF($Z37&lt;&gt;"",0,15)-IF($AB37&lt;&gt;"",0,10)-IF($R37="ERROR",20,IF($R37="WARNING",10,0))))</f>
        <v>30</v>
      </c>
      <c r="AJ37" s="30" t="str">
        <f>IF($AH37="","",IF($AH37&lt;Settings!$C$46,"Extreme Sell Pressure",IF($AH37&lt;Settings!$C$47,"Sell Pressure",IF($AH37&lt;=Settings!$C$48,"Neutral",IF($AH37&lt;=Settings!$C$49,"Buy Pressure","Extreme Buy Pressure")))))</f>
        <v>Neutral</v>
      </c>
      <c r="AK37" s="30">
        <f t="shared" si="11"/>
        <v>2</v>
      </c>
      <c r="AL37" s="30">
        <f t="shared" si="12"/>
        <v>2026</v>
      </c>
      <c r="AM37" s="30">
        <f t="shared" si="13"/>
        <v>33</v>
      </c>
      <c r="AN37" s="30">
        <f t="shared" si="14"/>
        <v>8</v>
      </c>
      <c r="AO37" s="29">
        <f>IF($B37="","",IF(AND(N($L37)=0,N($M37)=0),50,IF(N($M37)=0,100,IF(N($L37)=0,0,MEDIAN(0,100,50+50*LN($S37)/LN(Settings!$C$40))))))</f>
        <v>50</v>
      </c>
      <c r="AP37" s="29">
        <f>IF($AA37="",50,MEDIAN(0,100,50+$AA37*100*Settings!$C$41))</f>
        <v>50</v>
      </c>
      <c r="AQ37" s="29">
        <f>IF($H37="",50,MEDIAN(0,100,50+$H37*100*Settings!$C$42))</f>
        <v>50</v>
      </c>
      <c r="AR37" s="29">
        <f>IF(OR($AC37="",$H37=""),50,MEDIAN(0,100,50+SIGN($H37)*50*MEDIAN(0,1,($AC37-1)/Settings!$C$43)))</f>
        <v>50</v>
      </c>
      <c r="AS37" s="29">
        <f>IF(OR($V37="",$W37=""),50,MEDIAN(0,100,50+50*($V37-$W37)/Settings!$C$44))</f>
        <v>50</v>
      </c>
      <c r="AT37" s="29">
        <f t="shared" si="15"/>
        <v>50</v>
      </c>
      <c r="AU37" s="30" t="str">
        <f t="shared" si="16"/>
        <v>JATU|2026-08-11</v>
      </c>
      <c r="AV37" s="87">
        <f>IF($A37="","",IF(COUNTIFS($A$4:$A37,$A37)=1,1,0))</f>
        <v>0</v>
      </c>
    </row>
    <row r="38" spans="1:48" x14ac:dyDescent="0.3">
      <c r="A38" s="265">
        <v>46245</v>
      </c>
      <c r="B38" s="266" t="s">
        <v>128</v>
      </c>
      <c r="C38" s="267">
        <v>8650</v>
      </c>
      <c r="D38" s="267">
        <v>8650</v>
      </c>
      <c r="E38" s="267">
        <v>8650</v>
      </c>
      <c r="F38" s="267"/>
      <c r="G38" s="267"/>
      <c r="H38" s="268">
        <f t="shared" si="0"/>
        <v>0</v>
      </c>
      <c r="I38" s="269">
        <v>0</v>
      </c>
      <c r="J38" s="269">
        <v>0</v>
      </c>
      <c r="K38" s="269">
        <v>0</v>
      </c>
      <c r="L38" s="269">
        <v>11</v>
      </c>
      <c r="M38" s="269">
        <v>0</v>
      </c>
      <c r="N38" s="269">
        <v>626890000000</v>
      </c>
      <c r="O38" s="266" t="s">
        <v>1106</v>
      </c>
      <c r="P38" s="265">
        <v>46265</v>
      </c>
      <c r="Q38" s="266" t="s">
        <v>1138</v>
      </c>
      <c r="R38" s="23" t="str" cm="1">
        <f t="array" ref="R38">IF($B38="","",IFERROR(IF(INDEX('Data Quality'!$U$4:$U$503,ROW()-3)=0,"PENDING",INDEX('Data Quality'!$U$4:$U$503,ROW()-3)),"PENDING"))</f>
        <v>PASS</v>
      </c>
      <c r="S38" s="24" t="str">
        <f t="shared" si="1"/>
        <v/>
      </c>
      <c r="T38" s="25">
        <f t="shared" si="2"/>
        <v>95150</v>
      </c>
      <c r="U38" s="25">
        <f t="shared" si="3"/>
        <v>0</v>
      </c>
      <c r="V38" s="26">
        <f t="shared" si="4"/>
        <v>1.5178101421301984E-7</v>
      </c>
      <c r="W38" s="26">
        <f t="shared" si="5"/>
        <v>0</v>
      </c>
      <c r="X38" s="25" t="str">
        <f t="shared" si="6"/>
        <v/>
      </c>
      <c r="Y38" s="25" t="str">
        <f t="shared" si="7"/>
        <v/>
      </c>
      <c r="Z38" s="27" t="str">
        <f>IF($B38="","",IF($AK38&lt;=Settings!$C$21,"",IFERROR(AVERAGEIFS($S$4:$S$503,$B$4:$B$503,$B38,$AK$4:$AK$503,"&gt;="&amp;$AK38-Settings!$C$21,$AK$4:$AK$503,"&lt;="&amp;$AK38-1),"")))</f>
        <v/>
      </c>
      <c r="AA38" s="28" t="str">
        <f t="shared" si="8"/>
        <v/>
      </c>
      <c r="AB38" s="25" t="str">
        <f>IF($B38="","",IF($AK38&lt;=Settings!$C$22,"",IFERROR(AVERAGEIFS($K$4:$K$503,$B$4:$B$503,$B38,$AK$4:$AK$503,"&gt;="&amp;$AK38-Settings!$C$22,$AK$4:$AK$503,"&lt;="&amp;$AK38-1),"")))</f>
        <v/>
      </c>
      <c r="AC38" s="27" t="str">
        <f t="shared" si="9"/>
        <v/>
      </c>
      <c r="AD38" s="28" t="str">
        <f>IF($B38="","",IF($AK38&lt;=Settings!$C$23,"",IFERROR($E38/SUMIFS($E$4:$E$503,$B$4:$B$503,$B38,$AK$4:$AK$503,$AK38-Settings!$C$23)-1,"")))</f>
        <v/>
      </c>
      <c r="AE38" s="28" t="str">
        <f>IF($B38="","",IF($AK38&lt;=Settings!$C$22,"",IFERROR($E38/SUMIFS($E$4:$E$503,$B$4:$B$503,$B38,$AK$4:$AK$503,$AK38-Settings!$C$22)-1,"")))</f>
        <v/>
      </c>
      <c r="AF38" s="28">
        <f t="shared" si="10"/>
        <v>0</v>
      </c>
      <c r="AG38" s="29">
        <f>IF($B38="","",ROUND((MIN(100,100*N($I38)/Settings!$C$27)+MIN(100,100*N($K38)/Settings!$C$28)+MIN(100,100*N($J38)/Settings!$C$29))/3,1))</f>
        <v>0</v>
      </c>
      <c r="AH38" s="29">
        <f>IF($B38="","",IF(SUM(Settings!$C$32:$C$37)=0,"",ROUND((Settings!$C$32*$AO38+Settings!$C$33*$AP38+Settings!$C$34*$AQ38+Settings!$C$35*$AR38+Settings!$C$36*$AS38+Settings!$C$37*$AT38)/SUM(Settings!$C$32:$C$37),1)))</f>
        <v>65</v>
      </c>
      <c r="AI38" s="29">
        <f>IF($B38="","",MAX(0,100-IF(N($N38)&gt;0,0,20)-IF(AND(N($L38)=0,N($M38)=0),15,0)-IF(N($J38)&gt;0,0,10)-IF(N($K38)&gt;0,0,10)-IF($Z38&lt;&gt;"",0,15)-IF($AB38&lt;&gt;"",0,10)-IF($R38="ERROR",20,IF($R38="WARNING",10,0))))</f>
        <v>55</v>
      </c>
      <c r="AJ38" s="30" t="str">
        <f>IF($AH38="","",IF($AH38&lt;Settings!$C$46,"Extreme Sell Pressure",IF($AH38&lt;Settings!$C$47,"Sell Pressure",IF($AH38&lt;=Settings!$C$48,"Neutral",IF($AH38&lt;=Settings!$C$49,"Buy Pressure","Extreme Buy Pressure")))))</f>
        <v>Buy Pressure</v>
      </c>
      <c r="AK38" s="30">
        <f t="shared" si="11"/>
        <v>2</v>
      </c>
      <c r="AL38" s="30">
        <f t="shared" si="12"/>
        <v>2026</v>
      </c>
      <c r="AM38" s="30">
        <f t="shared" si="13"/>
        <v>33</v>
      </c>
      <c r="AN38" s="30">
        <f t="shared" si="14"/>
        <v>8</v>
      </c>
      <c r="AO38" s="29">
        <f>IF($B38="","",IF(AND(N($L38)=0,N($M38)=0),50,IF(N($M38)=0,100,IF(N($L38)=0,0,MEDIAN(0,100,50+50*LN($S38)/LN(Settings!$C$40))))))</f>
        <v>100</v>
      </c>
      <c r="AP38" s="29">
        <f>IF($AA38="",50,MEDIAN(0,100,50+$AA38*100*Settings!$C$41))</f>
        <v>50</v>
      </c>
      <c r="AQ38" s="29">
        <f>IF($H38="",50,MEDIAN(0,100,50+$H38*100*Settings!$C$42))</f>
        <v>50</v>
      </c>
      <c r="AR38" s="29">
        <f>IF(OR($AC38="",$H38=""),50,MEDIAN(0,100,50+SIGN($H38)*50*MEDIAN(0,1,($AC38-1)/Settings!$C$43)))</f>
        <v>50</v>
      </c>
      <c r="AS38" s="29">
        <f>IF(OR($V38="",$W38=""),50,MEDIAN(0,100,50+50*($V38-$W38)/Settings!$C$44))</f>
        <v>50.015178101421299</v>
      </c>
      <c r="AT38" s="29">
        <f t="shared" si="15"/>
        <v>50</v>
      </c>
      <c r="AU38" s="30" t="str">
        <f t="shared" si="16"/>
        <v>JHL|2026-08-11</v>
      </c>
      <c r="AV38" s="87">
        <f>IF($A38="","",IF(COUNTIFS($A$4:$A38,$A38)=1,1,0))</f>
        <v>0</v>
      </c>
    </row>
    <row r="39" spans="1:48" x14ac:dyDescent="0.3">
      <c r="A39" s="265">
        <v>46245</v>
      </c>
      <c r="B39" s="266" t="s">
        <v>1097</v>
      </c>
      <c r="C39" s="267">
        <v>110</v>
      </c>
      <c r="D39" s="267">
        <v>110</v>
      </c>
      <c r="E39" s="267">
        <v>110</v>
      </c>
      <c r="F39" s="267"/>
      <c r="G39" s="267"/>
      <c r="H39" s="268">
        <f t="shared" si="0"/>
        <v>0</v>
      </c>
      <c r="I39" s="269">
        <v>0</v>
      </c>
      <c r="J39" s="269">
        <v>0</v>
      </c>
      <c r="K39" s="269">
        <v>0</v>
      </c>
      <c r="L39" s="269">
        <v>202</v>
      </c>
      <c r="M39" s="269">
        <v>0</v>
      </c>
      <c r="N39" s="269">
        <v>624960000000</v>
      </c>
      <c r="O39" s="266" t="s">
        <v>1106</v>
      </c>
      <c r="P39" s="265">
        <v>46265</v>
      </c>
      <c r="Q39" s="266" t="s">
        <v>1138</v>
      </c>
      <c r="R39" s="23" t="str" cm="1">
        <f t="array" ref="R39">IF($B39="","",IFERROR(IF(INDEX('Data Quality'!$U$4:$U$503,ROW()-3)=0,"PENDING",INDEX('Data Quality'!$U$4:$U$503,ROW()-3)),"PENDING"))</f>
        <v>PASS</v>
      </c>
      <c r="S39" s="24" t="str">
        <f t="shared" si="1"/>
        <v/>
      </c>
      <c r="T39" s="25">
        <f t="shared" si="2"/>
        <v>22220</v>
      </c>
      <c r="U39" s="25">
        <f t="shared" si="3"/>
        <v>0</v>
      </c>
      <c r="V39" s="26">
        <f t="shared" si="4"/>
        <v>3.5554275473630311E-8</v>
      </c>
      <c r="W39" s="26">
        <f t="shared" si="5"/>
        <v>0</v>
      </c>
      <c r="X39" s="25" t="str">
        <f t="shared" si="6"/>
        <v/>
      </c>
      <c r="Y39" s="25" t="str">
        <f t="shared" si="7"/>
        <v/>
      </c>
      <c r="Z39" s="27" t="str">
        <f>IF($B39="","",IF($AK39&lt;=Settings!$C$21,"",IFERROR(AVERAGEIFS($S$4:$S$503,$B$4:$B$503,$B39,$AK$4:$AK$503,"&gt;="&amp;$AK39-Settings!$C$21,$AK$4:$AK$503,"&lt;="&amp;$AK39-1),"")))</f>
        <v/>
      </c>
      <c r="AA39" s="28" t="str">
        <f t="shared" si="8"/>
        <v/>
      </c>
      <c r="AB39" s="25" t="str">
        <f>IF($B39="","",IF($AK39&lt;=Settings!$C$22,"",IFERROR(AVERAGEIFS($K$4:$K$503,$B$4:$B$503,$B39,$AK$4:$AK$503,"&gt;="&amp;$AK39-Settings!$C$22,$AK$4:$AK$503,"&lt;="&amp;$AK39-1),"")))</f>
        <v/>
      </c>
      <c r="AC39" s="27" t="str">
        <f t="shared" si="9"/>
        <v/>
      </c>
      <c r="AD39" s="28" t="str">
        <f>IF($B39="","",IF($AK39&lt;=Settings!$C$23,"",IFERROR($E39/SUMIFS($E$4:$E$503,$B$4:$B$503,$B39,$AK$4:$AK$503,$AK39-Settings!$C$23)-1,"")))</f>
        <v/>
      </c>
      <c r="AE39" s="28" t="str">
        <f>IF($B39="","",IF($AK39&lt;=Settings!$C$22,"",IFERROR($E39/SUMIFS($E$4:$E$503,$B$4:$B$503,$B39,$AK$4:$AK$503,$AK39-Settings!$C$22)-1,"")))</f>
        <v/>
      </c>
      <c r="AF39" s="28">
        <f t="shared" si="10"/>
        <v>0</v>
      </c>
      <c r="AG39" s="29">
        <f>IF($B39="","",ROUND((MIN(100,100*N($I39)/Settings!$C$27)+MIN(100,100*N($K39)/Settings!$C$28)+MIN(100,100*N($J39)/Settings!$C$29))/3,1))</f>
        <v>0</v>
      </c>
      <c r="AH39" s="29">
        <f>IF($B39="","",IF(SUM(Settings!$C$32:$C$37)=0,"",ROUND((Settings!$C$32*$AO39+Settings!$C$33*$AP39+Settings!$C$34*$AQ39+Settings!$C$35*$AR39+Settings!$C$36*$AS39+Settings!$C$37*$AT39)/SUM(Settings!$C$32:$C$37),1)))</f>
        <v>65</v>
      </c>
      <c r="AI39" s="29">
        <f>IF($B39="","",MAX(0,100-IF(N($N39)&gt;0,0,20)-IF(AND(N($L39)=0,N($M39)=0),15,0)-IF(N($J39)&gt;0,0,10)-IF(N($K39)&gt;0,0,10)-IF($Z39&lt;&gt;"",0,15)-IF($AB39&lt;&gt;"",0,10)-IF($R39="ERROR",20,IF($R39="WARNING",10,0))))</f>
        <v>55</v>
      </c>
      <c r="AJ39" s="30" t="str">
        <f>IF($AH39="","",IF($AH39&lt;Settings!$C$46,"Extreme Sell Pressure",IF($AH39&lt;Settings!$C$47,"Sell Pressure",IF($AH39&lt;=Settings!$C$48,"Neutral",IF($AH39&lt;=Settings!$C$49,"Buy Pressure","Extreme Buy Pressure")))))</f>
        <v>Buy Pressure</v>
      </c>
      <c r="AK39" s="30">
        <f t="shared" si="11"/>
        <v>2</v>
      </c>
      <c r="AL39" s="30">
        <f t="shared" si="12"/>
        <v>2026</v>
      </c>
      <c r="AM39" s="30">
        <f t="shared" si="13"/>
        <v>33</v>
      </c>
      <c r="AN39" s="30">
        <f t="shared" si="14"/>
        <v>8</v>
      </c>
      <c r="AO39" s="29">
        <f>IF($B39="","",IF(AND(N($L39)=0,N($M39)=0),50,IF(N($M39)=0,100,IF(N($L39)=0,0,MEDIAN(0,100,50+50*LN($S39)/LN(Settings!$C$40))))))</f>
        <v>100</v>
      </c>
      <c r="AP39" s="29">
        <f>IF($AA39="",50,MEDIAN(0,100,50+$AA39*100*Settings!$C$41))</f>
        <v>50</v>
      </c>
      <c r="AQ39" s="29">
        <f>IF($H39="",50,MEDIAN(0,100,50+$H39*100*Settings!$C$42))</f>
        <v>50</v>
      </c>
      <c r="AR39" s="29">
        <f>IF(OR($AC39="",$H39=""),50,MEDIAN(0,100,50+SIGN($H39)*50*MEDIAN(0,1,($AC39-1)/Settings!$C$43)))</f>
        <v>50</v>
      </c>
      <c r="AS39" s="29">
        <f>IF(OR($V39="",$W39=""),50,MEDIAN(0,100,50+50*($V39-$W39)/Settings!$C$44))</f>
        <v>50.003555427547361</v>
      </c>
      <c r="AT39" s="29">
        <f t="shared" si="15"/>
        <v>50</v>
      </c>
      <c r="AU39" s="30" t="str">
        <f t="shared" si="16"/>
        <v>KA|2026-08-11</v>
      </c>
      <c r="AV39" s="87">
        <f>IF($A39="","",IF(COUNTIFS($A$4:$A39,$A39)=1,1,0))</f>
        <v>0</v>
      </c>
    </row>
    <row r="40" spans="1:48" x14ac:dyDescent="0.3">
      <c r="A40" s="265">
        <v>46245</v>
      </c>
      <c r="B40" s="266" t="s">
        <v>1098</v>
      </c>
      <c r="C40" s="267">
        <v>1900</v>
      </c>
      <c r="D40" s="267">
        <v>1900</v>
      </c>
      <c r="E40" s="267">
        <v>1900</v>
      </c>
      <c r="F40" s="267">
        <v>1930</v>
      </c>
      <c r="G40" s="267">
        <v>1880</v>
      </c>
      <c r="H40" s="268">
        <f t="shared" si="0"/>
        <v>0</v>
      </c>
      <c r="I40" s="269">
        <v>35987640</v>
      </c>
      <c r="J40" s="269">
        <v>43</v>
      </c>
      <c r="K40" s="269">
        <v>18977</v>
      </c>
      <c r="L40" s="269">
        <v>12494</v>
      </c>
      <c r="M40" s="269">
        <v>0</v>
      </c>
      <c r="N40" s="269">
        <v>5643650000000</v>
      </c>
      <c r="O40" s="266" t="s">
        <v>1106</v>
      </c>
      <c r="P40" s="265">
        <v>46265</v>
      </c>
      <c r="Q40" s="266" t="s">
        <v>1138</v>
      </c>
      <c r="R40" s="23" t="str" cm="1">
        <f t="array" ref="R40">IF($B40="","",IFERROR(IF(INDEX('Data Quality'!$U$4:$U$503,ROW()-3)=0,"PENDING",INDEX('Data Quality'!$U$4:$U$503,ROW()-3)),"PENDING"))</f>
        <v>PASS</v>
      </c>
      <c r="S40" s="24" t="str">
        <f t="shared" si="1"/>
        <v/>
      </c>
      <c r="T40" s="25">
        <f t="shared" si="2"/>
        <v>23738600</v>
      </c>
      <c r="U40" s="25">
        <f t="shared" si="3"/>
        <v>0</v>
      </c>
      <c r="V40" s="26">
        <f t="shared" si="4"/>
        <v>4.2062495016522996E-6</v>
      </c>
      <c r="W40" s="26">
        <f t="shared" si="5"/>
        <v>0</v>
      </c>
      <c r="X40" s="25">
        <f t="shared" si="6"/>
        <v>441.32558139534882</v>
      </c>
      <c r="Y40" s="25">
        <f t="shared" si="7"/>
        <v>836921.86046511633</v>
      </c>
      <c r="Z40" s="27" t="str">
        <f>IF($B40="","",IF($AK40&lt;=Settings!$C$21,"",IFERROR(AVERAGEIFS($S$4:$S$503,$B$4:$B$503,$B40,$AK$4:$AK$503,"&gt;="&amp;$AK40-Settings!$C$21,$AK$4:$AK$503,"&lt;="&amp;$AK40-1),"")))</f>
        <v/>
      </c>
      <c r="AA40" s="28" t="str">
        <f t="shared" si="8"/>
        <v/>
      </c>
      <c r="AB40" s="25" t="str">
        <f>IF($B40="","",IF($AK40&lt;=Settings!$C$22,"",IFERROR(AVERAGEIFS($K$4:$K$503,$B$4:$B$503,$B40,$AK$4:$AK$503,"&gt;="&amp;$AK40-Settings!$C$22,$AK$4:$AK$503,"&lt;="&amp;$AK40-1),"")))</f>
        <v/>
      </c>
      <c r="AC40" s="27" t="str">
        <f t="shared" si="9"/>
        <v/>
      </c>
      <c r="AD40" s="28" t="str">
        <f>IF($B40="","",IF($AK40&lt;=Settings!$C$23,"",IFERROR($E40/SUMIFS($E$4:$E$503,$B$4:$B$503,$B40,$AK$4:$AK$503,$AK40-Settings!$C$23)-1,"")))</f>
        <v/>
      </c>
      <c r="AE40" s="28" t="str">
        <f>IF($B40="","",IF($AK40&lt;=Settings!$C$22,"",IFERROR($E40/SUMIFS($E$4:$E$503,$B$4:$B$503,$B40,$AK$4:$AK$503,$AK40-Settings!$C$22)-1,"")))</f>
        <v/>
      </c>
      <c r="AF40" s="28">
        <f t="shared" si="10"/>
        <v>2.6315789473684209E-2</v>
      </c>
      <c r="AG40" s="29">
        <f>IF($B40="","",ROUND((MIN(100,100*N($I40)/Settings!$C$27)+MIN(100,100*N($K40)/Settings!$C$28)+MIN(100,100*N($J40)/Settings!$C$29))/3,1))</f>
        <v>16.8</v>
      </c>
      <c r="AH40" s="29">
        <f>IF($B40="","",IF(SUM(Settings!$C$32:$C$37)=0,"",ROUND((Settings!$C$32*$AO40+Settings!$C$33*$AP40+Settings!$C$34*$AQ40+Settings!$C$35*$AR40+Settings!$C$36*$AS40+Settings!$C$37*$AT40)/SUM(Settings!$C$32:$C$37),1)))</f>
        <v>65.900000000000006</v>
      </c>
      <c r="AI40" s="29">
        <f>IF($B40="","",MAX(0,100-IF(N($N40)&gt;0,0,20)-IF(AND(N($L40)=0,N($M40)=0),15,0)-IF(N($J40)&gt;0,0,10)-IF(N($K40)&gt;0,0,10)-IF($Z40&lt;&gt;"",0,15)-IF($AB40&lt;&gt;"",0,10)-IF($R40="ERROR",20,IF($R40="WARNING",10,0))))</f>
        <v>75</v>
      </c>
      <c r="AJ40" s="30" t="str">
        <f>IF($AH40="","",IF($AH40&lt;Settings!$C$46,"Extreme Sell Pressure",IF($AH40&lt;Settings!$C$47,"Sell Pressure",IF($AH40&lt;=Settings!$C$48,"Neutral",IF($AH40&lt;=Settings!$C$49,"Buy Pressure","Extreme Buy Pressure")))))</f>
        <v>Buy Pressure</v>
      </c>
      <c r="AK40" s="30">
        <f t="shared" si="11"/>
        <v>2</v>
      </c>
      <c r="AL40" s="30">
        <f t="shared" si="12"/>
        <v>2026</v>
      </c>
      <c r="AM40" s="30">
        <f t="shared" si="13"/>
        <v>33</v>
      </c>
      <c r="AN40" s="30">
        <f t="shared" si="14"/>
        <v>8</v>
      </c>
      <c r="AO40" s="29">
        <f>IF($B40="","",IF(AND(N($L40)=0,N($M40)=0),50,IF(N($M40)=0,100,IF(N($L40)=0,0,MEDIAN(0,100,50+50*LN($S40)/LN(Settings!$C$40))))))</f>
        <v>100</v>
      </c>
      <c r="AP40" s="29">
        <f>IF($AA40="",50,MEDIAN(0,100,50+$AA40*100*Settings!$C$41))</f>
        <v>50</v>
      </c>
      <c r="AQ40" s="29">
        <f>IF($H40="",50,MEDIAN(0,100,50+$H40*100*Settings!$C$42))</f>
        <v>50</v>
      </c>
      <c r="AR40" s="29">
        <f>IF(OR($AC40="",$H40=""),50,MEDIAN(0,100,50+SIGN($H40)*50*MEDIAN(0,1,($AC40-1)/Settings!$C$43)))</f>
        <v>50</v>
      </c>
      <c r="AS40" s="29">
        <f>IF(OR($V40="",$W40=""),50,MEDIAN(0,100,50+50*($V40-$W40)/Settings!$C$44))</f>
        <v>50.420624950165227</v>
      </c>
      <c r="AT40" s="29">
        <f t="shared" si="15"/>
        <v>58.4</v>
      </c>
      <c r="AU40" s="30" t="str">
        <f t="shared" si="16"/>
        <v>KCB|2026-08-11</v>
      </c>
      <c r="AV40" s="87">
        <f>IF($A40="","",IF(COUNTIFS($A$4:$A40,$A40)=1,1,0))</f>
        <v>0</v>
      </c>
    </row>
    <row r="41" spans="1:48" x14ac:dyDescent="0.3">
      <c r="A41" s="265">
        <v>46245</v>
      </c>
      <c r="B41" s="266" t="s">
        <v>136</v>
      </c>
      <c r="C41" s="267">
        <v>1660</v>
      </c>
      <c r="D41" s="267">
        <v>1660</v>
      </c>
      <c r="E41" s="267">
        <v>1680</v>
      </c>
      <c r="F41" s="267">
        <v>1700</v>
      </c>
      <c r="G41" s="267">
        <v>1650</v>
      </c>
      <c r="H41" s="268">
        <f t="shared" si="0"/>
        <v>1.2048192771084265E-2</v>
      </c>
      <c r="I41" s="269">
        <v>4178510</v>
      </c>
      <c r="J41" s="269">
        <v>20</v>
      </c>
      <c r="K41" s="269">
        <v>2480</v>
      </c>
      <c r="L41" s="269">
        <v>15113</v>
      </c>
      <c r="M41" s="269">
        <v>21901</v>
      </c>
      <c r="N41" s="269">
        <v>50380000000</v>
      </c>
      <c r="O41" s="266" t="s">
        <v>1106</v>
      </c>
      <c r="P41" s="265">
        <v>46265</v>
      </c>
      <c r="Q41" s="266" t="s">
        <v>1138</v>
      </c>
      <c r="R41" s="23" t="str" cm="1">
        <f t="array" ref="R41">IF($B41="","",IFERROR(IF(INDEX('Data Quality'!$U$4:$U$503,ROW()-3)=0,"PENDING",INDEX('Data Quality'!$U$4:$U$503,ROW()-3)),"PENDING"))</f>
        <v>PASS</v>
      </c>
      <c r="S41" s="24">
        <f t="shared" si="1"/>
        <v>0.69005981462033694</v>
      </c>
      <c r="T41" s="25">
        <f t="shared" si="2"/>
        <v>25389840</v>
      </c>
      <c r="U41" s="25">
        <f t="shared" si="3"/>
        <v>36793680</v>
      </c>
      <c r="V41" s="26">
        <f t="shared" si="4"/>
        <v>5.0396665343390237E-4</v>
      </c>
      <c r="W41" s="26">
        <f t="shared" si="5"/>
        <v>7.3032314410480346E-4</v>
      </c>
      <c r="X41" s="25">
        <f t="shared" si="6"/>
        <v>124</v>
      </c>
      <c r="Y41" s="25">
        <f t="shared" si="7"/>
        <v>208925.5</v>
      </c>
      <c r="Z41" s="27" t="str">
        <f>IF($B41="","",IF($AK41&lt;=Settings!$C$21,"",IFERROR(AVERAGEIFS($S$4:$S$503,$B$4:$B$503,$B41,$AK$4:$AK$503,"&gt;="&amp;$AK41-Settings!$C$21,$AK$4:$AK$503,"&lt;="&amp;$AK41-1),"")))</f>
        <v/>
      </c>
      <c r="AA41" s="28" t="str">
        <f t="shared" si="8"/>
        <v/>
      </c>
      <c r="AB41" s="25" t="str">
        <f>IF($B41="","",IF($AK41&lt;=Settings!$C$22,"",IFERROR(AVERAGEIFS($K$4:$K$503,$B$4:$B$503,$B41,$AK$4:$AK$503,"&gt;="&amp;$AK41-Settings!$C$22,$AK$4:$AK$503,"&lt;="&amp;$AK41-1),"")))</f>
        <v/>
      </c>
      <c r="AC41" s="27" t="str">
        <f t="shared" si="9"/>
        <v/>
      </c>
      <c r="AD41" s="28" t="str">
        <f>IF($B41="","",IF($AK41&lt;=Settings!$C$23,"",IFERROR($E41/SUMIFS($E$4:$E$503,$B$4:$B$503,$B41,$AK$4:$AK$503,$AK41-Settings!$C$23)-1,"")))</f>
        <v/>
      </c>
      <c r="AE41" s="28" t="str">
        <f>IF($B41="","",IF($AK41&lt;=Settings!$C$22,"",IFERROR($E41/SUMIFS($E$4:$E$503,$B$4:$B$503,$B41,$AK$4:$AK$503,$AK41-Settings!$C$22)-1,"")))</f>
        <v/>
      </c>
      <c r="AF41" s="28">
        <f t="shared" si="10"/>
        <v>2.976190476190476E-2</v>
      </c>
      <c r="AG41" s="29">
        <f>IF($B41="","",ROUND((MIN(100,100*N($I41)/Settings!$C$27)+MIN(100,100*N($K41)/Settings!$C$28)+MIN(100,100*N($J41)/Settings!$C$29))/3,1))</f>
        <v>7</v>
      </c>
      <c r="AH41" s="29">
        <f>IF($B41="","",IF(SUM(Settings!$C$32:$C$37)=0,"",ROUND((Settings!$C$32*$AO41+Settings!$C$33*$AP41+Settings!$C$34*$AQ41+Settings!$C$35*$AR41+Settings!$C$36*$AS41+Settings!$C$37*$AT41)/SUM(Settings!$C$32:$C$37),1)))</f>
        <v>45.4</v>
      </c>
      <c r="AI41" s="29">
        <f>IF($B41="","",MAX(0,100-IF(N($N41)&gt;0,0,20)-IF(AND(N($L41)=0,N($M41)=0),15,0)-IF(N($J41)&gt;0,0,10)-IF(N($K41)&gt;0,0,10)-IF($Z41&lt;&gt;"",0,15)-IF($AB41&lt;&gt;"",0,10)-IF($R41="ERROR",20,IF($R41="WARNING",10,0))))</f>
        <v>75</v>
      </c>
      <c r="AJ41" s="30" t="str">
        <f>IF($AH41="","",IF($AH41&lt;Settings!$C$46,"Extreme Sell Pressure",IF($AH41&lt;Settings!$C$47,"Sell Pressure",IF($AH41&lt;=Settings!$C$48,"Neutral",IF($AH41&lt;=Settings!$C$49,"Buy Pressure","Extreme Buy Pressure")))))</f>
        <v>Neutral</v>
      </c>
      <c r="AK41" s="30">
        <f t="shared" si="11"/>
        <v>2</v>
      </c>
      <c r="AL41" s="30">
        <f t="shared" si="12"/>
        <v>2026</v>
      </c>
      <c r="AM41" s="30">
        <f t="shared" si="13"/>
        <v>33</v>
      </c>
      <c r="AN41" s="30">
        <f t="shared" si="14"/>
        <v>8</v>
      </c>
      <c r="AO41" s="29">
        <f>IF($B41="","",IF(AND(N($L41)=0,N($M41)=0),50,IF(N($M41)=0,100,IF(N($L41)=0,0,MEDIAN(0,100,50+50*LN($S41)/LN(Settings!$C$40))))))</f>
        <v>36.619833143057733</v>
      </c>
      <c r="AP41" s="29">
        <f>IF($AA41="",50,MEDIAN(0,100,50+$AA41*100*Settings!$C$41))</f>
        <v>50</v>
      </c>
      <c r="AQ41" s="29">
        <f>IF($H41="",50,MEDIAN(0,100,50+$H41*100*Settings!$C$42))</f>
        <v>62.048192771084267</v>
      </c>
      <c r="AR41" s="29">
        <f>IF(OR($AC41="",$H41=""),50,MEDIAN(0,100,50+SIGN($H41)*50*MEDIAN(0,1,($AC41-1)/Settings!$C$43)))</f>
        <v>50</v>
      </c>
      <c r="AS41" s="29">
        <f>IF(OR($V41="",$W41=""),50,MEDIAN(0,100,50+50*($V41-$W41)/Settings!$C$44))</f>
        <v>27.364350932909893</v>
      </c>
      <c r="AT41" s="29">
        <f t="shared" si="15"/>
        <v>49.063388320014042</v>
      </c>
      <c r="AU41" s="30" t="str">
        <f t="shared" si="16"/>
        <v>MBP|2026-08-11</v>
      </c>
      <c r="AV41" s="87">
        <f>IF($A41="","",IF(COUNTIFS($A$4:$A41,$A41)=1,1,0))</f>
        <v>0</v>
      </c>
    </row>
    <row r="42" spans="1:48" x14ac:dyDescent="0.3">
      <c r="A42" s="265">
        <v>46245</v>
      </c>
      <c r="B42" s="266" t="s">
        <v>1099</v>
      </c>
      <c r="C42" s="267">
        <v>525</v>
      </c>
      <c r="D42" s="267">
        <v>525</v>
      </c>
      <c r="E42" s="267">
        <v>475</v>
      </c>
      <c r="F42" s="267">
        <v>515</v>
      </c>
      <c r="G42" s="267">
        <v>450</v>
      </c>
      <c r="H42" s="268">
        <f t="shared" si="0"/>
        <v>-9.5238095238095233E-2</v>
      </c>
      <c r="I42" s="269">
        <v>110353875</v>
      </c>
      <c r="J42" s="269">
        <v>595</v>
      </c>
      <c r="K42" s="269">
        <v>232164</v>
      </c>
      <c r="L42" s="269">
        <v>2793</v>
      </c>
      <c r="M42" s="269">
        <v>241297</v>
      </c>
      <c r="N42" s="269">
        <v>117470000000</v>
      </c>
      <c r="O42" s="266" t="s">
        <v>1106</v>
      </c>
      <c r="P42" s="265">
        <v>46265</v>
      </c>
      <c r="Q42" s="266" t="s">
        <v>1138</v>
      </c>
      <c r="R42" s="23" t="str" cm="1">
        <f t="array" ref="R42">IF($B42="","",IFERROR(IF(INDEX('Data Quality'!$U$4:$U$503,ROW()-3)=0,"PENDING",INDEX('Data Quality'!$U$4:$U$503,ROW()-3)),"PENDING"))</f>
        <v>PASS</v>
      </c>
      <c r="S42" s="24">
        <f t="shared" si="1"/>
        <v>1.1574947056946418E-2</v>
      </c>
      <c r="T42" s="25">
        <f t="shared" si="2"/>
        <v>1326675</v>
      </c>
      <c r="U42" s="25">
        <f t="shared" si="3"/>
        <v>114616075</v>
      </c>
      <c r="V42" s="26">
        <f t="shared" si="4"/>
        <v>1.1293734570528645E-5</v>
      </c>
      <c r="W42" s="26">
        <f t="shared" si="5"/>
        <v>9.7570507363582194E-4</v>
      </c>
      <c r="X42" s="25">
        <f t="shared" si="6"/>
        <v>390.19159663865548</v>
      </c>
      <c r="Y42" s="25">
        <f t="shared" si="7"/>
        <v>185468.69747899158</v>
      </c>
      <c r="Z42" s="27" t="str">
        <f>IF($B42="","",IF($AK42&lt;=Settings!$C$21,"",IFERROR(AVERAGEIFS($S$4:$S$503,$B$4:$B$503,$B42,$AK$4:$AK$503,"&gt;="&amp;$AK42-Settings!$C$21,$AK$4:$AK$503,"&lt;="&amp;$AK42-1),"")))</f>
        <v/>
      </c>
      <c r="AA42" s="28" t="str">
        <f t="shared" si="8"/>
        <v/>
      </c>
      <c r="AB42" s="25" t="str">
        <f>IF($B42="","",IF($AK42&lt;=Settings!$C$22,"",IFERROR(AVERAGEIFS($K$4:$K$503,$B$4:$B$503,$B42,$AK$4:$AK$503,"&gt;="&amp;$AK42-Settings!$C$22,$AK$4:$AK$503,"&lt;="&amp;$AK42-1),"")))</f>
        <v/>
      </c>
      <c r="AC42" s="27" t="str">
        <f t="shared" si="9"/>
        <v/>
      </c>
      <c r="AD42" s="28" t="str">
        <f>IF($B42="","",IF($AK42&lt;=Settings!$C$23,"",IFERROR($E42/SUMIFS($E$4:$E$503,$B$4:$B$503,$B42,$AK$4:$AK$503,$AK42-Settings!$C$23)-1,"")))</f>
        <v/>
      </c>
      <c r="AE42" s="28" t="str">
        <f>IF($B42="","",IF($AK42&lt;=Settings!$C$22,"",IFERROR($E42/SUMIFS($E$4:$E$503,$B$4:$B$503,$B42,$AK$4:$AK$503,$AK42-Settings!$C$22)-1,"")))</f>
        <v/>
      </c>
      <c r="AF42" s="28">
        <f t="shared" si="10"/>
        <v>0.1368421052631579</v>
      </c>
      <c r="AG42" s="29">
        <f>IF($B42="","",ROUND((MIN(100,100*N($I42)/Settings!$C$27)+MIN(100,100*N($K42)/Settings!$C$28)+MIN(100,100*N($J42)/Settings!$C$29))/3,1))</f>
        <v>52.5</v>
      </c>
      <c r="AH42" s="29">
        <f>IF($B42="","",IF(SUM(Settings!$C$32:$C$37)=0,"",ROUND((Settings!$C$32*$AO42+Settings!$C$33*$AP42+Settings!$C$34*$AQ42+Settings!$C$35*$AR42+Settings!$C$36*$AS42+Settings!$C$37*$AT42)/SUM(Settings!$C$32:$C$37),1)))</f>
        <v>19.899999999999999</v>
      </c>
      <c r="AI42" s="29">
        <f>IF($B42="","",MAX(0,100-IF(N($N42)&gt;0,0,20)-IF(AND(N($L42)=0,N($M42)=0),15,0)-IF(N($J42)&gt;0,0,10)-IF(N($K42)&gt;0,0,10)-IF($Z42&lt;&gt;"",0,15)-IF($AB42&lt;&gt;"",0,10)-IF($R42="ERROR",20,IF($R42="WARNING",10,0))))</f>
        <v>75</v>
      </c>
      <c r="AJ42" s="30" t="str">
        <f>IF($AH42="","",IF($AH42&lt;Settings!$C$46,"Extreme Sell Pressure",IF($AH42&lt;Settings!$C$47,"Sell Pressure",IF($AH42&lt;=Settings!$C$48,"Neutral",IF($AH42&lt;=Settings!$C$49,"Buy Pressure","Extreme Buy Pressure")))))</f>
        <v>Extreme Sell Pressure</v>
      </c>
      <c r="AK42" s="30">
        <f t="shared" si="11"/>
        <v>2</v>
      </c>
      <c r="AL42" s="30">
        <f t="shared" si="12"/>
        <v>2026</v>
      </c>
      <c r="AM42" s="30">
        <f t="shared" si="13"/>
        <v>33</v>
      </c>
      <c r="AN42" s="30">
        <f t="shared" si="14"/>
        <v>8</v>
      </c>
      <c r="AO42" s="29">
        <f>IF($B42="","",IF(AND(N($L42)=0,N($M42)=0),50,IF(N($M42)=0,100,IF(N($L42)=0,0,MEDIAN(0,100,50+50*LN($S42)/LN(Settings!$C$40))))))</f>
        <v>0</v>
      </c>
      <c r="AP42" s="29">
        <f>IF($AA42="",50,MEDIAN(0,100,50+$AA42*100*Settings!$C$41))</f>
        <v>50</v>
      </c>
      <c r="AQ42" s="29">
        <f>IF($H42="",50,MEDIAN(0,100,50+$H42*100*Settings!$C$42))</f>
        <v>0</v>
      </c>
      <c r="AR42" s="29">
        <f>IF(OR($AC42="",$H42=""),50,MEDIAN(0,100,50+SIGN($H42)*50*MEDIAN(0,1,($AC42-1)/Settings!$C$43)))</f>
        <v>50</v>
      </c>
      <c r="AS42" s="29">
        <f>IF(OR($V42="",$W42=""),50,MEDIAN(0,100,50+50*($V42-$W42)/Settings!$C$44))</f>
        <v>0</v>
      </c>
      <c r="AT42" s="29">
        <f t="shared" si="15"/>
        <v>23.75</v>
      </c>
      <c r="AU42" s="30" t="str">
        <f t="shared" si="16"/>
        <v>MCB|2026-08-11</v>
      </c>
      <c r="AV42" s="87">
        <f>IF($A42="","",IF(COUNTIFS($A$4:$A42,$A42)=1,1,0))</f>
        <v>0</v>
      </c>
    </row>
    <row r="43" spans="1:48" x14ac:dyDescent="0.3">
      <c r="A43" s="265">
        <v>46245</v>
      </c>
      <c r="B43" s="266" t="s">
        <v>138</v>
      </c>
      <c r="C43" s="267">
        <v>3740</v>
      </c>
      <c r="D43" s="267">
        <v>3740</v>
      </c>
      <c r="E43" s="267">
        <v>3870</v>
      </c>
      <c r="F43" s="267">
        <v>3880</v>
      </c>
      <c r="G43" s="267">
        <v>3740</v>
      </c>
      <c r="H43" s="268">
        <f t="shared" si="0"/>
        <v>3.475935828876997E-2</v>
      </c>
      <c r="I43" s="269">
        <v>4966000</v>
      </c>
      <c r="J43" s="269">
        <v>9</v>
      </c>
      <c r="K43" s="269">
        <v>1285</v>
      </c>
      <c r="L43" s="269">
        <v>1378</v>
      </c>
      <c r="M43" s="269">
        <v>2154</v>
      </c>
      <c r="N43" s="269">
        <v>91160000000</v>
      </c>
      <c r="O43" s="266" t="s">
        <v>1106</v>
      </c>
      <c r="P43" s="265">
        <v>46265</v>
      </c>
      <c r="Q43" s="266" t="s">
        <v>1138</v>
      </c>
      <c r="R43" s="23" t="str" cm="1">
        <f t="array" ref="R43">IF($B43="","",IFERROR(IF(INDEX('Data Quality'!$U$4:$U$503,ROW()-3)=0,"PENDING",INDEX('Data Quality'!$U$4:$U$503,ROW()-3)),"PENDING"))</f>
        <v>PASS</v>
      </c>
      <c r="S43" s="24">
        <f t="shared" si="1"/>
        <v>0.6397400185701021</v>
      </c>
      <c r="T43" s="25">
        <f t="shared" si="2"/>
        <v>5332860</v>
      </c>
      <c r="U43" s="25">
        <f t="shared" si="3"/>
        <v>8335980</v>
      </c>
      <c r="V43" s="26">
        <f t="shared" si="4"/>
        <v>5.8499999999999999E-5</v>
      </c>
      <c r="W43" s="26">
        <f t="shared" si="5"/>
        <v>9.1443396226415093E-5</v>
      </c>
      <c r="X43" s="25">
        <f t="shared" si="6"/>
        <v>142.77777777777777</v>
      </c>
      <c r="Y43" s="25">
        <f t="shared" si="7"/>
        <v>551777.77777777775</v>
      </c>
      <c r="Z43" s="27" t="str">
        <f>IF($B43="","",IF($AK43&lt;=Settings!$C$21,"",IFERROR(AVERAGEIFS($S$4:$S$503,$B$4:$B$503,$B43,$AK$4:$AK$503,"&gt;="&amp;$AK43-Settings!$C$21,$AK$4:$AK$503,"&lt;="&amp;$AK43-1),"")))</f>
        <v/>
      </c>
      <c r="AA43" s="28" t="str">
        <f t="shared" si="8"/>
        <v/>
      </c>
      <c r="AB43" s="25" t="str">
        <f>IF($B43="","",IF($AK43&lt;=Settings!$C$22,"",IFERROR(AVERAGEIFS($K$4:$K$503,$B$4:$B$503,$B43,$AK$4:$AK$503,"&gt;="&amp;$AK43-Settings!$C$22,$AK$4:$AK$503,"&lt;="&amp;$AK43-1),"")))</f>
        <v/>
      </c>
      <c r="AC43" s="27" t="str">
        <f t="shared" si="9"/>
        <v/>
      </c>
      <c r="AD43" s="28" t="str">
        <f>IF($B43="","",IF($AK43&lt;=Settings!$C$23,"",IFERROR($E43/SUMIFS($E$4:$E$503,$B$4:$B$503,$B43,$AK$4:$AK$503,$AK43-Settings!$C$23)-1,"")))</f>
        <v/>
      </c>
      <c r="AE43" s="28" t="str">
        <f>IF($B43="","",IF($AK43&lt;=Settings!$C$22,"",IFERROR($E43/SUMIFS($E$4:$E$503,$B$4:$B$503,$B43,$AK$4:$AK$503,$AK43-Settings!$C$22)-1,"")))</f>
        <v/>
      </c>
      <c r="AF43" s="28">
        <f t="shared" si="10"/>
        <v>3.6175710594315243E-2</v>
      </c>
      <c r="AG43" s="29">
        <f>IF($B43="","",ROUND((MIN(100,100*N($I43)/Settings!$C$27)+MIN(100,100*N($K43)/Settings!$C$28)+MIN(100,100*N($J43)/Settings!$C$29))/3,1))</f>
        <v>3.3</v>
      </c>
      <c r="AH43" s="29">
        <f>IF($B43="","",IF(SUM(Settings!$C$32:$C$37)=0,"",ROUND((Settings!$C$32*$AO43+Settings!$C$33*$AP43+Settings!$C$34*$AQ43+Settings!$C$35*$AR43+Settings!$C$36*$AS43+Settings!$C$37*$AT43)/SUM(Settings!$C$32:$C$37),1)))</f>
        <v>50</v>
      </c>
      <c r="AI43" s="29">
        <f>IF($B43="","",MAX(0,100-IF(N($N43)&gt;0,0,20)-IF(AND(N($L43)=0,N($M43)=0),15,0)-IF(N($J43)&gt;0,0,10)-IF(N($K43)&gt;0,0,10)-IF($Z43&lt;&gt;"",0,15)-IF($AB43&lt;&gt;"",0,10)-IF($R43="ERROR",20,IF($R43="WARNING",10,0))))</f>
        <v>75</v>
      </c>
      <c r="AJ43" s="30" t="str">
        <f>IF($AH43="","",IF($AH43&lt;Settings!$C$46,"Extreme Sell Pressure",IF($AH43&lt;Settings!$C$47,"Sell Pressure",IF($AH43&lt;=Settings!$C$48,"Neutral",IF($AH43&lt;=Settings!$C$49,"Buy Pressure","Extreme Buy Pressure")))))</f>
        <v>Neutral</v>
      </c>
      <c r="AK43" s="30">
        <f t="shared" si="11"/>
        <v>2</v>
      </c>
      <c r="AL43" s="30">
        <f t="shared" si="12"/>
        <v>2026</v>
      </c>
      <c r="AM43" s="30">
        <f t="shared" si="13"/>
        <v>33</v>
      </c>
      <c r="AN43" s="30">
        <f t="shared" si="14"/>
        <v>8</v>
      </c>
      <c r="AO43" s="29">
        <f>IF($B43="","",IF(AND(N($L43)=0,N($M43)=0),50,IF(N($M43)=0,100,IF(N($L43)=0,0,MEDIAN(0,100,50+50*LN($S43)/LN(Settings!$C$40))))))</f>
        <v>33.888940954002095</v>
      </c>
      <c r="AP43" s="29">
        <f>IF($AA43="",50,MEDIAN(0,100,50+$AA43*100*Settings!$C$41))</f>
        <v>50</v>
      </c>
      <c r="AQ43" s="29">
        <f>IF($H43="",50,MEDIAN(0,100,50+$H43*100*Settings!$C$42))</f>
        <v>84.759358288769974</v>
      </c>
      <c r="AR43" s="29">
        <f>IF(OR($AC43="",$H43=""),50,MEDIAN(0,100,50+SIGN($H43)*50*MEDIAN(0,1,($AC43-1)/Settings!$C$43)))</f>
        <v>50</v>
      </c>
      <c r="AS43" s="29">
        <f>IF(OR($V43="",$W43=""),50,MEDIAN(0,100,50+50*($V43-$W43)/Settings!$C$44))</f>
        <v>46.705660377358491</v>
      </c>
      <c r="AT43" s="29">
        <f t="shared" si="15"/>
        <v>49.468335051482072</v>
      </c>
      <c r="AU43" s="30" t="str">
        <f t="shared" si="16"/>
        <v>MKCB|2026-08-11</v>
      </c>
      <c r="AV43" s="87">
        <f>IF($A43="","",IF(COUNTIFS($A$4:$A43,$A43)=1,1,0))</f>
        <v>0</v>
      </c>
    </row>
    <row r="44" spans="1:48" x14ac:dyDescent="0.3">
      <c r="A44" s="265">
        <v>46245</v>
      </c>
      <c r="B44" s="266" t="s">
        <v>140</v>
      </c>
      <c r="C44" s="267">
        <v>455</v>
      </c>
      <c r="D44" s="267">
        <v>455</v>
      </c>
      <c r="E44" s="267">
        <v>465</v>
      </c>
      <c r="F44" s="267">
        <v>465</v>
      </c>
      <c r="G44" s="267">
        <v>465</v>
      </c>
      <c r="H44" s="268">
        <f t="shared" si="0"/>
        <v>2.19780219780219E-2</v>
      </c>
      <c r="I44" s="269">
        <v>1685625</v>
      </c>
      <c r="J44" s="269">
        <v>29</v>
      </c>
      <c r="K44" s="269">
        <v>3625</v>
      </c>
      <c r="L44" s="269">
        <v>2724</v>
      </c>
      <c r="M44" s="269">
        <v>500</v>
      </c>
      <c r="N44" s="269">
        <v>15190000000</v>
      </c>
      <c r="O44" s="266" t="s">
        <v>1106</v>
      </c>
      <c r="P44" s="265">
        <v>46265</v>
      </c>
      <c r="Q44" s="266" t="s">
        <v>1138</v>
      </c>
      <c r="R44" s="23" t="str" cm="1">
        <f t="array" ref="R44">IF($B44="","",IFERROR(IF(INDEX('Data Quality'!$U$4:$U$503,ROW()-3)=0,"PENDING",INDEX('Data Quality'!$U$4:$U$503,ROW()-3)),"PENDING"))</f>
        <v>PASS</v>
      </c>
      <c r="S44" s="24">
        <f t="shared" si="1"/>
        <v>5.4480000000000004</v>
      </c>
      <c r="T44" s="25">
        <f t="shared" si="2"/>
        <v>1266660</v>
      </c>
      <c r="U44" s="25">
        <f t="shared" si="3"/>
        <v>232500</v>
      </c>
      <c r="V44" s="26">
        <f t="shared" si="4"/>
        <v>8.3387755102040811E-5</v>
      </c>
      <c r="W44" s="26">
        <f t="shared" si="5"/>
        <v>1.5306122448979591E-5</v>
      </c>
      <c r="X44" s="25">
        <f t="shared" si="6"/>
        <v>125</v>
      </c>
      <c r="Y44" s="25">
        <f t="shared" si="7"/>
        <v>58125</v>
      </c>
      <c r="Z44" s="27" t="str">
        <f>IF($B44="","",IF($AK44&lt;=Settings!$C$21,"",IFERROR(AVERAGEIFS($S$4:$S$503,$B$4:$B$503,$B44,$AK$4:$AK$503,"&gt;="&amp;$AK44-Settings!$C$21,$AK$4:$AK$503,"&lt;="&amp;$AK44-1),"")))</f>
        <v/>
      </c>
      <c r="AA44" s="28" t="str">
        <f t="shared" si="8"/>
        <v/>
      </c>
      <c r="AB44" s="25" t="str">
        <f>IF($B44="","",IF($AK44&lt;=Settings!$C$22,"",IFERROR(AVERAGEIFS($K$4:$K$503,$B$4:$B$503,$B44,$AK$4:$AK$503,"&gt;="&amp;$AK44-Settings!$C$22,$AK$4:$AK$503,"&lt;="&amp;$AK44-1),"")))</f>
        <v/>
      </c>
      <c r="AC44" s="27" t="str">
        <f t="shared" si="9"/>
        <v/>
      </c>
      <c r="AD44" s="28" t="str">
        <f>IF($B44="","",IF($AK44&lt;=Settings!$C$23,"",IFERROR($E44/SUMIFS($E$4:$E$503,$B$4:$B$503,$B44,$AK$4:$AK$503,$AK44-Settings!$C$23)-1,"")))</f>
        <v/>
      </c>
      <c r="AE44" s="28" t="str">
        <f>IF($B44="","",IF($AK44&lt;=Settings!$C$22,"",IFERROR($E44/SUMIFS($E$4:$E$503,$B$4:$B$503,$B44,$AK$4:$AK$503,$AK44-Settings!$C$22)-1,"")))</f>
        <v/>
      </c>
      <c r="AF44" s="28">
        <f t="shared" si="10"/>
        <v>0</v>
      </c>
      <c r="AG44" s="29">
        <f>IF($B44="","",ROUND((MIN(100,100*N($I44)/Settings!$C$27)+MIN(100,100*N($K44)/Settings!$C$28)+MIN(100,100*N($J44)/Settings!$C$29))/3,1))</f>
        <v>10</v>
      </c>
      <c r="AH44" s="29">
        <f>IF($B44="","",IF(SUM(Settings!$C$32:$C$37)=0,"",ROUND((Settings!$C$32*$AO44+Settings!$C$33*$AP44+Settings!$C$34*$AQ44+Settings!$C$35*$AR44+Settings!$C$36*$AS44+Settings!$C$37*$AT44)/SUM(Settings!$C$32:$C$37),1)))</f>
        <v>69.5</v>
      </c>
      <c r="AI44" s="29">
        <f>IF($B44="","",MAX(0,100-IF(N($N44)&gt;0,0,20)-IF(AND(N($L44)=0,N($M44)=0),15,0)-IF(N($J44)&gt;0,0,10)-IF(N($K44)&gt;0,0,10)-IF($Z44&lt;&gt;"",0,15)-IF($AB44&lt;&gt;"",0,10)-IF($R44="ERROR",20,IF($R44="WARNING",10,0))))</f>
        <v>75</v>
      </c>
      <c r="AJ44" s="30" t="str">
        <f>IF($AH44="","",IF($AH44&lt;Settings!$C$46,"Extreme Sell Pressure",IF($AH44&lt;Settings!$C$47,"Sell Pressure",IF($AH44&lt;=Settings!$C$48,"Neutral",IF($AH44&lt;=Settings!$C$49,"Buy Pressure","Extreme Buy Pressure")))))</f>
        <v>Buy Pressure</v>
      </c>
      <c r="AK44" s="30">
        <f t="shared" si="11"/>
        <v>2</v>
      </c>
      <c r="AL44" s="30">
        <f t="shared" si="12"/>
        <v>2026</v>
      </c>
      <c r="AM44" s="30">
        <f t="shared" si="13"/>
        <v>33</v>
      </c>
      <c r="AN44" s="30">
        <f t="shared" si="14"/>
        <v>8</v>
      </c>
      <c r="AO44" s="29">
        <f>IF($B44="","",IF(AND(N($L44)=0,N($M44)=0),50,IF(N($M44)=0,100,IF(N($L44)=0,0,MEDIAN(0,100,50+50*LN($S44)/LN(Settings!$C$40))))))</f>
        <v>100</v>
      </c>
      <c r="AP44" s="29">
        <f>IF($AA44="",50,MEDIAN(0,100,50+$AA44*100*Settings!$C$41))</f>
        <v>50</v>
      </c>
      <c r="AQ44" s="29">
        <f>IF($H44="",50,MEDIAN(0,100,50+$H44*100*Settings!$C$42))</f>
        <v>71.9780219780219</v>
      </c>
      <c r="AR44" s="29">
        <f>IF(OR($AC44="",$H44=""),50,MEDIAN(0,100,50+SIGN($H44)*50*MEDIAN(0,1,($AC44-1)/Settings!$C$43)))</f>
        <v>50</v>
      </c>
      <c r="AS44" s="29">
        <f>IF(OR($V44="",$W44=""),50,MEDIAN(0,100,50+50*($V44-$W44)/Settings!$C$44))</f>
        <v>56.808163265306121</v>
      </c>
      <c r="AT44" s="29">
        <f t="shared" si="15"/>
        <v>55</v>
      </c>
      <c r="AU44" s="30" t="str">
        <f t="shared" si="16"/>
        <v>MUCOBA|2026-08-11</v>
      </c>
      <c r="AV44" s="87">
        <f>IF($A44="","",IF(COUNTIFS($A$4:$A44,$A44)=1,1,0))</f>
        <v>0</v>
      </c>
    </row>
    <row r="45" spans="1:48" x14ac:dyDescent="0.3">
      <c r="A45" s="265">
        <v>46245</v>
      </c>
      <c r="B45" s="266" t="s">
        <v>134</v>
      </c>
      <c r="C45" s="267">
        <v>3590</v>
      </c>
      <c r="D45" s="267">
        <v>3590</v>
      </c>
      <c r="E45" s="267">
        <v>3610</v>
      </c>
      <c r="F45" s="267">
        <v>3700</v>
      </c>
      <c r="G45" s="267">
        <v>3600</v>
      </c>
      <c r="H45" s="268">
        <f t="shared" si="0"/>
        <v>5.5710306406684396E-3</v>
      </c>
      <c r="I45" s="269">
        <v>27442940</v>
      </c>
      <c r="J45" s="269">
        <v>49</v>
      </c>
      <c r="K45" s="269">
        <v>7589</v>
      </c>
      <c r="L45" s="269">
        <v>7249</v>
      </c>
      <c r="M45" s="269">
        <v>9631</v>
      </c>
      <c r="N45" s="269">
        <v>222540000000</v>
      </c>
      <c r="O45" s="266" t="s">
        <v>1106</v>
      </c>
      <c r="P45" s="265">
        <v>46265</v>
      </c>
      <c r="Q45" s="266" t="s">
        <v>1138</v>
      </c>
      <c r="R45" s="23" t="str" cm="1">
        <f t="array" ref="R45">IF($B45="","",IFERROR(IF(INDEX('Data Quality'!$U$4:$U$503,ROW()-3)=0,"PENDING",INDEX('Data Quality'!$U$4:$U$503,ROW()-3)),"PENDING"))</f>
        <v>PASS</v>
      </c>
      <c r="S45" s="24">
        <f t="shared" si="1"/>
        <v>0.75267365797944141</v>
      </c>
      <c r="T45" s="25">
        <f t="shared" si="2"/>
        <v>26168890</v>
      </c>
      <c r="U45" s="25">
        <f t="shared" si="3"/>
        <v>34767910</v>
      </c>
      <c r="V45" s="26">
        <f t="shared" si="4"/>
        <v>1.1759184865642132E-4</v>
      </c>
      <c r="W45" s="26">
        <f t="shared" si="5"/>
        <v>1.5623218297834097E-4</v>
      </c>
      <c r="X45" s="25">
        <f t="shared" si="6"/>
        <v>154.87755102040816</v>
      </c>
      <c r="Y45" s="25">
        <f t="shared" si="7"/>
        <v>560060</v>
      </c>
      <c r="Z45" s="27" t="str">
        <f>IF($B45="","",IF($AK45&lt;=Settings!$C$21,"",IFERROR(AVERAGEIFS($S$4:$S$503,$B$4:$B$503,$B45,$AK$4:$AK$503,"&gt;="&amp;$AK45-Settings!$C$21,$AK$4:$AK$503,"&lt;="&amp;$AK45-1),"")))</f>
        <v/>
      </c>
      <c r="AA45" s="28" t="str">
        <f t="shared" si="8"/>
        <v/>
      </c>
      <c r="AB45" s="25" t="str">
        <f>IF($B45="","",IF($AK45&lt;=Settings!$C$22,"",IFERROR(AVERAGEIFS($K$4:$K$503,$B$4:$B$503,$B45,$AK$4:$AK$503,"&gt;="&amp;$AK45-Settings!$C$22,$AK$4:$AK$503,"&lt;="&amp;$AK45-1),"")))</f>
        <v/>
      </c>
      <c r="AC45" s="27" t="str">
        <f t="shared" si="9"/>
        <v/>
      </c>
      <c r="AD45" s="28" t="str">
        <f>IF($B45="","",IF($AK45&lt;=Settings!$C$23,"",IFERROR($E45/SUMIFS($E$4:$E$503,$B$4:$B$503,$B45,$AK$4:$AK$503,$AK45-Settings!$C$23)-1,"")))</f>
        <v/>
      </c>
      <c r="AE45" s="28" t="str">
        <f>IF($B45="","",IF($AK45&lt;=Settings!$C$22,"",IFERROR($E45/SUMIFS($E$4:$E$503,$B$4:$B$503,$B45,$AK$4:$AK$503,$AK45-Settings!$C$22)-1,"")))</f>
        <v/>
      </c>
      <c r="AF45" s="28">
        <f t="shared" si="10"/>
        <v>2.7700831024930747E-2</v>
      </c>
      <c r="AG45" s="29">
        <f>IF($B45="","",ROUND((MIN(100,100*N($I45)/Settings!$C$27)+MIN(100,100*N($K45)/Settings!$C$28)+MIN(100,100*N($J45)/Settings!$C$29))/3,1))</f>
        <v>17.8</v>
      </c>
      <c r="AH45" s="29">
        <f>IF($B45="","",IF(SUM(Settings!$C$32:$C$37)=0,"",ROUND((Settings!$C$32*$AO45+Settings!$C$33*$AP45+Settings!$C$34*$AQ45+Settings!$C$35*$AR45+Settings!$C$36*$AS45+Settings!$C$37*$AT45)/SUM(Settings!$C$32:$C$37),1)))</f>
        <v>47.2</v>
      </c>
      <c r="AI45" s="29">
        <f>IF($B45="","",MAX(0,100-IF(N($N45)&gt;0,0,20)-IF(AND(N($L45)=0,N($M45)=0),15,0)-IF(N($J45)&gt;0,0,10)-IF(N($K45)&gt;0,0,10)-IF($Z45&lt;&gt;"",0,15)-IF($AB45&lt;&gt;"",0,10)-IF($R45="ERROR",20,IF($R45="WARNING",10,0))))</f>
        <v>75</v>
      </c>
      <c r="AJ45" s="30" t="str">
        <f>IF($AH45="","",IF($AH45&lt;Settings!$C$46,"Extreme Sell Pressure",IF($AH45&lt;Settings!$C$47,"Sell Pressure",IF($AH45&lt;=Settings!$C$48,"Neutral",IF($AH45&lt;=Settings!$C$49,"Buy Pressure","Extreme Buy Pressure")))))</f>
        <v>Neutral</v>
      </c>
      <c r="AK45" s="30">
        <f t="shared" si="11"/>
        <v>2</v>
      </c>
      <c r="AL45" s="30">
        <f t="shared" si="12"/>
        <v>2026</v>
      </c>
      <c r="AM45" s="30">
        <f t="shared" si="13"/>
        <v>33</v>
      </c>
      <c r="AN45" s="30">
        <f t="shared" si="14"/>
        <v>8</v>
      </c>
      <c r="AO45" s="29">
        <f>IF($B45="","",IF(AND(N($L45)=0,N($M45)=0),50,IF(N($M45)=0,100,IF(N($L45)=0,0,MEDIAN(0,100,50+50*LN($S45)/LN(Settings!$C$40))))))</f>
        <v>39.752409653081799</v>
      </c>
      <c r="AP45" s="29">
        <f>IF($AA45="",50,MEDIAN(0,100,50+$AA45*100*Settings!$C$41))</f>
        <v>50</v>
      </c>
      <c r="AQ45" s="29">
        <f>IF($H45="",50,MEDIAN(0,100,50+$H45*100*Settings!$C$42))</f>
        <v>55.57103064066844</v>
      </c>
      <c r="AR45" s="29">
        <f>IF(OR($AC45="",$H45=""),50,MEDIAN(0,100,50+SIGN($H45)*50*MEDIAN(0,1,($AC45-1)/Settings!$C$43)))</f>
        <v>50</v>
      </c>
      <c r="AS45" s="29">
        <f>IF(OR($V45="",$W45=""),50,MEDIAN(0,100,50+50*($V45-$W45)/Settings!$C$44))</f>
        <v>46.135966567808033</v>
      </c>
      <c r="AT45" s="29">
        <f t="shared" si="15"/>
        <v>48.175928918248559</v>
      </c>
      <c r="AU45" s="30" t="str">
        <f t="shared" si="16"/>
        <v>NICO|2026-08-11</v>
      </c>
      <c r="AV45" s="87">
        <f>IF($A45="","",IF(COUNTIFS($A$4:$A45,$A45)=1,1,0))</f>
        <v>0</v>
      </c>
    </row>
    <row r="46" spans="1:48" x14ac:dyDescent="0.3">
      <c r="A46" s="265">
        <v>46245</v>
      </c>
      <c r="B46" s="266" t="s">
        <v>28</v>
      </c>
      <c r="C46" s="267">
        <v>17600</v>
      </c>
      <c r="D46" s="267">
        <v>17600</v>
      </c>
      <c r="E46" s="267">
        <v>17600</v>
      </c>
      <c r="F46" s="267">
        <v>17600</v>
      </c>
      <c r="G46" s="267">
        <v>17570</v>
      </c>
      <c r="H46" s="268">
        <f t="shared" si="0"/>
        <v>0</v>
      </c>
      <c r="I46" s="269">
        <v>2026478370</v>
      </c>
      <c r="J46" s="269">
        <v>486</v>
      </c>
      <c r="K46" s="269">
        <v>115239</v>
      </c>
      <c r="L46" s="269">
        <v>11414</v>
      </c>
      <c r="M46" s="269">
        <v>58384</v>
      </c>
      <c r="N46" s="269">
        <v>8800000000000</v>
      </c>
      <c r="O46" s="266" t="s">
        <v>1106</v>
      </c>
      <c r="P46" s="265">
        <v>46265</v>
      </c>
      <c r="Q46" s="266" t="s">
        <v>1138</v>
      </c>
      <c r="R46" s="23" t="str" cm="1">
        <f t="array" ref="R46">IF($B46="","",IFERROR(IF(INDEX('Data Quality'!$U$4:$U$503,ROW()-3)=0,"PENDING",INDEX('Data Quality'!$U$4:$U$503,ROW()-3)),"PENDING"))</f>
        <v>PASS</v>
      </c>
      <c r="S46" s="24">
        <f t="shared" si="1"/>
        <v>0.19549876678542066</v>
      </c>
      <c r="T46" s="25">
        <f t="shared" si="2"/>
        <v>200886400</v>
      </c>
      <c r="U46" s="25">
        <f t="shared" si="3"/>
        <v>1027558400</v>
      </c>
      <c r="V46" s="26">
        <f t="shared" si="4"/>
        <v>2.2827999999999999E-5</v>
      </c>
      <c r="W46" s="26">
        <f t="shared" si="5"/>
        <v>1.16768E-4</v>
      </c>
      <c r="X46" s="25">
        <f t="shared" si="6"/>
        <v>237.11728395061729</v>
      </c>
      <c r="Y46" s="25">
        <f t="shared" si="7"/>
        <v>4169708.5802469137</v>
      </c>
      <c r="Z46" s="27" t="str">
        <f>IF($B46="","",IF($AK46&lt;=Settings!$C$21,"",IFERROR(AVERAGEIFS($S$4:$S$503,$B$4:$B$503,$B46,$AK$4:$AK$503,"&gt;="&amp;$AK46-Settings!$C$21,$AK$4:$AK$503,"&lt;="&amp;$AK46-1),"")))</f>
        <v/>
      </c>
      <c r="AA46" s="28" t="str">
        <f t="shared" si="8"/>
        <v/>
      </c>
      <c r="AB46" s="25" t="str">
        <f>IF($B46="","",IF($AK46&lt;=Settings!$C$22,"",IFERROR(AVERAGEIFS($K$4:$K$503,$B$4:$B$503,$B46,$AK$4:$AK$503,"&gt;="&amp;$AK46-Settings!$C$22,$AK$4:$AK$503,"&lt;="&amp;$AK46-1),"")))</f>
        <v/>
      </c>
      <c r="AC46" s="27" t="str">
        <f t="shared" si="9"/>
        <v/>
      </c>
      <c r="AD46" s="28" t="str">
        <f>IF($B46="","",IF($AK46&lt;=Settings!$C$23,"",IFERROR($E46/SUMIFS($E$4:$E$503,$B$4:$B$503,$B46,$AK$4:$AK$503,$AK46-Settings!$C$23)-1,"")))</f>
        <v/>
      </c>
      <c r="AE46" s="28" t="str">
        <f>IF($B46="","",IF($AK46&lt;=Settings!$C$22,"",IFERROR($E46/SUMIFS($E$4:$E$503,$B$4:$B$503,$B46,$AK$4:$AK$503,$AK46-Settings!$C$22)-1,"")))</f>
        <v/>
      </c>
      <c r="AF46" s="28">
        <f t="shared" si="10"/>
        <v>1.7045454545454545E-3</v>
      </c>
      <c r="AG46" s="29">
        <f>IF($B46="","",ROUND((MIN(100,100*N($I46)/Settings!$C$27)+MIN(100,100*N($K46)/Settings!$C$28)+MIN(100,100*N($J46)/Settings!$C$29))/3,1))</f>
        <v>74.3</v>
      </c>
      <c r="AH46" s="29">
        <f>IF($B46="","",IF(SUM(Settings!$C$32:$C$37)=0,"",ROUND((Settings!$C$32*$AO46+Settings!$C$33*$AP46+Settings!$C$34*$AQ46+Settings!$C$35*$AR46+Settings!$C$36*$AS46+Settings!$C$37*$AT46)/SUM(Settings!$C$32:$C$37),1)))</f>
        <v>30.3</v>
      </c>
      <c r="AI46" s="29">
        <f>IF($B46="","",MAX(0,100-IF(N($N46)&gt;0,0,20)-IF(AND(N($L46)=0,N($M46)=0),15,0)-IF(N($J46)&gt;0,0,10)-IF(N($K46)&gt;0,0,10)-IF($Z46&lt;&gt;"",0,15)-IF($AB46&lt;&gt;"",0,10)-IF($R46="ERROR",20,IF($R46="WARNING",10,0))))</f>
        <v>75</v>
      </c>
      <c r="AJ46" s="30" t="str">
        <f>IF($AH46="","",IF($AH46&lt;Settings!$C$46,"Extreme Sell Pressure",IF($AH46&lt;Settings!$C$47,"Sell Pressure",IF($AH46&lt;=Settings!$C$48,"Neutral",IF($AH46&lt;=Settings!$C$49,"Buy Pressure","Extreme Buy Pressure")))))</f>
        <v>Sell Pressure</v>
      </c>
      <c r="AK46" s="30">
        <f t="shared" si="11"/>
        <v>2</v>
      </c>
      <c r="AL46" s="30">
        <f t="shared" si="12"/>
        <v>2026</v>
      </c>
      <c r="AM46" s="30">
        <f t="shared" si="13"/>
        <v>33</v>
      </c>
      <c r="AN46" s="30">
        <f t="shared" si="14"/>
        <v>8</v>
      </c>
      <c r="AO46" s="29">
        <f>IF($B46="","",IF(AND(N($L46)=0,N($M46)=0),50,IF(N($M46)=0,100,IF(N($L46)=0,0,MEDIAN(0,100,50+50*LN($S46)/LN(Settings!$C$40))))))</f>
        <v>0</v>
      </c>
      <c r="AP46" s="29">
        <f>IF($AA46="",50,MEDIAN(0,100,50+$AA46*100*Settings!$C$41))</f>
        <v>50</v>
      </c>
      <c r="AQ46" s="29">
        <f>IF($H46="",50,MEDIAN(0,100,50+$H46*100*Settings!$C$42))</f>
        <v>50</v>
      </c>
      <c r="AR46" s="29">
        <f>IF(OR($AC46="",$H46=""),50,MEDIAN(0,100,50+SIGN($H46)*50*MEDIAN(0,1,($AC46-1)/Settings!$C$43)))</f>
        <v>50</v>
      </c>
      <c r="AS46" s="29">
        <f>IF(OR($V46="",$W46=""),50,MEDIAN(0,100,50+50*($V46-$W46)/Settings!$C$44))</f>
        <v>40.605999999999995</v>
      </c>
      <c r="AT46" s="29">
        <f t="shared" si="15"/>
        <v>12.850000000000001</v>
      </c>
      <c r="AU46" s="30" t="str">
        <f t="shared" si="16"/>
        <v>NMB|2026-08-11</v>
      </c>
      <c r="AV46" s="87">
        <f>IF($A46="","",IF(COUNTIFS($A$4:$A46,$A46)=1,1,0))</f>
        <v>0</v>
      </c>
    </row>
    <row r="47" spans="1:48" x14ac:dyDescent="0.3">
      <c r="A47" s="265">
        <v>46245</v>
      </c>
      <c r="B47" s="266" t="s">
        <v>1100</v>
      </c>
      <c r="C47" s="267">
        <v>265</v>
      </c>
      <c r="D47" s="267">
        <v>265</v>
      </c>
      <c r="E47" s="267">
        <v>270</v>
      </c>
      <c r="F47" s="267"/>
      <c r="G47" s="267"/>
      <c r="H47" s="268">
        <f t="shared" si="0"/>
        <v>1.8867924528301883E-2</v>
      </c>
      <c r="I47" s="269">
        <v>0</v>
      </c>
      <c r="J47" s="269">
        <v>0</v>
      </c>
      <c r="K47" s="269">
        <v>0</v>
      </c>
      <c r="L47" s="269">
        <v>343</v>
      </c>
      <c r="M47" s="269">
        <v>0</v>
      </c>
      <c r="N47" s="269">
        <v>50910000000</v>
      </c>
      <c r="O47" s="266" t="s">
        <v>1106</v>
      </c>
      <c r="P47" s="265">
        <v>46265</v>
      </c>
      <c r="Q47" s="266" t="s">
        <v>1138</v>
      </c>
      <c r="R47" s="23" t="str" cm="1">
        <f t="array" ref="R47">IF($B47="","",IFERROR(IF(INDEX('Data Quality'!$U$4:$U$503,ROW()-3)=0,"PENDING",INDEX('Data Quality'!$U$4:$U$503,ROW()-3)),"PENDING"))</f>
        <v>PASS</v>
      </c>
      <c r="S47" s="24" t="str">
        <f t="shared" si="1"/>
        <v/>
      </c>
      <c r="T47" s="25">
        <f t="shared" si="2"/>
        <v>92610</v>
      </c>
      <c r="U47" s="25">
        <f t="shared" si="3"/>
        <v>0</v>
      </c>
      <c r="V47" s="26">
        <f t="shared" si="4"/>
        <v>1.8190925162050678E-6</v>
      </c>
      <c r="W47" s="26">
        <f t="shared" si="5"/>
        <v>0</v>
      </c>
      <c r="X47" s="25" t="str">
        <f t="shared" si="6"/>
        <v/>
      </c>
      <c r="Y47" s="25" t="str">
        <f t="shared" si="7"/>
        <v/>
      </c>
      <c r="Z47" s="27" t="str">
        <f>IF($B47="","",IF($AK47&lt;=Settings!$C$21,"",IFERROR(AVERAGEIFS($S$4:$S$503,$B$4:$B$503,$B47,$AK$4:$AK$503,"&gt;="&amp;$AK47-Settings!$C$21,$AK$4:$AK$503,"&lt;="&amp;$AK47-1),"")))</f>
        <v/>
      </c>
      <c r="AA47" s="28" t="str">
        <f t="shared" si="8"/>
        <v/>
      </c>
      <c r="AB47" s="25" t="str">
        <f>IF($B47="","",IF($AK47&lt;=Settings!$C$22,"",IFERROR(AVERAGEIFS($K$4:$K$503,$B$4:$B$503,$B47,$AK$4:$AK$503,"&gt;="&amp;$AK47-Settings!$C$22,$AK$4:$AK$503,"&lt;="&amp;$AK47-1),"")))</f>
        <v/>
      </c>
      <c r="AC47" s="27" t="str">
        <f t="shared" si="9"/>
        <v/>
      </c>
      <c r="AD47" s="28" t="str">
        <f>IF($B47="","",IF($AK47&lt;=Settings!$C$23,"",IFERROR($E47/SUMIFS($E$4:$E$503,$B$4:$B$503,$B47,$AK$4:$AK$503,$AK47-Settings!$C$23)-1,"")))</f>
        <v/>
      </c>
      <c r="AE47" s="28" t="str">
        <f>IF($B47="","",IF($AK47&lt;=Settings!$C$22,"",IFERROR($E47/SUMIFS($E$4:$E$503,$B$4:$B$503,$B47,$AK$4:$AK$503,$AK47-Settings!$C$22)-1,"")))</f>
        <v/>
      </c>
      <c r="AF47" s="28">
        <f t="shared" si="10"/>
        <v>0</v>
      </c>
      <c r="AG47" s="29">
        <f>IF($B47="","",ROUND((MIN(100,100*N($I47)/Settings!$C$27)+MIN(100,100*N($K47)/Settings!$C$28)+MIN(100,100*N($J47)/Settings!$C$29))/3,1))</f>
        <v>0</v>
      </c>
      <c r="AH47" s="29">
        <f>IF($B47="","",IF(SUM(Settings!$C$32:$C$37)=0,"",ROUND((Settings!$C$32*$AO47+Settings!$C$33*$AP47+Settings!$C$34*$AQ47+Settings!$C$35*$AR47+Settings!$C$36*$AS47+Settings!$C$37*$AT47)/SUM(Settings!$C$32:$C$37),1)))</f>
        <v>67.8</v>
      </c>
      <c r="AI47" s="29">
        <f>IF($B47="","",MAX(0,100-IF(N($N47)&gt;0,0,20)-IF(AND(N($L47)=0,N($M47)=0),15,0)-IF(N($J47)&gt;0,0,10)-IF(N($K47)&gt;0,0,10)-IF($Z47&lt;&gt;"",0,15)-IF($AB47&lt;&gt;"",0,10)-IF($R47="ERROR",20,IF($R47="WARNING",10,0))))</f>
        <v>55</v>
      </c>
      <c r="AJ47" s="30" t="str">
        <f>IF($AH47="","",IF($AH47&lt;Settings!$C$46,"Extreme Sell Pressure",IF($AH47&lt;Settings!$C$47,"Sell Pressure",IF($AH47&lt;=Settings!$C$48,"Neutral",IF($AH47&lt;=Settings!$C$49,"Buy Pressure","Extreme Buy Pressure")))))</f>
        <v>Buy Pressure</v>
      </c>
      <c r="AK47" s="30">
        <f t="shared" si="11"/>
        <v>2</v>
      </c>
      <c r="AL47" s="30">
        <f t="shared" si="12"/>
        <v>2026</v>
      </c>
      <c r="AM47" s="30">
        <f t="shared" si="13"/>
        <v>33</v>
      </c>
      <c r="AN47" s="30">
        <f t="shared" si="14"/>
        <v>8</v>
      </c>
      <c r="AO47" s="29">
        <f>IF($B47="","",IF(AND(N($L47)=0,N($M47)=0),50,IF(N($M47)=0,100,IF(N($L47)=0,0,MEDIAN(0,100,50+50*LN($S47)/LN(Settings!$C$40))))))</f>
        <v>100</v>
      </c>
      <c r="AP47" s="29">
        <f>IF($AA47="",50,MEDIAN(0,100,50+$AA47*100*Settings!$C$41))</f>
        <v>50</v>
      </c>
      <c r="AQ47" s="29">
        <f>IF($H47="",50,MEDIAN(0,100,50+$H47*100*Settings!$C$42))</f>
        <v>68.867924528301884</v>
      </c>
      <c r="AR47" s="29">
        <f>IF(OR($AC47="",$H47=""),50,MEDIAN(0,100,50+SIGN($H47)*50*MEDIAN(0,1,($AC47-1)/Settings!$C$43)))</f>
        <v>50</v>
      </c>
      <c r="AS47" s="29">
        <f>IF(OR($V47="",$W47=""),50,MEDIAN(0,100,50+50*($V47-$W47)/Settings!$C$44))</f>
        <v>50.18190925162051</v>
      </c>
      <c r="AT47" s="29">
        <f t="shared" si="15"/>
        <v>50</v>
      </c>
      <c r="AU47" s="30" t="str">
        <f t="shared" si="16"/>
        <v>NMG|2026-08-11</v>
      </c>
      <c r="AV47" s="87">
        <f>IF($A47="","",IF(COUNTIFS($A$4:$A47,$A47)=1,1,0))</f>
        <v>0</v>
      </c>
    </row>
    <row r="48" spans="1:48" x14ac:dyDescent="0.3">
      <c r="A48" s="265">
        <v>46245</v>
      </c>
      <c r="B48" s="266" t="s">
        <v>143</v>
      </c>
      <c r="C48" s="267">
        <v>310</v>
      </c>
      <c r="D48" s="267">
        <v>310</v>
      </c>
      <c r="E48" s="267">
        <v>305</v>
      </c>
      <c r="F48" s="267">
        <v>310</v>
      </c>
      <c r="G48" s="267">
        <v>300</v>
      </c>
      <c r="H48" s="268">
        <f t="shared" si="0"/>
        <v>-1.6129032258064502E-2</v>
      </c>
      <c r="I48" s="269">
        <v>1749860</v>
      </c>
      <c r="J48" s="269">
        <v>40</v>
      </c>
      <c r="K48" s="269">
        <v>5738</v>
      </c>
      <c r="L48" s="269">
        <v>3560</v>
      </c>
      <c r="M48" s="269">
        <v>9532</v>
      </c>
      <c r="N48" s="269">
        <v>48940000000</v>
      </c>
      <c r="O48" s="266" t="s">
        <v>1106</v>
      </c>
      <c r="P48" s="265">
        <v>46265</v>
      </c>
      <c r="Q48" s="266" t="s">
        <v>1138</v>
      </c>
      <c r="R48" s="23" t="str" cm="1">
        <f t="array" ref="R48">IF($B48="","",IFERROR(IF(INDEX('Data Quality'!$U$4:$U$503,ROW()-3)=0,"PENDING",INDEX('Data Quality'!$U$4:$U$503,ROW()-3)),"PENDING"))</f>
        <v>PASS</v>
      </c>
      <c r="S48" s="24">
        <f t="shared" si="1"/>
        <v>0.37347880822492657</v>
      </c>
      <c r="T48" s="25">
        <f t="shared" si="2"/>
        <v>1085800</v>
      </c>
      <c r="U48" s="25">
        <f t="shared" si="3"/>
        <v>2907260</v>
      </c>
      <c r="V48" s="26">
        <f t="shared" si="4"/>
        <v>2.2186350633428688E-5</v>
      </c>
      <c r="W48" s="26">
        <f t="shared" si="5"/>
        <v>5.9404577033101757E-5</v>
      </c>
      <c r="X48" s="25">
        <f t="shared" si="6"/>
        <v>143.44999999999999</v>
      </c>
      <c r="Y48" s="25">
        <f t="shared" si="7"/>
        <v>43746.5</v>
      </c>
      <c r="Z48" s="27" t="str">
        <f>IF($B48="","",IF($AK48&lt;=Settings!$C$21,"",IFERROR(AVERAGEIFS($S$4:$S$503,$B$4:$B$503,$B48,$AK$4:$AK$503,"&gt;="&amp;$AK48-Settings!$C$21,$AK$4:$AK$503,"&lt;="&amp;$AK48-1),"")))</f>
        <v/>
      </c>
      <c r="AA48" s="28" t="str">
        <f t="shared" si="8"/>
        <v/>
      </c>
      <c r="AB48" s="25" t="str">
        <f>IF($B48="","",IF($AK48&lt;=Settings!$C$22,"",IFERROR(AVERAGEIFS($K$4:$K$503,$B$4:$B$503,$B48,$AK$4:$AK$503,"&gt;="&amp;$AK48-Settings!$C$22,$AK$4:$AK$503,"&lt;="&amp;$AK48-1),"")))</f>
        <v/>
      </c>
      <c r="AC48" s="27" t="str">
        <f t="shared" si="9"/>
        <v/>
      </c>
      <c r="AD48" s="28" t="str">
        <f>IF($B48="","",IF($AK48&lt;=Settings!$C$23,"",IFERROR($E48/SUMIFS($E$4:$E$503,$B$4:$B$503,$B48,$AK$4:$AK$503,$AK48-Settings!$C$23)-1,"")))</f>
        <v/>
      </c>
      <c r="AE48" s="28" t="str">
        <f>IF($B48="","",IF($AK48&lt;=Settings!$C$22,"",IFERROR($E48/SUMIFS($E$4:$E$503,$B$4:$B$503,$B48,$AK$4:$AK$503,$AK48-Settings!$C$22)-1,"")))</f>
        <v/>
      </c>
      <c r="AF48" s="28">
        <f t="shared" si="10"/>
        <v>3.2786885245901641E-2</v>
      </c>
      <c r="AG48" s="29">
        <f>IF($B48="","",ROUND((MIN(100,100*N($I48)/Settings!$C$27)+MIN(100,100*N($K48)/Settings!$C$28)+MIN(100,100*N($J48)/Settings!$C$29))/3,1))</f>
        <v>13.8</v>
      </c>
      <c r="AH48" s="29">
        <f>IF($B48="","",IF(SUM(Settings!$C$32:$C$37)=0,"",ROUND((Settings!$C$32*$AO48+Settings!$C$33*$AP48+Settings!$C$34*$AQ48+Settings!$C$35*$AR48+Settings!$C$36*$AS48+Settings!$C$37*$AT48)/SUM(Settings!$C$32:$C$37),1)))</f>
        <v>36.1</v>
      </c>
      <c r="AI48" s="29">
        <f>IF($B48="","",MAX(0,100-IF(N($N48)&gt;0,0,20)-IF(AND(N($L48)=0,N($M48)=0),15,0)-IF(N($J48)&gt;0,0,10)-IF(N($K48)&gt;0,0,10)-IF($Z48&lt;&gt;"",0,15)-IF($AB48&lt;&gt;"",0,10)-IF($R48="ERROR",20,IF($R48="WARNING",10,0))))</f>
        <v>75</v>
      </c>
      <c r="AJ48" s="30" t="str">
        <f>IF($AH48="","",IF($AH48&lt;Settings!$C$46,"Extreme Sell Pressure",IF($AH48&lt;Settings!$C$47,"Sell Pressure",IF($AH48&lt;=Settings!$C$48,"Neutral",IF($AH48&lt;=Settings!$C$49,"Buy Pressure","Extreme Buy Pressure")))))</f>
        <v>Sell Pressure</v>
      </c>
      <c r="AK48" s="30">
        <f t="shared" si="11"/>
        <v>2</v>
      </c>
      <c r="AL48" s="30">
        <f t="shared" si="12"/>
        <v>2026</v>
      </c>
      <c r="AM48" s="30">
        <f t="shared" si="13"/>
        <v>33</v>
      </c>
      <c r="AN48" s="30">
        <f t="shared" si="14"/>
        <v>8</v>
      </c>
      <c r="AO48" s="29">
        <f>IF($B48="","",IF(AND(N($L48)=0,N($M48)=0),50,IF(N($M48)=0,100,IF(N($L48)=0,0,MEDIAN(0,100,50+50*LN($S48)/LN(Settings!$C$40))))))</f>
        <v>14.477457241587231</v>
      </c>
      <c r="AP48" s="29">
        <f>IF($AA48="",50,MEDIAN(0,100,50+$AA48*100*Settings!$C$41))</f>
        <v>50</v>
      </c>
      <c r="AQ48" s="29">
        <f>IF($H48="",50,MEDIAN(0,100,50+$H48*100*Settings!$C$42))</f>
        <v>33.870967741935502</v>
      </c>
      <c r="AR48" s="29">
        <f>IF(OR($AC48="",$H48=""),50,MEDIAN(0,100,50+SIGN($H48)*50*MEDIAN(0,1,($AC48-1)/Settings!$C$43)))</f>
        <v>50</v>
      </c>
      <c r="AS48" s="29">
        <f>IF(OR($V48="",$W48=""),50,MEDIAN(0,100,50+50*($V48-$W48)/Settings!$C$44))</f>
        <v>46.278177360032693</v>
      </c>
      <c r="AT48" s="29">
        <f t="shared" si="15"/>
        <v>45.097889099339035</v>
      </c>
      <c r="AU48" s="30" t="str">
        <f t="shared" si="16"/>
        <v>PAL|2026-08-11</v>
      </c>
      <c r="AV48" s="87">
        <f>IF($A48="","",IF(COUNTIFS($A$4:$A48,$A48)=1,1,0))</f>
        <v>0</v>
      </c>
    </row>
    <row r="49" spans="1:48" x14ac:dyDescent="0.3">
      <c r="A49" s="265">
        <v>46245</v>
      </c>
      <c r="B49" s="266" t="s">
        <v>1101</v>
      </c>
      <c r="C49" s="267">
        <v>450</v>
      </c>
      <c r="D49" s="267">
        <v>450</v>
      </c>
      <c r="E49" s="267">
        <v>450</v>
      </c>
      <c r="F49" s="267"/>
      <c r="G49" s="267"/>
      <c r="H49" s="268">
        <f t="shared" si="0"/>
        <v>0</v>
      </c>
      <c r="I49" s="269">
        <v>0</v>
      </c>
      <c r="J49" s="269">
        <v>0</v>
      </c>
      <c r="K49" s="269">
        <v>0</v>
      </c>
      <c r="L49" s="269">
        <v>0</v>
      </c>
      <c r="M49" s="269">
        <v>0</v>
      </c>
      <c r="N49" s="269">
        <v>47790000000</v>
      </c>
      <c r="O49" s="266" t="s">
        <v>1106</v>
      </c>
      <c r="P49" s="265">
        <v>46265</v>
      </c>
      <c r="Q49" s="266" t="s">
        <v>1138</v>
      </c>
      <c r="R49" s="23" t="str" cm="1">
        <f t="array" ref="R49">IF($B49="","",IFERROR(IF(INDEX('Data Quality'!$U$4:$U$503,ROW()-3)=0,"PENDING",INDEX('Data Quality'!$U$4:$U$503,ROW()-3)),"PENDING"))</f>
        <v>WARNING</v>
      </c>
      <c r="S49" s="24" t="str">
        <f t="shared" si="1"/>
        <v/>
      </c>
      <c r="T49" s="25">
        <f t="shared" si="2"/>
        <v>0</v>
      </c>
      <c r="U49" s="25">
        <f t="shared" si="3"/>
        <v>0</v>
      </c>
      <c r="V49" s="26">
        <f t="shared" si="4"/>
        <v>0</v>
      </c>
      <c r="W49" s="26">
        <f t="shared" si="5"/>
        <v>0</v>
      </c>
      <c r="X49" s="25" t="str">
        <f t="shared" si="6"/>
        <v/>
      </c>
      <c r="Y49" s="25" t="str">
        <f t="shared" si="7"/>
        <v/>
      </c>
      <c r="Z49" s="27" t="str">
        <f>IF($B49="","",IF($AK49&lt;=Settings!$C$21,"",IFERROR(AVERAGEIFS($S$4:$S$503,$B$4:$B$503,$B49,$AK$4:$AK$503,"&gt;="&amp;$AK49-Settings!$C$21,$AK$4:$AK$503,"&lt;="&amp;$AK49-1),"")))</f>
        <v/>
      </c>
      <c r="AA49" s="28" t="str">
        <f t="shared" si="8"/>
        <v/>
      </c>
      <c r="AB49" s="25" t="str">
        <f>IF($B49="","",IF($AK49&lt;=Settings!$C$22,"",IFERROR(AVERAGEIFS($K$4:$K$503,$B$4:$B$503,$B49,$AK$4:$AK$503,"&gt;="&amp;$AK49-Settings!$C$22,$AK$4:$AK$503,"&lt;="&amp;$AK49-1),"")))</f>
        <v/>
      </c>
      <c r="AC49" s="27" t="str">
        <f t="shared" si="9"/>
        <v/>
      </c>
      <c r="AD49" s="28" t="str">
        <f>IF($B49="","",IF($AK49&lt;=Settings!$C$23,"",IFERROR($E49/SUMIFS($E$4:$E$503,$B$4:$B$503,$B49,$AK$4:$AK$503,$AK49-Settings!$C$23)-1,"")))</f>
        <v/>
      </c>
      <c r="AE49" s="28" t="str">
        <f>IF($B49="","",IF($AK49&lt;=Settings!$C$22,"",IFERROR($E49/SUMIFS($E$4:$E$503,$B$4:$B$503,$B49,$AK$4:$AK$503,$AK49-Settings!$C$22)-1,"")))</f>
        <v/>
      </c>
      <c r="AF49" s="28">
        <f t="shared" si="10"/>
        <v>0</v>
      </c>
      <c r="AG49" s="29">
        <f>IF($B49="","",ROUND((MIN(100,100*N($I49)/Settings!$C$27)+MIN(100,100*N($K49)/Settings!$C$28)+MIN(100,100*N($J49)/Settings!$C$29))/3,1))</f>
        <v>0</v>
      </c>
      <c r="AH49" s="29">
        <f>IF($B49="","",IF(SUM(Settings!$C$32:$C$37)=0,"",ROUND((Settings!$C$32*$AO49+Settings!$C$33*$AP49+Settings!$C$34*$AQ49+Settings!$C$35*$AR49+Settings!$C$36*$AS49+Settings!$C$37*$AT49)/SUM(Settings!$C$32:$C$37),1)))</f>
        <v>50</v>
      </c>
      <c r="AI49" s="29">
        <f>IF($B49="","",MAX(0,100-IF(N($N49)&gt;0,0,20)-IF(AND(N($L49)=0,N($M49)=0),15,0)-IF(N($J49)&gt;0,0,10)-IF(N($K49)&gt;0,0,10)-IF($Z49&lt;&gt;"",0,15)-IF($AB49&lt;&gt;"",0,10)-IF($R49="ERROR",20,IF($R49="WARNING",10,0))))</f>
        <v>30</v>
      </c>
      <c r="AJ49" s="30" t="str">
        <f>IF($AH49="","",IF($AH49&lt;Settings!$C$46,"Extreme Sell Pressure",IF($AH49&lt;Settings!$C$47,"Sell Pressure",IF($AH49&lt;=Settings!$C$48,"Neutral",IF($AH49&lt;=Settings!$C$49,"Buy Pressure","Extreme Buy Pressure")))))</f>
        <v>Neutral</v>
      </c>
      <c r="AK49" s="30">
        <f t="shared" si="11"/>
        <v>2</v>
      </c>
      <c r="AL49" s="30">
        <f t="shared" si="12"/>
        <v>2026</v>
      </c>
      <c r="AM49" s="30">
        <f t="shared" si="13"/>
        <v>33</v>
      </c>
      <c r="AN49" s="30">
        <f t="shared" si="14"/>
        <v>8</v>
      </c>
      <c r="AO49" s="29">
        <f>IF($B49="","",IF(AND(N($L49)=0,N($M49)=0),50,IF(N($M49)=0,100,IF(N($L49)=0,0,MEDIAN(0,100,50+50*LN($S49)/LN(Settings!$C$40))))))</f>
        <v>50</v>
      </c>
      <c r="AP49" s="29">
        <f>IF($AA49="",50,MEDIAN(0,100,50+$AA49*100*Settings!$C$41))</f>
        <v>50</v>
      </c>
      <c r="AQ49" s="29">
        <f>IF($H49="",50,MEDIAN(0,100,50+$H49*100*Settings!$C$42))</f>
        <v>50</v>
      </c>
      <c r="AR49" s="29">
        <f>IF(OR($AC49="",$H49=""),50,MEDIAN(0,100,50+SIGN($H49)*50*MEDIAN(0,1,($AC49-1)/Settings!$C$43)))</f>
        <v>50</v>
      </c>
      <c r="AS49" s="29">
        <f>IF(OR($V49="",$W49=""),50,MEDIAN(0,100,50+50*($V49-$W49)/Settings!$C$44))</f>
        <v>50</v>
      </c>
      <c r="AT49" s="29">
        <f t="shared" si="15"/>
        <v>50</v>
      </c>
      <c r="AU49" s="30" t="str">
        <f t="shared" si="16"/>
        <v>SWALA|2026-08-11</v>
      </c>
      <c r="AV49" s="87">
        <f>IF($A49="","",IF(COUNTIFS($A$4:$A49,$A49)=1,1,0))</f>
        <v>0</v>
      </c>
    </row>
    <row r="50" spans="1:48" x14ac:dyDescent="0.3">
      <c r="A50" s="265">
        <v>46245</v>
      </c>
      <c r="B50" s="266" t="s">
        <v>126</v>
      </c>
      <c r="C50" s="267">
        <v>2620</v>
      </c>
      <c r="D50" s="267">
        <v>2620</v>
      </c>
      <c r="E50" s="267">
        <v>2340</v>
      </c>
      <c r="F50" s="267">
        <v>2680</v>
      </c>
      <c r="G50" s="267">
        <v>2300</v>
      </c>
      <c r="H50" s="268">
        <f t="shared" si="0"/>
        <v>-0.10687022900763354</v>
      </c>
      <c r="I50" s="269">
        <v>34455560</v>
      </c>
      <c r="J50" s="269">
        <v>55</v>
      </c>
      <c r="K50" s="269">
        <v>14675</v>
      </c>
      <c r="L50" s="269">
        <v>2605</v>
      </c>
      <c r="M50" s="269">
        <v>9957</v>
      </c>
      <c r="N50" s="269">
        <v>84240000000</v>
      </c>
      <c r="O50" s="266" t="s">
        <v>1106</v>
      </c>
      <c r="P50" s="265">
        <v>46265</v>
      </c>
      <c r="Q50" s="266" t="s">
        <v>1138</v>
      </c>
      <c r="R50" s="23" t="str" cm="1">
        <f t="array" ref="R50">IF($B50="","",IFERROR(IF(INDEX('Data Quality'!$U$4:$U$503,ROW()-3)=0,"PENDING",INDEX('Data Quality'!$U$4:$U$503,ROW()-3)),"PENDING"))</f>
        <v>PASS</v>
      </c>
      <c r="S50" s="24">
        <f t="shared" si="1"/>
        <v>0.26162498744601786</v>
      </c>
      <c r="T50" s="25">
        <f t="shared" si="2"/>
        <v>6095700</v>
      </c>
      <c r="U50" s="25">
        <f t="shared" si="3"/>
        <v>23299380</v>
      </c>
      <c r="V50" s="26">
        <f t="shared" si="4"/>
        <v>7.236111111111111E-5</v>
      </c>
      <c r="W50" s="26">
        <f t="shared" si="5"/>
        <v>2.7658333333333333E-4</v>
      </c>
      <c r="X50" s="25">
        <f t="shared" si="6"/>
        <v>266.81818181818181</v>
      </c>
      <c r="Y50" s="25">
        <f t="shared" si="7"/>
        <v>626464.72727272729</v>
      </c>
      <c r="Z50" s="27" t="str">
        <f>IF($B50="","",IF($AK50&lt;=Settings!$C$21,"",IFERROR(AVERAGEIFS($S$4:$S$503,$B$4:$B$503,$B50,$AK$4:$AK$503,"&gt;="&amp;$AK50-Settings!$C$21,$AK$4:$AK$503,"&lt;="&amp;$AK50-1),"")))</f>
        <v/>
      </c>
      <c r="AA50" s="28" t="str">
        <f t="shared" si="8"/>
        <v/>
      </c>
      <c r="AB50" s="25" t="str">
        <f>IF($B50="","",IF($AK50&lt;=Settings!$C$22,"",IFERROR(AVERAGEIFS($K$4:$K$503,$B$4:$B$503,$B50,$AK$4:$AK$503,"&gt;="&amp;$AK50-Settings!$C$22,$AK$4:$AK$503,"&lt;="&amp;$AK50-1),"")))</f>
        <v/>
      </c>
      <c r="AC50" s="27" t="str">
        <f t="shared" si="9"/>
        <v/>
      </c>
      <c r="AD50" s="28" t="str">
        <f>IF($B50="","",IF($AK50&lt;=Settings!$C$23,"",IFERROR($E50/SUMIFS($E$4:$E$503,$B$4:$B$503,$B50,$AK$4:$AK$503,$AK50-Settings!$C$23)-1,"")))</f>
        <v/>
      </c>
      <c r="AE50" s="28" t="str">
        <f>IF($B50="","",IF($AK50&lt;=Settings!$C$22,"",IFERROR($E50/SUMIFS($E$4:$E$503,$B$4:$B$503,$B50,$AK$4:$AK$503,$AK50-Settings!$C$22)-1,"")))</f>
        <v/>
      </c>
      <c r="AF50" s="28">
        <f t="shared" si="10"/>
        <v>0.1623931623931624</v>
      </c>
      <c r="AG50" s="29">
        <f>IF($B50="","",ROUND((MIN(100,100*N($I50)/Settings!$C$27)+MIN(100,100*N($K50)/Settings!$C$28)+MIN(100,100*N($J50)/Settings!$C$29))/3,1))</f>
        <v>20.5</v>
      </c>
      <c r="AH50" s="29">
        <f>IF($B50="","",IF(SUM(Settings!$C$32:$C$37)=0,"",ROUND((Settings!$C$32*$AO50+Settings!$C$33*$AP50+Settings!$C$34*$AQ50+Settings!$C$35*$AR50+Settings!$C$36*$AS50+Settings!$C$37*$AT50)/SUM(Settings!$C$32:$C$37),1)))</f>
        <v>25</v>
      </c>
      <c r="AI50" s="29">
        <f>IF($B50="","",MAX(0,100-IF(N($N50)&gt;0,0,20)-IF(AND(N($L50)=0,N($M50)=0),15,0)-IF(N($J50)&gt;0,0,10)-IF(N($K50)&gt;0,0,10)-IF($Z50&lt;&gt;"",0,15)-IF($AB50&lt;&gt;"",0,10)-IF($R50="ERROR",20,IF($R50="WARNING",10,0))))</f>
        <v>75</v>
      </c>
      <c r="AJ50" s="30" t="str">
        <f>IF($AH50="","",IF($AH50&lt;Settings!$C$46,"Extreme Sell Pressure",IF($AH50&lt;Settings!$C$47,"Sell Pressure",IF($AH50&lt;=Settings!$C$48,"Neutral",IF($AH50&lt;=Settings!$C$49,"Buy Pressure","Extreme Buy Pressure")))))</f>
        <v>Sell Pressure</v>
      </c>
      <c r="AK50" s="30">
        <f t="shared" si="11"/>
        <v>2</v>
      </c>
      <c r="AL50" s="30">
        <f t="shared" si="12"/>
        <v>2026</v>
      </c>
      <c r="AM50" s="30">
        <f t="shared" si="13"/>
        <v>33</v>
      </c>
      <c r="AN50" s="30">
        <f t="shared" si="14"/>
        <v>8</v>
      </c>
      <c r="AO50" s="29">
        <f>IF($B50="","",IF(AND(N($L50)=0,N($M50)=0),50,IF(N($M50)=0,100,IF(N($L50)=0,0,MEDIAN(0,100,50+50*LN($S50)/LN(Settings!$C$40))))))</f>
        <v>1.6393060591603614</v>
      </c>
      <c r="AP50" s="29">
        <f>IF($AA50="",50,MEDIAN(0,100,50+$AA50*100*Settings!$C$41))</f>
        <v>50</v>
      </c>
      <c r="AQ50" s="29">
        <f>IF($H50="",50,MEDIAN(0,100,50+$H50*100*Settings!$C$42))</f>
        <v>0</v>
      </c>
      <c r="AR50" s="29">
        <f>IF(OR($AC50="",$H50=""),50,MEDIAN(0,100,50+SIGN($H50)*50*MEDIAN(0,1,($AC50-1)/Settings!$C$43)))</f>
        <v>50</v>
      </c>
      <c r="AS50" s="29">
        <f>IF(OR($V50="",$W50=""),50,MEDIAN(0,100,50+50*($V50-$W50)/Settings!$C$44))</f>
        <v>29.577777777777776</v>
      </c>
      <c r="AT50" s="29">
        <f t="shared" si="15"/>
        <v>40.086057742127878</v>
      </c>
      <c r="AU50" s="30" t="str">
        <f t="shared" si="16"/>
        <v>SWIS|2026-08-11</v>
      </c>
      <c r="AV50" s="87">
        <f>IF($A50="","",IF(COUNTIFS($A$4:$A50,$A50)=1,1,0))</f>
        <v>0</v>
      </c>
    </row>
    <row r="51" spans="1:48" x14ac:dyDescent="0.3">
      <c r="A51" s="265">
        <v>46245</v>
      </c>
      <c r="B51" s="266" t="s">
        <v>112</v>
      </c>
      <c r="C51" s="267">
        <v>9950</v>
      </c>
      <c r="D51" s="267">
        <v>9950</v>
      </c>
      <c r="E51" s="267">
        <v>9970</v>
      </c>
      <c r="F51" s="267">
        <v>10000</v>
      </c>
      <c r="G51" s="267">
        <v>9950</v>
      </c>
      <c r="H51" s="268">
        <f t="shared" si="0"/>
        <v>2.0100502512563345E-3</v>
      </c>
      <c r="I51" s="269">
        <v>49704950</v>
      </c>
      <c r="J51" s="269">
        <v>33</v>
      </c>
      <c r="K51" s="269">
        <v>4983</v>
      </c>
      <c r="L51" s="269">
        <v>41</v>
      </c>
      <c r="M51" s="269">
        <v>764</v>
      </c>
      <c r="N51" s="269">
        <v>2941710000000</v>
      </c>
      <c r="O51" s="266" t="s">
        <v>1106</v>
      </c>
      <c r="P51" s="265">
        <v>46265</v>
      </c>
      <c r="Q51" s="266" t="s">
        <v>1138</v>
      </c>
      <c r="R51" s="23" t="str" cm="1">
        <f t="array" ref="R51">IF($B51="","",IFERROR(IF(INDEX('Data Quality'!$U$4:$U$503,ROW()-3)=0,"PENDING",INDEX('Data Quality'!$U$4:$U$503,ROW()-3)),"PENDING"))</f>
        <v>PASS</v>
      </c>
      <c r="S51" s="24">
        <f t="shared" si="1"/>
        <v>5.3664921465968587E-2</v>
      </c>
      <c r="T51" s="25">
        <f t="shared" si="2"/>
        <v>408770</v>
      </c>
      <c r="U51" s="25">
        <f t="shared" si="3"/>
        <v>7617080</v>
      </c>
      <c r="V51" s="26">
        <f t="shared" si="4"/>
        <v>1.3895659327398011E-7</v>
      </c>
      <c r="W51" s="26">
        <f t="shared" si="5"/>
        <v>2.589337494178556E-6</v>
      </c>
      <c r="X51" s="25">
        <f t="shared" si="6"/>
        <v>151</v>
      </c>
      <c r="Y51" s="25">
        <f t="shared" si="7"/>
        <v>1506210.606060606</v>
      </c>
      <c r="Z51" s="27" t="str">
        <f>IF($B51="","",IF($AK51&lt;=Settings!$C$21,"",IFERROR(AVERAGEIFS($S$4:$S$503,$B$4:$B$503,$B51,$AK$4:$AK$503,"&gt;="&amp;$AK51-Settings!$C$21,$AK$4:$AK$503,"&lt;="&amp;$AK51-1),"")))</f>
        <v/>
      </c>
      <c r="AA51" s="28" t="str">
        <f t="shared" si="8"/>
        <v/>
      </c>
      <c r="AB51" s="25" t="str">
        <f>IF($B51="","",IF($AK51&lt;=Settings!$C$22,"",IFERROR(AVERAGEIFS($K$4:$K$503,$B$4:$B$503,$B51,$AK$4:$AK$503,"&gt;="&amp;$AK51-Settings!$C$22,$AK$4:$AK$503,"&lt;="&amp;$AK51-1),"")))</f>
        <v/>
      </c>
      <c r="AC51" s="27" t="str">
        <f t="shared" si="9"/>
        <v/>
      </c>
      <c r="AD51" s="28" t="str">
        <f>IF($B51="","",IF($AK51&lt;=Settings!$C$23,"",IFERROR($E51/SUMIFS($E$4:$E$503,$B$4:$B$503,$B51,$AK$4:$AK$503,$AK51-Settings!$C$23)-1,"")))</f>
        <v/>
      </c>
      <c r="AE51" s="28" t="str">
        <f>IF($B51="","",IF($AK51&lt;=Settings!$C$22,"",IFERROR($E51/SUMIFS($E$4:$E$503,$B$4:$B$503,$B51,$AK$4:$AK$503,$AK51-Settings!$C$22)-1,"")))</f>
        <v/>
      </c>
      <c r="AF51" s="28">
        <f t="shared" si="10"/>
        <v>5.0150451354062184E-3</v>
      </c>
      <c r="AG51" s="29">
        <f>IF($B51="","",ROUND((MIN(100,100*N($I51)/Settings!$C$27)+MIN(100,100*N($K51)/Settings!$C$28)+MIN(100,100*N($J51)/Settings!$C$29))/3,1))</f>
        <v>13</v>
      </c>
      <c r="AH51" s="29">
        <f>IF($B51="","",IF(SUM(Settings!$C$32:$C$37)=0,"",ROUND((Settings!$C$32*$AO51+Settings!$C$33*$AP51+Settings!$C$34*$AQ51+Settings!$C$35*$AR51+Settings!$C$36*$AS51+Settings!$C$37*$AT51)/SUM(Settings!$C$32:$C$37),1)))</f>
        <v>34.6</v>
      </c>
      <c r="AI51" s="29">
        <f>IF($B51="","",MAX(0,100-IF(N($N51)&gt;0,0,20)-IF(AND(N($L51)=0,N($M51)=0),15,0)-IF(N($J51)&gt;0,0,10)-IF(N($K51)&gt;0,0,10)-IF($Z51&lt;&gt;"",0,15)-IF($AB51&lt;&gt;"",0,10)-IF($R51="ERROR",20,IF($R51="WARNING",10,0))))</f>
        <v>75</v>
      </c>
      <c r="AJ51" s="30" t="str">
        <f>IF($AH51="","",IF($AH51&lt;Settings!$C$46,"Extreme Sell Pressure",IF($AH51&lt;Settings!$C$47,"Sell Pressure",IF($AH51&lt;=Settings!$C$48,"Neutral",IF($AH51&lt;=Settings!$C$49,"Buy Pressure","Extreme Buy Pressure")))))</f>
        <v>Sell Pressure</v>
      </c>
      <c r="AK51" s="30">
        <f t="shared" si="11"/>
        <v>2</v>
      </c>
      <c r="AL51" s="30">
        <f t="shared" si="12"/>
        <v>2026</v>
      </c>
      <c r="AM51" s="30">
        <f t="shared" si="13"/>
        <v>33</v>
      </c>
      <c r="AN51" s="30">
        <f t="shared" si="14"/>
        <v>8</v>
      </c>
      <c r="AO51" s="29">
        <f>IF($B51="","",IF(AND(N($L51)=0,N($M51)=0),50,IF(N($M51)=0,100,IF(N($L51)=0,0,MEDIAN(0,100,50+50*LN($S51)/LN(Settings!$C$40))))))</f>
        <v>0</v>
      </c>
      <c r="AP51" s="29">
        <f>IF($AA51="",50,MEDIAN(0,100,50+$AA51*100*Settings!$C$41))</f>
        <v>50</v>
      </c>
      <c r="AQ51" s="29">
        <f>IF($H51="",50,MEDIAN(0,100,50+$H51*100*Settings!$C$42))</f>
        <v>52.010050251256331</v>
      </c>
      <c r="AR51" s="29">
        <f>IF(OR($AC51="",$H51=""),50,MEDIAN(0,100,50+SIGN($H51)*50*MEDIAN(0,1,($AC51-1)/Settings!$C$43)))</f>
        <v>50</v>
      </c>
      <c r="AS51" s="29">
        <f>IF(OR($V51="",$W51=""),50,MEDIAN(0,100,50+50*($V51-$W51)/Settings!$C$44))</f>
        <v>49.754961909909539</v>
      </c>
      <c r="AT51" s="29">
        <f t="shared" si="15"/>
        <v>43.5</v>
      </c>
      <c r="AU51" s="30" t="str">
        <f t="shared" si="16"/>
        <v>TBL|2026-08-11</v>
      </c>
      <c r="AV51" s="87">
        <f>IF($A51="","",IF(COUNTIFS($A$4:$A51,$A51)=1,1,0))</f>
        <v>0</v>
      </c>
    </row>
    <row r="52" spans="1:48" x14ac:dyDescent="0.3">
      <c r="A52" s="265">
        <v>46245</v>
      </c>
      <c r="B52" s="266" t="s">
        <v>115</v>
      </c>
      <c r="C52" s="267">
        <v>12500</v>
      </c>
      <c r="D52" s="267">
        <v>12500</v>
      </c>
      <c r="E52" s="267">
        <v>12500</v>
      </c>
      <c r="F52" s="267">
        <v>12500</v>
      </c>
      <c r="G52" s="267">
        <v>12500</v>
      </c>
      <c r="H52" s="268">
        <f t="shared" si="0"/>
        <v>0</v>
      </c>
      <c r="I52" s="269">
        <v>8300000</v>
      </c>
      <c r="J52" s="269">
        <v>18</v>
      </c>
      <c r="K52" s="269">
        <v>664</v>
      </c>
      <c r="L52" s="269">
        <v>10123</v>
      </c>
      <c r="M52" s="269">
        <v>0</v>
      </c>
      <c r="N52" s="269">
        <v>1250000000000</v>
      </c>
      <c r="O52" s="266" t="s">
        <v>1106</v>
      </c>
      <c r="P52" s="265">
        <v>46265</v>
      </c>
      <c r="Q52" s="266" t="s">
        <v>1138</v>
      </c>
      <c r="R52" s="23" t="str" cm="1">
        <f t="array" ref="R52">IF($B52="","",IFERROR(IF(INDEX('Data Quality'!$U$4:$U$503,ROW()-3)=0,"PENDING",INDEX('Data Quality'!$U$4:$U$503,ROW()-3)),"PENDING"))</f>
        <v>PASS</v>
      </c>
      <c r="S52" s="24" t="str">
        <f t="shared" si="1"/>
        <v/>
      </c>
      <c r="T52" s="25">
        <f t="shared" si="2"/>
        <v>126537500</v>
      </c>
      <c r="U52" s="25">
        <f t="shared" si="3"/>
        <v>0</v>
      </c>
      <c r="V52" s="26">
        <f t="shared" si="4"/>
        <v>1.0123E-4</v>
      </c>
      <c r="W52" s="26">
        <f t="shared" si="5"/>
        <v>0</v>
      </c>
      <c r="X52" s="25">
        <f t="shared" si="6"/>
        <v>36.888888888888886</v>
      </c>
      <c r="Y52" s="25">
        <f t="shared" si="7"/>
        <v>461111.11111111112</v>
      </c>
      <c r="Z52" s="27" t="str">
        <f>IF($B52="","",IF($AK52&lt;=Settings!$C$21,"",IFERROR(AVERAGEIFS($S$4:$S$503,$B$4:$B$503,$B52,$AK$4:$AK$503,"&gt;="&amp;$AK52-Settings!$C$21,$AK$4:$AK$503,"&lt;="&amp;$AK52-1),"")))</f>
        <v/>
      </c>
      <c r="AA52" s="28" t="str">
        <f t="shared" si="8"/>
        <v/>
      </c>
      <c r="AB52" s="25" t="str">
        <f>IF($B52="","",IF($AK52&lt;=Settings!$C$22,"",IFERROR(AVERAGEIFS($K$4:$K$503,$B$4:$B$503,$B52,$AK$4:$AK$503,"&gt;="&amp;$AK52-Settings!$C$22,$AK$4:$AK$503,"&lt;="&amp;$AK52-1),"")))</f>
        <v/>
      </c>
      <c r="AC52" s="27" t="str">
        <f t="shared" si="9"/>
        <v/>
      </c>
      <c r="AD52" s="28" t="str">
        <f>IF($B52="","",IF($AK52&lt;=Settings!$C$23,"",IFERROR($E52/SUMIFS($E$4:$E$503,$B$4:$B$503,$B52,$AK$4:$AK$503,$AK52-Settings!$C$23)-1,"")))</f>
        <v/>
      </c>
      <c r="AE52" s="28" t="str">
        <f>IF($B52="","",IF($AK52&lt;=Settings!$C$22,"",IFERROR($E52/SUMIFS($E$4:$E$503,$B$4:$B$503,$B52,$AK$4:$AK$503,$AK52-Settings!$C$22)-1,"")))</f>
        <v/>
      </c>
      <c r="AF52" s="28">
        <f t="shared" si="10"/>
        <v>0</v>
      </c>
      <c r="AG52" s="29">
        <f>IF($B52="","",ROUND((MIN(100,100*N($I52)/Settings!$C$27)+MIN(100,100*N($K52)/Settings!$C$28)+MIN(100,100*N($J52)/Settings!$C$29))/3,1))</f>
        <v>6.3</v>
      </c>
      <c r="AH52" s="29">
        <f>IF($B52="","",IF(SUM(Settings!$C$32:$C$37)=0,"",ROUND((Settings!$C$32*$AO52+Settings!$C$33*$AP52+Settings!$C$34*$AQ52+Settings!$C$35*$AR52+Settings!$C$36*$AS52+Settings!$C$37*$AT52)/SUM(Settings!$C$32:$C$37),1)))</f>
        <v>66.3</v>
      </c>
      <c r="AI52" s="29">
        <f>IF($B52="","",MAX(0,100-IF(N($N52)&gt;0,0,20)-IF(AND(N($L52)=0,N($M52)=0),15,0)-IF(N($J52)&gt;0,0,10)-IF(N($K52)&gt;0,0,10)-IF($Z52&lt;&gt;"",0,15)-IF($AB52&lt;&gt;"",0,10)-IF($R52="ERROR",20,IF($R52="WARNING",10,0))))</f>
        <v>75</v>
      </c>
      <c r="AJ52" s="30" t="str">
        <f>IF($AH52="","",IF($AH52&lt;Settings!$C$46,"Extreme Sell Pressure",IF($AH52&lt;Settings!$C$47,"Sell Pressure",IF($AH52&lt;=Settings!$C$48,"Neutral",IF($AH52&lt;=Settings!$C$49,"Buy Pressure","Extreme Buy Pressure")))))</f>
        <v>Buy Pressure</v>
      </c>
      <c r="AK52" s="30">
        <f t="shared" si="11"/>
        <v>2</v>
      </c>
      <c r="AL52" s="30">
        <f t="shared" si="12"/>
        <v>2026</v>
      </c>
      <c r="AM52" s="30">
        <f t="shared" si="13"/>
        <v>33</v>
      </c>
      <c r="AN52" s="30">
        <f t="shared" si="14"/>
        <v>8</v>
      </c>
      <c r="AO52" s="29">
        <f>IF($B52="","",IF(AND(N($L52)=0,N($M52)=0),50,IF(N($M52)=0,100,IF(N($L52)=0,0,MEDIAN(0,100,50+50*LN($S52)/LN(Settings!$C$40))))))</f>
        <v>100</v>
      </c>
      <c r="AP52" s="29">
        <f>IF($AA52="",50,MEDIAN(0,100,50+$AA52*100*Settings!$C$41))</f>
        <v>50</v>
      </c>
      <c r="AQ52" s="29">
        <f>IF($H52="",50,MEDIAN(0,100,50+$H52*100*Settings!$C$42))</f>
        <v>50</v>
      </c>
      <c r="AR52" s="29">
        <f>IF(OR($AC52="",$H52=""),50,MEDIAN(0,100,50+SIGN($H52)*50*MEDIAN(0,1,($AC52-1)/Settings!$C$43)))</f>
        <v>50</v>
      </c>
      <c r="AS52" s="29">
        <f>IF(OR($V52="",$W52=""),50,MEDIAN(0,100,50+50*($V52-$W52)/Settings!$C$44))</f>
        <v>60.122999999999998</v>
      </c>
      <c r="AT52" s="29">
        <f t="shared" si="15"/>
        <v>53.15</v>
      </c>
      <c r="AU52" s="30" t="str">
        <f t="shared" si="16"/>
        <v>TCC|2026-08-11</v>
      </c>
      <c r="AV52" s="87">
        <f>IF($A52="","",IF(COUNTIFS($A$4:$A52,$A52)=1,1,0))</f>
        <v>0</v>
      </c>
    </row>
    <row r="53" spans="1:48" x14ac:dyDescent="0.3">
      <c r="A53" s="265">
        <v>46245</v>
      </c>
      <c r="B53" s="266" t="s">
        <v>118</v>
      </c>
      <c r="C53" s="267">
        <v>3850</v>
      </c>
      <c r="D53" s="267">
        <v>3850</v>
      </c>
      <c r="E53" s="267">
        <v>3660</v>
      </c>
      <c r="F53" s="267">
        <v>3740</v>
      </c>
      <c r="G53" s="267">
        <v>3610</v>
      </c>
      <c r="H53" s="268">
        <f t="shared" si="0"/>
        <v>-4.9350649350649367E-2</v>
      </c>
      <c r="I53" s="269">
        <v>10213400</v>
      </c>
      <c r="J53" s="269">
        <v>31</v>
      </c>
      <c r="K53" s="269">
        <v>2781</v>
      </c>
      <c r="L53" s="269">
        <v>28603</v>
      </c>
      <c r="M53" s="269">
        <v>37883</v>
      </c>
      <c r="N53" s="269">
        <v>699110000000</v>
      </c>
      <c r="O53" s="266" t="s">
        <v>1106</v>
      </c>
      <c r="P53" s="265">
        <v>46265</v>
      </c>
      <c r="Q53" s="266" t="s">
        <v>1138</v>
      </c>
      <c r="R53" s="23" t="str" cm="1">
        <f t="array" ref="R53">IF($B53="","",IFERROR(IF(INDEX('Data Quality'!$U$4:$U$503,ROW()-3)=0,"PENDING",INDEX('Data Quality'!$U$4:$U$503,ROW()-3)),"PENDING"))</f>
        <v>PASS</v>
      </c>
      <c r="S53" s="24">
        <f t="shared" si="1"/>
        <v>0.75503524008130296</v>
      </c>
      <c r="T53" s="25">
        <f t="shared" si="2"/>
        <v>104686980</v>
      </c>
      <c r="U53" s="25">
        <f t="shared" si="3"/>
        <v>138651780</v>
      </c>
      <c r="V53" s="26">
        <f t="shared" si="4"/>
        <v>1.497432163751055E-4</v>
      </c>
      <c r="W53" s="26">
        <f t="shared" si="5"/>
        <v>1.9832612893536068E-4</v>
      </c>
      <c r="X53" s="25">
        <f t="shared" si="6"/>
        <v>89.709677419354833</v>
      </c>
      <c r="Y53" s="25">
        <f t="shared" si="7"/>
        <v>329464.51612903224</v>
      </c>
      <c r="Z53" s="27" t="str">
        <f>IF($B53="","",IF($AK53&lt;=Settings!$C$21,"",IFERROR(AVERAGEIFS($S$4:$S$503,$B$4:$B$503,$B53,$AK$4:$AK$503,"&gt;="&amp;$AK53-Settings!$C$21,$AK$4:$AK$503,"&lt;="&amp;$AK53-1),"")))</f>
        <v/>
      </c>
      <c r="AA53" s="28" t="str">
        <f t="shared" si="8"/>
        <v/>
      </c>
      <c r="AB53" s="25" t="str">
        <f>IF($B53="","",IF($AK53&lt;=Settings!$C$22,"",IFERROR(AVERAGEIFS($K$4:$K$503,$B$4:$B$503,$B53,$AK$4:$AK$503,"&gt;="&amp;$AK53-Settings!$C$22,$AK$4:$AK$503,"&lt;="&amp;$AK53-1),"")))</f>
        <v/>
      </c>
      <c r="AC53" s="27" t="str">
        <f t="shared" si="9"/>
        <v/>
      </c>
      <c r="AD53" s="28" t="str">
        <f>IF($B53="","",IF($AK53&lt;=Settings!$C$23,"",IFERROR($E53/SUMIFS($E$4:$E$503,$B$4:$B$503,$B53,$AK$4:$AK$503,$AK53-Settings!$C$23)-1,"")))</f>
        <v/>
      </c>
      <c r="AE53" s="28" t="str">
        <f>IF($B53="","",IF($AK53&lt;=Settings!$C$22,"",IFERROR($E53/SUMIFS($E$4:$E$503,$B$4:$B$503,$B53,$AK$4:$AK$503,$AK53-Settings!$C$22)-1,"")))</f>
        <v/>
      </c>
      <c r="AF53" s="28">
        <f t="shared" si="10"/>
        <v>3.5519125683060107E-2</v>
      </c>
      <c r="AG53" s="29">
        <f>IF($B53="","",ROUND((MIN(100,100*N($I53)/Settings!$C$27)+MIN(100,100*N($K53)/Settings!$C$28)+MIN(100,100*N($J53)/Settings!$C$29))/3,1))</f>
        <v>10.9</v>
      </c>
      <c r="AH53" s="29">
        <f>IF($B53="","",IF(SUM(Settings!$C$32:$C$37)=0,"",ROUND((Settings!$C$32*$AO53+Settings!$C$33*$AP53+Settings!$C$34*$AQ53+Settings!$C$35*$AR53+Settings!$C$36*$AS53+Settings!$C$37*$AT53)/SUM(Settings!$C$32:$C$37),1)))</f>
        <v>39</v>
      </c>
      <c r="AI53" s="29">
        <f>IF($B53="","",MAX(0,100-IF(N($N53)&gt;0,0,20)-IF(AND(N($L53)=0,N($M53)=0),15,0)-IF(N($J53)&gt;0,0,10)-IF(N($K53)&gt;0,0,10)-IF($Z53&lt;&gt;"",0,15)-IF($AB53&lt;&gt;"",0,10)-IF($R53="ERROR",20,IF($R53="WARNING",10,0))))</f>
        <v>75</v>
      </c>
      <c r="AJ53" s="30" t="str">
        <f>IF($AH53="","",IF($AH53&lt;Settings!$C$46,"Extreme Sell Pressure",IF($AH53&lt;Settings!$C$47,"Sell Pressure",IF($AH53&lt;=Settings!$C$48,"Neutral",IF($AH53&lt;=Settings!$C$49,"Buy Pressure","Extreme Buy Pressure")))))</f>
        <v>Sell Pressure</v>
      </c>
      <c r="AK53" s="30">
        <f t="shared" si="11"/>
        <v>2</v>
      </c>
      <c r="AL53" s="30">
        <f t="shared" si="12"/>
        <v>2026</v>
      </c>
      <c r="AM53" s="30">
        <f t="shared" si="13"/>
        <v>33</v>
      </c>
      <c r="AN53" s="30">
        <f t="shared" si="14"/>
        <v>8</v>
      </c>
      <c r="AO53" s="29">
        <f>IF($B53="","",IF(AND(N($L53)=0,N($M53)=0),50,IF(N($M53)=0,100,IF(N($L53)=0,0,MEDIAN(0,100,50+50*LN($S53)/LN(Settings!$C$40))))))</f>
        <v>39.865397166045717</v>
      </c>
      <c r="AP53" s="29">
        <f>IF($AA53="",50,MEDIAN(0,100,50+$AA53*100*Settings!$C$41))</f>
        <v>50</v>
      </c>
      <c r="AQ53" s="29">
        <f>IF($H53="",50,MEDIAN(0,100,50+$H53*100*Settings!$C$42))</f>
        <v>0.64935064935063735</v>
      </c>
      <c r="AR53" s="29">
        <f>IF(OR($AC53="",$H53=""),50,MEDIAN(0,100,50+SIGN($H53)*50*MEDIAN(0,1,($AC53-1)/Settings!$C$43)))</f>
        <v>50</v>
      </c>
      <c r="AS53" s="29">
        <f>IF(OR($V53="",$W53=""),50,MEDIAN(0,100,50+50*($V53-$W53)/Settings!$C$44))</f>
        <v>45.141708743974483</v>
      </c>
      <c r="AT53" s="29">
        <f t="shared" si="15"/>
        <v>48.895328291098984</v>
      </c>
      <c r="AU53" s="30" t="str">
        <f t="shared" si="16"/>
        <v>TCCL|2026-08-11</v>
      </c>
      <c r="AV53" s="87">
        <f>IF($A53="","",IF(COUNTIFS($A$4:$A53,$A53)=1,1,0))</f>
        <v>0</v>
      </c>
    </row>
    <row r="54" spans="1:48" x14ac:dyDescent="0.3">
      <c r="A54" s="265">
        <v>46245</v>
      </c>
      <c r="B54" s="266" t="s">
        <v>132</v>
      </c>
      <c r="C54" s="267">
        <v>1500</v>
      </c>
      <c r="D54" s="267">
        <v>1500</v>
      </c>
      <c r="E54" s="267">
        <v>1460</v>
      </c>
      <c r="F54" s="267">
        <v>1460</v>
      </c>
      <c r="G54" s="267">
        <v>1330</v>
      </c>
      <c r="H54" s="268">
        <f t="shared" si="0"/>
        <v>-2.6666666666666616E-2</v>
      </c>
      <c r="I54" s="269">
        <v>4741550</v>
      </c>
      <c r="J54" s="269">
        <v>30</v>
      </c>
      <c r="K54" s="269">
        <v>3258</v>
      </c>
      <c r="L54" s="269">
        <v>784</v>
      </c>
      <c r="M54" s="269">
        <v>28134</v>
      </c>
      <c r="N54" s="269">
        <v>83960000000</v>
      </c>
      <c r="O54" s="266" t="s">
        <v>1106</v>
      </c>
      <c r="P54" s="265">
        <v>46265</v>
      </c>
      <c r="Q54" s="266" t="s">
        <v>1138</v>
      </c>
      <c r="R54" s="23" t="str" cm="1">
        <f t="array" ref="R54">IF($B54="","",IFERROR(IF(INDEX('Data Quality'!$U$4:$U$503,ROW()-3)=0,"PENDING",INDEX('Data Quality'!$U$4:$U$503,ROW()-3)),"PENDING"))</f>
        <v>PASS</v>
      </c>
      <c r="S54" s="24">
        <f t="shared" si="1"/>
        <v>2.7866638231321534E-2</v>
      </c>
      <c r="T54" s="25">
        <f t="shared" si="2"/>
        <v>1144640</v>
      </c>
      <c r="U54" s="25">
        <f t="shared" si="3"/>
        <v>41075640</v>
      </c>
      <c r="V54" s="26">
        <f t="shared" si="4"/>
        <v>1.363315864697475E-5</v>
      </c>
      <c r="W54" s="26">
        <f t="shared" si="5"/>
        <v>4.892286803239638E-4</v>
      </c>
      <c r="X54" s="25">
        <f t="shared" si="6"/>
        <v>108.6</v>
      </c>
      <c r="Y54" s="25">
        <f t="shared" si="7"/>
        <v>158051.66666666666</v>
      </c>
      <c r="Z54" s="27" t="str">
        <f>IF($B54="","",IF($AK54&lt;=Settings!$C$21,"",IFERROR(AVERAGEIFS($S$4:$S$503,$B$4:$B$503,$B54,$AK$4:$AK$503,"&gt;="&amp;$AK54-Settings!$C$21,$AK$4:$AK$503,"&lt;="&amp;$AK54-1),"")))</f>
        <v/>
      </c>
      <c r="AA54" s="28" t="str">
        <f t="shared" si="8"/>
        <v/>
      </c>
      <c r="AB54" s="25" t="str">
        <f>IF($B54="","",IF($AK54&lt;=Settings!$C$22,"",IFERROR(AVERAGEIFS($K$4:$K$503,$B$4:$B$503,$B54,$AK$4:$AK$503,"&gt;="&amp;$AK54-Settings!$C$22,$AK$4:$AK$503,"&lt;="&amp;$AK54-1),"")))</f>
        <v/>
      </c>
      <c r="AC54" s="27" t="str">
        <f t="shared" si="9"/>
        <v/>
      </c>
      <c r="AD54" s="28" t="str">
        <f>IF($B54="","",IF($AK54&lt;=Settings!$C$23,"",IFERROR($E54/SUMIFS($E$4:$E$503,$B$4:$B$503,$B54,$AK$4:$AK$503,$AK54-Settings!$C$23)-1,"")))</f>
        <v/>
      </c>
      <c r="AE54" s="28" t="str">
        <f>IF($B54="","",IF($AK54&lt;=Settings!$C$22,"",IFERROR($E54/SUMIFS($E$4:$E$503,$B$4:$B$503,$B54,$AK$4:$AK$503,$AK54-Settings!$C$22)-1,"")))</f>
        <v/>
      </c>
      <c r="AF54" s="28">
        <f t="shared" si="10"/>
        <v>8.9041095890410954E-2</v>
      </c>
      <c r="AG54" s="29">
        <f>IF($B54="","",ROUND((MIN(100,100*N($I54)/Settings!$C$27)+MIN(100,100*N($K54)/Settings!$C$28)+MIN(100,100*N($J54)/Settings!$C$29))/3,1))</f>
        <v>10.4</v>
      </c>
      <c r="AH54" s="29">
        <f>IF($B54="","",IF(SUM(Settings!$C$32:$C$37)=0,"",ROUND((Settings!$C$32*$AO54+Settings!$C$33*$AP54+Settings!$C$34*$AQ54+Settings!$C$35*$AR54+Settings!$C$36*$AS54+Settings!$C$37*$AT54)/SUM(Settings!$C$32:$C$37),1)))</f>
        <v>25.7</v>
      </c>
      <c r="AI54" s="29">
        <f>IF($B54="","",MAX(0,100-IF(N($N54)&gt;0,0,20)-IF(AND(N($L54)=0,N($M54)=0),15,0)-IF(N($J54)&gt;0,0,10)-IF(N($K54)&gt;0,0,10)-IF($Z54&lt;&gt;"",0,15)-IF($AB54&lt;&gt;"",0,10)-IF($R54="ERROR",20,IF($R54="WARNING",10,0))))</f>
        <v>75</v>
      </c>
      <c r="AJ54" s="30" t="str">
        <f>IF($AH54="","",IF($AH54&lt;Settings!$C$46,"Extreme Sell Pressure",IF($AH54&lt;Settings!$C$47,"Sell Pressure",IF($AH54&lt;=Settings!$C$48,"Neutral",IF($AH54&lt;=Settings!$C$49,"Buy Pressure","Extreme Buy Pressure")))))</f>
        <v>Sell Pressure</v>
      </c>
      <c r="AK54" s="30">
        <f t="shared" si="11"/>
        <v>2</v>
      </c>
      <c r="AL54" s="30">
        <f t="shared" si="12"/>
        <v>2026</v>
      </c>
      <c r="AM54" s="30">
        <f t="shared" si="13"/>
        <v>33</v>
      </c>
      <c r="AN54" s="30">
        <f t="shared" si="14"/>
        <v>8</v>
      </c>
      <c r="AO54" s="29">
        <f>IF($B54="","",IF(AND(N($L54)=0,N($M54)=0),50,IF(N($M54)=0,100,IF(N($L54)=0,0,MEDIAN(0,100,50+50*LN($S54)/LN(Settings!$C$40))))))</f>
        <v>0</v>
      </c>
      <c r="AP54" s="29">
        <f>IF($AA54="",50,MEDIAN(0,100,50+$AA54*100*Settings!$C$41))</f>
        <v>50</v>
      </c>
      <c r="AQ54" s="29">
        <f>IF($H54="",50,MEDIAN(0,100,50+$H54*100*Settings!$C$42))</f>
        <v>23.333333333333385</v>
      </c>
      <c r="AR54" s="29">
        <f>IF(OR($AC54="",$H54=""),50,MEDIAN(0,100,50+SIGN($H54)*50*MEDIAN(0,1,($AC54-1)/Settings!$C$43)))</f>
        <v>50</v>
      </c>
      <c r="AS54" s="29">
        <f>IF(OR($V54="",$W54=""),50,MEDIAN(0,100,50+50*($V54-$W54)/Settings!$C$44))</f>
        <v>2.4404478323010963</v>
      </c>
      <c r="AT54" s="29">
        <f t="shared" si="15"/>
        <v>44.8</v>
      </c>
      <c r="AU54" s="30" t="str">
        <f t="shared" si="16"/>
        <v>TOL|2026-08-11</v>
      </c>
      <c r="AV54" s="87">
        <f>IF($A54="","",IF(COUNTIFS($A$4:$A54,$A54)=1,1,0))</f>
        <v>0</v>
      </c>
    </row>
    <row r="55" spans="1:48" x14ac:dyDescent="0.3">
      <c r="A55" s="265">
        <v>46245</v>
      </c>
      <c r="B55" s="266" t="s">
        <v>116</v>
      </c>
      <c r="C55" s="267">
        <v>5850</v>
      </c>
      <c r="D55" s="267">
        <v>5850</v>
      </c>
      <c r="E55" s="267">
        <v>5870</v>
      </c>
      <c r="F55" s="267">
        <v>5900</v>
      </c>
      <c r="G55" s="267">
        <v>5850</v>
      </c>
      <c r="H55" s="268">
        <f t="shared" si="0"/>
        <v>3.4188034188034067E-3</v>
      </c>
      <c r="I55" s="269">
        <v>6783750</v>
      </c>
      <c r="J55" s="269">
        <v>30</v>
      </c>
      <c r="K55" s="269">
        <v>1155</v>
      </c>
      <c r="L55" s="269">
        <v>11045</v>
      </c>
      <c r="M55" s="269">
        <v>0</v>
      </c>
      <c r="N55" s="269">
        <v>1056150000000</v>
      </c>
      <c r="O55" s="266" t="s">
        <v>1106</v>
      </c>
      <c r="P55" s="265">
        <v>46265</v>
      </c>
      <c r="Q55" s="266" t="s">
        <v>1138</v>
      </c>
      <c r="R55" s="23" t="str" cm="1">
        <f t="array" ref="R55">IF($B55="","",IFERROR(IF(INDEX('Data Quality'!$U$4:$U$503,ROW()-3)=0,"PENDING",INDEX('Data Quality'!$U$4:$U$503,ROW()-3)),"PENDING"))</f>
        <v>PASS</v>
      </c>
      <c r="S55" s="24" t="str">
        <f t="shared" si="1"/>
        <v/>
      </c>
      <c r="T55" s="25">
        <f t="shared" si="2"/>
        <v>64834150</v>
      </c>
      <c r="U55" s="25">
        <f t="shared" si="3"/>
        <v>0</v>
      </c>
      <c r="V55" s="26">
        <f t="shared" si="4"/>
        <v>6.1387255598163145E-5</v>
      </c>
      <c r="W55" s="26">
        <f t="shared" si="5"/>
        <v>0</v>
      </c>
      <c r="X55" s="25">
        <f t="shared" si="6"/>
        <v>38.5</v>
      </c>
      <c r="Y55" s="25">
        <f t="shared" si="7"/>
        <v>226125</v>
      </c>
      <c r="Z55" s="27" t="str">
        <f>IF($B55="","",IF($AK55&lt;=Settings!$C$21,"",IFERROR(AVERAGEIFS($S$4:$S$503,$B$4:$B$503,$B55,$AK$4:$AK$503,"&gt;="&amp;$AK55-Settings!$C$21,$AK$4:$AK$503,"&lt;="&amp;$AK55-1),"")))</f>
        <v/>
      </c>
      <c r="AA55" s="28" t="str">
        <f t="shared" si="8"/>
        <v/>
      </c>
      <c r="AB55" s="25" t="str">
        <f>IF($B55="","",IF($AK55&lt;=Settings!$C$22,"",IFERROR(AVERAGEIFS($K$4:$K$503,$B$4:$B$503,$B55,$AK$4:$AK$503,"&gt;="&amp;$AK55-Settings!$C$22,$AK$4:$AK$503,"&lt;="&amp;$AK55-1),"")))</f>
        <v/>
      </c>
      <c r="AC55" s="27" t="str">
        <f t="shared" si="9"/>
        <v/>
      </c>
      <c r="AD55" s="28" t="str">
        <f>IF($B55="","",IF($AK55&lt;=Settings!$C$23,"",IFERROR($E55/SUMIFS($E$4:$E$503,$B$4:$B$503,$B55,$AK$4:$AK$503,$AK55-Settings!$C$23)-1,"")))</f>
        <v/>
      </c>
      <c r="AE55" s="28" t="str">
        <f>IF($B55="","",IF($AK55&lt;=Settings!$C$22,"",IFERROR($E55/SUMIFS($E$4:$E$503,$B$4:$B$503,$B55,$AK$4:$AK$503,$AK55-Settings!$C$22)-1,"")))</f>
        <v/>
      </c>
      <c r="AF55" s="28">
        <f t="shared" si="10"/>
        <v>8.5178875638841564E-3</v>
      </c>
      <c r="AG55" s="29">
        <f>IF($B55="","",ROUND((MIN(100,100*N($I55)/Settings!$C$27)+MIN(100,100*N($K55)/Settings!$C$28)+MIN(100,100*N($J55)/Settings!$C$29))/3,1))</f>
        <v>10.3</v>
      </c>
      <c r="AH55" s="29">
        <f>IF($B55="","",IF(SUM(Settings!$C$32:$C$37)=0,"",ROUND((Settings!$C$32*$AO55+Settings!$C$33*$AP55+Settings!$C$34*$AQ55+Settings!$C$35*$AR55+Settings!$C$36*$AS55+Settings!$C$37*$AT55)/SUM(Settings!$C$32:$C$37),1)))</f>
        <v>66.599999999999994</v>
      </c>
      <c r="AI55" s="29">
        <f>IF($B55="","",MAX(0,100-IF(N($N55)&gt;0,0,20)-IF(AND(N($L55)=0,N($M55)=0),15,0)-IF(N($J55)&gt;0,0,10)-IF(N($K55)&gt;0,0,10)-IF($Z55&lt;&gt;"",0,15)-IF($AB55&lt;&gt;"",0,10)-IF($R55="ERROR",20,IF($R55="WARNING",10,0))))</f>
        <v>75</v>
      </c>
      <c r="AJ55" s="30" t="str">
        <f>IF($AH55="","",IF($AH55&lt;Settings!$C$46,"Extreme Sell Pressure",IF($AH55&lt;Settings!$C$47,"Sell Pressure",IF($AH55&lt;=Settings!$C$48,"Neutral",IF($AH55&lt;=Settings!$C$49,"Buy Pressure","Extreme Buy Pressure")))))</f>
        <v>Buy Pressure</v>
      </c>
      <c r="AK55" s="30">
        <f t="shared" si="11"/>
        <v>2</v>
      </c>
      <c r="AL55" s="30">
        <f t="shared" si="12"/>
        <v>2026</v>
      </c>
      <c r="AM55" s="30">
        <f t="shared" si="13"/>
        <v>33</v>
      </c>
      <c r="AN55" s="30">
        <f t="shared" si="14"/>
        <v>8</v>
      </c>
      <c r="AO55" s="29">
        <f>IF($B55="","",IF(AND(N($L55)=0,N($M55)=0),50,IF(N($M55)=0,100,IF(N($L55)=0,0,MEDIAN(0,100,50+50*LN($S55)/LN(Settings!$C$40))))))</f>
        <v>100</v>
      </c>
      <c r="AP55" s="29">
        <f>IF($AA55="",50,MEDIAN(0,100,50+$AA55*100*Settings!$C$41))</f>
        <v>50</v>
      </c>
      <c r="AQ55" s="29">
        <f>IF($H55="",50,MEDIAN(0,100,50+$H55*100*Settings!$C$42))</f>
        <v>53.418803418803407</v>
      </c>
      <c r="AR55" s="29">
        <f>IF(OR($AC55="",$H55=""),50,MEDIAN(0,100,50+SIGN($H55)*50*MEDIAN(0,1,($AC55-1)/Settings!$C$43)))</f>
        <v>50</v>
      </c>
      <c r="AS55" s="29">
        <f>IF(OR($V55="",$W55=""),50,MEDIAN(0,100,50+50*($V55-$W55)/Settings!$C$44))</f>
        <v>56.138725559816315</v>
      </c>
      <c r="AT55" s="29">
        <f t="shared" si="15"/>
        <v>55.15</v>
      </c>
      <c r="AU55" s="30" t="str">
        <f t="shared" si="16"/>
        <v>TPCC|2026-08-11</v>
      </c>
      <c r="AV55" s="87">
        <f>IF($A55="","",IF(COUNTIFS($A$4:$A55,$A55)=1,1,0))</f>
        <v>0</v>
      </c>
    </row>
    <row r="56" spans="1:48" x14ac:dyDescent="0.3">
      <c r="A56" s="265">
        <v>46245</v>
      </c>
      <c r="B56" s="266" t="s">
        <v>1102</v>
      </c>
      <c r="C56" s="267">
        <v>450</v>
      </c>
      <c r="D56" s="267">
        <v>450</v>
      </c>
      <c r="E56" s="267">
        <v>450</v>
      </c>
      <c r="F56" s="267">
        <v>455</v>
      </c>
      <c r="G56" s="267">
        <v>450</v>
      </c>
      <c r="H56" s="268">
        <f t="shared" si="0"/>
        <v>0</v>
      </c>
      <c r="I56" s="269">
        <v>527980</v>
      </c>
      <c r="J56" s="269">
        <v>19</v>
      </c>
      <c r="K56" s="269">
        <v>1170</v>
      </c>
      <c r="L56" s="269">
        <v>220</v>
      </c>
      <c r="M56" s="269">
        <v>259</v>
      </c>
      <c r="N56" s="269">
        <v>42780000000</v>
      </c>
      <c r="O56" s="266" t="s">
        <v>1106</v>
      </c>
      <c r="P56" s="265">
        <v>46265</v>
      </c>
      <c r="Q56" s="266" t="s">
        <v>1138</v>
      </c>
      <c r="R56" s="23" t="str" cm="1">
        <f t="array" ref="R56">IF($B56="","",IFERROR(IF(INDEX('Data Quality'!$U$4:$U$503,ROW()-3)=0,"PENDING",INDEX('Data Quality'!$U$4:$U$503,ROW()-3)),"PENDING"))</f>
        <v>PASS</v>
      </c>
      <c r="S56" s="24">
        <f t="shared" si="1"/>
        <v>0.84942084942084939</v>
      </c>
      <c r="T56" s="25">
        <f t="shared" si="2"/>
        <v>99000</v>
      </c>
      <c r="U56" s="25">
        <f t="shared" si="3"/>
        <v>116550</v>
      </c>
      <c r="V56" s="26">
        <f t="shared" si="4"/>
        <v>2.3141654978962133E-6</v>
      </c>
      <c r="W56" s="26">
        <f t="shared" si="5"/>
        <v>2.7244039270687237E-6</v>
      </c>
      <c r="X56" s="25">
        <f t="shared" si="6"/>
        <v>61.578947368421055</v>
      </c>
      <c r="Y56" s="25">
        <f t="shared" si="7"/>
        <v>27788.42105263158</v>
      </c>
      <c r="Z56" s="27" t="str">
        <f>IF($B56="","",IF($AK56&lt;=Settings!$C$21,"",IFERROR(AVERAGEIFS($S$4:$S$503,$B$4:$B$503,$B56,$AK$4:$AK$503,"&gt;="&amp;$AK56-Settings!$C$21,$AK$4:$AK$503,"&lt;="&amp;$AK56-1),"")))</f>
        <v/>
      </c>
      <c r="AA56" s="28" t="str">
        <f t="shared" si="8"/>
        <v/>
      </c>
      <c r="AB56" s="25" t="str">
        <f>IF($B56="","",IF($AK56&lt;=Settings!$C$22,"",IFERROR(AVERAGEIFS($K$4:$K$503,$B$4:$B$503,$B56,$AK$4:$AK$503,"&gt;="&amp;$AK56-Settings!$C$22,$AK$4:$AK$503,"&lt;="&amp;$AK56-1),"")))</f>
        <v/>
      </c>
      <c r="AC56" s="27" t="str">
        <f t="shared" si="9"/>
        <v/>
      </c>
      <c r="AD56" s="28" t="str">
        <f>IF($B56="","",IF($AK56&lt;=Settings!$C$23,"",IFERROR($E56/SUMIFS($E$4:$E$503,$B$4:$B$503,$B56,$AK$4:$AK$503,$AK56-Settings!$C$23)-1,"")))</f>
        <v/>
      </c>
      <c r="AE56" s="28" t="str">
        <f>IF($B56="","",IF($AK56&lt;=Settings!$C$22,"",IFERROR($E56/SUMIFS($E$4:$E$503,$B$4:$B$503,$B56,$AK$4:$AK$503,$AK56-Settings!$C$22)-1,"")))</f>
        <v/>
      </c>
      <c r="AF56" s="28">
        <f t="shared" si="10"/>
        <v>1.1111111111111112E-2</v>
      </c>
      <c r="AG56" s="29">
        <f>IF($B56="","",ROUND((MIN(100,100*N($I56)/Settings!$C$27)+MIN(100,100*N($K56)/Settings!$C$28)+MIN(100,100*N($J56)/Settings!$C$29))/3,1))</f>
        <v>6.4</v>
      </c>
      <c r="AH56" s="29">
        <f>IF($B56="","",IF(SUM(Settings!$C$32:$C$37)=0,"",ROUND((Settings!$C$32*$AO56+Settings!$C$33*$AP56+Settings!$C$34*$AQ56+Settings!$C$35*$AR56+Settings!$C$36*$AS56+Settings!$C$37*$AT56)/SUM(Settings!$C$32:$C$37),1)))</f>
        <v>48.2</v>
      </c>
      <c r="AI56" s="29">
        <f>IF($B56="","",MAX(0,100-IF(N($N56)&gt;0,0,20)-IF(AND(N($L56)=0,N($M56)=0),15,0)-IF(N($J56)&gt;0,0,10)-IF(N($K56)&gt;0,0,10)-IF($Z56&lt;&gt;"",0,15)-IF($AB56&lt;&gt;"",0,10)-IF($R56="ERROR",20,IF($R56="WARNING",10,0))))</f>
        <v>75</v>
      </c>
      <c r="AJ56" s="30" t="str">
        <f>IF($AH56="","",IF($AH56&lt;Settings!$C$46,"Extreme Sell Pressure",IF($AH56&lt;Settings!$C$47,"Sell Pressure",IF($AH56&lt;=Settings!$C$48,"Neutral",IF($AH56&lt;=Settings!$C$49,"Buy Pressure","Extreme Buy Pressure")))))</f>
        <v>Neutral</v>
      </c>
      <c r="AK56" s="30">
        <f t="shared" si="11"/>
        <v>2</v>
      </c>
      <c r="AL56" s="30">
        <f t="shared" si="12"/>
        <v>2026</v>
      </c>
      <c r="AM56" s="30">
        <f t="shared" si="13"/>
        <v>33</v>
      </c>
      <c r="AN56" s="30">
        <f t="shared" si="14"/>
        <v>8</v>
      </c>
      <c r="AO56" s="29">
        <f>IF($B56="","",IF(AND(N($L56)=0,N($M56)=0),50,IF(N($M56)=0,100,IF(N($L56)=0,0,MEDIAN(0,100,50+50*LN($S56)/LN(Settings!$C$40))))))</f>
        <v>44.113785645952639</v>
      </c>
      <c r="AP56" s="29">
        <f>IF($AA56="",50,MEDIAN(0,100,50+$AA56*100*Settings!$C$41))</f>
        <v>50</v>
      </c>
      <c r="AQ56" s="29">
        <f>IF($H56="",50,MEDIAN(0,100,50+$H56*100*Settings!$C$42))</f>
        <v>50</v>
      </c>
      <c r="AR56" s="29">
        <f>IF(OR($AC56="",$H56=""),50,MEDIAN(0,100,50+SIGN($H56)*50*MEDIAN(0,1,($AC56-1)/Settings!$C$43)))</f>
        <v>50</v>
      </c>
      <c r="AS56" s="29">
        <f>IF(OR($V56="",$W56=""),50,MEDIAN(0,100,50+50*($V56-$W56)/Settings!$C$44))</f>
        <v>49.958976157082752</v>
      </c>
      <c r="AT56" s="29">
        <f t="shared" si="15"/>
        <v>49.62328228134097</v>
      </c>
      <c r="AU56" s="30" t="str">
        <f t="shared" si="16"/>
        <v>TTP|2026-08-11</v>
      </c>
      <c r="AV56" s="87">
        <f>IF($A56="","",IF(COUNTIFS($A$4:$A56,$A56)=1,1,0))</f>
        <v>0</v>
      </c>
    </row>
    <row r="57" spans="1:48" x14ac:dyDescent="0.3">
      <c r="A57" s="265">
        <v>46245</v>
      </c>
      <c r="B57" s="266" t="s">
        <v>1103</v>
      </c>
      <c r="C57" s="267">
        <v>30</v>
      </c>
      <c r="D57" s="267">
        <v>30</v>
      </c>
      <c r="E57" s="267">
        <v>30</v>
      </c>
      <c r="F57" s="267"/>
      <c r="G57" s="267"/>
      <c r="H57" s="268">
        <f t="shared" si="0"/>
        <v>0</v>
      </c>
      <c r="I57" s="269">
        <v>0</v>
      </c>
      <c r="J57" s="269">
        <v>0</v>
      </c>
      <c r="K57" s="269">
        <v>0</v>
      </c>
      <c r="L57" s="269">
        <v>1916</v>
      </c>
      <c r="M57" s="269">
        <v>0</v>
      </c>
      <c r="N57" s="269">
        <v>10950000000</v>
      </c>
      <c r="O57" s="266" t="s">
        <v>1106</v>
      </c>
      <c r="P57" s="265">
        <v>46265</v>
      </c>
      <c r="Q57" s="266" t="s">
        <v>1138</v>
      </c>
      <c r="R57" s="23" t="str" cm="1">
        <f t="array" ref="R57">IF($B57="","",IFERROR(IF(INDEX('Data Quality'!$U$4:$U$503,ROW()-3)=0,"PENDING",INDEX('Data Quality'!$U$4:$U$503,ROW()-3)),"PENDING"))</f>
        <v>PASS</v>
      </c>
      <c r="S57" s="24" t="str">
        <f t="shared" si="1"/>
        <v/>
      </c>
      <c r="T57" s="25">
        <f t="shared" si="2"/>
        <v>57480</v>
      </c>
      <c r="U57" s="25">
        <f t="shared" si="3"/>
        <v>0</v>
      </c>
      <c r="V57" s="26">
        <f t="shared" si="4"/>
        <v>5.2493150684931509E-6</v>
      </c>
      <c r="W57" s="26">
        <f t="shared" si="5"/>
        <v>0</v>
      </c>
      <c r="X57" s="25" t="str">
        <f t="shared" si="6"/>
        <v/>
      </c>
      <c r="Y57" s="25" t="str">
        <f t="shared" si="7"/>
        <v/>
      </c>
      <c r="Z57" s="27" t="str">
        <f>IF($B57="","",IF($AK57&lt;=Settings!$C$21,"",IFERROR(AVERAGEIFS($S$4:$S$503,$B$4:$B$503,$B57,$AK$4:$AK$503,"&gt;="&amp;$AK57-Settings!$C$21,$AK$4:$AK$503,"&lt;="&amp;$AK57-1),"")))</f>
        <v/>
      </c>
      <c r="AA57" s="28" t="str">
        <f t="shared" si="8"/>
        <v/>
      </c>
      <c r="AB57" s="25" t="str">
        <f>IF($B57="","",IF($AK57&lt;=Settings!$C$22,"",IFERROR(AVERAGEIFS($K$4:$K$503,$B$4:$B$503,$B57,$AK$4:$AK$503,"&gt;="&amp;$AK57-Settings!$C$22,$AK$4:$AK$503,"&lt;="&amp;$AK57-1),"")))</f>
        <v/>
      </c>
      <c r="AC57" s="27" t="str">
        <f t="shared" si="9"/>
        <v/>
      </c>
      <c r="AD57" s="28" t="str">
        <f>IF($B57="","",IF($AK57&lt;=Settings!$C$23,"",IFERROR($E57/SUMIFS($E$4:$E$503,$B$4:$B$503,$B57,$AK$4:$AK$503,$AK57-Settings!$C$23)-1,"")))</f>
        <v/>
      </c>
      <c r="AE57" s="28" t="str">
        <f>IF($B57="","",IF($AK57&lt;=Settings!$C$22,"",IFERROR($E57/SUMIFS($E$4:$E$503,$B$4:$B$503,$B57,$AK$4:$AK$503,$AK57-Settings!$C$22)-1,"")))</f>
        <v/>
      </c>
      <c r="AF57" s="28">
        <f t="shared" si="10"/>
        <v>0</v>
      </c>
      <c r="AG57" s="29">
        <f>IF($B57="","",ROUND((MIN(100,100*N($I57)/Settings!$C$27)+MIN(100,100*N($K57)/Settings!$C$28)+MIN(100,100*N($J57)/Settings!$C$29))/3,1))</f>
        <v>0</v>
      </c>
      <c r="AH57" s="29">
        <f>IF($B57="","",IF(SUM(Settings!$C$32:$C$37)=0,"",ROUND((Settings!$C$32*$AO57+Settings!$C$33*$AP57+Settings!$C$34*$AQ57+Settings!$C$35*$AR57+Settings!$C$36*$AS57+Settings!$C$37*$AT57)/SUM(Settings!$C$32:$C$37),1)))</f>
        <v>65.099999999999994</v>
      </c>
      <c r="AI57" s="29">
        <f>IF($B57="","",MAX(0,100-IF(N($N57)&gt;0,0,20)-IF(AND(N($L57)=0,N($M57)=0),15,0)-IF(N($J57)&gt;0,0,10)-IF(N($K57)&gt;0,0,10)-IF($Z57&lt;&gt;"",0,15)-IF($AB57&lt;&gt;"",0,10)-IF($R57="ERROR",20,IF($R57="WARNING",10,0))))</f>
        <v>55</v>
      </c>
      <c r="AJ57" s="30" t="str">
        <f>IF($AH57="","",IF($AH57&lt;Settings!$C$46,"Extreme Sell Pressure",IF($AH57&lt;Settings!$C$47,"Sell Pressure",IF($AH57&lt;=Settings!$C$48,"Neutral",IF($AH57&lt;=Settings!$C$49,"Buy Pressure","Extreme Buy Pressure")))))</f>
        <v>Buy Pressure</v>
      </c>
      <c r="AK57" s="30">
        <f t="shared" si="11"/>
        <v>2</v>
      </c>
      <c r="AL57" s="30">
        <f t="shared" si="12"/>
        <v>2026</v>
      </c>
      <c r="AM57" s="30">
        <f t="shared" si="13"/>
        <v>33</v>
      </c>
      <c r="AN57" s="30">
        <f t="shared" si="14"/>
        <v>8</v>
      </c>
      <c r="AO57" s="29">
        <f>IF($B57="","",IF(AND(N($L57)=0,N($M57)=0),50,IF(N($M57)=0,100,IF(N($L57)=0,0,MEDIAN(0,100,50+50*LN($S57)/LN(Settings!$C$40))))))</f>
        <v>100</v>
      </c>
      <c r="AP57" s="29">
        <f>IF($AA57="",50,MEDIAN(0,100,50+$AA57*100*Settings!$C$41))</f>
        <v>50</v>
      </c>
      <c r="AQ57" s="29">
        <f>IF($H57="",50,MEDIAN(0,100,50+$H57*100*Settings!$C$42))</f>
        <v>50</v>
      </c>
      <c r="AR57" s="29">
        <f>IF(OR($AC57="",$H57=""),50,MEDIAN(0,100,50+SIGN($H57)*50*MEDIAN(0,1,($AC57-1)/Settings!$C$43)))</f>
        <v>50</v>
      </c>
      <c r="AS57" s="29">
        <f>IF(OR($V57="",$W57=""),50,MEDIAN(0,100,50+50*($V57-$W57)/Settings!$C$44))</f>
        <v>50.524931506849313</v>
      </c>
      <c r="AT57" s="29">
        <f t="shared" si="15"/>
        <v>50</v>
      </c>
      <c r="AU57" s="30" t="str">
        <f t="shared" si="16"/>
        <v>USL|2026-08-11</v>
      </c>
      <c r="AV57" s="87">
        <f>IF($A57="","",IF(COUNTIFS($A$4:$A57,$A57)=1,1,0))</f>
        <v>0</v>
      </c>
    </row>
    <row r="58" spans="1:48" x14ac:dyDescent="0.3">
      <c r="A58" s="265">
        <v>46245</v>
      </c>
      <c r="B58" s="266" t="s">
        <v>123</v>
      </c>
      <c r="C58" s="267">
        <v>1030</v>
      </c>
      <c r="D58" s="267">
        <v>1030</v>
      </c>
      <c r="E58" s="267">
        <v>1010</v>
      </c>
      <c r="F58" s="267">
        <v>1030</v>
      </c>
      <c r="G58" s="267">
        <v>1000</v>
      </c>
      <c r="H58" s="268">
        <f t="shared" si="0"/>
        <v>-1.9417475728155331E-2</v>
      </c>
      <c r="I58" s="269">
        <v>138173600</v>
      </c>
      <c r="J58" s="269">
        <v>169</v>
      </c>
      <c r="K58" s="269">
        <v>136592</v>
      </c>
      <c r="L58" s="269">
        <v>125749</v>
      </c>
      <c r="M58" s="269">
        <v>98452</v>
      </c>
      <c r="N58" s="269">
        <v>2262400000000</v>
      </c>
      <c r="O58" s="266" t="s">
        <v>1106</v>
      </c>
      <c r="P58" s="265">
        <v>46265</v>
      </c>
      <c r="Q58" s="266" t="s">
        <v>1138</v>
      </c>
      <c r="R58" s="23" t="str" cm="1">
        <f t="array" ref="R58">IF($B58="","",IFERROR(IF(INDEX('Data Quality'!$U$4:$U$503,ROW()-3)=0,"PENDING",INDEX('Data Quality'!$U$4:$U$503,ROW()-3)),"PENDING"))</f>
        <v>PASS</v>
      </c>
      <c r="S58" s="24">
        <f t="shared" si="1"/>
        <v>1.2772620160078008</v>
      </c>
      <c r="T58" s="25">
        <f t="shared" si="2"/>
        <v>127006490</v>
      </c>
      <c r="U58" s="25">
        <f t="shared" si="3"/>
        <v>99436520</v>
      </c>
      <c r="V58" s="26">
        <f t="shared" si="4"/>
        <v>5.6137946428571426E-5</v>
      </c>
      <c r="W58" s="26">
        <f t="shared" si="5"/>
        <v>4.3951785714285714E-5</v>
      </c>
      <c r="X58" s="25">
        <f t="shared" si="6"/>
        <v>808.23668639053255</v>
      </c>
      <c r="Y58" s="25">
        <f t="shared" si="7"/>
        <v>817595.26627218933</v>
      </c>
      <c r="Z58" s="27" t="str">
        <f>IF($B58="","",IF($AK58&lt;=Settings!$C$21,"",IFERROR(AVERAGEIFS($S$4:$S$503,$B$4:$B$503,$B58,$AK$4:$AK$503,"&gt;="&amp;$AK58-Settings!$C$21,$AK$4:$AK$503,"&lt;="&amp;$AK58-1),"")))</f>
        <v/>
      </c>
      <c r="AA58" s="28" t="str">
        <f t="shared" si="8"/>
        <v/>
      </c>
      <c r="AB58" s="25" t="str">
        <f>IF($B58="","",IF($AK58&lt;=Settings!$C$22,"",IFERROR(AVERAGEIFS($K$4:$K$503,$B$4:$B$503,$B58,$AK$4:$AK$503,"&gt;="&amp;$AK58-Settings!$C$22,$AK$4:$AK$503,"&lt;="&amp;$AK58-1),"")))</f>
        <v/>
      </c>
      <c r="AC58" s="27" t="str">
        <f t="shared" si="9"/>
        <v/>
      </c>
      <c r="AD58" s="28" t="str">
        <f>IF($B58="","",IF($AK58&lt;=Settings!$C$23,"",IFERROR($E58/SUMIFS($E$4:$E$503,$B$4:$B$503,$B58,$AK$4:$AK$503,$AK58-Settings!$C$23)-1,"")))</f>
        <v/>
      </c>
      <c r="AE58" s="28" t="str">
        <f>IF($B58="","",IF($AK58&lt;=Settings!$C$22,"",IFERROR($E58/SUMIFS($E$4:$E$503,$B$4:$B$503,$B58,$AK$4:$AK$503,$AK58-Settings!$C$22)-1,"")))</f>
        <v/>
      </c>
      <c r="AF58" s="28">
        <f t="shared" si="10"/>
        <v>2.9702970297029702E-2</v>
      </c>
      <c r="AG58" s="29">
        <f>IF($B58="","",ROUND((MIN(100,100*N($I58)/Settings!$C$27)+MIN(100,100*N($K58)/Settings!$C$28)+MIN(100,100*N($J58)/Settings!$C$29))/3,1))</f>
        <v>47</v>
      </c>
      <c r="AH58" s="29">
        <f>IF($B58="","",IF(SUM(Settings!$C$32:$C$37)=0,"",ROUND((Settings!$C$32*$AO58+Settings!$C$33*$AP58+Settings!$C$34*$AQ58+Settings!$C$35*$AR58+Settings!$C$36*$AS58+Settings!$C$37*$AT58)/SUM(Settings!$C$32:$C$37),1)))</f>
        <v>50.3</v>
      </c>
      <c r="AI58" s="29">
        <f>IF($B58="","",MAX(0,100-IF(N($N58)&gt;0,0,20)-IF(AND(N($L58)=0,N($M58)=0),15,0)-IF(N($J58)&gt;0,0,10)-IF(N($K58)&gt;0,0,10)-IF($Z58&lt;&gt;"",0,15)-IF($AB58&lt;&gt;"",0,10)-IF($R58="ERROR",20,IF($R58="WARNING",10,0))))</f>
        <v>75</v>
      </c>
      <c r="AJ58" s="30" t="str">
        <f>IF($AH58="","",IF($AH58&lt;Settings!$C$46,"Extreme Sell Pressure",IF($AH58&lt;Settings!$C$47,"Sell Pressure",IF($AH58&lt;=Settings!$C$48,"Neutral",IF($AH58&lt;=Settings!$C$49,"Buy Pressure","Extreme Buy Pressure")))))</f>
        <v>Neutral</v>
      </c>
      <c r="AK58" s="30">
        <f t="shared" si="11"/>
        <v>2</v>
      </c>
      <c r="AL58" s="30">
        <f t="shared" si="12"/>
        <v>2026</v>
      </c>
      <c r="AM58" s="30">
        <f t="shared" si="13"/>
        <v>33</v>
      </c>
      <c r="AN58" s="30">
        <f t="shared" si="14"/>
        <v>8</v>
      </c>
      <c r="AO58" s="29">
        <f>IF($B58="","",IF(AND(N($L58)=0,N($M58)=0),50,IF(N($M58)=0,100,IF(N($L58)=0,0,MEDIAN(0,100,50+50*LN($S58)/LN(Settings!$C$40))))))</f>
        <v>58.826362703546422</v>
      </c>
      <c r="AP58" s="29">
        <f>IF($AA58="",50,MEDIAN(0,100,50+$AA58*100*Settings!$C$41))</f>
        <v>50</v>
      </c>
      <c r="AQ58" s="29">
        <f>IF($H58="",50,MEDIAN(0,100,50+$H58*100*Settings!$C$42))</f>
        <v>30.582524271844669</v>
      </c>
      <c r="AR58" s="29">
        <f>IF(OR($AC58="",$H58=""),50,MEDIAN(0,100,50+SIGN($H58)*50*MEDIAN(0,1,($AC58-1)/Settings!$C$43)))</f>
        <v>50</v>
      </c>
      <c r="AS58" s="29">
        <f>IF(OR($V58="",$W58=""),50,MEDIAN(0,100,50+50*($V58-$W58)/Settings!$C$44))</f>
        <v>51.218616071428571</v>
      </c>
      <c r="AT58" s="29">
        <f t="shared" si="15"/>
        <v>54.148390470666818</v>
      </c>
      <c r="AU58" s="30" t="str">
        <f t="shared" si="16"/>
        <v>VODA|2026-08-11</v>
      </c>
      <c r="AV58" s="87">
        <f>IF($A58="","",IF(COUNTIFS($A$4:$A58,$A58)=1,1,0))</f>
        <v>0</v>
      </c>
    </row>
    <row r="59" spans="1:48" x14ac:dyDescent="0.3">
      <c r="A59" s="265">
        <v>46245</v>
      </c>
      <c r="B59" s="266" t="s">
        <v>141</v>
      </c>
      <c r="C59" s="267">
        <v>510</v>
      </c>
      <c r="D59" s="267">
        <v>510</v>
      </c>
      <c r="E59" s="267">
        <v>510</v>
      </c>
      <c r="F59" s="267"/>
      <c r="G59" s="267"/>
      <c r="H59" s="268">
        <f t="shared" si="0"/>
        <v>0</v>
      </c>
      <c r="I59" s="269">
        <v>0</v>
      </c>
      <c r="J59" s="269">
        <v>0</v>
      </c>
      <c r="K59" s="269">
        <v>0</v>
      </c>
      <c r="L59" s="269">
        <v>0</v>
      </c>
      <c r="M59" s="269">
        <v>0</v>
      </c>
      <c r="N59" s="269">
        <v>6180000000</v>
      </c>
      <c r="O59" s="266" t="s">
        <v>1106</v>
      </c>
      <c r="P59" s="265">
        <v>46265</v>
      </c>
      <c r="Q59" s="266" t="s">
        <v>1138</v>
      </c>
      <c r="R59" s="23" t="str" cm="1">
        <f t="array" ref="R59">IF($B59="","",IFERROR(IF(INDEX('Data Quality'!$U$4:$U$503,ROW()-3)=0,"PENDING",INDEX('Data Quality'!$U$4:$U$503,ROW()-3)),"PENDING"))</f>
        <v>WARNING</v>
      </c>
      <c r="S59" s="24" t="str">
        <f t="shared" si="1"/>
        <v/>
      </c>
      <c r="T59" s="25">
        <f t="shared" si="2"/>
        <v>0</v>
      </c>
      <c r="U59" s="25">
        <f t="shared" si="3"/>
        <v>0</v>
      </c>
      <c r="V59" s="26">
        <f t="shared" si="4"/>
        <v>0</v>
      </c>
      <c r="W59" s="26">
        <f t="shared" si="5"/>
        <v>0</v>
      </c>
      <c r="X59" s="25" t="str">
        <f t="shared" si="6"/>
        <v/>
      </c>
      <c r="Y59" s="25" t="str">
        <f t="shared" si="7"/>
        <v/>
      </c>
      <c r="Z59" s="27" t="str">
        <f>IF($B59="","",IF($AK59&lt;=Settings!$C$21,"",IFERROR(AVERAGEIFS($S$4:$S$503,$B$4:$B$503,$B59,$AK$4:$AK$503,"&gt;="&amp;$AK59-Settings!$C$21,$AK$4:$AK$503,"&lt;="&amp;$AK59-1),"")))</f>
        <v/>
      </c>
      <c r="AA59" s="28" t="str">
        <f t="shared" si="8"/>
        <v/>
      </c>
      <c r="AB59" s="25" t="str">
        <f>IF($B59="","",IF($AK59&lt;=Settings!$C$22,"",IFERROR(AVERAGEIFS($K$4:$K$503,$B$4:$B$503,$B59,$AK$4:$AK$503,"&gt;="&amp;$AK59-Settings!$C$22,$AK$4:$AK$503,"&lt;="&amp;$AK59-1),"")))</f>
        <v/>
      </c>
      <c r="AC59" s="27" t="str">
        <f t="shared" si="9"/>
        <v/>
      </c>
      <c r="AD59" s="28" t="str">
        <f>IF($B59="","",IF($AK59&lt;=Settings!$C$23,"",IFERROR($E59/SUMIFS($E$4:$E$503,$B$4:$B$503,$B59,$AK$4:$AK$503,$AK59-Settings!$C$23)-1,"")))</f>
        <v/>
      </c>
      <c r="AE59" s="28" t="str">
        <f>IF($B59="","",IF($AK59&lt;=Settings!$C$22,"",IFERROR($E59/SUMIFS($E$4:$E$503,$B$4:$B$503,$B59,$AK$4:$AK$503,$AK59-Settings!$C$22)-1,"")))</f>
        <v/>
      </c>
      <c r="AF59" s="28">
        <f t="shared" si="10"/>
        <v>0</v>
      </c>
      <c r="AG59" s="29">
        <f>IF($B59="","",ROUND((MIN(100,100*N($I59)/Settings!$C$27)+MIN(100,100*N($K59)/Settings!$C$28)+MIN(100,100*N($J59)/Settings!$C$29))/3,1))</f>
        <v>0</v>
      </c>
      <c r="AH59" s="29">
        <f>IF($B59="","",IF(SUM(Settings!$C$32:$C$37)=0,"",ROUND((Settings!$C$32*$AO59+Settings!$C$33*$AP59+Settings!$C$34*$AQ59+Settings!$C$35*$AR59+Settings!$C$36*$AS59+Settings!$C$37*$AT59)/SUM(Settings!$C$32:$C$37),1)))</f>
        <v>50</v>
      </c>
      <c r="AI59" s="29">
        <f>IF($B59="","",MAX(0,100-IF(N($N59)&gt;0,0,20)-IF(AND(N($L59)=0,N($M59)=0),15,0)-IF(N($J59)&gt;0,0,10)-IF(N($K59)&gt;0,0,10)-IF($Z59&lt;&gt;"",0,15)-IF($AB59&lt;&gt;"",0,10)-IF($R59="ERROR",20,IF($R59="WARNING",10,0))))</f>
        <v>30</v>
      </c>
      <c r="AJ59" s="30" t="str">
        <f>IF($AH59="","",IF($AH59&lt;Settings!$C$46,"Extreme Sell Pressure",IF($AH59&lt;Settings!$C$47,"Sell Pressure",IF($AH59&lt;=Settings!$C$48,"Neutral",IF($AH59&lt;=Settings!$C$49,"Buy Pressure","Extreme Buy Pressure")))))</f>
        <v>Neutral</v>
      </c>
      <c r="AK59" s="30">
        <f t="shared" si="11"/>
        <v>2</v>
      </c>
      <c r="AL59" s="30">
        <f t="shared" si="12"/>
        <v>2026</v>
      </c>
      <c r="AM59" s="30">
        <f t="shared" si="13"/>
        <v>33</v>
      </c>
      <c r="AN59" s="30">
        <f t="shared" si="14"/>
        <v>8</v>
      </c>
      <c r="AO59" s="29">
        <f>IF($B59="","",IF(AND(N($L59)=0,N($M59)=0),50,IF(N($M59)=0,100,IF(N($L59)=0,0,MEDIAN(0,100,50+50*LN($S59)/LN(Settings!$C$40))))))</f>
        <v>50</v>
      </c>
      <c r="AP59" s="29">
        <f>IF($AA59="",50,MEDIAN(0,100,50+$AA59*100*Settings!$C$41))</f>
        <v>50</v>
      </c>
      <c r="AQ59" s="29">
        <f>IF($H59="",50,MEDIAN(0,100,50+$H59*100*Settings!$C$42))</f>
        <v>50</v>
      </c>
      <c r="AR59" s="29">
        <f>IF(OR($AC59="",$H59=""),50,MEDIAN(0,100,50+SIGN($H59)*50*MEDIAN(0,1,($AC59-1)/Settings!$C$43)))</f>
        <v>50</v>
      </c>
      <c r="AS59" s="29">
        <f>IF(OR($V59="",$W59=""),50,MEDIAN(0,100,50+50*($V59-$W59)/Settings!$C$44))</f>
        <v>50</v>
      </c>
      <c r="AT59" s="29">
        <f t="shared" si="15"/>
        <v>50</v>
      </c>
      <c r="AU59" s="30" t="str">
        <f t="shared" si="16"/>
        <v>YETU|2026-08-11</v>
      </c>
      <c r="AV59" s="87">
        <f>IF($A59="","",IF(COUNTIFS($A$4:$A59,$A59)=1,1,0))</f>
        <v>0</v>
      </c>
    </row>
    <row r="60" spans="1:48" x14ac:dyDescent="0.3">
      <c r="A60" s="265">
        <v>46245</v>
      </c>
      <c r="B60" s="266" t="s">
        <v>1104</v>
      </c>
      <c r="C60" s="267">
        <v>1360</v>
      </c>
      <c r="D60" s="267"/>
      <c r="E60" s="267">
        <v>1350</v>
      </c>
      <c r="F60" s="267">
        <v>1370</v>
      </c>
      <c r="G60" s="267">
        <v>1340</v>
      </c>
      <c r="H60" s="268" t="str">
        <f t="shared" si="0"/>
        <v/>
      </c>
      <c r="I60" s="269">
        <v>128704150</v>
      </c>
      <c r="J60" s="269">
        <v>79</v>
      </c>
      <c r="K60" s="269">
        <v>95112</v>
      </c>
      <c r="L60" s="269">
        <v>23128</v>
      </c>
      <c r="M60" s="269">
        <v>54116</v>
      </c>
      <c r="N60" s="269">
        <v>187510000000</v>
      </c>
      <c r="O60" s="266" t="s">
        <v>1106</v>
      </c>
      <c r="P60" s="265">
        <v>46265</v>
      </c>
      <c r="Q60" s="266" t="s">
        <v>1138</v>
      </c>
      <c r="R60" s="23" t="str" cm="1">
        <f t="array" ref="R60">IF($B60="","",IFERROR(IF(INDEX('Data Quality'!$U$4:$U$503,ROW()-3)=0,"PENDING",INDEX('Data Quality'!$U$4:$U$503,ROW()-3)),"PENDING"))</f>
        <v>PASS</v>
      </c>
      <c r="S60" s="24">
        <f t="shared" si="1"/>
        <v>0.42737822455466035</v>
      </c>
      <c r="T60" s="25">
        <f t="shared" si="2"/>
        <v>31222800</v>
      </c>
      <c r="U60" s="25">
        <f t="shared" si="3"/>
        <v>73056600</v>
      </c>
      <c r="V60" s="26">
        <f t="shared" si="4"/>
        <v>1.6651271932163617E-4</v>
      </c>
      <c r="W60" s="26">
        <f t="shared" si="5"/>
        <v>3.8961442056423658E-4</v>
      </c>
      <c r="X60" s="25">
        <f t="shared" si="6"/>
        <v>1203.9493670886077</v>
      </c>
      <c r="Y60" s="25">
        <f t="shared" si="7"/>
        <v>1629166.4556962026</v>
      </c>
      <c r="Z60" s="27" t="str">
        <f>IF($B60="","",IF($AK60&lt;=Settings!$C$21,"",IFERROR(AVERAGEIFS($S$4:$S$503,$B$4:$B$503,$B60,$AK$4:$AK$503,"&gt;="&amp;$AK60-Settings!$C$21,$AK$4:$AK$503,"&lt;="&amp;$AK60-1),"")))</f>
        <v/>
      </c>
      <c r="AA60" s="28" t="str">
        <f t="shared" si="8"/>
        <v/>
      </c>
      <c r="AB60" s="25" t="str">
        <f>IF($B60="","",IF($AK60&lt;=Settings!$C$22,"",IFERROR(AVERAGEIFS($K$4:$K$503,$B$4:$B$503,$B60,$AK$4:$AK$503,"&gt;="&amp;$AK60-Settings!$C$22,$AK$4:$AK$503,"&lt;="&amp;$AK60-1),"")))</f>
        <v/>
      </c>
      <c r="AC60" s="27" t="str">
        <f t="shared" si="9"/>
        <v/>
      </c>
      <c r="AD60" s="28" t="str">
        <f>IF($B60="","",IF($AK60&lt;=Settings!$C$23,"",IFERROR($E60/SUMIFS($E$4:$E$503,$B$4:$B$503,$B60,$AK$4:$AK$503,$AK60-Settings!$C$23)-1,"")))</f>
        <v/>
      </c>
      <c r="AE60" s="28" t="str">
        <f>IF($B60="","",IF($AK60&lt;=Settings!$C$22,"",IFERROR($E60/SUMIFS($E$4:$E$503,$B$4:$B$503,$B60,$AK$4:$AK$503,$AK60-Settings!$C$22)-1,"")))</f>
        <v/>
      </c>
      <c r="AF60" s="28">
        <f t="shared" si="10"/>
        <v>2.2222222222222223E-2</v>
      </c>
      <c r="AG60" s="29">
        <f>IF($B60="","",ROUND((MIN(100,100*N($I60)/Settings!$C$27)+MIN(100,100*N($K60)/Settings!$C$28)+MIN(100,100*N($J60)/Settings!$C$29))/3,1))</f>
        <v>37</v>
      </c>
      <c r="AH60" s="29">
        <f>IF($B60="","",IF(SUM(Settings!$C$32:$C$37)=0,"",ROUND((Settings!$C$32*$AO60+Settings!$C$33*$AP60+Settings!$C$34*$AQ60+Settings!$C$35*$AR60+Settings!$C$36*$AS60+Settings!$C$37*$AT60)/SUM(Settings!$C$32:$C$37),1)))</f>
        <v>37.4</v>
      </c>
      <c r="AI60" s="29">
        <f>IF($B60="","",MAX(0,100-IF(N($N60)&gt;0,0,20)-IF(AND(N($L60)=0,N($M60)=0),15,0)-IF(N($J60)&gt;0,0,10)-IF(N($K60)&gt;0,0,10)-IF($Z60&lt;&gt;"",0,15)-IF($AB60&lt;&gt;"",0,10)-IF($R60="ERROR",20,IF($R60="WARNING",10,0))))</f>
        <v>75</v>
      </c>
      <c r="AJ60" s="30" t="str">
        <f>IF($AH60="","",IF($AH60&lt;Settings!$C$46,"Extreme Sell Pressure",IF($AH60&lt;Settings!$C$47,"Sell Pressure",IF($AH60&lt;=Settings!$C$48,"Neutral",IF($AH60&lt;=Settings!$C$49,"Buy Pressure","Extreme Buy Pressure")))))</f>
        <v>Sell Pressure</v>
      </c>
      <c r="AK60" s="30">
        <f t="shared" si="11"/>
        <v>1</v>
      </c>
      <c r="AL60" s="30">
        <f t="shared" si="12"/>
        <v>2026</v>
      </c>
      <c r="AM60" s="30">
        <f t="shared" si="13"/>
        <v>33</v>
      </c>
      <c r="AN60" s="30">
        <f t="shared" si="14"/>
        <v>8</v>
      </c>
      <c r="AO60" s="29">
        <f>IF($B60="","",IF(AND(N($L60)=0,N($M60)=0),50,IF(N($M60)=0,100,IF(N($L60)=0,0,MEDIAN(0,100,50+50*LN($S60)/LN(Settings!$C$40))))))</f>
        <v>19.339632697476176</v>
      </c>
      <c r="AP60" s="29">
        <f>IF($AA60="",50,MEDIAN(0,100,50+$AA60*100*Settings!$C$41))</f>
        <v>50</v>
      </c>
      <c r="AQ60" s="29">
        <f>IF($H60="",50,MEDIAN(0,100,50+$H60*100*Settings!$C$42))</f>
        <v>50</v>
      </c>
      <c r="AR60" s="29">
        <f>IF(OR($AC60="",$H60=""),50,MEDIAN(0,100,50+SIGN($H60)*50*MEDIAN(0,1,($AC60-1)/Settings!$C$43)))</f>
        <v>50</v>
      </c>
      <c r="AS60" s="29">
        <f>IF(OR($V60="",$W60=""),50,MEDIAN(0,100,50+50*($V60-$W60)/Settings!$C$44))</f>
        <v>27.68982987573996</v>
      </c>
      <c r="AT60" s="29">
        <f t="shared" si="15"/>
        <v>38.655664098066183</v>
      </c>
      <c r="AU60" s="30" t="str">
        <f t="shared" si="16"/>
        <v>IEACLC-ETF|2026-08-11</v>
      </c>
      <c r="AV60" s="87">
        <f>IF($A60="","",IF(COUNTIFS($A$4:$A60,$A60)=1,1,0))</f>
        <v>0</v>
      </c>
    </row>
    <row r="61" spans="1:48" x14ac:dyDescent="0.3">
      <c r="A61" s="265">
        <v>46245</v>
      </c>
      <c r="B61" s="266" t="s">
        <v>1105</v>
      </c>
      <c r="C61" s="267">
        <v>320</v>
      </c>
      <c r="D61" s="267"/>
      <c r="E61" s="267">
        <v>320</v>
      </c>
      <c r="F61" s="267">
        <v>320</v>
      </c>
      <c r="G61" s="267">
        <v>315</v>
      </c>
      <c r="H61" s="268" t="str">
        <f t="shared" si="0"/>
        <v/>
      </c>
      <c r="I61" s="269">
        <v>12822960</v>
      </c>
      <c r="J61" s="269">
        <v>118</v>
      </c>
      <c r="K61" s="269">
        <v>40263</v>
      </c>
      <c r="L61" s="269">
        <v>11283</v>
      </c>
      <c r="M61" s="269">
        <v>1429</v>
      </c>
      <c r="N61" s="269">
        <v>17280000000</v>
      </c>
      <c r="O61" s="266" t="s">
        <v>1106</v>
      </c>
      <c r="P61" s="265">
        <v>46265</v>
      </c>
      <c r="Q61" s="266" t="s">
        <v>1138</v>
      </c>
      <c r="R61" s="23" t="str" cm="1">
        <f t="array" ref="R61">IF($B61="","",IFERROR(IF(INDEX('Data Quality'!$U$4:$U$503,ROW()-3)=0,"PENDING",INDEX('Data Quality'!$U$4:$U$503,ROW()-3)),"PENDING"))</f>
        <v>PASS</v>
      </c>
      <c r="S61" s="24">
        <f t="shared" si="1"/>
        <v>7.8957312806158155</v>
      </c>
      <c r="T61" s="25">
        <f t="shared" si="2"/>
        <v>3610560</v>
      </c>
      <c r="U61" s="25">
        <f t="shared" si="3"/>
        <v>457280</v>
      </c>
      <c r="V61" s="26">
        <f t="shared" si="4"/>
        <v>2.0894444444444443E-4</v>
      </c>
      <c r="W61" s="26">
        <f t="shared" si="5"/>
        <v>2.6462962962962962E-5</v>
      </c>
      <c r="X61" s="25">
        <f t="shared" si="6"/>
        <v>341.21186440677968</v>
      </c>
      <c r="Y61" s="25">
        <f t="shared" si="7"/>
        <v>108669.15254237287</v>
      </c>
      <c r="Z61" s="27" t="str">
        <f>IF($B61="","",IF($AK61&lt;=Settings!$C$21,"",IFERROR(AVERAGEIFS($S$4:$S$503,$B$4:$B$503,$B61,$AK$4:$AK$503,"&gt;="&amp;$AK61-Settings!$C$21,$AK$4:$AK$503,"&lt;="&amp;$AK61-1),"")))</f>
        <v/>
      </c>
      <c r="AA61" s="28" t="str">
        <f t="shared" si="8"/>
        <v/>
      </c>
      <c r="AB61" s="25" t="str">
        <f>IF($B61="","",IF($AK61&lt;=Settings!$C$22,"",IFERROR(AVERAGEIFS($K$4:$K$503,$B$4:$B$503,$B61,$AK$4:$AK$503,"&gt;="&amp;$AK61-Settings!$C$22,$AK$4:$AK$503,"&lt;="&amp;$AK61-1),"")))</f>
        <v/>
      </c>
      <c r="AC61" s="27" t="str">
        <f t="shared" si="9"/>
        <v/>
      </c>
      <c r="AD61" s="28" t="str">
        <f>IF($B61="","",IF($AK61&lt;=Settings!$C$23,"",IFERROR($E61/SUMIFS($E$4:$E$503,$B$4:$B$503,$B61,$AK$4:$AK$503,$AK61-Settings!$C$23)-1,"")))</f>
        <v/>
      </c>
      <c r="AE61" s="28" t="str">
        <f>IF($B61="","",IF($AK61&lt;=Settings!$C$22,"",IFERROR($E61/SUMIFS($E$4:$E$503,$B$4:$B$503,$B61,$AK$4:$AK$503,$AK61-Settings!$C$22)-1,"")))</f>
        <v/>
      </c>
      <c r="AF61" s="28">
        <f t="shared" si="10"/>
        <v>1.5625E-2</v>
      </c>
      <c r="AG61" s="29">
        <f>IF($B61="","",ROUND((MIN(100,100*N($I61)/Settings!$C$27)+MIN(100,100*N($K61)/Settings!$C$28)+MIN(100,100*N($J61)/Settings!$C$29))/3,1))</f>
        <v>36.4</v>
      </c>
      <c r="AH61" s="29">
        <f>IF($B61="","",IF(SUM(Settings!$C$32:$C$37)=0,"",ROUND((Settings!$C$32*$AO61+Settings!$C$33*$AP61+Settings!$C$34*$AQ61+Settings!$C$35*$AR61+Settings!$C$36*$AS61+Settings!$C$37*$AT61)/SUM(Settings!$C$32:$C$37),1)))</f>
        <v>68.599999999999994</v>
      </c>
      <c r="AI61" s="29">
        <f>IF($B61="","",MAX(0,100-IF(N($N61)&gt;0,0,20)-IF(AND(N($L61)=0,N($M61)=0),15,0)-IF(N($J61)&gt;0,0,10)-IF(N($K61)&gt;0,0,10)-IF($Z61&lt;&gt;"",0,15)-IF($AB61&lt;&gt;"",0,10)-IF($R61="ERROR",20,IF($R61="WARNING",10,0))))</f>
        <v>75</v>
      </c>
      <c r="AJ61" s="30" t="str">
        <f>IF($AH61="","",IF($AH61&lt;Settings!$C$46,"Extreme Sell Pressure",IF($AH61&lt;Settings!$C$47,"Sell Pressure",IF($AH61&lt;=Settings!$C$48,"Neutral",IF($AH61&lt;=Settings!$C$49,"Buy Pressure","Extreme Buy Pressure")))))</f>
        <v>Buy Pressure</v>
      </c>
      <c r="AK61" s="30">
        <f t="shared" si="11"/>
        <v>1</v>
      </c>
      <c r="AL61" s="30">
        <f t="shared" si="12"/>
        <v>2026</v>
      </c>
      <c r="AM61" s="30">
        <f t="shared" si="13"/>
        <v>33</v>
      </c>
      <c r="AN61" s="30">
        <f t="shared" si="14"/>
        <v>8</v>
      </c>
      <c r="AO61" s="29">
        <f>IF($B61="","",IF(AND(N($L61)=0,N($M61)=0),50,IF(N($M61)=0,100,IF(N($L61)=0,0,MEDIAN(0,100,50+50*LN($S61)/LN(Settings!$C$40))))))</f>
        <v>100</v>
      </c>
      <c r="AP61" s="29">
        <f>IF($AA61="",50,MEDIAN(0,100,50+$AA61*100*Settings!$C$41))</f>
        <v>50</v>
      </c>
      <c r="AQ61" s="29">
        <f>IF($H61="",50,MEDIAN(0,100,50+$H61*100*Settings!$C$42))</f>
        <v>50</v>
      </c>
      <c r="AR61" s="29">
        <f>IF(OR($AC61="",$H61=""),50,MEDIAN(0,100,50+SIGN($H61)*50*MEDIAN(0,1,($AC61-1)/Settings!$C$43)))</f>
        <v>50</v>
      </c>
      <c r="AS61" s="29">
        <f>IF(OR($V61="",$W61=""),50,MEDIAN(0,100,50+50*($V61-$W61)/Settings!$C$44))</f>
        <v>68.248148148148147</v>
      </c>
      <c r="AT61" s="29">
        <f t="shared" si="15"/>
        <v>68.2</v>
      </c>
      <c r="AU61" s="30" t="str">
        <f t="shared" si="16"/>
        <v>VERTEX-ETF|2026-08-11</v>
      </c>
      <c r="AV61" s="87">
        <f>IF($A61="","",IF(COUNTIFS($A$4:$A61,$A61)=1,1,0))</f>
        <v>0</v>
      </c>
    </row>
    <row r="62" spans="1:48" x14ac:dyDescent="0.3">
      <c r="A62" s="265">
        <v>46246</v>
      </c>
      <c r="B62" s="266" t="s">
        <v>1093</v>
      </c>
      <c r="C62" s="267">
        <v>630</v>
      </c>
      <c r="D62" s="267">
        <v>630</v>
      </c>
      <c r="E62" s="267">
        <v>630</v>
      </c>
      <c r="F62" s="267">
        <v>640</v>
      </c>
      <c r="G62" s="267">
        <v>620</v>
      </c>
      <c r="H62" s="268">
        <f t="shared" si="0"/>
        <v>0</v>
      </c>
      <c r="I62" s="269">
        <v>38261185</v>
      </c>
      <c r="J62" s="269">
        <v>162</v>
      </c>
      <c r="K62" s="269">
        <v>60877</v>
      </c>
      <c r="L62" s="269">
        <v>27611</v>
      </c>
      <c r="M62" s="269">
        <v>58946</v>
      </c>
      <c r="N62" s="269">
        <v>92000000000</v>
      </c>
      <c r="O62" s="266" t="s">
        <v>1106</v>
      </c>
      <c r="P62" s="265">
        <v>46265</v>
      </c>
      <c r="Q62" s="266" t="s">
        <v>1138</v>
      </c>
      <c r="R62" s="23" t="str" cm="1">
        <f t="array" ref="R62">IF($B62="","",IFERROR(IF(INDEX('Data Quality'!$U$4:$U$503,ROW()-3)=0,"PENDING",INDEX('Data Quality'!$U$4:$U$503,ROW()-3)),"PENDING"))</f>
        <v>PASS</v>
      </c>
      <c r="S62" s="24">
        <f t="shared" si="1"/>
        <v>0.46841176670172702</v>
      </c>
      <c r="T62" s="25">
        <f t="shared" si="2"/>
        <v>17394930</v>
      </c>
      <c r="U62" s="25">
        <f t="shared" si="3"/>
        <v>37135980</v>
      </c>
      <c r="V62" s="26">
        <f t="shared" si="4"/>
        <v>1.8907532608695651E-4</v>
      </c>
      <c r="W62" s="26">
        <f t="shared" si="5"/>
        <v>4.0365195652173914E-4</v>
      </c>
      <c r="X62" s="25">
        <f t="shared" si="6"/>
        <v>375.78395061728395</v>
      </c>
      <c r="Y62" s="25">
        <f t="shared" si="7"/>
        <v>236180.15432098764</v>
      </c>
      <c r="Z62" s="27" t="str">
        <f>IF($B62="","",IF($AK62&lt;=Settings!$C$21,"",IFERROR(AVERAGEIFS($S$4:$S$503,$B$4:$B$503,$B62,$AK$4:$AK$503,"&gt;="&amp;$AK62-Settings!$C$21,$AK$4:$AK$503,"&lt;="&amp;$AK62-1),"")))</f>
        <v/>
      </c>
      <c r="AA62" s="28" t="str">
        <f t="shared" si="8"/>
        <v/>
      </c>
      <c r="AB62" s="25" t="str">
        <f>IF($B62="","",IF($AK62&lt;=Settings!$C$22,"",IFERROR(AVERAGEIFS($K$4:$K$503,$B$4:$B$503,$B62,$AK$4:$AK$503,"&gt;="&amp;$AK62-Settings!$C$22,$AK$4:$AK$503,"&lt;="&amp;$AK62-1),"")))</f>
        <v/>
      </c>
      <c r="AC62" s="27" t="str">
        <f t="shared" si="9"/>
        <v/>
      </c>
      <c r="AD62" s="28" t="str">
        <f>IF($B62="","",IF($AK62&lt;=Settings!$C$23,"",IFERROR($E62/SUMIFS($E$4:$E$503,$B$4:$B$503,$B62,$AK$4:$AK$503,$AK62-Settings!$C$23)-1,"")))</f>
        <v/>
      </c>
      <c r="AE62" s="28" t="str">
        <f>IF($B62="","",IF($AK62&lt;=Settings!$C$22,"",IFERROR($E62/SUMIFS($E$4:$E$503,$B$4:$B$503,$B62,$AK$4:$AK$503,$AK62-Settings!$C$22)-1,"")))</f>
        <v/>
      </c>
      <c r="AF62" s="28">
        <f t="shared" si="10"/>
        <v>3.1746031746031744E-2</v>
      </c>
      <c r="AG62" s="29">
        <f>IF($B62="","",ROUND((MIN(100,100*N($I62)/Settings!$C$27)+MIN(100,100*N($K62)/Settings!$C$28)+MIN(100,100*N($J62)/Settings!$C$29))/3,1))</f>
        <v>38.700000000000003</v>
      </c>
      <c r="AH62" s="29">
        <f>IF($B62="","",IF(SUM(Settings!$C$32:$C$37)=0,"",ROUND((Settings!$C$32*$AO62+Settings!$C$33*$AP62+Settings!$C$34*$AQ62+Settings!$C$35*$AR62+Settings!$C$36*$AS62+Settings!$C$37*$AT62)/SUM(Settings!$C$32:$C$37),1)))</f>
        <v>38.6</v>
      </c>
      <c r="AI62" s="29">
        <f>IF($B62="","",MAX(0,100-IF(N($N62)&gt;0,0,20)-IF(AND(N($L62)=0,N($M62)=0),15,0)-IF(N($J62)&gt;0,0,10)-IF(N($K62)&gt;0,0,10)-IF($Z62&lt;&gt;"",0,15)-IF($AB62&lt;&gt;"",0,10)-IF($R62="ERROR",20,IF($R62="WARNING",10,0))))</f>
        <v>75</v>
      </c>
      <c r="AJ62" s="30" t="str">
        <f>IF($AH62="","",IF($AH62&lt;Settings!$C$46,"Extreme Sell Pressure",IF($AH62&lt;Settings!$C$47,"Sell Pressure",IF($AH62&lt;=Settings!$C$48,"Neutral",IF($AH62&lt;=Settings!$C$49,"Buy Pressure","Extreme Buy Pressure")))))</f>
        <v>Sell Pressure</v>
      </c>
      <c r="AK62" s="30">
        <f t="shared" si="11"/>
        <v>3</v>
      </c>
      <c r="AL62" s="30">
        <f t="shared" si="12"/>
        <v>2026</v>
      </c>
      <c r="AM62" s="30">
        <f t="shared" si="13"/>
        <v>33</v>
      </c>
      <c r="AN62" s="30">
        <f t="shared" si="14"/>
        <v>8</v>
      </c>
      <c r="AO62" s="29">
        <f>IF($B62="","",IF(AND(N($L62)=0,N($M62)=0),50,IF(N($M62)=0,100,IF(N($L62)=0,0,MEDIAN(0,100,50+50*LN($S62)/LN(Settings!$C$40))))))</f>
        <v>22.646230562917125</v>
      </c>
      <c r="AP62" s="29">
        <f>IF($AA62="",50,MEDIAN(0,100,50+$AA62*100*Settings!$C$41))</f>
        <v>50</v>
      </c>
      <c r="AQ62" s="29">
        <f>IF($H62="",50,MEDIAN(0,100,50+$H62*100*Settings!$C$42))</f>
        <v>50</v>
      </c>
      <c r="AR62" s="29">
        <f>IF(OR($AC62="",$H62=""),50,MEDIAN(0,100,50+SIGN($H62)*50*MEDIAN(0,1,($AC62-1)/Settings!$C$43)))</f>
        <v>50</v>
      </c>
      <c r="AS62" s="29">
        <f>IF(OR($V62="",$W62=""),50,MEDIAN(0,100,50+50*($V62-$W62)/Settings!$C$44))</f>
        <v>28.542336956521741</v>
      </c>
      <c r="AT62" s="29">
        <f t="shared" si="15"/>
        <v>39.414091227848928</v>
      </c>
      <c r="AU62" s="30" t="str">
        <f t="shared" si="16"/>
        <v>AFRIPRISE|2026-08-12</v>
      </c>
      <c r="AV62" s="87">
        <f>IF($A62="","",IF(COUNTIFS($A$4:$A62,$A62)=1,1,0))</f>
        <v>1</v>
      </c>
    </row>
    <row r="63" spans="1:48" x14ac:dyDescent="0.3">
      <c r="A63" s="265">
        <v>46246</v>
      </c>
      <c r="B63" s="266" t="s">
        <v>23</v>
      </c>
      <c r="C63" s="267">
        <v>2600</v>
      </c>
      <c r="D63" s="267">
        <v>2600</v>
      </c>
      <c r="E63" s="267">
        <v>2620</v>
      </c>
      <c r="F63" s="267">
        <v>2640</v>
      </c>
      <c r="G63" s="267">
        <v>2610</v>
      </c>
      <c r="H63" s="268">
        <f t="shared" si="0"/>
        <v>7.692307692307665E-3</v>
      </c>
      <c r="I63" s="269">
        <v>894277490</v>
      </c>
      <c r="J63" s="269">
        <v>1064</v>
      </c>
      <c r="K63" s="269">
        <v>340739</v>
      </c>
      <c r="L63" s="269">
        <v>431200</v>
      </c>
      <c r="M63" s="269">
        <v>35034</v>
      </c>
      <c r="N63" s="269">
        <v>6843020000000</v>
      </c>
      <c r="O63" s="266" t="s">
        <v>1106</v>
      </c>
      <c r="P63" s="265">
        <v>46265</v>
      </c>
      <c r="Q63" s="266" t="s">
        <v>1138</v>
      </c>
      <c r="R63" s="23" t="str" cm="1">
        <f t="array" ref="R63">IF($B63="","",IFERROR(IF(INDEX('Data Quality'!$U$4:$U$503,ROW()-3)=0,"PENDING",INDEX('Data Quality'!$U$4:$U$503,ROW()-3)),"PENDING"))</f>
        <v>PASS</v>
      </c>
      <c r="S63" s="24">
        <f t="shared" si="1"/>
        <v>12.308043614774219</v>
      </c>
      <c r="T63" s="25">
        <f t="shared" si="2"/>
        <v>1129744000</v>
      </c>
      <c r="U63" s="25">
        <f t="shared" si="3"/>
        <v>91789080</v>
      </c>
      <c r="V63" s="26">
        <f t="shared" si="4"/>
        <v>1.6509435892339932E-4</v>
      </c>
      <c r="W63" s="26">
        <f t="shared" si="5"/>
        <v>1.3413533790636297E-5</v>
      </c>
      <c r="X63" s="25">
        <f t="shared" si="6"/>
        <v>320.24342105263156</v>
      </c>
      <c r="Y63" s="25">
        <f t="shared" si="7"/>
        <v>840486.36278195493</v>
      </c>
      <c r="Z63" s="27" t="str">
        <f>IF($B63="","",IF($AK63&lt;=Settings!$C$21,"",IFERROR(AVERAGEIFS($S$4:$S$503,$B$4:$B$503,$B63,$AK$4:$AK$503,"&gt;="&amp;$AK63-Settings!$C$21,$AK$4:$AK$503,"&lt;="&amp;$AK63-1),"")))</f>
        <v/>
      </c>
      <c r="AA63" s="28" t="str">
        <f t="shared" si="8"/>
        <v/>
      </c>
      <c r="AB63" s="25" t="str">
        <f>IF($B63="","",IF($AK63&lt;=Settings!$C$22,"",IFERROR(AVERAGEIFS($K$4:$K$503,$B$4:$B$503,$B63,$AK$4:$AK$503,"&gt;="&amp;$AK63-Settings!$C$22,$AK$4:$AK$503,"&lt;="&amp;$AK63-1),"")))</f>
        <v/>
      </c>
      <c r="AC63" s="27" t="str">
        <f t="shared" si="9"/>
        <v/>
      </c>
      <c r="AD63" s="28" t="str">
        <f>IF($B63="","",IF($AK63&lt;=Settings!$C$23,"",IFERROR($E63/SUMIFS($E$4:$E$503,$B$4:$B$503,$B63,$AK$4:$AK$503,$AK63-Settings!$C$23)-1,"")))</f>
        <v/>
      </c>
      <c r="AE63" s="28" t="str">
        <f>IF($B63="","",IF($AK63&lt;=Settings!$C$22,"",IFERROR($E63/SUMIFS($E$4:$E$503,$B$4:$B$503,$B63,$AK$4:$AK$503,$AK63-Settings!$C$22)-1,"")))</f>
        <v/>
      </c>
      <c r="AF63" s="28">
        <f t="shared" si="10"/>
        <v>1.1450381679389313E-2</v>
      </c>
      <c r="AG63" s="29">
        <f>IF($B63="","",ROUND((MIN(100,100*N($I63)/Settings!$C$27)+MIN(100,100*N($K63)/Settings!$C$28)+MIN(100,100*N($J63)/Settings!$C$29))/3,1))</f>
        <v>85.9</v>
      </c>
      <c r="AH63" s="29">
        <f>IF($B63="","",IF(SUM(Settings!$C$32:$C$37)=0,"",ROUND((Settings!$C$32*$AO63+Settings!$C$33*$AP63+Settings!$C$34*$AQ63+Settings!$C$35*$AR63+Settings!$C$36*$AS63+Settings!$C$37*$AT63)/SUM(Settings!$C$32:$C$37),1)))</f>
        <v>72</v>
      </c>
      <c r="AI63" s="29">
        <f>IF($B63="","",MAX(0,100-IF(N($N63)&gt;0,0,20)-IF(AND(N($L63)=0,N($M63)=0),15,0)-IF(N($J63)&gt;0,0,10)-IF(N($K63)&gt;0,0,10)-IF($Z63&lt;&gt;"",0,15)-IF($AB63&lt;&gt;"",0,10)-IF($R63="ERROR",20,IF($R63="WARNING",10,0))))</f>
        <v>75</v>
      </c>
      <c r="AJ63" s="30" t="str">
        <f>IF($AH63="","",IF($AH63&lt;Settings!$C$46,"Extreme Sell Pressure",IF($AH63&lt;Settings!$C$47,"Sell Pressure",IF($AH63&lt;=Settings!$C$48,"Neutral",IF($AH63&lt;=Settings!$C$49,"Buy Pressure","Extreme Buy Pressure")))))</f>
        <v>Buy Pressure</v>
      </c>
      <c r="AK63" s="30">
        <f t="shared" si="11"/>
        <v>3</v>
      </c>
      <c r="AL63" s="30">
        <f t="shared" si="12"/>
        <v>2026</v>
      </c>
      <c r="AM63" s="30">
        <f t="shared" si="13"/>
        <v>33</v>
      </c>
      <c r="AN63" s="30">
        <f t="shared" si="14"/>
        <v>8</v>
      </c>
      <c r="AO63" s="29">
        <f>IF($B63="","",IF(AND(N($L63)=0,N($M63)=0),50,IF(N($M63)=0,100,IF(N($L63)=0,0,MEDIAN(0,100,50+50*LN($S63)/LN(Settings!$C$40))))))</f>
        <v>100</v>
      </c>
      <c r="AP63" s="29">
        <f>IF($AA63="",50,MEDIAN(0,100,50+$AA63*100*Settings!$C$41))</f>
        <v>50</v>
      </c>
      <c r="AQ63" s="29">
        <f>IF($H63="",50,MEDIAN(0,100,50+$H63*100*Settings!$C$42))</f>
        <v>57.692307692307665</v>
      </c>
      <c r="AR63" s="29">
        <f>IF(OR($AC63="",$H63=""),50,MEDIAN(0,100,50+SIGN($H63)*50*MEDIAN(0,1,($AC63-1)/Settings!$C$43)))</f>
        <v>50</v>
      </c>
      <c r="AS63" s="29">
        <f>IF(OR($V63="",$W63=""),50,MEDIAN(0,100,50+50*($V63-$W63)/Settings!$C$44))</f>
        <v>65.168082513276303</v>
      </c>
      <c r="AT63" s="29">
        <f t="shared" si="15"/>
        <v>92.95</v>
      </c>
      <c r="AU63" s="30" t="str">
        <f t="shared" si="16"/>
        <v>CRDB|2026-08-12</v>
      </c>
      <c r="AV63" s="87">
        <f>IF($A63="","",IF(COUNTIFS($A$4:$A63,$A63)=1,1,0))</f>
        <v>0</v>
      </c>
    </row>
    <row r="64" spans="1:48" x14ac:dyDescent="0.3">
      <c r="A64" s="265">
        <v>46246</v>
      </c>
      <c r="B64" s="266" t="s">
        <v>1094</v>
      </c>
      <c r="C64" s="267">
        <v>400</v>
      </c>
      <c r="D64" s="267">
        <v>400</v>
      </c>
      <c r="E64" s="267">
        <v>405</v>
      </c>
      <c r="F64" s="267">
        <v>410</v>
      </c>
      <c r="G64" s="267">
        <v>400</v>
      </c>
      <c r="H64" s="268">
        <f t="shared" si="0"/>
        <v>1.2499999999999956E-2</v>
      </c>
      <c r="I64" s="269">
        <v>7613580</v>
      </c>
      <c r="J64" s="269">
        <v>92</v>
      </c>
      <c r="K64" s="269">
        <v>18780</v>
      </c>
      <c r="L64" s="269">
        <v>42372</v>
      </c>
      <c r="M64" s="269">
        <v>15266</v>
      </c>
      <c r="N64" s="269">
        <v>77590000000</v>
      </c>
      <c r="O64" s="266" t="s">
        <v>1106</v>
      </c>
      <c r="P64" s="265">
        <v>46265</v>
      </c>
      <c r="Q64" s="266" t="s">
        <v>1138</v>
      </c>
      <c r="R64" s="23" t="str" cm="1">
        <f t="array" ref="R64">IF($B64="","",IFERROR(IF(INDEX('Data Quality'!$U$4:$U$503,ROW()-3)=0,"PENDING",INDEX('Data Quality'!$U$4:$U$503,ROW()-3)),"PENDING"))</f>
        <v>PASS</v>
      </c>
      <c r="S64" s="24">
        <f t="shared" si="1"/>
        <v>2.775579719638412</v>
      </c>
      <c r="T64" s="25">
        <f t="shared" si="2"/>
        <v>17160660</v>
      </c>
      <c r="U64" s="25">
        <f t="shared" si="3"/>
        <v>6182730</v>
      </c>
      <c r="V64" s="26">
        <f t="shared" si="4"/>
        <v>2.2117102719422605E-4</v>
      </c>
      <c r="W64" s="26">
        <f t="shared" si="5"/>
        <v>7.9684624307256084E-5</v>
      </c>
      <c r="X64" s="25">
        <f t="shared" si="6"/>
        <v>204.13043478260869</v>
      </c>
      <c r="Y64" s="25">
        <f t="shared" si="7"/>
        <v>82756.304347826081</v>
      </c>
      <c r="Z64" s="27" t="str">
        <f>IF($B64="","",IF($AK64&lt;=Settings!$C$21,"",IFERROR(AVERAGEIFS($S$4:$S$503,$B$4:$B$503,$B64,$AK$4:$AK$503,"&gt;="&amp;$AK64-Settings!$C$21,$AK$4:$AK$503,"&lt;="&amp;$AK64-1),"")))</f>
        <v/>
      </c>
      <c r="AA64" s="28" t="str">
        <f t="shared" si="8"/>
        <v/>
      </c>
      <c r="AB64" s="25" t="str">
        <f>IF($B64="","",IF($AK64&lt;=Settings!$C$22,"",IFERROR(AVERAGEIFS($K$4:$K$503,$B$4:$B$503,$B64,$AK$4:$AK$503,"&gt;="&amp;$AK64-Settings!$C$22,$AK$4:$AK$503,"&lt;="&amp;$AK64-1),"")))</f>
        <v/>
      </c>
      <c r="AC64" s="27" t="str">
        <f t="shared" si="9"/>
        <v/>
      </c>
      <c r="AD64" s="28" t="str">
        <f>IF($B64="","",IF($AK64&lt;=Settings!$C$23,"",IFERROR($E64/SUMIFS($E$4:$E$503,$B$4:$B$503,$B64,$AK$4:$AK$503,$AK64-Settings!$C$23)-1,"")))</f>
        <v/>
      </c>
      <c r="AE64" s="28" t="str">
        <f>IF($B64="","",IF($AK64&lt;=Settings!$C$22,"",IFERROR($E64/SUMIFS($E$4:$E$503,$B$4:$B$503,$B64,$AK$4:$AK$503,$AK64-Settings!$C$22)-1,"")))</f>
        <v/>
      </c>
      <c r="AF64" s="28">
        <f t="shared" si="10"/>
        <v>2.4691358024691357E-2</v>
      </c>
      <c r="AG64" s="29">
        <f>IF($B64="","",ROUND((MIN(100,100*N($I64)/Settings!$C$27)+MIN(100,100*N($K64)/Settings!$C$28)+MIN(100,100*N($J64)/Settings!$C$29))/3,1))</f>
        <v>32.200000000000003</v>
      </c>
      <c r="AH64" s="29">
        <f>IF($B64="","",IF(SUM(Settings!$C$32:$C$37)=0,"",ROUND((Settings!$C$32*$AO64+Settings!$C$33*$AP64+Settings!$C$34*$AQ64+Settings!$C$35*$AR64+Settings!$C$36*$AS64+Settings!$C$37*$AT64)/SUM(Settings!$C$32:$C$37),1)))</f>
        <v>65.5</v>
      </c>
      <c r="AI64" s="29">
        <f>IF($B64="","",MAX(0,100-IF(N($N64)&gt;0,0,20)-IF(AND(N($L64)=0,N($M64)=0),15,0)-IF(N($J64)&gt;0,0,10)-IF(N($K64)&gt;0,0,10)-IF($Z64&lt;&gt;"",0,15)-IF($AB64&lt;&gt;"",0,10)-IF($R64="ERROR",20,IF($R64="WARNING",10,0))))</f>
        <v>75</v>
      </c>
      <c r="AJ64" s="30" t="str">
        <f>IF($AH64="","",IF($AH64&lt;Settings!$C$46,"Extreme Sell Pressure",IF($AH64&lt;Settings!$C$47,"Sell Pressure",IF($AH64&lt;=Settings!$C$48,"Neutral",IF($AH64&lt;=Settings!$C$49,"Buy Pressure","Extreme Buy Pressure")))))</f>
        <v>Buy Pressure</v>
      </c>
      <c r="AK64" s="30">
        <f t="shared" si="11"/>
        <v>3</v>
      </c>
      <c r="AL64" s="30">
        <f t="shared" si="12"/>
        <v>2026</v>
      </c>
      <c r="AM64" s="30">
        <f t="shared" si="13"/>
        <v>33</v>
      </c>
      <c r="AN64" s="30">
        <f t="shared" si="14"/>
        <v>8</v>
      </c>
      <c r="AO64" s="29">
        <f>IF($B64="","",IF(AND(N($L64)=0,N($M64)=0),50,IF(N($M64)=0,100,IF(N($L64)=0,0,MEDIAN(0,100,50+50*LN($S64)/LN(Settings!$C$40))))))</f>
        <v>86.819728262231749</v>
      </c>
      <c r="AP64" s="29">
        <f>IF($AA64="",50,MEDIAN(0,100,50+$AA64*100*Settings!$C$41))</f>
        <v>50</v>
      </c>
      <c r="AQ64" s="29">
        <f>IF($H64="",50,MEDIAN(0,100,50+$H64*100*Settings!$C$42))</f>
        <v>62.499999999999957</v>
      </c>
      <c r="AR64" s="29">
        <f>IF(OR($AC64="",$H64=""),50,MEDIAN(0,100,50+SIGN($H64)*50*MEDIAN(0,1,($AC64-1)/Settings!$C$43)))</f>
        <v>50</v>
      </c>
      <c r="AS64" s="29">
        <f>IF(OR($V64="",$W64=""),50,MEDIAN(0,100,50+50*($V64-$W64)/Settings!$C$44))</f>
        <v>64.148640288696996</v>
      </c>
      <c r="AT64" s="29">
        <f t="shared" si="15"/>
        <v>61.855952500438626</v>
      </c>
      <c r="AU64" s="30" t="str">
        <f t="shared" si="16"/>
        <v>DCB|2026-08-12</v>
      </c>
      <c r="AV64" s="87">
        <f>IF($A64="","",IF(COUNTIFS($A$4:$A64,$A64)=1,1,0))</f>
        <v>0</v>
      </c>
    </row>
    <row r="65" spans="1:48" x14ac:dyDescent="0.3">
      <c r="A65" s="265">
        <v>46246</v>
      </c>
      <c r="B65" s="266" t="s">
        <v>120</v>
      </c>
      <c r="C65" s="267">
        <v>6090</v>
      </c>
      <c r="D65" s="267">
        <v>6090</v>
      </c>
      <c r="E65" s="267">
        <v>6220</v>
      </c>
      <c r="F65" s="267">
        <v>6300</v>
      </c>
      <c r="G65" s="267">
        <v>6200</v>
      </c>
      <c r="H65" s="268">
        <f t="shared" si="0"/>
        <v>2.1346469622331776E-2</v>
      </c>
      <c r="I65" s="269">
        <v>8234300</v>
      </c>
      <c r="J65" s="269">
        <v>18</v>
      </c>
      <c r="K65" s="269">
        <v>1320</v>
      </c>
      <c r="L65" s="269">
        <v>3140</v>
      </c>
      <c r="M65" s="269">
        <v>414</v>
      </c>
      <c r="N65" s="269">
        <v>148190000000</v>
      </c>
      <c r="O65" s="266" t="s">
        <v>1106</v>
      </c>
      <c r="P65" s="265">
        <v>46265</v>
      </c>
      <c r="Q65" s="266" t="s">
        <v>1138</v>
      </c>
      <c r="R65" s="23" t="str" cm="1">
        <f t="array" ref="R65">IF($B65="","",IFERROR(IF(INDEX('Data Quality'!$U$4:$U$503,ROW()-3)=0,"PENDING",INDEX('Data Quality'!$U$4:$U$503,ROW()-3)),"PENDING"))</f>
        <v>PASS</v>
      </c>
      <c r="S65" s="24">
        <f t="shared" si="1"/>
        <v>7.5845410628019323</v>
      </c>
      <c r="T65" s="25">
        <f t="shared" si="2"/>
        <v>19530800</v>
      </c>
      <c r="U65" s="25">
        <f t="shared" si="3"/>
        <v>2575080</v>
      </c>
      <c r="V65" s="26">
        <f t="shared" si="4"/>
        <v>1.3179566772386801E-4</v>
      </c>
      <c r="W65" s="26">
        <f t="shared" si="5"/>
        <v>1.7376881031108712E-5</v>
      </c>
      <c r="X65" s="25">
        <f t="shared" si="6"/>
        <v>73.333333333333329</v>
      </c>
      <c r="Y65" s="25">
        <f t="shared" si="7"/>
        <v>457461.11111111112</v>
      </c>
      <c r="Z65" s="27" t="str">
        <f>IF($B65="","",IF($AK65&lt;=Settings!$C$21,"",IFERROR(AVERAGEIFS($S$4:$S$503,$B$4:$B$503,$B65,$AK$4:$AK$503,"&gt;="&amp;$AK65-Settings!$C$21,$AK$4:$AK$503,"&lt;="&amp;$AK65-1),"")))</f>
        <v/>
      </c>
      <c r="AA65" s="28" t="str">
        <f t="shared" si="8"/>
        <v/>
      </c>
      <c r="AB65" s="25" t="str">
        <f>IF($B65="","",IF($AK65&lt;=Settings!$C$22,"",IFERROR(AVERAGEIFS($K$4:$K$503,$B$4:$B$503,$B65,$AK$4:$AK$503,"&gt;="&amp;$AK65-Settings!$C$22,$AK$4:$AK$503,"&lt;="&amp;$AK65-1),"")))</f>
        <v/>
      </c>
      <c r="AC65" s="27" t="str">
        <f t="shared" si="9"/>
        <v/>
      </c>
      <c r="AD65" s="28" t="str">
        <f>IF($B65="","",IF($AK65&lt;=Settings!$C$23,"",IFERROR($E65/SUMIFS($E$4:$E$503,$B$4:$B$503,$B65,$AK$4:$AK$503,$AK65-Settings!$C$23)-1,"")))</f>
        <v/>
      </c>
      <c r="AE65" s="28" t="str">
        <f>IF($B65="","",IF($AK65&lt;=Settings!$C$22,"",IFERROR($E65/SUMIFS($E$4:$E$503,$B$4:$B$503,$B65,$AK$4:$AK$503,$AK65-Settings!$C$22)-1,"")))</f>
        <v/>
      </c>
      <c r="AF65" s="28">
        <f t="shared" si="10"/>
        <v>1.607717041800643E-2</v>
      </c>
      <c r="AG65" s="29">
        <f>IF($B65="","",ROUND((MIN(100,100*N($I65)/Settings!$C$27)+MIN(100,100*N($K65)/Settings!$C$28)+MIN(100,100*N($J65)/Settings!$C$29))/3,1))</f>
        <v>6.4</v>
      </c>
      <c r="AH65" s="29">
        <f>IF($B65="","",IF(SUM(Settings!$C$32:$C$37)=0,"",ROUND((Settings!$C$32*$AO65+Settings!$C$33*$AP65+Settings!$C$34*$AQ65+Settings!$C$35*$AR65+Settings!$C$36*$AS65+Settings!$C$37*$AT65)/SUM(Settings!$C$32:$C$37),1)))</f>
        <v>69.7</v>
      </c>
      <c r="AI65" s="29">
        <f>IF($B65="","",MAX(0,100-IF(N($N65)&gt;0,0,20)-IF(AND(N($L65)=0,N($M65)=0),15,0)-IF(N($J65)&gt;0,0,10)-IF(N($K65)&gt;0,0,10)-IF($Z65&lt;&gt;"",0,15)-IF($AB65&lt;&gt;"",0,10)-IF($R65="ERROR",20,IF($R65="WARNING",10,0))))</f>
        <v>75</v>
      </c>
      <c r="AJ65" s="30" t="str">
        <f>IF($AH65="","",IF($AH65&lt;Settings!$C$46,"Extreme Sell Pressure",IF($AH65&lt;Settings!$C$47,"Sell Pressure",IF($AH65&lt;=Settings!$C$48,"Neutral",IF($AH65&lt;=Settings!$C$49,"Buy Pressure","Extreme Buy Pressure")))))</f>
        <v>Buy Pressure</v>
      </c>
      <c r="AK65" s="30">
        <f t="shared" si="11"/>
        <v>3</v>
      </c>
      <c r="AL65" s="30">
        <f t="shared" si="12"/>
        <v>2026</v>
      </c>
      <c r="AM65" s="30">
        <f t="shared" si="13"/>
        <v>33</v>
      </c>
      <c r="AN65" s="30">
        <f t="shared" si="14"/>
        <v>8</v>
      </c>
      <c r="AO65" s="29">
        <f>IF($B65="","",IF(AND(N($L65)=0,N($M65)=0),50,IF(N($M65)=0,100,IF(N($L65)=0,0,MEDIAN(0,100,50+50*LN($S65)/LN(Settings!$C$40))))))</f>
        <v>100</v>
      </c>
      <c r="AP65" s="29">
        <f>IF($AA65="",50,MEDIAN(0,100,50+$AA65*100*Settings!$C$41))</f>
        <v>50</v>
      </c>
      <c r="AQ65" s="29">
        <f>IF($H65="",50,MEDIAN(0,100,50+$H65*100*Settings!$C$42))</f>
        <v>71.346469622331767</v>
      </c>
      <c r="AR65" s="29">
        <f>IF(OR($AC65="",$H65=""),50,MEDIAN(0,100,50+SIGN($H65)*50*MEDIAN(0,1,($AC65-1)/Settings!$C$43)))</f>
        <v>50</v>
      </c>
      <c r="AS65" s="29">
        <f>IF(OR($V65="",$W65=""),50,MEDIAN(0,100,50+50*($V65-$W65)/Settings!$C$44))</f>
        <v>61.44187866927593</v>
      </c>
      <c r="AT65" s="29">
        <f t="shared" si="15"/>
        <v>53.2</v>
      </c>
      <c r="AU65" s="30" t="str">
        <f t="shared" si="16"/>
        <v>DSE|2026-08-12</v>
      </c>
      <c r="AV65" s="87">
        <f>IF($A65="","",IF(COUNTIFS($A$4:$A65,$A65)=1,1,0))</f>
        <v>0</v>
      </c>
    </row>
    <row r="66" spans="1:48" x14ac:dyDescent="0.3">
      <c r="A66" s="265">
        <v>46246</v>
      </c>
      <c r="B66" s="266" t="s">
        <v>1095</v>
      </c>
      <c r="C66" s="267">
        <v>5510</v>
      </c>
      <c r="D66" s="267">
        <v>5510</v>
      </c>
      <c r="E66" s="267">
        <v>5530</v>
      </c>
      <c r="F66" s="267"/>
      <c r="G66" s="267"/>
      <c r="H66" s="268">
        <f t="shared" si="0"/>
        <v>3.6297640653357721E-3</v>
      </c>
      <c r="I66" s="269">
        <v>0</v>
      </c>
      <c r="J66" s="269">
        <v>0</v>
      </c>
      <c r="K66" s="269">
        <v>0</v>
      </c>
      <c r="L66" s="269">
        <v>0</v>
      </c>
      <c r="M66" s="269">
        <v>0</v>
      </c>
      <c r="N66" s="269">
        <v>4372980000000</v>
      </c>
      <c r="O66" s="266" t="s">
        <v>1106</v>
      </c>
      <c r="P66" s="265">
        <v>46265</v>
      </c>
      <c r="Q66" s="266" t="s">
        <v>1138</v>
      </c>
      <c r="R66" s="23" t="str" cm="1">
        <f t="array" ref="R66">IF($B66="","",IFERROR(IF(INDEX('Data Quality'!$U$4:$U$503,ROW()-3)=0,"PENDING",INDEX('Data Quality'!$U$4:$U$503,ROW()-3)),"PENDING"))</f>
        <v>WARNING</v>
      </c>
      <c r="S66" s="24" t="str">
        <f t="shared" si="1"/>
        <v/>
      </c>
      <c r="T66" s="25">
        <f t="shared" si="2"/>
        <v>0</v>
      </c>
      <c r="U66" s="25">
        <f t="shared" si="3"/>
        <v>0</v>
      </c>
      <c r="V66" s="26">
        <f t="shared" si="4"/>
        <v>0</v>
      </c>
      <c r="W66" s="26">
        <f t="shared" si="5"/>
        <v>0</v>
      </c>
      <c r="X66" s="25" t="str">
        <f t="shared" si="6"/>
        <v/>
      </c>
      <c r="Y66" s="25" t="str">
        <f t="shared" si="7"/>
        <v/>
      </c>
      <c r="Z66" s="27" t="str">
        <f>IF($B66="","",IF($AK66&lt;=Settings!$C$21,"",IFERROR(AVERAGEIFS($S$4:$S$503,$B$4:$B$503,$B66,$AK$4:$AK$503,"&gt;="&amp;$AK66-Settings!$C$21,$AK$4:$AK$503,"&lt;="&amp;$AK66-1),"")))</f>
        <v/>
      </c>
      <c r="AA66" s="28" t="str">
        <f t="shared" si="8"/>
        <v/>
      </c>
      <c r="AB66" s="25" t="str">
        <f>IF($B66="","",IF($AK66&lt;=Settings!$C$22,"",IFERROR(AVERAGEIFS($K$4:$K$503,$B$4:$B$503,$B66,$AK$4:$AK$503,"&gt;="&amp;$AK66-Settings!$C$22,$AK$4:$AK$503,"&lt;="&amp;$AK66-1),"")))</f>
        <v/>
      </c>
      <c r="AC66" s="27" t="str">
        <f t="shared" si="9"/>
        <v/>
      </c>
      <c r="AD66" s="28" t="str">
        <f>IF($B66="","",IF($AK66&lt;=Settings!$C$23,"",IFERROR($E66/SUMIFS($E$4:$E$503,$B$4:$B$503,$B66,$AK$4:$AK$503,$AK66-Settings!$C$23)-1,"")))</f>
        <v/>
      </c>
      <c r="AE66" s="28" t="str">
        <f>IF($B66="","",IF($AK66&lt;=Settings!$C$22,"",IFERROR($E66/SUMIFS($E$4:$E$503,$B$4:$B$503,$B66,$AK$4:$AK$503,$AK66-Settings!$C$22)-1,"")))</f>
        <v/>
      </c>
      <c r="AF66" s="28">
        <f t="shared" si="10"/>
        <v>0</v>
      </c>
      <c r="AG66" s="29">
        <f>IF($B66="","",ROUND((MIN(100,100*N($I66)/Settings!$C$27)+MIN(100,100*N($K66)/Settings!$C$28)+MIN(100,100*N($J66)/Settings!$C$29))/3,1))</f>
        <v>0</v>
      </c>
      <c r="AH66" s="29">
        <f>IF($B66="","",IF(SUM(Settings!$C$32:$C$37)=0,"",ROUND((Settings!$C$32*$AO66+Settings!$C$33*$AP66+Settings!$C$34*$AQ66+Settings!$C$35*$AR66+Settings!$C$36*$AS66+Settings!$C$37*$AT66)/SUM(Settings!$C$32:$C$37),1)))</f>
        <v>50.5</v>
      </c>
      <c r="AI66" s="29">
        <f>IF($B66="","",MAX(0,100-IF(N($N66)&gt;0,0,20)-IF(AND(N($L66)=0,N($M66)=0),15,0)-IF(N($J66)&gt;0,0,10)-IF(N($K66)&gt;0,0,10)-IF($Z66&lt;&gt;"",0,15)-IF($AB66&lt;&gt;"",0,10)-IF($R66="ERROR",20,IF($R66="WARNING",10,0))))</f>
        <v>30</v>
      </c>
      <c r="AJ66" s="30" t="str">
        <f>IF($AH66="","",IF($AH66&lt;Settings!$C$46,"Extreme Sell Pressure",IF($AH66&lt;Settings!$C$47,"Sell Pressure",IF($AH66&lt;=Settings!$C$48,"Neutral",IF($AH66&lt;=Settings!$C$49,"Buy Pressure","Extreme Buy Pressure")))))</f>
        <v>Neutral</v>
      </c>
      <c r="AK66" s="30">
        <f t="shared" si="11"/>
        <v>3</v>
      </c>
      <c r="AL66" s="30">
        <f t="shared" si="12"/>
        <v>2026</v>
      </c>
      <c r="AM66" s="30">
        <f t="shared" si="13"/>
        <v>33</v>
      </c>
      <c r="AN66" s="30">
        <f t="shared" si="14"/>
        <v>8</v>
      </c>
      <c r="AO66" s="29">
        <f>IF($B66="","",IF(AND(N($L66)=0,N($M66)=0),50,IF(N($M66)=0,100,IF(N($L66)=0,0,MEDIAN(0,100,50+50*LN($S66)/LN(Settings!$C$40))))))</f>
        <v>50</v>
      </c>
      <c r="AP66" s="29">
        <f>IF($AA66="",50,MEDIAN(0,100,50+$AA66*100*Settings!$C$41))</f>
        <v>50</v>
      </c>
      <c r="AQ66" s="29">
        <f>IF($H66="",50,MEDIAN(0,100,50+$H66*100*Settings!$C$42))</f>
        <v>53.62976406533577</v>
      </c>
      <c r="AR66" s="29">
        <f>IF(OR($AC66="",$H66=""),50,MEDIAN(0,100,50+SIGN($H66)*50*MEDIAN(0,1,($AC66-1)/Settings!$C$43)))</f>
        <v>50</v>
      </c>
      <c r="AS66" s="29">
        <f>IF(OR($V66="",$W66=""),50,MEDIAN(0,100,50+50*($V66-$W66)/Settings!$C$44))</f>
        <v>50</v>
      </c>
      <c r="AT66" s="29">
        <f t="shared" si="15"/>
        <v>50</v>
      </c>
      <c r="AU66" s="30" t="str">
        <f t="shared" si="16"/>
        <v>EABL|2026-08-12</v>
      </c>
      <c r="AV66" s="87">
        <f>IF($A66="","",IF(COUNTIFS($A$4:$A66,$A66)=1,1,0))</f>
        <v>0</v>
      </c>
    </row>
    <row r="67" spans="1:48" x14ac:dyDescent="0.3">
      <c r="A67" s="265">
        <v>46246</v>
      </c>
      <c r="B67" s="266" t="s">
        <v>1096</v>
      </c>
      <c r="C67" s="267">
        <v>265</v>
      </c>
      <c r="D67" s="267">
        <v>265</v>
      </c>
      <c r="E67" s="267">
        <v>265</v>
      </c>
      <c r="F67" s="267">
        <v>270</v>
      </c>
      <c r="G67" s="267">
        <v>270</v>
      </c>
      <c r="H67" s="268">
        <f t="shared" si="0"/>
        <v>0</v>
      </c>
      <c r="I67" s="269">
        <v>10800</v>
      </c>
      <c r="J67" s="269">
        <v>1</v>
      </c>
      <c r="K67" s="269">
        <v>40</v>
      </c>
      <c r="L67" s="269">
        <v>0</v>
      </c>
      <c r="M67" s="269">
        <v>360</v>
      </c>
      <c r="N67" s="269">
        <v>5280000000</v>
      </c>
      <c r="O67" s="266" t="s">
        <v>1106</v>
      </c>
      <c r="P67" s="265">
        <v>46265</v>
      </c>
      <c r="Q67" s="266" t="s">
        <v>1138</v>
      </c>
      <c r="R67" s="23" t="str" cm="1">
        <f t="array" ref="R67">IF($B67="","",IFERROR(IF(INDEX('Data Quality'!$U$4:$U$503,ROW()-3)=0,"PENDING",INDEX('Data Quality'!$U$4:$U$503,ROW()-3)),"PENDING"))</f>
        <v>ERROR</v>
      </c>
      <c r="S67" s="24">
        <f t="shared" si="1"/>
        <v>0</v>
      </c>
      <c r="T67" s="25">
        <f t="shared" si="2"/>
        <v>0</v>
      </c>
      <c r="U67" s="25">
        <f t="shared" si="3"/>
        <v>95400</v>
      </c>
      <c r="V67" s="26">
        <f t="shared" si="4"/>
        <v>0</v>
      </c>
      <c r="W67" s="26">
        <f t="shared" si="5"/>
        <v>1.8068181818181818E-5</v>
      </c>
      <c r="X67" s="25">
        <f t="shared" si="6"/>
        <v>40</v>
      </c>
      <c r="Y67" s="25">
        <f t="shared" si="7"/>
        <v>10800</v>
      </c>
      <c r="Z67" s="27" t="str">
        <f>IF($B67="","",IF($AK67&lt;=Settings!$C$21,"",IFERROR(AVERAGEIFS($S$4:$S$503,$B$4:$B$503,$B67,$AK$4:$AK$503,"&gt;="&amp;$AK67-Settings!$C$21,$AK$4:$AK$503,"&lt;="&amp;$AK67-1),"")))</f>
        <v/>
      </c>
      <c r="AA67" s="28" t="str">
        <f t="shared" si="8"/>
        <v/>
      </c>
      <c r="AB67" s="25" t="str">
        <f>IF($B67="","",IF($AK67&lt;=Settings!$C$22,"",IFERROR(AVERAGEIFS($K$4:$K$503,$B$4:$B$503,$B67,$AK$4:$AK$503,"&gt;="&amp;$AK67-Settings!$C$22,$AK$4:$AK$503,"&lt;="&amp;$AK67-1),"")))</f>
        <v/>
      </c>
      <c r="AC67" s="27" t="str">
        <f t="shared" si="9"/>
        <v/>
      </c>
      <c r="AD67" s="28" t="str">
        <f>IF($B67="","",IF($AK67&lt;=Settings!$C$23,"",IFERROR($E67/SUMIFS($E$4:$E$503,$B$4:$B$503,$B67,$AK$4:$AK$503,$AK67-Settings!$C$23)-1,"")))</f>
        <v/>
      </c>
      <c r="AE67" s="28" t="str">
        <f>IF($B67="","",IF($AK67&lt;=Settings!$C$22,"",IFERROR($E67/SUMIFS($E$4:$E$503,$B$4:$B$503,$B67,$AK$4:$AK$503,$AK67-Settings!$C$22)-1,"")))</f>
        <v/>
      </c>
      <c r="AF67" s="28">
        <f t="shared" si="10"/>
        <v>0</v>
      </c>
      <c r="AG67" s="29">
        <f>IF($B67="","",ROUND((MIN(100,100*N($I67)/Settings!$C$27)+MIN(100,100*N($K67)/Settings!$C$28)+MIN(100,100*N($J67)/Settings!$C$29))/3,1))</f>
        <v>0.3</v>
      </c>
      <c r="AH67" s="29">
        <f>IF($B67="","",IF(SUM(Settings!$C$32:$C$37)=0,"",ROUND((Settings!$C$32*$AO67+Settings!$C$33*$AP67+Settings!$C$34*$AQ67+Settings!$C$35*$AR67+Settings!$C$36*$AS67+Settings!$C$37*$AT67)/SUM(Settings!$C$32:$C$37),1)))</f>
        <v>34.799999999999997</v>
      </c>
      <c r="AI67" s="29">
        <f>IF($B67="","",MAX(0,100-IF(N($N67)&gt;0,0,20)-IF(AND(N($L67)=0,N($M67)=0),15,0)-IF(N($J67)&gt;0,0,10)-IF(N($K67)&gt;0,0,10)-IF($Z67&lt;&gt;"",0,15)-IF($AB67&lt;&gt;"",0,10)-IF($R67="ERROR",20,IF($R67="WARNING",10,0))))</f>
        <v>55</v>
      </c>
      <c r="AJ67" s="30" t="str">
        <f>IF($AH67="","",IF($AH67&lt;Settings!$C$46,"Extreme Sell Pressure",IF($AH67&lt;Settings!$C$47,"Sell Pressure",IF($AH67&lt;=Settings!$C$48,"Neutral",IF($AH67&lt;=Settings!$C$49,"Buy Pressure","Extreme Buy Pressure")))))</f>
        <v>Sell Pressure</v>
      </c>
      <c r="AK67" s="30">
        <f t="shared" si="11"/>
        <v>3</v>
      </c>
      <c r="AL67" s="30">
        <f t="shared" si="12"/>
        <v>2026</v>
      </c>
      <c r="AM67" s="30">
        <f t="shared" si="13"/>
        <v>33</v>
      </c>
      <c r="AN67" s="30">
        <f t="shared" si="14"/>
        <v>8</v>
      </c>
      <c r="AO67" s="29">
        <f>IF($B67="","",IF(AND(N($L67)=0,N($M67)=0),50,IF(N($M67)=0,100,IF(N($L67)=0,0,MEDIAN(0,100,50+50*LN($S67)/LN(Settings!$C$40))))))</f>
        <v>0</v>
      </c>
      <c r="AP67" s="29">
        <f>IF($AA67="",50,MEDIAN(0,100,50+$AA67*100*Settings!$C$41))</f>
        <v>50</v>
      </c>
      <c r="AQ67" s="29">
        <f>IF($H67="",50,MEDIAN(0,100,50+$H67*100*Settings!$C$42))</f>
        <v>50</v>
      </c>
      <c r="AR67" s="29">
        <f>IF(OR($AC67="",$H67=""),50,MEDIAN(0,100,50+SIGN($H67)*50*MEDIAN(0,1,($AC67-1)/Settings!$C$43)))</f>
        <v>50</v>
      </c>
      <c r="AS67" s="29">
        <f>IF(OR($V67="",$W67=""),50,MEDIAN(0,100,50+50*($V67-$W67)/Settings!$C$44))</f>
        <v>48.19318181818182</v>
      </c>
      <c r="AT67" s="29">
        <f t="shared" si="15"/>
        <v>49.85</v>
      </c>
      <c r="AU67" s="30" t="str">
        <f t="shared" si="16"/>
        <v>JATU|2026-08-12</v>
      </c>
      <c r="AV67" s="87">
        <f>IF($A67="","",IF(COUNTIFS($A$4:$A67,$A67)=1,1,0))</f>
        <v>0</v>
      </c>
    </row>
    <row r="68" spans="1:48" x14ac:dyDescent="0.3">
      <c r="A68" s="265">
        <v>46246</v>
      </c>
      <c r="B68" s="266" t="s">
        <v>128</v>
      </c>
      <c r="C68" s="267">
        <v>8650</v>
      </c>
      <c r="D68" s="267">
        <v>8650</v>
      </c>
      <c r="E68" s="267">
        <v>8650</v>
      </c>
      <c r="F68" s="267"/>
      <c r="G68" s="267"/>
      <c r="H68" s="268">
        <f t="shared" si="0"/>
        <v>0</v>
      </c>
      <c r="I68" s="269">
        <v>0</v>
      </c>
      <c r="J68" s="269">
        <v>0</v>
      </c>
      <c r="K68" s="269">
        <v>0</v>
      </c>
      <c r="L68" s="269">
        <v>111</v>
      </c>
      <c r="M68" s="269">
        <v>0</v>
      </c>
      <c r="N68" s="269">
        <v>626890000000</v>
      </c>
      <c r="O68" s="266" t="s">
        <v>1106</v>
      </c>
      <c r="P68" s="265">
        <v>46265</v>
      </c>
      <c r="Q68" s="266" t="s">
        <v>1138</v>
      </c>
      <c r="R68" s="23" t="str" cm="1">
        <f t="array" ref="R68">IF($B68="","",IFERROR(IF(INDEX('Data Quality'!$U$4:$U$503,ROW()-3)=0,"PENDING",INDEX('Data Quality'!$U$4:$U$503,ROW()-3)),"PENDING"))</f>
        <v>PASS</v>
      </c>
      <c r="S68" s="24" t="str">
        <f t="shared" si="1"/>
        <v/>
      </c>
      <c r="T68" s="25">
        <f t="shared" si="2"/>
        <v>960150</v>
      </c>
      <c r="U68" s="25">
        <f t="shared" si="3"/>
        <v>0</v>
      </c>
      <c r="V68" s="26">
        <f t="shared" si="4"/>
        <v>1.5316084161495637E-6</v>
      </c>
      <c r="W68" s="26">
        <f t="shared" si="5"/>
        <v>0</v>
      </c>
      <c r="X68" s="25" t="str">
        <f t="shared" si="6"/>
        <v/>
      </c>
      <c r="Y68" s="25" t="str">
        <f t="shared" si="7"/>
        <v/>
      </c>
      <c r="Z68" s="27" t="str">
        <f>IF($B68="","",IF($AK68&lt;=Settings!$C$21,"",IFERROR(AVERAGEIFS($S$4:$S$503,$B$4:$B$503,$B68,$AK$4:$AK$503,"&gt;="&amp;$AK68-Settings!$C$21,$AK$4:$AK$503,"&lt;="&amp;$AK68-1),"")))</f>
        <v/>
      </c>
      <c r="AA68" s="28" t="str">
        <f t="shared" si="8"/>
        <v/>
      </c>
      <c r="AB68" s="25" t="str">
        <f>IF($B68="","",IF($AK68&lt;=Settings!$C$22,"",IFERROR(AVERAGEIFS($K$4:$K$503,$B$4:$B$503,$B68,$AK$4:$AK$503,"&gt;="&amp;$AK68-Settings!$C$22,$AK$4:$AK$503,"&lt;="&amp;$AK68-1),"")))</f>
        <v/>
      </c>
      <c r="AC68" s="27" t="str">
        <f t="shared" si="9"/>
        <v/>
      </c>
      <c r="AD68" s="28" t="str">
        <f>IF($B68="","",IF($AK68&lt;=Settings!$C$23,"",IFERROR($E68/SUMIFS($E$4:$E$503,$B$4:$B$503,$B68,$AK$4:$AK$503,$AK68-Settings!$C$23)-1,"")))</f>
        <v/>
      </c>
      <c r="AE68" s="28" t="str">
        <f>IF($B68="","",IF($AK68&lt;=Settings!$C$22,"",IFERROR($E68/SUMIFS($E$4:$E$503,$B$4:$B$503,$B68,$AK$4:$AK$503,$AK68-Settings!$C$22)-1,"")))</f>
        <v/>
      </c>
      <c r="AF68" s="28">
        <f t="shared" si="10"/>
        <v>0</v>
      </c>
      <c r="AG68" s="29">
        <f>IF($B68="","",ROUND((MIN(100,100*N($I68)/Settings!$C$27)+MIN(100,100*N($K68)/Settings!$C$28)+MIN(100,100*N($J68)/Settings!$C$29))/3,1))</f>
        <v>0</v>
      </c>
      <c r="AH68" s="29">
        <f>IF($B68="","",IF(SUM(Settings!$C$32:$C$37)=0,"",ROUND((Settings!$C$32*$AO68+Settings!$C$33*$AP68+Settings!$C$34*$AQ68+Settings!$C$35*$AR68+Settings!$C$36*$AS68+Settings!$C$37*$AT68)/SUM(Settings!$C$32:$C$37),1)))</f>
        <v>65</v>
      </c>
      <c r="AI68" s="29">
        <f>IF($B68="","",MAX(0,100-IF(N($N68)&gt;0,0,20)-IF(AND(N($L68)=0,N($M68)=0),15,0)-IF(N($J68)&gt;0,0,10)-IF(N($K68)&gt;0,0,10)-IF($Z68&lt;&gt;"",0,15)-IF($AB68&lt;&gt;"",0,10)-IF($R68="ERROR",20,IF($R68="WARNING",10,0))))</f>
        <v>55</v>
      </c>
      <c r="AJ68" s="30" t="str">
        <f>IF($AH68="","",IF($AH68&lt;Settings!$C$46,"Extreme Sell Pressure",IF($AH68&lt;Settings!$C$47,"Sell Pressure",IF($AH68&lt;=Settings!$C$48,"Neutral",IF($AH68&lt;=Settings!$C$49,"Buy Pressure","Extreme Buy Pressure")))))</f>
        <v>Buy Pressure</v>
      </c>
      <c r="AK68" s="30">
        <f t="shared" si="11"/>
        <v>3</v>
      </c>
      <c r="AL68" s="30">
        <f t="shared" si="12"/>
        <v>2026</v>
      </c>
      <c r="AM68" s="30">
        <f t="shared" si="13"/>
        <v>33</v>
      </c>
      <c r="AN68" s="30">
        <f t="shared" si="14"/>
        <v>8</v>
      </c>
      <c r="AO68" s="29">
        <f>IF($B68="","",IF(AND(N($L68)=0,N($M68)=0),50,IF(N($M68)=0,100,IF(N($L68)=0,0,MEDIAN(0,100,50+50*LN($S68)/LN(Settings!$C$40))))))</f>
        <v>100</v>
      </c>
      <c r="AP68" s="29">
        <f>IF($AA68="",50,MEDIAN(0,100,50+$AA68*100*Settings!$C$41))</f>
        <v>50</v>
      </c>
      <c r="AQ68" s="29">
        <f>IF($H68="",50,MEDIAN(0,100,50+$H68*100*Settings!$C$42))</f>
        <v>50</v>
      </c>
      <c r="AR68" s="29">
        <f>IF(OR($AC68="",$H68=""),50,MEDIAN(0,100,50+SIGN($H68)*50*MEDIAN(0,1,($AC68-1)/Settings!$C$43)))</f>
        <v>50</v>
      </c>
      <c r="AS68" s="29">
        <f>IF(OR($V68="",$W68=""),50,MEDIAN(0,100,50+50*($V68-$W68)/Settings!$C$44))</f>
        <v>50.153160841614955</v>
      </c>
      <c r="AT68" s="29">
        <f t="shared" si="15"/>
        <v>50</v>
      </c>
      <c r="AU68" s="30" t="str">
        <f t="shared" si="16"/>
        <v>JHL|2026-08-12</v>
      </c>
      <c r="AV68" s="87">
        <f>IF($A68="","",IF(COUNTIFS($A$4:$A68,$A68)=1,1,0))</f>
        <v>0</v>
      </c>
    </row>
    <row r="69" spans="1:48" x14ac:dyDescent="0.3">
      <c r="A69" s="265">
        <v>46246</v>
      </c>
      <c r="B69" s="266" t="s">
        <v>1097</v>
      </c>
      <c r="C69" s="267">
        <v>110</v>
      </c>
      <c r="D69" s="267">
        <v>110</v>
      </c>
      <c r="E69" s="267">
        <v>110</v>
      </c>
      <c r="F69" s="267"/>
      <c r="G69" s="267"/>
      <c r="H69" s="268">
        <f t="shared" ref="H69:H132" si="17">IF($B69="","",IFERROR($E69/$D69-1,""))</f>
        <v>0</v>
      </c>
      <c r="I69" s="269">
        <v>0</v>
      </c>
      <c r="J69" s="269">
        <v>0</v>
      </c>
      <c r="K69" s="269">
        <v>0</v>
      </c>
      <c r="L69" s="269">
        <v>222</v>
      </c>
      <c r="M69" s="269">
        <v>0</v>
      </c>
      <c r="N69" s="269">
        <v>624960000000</v>
      </c>
      <c r="O69" s="266" t="s">
        <v>1106</v>
      </c>
      <c r="P69" s="265">
        <v>46265</v>
      </c>
      <c r="Q69" s="266" t="s">
        <v>1138</v>
      </c>
      <c r="R69" s="23" t="str" cm="1">
        <f t="array" ref="R69">IF($B69="","",IFERROR(IF(INDEX('Data Quality'!$U$4:$U$503,ROW()-3)=0,"PENDING",INDEX('Data Quality'!$U$4:$U$503,ROW()-3)),"PENDING"))</f>
        <v>PASS</v>
      </c>
      <c r="S69" s="24" t="str">
        <f t="shared" ref="S69:S132" si="18">IF($B69="","",IF(N($M69)&gt;0,$L69/$M69,""))</f>
        <v/>
      </c>
      <c r="T69" s="25">
        <f t="shared" ref="T69:T132" si="19">IF($B69="","",$L69*$E69)</f>
        <v>24420</v>
      </c>
      <c r="U69" s="25">
        <f t="shared" ref="U69:U132" si="20">IF($B69="","",$M69*$E69)</f>
        <v>0</v>
      </c>
      <c r="V69" s="26">
        <f t="shared" ref="V69:V132" si="21">IF($B69="","",IF(N($N69)&gt;0,$T69/$N69,""))</f>
        <v>3.9074500768049153E-8</v>
      </c>
      <c r="W69" s="26">
        <f t="shared" ref="W69:W132" si="22">IF($B69="","",IF(N($N69)&gt;0,$U69/$N69,""))</f>
        <v>0</v>
      </c>
      <c r="X69" s="25" t="str">
        <f t="shared" ref="X69:X132" si="23">IF($B69="","",IF(N($J69)&gt;0,$K69/$J69,""))</f>
        <v/>
      </c>
      <c r="Y69" s="25" t="str">
        <f t="shared" ref="Y69:Y132" si="24">IF($B69="","",IF(N($J69)&gt;0,$I69/$J69,""))</f>
        <v/>
      </c>
      <c r="Z69" s="27" t="str">
        <f>IF($B69="","",IF($AK69&lt;=Settings!$C$21,"",IFERROR(AVERAGEIFS($S$4:$S$503,$B$4:$B$503,$B69,$AK$4:$AK$503,"&gt;="&amp;$AK69-Settings!$C$21,$AK$4:$AK$503,"&lt;="&amp;$AK69-1),"")))</f>
        <v/>
      </c>
      <c r="AA69" s="28" t="str">
        <f t="shared" ref="AA69:AA132" si="25">IF(OR($S69="",$Z69="",N($Z69)=0),"",$S69/$Z69-1)</f>
        <v/>
      </c>
      <c r="AB69" s="25" t="str">
        <f>IF($B69="","",IF($AK69&lt;=Settings!$C$22,"",IFERROR(AVERAGEIFS($K$4:$K$503,$B$4:$B$503,$B69,$AK$4:$AK$503,"&gt;="&amp;$AK69-Settings!$C$22,$AK$4:$AK$503,"&lt;="&amp;$AK69-1),"")))</f>
        <v/>
      </c>
      <c r="AC69" s="27" t="str">
        <f t="shared" ref="AC69:AC132" si="26">IF(OR($AB69="",N($AB69)=0),"",$K69/$AB69)</f>
        <v/>
      </c>
      <c r="AD69" s="28" t="str">
        <f>IF($B69="","",IF($AK69&lt;=Settings!$C$23,"",IFERROR($E69/SUMIFS($E$4:$E$503,$B$4:$B$503,$B69,$AK$4:$AK$503,$AK69-Settings!$C$23)-1,"")))</f>
        <v/>
      </c>
      <c r="AE69" s="28" t="str">
        <f>IF($B69="","",IF($AK69&lt;=Settings!$C$22,"",IFERROR($E69/SUMIFS($E$4:$E$503,$B$4:$B$503,$B69,$AK$4:$AK$503,$AK69-Settings!$C$22)-1,"")))</f>
        <v/>
      </c>
      <c r="AF69" s="28">
        <f t="shared" ref="AF69:AF132" si="27">IF($B69="","",IF(N($E69)&gt;0,($F69-$G69)/$E69,""))</f>
        <v>0</v>
      </c>
      <c r="AG69" s="29">
        <f>IF($B69="","",ROUND((MIN(100,100*N($I69)/Settings!$C$27)+MIN(100,100*N($K69)/Settings!$C$28)+MIN(100,100*N($J69)/Settings!$C$29))/3,1))</f>
        <v>0</v>
      </c>
      <c r="AH69" s="29">
        <f>IF($B69="","",IF(SUM(Settings!$C$32:$C$37)=0,"",ROUND((Settings!$C$32*$AO69+Settings!$C$33*$AP69+Settings!$C$34*$AQ69+Settings!$C$35*$AR69+Settings!$C$36*$AS69+Settings!$C$37*$AT69)/SUM(Settings!$C$32:$C$37),1)))</f>
        <v>65</v>
      </c>
      <c r="AI69" s="29">
        <f>IF($B69="","",MAX(0,100-IF(N($N69)&gt;0,0,20)-IF(AND(N($L69)=0,N($M69)=0),15,0)-IF(N($J69)&gt;0,0,10)-IF(N($K69)&gt;0,0,10)-IF($Z69&lt;&gt;"",0,15)-IF($AB69&lt;&gt;"",0,10)-IF($R69="ERROR",20,IF($R69="WARNING",10,0))))</f>
        <v>55</v>
      </c>
      <c r="AJ69" s="30" t="str">
        <f>IF($AH69="","",IF($AH69&lt;Settings!$C$46,"Extreme Sell Pressure",IF($AH69&lt;Settings!$C$47,"Sell Pressure",IF($AH69&lt;=Settings!$C$48,"Neutral",IF($AH69&lt;=Settings!$C$49,"Buy Pressure","Extreme Buy Pressure")))))</f>
        <v>Buy Pressure</v>
      </c>
      <c r="AK69" s="30">
        <f t="shared" ref="AK69:AK132" si="28">IF($B69="","",COUNTIFS($B$4:$B$503,$B69,$A$4:$A$503,"&lt;="&amp;$A69))</f>
        <v>3</v>
      </c>
      <c r="AL69" s="30">
        <f t="shared" ref="AL69:AL132" si="29">IF($A69="","",YEAR($A69))</f>
        <v>2026</v>
      </c>
      <c r="AM69" s="30">
        <f t="shared" ref="AM69:AM132" si="30">IF($A69="","",_xlfn.ISOWEEKNUM($A69))</f>
        <v>33</v>
      </c>
      <c r="AN69" s="30">
        <f t="shared" ref="AN69:AN132" si="31">IF($A69="","",MONTH($A69))</f>
        <v>8</v>
      </c>
      <c r="AO69" s="29">
        <f>IF($B69="","",IF(AND(N($L69)=0,N($M69)=0),50,IF(N($M69)=0,100,IF(N($L69)=0,0,MEDIAN(0,100,50+50*LN($S69)/LN(Settings!$C$40))))))</f>
        <v>100</v>
      </c>
      <c r="AP69" s="29">
        <f>IF($AA69="",50,MEDIAN(0,100,50+$AA69*100*Settings!$C$41))</f>
        <v>50</v>
      </c>
      <c r="AQ69" s="29">
        <f>IF($H69="",50,MEDIAN(0,100,50+$H69*100*Settings!$C$42))</f>
        <v>50</v>
      </c>
      <c r="AR69" s="29">
        <f>IF(OR($AC69="",$H69=""),50,MEDIAN(0,100,50+SIGN($H69)*50*MEDIAN(0,1,($AC69-1)/Settings!$C$43)))</f>
        <v>50</v>
      </c>
      <c r="AS69" s="29">
        <f>IF(OR($V69="",$W69=""),50,MEDIAN(0,100,50+50*($V69-$W69)/Settings!$C$44))</f>
        <v>50.003907450076802</v>
      </c>
      <c r="AT69" s="29">
        <f t="shared" ref="AT69:AT132" si="32">IF($AO69="",50,50+(N($AG69)/100)*($AO69-50))</f>
        <v>50</v>
      </c>
      <c r="AU69" s="30" t="str">
        <f t="shared" ref="AU69:AU132" si="33">IF($B69="","",$B69&amp;"|"&amp;TEXT($A69,"yyyy-mm-dd"))</f>
        <v>KA|2026-08-12</v>
      </c>
      <c r="AV69" s="87">
        <f>IF($A69="","",IF(COUNTIFS($A$4:$A69,$A69)=1,1,0))</f>
        <v>0</v>
      </c>
    </row>
    <row r="70" spans="1:48" x14ac:dyDescent="0.3">
      <c r="A70" s="265">
        <v>46246</v>
      </c>
      <c r="B70" s="266" t="s">
        <v>1098</v>
      </c>
      <c r="C70" s="267">
        <v>1900</v>
      </c>
      <c r="D70" s="267">
        <v>1900</v>
      </c>
      <c r="E70" s="267">
        <v>1930</v>
      </c>
      <c r="F70" s="267">
        <v>1940</v>
      </c>
      <c r="G70" s="267">
        <v>1910</v>
      </c>
      <c r="H70" s="268">
        <f t="shared" si="17"/>
        <v>1.5789473684210575E-2</v>
      </c>
      <c r="I70" s="269">
        <v>9217670</v>
      </c>
      <c r="J70" s="269">
        <v>34</v>
      </c>
      <c r="K70" s="269">
        <v>4766</v>
      </c>
      <c r="L70" s="269">
        <v>9744</v>
      </c>
      <c r="M70" s="269">
        <v>34532</v>
      </c>
      <c r="N70" s="269">
        <v>5732760000000</v>
      </c>
      <c r="O70" s="266" t="s">
        <v>1106</v>
      </c>
      <c r="P70" s="265">
        <v>46265</v>
      </c>
      <c r="Q70" s="266" t="s">
        <v>1138</v>
      </c>
      <c r="R70" s="23" t="str" cm="1">
        <f t="array" ref="R70">IF($B70="","",IFERROR(IF(INDEX('Data Quality'!$U$4:$U$503,ROW()-3)=0,"PENDING",INDEX('Data Quality'!$U$4:$U$503,ROW()-3)),"PENDING"))</f>
        <v>PASS</v>
      </c>
      <c r="S70" s="24">
        <f t="shared" si="18"/>
        <v>0.28217305687478283</v>
      </c>
      <c r="T70" s="25">
        <f t="shared" si="19"/>
        <v>18805920</v>
      </c>
      <c r="U70" s="25">
        <f t="shared" si="20"/>
        <v>66646760</v>
      </c>
      <c r="V70" s="26">
        <f t="shared" si="21"/>
        <v>3.280430368618257E-6</v>
      </c>
      <c r="W70" s="26">
        <f t="shared" si="22"/>
        <v>1.1625597443465276E-5</v>
      </c>
      <c r="X70" s="25">
        <f t="shared" si="23"/>
        <v>140.1764705882353</v>
      </c>
      <c r="Y70" s="25">
        <f t="shared" si="24"/>
        <v>271107.9411764706</v>
      </c>
      <c r="Z70" s="27" t="str">
        <f>IF($B70="","",IF($AK70&lt;=Settings!$C$21,"",IFERROR(AVERAGEIFS($S$4:$S$503,$B$4:$B$503,$B70,$AK$4:$AK$503,"&gt;="&amp;$AK70-Settings!$C$21,$AK$4:$AK$503,"&lt;="&amp;$AK70-1),"")))</f>
        <v/>
      </c>
      <c r="AA70" s="28" t="str">
        <f t="shared" si="25"/>
        <v/>
      </c>
      <c r="AB70" s="25" t="str">
        <f>IF($B70="","",IF($AK70&lt;=Settings!$C$22,"",IFERROR(AVERAGEIFS($K$4:$K$503,$B$4:$B$503,$B70,$AK$4:$AK$503,"&gt;="&amp;$AK70-Settings!$C$22,$AK$4:$AK$503,"&lt;="&amp;$AK70-1),"")))</f>
        <v/>
      </c>
      <c r="AC70" s="27" t="str">
        <f t="shared" si="26"/>
        <v/>
      </c>
      <c r="AD70" s="28" t="str">
        <f>IF($B70="","",IF($AK70&lt;=Settings!$C$23,"",IFERROR($E70/SUMIFS($E$4:$E$503,$B$4:$B$503,$B70,$AK$4:$AK$503,$AK70-Settings!$C$23)-1,"")))</f>
        <v/>
      </c>
      <c r="AE70" s="28" t="str">
        <f>IF($B70="","",IF($AK70&lt;=Settings!$C$22,"",IFERROR($E70/SUMIFS($E$4:$E$503,$B$4:$B$503,$B70,$AK$4:$AK$503,$AK70-Settings!$C$22)-1,"")))</f>
        <v/>
      </c>
      <c r="AF70" s="28">
        <f t="shared" si="27"/>
        <v>1.5544041450777202E-2</v>
      </c>
      <c r="AG70" s="29">
        <f>IF($B70="","",ROUND((MIN(100,100*N($I70)/Settings!$C$27)+MIN(100,100*N($K70)/Settings!$C$28)+MIN(100,100*N($J70)/Settings!$C$29))/3,1))</f>
        <v>12</v>
      </c>
      <c r="AH70" s="29">
        <f>IF($B70="","",IF(SUM(Settings!$C$32:$C$37)=0,"",ROUND((Settings!$C$32*$AO70+Settings!$C$33*$AP70+Settings!$C$34*$AQ70+Settings!$C$35*$AR70+Settings!$C$36*$AS70+Settings!$C$37*$AT70)/SUM(Settings!$C$32:$C$37),1)))</f>
        <v>38</v>
      </c>
      <c r="AI70" s="29">
        <f>IF($B70="","",MAX(0,100-IF(N($N70)&gt;0,0,20)-IF(AND(N($L70)=0,N($M70)=0),15,0)-IF(N($J70)&gt;0,0,10)-IF(N($K70)&gt;0,0,10)-IF($Z70&lt;&gt;"",0,15)-IF($AB70&lt;&gt;"",0,10)-IF($R70="ERROR",20,IF($R70="WARNING",10,0))))</f>
        <v>75</v>
      </c>
      <c r="AJ70" s="30" t="str">
        <f>IF($AH70="","",IF($AH70&lt;Settings!$C$46,"Extreme Sell Pressure",IF($AH70&lt;Settings!$C$47,"Sell Pressure",IF($AH70&lt;=Settings!$C$48,"Neutral",IF($AH70&lt;=Settings!$C$49,"Buy Pressure","Extreme Buy Pressure")))))</f>
        <v>Sell Pressure</v>
      </c>
      <c r="AK70" s="30">
        <f t="shared" si="28"/>
        <v>3</v>
      </c>
      <c r="AL70" s="30">
        <f t="shared" si="29"/>
        <v>2026</v>
      </c>
      <c r="AM70" s="30">
        <f t="shared" si="30"/>
        <v>33</v>
      </c>
      <c r="AN70" s="30">
        <f t="shared" si="31"/>
        <v>8</v>
      </c>
      <c r="AO70" s="29">
        <f>IF($B70="","",IF(AND(N($L70)=0,N($M70)=0),50,IF(N($M70)=0,100,IF(N($L70)=0,0,MEDIAN(0,100,50+50*LN($S70)/LN(Settings!$C$40))))))</f>
        <v>4.3663036188201758</v>
      </c>
      <c r="AP70" s="29">
        <f>IF($AA70="",50,MEDIAN(0,100,50+$AA70*100*Settings!$C$41))</f>
        <v>50</v>
      </c>
      <c r="AQ70" s="29">
        <f>IF($H70="",50,MEDIAN(0,100,50+$H70*100*Settings!$C$42))</f>
        <v>65.789473684210577</v>
      </c>
      <c r="AR70" s="29">
        <f>IF(OR($AC70="",$H70=""),50,MEDIAN(0,100,50+SIGN($H70)*50*MEDIAN(0,1,($AC70-1)/Settings!$C$43)))</f>
        <v>50</v>
      </c>
      <c r="AS70" s="29">
        <f>IF(OR($V70="",$W70=""),50,MEDIAN(0,100,50+50*($V70-$W70)/Settings!$C$44))</f>
        <v>49.165483292515297</v>
      </c>
      <c r="AT70" s="29">
        <f t="shared" si="32"/>
        <v>44.523956434258423</v>
      </c>
      <c r="AU70" s="30" t="str">
        <f t="shared" si="33"/>
        <v>KCB|2026-08-12</v>
      </c>
      <c r="AV70" s="87">
        <f>IF($A70="","",IF(COUNTIFS($A$4:$A70,$A70)=1,1,0))</f>
        <v>0</v>
      </c>
    </row>
    <row r="71" spans="1:48" x14ac:dyDescent="0.3">
      <c r="A71" s="265">
        <v>46246</v>
      </c>
      <c r="B71" s="266" t="s">
        <v>136</v>
      </c>
      <c r="C71" s="267">
        <v>1680</v>
      </c>
      <c r="D71" s="267">
        <v>1680</v>
      </c>
      <c r="E71" s="267">
        <v>1700</v>
      </c>
      <c r="F71" s="267">
        <v>1700</v>
      </c>
      <c r="G71" s="267">
        <v>1690</v>
      </c>
      <c r="H71" s="268">
        <f t="shared" si="17"/>
        <v>1.1904761904761862E-2</v>
      </c>
      <c r="I71" s="269">
        <v>27174450</v>
      </c>
      <c r="J71" s="269">
        <v>17</v>
      </c>
      <c r="K71" s="269">
        <v>15989</v>
      </c>
      <c r="L71" s="269">
        <v>2844</v>
      </c>
      <c r="M71" s="269">
        <v>14277</v>
      </c>
      <c r="N71" s="269">
        <v>50980000000</v>
      </c>
      <c r="O71" s="266" t="s">
        <v>1106</v>
      </c>
      <c r="P71" s="265">
        <v>46265</v>
      </c>
      <c r="Q71" s="266" t="s">
        <v>1138</v>
      </c>
      <c r="R71" s="23" t="str" cm="1">
        <f t="array" ref="R71">IF($B71="","",IFERROR(IF(INDEX('Data Quality'!$U$4:$U$503,ROW()-3)=0,"PENDING",INDEX('Data Quality'!$U$4:$U$503,ROW()-3)),"PENDING"))</f>
        <v>PASS</v>
      </c>
      <c r="S71" s="24">
        <f t="shared" si="18"/>
        <v>0.19920151292288296</v>
      </c>
      <c r="T71" s="25">
        <f t="shared" si="19"/>
        <v>4834800</v>
      </c>
      <c r="U71" s="25">
        <f t="shared" si="20"/>
        <v>24270900</v>
      </c>
      <c r="V71" s="26">
        <f t="shared" si="21"/>
        <v>9.4837191055315815E-5</v>
      </c>
      <c r="W71" s="26">
        <f t="shared" si="22"/>
        <v>4.760867006669282E-4</v>
      </c>
      <c r="X71" s="25">
        <f t="shared" si="23"/>
        <v>940.52941176470586</v>
      </c>
      <c r="Y71" s="25">
        <f t="shared" si="24"/>
        <v>1598497.0588235294</v>
      </c>
      <c r="Z71" s="27" t="str">
        <f>IF($B71="","",IF($AK71&lt;=Settings!$C$21,"",IFERROR(AVERAGEIFS($S$4:$S$503,$B$4:$B$503,$B71,$AK$4:$AK$503,"&gt;="&amp;$AK71-Settings!$C$21,$AK$4:$AK$503,"&lt;="&amp;$AK71-1),"")))</f>
        <v/>
      </c>
      <c r="AA71" s="28" t="str">
        <f t="shared" si="25"/>
        <v/>
      </c>
      <c r="AB71" s="25" t="str">
        <f>IF($B71="","",IF($AK71&lt;=Settings!$C$22,"",IFERROR(AVERAGEIFS($K$4:$K$503,$B$4:$B$503,$B71,$AK$4:$AK$503,"&gt;="&amp;$AK71-Settings!$C$22,$AK$4:$AK$503,"&lt;="&amp;$AK71-1),"")))</f>
        <v/>
      </c>
      <c r="AC71" s="27" t="str">
        <f t="shared" si="26"/>
        <v/>
      </c>
      <c r="AD71" s="28" t="str">
        <f>IF($B71="","",IF($AK71&lt;=Settings!$C$23,"",IFERROR($E71/SUMIFS($E$4:$E$503,$B$4:$B$503,$B71,$AK$4:$AK$503,$AK71-Settings!$C$23)-1,"")))</f>
        <v/>
      </c>
      <c r="AE71" s="28" t="str">
        <f>IF($B71="","",IF($AK71&lt;=Settings!$C$22,"",IFERROR($E71/SUMIFS($E$4:$E$503,$B$4:$B$503,$B71,$AK$4:$AK$503,$AK71-Settings!$C$22)-1,"")))</f>
        <v/>
      </c>
      <c r="AF71" s="28">
        <f t="shared" si="27"/>
        <v>5.8823529411764705E-3</v>
      </c>
      <c r="AG71" s="29">
        <f>IF($B71="","",ROUND((MIN(100,100*N($I71)/Settings!$C$27)+MIN(100,100*N($K71)/Settings!$C$28)+MIN(100,100*N($J71)/Settings!$C$29))/3,1))</f>
        <v>7.6</v>
      </c>
      <c r="AH71" s="29">
        <f>IF($B71="","",IF(SUM(Settings!$C$32:$C$37)=0,"",ROUND((Settings!$C$32*$AO71+Settings!$C$33*$AP71+Settings!$C$34*$AQ71+Settings!$C$35*$AR71+Settings!$C$36*$AS71+Settings!$C$37*$AT71)/SUM(Settings!$C$32:$C$37),1)))</f>
        <v>32.6</v>
      </c>
      <c r="AI71" s="29">
        <f>IF($B71="","",MAX(0,100-IF(N($N71)&gt;0,0,20)-IF(AND(N($L71)=0,N($M71)=0),15,0)-IF(N($J71)&gt;0,0,10)-IF(N($K71)&gt;0,0,10)-IF($Z71&lt;&gt;"",0,15)-IF($AB71&lt;&gt;"",0,10)-IF($R71="ERROR",20,IF($R71="WARNING",10,0))))</f>
        <v>75</v>
      </c>
      <c r="AJ71" s="30" t="str">
        <f>IF($AH71="","",IF($AH71&lt;Settings!$C$46,"Extreme Sell Pressure",IF($AH71&lt;Settings!$C$47,"Sell Pressure",IF($AH71&lt;=Settings!$C$48,"Neutral",IF($AH71&lt;=Settings!$C$49,"Buy Pressure","Extreme Buy Pressure")))))</f>
        <v>Sell Pressure</v>
      </c>
      <c r="AK71" s="30">
        <f t="shared" si="28"/>
        <v>3</v>
      </c>
      <c r="AL71" s="30">
        <f t="shared" si="29"/>
        <v>2026</v>
      </c>
      <c r="AM71" s="30">
        <f t="shared" si="30"/>
        <v>33</v>
      </c>
      <c r="AN71" s="30">
        <f t="shared" si="31"/>
        <v>8</v>
      </c>
      <c r="AO71" s="29">
        <f>IF($B71="","",IF(AND(N($L71)=0,N($M71)=0),50,IF(N($M71)=0,100,IF(N($L71)=0,0,MEDIAN(0,100,50+50*LN($S71)/LN(Settings!$C$40))))))</f>
        <v>0</v>
      </c>
      <c r="AP71" s="29">
        <f>IF($AA71="",50,MEDIAN(0,100,50+$AA71*100*Settings!$C$41))</f>
        <v>50</v>
      </c>
      <c r="AQ71" s="29">
        <f>IF($H71="",50,MEDIAN(0,100,50+$H71*100*Settings!$C$42))</f>
        <v>61.904761904761862</v>
      </c>
      <c r="AR71" s="29">
        <f>IF(OR($AC71="",$H71=""),50,MEDIAN(0,100,50+SIGN($H71)*50*MEDIAN(0,1,($AC71-1)/Settings!$C$43)))</f>
        <v>50</v>
      </c>
      <c r="AS71" s="29">
        <f>IF(OR($V71="",$W71=""),50,MEDIAN(0,100,50+50*($V71-$W71)/Settings!$C$44))</f>
        <v>11.87504903883876</v>
      </c>
      <c r="AT71" s="29">
        <f t="shared" si="32"/>
        <v>46.2</v>
      </c>
      <c r="AU71" s="30" t="str">
        <f t="shared" si="33"/>
        <v>MBP|2026-08-12</v>
      </c>
      <c r="AV71" s="87">
        <f>IF($A71="","",IF(COUNTIFS($A$4:$A71,$A71)=1,1,0))</f>
        <v>0</v>
      </c>
    </row>
    <row r="72" spans="1:48" x14ac:dyDescent="0.3">
      <c r="A72" s="265">
        <v>46246</v>
      </c>
      <c r="B72" s="266" t="s">
        <v>1099</v>
      </c>
      <c r="C72" s="267">
        <v>475</v>
      </c>
      <c r="D72" s="267">
        <v>475</v>
      </c>
      <c r="E72" s="267">
        <v>455</v>
      </c>
      <c r="F72" s="267">
        <v>505</v>
      </c>
      <c r="G72" s="267">
        <v>410</v>
      </c>
      <c r="H72" s="268">
        <f t="shared" si="17"/>
        <v>-4.2105263157894757E-2</v>
      </c>
      <c r="I72" s="269">
        <v>47360055</v>
      </c>
      <c r="J72" s="269">
        <v>263</v>
      </c>
      <c r="K72" s="269">
        <v>104593</v>
      </c>
      <c r="L72" s="269">
        <v>17270</v>
      </c>
      <c r="M72" s="269">
        <v>213091</v>
      </c>
      <c r="N72" s="269">
        <v>112520000000</v>
      </c>
      <c r="O72" s="266" t="s">
        <v>1106</v>
      </c>
      <c r="P72" s="265">
        <v>46265</v>
      </c>
      <c r="Q72" s="266" t="s">
        <v>1138</v>
      </c>
      <c r="R72" s="23" t="str" cm="1">
        <f t="array" ref="R72">IF($B72="","",IFERROR(IF(INDEX('Data Quality'!$U$4:$U$503,ROW()-3)=0,"PENDING",INDEX('Data Quality'!$U$4:$U$503,ROW()-3)),"PENDING"))</f>
        <v>PASS</v>
      </c>
      <c r="S72" s="24">
        <f t="shared" si="18"/>
        <v>8.104518726741157E-2</v>
      </c>
      <c r="T72" s="25">
        <f t="shared" si="19"/>
        <v>7857850</v>
      </c>
      <c r="U72" s="25">
        <f t="shared" si="20"/>
        <v>96956405</v>
      </c>
      <c r="V72" s="26">
        <f t="shared" si="21"/>
        <v>6.9835140419480986E-5</v>
      </c>
      <c r="W72" s="26">
        <f t="shared" si="22"/>
        <v>8.616815232847494E-4</v>
      </c>
      <c r="X72" s="25">
        <f t="shared" si="23"/>
        <v>397.69201520912549</v>
      </c>
      <c r="Y72" s="25">
        <f t="shared" si="24"/>
        <v>180076.2547528517</v>
      </c>
      <c r="Z72" s="27" t="str">
        <f>IF($B72="","",IF($AK72&lt;=Settings!$C$21,"",IFERROR(AVERAGEIFS($S$4:$S$503,$B$4:$B$503,$B72,$AK$4:$AK$503,"&gt;="&amp;$AK72-Settings!$C$21,$AK$4:$AK$503,"&lt;="&amp;$AK72-1),"")))</f>
        <v/>
      </c>
      <c r="AA72" s="28" t="str">
        <f t="shared" si="25"/>
        <v/>
      </c>
      <c r="AB72" s="25" t="str">
        <f>IF($B72="","",IF($AK72&lt;=Settings!$C$22,"",IFERROR(AVERAGEIFS($K$4:$K$503,$B$4:$B$503,$B72,$AK$4:$AK$503,"&gt;="&amp;$AK72-Settings!$C$22,$AK$4:$AK$503,"&lt;="&amp;$AK72-1),"")))</f>
        <v/>
      </c>
      <c r="AC72" s="27" t="str">
        <f t="shared" si="26"/>
        <v/>
      </c>
      <c r="AD72" s="28" t="str">
        <f>IF($B72="","",IF($AK72&lt;=Settings!$C$23,"",IFERROR($E72/SUMIFS($E$4:$E$503,$B$4:$B$503,$B72,$AK$4:$AK$503,$AK72-Settings!$C$23)-1,"")))</f>
        <v/>
      </c>
      <c r="AE72" s="28" t="str">
        <f>IF($B72="","",IF($AK72&lt;=Settings!$C$22,"",IFERROR($E72/SUMIFS($E$4:$E$503,$B$4:$B$503,$B72,$AK$4:$AK$503,$AK72-Settings!$C$22)-1,"")))</f>
        <v/>
      </c>
      <c r="AF72" s="28">
        <f t="shared" si="27"/>
        <v>0.2087912087912088</v>
      </c>
      <c r="AG72" s="29">
        <f>IF($B72="","",ROUND((MIN(100,100*N($I72)/Settings!$C$27)+MIN(100,100*N($K72)/Settings!$C$28)+MIN(100,100*N($J72)/Settings!$C$29))/3,1))</f>
        <v>41.9</v>
      </c>
      <c r="AH72" s="29">
        <f>IF($B72="","",IF(SUM(Settings!$C$32:$C$37)=0,"",ROUND((Settings!$C$32*$AO72+Settings!$C$33*$AP72+Settings!$C$34*$AQ72+Settings!$C$35*$AR72+Settings!$C$36*$AS72+Settings!$C$37*$AT72)/SUM(Settings!$C$32:$C$37),1)))</f>
        <v>21.6</v>
      </c>
      <c r="AI72" s="29">
        <f>IF($B72="","",MAX(0,100-IF(N($N72)&gt;0,0,20)-IF(AND(N($L72)=0,N($M72)=0),15,0)-IF(N($J72)&gt;0,0,10)-IF(N($K72)&gt;0,0,10)-IF($Z72&lt;&gt;"",0,15)-IF($AB72&lt;&gt;"",0,10)-IF($R72="ERROR",20,IF($R72="WARNING",10,0))))</f>
        <v>75</v>
      </c>
      <c r="AJ72" s="30" t="str">
        <f>IF($AH72="","",IF($AH72&lt;Settings!$C$46,"Extreme Sell Pressure",IF($AH72&lt;Settings!$C$47,"Sell Pressure",IF($AH72&lt;=Settings!$C$48,"Neutral",IF($AH72&lt;=Settings!$C$49,"Buy Pressure","Extreme Buy Pressure")))))</f>
        <v>Sell Pressure</v>
      </c>
      <c r="AK72" s="30">
        <f t="shared" si="28"/>
        <v>3</v>
      </c>
      <c r="AL72" s="30">
        <f t="shared" si="29"/>
        <v>2026</v>
      </c>
      <c r="AM72" s="30">
        <f t="shared" si="30"/>
        <v>33</v>
      </c>
      <c r="AN72" s="30">
        <f t="shared" si="31"/>
        <v>8</v>
      </c>
      <c r="AO72" s="29">
        <f>IF($B72="","",IF(AND(N($L72)=0,N($M72)=0),50,IF(N($M72)=0,100,IF(N($L72)=0,0,MEDIAN(0,100,50+50*LN($S72)/LN(Settings!$C$40))))))</f>
        <v>0</v>
      </c>
      <c r="AP72" s="29">
        <f>IF($AA72="",50,MEDIAN(0,100,50+$AA72*100*Settings!$C$41))</f>
        <v>50</v>
      </c>
      <c r="AQ72" s="29">
        <f>IF($H72="",50,MEDIAN(0,100,50+$H72*100*Settings!$C$42))</f>
        <v>7.8947368421052388</v>
      </c>
      <c r="AR72" s="29">
        <f>IF(OR($AC72="",$H72=""),50,MEDIAN(0,100,50+SIGN($H72)*50*MEDIAN(0,1,($AC72-1)/Settings!$C$43)))</f>
        <v>50</v>
      </c>
      <c r="AS72" s="29">
        <f>IF(OR($V72="",$W72=""),50,MEDIAN(0,100,50+50*($V72-$W72)/Settings!$C$44))</f>
        <v>0</v>
      </c>
      <c r="AT72" s="29">
        <f t="shared" si="32"/>
        <v>29.05</v>
      </c>
      <c r="AU72" s="30" t="str">
        <f t="shared" si="33"/>
        <v>MCB|2026-08-12</v>
      </c>
      <c r="AV72" s="87">
        <f>IF($A72="","",IF(COUNTIFS($A$4:$A72,$A72)=1,1,0))</f>
        <v>0</v>
      </c>
    </row>
    <row r="73" spans="1:48" x14ac:dyDescent="0.3">
      <c r="A73" s="265">
        <v>46246</v>
      </c>
      <c r="B73" s="266" t="s">
        <v>138</v>
      </c>
      <c r="C73" s="267">
        <v>3870</v>
      </c>
      <c r="D73" s="267">
        <v>3870</v>
      </c>
      <c r="E73" s="267">
        <v>3820</v>
      </c>
      <c r="F73" s="267">
        <v>3850</v>
      </c>
      <c r="G73" s="267">
        <v>3740</v>
      </c>
      <c r="H73" s="268">
        <f t="shared" si="17"/>
        <v>-1.2919896640826822E-2</v>
      </c>
      <c r="I73" s="269">
        <v>2115600</v>
      </c>
      <c r="J73" s="269">
        <v>15</v>
      </c>
      <c r="K73" s="269">
        <v>556</v>
      </c>
      <c r="L73" s="269">
        <v>629</v>
      </c>
      <c r="M73" s="269">
        <v>4276</v>
      </c>
      <c r="N73" s="269">
        <v>89980000000</v>
      </c>
      <c r="O73" s="266" t="s">
        <v>1106</v>
      </c>
      <c r="P73" s="265">
        <v>46265</v>
      </c>
      <c r="Q73" s="266" t="s">
        <v>1138</v>
      </c>
      <c r="R73" s="23" t="str" cm="1">
        <f t="array" ref="R73">IF($B73="","",IFERROR(IF(INDEX('Data Quality'!$U$4:$U$503,ROW()-3)=0,"PENDING",INDEX('Data Quality'!$U$4:$U$503,ROW()-3)),"PENDING"))</f>
        <v>PASS</v>
      </c>
      <c r="S73" s="24">
        <f t="shared" si="18"/>
        <v>0.14710009354536951</v>
      </c>
      <c r="T73" s="25">
        <f t="shared" si="19"/>
        <v>2402780</v>
      </c>
      <c r="U73" s="25">
        <f t="shared" si="20"/>
        <v>16334320</v>
      </c>
      <c r="V73" s="26">
        <f t="shared" si="21"/>
        <v>2.6703489664369861E-5</v>
      </c>
      <c r="W73" s="26">
        <f t="shared" si="22"/>
        <v>1.815327850633474E-4</v>
      </c>
      <c r="X73" s="25">
        <f t="shared" si="23"/>
        <v>37.06666666666667</v>
      </c>
      <c r="Y73" s="25">
        <f t="shared" si="24"/>
        <v>141040</v>
      </c>
      <c r="Z73" s="27" t="str">
        <f>IF($B73="","",IF($AK73&lt;=Settings!$C$21,"",IFERROR(AVERAGEIFS($S$4:$S$503,$B$4:$B$503,$B73,$AK$4:$AK$503,"&gt;="&amp;$AK73-Settings!$C$21,$AK$4:$AK$503,"&lt;="&amp;$AK73-1),"")))</f>
        <v/>
      </c>
      <c r="AA73" s="28" t="str">
        <f t="shared" si="25"/>
        <v/>
      </c>
      <c r="AB73" s="25" t="str">
        <f>IF($B73="","",IF($AK73&lt;=Settings!$C$22,"",IFERROR(AVERAGEIFS($K$4:$K$503,$B$4:$B$503,$B73,$AK$4:$AK$503,"&gt;="&amp;$AK73-Settings!$C$22,$AK$4:$AK$503,"&lt;="&amp;$AK73-1),"")))</f>
        <v/>
      </c>
      <c r="AC73" s="27" t="str">
        <f t="shared" si="26"/>
        <v/>
      </c>
      <c r="AD73" s="28" t="str">
        <f>IF($B73="","",IF($AK73&lt;=Settings!$C$23,"",IFERROR($E73/SUMIFS($E$4:$E$503,$B$4:$B$503,$B73,$AK$4:$AK$503,$AK73-Settings!$C$23)-1,"")))</f>
        <v/>
      </c>
      <c r="AE73" s="28" t="str">
        <f>IF($B73="","",IF($AK73&lt;=Settings!$C$22,"",IFERROR($E73/SUMIFS($E$4:$E$503,$B$4:$B$503,$B73,$AK$4:$AK$503,$AK73-Settings!$C$22)-1,"")))</f>
        <v/>
      </c>
      <c r="AF73" s="28">
        <f t="shared" si="27"/>
        <v>2.8795811518324606E-2</v>
      </c>
      <c r="AG73" s="29">
        <f>IF($B73="","",ROUND((MIN(100,100*N($I73)/Settings!$C$27)+MIN(100,100*N($K73)/Settings!$C$28)+MIN(100,100*N($J73)/Settings!$C$29))/3,1))</f>
        <v>5.0999999999999996</v>
      </c>
      <c r="AH73" s="29">
        <f>IF($B73="","",IF(SUM(Settings!$C$32:$C$37)=0,"",ROUND((Settings!$C$32*$AO73+Settings!$C$33*$AP73+Settings!$C$34*$AQ73+Settings!$C$35*$AR73+Settings!$C$36*$AS73+Settings!$C$37*$AT73)/SUM(Settings!$C$32:$C$37),1)))</f>
        <v>31.3</v>
      </c>
      <c r="AI73" s="29">
        <f>IF($B73="","",MAX(0,100-IF(N($N73)&gt;0,0,20)-IF(AND(N($L73)=0,N($M73)=0),15,0)-IF(N($J73)&gt;0,0,10)-IF(N($K73)&gt;0,0,10)-IF($Z73&lt;&gt;"",0,15)-IF($AB73&lt;&gt;"",0,10)-IF($R73="ERROR",20,IF($R73="WARNING",10,0))))</f>
        <v>75</v>
      </c>
      <c r="AJ73" s="30" t="str">
        <f>IF($AH73="","",IF($AH73&lt;Settings!$C$46,"Extreme Sell Pressure",IF($AH73&lt;Settings!$C$47,"Sell Pressure",IF($AH73&lt;=Settings!$C$48,"Neutral",IF($AH73&lt;=Settings!$C$49,"Buy Pressure","Extreme Buy Pressure")))))</f>
        <v>Sell Pressure</v>
      </c>
      <c r="AK73" s="30">
        <f t="shared" si="28"/>
        <v>3</v>
      </c>
      <c r="AL73" s="30">
        <f t="shared" si="29"/>
        <v>2026</v>
      </c>
      <c r="AM73" s="30">
        <f t="shared" si="30"/>
        <v>33</v>
      </c>
      <c r="AN73" s="30">
        <f t="shared" si="31"/>
        <v>8</v>
      </c>
      <c r="AO73" s="29">
        <f>IF($B73="","",IF(AND(N($L73)=0,N($M73)=0),50,IF(N($M73)=0,100,IF(N($L73)=0,0,MEDIAN(0,100,50+50*LN($S73)/LN(Settings!$C$40))))))</f>
        <v>0</v>
      </c>
      <c r="AP73" s="29">
        <f>IF($AA73="",50,MEDIAN(0,100,50+$AA73*100*Settings!$C$41))</f>
        <v>50</v>
      </c>
      <c r="AQ73" s="29">
        <f>IF($H73="",50,MEDIAN(0,100,50+$H73*100*Settings!$C$42))</f>
        <v>37.080103359173179</v>
      </c>
      <c r="AR73" s="29">
        <f>IF(OR($AC73="",$H73=""),50,MEDIAN(0,100,50+SIGN($H73)*50*MEDIAN(0,1,($AC73-1)/Settings!$C$43)))</f>
        <v>50</v>
      </c>
      <c r="AS73" s="29">
        <f>IF(OR($V73="",$W73=""),50,MEDIAN(0,100,50+50*($V73-$W73)/Settings!$C$44))</f>
        <v>34.517070460102246</v>
      </c>
      <c r="AT73" s="29">
        <f t="shared" si="32"/>
        <v>47.45</v>
      </c>
      <c r="AU73" s="30" t="str">
        <f t="shared" si="33"/>
        <v>MKCB|2026-08-12</v>
      </c>
      <c r="AV73" s="87">
        <f>IF($A73="","",IF(COUNTIFS($A$4:$A73,$A73)=1,1,0))</f>
        <v>0</v>
      </c>
    </row>
    <row r="74" spans="1:48" x14ac:dyDescent="0.3">
      <c r="A74" s="265">
        <v>46246</v>
      </c>
      <c r="B74" s="266" t="s">
        <v>140</v>
      </c>
      <c r="C74" s="267">
        <v>465</v>
      </c>
      <c r="D74" s="267">
        <v>465</v>
      </c>
      <c r="E74" s="267">
        <v>465</v>
      </c>
      <c r="F74" s="267">
        <v>475</v>
      </c>
      <c r="G74" s="267">
        <v>465</v>
      </c>
      <c r="H74" s="268">
        <f t="shared" si="17"/>
        <v>0</v>
      </c>
      <c r="I74" s="269">
        <v>407875</v>
      </c>
      <c r="J74" s="269">
        <v>13</v>
      </c>
      <c r="K74" s="269">
        <v>875</v>
      </c>
      <c r="L74" s="269">
        <v>2180</v>
      </c>
      <c r="M74" s="269">
        <v>3050</v>
      </c>
      <c r="N74" s="269">
        <v>15190000000</v>
      </c>
      <c r="O74" s="266" t="s">
        <v>1106</v>
      </c>
      <c r="P74" s="265">
        <v>46265</v>
      </c>
      <c r="Q74" s="266" t="s">
        <v>1138</v>
      </c>
      <c r="R74" s="23" t="str" cm="1">
        <f t="array" ref="R74">IF($B74="","",IFERROR(IF(INDEX('Data Quality'!$U$4:$U$503,ROW()-3)=0,"PENDING",INDEX('Data Quality'!$U$4:$U$503,ROW()-3)),"PENDING"))</f>
        <v>PASS</v>
      </c>
      <c r="S74" s="24">
        <f t="shared" si="18"/>
        <v>0.71475409836065573</v>
      </c>
      <c r="T74" s="25">
        <f t="shared" si="19"/>
        <v>1013700</v>
      </c>
      <c r="U74" s="25">
        <f t="shared" si="20"/>
        <v>1418250</v>
      </c>
      <c r="V74" s="26">
        <f t="shared" si="21"/>
        <v>6.6734693877551027E-5</v>
      </c>
      <c r="W74" s="26">
        <f t="shared" si="22"/>
        <v>9.3367346938775508E-5</v>
      </c>
      <c r="X74" s="25">
        <f t="shared" si="23"/>
        <v>67.307692307692307</v>
      </c>
      <c r="Y74" s="25">
        <f t="shared" si="24"/>
        <v>31375</v>
      </c>
      <c r="Z74" s="27" t="str">
        <f>IF($B74="","",IF($AK74&lt;=Settings!$C$21,"",IFERROR(AVERAGEIFS($S$4:$S$503,$B$4:$B$503,$B74,$AK$4:$AK$503,"&gt;="&amp;$AK74-Settings!$C$21,$AK$4:$AK$503,"&lt;="&amp;$AK74-1),"")))</f>
        <v/>
      </c>
      <c r="AA74" s="28" t="str">
        <f t="shared" si="25"/>
        <v/>
      </c>
      <c r="AB74" s="25" t="str">
        <f>IF($B74="","",IF($AK74&lt;=Settings!$C$22,"",IFERROR(AVERAGEIFS($K$4:$K$503,$B$4:$B$503,$B74,$AK$4:$AK$503,"&gt;="&amp;$AK74-Settings!$C$22,$AK$4:$AK$503,"&lt;="&amp;$AK74-1),"")))</f>
        <v/>
      </c>
      <c r="AC74" s="27" t="str">
        <f t="shared" si="26"/>
        <v/>
      </c>
      <c r="AD74" s="28" t="str">
        <f>IF($B74="","",IF($AK74&lt;=Settings!$C$23,"",IFERROR($E74/SUMIFS($E$4:$E$503,$B$4:$B$503,$B74,$AK$4:$AK$503,$AK74-Settings!$C$23)-1,"")))</f>
        <v/>
      </c>
      <c r="AE74" s="28" t="str">
        <f>IF($B74="","",IF($AK74&lt;=Settings!$C$22,"",IFERROR($E74/SUMIFS($E$4:$E$503,$B$4:$B$503,$B74,$AK$4:$AK$503,$AK74-Settings!$C$22)-1,"")))</f>
        <v/>
      </c>
      <c r="AF74" s="28">
        <f t="shared" si="27"/>
        <v>2.1505376344086023E-2</v>
      </c>
      <c r="AG74" s="29">
        <f>IF($B74="","",ROUND((MIN(100,100*N($I74)/Settings!$C$27)+MIN(100,100*N($K74)/Settings!$C$28)+MIN(100,100*N($J74)/Settings!$C$29))/3,1))</f>
        <v>4.4000000000000004</v>
      </c>
      <c r="AH74" s="29">
        <f>IF($B74="","",IF(SUM(Settings!$C$32:$C$37)=0,"",ROUND((Settings!$C$32*$AO74+Settings!$C$33*$AP74+Settings!$C$34*$AQ74+Settings!$C$35*$AR74+Settings!$C$36*$AS74+Settings!$C$37*$AT74)/SUM(Settings!$C$32:$C$37),1)))</f>
        <v>46</v>
      </c>
      <c r="AI74" s="29">
        <f>IF($B74="","",MAX(0,100-IF(N($N74)&gt;0,0,20)-IF(AND(N($L74)=0,N($M74)=0),15,0)-IF(N($J74)&gt;0,0,10)-IF(N($K74)&gt;0,0,10)-IF($Z74&lt;&gt;"",0,15)-IF($AB74&lt;&gt;"",0,10)-IF($R74="ERROR",20,IF($R74="WARNING",10,0))))</f>
        <v>75</v>
      </c>
      <c r="AJ74" s="30" t="str">
        <f>IF($AH74="","",IF($AH74&lt;Settings!$C$46,"Extreme Sell Pressure",IF($AH74&lt;Settings!$C$47,"Sell Pressure",IF($AH74&lt;=Settings!$C$48,"Neutral",IF($AH74&lt;=Settings!$C$49,"Buy Pressure","Extreme Buy Pressure")))))</f>
        <v>Neutral</v>
      </c>
      <c r="AK74" s="30">
        <f t="shared" si="28"/>
        <v>3</v>
      </c>
      <c r="AL74" s="30">
        <f t="shared" si="29"/>
        <v>2026</v>
      </c>
      <c r="AM74" s="30">
        <f t="shared" si="30"/>
        <v>33</v>
      </c>
      <c r="AN74" s="30">
        <f t="shared" si="31"/>
        <v>8</v>
      </c>
      <c r="AO74" s="29">
        <f>IF($B74="","",IF(AND(N($L74)=0,N($M74)=0),50,IF(N($M74)=0,100,IF(N($L74)=0,0,MEDIAN(0,100,50+50*LN($S74)/LN(Settings!$C$40))))))</f>
        <v>37.887972308166944</v>
      </c>
      <c r="AP74" s="29">
        <f>IF($AA74="",50,MEDIAN(0,100,50+$AA74*100*Settings!$C$41))</f>
        <v>50</v>
      </c>
      <c r="AQ74" s="29">
        <f>IF($H74="",50,MEDIAN(0,100,50+$H74*100*Settings!$C$42))</f>
        <v>50</v>
      </c>
      <c r="AR74" s="29">
        <f>IF(OR($AC74="",$H74=""),50,MEDIAN(0,100,50+SIGN($H74)*50*MEDIAN(0,1,($AC74-1)/Settings!$C$43)))</f>
        <v>50</v>
      </c>
      <c r="AS74" s="29">
        <f>IF(OR($V74="",$W74=""),50,MEDIAN(0,100,50+50*($V74-$W74)/Settings!$C$44))</f>
        <v>47.336734693877553</v>
      </c>
      <c r="AT74" s="29">
        <f t="shared" si="32"/>
        <v>49.467070781559343</v>
      </c>
      <c r="AU74" s="30" t="str">
        <f t="shared" si="33"/>
        <v>MUCOBA|2026-08-12</v>
      </c>
      <c r="AV74" s="87">
        <f>IF($A74="","",IF(COUNTIFS($A$4:$A74,$A74)=1,1,0))</f>
        <v>0</v>
      </c>
    </row>
    <row r="75" spans="1:48" x14ac:dyDescent="0.3">
      <c r="A75" s="265">
        <v>46246</v>
      </c>
      <c r="B75" s="266" t="s">
        <v>134</v>
      </c>
      <c r="C75" s="267">
        <v>3610</v>
      </c>
      <c r="D75" s="267">
        <v>3610</v>
      </c>
      <c r="E75" s="267">
        <v>3660</v>
      </c>
      <c r="F75" s="267">
        <v>3730</v>
      </c>
      <c r="G75" s="267">
        <v>3600</v>
      </c>
      <c r="H75" s="268">
        <f t="shared" si="17"/>
        <v>1.3850415512465464E-2</v>
      </c>
      <c r="I75" s="269">
        <v>30578830</v>
      </c>
      <c r="J75" s="269">
        <v>56</v>
      </c>
      <c r="K75" s="269">
        <v>8365</v>
      </c>
      <c r="L75" s="269">
        <v>2100</v>
      </c>
      <c r="M75" s="269">
        <v>16754</v>
      </c>
      <c r="N75" s="269">
        <v>225620000000</v>
      </c>
      <c r="O75" s="266" t="s">
        <v>1106</v>
      </c>
      <c r="P75" s="265">
        <v>46265</v>
      </c>
      <c r="Q75" s="266" t="s">
        <v>1138</v>
      </c>
      <c r="R75" s="23" t="str" cm="1">
        <f t="array" ref="R75">IF($B75="","",IFERROR(IF(INDEX('Data Quality'!$U$4:$U$503,ROW()-3)=0,"PENDING",INDEX('Data Quality'!$U$4:$U$503,ROW()-3)),"PENDING"))</f>
        <v>PASS</v>
      </c>
      <c r="S75" s="24">
        <f t="shared" si="18"/>
        <v>0.12534320162349288</v>
      </c>
      <c r="T75" s="25">
        <f t="shared" si="19"/>
        <v>7686000</v>
      </c>
      <c r="U75" s="25">
        <f t="shared" si="20"/>
        <v>61319640</v>
      </c>
      <c r="V75" s="26">
        <f t="shared" si="21"/>
        <v>3.4066128889282868E-5</v>
      </c>
      <c r="W75" s="26">
        <f t="shared" si="22"/>
        <v>2.7178282067192623E-4</v>
      </c>
      <c r="X75" s="25">
        <f t="shared" si="23"/>
        <v>149.375</v>
      </c>
      <c r="Y75" s="25">
        <f t="shared" si="24"/>
        <v>546050.53571428568</v>
      </c>
      <c r="Z75" s="27" t="str">
        <f>IF($B75="","",IF($AK75&lt;=Settings!$C$21,"",IFERROR(AVERAGEIFS($S$4:$S$503,$B$4:$B$503,$B75,$AK$4:$AK$503,"&gt;="&amp;$AK75-Settings!$C$21,$AK$4:$AK$503,"&lt;="&amp;$AK75-1),"")))</f>
        <v/>
      </c>
      <c r="AA75" s="28" t="str">
        <f t="shared" si="25"/>
        <v/>
      </c>
      <c r="AB75" s="25" t="str">
        <f>IF($B75="","",IF($AK75&lt;=Settings!$C$22,"",IFERROR(AVERAGEIFS($K$4:$K$503,$B$4:$B$503,$B75,$AK$4:$AK$503,"&gt;="&amp;$AK75-Settings!$C$22,$AK$4:$AK$503,"&lt;="&amp;$AK75-1),"")))</f>
        <v/>
      </c>
      <c r="AC75" s="27" t="str">
        <f t="shared" si="26"/>
        <v/>
      </c>
      <c r="AD75" s="28" t="str">
        <f>IF($B75="","",IF($AK75&lt;=Settings!$C$23,"",IFERROR($E75/SUMIFS($E$4:$E$503,$B$4:$B$503,$B75,$AK$4:$AK$503,$AK75-Settings!$C$23)-1,"")))</f>
        <v/>
      </c>
      <c r="AE75" s="28" t="str">
        <f>IF($B75="","",IF($AK75&lt;=Settings!$C$22,"",IFERROR($E75/SUMIFS($E$4:$E$503,$B$4:$B$503,$B75,$AK$4:$AK$503,$AK75-Settings!$C$22)-1,"")))</f>
        <v/>
      </c>
      <c r="AF75" s="28">
        <f t="shared" si="27"/>
        <v>3.5519125683060107E-2</v>
      </c>
      <c r="AG75" s="29">
        <f>IF($B75="","",ROUND((MIN(100,100*N($I75)/Settings!$C$27)+MIN(100,100*N($K75)/Settings!$C$28)+MIN(100,100*N($J75)/Settings!$C$29))/3,1))</f>
        <v>20.2</v>
      </c>
      <c r="AH75" s="29">
        <f>IF($B75="","",IF(SUM(Settings!$C$32:$C$37)=0,"",ROUND((Settings!$C$32*$AO75+Settings!$C$33*$AP75+Settings!$C$34*$AQ75+Settings!$C$35*$AR75+Settings!$C$36*$AS75+Settings!$C$37*$AT75)/SUM(Settings!$C$32:$C$37),1)))</f>
        <v>33.700000000000003</v>
      </c>
      <c r="AI75" s="29">
        <f>IF($B75="","",MAX(0,100-IF(N($N75)&gt;0,0,20)-IF(AND(N($L75)=0,N($M75)=0),15,0)-IF(N($J75)&gt;0,0,10)-IF(N($K75)&gt;0,0,10)-IF($Z75&lt;&gt;"",0,15)-IF($AB75&lt;&gt;"",0,10)-IF($R75="ERROR",20,IF($R75="WARNING",10,0))))</f>
        <v>75</v>
      </c>
      <c r="AJ75" s="30" t="str">
        <f>IF($AH75="","",IF($AH75&lt;Settings!$C$46,"Extreme Sell Pressure",IF($AH75&lt;Settings!$C$47,"Sell Pressure",IF($AH75&lt;=Settings!$C$48,"Neutral",IF($AH75&lt;=Settings!$C$49,"Buy Pressure","Extreme Buy Pressure")))))</f>
        <v>Sell Pressure</v>
      </c>
      <c r="AK75" s="30">
        <f t="shared" si="28"/>
        <v>3</v>
      </c>
      <c r="AL75" s="30">
        <f t="shared" si="29"/>
        <v>2026</v>
      </c>
      <c r="AM75" s="30">
        <f t="shared" si="30"/>
        <v>33</v>
      </c>
      <c r="AN75" s="30">
        <f t="shared" si="31"/>
        <v>8</v>
      </c>
      <c r="AO75" s="29">
        <f>IF($B75="","",IF(AND(N($L75)=0,N($M75)=0),50,IF(N($M75)=0,100,IF(N($L75)=0,0,MEDIAN(0,100,50+50*LN($S75)/LN(Settings!$C$40))))))</f>
        <v>0</v>
      </c>
      <c r="AP75" s="29">
        <f>IF($AA75="",50,MEDIAN(0,100,50+$AA75*100*Settings!$C$41))</f>
        <v>50</v>
      </c>
      <c r="AQ75" s="29">
        <f>IF($H75="",50,MEDIAN(0,100,50+$H75*100*Settings!$C$42))</f>
        <v>63.85041551246546</v>
      </c>
      <c r="AR75" s="29">
        <f>IF(OR($AC75="",$H75=""),50,MEDIAN(0,100,50+SIGN($H75)*50*MEDIAN(0,1,($AC75-1)/Settings!$C$43)))</f>
        <v>50</v>
      </c>
      <c r="AS75" s="29">
        <f>IF(OR($V75="",$W75=""),50,MEDIAN(0,100,50+50*($V75-$W75)/Settings!$C$44))</f>
        <v>26.228330821735664</v>
      </c>
      <c r="AT75" s="29">
        <f t="shared" si="32"/>
        <v>39.9</v>
      </c>
      <c r="AU75" s="30" t="str">
        <f t="shared" si="33"/>
        <v>NICO|2026-08-12</v>
      </c>
      <c r="AV75" s="87">
        <f>IF($A75="","",IF(COUNTIFS($A$4:$A75,$A75)=1,1,0))</f>
        <v>0</v>
      </c>
    </row>
    <row r="76" spans="1:48" x14ac:dyDescent="0.3">
      <c r="A76" s="265">
        <v>46246</v>
      </c>
      <c r="B76" s="266" t="s">
        <v>28</v>
      </c>
      <c r="C76" s="267">
        <v>17600</v>
      </c>
      <c r="D76" s="267">
        <v>17600</v>
      </c>
      <c r="E76" s="267">
        <v>17600</v>
      </c>
      <c r="F76" s="267">
        <v>17700</v>
      </c>
      <c r="G76" s="267">
        <v>17580</v>
      </c>
      <c r="H76" s="268">
        <f t="shared" si="17"/>
        <v>0</v>
      </c>
      <c r="I76" s="269">
        <v>3503601310</v>
      </c>
      <c r="J76" s="269">
        <v>385</v>
      </c>
      <c r="K76" s="269">
        <v>199132</v>
      </c>
      <c r="L76" s="269">
        <v>25169</v>
      </c>
      <c r="M76" s="269">
        <v>6886</v>
      </c>
      <c r="N76" s="269">
        <v>8800000000000</v>
      </c>
      <c r="O76" s="266" t="s">
        <v>1106</v>
      </c>
      <c r="P76" s="265">
        <v>46265</v>
      </c>
      <c r="Q76" s="266" t="s">
        <v>1138</v>
      </c>
      <c r="R76" s="23" t="str" cm="1">
        <f t="array" ref="R76">IF($B76="","",IFERROR(IF(INDEX('Data Quality'!$U$4:$U$503,ROW()-3)=0,"PENDING",INDEX('Data Quality'!$U$4:$U$503,ROW()-3)),"PENDING"))</f>
        <v>PASS</v>
      </c>
      <c r="S76" s="24">
        <f t="shared" si="18"/>
        <v>3.655097298867267</v>
      </c>
      <c r="T76" s="25">
        <f t="shared" si="19"/>
        <v>442974400</v>
      </c>
      <c r="U76" s="25">
        <f t="shared" si="20"/>
        <v>121193600</v>
      </c>
      <c r="V76" s="26">
        <f t="shared" si="21"/>
        <v>5.0337999999999998E-5</v>
      </c>
      <c r="W76" s="26">
        <f t="shared" si="22"/>
        <v>1.3772E-5</v>
      </c>
      <c r="X76" s="25">
        <f t="shared" si="23"/>
        <v>517.22597402597398</v>
      </c>
      <c r="Y76" s="25">
        <f t="shared" si="24"/>
        <v>9100263.1428571437</v>
      </c>
      <c r="Z76" s="27" t="str">
        <f>IF($B76="","",IF($AK76&lt;=Settings!$C$21,"",IFERROR(AVERAGEIFS($S$4:$S$503,$B$4:$B$503,$B76,$AK$4:$AK$503,"&gt;="&amp;$AK76-Settings!$C$21,$AK$4:$AK$503,"&lt;="&amp;$AK76-1),"")))</f>
        <v/>
      </c>
      <c r="AA76" s="28" t="str">
        <f t="shared" si="25"/>
        <v/>
      </c>
      <c r="AB76" s="25" t="str">
        <f>IF($B76="","",IF($AK76&lt;=Settings!$C$22,"",IFERROR(AVERAGEIFS($K$4:$K$503,$B$4:$B$503,$B76,$AK$4:$AK$503,"&gt;="&amp;$AK76-Settings!$C$22,$AK$4:$AK$503,"&lt;="&amp;$AK76-1),"")))</f>
        <v/>
      </c>
      <c r="AC76" s="27" t="str">
        <f t="shared" si="26"/>
        <v/>
      </c>
      <c r="AD76" s="28" t="str">
        <f>IF($B76="","",IF($AK76&lt;=Settings!$C$23,"",IFERROR($E76/SUMIFS($E$4:$E$503,$B$4:$B$503,$B76,$AK$4:$AK$503,$AK76-Settings!$C$23)-1,"")))</f>
        <v/>
      </c>
      <c r="AE76" s="28" t="str">
        <f>IF($B76="","",IF($AK76&lt;=Settings!$C$22,"",IFERROR($E76/SUMIFS($E$4:$E$503,$B$4:$B$503,$B76,$AK$4:$AK$503,$AK76-Settings!$C$22)-1,"")))</f>
        <v/>
      </c>
      <c r="AF76" s="28">
        <f t="shared" si="27"/>
        <v>6.8181818181818179E-3</v>
      </c>
      <c r="AG76" s="29">
        <f>IF($B76="","",ROUND((MIN(100,100*N($I76)/Settings!$C$27)+MIN(100,100*N($K76)/Settings!$C$28)+MIN(100,100*N($J76)/Settings!$C$29))/3,1))</f>
        <v>79.900000000000006</v>
      </c>
      <c r="AH76" s="29">
        <f>IF($B76="","",IF(SUM(Settings!$C$32:$C$37)=0,"",ROUND((Settings!$C$32*$AO76+Settings!$C$33*$AP76+Settings!$C$34*$AQ76+Settings!$C$35*$AR76+Settings!$C$36*$AS76+Settings!$C$37*$AT76)/SUM(Settings!$C$32:$C$37),1)))</f>
        <v>68.099999999999994</v>
      </c>
      <c r="AI76" s="29">
        <f>IF($B76="","",MAX(0,100-IF(N($N76)&gt;0,0,20)-IF(AND(N($L76)=0,N($M76)=0),15,0)-IF(N($J76)&gt;0,0,10)-IF(N($K76)&gt;0,0,10)-IF($Z76&lt;&gt;"",0,15)-IF($AB76&lt;&gt;"",0,10)-IF($R76="ERROR",20,IF($R76="WARNING",10,0))))</f>
        <v>75</v>
      </c>
      <c r="AJ76" s="30" t="str">
        <f>IF($AH76="","",IF($AH76&lt;Settings!$C$46,"Extreme Sell Pressure",IF($AH76&lt;Settings!$C$47,"Sell Pressure",IF($AH76&lt;=Settings!$C$48,"Neutral",IF($AH76&lt;=Settings!$C$49,"Buy Pressure","Extreme Buy Pressure")))))</f>
        <v>Buy Pressure</v>
      </c>
      <c r="AK76" s="30">
        <f t="shared" si="28"/>
        <v>3</v>
      </c>
      <c r="AL76" s="30">
        <f t="shared" si="29"/>
        <v>2026</v>
      </c>
      <c r="AM76" s="30">
        <f t="shared" si="30"/>
        <v>33</v>
      </c>
      <c r="AN76" s="30">
        <f t="shared" si="31"/>
        <v>8</v>
      </c>
      <c r="AO76" s="29">
        <f>IF($B76="","",IF(AND(N($L76)=0,N($M76)=0),50,IF(N($M76)=0,100,IF(N($L76)=0,0,MEDIAN(0,100,50+50*LN($S76)/LN(Settings!$C$40))))))</f>
        <v>96.747745282520185</v>
      </c>
      <c r="AP76" s="29">
        <f>IF($AA76="",50,MEDIAN(0,100,50+$AA76*100*Settings!$C$41))</f>
        <v>50</v>
      </c>
      <c r="AQ76" s="29">
        <f>IF($H76="",50,MEDIAN(0,100,50+$H76*100*Settings!$C$42))</f>
        <v>50</v>
      </c>
      <c r="AR76" s="29">
        <f>IF(OR($AC76="",$H76=""),50,MEDIAN(0,100,50+SIGN($H76)*50*MEDIAN(0,1,($AC76-1)/Settings!$C$43)))</f>
        <v>50</v>
      </c>
      <c r="AS76" s="29">
        <f>IF(OR($V76="",$W76=""),50,MEDIAN(0,100,50+50*($V76-$W76)/Settings!$C$44))</f>
        <v>53.656599999999997</v>
      </c>
      <c r="AT76" s="29">
        <f t="shared" si="32"/>
        <v>87.351448480733637</v>
      </c>
      <c r="AU76" s="30" t="str">
        <f t="shared" si="33"/>
        <v>NMB|2026-08-12</v>
      </c>
      <c r="AV76" s="87">
        <f>IF($A76="","",IF(COUNTIFS($A$4:$A76,$A76)=1,1,0))</f>
        <v>0</v>
      </c>
    </row>
    <row r="77" spans="1:48" x14ac:dyDescent="0.3">
      <c r="A77" s="265">
        <v>46246</v>
      </c>
      <c r="B77" s="266" t="s">
        <v>1100</v>
      </c>
      <c r="C77" s="267">
        <v>270</v>
      </c>
      <c r="D77" s="267">
        <v>270</v>
      </c>
      <c r="E77" s="267">
        <v>280</v>
      </c>
      <c r="F77" s="267"/>
      <c r="G77" s="267"/>
      <c r="H77" s="268">
        <f t="shared" si="17"/>
        <v>3.7037037037036979E-2</v>
      </c>
      <c r="I77" s="269">
        <v>0</v>
      </c>
      <c r="J77" s="269">
        <v>0</v>
      </c>
      <c r="K77" s="269">
        <v>0</v>
      </c>
      <c r="L77" s="269">
        <v>354</v>
      </c>
      <c r="M77" s="269">
        <v>0</v>
      </c>
      <c r="N77" s="269">
        <v>52790000000</v>
      </c>
      <c r="O77" s="266" t="s">
        <v>1106</v>
      </c>
      <c r="P77" s="265">
        <v>46265</v>
      </c>
      <c r="Q77" s="266" t="s">
        <v>1138</v>
      </c>
      <c r="R77" s="23" t="str" cm="1">
        <f t="array" ref="R77">IF($B77="","",IFERROR(IF(INDEX('Data Quality'!$U$4:$U$503,ROW()-3)=0,"PENDING",INDEX('Data Quality'!$U$4:$U$503,ROW()-3)),"PENDING"))</f>
        <v>PASS</v>
      </c>
      <c r="S77" s="24" t="str">
        <f t="shared" si="18"/>
        <v/>
      </c>
      <c r="T77" s="25">
        <f t="shared" si="19"/>
        <v>99120</v>
      </c>
      <c r="U77" s="25">
        <f t="shared" si="20"/>
        <v>0</v>
      </c>
      <c r="V77" s="26">
        <f t="shared" si="21"/>
        <v>1.8776283387005114E-6</v>
      </c>
      <c r="W77" s="26">
        <f t="shared" si="22"/>
        <v>0</v>
      </c>
      <c r="X77" s="25" t="str">
        <f t="shared" si="23"/>
        <v/>
      </c>
      <c r="Y77" s="25" t="str">
        <f t="shared" si="24"/>
        <v/>
      </c>
      <c r="Z77" s="27" t="str">
        <f>IF($B77="","",IF($AK77&lt;=Settings!$C$21,"",IFERROR(AVERAGEIFS($S$4:$S$503,$B$4:$B$503,$B77,$AK$4:$AK$503,"&gt;="&amp;$AK77-Settings!$C$21,$AK$4:$AK$503,"&lt;="&amp;$AK77-1),"")))</f>
        <v/>
      </c>
      <c r="AA77" s="28" t="str">
        <f t="shared" si="25"/>
        <v/>
      </c>
      <c r="AB77" s="25" t="str">
        <f>IF($B77="","",IF($AK77&lt;=Settings!$C$22,"",IFERROR(AVERAGEIFS($K$4:$K$503,$B$4:$B$503,$B77,$AK$4:$AK$503,"&gt;="&amp;$AK77-Settings!$C$22,$AK$4:$AK$503,"&lt;="&amp;$AK77-1),"")))</f>
        <v/>
      </c>
      <c r="AC77" s="27" t="str">
        <f t="shared" si="26"/>
        <v/>
      </c>
      <c r="AD77" s="28" t="str">
        <f>IF($B77="","",IF($AK77&lt;=Settings!$C$23,"",IFERROR($E77/SUMIFS($E$4:$E$503,$B$4:$B$503,$B77,$AK$4:$AK$503,$AK77-Settings!$C$23)-1,"")))</f>
        <v/>
      </c>
      <c r="AE77" s="28" t="str">
        <f>IF($B77="","",IF($AK77&lt;=Settings!$C$22,"",IFERROR($E77/SUMIFS($E$4:$E$503,$B$4:$B$503,$B77,$AK$4:$AK$503,$AK77-Settings!$C$22)-1,"")))</f>
        <v/>
      </c>
      <c r="AF77" s="28">
        <f t="shared" si="27"/>
        <v>0</v>
      </c>
      <c r="AG77" s="29">
        <f>IF($B77="","",ROUND((MIN(100,100*N($I77)/Settings!$C$27)+MIN(100,100*N($K77)/Settings!$C$28)+MIN(100,100*N($J77)/Settings!$C$29))/3,1))</f>
        <v>0</v>
      </c>
      <c r="AH77" s="29">
        <f>IF($B77="","",IF(SUM(Settings!$C$32:$C$37)=0,"",ROUND((Settings!$C$32*$AO77+Settings!$C$33*$AP77+Settings!$C$34*$AQ77+Settings!$C$35*$AR77+Settings!$C$36*$AS77+Settings!$C$37*$AT77)/SUM(Settings!$C$32:$C$37),1)))</f>
        <v>70.599999999999994</v>
      </c>
      <c r="AI77" s="29">
        <f>IF($B77="","",MAX(0,100-IF(N($N77)&gt;0,0,20)-IF(AND(N($L77)=0,N($M77)=0),15,0)-IF(N($J77)&gt;0,0,10)-IF(N($K77)&gt;0,0,10)-IF($Z77&lt;&gt;"",0,15)-IF($AB77&lt;&gt;"",0,10)-IF($R77="ERROR",20,IF($R77="WARNING",10,0))))</f>
        <v>55</v>
      </c>
      <c r="AJ77" s="30" t="str">
        <f>IF($AH77="","",IF($AH77&lt;Settings!$C$46,"Extreme Sell Pressure",IF($AH77&lt;Settings!$C$47,"Sell Pressure",IF($AH77&lt;=Settings!$C$48,"Neutral",IF($AH77&lt;=Settings!$C$49,"Buy Pressure","Extreme Buy Pressure")))))</f>
        <v>Buy Pressure</v>
      </c>
      <c r="AK77" s="30">
        <f t="shared" si="28"/>
        <v>3</v>
      </c>
      <c r="AL77" s="30">
        <f t="shared" si="29"/>
        <v>2026</v>
      </c>
      <c r="AM77" s="30">
        <f t="shared" si="30"/>
        <v>33</v>
      </c>
      <c r="AN77" s="30">
        <f t="shared" si="31"/>
        <v>8</v>
      </c>
      <c r="AO77" s="29">
        <f>IF($B77="","",IF(AND(N($L77)=0,N($M77)=0),50,IF(N($M77)=0,100,IF(N($L77)=0,0,MEDIAN(0,100,50+50*LN($S77)/LN(Settings!$C$40))))))</f>
        <v>100</v>
      </c>
      <c r="AP77" s="29">
        <f>IF($AA77="",50,MEDIAN(0,100,50+$AA77*100*Settings!$C$41))</f>
        <v>50</v>
      </c>
      <c r="AQ77" s="29">
        <f>IF($H77="",50,MEDIAN(0,100,50+$H77*100*Settings!$C$42))</f>
        <v>87.037037037036981</v>
      </c>
      <c r="AR77" s="29">
        <f>IF(OR($AC77="",$H77=""),50,MEDIAN(0,100,50+SIGN($H77)*50*MEDIAN(0,1,($AC77-1)/Settings!$C$43)))</f>
        <v>50</v>
      </c>
      <c r="AS77" s="29">
        <f>IF(OR($V77="",$W77=""),50,MEDIAN(0,100,50+50*($V77-$W77)/Settings!$C$44))</f>
        <v>50.187762833870053</v>
      </c>
      <c r="AT77" s="29">
        <f t="shared" si="32"/>
        <v>50</v>
      </c>
      <c r="AU77" s="30" t="str">
        <f t="shared" si="33"/>
        <v>NMG|2026-08-12</v>
      </c>
      <c r="AV77" s="87">
        <f>IF($A77="","",IF(COUNTIFS($A$4:$A77,$A77)=1,1,0))</f>
        <v>0</v>
      </c>
    </row>
    <row r="78" spans="1:48" x14ac:dyDescent="0.3">
      <c r="A78" s="265">
        <v>46246</v>
      </c>
      <c r="B78" s="266" t="s">
        <v>143</v>
      </c>
      <c r="C78" s="267">
        <v>305</v>
      </c>
      <c r="D78" s="267">
        <v>305</v>
      </c>
      <c r="E78" s="267">
        <v>300</v>
      </c>
      <c r="F78" s="267">
        <v>310</v>
      </c>
      <c r="G78" s="267">
        <v>300</v>
      </c>
      <c r="H78" s="268">
        <f t="shared" si="17"/>
        <v>-1.6393442622950838E-2</v>
      </c>
      <c r="I78" s="269">
        <v>507495</v>
      </c>
      <c r="J78" s="269">
        <v>31</v>
      </c>
      <c r="K78" s="269">
        <v>1679</v>
      </c>
      <c r="L78" s="269">
        <v>710</v>
      </c>
      <c r="M78" s="269">
        <v>4052</v>
      </c>
      <c r="N78" s="269">
        <v>48140000000</v>
      </c>
      <c r="O78" s="266" t="s">
        <v>1106</v>
      </c>
      <c r="P78" s="265">
        <v>46265</v>
      </c>
      <c r="Q78" s="266" t="s">
        <v>1138</v>
      </c>
      <c r="R78" s="23" t="str" cm="1">
        <f t="array" ref="R78">IF($B78="","",IFERROR(IF(INDEX('Data Quality'!$U$4:$U$503,ROW()-3)=0,"PENDING",INDEX('Data Quality'!$U$4:$U$503,ROW()-3)),"PENDING"))</f>
        <v>PASS</v>
      </c>
      <c r="S78" s="24">
        <f t="shared" si="18"/>
        <v>0.17522211253701875</v>
      </c>
      <c r="T78" s="25">
        <f t="shared" si="19"/>
        <v>213000</v>
      </c>
      <c r="U78" s="25">
        <f t="shared" si="20"/>
        <v>1215600</v>
      </c>
      <c r="V78" s="26">
        <f t="shared" si="21"/>
        <v>4.4245949314499374E-6</v>
      </c>
      <c r="W78" s="26">
        <f t="shared" si="22"/>
        <v>2.5251350228500209E-5</v>
      </c>
      <c r="X78" s="25">
        <f t="shared" si="23"/>
        <v>54.161290322580648</v>
      </c>
      <c r="Y78" s="25">
        <f t="shared" si="24"/>
        <v>16370.806451612903</v>
      </c>
      <c r="Z78" s="27" t="str">
        <f>IF($B78="","",IF($AK78&lt;=Settings!$C$21,"",IFERROR(AVERAGEIFS($S$4:$S$503,$B$4:$B$503,$B78,$AK$4:$AK$503,"&gt;="&amp;$AK78-Settings!$C$21,$AK$4:$AK$503,"&lt;="&amp;$AK78-1),"")))</f>
        <v/>
      </c>
      <c r="AA78" s="28" t="str">
        <f t="shared" si="25"/>
        <v/>
      </c>
      <c r="AB78" s="25" t="str">
        <f>IF($B78="","",IF($AK78&lt;=Settings!$C$22,"",IFERROR(AVERAGEIFS($K$4:$K$503,$B$4:$B$503,$B78,$AK$4:$AK$503,"&gt;="&amp;$AK78-Settings!$C$22,$AK$4:$AK$503,"&lt;="&amp;$AK78-1),"")))</f>
        <v/>
      </c>
      <c r="AC78" s="27" t="str">
        <f t="shared" si="26"/>
        <v/>
      </c>
      <c r="AD78" s="28" t="str">
        <f>IF($B78="","",IF($AK78&lt;=Settings!$C$23,"",IFERROR($E78/SUMIFS($E$4:$E$503,$B$4:$B$503,$B78,$AK$4:$AK$503,$AK78-Settings!$C$23)-1,"")))</f>
        <v/>
      </c>
      <c r="AE78" s="28" t="str">
        <f>IF($B78="","",IF($AK78&lt;=Settings!$C$22,"",IFERROR($E78/SUMIFS($E$4:$E$503,$B$4:$B$503,$B78,$AK$4:$AK$503,$AK78-Settings!$C$22)-1,"")))</f>
        <v/>
      </c>
      <c r="AF78" s="28">
        <f t="shared" si="27"/>
        <v>3.3333333333333333E-2</v>
      </c>
      <c r="AG78" s="29">
        <f>IF($B78="","",ROUND((MIN(100,100*N($I78)/Settings!$C$27)+MIN(100,100*N($K78)/Settings!$C$28)+MIN(100,100*N($J78)/Settings!$C$29))/3,1))</f>
        <v>10.5</v>
      </c>
      <c r="AH78" s="29">
        <f>IF($B78="","",IF(SUM(Settings!$C$32:$C$37)=0,"",ROUND((Settings!$C$32*$AO78+Settings!$C$33*$AP78+Settings!$C$34*$AQ78+Settings!$C$35*$AR78+Settings!$C$36*$AS78+Settings!$C$37*$AT78)/SUM(Settings!$C$32:$C$37),1)))</f>
        <v>31.8</v>
      </c>
      <c r="AI78" s="29">
        <f>IF($B78="","",MAX(0,100-IF(N($N78)&gt;0,0,20)-IF(AND(N($L78)=0,N($M78)=0),15,0)-IF(N($J78)&gt;0,0,10)-IF(N($K78)&gt;0,0,10)-IF($Z78&lt;&gt;"",0,15)-IF($AB78&lt;&gt;"",0,10)-IF($R78="ERROR",20,IF($R78="WARNING",10,0))))</f>
        <v>75</v>
      </c>
      <c r="AJ78" s="30" t="str">
        <f>IF($AH78="","",IF($AH78&lt;Settings!$C$46,"Extreme Sell Pressure",IF($AH78&lt;Settings!$C$47,"Sell Pressure",IF($AH78&lt;=Settings!$C$48,"Neutral",IF($AH78&lt;=Settings!$C$49,"Buy Pressure","Extreme Buy Pressure")))))</f>
        <v>Sell Pressure</v>
      </c>
      <c r="AK78" s="30">
        <f t="shared" si="28"/>
        <v>3</v>
      </c>
      <c r="AL78" s="30">
        <f t="shared" si="29"/>
        <v>2026</v>
      </c>
      <c r="AM78" s="30">
        <f t="shared" si="30"/>
        <v>33</v>
      </c>
      <c r="AN78" s="30">
        <f t="shared" si="31"/>
        <v>8</v>
      </c>
      <c r="AO78" s="29">
        <f>IF($B78="","",IF(AND(N($L78)=0,N($M78)=0),50,IF(N($M78)=0,100,IF(N($L78)=0,0,MEDIAN(0,100,50+50*LN($S78)/LN(Settings!$C$40))))))</f>
        <v>0</v>
      </c>
      <c r="AP78" s="29">
        <f>IF($AA78="",50,MEDIAN(0,100,50+$AA78*100*Settings!$C$41))</f>
        <v>50</v>
      </c>
      <c r="AQ78" s="29">
        <f>IF($H78="",50,MEDIAN(0,100,50+$H78*100*Settings!$C$42))</f>
        <v>33.606557377049164</v>
      </c>
      <c r="AR78" s="29">
        <f>IF(OR($AC78="",$H78=""),50,MEDIAN(0,100,50+SIGN($H78)*50*MEDIAN(0,1,($AC78-1)/Settings!$C$43)))</f>
        <v>50</v>
      </c>
      <c r="AS78" s="29">
        <f>IF(OR($V78="",$W78=""),50,MEDIAN(0,100,50+50*($V78-$W78)/Settings!$C$44))</f>
        <v>47.917324470294972</v>
      </c>
      <c r="AT78" s="29">
        <f t="shared" si="32"/>
        <v>44.75</v>
      </c>
      <c r="AU78" s="30" t="str">
        <f t="shared" si="33"/>
        <v>PAL|2026-08-12</v>
      </c>
      <c r="AV78" s="87">
        <f>IF($A78="","",IF(COUNTIFS($A$4:$A78,$A78)=1,1,0))</f>
        <v>0</v>
      </c>
    </row>
    <row r="79" spans="1:48" x14ac:dyDescent="0.3">
      <c r="A79" s="265">
        <v>46246</v>
      </c>
      <c r="B79" s="266" t="s">
        <v>1101</v>
      </c>
      <c r="C79" s="267">
        <v>450</v>
      </c>
      <c r="D79" s="267">
        <v>450</v>
      </c>
      <c r="E79" s="267">
        <v>450</v>
      </c>
      <c r="F79" s="267"/>
      <c r="G79" s="267"/>
      <c r="H79" s="268">
        <f t="shared" si="17"/>
        <v>0</v>
      </c>
      <c r="I79" s="269">
        <v>0</v>
      </c>
      <c r="J79" s="269">
        <v>0</v>
      </c>
      <c r="K79" s="269">
        <v>0</v>
      </c>
      <c r="L79" s="269">
        <v>0</v>
      </c>
      <c r="M79" s="269">
        <v>0</v>
      </c>
      <c r="N79" s="269">
        <v>47790000000</v>
      </c>
      <c r="O79" s="266" t="s">
        <v>1106</v>
      </c>
      <c r="P79" s="265">
        <v>46265</v>
      </c>
      <c r="Q79" s="266" t="s">
        <v>1138</v>
      </c>
      <c r="R79" s="23" t="str" cm="1">
        <f t="array" ref="R79">IF($B79="","",IFERROR(IF(INDEX('Data Quality'!$U$4:$U$503,ROW()-3)=0,"PENDING",INDEX('Data Quality'!$U$4:$U$503,ROW()-3)),"PENDING"))</f>
        <v>WARNING</v>
      </c>
      <c r="S79" s="24" t="str">
        <f t="shared" si="18"/>
        <v/>
      </c>
      <c r="T79" s="25">
        <f t="shared" si="19"/>
        <v>0</v>
      </c>
      <c r="U79" s="25">
        <f t="shared" si="20"/>
        <v>0</v>
      </c>
      <c r="V79" s="26">
        <f t="shared" si="21"/>
        <v>0</v>
      </c>
      <c r="W79" s="26">
        <f t="shared" si="22"/>
        <v>0</v>
      </c>
      <c r="X79" s="25" t="str">
        <f t="shared" si="23"/>
        <v/>
      </c>
      <c r="Y79" s="25" t="str">
        <f t="shared" si="24"/>
        <v/>
      </c>
      <c r="Z79" s="27" t="str">
        <f>IF($B79="","",IF($AK79&lt;=Settings!$C$21,"",IFERROR(AVERAGEIFS($S$4:$S$503,$B$4:$B$503,$B79,$AK$4:$AK$503,"&gt;="&amp;$AK79-Settings!$C$21,$AK$4:$AK$503,"&lt;="&amp;$AK79-1),"")))</f>
        <v/>
      </c>
      <c r="AA79" s="28" t="str">
        <f t="shared" si="25"/>
        <v/>
      </c>
      <c r="AB79" s="25" t="str">
        <f>IF($B79="","",IF($AK79&lt;=Settings!$C$22,"",IFERROR(AVERAGEIFS($K$4:$K$503,$B$4:$B$503,$B79,$AK$4:$AK$503,"&gt;="&amp;$AK79-Settings!$C$22,$AK$4:$AK$503,"&lt;="&amp;$AK79-1),"")))</f>
        <v/>
      </c>
      <c r="AC79" s="27" t="str">
        <f t="shared" si="26"/>
        <v/>
      </c>
      <c r="AD79" s="28" t="str">
        <f>IF($B79="","",IF($AK79&lt;=Settings!$C$23,"",IFERROR($E79/SUMIFS($E$4:$E$503,$B$4:$B$503,$B79,$AK$4:$AK$503,$AK79-Settings!$C$23)-1,"")))</f>
        <v/>
      </c>
      <c r="AE79" s="28" t="str">
        <f>IF($B79="","",IF($AK79&lt;=Settings!$C$22,"",IFERROR($E79/SUMIFS($E$4:$E$503,$B$4:$B$503,$B79,$AK$4:$AK$503,$AK79-Settings!$C$22)-1,"")))</f>
        <v/>
      </c>
      <c r="AF79" s="28">
        <f t="shared" si="27"/>
        <v>0</v>
      </c>
      <c r="AG79" s="29">
        <f>IF($B79="","",ROUND((MIN(100,100*N($I79)/Settings!$C$27)+MIN(100,100*N($K79)/Settings!$C$28)+MIN(100,100*N($J79)/Settings!$C$29))/3,1))</f>
        <v>0</v>
      </c>
      <c r="AH79" s="29">
        <f>IF($B79="","",IF(SUM(Settings!$C$32:$C$37)=0,"",ROUND((Settings!$C$32*$AO79+Settings!$C$33*$AP79+Settings!$C$34*$AQ79+Settings!$C$35*$AR79+Settings!$C$36*$AS79+Settings!$C$37*$AT79)/SUM(Settings!$C$32:$C$37),1)))</f>
        <v>50</v>
      </c>
      <c r="AI79" s="29">
        <f>IF($B79="","",MAX(0,100-IF(N($N79)&gt;0,0,20)-IF(AND(N($L79)=0,N($M79)=0),15,0)-IF(N($J79)&gt;0,0,10)-IF(N($K79)&gt;0,0,10)-IF($Z79&lt;&gt;"",0,15)-IF($AB79&lt;&gt;"",0,10)-IF($R79="ERROR",20,IF($R79="WARNING",10,0))))</f>
        <v>30</v>
      </c>
      <c r="AJ79" s="30" t="str">
        <f>IF($AH79="","",IF($AH79&lt;Settings!$C$46,"Extreme Sell Pressure",IF($AH79&lt;Settings!$C$47,"Sell Pressure",IF($AH79&lt;=Settings!$C$48,"Neutral",IF($AH79&lt;=Settings!$C$49,"Buy Pressure","Extreme Buy Pressure")))))</f>
        <v>Neutral</v>
      </c>
      <c r="AK79" s="30">
        <f t="shared" si="28"/>
        <v>3</v>
      </c>
      <c r="AL79" s="30">
        <f t="shared" si="29"/>
        <v>2026</v>
      </c>
      <c r="AM79" s="30">
        <f t="shared" si="30"/>
        <v>33</v>
      </c>
      <c r="AN79" s="30">
        <f t="shared" si="31"/>
        <v>8</v>
      </c>
      <c r="AO79" s="29">
        <f>IF($B79="","",IF(AND(N($L79)=0,N($M79)=0),50,IF(N($M79)=0,100,IF(N($L79)=0,0,MEDIAN(0,100,50+50*LN($S79)/LN(Settings!$C$40))))))</f>
        <v>50</v>
      </c>
      <c r="AP79" s="29">
        <f>IF($AA79="",50,MEDIAN(0,100,50+$AA79*100*Settings!$C$41))</f>
        <v>50</v>
      </c>
      <c r="AQ79" s="29">
        <f>IF($H79="",50,MEDIAN(0,100,50+$H79*100*Settings!$C$42))</f>
        <v>50</v>
      </c>
      <c r="AR79" s="29">
        <f>IF(OR($AC79="",$H79=""),50,MEDIAN(0,100,50+SIGN($H79)*50*MEDIAN(0,1,($AC79-1)/Settings!$C$43)))</f>
        <v>50</v>
      </c>
      <c r="AS79" s="29">
        <f>IF(OR($V79="",$W79=""),50,MEDIAN(0,100,50+50*($V79-$W79)/Settings!$C$44))</f>
        <v>50</v>
      </c>
      <c r="AT79" s="29">
        <f t="shared" si="32"/>
        <v>50</v>
      </c>
      <c r="AU79" s="30" t="str">
        <f t="shared" si="33"/>
        <v>SWALA|2026-08-12</v>
      </c>
      <c r="AV79" s="87">
        <f>IF($A79="","",IF(COUNTIFS($A$4:$A79,$A79)=1,1,0))</f>
        <v>0</v>
      </c>
    </row>
    <row r="80" spans="1:48" x14ac:dyDescent="0.3">
      <c r="A80" s="265">
        <v>46246</v>
      </c>
      <c r="B80" s="266" t="s">
        <v>126</v>
      </c>
      <c r="C80" s="267">
        <v>2340</v>
      </c>
      <c r="D80" s="267">
        <v>2340</v>
      </c>
      <c r="E80" s="267">
        <v>2590</v>
      </c>
      <c r="F80" s="267">
        <v>2600</v>
      </c>
      <c r="G80" s="267">
        <v>2500</v>
      </c>
      <c r="H80" s="268">
        <f t="shared" si="17"/>
        <v>0.1068376068376069</v>
      </c>
      <c r="I80" s="269">
        <v>4038500</v>
      </c>
      <c r="J80" s="269">
        <v>27</v>
      </c>
      <c r="K80" s="269">
        <v>1566</v>
      </c>
      <c r="L80" s="269">
        <v>12684</v>
      </c>
      <c r="M80" s="269">
        <v>3393</v>
      </c>
      <c r="N80" s="269">
        <v>93240000000</v>
      </c>
      <c r="O80" s="266" t="s">
        <v>1106</v>
      </c>
      <c r="P80" s="265">
        <v>46265</v>
      </c>
      <c r="Q80" s="266" t="s">
        <v>1138</v>
      </c>
      <c r="R80" s="23" t="str" cm="1">
        <f t="array" ref="R80">IF($B80="","",IFERROR(IF(INDEX('Data Quality'!$U$4:$U$503,ROW()-3)=0,"PENDING",INDEX('Data Quality'!$U$4:$U$503,ROW()-3)),"PENDING"))</f>
        <v>PASS</v>
      </c>
      <c r="S80" s="24">
        <f t="shared" si="18"/>
        <v>3.7382847038019453</v>
      </c>
      <c r="T80" s="25">
        <f t="shared" si="19"/>
        <v>32851560</v>
      </c>
      <c r="U80" s="25">
        <f t="shared" si="20"/>
        <v>8787870</v>
      </c>
      <c r="V80" s="26">
        <f t="shared" si="21"/>
        <v>3.5233333333333335E-4</v>
      </c>
      <c r="W80" s="26">
        <f t="shared" si="22"/>
        <v>9.4250000000000001E-5</v>
      </c>
      <c r="X80" s="25">
        <f t="shared" si="23"/>
        <v>58</v>
      </c>
      <c r="Y80" s="25">
        <f t="shared" si="24"/>
        <v>149574.07407407407</v>
      </c>
      <c r="Z80" s="27" t="str">
        <f>IF($B80="","",IF($AK80&lt;=Settings!$C$21,"",IFERROR(AVERAGEIFS($S$4:$S$503,$B$4:$B$503,$B80,$AK$4:$AK$503,"&gt;="&amp;$AK80-Settings!$C$21,$AK$4:$AK$503,"&lt;="&amp;$AK80-1),"")))</f>
        <v/>
      </c>
      <c r="AA80" s="28" t="str">
        <f t="shared" si="25"/>
        <v/>
      </c>
      <c r="AB80" s="25" t="str">
        <f>IF($B80="","",IF($AK80&lt;=Settings!$C$22,"",IFERROR(AVERAGEIFS($K$4:$K$503,$B$4:$B$503,$B80,$AK$4:$AK$503,"&gt;="&amp;$AK80-Settings!$C$22,$AK$4:$AK$503,"&lt;="&amp;$AK80-1),"")))</f>
        <v/>
      </c>
      <c r="AC80" s="27" t="str">
        <f t="shared" si="26"/>
        <v/>
      </c>
      <c r="AD80" s="28" t="str">
        <f>IF($B80="","",IF($AK80&lt;=Settings!$C$23,"",IFERROR($E80/SUMIFS($E$4:$E$503,$B$4:$B$503,$B80,$AK$4:$AK$503,$AK80-Settings!$C$23)-1,"")))</f>
        <v/>
      </c>
      <c r="AE80" s="28" t="str">
        <f>IF($B80="","",IF($AK80&lt;=Settings!$C$22,"",IFERROR($E80/SUMIFS($E$4:$E$503,$B$4:$B$503,$B80,$AK$4:$AK$503,$AK80-Settings!$C$22)-1,"")))</f>
        <v/>
      </c>
      <c r="AF80" s="28">
        <f t="shared" si="27"/>
        <v>3.8610038610038609E-2</v>
      </c>
      <c r="AG80" s="29">
        <f>IF($B80="","",ROUND((MIN(100,100*N($I80)/Settings!$C$27)+MIN(100,100*N($K80)/Settings!$C$28)+MIN(100,100*N($J80)/Settings!$C$29))/3,1))</f>
        <v>9.1999999999999993</v>
      </c>
      <c r="AH80" s="29">
        <f>IF($B80="","",IF(SUM(Settings!$C$32:$C$37)=0,"",ROUND((Settings!$C$32*$AO80+Settings!$C$33*$AP80+Settings!$C$34*$AQ80+Settings!$C$35*$AR80+Settings!$C$36*$AS80+Settings!$C$37*$AT80)/SUM(Settings!$C$32:$C$37),1)))</f>
        <v>74.8</v>
      </c>
      <c r="AI80" s="29">
        <f>IF($B80="","",MAX(0,100-IF(N($N80)&gt;0,0,20)-IF(AND(N($L80)=0,N($M80)=0),15,0)-IF(N($J80)&gt;0,0,10)-IF(N($K80)&gt;0,0,10)-IF($Z80&lt;&gt;"",0,15)-IF($AB80&lt;&gt;"",0,10)-IF($R80="ERROR",20,IF($R80="WARNING",10,0))))</f>
        <v>75</v>
      </c>
      <c r="AJ80" s="30" t="str">
        <f>IF($AH80="","",IF($AH80&lt;Settings!$C$46,"Extreme Sell Pressure",IF($AH80&lt;Settings!$C$47,"Sell Pressure",IF($AH80&lt;=Settings!$C$48,"Neutral",IF($AH80&lt;=Settings!$C$49,"Buy Pressure","Extreme Buy Pressure")))))</f>
        <v>Buy Pressure</v>
      </c>
      <c r="AK80" s="30">
        <f t="shared" si="28"/>
        <v>3</v>
      </c>
      <c r="AL80" s="30">
        <f t="shared" si="29"/>
        <v>2026</v>
      </c>
      <c r="AM80" s="30">
        <f t="shared" si="30"/>
        <v>33</v>
      </c>
      <c r="AN80" s="30">
        <f t="shared" si="31"/>
        <v>8</v>
      </c>
      <c r="AO80" s="29">
        <f>IF($B80="","",IF(AND(N($L80)=0,N($M80)=0),50,IF(N($M80)=0,100,IF(N($L80)=0,0,MEDIAN(0,100,50+50*LN($S80)/LN(Settings!$C$40))))))</f>
        <v>97.55941118482157</v>
      </c>
      <c r="AP80" s="29">
        <f>IF($AA80="",50,MEDIAN(0,100,50+$AA80*100*Settings!$C$41))</f>
        <v>50</v>
      </c>
      <c r="AQ80" s="29">
        <f>IF($H80="",50,MEDIAN(0,100,50+$H80*100*Settings!$C$42))</f>
        <v>100</v>
      </c>
      <c r="AR80" s="29">
        <f>IF(OR($AC80="",$H80=""),50,MEDIAN(0,100,50+SIGN($H80)*50*MEDIAN(0,1,($AC80-1)/Settings!$C$43)))</f>
        <v>50</v>
      </c>
      <c r="AS80" s="29">
        <f>IF(OR($V80="",$W80=""),50,MEDIAN(0,100,50+50*($V80-$W80)/Settings!$C$44))</f>
        <v>75.808333333333337</v>
      </c>
      <c r="AT80" s="29">
        <f t="shared" si="32"/>
        <v>54.375465829003588</v>
      </c>
      <c r="AU80" s="30" t="str">
        <f t="shared" si="33"/>
        <v>SWIS|2026-08-12</v>
      </c>
      <c r="AV80" s="87">
        <f>IF($A80="","",IF(COUNTIFS($A$4:$A80,$A80)=1,1,0))</f>
        <v>0</v>
      </c>
    </row>
    <row r="81" spans="1:48" x14ac:dyDescent="0.3">
      <c r="A81" s="265">
        <v>46246</v>
      </c>
      <c r="B81" s="266" t="s">
        <v>112</v>
      </c>
      <c r="C81" s="267">
        <v>9970</v>
      </c>
      <c r="D81" s="267">
        <v>9970</v>
      </c>
      <c r="E81" s="267">
        <v>9980</v>
      </c>
      <c r="F81" s="267">
        <v>10000</v>
      </c>
      <c r="G81" s="267">
        <v>9950</v>
      </c>
      <c r="H81" s="268">
        <f t="shared" si="17"/>
        <v>1.0030090270811698E-3</v>
      </c>
      <c r="I81" s="269">
        <v>50476440</v>
      </c>
      <c r="J81" s="269">
        <v>32</v>
      </c>
      <c r="K81" s="269">
        <v>5060</v>
      </c>
      <c r="L81" s="269">
        <v>1087</v>
      </c>
      <c r="M81" s="269">
        <v>2971</v>
      </c>
      <c r="N81" s="269">
        <v>2944660000000</v>
      </c>
      <c r="O81" s="266" t="s">
        <v>1106</v>
      </c>
      <c r="P81" s="265">
        <v>46265</v>
      </c>
      <c r="Q81" s="266" t="s">
        <v>1138</v>
      </c>
      <c r="R81" s="23" t="str" cm="1">
        <f t="array" ref="R81">IF($B81="","",IFERROR(IF(INDEX('Data Quality'!$U$4:$U$503,ROW()-3)=0,"PENDING",INDEX('Data Quality'!$U$4:$U$503,ROW()-3)),"PENDING"))</f>
        <v>PASS</v>
      </c>
      <c r="S81" s="24">
        <f t="shared" si="18"/>
        <v>0.36587007741501176</v>
      </c>
      <c r="T81" s="25">
        <f t="shared" si="19"/>
        <v>10848260</v>
      </c>
      <c r="U81" s="25">
        <f t="shared" si="20"/>
        <v>29650580</v>
      </c>
      <c r="V81" s="26">
        <f t="shared" si="21"/>
        <v>3.6840450170817683E-6</v>
      </c>
      <c r="W81" s="26">
        <f t="shared" si="22"/>
        <v>1.0069271155243729E-5</v>
      </c>
      <c r="X81" s="25">
        <f t="shared" si="23"/>
        <v>158.125</v>
      </c>
      <c r="Y81" s="25">
        <f t="shared" si="24"/>
        <v>1577388.75</v>
      </c>
      <c r="Z81" s="27" t="str">
        <f>IF($B81="","",IF($AK81&lt;=Settings!$C$21,"",IFERROR(AVERAGEIFS($S$4:$S$503,$B$4:$B$503,$B81,$AK$4:$AK$503,"&gt;="&amp;$AK81-Settings!$C$21,$AK$4:$AK$503,"&lt;="&amp;$AK81-1),"")))</f>
        <v/>
      </c>
      <c r="AA81" s="28" t="str">
        <f t="shared" si="25"/>
        <v/>
      </c>
      <c r="AB81" s="25" t="str">
        <f>IF($B81="","",IF($AK81&lt;=Settings!$C$22,"",IFERROR(AVERAGEIFS($K$4:$K$503,$B$4:$B$503,$B81,$AK$4:$AK$503,"&gt;="&amp;$AK81-Settings!$C$22,$AK$4:$AK$503,"&lt;="&amp;$AK81-1),"")))</f>
        <v/>
      </c>
      <c r="AC81" s="27" t="str">
        <f t="shared" si="26"/>
        <v/>
      </c>
      <c r="AD81" s="28" t="str">
        <f>IF($B81="","",IF($AK81&lt;=Settings!$C$23,"",IFERROR($E81/SUMIFS($E$4:$E$503,$B$4:$B$503,$B81,$AK$4:$AK$503,$AK81-Settings!$C$23)-1,"")))</f>
        <v/>
      </c>
      <c r="AE81" s="28" t="str">
        <f>IF($B81="","",IF($AK81&lt;=Settings!$C$22,"",IFERROR($E81/SUMIFS($E$4:$E$503,$B$4:$B$503,$B81,$AK$4:$AK$503,$AK81-Settings!$C$22)-1,"")))</f>
        <v/>
      </c>
      <c r="AF81" s="28">
        <f t="shared" si="27"/>
        <v>5.0100200400801601E-3</v>
      </c>
      <c r="AG81" s="29">
        <f>IF($B81="","",ROUND((MIN(100,100*N($I81)/Settings!$C$27)+MIN(100,100*N($K81)/Settings!$C$28)+MIN(100,100*N($J81)/Settings!$C$29))/3,1))</f>
        <v>12.7</v>
      </c>
      <c r="AH81" s="29">
        <f>IF($B81="","",IF(SUM(Settings!$C$32:$C$37)=0,"",ROUND((Settings!$C$32*$AO81+Settings!$C$33*$AP81+Settings!$C$34*$AQ81+Settings!$C$35*$AR81+Settings!$C$36*$AS81+Settings!$C$37*$AT81)/SUM(Settings!$C$32:$C$37),1)))</f>
        <v>38.700000000000003</v>
      </c>
      <c r="AI81" s="29">
        <f>IF($B81="","",MAX(0,100-IF(N($N81)&gt;0,0,20)-IF(AND(N($L81)=0,N($M81)=0),15,0)-IF(N($J81)&gt;0,0,10)-IF(N($K81)&gt;0,0,10)-IF($Z81&lt;&gt;"",0,15)-IF($AB81&lt;&gt;"",0,10)-IF($R81="ERROR",20,IF($R81="WARNING",10,0))))</f>
        <v>75</v>
      </c>
      <c r="AJ81" s="30" t="str">
        <f>IF($AH81="","",IF($AH81&lt;Settings!$C$46,"Extreme Sell Pressure",IF($AH81&lt;Settings!$C$47,"Sell Pressure",IF($AH81&lt;=Settings!$C$48,"Neutral",IF($AH81&lt;=Settings!$C$49,"Buy Pressure","Extreme Buy Pressure")))))</f>
        <v>Sell Pressure</v>
      </c>
      <c r="AK81" s="30">
        <f t="shared" si="28"/>
        <v>3</v>
      </c>
      <c r="AL81" s="30">
        <f t="shared" si="29"/>
        <v>2026</v>
      </c>
      <c r="AM81" s="30">
        <f t="shared" si="30"/>
        <v>33</v>
      </c>
      <c r="AN81" s="30">
        <f t="shared" si="31"/>
        <v>8</v>
      </c>
      <c r="AO81" s="29">
        <f>IF($B81="","",IF(AND(N($L81)=0,N($M81)=0),50,IF(N($M81)=0,100,IF(N($L81)=0,0,MEDIAN(0,100,50+50*LN($S81)/LN(Settings!$C$40))))))</f>
        <v>13.735083379797359</v>
      </c>
      <c r="AP81" s="29">
        <f>IF($AA81="",50,MEDIAN(0,100,50+$AA81*100*Settings!$C$41))</f>
        <v>50</v>
      </c>
      <c r="AQ81" s="29">
        <f>IF($H81="",50,MEDIAN(0,100,50+$H81*100*Settings!$C$42))</f>
        <v>51.00300902708117</v>
      </c>
      <c r="AR81" s="29">
        <f>IF(OR($AC81="",$H81=""),50,MEDIAN(0,100,50+SIGN($H81)*50*MEDIAN(0,1,($AC81-1)/Settings!$C$43)))</f>
        <v>50</v>
      </c>
      <c r="AS81" s="29">
        <f>IF(OR($V81="",$W81=""),50,MEDIAN(0,100,50+50*($V81-$W81)/Settings!$C$44))</f>
        <v>49.361477386183807</v>
      </c>
      <c r="AT81" s="29">
        <f t="shared" si="32"/>
        <v>45.394355589234266</v>
      </c>
      <c r="AU81" s="30" t="str">
        <f t="shared" si="33"/>
        <v>TBL|2026-08-12</v>
      </c>
      <c r="AV81" s="87">
        <f>IF($A81="","",IF(COUNTIFS($A$4:$A81,$A81)=1,1,0))</f>
        <v>0</v>
      </c>
    </row>
    <row r="82" spans="1:48" x14ac:dyDescent="0.3">
      <c r="A82" s="265">
        <v>46246</v>
      </c>
      <c r="B82" s="266" t="s">
        <v>115</v>
      </c>
      <c r="C82" s="267">
        <v>12500</v>
      </c>
      <c r="D82" s="267">
        <v>12500</v>
      </c>
      <c r="E82" s="267">
        <v>12500</v>
      </c>
      <c r="F82" s="267">
        <v>12500</v>
      </c>
      <c r="G82" s="267">
        <v>12500</v>
      </c>
      <c r="H82" s="268">
        <f t="shared" si="17"/>
        <v>0</v>
      </c>
      <c r="I82" s="269">
        <v>1712500</v>
      </c>
      <c r="J82" s="269">
        <v>9</v>
      </c>
      <c r="K82" s="269">
        <v>137</v>
      </c>
      <c r="L82" s="269">
        <v>10035</v>
      </c>
      <c r="M82" s="269">
        <v>143</v>
      </c>
      <c r="N82" s="269">
        <v>1250000000000</v>
      </c>
      <c r="O82" s="266" t="s">
        <v>1106</v>
      </c>
      <c r="P82" s="265">
        <v>46265</v>
      </c>
      <c r="Q82" s="266" t="s">
        <v>1138</v>
      </c>
      <c r="R82" s="23" t="str" cm="1">
        <f t="array" ref="R82">IF($B82="","",IFERROR(IF(INDEX('Data Quality'!$U$4:$U$503,ROW()-3)=0,"PENDING",INDEX('Data Quality'!$U$4:$U$503,ROW()-3)),"PENDING"))</f>
        <v>PASS</v>
      </c>
      <c r="S82" s="24">
        <f t="shared" si="18"/>
        <v>70.174825174825173</v>
      </c>
      <c r="T82" s="25">
        <f t="shared" si="19"/>
        <v>125437500</v>
      </c>
      <c r="U82" s="25">
        <f t="shared" si="20"/>
        <v>1787500</v>
      </c>
      <c r="V82" s="26">
        <f t="shared" si="21"/>
        <v>1.0035E-4</v>
      </c>
      <c r="W82" s="26">
        <f t="shared" si="22"/>
        <v>1.4300000000000001E-6</v>
      </c>
      <c r="X82" s="25">
        <f t="shared" si="23"/>
        <v>15.222222222222221</v>
      </c>
      <c r="Y82" s="25">
        <f t="shared" si="24"/>
        <v>190277.77777777778</v>
      </c>
      <c r="Z82" s="27" t="str">
        <f>IF($B82="","",IF($AK82&lt;=Settings!$C$21,"",IFERROR(AVERAGEIFS($S$4:$S$503,$B$4:$B$503,$B82,$AK$4:$AK$503,"&gt;="&amp;$AK82-Settings!$C$21,$AK$4:$AK$503,"&lt;="&amp;$AK82-1),"")))</f>
        <v/>
      </c>
      <c r="AA82" s="28" t="str">
        <f t="shared" si="25"/>
        <v/>
      </c>
      <c r="AB82" s="25" t="str">
        <f>IF($B82="","",IF($AK82&lt;=Settings!$C$22,"",IFERROR(AVERAGEIFS($K$4:$K$503,$B$4:$B$503,$B82,$AK$4:$AK$503,"&gt;="&amp;$AK82-Settings!$C$22,$AK$4:$AK$503,"&lt;="&amp;$AK82-1),"")))</f>
        <v/>
      </c>
      <c r="AC82" s="27" t="str">
        <f t="shared" si="26"/>
        <v/>
      </c>
      <c r="AD82" s="28" t="str">
        <f>IF($B82="","",IF($AK82&lt;=Settings!$C$23,"",IFERROR($E82/SUMIFS($E$4:$E$503,$B$4:$B$503,$B82,$AK$4:$AK$503,$AK82-Settings!$C$23)-1,"")))</f>
        <v/>
      </c>
      <c r="AE82" s="28" t="str">
        <f>IF($B82="","",IF($AK82&lt;=Settings!$C$22,"",IFERROR($E82/SUMIFS($E$4:$E$503,$B$4:$B$503,$B82,$AK$4:$AK$503,$AK82-Settings!$C$22)-1,"")))</f>
        <v/>
      </c>
      <c r="AF82" s="28">
        <f t="shared" si="27"/>
        <v>0</v>
      </c>
      <c r="AG82" s="29">
        <f>IF($B82="","",ROUND((MIN(100,100*N($I82)/Settings!$C$27)+MIN(100,100*N($K82)/Settings!$C$28)+MIN(100,100*N($J82)/Settings!$C$29))/3,1))</f>
        <v>3.1</v>
      </c>
      <c r="AH82" s="29">
        <f>IF($B82="","",IF(SUM(Settings!$C$32:$C$37)=0,"",ROUND((Settings!$C$32*$AO82+Settings!$C$33*$AP82+Settings!$C$34*$AQ82+Settings!$C$35*$AR82+Settings!$C$36*$AS82+Settings!$C$37*$AT82)/SUM(Settings!$C$32:$C$37),1)))</f>
        <v>66.099999999999994</v>
      </c>
      <c r="AI82" s="29">
        <f>IF($B82="","",MAX(0,100-IF(N($N82)&gt;0,0,20)-IF(AND(N($L82)=0,N($M82)=0),15,0)-IF(N($J82)&gt;0,0,10)-IF(N($K82)&gt;0,0,10)-IF($Z82&lt;&gt;"",0,15)-IF($AB82&lt;&gt;"",0,10)-IF($R82="ERROR",20,IF($R82="WARNING",10,0))))</f>
        <v>75</v>
      </c>
      <c r="AJ82" s="30" t="str">
        <f>IF($AH82="","",IF($AH82&lt;Settings!$C$46,"Extreme Sell Pressure",IF($AH82&lt;Settings!$C$47,"Sell Pressure",IF($AH82&lt;=Settings!$C$48,"Neutral",IF($AH82&lt;=Settings!$C$49,"Buy Pressure","Extreme Buy Pressure")))))</f>
        <v>Buy Pressure</v>
      </c>
      <c r="AK82" s="30">
        <f t="shared" si="28"/>
        <v>3</v>
      </c>
      <c r="AL82" s="30">
        <f t="shared" si="29"/>
        <v>2026</v>
      </c>
      <c r="AM82" s="30">
        <f t="shared" si="30"/>
        <v>33</v>
      </c>
      <c r="AN82" s="30">
        <f t="shared" si="31"/>
        <v>8</v>
      </c>
      <c r="AO82" s="29">
        <f>IF($B82="","",IF(AND(N($L82)=0,N($M82)=0),50,IF(N($M82)=0,100,IF(N($L82)=0,0,MEDIAN(0,100,50+50*LN($S82)/LN(Settings!$C$40))))))</f>
        <v>100</v>
      </c>
      <c r="AP82" s="29">
        <f>IF($AA82="",50,MEDIAN(0,100,50+$AA82*100*Settings!$C$41))</f>
        <v>50</v>
      </c>
      <c r="AQ82" s="29">
        <f>IF($H82="",50,MEDIAN(0,100,50+$H82*100*Settings!$C$42))</f>
        <v>50</v>
      </c>
      <c r="AR82" s="29">
        <f>IF(OR($AC82="",$H82=""),50,MEDIAN(0,100,50+SIGN($H82)*50*MEDIAN(0,1,($AC82-1)/Settings!$C$43)))</f>
        <v>50</v>
      </c>
      <c r="AS82" s="29">
        <f>IF(OR($V82="",$W82=""),50,MEDIAN(0,100,50+50*($V82-$W82)/Settings!$C$44))</f>
        <v>59.891999999999996</v>
      </c>
      <c r="AT82" s="29">
        <f t="shared" si="32"/>
        <v>51.55</v>
      </c>
      <c r="AU82" s="30" t="str">
        <f t="shared" si="33"/>
        <v>TCC|2026-08-12</v>
      </c>
      <c r="AV82" s="87">
        <f>IF($A82="","",IF(COUNTIFS($A$4:$A82,$A82)=1,1,0))</f>
        <v>0</v>
      </c>
    </row>
    <row r="83" spans="1:48" x14ac:dyDescent="0.3">
      <c r="A83" s="265">
        <v>46246</v>
      </c>
      <c r="B83" s="266" t="s">
        <v>118</v>
      </c>
      <c r="C83" s="267">
        <v>3660</v>
      </c>
      <c r="D83" s="267">
        <v>3660</v>
      </c>
      <c r="E83" s="267">
        <v>3610</v>
      </c>
      <c r="F83" s="267">
        <v>4000</v>
      </c>
      <c r="G83" s="267">
        <v>3570</v>
      </c>
      <c r="H83" s="268">
        <f t="shared" si="17"/>
        <v>-1.3661202185792365E-2</v>
      </c>
      <c r="I83" s="269">
        <v>30170750</v>
      </c>
      <c r="J83" s="269">
        <v>34</v>
      </c>
      <c r="K83" s="269">
        <v>8317</v>
      </c>
      <c r="L83" s="269">
        <v>23718</v>
      </c>
      <c r="M83" s="269">
        <v>20520</v>
      </c>
      <c r="N83" s="269">
        <v>689560000000</v>
      </c>
      <c r="O83" s="266" t="s">
        <v>1106</v>
      </c>
      <c r="P83" s="265">
        <v>46265</v>
      </c>
      <c r="Q83" s="266" t="s">
        <v>1138</v>
      </c>
      <c r="R83" s="23" t="str" cm="1">
        <f t="array" ref="R83">IF($B83="","",IFERROR(IF(INDEX('Data Quality'!$U$4:$U$503,ROW()-3)=0,"PENDING",INDEX('Data Quality'!$U$4:$U$503,ROW()-3)),"PENDING"))</f>
        <v>PASS</v>
      </c>
      <c r="S83" s="24">
        <f t="shared" si="18"/>
        <v>1.1558479532163743</v>
      </c>
      <c r="T83" s="25">
        <f t="shared" si="19"/>
        <v>85621980</v>
      </c>
      <c r="U83" s="25">
        <f t="shared" si="20"/>
        <v>74077200</v>
      </c>
      <c r="V83" s="26">
        <f t="shared" si="21"/>
        <v>1.2416900632287255E-4</v>
      </c>
      <c r="W83" s="26">
        <f t="shared" si="22"/>
        <v>1.0742676489355531E-4</v>
      </c>
      <c r="X83" s="25">
        <f t="shared" si="23"/>
        <v>244.61764705882354</v>
      </c>
      <c r="Y83" s="25">
        <f t="shared" si="24"/>
        <v>887375</v>
      </c>
      <c r="Z83" s="27" t="str">
        <f>IF($B83="","",IF($AK83&lt;=Settings!$C$21,"",IFERROR(AVERAGEIFS($S$4:$S$503,$B$4:$B$503,$B83,$AK$4:$AK$503,"&gt;="&amp;$AK83-Settings!$C$21,$AK$4:$AK$503,"&lt;="&amp;$AK83-1),"")))</f>
        <v/>
      </c>
      <c r="AA83" s="28" t="str">
        <f t="shared" si="25"/>
        <v/>
      </c>
      <c r="AB83" s="25" t="str">
        <f>IF($B83="","",IF($AK83&lt;=Settings!$C$22,"",IFERROR(AVERAGEIFS($K$4:$K$503,$B$4:$B$503,$B83,$AK$4:$AK$503,"&gt;="&amp;$AK83-Settings!$C$22,$AK$4:$AK$503,"&lt;="&amp;$AK83-1),"")))</f>
        <v/>
      </c>
      <c r="AC83" s="27" t="str">
        <f t="shared" si="26"/>
        <v/>
      </c>
      <c r="AD83" s="28" t="str">
        <f>IF($B83="","",IF($AK83&lt;=Settings!$C$23,"",IFERROR($E83/SUMIFS($E$4:$E$503,$B$4:$B$503,$B83,$AK$4:$AK$503,$AK83-Settings!$C$23)-1,"")))</f>
        <v/>
      </c>
      <c r="AE83" s="28" t="str">
        <f>IF($B83="","",IF($AK83&lt;=Settings!$C$22,"",IFERROR($E83/SUMIFS($E$4:$E$503,$B$4:$B$503,$B83,$AK$4:$AK$503,$AK83-Settings!$C$22)-1,"")))</f>
        <v/>
      </c>
      <c r="AF83" s="28">
        <f t="shared" si="27"/>
        <v>0.11911357340720222</v>
      </c>
      <c r="AG83" s="29">
        <f>IF($B83="","",ROUND((MIN(100,100*N($I83)/Settings!$C$27)+MIN(100,100*N($K83)/Settings!$C$28)+MIN(100,100*N($J83)/Settings!$C$29))/3,1))</f>
        <v>12.9</v>
      </c>
      <c r="AH83" s="29">
        <f>IF($B83="","",IF(SUM(Settings!$C$32:$C$37)=0,"",ROUND((Settings!$C$32*$AO83+Settings!$C$33*$AP83+Settings!$C$34*$AQ83+Settings!$C$35*$AR83+Settings!$C$36*$AS83+Settings!$C$37*$AT83)/SUM(Settings!$C$32:$C$37),1)))</f>
        <v>49.8</v>
      </c>
      <c r="AI83" s="29">
        <f>IF($B83="","",MAX(0,100-IF(N($N83)&gt;0,0,20)-IF(AND(N($L83)=0,N($M83)=0),15,0)-IF(N($J83)&gt;0,0,10)-IF(N($K83)&gt;0,0,10)-IF($Z83&lt;&gt;"",0,15)-IF($AB83&lt;&gt;"",0,10)-IF($R83="ERROR",20,IF($R83="WARNING",10,0))))</f>
        <v>75</v>
      </c>
      <c r="AJ83" s="30" t="str">
        <f>IF($AH83="","",IF($AH83&lt;Settings!$C$46,"Extreme Sell Pressure",IF($AH83&lt;Settings!$C$47,"Sell Pressure",IF($AH83&lt;=Settings!$C$48,"Neutral",IF($AH83&lt;=Settings!$C$49,"Buy Pressure","Extreme Buy Pressure")))))</f>
        <v>Neutral</v>
      </c>
      <c r="AK83" s="30">
        <f t="shared" si="28"/>
        <v>3</v>
      </c>
      <c r="AL83" s="30">
        <f t="shared" si="29"/>
        <v>2026</v>
      </c>
      <c r="AM83" s="30">
        <f t="shared" si="30"/>
        <v>33</v>
      </c>
      <c r="AN83" s="30">
        <f t="shared" si="31"/>
        <v>8</v>
      </c>
      <c r="AO83" s="29">
        <f>IF($B83="","",IF(AND(N($L83)=0,N($M83)=0),50,IF(N($M83)=0,100,IF(N($L83)=0,0,MEDIAN(0,100,50+50*LN($S83)/LN(Settings!$C$40))))))</f>
        <v>55.223790751158838</v>
      </c>
      <c r="AP83" s="29">
        <f>IF($AA83="",50,MEDIAN(0,100,50+$AA83*100*Settings!$C$41))</f>
        <v>50</v>
      </c>
      <c r="AQ83" s="29">
        <f>IF($H83="",50,MEDIAN(0,100,50+$H83*100*Settings!$C$42))</f>
        <v>36.338797814207638</v>
      </c>
      <c r="AR83" s="29">
        <f>IF(OR($AC83="",$H83=""),50,MEDIAN(0,100,50+SIGN($H83)*50*MEDIAN(0,1,($AC83-1)/Settings!$C$43)))</f>
        <v>50</v>
      </c>
      <c r="AS83" s="29">
        <f>IF(OR($V83="",$W83=""),50,MEDIAN(0,100,50+50*($V83-$W83)/Settings!$C$44))</f>
        <v>51.67422414293172</v>
      </c>
      <c r="AT83" s="29">
        <f t="shared" si="32"/>
        <v>50.673869006899487</v>
      </c>
      <c r="AU83" s="30" t="str">
        <f t="shared" si="33"/>
        <v>TCCL|2026-08-12</v>
      </c>
      <c r="AV83" s="87">
        <f>IF($A83="","",IF(COUNTIFS($A$4:$A83,$A83)=1,1,0))</f>
        <v>0</v>
      </c>
    </row>
    <row r="84" spans="1:48" x14ac:dyDescent="0.3">
      <c r="A84" s="265">
        <v>46246</v>
      </c>
      <c r="B84" s="266" t="s">
        <v>132</v>
      </c>
      <c r="C84" s="267">
        <v>1460</v>
      </c>
      <c r="D84" s="267">
        <v>1460</v>
      </c>
      <c r="E84" s="267">
        <v>1450</v>
      </c>
      <c r="F84" s="267">
        <v>1460</v>
      </c>
      <c r="G84" s="267">
        <v>1450</v>
      </c>
      <c r="H84" s="268">
        <f t="shared" si="17"/>
        <v>-6.8493150684931781E-3</v>
      </c>
      <c r="I84" s="269">
        <v>5414110</v>
      </c>
      <c r="J84" s="269">
        <v>25</v>
      </c>
      <c r="K84" s="269">
        <v>3728</v>
      </c>
      <c r="L84" s="269">
        <v>1581</v>
      </c>
      <c r="M84" s="269">
        <v>24069</v>
      </c>
      <c r="N84" s="269">
        <v>83380000000</v>
      </c>
      <c r="O84" s="266" t="s">
        <v>1106</v>
      </c>
      <c r="P84" s="265">
        <v>46265</v>
      </c>
      <c r="Q84" s="266" t="s">
        <v>1138</v>
      </c>
      <c r="R84" s="23" t="str" cm="1">
        <f t="array" ref="R84">IF($B84="","",IFERROR(IF(INDEX('Data Quality'!$U$4:$U$503,ROW()-3)=0,"PENDING",INDEX('Data Quality'!$U$4:$U$503,ROW()-3)),"PENDING"))</f>
        <v>PASS</v>
      </c>
      <c r="S84" s="24">
        <f t="shared" si="18"/>
        <v>6.5686152312102702E-2</v>
      </c>
      <c r="T84" s="25">
        <f t="shared" si="19"/>
        <v>2292450</v>
      </c>
      <c r="U84" s="25">
        <f t="shared" si="20"/>
        <v>34900050</v>
      </c>
      <c r="V84" s="26">
        <f t="shared" si="21"/>
        <v>2.7494003358119455E-5</v>
      </c>
      <c r="W84" s="26">
        <f t="shared" si="22"/>
        <v>4.1856620292636125E-4</v>
      </c>
      <c r="X84" s="25">
        <f t="shared" si="23"/>
        <v>149.12</v>
      </c>
      <c r="Y84" s="25">
        <f t="shared" si="24"/>
        <v>216564.4</v>
      </c>
      <c r="Z84" s="27" t="str">
        <f>IF($B84="","",IF($AK84&lt;=Settings!$C$21,"",IFERROR(AVERAGEIFS($S$4:$S$503,$B$4:$B$503,$B84,$AK$4:$AK$503,"&gt;="&amp;$AK84-Settings!$C$21,$AK$4:$AK$503,"&lt;="&amp;$AK84-1),"")))</f>
        <v/>
      </c>
      <c r="AA84" s="28" t="str">
        <f t="shared" si="25"/>
        <v/>
      </c>
      <c r="AB84" s="25" t="str">
        <f>IF($B84="","",IF($AK84&lt;=Settings!$C$22,"",IFERROR(AVERAGEIFS($K$4:$K$503,$B$4:$B$503,$B84,$AK$4:$AK$503,"&gt;="&amp;$AK84-Settings!$C$22,$AK$4:$AK$503,"&lt;="&amp;$AK84-1),"")))</f>
        <v/>
      </c>
      <c r="AC84" s="27" t="str">
        <f t="shared" si="26"/>
        <v/>
      </c>
      <c r="AD84" s="28" t="str">
        <f>IF($B84="","",IF($AK84&lt;=Settings!$C$23,"",IFERROR($E84/SUMIFS($E$4:$E$503,$B$4:$B$503,$B84,$AK$4:$AK$503,$AK84-Settings!$C$23)-1,"")))</f>
        <v/>
      </c>
      <c r="AE84" s="28" t="str">
        <f>IF($B84="","",IF($AK84&lt;=Settings!$C$22,"",IFERROR($E84/SUMIFS($E$4:$E$503,$B$4:$B$503,$B84,$AK$4:$AK$503,$AK84-Settings!$C$22)-1,"")))</f>
        <v/>
      </c>
      <c r="AF84" s="28">
        <f t="shared" si="27"/>
        <v>6.8965517241379309E-3</v>
      </c>
      <c r="AG84" s="29">
        <f>IF($B84="","",ROUND((MIN(100,100*N($I84)/Settings!$C$27)+MIN(100,100*N($K84)/Settings!$C$28)+MIN(100,100*N($J84)/Settings!$C$29))/3,1))</f>
        <v>8.8000000000000007</v>
      </c>
      <c r="AH84" s="29">
        <f>IF($B84="","",IF(SUM(Settings!$C$32:$C$37)=0,"",ROUND((Settings!$C$32*$AO84+Settings!$C$33*$AP84+Settings!$C$34*$AQ84+Settings!$C$35*$AR84+Settings!$C$36*$AS84+Settings!$C$37*$AT84)/SUM(Settings!$C$32:$C$37),1)))</f>
        <v>29.6</v>
      </c>
      <c r="AI84" s="29">
        <f>IF($B84="","",MAX(0,100-IF(N($N84)&gt;0,0,20)-IF(AND(N($L84)=0,N($M84)=0),15,0)-IF(N($J84)&gt;0,0,10)-IF(N($K84)&gt;0,0,10)-IF($Z84&lt;&gt;"",0,15)-IF($AB84&lt;&gt;"",0,10)-IF($R84="ERROR",20,IF($R84="WARNING",10,0))))</f>
        <v>75</v>
      </c>
      <c r="AJ84" s="30" t="str">
        <f>IF($AH84="","",IF($AH84&lt;Settings!$C$46,"Extreme Sell Pressure",IF($AH84&lt;Settings!$C$47,"Sell Pressure",IF($AH84&lt;=Settings!$C$48,"Neutral",IF($AH84&lt;=Settings!$C$49,"Buy Pressure","Extreme Buy Pressure")))))</f>
        <v>Sell Pressure</v>
      </c>
      <c r="AK84" s="30">
        <f t="shared" si="28"/>
        <v>3</v>
      </c>
      <c r="AL84" s="30">
        <f t="shared" si="29"/>
        <v>2026</v>
      </c>
      <c r="AM84" s="30">
        <f t="shared" si="30"/>
        <v>33</v>
      </c>
      <c r="AN84" s="30">
        <f t="shared" si="31"/>
        <v>8</v>
      </c>
      <c r="AO84" s="29">
        <f>IF($B84="","",IF(AND(N($L84)=0,N($M84)=0),50,IF(N($M84)=0,100,IF(N($L84)=0,0,MEDIAN(0,100,50+50*LN($S84)/LN(Settings!$C$40))))))</f>
        <v>0</v>
      </c>
      <c r="AP84" s="29">
        <f>IF($AA84="",50,MEDIAN(0,100,50+$AA84*100*Settings!$C$41))</f>
        <v>50</v>
      </c>
      <c r="AQ84" s="29">
        <f>IF($H84="",50,MEDIAN(0,100,50+$H84*100*Settings!$C$42))</f>
        <v>43.150684931506824</v>
      </c>
      <c r="AR84" s="29">
        <f>IF(OR($AC84="",$H84=""),50,MEDIAN(0,100,50+SIGN($H84)*50*MEDIAN(0,1,($AC84-1)/Settings!$C$43)))</f>
        <v>50</v>
      </c>
      <c r="AS84" s="29">
        <f>IF(OR($V84="",$W84=""),50,MEDIAN(0,100,50+50*($V84-$W84)/Settings!$C$44))</f>
        <v>10.892780043175826</v>
      </c>
      <c r="AT84" s="29">
        <f t="shared" si="32"/>
        <v>45.6</v>
      </c>
      <c r="AU84" s="30" t="str">
        <f t="shared" si="33"/>
        <v>TOL|2026-08-12</v>
      </c>
      <c r="AV84" s="87">
        <f>IF($A84="","",IF(COUNTIFS($A$4:$A84,$A84)=1,1,0))</f>
        <v>0</v>
      </c>
    </row>
    <row r="85" spans="1:48" x14ac:dyDescent="0.3">
      <c r="A85" s="265">
        <v>46246</v>
      </c>
      <c r="B85" s="266" t="s">
        <v>116</v>
      </c>
      <c r="C85" s="267">
        <v>5870</v>
      </c>
      <c r="D85" s="267">
        <v>5870</v>
      </c>
      <c r="E85" s="267">
        <v>5950</v>
      </c>
      <c r="F85" s="267">
        <v>5950</v>
      </c>
      <c r="G85" s="267">
        <v>5900</v>
      </c>
      <c r="H85" s="268">
        <f t="shared" si="17"/>
        <v>1.3628620102214661E-2</v>
      </c>
      <c r="I85" s="269">
        <v>5087050</v>
      </c>
      <c r="J85" s="269">
        <v>19</v>
      </c>
      <c r="K85" s="269">
        <v>856</v>
      </c>
      <c r="L85" s="269">
        <v>16291</v>
      </c>
      <c r="M85" s="269">
        <v>0</v>
      </c>
      <c r="N85" s="269">
        <v>1070540000000</v>
      </c>
      <c r="O85" s="266" t="s">
        <v>1106</v>
      </c>
      <c r="P85" s="265">
        <v>46265</v>
      </c>
      <c r="Q85" s="266" t="s">
        <v>1138</v>
      </c>
      <c r="R85" s="23" t="str" cm="1">
        <f t="array" ref="R85">IF($B85="","",IFERROR(IF(INDEX('Data Quality'!$U$4:$U$503,ROW()-3)=0,"PENDING",INDEX('Data Quality'!$U$4:$U$503,ROW()-3)),"PENDING"))</f>
        <v>PASS</v>
      </c>
      <c r="S85" s="24" t="str">
        <f t="shared" si="18"/>
        <v/>
      </c>
      <c r="T85" s="25">
        <f t="shared" si="19"/>
        <v>96931450</v>
      </c>
      <c r="U85" s="25">
        <f t="shared" si="20"/>
        <v>0</v>
      </c>
      <c r="V85" s="26">
        <f t="shared" si="21"/>
        <v>9.054444485960356E-5</v>
      </c>
      <c r="W85" s="26">
        <f t="shared" si="22"/>
        <v>0</v>
      </c>
      <c r="X85" s="25">
        <f t="shared" si="23"/>
        <v>45.05263157894737</v>
      </c>
      <c r="Y85" s="25">
        <f t="shared" si="24"/>
        <v>267739.4736842105</v>
      </c>
      <c r="Z85" s="27" t="str">
        <f>IF($B85="","",IF($AK85&lt;=Settings!$C$21,"",IFERROR(AVERAGEIFS($S$4:$S$503,$B$4:$B$503,$B85,$AK$4:$AK$503,"&gt;="&amp;$AK85-Settings!$C$21,$AK$4:$AK$503,"&lt;="&amp;$AK85-1),"")))</f>
        <v/>
      </c>
      <c r="AA85" s="28" t="str">
        <f t="shared" si="25"/>
        <v/>
      </c>
      <c r="AB85" s="25" t="str">
        <f>IF($B85="","",IF($AK85&lt;=Settings!$C$22,"",IFERROR(AVERAGEIFS($K$4:$K$503,$B$4:$B$503,$B85,$AK$4:$AK$503,"&gt;="&amp;$AK85-Settings!$C$22,$AK$4:$AK$503,"&lt;="&amp;$AK85-1),"")))</f>
        <v/>
      </c>
      <c r="AC85" s="27" t="str">
        <f t="shared" si="26"/>
        <v/>
      </c>
      <c r="AD85" s="28" t="str">
        <f>IF($B85="","",IF($AK85&lt;=Settings!$C$23,"",IFERROR($E85/SUMIFS($E$4:$E$503,$B$4:$B$503,$B85,$AK$4:$AK$503,$AK85-Settings!$C$23)-1,"")))</f>
        <v/>
      </c>
      <c r="AE85" s="28" t="str">
        <f>IF($B85="","",IF($AK85&lt;=Settings!$C$22,"",IFERROR($E85/SUMIFS($E$4:$E$503,$B$4:$B$503,$B85,$AK$4:$AK$503,$AK85-Settings!$C$22)-1,"")))</f>
        <v/>
      </c>
      <c r="AF85" s="28">
        <f t="shared" si="27"/>
        <v>8.4033613445378148E-3</v>
      </c>
      <c r="AG85" s="29">
        <f>IF($B85="","",ROUND((MIN(100,100*N($I85)/Settings!$C$27)+MIN(100,100*N($K85)/Settings!$C$28)+MIN(100,100*N($J85)/Settings!$C$29))/3,1))</f>
        <v>6.6</v>
      </c>
      <c r="AH85" s="29">
        <f>IF($B85="","",IF(SUM(Settings!$C$32:$C$37)=0,"",ROUND((Settings!$C$32*$AO85+Settings!$C$33*$AP85+Settings!$C$34*$AQ85+Settings!$C$35*$AR85+Settings!$C$36*$AS85+Settings!$C$37*$AT85)/SUM(Settings!$C$32:$C$37),1)))</f>
        <v>68.3</v>
      </c>
      <c r="AI85" s="29">
        <f>IF($B85="","",MAX(0,100-IF(N($N85)&gt;0,0,20)-IF(AND(N($L85)=0,N($M85)=0),15,0)-IF(N($J85)&gt;0,0,10)-IF(N($K85)&gt;0,0,10)-IF($Z85&lt;&gt;"",0,15)-IF($AB85&lt;&gt;"",0,10)-IF($R85="ERROR",20,IF($R85="WARNING",10,0))))</f>
        <v>75</v>
      </c>
      <c r="AJ85" s="30" t="str">
        <f>IF($AH85="","",IF($AH85&lt;Settings!$C$46,"Extreme Sell Pressure",IF($AH85&lt;Settings!$C$47,"Sell Pressure",IF($AH85&lt;=Settings!$C$48,"Neutral",IF($AH85&lt;=Settings!$C$49,"Buy Pressure","Extreme Buy Pressure")))))</f>
        <v>Buy Pressure</v>
      </c>
      <c r="AK85" s="30">
        <f t="shared" si="28"/>
        <v>3</v>
      </c>
      <c r="AL85" s="30">
        <f t="shared" si="29"/>
        <v>2026</v>
      </c>
      <c r="AM85" s="30">
        <f t="shared" si="30"/>
        <v>33</v>
      </c>
      <c r="AN85" s="30">
        <f t="shared" si="31"/>
        <v>8</v>
      </c>
      <c r="AO85" s="29">
        <f>IF($B85="","",IF(AND(N($L85)=0,N($M85)=0),50,IF(N($M85)=0,100,IF(N($L85)=0,0,MEDIAN(0,100,50+50*LN($S85)/LN(Settings!$C$40))))))</f>
        <v>100</v>
      </c>
      <c r="AP85" s="29">
        <f>IF($AA85="",50,MEDIAN(0,100,50+$AA85*100*Settings!$C$41))</f>
        <v>50</v>
      </c>
      <c r="AQ85" s="29">
        <f>IF($H85="",50,MEDIAN(0,100,50+$H85*100*Settings!$C$42))</f>
        <v>63.628620102214661</v>
      </c>
      <c r="AR85" s="29">
        <f>IF(OR($AC85="",$H85=""),50,MEDIAN(0,100,50+SIGN($H85)*50*MEDIAN(0,1,($AC85-1)/Settings!$C$43)))</f>
        <v>50</v>
      </c>
      <c r="AS85" s="29">
        <f>IF(OR($V85="",$W85=""),50,MEDIAN(0,100,50+50*($V85-$W85)/Settings!$C$44))</f>
        <v>59.054444485960353</v>
      </c>
      <c r="AT85" s="29">
        <f t="shared" si="32"/>
        <v>53.3</v>
      </c>
      <c r="AU85" s="30" t="str">
        <f t="shared" si="33"/>
        <v>TPCC|2026-08-12</v>
      </c>
      <c r="AV85" s="87">
        <f>IF($A85="","",IF(COUNTIFS($A$4:$A85,$A85)=1,1,0))</f>
        <v>0</v>
      </c>
    </row>
    <row r="86" spans="1:48" x14ac:dyDescent="0.3">
      <c r="A86" s="265">
        <v>46246</v>
      </c>
      <c r="B86" s="266" t="s">
        <v>1102</v>
      </c>
      <c r="C86" s="267">
        <v>450</v>
      </c>
      <c r="D86" s="267">
        <v>450</v>
      </c>
      <c r="E86" s="267">
        <v>450</v>
      </c>
      <c r="F86" s="267">
        <v>450</v>
      </c>
      <c r="G86" s="267">
        <v>440</v>
      </c>
      <c r="H86" s="268">
        <f t="shared" si="17"/>
        <v>0</v>
      </c>
      <c r="I86" s="269">
        <v>93910</v>
      </c>
      <c r="J86" s="269">
        <v>7</v>
      </c>
      <c r="K86" s="269">
        <v>209</v>
      </c>
      <c r="L86" s="269">
        <v>63</v>
      </c>
      <c r="M86" s="269">
        <v>530</v>
      </c>
      <c r="N86" s="269">
        <v>42780000000</v>
      </c>
      <c r="O86" s="266" t="s">
        <v>1106</v>
      </c>
      <c r="P86" s="265">
        <v>46265</v>
      </c>
      <c r="Q86" s="266" t="s">
        <v>1138</v>
      </c>
      <c r="R86" s="23" t="str" cm="1">
        <f t="array" ref="R86">IF($B86="","",IFERROR(IF(INDEX('Data Quality'!$U$4:$U$503,ROW()-3)=0,"PENDING",INDEX('Data Quality'!$U$4:$U$503,ROW()-3)),"PENDING"))</f>
        <v>PASS</v>
      </c>
      <c r="S86" s="24">
        <f t="shared" si="18"/>
        <v>0.11886792452830189</v>
      </c>
      <c r="T86" s="25">
        <f t="shared" si="19"/>
        <v>28350</v>
      </c>
      <c r="U86" s="25">
        <f t="shared" si="20"/>
        <v>238500</v>
      </c>
      <c r="V86" s="26">
        <f t="shared" si="21"/>
        <v>6.6269284712482472E-7</v>
      </c>
      <c r="W86" s="26">
        <f t="shared" si="22"/>
        <v>5.5750350631136047E-6</v>
      </c>
      <c r="X86" s="25">
        <f t="shared" si="23"/>
        <v>29.857142857142858</v>
      </c>
      <c r="Y86" s="25">
        <f t="shared" si="24"/>
        <v>13415.714285714286</v>
      </c>
      <c r="Z86" s="27" t="str">
        <f>IF($B86="","",IF($AK86&lt;=Settings!$C$21,"",IFERROR(AVERAGEIFS($S$4:$S$503,$B$4:$B$503,$B86,$AK$4:$AK$503,"&gt;="&amp;$AK86-Settings!$C$21,$AK$4:$AK$503,"&lt;="&amp;$AK86-1),"")))</f>
        <v/>
      </c>
      <c r="AA86" s="28" t="str">
        <f t="shared" si="25"/>
        <v/>
      </c>
      <c r="AB86" s="25" t="str">
        <f>IF($B86="","",IF($AK86&lt;=Settings!$C$22,"",IFERROR(AVERAGEIFS($K$4:$K$503,$B$4:$B$503,$B86,$AK$4:$AK$503,"&gt;="&amp;$AK86-Settings!$C$22,$AK$4:$AK$503,"&lt;="&amp;$AK86-1),"")))</f>
        <v/>
      </c>
      <c r="AC86" s="27" t="str">
        <f t="shared" si="26"/>
        <v/>
      </c>
      <c r="AD86" s="28" t="str">
        <f>IF($B86="","",IF($AK86&lt;=Settings!$C$23,"",IFERROR($E86/SUMIFS($E$4:$E$503,$B$4:$B$503,$B86,$AK$4:$AK$503,$AK86-Settings!$C$23)-1,"")))</f>
        <v/>
      </c>
      <c r="AE86" s="28" t="str">
        <f>IF($B86="","",IF($AK86&lt;=Settings!$C$22,"",IFERROR($E86/SUMIFS($E$4:$E$503,$B$4:$B$503,$B86,$AK$4:$AK$503,$AK86-Settings!$C$22)-1,"")))</f>
        <v/>
      </c>
      <c r="AF86" s="28">
        <f t="shared" si="27"/>
        <v>2.2222222222222223E-2</v>
      </c>
      <c r="AG86" s="29">
        <f>IF($B86="","",ROUND((MIN(100,100*N($I86)/Settings!$C$27)+MIN(100,100*N($K86)/Settings!$C$28)+MIN(100,100*N($J86)/Settings!$C$29))/3,1))</f>
        <v>2.4</v>
      </c>
      <c r="AH86" s="29">
        <f>IF($B86="","",IF(SUM(Settings!$C$32:$C$37)=0,"",ROUND((Settings!$C$32*$AO86+Settings!$C$33*$AP86+Settings!$C$34*$AQ86+Settings!$C$35*$AR86+Settings!$C$36*$AS86+Settings!$C$37*$AT86)/SUM(Settings!$C$32:$C$37),1)))</f>
        <v>34.799999999999997</v>
      </c>
      <c r="AI86" s="29">
        <f>IF($B86="","",MAX(0,100-IF(N($N86)&gt;0,0,20)-IF(AND(N($L86)=0,N($M86)=0),15,0)-IF(N($J86)&gt;0,0,10)-IF(N($K86)&gt;0,0,10)-IF($Z86&lt;&gt;"",0,15)-IF($AB86&lt;&gt;"",0,10)-IF($R86="ERROR",20,IF($R86="WARNING",10,0))))</f>
        <v>75</v>
      </c>
      <c r="AJ86" s="30" t="str">
        <f>IF($AH86="","",IF($AH86&lt;Settings!$C$46,"Extreme Sell Pressure",IF($AH86&lt;Settings!$C$47,"Sell Pressure",IF($AH86&lt;=Settings!$C$48,"Neutral",IF($AH86&lt;=Settings!$C$49,"Buy Pressure","Extreme Buy Pressure")))))</f>
        <v>Sell Pressure</v>
      </c>
      <c r="AK86" s="30">
        <f t="shared" si="28"/>
        <v>3</v>
      </c>
      <c r="AL86" s="30">
        <f t="shared" si="29"/>
        <v>2026</v>
      </c>
      <c r="AM86" s="30">
        <f t="shared" si="30"/>
        <v>33</v>
      </c>
      <c r="AN86" s="30">
        <f t="shared" si="31"/>
        <v>8</v>
      </c>
      <c r="AO86" s="29">
        <f>IF($B86="","",IF(AND(N($L86)=0,N($M86)=0),50,IF(N($M86)=0,100,IF(N($L86)=0,0,MEDIAN(0,100,50+50*LN($S86)/LN(Settings!$C$40))))))</f>
        <v>0</v>
      </c>
      <c r="AP86" s="29">
        <f>IF($AA86="",50,MEDIAN(0,100,50+$AA86*100*Settings!$C$41))</f>
        <v>50</v>
      </c>
      <c r="AQ86" s="29">
        <f>IF($H86="",50,MEDIAN(0,100,50+$H86*100*Settings!$C$42))</f>
        <v>50</v>
      </c>
      <c r="AR86" s="29">
        <f>IF(OR($AC86="",$H86=""),50,MEDIAN(0,100,50+SIGN($H86)*50*MEDIAN(0,1,($AC86-1)/Settings!$C$43)))</f>
        <v>50</v>
      </c>
      <c r="AS86" s="29">
        <f>IF(OR($V86="",$W86=""),50,MEDIAN(0,100,50+50*($V86-$W86)/Settings!$C$44))</f>
        <v>49.50876577840112</v>
      </c>
      <c r="AT86" s="29">
        <f t="shared" si="32"/>
        <v>48.8</v>
      </c>
      <c r="AU86" s="30" t="str">
        <f t="shared" si="33"/>
        <v>TTP|2026-08-12</v>
      </c>
      <c r="AV86" s="87">
        <f>IF($A86="","",IF(COUNTIFS($A$4:$A86,$A86)=1,1,0))</f>
        <v>0</v>
      </c>
    </row>
    <row r="87" spans="1:48" x14ac:dyDescent="0.3">
      <c r="A87" s="265">
        <v>46246</v>
      </c>
      <c r="B87" s="266" t="s">
        <v>1103</v>
      </c>
      <c r="C87" s="267">
        <v>30</v>
      </c>
      <c r="D87" s="267">
        <v>30</v>
      </c>
      <c r="E87" s="267">
        <v>30</v>
      </c>
      <c r="F87" s="267"/>
      <c r="G87" s="267"/>
      <c r="H87" s="268">
        <f t="shared" si="17"/>
        <v>0</v>
      </c>
      <c r="I87" s="269">
        <v>0</v>
      </c>
      <c r="J87" s="269">
        <v>0</v>
      </c>
      <c r="K87" s="269">
        <v>0</v>
      </c>
      <c r="L87" s="269">
        <v>2357</v>
      </c>
      <c r="M87" s="269">
        <v>0</v>
      </c>
      <c r="N87" s="269">
        <v>10950000000</v>
      </c>
      <c r="O87" s="266" t="s">
        <v>1106</v>
      </c>
      <c r="P87" s="265">
        <v>46265</v>
      </c>
      <c r="Q87" s="266" t="s">
        <v>1138</v>
      </c>
      <c r="R87" s="23" t="str" cm="1">
        <f t="array" ref="R87">IF($B87="","",IFERROR(IF(INDEX('Data Quality'!$U$4:$U$503,ROW()-3)=0,"PENDING",INDEX('Data Quality'!$U$4:$U$503,ROW()-3)),"PENDING"))</f>
        <v>PASS</v>
      </c>
      <c r="S87" s="24" t="str">
        <f t="shared" si="18"/>
        <v/>
      </c>
      <c r="T87" s="25">
        <f t="shared" si="19"/>
        <v>70710</v>
      </c>
      <c r="U87" s="25">
        <f t="shared" si="20"/>
        <v>0</v>
      </c>
      <c r="V87" s="26">
        <f t="shared" si="21"/>
        <v>6.4575342465753424E-6</v>
      </c>
      <c r="W87" s="26">
        <f t="shared" si="22"/>
        <v>0</v>
      </c>
      <c r="X87" s="25" t="str">
        <f t="shared" si="23"/>
        <v/>
      </c>
      <c r="Y87" s="25" t="str">
        <f t="shared" si="24"/>
        <v/>
      </c>
      <c r="Z87" s="27" t="str">
        <f>IF($B87="","",IF($AK87&lt;=Settings!$C$21,"",IFERROR(AVERAGEIFS($S$4:$S$503,$B$4:$B$503,$B87,$AK$4:$AK$503,"&gt;="&amp;$AK87-Settings!$C$21,$AK$4:$AK$503,"&lt;="&amp;$AK87-1),"")))</f>
        <v/>
      </c>
      <c r="AA87" s="28" t="str">
        <f t="shared" si="25"/>
        <v/>
      </c>
      <c r="AB87" s="25" t="str">
        <f>IF($B87="","",IF($AK87&lt;=Settings!$C$22,"",IFERROR(AVERAGEIFS($K$4:$K$503,$B$4:$B$503,$B87,$AK$4:$AK$503,"&gt;="&amp;$AK87-Settings!$C$22,$AK$4:$AK$503,"&lt;="&amp;$AK87-1),"")))</f>
        <v/>
      </c>
      <c r="AC87" s="27" t="str">
        <f t="shared" si="26"/>
        <v/>
      </c>
      <c r="AD87" s="28" t="str">
        <f>IF($B87="","",IF($AK87&lt;=Settings!$C$23,"",IFERROR($E87/SUMIFS($E$4:$E$503,$B$4:$B$503,$B87,$AK$4:$AK$503,$AK87-Settings!$C$23)-1,"")))</f>
        <v/>
      </c>
      <c r="AE87" s="28" t="str">
        <f>IF($B87="","",IF($AK87&lt;=Settings!$C$22,"",IFERROR($E87/SUMIFS($E$4:$E$503,$B$4:$B$503,$B87,$AK$4:$AK$503,$AK87-Settings!$C$22)-1,"")))</f>
        <v/>
      </c>
      <c r="AF87" s="28">
        <f t="shared" si="27"/>
        <v>0</v>
      </c>
      <c r="AG87" s="29">
        <f>IF($B87="","",ROUND((MIN(100,100*N($I87)/Settings!$C$27)+MIN(100,100*N($K87)/Settings!$C$28)+MIN(100,100*N($J87)/Settings!$C$29))/3,1))</f>
        <v>0</v>
      </c>
      <c r="AH87" s="29">
        <f>IF($B87="","",IF(SUM(Settings!$C$32:$C$37)=0,"",ROUND((Settings!$C$32*$AO87+Settings!$C$33*$AP87+Settings!$C$34*$AQ87+Settings!$C$35*$AR87+Settings!$C$36*$AS87+Settings!$C$37*$AT87)/SUM(Settings!$C$32:$C$37),1)))</f>
        <v>65.099999999999994</v>
      </c>
      <c r="AI87" s="29">
        <f>IF($B87="","",MAX(0,100-IF(N($N87)&gt;0,0,20)-IF(AND(N($L87)=0,N($M87)=0),15,0)-IF(N($J87)&gt;0,0,10)-IF(N($K87)&gt;0,0,10)-IF($Z87&lt;&gt;"",0,15)-IF($AB87&lt;&gt;"",0,10)-IF($R87="ERROR",20,IF($R87="WARNING",10,0))))</f>
        <v>55</v>
      </c>
      <c r="AJ87" s="30" t="str">
        <f>IF($AH87="","",IF($AH87&lt;Settings!$C$46,"Extreme Sell Pressure",IF($AH87&lt;Settings!$C$47,"Sell Pressure",IF($AH87&lt;=Settings!$C$48,"Neutral",IF($AH87&lt;=Settings!$C$49,"Buy Pressure","Extreme Buy Pressure")))))</f>
        <v>Buy Pressure</v>
      </c>
      <c r="AK87" s="30">
        <f t="shared" si="28"/>
        <v>3</v>
      </c>
      <c r="AL87" s="30">
        <f t="shared" si="29"/>
        <v>2026</v>
      </c>
      <c r="AM87" s="30">
        <f t="shared" si="30"/>
        <v>33</v>
      </c>
      <c r="AN87" s="30">
        <f t="shared" si="31"/>
        <v>8</v>
      </c>
      <c r="AO87" s="29">
        <f>IF($B87="","",IF(AND(N($L87)=0,N($M87)=0),50,IF(N($M87)=0,100,IF(N($L87)=0,0,MEDIAN(0,100,50+50*LN($S87)/LN(Settings!$C$40))))))</f>
        <v>100</v>
      </c>
      <c r="AP87" s="29">
        <f>IF($AA87="",50,MEDIAN(0,100,50+$AA87*100*Settings!$C$41))</f>
        <v>50</v>
      </c>
      <c r="AQ87" s="29">
        <f>IF($H87="",50,MEDIAN(0,100,50+$H87*100*Settings!$C$42))</f>
        <v>50</v>
      </c>
      <c r="AR87" s="29">
        <f>IF(OR($AC87="",$H87=""),50,MEDIAN(0,100,50+SIGN($H87)*50*MEDIAN(0,1,($AC87-1)/Settings!$C$43)))</f>
        <v>50</v>
      </c>
      <c r="AS87" s="29">
        <f>IF(OR($V87="",$W87=""),50,MEDIAN(0,100,50+50*($V87-$W87)/Settings!$C$44))</f>
        <v>50.645753424657535</v>
      </c>
      <c r="AT87" s="29">
        <f t="shared" si="32"/>
        <v>50</v>
      </c>
      <c r="AU87" s="30" t="str">
        <f t="shared" si="33"/>
        <v>USL|2026-08-12</v>
      </c>
      <c r="AV87" s="87">
        <f>IF($A87="","",IF(COUNTIFS($A$4:$A87,$A87)=1,1,0))</f>
        <v>0</v>
      </c>
    </row>
    <row r="88" spans="1:48" x14ac:dyDescent="0.3">
      <c r="A88" s="265">
        <v>46246</v>
      </c>
      <c r="B88" s="266" t="s">
        <v>123</v>
      </c>
      <c r="C88" s="267">
        <v>1010</v>
      </c>
      <c r="D88" s="267">
        <v>1010</v>
      </c>
      <c r="E88" s="267">
        <v>1010</v>
      </c>
      <c r="F88" s="267">
        <v>1030</v>
      </c>
      <c r="G88" s="267">
        <v>1000</v>
      </c>
      <c r="H88" s="268">
        <f t="shared" si="17"/>
        <v>0</v>
      </c>
      <c r="I88" s="269">
        <v>165786720</v>
      </c>
      <c r="J88" s="269">
        <v>235</v>
      </c>
      <c r="K88" s="269">
        <v>163828</v>
      </c>
      <c r="L88" s="269">
        <v>102833</v>
      </c>
      <c r="M88" s="269">
        <v>155213</v>
      </c>
      <c r="N88" s="269">
        <v>2262400000000</v>
      </c>
      <c r="O88" s="266" t="s">
        <v>1106</v>
      </c>
      <c r="P88" s="265">
        <v>46265</v>
      </c>
      <c r="Q88" s="266" t="s">
        <v>1138</v>
      </c>
      <c r="R88" s="23" t="str" cm="1">
        <f t="array" ref="R88">IF($B88="","",IFERROR(IF(INDEX('Data Quality'!$U$4:$U$503,ROW()-3)=0,"PENDING",INDEX('Data Quality'!$U$4:$U$503,ROW()-3)),"PENDING"))</f>
        <v>PASS</v>
      </c>
      <c r="S88" s="24">
        <f t="shared" si="18"/>
        <v>0.66252826760645045</v>
      </c>
      <c r="T88" s="25">
        <f t="shared" si="19"/>
        <v>103861330</v>
      </c>
      <c r="U88" s="25">
        <f t="shared" si="20"/>
        <v>156765130</v>
      </c>
      <c r="V88" s="26">
        <f t="shared" si="21"/>
        <v>4.5907589285714287E-5</v>
      </c>
      <c r="W88" s="26">
        <f t="shared" si="22"/>
        <v>6.9291517857142853E-5</v>
      </c>
      <c r="X88" s="25">
        <f t="shared" si="23"/>
        <v>697.14042553191484</v>
      </c>
      <c r="Y88" s="25">
        <f t="shared" si="24"/>
        <v>705475.40425531915</v>
      </c>
      <c r="Z88" s="27" t="str">
        <f>IF($B88="","",IF($AK88&lt;=Settings!$C$21,"",IFERROR(AVERAGEIFS($S$4:$S$503,$B$4:$B$503,$B88,$AK$4:$AK$503,"&gt;="&amp;$AK88-Settings!$C$21,$AK$4:$AK$503,"&lt;="&amp;$AK88-1),"")))</f>
        <v/>
      </c>
      <c r="AA88" s="28" t="str">
        <f t="shared" si="25"/>
        <v/>
      </c>
      <c r="AB88" s="25" t="str">
        <f>IF($B88="","",IF($AK88&lt;=Settings!$C$22,"",IFERROR(AVERAGEIFS($K$4:$K$503,$B$4:$B$503,$B88,$AK$4:$AK$503,"&gt;="&amp;$AK88-Settings!$C$22,$AK$4:$AK$503,"&lt;="&amp;$AK88-1),"")))</f>
        <v/>
      </c>
      <c r="AC88" s="27" t="str">
        <f t="shared" si="26"/>
        <v/>
      </c>
      <c r="AD88" s="28" t="str">
        <f>IF($B88="","",IF($AK88&lt;=Settings!$C$23,"",IFERROR($E88/SUMIFS($E$4:$E$503,$B$4:$B$503,$B88,$AK$4:$AK$503,$AK88-Settings!$C$23)-1,"")))</f>
        <v/>
      </c>
      <c r="AE88" s="28" t="str">
        <f>IF($B88="","",IF($AK88&lt;=Settings!$C$22,"",IFERROR($E88/SUMIFS($E$4:$E$503,$B$4:$B$503,$B88,$AK$4:$AK$503,$AK88-Settings!$C$22)-1,"")))</f>
        <v/>
      </c>
      <c r="AF88" s="28">
        <f t="shared" si="27"/>
        <v>2.9702970297029702E-2</v>
      </c>
      <c r="AG88" s="29">
        <f>IF($B88="","",ROUND((MIN(100,100*N($I88)/Settings!$C$27)+MIN(100,100*N($K88)/Settings!$C$28)+MIN(100,100*N($J88)/Settings!$C$29))/3,1))</f>
        <v>49.8</v>
      </c>
      <c r="AH88" s="29">
        <f>IF($B88="","",IF(SUM(Settings!$C$32:$C$37)=0,"",ROUND((Settings!$C$32*$AO88+Settings!$C$33*$AP88+Settings!$C$34*$AQ88+Settings!$C$35*$AR88+Settings!$C$36*$AS88+Settings!$C$37*$AT88)/SUM(Settings!$C$32:$C$37),1)))</f>
        <v>44.6</v>
      </c>
      <c r="AI88" s="29">
        <f>IF($B88="","",MAX(0,100-IF(N($N88)&gt;0,0,20)-IF(AND(N($L88)=0,N($M88)=0),15,0)-IF(N($J88)&gt;0,0,10)-IF(N($K88)&gt;0,0,10)-IF($Z88&lt;&gt;"",0,15)-IF($AB88&lt;&gt;"",0,10)-IF($R88="ERROR",20,IF($R88="WARNING",10,0))))</f>
        <v>75</v>
      </c>
      <c r="AJ88" s="30" t="str">
        <f>IF($AH88="","",IF($AH88&lt;Settings!$C$46,"Extreme Sell Pressure",IF($AH88&lt;Settings!$C$47,"Sell Pressure",IF($AH88&lt;=Settings!$C$48,"Neutral",IF($AH88&lt;=Settings!$C$49,"Buy Pressure","Extreme Buy Pressure")))))</f>
        <v>Neutral</v>
      </c>
      <c r="AK88" s="30">
        <f t="shared" si="28"/>
        <v>3</v>
      </c>
      <c r="AL88" s="30">
        <f t="shared" si="29"/>
        <v>2026</v>
      </c>
      <c r="AM88" s="30">
        <f t="shared" si="30"/>
        <v>33</v>
      </c>
      <c r="AN88" s="30">
        <f t="shared" si="31"/>
        <v>8</v>
      </c>
      <c r="AO88" s="29">
        <f>IF($B88="","",IF(AND(N($L88)=0,N($M88)=0),50,IF(N($M88)=0,100,IF(N($L88)=0,0,MEDIAN(0,100,50+50*LN($S88)/LN(Settings!$C$40))))))</f>
        <v>35.151347884938694</v>
      </c>
      <c r="AP88" s="29">
        <f>IF($AA88="",50,MEDIAN(0,100,50+$AA88*100*Settings!$C$41))</f>
        <v>50</v>
      </c>
      <c r="AQ88" s="29">
        <f>IF($H88="",50,MEDIAN(0,100,50+$H88*100*Settings!$C$42))</f>
        <v>50</v>
      </c>
      <c r="AR88" s="29">
        <f>IF(OR($AC88="",$H88=""),50,MEDIAN(0,100,50+SIGN($H88)*50*MEDIAN(0,1,($AC88-1)/Settings!$C$43)))</f>
        <v>50</v>
      </c>
      <c r="AS88" s="29">
        <f>IF(OR($V88="",$W88=""),50,MEDIAN(0,100,50+50*($V88-$W88)/Settings!$C$44))</f>
        <v>47.661607142857143</v>
      </c>
      <c r="AT88" s="29">
        <f t="shared" si="32"/>
        <v>42.60537124669947</v>
      </c>
      <c r="AU88" s="30" t="str">
        <f t="shared" si="33"/>
        <v>VODA|2026-08-12</v>
      </c>
      <c r="AV88" s="87">
        <f>IF($A88="","",IF(COUNTIFS($A$4:$A88,$A88)=1,1,0))</f>
        <v>0</v>
      </c>
    </row>
    <row r="89" spans="1:48" x14ac:dyDescent="0.3">
      <c r="A89" s="265">
        <v>46246</v>
      </c>
      <c r="B89" s="266" t="s">
        <v>141</v>
      </c>
      <c r="C89" s="267">
        <v>510</v>
      </c>
      <c r="D89" s="267">
        <v>510</v>
      </c>
      <c r="E89" s="267">
        <v>510</v>
      </c>
      <c r="F89" s="267"/>
      <c r="G89" s="267"/>
      <c r="H89" s="268">
        <f t="shared" si="17"/>
        <v>0</v>
      </c>
      <c r="I89" s="269">
        <v>0</v>
      </c>
      <c r="J89" s="269">
        <v>0</v>
      </c>
      <c r="K89" s="269">
        <v>0</v>
      </c>
      <c r="L89" s="269">
        <v>0</v>
      </c>
      <c r="M89" s="269">
        <v>0</v>
      </c>
      <c r="N89" s="269">
        <v>6180000000</v>
      </c>
      <c r="O89" s="266" t="s">
        <v>1106</v>
      </c>
      <c r="P89" s="265">
        <v>46265</v>
      </c>
      <c r="Q89" s="266" t="s">
        <v>1138</v>
      </c>
      <c r="R89" s="23" t="str" cm="1">
        <f t="array" ref="R89">IF($B89="","",IFERROR(IF(INDEX('Data Quality'!$U$4:$U$503,ROW()-3)=0,"PENDING",INDEX('Data Quality'!$U$4:$U$503,ROW()-3)),"PENDING"))</f>
        <v>WARNING</v>
      </c>
      <c r="S89" s="24" t="str">
        <f t="shared" si="18"/>
        <v/>
      </c>
      <c r="T89" s="25">
        <f t="shared" si="19"/>
        <v>0</v>
      </c>
      <c r="U89" s="25">
        <f t="shared" si="20"/>
        <v>0</v>
      </c>
      <c r="V89" s="26">
        <f t="shared" si="21"/>
        <v>0</v>
      </c>
      <c r="W89" s="26">
        <f t="shared" si="22"/>
        <v>0</v>
      </c>
      <c r="X89" s="25" t="str">
        <f t="shared" si="23"/>
        <v/>
      </c>
      <c r="Y89" s="25" t="str">
        <f t="shared" si="24"/>
        <v/>
      </c>
      <c r="Z89" s="27" t="str">
        <f>IF($B89="","",IF($AK89&lt;=Settings!$C$21,"",IFERROR(AVERAGEIFS($S$4:$S$503,$B$4:$B$503,$B89,$AK$4:$AK$503,"&gt;="&amp;$AK89-Settings!$C$21,$AK$4:$AK$503,"&lt;="&amp;$AK89-1),"")))</f>
        <v/>
      </c>
      <c r="AA89" s="28" t="str">
        <f t="shared" si="25"/>
        <v/>
      </c>
      <c r="AB89" s="25" t="str">
        <f>IF($B89="","",IF($AK89&lt;=Settings!$C$22,"",IFERROR(AVERAGEIFS($K$4:$K$503,$B$4:$B$503,$B89,$AK$4:$AK$503,"&gt;="&amp;$AK89-Settings!$C$22,$AK$4:$AK$503,"&lt;="&amp;$AK89-1),"")))</f>
        <v/>
      </c>
      <c r="AC89" s="27" t="str">
        <f t="shared" si="26"/>
        <v/>
      </c>
      <c r="AD89" s="28" t="str">
        <f>IF($B89="","",IF($AK89&lt;=Settings!$C$23,"",IFERROR($E89/SUMIFS($E$4:$E$503,$B$4:$B$503,$B89,$AK$4:$AK$503,$AK89-Settings!$C$23)-1,"")))</f>
        <v/>
      </c>
      <c r="AE89" s="28" t="str">
        <f>IF($B89="","",IF($AK89&lt;=Settings!$C$22,"",IFERROR($E89/SUMIFS($E$4:$E$503,$B$4:$B$503,$B89,$AK$4:$AK$503,$AK89-Settings!$C$22)-1,"")))</f>
        <v/>
      </c>
      <c r="AF89" s="28">
        <f t="shared" si="27"/>
        <v>0</v>
      </c>
      <c r="AG89" s="29">
        <f>IF($B89="","",ROUND((MIN(100,100*N($I89)/Settings!$C$27)+MIN(100,100*N($K89)/Settings!$C$28)+MIN(100,100*N($J89)/Settings!$C$29))/3,1))</f>
        <v>0</v>
      </c>
      <c r="AH89" s="29">
        <f>IF($B89="","",IF(SUM(Settings!$C$32:$C$37)=0,"",ROUND((Settings!$C$32*$AO89+Settings!$C$33*$AP89+Settings!$C$34*$AQ89+Settings!$C$35*$AR89+Settings!$C$36*$AS89+Settings!$C$37*$AT89)/SUM(Settings!$C$32:$C$37),1)))</f>
        <v>50</v>
      </c>
      <c r="AI89" s="29">
        <f>IF($B89="","",MAX(0,100-IF(N($N89)&gt;0,0,20)-IF(AND(N($L89)=0,N($M89)=0),15,0)-IF(N($J89)&gt;0,0,10)-IF(N($K89)&gt;0,0,10)-IF($Z89&lt;&gt;"",0,15)-IF($AB89&lt;&gt;"",0,10)-IF($R89="ERROR",20,IF($R89="WARNING",10,0))))</f>
        <v>30</v>
      </c>
      <c r="AJ89" s="30" t="str">
        <f>IF($AH89="","",IF($AH89&lt;Settings!$C$46,"Extreme Sell Pressure",IF($AH89&lt;Settings!$C$47,"Sell Pressure",IF($AH89&lt;=Settings!$C$48,"Neutral",IF($AH89&lt;=Settings!$C$49,"Buy Pressure","Extreme Buy Pressure")))))</f>
        <v>Neutral</v>
      </c>
      <c r="AK89" s="30">
        <f t="shared" si="28"/>
        <v>3</v>
      </c>
      <c r="AL89" s="30">
        <f t="shared" si="29"/>
        <v>2026</v>
      </c>
      <c r="AM89" s="30">
        <f t="shared" si="30"/>
        <v>33</v>
      </c>
      <c r="AN89" s="30">
        <f t="shared" si="31"/>
        <v>8</v>
      </c>
      <c r="AO89" s="29">
        <f>IF($B89="","",IF(AND(N($L89)=0,N($M89)=0),50,IF(N($M89)=0,100,IF(N($L89)=0,0,MEDIAN(0,100,50+50*LN($S89)/LN(Settings!$C$40))))))</f>
        <v>50</v>
      </c>
      <c r="AP89" s="29">
        <f>IF($AA89="",50,MEDIAN(0,100,50+$AA89*100*Settings!$C$41))</f>
        <v>50</v>
      </c>
      <c r="AQ89" s="29">
        <f>IF($H89="",50,MEDIAN(0,100,50+$H89*100*Settings!$C$42))</f>
        <v>50</v>
      </c>
      <c r="AR89" s="29">
        <f>IF(OR($AC89="",$H89=""),50,MEDIAN(0,100,50+SIGN($H89)*50*MEDIAN(0,1,($AC89-1)/Settings!$C$43)))</f>
        <v>50</v>
      </c>
      <c r="AS89" s="29">
        <f>IF(OR($V89="",$W89=""),50,MEDIAN(0,100,50+50*($V89-$W89)/Settings!$C$44))</f>
        <v>50</v>
      </c>
      <c r="AT89" s="29">
        <f t="shared" si="32"/>
        <v>50</v>
      </c>
      <c r="AU89" s="30" t="str">
        <f t="shared" si="33"/>
        <v>YETU|2026-08-12</v>
      </c>
      <c r="AV89" s="87">
        <f>IF($A89="","",IF(COUNTIFS($A$4:$A89,$A89)=1,1,0))</f>
        <v>0</v>
      </c>
    </row>
    <row r="90" spans="1:48" x14ac:dyDescent="0.3">
      <c r="A90" s="265">
        <v>46246</v>
      </c>
      <c r="B90" s="266" t="s">
        <v>1104</v>
      </c>
      <c r="C90" s="267">
        <v>1350</v>
      </c>
      <c r="D90" s="267">
        <v>1350</v>
      </c>
      <c r="E90" s="267">
        <v>1360</v>
      </c>
      <c r="F90" s="267">
        <v>1360</v>
      </c>
      <c r="G90" s="267">
        <v>1340</v>
      </c>
      <c r="H90" s="268">
        <f t="shared" si="17"/>
        <v>7.4074074074073071E-3</v>
      </c>
      <c r="I90" s="269">
        <v>12658400</v>
      </c>
      <c r="J90" s="269">
        <v>68</v>
      </c>
      <c r="K90" s="269">
        <v>9333</v>
      </c>
      <c r="L90" s="269">
        <v>100056</v>
      </c>
      <c r="M90" s="269">
        <v>65676</v>
      </c>
      <c r="N90" s="269">
        <v>188900000000</v>
      </c>
      <c r="O90" s="266" t="s">
        <v>1106</v>
      </c>
      <c r="P90" s="265">
        <v>46265</v>
      </c>
      <c r="Q90" s="266" t="s">
        <v>1138</v>
      </c>
      <c r="R90" s="23" t="str" cm="1">
        <f t="array" ref="R90">IF($B90="","",IFERROR(IF(INDEX('Data Quality'!$U$4:$U$503,ROW()-3)=0,"PENDING",INDEX('Data Quality'!$U$4:$U$503,ROW()-3)),"PENDING"))</f>
        <v>PASS</v>
      </c>
      <c r="S90" s="24">
        <f t="shared" si="18"/>
        <v>1.5234788964005117</v>
      </c>
      <c r="T90" s="25">
        <f t="shared" si="19"/>
        <v>136076160</v>
      </c>
      <c r="U90" s="25">
        <f t="shared" si="20"/>
        <v>89319360</v>
      </c>
      <c r="V90" s="26">
        <f t="shared" si="21"/>
        <v>7.2036082583377449E-4</v>
      </c>
      <c r="W90" s="26">
        <f t="shared" si="22"/>
        <v>4.7283938591847536E-4</v>
      </c>
      <c r="X90" s="25">
        <f t="shared" si="23"/>
        <v>137.25</v>
      </c>
      <c r="Y90" s="25">
        <f t="shared" si="24"/>
        <v>186152.9411764706</v>
      </c>
      <c r="Z90" s="27" t="str">
        <f>IF($B90="","",IF($AK90&lt;=Settings!$C$21,"",IFERROR(AVERAGEIFS($S$4:$S$503,$B$4:$B$503,$B90,$AK$4:$AK$503,"&gt;="&amp;$AK90-Settings!$C$21,$AK$4:$AK$503,"&lt;="&amp;$AK90-1),"")))</f>
        <v/>
      </c>
      <c r="AA90" s="28" t="str">
        <f t="shared" si="25"/>
        <v/>
      </c>
      <c r="AB90" s="25" t="str">
        <f>IF($B90="","",IF($AK90&lt;=Settings!$C$22,"",IFERROR(AVERAGEIFS($K$4:$K$503,$B$4:$B$503,$B90,$AK$4:$AK$503,"&gt;="&amp;$AK90-Settings!$C$22,$AK$4:$AK$503,"&lt;="&amp;$AK90-1),"")))</f>
        <v/>
      </c>
      <c r="AC90" s="27" t="str">
        <f t="shared" si="26"/>
        <v/>
      </c>
      <c r="AD90" s="28" t="str">
        <f>IF($B90="","",IF($AK90&lt;=Settings!$C$23,"",IFERROR($E90/SUMIFS($E$4:$E$503,$B$4:$B$503,$B90,$AK$4:$AK$503,$AK90-Settings!$C$23)-1,"")))</f>
        <v/>
      </c>
      <c r="AE90" s="28" t="str">
        <f>IF($B90="","",IF($AK90&lt;=Settings!$C$22,"",IFERROR($E90/SUMIFS($E$4:$E$503,$B$4:$B$503,$B90,$AK$4:$AK$503,$AK90-Settings!$C$22)-1,"")))</f>
        <v/>
      </c>
      <c r="AF90" s="28">
        <f t="shared" si="27"/>
        <v>1.4705882352941176E-2</v>
      </c>
      <c r="AG90" s="29">
        <f>IF($B90="","",ROUND((MIN(100,100*N($I90)/Settings!$C$27)+MIN(100,100*N($K90)/Settings!$C$28)+MIN(100,100*N($J90)/Settings!$C$29))/3,1))</f>
        <v>23.7</v>
      </c>
      <c r="AH90" s="29">
        <f>IF($B90="","",IF(SUM(Settings!$C$32:$C$37)=0,"",ROUND((Settings!$C$32*$AO90+Settings!$C$33*$AP90+Settings!$C$34*$AQ90+Settings!$C$35*$AR90+Settings!$C$36*$AS90+Settings!$C$37*$AT90)/SUM(Settings!$C$32:$C$37),1)))</f>
        <v>58.5</v>
      </c>
      <c r="AI90" s="29">
        <f>IF($B90="","",MAX(0,100-IF(N($N90)&gt;0,0,20)-IF(AND(N($L90)=0,N($M90)=0),15,0)-IF(N($J90)&gt;0,0,10)-IF(N($K90)&gt;0,0,10)-IF($Z90&lt;&gt;"",0,15)-IF($AB90&lt;&gt;"",0,10)-IF($R90="ERROR",20,IF($R90="WARNING",10,0))))</f>
        <v>75</v>
      </c>
      <c r="AJ90" s="30" t="str">
        <f>IF($AH90="","",IF($AH90&lt;Settings!$C$46,"Extreme Sell Pressure",IF($AH90&lt;Settings!$C$47,"Sell Pressure",IF($AH90&lt;=Settings!$C$48,"Neutral",IF($AH90&lt;=Settings!$C$49,"Buy Pressure","Extreme Buy Pressure")))))</f>
        <v>Neutral</v>
      </c>
      <c r="AK90" s="30">
        <f t="shared" si="28"/>
        <v>2</v>
      </c>
      <c r="AL90" s="30">
        <f t="shared" si="29"/>
        <v>2026</v>
      </c>
      <c r="AM90" s="30">
        <f t="shared" si="30"/>
        <v>33</v>
      </c>
      <c r="AN90" s="30">
        <f t="shared" si="31"/>
        <v>8</v>
      </c>
      <c r="AO90" s="29">
        <f>IF($B90="","",IF(AND(N($L90)=0,N($M90)=0),50,IF(N($M90)=0,100,IF(N($L90)=0,0,MEDIAN(0,100,50+50*LN($S90)/LN(Settings!$C$40))))))</f>
        <v>65.184237890022516</v>
      </c>
      <c r="AP90" s="29">
        <f>IF($AA90="",50,MEDIAN(0,100,50+$AA90*100*Settings!$C$41))</f>
        <v>50</v>
      </c>
      <c r="AQ90" s="29">
        <f>IF($H90="",50,MEDIAN(0,100,50+$H90*100*Settings!$C$42))</f>
        <v>57.407407407407305</v>
      </c>
      <c r="AR90" s="29">
        <f>IF(OR($AC90="",$H90=""),50,MEDIAN(0,100,50+SIGN($H90)*50*MEDIAN(0,1,($AC90-1)/Settings!$C$43)))</f>
        <v>50</v>
      </c>
      <c r="AS90" s="29">
        <f>IF(OR($V90="",$W90=""),50,MEDIAN(0,100,50+50*($V90-$W90)/Settings!$C$44))</f>
        <v>74.752143991529906</v>
      </c>
      <c r="AT90" s="29">
        <f t="shared" si="32"/>
        <v>53.598664379935336</v>
      </c>
      <c r="AU90" s="30" t="str">
        <f t="shared" si="33"/>
        <v>IEACLC-ETF|2026-08-12</v>
      </c>
      <c r="AV90" s="87">
        <f>IF($A90="","",IF(COUNTIFS($A$4:$A90,$A90)=1,1,0))</f>
        <v>0</v>
      </c>
    </row>
    <row r="91" spans="1:48" x14ac:dyDescent="0.3">
      <c r="A91" s="265">
        <v>46246</v>
      </c>
      <c r="B91" s="266" t="s">
        <v>1105</v>
      </c>
      <c r="C91" s="267">
        <v>320</v>
      </c>
      <c r="D91" s="267">
        <v>320</v>
      </c>
      <c r="E91" s="267">
        <v>320</v>
      </c>
      <c r="F91" s="267">
        <v>330</v>
      </c>
      <c r="G91" s="267">
        <v>315</v>
      </c>
      <c r="H91" s="268">
        <f t="shared" si="17"/>
        <v>0</v>
      </c>
      <c r="I91" s="269">
        <v>12585575</v>
      </c>
      <c r="J91" s="269">
        <v>129</v>
      </c>
      <c r="K91" s="269">
        <v>39257</v>
      </c>
      <c r="L91" s="269">
        <v>4596</v>
      </c>
      <c r="M91" s="269">
        <v>98040</v>
      </c>
      <c r="N91" s="269">
        <v>17280000000</v>
      </c>
      <c r="O91" s="266" t="s">
        <v>1106</v>
      </c>
      <c r="P91" s="265">
        <v>46265</v>
      </c>
      <c r="Q91" s="266" t="s">
        <v>1138</v>
      </c>
      <c r="R91" s="23" t="str" cm="1">
        <f t="array" ref="R91">IF($B91="","",IFERROR(IF(INDEX('Data Quality'!$U$4:$U$503,ROW()-3)=0,"PENDING",INDEX('Data Quality'!$U$4:$U$503,ROW()-3)),"PENDING"))</f>
        <v>PASS</v>
      </c>
      <c r="S91" s="24">
        <f t="shared" si="18"/>
        <v>4.6878824969400247E-2</v>
      </c>
      <c r="T91" s="25">
        <f t="shared" si="19"/>
        <v>1470720</v>
      </c>
      <c r="U91" s="25">
        <f t="shared" si="20"/>
        <v>31372800</v>
      </c>
      <c r="V91" s="26">
        <f t="shared" si="21"/>
        <v>8.5111111111111108E-5</v>
      </c>
      <c r="W91" s="26">
        <f t="shared" si="22"/>
        <v>1.8155555555555555E-3</v>
      </c>
      <c r="X91" s="25">
        <f t="shared" si="23"/>
        <v>304.31782945736433</v>
      </c>
      <c r="Y91" s="25">
        <f t="shared" si="24"/>
        <v>97562.596899224809</v>
      </c>
      <c r="Z91" s="27" t="str">
        <f>IF($B91="","",IF($AK91&lt;=Settings!$C$21,"",IFERROR(AVERAGEIFS($S$4:$S$503,$B$4:$B$503,$B91,$AK$4:$AK$503,"&gt;="&amp;$AK91-Settings!$C$21,$AK$4:$AK$503,"&lt;="&amp;$AK91-1),"")))</f>
        <v/>
      </c>
      <c r="AA91" s="28" t="str">
        <f t="shared" si="25"/>
        <v/>
      </c>
      <c r="AB91" s="25" t="str">
        <f>IF($B91="","",IF($AK91&lt;=Settings!$C$22,"",IFERROR(AVERAGEIFS($K$4:$K$503,$B$4:$B$503,$B91,$AK$4:$AK$503,"&gt;="&amp;$AK91-Settings!$C$22,$AK$4:$AK$503,"&lt;="&amp;$AK91-1),"")))</f>
        <v/>
      </c>
      <c r="AC91" s="27" t="str">
        <f t="shared" si="26"/>
        <v/>
      </c>
      <c r="AD91" s="28" t="str">
        <f>IF($B91="","",IF($AK91&lt;=Settings!$C$23,"",IFERROR($E91/SUMIFS($E$4:$E$503,$B$4:$B$503,$B91,$AK$4:$AK$503,$AK91-Settings!$C$23)-1,"")))</f>
        <v/>
      </c>
      <c r="AE91" s="28" t="str">
        <f>IF($B91="","",IF($AK91&lt;=Settings!$C$22,"",IFERROR($E91/SUMIFS($E$4:$E$503,$B$4:$B$503,$B91,$AK$4:$AK$503,$AK91-Settings!$C$22)-1,"")))</f>
        <v/>
      </c>
      <c r="AF91" s="28">
        <f t="shared" si="27"/>
        <v>4.6875E-2</v>
      </c>
      <c r="AG91" s="29">
        <f>IF($B91="","",ROUND((MIN(100,100*N($I91)/Settings!$C$27)+MIN(100,100*N($K91)/Settings!$C$28)+MIN(100,100*N($J91)/Settings!$C$29))/3,1))</f>
        <v>36.4</v>
      </c>
      <c r="AH91" s="29">
        <f>IF($B91="","",IF(SUM(Settings!$C$32:$C$37)=0,"",ROUND((Settings!$C$32*$AO91+Settings!$C$33*$AP91+Settings!$C$34*$AQ91+Settings!$C$35*$AR91+Settings!$C$36*$AS91+Settings!$C$37*$AT91)/SUM(Settings!$C$32:$C$37),1)))</f>
        <v>28.2</v>
      </c>
      <c r="AI91" s="29">
        <f>IF($B91="","",MAX(0,100-IF(N($N91)&gt;0,0,20)-IF(AND(N($L91)=0,N($M91)=0),15,0)-IF(N($J91)&gt;0,0,10)-IF(N($K91)&gt;0,0,10)-IF($Z91&lt;&gt;"",0,15)-IF($AB91&lt;&gt;"",0,10)-IF($R91="ERROR",20,IF($R91="WARNING",10,0))))</f>
        <v>75</v>
      </c>
      <c r="AJ91" s="30" t="str">
        <f>IF($AH91="","",IF($AH91&lt;Settings!$C$46,"Extreme Sell Pressure",IF($AH91&lt;Settings!$C$47,"Sell Pressure",IF($AH91&lt;=Settings!$C$48,"Neutral",IF($AH91&lt;=Settings!$C$49,"Buy Pressure","Extreme Buy Pressure")))))</f>
        <v>Sell Pressure</v>
      </c>
      <c r="AK91" s="30">
        <f t="shared" si="28"/>
        <v>2</v>
      </c>
      <c r="AL91" s="30">
        <f t="shared" si="29"/>
        <v>2026</v>
      </c>
      <c r="AM91" s="30">
        <f t="shared" si="30"/>
        <v>33</v>
      </c>
      <c r="AN91" s="30">
        <f t="shared" si="31"/>
        <v>8</v>
      </c>
      <c r="AO91" s="29">
        <f>IF($B91="","",IF(AND(N($L91)=0,N($M91)=0),50,IF(N($M91)=0,100,IF(N($L91)=0,0,MEDIAN(0,100,50+50*LN($S91)/LN(Settings!$C$40))))))</f>
        <v>0</v>
      </c>
      <c r="AP91" s="29">
        <f>IF($AA91="",50,MEDIAN(0,100,50+$AA91*100*Settings!$C$41))</f>
        <v>50</v>
      </c>
      <c r="AQ91" s="29">
        <f>IF($H91="",50,MEDIAN(0,100,50+$H91*100*Settings!$C$42))</f>
        <v>50</v>
      </c>
      <c r="AR91" s="29">
        <f>IF(OR($AC91="",$H91=""),50,MEDIAN(0,100,50+SIGN($H91)*50*MEDIAN(0,1,($AC91-1)/Settings!$C$43)))</f>
        <v>50</v>
      </c>
      <c r="AS91" s="29">
        <f>IF(OR($V91="",$W91=""),50,MEDIAN(0,100,50+50*($V91-$W91)/Settings!$C$44))</f>
        <v>0</v>
      </c>
      <c r="AT91" s="29">
        <f t="shared" si="32"/>
        <v>31.8</v>
      </c>
      <c r="AU91" s="30" t="str">
        <f t="shared" si="33"/>
        <v>VERTEX-ETF|2026-08-12</v>
      </c>
      <c r="AV91" s="87">
        <f>IF($A91="","",IF(COUNTIFS($A$4:$A91,$A91)=1,1,0))</f>
        <v>0</v>
      </c>
    </row>
    <row r="92" spans="1:48" x14ac:dyDescent="0.3">
      <c r="A92" s="265">
        <v>46247</v>
      </c>
      <c r="B92" s="266" t="s">
        <v>1093</v>
      </c>
      <c r="C92" s="267">
        <v>630</v>
      </c>
      <c r="D92" s="267">
        <v>630</v>
      </c>
      <c r="E92" s="267">
        <v>625</v>
      </c>
      <c r="F92" s="267">
        <v>640</v>
      </c>
      <c r="G92" s="267">
        <v>620</v>
      </c>
      <c r="H92" s="268">
        <f t="shared" si="17"/>
        <v>-7.9365079365079083E-3</v>
      </c>
      <c r="I92" s="269">
        <v>77071300</v>
      </c>
      <c r="J92" s="269">
        <v>237</v>
      </c>
      <c r="K92" s="269">
        <v>123233</v>
      </c>
      <c r="L92" s="269">
        <v>12252</v>
      </c>
      <c r="M92" s="269">
        <v>71509</v>
      </c>
      <c r="N92" s="269">
        <v>91270000000</v>
      </c>
      <c r="O92" s="266" t="s">
        <v>1106</v>
      </c>
      <c r="P92" s="265">
        <v>46265</v>
      </c>
      <c r="Q92" s="266" t="s">
        <v>1138</v>
      </c>
      <c r="R92" s="23" t="str" cm="1">
        <f t="array" ref="R92">IF($B92="","",IFERROR(IF(INDEX('Data Quality'!$U$4:$U$503,ROW()-3)=0,"PENDING",INDEX('Data Quality'!$U$4:$U$503,ROW()-3)),"PENDING"))</f>
        <v>PASS</v>
      </c>
      <c r="S92" s="24">
        <f t="shared" si="18"/>
        <v>0.17133507670363171</v>
      </c>
      <c r="T92" s="25">
        <f t="shared" si="19"/>
        <v>7657500</v>
      </c>
      <c r="U92" s="25">
        <f t="shared" si="20"/>
        <v>44693125</v>
      </c>
      <c r="V92" s="26">
        <f t="shared" si="21"/>
        <v>8.3899419305357733E-5</v>
      </c>
      <c r="W92" s="26">
        <f t="shared" si="22"/>
        <v>4.8968034403418432E-4</v>
      </c>
      <c r="X92" s="25">
        <f t="shared" si="23"/>
        <v>519.97046413502107</v>
      </c>
      <c r="Y92" s="25">
        <f t="shared" si="24"/>
        <v>325195.35864978901</v>
      </c>
      <c r="Z92" s="27" t="str">
        <f>IF($B92="","",IF($AK92&lt;=Settings!$C$21,"",IFERROR(AVERAGEIFS($S$4:$S$503,$B$4:$B$503,$B92,$AK$4:$AK$503,"&gt;="&amp;$AK92-Settings!$C$21,$AK$4:$AK$503,"&lt;="&amp;$AK92-1),"")))</f>
        <v/>
      </c>
      <c r="AA92" s="28" t="str">
        <f t="shared" si="25"/>
        <v/>
      </c>
      <c r="AB92" s="25" t="str">
        <f>IF($B92="","",IF($AK92&lt;=Settings!$C$22,"",IFERROR(AVERAGEIFS($K$4:$K$503,$B$4:$B$503,$B92,$AK$4:$AK$503,"&gt;="&amp;$AK92-Settings!$C$22,$AK$4:$AK$503,"&lt;="&amp;$AK92-1),"")))</f>
        <v/>
      </c>
      <c r="AC92" s="27" t="str">
        <f t="shared" si="26"/>
        <v/>
      </c>
      <c r="AD92" s="28" t="str">
        <f>IF($B92="","",IF($AK92&lt;=Settings!$C$23,"",IFERROR($E92/SUMIFS($E$4:$E$503,$B$4:$B$503,$B92,$AK$4:$AK$503,$AK92-Settings!$C$23)-1,"")))</f>
        <v/>
      </c>
      <c r="AE92" s="28" t="str">
        <f>IF($B92="","",IF($AK92&lt;=Settings!$C$22,"",IFERROR($E92/SUMIFS($E$4:$E$503,$B$4:$B$503,$B92,$AK$4:$AK$503,$AK92-Settings!$C$22)-1,"")))</f>
        <v/>
      </c>
      <c r="AF92" s="28">
        <f t="shared" si="27"/>
        <v>3.2000000000000001E-2</v>
      </c>
      <c r="AG92" s="29">
        <f>IF($B92="","",ROUND((MIN(100,100*N($I92)/Settings!$C$27)+MIN(100,100*N($K92)/Settings!$C$28)+MIN(100,100*N($J92)/Settings!$C$29))/3,1))</f>
        <v>44.1</v>
      </c>
      <c r="AH92" s="29">
        <f>IF($B92="","",IF(SUM(Settings!$C$32:$C$37)=0,"",ROUND((Settings!$C$32*$AO92+Settings!$C$33*$AP92+Settings!$C$34*$AQ92+Settings!$C$35*$AR92+Settings!$C$36*$AS92+Settings!$C$37*$AT92)/SUM(Settings!$C$32:$C$37),1)))</f>
        <v>27.5</v>
      </c>
      <c r="AI92" s="29">
        <f>IF($B92="","",MAX(0,100-IF(N($N92)&gt;0,0,20)-IF(AND(N($L92)=0,N($M92)=0),15,0)-IF(N($J92)&gt;0,0,10)-IF(N($K92)&gt;0,0,10)-IF($Z92&lt;&gt;"",0,15)-IF($AB92&lt;&gt;"",0,10)-IF($R92="ERROR",20,IF($R92="WARNING",10,0))))</f>
        <v>75</v>
      </c>
      <c r="AJ92" s="30" t="str">
        <f>IF($AH92="","",IF($AH92&lt;Settings!$C$46,"Extreme Sell Pressure",IF($AH92&lt;Settings!$C$47,"Sell Pressure",IF($AH92&lt;=Settings!$C$48,"Neutral",IF($AH92&lt;=Settings!$C$49,"Buy Pressure","Extreme Buy Pressure")))))</f>
        <v>Sell Pressure</v>
      </c>
      <c r="AK92" s="30">
        <f t="shared" si="28"/>
        <v>4</v>
      </c>
      <c r="AL92" s="30">
        <f t="shared" si="29"/>
        <v>2026</v>
      </c>
      <c r="AM92" s="30">
        <f t="shared" si="30"/>
        <v>33</v>
      </c>
      <c r="AN92" s="30">
        <f t="shared" si="31"/>
        <v>8</v>
      </c>
      <c r="AO92" s="29">
        <f>IF($B92="","",IF(AND(N($L92)=0,N($M92)=0),50,IF(N($M92)=0,100,IF(N($L92)=0,0,MEDIAN(0,100,50+50*LN($S92)/LN(Settings!$C$40))))))</f>
        <v>0</v>
      </c>
      <c r="AP92" s="29">
        <f>IF($AA92="",50,MEDIAN(0,100,50+$AA92*100*Settings!$C$41))</f>
        <v>50</v>
      </c>
      <c r="AQ92" s="29">
        <f>IF($H92="",50,MEDIAN(0,100,50+$H92*100*Settings!$C$42))</f>
        <v>42.063492063492092</v>
      </c>
      <c r="AR92" s="29">
        <f>IF(OR($AC92="",$H92=""),50,MEDIAN(0,100,50+SIGN($H92)*50*MEDIAN(0,1,($AC92-1)/Settings!$C$43)))</f>
        <v>50</v>
      </c>
      <c r="AS92" s="29">
        <f>IF(OR($V92="",$W92=""),50,MEDIAN(0,100,50+50*($V92-$W92)/Settings!$C$44))</f>
        <v>9.4219075271173409</v>
      </c>
      <c r="AT92" s="29">
        <f t="shared" si="32"/>
        <v>27.95</v>
      </c>
      <c r="AU92" s="30" t="str">
        <f t="shared" si="33"/>
        <v>AFRIPRISE|2026-08-13</v>
      </c>
      <c r="AV92" s="87">
        <f>IF($A92="","",IF(COUNTIFS($A$4:$A92,$A92)=1,1,0))</f>
        <v>1</v>
      </c>
    </row>
    <row r="93" spans="1:48" x14ac:dyDescent="0.3">
      <c r="A93" s="265">
        <v>46247</v>
      </c>
      <c r="B93" s="266" t="s">
        <v>23</v>
      </c>
      <c r="C93" s="267">
        <v>2620</v>
      </c>
      <c r="D93" s="267">
        <v>2620</v>
      </c>
      <c r="E93" s="267">
        <v>2700</v>
      </c>
      <c r="F93" s="267">
        <v>2730</v>
      </c>
      <c r="G93" s="267">
        <v>2640</v>
      </c>
      <c r="H93" s="268">
        <f t="shared" si="17"/>
        <v>3.0534351145038219E-2</v>
      </c>
      <c r="I93" s="269">
        <v>807856780</v>
      </c>
      <c r="J93" s="269">
        <v>1130</v>
      </c>
      <c r="K93" s="269">
        <v>299605</v>
      </c>
      <c r="L93" s="269">
        <v>462792</v>
      </c>
      <c r="M93" s="269">
        <v>85287</v>
      </c>
      <c r="N93" s="269">
        <v>7051960000000</v>
      </c>
      <c r="O93" s="266" t="s">
        <v>1106</v>
      </c>
      <c r="P93" s="265">
        <v>46265</v>
      </c>
      <c r="Q93" s="266" t="s">
        <v>1138</v>
      </c>
      <c r="R93" s="23" t="str" cm="1">
        <f t="array" ref="R93">IF($B93="","",IFERROR(IF(INDEX('Data Quality'!$U$4:$U$503,ROW()-3)=0,"PENDING",INDEX('Data Quality'!$U$4:$U$503,ROW()-3)),"PENDING"))</f>
        <v>PASS</v>
      </c>
      <c r="S93" s="24">
        <f t="shared" si="18"/>
        <v>5.4262900559288054</v>
      </c>
      <c r="T93" s="25">
        <f t="shared" si="19"/>
        <v>1249538400</v>
      </c>
      <c r="U93" s="25">
        <f t="shared" si="20"/>
        <v>230274900</v>
      </c>
      <c r="V93" s="26">
        <f t="shared" si="21"/>
        <v>1.7719022796499129E-4</v>
      </c>
      <c r="W93" s="26">
        <f t="shared" si="22"/>
        <v>3.2654028099989223E-5</v>
      </c>
      <c r="X93" s="25">
        <f t="shared" si="23"/>
        <v>265.13716814159289</v>
      </c>
      <c r="Y93" s="25">
        <f t="shared" si="24"/>
        <v>714917.50442477874</v>
      </c>
      <c r="Z93" s="27" t="str">
        <f>IF($B93="","",IF($AK93&lt;=Settings!$C$21,"",IFERROR(AVERAGEIFS($S$4:$S$503,$B$4:$B$503,$B93,$AK$4:$AK$503,"&gt;="&amp;$AK93-Settings!$C$21,$AK$4:$AK$503,"&lt;="&amp;$AK93-1),"")))</f>
        <v/>
      </c>
      <c r="AA93" s="28" t="str">
        <f t="shared" si="25"/>
        <v/>
      </c>
      <c r="AB93" s="25" t="str">
        <f>IF($B93="","",IF($AK93&lt;=Settings!$C$22,"",IFERROR(AVERAGEIFS($K$4:$K$503,$B$4:$B$503,$B93,$AK$4:$AK$503,"&gt;="&amp;$AK93-Settings!$C$22,$AK$4:$AK$503,"&lt;="&amp;$AK93-1),"")))</f>
        <v/>
      </c>
      <c r="AC93" s="27" t="str">
        <f t="shared" si="26"/>
        <v/>
      </c>
      <c r="AD93" s="28" t="str">
        <f>IF($B93="","",IF($AK93&lt;=Settings!$C$23,"",IFERROR($E93/SUMIFS($E$4:$E$503,$B$4:$B$503,$B93,$AK$4:$AK$503,$AK93-Settings!$C$23)-1,"")))</f>
        <v/>
      </c>
      <c r="AE93" s="28" t="str">
        <f>IF($B93="","",IF($AK93&lt;=Settings!$C$22,"",IFERROR($E93/SUMIFS($E$4:$E$503,$B$4:$B$503,$B93,$AK$4:$AK$503,$AK93-Settings!$C$22)-1,"")))</f>
        <v/>
      </c>
      <c r="AF93" s="28">
        <f t="shared" si="27"/>
        <v>3.3333333333333333E-2</v>
      </c>
      <c r="AG93" s="29">
        <f>IF($B93="","",ROUND((MIN(100,100*N($I93)/Settings!$C$27)+MIN(100,100*N($K93)/Settings!$C$28)+MIN(100,100*N($J93)/Settings!$C$29))/3,1))</f>
        <v>80.2</v>
      </c>
      <c r="AH93" s="29">
        <f>IF($B93="","",IF(SUM(Settings!$C$32:$C$37)=0,"",ROUND((Settings!$C$32*$AO93+Settings!$C$33*$AP93+Settings!$C$34*$AQ93+Settings!$C$35*$AR93+Settings!$C$36*$AS93+Settings!$C$37*$AT93)/SUM(Settings!$C$32:$C$37),1)))</f>
        <v>75</v>
      </c>
      <c r="AI93" s="29">
        <f>IF($B93="","",MAX(0,100-IF(N($N93)&gt;0,0,20)-IF(AND(N($L93)=0,N($M93)=0),15,0)-IF(N($J93)&gt;0,0,10)-IF(N($K93)&gt;0,0,10)-IF($Z93&lt;&gt;"",0,15)-IF($AB93&lt;&gt;"",0,10)-IF($R93="ERROR",20,IF($R93="WARNING",10,0))))</f>
        <v>75</v>
      </c>
      <c r="AJ93" s="30" t="str">
        <f>IF($AH93="","",IF($AH93&lt;Settings!$C$46,"Extreme Sell Pressure",IF($AH93&lt;Settings!$C$47,"Sell Pressure",IF($AH93&lt;=Settings!$C$48,"Neutral",IF($AH93&lt;=Settings!$C$49,"Buy Pressure","Extreme Buy Pressure")))))</f>
        <v>Buy Pressure</v>
      </c>
      <c r="AK93" s="30">
        <f t="shared" si="28"/>
        <v>4</v>
      </c>
      <c r="AL93" s="30">
        <f t="shared" si="29"/>
        <v>2026</v>
      </c>
      <c r="AM93" s="30">
        <f t="shared" si="30"/>
        <v>33</v>
      </c>
      <c r="AN93" s="30">
        <f t="shared" si="31"/>
        <v>8</v>
      </c>
      <c r="AO93" s="29">
        <f>IF($B93="","",IF(AND(N($L93)=0,N($M93)=0),50,IF(N($M93)=0,100,IF(N($L93)=0,0,MEDIAN(0,100,50+50*LN($S93)/LN(Settings!$C$40))))))</f>
        <v>100</v>
      </c>
      <c r="AP93" s="29">
        <f>IF($AA93="",50,MEDIAN(0,100,50+$AA93*100*Settings!$C$41))</f>
        <v>50</v>
      </c>
      <c r="AQ93" s="29">
        <f>IF($H93="",50,MEDIAN(0,100,50+$H93*100*Settings!$C$42))</f>
        <v>80.534351145038215</v>
      </c>
      <c r="AR93" s="29">
        <f>IF(OR($AC93="",$H93=""),50,MEDIAN(0,100,50+SIGN($H93)*50*MEDIAN(0,1,($AC93-1)/Settings!$C$43)))</f>
        <v>50</v>
      </c>
      <c r="AS93" s="29">
        <f>IF(OR($V93="",$W93=""),50,MEDIAN(0,100,50+50*($V93-$W93)/Settings!$C$44))</f>
        <v>64.4536199865002</v>
      </c>
      <c r="AT93" s="29">
        <f t="shared" si="32"/>
        <v>90.1</v>
      </c>
      <c r="AU93" s="30" t="str">
        <f t="shared" si="33"/>
        <v>CRDB|2026-08-13</v>
      </c>
      <c r="AV93" s="87">
        <f>IF($A93="","",IF(COUNTIFS($A$4:$A93,$A93)=1,1,0))</f>
        <v>0</v>
      </c>
    </row>
    <row r="94" spans="1:48" x14ac:dyDescent="0.3">
      <c r="A94" s="265">
        <v>46247</v>
      </c>
      <c r="B94" s="266" t="s">
        <v>1094</v>
      </c>
      <c r="C94" s="267">
        <v>405</v>
      </c>
      <c r="D94" s="267">
        <v>405</v>
      </c>
      <c r="E94" s="267">
        <v>420</v>
      </c>
      <c r="F94" s="267">
        <v>450</v>
      </c>
      <c r="G94" s="267">
        <v>410</v>
      </c>
      <c r="H94" s="268">
        <f t="shared" si="17"/>
        <v>3.7037037037036979E-2</v>
      </c>
      <c r="I94" s="269">
        <v>2313080</v>
      </c>
      <c r="J94" s="269">
        <v>83</v>
      </c>
      <c r="K94" s="269">
        <v>5530</v>
      </c>
      <c r="L94" s="269">
        <v>52930</v>
      </c>
      <c r="M94" s="269">
        <v>20283</v>
      </c>
      <c r="N94" s="269">
        <v>80460000000</v>
      </c>
      <c r="O94" s="266" t="s">
        <v>1106</v>
      </c>
      <c r="P94" s="265">
        <v>46265</v>
      </c>
      <c r="Q94" s="266" t="s">
        <v>1138</v>
      </c>
      <c r="R94" s="23" t="str" cm="1">
        <f t="array" ref="R94">IF($B94="","",IFERROR(IF(INDEX('Data Quality'!$U$4:$U$503,ROW()-3)=0,"PENDING",INDEX('Data Quality'!$U$4:$U$503,ROW()-3)),"PENDING"))</f>
        <v>PASS</v>
      </c>
      <c r="S94" s="24">
        <f t="shared" si="18"/>
        <v>2.6095745205344376</v>
      </c>
      <c r="T94" s="25">
        <f t="shared" si="19"/>
        <v>22230600</v>
      </c>
      <c r="U94" s="25">
        <f t="shared" si="20"/>
        <v>8518860</v>
      </c>
      <c r="V94" s="26">
        <f t="shared" si="21"/>
        <v>2.7629381058911259E-4</v>
      </c>
      <c r="W94" s="26">
        <f t="shared" si="22"/>
        <v>1.0587695749440715E-4</v>
      </c>
      <c r="X94" s="25">
        <f t="shared" si="23"/>
        <v>66.626506024096386</v>
      </c>
      <c r="Y94" s="25">
        <f t="shared" si="24"/>
        <v>27868.433734939757</v>
      </c>
      <c r="Z94" s="27" t="str">
        <f>IF($B94="","",IF($AK94&lt;=Settings!$C$21,"",IFERROR(AVERAGEIFS($S$4:$S$503,$B$4:$B$503,$B94,$AK$4:$AK$503,"&gt;="&amp;$AK94-Settings!$C$21,$AK$4:$AK$503,"&lt;="&amp;$AK94-1),"")))</f>
        <v/>
      </c>
      <c r="AA94" s="28" t="str">
        <f t="shared" si="25"/>
        <v/>
      </c>
      <c r="AB94" s="25" t="str">
        <f>IF($B94="","",IF($AK94&lt;=Settings!$C$22,"",IFERROR(AVERAGEIFS($K$4:$K$503,$B$4:$B$503,$B94,$AK$4:$AK$503,"&gt;="&amp;$AK94-Settings!$C$22,$AK$4:$AK$503,"&lt;="&amp;$AK94-1),"")))</f>
        <v/>
      </c>
      <c r="AC94" s="27" t="str">
        <f t="shared" si="26"/>
        <v/>
      </c>
      <c r="AD94" s="28" t="str">
        <f>IF($B94="","",IF($AK94&lt;=Settings!$C$23,"",IFERROR($E94/SUMIFS($E$4:$E$503,$B$4:$B$503,$B94,$AK$4:$AK$503,$AK94-Settings!$C$23)-1,"")))</f>
        <v/>
      </c>
      <c r="AE94" s="28" t="str">
        <f>IF($B94="","",IF($AK94&lt;=Settings!$C$22,"",IFERROR($E94/SUMIFS($E$4:$E$503,$B$4:$B$503,$B94,$AK$4:$AK$503,$AK94-Settings!$C$22)-1,"")))</f>
        <v/>
      </c>
      <c r="AF94" s="28">
        <f t="shared" si="27"/>
        <v>9.5238095238095233E-2</v>
      </c>
      <c r="AG94" s="29">
        <f>IF($B94="","",ROUND((MIN(100,100*N($I94)/Settings!$C$27)+MIN(100,100*N($K94)/Settings!$C$28)+MIN(100,100*N($J94)/Settings!$C$29))/3,1))</f>
        <v>28.1</v>
      </c>
      <c r="AH94" s="29">
        <f>IF($B94="","",IF(SUM(Settings!$C$32:$C$37)=0,"",ROUND((Settings!$C$32*$AO94+Settings!$C$33*$AP94+Settings!$C$34*$AQ94+Settings!$C$35*$AR94+Settings!$C$36*$AS94+Settings!$C$37*$AT94)/SUM(Settings!$C$32:$C$37),1)))</f>
        <v>68.599999999999994</v>
      </c>
      <c r="AI94" s="29">
        <f>IF($B94="","",MAX(0,100-IF(N($N94)&gt;0,0,20)-IF(AND(N($L94)=0,N($M94)=0),15,0)-IF(N($J94)&gt;0,0,10)-IF(N($K94)&gt;0,0,10)-IF($Z94&lt;&gt;"",0,15)-IF($AB94&lt;&gt;"",0,10)-IF($R94="ERROR",20,IF($R94="WARNING",10,0))))</f>
        <v>75</v>
      </c>
      <c r="AJ94" s="30" t="str">
        <f>IF($AH94="","",IF($AH94&lt;Settings!$C$46,"Extreme Sell Pressure",IF($AH94&lt;Settings!$C$47,"Sell Pressure",IF($AH94&lt;=Settings!$C$48,"Neutral",IF($AH94&lt;=Settings!$C$49,"Buy Pressure","Extreme Buy Pressure")))))</f>
        <v>Buy Pressure</v>
      </c>
      <c r="AK94" s="30">
        <f t="shared" si="28"/>
        <v>4</v>
      </c>
      <c r="AL94" s="30">
        <f t="shared" si="29"/>
        <v>2026</v>
      </c>
      <c r="AM94" s="30">
        <f t="shared" si="30"/>
        <v>33</v>
      </c>
      <c r="AN94" s="30">
        <f t="shared" si="31"/>
        <v>8</v>
      </c>
      <c r="AO94" s="29">
        <f>IF($B94="","",IF(AND(N($L94)=0,N($M94)=0),50,IF(N($M94)=0,100,IF(N($L94)=0,0,MEDIAN(0,100,50+50*LN($S94)/LN(Settings!$C$40))))))</f>
        <v>84.595365024726249</v>
      </c>
      <c r="AP94" s="29">
        <f>IF($AA94="",50,MEDIAN(0,100,50+$AA94*100*Settings!$C$41))</f>
        <v>50</v>
      </c>
      <c r="AQ94" s="29">
        <f>IF($H94="",50,MEDIAN(0,100,50+$H94*100*Settings!$C$42))</f>
        <v>87.037037037036981</v>
      </c>
      <c r="AR94" s="29">
        <f>IF(OR($AC94="",$H94=""),50,MEDIAN(0,100,50+SIGN($H94)*50*MEDIAN(0,1,($AC94-1)/Settings!$C$43)))</f>
        <v>50</v>
      </c>
      <c r="AS94" s="29">
        <f>IF(OR($V94="",$W94=""),50,MEDIAN(0,100,50+50*($V94-$W94)/Settings!$C$44))</f>
        <v>67.041685309470552</v>
      </c>
      <c r="AT94" s="29">
        <f t="shared" si="32"/>
        <v>59.721297571948078</v>
      </c>
      <c r="AU94" s="30" t="str">
        <f t="shared" si="33"/>
        <v>DCB|2026-08-13</v>
      </c>
      <c r="AV94" s="87">
        <f>IF($A94="","",IF(COUNTIFS($A$4:$A94,$A94)=1,1,0))</f>
        <v>0</v>
      </c>
    </row>
    <row r="95" spans="1:48" x14ac:dyDescent="0.3">
      <c r="A95" s="265">
        <v>46247</v>
      </c>
      <c r="B95" s="266" t="s">
        <v>120</v>
      </c>
      <c r="C95" s="267">
        <v>6220</v>
      </c>
      <c r="D95" s="267">
        <v>6220</v>
      </c>
      <c r="E95" s="267">
        <v>6300</v>
      </c>
      <c r="F95" s="267">
        <v>6300</v>
      </c>
      <c r="G95" s="267">
        <v>6200</v>
      </c>
      <c r="H95" s="268">
        <f t="shared" si="17"/>
        <v>1.2861736334405238E-2</v>
      </c>
      <c r="I95" s="269">
        <v>3879700</v>
      </c>
      <c r="J95" s="269">
        <v>16</v>
      </c>
      <c r="K95" s="269">
        <v>617</v>
      </c>
      <c r="L95" s="269">
        <v>2603</v>
      </c>
      <c r="M95" s="269">
        <v>218</v>
      </c>
      <c r="N95" s="269">
        <v>150090000000</v>
      </c>
      <c r="O95" s="266" t="s">
        <v>1106</v>
      </c>
      <c r="P95" s="265">
        <v>46265</v>
      </c>
      <c r="Q95" s="266" t="s">
        <v>1138</v>
      </c>
      <c r="R95" s="23" t="str" cm="1">
        <f t="array" ref="R95">IF($B95="","",IFERROR(IF(INDEX('Data Quality'!$U$4:$U$503,ROW()-3)=0,"PENDING",INDEX('Data Quality'!$U$4:$U$503,ROW()-3)),"PENDING"))</f>
        <v>PASS</v>
      </c>
      <c r="S95" s="24">
        <f t="shared" si="18"/>
        <v>11.940366972477063</v>
      </c>
      <c r="T95" s="25">
        <f t="shared" si="19"/>
        <v>16398900</v>
      </c>
      <c r="U95" s="25">
        <f t="shared" si="20"/>
        <v>1373400</v>
      </c>
      <c r="V95" s="26">
        <f t="shared" si="21"/>
        <v>1.0926044373375975E-4</v>
      </c>
      <c r="W95" s="26">
        <f t="shared" si="22"/>
        <v>9.1505096941834899E-6</v>
      </c>
      <c r="X95" s="25">
        <f t="shared" si="23"/>
        <v>38.5625</v>
      </c>
      <c r="Y95" s="25">
        <f t="shared" si="24"/>
        <v>242481.25</v>
      </c>
      <c r="Z95" s="27" t="str">
        <f>IF($B95="","",IF($AK95&lt;=Settings!$C$21,"",IFERROR(AVERAGEIFS($S$4:$S$503,$B$4:$B$503,$B95,$AK$4:$AK$503,"&gt;="&amp;$AK95-Settings!$C$21,$AK$4:$AK$503,"&lt;="&amp;$AK95-1),"")))</f>
        <v/>
      </c>
      <c r="AA95" s="28" t="str">
        <f t="shared" si="25"/>
        <v/>
      </c>
      <c r="AB95" s="25" t="str">
        <f>IF($B95="","",IF($AK95&lt;=Settings!$C$22,"",IFERROR(AVERAGEIFS($K$4:$K$503,$B$4:$B$503,$B95,$AK$4:$AK$503,"&gt;="&amp;$AK95-Settings!$C$22,$AK$4:$AK$503,"&lt;="&amp;$AK95-1),"")))</f>
        <v/>
      </c>
      <c r="AC95" s="27" t="str">
        <f t="shared" si="26"/>
        <v/>
      </c>
      <c r="AD95" s="28" t="str">
        <f>IF($B95="","",IF($AK95&lt;=Settings!$C$23,"",IFERROR($E95/SUMIFS($E$4:$E$503,$B$4:$B$503,$B95,$AK$4:$AK$503,$AK95-Settings!$C$23)-1,"")))</f>
        <v/>
      </c>
      <c r="AE95" s="28" t="str">
        <f>IF($B95="","",IF($AK95&lt;=Settings!$C$22,"",IFERROR($E95/SUMIFS($E$4:$E$503,$B$4:$B$503,$B95,$AK$4:$AK$503,$AK95-Settings!$C$22)-1,"")))</f>
        <v/>
      </c>
      <c r="AF95" s="28">
        <f t="shared" si="27"/>
        <v>1.5873015873015872E-2</v>
      </c>
      <c r="AG95" s="29">
        <f>IF($B95="","",ROUND((MIN(100,100*N($I95)/Settings!$C$27)+MIN(100,100*N($K95)/Settings!$C$28)+MIN(100,100*N($J95)/Settings!$C$29))/3,1))</f>
        <v>5.5</v>
      </c>
      <c r="AH95" s="29">
        <f>IF($B95="","",IF(SUM(Settings!$C$32:$C$37)=0,"",ROUND((Settings!$C$32*$AO95+Settings!$C$33*$AP95+Settings!$C$34*$AQ95+Settings!$C$35*$AR95+Settings!$C$36*$AS95+Settings!$C$37*$AT95)/SUM(Settings!$C$32:$C$37),1)))</f>
        <v>68.2</v>
      </c>
      <c r="AI95" s="29">
        <f>IF($B95="","",MAX(0,100-IF(N($N95)&gt;0,0,20)-IF(AND(N($L95)=0,N($M95)=0),15,0)-IF(N($J95)&gt;0,0,10)-IF(N($K95)&gt;0,0,10)-IF($Z95&lt;&gt;"",0,15)-IF($AB95&lt;&gt;"",0,10)-IF($R95="ERROR",20,IF($R95="WARNING",10,0))))</f>
        <v>75</v>
      </c>
      <c r="AJ95" s="30" t="str">
        <f>IF($AH95="","",IF($AH95&lt;Settings!$C$46,"Extreme Sell Pressure",IF($AH95&lt;Settings!$C$47,"Sell Pressure",IF($AH95&lt;=Settings!$C$48,"Neutral",IF($AH95&lt;=Settings!$C$49,"Buy Pressure","Extreme Buy Pressure")))))</f>
        <v>Buy Pressure</v>
      </c>
      <c r="AK95" s="30">
        <f t="shared" si="28"/>
        <v>4</v>
      </c>
      <c r="AL95" s="30">
        <f t="shared" si="29"/>
        <v>2026</v>
      </c>
      <c r="AM95" s="30">
        <f t="shared" si="30"/>
        <v>33</v>
      </c>
      <c r="AN95" s="30">
        <f t="shared" si="31"/>
        <v>8</v>
      </c>
      <c r="AO95" s="29">
        <f>IF($B95="","",IF(AND(N($L95)=0,N($M95)=0),50,IF(N($M95)=0,100,IF(N($L95)=0,0,MEDIAN(0,100,50+50*LN($S95)/LN(Settings!$C$40))))))</f>
        <v>100</v>
      </c>
      <c r="AP95" s="29">
        <f>IF($AA95="",50,MEDIAN(0,100,50+$AA95*100*Settings!$C$41))</f>
        <v>50</v>
      </c>
      <c r="AQ95" s="29">
        <f>IF($H95="",50,MEDIAN(0,100,50+$H95*100*Settings!$C$42))</f>
        <v>62.861736334405236</v>
      </c>
      <c r="AR95" s="29">
        <f>IF(OR($AC95="",$H95=""),50,MEDIAN(0,100,50+SIGN($H95)*50*MEDIAN(0,1,($AC95-1)/Settings!$C$43)))</f>
        <v>50</v>
      </c>
      <c r="AS95" s="29">
        <f>IF(OR($V95="",$W95=""),50,MEDIAN(0,100,50+50*($V95-$W95)/Settings!$C$44))</f>
        <v>60.010993403957627</v>
      </c>
      <c r="AT95" s="29">
        <f t="shared" si="32"/>
        <v>52.75</v>
      </c>
      <c r="AU95" s="30" t="str">
        <f t="shared" si="33"/>
        <v>DSE|2026-08-13</v>
      </c>
      <c r="AV95" s="87">
        <f>IF($A95="","",IF(COUNTIFS($A$4:$A95,$A95)=1,1,0))</f>
        <v>0</v>
      </c>
    </row>
    <row r="96" spans="1:48" x14ac:dyDescent="0.3">
      <c r="A96" s="265">
        <v>46247</v>
      </c>
      <c r="B96" s="266" t="s">
        <v>1095</v>
      </c>
      <c r="C96" s="267">
        <v>5530</v>
      </c>
      <c r="D96" s="267">
        <v>5530</v>
      </c>
      <c r="E96" s="267">
        <v>5580</v>
      </c>
      <c r="F96" s="267"/>
      <c r="G96" s="267"/>
      <c r="H96" s="268">
        <f t="shared" si="17"/>
        <v>9.0415913200723175E-3</v>
      </c>
      <c r="I96" s="269">
        <v>0</v>
      </c>
      <c r="J96" s="269">
        <v>0</v>
      </c>
      <c r="K96" s="269">
        <v>0</v>
      </c>
      <c r="L96" s="269">
        <v>47</v>
      </c>
      <c r="M96" s="269">
        <v>0</v>
      </c>
      <c r="N96" s="269">
        <v>4412520000000</v>
      </c>
      <c r="O96" s="266" t="s">
        <v>1106</v>
      </c>
      <c r="P96" s="265">
        <v>46265</v>
      </c>
      <c r="Q96" s="266" t="s">
        <v>1138</v>
      </c>
      <c r="R96" s="23" t="str" cm="1">
        <f t="array" ref="R96">IF($B96="","",IFERROR(IF(INDEX('Data Quality'!$U$4:$U$503,ROW()-3)=0,"PENDING",INDEX('Data Quality'!$U$4:$U$503,ROW()-3)),"PENDING"))</f>
        <v>PASS</v>
      </c>
      <c r="S96" s="24" t="str">
        <f t="shared" si="18"/>
        <v/>
      </c>
      <c r="T96" s="25">
        <f t="shared" si="19"/>
        <v>262260</v>
      </c>
      <c r="U96" s="25">
        <f t="shared" si="20"/>
        <v>0</v>
      </c>
      <c r="V96" s="26">
        <f t="shared" si="21"/>
        <v>5.9435424655299011E-8</v>
      </c>
      <c r="W96" s="26">
        <f t="shared" si="22"/>
        <v>0</v>
      </c>
      <c r="X96" s="25" t="str">
        <f t="shared" si="23"/>
        <v/>
      </c>
      <c r="Y96" s="25" t="str">
        <f t="shared" si="24"/>
        <v/>
      </c>
      <c r="Z96" s="27" t="str">
        <f>IF($B96="","",IF($AK96&lt;=Settings!$C$21,"",IFERROR(AVERAGEIFS($S$4:$S$503,$B$4:$B$503,$B96,$AK$4:$AK$503,"&gt;="&amp;$AK96-Settings!$C$21,$AK$4:$AK$503,"&lt;="&amp;$AK96-1),"")))</f>
        <v/>
      </c>
      <c r="AA96" s="28" t="str">
        <f t="shared" si="25"/>
        <v/>
      </c>
      <c r="AB96" s="25" t="str">
        <f>IF($B96="","",IF($AK96&lt;=Settings!$C$22,"",IFERROR(AVERAGEIFS($K$4:$K$503,$B$4:$B$503,$B96,$AK$4:$AK$503,"&gt;="&amp;$AK96-Settings!$C$22,$AK$4:$AK$503,"&lt;="&amp;$AK96-1),"")))</f>
        <v/>
      </c>
      <c r="AC96" s="27" t="str">
        <f t="shared" si="26"/>
        <v/>
      </c>
      <c r="AD96" s="28" t="str">
        <f>IF($B96="","",IF($AK96&lt;=Settings!$C$23,"",IFERROR($E96/SUMIFS($E$4:$E$503,$B$4:$B$503,$B96,$AK$4:$AK$503,$AK96-Settings!$C$23)-1,"")))</f>
        <v/>
      </c>
      <c r="AE96" s="28" t="str">
        <f>IF($B96="","",IF($AK96&lt;=Settings!$C$22,"",IFERROR($E96/SUMIFS($E$4:$E$503,$B$4:$B$503,$B96,$AK$4:$AK$503,$AK96-Settings!$C$22)-1,"")))</f>
        <v/>
      </c>
      <c r="AF96" s="28">
        <f t="shared" si="27"/>
        <v>0</v>
      </c>
      <c r="AG96" s="29">
        <f>IF($B96="","",ROUND((MIN(100,100*N($I96)/Settings!$C$27)+MIN(100,100*N($K96)/Settings!$C$28)+MIN(100,100*N($J96)/Settings!$C$29))/3,1))</f>
        <v>0</v>
      </c>
      <c r="AH96" s="29">
        <f>IF($B96="","",IF(SUM(Settings!$C$32:$C$37)=0,"",ROUND((Settings!$C$32*$AO96+Settings!$C$33*$AP96+Settings!$C$34*$AQ96+Settings!$C$35*$AR96+Settings!$C$36*$AS96+Settings!$C$37*$AT96)/SUM(Settings!$C$32:$C$37),1)))</f>
        <v>66.400000000000006</v>
      </c>
      <c r="AI96" s="29">
        <f>IF($B96="","",MAX(0,100-IF(N($N96)&gt;0,0,20)-IF(AND(N($L96)=0,N($M96)=0),15,0)-IF(N($J96)&gt;0,0,10)-IF(N($K96)&gt;0,0,10)-IF($Z96&lt;&gt;"",0,15)-IF($AB96&lt;&gt;"",0,10)-IF($R96="ERROR",20,IF($R96="WARNING",10,0))))</f>
        <v>55</v>
      </c>
      <c r="AJ96" s="30" t="str">
        <f>IF($AH96="","",IF($AH96&lt;Settings!$C$46,"Extreme Sell Pressure",IF($AH96&lt;Settings!$C$47,"Sell Pressure",IF($AH96&lt;=Settings!$C$48,"Neutral",IF($AH96&lt;=Settings!$C$49,"Buy Pressure","Extreme Buy Pressure")))))</f>
        <v>Buy Pressure</v>
      </c>
      <c r="AK96" s="30">
        <f t="shared" si="28"/>
        <v>4</v>
      </c>
      <c r="AL96" s="30">
        <f t="shared" si="29"/>
        <v>2026</v>
      </c>
      <c r="AM96" s="30">
        <f t="shared" si="30"/>
        <v>33</v>
      </c>
      <c r="AN96" s="30">
        <f t="shared" si="31"/>
        <v>8</v>
      </c>
      <c r="AO96" s="29">
        <f>IF($B96="","",IF(AND(N($L96)=0,N($M96)=0),50,IF(N($M96)=0,100,IF(N($L96)=0,0,MEDIAN(0,100,50+50*LN($S96)/LN(Settings!$C$40))))))</f>
        <v>100</v>
      </c>
      <c r="AP96" s="29">
        <f>IF($AA96="",50,MEDIAN(0,100,50+$AA96*100*Settings!$C$41))</f>
        <v>50</v>
      </c>
      <c r="AQ96" s="29">
        <f>IF($H96="",50,MEDIAN(0,100,50+$H96*100*Settings!$C$42))</f>
        <v>59.041591320072314</v>
      </c>
      <c r="AR96" s="29">
        <f>IF(OR($AC96="",$H96=""),50,MEDIAN(0,100,50+SIGN($H96)*50*MEDIAN(0,1,($AC96-1)/Settings!$C$43)))</f>
        <v>50</v>
      </c>
      <c r="AS96" s="29">
        <f>IF(OR($V96="",$W96=""),50,MEDIAN(0,100,50+50*($V96-$W96)/Settings!$C$44))</f>
        <v>50.005943542465531</v>
      </c>
      <c r="AT96" s="29">
        <f t="shared" si="32"/>
        <v>50</v>
      </c>
      <c r="AU96" s="30" t="str">
        <f t="shared" si="33"/>
        <v>EABL|2026-08-13</v>
      </c>
      <c r="AV96" s="87">
        <f>IF($A96="","",IF(COUNTIFS($A$4:$A96,$A96)=1,1,0))</f>
        <v>0</v>
      </c>
    </row>
    <row r="97" spans="1:48" x14ac:dyDescent="0.3">
      <c r="A97" s="265">
        <v>46247</v>
      </c>
      <c r="B97" s="266" t="s">
        <v>1096</v>
      </c>
      <c r="C97" s="267">
        <v>265</v>
      </c>
      <c r="D97" s="267">
        <v>265</v>
      </c>
      <c r="E97" s="267">
        <v>265</v>
      </c>
      <c r="F97" s="267"/>
      <c r="G97" s="267"/>
      <c r="H97" s="268">
        <f t="shared" si="17"/>
        <v>0</v>
      </c>
      <c r="I97" s="269">
        <v>0</v>
      </c>
      <c r="J97" s="269">
        <v>0</v>
      </c>
      <c r="K97" s="269">
        <v>0</v>
      </c>
      <c r="L97" s="269">
        <v>0</v>
      </c>
      <c r="M97" s="269">
        <v>360</v>
      </c>
      <c r="N97" s="269">
        <v>5280000000</v>
      </c>
      <c r="O97" s="266" t="s">
        <v>1106</v>
      </c>
      <c r="P97" s="265">
        <v>46265</v>
      </c>
      <c r="Q97" s="266" t="s">
        <v>1138</v>
      </c>
      <c r="R97" s="23" t="str" cm="1">
        <f t="array" ref="R97">IF($B97="","",IFERROR(IF(INDEX('Data Quality'!$U$4:$U$503,ROW()-3)=0,"PENDING",INDEX('Data Quality'!$U$4:$U$503,ROW()-3)),"PENDING"))</f>
        <v>PASS</v>
      </c>
      <c r="S97" s="24">
        <f t="shared" si="18"/>
        <v>0</v>
      </c>
      <c r="T97" s="25">
        <f t="shared" si="19"/>
        <v>0</v>
      </c>
      <c r="U97" s="25">
        <f t="shared" si="20"/>
        <v>95400</v>
      </c>
      <c r="V97" s="26">
        <f t="shared" si="21"/>
        <v>0</v>
      </c>
      <c r="W97" s="26">
        <f t="shared" si="22"/>
        <v>1.8068181818181818E-5</v>
      </c>
      <c r="X97" s="25" t="str">
        <f t="shared" si="23"/>
        <v/>
      </c>
      <c r="Y97" s="25" t="str">
        <f t="shared" si="24"/>
        <v/>
      </c>
      <c r="Z97" s="27" t="str">
        <f>IF($B97="","",IF($AK97&lt;=Settings!$C$21,"",IFERROR(AVERAGEIFS($S$4:$S$503,$B$4:$B$503,$B97,$AK$4:$AK$503,"&gt;="&amp;$AK97-Settings!$C$21,$AK$4:$AK$503,"&lt;="&amp;$AK97-1),"")))</f>
        <v/>
      </c>
      <c r="AA97" s="28" t="str">
        <f t="shared" si="25"/>
        <v/>
      </c>
      <c r="AB97" s="25" t="str">
        <f>IF($B97="","",IF($AK97&lt;=Settings!$C$22,"",IFERROR(AVERAGEIFS($K$4:$K$503,$B$4:$B$503,$B97,$AK$4:$AK$503,"&gt;="&amp;$AK97-Settings!$C$22,$AK$4:$AK$503,"&lt;="&amp;$AK97-1),"")))</f>
        <v/>
      </c>
      <c r="AC97" s="27" t="str">
        <f t="shared" si="26"/>
        <v/>
      </c>
      <c r="AD97" s="28" t="str">
        <f>IF($B97="","",IF($AK97&lt;=Settings!$C$23,"",IFERROR($E97/SUMIFS($E$4:$E$503,$B$4:$B$503,$B97,$AK$4:$AK$503,$AK97-Settings!$C$23)-1,"")))</f>
        <v/>
      </c>
      <c r="AE97" s="28" t="str">
        <f>IF($B97="","",IF($AK97&lt;=Settings!$C$22,"",IFERROR($E97/SUMIFS($E$4:$E$503,$B$4:$B$503,$B97,$AK$4:$AK$503,$AK97-Settings!$C$22)-1,"")))</f>
        <v/>
      </c>
      <c r="AF97" s="28">
        <f t="shared" si="27"/>
        <v>0</v>
      </c>
      <c r="AG97" s="29">
        <f>IF($B97="","",ROUND((MIN(100,100*N($I97)/Settings!$C$27)+MIN(100,100*N($K97)/Settings!$C$28)+MIN(100,100*N($J97)/Settings!$C$29))/3,1))</f>
        <v>0</v>
      </c>
      <c r="AH97" s="29">
        <f>IF($B97="","",IF(SUM(Settings!$C$32:$C$37)=0,"",ROUND((Settings!$C$32*$AO97+Settings!$C$33*$AP97+Settings!$C$34*$AQ97+Settings!$C$35*$AR97+Settings!$C$36*$AS97+Settings!$C$37*$AT97)/SUM(Settings!$C$32:$C$37),1)))</f>
        <v>34.799999999999997</v>
      </c>
      <c r="AI97" s="29">
        <f>IF($B97="","",MAX(0,100-IF(N($N97)&gt;0,0,20)-IF(AND(N($L97)=0,N($M97)=0),15,0)-IF(N($J97)&gt;0,0,10)-IF(N($K97)&gt;0,0,10)-IF($Z97&lt;&gt;"",0,15)-IF($AB97&lt;&gt;"",0,10)-IF($R97="ERROR",20,IF($R97="WARNING",10,0))))</f>
        <v>55</v>
      </c>
      <c r="AJ97" s="30" t="str">
        <f>IF($AH97="","",IF($AH97&lt;Settings!$C$46,"Extreme Sell Pressure",IF($AH97&lt;Settings!$C$47,"Sell Pressure",IF($AH97&lt;=Settings!$C$48,"Neutral",IF($AH97&lt;=Settings!$C$49,"Buy Pressure","Extreme Buy Pressure")))))</f>
        <v>Sell Pressure</v>
      </c>
      <c r="AK97" s="30">
        <f t="shared" si="28"/>
        <v>4</v>
      </c>
      <c r="AL97" s="30">
        <f t="shared" si="29"/>
        <v>2026</v>
      </c>
      <c r="AM97" s="30">
        <f t="shared" si="30"/>
        <v>33</v>
      </c>
      <c r="AN97" s="30">
        <f t="shared" si="31"/>
        <v>8</v>
      </c>
      <c r="AO97" s="29">
        <f>IF($B97="","",IF(AND(N($L97)=0,N($M97)=0),50,IF(N($M97)=0,100,IF(N($L97)=0,0,MEDIAN(0,100,50+50*LN($S97)/LN(Settings!$C$40))))))</f>
        <v>0</v>
      </c>
      <c r="AP97" s="29">
        <f>IF($AA97="",50,MEDIAN(0,100,50+$AA97*100*Settings!$C$41))</f>
        <v>50</v>
      </c>
      <c r="AQ97" s="29">
        <f>IF($H97="",50,MEDIAN(0,100,50+$H97*100*Settings!$C$42))</f>
        <v>50</v>
      </c>
      <c r="AR97" s="29">
        <f>IF(OR($AC97="",$H97=""),50,MEDIAN(0,100,50+SIGN($H97)*50*MEDIAN(0,1,($AC97-1)/Settings!$C$43)))</f>
        <v>50</v>
      </c>
      <c r="AS97" s="29">
        <f>IF(OR($V97="",$W97=""),50,MEDIAN(0,100,50+50*($V97-$W97)/Settings!$C$44))</f>
        <v>48.19318181818182</v>
      </c>
      <c r="AT97" s="29">
        <f t="shared" si="32"/>
        <v>50</v>
      </c>
      <c r="AU97" s="30" t="str">
        <f t="shared" si="33"/>
        <v>JATU|2026-08-13</v>
      </c>
      <c r="AV97" s="87">
        <f>IF($A97="","",IF(COUNTIFS($A$4:$A97,$A97)=1,1,0))</f>
        <v>0</v>
      </c>
    </row>
    <row r="98" spans="1:48" x14ac:dyDescent="0.3">
      <c r="A98" s="265">
        <v>46247</v>
      </c>
      <c r="B98" s="266" t="s">
        <v>128</v>
      </c>
      <c r="C98" s="267">
        <v>8650</v>
      </c>
      <c r="D98" s="267">
        <v>8650</v>
      </c>
      <c r="E98" s="267">
        <v>8650</v>
      </c>
      <c r="F98" s="267"/>
      <c r="G98" s="267"/>
      <c r="H98" s="268">
        <f t="shared" si="17"/>
        <v>0</v>
      </c>
      <c r="I98" s="269">
        <v>0</v>
      </c>
      <c r="J98" s="269">
        <v>0</v>
      </c>
      <c r="K98" s="269">
        <v>0</v>
      </c>
      <c r="L98" s="269">
        <v>111</v>
      </c>
      <c r="M98" s="269">
        <v>0</v>
      </c>
      <c r="N98" s="269">
        <v>626890000000</v>
      </c>
      <c r="O98" s="266" t="s">
        <v>1106</v>
      </c>
      <c r="P98" s="265">
        <v>46265</v>
      </c>
      <c r="Q98" s="266" t="s">
        <v>1138</v>
      </c>
      <c r="R98" s="23" t="str" cm="1">
        <f t="array" ref="R98">IF($B98="","",IFERROR(IF(INDEX('Data Quality'!$U$4:$U$503,ROW()-3)=0,"PENDING",INDEX('Data Quality'!$U$4:$U$503,ROW()-3)),"PENDING"))</f>
        <v>PASS</v>
      </c>
      <c r="S98" s="24" t="str">
        <f t="shared" si="18"/>
        <v/>
      </c>
      <c r="T98" s="25">
        <f t="shared" si="19"/>
        <v>960150</v>
      </c>
      <c r="U98" s="25">
        <f t="shared" si="20"/>
        <v>0</v>
      </c>
      <c r="V98" s="26">
        <f t="shared" si="21"/>
        <v>1.5316084161495637E-6</v>
      </c>
      <c r="W98" s="26">
        <f t="shared" si="22"/>
        <v>0</v>
      </c>
      <c r="X98" s="25" t="str">
        <f t="shared" si="23"/>
        <v/>
      </c>
      <c r="Y98" s="25" t="str">
        <f t="shared" si="24"/>
        <v/>
      </c>
      <c r="Z98" s="27" t="str">
        <f>IF($B98="","",IF($AK98&lt;=Settings!$C$21,"",IFERROR(AVERAGEIFS($S$4:$S$503,$B$4:$B$503,$B98,$AK$4:$AK$503,"&gt;="&amp;$AK98-Settings!$C$21,$AK$4:$AK$503,"&lt;="&amp;$AK98-1),"")))</f>
        <v/>
      </c>
      <c r="AA98" s="28" t="str">
        <f t="shared" si="25"/>
        <v/>
      </c>
      <c r="AB98" s="25" t="str">
        <f>IF($B98="","",IF($AK98&lt;=Settings!$C$22,"",IFERROR(AVERAGEIFS($K$4:$K$503,$B$4:$B$503,$B98,$AK$4:$AK$503,"&gt;="&amp;$AK98-Settings!$C$22,$AK$4:$AK$503,"&lt;="&amp;$AK98-1),"")))</f>
        <v/>
      </c>
      <c r="AC98" s="27" t="str">
        <f t="shared" si="26"/>
        <v/>
      </c>
      <c r="AD98" s="28" t="str">
        <f>IF($B98="","",IF($AK98&lt;=Settings!$C$23,"",IFERROR($E98/SUMIFS($E$4:$E$503,$B$4:$B$503,$B98,$AK$4:$AK$503,$AK98-Settings!$C$23)-1,"")))</f>
        <v/>
      </c>
      <c r="AE98" s="28" t="str">
        <f>IF($B98="","",IF($AK98&lt;=Settings!$C$22,"",IFERROR($E98/SUMIFS($E$4:$E$503,$B$4:$B$503,$B98,$AK$4:$AK$503,$AK98-Settings!$C$22)-1,"")))</f>
        <v/>
      </c>
      <c r="AF98" s="28">
        <f t="shared" si="27"/>
        <v>0</v>
      </c>
      <c r="AG98" s="29">
        <f>IF($B98="","",ROUND((MIN(100,100*N($I98)/Settings!$C$27)+MIN(100,100*N($K98)/Settings!$C$28)+MIN(100,100*N($J98)/Settings!$C$29))/3,1))</f>
        <v>0</v>
      </c>
      <c r="AH98" s="29">
        <f>IF($B98="","",IF(SUM(Settings!$C$32:$C$37)=0,"",ROUND((Settings!$C$32*$AO98+Settings!$C$33*$AP98+Settings!$C$34*$AQ98+Settings!$C$35*$AR98+Settings!$C$36*$AS98+Settings!$C$37*$AT98)/SUM(Settings!$C$32:$C$37),1)))</f>
        <v>65</v>
      </c>
      <c r="AI98" s="29">
        <f>IF($B98="","",MAX(0,100-IF(N($N98)&gt;0,0,20)-IF(AND(N($L98)=0,N($M98)=0),15,0)-IF(N($J98)&gt;0,0,10)-IF(N($K98)&gt;0,0,10)-IF($Z98&lt;&gt;"",0,15)-IF($AB98&lt;&gt;"",0,10)-IF($R98="ERROR",20,IF($R98="WARNING",10,0))))</f>
        <v>55</v>
      </c>
      <c r="AJ98" s="30" t="str">
        <f>IF($AH98="","",IF($AH98&lt;Settings!$C$46,"Extreme Sell Pressure",IF($AH98&lt;Settings!$C$47,"Sell Pressure",IF($AH98&lt;=Settings!$C$48,"Neutral",IF($AH98&lt;=Settings!$C$49,"Buy Pressure","Extreme Buy Pressure")))))</f>
        <v>Buy Pressure</v>
      </c>
      <c r="AK98" s="30">
        <f t="shared" si="28"/>
        <v>4</v>
      </c>
      <c r="AL98" s="30">
        <f t="shared" si="29"/>
        <v>2026</v>
      </c>
      <c r="AM98" s="30">
        <f t="shared" si="30"/>
        <v>33</v>
      </c>
      <c r="AN98" s="30">
        <f t="shared" si="31"/>
        <v>8</v>
      </c>
      <c r="AO98" s="29">
        <f>IF($B98="","",IF(AND(N($L98)=0,N($M98)=0),50,IF(N($M98)=0,100,IF(N($L98)=0,0,MEDIAN(0,100,50+50*LN($S98)/LN(Settings!$C$40))))))</f>
        <v>100</v>
      </c>
      <c r="AP98" s="29">
        <f>IF($AA98="",50,MEDIAN(0,100,50+$AA98*100*Settings!$C$41))</f>
        <v>50</v>
      </c>
      <c r="AQ98" s="29">
        <f>IF($H98="",50,MEDIAN(0,100,50+$H98*100*Settings!$C$42))</f>
        <v>50</v>
      </c>
      <c r="AR98" s="29">
        <f>IF(OR($AC98="",$H98=""),50,MEDIAN(0,100,50+SIGN($H98)*50*MEDIAN(0,1,($AC98-1)/Settings!$C$43)))</f>
        <v>50</v>
      </c>
      <c r="AS98" s="29">
        <f>IF(OR($V98="",$W98=""),50,MEDIAN(0,100,50+50*($V98-$W98)/Settings!$C$44))</f>
        <v>50.153160841614955</v>
      </c>
      <c r="AT98" s="29">
        <f t="shared" si="32"/>
        <v>50</v>
      </c>
      <c r="AU98" s="30" t="str">
        <f t="shared" si="33"/>
        <v>JHL|2026-08-13</v>
      </c>
      <c r="AV98" s="87">
        <f>IF($A98="","",IF(COUNTIFS($A$4:$A98,$A98)=1,1,0))</f>
        <v>0</v>
      </c>
    </row>
    <row r="99" spans="1:48" x14ac:dyDescent="0.3">
      <c r="A99" s="265">
        <v>46247</v>
      </c>
      <c r="B99" s="266" t="s">
        <v>1097</v>
      </c>
      <c r="C99" s="267">
        <v>110</v>
      </c>
      <c r="D99" s="267">
        <v>110</v>
      </c>
      <c r="E99" s="267">
        <v>110</v>
      </c>
      <c r="F99" s="267"/>
      <c r="G99" s="267"/>
      <c r="H99" s="268">
        <f t="shared" si="17"/>
        <v>0</v>
      </c>
      <c r="I99" s="269">
        <v>0</v>
      </c>
      <c r="J99" s="269">
        <v>0</v>
      </c>
      <c r="K99" s="269">
        <v>0</v>
      </c>
      <c r="L99" s="269">
        <v>314</v>
      </c>
      <c r="M99" s="269">
        <v>0</v>
      </c>
      <c r="N99" s="269">
        <v>624960000000</v>
      </c>
      <c r="O99" s="266" t="s">
        <v>1106</v>
      </c>
      <c r="P99" s="265">
        <v>46265</v>
      </c>
      <c r="Q99" s="266" t="s">
        <v>1138</v>
      </c>
      <c r="R99" s="23" t="str" cm="1">
        <f t="array" ref="R99">IF($B99="","",IFERROR(IF(INDEX('Data Quality'!$U$4:$U$503,ROW()-3)=0,"PENDING",INDEX('Data Quality'!$U$4:$U$503,ROW()-3)),"PENDING"))</f>
        <v>PASS</v>
      </c>
      <c r="S99" s="24" t="str">
        <f t="shared" si="18"/>
        <v/>
      </c>
      <c r="T99" s="25">
        <f t="shared" si="19"/>
        <v>34540</v>
      </c>
      <c r="U99" s="25">
        <f t="shared" si="20"/>
        <v>0</v>
      </c>
      <c r="V99" s="26">
        <f t="shared" si="21"/>
        <v>5.526753712237583E-8</v>
      </c>
      <c r="W99" s="26">
        <f t="shared" si="22"/>
        <v>0</v>
      </c>
      <c r="X99" s="25" t="str">
        <f t="shared" si="23"/>
        <v/>
      </c>
      <c r="Y99" s="25" t="str">
        <f t="shared" si="24"/>
        <v/>
      </c>
      <c r="Z99" s="27" t="str">
        <f>IF($B99="","",IF($AK99&lt;=Settings!$C$21,"",IFERROR(AVERAGEIFS($S$4:$S$503,$B$4:$B$503,$B99,$AK$4:$AK$503,"&gt;="&amp;$AK99-Settings!$C$21,$AK$4:$AK$503,"&lt;="&amp;$AK99-1),"")))</f>
        <v/>
      </c>
      <c r="AA99" s="28" t="str">
        <f t="shared" si="25"/>
        <v/>
      </c>
      <c r="AB99" s="25" t="str">
        <f>IF($B99="","",IF($AK99&lt;=Settings!$C$22,"",IFERROR(AVERAGEIFS($K$4:$K$503,$B$4:$B$503,$B99,$AK$4:$AK$503,"&gt;="&amp;$AK99-Settings!$C$22,$AK$4:$AK$503,"&lt;="&amp;$AK99-1),"")))</f>
        <v/>
      </c>
      <c r="AC99" s="27" t="str">
        <f t="shared" si="26"/>
        <v/>
      </c>
      <c r="AD99" s="28" t="str">
        <f>IF($B99="","",IF($AK99&lt;=Settings!$C$23,"",IFERROR($E99/SUMIFS($E$4:$E$503,$B$4:$B$503,$B99,$AK$4:$AK$503,$AK99-Settings!$C$23)-1,"")))</f>
        <v/>
      </c>
      <c r="AE99" s="28" t="str">
        <f>IF($B99="","",IF($AK99&lt;=Settings!$C$22,"",IFERROR($E99/SUMIFS($E$4:$E$503,$B$4:$B$503,$B99,$AK$4:$AK$503,$AK99-Settings!$C$22)-1,"")))</f>
        <v/>
      </c>
      <c r="AF99" s="28">
        <f t="shared" si="27"/>
        <v>0</v>
      </c>
      <c r="AG99" s="29">
        <f>IF($B99="","",ROUND((MIN(100,100*N($I99)/Settings!$C$27)+MIN(100,100*N($K99)/Settings!$C$28)+MIN(100,100*N($J99)/Settings!$C$29))/3,1))</f>
        <v>0</v>
      </c>
      <c r="AH99" s="29">
        <f>IF($B99="","",IF(SUM(Settings!$C$32:$C$37)=0,"",ROUND((Settings!$C$32*$AO99+Settings!$C$33*$AP99+Settings!$C$34*$AQ99+Settings!$C$35*$AR99+Settings!$C$36*$AS99+Settings!$C$37*$AT99)/SUM(Settings!$C$32:$C$37),1)))</f>
        <v>65</v>
      </c>
      <c r="AI99" s="29">
        <f>IF($B99="","",MAX(0,100-IF(N($N99)&gt;0,0,20)-IF(AND(N($L99)=0,N($M99)=0),15,0)-IF(N($J99)&gt;0,0,10)-IF(N($K99)&gt;0,0,10)-IF($Z99&lt;&gt;"",0,15)-IF($AB99&lt;&gt;"",0,10)-IF($R99="ERROR",20,IF($R99="WARNING",10,0))))</f>
        <v>55</v>
      </c>
      <c r="AJ99" s="30" t="str">
        <f>IF($AH99="","",IF($AH99&lt;Settings!$C$46,"Extreme Sell Pressure",IF($AH99&lt;Settings!$C$47,"Sell Pressure",IF($AH99&lt;=Settings!$C$48,"Neutral",IF($AH99&lt;=Settings!$C$49,"Buy Pressure","Extreme Buy Pressure")))))</f>
        <v>Buy Pressure</v>
      </c>
      <c r="AK99" s="30">
        <f t="shared" si="28"/>
        <v>4</v>
      </c>
      <c r="AL99" s="30">
        <f t="shared" si="29"/>
        <v>2026</v>
      </c>
      <c r="AM99" s="30">
        <f t="shared" si="30"/>
        <v>33</v>
      </c>
      <c r="AN99" s="30">
        <f t="shared" si="31"/>
        <v>8</v>
      </c>
      <c r="AO99" s="29">
        <f>IF($B99="","",IF(AND(N($L99)=0,N($M99)=0),50,IF(N($M99)=0,100,IF(N($L99)=0,0,MEDIAN(0,100,50+50*LN($S99)/LN(Settings!$C$40))))))</f>
        <v>100</v>
      </c>
      <c r="AP99" s="29">
        <f>IF($AA99="",50,MEDIAN(0,100,50+$AA99*100*Settings!$C$41))</f>
        <v>50</v>
      </c>
      <c r="AQ99" s="29">
        <f>IF($H99="",50,MEDIAN(0,100,50+$H99*100*Settings!$C$42))</f>
        <v>50</v>
      </c>
      <c r="AR99" s="29">
        <f>IF(OR($AC99="",$H99=""),50,MEDIAN(0,100,50+SIGN($H99)*50*MEDIAN(0,1,($AC99-1)/Settings!$C$43)))</f>
        <v>50</v>
      </c>
      <c r="AS99" s="29">
        <f>IF(OR($V99="",$W99=""),50,MEDIAN(0,100,50+50*($V99-$W99)/Settings!$C$44))</f>
        <v>50.005526753712239</v>
      </c>
      <c r="AT99" s="29">
        <f t="shared" si="32"/>
        <v>50</v>
      </c>
      <c r="AU99" s="30" t="str">
        <f t="shared" si="33"/>
        <v>KA|2026-08-13</v>
      </c>
      <c r="AV99" s="87">
        <f>IF($A99="","",IF(COUNTIFS($A$4:$A99,$A99)=1,1,0))</f>
        <v>0</v>
      </c>
    </row>
    <row r="100" spans="1:48" x14ac:dyDescent="0.3">
      <c r="A100" s="265">
        <v>46247</v>
      </c>
      <c r="B100" s="266" t="s">
        <v>1098</v>
      </c>
      <c r="C100" s="267">
        <v>1930</v>
      </c>
      <c r="D100" s="267">
        <v>1930</v>
      </c>
      <c r="E100" s="267">
        <v>1970</v>
      </c>
      <c r="F100" s="267">
        <v>1970</v>
      </c>
      <c r="G100" s="267">
        <v>1930</v>
      </c>
      <c r="H100" s="268">
        <f t="shared" si="17"/>
        <v>2.0725388601036343E-2</v>
      </c>
      <c r="I100" s="269">
        <v>184222190</v>
      </c>
      <c r="J100" s="269">
        <v>62</v>
      </c>
      <c r="K100" s="269">
        <v>93744</v>
      </c>
      <c r="L100" s="269">
        <v>11967</v>
      </c>
      <c r="M100" s="269">
        <v>38354</v>
      </c>
      <c r="N100" s="269">
        <v>5851570000000</v>
      </c>
      <c r="O100" s="266" t="s">
        <v>1106</v>
      </c>
      <c r="P100" s="265">
        <v>46265</v>
      </c>
      <c r="Q100" s="266" t="s">
        <v>1138</v>
      </c>
      <c r="R100" s="23" t="str" cm="1">
        <f t="array" ref="R100">IF($B100="","",IFERROR(IF(INDEX('Data Quality'!$U$4:$U$503,ROW()-3)=0,"PENDING",INDEX('Data Quality'!$U$4:$U$503,ROW()-3)),"PENDING"))</f>
        <v>PASS</v>
      </c>
      <c r="S100" s="24">
        <f t="shared" si="18"/>
        <v>0.31201439224070499</v>
      </c>
      <c r="T100" s="25">
        <f t="shared" si="19"/>
        <v>23574990</v>
      </c>
      <c r="U100" s="25">
        <f t="shared" si="20"/>
        <v>75557380</v>
      </c>
      <c r="V100" s="26">
        <f t="shared" si="21"/>
        <v>4.0288315785336243E-6</v>
      </c>
      <c r="W100" s="26">
        <f t="shared" si="22"/>
        <v>1.2912326093680841E-5</v>
      </c>
      <c r="X100" s="25">
        <f t="shared" si="23"/>
        <v>1512</v>
      </c>
      <c r="Y100" s="25">
        <f t="shared" si="24"/>
        <v>2971325.6451612902</v>
      </c>
      <c r="Z100" s="27" t="str">
        <f>IF($B100="","",IF($AK100&lt;=Settings!$C$21,"",IFERROR(AVERAGEIFS($S$4:$S$503,$B$4:$B$503,$B100,$AK$4:$AK$503,"&gt;="&amp;$AK100-Settings!$C$21,$AK$4:$AK$503,"&lt;="&amp;$AK100-1),"")))</f>
        <v/>
      </c>
      <c r="AA100" s="28" t="str">
        <f t="shared" si="25"/>
        <v/>
      </c>
      <c r="AB100" s="25" t="str">
        <f>IF($B100="","",IF($AK100&lt;=Settings!$C$22,"",IFERROR(AVERAGEIFS($K$4:$K$503,$B$4:$B$503,$B100,$AK$4:$AK$503,"&gt;="&amp;$AK100-Settings!$C$22,$AK$4:$AK$503,"&lt;="&amp;$AK100-1),"")))</f>
        <v/>
      </c>
      <c r="AC100" s="27" t="str">
        <f t="shared" si="26"/>
        <v/>
      </c>
      <c r="AD100" s="28" t="str">
        <f>IF($B100="","",IF($AK100&lt;=Settings!$C$23,"",IFERROR($E100/SUMIFS($E$4:$E$503,$B$4:$B$503,$B100,$AK$4:$AK$503,$AK100-Settings!$C$23)-1,"")))</f>
        <v/>
      </c>
      <c r="AE100" s="28" t="str">
        <f>IF($B100="","",IF($AK100&lt;=Settings!$C$22,"",IFERROR($E100/SUMIFS($E$4:$E$503,$B$4:$B$503,$B100,$AK$4:$AK$503,$AK100-Settings!$C$22)-1,"")))</f>
        <v/>
      </c>
      <c r="AF100" s="28">
        <f t="shared" si="27"/>
        <v>2.030456852791878E-2</v>
      </c>
      <c r="AG100" s="29">
        <f>IF($B100="","",ROUND((MIN(100,100*N($I100)/Settings!$C$27)+MIN(100,100*N($K100)/Settings!$C$28)+MIN(100,100*N($J100)/Settings!$C$29))/3,1))</f>
        <v>33.1</v>
      </c>
      <c r="AH100" s="29">
        <f>IF($B100="","",IF(SUM(Settings!$C$32:$C$37)=0,"",ROUND((Settings!$C$32*$AO100+Settings!$C$33*$AP100+Settings!$C$34*$AQ100+Settings!$C$35*$AR100+Settings!$C$36*$AS100+Settings!$C$37*$AT100)/SUM(Settings!$C$32:$C$37),1)))</f>
        <v>39</v>
      </c>
      <c r="AI100" s="29">
        <f>IF($B100="","",MAX(0,100-IF(N($N100)&gt;0,0,20)-IF(AND(N($L100)=0,N($M100)=0),15,0)-IF(N($J100)&gt;0,0,10)-IF(N($K100)&gt;0,0,10)-IF($Z100&lt;&gt;"",0,15)-IF($AB100&lt;&gt;"",0,10)-IF($R100="ERROR",20,IF($R100="WARNING",10,0))))</f>
        <v>75</v>
      </c>
      <c r="AJ100" s="30" t="str">
        <f>IF($AH100="","",IF($AH100&lt;Settings!$C$46,"Extreme Sell Pressure",IF($AH100&lt;Settings!$C$47,"Sell Pressure",IF($AH100&lt;=Settings!$C$48,"Neutral",IF($AH100&lt;=Settings!$C$49,"Buy Pressure","Extreme Buy Pressure")))))</f>
        <v>Sell Pressure</v>
      </c>
      <c r="AK100" s="30">
        <f t="shared" si="28"/>
        <v>4</v>
      </c>
      <c r="AL100" s="30">
        <f t="shared" si="29"/>
        <v>2026</v>
      </c>
      <c r="AM100" s="30">
        <f t="shared" si="30"/>
        <v>33</v>
      </c>
      <c r="AN100" s="30">
        <f t="shared" si="31"/>
        <v>8</v>
      </c>
      <c r="AO100" s="29">
        <f>IF($B100="","",IF(AND(N($L100)=0,N($M100)=0),50,IF(N($M100)=0,100,IF(N($L100)=0,0,MEDIAN(0,100,50+50*LN($S100)/LN(Settings!$C$40))))))</f>
        <v>7.9921120677768656</v>
      </c>
      <c r="AP100" s="29">
        <f>IF($AA100="",50,MEDIAN(0,100,50+$AA100*100*Settings!$C$41))</f>
        <v>50</v>
      </c>
      <c r="AQ100" s="29">
        <f>IF($H100="",50,MEDIAN(0,100,50+$H100*100*Settings!$C$42))</f>
        <v>70.725388601036343</v>
      </c>
      <c r="AR100" s="29">
        <f>IF(OR($AC100="",$H100=""),50,MEDIAN(0,100,50+SIGN($H100)*50*MEDIAN(0,1,($AC100-1)/Settings!$C$43)))</f>
        <v>50</v>
      </c>
      <c r="AS100" s="29">
        <f>IF(OR($V100="",$W100=""),50,MEDIAN(0,100,50+50*($V100-$W100)/Settings!$C$44))</f>
        <v>49.111650548485279</v>
      </c>
      <c r="AT100" s="29">
        <f t="shared" si="32"/>
        <v>36.09538909443414</v>
      </c>
      <c r="AU100" s="30" t="str">
        <f t="shared" si="33"/>
        <v>KCB|2026-08-13</v>
      </c>
      <c r="AV100" s="87">
        <f>IF($A100="","",IF(COUNTIFS($A$4:$A100,$A100)=1,1,0))</f>
        <v>0</v>
      </c>
    </row>
    <row r="101" spans="1:48" x14ac:dyDescent="0.3">
      <c r="A101" s="265">
        <v>46247</v>
      </c>
      <c r="B101" s="266" t="s">
        <v>136</v>
      </c>
      <c r="C101" s="267">
        <v>1700</v>
      </c>
      <c r="D101" s="267">
        <v>1700</v>
      </c>
      <c r="E101" s="267">
        <v>1690</v>
      </c>
      <c r="F101" s="267">
        <v>1700</v>
      </c>
      <c r="G101" s="267">
        <v>1690</v>
      </c>
      <c r="H101" s="268">
        <f t="shared" si="17"/>
        <v>-5.8823529411764497E-3</v>
      </c>
      <c r="I101" s="269">
        <v>4381010</v>
      </c>
      <c r="J101" s="269">
        <v>24</v>
      </c>
      <c r="K101" s="269">
        <v>2589</v>
      </c>
      <c r="L101" s="269">
        <v>3266</v>
      </c>
      <c r="M101" s="269">
        <v>9218</v>
      </c>
      <c r="N101" s="269">
        <v>50680000000</v>
      </c>
      <c r="O101" s="266" t="s">
        <v>1106</v>
      </c>
      <c r="P101" s="265">
        <v>46265</v>
      </c>
      <c r="Q101" s="266" t="s">
        <v>1138</v>
      </c>
      <c r="R101" s="23" t="str" cm="1">
        <f t="array" ref="R101">IF($B101="","",IFERROR(IF(INDEX('Data Quality'!$U$4:$U$503,ROW()-3)=0,"PENDING",INDEX('Data Quality'!$U$4:$U$503,ROW()-3)),"PENDING"))</f>
        <v>PASS</v>
      </c>
      <c r="S101" s="24">
        <f t="shared" si="18"/>
        <v>0.35430679106096769</v>
      </c>
      <c r="T101" s="25">
        <f t="shared" si="19"/>
        <v>5519540</v>
      </c>
      <c r="U101" s="25">
        <f t="shared" si="20"/>
        <v>15578420</v>
      </c>
      <c r="V101" s="26">
        <f t="shared" si="21"/>
        <v>1.0890962904498816E-4</v>
      </c>
      <c r="W101" s="26">
        <f t="shared" si="22"/>
        <v>3.0738792423046565E-4</v>
      </c>
      <c r="X101" s="25">
        <f t="shared" si="23"/>
        <v>107.875</v>
      </c>
      <c r="Y101" s="25">
        <f t="shared" si="24"/>
        <v>182542.08333333334</v>
      </c>
      <c r="Z101" s="27" t="str">
        <f>IF($B101="","",IF($AK101&lt;=Settings!$C$21,"",IFERROR(AVERAGEIFS($S$4:$S$503,$B$4:$B$503,$B101,$AK$4:$AK$503,"&gt;="&amp;$AK101-Settings!$C$21,$AK$4:$AK$503,"&lt;="&amp;$AK101-1),"")))</f>
        <v/>
      </c>
      <c r="AA101" s="28" t="str">
        <f t="shared" si="25"/>
        <v/>
      </c>
      <c r="AB101" s="25" t="str">
        <f>IF($B101="","",IF($AK101&lt;=Settings!$C$22,"",IFERROR(AVERAGEIFS($K$4:$K$503,$B$4:$B$503,$B101,$AK$4:$AK$503,"&gt;="&amp;$AK101-Settings!$C$22,$AK$4:$AK$503,"&lt;="&amp;$AK101-1),"")))</f>
        <v/>
      </c>
      <c r="AC101" s="27" t="str">
        <f t="shared" si="26"/>
        <v/>
      </c>
      <c r="AD101" s="28" t="str">
        <f>IF($B101="","",IF($AK101&lt;=Settings!$C$23,"",IFERROR($E101/SUMIFS($E$4:$E$503,$B$4:$B$503,$B101,$AK$4:$AK$503,$AK101-Settings!$C$23)-1,"")))</f>
        <v/>
      </c>
      <c r="AE101" s="28" t="str">
        <f>IF($B101="","",IF($AK101&lt;=Settings!$C$22,"",IFERROR($E101/SUMIFS($E$4:$E$503,$B$4:$B$503,$B101,$AK$4:$AK$503,$AK101-Settings!$C$22)-1,"")))</f>
        <v/>
      </c>
      <c r="AF101" s="28">
        <f t="shared" si="27"/>
        <v>5.9171597633136093E-3</v>
      </c>
      <c r="AG101" s="29">
        <f>IF($B101="","",ROUND((MIN(100,100*N($I101)/Settings!$C$27)+MIN(100,100*N($K101)/Settings!$C$28)+MIN(100,100*N($J101)/Settings!$C$29))/3,1))</f>
        <v>8.3000000000000007</v>
      </c>
      <c r="AH101" s="29">
        <f>IF($B101="","",IF(SUM(Settings!$C$32:$C$37)=0,"",ROUND((Settings!$C$32*$AO101+Settings!$C$33*$AP101+Settings!$C$34*$AQ101+Settings!$C$35*$AR101+Settings!$C$36*$AS101+Settings!$C$37*$AT101)/SUM(Settings!$C$32:$C$37),1)))</f>
        <v>35.6</v>
      </c>
      <c r="AI101" s="29">
        <f>IF($B101="","",MAX(0,100-IF(N($N101)&gt;0,0,20)-IF(AND(N($L101)=0,N($M101)=0),15,0)-IF(N($J101)&gt;0,0,10)-IF(N($K101)&gt;0,0,10)-IF($Z101&lt;&gt;"",0,15)-IF($AB101&lt;&gt;"",0,10)-IF($R101="ERROR",20,IF($R101="WARNING",10,0))))</f>
        <v>75</v>
      </c>
      <c r="AJ101" s="30" t="str">
        <f>IF($AH101="","",IF($AH101&lt;Settings!$C$46,"Extreme Sell Pressure",IF($AH101&lt;Settings!$C$47,"Sell Pressure",IF($AH101&lt;=Settings!$C$48,"Neutral",IF($AH101&lt;=Settings!$C$49,"Buy Pressure","Extreme Buy Pressure")))))</f>
        <v>Sell Pressure</v>
      </c>
      <c r="AK101" s="30">
        <f t="shared" si="28"/>
        <v>4</v>
      </c>
      <c r="AL101" s="30">
        <f t="shared" si="29"/>
        <v>2026</v>
      </c>
      <c r="AM101" s="30">
        <f t="shared" si="30"/>
        <v>33</v>
      </c>
      <c r="AN101" s="30">
        <f t="shared" si="31"/>
        <v>8</v>
      </c>
      <c r="AO101" s="29">
        <f>IF($B101="","",IF(AND(N($L101)=0,N($M101)=0),50,IF(N($M101)=0,100,IF(N($L101)=0,0,MEDIAN(0,100,50+50*LN($S101)/LN(Settings!$C$40))))))</f>
        <v>12.576775580626148</v>
      </c>
      <c r="AP101" s="29">
        <f>IF($AA101="",50,MEDIAN(0,100,50+$AA101*100*Settings!$C$41))</f>
        <v>50</v>
      </c>
      <c r="AQ101" s="29">
        <f>IF($H101="",50,MEDIAN(0,100,50+$H101*100*Settings!$C$42))</f>
        <v>44.11764705882355</v>
      </c>
      <c r="AR101" s="29">
        <f>IF(OR($AC101="",$H101=""),50,MEDIAN(0,100,50+SIGN($H101)*50*MEDIAN(0,1,($AC101-1)/Settings!$C$43)))</f>
        <v>50</v>
      </c>
      <c r="AS101" s="29">
        <f>IF(OR($V101="",$W101=""),50,MEDIAN(0,100,50+50*($V101-$W101)/Settings!$C$44))</f>
        <v>30.152170481452249</v>
      </c>
      <c r="AT101" s="29">
        <f t="shared" si="32"/>
        <v>46.893872373191968</v>
      </c>
      <c r="AU101" s="30" t="str">
        <f t="shared" si="33"/>
        <v>MBP|2026-08-13</v>
      </c>
      <c r="AV101" s="87">
        <f>IF($A101="","",IF(COUNTIFS($A$4:$A101,$A101)=1,1,0))</f>
        <v>0</v>
      </c>
    </row>
    <row r="102" spans="1:48" x14ac:dyDescent="0.3">
      <c r="A102" s="265">
        <v>46247</v>
      </c>
      <c r="B102" s="266" t="s">
        <v>1099</v>
      </c>
      <c r="C102" s="267">
        <v>455</v>
      </c>
      <c r="D102" s="267">
        <v>455</v>
      </c>
      <c r="E102" s="267">
        <v>440</v>
      </c>
      <c r="F102" s="267">
        <v>470</v>
      </c>
      <c r="G102" s="267">
        <v>400</v>
      </c>
      <c r="H102" s="268">
        <f t="shared" si="17"/>
        <v>-3.2967032967032961E-2</v>
      </c>
      <c r="I102" s="269">
        <v>112975535</v>
      </c>
      <c r="J102" s="269">
        <v>357</v>
      </c>
      <c r="K102" s="269">
        <v>255898</v>
      </c>
      <c r="L102" s="269">
        <v>7769</v>
      </c>
      <c r="M102" s="269">
        <v>203410</v>
      </c>
      <c r="N102" s="269">
        <v>108810000000</v>
      </c>
      <c r="O102" s="266" t="s">
        <v>1106</v>
      </c>
      <c r="P102" s="265">
        <v>46265</v>
      </c>
      <c r="Q102" s="266" t="s">
        <v>1138</v>
      </c>
      <c r="R102" s="23" t="str" cm="1">
        <f t="array" ref="R102">IF($B102="","",IFERROR(IF(INDEX('Data Quality'!$U$4:$U$503,ROW()-3)=0,"PENDING",INDEX('Data Quality'!$U$4:$U$503,ROW()-3)),"PENDING"))</f>
        <v>PASS</v>
      </c>
      <c r="S102" s="24">
        <f t="shared" si="18"/>
        <v>3.819379578191829E-2</v>
      </c>
      <c r="T102" s="25">
        <f t="shared" si="19"/>
        <v>3418360</v>
      </c>
      <c r="U102" s="25">
        <f t="shared" si="20"/>
        <v>89500400</v>
      </c>
      <c r="V102" s="26">
        <f t="shared" si="21"/>
        <v>3.1415862512636708E-5</v>
      </c>
      <c r="W102" s="26">
        <f t="shared" si="22"/>
        <v>8.2253836963514383E-4</v>
      </c>
      <c r="X102" s="25">
        <f t="shared" si="23"/>
        <v>716.80112044817929</v>
      </c>
      <c r="Y102" s="25">
        <f t="shared" si="24"/>
        <v>316458.08123249299</v>
      </c>
      <c r="Z102" s="27" t="str">
        <f>IF($B102="","",IF($AK102&lt;=Settings!$C$21,"",IFERROR(AVERAGEIFS($S$4:$S$503,$B$4:$B$503,$B102,$AK$4:$AK$503,"&gt;="&amp;$AK102-Settings!$C$21,$AK$4:$AK$503,"&lt;="&amp;$AK102-1),"")))</f>
        <v/>
      </c>
      <c r="AA102" s="28" t="str">
        <f t="shared" si="25"/>
        <v/>
      </c>
      <c r="AB102" s="25" t="str">
        <f>IF($B102="","",IF($AK102&lt;=Settings!$C$22,"",IFERROR(AVERAGEIFS($K$4:$K$503,$B$4:$B$503,$B102,$AK$4:$AK$503,"&gt;="&amp;$AK102-Settings!$C$22,$AK$4:$AK$503,"&lt;="&amp;$AK102-1),"")))</f>
        <v/>
      </c>
      <c r="AC102" s="27" t="str">
        <f t="shared" si="26"/>
        <v/>
      </c>
      <c r="AD102" s="28" t="str">
        <f>IF($B102="","",IF($AK102&lt;=Settings!$C$23,"",IFERROR($E102/SUMIFS($E$4:$E$503,$B$4:$B$503,$B102,$AK$4:$AK$503,$AK102-Settings!$C$23)-1,"")))</f>
        <v/>
      </c>
      <c r="AE102" s="28" t="str">
        <f>IF($B102="","",IF($AK102&lt;=Settings!$C$22,"",IFERROR($E102/SUMIFS($E$4:$E$503,$B$4:$B$503,$B102,$AK$4:$AK$503,$AK102-Settings!$C$22)-1,"")))</f>
        <v/>
      </c>
      <c r="AF102" s="28">
        <f t="shared" si="27"/>
        <v>0.15909090909090909</v>
      </c>
      <c r="AG102" s="29">
        <f>IF($B102="","",ROUND((MIN(100,100*N($I102)/Settings!$C$27)+MIN(100,100*N($K102)/Settings!$C$28)+MIN(100,100*N($J102)/Settings!$C$29))/3,1))</f>
        <v>54.2</v>
      </c>
      <c r="AH102" s="29">
        <f>IF($B102="","",IF(SUM(Settings!$C$32:$C$37)=0,"",ROUND((Settings!$C$32*$AO102+Settings!$C$33*$AP102+Settings!$C$34*$AQ102+Settings!$C$35*$AR102+Settings!$C$36*$AS102+Settings!$C$37*$AT102)/SUM(Settings!$C$32:$C$37),1)))</f>
        <v>22.3</v>
      </c>
      <c r="AI102" s="29">
        <f>IF($B102="","",MAX(0,100-IF(N($N102)&gt;0,0,20)-IF(AND(N($L102)=0,N($M102)=0),15,0)-IF(N($J102)&gt;0,0,10)-IF(N($K102)&gt;0,0,10)-IF($Z102&lt;&gt;"",0,15)-IF($AB102&lt;&gt;"",0,10)-IF($R102="ERROR",20,IF($R102="WARNING",10,0))))</f>
        <v>75</v>
      </c>
      <c r="AJ102" s="30" t="str">
        <f>IF($AH102="","",IF($AH102&lt;Settings!$C$46,"Extreme Sell Pressure",IF($AH102&lt;Settings!$C$47,"Sell Pressure",IF($AH102&lt;=Settings!$C$48,"Neutral",IF($AH102&lt;=Settings!$C$49,"Buy Pressure","Extreme Buy Pressure")))))</f>
        <v>Sell Pressure</v>
      </c>
      <c r="AK102" s="30">
        <f t="shared" si="28"/>
        <v>4</v>
      </c>
      <c r="AL102" s="30">
        <f t="shared" si="29"/>
        <v>2026</v>
      </c>
      <c r="AM102" s="30">
        <f t="shared" si="30"/>
        <v>33</v>
      </c>
      <c r="AN102" s="30">
        <f t="shared" si="31"/>
        <v>8</v>
      </c>
      <c r="AO102" s="29">
        <f>IF($B102="","",IF(AND(N($L102)=0,N($M102)=0),50,IF(N($M102)=0,100,IF(N($L102)=0,0,MEDIAN(0,100,50+50*LN($S102)/LN(Settings!$C$40))))))</f>
        <v>0</v>
      </c>
      <c r="AP102" s="29">
        <f>IF($AA102="",50,MEDIAN(0,100,50+$AA102*100*Settings!$C$41))</f>
        <v>50</v>
      </c>
      <c r="AQ102" s="29">
        <f>IF($H102="",50,MEDIAN(0,100,50+$H102*100*Settings!$C$42))</f>
        <v>17.032967032967036</v>
      </c>
      <c r="AR102" s="29">
        <f>IF(OR($AC102="",$H102=""),50,MEDIAN(0,100,50+SIGN($H102)*50*MEDIAN(0,1,($AC102-1)/Settings!$C$43)))</f>
        <v>50</v>
      </c>
      <c r="AS102" s="29">
        <f>IF(OR($V102="",$W102=""),50,MEDIAN(0,100,50+50*($V102-$W102)/Settings!$C$44))</f>
        <v>0</v>
      </c>
      <c r="AT102" s="29">
        <f t="shared" si="32"/>
        <v>22.9</v>
      </c>
      <c r="AU102" s="30" t="str">
        <f t="shared" si="33"/>
        <v>MCB|2026-08-13</v>
      </c>
      <c r="AV102" s="87">
        <f>IF($A102="","",IF(COUNTIFS($A$4:$A102,$A102)=1,1,0))</f>
        <v>0</v>
      </c>
    </row>
    <row r="103" spans="1:48" x14ac:dyDescent="0.3">
      <c r="A103" s="265">
        <v>46247</v>
      </c>
      <c r="B103" s="266" t="s">
        <v>138</v>
      </c>
      <c r="C103" s="267">
        <v>3820</v>
      </c>
      <c r="D103" s="267">
        <v>3820</v>
      </c>
      <c r="E103" s="267">
        <v>3790</v>
      </c>
      <c r="F103" s="267">
        <v>3800</v>
      </c>
      <c r="G103" s="267">
        <v>3760</v>
      </c>
      <c r="H103" s="268">
        <f t="shared" si="17"/>
        <v>-7.8534031413612926E-3</v>
      </c>
      <c r="I103" s="269">
        <v>5448810</v>
      </c>
      <c r="J103" s="269">
        <v>17</v>
      </c>
      <c r="K103" s="269">
        <v>1437</v>
      </c>
      <c r="L103" s="269">
        <v>469</v>
      </c>
      <c r="M103" s="269">
        <v>5965</v>
      </c>
      <c r="N103" s="269">
        <v>89270000000</v>
      </c>
      <c r="O103" s="266" t="s">
        <v>1106</v>
      </c>
      <c r="P103" s="265">
        <v>46265</v>
      </c>
      <c r="Q103" s="266" t="s">
        <v>1138</v>
      </c>
      <c r="R103" s="23" t="str" cm="1">
        <f t="array" ref="R103">IF($B103="","",IFERROR(IF(INDEX('Data Quality'!$U$4:$U$503,ROW()-3)=0,"PENDING",INDEX('Data Quality'!$U$4:$U$503,ROW()-3)),"PENDING"))</f>
        <v>PASS</v>
      </c>
      <c r="S103" s="24">
        <f t="shared" si="18"/>
        <v>7.8625314333612736E-2</v>
      </c>
      <c r="T103" s="25">
        <f t="shared" si="19"/>
        <v>1777510</v>
      </c>
      <c r="U103" s="25">
        <f t="shared" si="20"/>
        <v>22607350</v>
      </c>
      <c r="V103" s="26">
        <f t="shared" si="21"/>
        <v>1.9911616444494232E-5</v>
      </c>
      <c r="W103" s="26">
        <f t="shared" si="22"/>
        <v>2.5324689145289571E-4</v>
      </c>
      <c r="X103" s="25">
        <f t="shared" si="23"/>
        <v>84.529411764705884</v>
      </c>
      <c r="Y103" s="25">
        <f t="shared" si="24"/>
        <v>320518.23529411765</v>
      </c>
      <c r="Z103" s="27" t="str">
        <f>IF($B103="","",IF($AK103&lt;=Settings!$C$21,"",IFERROR(AVERAGEIFS($S$4:$S$503,$B$4:$B$503,$B103,$AK$4:$AK$503,"&gt;="&amp;$AK103-Settings!$C$21,$AK$4:$AK$503,"&lt;="&amp;$AK103-1),"")))</f>
        <v/>
      </c>
      <c r="AA103" s="28" t="str">
        <f t="shared" si="25"/>
        <v/>
      </c>
      <c r="AB103" s="25" t="str">
        <f>IF($B103="","",IF($AK103&lt;=Settings!$C$22,"",IFERROR(AVERAGEIFS($K$4:$K$503,$B$4:$B$503,$B103,$AK$4:$AK$503,"&gt;="&amp;$AK103-Settings!$C$22,$AK$4:$AK$503,"&lt;="&amp;$AK103-1),"")))</f>
        <v/>
      </c>
      <c r="AC103" s="27" t="str">
        <f t="shared" si="26"/>
        <v/>
      </c>
      <c r="AD103" s="28" t="str">
        <f>IF($B103="","",IF($AK103&lt;=Settings!$C$23,"",IFERROR($E103/SUMIFS($E$4:$E$503,$B$4:$B$503,$B103,$AK$4:$AK$503,$AK103-Settings!$C$23)-1,"")))</f>
        <v/>
      </c>
      <c r="AE103" s="28" t="str">
        <f>IF($B103="","",IF($AK103&lt;=Settings!$C$22,"",IFERROR($E103/SUMIFS($E$4:$E$503,$B$4:$B$503,$B103,$AK$4:$AK$503,$AK103-Settings!$C$22)-1,"")))</f>
        <v/>
      </c>
      <c r="AF103" s="28">
        <f t="shared" si="27"/>
        <v>1.0554089709762533E-2</v>
      </c>
      <c r="AG103" s="29">
        <f>IF($B103="","",ROUND((MIN(100,100*N($I103)/Settings!$C$27)+MIN(100,100*N($K103)/Settings!$C$28)+MIN(100,100*N($J103)/Settings!$C$29))/3,1))</f>
        <v>5.9</v>
      </c>
      <c r="AH103" s="29">
        <f>IF($B103="","",IF(SUM(Settings!$C$32:$C$37)=0,"",ROUND((Settings!$C$32*$AO103+Settings!$C$33*$AP103+Settings!$C$34*$AQ103+Settings!$C$35*$AR103+Settings!$C$36*$AS103+Settings!$C$37*$AT103)/SUM(Settings!$C$32:$C$37),1)))</f>
        <v>31.2</v>
      </c>
      <c r="AI103" s="29">
        <f>IF($B103="","",MAX(0,100-IF(N($N103)&gt;0,0,20)-IF(AND(N($L103)=0,N($M103)=0),15,0)-IF(N($J103)&gt;0,0,10)-IF(N($K103)&gt;0,0,10)-IF($Z103&lt;&gt;"",0,15)-IF($AB103&lt;&gt;"",0,10)-IF($R103="ERROR",20,IF($R103="WARNING",10,0))))</f>
        <v>75</v>
      </c>
      <c r="AJ103" s="30" t="str">
        <f>IF($AH103="","",IF($AH103&lt;Settings!$C$46,"Extreme Sell Pressure",IF($AH103&lt;Settings!$C$47,"Sell Pressure",IF($AH103&lt;=Settings!$C$48,"Neutral",IF($AH103&lt;=Settings!$C$49,"Buy Pressure","Extreme Buy Pressure")))))</f>
        <v>Sell Pressure</v>
      </c>
      <c r="AK103" s="30">
        <f t="shared" si="28"/>
        <v>4</v>
      </c>
      <c r="AL103" s="30">
        <f t="shared" si="29"/>
        <v>2026</v>
      </c>
      <c r="AM103" s="30">
        <f t="shared" si="30"/>
        <v>33</v>
      </c>
      <c r="AN103" s="30">
        <f t="shared" si="31"/>
        <v>8</v>
      </c>
      <c r="AO103" s="29">
        <f>IF($B103="","",IF(AND(N($L103)=0,N($M103)=0),50,IF(N($M103)=0,100,IF(N($L103)=0,0,MEDIAN(0,100,50+50*LN($S103)/LN(Settings!$C$40))))))</f>
        <v>0</v>
      </c>
      <c r="AP103" s="29">
        <f>IF($AA103="",50,MEDIAN(0,100,50+$AA103*100*Settings!$C$41))</f>
        <v>50</v>
      </c>
      <c r="AQ103" s="29">
        <f>IF($H103="",50,MEDIAN(0,100,50+$H103*100*Settings!$C$42))</f>
        <v>42.146596858638709</v>
      </c>
      <c r="AR103" s="29">
        <f>IF(OR($AC103="",$H103=""),50,MEDIAN(0,100,50+SIGN($H103)*50*MEDIAN(0,1,($AC103-1)/Settings!$C$43)))</f>
        <v>50</v>
      </c>
      <c r="AS103" s="29">
        <f>IF(OR($V103="",$W103=""),50,MEDIAN(0,100,50+50*($V103-$W103)/Settings!$C$44))</f>
        <v>26.666472499159852</v>
      </c>
      <c r="AT103" s="29">
        <f t="shared" si="32"/>
        <v>47.05</v>
      </c>
      <c r="AU103" s="30" t="str">
        <f t="shared" si="33"/>
        <v>MKCB|2026-08-13</v>
      </c>
      <c r="AV103" s="87">
        <f>IF($A103="","",IF(COUNTIFS($A$4:$A103,$A103)=1,1,0))</f>
        <v>0</v>
      </c>
    </row>
    <row r="104" spans="1:48" x14ac:dyDescent="0.3">
      <c r="A104" s="265">
        <v>46247</v>
      </c>
      <c r="B104" s="266" t="s">
        <v>140</v>
      </c>
      <c r="C104" s="267">
        <v>465</v>
      </c>
      <c r="D104" s="267">
        <v>465</v>
      </c>
      <c r="E104" s="267">
        <v>465</v>
      </c>
      <c r="F104" s="267">
        <v>470</v>
      </c>
      <c r="G104" s="267">
        <v>465</v>
      </c>
      <c r="H104" s="268">
        <f t="shared" si="17"/>
        <v>0</v>
      </c>
      <c r="I104" s="269">
        <v>213620</v>
      </c>
      <c r="J104" s="269">
        <v>11</v>
      </c>
      <c r="K104" s="269">
        <v>459</v>
      </c>
      <c r="L104" s="269">
        <v>2150</v>
      </c>
      <c r="M104" s="269">
        <v>3589</v>
      </c>
      <c r="N104" s="269">
        <v>15190000000</v>
      </c>
      <c r="O104" s="266" t="s">
        <v>1106</v>
      </c>
      <c r="P104" s="265">
        <v>46265</v>
      </c>
      <c r="Q104" s="266" t="s">
        <v>1138</v>
      </c>
      <c r="R104" s="23" t="str" cm="1">
        <f t="array" ref="R104">IF($B104="","",IFERROR(IF(INDEX('Data Quality'!$U$4:$U$503,ROW()-3)=0,"PENDING",INDEX('Data Quality'!$U$4:$U$503,ROW()-3)),"PENDING"))</f>
        <v>PASS</v>
      </c>
      <c r="S104" s="24">
        <f t="shared" si="18"/>
        <v>0.59905266090833098</v>
      </c>
      <c r="T104" s="25">
        <f t="shared" si="19"/>
        <v>999750</v>
      </c>
      <c r="U104" s="25">
        <f t="shared" si="20"/>
        <v>1668885</v>
      </c>
      <c r="V104" s="26">
        <f t="shared" si="21"/>
        <v>6.581632653061225E-5</v>
      </c>
      <c r="W104" s="26">
        <f t="shared" si="22"/>
        <v>1.0986734693877552E-4</v>
      </c>
      <c r="X104" s="25">
        <f t="shared" si="23"/>
        <v>41.727272727272727</v>
      </c>
      <c r="Y104" s="25">
        <f t="shared" si="24"/>
        <v>19420</v>
      </c>
      <c r="Z104" s="27" t="str">
        <f>IF($B104="","",IF($AK104&lt;=Settings!$C$21,"",IFERROR(AVERAGEIFS($S$4:$S$503,$B$4:$B$503,$B104,$AK$4:$AK$503,"&gt;="&amp;$AK104-Settings!$C$21,$AK$4:$AK$503,"&lt;="&amp;$AK104-1),"")))</f>
        <v/>
      </c>
      <c r="AA104" s="28" t="str">
        <f t="shared" si="25"/>
        <v/>
      </c>
      <c r="AB104" s="25" t="str">
        <f>IF($B104="","",IF($AK104&lt;=Settings!$C$22,"",IFERROR(AVERAGEIFS($K$4:$K$503,$B$4:$B$503,$B104,$AK$4:$AK$503,"&gt;="&amp;$AK104-Settings!$C$22,$AK$4:$AK$503,"&lt;="&amp;$AK104-1),"")))</f>
        <v/>
      </c>
      <c r="AC104" s="27" t="str">
        <f t="shared" si="26"/>
        <v/>
      </c>
      <c r="AD104" s="28" t="str">
        <f>IF($B104="","",IF($AK104&lt;=Settings!$C$23,"",IFERROR($E104/SUMIFS($E$4:$E$503,$B$4:$B$503,$B104,$AK$4:$AK$503,$AK104-Settings!$C$23)-1,"")))</f>
        <v/>
      </c>
      <c r="AE104" s="28" t="str">
        <f>IF($B104="","",IF($AK104&lt;=Settings!$C$22,"",IFERROR($E104/SUMIFS($E$4:$E$503,$B$4:$B$503,$B104,$AK$4:$AK$503,$AK104-Settings!$C$22)-1,"")))</f>
        <v/>
      </c>
      <c r="AF104" s="28">
        <f t="shared" si="27"/>
        <v>1.0752688172043012E-2</v>
      </c>
      <c r="AG104" s="29">
        <f>IF($B104="","",ROUND((MIN(100,100*N($I104)/Settings!$C$27)+MIN(100,100*N($K104)/Settings!$C$28)+MIN(100,100*N($J104)/Settings!$C$29))/3,1))</f>
        <v>3.7</v>
      </c>
      <c r="AH104" s="29">
        <f>IF($B104="","",IF(SUM(Settings!$C$32:$C$37)=0,"",ROUND((Settings!$C$32*$AO104+Settings!$C$33*$AP104+Settings!$C$34*$AQ104+Settings!$C$35*$AR104+Settings!$C$36*$AS104+Settings!$C$37*$AT104)/SUM(Settings!$C$32:$C$37),1)))</f>
        <v>43.9</v>
      </c>
      <c r="AI104" s="29">
        <f>IF($B104="","",MAX(0,100-IF(N($N104)&gt;0,0,20)-IF(AND(N($L104)=0,N($M104)=0),15,0)-IF(N($J104)&gt;0,0,10)-IF(N($K104)&gt;0,0,10)-IF($Z104&lt;&gt;"",0,15)-IF($AB104&lt;&gt;"",0,10)-IF($R104="ERROR",20,IF($R104="WARNING",10,0))))</f>
        <v>75</v>
      </c>
      <c r="AJ104" s="30" t="str">
        <f>IF($AH104="","",IF($AH104&lt;Settings!$C$46,"Extreme Sell Pressure",IF($AH104&lt;Settings!$C$47,"Sell Pressure",IF($AH104&lt;=Settings!$C$48,"Neutral",IF($AH104&lt;=Settings!$C$49,"Buy Pressure","Extreme Buy Pressure")))))</f>
        <v>Neutral</v>
      </c>
      <c r="AK104" s="30">
        <f t="shared" si="28"/>
        <v>4</v>
      </c>
      <c r="AL104" s="30">
        <f t="shared" si="29"/>
        <v>2026</v>
      </c>
      <c r="AM104" s="30">
        <f t="shared" si="30"/>
        <v>33</v>
      </c>
      <c r="AN104" s="30">
        <f t="shared" si="31"/>
        <v>8</v>
      </c>
      <c r="AO104" s="29">
        <f>IF($B104="","",IF(AND(N($L104)=0,N($M104)=0),50,IF(N($M104)=0,100,IF(N($L104)=0,0,MEDIAN(0,100,50+50*LN($S104)/LN(Settings!$C$40))))))</f>
        <v>31.518868416518629</v>
      </c>
      <c r="AP104" s="29">
        <f>IF($AA104="",50,MEDIAN(0,100,50+$AA104*100*Settings!$C$41))</f>
        <v>50</v>
      </c>
      <c r="AQ104" s="29">
        <f>IF($H104="",50,MEDIAN(0,100,50+$H104*100*Settings!$C$42))</f>
        <v>50</v>
      </c>
      <c r="AR104" s="29">
        <f>IF(OR($AC104="",$H104=""),50,MEDIAN(0,100,50+SIGN($H104)*50*MEDIAN(0,1,($AC104-1)/Settings!$C$43)))</f>
        <v>50</v>
      </c>
      <c r="AS104" s="29">
        <f>IF(OR($V104="",$W104=""),50,MEDIAN(0,100,50+50*($V104-$W104)/Settings!$C$44))</f>
        <v>45.594897959183676</v>
      </c>
      <c r="AT104" s="29">
        <f t="shared" si="32"/>
        <v>49.316198131411191</v>
      </c>
      <c r="AU104" s="30" t="str">
        <f t="shared" si="33"/>
        <v>MUCOBA|2026-08-13</v>
      </c>
      <c r="AV104" s="87">
        <f>IF($A104="","",IF(COUNTIFS($A$4:$A104,$A104)=1,1,0))</f>
        <v>0</v>
      </c>
    </row>
    <row r="105" spans="1:48" x14ac:dyDescent="0.3">
      <c r="A105" s="265">
        <v>46247</v>
      </c>
      <c r="B105" s="266" t="s">
        <v>134</v>
      </c>
      <c r="C105" s="267">
        <v>3660</v>
      </c>
      <c r="D105" s="267">
        <v>3660</v>
      </c>
      <c r="E105" s="267">
        <v>3640</v>
      </c>
      <c r="F105" s="267">
        <v>3650</v>
      </c>
      <c r="G105" s="267">
        <v>3600</v>
      </c>
      <c r="H105" s="268">
        <f t="shared" si="17"/>
        <v>-5.464480874316946E-3</v>
      </c>
      <c r="I105" s="269">
        <v>53602300</v>
      </c>
      <c r="J105" s="269">
        <v>83</v>
      </c>
      <c r="K105" s="269">
        <v>14739</v>
      </c>
      <c r="L105" s="269">
        <v>2739</v>
      </c>
      <c r="M105" s="269">
        <v>8987</v>
      </c>
      <c r="N105" s="269">
        <v>224390000000</v>
      </c>
      <c r="O105" s="266" t="s">
        <v>1106</v>
      </c>
      <c r="P105" s="265">
        <v>46265</v>
      </c>
      <c r="Q105" s="266" t="s">
        <v>1138</v>
      </c>
      <c r="R105" s="23" t="str" cm="1">
        <f t="array" ref="R105">IF($B105="","",IFERROR(IF(INDEX('Data Quality'!$U$4:$U$503,ROW()-3)=0,"PENDING",INDEX('Data Quality'!$U$4:$U$503,ROW()-3)),"PENDING"))</f>
        <v>PASS</v>
      </c>
      <c r="S105" s="24">
        <f t="shared" si="18"/>
        <v>0.3047735618115055</v>
      </c>
      <c r="T105" s="25">
        <f t="shared" si="19"/>
        <v>9969960</v>
      </c>
      <c r="U105" s="25">
        <f t="shared" si="20"/>
        <v>32712680</v>
      </c>
      <c r="V105" s="26">
        <f t="shared" si="21"/>
        <v>4.4431391773251931E-5</v>
      </c>
      <c r="W105" s="26">
        <f t="shared" si="22"/>
        <v>1.4578492802709569E-4</v>
      </c>
      <c r="X105" s="25">
        <f t="shared" si="23"/>
        <v>177.57831325301206</v>
      </c>
      <c r="Y105" s="25">
        <f t="shared" si="24"/>
        <v>645810.84337349399</v>
      </c>
      <c r="Z105" s="27" t="str">
        <f>IF($B105="","",IF($AK105&lt;=Settings!$C$21,"",IFERROR(AVERAGEIFS($S$4:$S$503,$B$4:$B$503,$B105,$AK$4:$AK$503,"&gt;="&amp;$AK105-Settings!$C$21,$AK$4:$AK$503,"&lt;="&amp;$AK105-1),"")))</f>
        <v/>
      </c>
      <c r="AA105" s="28" t="str">
        <f t="shared" si="25"/>
        <v/>
      </c>
      <c r="AB105" s="25" t="str">
        <f>IF($B105="","",IF($AK105&lt;=Settings!$C$22,"",IFERROR(AVERAGEIFS($K$4:$K$503,$B$4:$B$503,$B105,$AK$4:$AK$503,"&gt;="&amp;$AK105-Settings!$C$22,$AK$4:$AK$503,"&lt;="&amp;$AK105-1),"")))</f>
        <v/>
      </c>
      <c r="AC105" s="27" t="str">
        <f t="shared" si="26"/>
        <v/>
      </c>
      <c r="AD105" s="28" t="str">
        <f>IF($B105="","",IF($AK105&lt;=Settings!$C$23,"",IFERROR($E105/SUMIFS($E$4:$E$503,$B$4:$B$503,$B105,$AK$4:$AK$503,$AK105-Settings!$C$23)-1,"")))</f>
        <v/>
      </c>
      <c r="AE105" s="28" t="str">
        <f>IF($B105="","",IF($AK105&lt;=Settings!$C$22,"",IFERROR($E105/SUMIFS($E$4:$E$503,$B$4:$B$503,$B105,$AK$4:$AK$503,$AK105-Settings!$C$22)-1,"")))</f>
        <v/>
      </c>
      <c r="AF105" s="28">
        <f t="shared" si="27"/>
        <v>1.3736263736263736E-2</v>
      </c>
      <c r="AG105" s="29">
        <f>IF($B105="","",ROUND((MIN(100,100*N($I105)/Settings!$C$27)+MIN(100,100*N($K105)/Settings!$C$28)+MIN(100,100*N($J105)/Settings!$C$29))/3,1))</f>
        <v>30.4</v>
      </c>
      <c r="AH105" s="29">
        <f>IF($B105="","",IF(SUM(Settings!$C$32:$C$37)=0,"",ROUND((Settings!$C$32*$AO105+Settings!$C$33*$AP105+Settings!$C$34*$AQ105+Settings!$C$35*$AR105+Settings!$C$36*$AS105+Settings!$C$37*$AT105)/SUM(Settings!$C$32:$C$37),1)))</f>
        <v>34</v>
      </c>
      <c r="AI105" s="29">
        <f>IF($B105="","",MAX(0,100-IF(N($N105)&gt;0,0,20)-IF(AND(N($L105)=0,N($M105)=0),15,0)-IF(N($J105)&gt;0,0,10)-IF(N($K105)&gt;0,0,10)-IF($Z105&lt;&gt;"",0,15)-IF($AB105&lt;&gt;"",0,10)-IF($R105="ERROR",20,IF($R105="WARNING",10,0))))</f>
        <v>75</v>
      </c>
      <c r="AJ105" s="30" t="str">
        <f>IF($AH105="","",IF($AH105&lt;Settings!$C$46,"Extreme Sell Pressure",IF($AH105&lt;Settings!$C$47,"Sell Pressure",IF($AH105&lt;=Settings!$C$48,"Neutral",IF($AH105&lt;=Settings!$C$49,"Buy Pressure","Extreme Buy Pressure")))))</f>
        <v>Sell Pressure</v>
      </c>
      <c r="AK105" s="30">
        <f t="shared" si="28"/>
        <v>4</v>
      </c>
      <c r="AL105" s="30">
        <f t="shared" si="29"/>
        <v>2026</v>
      </c>
      <c r="AM105" s="30">
        <f t="shared" si="30"/>
        <v>33</v>
      </c>
      <c r="AN105" s="30">
        <f t="shared" si="31"/>
        <v>8</v>
      </c>
      <c r="AO105" s="29">
        <f>IF($B105="","",IF(AND(N($L105)=0,N($M105)=0),50,IF(N($M105)=0,100,IF(N($L105)=0,0,MEDIAN(0,100,50+50*LN($S105)/LN(Settings!$C$40))))))</f>
        <v>7.1452415980599326</v>
      </c>
      <c r="AP105" s="29">
        <f>IF($AA105="",50,MEDIAN(0,100,50+$AA105*100*Settings!$C$41))</f>
        <v>50</v>
      </c>
      <c r="AQ105" s="29">
        <f>IF($H105="",50,MEDIAN(0,100,50+$H105*100*Settings!$C$42))</f>
        <v>44.535519125683052</v>
      </c>
      <c r="AR105" s="29">
        <f>IF(OR($AC105="",$H105=""),50,MEDIAN(0,100,50+SIGN($H105)*50*MEDIAN(0,1,($AC105-1)/Settings!$C$43)))</f>
        <v>50</v>
      </c>
      <c r="AS105" s="29">
        <f>IF(OR($V105="",$W105=""),50,MEDIAN(0,100,50+50*($V105-$W105)/Settings!$C$44))</f>
        <v>39.864646374615624</v>
      </c>
      <c r="AT105" s="29">
        <f t="shared" si="32"/>
        <v>36.972153445810221</v>
      </c>
      <c r="AU105" s="30" t="str">
        <f t="shared" si="33"/>
        <v>NICO|2026-08-13</v>
      </c>
      <c r="AV105" s="87">
        <f>IF($A105="","",IF(COUNTIFS($A$4:$A105,$A105)=1,1,0))</f>
        <v>0</v>
      </c>
    </row>
    <row r="106" spans="1:48" x14ac:dyDescent="0.3">
      <c r="A106" s="265">
        <v>46247</v>
      </c>
      <c r="B106" s="266" t="s">
        <v>28</v>
      </c>
      <c r="C106" s="267">
        <v>17600</v>
      </c>
      <c r="D106" s="267">
        <v>17600</v>
      </c>
      <c r="E106" s="267">
        <v>17650</v>
      </c>
      <c r="F106" s="267">
        <v>17700</v>
      </c>
      <c r="G106" s="267">
        <v>17610</v>
      </c>
      <c r="H106" s="268">
        <f t="shared" si="17"/>
        <v>2.8409090909091717E-3</v>
      </c>
      <c r="I106" s="269">
        <v>2817334500</v>
      </c>
      <c r="J106" s="269">
        <v>416</v>
      </c>
      <c r="K106" s="269">
        <v>159601</v>
      </c>
      <c r="L106" s="269">
        <v>16961</v>
      </c>
      <c r="M106" s="269">
        <v>15880</v>
      </c>
      <c r="N106" s="269">
        <v>8825000000000</v>
      </c>
      <c r="O106" s="266" t="s">
        <v>1106</v>
      </c>
      <c r="P106" s="265">
        <v>46265</v>
      </c>
      <c r="Q106" s="266" t="s">
        <v>1138</v>
      </c>
      <c r="R106" s="23" t="str" cm="1">
        <f t="array" ref="R106">IF($B106="","",IFERROR(IF(INDEX('Data Quality'!$U$4:$U$503,ROW()-3)=0,"PENDING",INDEX('Data Quality'!$U$4:$U$503,ROW()-3)),"PENDING"))</f>
        <v>PASS</v>
      </c>
      <c r="S106" s="24">
        <f t="shared" si="18"/>
        <v>1.068073047858942</v>
      </c>
      <c r="T106" s="25">
        <f t="shared" si="19"/>
        <v>299361650</v>
      </c>
      <c r="U106" s="25">
        <f t="shared" si="20"/>
        <v>280282000</v>
      </c>
      <c r="V106" s="26">
        <f t="shared" si="21"/>
        <v>3.3921999999999998E-5</v>
      </c>
      <c r="W106" s="26">
        <f t="shared" si="22"/>
        <v>3.1760000000000001E-5</v>
      </c>
      <c r="X106" s="25">
        <f t="shared" si="23"/>
        <v>383.65625</v>
      </c>
      <c r="Y106" s="25">
        <f t="shared" si="24"/>
        <v>6772438.701923077</v>
      </c>
      <c r="Z106" s="27" t="str">
        <f>IF($B106="","",IF($AK106&lt;=Settings!$C$21,"",IFERROR(AVERAGEIFS($S$4:$S$503,$B$4:$B$503,$B106,$AK$4:$AK$503,"&gt;="&amp;$AK106-Settings!$C$21,$AK$4:$AK$503,"&lt;="&amp;$AK106-1),"")))</f>
        <v/>
      </c>
      <c r="AA106" s="28" t="str">
        <f t="shared" si="25"/>
        <v/>
      </c>
      <c r="AB106" s="25" t="str">
        <f>IF($B106="","",IF($AK106&lt;=Settings!$C$22,"",IFERROR(AVERAGEIFS($K$4:$K$503,$B$4:$B$503,$B106,$AK$4:$AK$503,"&gt;="&amp;$AK106-Settings!$C$22,$AK$4:$AK$503,"&lt;="&amp;$AK106-1),"")))</f>
        <v/>
      </c>
      <c r="AC106" s="27" t="str">
        <f t="shared" si="26"/>
        <v/>
      </c>
      <c r="AD106" s="28" t="str">
        <f>IF($B106="","",IF($AK106&lt;=Settings!$C$23,"",IFERROR($E106/SUMIFS($E$4:$E$503,$B$4:$B$503,$B106,$AK$4:$AK$503,$AK106-Settings!$C$23)-1,"")))</f>
        <v/>
      </c>
      <c r="AE106" s="28" t="str">
        <f>IF($B106="","",IF($AK106&lt;=Settings!$C$22,"",IFERROR($E106/SUMIFS($E$4:$E$503,$B$4:$B$503,$B106,$AK$4:$AK$503,$AK106-Settings!$C$22)-1,"")))</f>
        <v/>
      </c>
      <c r="AF106" s="28">
        <f t="shared" si="27"/>
        <v>5.0991501416430595E-3</v>
      </c>
      <c r="AG106" s="29">
        <f>IF($B106="","",ROUND((MIN(100,100*N($I106)/Settings!$C$27)+MIN(100,100*N($K106)/Settings!$C$28)+MIN(100,100*N($J106)/Settings!$C$29))/3,1))</f>
        <v>77.3</v>
      </c>
      <c r="AH106" s="29">
        <f>IF($B106="","",IF(SUM(Settings!$C$32:$C$37)=0,"",ROUND((Settings!$C$32*$AO106+Settings!$C$33*$AP106+Settings!$C$34*$AQ106+Settings!$C$35*$AR106+Settings!$C$36*$AS106+Settings!$C$37*$AT106)/SUM(Settings!$C$32:$C$37),1)))</f>
        <v>51.3</v>
      </c>
      <c r="AI106" s="29">
        <f>IF($B106="","",MAX(0,100-IF(N($N106)&gt;0,0,20)-IF(AND(N($L106)=0,N($M106)=0),15,0)-IF(N($J106)&gt;0,0,10)-IF(N($K106)&gt;0,0,10)-IF($Z106&lt;&gt;"",0,15)-IF($AB106&lt;&gt;"",0,10)-IF($R106="ERROR",20,IF($R106="WARNING",10,0))))</f>
        <v>75</v>
      </c>
      <c r="AJ106" s="30" t="str">
        <f>IF($AH106="","",IF($AH106&lt;Settings!$C$46,"Extreme Sell Pressure",IF($AH106&lt;Settings!$C$47,"Sell Pressure",IF($AH106&lt;=Settings!$C$48,"Neutral",IF($AH106&lt;=Settings!$C$49,"Buy Pressure","Extreme Buy Pressure")))))</f>
        <v>Neutral</v>
      </c>
      <c r="AK106" s="30">
        <f t="shared" si="28"/>
        <v>4</v>
      </c>
      <c r="AL106" s="30">
        <f t="shared" si="29"/>
        <v>2026</v>
      </c>
      <c r="AM106" s="30">
        <f t="shared" si="30"/>
        <v>33</v>
      </c>
      <c r="AN106" s="30">
        <f t="shared" si="31"/>
        <v>8</v>
      </c>
      <c r="AO106" s="29">
        <f>IF($B106="","",IF(AND(N($L106)=0,N($M106)=0),50,IF(N($M106)=0,100,IF(N($L106)=0,0,MEDIAN(0,100,50+50*LN($S106)/LN(Settings!$C$40))))))</f>
        <v>52.375257986965757</v>
      </c>
      <c r="AP106" s="29">
        <f>IF($AA106="",50,MEDIAN(0,100,50+$AA106*100*Settings!$C$41))</f>
        <v>50</v>
      </c>
      <c r="AQ106" s="29">
        <f>IF($H106="",50,MEDIAN(0,100,50+$H106*100*Settings!$C$42))</f>
        <v>52.840909090909172</v>
      </c>
      <c r="AR106" s="29">
        <f>IF(OR($AC106="",$H106=""),50,MEDIAN(0,100,50+SIGN($H106)*50*MEDIAN(0,1,($AC106-1)/Settings!$C$43)))</f>
        <v>50</v>
      </c>
      <c r="AS106" s="29">
        <f>IF(OR($V106="",$W106=""),50,MEDIAN(0,100,50+50*($V106-$W106)/Settings!$C$44))</f>
        <v>50.216200000000001</v>
      </c>
      <c r="AT106" s="29">
        <f t="shared" si="32"/>
        <v>51.836074423924529</v>
      </c>
      <c r="AU106" s="30" t="str">
        <f t="shared" si="33"/>
        <v>NMB|2026-08-13</v>
      </c>
      <c r="AV106" s="87">
        <f>IF($A106="","",IF(COUNTIFS($A$4:$A106,$A106)=1,1,0))</f>
        <v>0</v>
      </c>
    </row>
    <row r="107" spans="1:48" x14ac:dyDescent="0.3">
      <c r="A107" s="265">
        <v>46247</v>
      </c>
      <c r="B107" s="266" t="s">
        <v>1100</v>
      </c>
      <c r="C107" s="267">
        <v>280</v>
      </c>
      <c r="D107" s="267">
        <v>280</v>
      </c>
      <c r="E107" s="267">
        <v>280</v>
      </c>
      <c r="F107" s="267"/>
      <c r="G107" s="267"/>
      <c r="H107" s="268">
        <f t="shared" si="17"/>
        <v>0</v>
      </c>
      <c r="I107" s="269">
        <v>0</v>
      </c>
      <c r="J107" s="269">
        <v>0</v>
      </c>
      <c r="K107" s="269">
        <v>0</v>
      </c>
      <c r="L107" s="269">
        <v>198</v>
      </c>
      <c r="M107" s="269">
        <v>0</v>
      </c>
      <c r="N107" s="269">
        <v>52790000000</v>
      </c>
      <c r="O107" s="266" t="s">
        <v>1106</v>
      </c>
      <c r="P107" s="265">
        <v>46265</v>
      </c>
      <c r="Q107" s="266" t="s">
        <v>1138</v>
      </c>
      <c r="R107" s="23" t="str" cm="1">
        <f t="array" ref="R107">IF($B107="","",IFERROR(IF(INDEX('Data Quality'!$U$4:$U$503,ROW()-3)=0,"PENDING",INDEX('Data Quality'!$U$4:$U$503,ROW()-3)),"PENDING"))</f>
        <v>PASS</v>
      </c>
      <c r="S107" s="24" t="str">
        <f t="shared" si="18"/>
        <v/>
      </c>
      <c r="T107" s="25">
        <f t="shared" si="19"/>
        <v>55440</v>
      </c>
      <c r="U107" s="25">
        <f t="shared" si="20"/>
        <v>0</v>
      </c>
      <c r="V107" s="26">
        <f t="shared" si="21"/>
        <v>1.0501989013070658E-6</v>
      </c>
      <c r="W107" s="26">
        <f t="shared" si="22"/>
        <v>0</v>
      </c>
      <c r="X107" s="25" t="str">
        <f t="shared" si="23"/>
        <v/>
      </c>
      <c r="Y107" s="25" t="str">
        <f t="shared" si="24"/>
        <v/>
      </c>
      <c r="Z107" s="27" t="str">
        <f>IF($B107="","",IF($AK107&lt;=Settings!$C$21,"",IFERROR(AVERAGEIFS($S$4:$S$503,$B$4:$B$503,$B107,$AK$4:$AK$503,"&gt;="&amp;$AK107-Settings!$C$21,$AK$4:$AK$503,"&lt;="&amp;$AK107-1),"")))</f>
        <v/>
      </c>
      <c r="AA107" s="28" t="str">
        <f t="shared" si="25"/>
        <v/>
      </c>
      <c r="AB107" s="25" t="str">
        <f>IF($B107="","",IF($AK107&lt;=Settings!$C$22,"",IFERROR(AVERAGEIFS($K$4:$K$503,$B$4:$B$503,$B107,$AK$4:$AK$503,"&gt;="&amp;$AK107-Settings!$C$22,$AK$4:$AK$503,"&lt;="&amp;$AK107-1),"")))</f>
        <v/>
      </c>
      <c r="AC107" s="27" t="str">
        <f t="shared" si="26"/>
        <v/>
      </c>
      <c r="AD107" s="28" t="str">
        <f>IF($B107="","",IF($AK107&lt;=Settings!$C$23,"",IFERROR($E107/SUMIFS($E$4:$E$503,$B$4:$B$503,$B107,$AK$4:$AK$503,$AK107-Settings!$C$23)-1,"")))</f>
        <v/>
      </c>
      <c r="AE107" s="28" t="str">
        <f>IF($B107="","",IF($AK107&lt;=Settings!$C$22,"",IFERROR($E107/SUMIFS($E$4:$E$503,$B$4:$B$503,$B107,$AK$4:$AK$503,$AK107-Settings!$C$22)-1,"")))</f>
        <v/>
      </c>
      <c r="AF107" s="28">
        <f t="shared" si="27"/>
        <v>0</v>
      </c>
      <c r="AG107" s="29">
        <f>IF($B107="","",ROUND((MIN(100,100*N($I107)/Settings!$C$27)+MIN(100,100*N($K107)/Settings!$C$28)+MIN(100,100*N($J107)/Settings!$C$29))/3,1))</f>
        <v>0</v>
      </c>
      <c r="AH107" s="29">
        <f>IF($B107="","",IF(SUM(Settings!$C$32:$C$37)=0,"",ROUND((Settings!$C$32*$AO107+Settings!$C$33*$AP107+Settings!$C$34*$AQ107+Settings!$C$35*$AR107+Settings!$C$36*$AS107+Settings!$C$37*$AT107)/SUM(Settings!$C$32:$C$37),1)))</f>
        <v>65</v>
      </c>
      <c r="AI107" s="29">
        <f>IF($B107="","",MAX(0,100-IF(N($N107)&gt;0,0,20)-IF(AND(N($L107)=0,N($M107)=0),15,0)-IF(N($J107)&gt;0,0,10)-IF(N($K107)&gt;0,0,10)-IF($Z107&lt;&gt;"",0,15)-IF($AB107&lt;&gt;"",0,10)-IF($R107="ERROR",20,IF($R107="WARNING",10,0))))</f>
        <v>55</v>
      </c>
      <c r="AJ107" s="30" t="str">
        <f>IF($AH107="","",IF($AH107&lt;Settings!$C$46,"Extreme Sell Pressure",IF($AH107&lt;Settings!$C$47,"Sell Pressure",IF($AH107&lt;=Settings!$C$48,"Neutral",IF($AH107&lt;=Settings!$C$49,"Buy Pressure","Extreme Buy Pressure")))))</f>
        <v>Buy Pressure</v>
      </c>
      <c r="AK107" s="30">
        <f t="shared" si="28"/>
        <v>4</v>
      </c>
      <c r="AL107" s="30">
        <f t="shared" si="29"/>
        <v>2026</v>
      </c>
      <c r="AM107" s="30">
        <f t="shared" si="30"/>
        <v>33</v>
      </c>
      <c r="AN107" s="30">
        <f t="shared" si="31"/>
        <v>8</v>
      </c>
      <c r="AO107" s="29">
        <f>IF($B107="","",IF(AND(N($L107)=0,N($M107)=0),50,IF(N($M107)=0,100,IF(N($L107)=0,0,MEDIAN(0,100,50+50*LN($S107)/LN(Settings!$C$40))))))</f>
        <v>100</v>
      </c>
      <c r="AP107" s="29">
        <f>IF($AA107="",50,MEDIAN(0,100,50+$AA107*100*Settings!$C$41))</f>
        <v>50</v>
      </c>
      <c r="AQ107" s="29">
        <f>IF($H107="",50,MEDIAN(0,100,50+$H107*100*Settings!$C$42))</f>
        <v>50</v>
      </c>
      <c r="AR107" s="29">
        <f>IF(OR($AC107="",$H107=""),50,MEDIAN(0,100,50+SIGN($H107)*50*MEDIAN(0,1,($AC107-1)/Settings!$C$43)))</f>
        <v>50</v>
      </c>
      <c r="AS107" s="29">
        <f>IF(OR($V107="",$W107=""),50,MEDIAN(0,100,50+50*($V107-$W107)/Settings!$C$44))</f>
        <v>50.105019890130706</v>
      </c>
      <c r="AT107" s="29">
        <f t="shared" si="32"/>
        <v>50</v>
      </c>
      <c r="AU107" s="30" t="str">
        <f t="shared" si="33"/>
        <v>NMG|2026-08-13</v>
      </c>
      <c r="AV107" s="87">
        <f>IF($A107="","",IF(COUNTIFS($A$4:$A107,$A107)=1,1,0))</f>
        <v>0</v>
      </c>
    </row>
    <row r="108" spans="1:48" x14ac:dyDescent="0.3">
      <c r="A108" s="265">
        <v>46247</v>
      </c>
      <c r="B108" s="266" t="s">
        <v>143</v>
      </c>
      <c r="C108" s="267">
        <v>300</v>
      </c>
      <c r="D108" s="267">
        <v>300</v>
      </c>
      <c r="E108" s="267">
        <v>340</v>
      </c>
      <c r="F108" s="267">
        <v>345</v>
      </c>
      <c r="G108" s="267">
        <v>300</v>
      </c>
      <c r="H108" s="268">
        <f t="shared" si="17"/>
        <v>0.1333333333333333</v>
      </c>
      <c r="I108" s="269">
        <v>2307325</v>
      </c>
      <c r="J108" s="269">
        <v>64</v>
      </c>
      <c r="K108" s="269">
        <v>6864</v>
      </c>
      <c r="L108" s="269">
        <v>3469</v>
      </c>
      <c r="M108" s="269">
        <v>1553</v>
      </c>
      <c r="N108" s="269">
        <v>54560000000</v>
      </c>
      <c r="O108" s="266" t="s">
        <v>1106</v>
      </c>
      <c r="P108" s="265">
        <v>46265</v>
      </c>
      <c r="Q108" s="266" t="s">
        <v>1138</v>
      </c>
      <c r="R108" s="23" t="str" cm="1">
        <f t="array" ref="R108">IF($B108="","",IFERROR(IF(INDEX('Data Quality'!$U$4:$U$503,ROW()-3)=0,"PENDING",INDEX('Data Quality'!$U$4:$U$503,ROW()-3)),"PENDING"))</f>
        <v>PASS</v>
      </c>
      <c r="S108" s="24">
        <f t="shared" si="18"/>
        <v>2.2337411461687058</v>
      </c>
      <c r="T108" s="25">
        <f t="shared" si="19"/>
        <v>1179460</v>
      </c>
      <c r="U108" s="25">
        <f t="shared" si="20"/>
        <v>528020</v>
      </c>
      <c r="V108" s="26">
        <f t="shared" si="21"/>
        <v>2.1617668621700879E-5</v>
      </c>
      <c r="W108" s="26">
        <f t="shared" si="22"/>
        <v>9.677785923753666E-6</v>
      </c>
      <c r="X108" s="25">
        <f t="shared" si="23"/>
        <v>107.25</v>
      </c>
      <c r="Y108" s="25">
        <f t="shared" si="24"/>
        <v>36051.953125</v>
      </c>
      <c r="Z108" s="27" t="str">
        <f>IF($B108="","",IF($AK108&lt;=Settings!$C$21,"",IFERROR(AVERAGEIFS($S$4:$S$503,$B$4:$B$503,$B108,$AK$4:$AK$503,"&gt;="&amp;$AK108-Settings!$C$21,$AK$4:$AK$503,"&lt;="&amp;$AK108-1),"")))</f>
        <v/>
      </c>
      <c r="AA108" s="28" t="str">
        <f t="shared" si="25"/>
        <v/>
      </c>
      <c r="AB108" s="25" t="str">
        <f>IF($B108="","",IF($AK108&lt;=Settings!$C$22,"",IFERROR(AVERAGEIFS($K$4:$K$503,$B$4:$B$503,$B108,$AK$4:$AK$503,"&gt;="&amp;$AK108-Settings!$C$22,$AK$4:$AK$503,"&lt;="&amp;$AK108-1),"")))</f>
        <v/>
      </c>
      <c r="AC108" s="27" t="str">
        <f t="shared" si="26"/>
        <v/>
      </c>
      <c r="AD108" s="28" t="str">
        <f>IF($B108="","",IF($AK108&lt;=Settings!$C$23,"",IFERROR($E108/SUMIFS($E$4:$E$503,$B$4:$B$503,$B108,$AK$4:$AK$503,$AK108-Settings!$C$23)-1,"")))</f>
        <v/>
      </c>
      <c r="AE108" s="28" t="str">
        <f>IF($B108="","",IF($AK108&lt;=Settings!$C$22,"",IFERROR($E108/SUMIFS($E$4:$E$503,$B$4:$B$503,$B108,$AK$4:$AK$503,$AK108-Settings!$C$22)-1,"")))</f>
        <v/>
      </c>
      <c r="AF108" s="28">
        <f t="shared" si="27"/>
        <v>0.13235294117647059</v>
      </c>
      <c r="AG108" s="29">
        <f>IF($B108="","",ROUND((MIN(100,100*N($I108)/Settings!$C$27)+MIN(100,100*N($K108)/Settings!$C$28)+MIN(100,100*N($J108)/Settings!$C$29))/3,1))</f>
        <v>21.9</v>
      </c>
      <c r="AH108" s="29">
        <f>IF($B108="","",IF(SUM(Settings!$C$32:$C$37)=0,"",ROUND((Settings!$C$32*$AO108+Settings!$C$33*$AP108+Settings!$C$34*$AQ108+Settings!$C$35*$AR108+Settings!$C$36*$AS108+Settings!$C$37*$AT108)/SUM(Settings!$C$32:$C$37),1)))</f>
        <v>67</v>
      </c>
      <c r="AI108" s="29">
        <f>IF($B108="","",MAX(0,100-IF(N($N108)&gt;0,0,20)-IF(AND(N($L108)=0,N($M108)=0),15,0)-IF(N($J108)&gt;0,0,10)-IF(N($K108)&gt;0,0,10)-IF($Z108&lt;&gt;"",0,15)-IF($AB108&lt;&gt;"",0,10)-IF($R108="ERROR",20,IF($R108="WARNING",10,0))))</f>
        <v>75</v>
      </c>
      <c r="AJ108" s="30" t="str">
        <f>IF($AH108="","",IF($AH108&lt;Settings!$C$46,"Extreme Sell Pressure",IF($AH108&lt;Settings!$C$47,"Sell Pressure",IF($AH108&lt;=Settings!$C$48,"Neutral",IF($AH108&lt;=Settings!$C$49,"Buy Pressure","Extreme Buy Pressure")))))</f>
        <v>Buy Pressure</v>
      </c>
      <c r="AK108" s="30">
        <f t="shared" si="28"/>
        <v>4</v>
      </c>
      <c r="AL108" s="30">
        <f t="shared" si="29"/>
        <v>2026</v>
      </c>
      <c r="AM108" s="30">
        <f t="shared" si="30"/>
        <v>33</v>
      </c>
      <c r="AN108" s="30">
        <f t="shared" si="31"/>
        <v>8</v>
      </c>
      <c r="AO108" s="29">
        <f>IF($B108="","",IF(AND(N($L108)=0,N($M108)=0),50,IF(N($M108)=0,100,IF(N($L108)=0,0,MEDIAN(0,100,50+50*LN($S108)/LN(Settings!$C$40))))))</f>
        <v>78.986550272477032</v>
      </c>
      <c r="AP108" s="29">
        <f>IF($AA108="",50,MEDIAN(0,100,50+$AA108*100*Settings!$C$41))</f>
        <v>50</v>
      </c>
      <c r="AQ108" s="29">
        <f>IF($H108="",50,MEDIAN(0,100,50+$H108*100*Settings!$C$42))</f>
        <v>100</v>
      </c>
      <c r="AR108" s="29">
        <f>IF(OR($AC108="",$H108=""),50,MEDIAN(0,100,50+SIGN($H108)*50*MEDIAN(0,1,($AC108-1)/Settings!$C$43)))</f>
        <v>50</v>
      </c>
      <c r="AS108" s="29">
        <f>IF(OR($V108="",$W108=""),50,MEDIAN(0,100,50+50*($V108-$W108)/Settings!$C$44))</f>
        <v>51.193988269794723</v>
      </c>
      <c r="AT108" s="29">
        <f t="shared" si="32"/>
        <v>56.348054509672465</v>
      </c>
      <c r="AU108" s="30" t="str">
        <f t="shared" si="33"/>
        <v>PAL|2026-08-13</v>
      </c>
      <c r="AV108" s="87">
        <f>IF($A108="","",IF(COUNTIFS($A$4:$A108,$A108)=1,1,0))</f>
        <v>0</v>
      </c>
    </row>
    <row r="109" spans="1:48" x14ac:dyDescent="0.3">
      <c r="A109" s="265">
        <v>46247</v>
      </c>
      <c r="B109" s="266" t="s">
        <v>1101</v>
      </c>
      <c r="C109" s="267">
        <v>450</v>
      </c>
      <c r="D109" s="267">
        <v>450</v>
      </c>
      <c r="E109" s="267">
        <v>450</v>
      </c>
      <c r="F109" s="267"/>
      <c r="G109" s="267"/>
      <c r="H109" s="268">
        <f t="shared" si="17"/>
        <v>0</v>
      </c>
      <c r="I109" s="269">
        <v>0</v>
      </c>
      <c r="J109" s="269">
        <v>0</v>
      </c>
      <c r="K109" s="269">
        <v>0</v>
      </c>
      <c r="L109" s="269">
        <v>0</v>
      </c>
      <c r="M109" s="269">
        <v>0</v>
      </c>
      <c r="N109" s="269">
        <v>47790000000</v>
      </c>
      <c r="O109" s="266" t="s">
        <v>1106</v>
      </c>
      <c r="P109" s="265">
        <v>46265</v>
      </c>
      <c r="Q109" s="266" t="s">
        <v>1138</v>
      </c>
      <c r="R109" s="23" t="str" cm="1">
        <f t="array" ref="R109">IF($B109="","",IFERROR(IF(INDEX('Data Quality'!$U$4:$U$503,ROW()-3)=0,"PENDING",INDEX('Data Quality'!$U$4:$U$503,ROW()-3)),"PENDING"))</f>
        <v>WARNING</v>
      </c>
      <c r="S109" s="24" t="str">
        <f t="shared" si="18"/>
        <v/>
      </c>
      <c r="T109" s="25">
        <f t="shared" si="19"/>
        <v>0</v>
      </c>
      <c r="U109" s="25">
        <f t="shared" si="20"/>
        <v>0</v>
      </c>
      <c r="V109" s="26">
        <f t="shared" si="21"/>
        <v>0</v>
      </c>
      <c r="W109" s="26">
        <f t="shared" si="22"/>
        <v>0</v>
      </c>
      <c r="X109" s="25" t="str">
        <f t="shared" si="23"/>
        <v/>
      </c>
      <c r="Y109" s="25" t="str">
        <f t="shared" si="24"/>
        <v/>
      </c>
      <c r="Z109" s="27" t="str">
        <f>IF($B109="","",IF($AK109&lt;=Settings!$C$21,"",IFERROR(AVERAGEIFS($S$4:$S$503,$B$4:$B$503,$B109,$AK$4:$AK$503,"&gt;="&amp;$AK109-Settings!$C$21,$AK$4:$AK$503,"&lt;="&amp;$AK109-1),"")))</f>
        <v/>
      </c>
      <c r="AA109" s="28" t="str">
        <f t="shared" si="25"/>
        <v/>
      </c>
      <c r="AB109" s="25" t="str">
        <f>IF($B109="","",IF($AK109&lt;=Settings!$C$22,"",IFERROR(AVERAGEIFS($K$4:$K$503,$B$4:$B$503,$B109,$AK$4:$AK$503,"&gt;="&amp;$AK109-Settings!$C$22,$AK$4:$AK$503,"&lt;="&amp;$AK109-1),"")))</f>
        <v/>
      </c>
      <c r="AC109" s="27" t="str">
        <f t="shared" si="26"/>
        <v/>
      </c>
      <c r="AD109" s="28" t="str">
        <f>IF($B109="","",IF($AK109&lt;=Settings!$C$23,"",IFERROR($E109/SUMIFS($E$4:$E$503,$B$4:$B$503,$B109,$AK$4:$AK$503,$AK109-Settings!$C$23)-1,"")))</f>
        <v/>
      </c>
      <c r="AE109" s="28" t="str">
        <f>IF($B109="","",IF($AK109&lt;=Settings!$C$22,"",IFERROR($E109/SUMIFS($E$4:$E$503,$B$4:$B$503,$B109,$AK$4:$AK$503,$AK109-Settings!$C$22)-1,"")))</f>
        <v/>
      </c>
      <c r="AF109" s="28">
        <f t="shared" si="27"/>
        <v>0</v>
      </c>
      <c r="AG109" s="29">
        <f>IF($B109="","",ROUND((MIN(100,100*N($I109)/Settings!$C$27)+MIN(100,100*N($K109)/Settings!$C$28)+MIN(100,100*N($J109)/Settings!$C$29))/3,1))</f>
        <v>0</v>
      </c>
      <c r="AH109" s="29">
        <f>IF($B109="","",IF(SUM(Settings!$C$32:$C$37)=0,"",ROUND((Settings!$C$32*$AO109+Settings!$C$33*$AP109+Settings!$C$34*$AQ109+Settings!$C$35*$AR109+Settings!$C$36*$AS109+Settings!$C$37*$AT109)/SUM(Settings!$C$32:$C$37),1)))</f>
        <v>50</v>
      </c>
      <c r="AI109" s="29">
        <f>IF($B109="","",MAX(0,100-IF(N($N109)&gt;0,0,20)-IF(AND(N($L109)=0,N($M109)=0),15,0)-IF(N($J109)&gt;0,0,10)-IF(N($K109)&gt;0,0,10)-IF($Z109&lt;&gt;"",0,15)-IF($AB109&lt;&gt;"",0,10)-IF($R109="ERROR",20,IF($R109="WARNING",10,0))))</f>
        <v>30</v>
      </c>
      <c r="AJ109" s="30" t="str">
        <f>IF($AH109="","",IF($AH109&lt;Settings!$C$46,"Extreme Sell Pressure",IF($AH109&lt;Settings!$C$47,"Sell Pressure",IF($AH109&lt;=Settings!$C$48,"Neutral",IF($AH109&lt;=Settings!$C$49,"Buy Pressure","Extreme Buy Pressure")))))</f>
        <v>Neutral</v>
      </c>
      <c r="AK109" s="30">
        <f t="shared" si="28"/>
        <v>4</v>
      </c>
      <c r="AL109" s="30">
        <f t="shared" si="29"/>
        <v>2026</v>
      </c>
      <c r="AM109" s="30">
        <f t="shared" si="30"/>
        <v>33</v>
      </c>
      <c r="AN109" s="30">
        <f t="shared" si="31"/>
        <v>8</v>
      </c>
      <c r="AO109" s="29">
        <f>IF($B109="","",IF(AND(N($L109)=0,N($M109)=0),50,IF(N($M109)=0,100,IF(N($L109)=0,0,MEDIAN(0,100,50+50*LN($S109)/LN(Settings!$C$40))))))</f>
        <v>50</v>
      </c>
      <c r="AP109" s="29">
        <f>IF($AA109="",50,MEDIAN(0,100,50+$AA109*100*Settings!$C$41))</f>
        <v>50</v>
      </c>
      <c r="AQ109" s="29">
        <f>IF($H109="",50,MEDIAN(0,100,50+$H109*100*Settings!$C$42))</f>
        <v>50</v>
      </c>
      <c r="AR109" s="29">
        <f>IF(OR($AC109="",$H109=""),50,MEDIAN(0,100,50+SIGN($H109)*50*MEDIAN(0,1,($AC109-1)/Settings!$C$43)))</f>
        <v>50</v>
      </c>
      <c r="AS109" s="29">
        <f>IF(OR($V109="",$W109=""),50,MEDIAN(0,100,50+50*($V109-$W109)/Settings!$C$44))</f>
        <v>50</v>
      </c>
      <c r="AT109" s="29">
        <f t="shared" si="32"/>
        <v>50</v>
      </c>
      <c r="AU109" s="30" t="str">
        <f t="shared" si="33"/>
        <v>SWALA|2026-08-13</v>
      </c>
      <c r="AV109" s="87">
        <f>IF($A109="","",IF(COUNTIFS($A$4:$A109,$A109)=1,1,0))</f>
        <v>0</v>
      </c>
    </row>
    <row r="110" spans="1:48" x14ac:dyDescent="0.3">
      <c r="A110" s="265">
        <v>46247</v>
      </c>
      <c r="B110" s="266" t="s">
        <v>126</v>
      </c>
      <c r="C110" s="267">
        <v>2590</v>
      </c>
      <c r="D110" s="267">
        <v>2590</v>
      </c>
      <c r="E110" s="267">
        <v>2570</v>
      </c>
      <c r="F110" s="267">
        <v>2600</v>
      </c>
      <c r="G110" s="267">
        <v>2450</v>
      </c>
      <c r="H110" s="268">
        <f t="shared" si="17"/>
        <v>-7.7220077220077066E-3</v>
      </c>
      <c r="I110" s="269">
        <v>8813300</v>
      </c>
      <c r="J110" s="269">
        <v>33</v>
      </c>
      <c r="K110" s="269">
        <v>3433</v>
      </c>
      <c r="L110" s="269">
        <v>12559</v>
      </c>
      <c r="M110" s="269">
        <v>709</v>
      </c>
      <c r="N110" s="269">
        <v>92520000000</v>
      </c>
      <c r="O110" s="266" t="s">
        <v>1106</v>
      </c>
      <c r="P110" s="265">
        <v>46265</v>
      </c>
      <c r="Q110" s="266" t="s">
        <v>1138</v>
      </c>
      <c r="R110" s="23" t="str" cm="1">
        <f t="array" ref="R110">IF($B110="","",IFERROR(IF(INDEX('Data Quality'!$U$4:$U$503,ROW()-3)=0,"PENDING",INDEX('Data Quality'!$U$4:$U$503,ROW()-3)),"PENDING"))</f>
        <v>PASS</v>
      </c>
      <c r="S110" s="24">
        <f t="shared" si="18"/>
        <v>17.713681241184766</v>
      </c>
      <c r="T110" s="25">
        <f t="shared" si="19"/>
        <v>32276630</v>
      </c>
      <c r="U110" s="25">
        <f t="shared" si="20"/>
        <v>1822130</v>
      </c>
      <c r="V110" s="26">
        <f t="shared" si="21"/>
        <v>3.4886111111111109E-4</v>
      </c>
      <c r="W110" s="26">
        <f t="shared" si="22"/>
        <v>1.9694444444444445E-5</v>
      </c>
      <c r="X110" s="25">
        <f t="shared" si="23"/>
        <v>104.03030303030303</v>
      </c>
      <c r="Y110" s="25">
        <f t="shared" si="24"/>
        <v>267069.69696969696</v>
      </c>
      <c r="Z110" s="27" t="str">
        <f>IF($B110="","",IF($AK110&lt;=Settings!$C$21,"",IFERROR(AVERAGEIFS($S$4:$S$503,$B$4:$B$503,$B110,$AK$4:$AK$503,"&gt;="&amp;$AK110-Settings!$C$21,$AK$4:$AK$503,"&lt;="&amp;$AK110-1),"")))</f>
        <v/>
      </c>
      <c r="AA110" s="28" t="str">
        <f t="shared" si="25"/>
        <v/>
      </c>
      <c r="AB110" s="25" t="str">
        <f>IF($B110="","",IF($AK110&lt;=Settings!$C$22,"",IFERROR(AVERAGEIFS($K$4:$K$503,$B$4:$B$503,$B110,$AK$4:$AK$503,"&gt;="&amp;$AK110-Settings!$C$22,$AK$4:$AK$503,"&lt;="&amp;$AK110-1),"")))</f>
        <v/>
      </c>
      <c r="AC110" s="27" t="str">
        <f t="shared" si="26"/>
        <v/>
      </c>
      <c r="AD110" s="28" t="str">
        <f>IF($B110="","",IF($AK110&lt;=Settings!$C$23,"",IFERROR($E110/SUMIFS($E$4:$E$503,$B$4:$B$503,$B110,$AK$4:$AK$503,$AK110-Settings!$C$23)-1,"")))</f>
        <v/>
      </c>
      <c r="AE110" s="28" t="str">
        <f>IF($B110="","",IF($AK110&lt;=Settings!$C$22,"",IFERROR($E110/SUMIFS($E$4:$E$503,$B$4:$B$503,$B110,$AK$4:$AK$503,$AK110-Settings!$C$22)-1,"")))</f>
        <v/>
      </c>
      <c r="AF110" s="28">
        <f t="shared" si="27"/>
        <v>5.8365758754863814E-2</v>
      </c>
      <c r="AG110" s="29">
        <f>IF($B110="","",ROUND((MIN(100,100*N($I110)/Settings!$C$27)+MIN(100,100*N($K110)/Settings!$C$28)+MIN(100,100*N($J110)/Settings!$C$29))/3,1))</f>
        <v>11.5</v>
      </c>
      <c r="AH110" s="29">
        <f>IF($B110="","",IF(SUM(Settings!$C$32:$C$37)=0,"",ROUND((Settings!$C$32*$AO110+Settings!$C$33*$AP110+Settings!$C$34*$AQ110+Settings!$C$35*$AR110+Settings!$C$36*$AS110+Settings!$C$37*$AT110)/SUM(Settings!$C$32:$C$37),1)))</f>
        <v>67.7</v>
      </c>
      <c r="AI110" s="29">
        <f>IF($B110="","",MAX(0,100-IF(N($N110)&gt;0,0,20)-IF(AND(N($L110)=0,N($M110)=0),15,0)-IF(N($J110)&gt;0,0,10)-IF(N($K110)&gt;0,0,10)-IF($Z110&lt;&gt;"",0,15)-IF($AB110&lt;&gt;"",0,10)-IF($R110="ERROR",20,IF($R110="WARNING",10,0))))</f>
        <v>75</v>
      </c>
      <c r="AJ110" s="30" t="str">
        <f>IF($AH110="","",IF($AH110&lt;Settings!$C$46,"Extreme Sell Pressure",IF($AH110&lt;Settings!$C$47,"Sell Pressure",IF($AH110&lt;=Settings!$C$48,"Neutral",IF($AH110&lt;=Settings!$C$49,"Buy Pressure","Extreme Buy Pressure")))))</f>
        <v>Buy Pressure</v>
      </c>
      <c r="AK110" s="30">
        <f t="shared" si="28"/>
        <v>4</v>
      </c>
      <c r="AL110" s="30">
        <f t="shared" si="29"/>
        <v>2026</v>
      </c>
      <c r="AM110" s="30">
        <f t="shared" si="30"/>
        <v>33</v>
      </c>
      <c r="AN110" s="30">
        <f t="shared" si="31"/>
        <v>8</v>
      </c>
      <c r="AO110" s="29">
        <f>IF($B110="","",IF(AND(N($L110)=0,N($M110)=0),50,IF(N($M110)=0,100,IF(N($L110)=0,0,MEDIAN(0,100,50+50*LN($S110)/LN(Settings!$C$40))))))</f>
        <v>100</v>
      </c>
      <c r="AP110" s="29">
        <f>IF($AA110="",50,MEDIAN(0,100,50+$AA110*100*Settings!$C$41))</f>
        <v>50</v>
      </c>
      <c r="AQ110" s="29">
        <f>IF($H110="",50,MEDIAN(0,100,50+$H110*100*Settings!$C$42))</f>
        <v>42.277992277992297</v>
      </c>
      <c r="AR110" s="29">
        <f>IF(OR($AC110="",$H110=""),50,MEDIAN(0,100,50+SIGN($H110)*50*MEDIAN(0,1,($AC110-1)/Settings!$C$43)))</f>
        <v>50</v>
      </c>
      <c r="AS110" s="29">
        <f>IF(OR($V110="",$W110=""),50,MEDIAN(0,100,50+50*($V110-$W110)/Settings!$C$44))</f>
        <v>82.916666666666657</v>
      </c>
      <c r="AT110" s="29">
        <f t="shared" si="32"/>
        <v>55.75</v>
      </c>
      <c r="AU110" s="30" t="str">
        <f t="shared" si="33"/>
        <v>SWIS|2026-08-13</v>
      </c>
      <c r="AV110" s="87">
        <f>IF($A110="","",IF(COUNTIFS($A$4:$A110,$A110)=1,1,0))</f>
        <v>0</v>
      </c>
    </row>
    <row r="111" spans="1:48" x14ac:dyDescent="0.3">
      <c r="A111" s="265">
        <v>46247</v>
      </c>
      <c r="B111" s="266" t="s">
        <v>112</v>
      </c>
      <c r="C111" s="267">
        <v>9980</v>
      </c>
      <c r="D111" s="267">
        <v>9980</v>
      </c>
      <c r="E111" s="267">
        <v>9950</v>
      </c>
      <c r="F111" s="267">
        <v>9980</v>
      </c>
      <c r="G111" s="267">
        <v>9900</v>
      </c>
      <c r="H111" s="268">
        <f t="shared" si="17"/>
        <v>-3.0060120240480437E-3</v>
      </c>
      <c r="I111" s="269">
        <v>20093160</v>
      </c>
      <c r="J111" s="269">
        <v>32</v>
      </c>
      <c r="K111" s="269">
        <v>2020</v>
      </c>
      <c r="L111" s="269">
        <v>970</v>
      </c>
      <c r="M111" s="269">
        <v>1241</v>
      </c>
      <c r="N111" s="269">
        <v>2935810000000</v>
      </c>
      <c r="O111" s="266" t="s">
        <v>1106</v>
      </c>
      <c r="P111" s="265">
        <v>46265</v>
      </c>
      <c r="Q111" s="266" t="s">
        <v>1138</v>
      </c>
      <c r="R111" s="23" t="str" cm="1">
        <f t="array" ref="R111">IF($B111="","",IFERROR(IF(INDEX('Data Quality'!$U$4:$U$503,ROW()-3)=0,"PENDING",INDEX('Data Quality'!$U$4:$U$503,ROW()-3)),"PENDING"))</f>
        <v>PASS</v>
      </c>
      <c r="S111" s="24">
        <f t="shared" si="18"/>
        <v>0.78162771958098309</v>
      </c>
      <c r="T111" s="25">
        <f t="shared" si="19"/>
        <v>9651500</v>
      </c>
      <c r="U111" s="25">
        <f t="shared" si="20"/>
        <v>12347950</v>
      </c>
      <c r="V111" s="26">
        <f t="shared" si="21"/>
        <v>3.2875083878043877E-6</v>
      </c>
      <c r="W111" s="26">
        <f t="shared" si="22"/>
        <v>4.2059772260466446E-6</v>
      </c>
      <c r="X111" s="25">
        <f t="shared" si="23"/>
        <v>63.125</v>
      </c>
      <c r="Y111" s="25">
        <f t="shared" si="24"/>
        <v>627911.25</v>
      </c>
      <c r="Z111" s="27" t="str">
        <f>IF($B111="","",IF($AK111&lt;=Settings!$C$21,"",IFERROR(AVERAGEIFS($S$4:$S$503,$B$4:$B$503,$B111,$AK$4:$AK$503,"&gt;="&amp;$AK111-Settings!$C$21,$AK$4:$AK$503,"&lt;="&amp;$AK111-1),"")))</f>
        <v/>
      </c>
      <c r="AA111" s="28" t="str">
        <f t="shared" si="25"/>
        <v/>
      </c>
      <c r="AB111" s="25" t="str">
        <f>IF($B111="","",IF($AK111&lt;=Settings!$C$22,"",IFERROR(AVERAGEIFS($K$4:$K$503,$B$4:$B$503,$B111,$AK$4:$AK$503,"&gt;="&amp;$AK111-Settings!$C$22,$AK$4:$AK$503,"&lt;="&amp;$AK111-1),"")))</f>
        <v/>
      </c>
      <c r="AC111" s="27" t="str">
        <f t="shared" si="26"/>
        <v/>
      </c>
      <c r="AD111" s="28" t="str">
        <f>IF($B111="","",IF($AK111&lt;=Settings!$C$23,"",IFERROR($E111/SUMIFS($E$4:$E$503,$B$4:$B$503,$B111,$AK$4:$AK$503,$AK111-Settings!$C$23)-1,"")))</f>
        <v/>
      </c>
      <c r="AE111" s="28" t="str">
        <f>IF($B111="","",IF($AK111&lt;=Settings!$C$22,"",IFERROR($E111/SUMIFS($E$4:$E$503,$B$4:$B$503,$B111,$AK$4:$AK$503,$AK111-Settings!$C$22)-1,"")))</f>
        <v/>
      </c>
      <c r="AF111" s="28">
        <f t="shared" si="27"/>
        <v>8.0402010050251264E-3</v>
      </c>
      <c r="AG111" s="29">
        <f>IF($B111="","",ROUND((MIN(100,100*N($I111)/Settings!$C$27)+MIN(100,100*N($K111)/Settings!$C$28)+MIN(100,100*N($J111)/Settings!$C$29))/3,1))</f>
        <v>11.5</v>
      </c>
      <c r="AH111" s="29">
        <f>IF($B111="","",IF(SUM(Settings!$C$32:$C$37)=0,"",ROUND((Settings!$C$32*$AO111+Settings!$C$33*$AP111+Settings!$C$34*$AQ111+Settings!$C$35*$AR111+Settings!$C$36*$AS111+Settings!$C$37*$AT111)/SUM(Settings!$C$32:$C$37),1)))</f>
        <v>46.8</v>
      </c>
      <c r="AI111" s="29">
        <f>IF($B111="","",MAX(0,100-IF(N($N111)&gt;0,0,20)-IF(AND(N($L111)=0,N($M111)=0),15,0)-IF(N($J111)&gt;0,0,10)-IF(N($K111)&gt;0,0,10)-IF($Z111&lt;&gt;"",0,15)-IF($AB111&lt;&gt;"",0,10)-IF($R111="ERROR",20,IF($R111="WARNING",10,0))))</f>
        <v>75</v>
      </c>
      <c r="AJ111" s="30" t="str">
        <f>IF($AH111="","",IF($AH111&lt;Settings!$C$46,"Extreme Sell Pressure",IF($AH111&lt;Settings!$C$47,"Sell Pressure",IF($AH111&lt;=Settings!$C$48,"Neutral",IF($AH111&lt;=Settings!$C$49,"Buy Pressure","Extreme Buy Pressure")))))</f>
        <v>Neutral</v>
      </c>
      <c r="AK111" s="30">
        <f t="shared" si="28"/>
        <v>4</v>
      </c>
      <c r="AL111" s="30">
        <f t="shared" si="29"/>
        <v>2026</v>
      </c>
      <c r="AM111" s="30">
        <f t="shared" si="30"/>
        <v>33</v>
      </c>
      <c r="AN111" s="30">
        <f t="shared" si="31"/>
        <v>8</v>
      </c>
      <c r="AO111" s="29">
        <f>IF($B111="","",IF(AND(N($L111)=0,N($M111)=0),50,IF(N($M111)=0,100,IF(N($L111)=0,0,MEDIAN(0,100,50+50*LN($S111)/LN(Settings!$C$40))))))</f>
        <v>41.113838423603333</v>
      </c>
      <c r="AP111" s="29">
        <f>IF($AA111="",50,MEDIAN(0,100,50+$AA111*100*Settings!$C$41))</f>
        <v>50</v>
      </c>
      <c r="AQ111" s="29">
        <f>IF($H111="",50,MEDIAN(0,100,50+$H111*100*Settings!$C$42))</f>
        <v>46.993987975951953</v>
      </c>
      <c r="AR111" s="29">
        <f>IF(OR($AC111="",$H111=""),50,MEDIAN(0,100,50+SIGN($H111)*50*MEDIAN(0,1,($AC111-1)/Settings!$C$43)))</f>
        <v>50</v>
      </c>
      <c r="AS111" s="29">
        <f>IF(OR($V111="",$W111=""),50,MEDIAN(0,100,50+50*($V111-$W111)/Settings!$C$44))</f>
        <v>49.908153116175775</v>
      </c>
      <c r="AT111" s="29">
        <f t="shared" si="32"/>
        <v>48.978091418714385</v>
      </c>
      <c r="AU111" s="30" t="str">
        <f t="shared" si="33"/>
        <v>TBL|2026-08-13</v>
      </c>
      <c r="AV111" s="87">
        <f>IF($A111="","",IF(COUNTIFS($A$4:$A111,$A111)=1,1,0))</f>
        <v>0</v>
      </c>
    </row>
    <row r="112" spans="1:48" x14ac:dyDescent="0.3">
      <c r="A112" s="265">
        <v>46247</v>
      </c>
      <c r="B112" s="266" t="s">
        <v>115</v>
      </c>
      <c r="C112" s="267">
        <v>12500</v>
      </c>
      <c r="D112" s="267">
        <v>12500</v>
      </c>
      <c r="E112" s="267">
        <v>12500</v>
      </c>
      <c r="F112" s="267">
        <v>12500</v>
      </c>
      <c r="G112" s="267">
        <v>12300</v>
      </c>
      <c r="H112" s="268">
        <f t="shared" si="17"/>
        <v>0</v>
      </c>
      <c r="I112" s="269">
        <v>4609500</v>
      </c>
      <c r="J112" s="269">
        <v>13</v>
      </c>
      <c r="K112" s="269">
        <v>371</v>
      </c>
      <c r="L112" s="269">
        <v>9945</v>
      </c>
      <c r="M112" s="269">
        <v>1069</v>
      </c>
      <c r="N112" s="269">
        <v>1250000000000</v>
      </c>
      <c r="O112" s="266" t="s">
        <v>1106</v>
      </c>
      <c r="P112" s="265">
        <v>46265</v>
      </c>
      <c r="Q112" s="266" t="s">
        <v>1138</v>
      </c>
      <c r="R112" s="23" t="str" cm="1">
        <f t="array" ref="R112">IF($B112="","",IFERROR(IF(INDEX('Data Quality'!$U$4:$U$503,ROW()-3)=0,"PENDING",INDEX('Data Quality'!$U$4:$U$503,ROW()-3)),"PENDING"))</f>
        <v>PASS</v>
      </c>
      <c r="S112" s="24">
        <f t="shared" si="18"/>
        <v>9.3030869971936383</v>
      </c>
      <c r="T112" s="25">
        <f t="shared" si="19"/>
        <v>124312500</v>
      </c>
      <c r="U112" s="25">
        <f t="shared" si="20"/>
        <v>13362500</v>
      </c>
      <c r="V112" s="26">
        <f t="shared" si="21"/>
        <v>9.9450000000000005E-5</v>
      </c>
      <c r="W112" s="26">
        <f t="shared" si="22"/>
        <v>1.0689999999999999E-5</v>
      </c>
      <c r="X112" s="25">
        <f t="shared" si="23"/>
        <v>28.53846153846154</v>
      </c>
      <c r="Y112" s="25">
        <f t="shared" si="24"/>
        <v>354576.92307692306</v>
      </c>
      <c r="Z112" s="27" t="str">
        <f>IF($B112="","",IF($AK112&lt;=Settings!$C$21,"",IFERROR(AVERAGEIFS($S$4:$S$503,$B$4:$B$503,$B112,$AK$4:$AK$503,"&gt;="&amp;$AK112-Settings!$C$21,$AK$4:$AK$503,"&lt;="&amp;$AK112-1),"")))</f>
        <v/>
      </c>
      <c r="AA112" s="28" t="str">
        <f t="shared" si="25"/>
        <v/>
      </c>
      <c r="AB112" s="25" t="str">
        <f>IF($B112="","",IF($AK112&lt;=Settings!$C$22,"",IFERROR(AVERAGEIFS($K$4:$K$503,$B$4:$B$503,$B112,$AK$4:$AK$503,"&gt;="&amp;$AK112-Settings!$C$22,$AK$4:$AK$503,"&lt;="&amp;$AK112-1),"")))</f>
        <v/>
      </c>
      <c r="AC112" s="27" t="str">
        <f t="shared" si="26"/>
        <v/>
      </c>
      <c r="AD112" s="28" t="str">
        <f>IF($B112="","",IF($AK112&lt;=Settings!$C$23,"",IFERROR($E112/SUMIFS($E$4:$E$503,$B$4:$B$503,$B112,$AK$4:$AK$503,$AK112-Settings!$C$23)-1,"")))</f>
        <v/>
      </c>
      <c r="AE112" s="28" t="str">
        <f>IF($B112="","",IF($AK112&lt;=Settings!$C$22,"",IFERROR($E112/SUMIFS($E$4:$E$503,$B$4:$B$503,$B112,$AK$4:$AK$503,$AK112-Settings!$C$22)-1,"")))</f>
        <v/>
      </c>
      <c r="AF112" s="28">
        <f t="shared" si="27"/>
        <v>1.6E-2</v>
      </c>
      <c r="AG112" s="29">
        <f>IF($B112="","",ROUND((MIN(100,100*N($I112)/Settings!$C$27)+MIN(100,100*N($K112)/Settings!$C$28)+MIN(100,100*N($J112)/Settings!$C$29))/3,1))</f>
        <v>4.5</v>
      </c>
      <c r="AH112" s="29">
        <f>IF($B112="","",IF(SUM(Settings!$C$32:$C$37)=0,"",ROUND((Settings!$C$32*$AO112+Settings!$C$33*$AP112+Settings!$C$34*$AQ112+Settings!$C$35*$AR112+Settings!$C$36*$AS112+Settings!$C$37*$AT112)/SUM(Settings!$C$32:$C$37),1)))</f>
        <v>66.099999999999994</v>
      </c>
      <c r="AI112" s="29">
        <f>IF($B112="","",MAX(0,100-IF(N($N112)&gt;0,0,20)-IF(AND(N($L112)=0,N($M112)=0),15,0)-IF(N($J112)&gt;0,0,10)-IF(N($K112)&gt;0,0,10)-IF($Z112&lt;&gt;"",0,15)-IF($AB112&lt;&gt;"",0,10)-IF($R112="ERROR",20,IF($R112="WARNING",10,0))))</f>
        <v>75</v>
      </c>
      <c r="AJ112" s="30" t="str">
        <f>IF($AH112="","",IF($AH112&lt;Settings!$C$46,"Extreme Sell Pressure",IF($AH112&lt;Settings!$C$47,"Sell Pressure",IF($AH112&lt;=Settings!$C$48,"Neutral",IF($AH112&lt;=Settings!$C$49,"Buy Pressure","Extreme Buy Pressure")))))</f>
        <v>Buy Pressure</v>
      </c>
      <c r="AK112" s="30">
        <f t="shared" si="28"/>
        <v>4</v>
      </c>
      <c r="AL112" s="30">
        <f t="shared" si="29"/>
        <v>2026</v>
      </c>
      <c r="AM112" s="30">
        <f t="shared" si="30"/>
        <v>33</v>
      </c>
      <c r="AN112" s="30">
        <f t="shared" si="31"/>
        <v>8</v>
      </c>
      <c r="AO112" s="29">
        <f>IF($B112="","",IF(AND(N($L112)=0,N($M112)=0),50,IF(N($M112)=0,100,IF(N($L112)=0,0,MEDIAN(0,100,50+50*LN($S112)/LN(Settings!$C$40))))))</f>
        <v>100</v>
      </c>
      <c r="AP112" s="29">
        <f>IF($AA112="",50,MEDIAN(0,100,50+$AA112*100*Settings!$C$41))</f>
        <v>50</v>
      </c>
      <c r="AQ112" s="29">
        <f>IF($H112="",50,MEDIAN(0,100,50+$H112*100*Settings!$C$42))</f>
        <v>50</v>
      </c>
      <c r="AR112" s="29">
        <f>IF(OR($AC112="",$H112=""),50,MEDIAN(0,100,50+SIGN($H112)*50*MEDIAN(0,1,($AC112-1)/Settings!$C$43)))</f>
        <v>50</v>
      </c>
      <c r="AS112" s="29">
        <f>IF(OR($V112="",$W112=""),50,MEDIAN(0,100,50+50*($V112-$W112)/Settings!$C$44))</f>
        <v>58.876000000000005</v>
      </c>
      <c r="AT112" s="29">
        <f t="shared" si="32"/>
        <v>52.25</v>
      </c>
      <c r="AU112" s="30" t="str">
        <f t="shared" si="33"/>
        <v>TCC|2026-08-13</v>
      </c>
      <c r="AV112" s="87">
        <f>IF($A112="","",IF(COUNTIFS($A$4:$A112,$A112)=1,1,0))</f>
        <v>0</v>
      </c>
    </row>
    <row r="113" spans="1:48" x14ac:dyDescent="0.3">
      <c r="A113" s="265">
        <v>46247</v>
      </c>
      <c r="B113" s="266" t="s">
        <v>118</v>
      </c>
      <c r="C113" s="267">
        <v>3610</v>
      </c>
      <c r="D113" s="267">
        <v>3610</v>
      </c>
      <c r="E113" s="267">
        <v>3900</v>
      </c>
      <c r="F113" s="267">
        <v>4100</v>
      </c>
      <c r="G113" s="267">
        <v>3610</v>
      </c>
      <c r="H113" s="268">
        <f t="shared" si="17"/>
        <v>8.0332409972299068E-2</v>
      </c>
      <c r="I113" s="269">
        <v>22346180</v>
      </c>
      <c r="J113" s="269">
        <v>33</v>
      </c>
      <c r="K113" s="269">
        <v>5714</v>
      </c>
      <c r="L113" s="269">
        <v>20714</v>
      </c>
      <c r="M113" s="269">
        <v>2200</v>
      </c>
      <c r="N113" s="269">
        <v>744950000000</v>
      </c>
      <c r="O113" s="266" t="s">
        <v>1106</v>
      </c>
      <c r="P113" s="265">
        <v>46265</v>
      </c>
      <c r="Q113" s="266" t="s">
        <v>1138</v>
      </c>
      <c r="R113" s="23" t="str" cm="1">
        <f t="array" ref="R113">IF($B113="","",IFERROR(IF(INDEX('Data Quality'!$U$4:$U$503,ROW()-3)=0,"PENDING",INDEX('Data Quality'!$U$4:$U$503,ROW()-3)),"PENDING"))</f>
        <v>PASS</v>
      </c>
      <c r="S113" s="24">
        <f t="shared" si="18"/>
        <v>9.415454545454546</v>
      </c>
      <c r="T113" s="25">
        <f t="shared" si="19"/>
        <v>80784600</v>
      </c>
      <c r="U113" s="25">
        <f t="shared" si="20"/>
        <v>8580000</v>
      </c>
      <c r="V113" s="26">
        <f t="shared" si="21"/>
        <v>1.0844298275052017E-4</v>
      </c>
      <c r="W113" s="26">
        <f t="shared" si="22"/>
        <v>1.1517551513524398E-5</v>
      </c>
      <c r="X113" s="25">
        <f t="shared" si="23"/>
        <v>173.15151515151516</v>
      </c>
      <c r="Y113" s="25">
        <f t="shared" si="24"/>
        <v>677156.96969696973</v>
      </c>
      <c r="Z113" s="27" t="str">
        <f>IF($B113="","",IF($AK113&lt;=Settings!$C$21,"",IFERROR(AVERAGEIFS($S$4:$S$503,$B$4:$B$503,$B113,$AK$4:$AK$503,"&gt;="&amp;$AK113-Settings!$C$21,$AK$4:$AK$503,"&lt;="&amp;$AK113-1),"")))</f>
        <v/>
      </c>
      <c r="AA113" s="28" t="str">
        <f t="shared" si="25"/>
        <v/>
      </c>
      <c r="AB113" s="25" t="str">
        <f>IF($B113="","",IF($AK113&lt;=Settings!$C$22,"",IFERROR(AVERAGEIFS($K$4:$K$503,$B$4:$B$503,$B113,$AK$4:$AK$503,"&gt;="&amp;$AK113-Settings!$C$22,$AK$4:$AK$503,"&lt;="&amp;$AK113-1),"")))</f>
        <v/>
      </c>
      <c r="AC113" s="27" t="str">
        <f t="shared" si="26"/>
        <v/>
      </c>
      <c r="AD113" s="28" t="str">
        <f>IF($B113="","",IF($AK113&lt;=Settings!$C$23,"",IFERROR($E113/SUMIFS($E$4:$E$503,$B$4:$B$503,$B113,$AK$4:$AK$503,$AK113-Settings!$C$23)-1,"")))</f>
        <v/>
      </c>
      <c r="AE113" s="28" t="str">
        <f>IF($B113="","",IF($AK113&lt;=Settings!$C$22,"",IFERROR($E113/SUMIFS($E$4:$E$503,$B$4:$B$503,$B113,$AK$4:$AK$503,$AK113-Settings!$C$22)-1,"")))</f>
        <v/>
      </c>
      <c r="AF113" s="28">
        <f t="shared" si="27"/>
        <v>0.12564102564102564</v>
      </c>
      <c r="AG113" s="29">
        <f>IF($B113="","",ROUND((MIN(100,100*N($I113)/Settings!$C$27)+MIN(100,100*N($K113)/Settings!$C$28)+MIN(100,100*N($J113)/Settings!$C$29))/3,1))</f>
        <v>12.1</v>
      </c>
      <c r="AH113" s="29">
        <f>IF($B113="","",IF(SUM(Settings!$C$32:$C$37)=0,"",ROUND((Settings!$C$32*$AO113+Settings!$C$33*$AP113+Settings!$C$34*$AQ113+Settings!$C$35*$AR113+Settings!$C$36*$AS113+Settings!$C$37*$AT113)/SUM(Settings!$C$32:$C$37),1)))</f>
        <v>74.099999999999994</v>
      </c>
      <c r="AI113" s="29">
        <f>IF($B113="","",MAX(0,100-IF(N($N113)&gt;0,0,20)-IF(AND(N($L113)=0,N($M113)=0),15,0)-IF(N($J113)&gt;0,0,10)-IF(N($K113)&gt;0,0,10)-IF($Z113&lt;&gt;"",0,15)-IF($AB113&lt;&gt;"",0,10)-IF($R113="ERROR",20,IF($R113="WARNING",10,0))))</f>
        <v>75</v>
      </c>
      <c r="AJ113" s="30" t="str">
        <f>IF($AH113="","",IF($AH113&lt;Settings!$C$46,"Extreme Sell Pressure",IF($AH113&lt;Settings!$C$47,"Sell Pressure",IF($AH113&lt;=Settings!$C$48,"Neutral",IF($AH113&lt;=Settings!$C$49,"Buy Pressure","Extreme Buy Pressure")))))</f>
        <v>Buy Pressure</v>
      </c>
      <c r="AK113" s="30">
        <f t="shared" si="28"/>
        <v>4</v>
      </c>
      <c r="AL113" s="30">
        <f t="shared" si="29"/>
        <v>2026</v>
      </c>
      <c r="AM113" s="30">
        <f t="shared" si="30"/>
        <v>33</v>
      </c>
      <c r="AN113" s="30">
        <f t="shared" si="31"/>
        <v>8</v>
      </c>
      <c r="AO113" s="29">
        <f>IF($B113="","",IF(AND(N($L113)=0,N($M113)=0),50,IF(N($M113)=0,100,IF(N($L113)=0,0,MEDIAN(0,100,50+50*LN($S113)/LN(Settings!$C$40))))))</f>
        <v>100</v>
      </c>
      <c r="AP113" s="29">
        <f>IF($AA113="",50,MEDIAN(0,100,50+$AA113*100*Settings!$C$41))</f>
        <v>50</v>
      </c>
      <c r="AQ113" s="29">
        <f>IF($H113="",50,MEDIAN(0,100,50+$H113*100*Settings!$C$42))</f>
        <v>100</v>
      </c>
      <c r="AR113" s="29">
        <f>IF(OR($AC113="",$H113=""),50,MEDIAN(0,100,50+SIGN($H113)*50*MEDIAN(0,1,($AC113-1)/Settings!$C$43)))</f>
        <v>50</v>
      </c>
      <c r="AS113" s="29">
        <f>IF(OR($V113="",$W113=""),50,MEDIAN(0,100,50+50*($V113-$W113)/Settings!$C$44))</f>
        <v>59.692543123699579</v>
      </c>
      <c r="AT113" s="29">
        <f t="shared" si="32"/>
        <v>56.05</v>
      </c>
      <c r="AU113" s="30" t="str">
        <f t="shared" si="33"/>
        <v>TCCL|2026-08-13</v>
      </c>
      <c r="AV113" s="87">
        <f>IF($A113="","",IF(COUNTIFS($A$4:$A113,$A113)=1,1,0))</f>
        <v>0</v>
      </c>
    </row>
    <row r="114" spans="1:48" x14ac:dyDescent="0.3">
      <c r="A114" s="265">
        <v>46247</v>
      </c>
      <c r="B114" s="266" t="s">
        <v>132</v>
      </c>
      <c r="C114" s="267">
        <v>1450</v>
      </c>
      <c r="D114" s="267">
        <v>1450</v>
      </c>
      <c r="E114" s="267">
        <v>1460</v>
      </c>
      <c r="F114" s="267">
        <v>1470</v>
      </c>
      <c r="G114" s="267">
        <v>1460</v>
      </c>
      <c r="H114" s="268">
        <f t="shared" si="17"/>
        <v>6.8965517241379448E-3</v>
      </c>
      <c r="I114" s="269">
        <v>4193660</v>
      </c>
      <c r="J114" s="269">
        <v>34</v>
      </c>
      <c r="K114" s="269">
        <v>2871</v>
      </c>
      <c r="L114" s="269">
        <v>1696</v>
      </c>
      <c r="M114" s="269">
        <v>24748</v>
      </c>
      <c r="N114" s="269">
        <v>83960000000</v>
      </c>
      <c r="O114" s="266" t="s">
        <v>1106</v>
      </c>
      <c r="P114" s="265">
        <v>46265</v>
      </c>
      <c r="Q114" s="266" t="s">
        <v>1138</v>
      </c>
      <c r="R114" s="23" t="str" cm="1">
        <f t="array" ref="R114">IF($B114="","",IFERROR(IF(INDEX('Data Quality'!$U$4:$U$503,ROW()-3)=0,"PENDING",INDEX('Data Quality'!$U$4:$U$503,ROW()-3)),"PENDING"))</f>
        <v>PASS</v>
      </c>
      <c r="S114" s="24">
        <f t="shared" si="18"/>
        <v>6.8530790366898339E-2</v>
      </c>
      <c r="T114" s="25">
        <f t="shared" si="19"/>
        <v>2476160</v>
      </c>
      <c r="U114" s="25">
        <f t="shared" si="20"/>
        <v>36132080</v>
      </c>
      <c r="V114" s="26">
        <f t="shared" si="21"/>
        <v>2.9492139113863744E-5</v>
      </c>
      <c r="W114" s="26">
        <f t="shared" si="22"/>
        <v>4.3034873749404478E-4</v>
      </c>
      <c r="X114" s="25">
        <f t="shared" si="23"/>
        <v>84.441176470588232</v>
      </c>
      <c r="Y114" s="25">
        <f t="shared" si="24"/>
        <v>123342.94117647059</v>
      </c>
      <c r="Z114" s="27" t="str">
        <f>IF($B114="","",IF($AK114&lt;=Settings!$C$21,"",IFERROR(AVERAGEIFS($S$4:$S$503,$B$4:$B$503,$B114,$AK$4:$AK$503,"&gt;="&amp;$AK114-Settings!$C$21,$AK$4:$AK$503,"&lt;="&amp;$AK114-1),"")))</f>
        <v/>
      </c>
      <c r="AA114" s="28" t="str">
        <f t="shared" si="25"/>
        <v/>
      </c>
      <c r="AB114" s="25" t="str">
        <f>IF($B114="","",IF($AK114&lt;=Settings!$C$22,"",IFERROR(AVERAGEIFS($K$4:$K$503,$B$4:$B$503,$B114,$AK$4:$AK$503,"&gt;="&amp;$AK114-Settings!$C$22,$AK$4:$AK$503,"&lt;="&amp;$AK114-1),"")))</f>
        <v/>
      </c>
      <c r="AC114" s="27" t="str">
        <f t="shared" si="26"/>
        <v/>
      </c>
      <c r="AD114" s="28" t="str">
        <f>IF($B114="","",IF($AK114&lt;=Settings!$C$23,"",IFERROR($E114/SUMIFS($E$4:$E$503,$B$4:$B$503,$B114,$AK$4:$AK$503,$AK114-Settings!$C$23)-1,"")))</f>
        <v/>
      </c>
      <c r="AE114" s="28" t="str">
        <f>IF($B114="","",IF($AK114&lt;=Settings!$C$22,"",IFERROR($E114/SUMIFS($E$4:$E$503,$B$4:$B$503,$B114,$AK$4:$AK$503,$AK114-Settings!$C$22)-1,"")))</f>
        <v/>
      </c>
      <c r="AF114" s="28">
        <f t="shared" si="27"/>
        <v>6.8493150684931503E-3</v>
      </c>
      <c r="AG114" s="29">
        <f>IF($B114="","",ROUND((MIN(100,100*N($I114)/Settings!$C$27)+MIN(100,100*N($K114)/Settings!$C$28)+MIN(100,100*N($J114)/Settings!$C$29))/3,1))</f>
        <v>11.7</v>
      </c>
      <c r="AH114" s="29">
        <f>IF($B114="","",IF(SUM(Settings!$C$32:$C$37)=0,"",ROUND((Settings!$C$32*$AO114+Settings!$C$33*$AP114+Settings!$C$34*$AQ114+Settings!$C$35*$AR114+Settings!$C$36*$AS114+Settings!$C$37*$AT114)/SUM(Settings!$C$32:$C$37),1)))</f>
        <v>31.4</v>
      </c>
      <c r="AI114" s="29">
        <f>IF($B114="","",MAX(0,100-IF(N($N114)&gt;0,0,20)-IF(AND(N($L114)=0,N($M114)=0),15,0)-IF(N($J114)&gt;0,0,10)-IF(N($K114)&gt;0,0,10)-IF($Z114&lt;&gt;"",0,15)-IF($AB114&lt;&gt;"",0,10)-IF($R114="ERROR",20,IF($R114="WARNING",10,0))))</f>
        <v>75</v>
      </c>
      <c r="AJ114" s="30" t="str">
        <f>IF($AH114="","",IF($AH114&lt;Settings!$C$46,"Extreme Sell Pressure",IF($AH114&lt;Settings!$C$47,"Sell Pressure",IF($AH114&lt;=Settings!$C$48,"Neutral",IF($AH114&lt;=Settings!$C$49,"Buy Pressure","Extreme Buy Pressure")))))</f>
        <v>Sell Pressure</v>
      </c>
      <c r="AK114" s="30">
        <f t="shared" si="28"/>
        <v>4</v>
      </c>
      <c r="AL114" s="30">
        <f t="shared" si="29"/>
        <v>2026</v>
      </c>
      <c r="AM114" s="30">
        <f t="shared" si="30"/>
        <v>33</v>
      </c>
      <c r="AN114" s="30">
        <f t="shared" si="31"/>
        <v>8</v>
      </c>
      <c r="AO114" s="29">
        <f>IF($B114="","",IF(AND(N($L114)=0,N($M114)=0),50,IF(N($M114)=0,100,IF(N($L114)=0,0,MEDIAN(0,100,50+50*LN($S114)/LN(Settings!$C$40))))))</f>
        <v>0</v>
      </c>
      <c r="AP114" s="29">
        <f>IF($AA114="",50,MEDIAN(0,100,50+$AA114*100*Settings!$C$41))</f>
        <v>50</v>
      </c>
      <c r="AQ114" s="29">
        <f>IF($H114="",50,MEDIAN(0,100,50+$H114*100*Settings!$C$42))</f>
        <v>56.896551724137943</v>
      </c>
      <c r="AR114" s="29">
        <f>IF(OR($AC114="",$H114=""),50,MEDIAN(0,100,50+SIGN($H114)*50*MEDIAN(0,1,($AC114-1)/Settings!$C$43)))</f>
        <v>50</v>
      </c>
      <c r="AS114" s="29">
        <f>IF(OR($V114="",$W114=""),50,MEDIAN(0,100,50+50*($V114-$W114)/Settings!$C$44))</f>
        <v>9.9143401619818974</v>
      </c>
      <c r="AT114" s="29">
        <f t="shared" si="32"/>
        <v>44.15</v>
      </c>
      <c r="AU114" s="30" t="str">
        <f t="shared" si="33"/>
        <v>TOL|2026-08-13</v>
      </c>
      <c r="AV114" s="87">
        <f>IF($A114="","",IF(COUNTIFS($A$4:$A114,$A114)=1,1,0))</f>
        <v>0</v>
      </c>
    </row>
    <row r="115" spans="1:48" x14ac:dyDescent="0.3">
      <c r="A115" s="265">
        <v>46247</v>
      </c>
      <c r="B115" s="266" t="s">
        <v>116</v>
      </c>
      <c r="C115" s="267">
        <v>5950</v>
      </c>
      <c r="D115" s="267">
        <v>5950</v>
      </c>
      <c r="E115" s="267">
        <v>5950</v>
      </c>
      <c r="F115" s="267">
        <v>6000</v>
      </c>
      <c r="G115" s="267">
        <v>5850</v>
      </c>
      <c r="H115" s="268">
        <f t="shared" si="17"/>
        <v>0</v>
      </c>
      <c r="I115" s="269">
        <v>4555900</v>
      </c>
      <c r="J115" s="269">
        <v>23</v>
      </c>
      <c r="K115" s="269">
        <v>765</v>
      </c>
      <c r="L115" s="269">
        <v>10812</v>
      </c>
      <c r="M115" s="269">
        <v>0</v>
      </c>
      <c r="N115" s="269">
        <v>1070540000000</v>
      </c>
      <c r="O115" s="266" t="s">
        <v>1106</v>
      </c>
      <c r="P115" s="265">
        <v>46265</v>
      </c>
      <c r="Q115" s="266" t="s">
        <v>1138</v>
      </c>
      <c r="R115" s="23" t="str" cm="1">
        <f t="array" ref="R115">IF($B115="","",IFERROR(IF(INDEX('Data Quality'!$U$4:$U$503,ROW()-3)=0,"PENDING",INDEX('Data Quality'!$U$4:$U$503,ROW()-3)),"PENDING"))</f>
        <v>PASS</v>
      </c>
      <c r="S115" s="24" t="str">
        <f t="shared" si="18"/>
        <v/>
      </c>
      <c r="T115" s="25">
        <f t="shared" si="19"/>
        <v>64331400</v>
      </c>
      <c r="U115" s="25">
        <f t="shared" si="20"/>
        <v>0</v>
      </c>
      <c r="V115" s="26">
        <f t="shared" si="21"/>
        <v>6.0092476694004894E-5</v>
      </c>
      <c r="W115" s="26">
        <f t="shared" si="22"/>
        <v>0</v>
      </c>
      <c r="X115" s="25">
        <f t="shared" si="23"/>
        <v>33.260869565217391</v>
      </c>
      <c r="Y115" s="25">
        <f t="shared" si="24"/>
        <v>198082.60869565216</v>
      </c>
      <c r="Z115" s="27" t="str">
        <f>IF($B115="","",IF($AK115&lt;=Settings!$C$21,"",IFERROR(AVERAGEIFS($S$4:$S$503,$B$4:$B$503,$B115,$AK$4:$AK$503,"&gt;="&amp;$AK115-Settings!$C$21,$AK$4:$AK$503,"&lt;="&amp;$AK115-1),"")))</f>
        <v/>
      </c>
      <c r="AA115" s="28" t="str">
        <f t="shared" si="25"/>
        <v/>
      </c>
      <c r="AB115" s="25" t="str">
        <f>IF($B115="","",IF($AK115&lt;=Settings!$C$22,"",IFERROR(AVERAGEIFS($K$4:$K$503,$B$4:$B$503,$B115,$AK$4:$AK$503,"&gt;="&amp;$AK115-Settings!$C$22,$AK$4:$AK$503,"&lt;="&amp;$AK115-1),"")))</f>
        <v/>
      </c>
      <c r="AC115" s="27" t="str">
        <f t="shared" si="26"/>
        <v/>
      </c>
      <c r="AD115" s="28" t="str">
        <f>IF($B115="","",IF($AK115&lt;=Settings!$C$23,"",IFERROR($E115/SUMIFS($E$4:$E$503,$B$4:$B$503,$B115,$AK$4:$AK$503,$AK115-Settings!$C$23)-1,"")))</f>
        <v/>
      </c>
      <c r="AE115" s="28" t="str">
        <f>IF($B115="","",IF($AK115&lt;=Settings!$C$22,"",IFERROR($E115/SUMIFS($E$4:$E$503,$B$4:$B$503,$B115,$AK$4:$AK$503,$AK115-Settings!$C$22)-1,"")))</f>
        <v/>
      </c>
      <c r="AF115" s="28">
        <f t="shared" si="27"/>
        <v>2.5210084033613446E-2</v>
      </c>
      <c r="AG115" s="29">
        <f>IF($B115="","",ROUND((MIN(100,100*N($I115)/Settings!$C$27)+MIN(100,100*N($K115)/Settings!$C$28)+MIN(100,100*N($J115)/Settings!$C$29))/3,1))</f>
        <v>7.9</v>
      </c>
      <c r="AH115" s="29">
        <f>IF($B115="","",IF(SUM(Settings!$C$32:$C$37)=0,"",ROUND((Settings!$C$32*$AO115+Settings!$C$33*$AP115+Settings!$C$34*$AQ115+Settings!$C$35*$AR115+Settings!$C$36*$AS115+Settings!$C$37*$AT115)/SUM(Settings!$C$32:$C$37),1)))</f>
        <v>66</v>
      </c>
      <c r="AI115" s="29">
        <f>IF($B115="","",MAX(0,100-IF(N($N115)&gt;0,0,20)-IF(AND(N($L115)=0,N($M115)=0),15,0)-IF(N($J115)&gt;0,0,10)-IF(N($K115)&gt;0,0,10)-IF($Z115&lt;&gt;"",0,15)-IF($AB115&lt;&gt;"",0,10)-IF($R115="ERROR",20,IF($R115="WARNING",10,0))))</f>
        <v>75</v>
      </c>
      <c r="AJ115" s="30" t="str">
        <f>IF($AH115="","",IF($AH115&lt;Settings!$C$46,"Extreme Sell Pressure",IF($AH115&lt;Settings!$C$47,"Sell Pressure",IF($AH115&lt;=Settings!$C$48,"Neutral",IF($AH115&lt;=Settings!$C$49,"Buy Pressure","Extreme Buy Pressure")))))</f>
        <v>Buy Pressure</v>
      </c>
      <c r="AK115" s="30">
        <f t="shared" si="28"/>
        <v>4</v>
      </c>
      <c r="AL115" s="30">
        <f t="shared" si="29"/>
        <v>2026</v>
      </c>
      <c r="AM115" s="30">
        <f t="shared" si="30"/>
        <v>33</v>
      </c>
      <c r="AN115" s="30">
        <f t="shared" si="31"/>
        <v>8</v>
      </c>
      <c r="AO115" s="29">
        <f>IF($B115="","",IF(AND(N($L115)=0,N($M115)=0),50,IF(N($M115)=0,100,IF(N($L115)=0,0,MEDIAN(0,100,50+50*LN($S115)/LN(Settings!$C$40))))))</f>
        <v>100</v>
      </c>
      <c r="AP115" s="29">
        <f>IF($AA115="",50,MEDIAN(0,100,50+$AA115*100*Settings!$C$41))</f>
        <v>50</v>
      </c>
      <c r="AQ115" s="29">
        <f>IF($H115="",50,MEDIAN(0,100,50+$H115*100*Settings!$C$42))</f>
        <v>50</v>
      </c>
      <c r="AR115" s="29">
        <f>IF(OR($AC115="",$H115=""),50,MEDIAN(0,100,50+SIGN($H115)*50*MEDIAN(0,1,($AC115-1)/Settings!$C$43)))</f>
        <v>50</v>
      </c>
      <c r="AS115" s="29">
        <f>IF(OR($V115="",$W115=""),50,MEDIAN(0,100,50+50*($V115-$W115)/Settings!$C$44))</f>
        <v>56.009247669400487</v>
      </c>
      <c r="AT115" s="29">
        <f t="shared" si="32"/>
        <v>53.95</v>
      </c>
      <c r="AU115" s="30" t="str">
        <f t="shared" si="33"/>
        <v>TPCC|2026-08-13</v>
      </c>
      <c r="AV115" s="87">
        <f>IF($A115="","",IF(COUNTIFS($A$4:$A115,$A115)=1,1,0))</f>
        <v>0</v>
      </c>
    </row>
    <row r="116" spans="1:48" x14ac:dyDescent="0.3">
      <c r="A116" s="265">
        <v>46247</v>
      </c>
      <c r="B116" s="266" t="s">
        <v>1102</v>
      </c>
      <c r="C116" s="267">
        <v>450</v>
      </c>
      <c r="D116" s="267">
        <v>450</v>
      </c>
      <c r="E116" s="267">
        <v>450</v>
      </c>
      <c r="F116" s="267">
        <v>465</v>
      </c>
      <c r="G116" s="267">
        <v>450</v>
      </c>
      <c r="H116" s="268">
        <f t="shared" si="17"/>
        <v>0</v>
      </c>
      <c r="I116" s="269">
        <v>104010</v>
      </c>
      <c r="J116" s="269">
        <v>9</v>
      </c>
      <c r="K116" s="269">
        <v>224</v>
      </c>
      <c r="L116" s="269">
        <v>86</v>
      </c>
      <c r="M116" s="269">
        <v>1409</v>
      </c>
      <c r="N116" s="269">
        <v>42780000000</v>
      </c>
      <c r="O116" s="266" t="s">
        <v>1106</v>
      </c>
      <c r="P116" s="265">
        <v>46265</v>
      </c>
      <c r="Q116" s="266" t="s">
        <v>1138</v>
      </c>
      <c r="R116" s="23" t="str" cm="1">
        <f t="array" ref="R116">IF($B116="","",IFERROR(IF(INDEX('Data Quality'!$U$4:$U$503,ROW()-3)=0,"PENDING",INDEX('Data Quality'!$U$4:$U$503,ROW()-3)),"PENDING"))</f>
        <v>PASS</v>
      </c>
      <c r="S116" s="24">
        <f t="shared" si="18"/>
        <v>6.1036195883605392E-2</v>
      </c>
      <c r="T116" s="25">
        <f t="shared" si="19"/>
        <v>38700</v>
      </c>
      <c r="U116" s="25">
        <f t="shared" si="20"/>
        <v>634050</v>
      </c>
      <c r="V116" s="26">
        <f t="shared" si="21"/>
        <v>9.0462833099579242E-7</v>
      </c>
      <c r="W116" s="26">
        <f t="shared" si="22"/>
        <v>1.482117812061711E-5</v>
      </c>
      <c r="X116" s="25">
        <f t="shared" si="23"/>
        <v>24.888888888888889</v>
      </c>
      <c r="Y116" s="25">
        <f t="shared" si="24"/>
        <v>11556.666666666666</v>
      </c>
      <c r="Z116" s="27" t="str">
        <f>IF($B116="","",IF($AK116&lt;=Settings!$C$21,"",IFERROR(AVERAGEIFS($S$4:$S$503,$B$4:$B$503,$B116,$AK$4:$AK$503,"&gt;="&amp;$AK116-Settings!$C$21,$AK$4:$AK$503,"&lt;="&amp;$AK116-1),"")))</f>
        <v/>
      </c>
      <c r="AA116" s="28" t="str">
        <f t="shared" si="25"/>
        <v/>
      </c>
      <c r="AB116" s="25" t="str">
        <f>IF($B116="","",IF($AK116&lt;=Settings!$C$22,"",IFERROR(AVERAGEIFS($K$4:$K$503,$B$4:$B$503,$B116,$AK$4:$AK$503,"&gt;="&amp;$AK116-Settings!$C$22,$AK$4:$AK$503,"&lt;="&amp;$AK116-1),"")))</f>
        <v/>
      </c>
      <c r="AC116" s="27" t="str">
        <f t="shared" si="26"/>
        <v/>
      </c>
      <c r="AD116" s="28" t="str">
        <f>IF($B116="","",IF($AK116&lt;=Settings!$C$23,"",IFERROR($E116/SUMIFS($E$4:$E$503,$B$4:$B$503,$B116,$AK$4:$AK$503,$AK116-Settings!$C$23)-1,"")))</f>
        <v/>
      </c>
      <c r="AE116" s="28" t="str">
        <f>IF($B116="","",IF($AK116&lt;=Settings!$C$22,"",IFERROR($E116/SUMIFS($E$4:$E$503,$B$4:$B$503,$B116,$AK$4:$AK$503,$AK116-Settings!$C$22)-1,"")))</f>
        <v/>
      </c>
      <c r="AF116" s="28">
        <f t="shared" si="27"/>
        <v>3.3333333333333333E-2</v>
      </c>
      <c r="AG116" s="29">
        <f>IF($B116="","",ROUND((MIN(100,100*N($I116)/Settings!$C$27)+MIN(100,100*N($K116)/Settings!$C$28)+MIN(100,100*N($J116)/Settings!$C$29))/3,1))</f>
        <v>3</v>
      </c>
      <c r="AH116" s="29">
        <f>IF($B116="","",IF(SUM(Settings!$C$32:$C$37)=0,"",ROUND((Settings!$C$32*$AO116+Settings!$C$33*$AP116+Settings!$C$34*$AQ116+Settings!$C$35*$AR116+Settings!$C$36*$AS116+Settings!$C$37*$AT116)/SUM(Settings!$C$32:$C$37),1)))</f>
        <v>34.700000000000003</v>
      </c>
      <c r="AI116" s="29">
        <f>IF($B116="","",MAX(0,100-IF(N($N116)&gt;0,0,20)-IF(AND(N($L116)=0,N($M116)=0),15,0)-IF(N($J116)&gt;0,0,10)-IF(N($K116)&gt;0,0,10)-IF($Z116&lt;&gt;"",0,15)-IF($AB116&lt;&gt;"",0,10)-IF($R116="ERROR",20,IF($R116="WARNING",10,0))))</f>
        <v>75</v>
      </c>
      <c r="AJ116" s="30" t="str">
        <f>IF($AH116="","",IF($AH116&lt;Settings!$C$46,"Extreme Sell Pressure",IF($AH116&lt;Settings!$C$47,"Sell Pressure",IF($AH116&lt;=Settings!$C$48,"Neutral",IF($AH116&lt;=Settings!$C$49,"Buy Pressure","Extreme Buy Pressure")))))</f>
        <v>Sell Pressure</v>
      </c>
      <c r="AK116" s="30">
        <f t="shared" si="28"/>
        <v>4</v>
      </c>
      <c r="AL116" s="30">
        <f t="shared" si="29"/>
        <v>2026</v>
      </c>
      <c r="AM116" s="30">
        <f t="shared" si="30"/>
        <v>33</v>
      </c>
      <c r="AN116" s="30">
        <f t="shared" si="31"/>
        <v>8</v>
      </c>
      <c r="AO116" s="29">
        <f>IF($B116="","",IF(AND(N($L116)=0,N($M116)=0),50,IF(N($M116)=0,100,IF(N($L116)=0,0,MEDIAN(0,100,50+50*LN($S116)/LN(Settings!$C$40))))))</f>
        <v>0</v>
      </c>
      <c r="AP116" s="29">
        <f>IF($AA116="",50,MEDIAN(0,100,50+$AA116*100*Settings!$C$41))</f>
        <v>50</v>
      </c>
      <c r="AQ116" s="29">
        <f>IF($H116="",50,MEDIAN(0,100,50+$H116*100*Settings!$C$42))</f>
        <v>50</v>
      </c>
      <c r="AR116" s="29">
        <f>IF(OR($AC116="",$H116=""),50,MEDIAN(0,100,50+SIGN($H116)*50*MEDIAN(0,1,($AC116-1)/Settings!$C$43)))</f>
        <v>50</v>
      </c>
      <c r="AS116" s="29">
        <f>IF(OR($V116="",$W116=""),50,MEDIAN(0,100,50+50*($V116-$W116)/Settings!$C$44))</f>
        <v>48.60834502103787</v>
      </c>
      <c r="AT116" s="29">
        <f t="shared" si="32"/>
        <v>48.5</v>
      </c>
      <c r="AU116" s="30" t="str">
        <f t="shared" si="33"/>
        <v>TTP|2026-08-13</v>
      </c>
      <c r="AV116" s="87">
        <f>IF($A116="","",IF(COUNTIFS($A$4:$A116,$A116)=1,1,0))</f>
        <v>0</v>
      </c>
    </row>
    <row r="117" spans="1:48" x14ac:dyDescent="0.3">
      <c r="A117" s="265">
        <v>46247</v>
      </c>
      <c r="B117" s="266" t="s">
        <v>1103</v>
      </c>
      <c r="C117" s="267">
        <v>30</v>
      </c>
      <c r="D117" s="267">
        <v>30</v>
      </c>
      <c r="E117" s="267">
        <v>30</v>
      </c>
      <c r="F117" s="267"/>
      <c r="G117" s="267"/>
      <c r="H117" s="268">
        <f t="shared" si="17"/>
        <v>0</v>
      </c>
      <c r="I117" s="269">
        <v>0</v>
      </c>
      <c r="J117" s="269">
        <v>0</v>
      </c>
      <c r="K117" s="269">
        <v>0</v>
      </c>
      <c r="L117" s="269">
        <v>3484</v>
      </c>
      <c r="M117" s="269">
        <v>0</v>
      </c>
      <c r="N117" s="269">
        <v>10950000000</v>
      </c>
      <c r="O117" s="266" t="s">
        <v>1106</v>
      </c>
      <c r="P117" s="265">
        <v>46265</v>
      </c>
      <c r="Q117" s="266" t="s">
        <v>1138</v>
      </c>
      <c r="R117" s="23" t="str" cm="1">
        <f t="array" ref="R117">IF($B117="","",IFERROR(IF(INDEX('Data Quality'!$U$4:$U$503,ROW()-3)=0,"PENDING",INDEX('Data Quality'!$U$4:$U$503,ROW()-3)),"PENDING"))</f>
        <v>PASS</v>
      </c>
      <c r="S117" s="24" t="str">
        <f t="shared" si="18"/>
        <v/>
      </c>
      <c r="T117" s="25">
        <f t="shared" si="19"/>
        <v>104520</v>
      </c>
      <c r="U117" s="25">
        <f t="shared" si="20"/>
        <v>0</v>
      </c>
      <c r="V117" s="26">
        <f t="shared" si="21"/>
        <v>9.5452054794520545E-6</v>
      </c>
      <c r="W117" s="26">
        <f t="shared" si="22"/>
        <v>0</v>
      </c>
      <c r="X117" s="25" t="str">
        <f t="shared" si="23"/>
        <v/>
      </c>
      <c r="Y117" s="25" t="str">
        <f t="shared" si="24"/>
        <v/>
      </c>
      <c r="Z117" s="27" t="str">
        <f>IF($B117="","",IF($AK117&lt;=Settings!$C$21,"",IFERROR(AVERAGEIFS($S$4:$S$503,$B$4:$B$503,$B117,$AK$4:$AK$503,"&gt;="&amp;$AK117-Settings!$C$21,$AK$4:$AK$503,"&lt;="&amp;$AK117-1),"")))</f>
        <v/>
      </c>
      <c r="AA117" s="28" t="str">
        <f t="shared" si="25"/>
        <v/>
      </c>
      <c r="AB117" s="25" t="str">
        <f>IF($B117="","",IF($AK117&lt;=Settings!$C$22,"",IFERROR(AVERAGEIFS($K$4:$K$503,$B$4:$B$503,$B117,$AK$4:$AK$503,"&gt;="&amp;$AK117-Settings!$C$22,$AK$4:$AK$503,"&lt;="&amp;$AK117-1),"")))</f>
        <v/>
      </c>
      <c r="AC117" s="27" t="str">
        <f t="shared" si="26"/>
        <v/>
      </c>
      <c r="AD117" s="28" t="str">
        <f>IF($B117="","",IF($AK117&lt;=Settings!$C$23,"",IFERROR($E117/SUMIFS($E$4:$E$503,$B$4:$B$503,$B117,$AK$4:$AK$503,$AK117-Settings!$C$23)-1,"")))</f>
        <v/>
      </c>
      <c r="AE117" s="28" t="str">
        <f>IF($B117="","",IF($AK117&lt;=Settings!$C$22,"",IFERROR($E117/SUMIFS($E$4:$E$503,$B$4:$B$503,$B117,$AK$4:$AK$503,$AK117-Settings!$C$22)-1,"")))</f>
        <v/>
      </c>
      <c r="AF117" s="28">
        <f t="shared" si="27"/>
        <v>0</v>
      </c>
      <c r="AG117" s="29">
        <f>IF($B117="","",ROUND((MIN(100,100*N($I117)/Settings!$C$27)+MIN(100,100*N($K117)/Settings!$C$28)+MIN(100,100*N($J117)/Settings!$C$29))/3,1))</f>
        <v>0</v>
      </c>
      <c r="AH117" s="29">
        <f>IF($B117="","",IF(SUM(Settings!$C$32:$C$37)=0,"",ROUND((Settings!$C$32*$AO117+Settings!$C$33*$AP117+Settings!$C$34*$AQ117+Settings!$C$35*$AR117+Settings!$C$36*$AS117+Settings!$C$37*$AT117)/SUM(Settings!$C$32:$C$37),1)))</f>
        <v>65.099999999999994</v>
      </c>
      <c r="AI117" s="29">
        <f>IF($B117="","",MAX(0,100-IF(N($N117)&gt;0,0,20)-IF(AND(N($L117)=0,N($M117)=0),15,0)-IF(N($J117)&gt;0,0,10)-IF(N($K117)&gt;0,0,10)-IF($Z117&lt;&gt;"",0,15)-IF($AB117&lt;&gt;"",0,10)-IF($R117="ERROR",20,IF($R117="WARNING",10,0))))</f>
        <v>55</v>
      </c>
      <c r="AJ117" s="30" t="str">
        <f>IF($AH117="","",IF($AH117&lt;Settings!$C$46,"Extreme Sell Pressure",IF($AH117&lt;Settings!$C$47,"Sell Pressure",IF($AH117&lt;=Settings!$C$48,"Neutral",IF($AH117&lt;=Settings!$C$49,"Buy Pressure","Extreme Buy Pressure")))))</f>
        <v>Buy Pressure</v>
      </c>
      <c r="AK117" s="30">
        <f t="shared" si="28"/>
        <v>4</v>
      </c>
      <c r="AL117" s="30">
        <f t="shared" si="29"/>
        <v>2026</v>
      </c>
      <c r="AM117" s="30">
        <f t="shared" si="30"/>
        <v>33</v>
      </c>
      <c r="AN117" s="30">
        <f t="shared" si="31"/>
        <v>8</v>
      </c>
      <c r="AO117" s="29">
        <f>IF($B117="","",IF(AND(N($L117)=0,N($M117)=0),50,IF(N($M117)=0,100,IF(N($L117)=0,0,MEDIAN(0,100,50+50*LN($S117)/LN(Settings!$C$40))))))</f>
        <v>100</v>
      </c>
      <c r="AP117" s="29">
        <f>IF($AA117="",50,MEDIAN(0,100,50+$AA117*100*Settings!$C$41))</f>
        <v>50</v>
      </c>
      <c r="AQ117" s="29">
        <f>IF($H117="",50,MEDIAN(0,100,50+$H117*100*Settings!$C$42))</f>
        <v>50</v>
      </c>
      <c r="AR117" s="29">
        <f>IF(OR($AC117="",$H117=""),50,MEDIAN(0,100,50+SIGN($H117)*50*MEDIAN(0,1,($AC117-1)/Settings!$C$43)))</f>
        <v>50</v>
      </c>
      <c r="AS117" s="29">
        <f>IF(OR($V117="",$W117=""),50,MEDIAN(0,100,50+50*($V117-$W117)/Settings!$C$44))</f>
        <v>50.954520547945208</v>
      </c>
      <c r="AT117" s="29">
        <f t="shared" si="32"/>
        <v>50</v>
      </c>
      <c r="AU117" s="30" t="str">
        <f t="shared" si="33"/>
        <v>USL|2026-08-13</v>
      </c>
      <c r="AV117" s="87">
        <f>IF($A117="","",IF(COUNTIFS($A$4:$A117,$A117)=1,1,0))</f>
        <v>0</v>
      </c>
    </row>
    <row r="118" spans="1:48" x14ac:dyDescent="0.3">
      <c r="A118" s="265">
        <v>46247</v>
      </c>
      <c r="B118" s="266" t="s">
        <v>123</v>
      </c>
      <c r="C118" s="267">
        <v>1010</v>
      </c>
      <c r="D118" s="267">
        <v>1010</v>
      </c>
      <c r="E118" s="267">
        <v>1010</v>
      </c>
      <c r="F118" s="267">
        <v>1030</v>
      </c>
      <c r="G118" s="267">
        <v>1010</v>
      </c>
      <c r="H118" s="268">
        <f t="shared" si="17"/>
        <v>0</v>
      </c>
      <c r="I118" s="269">
        <v>125292310</v>
      </c>
      <c r="J118" s="269">
        <v>210</v>
      </c>
      <c r="K118" s="269">
        <v>123562</v>
      </c>
      <c r="L118" s="269">
        <v>164519</v>
      </c>
      <c r="M118" s="269">
        <v>172099</v>
      </c>
      <c r="N118" s="269">
        <v>2262400000000</v>
      </c>
      <c r="O118" s="266" t="s">
        <v>1106</v>
      </c>
      <c r="P118" s="265">
        <v>46265</v>
      </c>
      <c r="Q118" s="266" t="s">
        <v>1138</v>
      </c>
      <c r="R118" s="23" t="str" cm="1">
        <f t="array" ref="R118">IF($B118="","",IFERROR(IF(INDEX('Data Quality'!$U$4:$U$503,ROW()-3)=0,"PENDING",INDEX('Data Quality'!$U$4:$U$503,ROW()-3)),"PENDING"))</f>
        <v>PASS</v>
      </c>
      <c r="S118" s="24">
        <f t="shared" si="18"/>
        <v>0.95595558370472811</v>
      </c>
      <c r="T118" s="25">
        <f t="shared" si="19"/>
        <v>166164190</v>
      </c>
      <c r="U118" s="25">
        <f t="shared" si="20"/>
        <v>173819990</v>
      </c>
      <c r="V118" s="26">
        <f t="shared" si="21"/>
        <v>7.344598214285714E-5</v>
      </c>
      <c r="W118" s="26">
        <f t="shared" si="22"/>
        <v>7.6829910714285715E-5</v>
      </c>
      <c r="X118" s="25">
        <f t="shared" si="23"/>
        <v>588.39047619047619</v>
      </c>
      <c r="Y118" s="25">
        <f t="shared" si="24"/>
        <v>596630.04761904757</v>
      </c>
      <c r="Z118" s="27" t="str">
        <f>IF($B118="","",IF($AK118&lt;=Settings!$C$21,"",IFERROR(AVERAGEIFS($S$4:$S$503,$B$4:$B$503,$B118,$AK$4:$AK$503,"&gt;="&amp;$AK118-Settings!$C$21,$AK$4:$AK$503,"&lt;="&amp;$AK118-1),"")))</f>
        <v/>
      </c>
      <c r="AA118" s="28" t="str">
        <f t="shared" si="25"/>
        <v/>
      </c>
      <c r="AB118" s="25" t="str">
        <f>IF($B118="","",IF($AK118&lt;=Settings!$C$22,"",IFERROR(AVERAGEIFS($K$4:$K$503,$B$4:$B$503,$B118,$AK$4:$AK$503,"&gt;="&amp;$AK118-Settings!$C$22,$AK$4:$AK$503,"&lt;="&amp;$AK118-1),"")))</f>
        <v/>
      </c>
      <c r="AC118" s="27" t="str">
        <f t="shared" si="26"/>
        <v/>
      </c>
      <c r="AD118" s="28" t="str">
        <f>IF($B118="","",IF($AK118&lt;=Settings!$C$23,"",IFERROR($E118/SUMIFS($E$4:$E$503,$B$4:$B$503,$B118,$AK$4:$AK$503,$AK118-Settings!$C$23)-1,"")))</f>
        <v/>
      </c>
      <c r="AE118" s="28" t="str">
        <f>IF($B118="","",IF($AK118&lt;=Settings!$C$22,"",IFERROR($E118/SUMIFS($E$4:$E$503,$B$4:$B$503,$B118,$AK$4:$AK$503,$AK118-Settings!$C$22)-1,"")))</f>
        <v/>
      </c>
      <c r="AF118" s="28">
        <f t="shared" si="27"/>
        <v>1.9801980198019802E-2</v>
      </c>
      <c r="AG118" s="29">
        <f>IF($B118="","",ROUND((MIN(100,100*N($I118)/Settings!$C$27)+MIN(100,100*N($K118)/Settings!$C$28)+MIN(100,100*N($J118)/Settings!$C$29))/3,1))</f>
        <v>45.7</v>
      </c>
      <c r="AH118" s="29">
        <f>IF($B118="","",IF(SUM(Settings!$C$32:$C$37)=0,"",ROUND((Settings!$C$32*$AO118+Settings!$C$33*$AP118+Settings!$C$34*$AQ118+Settings!$C$35*$AR118+Settings!$C$36*$AS118+Settings!$C$37*$AT118)/SUM(Settings!$C$32:$C$37),1)))</f>
        <v>49.4</v>
      </c>
      <c r="AI118" s="29">
        <f>IF($B118="","",MAX(0,100-IF(N($N118)&gt;0,0,20)-IF(AND(N($L118)=0,N($M118)=0),15,0)-IF(N($J118)&gt;0,0,10)-IF(N($K118)&gt;0,0,10)-IF($Z118&lt;&gt;"",0,15)-IF($AB118&lt;&gt;"",0,10)-IF($R118="ERROR",20,IF($R118="WARNING",10,0))))</f>
        <v>75</v>
      </c>
      <c r="AJ118" s="30" t="str">
        <f>IF($AH118="","",IF($AH118&lt;Settings!$C$46,"Extreme Sell Pressure",IF($AH118&lt;Settings!$C$47,"Sell Pressure",IF($AH118&lt;=Settings!$C$48,"Neutral",IF($AH118&lt;=Settings!$C$49,"Buy Pressure","Extreme Buy Pressure")))))</f>
        <v>Neutral</v>
      </c>
      <c r="AK118" s="30">
        <f t="shared" si="28"/>
        <v>4</v>
      </c>
      <c r="AL118" s="30">
        <f t="shared" si="29"/>
        <v>2026</v>
      </c>
      <c r="AM118" s="30">
        <f t="shared" si="30"/>
        <v>33</v>
      </c>
      <c r="AN118" s="30">
        <f t="shared" si="31"/>
        <v>8</v>
      </c>
      <c r="AO118" s="29">
        <f>IF($B118="","",IF(AND(N($L118)=0,N($M118)=0),50,IF(N($M118)=0,100,IF(N($L118)=0,0,MEDIAN(0,100,50+50*LN($S118)/LN(Settings!$C$40))))))</f>
        <v>48.375387333553711</v>
      </c>
      <c r="AP118" s="29">
        <f>IF($AA118="",50,MEDIAN(0,100,50+$AA118*100*Settings!$C$41))</f>
        <v>50</v>
      </c>
      <c r="AQ118" s="29">
        <f>IF($H118="",50,MEDIAN(0,100,50+$H118*100*Settings!$C$42))</f>
        <v>50</v>
      </c>
      <c r="AR118" s="29">
        <f>IF(OR($AC118="",$H118=""),50,MEDIAN(0,100,50+SIGN($H118)*50*MEDIAN(0,1,($AC118-1)/Settings!$C$43)))</f>
        <v>50</v>
      </c>
      <c r="AS118" s="29">
        <f>IF(OR($V118="",$W118=""),50,MEDIAN(0,100,50+50*($V118-$W118)/Settings!$C$44))</f>
        <v>49.661607142857143</v>
      </c>
      <c r="AT118" s="29">
        <f t="shared" si="32"/>
        <v>49.257552011434043</v>
      </c>
      <c r="AU118" s="30" t="str">
        <f t="shared" si="33"/>
        <v>VODA|2026-08-13</v>
      </c>
      <c r="AV118" s="87">
        <f>IF($A118="","",IF(COUNTIFS($A$4:$A118,$A118)=1,1,0))</f>
        <v>0</v>
      </c>
    </row>
    <row r="119" spans="1:48" x14ac:dyDescent="0.3">
      <c r="A119" s="265">
        <v>46247</v>
      </c>
      <c r="B119" s="266" t="s">
        <v>141</v>
      </c>
      <c r="C119" s="267">
        <v>510</v>
      </c>
      <c r="D119" s="267">
        <v>510</v>
      </c>
      <c r="E119" s="267">
        <v>510</v>
      </c>
      <c r="F119" s="267"/>
      <c r="G119" s="267"/>
      <c r="H119" s="268">
        <f t="shared" si="17"/>
        <v>0</v>
      </c>
      <c r="I119" s="269">
        <v>0</v>
      </c>
      <c r="J119" s="269">
        <v>0</v>
      </c>
      <c r="K119" s="269">
        <v>0</v>
      </c>
      <c r="L119" s="269">
        <v>0</v>
      </c>
      <c r="M119" s="269">
        <v>0</v>
      </c>
      <c r="N119" s="269">
        <v>6180000000</v>
      </c>
      <c r="O119" s="266" t="s">
        <v>1106</v>
      </c>
      <c r="P119" s="265">
        <v>46265</v>
      </c>
      <c r="Q119" s="266" t="s">
        <v>1138</v>
      </c>
      <c r="R119" s="23" t="str" cm="1">
        <f t="array" ref="R119">IF($B119="","",IFERROR(IF(INDEX('Data Quality'!$U$4:$U$503,ROW()-3)=0,"PENDING",INDEX('Data Quality'!$U$4:$U$503,ROW()-3)),"PENDING"))</f>
        <v>WARNING</v>
      </c>
      <c r="S119" s="24" t="str">
        <f t="shared" si="18"/>
        <v/>
      </c>
      <c r="T119" s="25">
        <f t="shared" si="19"/>
        <v>0</v>
      </c>
      <c r="U119" s="25">
        <f t="shared" si="20"/>
        <v>0</v>
      </c>
      <c r="V119" s="26">
        <f t="shared" si="21"/>
        <v>0</v>
      </c>
      <c r="W119" s="26">
        <f t="shared" si="22"/>
        <v>0</v>
      </c>
      <c r="X119" s="25" t="str">
        <f t="shared" si="23"/>
        <v/>
      </c>
      <c r="Y119" s="25" t="str">
        <f t="shared" si="24"/>
        <v/>
      </c>
      <c r="Z119" s="27" t="str">
        <f>IF($B119="","",IF($AK119&lt;=Settings!$C$21,"",IFERROR(AVERAGEIFS($S$4:$S$503,$B$4:$B$503,$B119,$AK$4:$AK$503,"&gt;="&amp;$AK119-Settings!$C$21,$AK$4:$AK$503,"&lt;="&amp;$AK119-1),"")))</f>
        <v/>
      </c>
      <c r="AA119" s="28" t="str">
        <f t="shared" si="25"/>
        <v/>
      </c>
      <c r="AB119" s="25" t="str">
        <f>IF($B119="","",IF($AK119&lt;=Settings!$C$22,"",IFERROR(AVERAGEIFS($K$4:$K$503,$B$4:$B$503,$B119,$AK$4:$AK$503,"&gt;="&amp;$AK119-Settings!$C$22,$AK$4:$AK$503,"&lt;="&amp;$AK119-1),"")))</f>
        <v/>
      </c>
      <c r="AC119" s="27" t="str">
        <f t="shared" si="26"/>
        <v/>
      </c>
      <c r="AD119" s="28" t="str">
        <f>IF($B119="","",IF($AK119&lt;=Settings!$C$23,"",IFERROR($E119/SUMIFS($E$4:$E$503,$B$4:$B$503,$B119,$AK$4:$AK$503,$AK119-Settings!$C$23)-1,"")))</f>
        <v/>
      </c>
      <c r="AE119" s="28" t="str">
        <f>IF($B119="","",IF($AK119&lt;=Settings!$C$22,"",IFERROR($E119/SUMIFS($E$4:$E$503,$B$4:$B$503,$B119,$AK$4:$AK$503,$AK119-Settings!$C$22)-1,"")))</f>
        <v/>
      </c>
      <c r="AF119" s="28">
        <f t="shared" si="27"/>
        <v>0</v>
      </c>
      <c r="AG119" s="29">
        <f>IF($B119="","",ROUND((MIN(100,100*N($I119)/Settings!$C$27)+MIN(100,100*N($K119)/Settings!$C$28)+MIN(100,100*N($J119)/Settings!$C$29))/3,1))</f>
        <v>0</v>
      </c>
      <c r="AH119" s="29">
        <f>IF($B119="","",IF(SUM(Settings!$C$32:$C$37)=0,"",ROUND((Settings!$C$32*$AO119+Settings!$C$33*$AP119+Settings!$C$34*$AQ119+Settings!$C$35*$AR119+Settings!$C$36*$AS119+Settings!$C$37*$AT119)/SUM(Settings!$C$32:$C$37),1)))</f>
        <v>50</v>
      </c>
      <c r="AI119" s="29">
        <f>IF($B119="","",MAX(0,100-IF(N($N119)&gt;0,0,20)-IF(AND(N($L119)=0,N($M119)=0),15,0)-IF(N($J119)&gt;0,0,10)-IF(N($K119)&gt;0,0,10)-IF($Z119&lt;&gt;"",0,15)-IF($AB119&lt;&gt;"",0,10)-IF($R119="ERROR",20,IF($R119="WARNING",10,0))))</f>
        <v>30</v>
      </c>
      <c r="AJ119" s="30" t="str">
        <f>IF($AH119="","",IF($AH119&lt;Settings!$C$46,"Extreme Sell Pressure",IF($AH119&lt;Settings!$C$47,"Sell Pressure",IF($AH119&lt;=Settings!$C$48,"Neutral",IF($AH119&lt;=Settings!$C$49,"Buy Pressure","Extreme Buy Pressure")))))</f>
        <v>Neutral</v>
      </c>
      <c r="AK119" s="30">
        <f t="shared" si="28"/>
        <v>4</v>
      </c>
      <c r="AL119" s="30">
        <f t="shared" si="29"/>
        <v>2026</v>
      </c>
      <c r="AM119" s="30">
        <f t="shared" si="30"/>
        <v>33</v>
      </c>
      <c r="AN119" s="30">
        <f t="shared" si="31"/>
        <v>8</v>
      </c>
      <c r="AO119" s="29">
        <f>IF($B119="","",IF(AND(N($L119)=0,N($M119)=0),50,IF(N($M119)=0,100,IF(N($L119)=0,0,MEDIAN(0,100,50+50*LN($S119)/LN(Settings!$C$40))))))</f>
        <v>50</v>
      </c>
      <c r="AP119" s="29">
        <f>IF($AA119="",50,MEDIAN(0,100,50+$AA119*100*Settings!$C$41))</f>
        <v>50</v>
      </c>
      <c r="AQ119" s="29">
        <f>IF($H119="",50,MEDIAN(0,100,50+$H119*100*Settings!$C$42))</f>
        <v>50</v>
      </c>
      <c r="AR119" s="29">
        <f>IF(OR($AC119="",$H119=""),50,MEDIAN(0,100,50+SIGN($H119)*50*MEDIAN(0,1,($AC119-1)/Settings!$C$43)))</f>
        <v>50</v>
      </c>
      <c r="AS119" s="29">
        <f>IF(OR($V119="",$W119=""),50,MEDIAN(0,100,50+50*($V119-$W119)/Settings!$C$44))</f>
        <v>50</v>
      </c>
      <c r="AT119" s="29">
        <f t="shared" si="32"/>
        <v>50</v>
      </c>
      <c r="AU119" s="30" t="str">
        <f t="shared" si="33"/>
        <v>YETU|2026-08-13</v>
      </c>
      <c r="AV119" s="87">
        <f>IF($A119="","",IF(COUNTIFS($A$4:$A119,$A119)=1,1,0))</f>
        <v>0</v>
      </c>
    </row>
    <row r="120" spans="1:48" x14ac:dyDescent="0.3">
      <c r="A120" s="265">
        <v>46247</v>
      </c>
      <c r="B120" s="266" t="s">
        <v>1104</v>
      </c>
      <c r="C120" s="267">
        <v>1360</v>
      </c>
      <c r="D120" s="267">
        <v>1360</v>
      </c>
      <c r="E120" s="267">
        <v>1340</v>
      </c>
      <c r="F120" s="267">
        <v>1360</v>
      </c>
      <c r="G120" s="267">
        <v>1340</v>
      </c>
      <c r="H120" s="268">
        <f t="shared" si="17"/>
        <v>-1.4705882352941124E-2</v>
      </c>
      <c r="I120" s="269">
        <v>48394360</v>
      </c>
      <c r="J120" s="269">
        <v>69</v>
      </c>
      <c r="K120" s="269">
        <v>36052</v>
      </c>
      <c r="L120" s="269">
        <v>121454</v>
      </c>
      <c r="M120" s="269">
        <v>65390</v>
      </c>
      <c r="N120" s="269">
        <v>186120000000</v>
      </c>
      <c r="O120" s="266" t="s">
        <v>1106</v>
      </c>
      <c r="P120" s="265">
        <v>46265</v>
      </c>
      <c r="Q120" s="266" t="s">
        <v>1138</v>
      </c>
      <c r="R120" s="23" t="str" cm="1">
        <f t="array" ref="R120">IF($B120="","",IFERROR(IF(INDEX('Data Quality'!$U$4:$U$503,ROW()-3)=0,"PENDING",INDEX('Data Quality'!$U$4:$U$503,ROW()-3)),"PENDING"))</f>
        <v>PASS</v>
      </c>
      <c r="S120" s="24">
        <f t="shared" si="18"/>
        <v>1.857378804098486</v>
      </c>
      <c r="T120" s="25">
        <f t="shared" si="19"/>
        <v>162748360</v>
      </c>
      <c r="U120" s="25">
        <f t="shared" si="20"/>
        <v>87622600</v>
      </c>
      <c r="V120" s="26">
        <f t="shared" si="21"/>
        <v>8.7442703632065329E-4</v>
      </c>
      <c r="W120" s="26">
        <f t="shared" si="22"/>
        <v>4.7078551472168491E-4</v>
      </c>
      <c r="X120" s="25">
        <f t="shared" si="23"/>
        <v>522.49275362318838</v>
      </c>
      <c r="Y120" s="25">
        <f t="shared" si="24"/>
        <v>701367.53623188403</v>
      </c>
      <c r="Z120" s="27" t="str">
        <f>IF($B120="","",IF($AK120&lt;=Settings!$C$21,"",IFERROR(AVERAGEIFS($S$4:$S$503,$B$4:$B$503,$B120,$AK$4:$AK$503,"&gt;="&amp;$AK120-Settings!$C$21,$AK$4:$AK$503,"&lt;="&amp;$AK120-1),"")))</f>
        <v/>
      </c>
      <c r="AA120" s="28" t="str">
        <f t="shared" si="25"/>
        <v/>
      </c>
      <c r="AB120" s="25" t="str">
        <f>IF($B120="","",IF($AK120&lt;=Settings!$C$22,"",IFERROR(AVERAGEIFS($K$4:$K$503,$B$4:$B$503,$B120,$AK$4:$AK$503,"&gt;="&amp;$AK120-Settings!$C$22,$AK$4:$AK$503,"&lt;="&amp;$AK120-1),"")))</f>
        <v/>
      </c>
      <c r="AC120" s="27" t="str">
        <f t="shared" si="26"/>
        <v/>
      </c>
      <c r="AD120" s="28" t="str">
        <f>IF($B120="","",IF($AK120&lt;=Settings!$C$23,"",IFERROR($E120/SUMIFS($E$4:$E$503,$B$4:$B$503,$B120,$AK$4:$AK$503,$AK120-Settings!$C$23)-1,"")))</f>
        <v/>
      </c>
      <c r="AE120" s="28" t="str">
        <f>IF($B120="","",IF($AK120&lt;=Settings!$C$22,"",IFERROR($E120/SUMIFS($E$4:$E$503,$B$4:$B$503,$B120,$AK$4:$AK$503,$AK120-Settings!$C$22)-1,"")))</f>
        <v/>
      </c>
      <c r="AF120" s="28">
        <f t="shared" si="27"/>
        <v>1.4925373134328358E-2</v>
      </c>
      <c r="AG120" s="29">
        <f>IF($B120="","",ROUND((MIN(100,100*N($I120)/Settings!$C$27)+MIN(100,100*N($K120)/Settings!$C$28)+MIN(100,100*N($J120)/Settings!$C$29))/3,1))</f>
        <v>27</v>
      </c>
      <c r="AH120" s="29">
        <f>IF($B120="","",IF(SUM(Settings!$C$32:$C$37)=0,"",ROUND((Settings!$C$32*$AO120+Settings!$C$33*$AP120+Settings!$C$34*$AQ120+Settings!$C$35*$AR120+Settings!$C$36*$AS120+Settings!$C$37*$AT120)/SUM(Settings!$C$32:$C$37),1)))</f>
        <v>59.1</v>
      </c>
      <c r="AI120" s="29">
        <f>IF($B120="","",MAX(0,100-IF(N($N120)&gt;0,0,20)-IF(AND(N($L120)=0,N($M120)=0),15,0)-IF(N($J120)&gt;0,0,10)-IF(N($K120)&gt;0,0,10)-IF($Z120&lt;&gt;"",0,15)-IF($AB120&lt;&gt;"",0,10)-IF($R120="ERROR",20,IF($R120="WARNING",10,0))))</f>
        <v>75</v>
      </c>
      <c r="AJ120" s="30" t="str">
        <f>IF($AH120="","",IF($AH120&lt;Settings!$C$46,"Extreme Sell Pressure",IF($AH120&lt;Settings!$C$47,"Sell Pressure",IF($AH120&lt;=Settings!$C$48,"Neutral",IF($AH120&lt;=Settings!$C$49,"Buy Pressure","Extreme Buy Pressure")))))</f>
        <v>Neutral</v>
      </c>
      <c r="AK120" s="30">
        <f t="shared" si="28"/>
        <v>3</v>
      </c>
      <c r="AL120" s="30">
        <f t="shared" si="29"/>
        <v>2026</v>
      </c>
      <c r="AM120" s="30">
        <f t="shared" si="30"/>
        <v>33</v>
      </c>
      <c r="AN120" s="30">
        <f t="shared" si="31"/>
        <v>8</v>
      </c>
      <c r="AO120" s="29">
        <f>IF($B120="","",IF(AND(N($L120)=0,N($M120)=0),50,IF(N($M120)=0,100,IF(N($L120)=0,0,MEDIAN(0,100,50+50*LN($S120)/LN(Settings!$C$40))))))</f>
        <v>72.331701912024158</v>
      </c>
      <c r="AP120" s="29">
        <f>IF($AA120="",50,MEDIAN(0,100,50+$AA120*100*Settings!$C$41))</f>
        <v>50</v>
      </c>
      <c r="AQ120" s="29">
        <f>IF($H120="",50,MEDIAN(0,100,50+$H120*100*Settings!$C$42))</f>
        <v>35.294117647058876</v>
      </c>
      <c r="AR120" s="29">
        <f>IF(OR($AC120="",$H120=""),50,MEDIAN(0,100,50+SIGN($H120)*50*MEDIAN(0,1,($AC120-1)/Settings!$C$43)))</f>
        <v>50</v>
      </c>
      <c r="AS120" s="29">
        <f>IF(OR($V120="",$W120=""),50,MEDIAN(0,100,50+50*($V120-$W120)/Settings!$C$44))</f>
        <v>90.364152159896832</v>
      </c>
      <c r="AT120" s="29">
        <f t="shared" si="32"/>
        <v>56.029559516246522</v>
      </c>
      <c r="AU120" s="30" t="str">
        <f t="shared" si="33"/>
        <v>IEACLC-ETF|2026-08-13</v>
      </c>
      <c r="AV120" s="87">
        <f>IF($A120="","",IF(COUNTIFS($A$4:$A120,$A120)=1,1,0))</f>
        <v>0</v>
      </c>
    </row>
    <row r="121" spans="1:48" x14ac:dyDescent="0.3">
      <c r="A121" s="265">
        <v>46247</v>
      </c>
      <c r="B121" s="266" t="s">
        <v>1105</v>
      </c>
      <c r="C121" s="267">
        <v>320</v>
      </c>
      <c r="D121" s="267">
        <v>320</v>
      </c>
      <c r="E121" s="267">
        <v>330</v>
      </c>
      <c r="F121" s="267">
        <v>335</v>
      </c>
      <c r="G121" s="267">
        <v>330</v>
      </c>
      <c r="H121" s="268">
        <f t="shared" si="17"/>
        <v>3.125E-2</v>
      </c>
      <c r="I121" s="269">
        <v>10170535</v>
      </c>
      <c r="J121" s="269">
        <v>166</v>
      </c>
      <c r="K121" s="269">
        <v>30670</v>
      </c>
      <c r="L121" s="269">
        <v>10532</v>
      </c>
      <c r="M121" s="269">
        <v>33989</v>
      </c>
      <c r="N121" s="269">
        <v>17820000000</v>
      </c>
      <c r="O121" s="266" t="s">
        <v>1106</v>
      </c>
      <c r="P121" s="265">
        <v>46265</v>
      </c>
      <c r="Q121" s="266" t="s">
        <v>1138</v>
      </c>
      <c r="R121" s="23" t="str" cm="1">
        <f t="array" ref="R121">IF($B121="","",IFERROR(IF(INDEX('Data Quality'!$U$4:$U$503,ROW()-3)=0,"PENDING",INDEX('Data Quality'!$U$4:$U$503,ROW()-3)),"PENDING"))</f>
        <v>PASS</v>
      </c>
      <c r="S121" s="24">
        <f t="shared" si="18"/>
        <v>0.3098649563093942</v>
      </c>
      <c r="T121" s="25">
        <f t="shared" si="19"/>
        <v>3475560</v>
      </c>
      <c r="U121" s="25">
        <f t="shared" si="20"/>
        <v>11216370</v>
      </c>
      <c r="V121" s="26">
        <f t="shared" si="21"/>
        <v>1.9503703703703705E-4</v>
      </c>
      <c r="W121" s="26">
        <f t="shared" si="22"/>
        <v>6.2942592592592596E-4</v>
      </c>
      <c r="X121" s="25">
        <f t="shared" si="23"/>
        <v>184.75903614457832</v>
      </c>
      <c r="Y121" s="25">
        <f t="shared" si="24"/>
        <v>61268.283132530123</v>
      </c>
      <c r="Z121" s="27" t="str">
        <f>IF($B121="","",IF($AK121&lt;=Settings!$C$21,"",IFERROR(AVERAGEIFS($S$4:$S$503,$B$4:$B$503,$B121,$AK$4:$AK$503,"&gt;="&amp;$AK121-Settings!$C$21,$AK$4:$AK$503,"&lt;="&amp;$AK121-1),"")))</f>
        <v/>
      </c>
      <c r="AA121" s="28" t="str">
        <f t="shared" si="25"/>
        <v/>
      </c>
      <c r="AB121" s="25" t="str">
        <f>IF($B121="","",IF($AK121&lt;=Settings!$C$22,"",IFERROR(AVERAGEIFS($K$4:$K$503,$B$4:$B$503,$B121,$AK$4:$AK$503,"&gt;="&amp;$AK121-Settings!$C$22,$AK$4:$AK$503,"&lt;="&amp;$AK121-1),"")))</f>
        <v/>
      </c>
      <c r="AC121" s="27" t="str">
        <f t="shared" si="26"/>
        <v/>
      </c>
      <c r="AD121" s="28" t="str">
        <f>IF($B121="","",IF($AK121&lt;=Settings!$C$23,"",IFERROR($E121/SUMIFS($E$4:$E$503,$B$4:$B$503,$B121,$AK$4:$AK$503,$AK121-Settings!$C$23)-1,"")))</f>
        <v/>
      </c>
      <c r="AE121" s="28" t="str">
        <f>IF($B121="","",IF($AK121&lt;=Settings!$C$22,"",IFERROR($E121/SUMIFS($E$4:$E$503,$B$4:$B$503,$B121,$AK$4:$AK$503,$AK121-Settings!$C$22)-1,"")))</f>
        <v/>
      </c>
      <c r="AF121" s="28">
        <f t="shared" si="27"/>
        <v>1.5151515151515152E-2</v>
      </c>
      <c r="AG121" s="29">
        <f>IF($B121="","",ROUND((MIN(100,100*N($I121)/Settings!$C$27)+MIN(100,100*N($K121)/Settings!$C$28)+MIN(100,100*N($J121)/Settings!$C$29))/3,1))</f>
        <v>35.700000000000003</v>
      </c>
      <c r="AH121" s="29">
        <f>IF($B121="","",IF(SUM(Settings!$C$32:$C$37)=0,"",ROUND((Settings!$C$32*$AO121+Settings!$C$33*$AP121+Settings!$C$34*$AQ121+Settings!$C$35*$AR121+Settings!$C$36*$AS121+Settings!$C$37*$AT121)/SUM(Settings!$C$32:$C$37),1)))</f>
        <v>36.200000000000003</v>
      </c>
      <c r="AI121" s="29">
        <f>IF($B121="","",MAX(0,100-IF(N($N121)&gt;0,0,20)-IF(AND(N($L121)=0,N($M121)=0),15,0)-IF(N($J121)&gt;0,0,10)-IF(N($K121)&gt;0,0,10)-IF($Z121&lt;&gt;"",0,15)-IF($AB121&lt;&gt;"",0,10)-IF($R121="ERROR",20,IF($R121="WARNING",10,0))))</f>
        <v>75</v>
      </c>
      <c r="AJ121" s="30" t="str">
        <f>IF($AH121="","",IF($AH121&lt;Settings!$C$46,"Extreme Sell Pressure",IF($AH121&lt;Settings!$C$47,"Sell Pressure",IF($AH121&lt;=Settings!$C$48,"Neutral",IF($AH121&lt;=Settings!$C$49,"Buy Pressure","Extreme Buy Pressure")))))</f>
        <v>Sell Pressure</v>
      </c>
      <c r="AK121" s="30">
        <f t="shared" si="28"/>
        <v>3</v>
      </c>
      <c r="AL121" s="30">
        <f t="shared" si="29"/>
        <v>2026</v>
      </c>
      <c r="AM121" s="30">
        <f t="shared" si="30"/>
        <v>33</v>
      </c>
      <c r="AN121" s="30">
        <f t="shared" si="31"/>
        <v>8</v>
      </c>
      <c r="AO121" s="29">
        <f>IF($B121="","",IF(AND(N($L121)=0,N($M121)=0),50,IF(N($M121)=0,100,IF(N($L121)=0,0,MEDIAN(0,100,50+50*LN($S121)/LN(Settings!$C$40))))))</f>
        <v>7.7427877483057159</v>
      </c>
      <c r="AP121" s="29">
        <f>IF($AA121="",50,MEDIAN(0,100,50+$AA121*100*Settings!$C$41))</f>
        <v>50</v>
      </c>
      <c r="AQ121" s="29">
        <f>IF($H121="",50,MEDIAN(0,100,50+$H121*100*Settings!$C$42))</f>
        <v>81.25</v>
      </c>
      <c r="AR121" s="29">
        <f>IF(OR($AC121="",$H121=""),50,MEDIAN(0,100,50+SIGN($H121)*50*MEDIAN(0,1,($AC121-1)/Settings!$C$43)))</f>
        <v>50</v>
      </c>
      <c r="AS121" s="29">
        <f>IF(OR($V121="",$W121=""),50,MEDIAN(0,100,50+50*($V121-$W121)/Settings!$C$44))</f>
        <v>6.56111111111111</v>
      </c>
      <c r="AT121" s="29">
        <f t="shared" si="32"/>
        <v>34.91417522614514</v>
      </c>
      <c r="AU121" s="30" t="str">
        <f t="shared" si="33"/>
        <v>VERTEX-ETF|2026-08-13</v>
      </c>
      <c r="AV121" s="87">
        <f>IF($A121="","",IF(COUNTIFS($A$4:$A121,$A121)=1,1,0))</f>
        <v>0</v>
      </c>
    </row>
    <row r="122" spans="1:48" x14ac:dyDescent="0.3">
      <c r="A122" s="265">
        <v>46248</v>
      </c>
      <c r="B122" s="266" t="s">
        <v>1093</v>
      </c>
      <c r="C122" s="267">
        <v>625</v>
      </c>
      <c r="D122" s="267">
        <v>625</v>
      </c>
      <c r="E122" s="267">
        <v>625</v>
      </c>
      <c r="F122" s="267">
        <v>630</v>
      </c>
      <c r="G122" s="267">
        <v>620</v>
      </c>
      <c r="H122" s="268">
        <f t="shared" si="17"/>
        <v>0</v>
      </c>
      <c r="I122" s="269">
        <v>32287830</v>
      </c>
      <c r="J122" s="269">
        <v>165</v>
      </c>
      <c r="K122" s="269">
        <v>51667</v>
      </c>
      <c r="L122" s="269">
        <v>21261</v>
      </c>
      <c r="M122" s="269">
        <v>78845</v>
      </c>
      <c r="N122" s="269">
        <v>91270000000</v>
      </c>
      <c r="O122" s="266" t="s">
        <v>1106</v>
      </c>
      <c r="P122" s="265">
        <v>46265</v>
      </c>
      <c r="Q122" s="266" t="s">
        <v>1342</v>
      </c>
      <c r="R122" s="23" t="str" cm="1">
        <f t="array" ref="R122">IF($B122="","",IFERROR(IF(INDEX('Data Quality'!$U$4:$U$503,ROW()-3)=0,"PENDING",INDEX('Data Quality'!$U$4:$U$503,ROW()-3)),"PENDING"))</f>
        <v>PASS</v>
      </c>
      <c r="S122" s="24">
        <f t="shared" si="18"/>
        <v>0.26965565349736825</v>
      </c>
      <c r="T122" s="25">
        <f t="shared" si="19"/>
        <v>13288125</v>
      </c>
      <c r="U122" s="25">
        <f t="shared" si="20"/>
        <v>49278125</v>
      </c>
      <c r="V122" s="26">
        <f t="shared" si="21"/>
        <v>1.4559137723238743E-4</v>
      </c>
      <c r="W122" s="26">
        <f t="shared" si="22"/>
        <v>5.3991590884189765E-4</v>
      </c>
      <c r="X122" s="25">
        <f t="shared" si="23"/>
        <v>313.13333333333333</v>
      </c>
      <c r="Y122" s="25">
        <f t="shared" si="24"/>
        <v>195683.81818181818</v>
      </c>
      <c r="Z122" s="27" t="str">
        <f>IF($B122="","",IF($AK122&lt;=Settings!$C$21,"",IFERROR(AVERAGEIFS($S$4:$S$503,$B$4:$B$503,$B122,$AK$4:$AK$503,"&gt;="&amp;$AK122-Settings!$C$21,$AK$4:$AK$503,"&lt;="&amp;$AK122-1),"")))</f>
        <v/>
      </c>
      <c r="AA122" s="28" t="str">
        <f t="shared" si="25"/>
        <v/>
      </c>
      <c r="AB122" s="25" t="str">
        <f>IF($B122="","",IF($AK122&lt;=Settings!$C$22,"",IFERROR(AVERAGEIFS($K$4:$K$503,$B$4:$B$503,$B122,$AK$4:$AK$503,"&gt;="&amp;$AK122-Settings!$C$22,$AK$4:$AK$503,"&lt;="&amp;$AK122-1),"")))</f>
        <v/>
      </c>
      <c r="AC122" s="27" t="str">
        <f t="shared" si="26"/>
        <v/>
      </c>
      <c r="AD122" s="28" t="str">
        <f>IF($B122="","",IF($AK122&lt;=Settings!$C$23,"",IFERROR($E122/SUMIFS($E$4:$E$503,$B$4:$B$503,$B122,$AK$4:$AK$503,$AK122-Settings!$C$23)-1,"")))</f>
        <v/>
      </c>
      <c r="AE122" s="28" t="str">
        <f>IF($B122="","",IF($AK122&lt;=Settings!$C$22,"",IFERROR($E122/SUMIFS($E$4:$E$503,$B$4:$B$503,$B122,$AK$4:$AK$503,$AK122-Settings!$C$22)-1,"")))</f>
        <v/>
      </c>
      <c r="AF122" s="28">
        <f t="shared" si="27"/>
        <v>1.6E-2</v>
      </c>
      <c r="AG122" s="29">
        <f>IF($B122="","",ROUND((MIN(100,100*N($I122)/Settings!$C$27)+MIN(100,100*N($K122)/Settings!$C$28)+MIN(100,100*N($J122)/Settings!$C$29))/3,1))</f>
        <v>37.9</v>
      </c>
      <c r="AH122" s="29">
        <f>IF($B122="","",IF(SUM(Settings!$C$32:$C$37)=0,"",ROUND((Settings!$C$32*$AO122+Settings!$C$33*$AP122+Settings!$C$34*$AQ122+Settings!$C$35*$AR122+Settings!$C$36*$AS122+Settings!$C$37*$AT122)/SUM(Settings!$C$32:$C$37),1)))</f>
        <v>30.1</v>
      </c>
      <c r="AI122" s="29">
        <f>IF($B122="","",MAX(0,100-IF(N($N122)&gt;0,0,20)-IF(AND(N($L122)=0,N($M122)=0),15,0)-IF(N($J122)&gt;0,0,10)-IF(N($K122)&gt;0,0,10)-IF($Z122&lt;&gt;"",0,15)-IF($AB122&lt;&gt;"",0,10)-IF($R122="ERROR",20,IF($R122="WARNING",10,0))))</f>
        <v>75</v>
      </c>
      <c r="AJ122" s="30" t="str">
        <f>IF($AH122="","",IF($AH122&lt;Settings!$C$46,"Extreme Sell Pressure",IF($AH122&lt;Settings!$C$47,"Sell Pressure",IF($AH122&lt;=Settings!$C$48,"Neutral",IF($AH122&lt;=Settings!$C$49,"Buy Pressure","Extreme Buy Pressure")))))</f>
        <v>Sell Pressure</v>
      </c>
      <c r="AK122" s="30">
        <f t="shared" si="28"/>
        <v>5</v>
      </c>
      <c r="AL122" s="30">
        <f t="shared" si="29"/>
        <v>2026</v>
      </c>
      <c r="AM122" s="30">
        <f t="shared" si="30"/>
        <v>33</v>
      </c>
      <c r="AN122" s="30">
        <f t="shared" si="31"/>
        <v>8</v>
      </c>
      <c r="AO122" s="29">
        <f>IF($B122="","",IF(AND(N($L122)=0,N($M122)=0),50,IF(N($M122)=0,100,IF(N($L122)=0,0,MEDIAN(0,100,50+50*LN($S122)/LN(Settings!$C$40))))))</f>
        <v>2.7297546567753628</v>
      </c>
      <c r="AP122" s="29">
        <f>IF($AA122="",50,MEDIAN(0,100,50+$AA122*100*Settings!$C$41))</f>
        <v>50</v>
      </c>
      <c r="AQ122" s="29">
        <f>IF($H122="",50,MEDIAN(0,100,50+$H122*100*Settings!$C$42))</f>
        <v>50</v>
      </c>
      <c r="AR122" s="29">
        <f>IF(OR($AC122="",$H122=""),50,MEDIAN(0,100,50+SIGN($H122)*50*MEDIAN(0,1,($AC122-1)/Settings!$C$43)))</f>
        <v>50</v>
      </c>
      <c r="AS122" s="29">
        <f>IF(OR($V122="",$W122=""),50,MEDIAN(0,100,50+50*($V122-$W122)/Settings!$C$44))</f>
        <v>10.56754683904898</v>
      </c>
      <c r="AT122" s="29">
        <f t="shared" si="32"/>
        <v>32.084577014917862</v>
      </c>
      <c r="AU122" s="30" t="str">
        <f t="shared" si="33"/>
        <v>AFRIPRISE|2026-08-14</v>
      </c>
      <c r="AV122" s="87">
        <f>IF($A122="","",IF(COUNTIFS($A$4:$A122,$A122)=1,1,0))</f>
        <v>1</v>
      </c>
    </row>
    <row r="123" spans="1:48" x14ac:dyDescent="0.3">
      <c r="A123" s="265">
        <v>46248</v>
      </c>
      <c r="B123" s="266" t="s">
        <v>23</v>
      </c>
      <c r="C123" s="267">
        <v>2700</v>
      </c>
      <c r="D123" s="267">
        <v>2700</v>
      </c>
      <c r="E123" s="267">
        <v>2700</v>
      </c>
      <c r="F123" s="267">
        <v>2720</v>
      </c>
      <c r="G123" s="267">
        <v>2680</v>
      </c>
      <c r="H123" s="268">
        <f t="shared" si="17"/>
        <v>0</v>
      </c>
      <c r="I123" s="269">
        <v>1052659120</v>
      </c>
      <c r="J123" s="269">
        <v>1346</v>
      </c>
      <c r="K123" s="269">
        <v>390325</v>
      </c>
      <c r="L123" s="269">
        <v>332026</v>
      </c>
      <c r="M123" s="269">
        <v>68633</v>
      </c>
      <c r="N123" s="269">
        <v>7051960000000</v>
      </c>
      <c r="O123" s="266" t="s">
        <v>1106</v>
      </c>
      <c r="P123" s="265">
        <v>46265</v>
      </c>
      <c r="Q123" s="266" t="s">
        <v>1342</v>
      </c>
      <c r="R123" s="23" t="str" cm="1">
        <f t="array" ref="R123">IF($B123="","",IFERROR(IF(INDEX('Data Quality'!$U$4:$U$503,ROW()-3)=0,"PENDING",INDEX('Data Quality'!$U$4:$U$503,ROW()-3)),"PENDING"))</f>
        <v>PASS</v>
      </c>
      <c r="S123" s="24">
        <f t="shared" si="18"/>
        <v>4.8377019800970382</v>
      </c>
      <c r="T123" s="25">
        <f t="shared" si="19"/>
        <v>896470200</v>
      </c>
      <c r="U123" s="25">
        <f t="shared" si="20"/>
        <v>185309100</v>
      </c>
      <c r="V123" s="26">
        <f t="shared" si="21"/>
        <v>1.2712355146654263E-4</v>
      </c>
      <c r="W123" s="26">
        <f t="shared" si="22"/>
        <v>2.6277673157533509E-5</v>
      </c>
      <c r="X123" s="25">
        <f t="shared" si="23"/>
        <v>289.98885586924217</v>
      </c>
      <c r="Y123" s="25">
        <f t="shared" si="24"/>
        <v>782064.72511144134</v>
      </c>
      <c r="Z123" s="27" t="str">
        <f>IF($B123="","",IF($AK123&lt;=Settings!$C$21,"",IFERROR(AVERAGEIFS($S$4:$S$503,$B$4:$B$503,$B123,$AK$4:$AK$503,"&gt;="&amp;$AK123-Settings!$C$21,$AK$4:$AK$503,"&lt;="&amp;$AK123-1),"")))</f>
        <v/>
      </c>
      <c r="AA123" s="28" t="str">
        <f t="shared" si="25"/>
        <v/>
      </c>
      <c r="AB123" s="25" t="str">
        <f>IF($B123="","",IF($AK123&lt;=Settings!$C$22,"",IFERROR(AVERAGEIFS($K$4:$K$503,$B$4:$B$503,$B123,$AK$4:$AK$503,"&gt;="&amp;$AK123-Settings!$C$22,$AK$4:$AK$503,"&lt;="&amp;$AK123-1),"")))</f>
        <v/>
      </c>
      <c r="AC123" s="27" t="str">
        <f t="shared" si="26"/>
        <v/>
      </c>
      <c r="AD123" s="28" t="str">
        <f>IF($B123="","",IF($AK123&lt;=Settings!$C$23,"",IFERROR($E123/SUMIFS($E$4:$E$503,$B$4:$B$503,$B123,$AK$4:$AK$503,$AK123-Settings!$C$23)-1,"")))</f>
        <v/>
      </c>
      <c r="AE123" s="28" t="str">
        <f>IF($B123="","",IF($AK123&lt;=Settings!$C$22,"",IFERROR($E123/SUMIFS($E$4:$E$503,$B$4:$B$503,$B123,$AK$4:$AK$503,$AK123-Settings!$C$22)-1,"")))</f>
        <v/>
      </c>
      <c r="AF123" s="28">
        <f t="shared" si="27"/>
        <v>1.4814814814814815E-2</v>
      </c>
      <c r="AG123" s="29">
        <f>IF($B123="","",ROUND((MIN(100,100*N($I123)/Settings!$C$27)+MIN(100,100*N($K123)/Settings!$C$28)+MIN(100,100*N($J123)/Settings!$C$29))/3,1))</f>
        <v>92.7</v>
      </c>
      <c r="AH123" s="29">
        <f>IF($B123="","",IF(SUM(Settings!$C$32:$C$37)=0,"",ROUND((Settings!$C$32*$AO123+Settings!$C$33*$AP123+Settings!$C$34*$AQ123+Settings!$C$35*$AR123+Settings!$C$36*$AS123+Settings!$C$37*$AT123)/SUM(Settings!$C$32:$C$37),1)))</f>
        <v>70.599999999999994</v>
      </c>
      <c r="AI123" s="29">
        <f>IF($B123="","",MAX(0,100-IF(N($N123)&gt;0,0,20)-IF(AND(N($L123)=0,N($M123)=0),15,0)-IF(N($J123)&gt;0,0,10)-IF(N($K123)&gt;0,0,10)-IF($Z123&lt;&gt;"",0,15)-IF($AB123&lt;&gt;"",0,10)-IF($R123="ERROR",20,IF($R123="WARNING",10,0))))</f>
        <v>75</v>
      </c>
      <c r="AJ123" s="30" t="str">
        <f>IF($AH123="","",IF($AH123&lt;Settings!$C$46,"Extreme Sell Pressure",IF($AH123&lt;Settings!$C$47,"Sell Pressure",IF($AH123&lt;=Settings!$C$48,"Neutral",IF($AH123&lt;=Settings!$C$49,"Buy Pressure","Extreme Buy Pressure")))))</f>
        <v>Buy Pressure</v>
      </c>
      <c r="AK123" s="30">
        <f t="shared" si="28"/>
        <v>5</v>
      </c>
      <c r="AL123" s="30">
        <f t="shared" si="29"/>
        <v>2026</v>
      </c>
      <c r="AM123" s="30">
        <f t="shared" si="30"/>
        <v>33</v>
      </c>
      <c r="AN123" s="30">
        <f t="shared" si="31"/>
        <v>8</v>
      </c>
      <c r="AO123" s="29">
        <f>IF($B123="","",IF(AND(N($L123)=0,N($M123)=0),50,IF(N($M123)=0,100,IF(N($L123)=0,0,MEDIAN(0,100,50+50*LN($S123)/LN(Settings!$C$40))))))</f>
        <v>100</v>
      </c>
      <c r="AP123" s="29">
        <f>IF($AA123="",50,MEDIAN(0,100,50+$AA123*100*Settings!$C$41))</f>
        <v>50</v>
      </c>
      <c r="AQ123" s="29">
        <f>IF($H123="",50,MEDIAN(0,100,50+$H123*100*Settings!$C$42))</f>
        <v>50</v>
      </c>
      <c r="AR123" s="29">
        <f>IF(OR($AC123="",$H123=""),50,MEDIAN(0,100,50+SIGN($H123)*50*MEDIAN(0,1,($AC123-1)/Settings!$C$43)))</f>
        <v>50</v>
      </c>
      <c r="AS123" s="29">
        <f>IF(OR($V123="",$W123=""),50,MEDIAN(0,100,50+50*($V123-$W123)/Settings!$C$44))</f>
        <v>60.084587830900915</v>
      </c>
      <c r="AT123" s="29">
        <f t="shared" si="32"/>
        <v>96.35</v>
      </c>
      <c r="AU123" s="30" t="str">
        <f t="shared" si="33"/>
        <v>CRDB|2026-08-14</v>
      </c>
      <c r="AV123" s="87">
        <f>IF($A123="","",IF(COUNTIFS($A$4:$A123,$A123)=1,1,0))</f>
        <v>0</v>
      </c>
    </row>
    <row r="124" spans="1:48" x14ac:dyDescent="0.3">
      <c r="A124" s="265">
        <v>46248</v>
      </c>
      <c r="B124" s="266" t="s">
        <v>1094</v>
      </c>
      <c r="C124" s="267">
        <v>420</v>
      </c>
      <c r="D124" s="267">
        <v>420</v>
      </c>
      <c r="E124" s="267">
        <v>465</v>
      </c>
      <c r="F124" s="267">
        <v>480</v>
      </c>
      <c r="G124" s="267">
        <v>440</v>
      </c>
      <c r="H124" s="268">
        <f t="shared" si="17"/>
        <v>0.10714285714285721</v>
      </c>
      <c r="I124" s="269">
        <v>28346610</v>
      </c>
      <c r="J124" s="269">
        <v>79</v>
      </c>
      <c r="K124" s="269">
        <v>61036</v>
      </c>
      <c r="L124" s="269">
        <v>137957</v>
      </c>
      <c r="M124" s="269">
        <v>0</v>
      </c>
      <c r="N124" s="269">
        <v>89090000000</v>
      </c>
      <c r="O124" s="266" t="s">
        <v>1106</v>
      </c>
      <c r="P124" s="265">
        <v>46265</v>
      </c>
      <c r="Q124" s="266" t="s">
        <v>1342</v>
      </c>
      <c r="R124" s="23" t="str" cm="1">
        <f t="array" ref="R124">IF($B124="","",IFERROR(IF(INDEX('Data Quality'!$U$4:$U$503,ROW()-3)=0,"PENDING",INDEX('Data Quality'!$U$4:$U$503,ROW()-3)),"PENDING"))</f>
        <v>PASS</v>
      </c>
      <c r="S124" s="24" t="str">
        <f t="shared" si="18"/>
        <v/>
      </c>
      <c r="T124" s="25">
        <f t="shared" si="19"/>
        <v>64150005</v>
      </c>
      <c r="U124" s="25">
        <f t="shared" si="20"/>
        <v>0</v>
      </c>
      <c r="V124" s="26">
        <f t="shared" si="21"/>
        <v>7.2005842406555165E-4</v>
      </c>
      <c r="W124" s="26">
        <f t="shared" si="22"/>
        <v>0</v>
      </c>
      <c r="X124" s="25">
        <f t="shared" si="23"/>
        <v>772.60759493670889</v>
      </c>
      <c r="Y124" s="25">
        <f t="shared" si="24"/>
        <v>358817.84810126584</v>
      </c>
      <c r="Z124" s="27" t="str">
        <f>IF($B124="","",IF($AK124&lt;=Settings!$C$21,"",IFERROR(AVERAGEIFS($S$4:$S$503,$B$4:$B$503,$B124,$AK$4:$AK$503,"&gt;="&amp;$AK124-Settings!$C$21,$AK$4:$AK$503,"&lt;="&amp;$AK124-1),"")))</f>
        <v/>
      </c>
      <c r="AA124" s="28" t="str">
        <f t="shared" si="25"/>
        <v/>
      </c>
      <c r="AB124" s="25" t="str">
        <f>IF($B124="","",IF($AK124&lt;=Settings!$C$22,"",IFERROR(AVERAGEIFS($K$4:$K$503,$B$4:$B$503,$B124,$AK$4:$AK$503,"&gt;="&amp;$AK124-Settings!$C$22,$AK$4:$AK$503,"&lt;="&amp;$AK124-1),"")))</f>
        <v/>
      </c>
      <c r="AC124" s="27" t="str">
        <f t="shared" si="26"/>
        <v/>
      </c>
      <c r="AD124" s="28" t="str">
        <f>IF($B124="","",IF($AK124&lt;=Settings!$C$23,"",IFERROR($E124/SUMIFS($E$4:$E$503,$B$4:$B$503,$B124,$AK$4:$AK$503,$AK124-Settings!$C$23)-1,"")))</f>
        <v/>
      </c>
      <c r="AE124" s="28" t="str">
        <f>IF($B124="","",IF($AK124&lt;=Settings!$C$22,"",IFERROR($E124/SUMIFS($E$4:$E$503,$B$4:$B$503,$B124,$AK$4:$AK$503,$AK124-Settings!$C$22)-1,"")))</f>
        <v/>
      </c>
      <c r="AF124" s="28">
        <f t="shared" si="27"/>
        <v>8.6021505376344093E-2</v>
      </c>
      <c r="AG124" s="29">
        <f>IF($B124="","",ROUND((MIN(100,100*N($I124)/Settings!$C$27)+MIN(100,100*N($K124)/Settings!$C$28)+MIN(100,100*N($J124)/Settings!$C$29))/3,1))</f>
        <v>31.3</v>
      </c>
      <c r="AH124" s="29">
        <f>IF($B124="","",IF(SUM(Settings!$C$32:$C$37)=0,"",ROUND((Settings!$C$32*$AO124+Settings!$C$33*$AP124+Settings!$C$34*$AQ124+Settings!$C$35*$AR124+Settings!$C$36*$AS124+Settings!$C$37*$AT124)/SUM(Settings!$C$32:$C$37),1)))</f>
        <v>79.099999999999994</v>
      </c>
      <c r="AI124" s="29">
        <f>IF($B124="","",MAX(0,100-IF(N($N124)&gt;0,0,20)-IF(AND(N($L124)=0,N($M124)=0),15,0)-IF(N($J124)&gt;0,0,10)-IF(N($K124)&gt;0,0,10)-IF($Z124&lt;&gt;"",0,15)-IF($AB124&lt;&gt;"",0,10)-IF($R124="ERROR",20,IF($R124="WARNING",10,0))))</f>
        <v>75</v>
      </c>
      <c r="AJ124" s="30" t="str">
        <f>IF($AH124="","",IF($AH124&lt;Settings!$C$46,"Extreme Sell Pressure",IF($AH124&lt;Settings!$C$47,"Sell Pressure",IF($AH124&lt;=Settings!$C$48,"Neutral",IF($AH124&lt;=Settings!$C$49,"Buy Pressure","Extreme Buy Pressure")))))</f>
        <v>Buy Pressure</v>
      </c>
      <c r="AK124" s="30">
        <f t="shared" si="28"/>
        <v>5</v>
      </c>
      <c r="AL124" s="30">
        <f t="shared" si="29"/>
        <v>2026</v>
      </c>
      <c r="AM124" s="30">
        <f t="shared" si="30"/>
        <v>33</v>
      </c>
      <c r="AN124" s="30">
        <f t="shared" si="31"/>
        <v>8</v>
      </c>
      <c r="AO124" s="29">
        <f>IF($B124="","",IF(AND(N($L124)=0,N($M124)=0),50,IF(N($M124)=0,100,IF(N($L124)=0,0,MEDIAN(0,100,50+50*LN($S124)/LN(Settings!$C$40))))))</f>
        <v>100</v>
      </c>
      <c r="AP124" s="29">
        <f>IF($AA124="",50,MEDIAN(0,100,50+$AA124*100*Settings!$C$41))</f>
        <v>50</v>
      </c>
      <c r="AQ124" s="29">
        <f>IF($H124="",50,MEDIAN(0,100,50+$H124*100*Settings!$C$42))</f>
        <v>100</v>
      </c>
      <c r="AR124" s="29">
        <f>IF(OR($AC124="",$H124=""),50,MEDIAN(0,100,50+SIGN($H124)*50*MEDIAN(0,1,($AC124-1)/Settings!$C$43)))</f>
        <v>50</v>
      </c>
      <c r="AS124" s="29">
        <f>IF(OR($V124="",$W124=""),50,MEDIAN(0,100,50+50*($V124-$W124)/Settings!$C$44))</f>
        <v>100</v>
      </c>
      <c r="AT124" s="29">
        <f t="shared" si="32"/>
        <v>65.650000000000006</v>
      </c>
      <c r="AU124" s="30" t="str">
        <f t="shared" si="33"/>
        <v>DCB|2026-08-14</v>
      </c>
      <c r="AV124" s="87">
        <f>IF($A124="","",IF(COUNTIFS($A$4:$A124,$A124)=1,1,0))</f>
        <v>0</v>
      </c>
    </row>
    <row r="125" spans="1:48" x14ac:dyDescent="0.3">
      <c r="A125" s="265">
        <v>46248</v>
      </c>
      <c r="B125" s="266" t="s">
        <v>120</v>
      </c>
      <c r="C125" s="267">
        <v>6300</v>
      </c>
      <c r="D125" s="267">
        <v>6300</v>
      </c>
      <c r="E125" s="267">
        <v>6570</v>
      </c>
      <c r="F125" s="267">
        <v>6570</v>
      </c>
      <c r="G125" s="267">
        <v>6500</v>
      </c>
      <c r="H125" s="268">
        <f t="shared" si="17"/>
        <v>4.2857142857142927E-2</v>
      </c>
      <c r="I125" s="269">
        <v>1871750</v>
      </c>
      <c r="J125" s="269">
        <v>13</v>
      </c>
      <c r="K125" s="269">
        <v>285</v>
      </c>
      <c r="L125" s="269">
        <v>3092</v>
      </c>
      <c r="M125" s="269">
        <v>459</v>
      </c>
      <c r="N125" s="269">
        <v>156520000000</v>
      </c>
      <c r="O125" s="266" t="s">
        <v>1106</v>
      </c>
      <c r="P125" s="265">
        <v>46265</v>
      </c>
      <c r="Q125" s="266" t="s">
        <v>1342</v>
      </c>
      <c r="R125" s="23" t="str" cm="1">
        <f t="array" ref="R125">IF($B125="","",IFERROR(IF(INDEX('Data Quality'!$U$4:$U$503,ROW()-3)=0,"PENDING",INDEX('Data Quality'!$U$4:$U$503,ROW()-3)),"PENDING"))</f>
        <v>PASS</v>
      </c>
      <c r="S125" s="24">
        <f t="shared" si="18"/>
        <v>6.7363834422657956</v>
      </c>
      <c r="T125" s="25">
        <f t="shared" si="19"/>
        <v>20314440</v>
      </c>
      <c r="U125" s="25">
        <f t="shared" si="20"/>
        <v>3015630</v>
      </c>
      <c r="V125" s="26">
        <f t="shared" si="21"/>
        <v>1.2978814209046766E-4</v>
      </c>
      <c r="W125" s="26">
        <f t="shared" si="22"/>
        <v>1.926673907487861E-5</v>
      </c>
      <c r="X125" s="25">
        <f t="shared" si="23"/>
        <v>21.923076923076923</v>
      </c>
      <c r="Y125" s="25">
        <f t="shared" si="24"/>
        <v>143980.76923076922</v>
      </c>
      <c r="Z125" s="27" t="str">
        <f>IF($B125="","",IF($AK125&lt;=Settings!$C$21,"",IFERROR(AVERAGEIFS($S$4:$S$503,$B$4:$B$503,$B125,$AK$4:$AK$503,"&gt;="&amp;$AK125-Settings!$C$21,$AK$4:$AK$503,"&lt;="&amp;$AK125-1),"")))</f>
        <v/>
      </c>
      <c r="AA125" s="28" t="str">
        <f t="shared" si="25"/>
        <v/>
      </c>
      <c r="AB125" s="25" t="str">
        <f>IF($B125="","",IF($AK125&lt;=Settings!$C$22,"",IFERROR(AVERAGEIFS($K$4:$K$503,$B$4:$B$503,$B125,$AK$4:$AK$503,"&gt;="&amp;$AK125-Settings!$C$22,$AK$4:$AK$503,"&lt;="&amp;$AK125-1),"")))</f>
        <v/>
      </c>
      <c r="AC125" s="27" t="str">
        <f t="shared" si="26"/>
        <v/>
      </c>
      <c r="AD125" s="28" t="str">
        <f>IF($B125="","",IF($AK125&lt;=Settings!$C$23,"",IFERROR($E125/SUMIFS($E$4:$E$503,$B$4:$B$503,$B125,$AK$4:$AK$503,$AK125-Settings!$C$23)-1,"")))</f>
        <v/>
      </c>
      <c r="AE125" s="28" t="str">
        <f>IF($B125="","",IF($AK125&lt;=Settings!$C$22,"",IFERROR($E125/SUMIFS($E$4:$E$503,$B$4:$B$503,$B125,$AK$4:$AK$503,$AK125-Settings!$C$22)-1,"")))</f>
        <v/>
      </c>
      <c r="AF125" s="28">
        <f t="shared" si="27"/>
        <v>1.06544901065449E-2</v>
      </c>
      <c r="AG125" s="29">
        <f>IF($B125="","",ROUND((MIN(100,100*N($I125)/Settings!$C$27)+MIN(100,100*N($K125)/Settings!$C$28)+MIN(100,100*N($J125)/Settings!$C$29))/3,1))</f>
        <v>4.4000000000000004</v>
      </c>
      <c r="AH125" s="29">
        <f>IF($B125="","",IF(SUM(Settings!$C$32:$C$37)=0,"",ROUND((Settings!$C$32*$AO125+Settings!$C$33*$AP125+Settings!$C$34*$AQ125+Settings!$C$35*$AR125+Settings!$C$36*$AS125+Settings!$C$37*$AT125)/SUM(Settings!$C$32:$C$37),1)))</f>
        <v>72.8</v>
      </c>
      <c r="AI125" s="29">
        <f>IF($B125="","",MAX(0,100-IF(N($N125)&gt;0,0,20)-IF(AND(N($L125)=0,N($M125)=0),15,0)-IF(N($J125)&gt;0,0,10)-IF(N($K125)&gt;0,0,10)-IF($Z125&lt;&gt;"",0,15)-IF($AB125&lt;&gt;"",0,10)-IF($R125="ERROR",20,IF($R125="WARNING",10,0))))</f>
        <v>75</v>
      </c>
      <c r="AJ125" s="30" t="str">
        <f>IF($AH125="","",IF($AH125&lt;Settings!$C$46,"Extreme Sell Pressure",IF($AH125&lt;Settings!$C$47,"Sell Pressure",IF($AH125&lt;=Settings!$C$48,"Neutral",IF($AH125&lt;=Settings!$C$49,"Buy Pressure","Extreme Buy Pressure")))))</f>
        <v>Buy Pressure</v>
      </c>
      <c r="AK125" s="30">
        <f t="shared" si="28"/>
        <v>5</v>
      </c>
      <c r="AL125" s="30">
        <f t="shared" si="29"/>
        <v>2026</v>
      </c>
      <c r="AM125" s="30">
        <f t="shared" si="30"/>
        <v>33</v>
      </c>
      <c r="AN125" s="30">
        <f t="shared" si="31"/>
        <v>8</v>
      </c>
      <c r="AO125" s="29">
        <f>IF($B125="","",IF(AND(N($L125)=0,N($M125)=0),50,IF(N($M125)=0,100,IF(N($L125)=0,0,MEDIAN(0,100,50+50*LN($S125)/LN(Settings!$C$40))))))</f>
        <v>100</v>
      </c>
      <c r="AP125" s="29">
        <f>IF($AA125="",50,MEDIAN(0,100,50+$AA125*100*Settings!$C$41))</f>
        <v>50</v>
      </c>
      <c r="AQ125" s="29">
        <f>IF($H125="",50,MEDIAN(0,100,50+$H125*100*Settings!$C$42))</f>
        <v>92.857142857142918</v>
      </c>
      <c r="AR125" s="29">
        <f>IF(OR($AC125="",$H125=""),50,MEDIAN(0,100,50+SIGN($H125)*50*MEDIAN(0,1,($AC125-1)/Settings!$C$43)))</f>
        <v>50</v>
      </c>
      <c r="AS125" s="29">
        <f>IF(OR($V125="",$W125=""),50,MEDIAN(0,100,50+50*($V125-$W125)/Settings!$C$44))</f>
        <v>61.052140301558907</v>
      </c>
      <c r="AT125" s="29">
        <f t="shared" si="32"/>
        <v>52.2</v>
      </c>
      <c r="AU125" s="30" t="str">
        <f t="shared" si="33"/>
        <v>DSE|2026-08-14</v>
      </c>
      <c r="AV125" s="87">
        <f>IF($A125="","",IF(COUNTIFS($A$4:$A125,$A125)=1,1,0))</f>
        <v>0</v>
      </c>
    </row>
    <row r="126" spans="1:48" x14ac:dyDescent="0.3">
      <c r="A126" s="265">
        <v>46248</v>
      </c>
      <c r="B126" s="266" t="s">
        <v>1095</v>
      </c>
      <c r="C126" s="267">
        <v>5580</v>
      </c>
      <c r="D126" s="267">
        <v>5580</v>
      </c>
      <c r="E126" s="267">
        <v>5590</v>
      </c>
      <c r="F126" s="267"/>
      <c r="G126" s="267"/>
      <c r="H126" s="268">
        <f t="shared" si="17"/>
        <v>1.7921146953405742E-3</v>
      </c>
      <c r="I126" s="269">
        <v>0</v>
      </c>
      <c r="J126" s="269">
        <v>0</v>
      </c>
      <c r="K126" s="269">
        <v>0</v>
      </c>
      <c r="L126" s="269">
        <v>47</v>
      </c>
      <c r="M126" s="269">
        <v>0</v>
      </c>
      <c r="N126" s="269">
        <v>4420430000000</v>
      </c>
      <c r="O126" s="266" t="s">
        <v>1106</v>
      </c>
      <c r="P126" s="265">
        <v>46265</v>
      </c>
      <c r="Q126" s="266" t="s">
        <v>1342</v>
      </c>
      <c r="R126" s="23" t="str" cm="1">
        <f t="array" ref="R126">IF($B126="","",IFERROR(IF(INDEX('Data Quality'!$U$4:$U$503,ROW()-3)=0,"PENDING",INDEX('Data Quality'!$U$4:$U$503,ROW()-3)),"PENDING"))</f>
        <v>PASS</v>
      </c>
      <c r="S126" s="24" t="str">
        <f t="shared" si="18"/>
        <v/>
      </c>
      <c r="T126" s="25">
        <f t="shared" si="19"/>
        <v>262730</v>
      </c>
      <c r="U126" s="25">
        <f t="shared" si="20"/>
        <v>0</v>
      </c>
      <c r="V126" s="26">
        <f t="shared" si="21"/>
        <v>5.9435394294220245E-8</v>
      </c>
      <c r="W126" s="26">
        <f t="shared" si="22"/>
        <v>0</v>
      </c>
      <c r="X126" s="25" t="str">
        <f t="shared" si="23"/>
        <v/>
      </c>
      <c r="Y126" s="25" t="str">
        <f t="shared" si="24"/>
        <v/>
      </c>
      <c r="Z126" s="27" t="str">
        <f>IF($B126="","",IF($AK126&lt;=Settings!$C$21,"",IFERROR(AVERAGEIFS($S$4:$S$503,$B$4:$B$503,$B126,$AK$4:$AK$503,"&gt;="&amp;$AK126-Settings!$C$21,$AK$4:$AK$503,"&lt;="&amp;$AK126-1),"")))</f>
        <v/>
      </c>
      <c r="AA126" s="28" t="str">
        <f t="shared" si="25"/>
        <v/>
      </c>
      <c r="AB126" s="25" t="str">
        <f>IF($B126="","",IF($AK126&lt;=Settings!$C$22,"",IFERROR(AVERAGEIFS($K$4:$K$503,$B$4:$B$503,$B126,$AK$4:$AK$503,"&gt;="&amp;$AK126-Settings!$C$22,$AK$4:$AK$503,"&lt;="&amp;$AK126-1),"")))</f>
        <v/>
      </c>
      <c r="AC126" s="27" t="str">
        <f t="shared" si="26"/>
        <v/>
      </c>
      <c r="AD126" s="28" t="str">
        <f>IF($B126="","",IF($AK126&lt;=Settings!$C$23,"",IFERROR($E126/SUMIFS($E$4:$E$503,$B$4:$B$503,$B126,$AK$4:$AK$503,$AK126-Settings!$C$23)-1,"")))</f>
        <v/>
      </c>
      <c r="AE126" s="28" t="str">
        <f>IF($B126="","",IF($AK126&lt;=Settings!$C$22,"",IFERROR($E126/SUMIFS($E$4:$E$503,$B$4:$B$503,$B126,$AK$4:$AK$503,$AK126-Settings!$C$22)-1,"")))</f>
        <v/>
      </c>
      <c r="AF126" s="28">
        <f t="shared" si="27"/>
        <v>0</v>
      </c>
      <c r="AG126" s="29">
        <f>IF($B126="","",ROUND((MIN(100,100*N($I126)/Settings!$C$27)+MIN(100,100*N($K126)/Settings!$C$28)+MIN(100,100*N($J126)/Settings!$C$29))/3,1))</f>
        <v>0</v>
      </c>
      <c r="AH126" s="29">
        <f>IF($B126="","",IF(SUM(Settings!$C$32:$C$37)=0,"",ROUND((Settings!$C$32*$AO126+Settings!$C$33*$AP126+Settings!$C$34*$AQ126+Settings!$C$35*$AR126+Settings!$C$36*$AS126+Settings!$C$37*$AT126)/SUM(Settings!$C$32:$C$37),1)))</f>
        <v>65.3</v>
      </c>
      <c r="AI126" s="29">
        <f>IF($B126="","",MAX(0,100-IF(N($N126)&gt;0,0,20)-IF(AND(N($L126)=0,N($M126)=0),15,0)-IF(N($J126)&gt;0,0,10)-IF(N($K126)&gt;0,0,10)-IF($Z126&lt;&gt;"",0,15)-IF($AB126&lt;&gt;"",0,10)-IF($R126="ERROR",20,IF($R126="WARNING",10,0))))</f>
        <v>55</v>
      </c>
      <c r="AJ126" s="30" t="str">
        <f>IF($AH126="","",IF($AH126&lt;Settings!$C$46,"Extreme Sell Pressure",IF($AH126&lt;Settings!$C$47,"Sell Pressure",IF($AH126&lt;=Settings!$C$48,"Neutral",IF($AH126&lt;=Settings!$C$49,"Buy Pressure","Extreme Buy Pressure")))))</f>
        <v>Buy Pressure</v>
      </c>
      <c r="AK126" s="30">
        <f t="shared" si="28"/>
        <v>5</v>
      </c>
      <c r="AL126" s="30">
        <f t="shared" si="29"/>
        <v>2026</v>
      </c>
      <c r="AM126" s="30">
        <f t="shared" si="30"/>
        <v>33</v>
      </c>
      <c r="AN126" s="30">
        <f t="shared" si="31"/>
        <v>8</v>
      </c>
      <c r="AO126" s="29">
        <f>IF($B126="","",IF(AND(N($L126)=0,N($M126)=0),50,IF(N($M126)=0,100,IF(N($L126)=0,0,MEDIAN(0,100,50+50*LN($S126)/LN(Settings!$C$40))))))</f>
        <v>100</v>
      </c>
      <c r="AP126" s="29">
        <f>IF($AA126="",50,MEDIAN(0,100,50+$AA126*100*Settings!$C$41))</f>
        <v>50</v>
      </c>
      <c r="AQ126" s="29">
        <f>IF($H126="",50,MEDIAN(0,100,50+$H126*100*Settings!$C$42))</f>
        <v>51.792114695340572</v>
      </c>
      <c r="AR126" s="29">
        <f>IF(OR($AC126="",$H126=""),50,MEDIAN(0,100,50+SIGN($H126)*50*MEDIAN(0,1,($AC126-1)/Settings!$C$43)))</f>
        <v>50</v>
      </c>
      <c r="AS126" s="29">
        <f>IF(OR($V126="",$W126=""),50,MEDIAN(0,100,50+50*($V126-$W126)/Settings!$C$44))</f>
        <v>50.005943539429424</v>
      </c>
      <c r="AT126" s="29">
        <f t="shared" si="32"/>
        <v>50</v>
      </c>
      <c r="AU126" s="30" t="str">
        <f t="shared" si="33"/>
        <v>EABL|2026-08-14</v>
      </c>
      <c r="AV126" s="87">
        <f>IF($A126="","",IF(COUNTIFS($A$4:$A126,$A126)=1,1,0))</f>
        <v>0</v>
      </c>
    </row>
    <row r="127" spans="1:48" x14ac:dyDescent="0.3">
      <c r="A127" s="265">
        <v>46248</v>
      </c>
      <c r="B127" s="266" t="s">
        <v>1096</v>
      </c>
      <c r="C127" s="267">
        <v>265</v>
      </c>
      <c r="D127" s="267">
        <v>265</v>
      </c>
      <c r="E127" s="267">
        <v>265</v>
      </c>
      <c r="F127" s="267"/>
      <c r="G127" s="267"/>
      <c r="H127" s="268">
        <f t="shared" si="17"/>
        <v>0</v>
      </c>
      <c r="I127" s="269">
        <v>0</v>
      </c>
      <c r="J127" s="269">
        <v>0</v>
      </c>
      <c r="K127" s="269">
        <v>0</v>
      </c>
      <c r="L127" s="269">
        <v>0</v>
      </c>
      <c r="M127" s="269">
        <v>360</v>
      </c>
      <c r="N127" s="269">
        <v>5280000000</v>
      </c>
      <c r="O127" s="266" t="s">
        <v>1106</v>
      </c>
      <c r="P127" s="265">
        <v>46265</v>
      </c>
      <c r="Q127" s="266" t="s">
        <v>1342</v>
      </c>
      <c r="R127" s="23" t="str" cm="1">
        <f t="array" ref="R127">IF($B127="","",IFERROR(IF(INDEX('Data Quality'!$U$4:$U$503,ROW()-3)=0,"PENDING",INDEX('Data Quality'!$U$4:$U$503,ROW()-3)),"PENDING"))</f>
        <v>PASS</v>
      </c>
      <c r="S127" s="24">
        <f t="shared" si="18"/>
        <v>0</v>
      </c>
      <c r="T127" s="25">
        <f t="shared" si="19"/>
        <v>0</v>
      </c>
      <c r="U127" s="25">
        <f t="shared" si="20"/>
        <v>95400</v>
      </c>
      <c r="V127" s="26">
        <f t="shared" si="21"/>
        <v>0</v>
      </c>
      <c r="W127" s="26">
        <f t="shared" si="22"/>
        <v>1.8068181818181818E-5</v>
      </c>
      <c r="X127" s="25" t="str">
        <f t="shared" si="23"/>
        <v/>
      </c>
      <c r="Y127" s="25" t="str">
        <f t="shared" si="24"/>
        <v/>
      </c>
      <c r="Z127" s="27" t="str">
        <f>IF($B127="","",IF($AK127&lt;=Settings!$C$21,"",IFERROR(AVERAGEIFS($S$4:$S$503,$B$4:$B$503,$B127,$AK$4:$AK$503,"&gt;="&amp;$AK127-Settings!$C$21,$AK$4:$AK$503,"&lt;="&amp;$AK127-1),"")))</f>
        <v/>
      </c>
      <c r="AA127" s="28" t="str">
        <f t="shared" si="25"/>
        <v/>
      </c>
      <c r="AB127" s="25" t="str">
        <f>IF($B127="","",IF($AK127&lt;=Settings!$C$22,"",IFERROR(AVERAGEIFS($K$4:$K$503,$B$4:$B$503,$B127,$AK$4:$AK$503,"&gt;="&amp;$AK127-Settings!$C$22,$AK$4:$AK$503,"&lt;="&amp;$AK127-1),"")))</f>
        <v/>
      </c>
      <c r="AC127" s="27" t="str">
        <f t="shared" si="26"/>
        <v/>
      </c>
      <c r="AD127" s="28" t="str">
        <f>IF($B127="","",IF($AK127&lt;=Settings!$C$23,"",IFERROR($E127/SUMIFS($E$4:$E$503,$B$4:$B$503,$B127,$AK$4:$AK$503,$AK127-Settings!$C$23)-1,"")))</f>
        <v/>
      </c>
      <c r="AE127" s="28" t="str">
        <f>IF($B127="","",IF($AK127&lt;=Settings!$C$22,"",IFERROR($E127/SUMIFS($E$4:$E$503,$B$4:$B$503,$B127,$AK$4:$AK$503,$AK127-Settings!$C$22)-1,"")))</f>
        <v/>
      </c>
      <c r="AF127" s="28">
        <f t="shared" si="27"/>
        <v>0</v>
      </c>
      <c r="AG127" s="29">
        <f>IF($B127="","",ROUND((MIN(100,100*N($I127)/Settings!$C$27)+MIN(100,100*N($K127)/Settings!$C$28)+MIN(100,100*N($J127)/Settings!$C$29))/3,1))</f>
        <v>0</v>
      </c>
      <c r="AH127" s="29">
        <f>IF($B127="","",IF(SUM(Settings!$C$32:$C$37)=0,"",ROUND((Settings!$C$32*$AO127+Settings!$C$33*$AP127+Settings!$C$34*$AQ127+Settings!$C$35*$AR127+Settings!$C$36*$AS127+Settings!$C$37*$AT127)/SUM(Settings!$C$32:$C$37),1)))</f>
        <v>34.799999999999997</v>
      </c>
      <c r="AI127" s="29">
        <f>IF($B127="","",MAX(0,100-IF(N($N127)&gt;0,0,20)-IF(AND(N($L127)=0,N($M127)=0),15,0)-IF(N($J127)&gt;0,0,10)-IF(N($K127)&gt;0,0,10)-IF($Z127&lt;&gt;"",0,15)-IF($AB127&lt;&gt;"",0,10)-IF($R127="ERROR",20,IF($R127="WARNING",10,0))))</f>
        <v>55</v>
      </c>
      <c r="AJ127" s="30" t="str">
        <f>IF($AH127="","",IF($AH127&lt;Settings!$C$46,"Extreme Sell Pressure",IF($AH127&lt;Settings!$C$47,"Sell Pressure",IF($AH127&lt;=Settings!$C$48,"Neutral",IF($AH127&lt;=Settings!$C$49,"Buy Pressure","Extreme Buy Pressure")))))</f>
        <v>Sell Pressure</v>
      </c>
      <c r="AK127" s="30">
        <f t="shared" si="28"/>
        <v>5</v>
      </c>
      <c r="AL127" s="30">
        <f t="shared" si="29"/>
        <v>2026</v>
      </c>
      <c r="AM127" s="30">
        <f t="shared" si="30"/>
        <v>33</v>
      </c>
      <c r="AN127" s="30">
        <f t="shared" si="31"/>
        <v>8</v>
      </c>
      <c r="AO127" s="29">
        <f>IF($B127="","",IF(AND(N($L127)=0,N($M127)=0),50,IF(N($M127)=0,100,IF(N($L127)=0,0,MEDIAN(0,100,50+50*LN($S127)/LN(Settings!$C$40))))))</f>
        <v>0</v>
      </c>
      <c r="AP127" s="29">
        <f>IF($AA127="",50,MEDIAN(0,100,50+$AA127*100*Settings!$C$41))</f>
        <v>50</v>
      </c>
      <c r="AQ127" s="29">
        <f>IF($H127="",50,MEDIAN(0,100,50+$H127*100*Settings!$C$42))</f>
        <v>50</v>
      </c>
      <c r="AR127" s="29">
        <f>IF(OR($AC127="",$H127=""),50,MEDIAN(0,100,50+SIGN($H127)*50*MEDIAN(0,1,($AC127-1)/Settings!$C$43)))</f>
        <v>50</v>
      </c>
      <c r="AS127" s="29">
        <f>IF(OR($V127="",$W127=""),50,MEDIAN(0,100,50+50*($V127-$W127)/Settings!$C$44))</f>
        <v>48.19318181818182</v>
      </c>
      <c r="AT127" s="29">
        <f t="shared" si="32"/>
        <v>50</v>
      </c>
      <c r="AU127" s="30" t="str">
        <f t="shared" si="33"/>
        <v>JATU|2026-08-14</v>
      </c>
      <c r="AV127" s="87">
        <f>IF($A127="","",IF(COUNTIFS($A$4:$A127,$A127)=1,1,0))</f>
        <v>0</v>
      </c>
    </row>
    <row r="128" spans="1:48" x14ac:dyDescent="0.3">
      <c r="A128" s="265">
        <v>46248</v>
      </c>
      <c r="B128" s="266" t="s">
        <v>128</v>
      </c>
      <c r="C128" s="267">
        <v>8650</v>
      </c>
      <c r="D128" s="267">
        <v>8650</v>
      </c>
      <c r="E128" s="267">
        <v>8650</v>
      </c>
      <c r="F128" s="267"/>
      <c r="G128" s="267"/>
      <c r="H128" s="268">
        <f t="shared" si="17"/>
        <v>0</v>
      </c>
      <c r="I128" s="269">
        <v>0</v>
      </c>
      <c r="J128" s="269">
        <v>0</v>
      </c>
      <c r="K128" s="269">
        <v>0</v>
      </c>
      <c r="L128" s="269">
        <v>111</v>
      </c>
      <c r="M128" s="269">
        <v>0</v>
      </c>
      <c r="N128" s="269">
        <v>626890000000</v>
      </c>
      <c r="O128" s="266" t="s">
        <v>1106</v>
      </c>
      <c r="P128" s="265">
        <v>46265</v>
      </c>
      <c r="Q128" s="266" t="s">
        <v>1342</v>
      </c>
      <c r="R128" s="23" t="str" cm="1">
        <f t="array" ref="R128">IF($B128="","",IFERROR(IF(INDEX('Data Quality'!$U$4:$U$503,ROW()-3)=0,"PENDING",INDEX('Data Quality'!$U$4:$U$503,ROW()-3)),"PENDING"))</f>
        <v>PASS</v>
      </c>
      <c r="S128" s="24" t="str">
        <f t="shared" si="18"/>
        <v/>
      </c>
      <c r="T128" s="25">
        <f t="shared" si="19"/>
        <v>960150</v>
      </c>
      <c r="U128" s="25">
        <f t="shared" si="20"/>
        <v>0</v>
      </c>
      <c r="V128" s="26">
        <f t="shared" si="21"/>
        <v>1.5316084161495637E-6</v>
      </c>
      <c r="W128" s="26">
        <f t="shared" si="22"/>
        <v>0</v>
      </c>
      <c r="X128" s="25" t="str">
        <f t="shared" si="23"/>
        <v/>
      </c>
      <c r="Y128" s="25" t="str">
        <f t="shared" si="24"/>
        <v/>
      </c>
      <c r="Z128" s="27" t="str">
        <f>IF($B128="","",IF($AK128&lt;=Settings!$C$21,"",IFERROR(AVERAGEIFS($S$4:$S$503,$B$4:$B$503,$B128,$AK$4:$AK$503,"&gt;="&amp;$AK128-Settings!$C$21,$AK$4:$AK$503,"&lt;="&amp;$AK128-1),"")))</f>
        <v/>
      </c>
      <c r="AA128" s="28" t="str">
        <f t="shared" si="25"/>
        <v/>
      </c>
      <c r="AB128" s="25" t="str">
        <f>IF($B128="","",IF($AK128&lt;=Settings!$C$22,"",IFERROR(AVERAGEIFS($K$4:$K$503,$B$4:$B$503,$B128,$AK$4:$AK$503,"&gt;="&amp;$AK128-Settings!$C$22,$AK$4:$AK$503,"&lt;="&amp;$AK128-1),"")))</f>
        <v/>
      </c>
      <c r="AC128" s="27" t="str">
        <f t="shared" si="26"/>
        <v/>
      </c>
      <c r="AD128" s="28" t="str">
        <f>IF($B128="","",IF($AK128&lt;=Settings!$C$23,"",IFERROR($E128/SUMIFS($E$4:$E$503,$B$4:$B$503,$B128,$AK$4:$AK$503,$AK128-Settings!$C$23)-1,"")))</f>
        <v/>
      </c>
      <c r="AE128" s="28" t="str">
        <f>IF($B128="","",IF($AK128&lt;=Settings!$C$22,"",IFERROR($E128/SUMIFS($E$4:$E$503,$B$4:$B$503,$B128,$AK$4:$AK$503,$AK128-Settings!$C$22)-1,"")))</f>
        <v/>
      </c>
      <c r="AF128" s="28">
        <f t="shared" si="27"/>
        <v>0</v>
      </c>
      <c r="AG128" s="29">
        <f>IF($B128="","",ROUND((MIN(100,100*N($I128)/Settings!$C$27)+MIN(100,100*N($K128)/Settings!$C$28)+MIN(100,100*N($J128)/Settings!$C$29))/3,1))</f>
        <v>0</v>
      </c>
      <c r="AH128" s="29">
        <f>IF($B128="","",IF(SUM(Settings!$C$32:$C$37)=0,"",ROUND((Settings!$C$32*$AO128+Settings!$C$33*$AP128+Settings!$C$34*$AQ128+Settings!$C$35*$AR128+Settings!$C$36*$AS128+Settings!$C$37*$AT128)/SUM(Settings!$C$32:$C$37),1)))</f>
        <v>65</v>
      </c>
      <c r="AI128" s="29">
        <f>IF($B128="","",MAX(0,100-IF(N($N128)&gt;0,0,20)-IF(AND(N($L128)=0,N($M128)=0),15,0)-IF(N($J128)&gt;0,0,10)-IF(N($K128)&gt;0,0,10)-IF($Z128&lt;&gt;"",0,15)-IF($AB128&lt;&gt;"",0,10)-IF($R128="ERROR",20,IF($R128="WARNING",10,0))))</f>
        <v>55</v>
      </c>
      <c r="AJ128" s="30" t="str">
        <f>IF($AH128="","",IF($AH128&lt;Settings!$C$46,"Extreme Sell Pressure",IF($AH128&lt;Settings!$C$47,"Sell Pressure",IF($AH128&lt;=Settings!$C$48,"Neutral",IF($AH128&lt;=Settings!$C$49,"Buy Pressure","Extreme Buy Pressure")))))</f>
        <v>Buy Pressure</v>
      </c>
      <c r="AK128" s="30">
        <f t="shared" si="28"/>
        <v>5</v>
      </c>
      <c r="AL128" s="30">
        <f t="shared" si="29"/>
        <v>2026</v>
      </c>
      <c r="AM128" s="30">
        <f t="shared" si="30"/>
        <v>33</v>
      </c>
      <c r="AN128" s="30">
        <f t="shared" si="31"/>
        <v>8</v>
      </c>
      <c r="AO128" s="29">
        <f>IF($B128="","",IF(AND(N($L128)=0,N($M128)=0),50,IF(N($M128)=0,100,IF(N($L128)=0,0,MEDIAN(0,100,50+50*LN($S128)/LN(Settings!$C$40))))))</f>
        <v>100</v>
      </c>
      <c r="AP128" s="29">
        <f>IF($AA128="",50,MEDIAN(0,100,50+$AA128*100*Settings!$C$41))</f>
        <v>50</v>
      </c>
      <c r="AQ128" s="29">
        <f>IF($H128="",50,MEDIAN(0,100,50+$H128*100*Settings!$C$42))</f>
        <v>50</v>
      </c>
      <c r="AR128" s="29">
        <f>IF(OR($AC128="",$H128=""),50,MEDIAN(0,100,50+SIGN($H128)*50*MEDIAN(0,1,($AC128-1)/Settings!$C$43)))</f>
        <v>50</v>
      </c>
      <c r="AS128" s="29">
        <f>IF(OR($V128="",$W128=""),50,MEDIAN(0,100,50+50*($V128-$W128)/Settings!$C$44))</f>
        <v>50.153160841614955</v>
      </c>
      <c r="AT128" s="29">
        <f t="shared" si="32"/>
        <v>50</v>
      </c>
      <c r="AU128" s="30" t="str">
        <f t="shared" si="33"/>
        <v>JHL|2026-08-14</v>
      </c>
      <c r="AV128" s="87">
        <f>IF($A128="","",IF(COUNTIFS($A$4:$A128,$A128)=1,1,0))</f>
        <v>0</v>
      </c>
    </row>
    <row r="129" spans="1:48" x14ac:dyDescent="0.3">
      <c r="A129" s="265">
        <v>46248</v>
      </c>
      <c r="B129" s="266" t="s">
        <v>1097</v>
      </c>
      <c r="C129" s="267">
        <v>110</v>
      </c>
      <c r="D129" s="267">
        <v>110</v>
      </c>
      <c r="E129" s="267">
        <v>110</v>
      </c>
      <c r="F129" s="267"/>
      <c r="G129" s="267"/>
      <c r="H129" s="268">
        <f t="shared" si="17"/>
        <v>0</v>
      </c>
      <c r="I129" s="269">
        <v>0</v>
      </c>
      <c r="J129" s="269">
        <v>0</v>
      </c>
      <c r="K129" s="269">
        <v>0</v>
      </c>
      <c r="L129" s="269">
        <v>168</v>
      </c>
      <c r="M129" s="269">
        <v>0</v>
      </c>
      <c r="N129" s="269">
        <v>624960000000</v>
      </c>
      <c r="O129" s="266" t="s">
        <v>1106</v>
      </c>
      <c r="P129" s="265">
        <v>46265</v>
      </c>
      <c r="Q129" s="266" t="s">
        <v>1342</v>
      </c>
      <c r="R129" s="23" t="str" cm="1">
        <f t="array" ref="R129">IF($B129="","",IFERROR(IF(INDEX('Data Quality'!$U$4:$U$503,ROW()-3)=0,"PENDING",INDEX('Data Quality'!$U$4:$U$503,ROW()-3)),"PENDING"))</f>
        <v>PASS</v>
      </c>
      <c r="S129" s="24" t="str">
        <f t="shared" si="18"/>
        <v/>
      </c>
      <c r="T129" s="25">
        <f t="shared" si="19"/>
        <v>18480</v>
      </c>
      <c r="U129" s="25">
        <f t="shared" si="20"/>
        <v>0</v>
      </c>
      <c r="V129" s="26">
        <f t="shared" si="21"/>
        <v>2.9569892473118281E-8</v>
      </c>
      <c r="W129" s="26">
        <f t="shared" si="22"/>
        <v>0</v>
      </c>
      <c r="X129" s="25" t="str">
        <f t="shared" si="23"/>
        <v/>
      </c>
      <c r="Y129" s="25" t="str">
        <f t="shared" si="24"/>
        <v/>
      </c>
      <c r="Z129" s="27" t="str">
        <f>IF($B129="","",IF($AK129&lt;=Settings!$C$21,"",IFERROR(AVERAGEIFS($S$4:$S$503,$B$4:$B$503,$B129,$AK$4:$AK$503,"&gt;="&amp;$AK129-Settings!$C$21,$AK$4:$AK$503,"&lt;="&amp;$AK129-1),"")))</f>
        <v/>
      </c>
      <c r="AA129" s="28" t="str">
        <f t="shared" si="25"/>
        <v/>
      </c>
      <c r="AB129" s="25" t="str">
        <f>IF($B129="","",IF($AK129&lt;=Settings!$C$22,"",IFERROR(AVERAGEIFS($K$4:$K$503,$B$4:$B$503,$B129,$AK$4:$AK$503,"&gt;="&amp;$AK129-Settings!$C$22,$AK$4:$AK$503,"&lt;="&amp;$AK129-1),"")))</f>
        <v/>
      </c>
      <c r="AC129" s="27" t="str">
        <f t="shared" si="26"/>
        <v/>
      </c>
      <c r="AD129" s="28" t="str">
        <f>IF($B129="","",IF($AK129&lt;=Settings!$C$23,"",IFERROR($E129/SUMIFS($E$4:$E$503,$B$4:$B$503,$B129,$AK$4:$AK$503,$AK129-Settings!$C$23)-1,"")))</f>
        <v/>
      </c>
      <c r="AE129" s="28" t="str">
        <f>IF($B129="","",IF($AK129&lt;=Settings!$C$22,"",IFERROR($E129/SUMIFS($E$4:$E$503,$B$4:$B$503,$B129,$AK$4:$AK$503,$AK129-Settings!$C$22)-1,"")))</f>
        <v/>
      </c>
      <c r="AF129" s="28">
        <f t="shared" si="27"/>
        <v>0</v>
      </c>
      <c r="AG129" s="29">
        <f>IF($B129="","",ROUND((MIN(100,100*N($I129)/Settings!$C$27)+MIN(100,100*N($K129)/Settings!$C$28)+MIN(100,100*N($J129)/Settings!$C$29))/3,1))</f>
        <v>0</v>
      </c>
      <c r="AH129" s="29">
        <f>IF($B129="","",IF(SUM(Settings!$C$32:$C$37)=0,"",ROUND((Settings!$C$32*$AO129+Settings!$C$33*$AP129+Settings!$C$34*$AQ129+Settings!$C$35*$AR129+Settings!$C$36*$AS129+Settings!$C$37*$AT129)/SUM(Settings!$C$32:$C$37),1)))</f>
        <v>65</v>
      </c>
      <c r="AI129" s="29">
        <f>IF($B129="","",MAX(0,100-IF(N($N129)&gt;0,0,20)-IF(AND(N($L129)=0,N($M129)=0),15,0)-IF(N($J129)&gt;0,0,10)-IF(N($K129)&gt;0,0,10)-IF($Z129&lt;&gt;"",0,15)-IF($AB129&lt;&gt;"",0,10)-IF($R129="ERROR",20,IF($R129="WARNING",10,0))))</f>
        <v>55</v>
      </c>
      <c r="AJ129" s="30" t="str">
        <f>IF($AH129="","",IF($AH129&lt;Settings!$C$46,"Extreme Sell Pressure",IF($AH129&lt;Settings!$C$47,"Sell Pressure",IF($AH129&lt;=Settings!$C$48,"Neutral",IF($AH129&lt;=Settings!$C$49,"Buy Pressure","Extreme Buy Pressure")))))</f>
        <v>Buy Pressure</v>
      </c>
      <c r="AK129" s="30">
        <f t="shared" si="28"/>
        <v>5</v>
      </c>
      <c r="AL129" s="30">
        <f t="shared" si="29"/>
        <v>2026</v>
      </c>
      <c r="AM129" s="30">
        <f t="shared" si="30"/>
        <v>33</v>
      </c>
      <c r="AN129" s="30">
        <f t="shared" si="31"/>
        <v>8</v>
      </c>
      <c r="AO129" s="29">
        <f>IF($B129="","",IF(AND(N($L129)=0,N($M129)=0),50,IF(N($M129)=0,100,IF(N($L129)=0,0,MEDIAN(0,100,50+50*LN($S129)/LN(Settings!$C$40))))))</f>
        <v>100</v>
      </c>
      <c r="AP129" s="29">
        <f>IF($AA129="",50,MEDIAN(0,100,50+$AA129*100*Settings!$C$41))</f>
        <v>50</v>
      </c>
      <c r="AQ129" s="29">
        <f>IF($H129="",50,MEDIAN(0,100,50+$H129*100*Settings!$C$42))</f>
        <v>50</v>
      </c>
      <c r="AR129" s="29">
        <f>IF(OR($AC129="",$H129=""),50,MEDIAN(0,100,50+SIGN($H129)*50*MEDIAN(0,1,($AC129-1)/Settings!$C$43)))</f>
        <v>50</v>
      </c>
      <c r="AS129" s="29">
        <f>IF(OR($V129="",$W129=""),50,MEDIAN(0,100,50+50*($V129-$W129)/Settings!$C$44))</f>
        <v>50.002956989247309</v>
      </c>
      <c r="AT129" s="29">
        <f t="shared" si="32"/>
        <v>50</v>
      </c>
      <c r="AU129" s="30" t="str">
        <f t="shared" si="33"/>
        <v>KA|2026-08-14</v>
      </c>
      <c r="AV129" s="87">
        <f>IF($A129="","",IF(COUNTIFS($A$4:$A129,$A129)=1,1,0))</f>
        <v>0</v>
      </c>
    </row>
    <row r="130" spans="1:48" x14ac:dyDescent="0.3">
      <c r="A130" s="265">
        <v>46248</v>
      </c>
      <c r="B130" s="266" t="s">
        <v>1098</v>
      </c>
      <c r="C130" s="267">
        <v>1970</v>
      </c>
      <c r="D130" s="267">
        <v>1970</v>
      </c>
      <c r="E130" s="267">
        <v>1950</v>
      </c>
      <c r="F130" s="267">
        <v>1960</v>
      </c>
      <c r="G130" s="267">
        <v>1940</v>
      </c>
      <c r="H130" s="268">
        <f t="shared" si="17"/>
        <v>-1.0152284263959421E-2</v>
      </c>
      <c r="I130" s="269">
        <v>44643680</v>
      </c>
      <c r="J130" s="269">
        <v>41</v>
      </c>
      <c r="K130" s="269">
        <v>22888</v>
      </c>
      <c r="L130" s="269">
        <v>16139</v>
      </c>
      <c r="M130" s="269">
        <v>37220</v>
      </c>
      <c r="N130" s="269">
        <v>5792160000000</v>
      </c>
      <c r="O130" s="266" t="s">
        <v>1106</v>
      </c>
      <c r="P130" s="265">
        <v>46265</v>
      </c>
      <c r="Q130" s="266" t="s">
        <v>1342</v>
      </c>
      <c r="R130" s="23" t="str" cm="1">
        <f t="array" ref="R130">IF($B130="","",IFERROR(IF(INDEX('Data Quality'!$U$4:$U$503,ROW()-3)=0,"PENDING",INDEX('Data Quality'!$U$4:$U$503,ROW()-3)),"PENDING"))</f>
        <v>PASS</v>
      </c>
      <c r="S130" s="24">
        <f t="shared" si="18"/>
        <v>0.43361096184846859</v>
      </c>
      <c r="T130" s="25">
        <f t="shared" si="19"/>
        <v>31471050</v>
      </c>
      <c r="U130" s="25">
        <f t="shared" si="20"/>
        <v>72579000</v>
      </c>
      <c r="V130" s="26">
        <f t="shared" si="21"/>
        <v>5.4333875445429685E-6</v>
      </c>
      <c r="W130" s="26">
        <f t="shared" si="22"/>
        <v>1.2530558548106406E-5</v>
      </c>
      <c r="X130" s="25">
        <f t="shared" si="23"/>
        <v>558.2439024390244</v>
      </c>
      <c r="Y130" s="25">
        <f t="shared" si="24"/>
        <v>1088870.243902439</v>
      </c>
      <c r="Z130" s="27" t="str">
        <f>IF($B130="","",IF($AK130&lt;=Settings!$C$21,"",IFERROR(AVERAGEIFS($S$4:$S$503,$B$4:$B$503,$B130,$AK$4:$AK$503,"&gt;="&amp;$AK130-Settings!$C$21,$AK$4:$AK$503,"&lt;="&amp;$AK130-1),"")))</f>
        <v/>
      </c>
      <c r="AA130" s="28" t="str">
        <f t="shared" si="25"/>
        <v/>
      </c>
      <c r="AB130" s="25" t="str">
        <f>IF($B130="","",IF($AK130&lt;=Settings!$C$22,"",IFERROR(AVERAGEIFS($K$4:$K$503,$B$4:$B$503,$B130,$AK$4:$AK$503,"&gt;="&amp;$AK130-Settings!$C$22,$AK$4:$AK$503,"&lt;="&amp;$AK130-1),"")))</f>
        <v/>
      </c>
      <c r="AC130" s="27" t="str">
        <f t="shared" si="26"/>
        <v/>
      </c>
      <c r="AD130" s="28" t="str">
        <f>IF($B130="","",IF($AK130&lt;=Settings!$C$23,"",IFERROR($E130/SUMIFS($E$4:$E$503,$B$4:$B$503,$B130,$AK$4:$AK$503,$AK130-Settings!$C$23)-1,"")))</f>
        <v/>
      </c>
      <c r="AE130" s="28" t="str">
        <f>IF($B130="","",IF($AK130&lt;=Settings!$C$22,"",IFERROR($E130/SUMIFS($E$4:$E$503,$B$4:$B$503,$B130,$AK$4:$AK$503,$AK130-Settings!$C$22)-1,"")))</f>
        <v/>
      </c>
      <c r="AF130" s="28">
        <f t="shared" si="27"/>
        <v>1.0256410256410256E-2</v>
      </c>
      <c r="AG130" s="29">
        <f>IF($B130="","",ROUND((MIN(100,100*N($I130)/Settings!$C$27)+MIN(100,100*N($K130)/Settings!$C$28)+MIN(100,100*N($J130)/Settings!$C$29))/3,1))</f>
        <v>16.7</v>
      </c>
      <c r="AH130" s="29">
        <f>IF($B130="","",IF(SUM(Settings!$C$32:$C$37)=0,"",ROUND((Settings!$C$32*$AO130+Settings!$C$33*$AP130+Settings!$C$34*$AQ130+Settings!$C$35*$AR130+Settings!$C$36*$AS130+Settings!$C$37*$AT130)/SUM(Settings!$C$32:$C$37),1)))</f>
        <v>38.9</v>
      </c>
      <c r="AI130" s="29">
        <f>IF($B130="","",MAX(0,100-IF(N($N130)&gt;0,0,20)-IF(AND(N($L130)=0,N($M130)=0),15,0)-IF(N($J130)&gt;0,0,10)-IF(N($K130)&gt;0,0,10)-IF($Z130&lt;&gt;"",0,15)-IF($AB130&lt;&gt;"",0,10)-IF($R130="ERROR",20,IF($R130="WARNING",10,0))))</f>
        <v>75</v>
      </c>
      <c r="AJ130" s="30" t="str">
        <f>IF($AH130="","",IF($AH130&lt;Settings!$C$46,"Extreme Sell Pressure",IF($AH130&lt;Settings!$C$47,"Sell Pressure",IF($AH130&lt;=Settings!$C$48,"Neutral",IF($AH130&lt;=Settings!$C$49,"Buy Pressure","Extreme Buy Pressure")))))</f>
        <v>Sell Pressure</v>
      </c>
      <c r="AK130" s="30">
        <f t="shared" si="28"/>
        <v>5</v>
      </c>
      <c r="AL130" s="30">
        <f t="shared" si="29"/>
        <v>2026</v>
      </c>
      <c r="AM130" s="30">
        <f t="shared" si="30"/>
        <v>33</v>
      </c>
      <c r="AN130" s="30">
        <f t="shared" si="31"/>
        <v>8</v>
      </c>
      <c r="AO130" s="29">
        <f>IF($B130="","",IF(AND(N($L130)=0,N($M130)=0),50,IF(N($M130)=0,100,IF(N($L130)=0,0,MEDIAN(0,100,50+50*LN($S130)/LN(Settings!$C$40))))))</f>
        <v>19.861828353489436</v>
      </c>
      <c r="AP130" s="29">
        <f>IF($AA130="",50,MEDIAN(0,100,50+$AA130*100*Settings!$C$41))</f>
        <v>50</v>
      </c>
      <c r="AQ130" s="29">
        <f>IF($H130="",50,MEDIAN(0,100,50+$H130*100*Settings!$C$42))</f>
        <v>39.847715736040577</v>
      </c>
      <c r="AR130" s="29">
        <f>IF(OR($AC130="",$H130=""),50,MEDIAN(0,100,50+SIGN($H130)*50*MEDIAN(0,1,($AC130-1)/Settings!$C$43)))</f>
        <v>50</v>
      </c>
      <c r="AS130" s="29">
        <f>IF(OR($V130="",$W130=""),50,MEDIAN(0,100,50+50*($V130-$W130)/Settings!$C$44))</f>
        <v>49.290282899643657</v>
      </c>
      <c r="AT130" s="29">
        <f t="shared" si="32"/>
        <v>44.966925335032734</v>
      </c>
      <c r="AU130" s="30" t="str">
        <f t="shared" si="33"/>
        <v>KCB|2026-08-14</v>
      </c>
      <c r="AV130" s="87">
        <f>IF($A130="","",IF(COUNTIFS($A$4:$A130,$A130)=1,1,0))</f>
        <v>0</v>
      </c>
    </row>
    <row r="131" spans="1:48" x14ac:dyDescent="0.3">
      <c r="A131" s="265">
        <v>46248</v>
      </c>
      <c r="B131" s="266" t="s">
        <v>136</v>
      </c>
      <c r="C131" s="267">
        <v>1690</v>
      </c>
      <c r="D131" s="267">
        <v>1690</v>
      </c>
      <c r="E131" s="267">
        <v>1680</v>
      </c>
      <c r="F131" s="267">
        <v>1700</v>
      </c>
      <c r="G131" s="267">
        <v>1650</v>
      </c>
      <c r="H131" s="268">
        <f t="shared" si="17"/>
        <v>-5.9171597633136397E-3</v>
      </c>
      <c r="I131" s="269">
        <v>10576380</v>
      </c>
      <c r="J131" s="269">
        <v>42</v>
      </c>
      <c r="K131" s="269">
        <v>6307</v>
      </c>
      <c r="L131" s="269">
        <v>1981</v>
      </c>
      <c r="M131" s="269">
        <v>6325</v>
      </c>
      <c r="N131" s="269">
        <v>50380000000</v>
      </c>
      <c r="O131" s="266" t="s">
        <v>1106</v>
      </c>
      <c r="P131" s="265">
        <v>46265</v>
      </c>
      <c r="Q131" s="266" t="s">
        <v>1342</v>
      </c>
      <c r="R131" s="23" t="str" cm="1">
        <f t="array" ref="R131">IF($B131="","",IFERROR(IF(INDEX('Data Quality'!$U$4:$U$503,ROW()-3)=0,"PENDING",INDEX('Data Quality'!$U$4:$U$503,ROW()-3)),"PENDING"))</f>
        <v>PASS</v>
      </c>
      <c r="S131" s="24">
        <f t="shared" si="18"/>
        <v>0.31320158102766799</v>
      </c>
      <c r="T131" s="25">
        <f t="shared" si="19"/>
        <v>3328080</v>
      </c>
      <c r="U131" s="25">
        <f t="shared" si="20"/>
        <v>10626000</v>
      </c>
      <c r="V131" s="26">
        <f t="shared" si="21"/>
        <v>6.6059547439460109E-5</v>
      </c>
      <c r="W131" s="26">
        <f t="shared" si="22"/>
        <v>2.1091703056768559E-4</v>
      </c>
      <c r="X131" s="25">
        <f t="shared" si="23"/>
        <v>150.16666666666666</v>
      </c>
      <c r="Y131" s="25">
        <f t="shared" si="24"/>
        <v>251818.57142857142</v>
      </c>
      <c r="Z131" s="27" t="str">
        <f>IF($B131="","",IF($AK131&lt;=Settings!$C$21,"",IFERROR(AVERAGEIFS($S$4:$S$503,$B$4:$B$503,$B131,$AK$4:$AK$503,"&gt;="&amp;$AK131-Settings!$C$21,$AK$4:$AK$503,"&lt;="&amp;$AK131-1),"")))</f>
        <v/>
      </c>
      <c r="AA131" s="28" t="str">
        <f t="shared" si="25"/>
        <v/>
      </c>
      <c r="AB131" s="25" t="str">
        <f>IF($B131="","",IF($AK131&lt;=Settings!$C$22,"",IFERROR(AVERAGEIFS($K$4:$K$503,$B$4:$B$503,$B131,$AK$4:$AK$503,"&gt;="&amp;$AK131-Settings!$C$22,$AK$4:$AK$503,"&lt;="&amp;$AK131-1),"")))</f>
        <v/>
      </c>
      <c r="AC131" s="27" t="str">
        <f t="shared" si="26"/>
        <v/>
      </c>
      <c r="AD131" s="28" t="str">
        <f>IF($B131="","",IF($AK131&lt;=Settings!$C$23,"",IFERROR($E131/SUMIFS($E$4:$E$503,$B$4:$B$503,$B131,$AK$4:$AK$503,$AK131-Settings!$C$23)-1,"")))</f>
        <v/>
      </c>
      <c r="AE131" s="28" t="str">
        <f>IF($B131="","",IF($AK131&lt;=Settings!$C$22,"",IFERROR($E131/SUMIFS($E$4:$E$503,$B$4:$B$503,$B131,$AK$4:$AK$503,$AK131-Settings!$C$22)-1,"")))</f>
        <v/>
      </c>
      <c r="AF131" s="28">
        <f t="shared" si="27"/>
        <v>2.976190476190476E-2</v>
      </c>
      <c r="AG131" s="29">
        <f>IF($B131="","",ROUND((MIN(100,100*N($I131)/Settings!$C$27)+MIN(100,100*N($K131)/Settings!$C$28)+MIN(100,100*N($J131)/Settings!$C$29))/3,1))</f>
        <v>14.8</v>
      </c>
      <c r="AH131" s="29">
        <f>IF($B131="","",IF(SUM(Settings!$C$32:$C$37)=0,"",ROUND((Settings!$C$32*$AO131+Settings!$C$33*$AP131+Settings!$C$34*$AQ131+Settings!$C$35*$AR131+Settings!$C$36*$AS131+Settings!$C$37*$AT131)/SUM(Settings!$C$32:$C$37),1)))</f>
        <v>34.5</v>
      </c>
      <c r="AI131" s="29">
        <f>IF($B131="","",MAX(0,100-IF(N($N131)&gt;0,0,20)-IF(AND(N($L131)=0,N($M131)=0),15,0)-IF(N($J131)&gt;0,0,10)-IF(N($K131)&gt;0,0,10)-IF($Z131&lt;&gt;"",0,15)-IF($AB131&lt;&gt;"",0,10)-IF($R131="ERROR",20,IF($R131="WARNING",10,0))))</f>
        <v>75</v>
      </c>
      <c r="AJ131" s="30" t="str">
        <f>IF($AH131="","",IF($AH131&lt;Settings!$C$46,"Extreme Sell Pressure",IF($AH131&lt;Settings!$C$47,"Sell Pressure",IF($AH131&lt;=Settings!$C$48,"Neutral",IF($AH131&lt;=Settings!$C$49,"Buy Pressure","Extreme Buy Pressure")))))</f>
        <v>Sell Pressure</v>
      </c>
      <c r="AK131" s="30">
        <f t="shared" si="28"/>
        <v>5</v>
      </c>
      <c r="AL131" s="30">
        <f t="shared" si="29"/>
        <v>2026</v>
      </c>
      <c r="AM131" s="30">
        <f t="shared" si="30"/>
        <v>33</v>
      </c>
      <c r="AN131" s="30">
        <f t="shared" si="31"/>
        <v>8</v>
      </c>
      <c r="AO131" s="29">
        <f>IF($B131="","",IF(AND(N($L131)=0,N($M131)=0),50,IF(N($M131)=0,100,IF(N($L131)=0,0,MEDIAN(0,100,50+50*LN($S131)/LN(Settings!$C$40))))))</f>
        <v>8.1290850105112966</v>
      </c>
      <c r="AP131" s="29">
        <f>IF($AA131="",50,MEDIAN(0,100,50+$AA131*100*Settings!$C$41))</f>
        <v>50</v>
      </c>
      <c r="AQ131" s="29">
        <f>IF($H131="",50,MEDIAN(0,100,50+$H131*100*Settings!$C$42))</f>
        <v>44.082840236686359</v>
      </c>
      <c r="AR131" s="29">
        <f>IF(OR($AC131="",$H131=""),50,MEDIAN(0,100,50+SIGN($H131)*50*MEDIAN(0,1,($AC131-1)/Settings!$C$43)))</f>
        <v>50</v>
      </c>
      <c r="AS131" s="29">
        <f>IF(OR($V131="",$W131=""),50,MEDIAN(0,100,50+50*($V131-$W131)/Settings!$C$44))</f>
        <v>35.514251687177449</v>
      </c>
      <c r="AT131" s="29">
        <f t="shared" si="32"/>
        <v>43.803104581555672</v>
      </c>
      <c r="AU131" s="30" t="str">
        <f t="shared" si="33"/>
        <v>MBP|2026-08-14</v>
      </c>
      <c r="AV131" s="87">
        <f>IF($A131="","",IF(COUNTIFS($A$4:$A131,$A131)=1,1,0))</f>
        <v>0</v>
      </c>
    </row>
    <row r="132" spans="1:48" x14ac:dyDescent="0.3">
      <c r="A132" s="265">
        <v>46248</v>
      </c>
      <c r="B132" s="266" t="s">
        <v>1099</v>
      </c>
      <c r="C132" s="267">
        <v>440</v>
      </c>
      <c r="D132" s="267">
        <v>440</v>
      </c>
      <c r="E132" s="267">
        <v>405</v>
      </c>
      <c r="F132" s="267">
        <v>470</v>
      </c>
      <c r="G132" s="267">
        <v>395</v>
      </c>
      <c r="H132" s="268">
        <f t="shared" si="17"/>
        <v>-7.9545454545454586E-2</v>
      </c>
      <c r="I132" s="269">
        <v>76744885</v>
      </c>
      <c r="J132" s="269">
        <v>256</v>
      </c>
      <c r="K132" s="269">
        <v>189296</v>
      </c>
      <c r="L132" s="269">
        <v>23652</v>
      </c>
      <c r="M132" s="269">
        <v>43610</v>
      </c>
      <c r="N132" s="269">
        <v>100160000000</v>
      </c>
      <c r="O132" s="266" t="s">
        <v>1106</v>
      </c>
      <c r="P132" s="265">
        <v>46265</v>
      </c>
      <c r="Q132" s="266" t="s">
        <v>1342</v>
      </c>
      <c r="R132" s="23" t="str" cm="1">
        <f t="array" ref="R132">IF($B132="","",IFERROR(IF(INDEX('Data Quality'!$U$4:$U$503,ROW()-3)=0,"PENDING",INDEX('Data Quality'!$U$4:$U$503,ROW()-3)),"PENDING"))</f>
        <v>PASS</v>
      </c>
      <c r="S132" s="24">
        <f t="shared" si="18"/>
        <v>0.54235267140564092</v>
      </c>
      <c r="T132" s="25">
        <f t="shared" si="19"/>
        <v>9579060</v>
      </c>
      <c r="U132" s="25">
        <f t="shared" si="20"/>
        <v>17662050</v>
      </c>
      <c r="V132" s="26">
        <f t="shared" si="21"/>
        <v>9.5637579872204473E-5</v>
      </c>
      <c r="W132" s="26">
        <f t="shared" si="22"/>
        <v>1.7633835862619808E-4</v>
      </c>
      <c r="X132" s="25">
        <f t="shared" si="23"/>
        <v>739.4375</v>
      </c>
      <c r="Y132" s="25">
        <f t="shared" si="24"/>
        <v>299784.70703125</v>
      </c>
      <c r="Z132" s="27" t="str">
        <f>IF($B132="","",IF($AK132&lt;=Settings!$C$21,"",IFERROR(AVERAGEIFS($S$4:$S$503,$B$4:$B$503,$B132,$AK$4:$AK$503,"&gt;="&amp;$AK132-Settings!$C$21,$AK$4:$AK$503,"&lt;="&amp;$AK132-1),"")))</f>
        <v/>
      </c>
      <c r="AA132" s="28" t="str">
        <f t="shared" si="25"/>
        <v/>
      </c>
      <c r="AB132" s="25" t="str">
        <f>IF($B132="","",IF($AK132&lt;=Settings!$C$22,"",IFERROR(AVERAGEIFS($K$4:$K$503,$B$4:$B$503,$B132,$AK$4:$AK$503,"&gt;="&amp;$AK132-Settings!$C$22,$AK$4:$AK$503,"&lt;="&amp;$AK132-1),"")))</f>
        <v/>
      </c>
      <c r="AC132" s="27" t="str">
        <f t="shared" si="26"/>
        <v/>
      </c>
      <c r="AD132" s="28" t="str">
        <f>IF($B132="","",IF($AK132&lt;=Settings!$C$23,"",IFERROR($E132/SUMIFS($E$4:$E$503,$B$4:$B$503,$B132,$AK$4:$AK$503,$AK132-Settings!$C$23)-1,"")))</f>
        <v/>
      </c>
      <c r="AE132" s="28" t="str">
        <f>IF($B132="","",IF($AK132&lt;=Settings!$C$22,"",IFERROR($E132/SUMIFS($E$4:$E$503,$B$4:$B$503,$B132,$AK$4:$AK$503,$AK132-Settings!$C$22)-1,"")))</f>
        <v/>
      </c>
      <c r="AF132" s="28">
        <f t="shared" si="27"/>
        <v>0.18518518518518517</v>
      </c>
      <c r="AG132" s="29">
        <f>IF($B132="","",ROUND((MIN(100,100*N($I132)/Settings!$C$27)+MIN(100,100*N($K132)/Settings!$C$28)+MIN(100,100*N($J132)/Settings!$C$29))/3,1))</f>
        <v>48.5</v>
      </c>
      <c r="AH132" s="29">
        <f>IF($B132="","",IF(SUM(Settings!$C$32:$C$37)=0,"",ROUND((Settings!$C$32*$AO132+Settings!$C$33*$AP132+Settings!$C$34*$AQ132+Settings!$C$35*$AR132+Settings!$C$36*$AS132+Settings!$C$37*$AT132)/SUM(Settings!$C$32:$C$37),1)))</f>
        <v>34</v>
      </c>
      <c r="AI132" s="29">
        <f>IF($B132="","",MAX(0,100-IF(N($N132)&gt;0,0,20)-IF(AND(N($L132)=0,N($M132)=0),15,0)-IF(N($J132)&gt;0,0,10)-IF(N($K132)&gt;0,0,10)-IF($Z132&lt;&gt;"",0,15)-IF($AB132&lt;&gt;"",0,10)-IF($R132="ERROR",20,IF($R132="WARNING",10,0))))</f>
        <v>75</v>
      </c>
      <c r="AJ132" s="30" t="str">
        <f>IF($AH132="","",IF($AH132&lt;Settings!$C$46,"Extreme Sell Pressure",IF($AH132&lt;Settings!$C$47,"Sell Pressure",IF($AH132&lt;=Settings!$C$48,"Neutral",IF($AH132&lt;=Settings!$C$49,"Buy Pressure","Extreme Buy Pressure")))))</f>
        <v>Sell Pressure</v>
      </c>
      <c r="AK132" s="30">
        <f t="shared" si="28"/>
        <v>5</v>
      </c>
      <c r="AL132" s="30">
        <f t="shared" si="29"/>
        <v>2026</v>
      </c>
      <c r="AM132" s="30">
        <f t="shared" si="30"/>
        <v>33</v>
      </c>
      <c r="AN132" s="30">
        <f t="shared" si="31"/>
        <v>8</v>
      </c>
      <c r="AO132" s="29">
        <f>IF($B132="","",IF(AND(N($L132)=0,N($M132)=0),50,IF(N($M132)=0,100,IF(N($L132)=0,0,MEDIAN(0,100,50+50*LN($S132)/LN(Settings!$C$40))))))</f>
        <v>27.932579794891844</v>
      </c>
      <c r="AP132" s="29">
        <f>IF($AA132="",50,MEDIAN(0,100,50+$AA132*100*Settings!$C$41))</f>
        <v>50</v>
      </c>
      <c r="AQ132" s="29">
        <f>IF($H132="",50,MEDIAN(0,100,50+$H132*100*Settings!$C$42))</f>
        <v>0</v>
      </c>
      <c r="AR132" s="29">
        <f>IF(OR($AC132="",$H132=""),50,MEDIAN(0,100,50+SIGN($H132)*50*MEDIAN(0,1,($AC132-1)/Settings!$C$43)))</f>
        <v>50</v>
      </c>
      <c r="AS132" s="29">
        <f>IF(OR($V132="",$W132=""),50,MEDIAN(0,100,50+50*($V132-$W132)/Settings!$C$44))</f>
        <v>41.929922124600637</v>
      </c>
      <c r="AT132" s="29">
        <f t="shared" si="32"/>
        <v>39.297301200522547</v>
      </c>
      <c r="AU132" s="30" t="str">
        <f t="shared" si="33"/>
        <v>MCB|2026-08-14</v>
      </c>
      <c r="AV132" s="87">
        <f>IF($A132="","",IF(COUNTIFS($A$4:$A132,$A132)=1,1,0))</f>
        <v>0</v>
      </c>
    </row>
    <row r="133" spans="1:48" x14ac:dyDescent="0.3">
      <c r="A133" s="265">
        <v>46248</v>
      </c>
      <c r="B133" s="266" t="s">
        <v>138</v>
      </c>
      <c r="C133" s="267">
        <v>3790</v>
      </c>
      <c r="D133" s="267">
        <v>3790</v>
      </c>
      <c r="E133" s="267">
        <v>3760</v>
      </c>
      <c r="F133" s="267">
        <v>3790</v>
      </c>
      <c r="G133" s="267">
        <v>3500</v>
      </c>
      <c r="H133" s="268">
        <f t="shared" ref="H133:H196" si="34">IF($B133="","",IFERROR($E133/$D133-1,""))</f>
        <v>-7.9155672823219003E-3</v>
      </c>
      <c r="I133" s="269">
        <v>7809770</v>
      </c>
      <c r="J133" s="269">
        <v>20</v>
      </c>
      <c r="K133" s="269">
        <v>2079</v>
      </c>
      <c r="L133" s="269">
        <v>1254</v>
      </c>
      <c r="M133" s="269">
        <v>9834</v>
      </c>
      <c r="N133" s="269">
        <v>88570000000</v>
      </c>
      <c r="O133" s="266" t="s">
        <v>1106</v>
      </c>
      <c r="P133" s="265">
        <v>46265</v>
      </c>
      <c r="Q133" s="266" t="s">
        <v>1342</v>
      </c>
      <c r="R133" s="23" t="str" cm="1">
        <f t="array" ref="R133">IF($B133="","",IFERROR(IF(INDEX('Data Quality'!$U$4:$U$503,ROW()-3)=0,"PENDING",INDEX('Data Quality'!$U$4:$U$503,ROW()-3)),"PENDING"))</f>
        <v>PASS</v>
      </c>
      <c r="S133" s="24">
        <f t="shared" ref="S133:S196" si="35">IF($B133="","",IF(N($M133)&gt;0,$L133/$M133,""))</f>
        <v>0.12751677852348994</v>
      </c>
      <c r="T133" s="25">
        <f t="shared" ref="T133:T196" si="36">IF($B133="","",$L133*$E133)</f>
        <v>4715040</v>
      </c>
      <c r="U133" s="25">
        <f t="shared" ref="U133:U196" si="37">IF($B133="","",$M133*$E133)</f>
        <v>36975840</v>
      </c>
      <c r="V133" s="26">
        <f t="shared" ref="V133:V196" si="38">IF($B133="","",IF(N($N133)&gt;0,$T133/$N133,""))</f>
        <v>5.3235181212600204E-5</v>
      </c>
      <c r="W133" s="26">
        <f t="shared" ref="W133:W196" si="39">IF($B133="","",IF(N($N133)&gt;0,$U133/$N133,""))</f>
        <v>4.1747589477249633E-4</v>
      </c>
      <c r="X133" s="25">
        <f t="shared" ref="X133:X196" si="40">IF($B133="","",IF(N($J133)&gt;0,$K133/$J133,""))</f>
        <v>103.95</v>
      </c>
      <c r="Y133" s="25">
        <f t="shared" ref="Y133:Y196" si="41">IF($B133="","",IF(N($J133)&gt;0,$I133/$J133,""))</f>
        <v>390488.5</v>
      </c>
      <c r="Z133" s="27" t="str">
        <f>IF($B133="","",IF($AK133&lt;=Settings!$C$21,"",IFERROR(AVERAGEIFS($S$4:$S$503,$B$4:$B$503,$B133,$AK$4:$AK$503,"&gt;="&amp;$AK133-Settings!$C$21,$AK$4:$AK$503,"&lt;="&amp;$AK133-1),"")))</f>
        <v/>
      </c>
      <c r="AA133" s="28" t="str">
        <f t="shared" ref="AA133:AA196" si="42">IF(OR($S133="",$Z133="",N($Z133)=0),"",$S133/$Z133-1)</f>
        <v/>
      </c>
      <c r="AB133" s="25" t="str">
        <f>IF($B133="","",IF($AK133&lt;=Settings!$C$22,"",IFERROR(AVERAGEIFS($K$4:$K$503,$B$4:$B$503,$B133,$AK$4:$AK$503,"&gt;="&amp;$AK133-Settings!$C$22,$AK$4:$AK$503,"&lt;="&amp;$AK133-1),"")))</f>
        <v/>
      </c>
      <c r="AC133" s="27" t="str">
        <f t="shared" ref="AC133:AC196" si="43">IF(OR($AB133="",N($AB133)=0),"",$K133/$AB133)</f>
        <v/>
      </c>
      <c r="AD133" s="28" t="str">
        <f>IF($B133="","",IF($AK133&lt;=Settings!$C$23,"",IFERROR($E133/SUMIFS($E$4:$E$503,$B$4:$B$503,$B133,$AK$4:$AK$503,$AK133-Settings!$C$23)-1,"")))</f>
        <v/>
      </c>
      <c r="AE133" s="28" t="str">
        <f>IF($B133="","",IF($AK133&lt;=Settings!$C$22,"",IFERROR($E133/SUMIFS($E$4:$E$503,$B$4:$B$503,$B133,$AK$4:$AK$503,$AK133-Settings!$C$22)-1,"")))</f>
        <v/>
      </c>
      <c r="AF133" s="28">
        <f t="shared" ref="AF133:AF196" si="44">IF($B133="","",IF(N($E133)&gt;0,($F133-$G133)/$E133,""))</f>
        <v>7.7127659574468085E-2</v>
      </c>
      <c r="AG133" s="29">
        <f>IF($B133="","",ROUND((MIN(100,100*N($I133)/Settings!$C$27)+MIN(100,100*N($K133)/Settings!$C$28)+MIN(100,100*N($J133)/Settings!$C$29))/3,1))</f>
        <v>7.1</v>
      </c>
      <c r="AH133" s="29">
        <f>IF($B133="","",IF(SUM(Settings!$C$32:$C$37)=0,"",ROUND((Settings!$C$32*$AO133+Settings!$C$33*$AP133+Settings!$C$34*$AQ133+Settings!$C$35*$AR133+Settings!$C$36*$AS133+Settings!$C$37*$AT133)/SUM(Settings!$C$32:$C$37),1)))</f>
        <v>29.8</v>
      </c>
      <c r="AI133" s="29">
        <f>IF($B133="","",MAX(0,100-IF(N($N133)&gt;0,0,20)-IF(AND(N($L133)=0,N($M133)=0),15,0)-IF(N($J133)&gt;0,0,10)-IF(N($K133)&gt;0,0,10)-IF($Z133&lt;&gt;"",0,15)-IF($AB133&lt;&gt;"",0,10)-IF($R133="ERROR",20,IF($R133="WARNING",10,0))))</f>
        <v>75</v>
      </c>
      <c r="AJ133" s="30" t="str">
        <f>IF($AH133="","",IF($AH133&lt;Settings!$C$46,"Extreme Sell Pressure",IF($AH133&lt;Settings!$C$47,"Sell Pressure",IF($AH133&lt;=Settings!$C$48,"Neutral",IF($AH133&lt;=Settings!$C$49,"Buy Pressure","Extreme Buy Pressure")))))</f>
        <v>Sell Pressure</v>
      </c>
      <c r="AK133" s="30">
        <f t="shared" ref="AK133:AK196" si="45">IF($B133="","",COUNTIFS($B$4:$B$503,$B133,$A$4:$A$503,"&lt;="&amp;$A133))</f>
        <v>5</v>
      </c>
      <c r="AL133" s="30">
        <f t="shared" ref="AL133:AL196" si="46">IF($A133="","",YEAR($A133))</f>
        <v>2026</v>
      </c>
      <c r="AM133" s="30">
        <f t="shared" ref="AM133:AM196" si="47">IF($A133="","",_xlfn.ISOWEEKNUM($A133))</f>
        <v>33</v>
      </c>
      <c r="AN133" s="30">
        <f t="shared" ref="AN133:AN196" si="48">IF($A133="","",MONTH($A133))</f>
        <v>8</v>
      </c>
      <c r="AO133" s="29">
        <f>IF($B133="","",IF(AND(N($L133)=0,N($M133)=0),50,IF(N($M133)=0,100,IF(N($L133)=0,0,MEDIAN(0,100,50+50*LN($S133)/LN(Settings!$C$40))))))</f>
        <v>0</v>
      </c>
      <c r="AP133" s="29">
        <f>IF($AA133="",50,MEDIAN(0,100,50+$AA133*100*Settings!$C$41))</f>
        <v>50</v>
      </c>
      <c r="AQ133" s="29">
        <f>IF($H133="",50,MEDIAN(0,100,50+$H133*100*Settings!$C$42))</f>
        <v>42.084432717678098</v>
      </c>
      <c r="AR133" s="29">
        <f>IF(OR($AC133="",$H133=""),50,MEDIAN(0,100,50+SIGN($H133)*50*MEDIAN(0,1,($AC133-1)/Settings!$C$43)))</f>
        <v>50</v>
      </c>
      <c r="AS133" s="29">
        <f>IF(OR($V133="",$W133=""),50,MEDIAN(0,100,50+50*($V133-$W133)/Settings!$C$44))</f>
        <v>13.575928644010382</v>
      </c>
      <c r="AT133" s="29">
        <f t="shared" ref="AT133:AT196" si="49">IF($AO133="",50,50+(N($AG133)/100)*($AO133-50))</f>
        <v>46.45</v>
      </c>
      <c r="AU133" s="30" t="str">
        <f t="shared" ref="AU133:AU196" si="50">IF($B133="","",$B133&amp;"|"&amp;TEXT($A133,"yyyy-mm-dd"))</f>
        <v>MKCB|2026-08-14</v>
      </c>
      <c r="AV133" s="87">
        <f>IF($A133="","",IF(COUNTIFS($A$4:$A133,$A133)=1,1,0))</f>
        <v>0</v>
      </c>
    </row>
    <row r="134" spans="1:48" x14ac:dyDescent="0.3">
      <c r="A134" s="265">
        <v>46248</v>
      </c>
      <c r="B134" s="266" t="s">
        <v>140</v>
      </c>
      <c r="C134" s="267">
        <v>465</v>
      </c>
      <c r="D134" s="267">
        <v>465</v>
      </c>
      <c r="E134" s="267">
        <v>455</v>
      </c>
      <c r="F134" s="267">
        <v>470</v>
      </c>
      <c r="G134" s="267">
        <v>450</v>
      </c>
      <c r="H134" s="268">
        <f t="shared" si="34"/>
        <v>-2.1505376344086002E-2</v>
      </c>
      <c r="I134" s="269">
        <v>339550</v>
      </c>
      <c r="J134" s="269">
        <v>12</v>
      </c>
      <c r="K134" s="269">
        <v>747</v>
      </c>
      <c r="L134" s="269">
        <v>2060</v>
      </c>
      <c r="M134" s="269">
        <v>10793</v>
      </c>
      <c r="N134" s="269">
        <v>14860000000</v>
      </c>
      <c r="O134" s="266" t="s">
        <v>1106</v>
      </c>
      <c r="P134" s="265">
        <v>46265</v>
      </c>
      <c r="Q134" s="266" t="s">
        <v>1342</v>
      </c>
      <c r="R134" s="23" t="str" cm="1">
        <f t="array" ref="R134">IF($B134="","",IFERROR(IF(INDEX('Data Quality'!$U$4:$U$503,ROW()-3)=0,"PENDING",INDEX('Data Quality'!$U$4:$U$503,ROW()-3)),"PENDING"))</f>
        <v>PASS</v>
      </c>
      <c r="S134" s="24">
        <f t="shared" si="35"/>
        <v>0.1908644491800241</v>
      </c>
      <c r="T134" s="25">
        <f t="shared" si="36"/>
        <v>937300</v>
      </c>
      <c r="U134" s="25">
        <f t="shared" si="37"/>
        <v>4910815</v>
      </c>
      <c r="V134" s="26">
        <f t="shared" si="38"/>
        <v>6.307537012113055E-5</v>
      </c>
      <c r="W134" s="26">
        <f t="shared" si="39"/>
        <v>3.3047207267833108E-4</v>
      </c>
      <c r="X134" s="25">
        <f t="shared" si="40"/>
        <v>62.25</v>
      </c>
      <c r="Y134" s="25">
        <f t="shared" si="41"/>
        <v>28295.833333333332</v>
      </c>
      <c r="Z134" s="27" t="str">
        <f>IF($B134="","",IF($AK134&lt;=Settings!$C$21,"",IFERROR(AVERAGEIFS($S$4:$S$503,$B$4:$B$503,$B134,$AK$4:$AK$503,"&gt;="&amp;$AK134-Settings!$C$21,$AK$4:$AK$503,"&lt;="&amp;$AK134-1),"")))</f>
        <v/>
      </c>
      <c r="AA134" s="28" t="str">
        <f t="shared" si="42"/>
        <v/>
      </c>
      <c r="AB134" s="25" t="str">
        <f>IF($B134="","",IF($AK134&lt;=Settings!$C$22,"",IFERROR(AVERAGEIFS($K$4:$K$503,$B$4:$B$503,$B134,$AK$4:$AK$503,"&gt;="&amp;$AK134-Settings!$C$22,$AK$4:$AK$503,"&lt;="&amp;$AK134-1),"")))</f>
        <v/>
      </c>
      <c r="AC134" s="27" t="str">
        <f t="shared" si="43"/>
        <v/>
      </c>
      <c r="AD134" s="28" t="str">
        <f>IF($B134="","",IF($AK134&lt;=Settings!$C$23,"",IFERROR($E134/SUMIFS($E$4:$E$503,$B$4:$B$503,$B134,$AK$4:$AK$503,$AK134-Settings!$C$23)-1,"")))</f>
        <v/>
      </c>
      <c r="AE134" s="28" t="str">
        <f>IF($B134="","",IF($AK134&lt;=Settings!$C$22,"",IFERROR($E134/SUMIFS($E$4:$E$503,$B$4:$B$503,$B134,$AK$4:$AK$503,$AK134-Settings!$C$22)-1,"")))</f>
        <v/>
      </c>
      <c r="AF134" s="28">
        <f t="shared" si="44"/>
        <v>4.3956043956043959E-2</v>
      </c>
      <c r="AG134" s="29">
        <f>IF($B134="","",ROUND((MIN(100,100*N($I134)/Settings!$C$27)+MIN(100,100*N($K134)/Settings!$C$28)+MIN(100,100*N($J134)/Settings!$C$29))/3,1))</f>
        <v>4.0999999999999996</v>
      </c>
      <c r="AH134" s="29">
        <f>IF($B134="","",IF(SUM(Settings!$C$32:$C$37)=0,"",ROUND((Settings!$C$32*$AO134+Settings!$C$33*$AP134+Settings!$C$34*$AQ134+Settings!$C$35*$AR134+Settings!$C$36*$AS134+Settings!$C$37*$AT134)/SUM(Settings!$C$32:$C$37),1)))</f>
        <v>28.9</v>
      </c>
      <c r="AI134" s="29">
        <f>IF($B134="","",MAX(0,100-IF(N($N134)&gt;0,0,20)-IF(AND(N($L134)=0,N($M134)=0),15,0)-IF(N($J134)&gt;0,0,10)-IF(N($K134)&gt;0,0,10)-IF($Z134&lt;&gt;"",0,15)-IF($AB134&lt;&gt;"",0,10)-IF($R134="ERROR",20,IF($R134="WARNING",10,0))))</f>
        <v>75</v>
      </c>
      <c r="AJ134" s="30" t="str">
        <f>IF($AH134="","",IF($AH134&lt;Settings!$C$46,"Extreme Sell Pressure",IF($AH134&lt;Settings!$C$47,"Sell Pressure",IF($AH134&lt;=Settings!$C$48,"Neutral",IF($AH134&lt;=Settings!$C$49,"Buy Pressure","Extreme Buy Pressure")))))</f>
        <v>Sell Pressure</v>
      </c>
      <c r="AK134" s="30">
        <f t="shared" si="45"/>
        <v>5</v>
      </c>
      <c r="AL134" s="30">
        <f t="shared" si="46"/>
        <v>2026</v>
      </c>
      <c r="AM134" s="30">
        <f t="shared" si="47"/>
        <v>33</v>
      </c>
      <c r="AN134" s="30">
        <f t="shared" si="48"/>
        <v>8</v>
      </c>
      <c r="AO134" s="29">
        <f>IF($B134="","",IF(AND(N($L134)=0,N($M134)=0),50,IF(N($M134)=0,100,IF(N($L134)=0,0,MEDIAN(0,100,50+50*LN($S134)/LN(Settings!$C$40))))))</f>
        <v>0</v>
      </c>
      <c r="AP134" s="29">
        <f>IF($AA134="",50,MEDIAN(0,100,50+$AA134*100*Settings!$C$41))</f>
        <v>50</v>
      </c>
      <c r="AQ134" s="29">
        <f>IF($H134="",50,MEDIAN(0,100,50+$H134*100*Settings!$C$42))</f>
        <v>28.494623655913998</v>
      </c>
      <c r="AR134" s="29">
        <f>IF(OR($AC134="",$H134=""),50,MEDIAN(0,100,50+SIGN($H134)*50*MEDIAN(0,1,($AC134-1)/Settings!$C$43)))</f>
        <v>50</v>
      </c>
      <c r="AS134" s="29">
        <f>IF(OR($V134="",$W134=""),50,MEDIAN(0,100,50+50*($V134-$W134)/Settings!$C$44))</f>
        <v>23.26032974427995</v>
      </c>
      <c r="AT134" s="29">
        <f t="shared" si="49"/>
        <v>47.95</v>
      </c>
      <c r="AU134" s="30" t="str">
        <f t="shared" si="50"/>
        <v>MUCOBA|2026-08-14</v>
      </c>
      <c r="AV134" s="87">
        <f>IF($A134="","",IF(COUNTIFS($A$4:$A134,$A134)=1,1,0))</f>
        <v>0</v>
      </c>
    </row>
    <row r="135" spans="1:48" x14ac:dyDescent="0.3">
      <c r="A135" s="265">
        <v>46248</v>
      </c>
      <c r="B135" s="266" t="s">
        <v>134</v>
      </c>
      <c r="C135" s="267">
        <v>3640</v>
      </c>
      <c r="D135" s="267">
        <v>3640</v>
      </c>
      <c r="E135" s="267">
        <v>3820</v>
      </c>
      <c r="F135" s="267">
        <v>4000</v>
      </c>
      <c r="G135" s="267">
        <v>3650</v>
      </c>
      <c r="H135" s="268">
        <f t="shared" si="34"/>
        <v>4.9450549450549497E-2</v>
      </c>
      <c r="I135" s="269">
        <v>101531480</v>
      </c>
      <c r="J135" s="269">
        <v>145</v>
      </c>
      <c r="K135" s="269">
        <v>26571</v>
      </c>
      <c r="L135" s="269">
        <v>15795</v>
      </c>
      <c r="M135" s="269">
        <v>2447</v>
      </c>
      <c r="N135" s="269">
        <v>235480000000</v>
      </c>
      <c r="O135" s="266" t="s">
        <v>1106</v>
      </c>
      <c r="P135" s="265">
        <v>46265</v>
      </c>
      <c r="Q135" s="266" t="s">
        <v>1342</v>
      </c>
      <c r="R135" s="23" t="str" cm="1">
        <f t="array" ref="R135">IF($B135="","",IFERROR(IF(INDEX('Data Quality'!$U$4:$U$503,ROW()-3)=0,"PENDING",INDEX('Data Quality'!$U$4:$U$503,ROW()-3)),"PENDING"))</f>
        <v>PASS</v>
      </c>
      <c r="S135" s="24">
        <f t="shared" si="35"/>
        <v>6.4548426644871268</v>
      </c>
      <c r="T135" s="25">
        <f t="shared" si="36"/>
        <v>60336900</v>
      </c>
      <c r="U135" s="25">
        <f t="shared" si="37"/>
        <v>9347540</v>
      </c>
      <c r="V135" s="26">
        <f t="shared" si="38"/>
        <v>2.5622940377102092E-4</v>
      </c>
      <c r="W135" s="26">
        <f t="shared" si="39"/>
        <v>3.9695685408527262E-5</v>
      </c>
      <c r="X135" s="25">
        <f t="shared" si="40"/>
        <v>183.24827586206897</v>
      </c>
      <c r="Y135" s="25">
        <f t="shared" si="41"/>
        <v>700217.10344827583</v>
      </c>
      <c r="Z135" s="27" t="str">
        <f>IF($B135="","",IF($AK135&lt;=Settings!$C$21,"",IFERROR(AVERAGEIFS($S$4:$S$503,$B$4:$B$503,$B135,$AK$4:$AK$503,"&gt;="&amp;$AK135-Settings!$C$21,$AK$4:$AK$503,"&lt;="&amp;$AK135-1),"")))</f>
        <v/>
      </c>
      <c r="AA135" s="28" t="str">
        <f t="shared" si="42"/>
        <v/>
      </c>
      <c r="AB135" s="25" t="str">
        <f>IF($B135="","",IF($AK135&lt;=Settings!$C$22,"",IFERROR(AVERAGEIFS($K$4:$K$503,$B$4:$B$503,$B135,$AK$4:$AK$503,"&gt;="&amp;$AK135-Settings!$C$22,$AK$4:$AK$503,"&lt;="&amp;$AK135-1),"")))</f>
        <v/>
      </c>
      <c r="AC135" s="27" t="str">
        <f t="shared" si="43"/>
        <v/>
      </c>
      <c r="AD135" s="28" t="str">
        <f>IF($B135="","",IF($AK135&lt;=Settings!$C$23,"",IFERROR($E135/SUMIFS($E$4:$E$503,$B$4:$B$503,$B135,$AK$4:$AK$503,$AK135-Settings!$C$23)-1,"")))</f>
        <v/>
      </c>
      <c r="AE135" s="28" t="str">
        <f>IF($B135="","",IF($AK135&lt;=Settings!$C$22,"",IFERROR($E135/SUMIFS($E$4:$E$503,$B$4:$B$503,$B135,$AK$4:$AK$503,$AK135-Settings!$C$22)-1,"")))</f>
        <v/>
      </c>
      <c r="AF135" s="28">
        <f t="shared" si="44"/>
        <v>9.1623036649214659E-2</v>
      </c>
      <c r="AG135" s="29">
        <f>IF($B135="","",ROUND((MIN(100,100*N($I135)/Settings!$C$27)+MIN(100,100*N($K135)/Settings!$C$28)+MIN(100,100*N($J135)/Settings!$C$29))/3,1))</f>
        <v>38.5</v>
      </c>
      <c r="AH135" s="29">
        <f>IF($B135="","",IF(SUM(Settings!$C$32:$C$37)=0,"",ROUND((Settings!$C$32*$AO135+Settings!$C$33*$AP135+Settings!$C$34*$AQ135+Settings!$C$35*$AR135+Settings!$C$36*$AS135+Settings!$C$37*$AT135)/SUM(Settings!$C$32:$C$37),1)))</f>
        <v>76.5</v>
      </c>
      <c r="AI135" s="29">
        <f>IF($B135="","",MAX(0,100-IF(N($N135)&gt;0,0,20)-IF(AND(N($L135)=0,N($M135)=0),15,0)-IF(N($J135)&gt;0,0,10)-IF(N($K135)&gt;0,0,10)-IF($Z135&lt;&gt;"",0,15)-IF($AB135&lt;&gt;"",0,10)-IF($R135="ERROR",20,IF($R135="WARNING",10,0))))</f>
        <v>75</v>
      </c>
      <c r="AJ135" s="30" t="str">
        <f>IF($AH135="","",IF($AH135&lt;Settings!$C$46,"Extreme Sell Pressure",IF($AH135&lt;Settings!$C$47,"Sell Pressure",IF($AH135&lt;=Settings!$C$48,"Neutral",IF($AH135&lt;=Settings!$C$49,"Buy Pressure","Extreme Buy Pressure")))))</f>
        <v>Buy Pressure</v>
      </c>
      <c r="AK135" s="30">
        <f t="shared" si="45"/>
        <v>5</v>
      </c>
      <c r="AL135" s="30">
        <f t="shared" si="46"/>
        <v>2026</v>
      </c>
      <c r="AM135" s="30">
        <f t="shared" si="47"/>
        <v>33</v>
      </c>
      <c r="AN135" s="30">
        <f t="shared" si="48"/>
        <v>8</v>
      </c>
      <c r="AO135" s="29">
        <f>IF($B135="","",IF(AND(N($L135)=0,N($M135)=0),50,IF(N($M135)=0,100,IF(N($L135)=0,0,MEDIAN(0,100,50+50*LN($S135)/LN(Settings!$C$40))))))</f>
        <v>100</v>
      </c>
      <c r="AP135" s="29">
        <f>IF($AA135="",50,MEDIAN(0,100,50+$AA135*100*Settings!$C$41))</f>
        <v>50</v>
      </c>
      <c r="AQ135" s="29">
        <f>IF($H135="",50,MEDIAN(0,100,50+$H135*100*Settings!$C$42))</f>
        <v>99.450549450549488</v>
      </c>
      <c r="AR135" s="29">
        <f>IF(OR($AC135="",$H135=""),50,MEDIAN(0,100,50+SIGN($H135)*50*MEDIAN(0,1,($AC135-1)/Settings!$C$43)))</f>
        <v>50</v>
      </c>
      <c r="AS135" s="29">
        <f>IF(OR($V135="",$W135=""),50,MEDIAN(0,100,50+50*($V135-$W135)/Settings!$C$44))</f>
        <v>71.653371836249363</v>
      </c>
      <c r="AT135" s="29">
        <f t="shared" si="49"/>
        <v>69.25</v>
      </c>
      <c r="AU135" s="30" t="str">
        <f t="shared" si="50"/>
        <v>NICO|2026-08-14</v>
      </c>
      <c r="AV135" s="87">
        <f>IF($A135="","",IF(COUNTIFS($A$4:$A135,$A135)=1,1,0))</f>
        <v>0</v>
      </c>
    </row>
    <row r="136" spans="1:48" x14ac:dyDescent="0.3">
      <c r="A136" s="265">
        <v>46248</v>
      </c>
      <c r="B136" s="266" t="s">
        <v>28</v>
      </c>
      <c r="C136" s="267">
        <v>17650</v>
      </c>
      <c r="D136" s="267">
        <v>17650</v>
      </c>
      <c r="E136" s="267">
        <v>17700</v>
      </c>
      <c r="F136" s="267">
        <v>17950</v>
      </c>
      <c r="G136" s="267">
        <v>17650</v>
      </c>
      <c r="H136" s="268">
        <f t="shared" si="34"/>
        <v>2.8328611898016387E-3</v>
      </c>
      <c r="I136" s="269">
        <v>3582788330</v>
      </c>
      <c r="J136" s="269">
        <v>461</v>
      </c>
      <c r="K136" s="269">
        <v>202667</v>
      </c>
      <c r="L136" s="269">
        <v>72424</v>
      </c>
      <c r="M136" s="269">
        <v>247</v>
      </c>
      <c r="N136" s="269">
        <v>8850000000000</v>
      </c>
      <c r="O136" s="266" t="s">
        <v>1106</v>
      </c>
      <c r="P136" s="265">
        <v>46265</v>
      </c>
      <c r="Q136" s="266" t="s">
        <v>1342</v>
      </c>
      <c r="R136" s="23" t="str" cm="1">
        <f t="array" ref="R136">IF($B136="","",IFERROR(IF(INDEX('Data Quality'!$U$4:$U$503,ROW()-3)=0,"PENDING",INDEX('Data Quality'!$U$4:$U$503,ROW()-3)),"PENDING"))</f>
        <v>PASS</v>
      </c>
      <c r="S136" s="24">
        <f t="shared" si="35"/>
        <v>293.21457489878543</v>
      </c>
      <c r="T136" s="25">
        <f t="shared" si="36"/>
        <v>1281904800</v>
      </c>
      <c r="U136" s="25">
        <f t="shared" si="37"/>
        <v>4371900</v>
      </c>
      <c r="V136" s="26">
        <f t="shared" si="38"/>
        <v>1.4484799999999999E-4</v>
      </c>
      <c r="W136" s="26">
        <f t="shared" si="39"/>
        <v>4.9399999999999995E-7</v>
      </c>
      <c r="X136" s="25">
        <f t="shared" si="40"/>
        <v>439.62472885032537</v>
      </c>
      <c r="Y136" s="25">
        <f t="shared" si="41"/>
        <v>7771775.1193058565</v>
      </c>
      <c r="Z136" s="27" t="str">
        <f>IF($B136="","",IF($AK136&lt;=Settings!$C$21,"",IFERROR(AVERAGEIFS($S$4:$S$503,$B$4:$B$503,$B136,$AK$4:$AK$503,"&gt;="&amp;$AK136-Settings!$C$21,$AK$4:$AK$503,"&lt;="&amp;$AK136-1),"")))</f>
        <v/>
      </c>
      <c r="AA136" s="28" t="str">
        <f t="shared" si="42"/>
        <v/>
      </c>
      <c r="AB136" s="25" t="str">
        <f>IF($B136="","",IF($AK136&lt;=Settings!$C$22,"",IFERROR(AVERAGEIFS($K$4:$K$503,$B$4:$B$503,$B136,$AK$4:$AK$503,"&gt;="&amp;$AK136-Settings!$C$22,$AK$4:$AK$503,"&lt;="&amp;$AK136-1),"")))</f>
        <v/>
      </c>
      <c r="AC136" s="27" t="str">
        <f t="shared" si="43"/>
        <v/>
      </c>
      <c r="AD136" s="28" t="str">
        <f>IF($B136="","",IF($AK136&lt;=Settings!$C$23,"",IFERROR($E136/SUMIFS($E$4:$E$503,$B$4:$B$503,$B136,$AK$4:$AK$503,$AK136-Settings!$C$23)-1,"")))</f>
        <v/>
      </c>
      <c r="AE136" s="28" t="str">
        <f>IF($B136="","",IF($AK136&lt;=Settings!$C$22,"",IFERROR($E136/SUMIFS($E$4:$E$503,$B$4:$B$503,$B136,$AK$4:$AK$503,$AK136-Settings!$C$22)-1,"")))</f>
        <v/>
      </c>
      <c r="AF136" s="28">
        <f t="shared" si="44"/>
        <v>1.6949152542372881E-2</v>
      </c>
      <c r="AG136" s="29">
        <f>IF($B136="","",ROUND((MIN(100,100*N($I136)/Settings!$C$27)+MIN(100,100*N($K136)/Settings!$C$28)+MIN(100,100*N($J136)/Settings!$C$29))/3,1))</f>
        <v>80.2</v>
      </c>
      <c r="AH136" s="29">
        <f>IF($B136="","",IF(SUM(Settings!$C$32:$C$37)=0,"",ROUND((Settings!$C$32*$AO136+Settings!$C$33*$AP136+Settings!$C$34*$AQ136+Settings!$C$35*$AR136+Settings!$C$36*$AS136+Settings!$C$37*$AT136)/SUM(Settings!$C$32:$C$37),1)))</f>
        <v>70.900000000000006</v>
      </c>
      <c r="AI136" s="29">
        <f>IF($B136="","",MAX(0,100-IF(N($N136)&gt;0,0,20)-IF(AND(N($L136)=0,N($M136)=0),15,0)-IF(N($J136)&gt;0,0,10)-IF(N($K136)&gt;0,0,10)-IF($Z136&lt;&gt;"",0,15)-IF($AB136&lt;&gt;"",0,10)-IF($R136="ERROR",20,IF($R136="WARNING",10,0))))</f>
        <v>75</v>
      </c>
      <c r="AJ136" s="30" t="str">
        <f>IF($AH136="","",IF($AH136&lt;Settings!$C$46,"Extreme Sell Pressure",IF($AH136&lt;Settings!$C$47,"Sell Pressure",IF($AH136&lt;=Settings!$C$48,"Neutral",IF($AH136&lt;=Settings!$C$49,"Buy Pressure","Extreme Buy Pressure")))))</f>
        <v>Buy Pressure</v>
      </c>
      <c r="AK136" s="30">
        <f t="shared" si="45"/>
        <v>5</v>
      </c>
      <c r="AL136" s="30">
        <f t="shared" si="46"/>
        <v>2026</v>
      </c>
      <c r="AM136" s="30">
        <f t="shared" si="47"/>
        <v>33</v>
      </c>
      <c r="AN136" s="30">
        <f t="shared" si="48"/>
        <v>8</v>
      </c>
      <c r="AO136" s="29">
        <f>IF($B136="","",IF(AND(N($L136)=0,N($M136)=0),50,IF(N($M136)=0,100,IF(N($L136)=0,0,MEDIAN(0,100,50+50*LN($S136)/LN(Settings!$C$40))))))</f>
        <v>100</v>
      </c>
      <c r="AP136" s="29">
        <f>IF($AA136="",50,MEDIAN(0,100,50+$AA136*100*Settings!$C$41))</f>
        <v>50</v>
      </c>
      <c r="AQ136" s="29">
        <f>IF($H136="",50,MEDIAN(0,100,50+$H136*100*Settings!$C$42))</f>
        <v>52.83286118980164</v>
      </c>
      <c r="AR136" s="29">
        <f>IF(OR($AC136="",$H136=""),50,MEDIAN(0,100,50+SIGN($H136)*50*MEDIAN(0,1,($AC136-1)/Settings!$C$43)))</f>
        <v>50</v>
      </c>
      <c r="AS136" s="29">
        <f>IF(OR($V136="",$W136=""),50,MEDIAN(0,100,50+50*($V136-$W136)/Settings!$C$44))</f>
        <v>64.435400000000001</v>
      </c>
      <c r="AT136" s="29">
        <f t="shared" si="49"/>
        <v>90.1</v>
      </c>
      <c r="AU136" s="30" t="str">
        <f t="shared" si="50"/>
        <v>NMB|2026-08-14</v>
      </c>
      <c r="AV136" s="87">
        <f>IF($A136="","",IF(COUNTIFS($A$4:$A136,$A136)=1,1,0))</f>
        <v>0</v>
      </c>
    </row>
    <row r="137" spans="1:48" x14ac:dyDescent="0.3">
      <c r="A137" s="265">
        <v>46248</v>
      </c>
      <c r="B137" s="266" t="s">
        <v>1100</v>
      </c>
      <c r="C137" s="267">
        <v>280</v>
      </c>
      <c r="D137" s="267">
        <v>280</v>
      </c>
      <c r="E137" s="267">
        <v>275</v>
      </c>
      <c r="F137" s="267"/>
      <c r="G137" s="267"/>
      <c r="H137" s="268">
        <f t="shared" si="34"/>
        <v>-1.7857142857142905E-2</v>
      </c>
      <c r="I137" s="269">
        <v>0</v>
      </c>
      <c r="J137" s="269">
        <v>0</v>
      </c>
      <c r="K137" s="269">
        <v>0</v>
      </c>
      <c r="L137" s="269">
        <v>138</v>
      </c>
      <c r="M137" s="269">
        <v>0</v>
      </c>
      <c r="N137" s="269">
        <v>51850000000</v>
      </c>
      <c r="O137" s="266" t="s">
        <v>1106</v>
      </c>
      <c r="P137" s="265">
        <v>46265</v>
      </c>
      <c r="Q137" s="266" t="s">
        <v>1342</v>
      </c>
      <c r="R137" s="23" t="str" cm="1">
        <f t="array" ref="R137">IF($B137="","",IFERROR(IF(INDEX('Data Quality'!$U$4:$U$503,ROW()-3)=0,"PENDING",INDEX('Data Quality'!$U$4:$U$503,ROW()-3)),"PENDING"))</f>
        <v>PASS</v>
      </c>
      <c r="S137" s="24" t="str">
        <f t="shared" si="35"/>
        <v/>
      </c>
      <c r="T137" s="25">
        <f t="shared" si="36"/>
        <v>37950</v>
      </c>
      <c r="U137" s="25">
        <f t="shared" si="37"/>
        <v>0</v>
      </c>
      <c r="V137" s="26">
        <f t="shared" si="38"/>
        <v>7.3191899710703957E-7</v>
      </c>
      <c r="W137" s="26">
        <f t="shared" si="39"/>
        <v>0</v>
      </c>
      <c r="X137" s="25" t="str">
        <f t="shared" si="40"/>
        <v/>
      </c>
      <c r="Y137" s="25" t="str">
        <f t="shared" si="41"/>
        <v/>
      </c>
      <c r="Z137" s="27" t="str">
        <f>IF($B137="","",IF($AK137&lt;=Settings!$C$21,"",IFERROR(AVERAGEIFS($S$4:$S$503,$B$4:$B$503,$B137,$AK$4:$AK$503,"&gt;="&amp;$AK137-Settings!$C$21,$AK$4:$AK$503,"&lt;="&amp;$AK137-1),"")))</f>
        <v/>
      </c>
      <c r="AA137" s="28" t="str">
        <f t="shared" si="42"/>
        <v/>
      </c>
      <c r="AB137" s="25" t="str">
        <f>IF($B137="","",IF($AK137&lt;=Settings!$C$22,"",IFERROR(AVERAGEIFS($K$4:$K$503,$B$4:$B$503,$B137,$AK$4:$AK$503,"&gt;="&amp;$AK137-Settings!$C$22,$AK$4:$AK$503,"&lt;="&amp;$AK137-1),"")))</f>
        <v/>
      </c>
      <c r="AC137" s="27" t="str">
        <f t="shared" si="43"/>
        <v/>
      </c>
      <c r="AD137" s="28" t="str">
        <f>IF($B137="","",IF($AK137&lt;=Settings!$C$23,"",IFERROR($E137/SUMIFS($E$4:$E$503,$B$4:$B$503,$B137,$AK$4:$AK$503,$AK137-Settings!$C$23)-1,"")))</f>
        <v/>
      </c>
      <c r="AE137" s="28" t="str">
        <f>IF($B137="","",IF($AK137&lt;=Settings!$C$22,"",IFERROR($E137/SUMIFS($E$4:$E$503,$B$4:$B$503,$B137,$AK$4:$AK$503,$AK137-Settings!$C$22)-1,"")))</f>
        <v/>
      </c>
      <c r="AF137" s="28">
        <f t="shared" si="44"/>
        <v>0</v>
      </c>
      <c r="AG137" s="29">
        <f>IF($B137="","",ROUND((MIN(100,100*N($I137)/Settings!$C$27)+MIN(100,100*N($K137)/Settings!$C$28)+MIN(100,100*N($J137)/Settings!$C$29))/3,1))</f>
        <v>0</v>
      </c>
      <c r="AH137" s="29">
        <f>IF($B137="","",IF(SUM(Settings!$C$32:$C$37)=0,"",ROUND((Settings!$C$32*$AO137+Settings!$C$33*$AP137+Settings!$C$34*$AQ137+Settings!$C$35*$AR137+Settings!$C$36*$AS137+Settings!$C$37*$AT137)/SUM(Settings!$C$32:$C$37),1)))</f>
        <v>62.3</v>
      </c>
      <c r="AI137" s="29">
        <f>IF($B137="","",MAX(0,100-IF(N($N137)&gt;0,0,20)-IF(AND(N($L137)=0,N($M137)=0),15,0)-IF(N($J137)&gt;0,0,10)-IF(N($K137)&gt;0,0,10)-IF($Z137&lt;&gt;"",0,15)-IF($AB137&lt;&gt;"",0,10)-IF($R137="ERROR",20,IF($R137="WARNING",10,0))))</f>
        <v>55</v>
      </c>
      <c r="AJ137" s="30" t="str">
        <f>IF($AH137="","",IF($AH137&lt;Settings!$C$46,"Extreme Sell Pressure",IF($AH137&lt;Settings!$C$47,"Sell Pressure",IF($AH137&lt;=Settings!$C$48,"Neutral",IF($AH137&lt;=Settings!$C$49,"Buy Pressure","Extreme Buy Pressure")))))</f>
        <v>Buy Pressure</v>
      </c>
      <c r="AK137" s="30">
        <f t="shared" si="45"/>
        <v>5</v>
      </c>
      <c r="AL137" s="30">
        <f t="shared" si="46"/>
        <v>2026</v>
      </c>
      <c r="AM137" s="30">
        <f t="shared" si="47"/>
        <v>33</v>
      </c>
      <c r="AN137" s="30">
        <f t="shared" si="48"/>
        <v>8</v>
      </c>
      <c r="AO137" s="29">
        <f>IF($B137="","",IF(AND(N($L137)=0,N($M137)=0),50,IF(N($M137)=0,100,IF(N($L137)=0,0,MEDIAN(0,100,50+50*LN($S137)/LN(Settings!$C$40))))))</f>
        <v>100</v>
      </c>
      <c r="AP137" s="29">
        <f>IF($AA137="",50,MEDIAN(0,100,50+$AA137*100*Settings!$C$41))</f>
        <v>50</v>
      </c>
      <c r="AQ137" s="29">
        <f>IF($H137="",50,MEDIAN(0,100,50+$H137*100*Settings!$C$42))</f>
        <v>32.142857142857096</v>
      </c>
      <c r="AR137" s="29">
        <f>IF(OR($AC137="",$H137=""),50,MEDIAN(0,100,50+SIGN($H137)*50*MEDIAN(0,1,($AC137-1)/Settings!$C$43)))</f>
        <v>50</v>
      </c>
      <c r="AS137" s="29">
        <f>IF(OR($V137="",$W137=""),50,MEDIAN(0,100,50+50*($V137-$W137)/Settings!$C$44))</f>
        <v>50.073191899710707</v>
      </c>
      <c r="AT137" s="29">
        <f t="shared" si="49"/>
        <v>50</v>
      </c>
      <c r="AU137" s="30" t="str">
        <f t="shared" si="50"/>
        <v>NMG|2026-08-14</v>
      </c>
      <c r="AV137" s="87">
        <f>IF($A137="","",IF(COUNTIFS($A$4:$A137,$A137)=1,1,0))</f>
        <v>0</v>
      </c>
    </row>
    <row r="138" spans="1:48" x14ac:dyDescent="0.3">
      <c r="A138" s="265">
        <v>46248</v>
      </c>
      <c r="B138" s="266" t="s">
        <v>143</v>
      </c>
      <c r="C138" s="267">
        <v>340</v>
      </c>
      <c r="D138" s="267">
        <v>340</v>
      </c>
      <c r="E138" s="267">
        <v>345</v>
      </c>
      <c r="F138" s="267">
        <v>355</v>
      </c>
      <c r="G138" s="267">
        <v>345</v>
      </c>
      <c r="H138" s="268">
        <f t="shared" si="34"/>
        <v>1.4705882352941124E-2</v>
      </c>
      <c r="I138" s="269">
        <v>1228510</v>
      </c>
      <c r="J138" s="269">
        <v>29</v>
      </c>
      <c r="K138" s="269">
        <v>3560</v>
      </c>
      <c r="L138" s="269">
        <v>1721</v>
      </c>
      <c r="M138" s="269">
        <v>18095</v>
      </c>
      <c r="N138" s="269">
        <v>55360000000</v>
      </c>
      <c r="O138" s="266" t="s">
        <v>1106</v>
      </c>
      <c r="P138" s="265">
        <v>46265</v>
      </c>
      <c r="Q138" s="266" t="s">
        <v>1342</v>
      </c>
      <c r="R138" s="23" t="str" cm="1">
        <f t="array" ref="R138">IF($B138="","",IFERROR(IF(INDEX('Data Quality'!$U$4:$U$503,ROW()-3)=0,"PENDING",INDEX('Data Quality'!$U$4:$U$503,ROW()-3)),"PENDING"))</f>
        <v>PASS</v>
      </c>
      <c r="S138" s="24">
        <f t="shared" si="35"/>
        <v>9.5109146172975959E-2</v>
      </c>
      <c r="T138" s="25">
        <f t="shared" si="36"/>
        <v>593745</v>
      </c>
      <c r="U138" s="25">
        <f t="shared" si="37"/>
        <v>6242775</v>
      </c>
      <c r="V138" s="26">
        <f t="shared" si="38"/>
        <v>1.0725162572254336E-5</v>
      </c>
      <c r="W138" s="26">
        <f t="shared" si="39"/>
        <v>1.1276688945086705E-4</v>
      </c>
      <c r="X138" s="25">
        <f t="shared" si="40"/>
        <v>122.75862068965517</v>
      </c>
      <c r="Y138" s="25">
        <f t="shared" si="41"/>
        <v>42362.413793103449</v>
      </c>
      <c r="Z138" s="27" t="str">
        <f>IF($B138="","",IF($AK138&lt;=Settings!$C$21,"",IFERROR(AVERAGEIFS($S$4:$S$503,$B$4:$B$503,$B138,$AK$4:$AK$503,"&gt;="&amp;$AK138-Settings!$C$21,$AK$4:$AK$503,"&lt;="&amp;$AK138-1),"")))</f>
        <v/>
      </c>
      <c r="AA138" s="28" t="str">
        <f t="shared" si="42"/>
        <v/>
      </c>
      <c r="AB138" s="25" t="str">
        <f>IF($B138="","",IF($AK138&lt;=Settings!$C$22,"",IFERROR(AVERAGEIFS($K$4:$K$503,$B$4:$B$503,$B138,$AK$4:$AK$503,"&gt;="&amp;$AK138-Settings!$C$22,$AK$4:$AK$503,"&lt;="&amp;$AK138-1),"")))</f>
        <v/>
      </c>
      <c r="AC138" s="27" t="str">
        <f t="shared" si="43"/>
        <v/>
      </c>
      <c r="AD138" s="28" t="str">
        <f>IF($B138="","",IF($AK138&lt;=Settings!$C$23,"",IFERROR($E138/SUMIFS($E$4:$E$503,$B$4:$B$503,$B138,$AK$4:$AK$503,$AK138-Settings!$C$23)-1,"")))</f>
        <v/>
      </c>
      <c r="AE138" s="28" t="str">
        <f>IF($B138="","",IF($AK138&lt;=Settings!$C$22,"",IFERROR($E138/SUMIFS($E$4:$E$503,$B$4:$B$503,$B138,$AK$4:$AK$503,$AK138-Settings!$C$22)-1,"")))</f>
        <v/>
      </c>
      <c r="AF138" s="28">
        <f t="shared" si="44"/>
        <v>2.8985507246376812E-2</v>
      </c>
      <c r="AG138" s="29">
        <f>IF($B138="","",ROUND((MIN(100,100*N($I138)/Settings!$C$27)+MIN(100,100*N($K138)/Settings!$C$28)+MIN(100,100*N($J138)/Settings!$C$29))/3,1))</f>
        <v>9.9</v>
      </c>
      <c r="AH138" s="29">
        <f>IF($B138="","",IF(SUM(Settings!$C$32:$C$37)=0,"",ROUND((Settings!$C$32*$AO138+Settings!$C$33*$AP138+Settings!$C$34*$AQ138+Settings!$C$35*$AR138+Settings!$C$36*$AS138+Settings!$C$37*$AT138)/SUM(Settings!$C$32:$C$37),1)))</f>
        <v>35.700000000000003</v>
      </c>
      <c r="AI138" s="29">
        <f>IF($B138="","",MAX(0,100-IF(N($N138)&gt;0,0,20)-IF(AND(N($L138)=0,N($M138)=0),15,0)-IF(N($J138)&gt;0,0,10)-IF(N($K138)&gt;0,0,10)-IF($Z138&lt;&gt;"",0,15)-IF($AB138&lt;&gt;"",0,10)-IF($R138="ERROR",20,IF($R138="WARNING",10,0))))</f>
        <v>75</v>
      </c>
      <c r="AJ138" s="30" t="str">
        <f>IF($AH138="","",IF($AH138&lt;Settings!$C$46,"Extreme Sell Pressure",IF($AH138&lt;Settings!$C$47,"Sell Pressure",IF($AH138&lt;=Settings!$C$48,"Neutral",IF($AH138&lt;=Settings!$C$49,"Buy Pressure","Extreme Buy Pressure")))))</f>
        <v>Sell Pressure</v>
      </c>
      <c r="AK138" s="30">
        <f t="shared" si="45"/>
        <v>5</v>
      </c>
      <c r="AL138" s="30">
        <f t="shared" si="46"/>
        <v>2026</v>
      </c>
      <c r="AM138" s="30">
        <f t="shared" si="47"/>
        <v>33</v>
      </c>
      <c r="AN138" s="30">
        <f t="shared" si="48"/>
        <v>8</v>
      </c>
      <c r="AO138" s="29">
        <f>IF($B138="","",IF(AND(N($L138)=0,N($M138)=0),50,IF(N($M138)=0,100,IF(N($L138)=0,0,MEDIAN(0,100,50+50*LN($S138)/LN(Settings!$C$40))))))</f>
        <v>0</v>
      </c>
      <c r="AP138" s="29">
        <f>IF($AA138="",50,MEDIAN(0,100,50+$AA138*100*Settings!$C$41))</f>
        <v>50</v>
      </c>
      <c r="AQ138" s="29">
        <f>IF($H138="",50,MEDIAN(0,100,50+$H138*100*Settings!$C$42))</f>
        <v>64.705882352941131</v>
      </c>
      <c r="AR138" s="29">
        <f>IF(OR($AC138="",$H138=""),50,MEDIAN(0,100,50+SIGN($H138)*50*MEDIAN(0,1,($AC138-1)/Settings!$C$43)))</f>
        <v>50</v>
      </c>
      <c r="AS138" s="29">
        <f>IF(OR($V138="",$W138=""),50,MEDIAN(0,100,50+50*($V138-$W138)/Settings!$C$44))</f>
        <v>39.795827312138726</v>
      </c>
      <c r="AT138" s="29">
        <f t="shared" si="49"/>
        <v>45.05</v>
      </c>
      <c r="AU138" s="30" t="str">
        <f t="shared" si="50"/>
        <v>PAL|2026-08-14</v>
      </c>
      <c r="AV138" s="87">
        <f>IF($A138="","",IF(COUNTIFS($A$4:$A138,$A138)=1,1,0))</f>
        <v>0</v>
      </c>
    </row>
    <row r="139" spans="1:48" x14ac:dyDescent="0.3">
      <c r="A139" s="265">
        <v>46248</v>
      </c>
      <c r="B139" s="266" t="s">
        <v>1101</v>
      </c>
      <c r="C139" s="267">
        <v>450</v>
      </c>
      <c r="D139" s="267">
        <v>450</v>
      </c>
      <c r="E139" s="267">
        <v>450</v>
      </c>
      <c r="F139" s="267"/>
      <c r="G139" s="267"/>
      <c r="H139" s="268">
        <f t="shared" si="34"/>
        <v>0</v>
      </c>
      <c r="I139" s="269">
        <v>0</v>
      </c>
      <c r="J139" s="269">
        <v>0</v>
      </c>
      <c r="K139" s="269">
        <v>0</v>
      </c>
      <c r="L139" s="269">
        <v>0</v>
      </c>
      <c r="M139" s="269">
        <v>0</v>
      </c>
      <c r="N139" s="269">
        <v>47790000000</v>
      </c>
      <c r="O139" s="266" t="s">
        <v>1106</v>
      </c>
      <c r="P139" s="265">
        <v>46265</v>
      </c>
      <c r="Q139" s="266" t="s">
        <v>1342</v>
      </c>
      <c r="R139" s="23" t="str" cm="1">
        <f t="array" ref="R139">IF($B139="","",IFERROR(IF(INDEX('Data Quality'!$U$4:$U$503,ROW()-3)=0,"PENDING",INDEX('Data Quality'!$U$4:$U$503,ROW()-3)),"PENDING"))</f>
        <v>WARNING</v>
      </c>
      <c r="S139" s="24" t="str">
        <f t="shared" si="35"/>
        <v/>
      </c>
      <c r="T139" s="25">
        <f t="shared" si="36"/>
        <v>0</v>
      </c>
      <c r="U139" s="25">
        <f t="shared" si="37"/>
        <v>0</v>
      </c>
      <c r="V139" s="26">
        <f t="shared" si="38"/>
        <v>0</v>
      </c>
      <c r="W139" s="26">
        <f t="shared" si="39"/>
        <v>0</v>
      </c>
      <c r="X139" s="25" t="str">
        <f t="shared" si="40"/>
        <v/>
      </c>
      <c r="Y139" s="25" t="str">
        <f t="shared" si="41"/>
        <v/>
      </c>
      <c r="Z139" s="27" t="str">
        <f>IF($B139="","",IF($AK139&lt;=Settings!$C$21,"",IFERROR(AVERAGEIFS($S$4:$S$503,$B$4:$B$503,$B139,$AK$4:$AK$503,"&gt;="&amp;$AK139-Settings!$C$21,$AK$4:$AK$503,"&lt;="&amp;$AK139-1),"")))</f>
        <v/>
      </c>
      <c r="AA139" s="28" t="str">
        <f t="shared" si="42"/>
        <v/>
      </c>
      <c r="AB139" s="25" t="str">
        <f>IF($B139="","",IF($AK139&lt;=Settings!$C$22,"",IFERROR(AVERAGEIFS($K$4:$K$503,$B$4:$B$503,$B139,$AK$4:$AK$503,"&gt;="&amp;$AK139-Settings!$C$22,$AK$4:$AK$503,"&lt;="&amp;$AK139-1),"")))</f>
        <v/>
      </c>
      <c r="AC139" s="27" t="str">
        <f t="shared" si="43"/>
        <v/>
      </c>
      <c r="AD139" s="28" t="str">
        <f>IF($B139="","",IF($AK139&lt;=Settings!$C$23,"",IFERROR($E139/SUMIFS($E$4:$E$503,$B$4:$B$503,$B139,$AK$4:$AK$503,$AK139-Settings!$C$23)-1,"")))</f>
        <v/>
      </c>
      <c r="AE139" s="28" t="str">
        <f>IF($B139="","",IF($AK139&lt;=Settings!$C$22,"",IFERROR($E139/SUMIFS($E$4:$E$503,$B$4:$B$503,$B139,$AK$4:$AK$503,$AK139-Settings!$C$22)-1,"")))</f>
        <v/>
      </c>
      <c r="AF139" s="28">
        <f t="shared" si="44"/>
        <v>0</v>
      </c>
      <c r="AG139" s="29">
        <f>IF($B139="","",ROUND((MIN(100,100*N($I139)/Settings!$C$27)+MIN(100,100*N($K139)/Settings!$C$28)+MIN(100,100*N($J139)/Settings!$C$29))/3,1))</f>
        <v>0</v>
      </c>
      <c r="AH139" s="29">
        <f>IF($B139="","",IF(SUM(Settings!$C$32:$C$37)=0,"",ROUND((Settings!$C$32*$AO139+Settings!$C$33*$AP139+Settings!$C$34*$AQ139+Settings!$C$35*$AR139+Settings!$C$36*$AS139+Settings!$C$37*$AT139)/SUM(Settings!$C$32:$C$37),1)))</f>
        <v>50</v>
      </c>
      <c r="AI139" s="29">
        <f>IF($B139="","",MAX(0,100-IF(N($N139)&gt;0,0,20)-IF(AND(N($L139)=0,N($M139)=0),15,0)-IF(N($J139)&gt;0,0,10)-IF(N($K139)&gt;0,0,10)-IF($Z139&lt;&gt;"",0,15)-IF($AB139&lt;&gt;"",0,10)-IF($R139="ERROR",20,IF($R139="WARNING",10,0))))</f>
        <v>30</v>
      </c>
      <c r="AJ139" s="30" t="str">
        <f>IF($AH139="","",IF($AH139&lt;Settings!$C$46,"Extreme Sell Pressure",IF($AH139&lt;Settings!$C$47,"Sell Pressure",IF($AH139&lt;=Settings!$C$48,"Neutral",IF($AH139&lt;=Settings!$C$49,"Buy Pressure","Extreme Buy Pressure")))))</f>
        <v>Neutral</v>
      </c>
      <c r="AK139" s="30">
        <f t="shared" si="45"/>
        <v>5</v>
      </c>
      <c r="AL139" s="30">
        <f t="shared" si="46"/>
        <v>2026</v>
      </c>
      <c r="AM139" s="30">
        <f t="shared" si="47"/>
        <v>33</v>
      </c>
      <c r="AN139" s="30">
        <f t="shared" si="48"/>
        <v>8</v>
      </c>
      <c r="AO139" s="29">
        <f>IF($B139="","",IF(AND(N($L139)=0,N($M139)=0),50,IF(N($M139)=0,100,IF(N($L139)=0,0,MEDIAN(0,100,50+50*LN($S139)/LN(Settings!$C$40))))))</f>
        <v>50</v>
      </c>
      <c r="AP139" s="29">
        <f>IF($AA139="",50,MEDIAN(0,100,50+$AA139*100*Settings!$C$41))</f>
        <v>50</v>
      </c>
      <c r="AQ139" s="29">
        <f>IF($H139="",50,MEDIAN(0,100,50+$H139*100*Settings!$C$42))</f>
        <v>50</v>
      </c>
      <c r="AR139" s="29">
        <f>IF(OR($AC139="",$H139=""),50,MEDIAN(0,100,50+SIGN($H139)*50*MEDIAN(0,1,($AC139-1)/Settings!$C$43)))</f>
        <v>50</v>
      </c>
      <c r="AS139" s="29">
        <f>IF(OR($V139="",$W139=""),50,MEDIAN(0,100,50+50*($V139-$W139)/Settings!$C$44))</f>
        <v>50</v>
      </c>
      <c r="AT139" s="29">
        <f t="shared" si="49"/>
        <v>50</v>
      </c>
      <c r="AU139" s="30" t="str">
        <f t="shared" si="50"/>
        <v>SWALA|2026-08-14</v>
      </c>
      <c r="AV139" s="87">
        <f>IF($A139="","",IF(COUNTIFS($A$4:$A139,$A139)=1,1,0))</f>
        <v>0</v>
      </c>
    </row>
    <row r="140" spans="1:48" x14ac:dyDescent="0.3">
      <c r="A140" s="265">
        <v>46248</v>
      </c>
      <c r="B140" s="266" t="s">
        <v>126</v>
      </c>
      <c r="C140" s="267">
        <v>2570</v>
      </c>
      <c r="D140" s="267">
        <v>2570</v>
      </c>
      <c r="E140" s="267">
        <v>2570</v>
      </c>
      <c r="F140" s="267">
        <v>2600</v>
      </c>
      <c r="G140" s="267">
        <v>2600</v>
      </c>
      <c r="H140" s="268">
        <f t="shared" si="34"/>
        <v>0</v>
      </c>
      <c r="I140" s="269">
        <v>1526200</v>
      </c>
      <c r="J140" s="269">
        <v>20</v>
      </c>
      <c r="K140" s="269">
        <v>587</v>
      </c>
      <c r="L140" s="269">
        <v>13099</v>
      </c>
      <c r="M140" s="269">
        <v>1422</v>
      </c>
      <c r="N140" s="269">
        <v>92520000000</v>
      </c>
      <c r="O140" s="266" t="s">
        <v>1106</v>
      </c>
      <c r="P140" s="265">
        <v>46265</v>
      </c>
      <c r="Q140" s="266" t="s">
        <v>1342</v>
      </c>
      <c r="R140" s="23" t="str" cm="1">
        <f t="array" ref="R140">IF($B140="","",IFERROR(IF(INDEX('Data Quality'!$U$4:$U$503,ROW()-3)=0,"PENDING",INDEX('Data Quality'!$U$4:$U$503,ROW()-3)),"PENDING"))</f>
        <v>ERROR</v>
      </c>
      <c r="S140" s="24">
        <f t="shared" si="35"/>
        <v>9.2116736990154706</v>
      </c>
      <c r="T140" s="25">
        <f t="shared" si="36"/>
        <v>33664430</v>
      </c>
      <c r="U140" s="25">
        <f t="shared" si="37"/>
        <v>3654540</v>
      </c>
      <c r="V140" s="26">
        <f t="shared" si="38"/>
        <v>3.6386111111111113E-4</v>
      </c>
      <c r="W140" s="26">
        <f t="shared" si="39"/>
        <v>3.9499999999999998E-5</v>
      </c>
      <c r="X140" s="25">
        <f t="shared" si="40"/>
        <v>29.35</v>
      </c>
      <c r="Y140" s="25">
        <f t="shared" si="41"/>
        <v>76310</v>
      </c>
      <c r="Z140" s="27" t="str">
        <f>IF($B140="","",IF($AK140&lt;=Settings!$C$21,"",IFERROR(AVERAGEIFS($S$4:$S$503,$B$4:$B$503,$B140,$AK$4:$AK$503,"&gt;="&amp;$AK140-Settings!$C$21,$AK$4:$AK$503,"&lt;="&amp;$AK140-1),"")))</f>
        <v/>
      </c>
      <c r="AA140" s="28" t="str">
        <f t="shared" si="42"/>
        <v/>
      </c>
      <c r="AB140" s="25" t="str">
        <f>IF($B140="","",IF($AK140&lt;=Settings!$C$22,"",IFERROR(AVERAGEIFS($K$4:$K$503,$B$4:$B$503,$B140,$AK$4:$AK$503,"&gt;="&amp;$AK140-Settings!$C$22,$AK$4:$AK$503,"&lt;="&amp;$AK140-1),"")))</f>
        <v/>
      </c>
      <c r="AC140" s="27" t="str">
        <f t="shared" si="43"/>
        <v/>
      </c>
      <c r="AD140" s="28" t="str">
        <f>IF($B140="","",IF($AK140&lt;=Settings!$C$23,"",IFERROR($E140/SUMIFS($E$4:$E$503,$B$4:$B$503,$B140,$AK$4:$AK$503,$AK140-Settings!$C$23)-1,"")))</f>
        <v/>
      </c>
      <c r="AE140" s="28" t="str">
        <f>IF($B140="","",IF($AK140&lt;=Settings!$C$22,"",IFERROR($E140/SUMIFS($E$4:$E$503,$B$4:$B$503,$B140,$AK$4:$AK$503,$AK140-Settings!$C$22)-1,"")))</f>
        <v/>
      </c>
      <c r="AF140" s="28">
        <f t="shared" si="44"/>
        <v>0</v>
      </c>
      <c r="AG140" s="29">
        <f>IF($B140="","",ROUND((MIN(100,100*N($I140)/Settings!$C$27)+MIN(100,100*N($K140)/Settings!$C$28)+MIN(100,100*N($J140)/Settings!$C$29))/3,1))</f>
        <v>6.8</v>
      </c>
      <c r="AH140" s="29">
        <f>IF($B140="","",IF(SUM(Settings!$C$32:$C$37)=0,"",ROUND((Settings!$C$32*$AO140+Settings!$C$33*$AP140+Settings!$C$34*$AQ140+Settings!$C$35*$AR140+Settings!$C$36*$AS140+Settings!$C$37*$AT140)/SUM(Settings!$C$32:$C$37),1)))</f>
        <v>68.599999999999994</v>
      </c>
      <c r="AI140" s="29">
        <f>IF($B140="","",MAX(0,100-IF(N($N140)&gt;0,0,20)-IF(AND(N($L140)=0,N($M140)=0),15,0)-IF(N($J140)&gt;0,0,10)-IF(N($K140)&gt;0,0,10)-IF($Z140&lt;&gt;"",0,15)-IF($AB140&lt;&gt;"",0,10)-IF($R140="ERROR",20,IF($R140="WARNING",10,0))))</f>
        <v>55</v>
      </c>
      <c r="AJ140" s="30" t="str">
        <f>IF($AH140="","",IF($AH140&lt;Settings!$C$46,"Extreme Sell Pressure",IF($AH140&lt;Settings!$C$47,"Sell Pressure",IF($AH140&lt;=Settings!$C$48,"Neutral",IF($AH140&lt;=Settings!$C$49,"Buy Pressure","Extreme Buy Pressure")))))</f>
        <v>Buy Pressure</v>
      </c>
      <c r="AK140" s="30">
        <f t="shared" si="45"/>
        <v>5</v>
      </c>
      <c r="AL140" s="30">
        <f t="shared" si="46"/>
        <v>2026</v>
      </c>
      <c r="AM140" s="30">
        <f t="shared" si="47"/>
        <v>33</v>
      </c>
      <c r="AN140" s="30">
        <f t="shared" si="48"/>
        <v>8</v>
      </c>
      <c r="AO140" s="29">
        <f>IF($B140="","",IF(AND(N($L140)=0,N($M140)=0),50,IF(N($M140)=0,100,IF(N($L140)=0,0,MEDIAN(0,100,50+50*LN($S140)/LN(Settings!$C$40))))))</f>
        <v>100</v>
      </c>
      <c r="AP140" s="29">
        <f>IF($AA140="",50,MEDIAN(0,100,50+$AA140*100*Settings!$C$41))</f>
        <v>50</v>
      </c>
      <c r="AQ140" s="29">
        <f>IF($H140="",50,MEDIAN(0,100,50+$H140*100*Settings!$C$42))</f>
        <v>50</v>
      </c>
      <c r="AR140" s="29">
        <f>IF(OR($AC140="",$H140=""),50,MEDIAN(0,100,50+SIGN($H140)*50*MEDIAN(0,1,($AC140-1)/Settings!$C$43)))</f>
        <v>50</v>
      </c>
      <c r="AS140" s="29">
        <f>IF(OR($V140="",$W140=""),50,MEDIAN(0,100,50+50*($V140-$W140)/Settings!$C$44))</f>
        <v>82.436111111111117</v>
      </c>
      <c r="AT140" s="29">
        <f t="shared" si="49"/>
        <v>53.4</v>
      </c>
      <c r="AU140" s="30" t="str">
        <f t="shared" si="50"/>
        <v>SWIS|2026-08-14</v>
      </c>
      <c r="AV140" s="87">
        <f>IF($A140="","",IF(COUNTIFS($A$4:$A140,$A140)=1,1,0))</f>
        <v>0</v>
      </c>
    </row>
    <row r="141" spans="1:48" x14ac:dyDescent="0.3">
      <c r="A141" s="265">
        <v>46248</v>
      </c>
      <c r="B141" s="266" t="s">
        <v>112</v>
      </c>
      <c r="C141" s="267">
        <v>9950</v>
      </c>
      <c r="D141" s="267">
        <v>9950</v>
      </c>
      <c r="E141" s="267">
        <v>9930</v>
      </c>
      <c r="F141" s="267">
        <v>9950</v>
      </c>
      <c r="G141" s="267">
        <v>9900</v>
      </c>
      <c r="H141" s="268">
        <f t="shared" si="34"/>
        <v>-2.0100502512563345E-3</v>
      </c>
      <c r="I141" s="269">
        <v>14350900</v>
      </c>
      <c r="J141" s="269">
        <v>29</v>
      </c>
      <c r="K141" s="269">
        <v>1444</v>
      </c>
      <c r="L141" s="269">
        <v>552</v>
      </c>
      <c r="M141" s="269">
        <v>970</v>
      </c>
      <c r="N141" s="269">
        <v>2929910000000</v>
      </c>
      <c r="O141" s="266" t="s">
        <v>1106</v>
      </c>
      <c r="P141" s="265">
        <v>46265</v>
      </c>
      <c r="Q141" s="266" t="s">
        <v>1342</v>
      </c>
      <c r="R141" s="23" t="str" cm="1">
        <f t="array" ref="R141">IF($B141="","",IFERROR(IF(INDEX('Data Quality'!$U$4:$U$503,ROW()-3)=0,"PENDING",INDEX('Data Quality'!$U$4:$U$503,ROW()-3)),"PENDING"))</f>
        <v>PASS</v>
      </c>
      <c r="S141" s="24">
        <f t="shared" si="35"/>
        <v>0.56907216494845358</v>
      </c>
      <c r="T141" s="25">
        <f t="shared" si="36"/>
        <v>5481360</v>
      </c>
      <c r="U141" s="25">
        <f t="shared" si="37"/>
        <v>9632100</v>
      </c>
      <c r="V141" s="26">
        <f t="shared" si="38"/>
        <v>1.8708287967889799E-6</v>
      </c>
      <c r="W141" s="26">
        <f t="shared" si="39"/>
        <v>3.2875071247922289E-6</v>
      </c>
      <c r="X141" s="25">
        <f t="shared" si="40"/>
        <v>49.793103448275865</v>
      </c>
      <c r="Y141" s="25">
        <f t="shared" si="41"/>
        <v>494858.62068965519</v>
      </c>
      <c r="Z141" s="27" t="str">
        <f>IF($B141="","",IF($AK141&lt;=Settings!$C$21,"",IFERROR(AVERAGEIFS($S$4:$S$503,$B$4:$B$503,$B141,$AK$4:$AK$503,"&gt;="&amp;$AK141-Settings!$C$21,$AK$4:$AK$503,"&lt;="&amp;$AK141-1),"")))</f>
        <v/>
      </c>
      <c r="AA141" s="28" t="str">
        <f t="shared" si="42"/>
        <v/>
      </c>
      <c r="AB141" s="25" t="str">
        <f>IF($B141="","",IF($AK141&lt;=Settings!$C$22,"",IFERROR(AVERAGEIFS($K$4:$K$503,$B$4:$B$503,$B141,$AK$4:$AK$503,"&gt;="&amp;$AK141-Settings!$C$22,$AK$4:$AK$503,"&lt;="&amp;$AK141-1),"")))</f>
        <v/>
      </c>
      <c r="AC141" s="27" t="str">
        <f t="shared" si="43"/>
        <v/>
      </c>
      <c r="AD141" s="28" t="str">
        <f>IF($B141="","",IF($AK141&lt;=Settings!$C$23,"",IFERROR($E141/SUMIFS($E$4:$E$503,$B$4:$B$503,$B141,$AK$4:$AK$503,$AK141-Settings!$C$23)-1,"")))</f>
        <v/>
      </c>
      <c r="AE141" s="28" t="str">
        <f>IF($B141="","",IF($AK141&lt;=Settings!$C$22,"",IFERROR($E141/SUMIFS($E$4:$E$503,$B$4:$B$503,$B141,$AK$4:$AK$503,$AK141-Settings!$C$22)-1,"")))</f>
        <v/>
      </c>
      <c r="AF141" s="28">
        <f t="shared" si="44"/>
        <v>5.0352467270896274E-3</v>
      </c>
      <c r="AG141" s="29">
        <f>IF($B141="","",ROUND((MIN(100,100*N($I141)/Settings!$C$27)+MIN(100,100*N($K141)/Settings!$C$28)+MIN(100,100*N($J141)/Settings!$C$29))/3,1))</f>
        <v>10.199999999999999</v>
      </c>
      <c r="AH141" s="29">
        <f>IF($B141="","",IF(SUM(Settings!$C$32:$C$37)=0,"",ROUND((Settings!$C$32*$AO141+Settings!$C$33*$AP141+Settings!$C$34*$AQ141+Settings!$C$35*$AR141+Settings!$C$36*$AS141+Settings!$C$37*$AT141)/SUM(Settings!$C$32:$C$37),1)))</f>
        <v>43.4</v>
      </c>
      <c r="AI141" s="29">
        <f>IF($B141="","",MAX(0,100-IF(N($N141)&gt;0,0,20)-IF(AND(N($L141)=0,N($M141)=0),15,0)-IF(N($J141)&gt;0,0,10)-IF(N($K141)&gt;0,0,10)-IF($Z141&lt;&gt;"",0,15)-IF($AB141&lt;&gt;"",0,10)-IF($R141="ERROR",20,IF($R141="WARNING",10,0))))</f>
        <v>75</v>
      </c>
      <c r="AJ141" s="30" t="str">
        <f>IF($AH141="","",IF($AH141&lt;Settings!$C$46,"Extreme Sell Pressure",IF($AH141&lt;Settings!$C$47,"Sell Pressure",IF($AH141&lt;=Settings!$C$48,"Neutral",IF($AH141&lt;=Settings!$C$49,"Buy Pressure","Extreme Buy Pressure")))))</f>
        <v>Neutral</v>
      </c>
      <c r="AK141" s="30">
        <f t="shared" si="45"/>
        <v>5</v>
      </c>
      <c r="AL141" s="30">
        <f t="shared" si="46"/>
        <v>2026</v>
      </c>
      <c r="AM141" s="30">
        <f t="shared" si="47"/>
        <v>33</v>
      </c>
      <c r="AN141" s="30">
        <f t="shared" si="48"/>
        <v>8</v>
      </c>
      <c r="AO141" s="29">
        <f>IF($B141="","",IF(AND(N($L141)=0,N($M141)=0),50,IF(N($M141)=0,100,IF(N($L141)=0,0,MEDIAN(0,100,50+50*LN($S141)/LN(Settings!$C$40))))))</f>
        <v>29.667087992591973</v>
      </c>
      <c r="AP141" s="29">
        <f>IF($AA141="",50,MEDIAN(0,100,50+$AA141*100*Settings!$C$41))</f>
        <v>50</v>
      </c>
      <c r="AQ141" s="29">
        <f>IF($H141="",50,MEDIAN(0,100,50+$H141*100*Settings!$C$42))</f>
        <v>47.989949748743669</v>
      </c>
      <c r="AR141" s="29">
        <f>IF(OR($AC141="",$H141=""),50,MEDIAN(0,100,50+SIGN($H141)*50*MEDIAN(0,1,($AC141-1)/Settings!$C$43)))</f>
        <v>50</v>
      </c>
      <c r="AS141" s="29">
        <f>IF(OR($V141="",$W141=""),50,MEDIAN(0,100,50+50*($V141-$W141)/Settings!$C$44))</f>
        <v>49.858332167199677</v>
      </c>
      <c r="AT141" s="29">
        <f t="shared" si="49"/>
        <v>47.926042975244378</v>
      </c>
      <c r="AU141" s="30" t="str">
        <f t="shared" si="50"/>
        <v>TBL|2026-08-14</v>
      </c>
      <c r="AV141" s="87">
        <f>IF($A141="","",IF(COUNTIFS($A$4:$A141,$A141)=1,1,0))</f>
        <v>0</v>
      </c>
    </row>
    <row r="142" spans="1:48" x14ac:dyDescent="0.3">
      <c r="A142" s="265">
        <v>46248</v>
      </c>
      <c r="B142" s="266" t="s">
        <v>115</v>
      </c>
      <c r="C142" s="267">
        <v>12500</v>
      </c>
      <c r="D142" s="267">
        <v>12500</v>
      </c>
      <c r="E142" s="267">
        <v>12500</v>
      </c>
      <c r="F142" s="267">
        <v>12500</v>
      </c>
      <c r="G142" s="267">
        <v>12500</v>
      </c>
      <c r="H142" s="268">
        <f t="shared" si="34"/>
        <v>0</v>
      </c>
      <c r="I142" s="269">
        <v>13362500</v>
      </c>
      <c r="J142" s="269">
        <v>2</v>
      </c>
      <c r="K142" s="269">
        <v>1069</v>
      </c>
      <c r="L142" s="269">
        <v>10147</v>
      </c>
      <c r="M142" s="269">
        <v>0</v>
      </c>
      <c r="N142" s="269">
        <v>1250000000000</v>
      </c>
      <c r="O142" s="266" t="s">
        <v>1106</v>
      </c>
      <c r="P142" s="265">
        <v>46265</v>
      </c>
      <c r="Q142" s="266" t="s">
        <v>1342</v>
      </c>
      <c r="R142" s="23" t="str" cm="1">
        <f t="array" ref="R142">IF($B142="","",IFERROR(IF(INDEX('Data Quality'!$U$4:$U$503,ROW()-3)=0,"PENDING",INDEX('Data Quality'!$U$4:$U$503,ROW()-3)),"PENDING"))</f>
        <v>PASS</v>
      </c>
      <c r="S142" s="24" t="str">
        <f t="shared" si="35"/>
        <v/>
      </c>
      <c r="T142" s="25">
        <f t="shared" si="36"/>
        <v>126837500</v>
      </c>
      <c r="U142" s="25">
        <f t="shared" si="37"/>
        <v>0</v>
      </c>
      <c r="V142" s="26">
        <f t="shared" si="38"/>
        <v>1.0147E-4</v>
      </c>
      <c r="W142" s="26">
        <f t="shared" si="39"/>
        <v>0</v>
      </c>
      <c r="X142" s="25">
        <f t="shared" si="40"/>
        <v>534.5</v>
      </c>
      <c r="Y142" s="25">
        <f t="shared" si="41"/>
        <v>6681250</v>
      </c>
      <c r="Z142" s="27" t="str">
        <f>IF($B142="","",IF($AK142&lt;=Settings!$C$21,"",IFERROR(AVERAGEIFS($S$4:$S$503,$B$4:$B$503,$B142,$AK$4:$AK$503,"&gt;="&amp;$AK142-Settings!$C$21,$AK$4:$AK$503,"&lt;="&amp;$AK142-1),"")))</f>
        <v/>
      </c>
      <c r="AA142" s="28" t="str">
        <f t="shared" si="42"/>
        <v/>
      </c>
      <c r="AB142" s="25" t="str">
        <f>IF($B142="","",IF($AK142&lt;=Settings!$C$22,"",IFERROR(AVERAGEIFS($K$4:$K$503,$B$4:$B$503,$B142,$AK$4:$AK$503,"&gt;="&amp;$AK142-Settings!$C$22,$AK$4:$AK$503,"&lt;="&amp;$AK142-1),"")))</f>
        <v/>
      </c>
      <c r="AC142" s="27" t="str">
        <f t="shared" si="43"/>
        <v/>
      </c>
      <c r="AD142" s="28" t="str">
        <f>IF($B142="","",IF($AK142&lt;=Settings!$C$23,"",IFERROR($E142/SUMIFS($E$4:$E$503,$B$4:$B$503,$B142,$AK$4:$AK$503,$AK142-Settings!$C$23)-1,"")))</f>
        <v/>
      </c>
      <c r="AE142" s="28" t="str">
        <f>IF($B142="","",IF($AK142&lt;=Settings!$C$22,"",IFERROR($E142/SUMIFS($E$4:$E$503,$B$4:$B$503,$B142,$AK$4:$AK$503,$AK142-Settings!$C$22)-1,"")))</f>
        <v/>
      </c>
      <c r="AF142" s="28">
        <f t="shared" si="44"/>
        <v>0</v>
      </c>
      <c r="AG142" s="29">
        <f>IF($B142="","",ROUND((MIN(100,100*N($I142)/Settings!$C$27)+MIN(100,100*N($K142)/Settings!$C$28)+MIN(100,100*N($J142)/Settings!$C$29))/3,1))</f>
        <v>1.2</v>
      </c>
      <c r="AH142" s="29">
        <f>IF($B142="","",IF(SUM(Settings!$C$32:$C$37)=0,"",ROUND((Settings!$C$32*$AO142+Settings!$C$33*$AP142+Settings!$C$34*$AQ142+Settings!$C$35*$AR142+Settings!$C$36*$AS142+Settings!$C$37*$AT142)/SUM(Settings!$C$32:$C$37),1)))</f>
        <v>66.099999999999994</v>
      </c>
      <c r="AI142" s="29">
        <f>IF($B142="","",MAX(0,100-IF(N($N142)&gt;0,0,20)-IF(AND(N($L142)=0,N($M142)=0),15,0)-IF(N($J142)&gt;0,0,10)-IF(N($K142)&gt;0,0,10)-IF($Z142&lt;&gt;"",0,15)-IF($AB142&lt;&gt;"",0,10)-IF($R142="ERROR",20,IF($R142="WARNING",10,0))))</f>
        <v>75</v>
      </c>
      <c r="AJ142" s="30" t="str">
        <f>IF($AH142="","",IF($AH142&lt;Settings!$C$46,"Extreme Sell Pressure",IF($AH142&lt;Settings!$C$47,"Sell Pressure",IF($AH142&lt;=Settings!$C$48,"Neutral",IF($AH142&lt;=Settings!$C$49,"Buy Pressure","Extreme Buy Pressure")))))</f>
        <v>Buy Pressure</v>
      </c>
      <c r="AK142" s="30">
        <f t="shared" si="45"/>
        <v>5</v>
      </c>
      <c r="AL142" s="30">
        <f t="shared" si="46"/>
        <v>2026</v>
      </c>
      <c r="AM142" s="30">
        <f t="shared" si="47"/>
        <v>33</v>
      </c>
      <c r="AN142" s="30">
        <f t="shared" si="48"/>
        <v>8</v>
      </c>
      <c r="AO142" s="29">
        <f>IF($B142="","",IF(AND(N($L142)=0,N($M142)=0),50,IF(N($M142)=0,100,IF(N($L142)=0,0,MEDIAN(0,100,50+50*LN($S142)/LN(Settings!$C$40))))))</f>
        <v>100</v>
      </c>
      <c r="AP142" s="29">
        <f>IF($AA142="",50,MEDIAN(0,100,50+$AA142*100*Settings!$C$41))</f>
        <v>50</v>
      </c>
      <c r="AQ142" s="29">
        <f>IF($H142="",50,MEDIAN(0,100,50+$H142*100*Settings!$C$42))</f>
        <v>50</v>
      </c>
      <c r="AR142" s="29">
        <f>IF(OR($AC142="",$H142=""),50,MEDIAN(0,100,50+SIGN($H142)*50*MEDIAN(0,1,($AC142-1)/Settings!$C$43)))</f>
        <v>50</v>
      </c>
      <c r="AS142" s="29">
        <f>IF(OR($V142="",$W142=""),50,MEDIAN(0,100,50+50*($V142-$W142)/Settings!$C$44))</f>
        <v>60.146999999999998</v>
      </c>
      <c r="AT142" s="29">
        <f t="shared" si="49"/>
        <v>50.6</v>
      </c>
      <c r="AU142" s="30" t="str">
        <f t="shared" si="50"/>
        <v>TCC|2026-08-14</v>
      </c>
      <c r="AV142" s="87">
        <f>IF($A142="","",IF(COUNTIFS($A$4:$A142,$A142)=1,1,0))</f>
        <v>0</v>
      </c>
    </row>
    <row r="143" spans="1:48" x14ac:dyDescent="0.3">
      <c r="A143" s="265">
        <v>46248</v>
      </c>
      <c r="B143" s="266" t="s">
        <v>118</v>
      </c>
      <c r="C143" s="267">
        <v>3900</v>
      </c>
      <c r="D143" s="267">
        <v>3900</v>
      </c>
      <c r="E143" s="267">
        <v>3950</v>
      </c>
      <c r="F143" s="267">
        <v>4100</v>
      </c>
      <c r="G143" s="267">
        <v>3660</v>
      </c>
      <c r="H143" s="268">
        <f t="shared" si="34"/>
        <v>1.2820512820512775E-2</v>
      </c>
      <c r="I143" s="269">
        <v>643331900</v>
      </c>
      <c r="J143" s="269">
        <v>19</v>
      </c>
      <c r="K143" s="269">
        <v>200840</v>
      </c>
      <c r="L143" s="269">
        <v>9525</v>
      </c>
      <c r="M143" s="269">
        <v>3627</v>
      </c>
      <c r="N143" s="269">
        <v>754500000000</v>
      </c>
      <c r="O143" s="266" t="s">
        <v>1106</v>
      </c>
      <c r="P143" s="265">
        <v>46265</v>
      </c>
      <c r="Q143" s="266" t="s">
        <v>1342</v>
      </c>
      <c r="R143" s="23" t="str" cm="1">
        <f t="array" ref="R143">IF($B143="","",IFERROR(IF(INDEX('Data Quality'!$U$4:$U$503,ROW()-3)=0,"PENDING",INDEX('Data Quality'!$U$4:$U$503,ROW()-3)),"PENDING"))</f>
        <v>PASS</v>
      </c>
      <c r="S143" s="24">
        <f t="shared" si="35"/>
        <v>2.6261373035566584</v>
      </c>
      <c r="T143" s="25">
        <f t="shared" si="36"/>
        <v>37623750</v>
      </c>
      <c r="U143" s="25">
        <f t="shared" si="37"/>
        <v>14326650</v>
      </c>
      <c r="V143" s="26">
        <f t="shared" si="38"/>
        <v>4.9865805168986082E-5</v>
      </c>
      <c r="W143" s="26">
        <f t="shared" si="39"/>
        <v>1.8988270377733598E-5</v>
      </c>
      <c r="X143" s="25">
        <f t="shared" si="40"/>
        <v>10570.526315789473</v>
      </c>
      <c r="Y143" s="25">
        <f t="shared" si="41"/>
        <v>33859573.684210524</v>
      </c>
      <c r="Z143" s="27" t="str">
        <f>IF($B143="","",IF($AK143&lt;=Settings!$C$21,"",IFERROR(AVERAGEIFS($S$4:$S$503,$B$4:$B$503,$B143,$AK$4:$AK$503,"&gt;="&amp;$AK143-Settings!$C$21,$AK$4:$AK$503,"&lt;="&amp;$AK143-1),"")))</f>
        <v/>
      </c>
      <c r="AA143" s="28" t="str">
        <f t="shared" si="42"/>
        <v/>
      </c>
      <c r="AB143" s="25" t="str">
        <f>IF($B143="","",IF($AK143&lt;=Settings!$C$22,"",IFERROR(AVERAGEIFS($K$4:$K$503,$B$4:$B$503,$B143,$AK$4:$AK$503,"&gt;="&amp;$AK143-Settings!$C$22,$AK$4:$AK$503,"&lt;="&amp;$AK143-1),"")))</f>
        <v/>
      </c>
      <c r="AC143" s="27" t="str">
        <f t="shared" si="43"/>
        <v/>
      </c>
      <c r="AD143" s="28" t="str">
        <f>IF($B143="","",IF($AK143&lt;=Settings!$C$23,"",IFERROR($E143/SUMIFS($E$4:$E$503,$B$4:$B$503,$B143,$AK$4:$AK$503,$AK143-Settings!$C$23)-1,"")))</f>
        <v/>
      </c>
      <c r="AE143" s="28" t="str">
        <f>IF($B143="","",IF($AK143&lt;=Settings!$C$22,"",IFERROR($E143/SUMIFS($E$4:$E$503,$B$4:$B$503,$B143,$AK$4:$AK$503,$AK143-Settings!$C$22)-1,"")))</f>
        <v/>
      </c>
      <c r="AF143" s="28">
        <f t="shared" si="44"/>
        <v>0.11139240506329114</v>
      </c>
      <c r="AG143" s="29">
        <f>IF($B143="","",ROUND((MIN(100,100*N($I143)/Settings!$C$27)+MIN(100,100*N($K143)/Settings!$C$28)+MIN(100,100*N($J143)/Settings!$C$29))/3,1))</f>
        <v>41.2</v>
      </c>
      <c r="AH143" s="29">
        <f>IF($B143="","",IF(SUM(Settings!$C$32:$C$37)=0,"",ROUND((Settings!$C$32*$AO143+Settings!$C$33*$AP143+Settings!$C$34*$AQ143+Settings!$C$35*$AR143+Settings!$C$36*$AS143+Settings!$C$37*$AT143)/SUM(Settings!$C$32:$C$37),1)))</f>
        <v>64.099999999999994</v>
      </c>
      <c r="AI143" s="29">
        <f>IF($B143="","",MAX(0,100-IF(N($N143)&gt;0,0,20)-IF(AND(N($L143)=0,N($M143)=0),15,0)-IF(N($J143)&gt;0,0,10)-IF(N($K143)&gt;0,0,10)-IF($Z143&lt;&gt;"",0,15)-IF($AB143&lt;&gt;"",0,10)-IF($R143="ERROR",20,IF($R143="WARNING",10,0))))</f>
        <v>75</v>
      </c>
      <c r="AJ143" s="30" t="str">
        <f>IF($AH143="","",IF($AH143&lt;Settings!$C$46,"Extreme Sell Pressure",IF($AH143&lt;Settings!$C$47,"Sell Pressure",IF($AH143&lt;=Settings!$C$48,"Neutral",IF($AH143&lt;=Settings!$C$49,"Buy Pressure","Extreme Buy Pressure")))))</f>
        <v>Buy Pressure</v>
      </c>
      <c r="AK143" s="30">
        <f t="shared" si="45"/>
        <v>5</v>
      </c>
      <c r="AL143" s="30">
        <f t="shared" si="46"/>
        <v>2026</v>
      </c>
      <c r="AM143" s="30">
        <f t="shared" si="47"/>
        <v>33</v>
      </c>
      <c r="AN143" s="30">
        <f t="shared" si="48"/>
        <v>8</v>
      </c>
      <c r="AO143" s="29">
        <f>IF($B143="","",IF(AND(N($L143)=0,N($M143)=0),50,IF(N($M143)=0,100,IF(N($L143)=0,0,MEDIAN(0,100,50+50*LN($S143)/LN(Settings!$C$40))))))</f>
        <v>84.823558682444173</v>
      </c>
      <c r="AP143" s="29">
        <f>IF($AA143="",50,MEDIAN(0,100,50+$AA143*100*Settings!$C$41))</f>
        <v>50</v>
      </c>
      <c r="AQ143" s="29">
        <f>IF($H143="",50,MEDIAN(0,100,50+$H143*100*Settings!$C$42))</f>
        <v>62.820512820512775</v>
      </c>
      <c r="AR143" s="29">
        <f>IF(OR($AC143="",$H143=""),50,MEDIAN(0,100,50+SIGN($H143)*50*MEDIAN(0,1,($AC143-1)/Settings!$C$43)))</f>
        <v>50</v>
      </c>
      <c r="AS143" s="29">
        <f>IF(OR($V143="",$W143=""),50,MEDIAN(0,100,50+50*($V143-$W143)/Settings!$C$44))</f>
        <v>53.087753479125247</v>
      </c>
      <c r="AT143" s="29">
        <f t="shared" si="49"/>
        <v>64.347306177166999</v>
      </c>
      <c r="AU143" s="30" t="str">
        <f t="shared" si="50"/>
        <v>TCCL|2026-08-14</v>
      </c>
      <c r="AV143" s="87">
        <f>IF($A143="","",IF(COUNTIFS($A$4:$A143,$A143)=1,1,0))</f>
        <v>0</v>
      </c>
    </row>
    <row r="144" spans="1:48" x14ac:dyDescent="0.3">
      <c r="A144" s="265">
        <v>46248</v>
      </c>
      <c r="B144" s="266" t="s">
        <v>132</v>
      </c>
      <c r="C144" s="267">
        <v>1460</v>
      </c>
      <c r="D144" s="267">
        <v>1460</v>
      </c>
      <c r="E144" s="267">
        <v>1490</v>
      </c>
      <c r="F144" s="267">
        <v>1500</v>
      </c>
      <c r="G144" s="267">
        <v>1470</v>
      </c>
      <c r="H144" s="268">
        <f t="shared" si="34"/>
        <v>2.0547945205479534E-2</v>
      </c>
      <c r="I144" s="269">
        <v>2505850</v>
      </c>
      <c r="J144" s="269">
        <v>27</v>
      </c>
      <c r="K144" s="269">
        <v>1686</v>
      </c>
      <c r="L144" s="269">
        <v>2848</v>
      </c>
      <c r="M144" s="269">
        <v>3900</v>
      </c>
      <c r="N144" s="269">
        <v>85680000000</v>
      </c>
      <c r="O144" s="266" t="s">
        <v>1106</v>
      </c>
      <c r="P144" s="265">
        <v>46265</v>
      </c>
      <c r="Q144" s="266" t="s">
        <v>1342</v>
      </c>
      <c r="R144" s="23" t="str" cm="1">
        <f t="array" ref="R144">IF($B144="","",IFERROR(IF(INDEX('Data Quality'!$U$4:$U$503,ROW()-3)=0,"PENDING",INDEX('Data Quality'!$U$4:$U$503,ROW()-3)),"PENDING"))</f>
        <v>PASS</v>
      </c>
      <c r="S144" s="24">
        <f t="shared" si="35"/>
        <v>0.7302564102564103</v>
      </c>
      <c r="T144" s="25">
        <f t="shared" si="36"/>
        <v>4243520</v>
      </c>
      <c r="U144" s="25">
        <f t="shared" si="37"/>
        <v>5811000</v>
      </c>
      <c r="V144" s="26">
        <f t="shared" si="38"/>
        <v>4.9527544351073761E-5</v>
      </c>
      <c r="W144" s="26">
        <f t="shared" si="39"/>
        <v>6.7822128851540618E-5</v>
      </c>
      <c r="X144" s="25">
        <f t="shared" si="40"/>
        <v>62.444444444444443</v>
      </c>
      <c r="Y144" s="25">
        <f t="shared" si="41"/>
        <v>92809.259259259255</v>
      </c>
      <c r="Z144" s="27" t="str">
        <f>IF($B144="","",IF($AK144&lt;=Settings!$C$21,"",IFERROR(AVERAGEIFS($S$4:$S$503,$B$4:$B$503,$B144,$AK$4:$AK$503,"&gt;="&amp;$AK144-Settings!$C$21,$AK$4:$AK$503,"&lt;="&amp;$AK144-1),"")))</f>
        <v/>
      </c>
      <c r="AA144" s="28" t="str">
        <f t="shared" si="42"/>
        <v/>
      </c>
      <c r="AB144" s="25" t="str">
        <f>IF($B144="","",IF($AK144&lt;=Settings!$C$22,"",IFERROR(AVERAGEIFS($K$4:$K$503,$B$4:$B$503,$B144,$AK$4:$AK$503,"&gt;="&amp;$AK144-Settings!$C$22,$AK$4:$AK$503,"&lt;="&amp;$AK144-1),"")))</f>
        <v/>
      </c>
      <c r="AC144" s="27" t="str">
        <f t="shared" si="43"/>
        <v/>
      </c>
      <c r="AD144" s="28" t="str">
        <f>IF($B144="","",IF($AK144&lt;=Settings!$C$23,"",IFERROR($E144/SUMIFS($E$4:$E$503,$B$4:$B$503,$B144,$AK$4:$AK$503,$AK144-Settings!$C$23)-1,"")))</f>
        <v/>
      </c>
      <c r="AE144" s="28" t="str">
        <f>IF($B144="","",IF($AK144&lt;=Settings!$C$22,"",IFERROR($E144/SUMIFS($E$4:$E$503,$B$4:$B$503,$B144,$AK$4:$AK$503,$AK144-Settings!$C$22)-1,"")))</f>
        <v/>
      </c>
      <c r="AF144" s="28">
        <f t="shared" si="44"/>
        <v>2.0134228187919462E-2</v>
      </c>
      <c r="AG144" s="29">
        <f>IF($B144="","",ROUND((MIN(100,100*N($I144)/Settings!$C$27)+MIN(100,100*N($K144)/Settings!$C$28)+MIN(100,100*N($J144)/Settings!$C$29))/3,1))</f>
        <v>9.1999999999999993</v>
      </c>
      <c r="AH144" s="29">
        <f>IF($B144="","",IF(SUM(Settings!$C$32:$C$37)=0,"",ROUND((Settings!$C$32*$AO144+Settings!$C$33*$AP144+Settings!$C$34*$AQ144+Settings!$C$35*$AR144+Settings!$C$36*$AS144+Settings!$C$37*$AT144)/SUM(Settings!$C$32:$C$37),1)))</f>
        <v>49.4</v>
      </c>
      <c r="AI144" s="29">
        <f>IF($B144="","",MAX(0,100-IF(N($N144)&gt;0,0,20)-IF(AND(N($L144)=0,N($M144)=0),15,0)-IF(N($J144)&gt;0,0,10)-IF(N($K144)&gt;0,0,10)-IF($Z144&lt;&gt;"",0,15)-IF($AB144&lt;&gt;"",0,10)-IF($R144="ERROR",20,IF($R144="WARNING",10,0))))</f>
        <v>75</v>
      </c>
      <c r="AJ144" s="30" t="str">
        <f>IF($AH144="","",IF($AH144&lt;Settings!$C$46,"Extreme Sell Pressure",IF($AH144&lt;Settings!$C$47,"Sell Pressure",IF($AH144&lt;=Settings!$C$48,"Neutral",IF($AH144&lt;=Settings!$C$49,"Buy Pressure","Extreme Buy Pressure")))))</f>
        <v>Neutral</v>
      </c>
      <c r="AK144" s="30">
        <f t="shared" si="45"/>
        <v>5</v>
      </c>
      <c r="AL144" s="30">
        <f t="shared" si="46"/>
        <v>2026</v>
      </c>
      <c r="AM144" s="30">
        <f t="shared" si="47"/>
        <v>33</v>
      </c>
      <c r="AN144" s="30">
        <f t="shared" si="48"/>
        <v>8</v>
      </c>
      <c r="AO144" s="29">
        <f>IF($B144="","",IF(AND(N($L144)=0,N($M144)=0),50,IF(N($M144)=0,100,IF(N($L144)=0,0,MEDIAN(0,100,50+50*LN($S144)/LN(Settings!$C$40))))))</f>
        <v>38.661875558235621</v>
      </c>
      <c r="AP144" s="29">
        <f>IF($AA144="",50,MEDIAN(0,100,50+$AA144*100*Settings!$C$41))</f>
        <v>50</v>
      </c>
      <c r="AQ144" s="29">
        <f>IF($H144="",50,MEDIAN(0,100,50+$H144*100*Settings!$C$42))</f>
        <v>70.547945205479536</v>
      </c>
      <c r="AR144" s="29">
        <f>IF(OR($AC144="",$H144=""),50,MEDIAN(0,100,50+SIGN($H144)*50*MEDIAN(0,1,($AC144-1)/Settings!$C$43)))</f>
        <v>50</v>
      </c>
      <c r="AS144" s="29">
        <f>IF(OR($V144="",$W144=""),50,MEDIAN(0,100,50+50*($V144-$W144)/Settings!$C$44))</f>
        <v>48.170541549953313</v>
      </c>
      <c r="AT144" s="29">
        <f t="shared" si="49"/>
        <v>48.956892551357676</v>
      </c>
      <c r="AU144" s="30" t="str">
        <f t="shared" si="50"/>
        <v>TOL|2026-08-14</v>
      </c>
      <c r="AV144" s="87">
        <f>IF($A144="","",IF(COUNTIFS($A$4:$A144,$A144)=1,1,0))</f>
        <v>0</v>
      </c>
    </row>
    <row r="145" spans="1:48" x14ac:dyDescent="0.3">
      <c r="A145" s="265">
        <v>46248</v>
      </c>
      <c r="B145" s="266" t="s">
        <v>116</v>
      </c>
      <c r="C145" s="267">
        <v>5950</v>
      </c>
      <c r="D145" s="267">
        <v>5950</v>
      </c>
      <c r="E145" s="267">
        <v>6050</v>
      </c>
      <c r="F145" s="267">
        <v>6060</v>
      </c>
      <c r="G145" s="267">
        <v>6000</v>
      </c>
      <c r="H145" s="268">
        <f t="shared" si="34"/>
        <v>1.6806722689075571E-2</v>
      </c>
      <c r="I145" s="269">
        <v>1504962160</v>
      </c>
      <c r="J145" s="269">
        <v>23</v>
      </c>
      <c r="K145" s="269">
        <v>252884</v>
      </c>
      <c r="L145" s="269">
        <v>8660</v>
      </c>
      <c r="M145" s="269">
        <v>10</v>
      </c>
      <c r="N145" s="269">
        <v>1088530000000</v>
      </c>
      <c r="O145" s="266" t="s">
        <v>1106</v>
      </c>
      <c r="P145" s="265">
        <v>46265</v>
      </c>
      <c r="Q145" s="266" t="s">
        <v>1342</v>
      </c>
      <c r="R145" s="23" t="str" cm="1">
        <f t="array" ref="R145">IF($B145="","",IFERROR(IF(INDEX('Data Quality'!$U$4:$U$503,ROW()-3)=0,"PENDING",INDEX('Data Quality'!$U$4:$U$503,ROW()-3)),"PENDING"))</f>
        <v>PASS</v>
      </c>
      <c r="S145" s="24">
        <f t="shared" si="35"/>
        <v>866</v>
      </c>
      <c r="T145" s="25">
        <f t="shared" si="36"/>
        <v>52393000</v>
      </c>
      <c r="U145" s="25">
        <f t="shared" si="37"/>
        <v>60500</v>
      </c>
      <c r="V145" s="26">
        <f t="shared" si="38"/>
        <v>4.8131884284310033E-5</v>
      </c>
      <c r="W145" s="26">
        <f t="shared" si="39"/>
        <v>5.5579543053475786E-8</v>
      </c>
      <c r="X145" s="25">
        <f t="shared" si="40"/>
        <v>10994.95652173913</v>
      </c>
      <c r="Y145" s="25">
        <f t="shared" si="41"/>
        <v>65433137.391304351</v>
      </c>
      <c r="Z145" s="27" t="str">
        <f>IF($B145="","",IF($AK145&lt;=Settings!$C$21,"",IFERROR(AVERAGEIFS($S$4:$S$503,$B$4:$B$503,$B145,$AK$4:$AK$503,"&gt;="&amp;$AK145-Settings!$C$21,$AK$4:$AK$503,"&lt;="&amp;$AK145-1),"")))</f>
        <v/>
      </c>
      <c r="AA145" s="28" t="str">
        <f t="shared" si="42"/>
        <v/>
      </c>
      <c r="AB145" s="25" t="str">
        <f>IF($B145="","",IF($AK145&lt;=Settings!$C$22,"",IFERROR(AVERAGEIFS($K$4:$K$503,$B$4:$B$503,$B145,$AK$4:$AK$503,"&gt;="&amp;$AK145-Settings!$C$22,$AK$4:$AK$503,"&lt;="&amp;$AK145-1),"")))</f>
        <v/>
      </c>
      <c r="AC145" s="27" t="str">
        <f t="shared" si="43"/>
        <v/>
      </c>
      <c r="AD145" s="28" t="str">
        <f>IF($B145="","",IF($AK145&lt;=Settings!$C$23,"",IFERROR($E145/SUMIFS($E$4:$E$503,$B$4:$B$503,$B145,$AK$4:$AK$503,$AK145-Settings!$C$23)-1,"")))</f>
        <v/>
      </c>
      <c r="AE145" s="28" t="str">
        <f>IF($B145="","",IF($AK145&lt;=Settings!$C$22,"",IFERROR($E145/SUMIFS($E$4:$E$503,$B$4:$B$503,$B145,$AK$4:$AK$503,$AK145-Settings!$C$22)-1,"")))</f>
        <v/>
      </c>
      <c r="AF145" s="28">
        <f t="shared" si="44"/>
        <v>9.9173553719008271E-3</v>
      </c>
      <c r="AG145" s="29">
        <f>IF($B145="","",ROUND((MIN(100,100*N($I145)/Settings!$C$27)+MIN(100,100*N($K145)/Settings!$C$28)+MIN(100,100*N($J145)/Settings!$C$29))/3,1))</f>
        <v>57.9</v>
      </c>
      <c r="AH145" s="29">
        <f>IF($B145="","",IF(SUM(Settings!$C$32:$C$37)=0,"",ROUND((Settings!$C$32*$AO145+Settings!$C$33*$AP145+Settings!$C$34*$AQ145+Settings!$C$35*$AR145+Settings!$C$36*$AS145+Settings!$C$37*$AT145)/SUM(Settings!$C$32:$C$37),1)))</f>
        <v>70.900000000000006</v>
      </c>
      <c r="AI145" s="29">
        <f>IF($B145="","",MAX(0,100-IF(N($N145)&gt;0,0,20)-IF(AND(N($L145)=0,N($M145)=0),15,0)-IF(N($J145)&gt;0,0,10)-IF(N($K145)&gt;0,0,10)-IF($Z145&lt;&gt;"",0,15)-IF($AB145&lt;&gt;"",0,10)-IF($R145="ERROR",20,IF($R145="WARNING",10,0))))</f>
        <v>75</v>
      </c>
      <c r="AJ145" s="30" t="str">
        <f>IF($AH145="","",IF($AH145&lt;Settings!$C$46,"Extreme Sell Pressure",IF($AH145&lt;Settings!$C$47,"Sell Pressure",IF($AH145&lt;=Settings!$C$48,"Neutral",IF($AH145&lt;=Settings!$C$49,"Buy Pressure","Extreme Buy Pressure")))))</f>
        <v>Buy Pressure</v>
      </c>
      <c r="AK145" s="30">
        <f t="shared" si="45"/>
        <v>5</v>
      </c>
      <c r="AL145" s="30">
        <f t="shared" si="46"/>
        <v>2026</v>
      </c>
      <c r="AM145" s="30">
        <f t="shared" si="47"/>
        <v>33</v>
      </c>
      <c r="AN145" s="30">
        <f t="shared" si="48"/>
        <v>8</v>
      </c>
      <c r="AO145" s="29">
        <f>IF($B145="","",IF(AND(N($L145)=0,N($M145)=0),50,IF(N($M145)=0,100,IF(N($L145)=0,0,MEDIAN(0,100,50+50*LN($S145)/LN(Settings!$C$40))))))</f>
        <v>100</v>
      </c>
      <c r="AP145" s="29">
        <f>IF($AA145="",50,MEDIAN(0,100,50+$AA145*100*Settings!$C$41))</f>
        <v>50</v>
      </c>
      <c r="AQ145" s="29">
        <f>IF($H145="",50,MEDIAN(0,100,50+$H145*100*Settings!$C$42))</f>
        <v>66.806722689075571</v>
      </c>
      <c r="AR145" s="29">
        <f>IF(OR($AC145="",$H145=""),50,MEDIAN(0,100,50+SIGN($H145)*50*MEDIAN(0,1,($AC145-1)/Settings!$C$43)))</f>
        <v>50</v>
      </c>
      <c r="AS145" s="29">
        <f>IF(OR($V145="",$W145=""),50,MEDIAN(0,100,50+50*($V145-$W145)/Settings!$C$44))</f>
        <v>54.807630474125659</v>
      </c>
      <c r="AT145" s="29">
        <f t="shared" si="49"/>
        <v>78.95</v>
      </c>
      <c r="AU145" s="30" t="str">
        <f t="shared" si="50"/>
        <v>TPCC|2026-08-14</v>
      </c>
      <c r="AV145" s="87">
        <f>IF($A145="","",IF(COUNTIFS($A$4:$A145,$A145)=1,1,0))</f>
        <v>0</v>
      </c>
    </row>
    <row r="146" spans="1:48" x14ac:dyDescent="0.3">
      <c r="A146" s="265">
        <v>46248</v>
      </c>
      <c r="B146" s="266" t="s">
        <v>1102</v>
      </c>
      <c r="C146" s="267">
        <v>450</v>
      </c>
      <c r="D146" s="267">
        <v>450</v>
      </c>
      <c r="E146" s="267">
        <v>450</v>
      </c>
      <c r="F146" s="267">
        <v>475</v>
      </c>
      <c r="G146" s="267">
        <v>450</v>
      </c>
      <c r="H146" s="268">
        <f t="shared" si="34"/>
        <v>0</v>
      </c>
      <c r="I146" s="269">
        <v>109540</v>
      </c>
      <c r="J146" s="269">
        <v>14</v>
      </c>
      <c r="K146" s="269">
        <v>236</v>
      </c>
      <c r="L146" s="269">
        <v>1090</v>
      </c>
      <c r="M146" s="269">
        <v>1013</v>
      </c>
      <c r="N146" s="269">
        <v>42780000000</v>
      </c>
      <c r="O146" s="266" t="s">
        <v>1106</v>
      </c>
      <c r="P146" s="265">
        <v>46265</v>
      </c>
      <c r="Q146" s="266" t="s">
        <v>1342</v>
      </c>
      <c r="R146" s="23" t="str" cm="1">
        <f t="array" ref="R146">IF($B146="","",IFERROR(IF(INDEX('Data Quality'!$U$4:$U$503,ROW()-3)=0,"PENDING",INDEX('Data Quality'!$U$4:$U$503,ROW()-3)),"PENDING"))</f>
        <v>PASS</v>
      </c>
      <c r="S146" s="24">
        <f t="shared" si="35"/>
        <v>1.0760118460019743</v>
      </c>
      <c r="T146" s="25">
        <f t="shared" si="36"/>
        <v>490500</v>
      </c>
      <c r="U146" s="25">
        <f t="shared" si="37"/>
        <v>455850</v>
      </c>
      <c r="V146" s="26">
        <f t="shared" si="38"/>
        <v>1.1465638148667602E-5</v>
      </c>
      <c r="W146" s="26">
        <f t="shared" si="39"/>
        <v>1.0655680224403928E-5</v>
      </c>
      <c r="X146" s="25">
        <f t="shared" si="40"/>
        <v>16.857142857142858</v>
      </c>
      <c r="Y146" s="25">
        <f t="shared" si="41"/>
        <v>7824.2857142857147</v>
      </c>
      <c r="Z146" s="27" t="str">
        <f>IF($B146="","",IF($AK146&lt;=Settings!$C$21,"",IFERROR(AVERAGEIFS($S$4:$S$503,$B$4:$B$503,$B146,$AK$4:$AK$503,"&gt;="&amp;$AK146-Settings!$C$21,$AK$4:$AK$503,"&lt;="&amp;$AK146-1),"")))</f>
        <v/>
      </c>
      <c r="AA146" s="28" t="str">
        <f t="shared" si="42"/>
        <v/>
      </c>
      <c r="AB146" s="25" t="str">
        <f>IF($B146="","",IF($AK146&lt;=Settings!$C$22,"",IFERROR(AVERAGEIFS($K$4:$K$503,$B$4:$B$503,$B146,$AK$4:$AK$503,"&gt;="&amp;$AK146-Settings!$C$22,$AK$4:$AK$503,"&lt;="&amp;$AK146-1),"")))</f>
        <v/>
      </c>
      <c r="AC146" s="27" t="str">
        <f t="shared" si="43"/>
        <v/>
      </c>
      <c r="AD146" s="28" t="str">
        <f>IF($B146="","",IF($AK146&lt;=Settings!$C$23,"",IFERROR($E146/SUMIFS($E$4:$E$503,$B$4:$B$503,$B146,$AK$4:$AK$503,$AK146-Settings!$C$23)-1,"")))</f>
        <v/>
      </c>
      <c r="AE146" s="28" t="str">
        <f>IF($B146="","",IF($AK146&lt;=Settings!$C$22,"",IFERROR($E146/SUMIFS($E$4:$E$503,$B$4:$B$503,$B146,$AK$4:$AK$503,$AK146-Settings!$C$22)-1,"")))</f>
        <v/>
      </c>
      <c r="AF146" s="28">
        <f t="shared" si="44"/>
        <v>5.5555555555555552E-2</v>
      </c>
      <c r="AG146" s="29">
        <f>IF($B146="","",ROUND((MIN(100,100*N($I146)/Settings!$C$27)+MIN(100,100*N($K146)/Settings!$C$28)+MIN(100,100*N($J146)/Settings!$C$29))/3,1))</f>
        <v>4.7</v>
      </c>
      <c r="AH146" s="29">
        <f>IF($B146="","",IF(SUM(Settings!$C$32:$C$37)=0,"",ROUND((Settings!$C$32*$AO146+Settings!$C$33*$AP146+Settings!$C$34*$AQ146+Settings!$C$35*$AR146+Settings!$C$36*$AS146+Settings!$C$37*$AT146)/SUM(Settings!$C$32:$C$37),1)))</f>
        <v>50.8</v>
      </c>
      <c r="AI146" s="29">
        <f>IF($B146="","",MAX(0,100-IF(N($N146)&gt;0,0,20)-IF(AND(N($L146)=0,N($M146)=0),15,0)-IF(N($J146)&gt;0,0,10)-IF(N($K146)&gt;0,0,10)-IF($Z146&lt;&gt;"",0,15)-IF($AB146&lt;&gt;"",0,10)-IF($R146="ERROR",20,IF($R146="WARNING",10,0))))</f>
        <v>75</v>
      </c>
      <c r="AJ146" s="30" t="str">
        <f>IF($AH146="","",IF($AH146&lt;Settings!$C$46,"Extreme Sell Pressure",IF($AH146&lt;Settings!$C$47,"Sell Pressure",IF($AH146&lt;=Settings!$C$48,"Neutral",IF($AH146&lt;=Settings!$C$49,"Buy Pressure","Extreme Buy Pressure")))))</f>
        <v>Neutral</v>
      </c>
      <c r="AK146" s="30">
        <f t="shared" si="45"/>
        <v>5</v>
      </c>
      <c r="AL146" s="30">
        <f t="shared" si="46"/>
        <v>2026</v>
      </c>
      <c r="AM146" s="30">
        <f t="shared" si="47"/>
        <v>33</v>
      </c>
      <c r="AN146" s="30">
        <f t="shared" si="48"/>
        <v>8</v>
      </c>
      <c r="AO146" s="29">
        <f>IF($B146="","",IF(AND(N($L146)=0,N($M146)=0),50,IF(N($M146)=0,100,IF(N($L146)=0,0,MEDIAN(0,100,50+50*LN($S146)/LN(Settings!$C$40))))))</f>
        <v>52.64234902157876</v>
      </c>
      <c r="AP146" s="29">
        <f>IF($AA146="",50,MEDIAN(0,100,50+$AA146*100*Settings!$C$41))</f>
        <v>50</v>
      </c>
      <c r="AQ146" s="29">
        <f>IF($H146="",50,MEDIAN(0,100,50+$H146*100*Settings!$C$42))</f>
        <v>50</v>
      </c>
      <c r="AR146" s="29">
        <f>IF(OR($AC146="",$H146=""),50,MEDIAN(0,100,50+SIGN($H146)*50*MEDIAN(0,1,($AC146-1)/Settings!$C$43)))</f>
        <v>50</v>
      </c>
      <c r="AS146" s="29">
        <f>IF(OR($V146="",$W146=""),50,MEDIAN(0,100,50+50*($V146-$W146)/Settings!$C$44))</f>
        <v>50.080995792426364</v>
      </c>
      <c r="AT146" s="29">
        <f t="shared" si="49"/>
        <v>50.1241904040142</v>
      </c>
      <c r="AU146" s="30" t="str">
        <f t="shared" si="50"/>
        <v>TTP|2026-08-14</v>
      </c>
      <c r="AV146" s="87">
        <f>IF($A146="","",IF(COUNTIFS($A$4:$A146,$A146)=1,1,0))</f>
        <v>0</v>
      </c>
    </row>
    <row r="147" spans="1:48" x14ac:dyDescent="0.3">
      <c r="A147" s="265">
        <v>46248</v>
      </c>
      <c r="B147" s="266" t="s">
        <v>1103</v>
      </c>
      <c r="C147" s="267">
        <v>30</v>
      </c>
      <c r="D147" s="267">
        <v>30</v>
      </c>
      <c r="E147" s="267">
        <v>30</v>
      </c>
      <c r="F147" s="267"/>
      <c r="G147" s="267"/>
      <c r="H147" s="268">
        <f t="shared" si="34"/>
        <v>0</v>
      </c>
      <c r="I147" s="269">
        <v>0</v>
      </c>
      <c r="J147" s="269">
        <v>0</v>
      </c>
      <c r="K147" s="269">
        <v>0</v>
      </c>
      <c r="L147" s="269">
        <v>2778</v>
      </c>
      <c r="M147" s="269">
        <v>0</v>
      </c>
      <c r="N147" s="269">
        <v>10950000000</v>
      </c>
      <c r="O147" s="266" t="s">
        <v>1106</v>
      </c>
      <c r="P147" s="265">
        <v>46265</v>
      </c>
      <c r="Q147" s="266" t="s">
        <v>1342</v>
      </c>
      <c r="R147" s="23" t="str" cm="1">
        <f t="array" ref="R147">IF($B147="","",IFERROR(IF(INDEX('Data Quality'!$U$4:$U$503,ROW()-3)=0,"PENDING",INDEX('Data Quality'!$U$4:$U$503,ROW()-3)),"PENDING"))</f>
        <v>PASS</v>
      </c>
      <c r="S147" s="24" t="str">
        <f t="shared" si="35"/>
        <v/>
      </c>
      <c r="T147" s="25">
        <f t="shared" si="36"/>
        <v>83340</v>
      </c>
      <c r="U147" s="25">
        <f t="shared" si="37"/>
        <v>0</v>
      </c>
      <c r="V147" s="26">
        <f t="shared" si="38"/>
        <v>7.6109589041095888E-6</v>
      </c>
      <c r="W147" s="26">
        <f t="shared" si="39"/>
        <v>0</v>
      </c>
      <c r="X147" s="25" t="str">
        <f t="shared" si="40"/>
        <v/>
      </c>
      <c r="Y147" s="25" t="str">
        <f t="shared" si="41"/>
        <v/>
      </c>
      <c r="Z147" s="27" t="str">
        <f>IF($B147="","",IF($AK147&lt;=Settings!$C$21,"",IFERROR(AVERAGEIFS($S$4:$S$503,$B$4:$B$503,$B147,$AK$4:$AK$503,"&gt;="&amp;$AK147-Settings!$C$21,$AK$4:$AK$503,"&lt;="&amp;$AK147-1),"")))</f>
        <v/>
      </c>
      <c r="AA147" s="28" t="str">
        <f t="shared" si="42"/>
        <v/>
      </c>
      <c r="AB147" s="25" t="str">
        <f>IF($B147="","",IF($AK147&lt;=Settings!$C$22,"",IFERROR(AVERAGEIFS($K$4:$K$503,$B$4:$B$503,$B147,$AK$4:$AK$503,"&gt;="&amp;$AK147-Settings!$C$22,$AK$4:$AK$503,"&lt;="&amp;$AK147-1),"")))</f>
        <v/>
      </c>
      <c r="AC147" s="27" t="str">
        <f t="shared" si="43"/>
        <v/>
      </c>
      <c r="AD147" s="28" t="str">
        <f>IF($B147="","",IF($AK147&lt;=Settings!$C$23,"",IFERROR($E147/SUMIFS($E$4:$E$503,$B$4:$B$503,$B147,$AK$4:$AK$503,$AK147-Settings!$C$23)-1,"")))</f>
        <v/>
      </c>
      <c r="AE147" s="28" t="str">
        <f>IF($B147="","",IF($AK147&lt;=Settings!$C$22,"",IFERROR($E147/SUMIFS($E$4:$E$503,$B$4:$B$503,$B147,$AK$4:$AK$503,$AK147-Settings!$C$22)-1,"")))</f>
        <v/>
      </c>
      <c r="AF147" s="28">
        <f t="shared" si="44"/>
        <v>0</v>
      </c>
      <c r="AG147" s="29">
        <f>IF($B147="","",ROUND((MIN(100,100*N($I147)/Settings!$C$27)+MIN(100,100*N($K147)/Settings!$C$28)+MIN(100,100*N($J147)/Settings!$C$29))/3,1))</f>
        <v>0</v>
      </c>
      <c r="AH147" s="29">
        <f>IF($B147="","",IF(SUM(Settings!$C$32:$C$37)=0,"",ROUND((Settings!$C$32*$AO147+Settings!$C$33*$AP147+Settings!$C$34*$AQ147+Settings!$C$35*$AR147+Settings!$C$36*$AS147+Settings!$C$37*$AT147)/SUM(Settings!$C$32:$C$37),1)))</f>
        <v>65.099999999999994</v>
      </c>
      <c r="AI147" s="29">
        <f>IF($B147="","",MAX(0,100-IF(N($N147)&gt;0,0,20)-IF(AND(N($L147)=0,N($M147)=0),15,0)-IF(N($J147)&gt;0,0,10)-IF(N($K147)&gt;0,0,10)-IF($Z147&lt;&gt;"",0,15)-IF($AB147&lt;&gt;"",0,10)-IF($R147="ERROR",20,IF($R147="WARNING",10,0))))</f>
        <v>55</v>
      </c>
      <c r="AJ147" s="30" t="str">
        <f>IF($AH147="","",IF($AH147&lt;Settings!$C$46,"Extreme Sell Pressure",IF($AH147&lt;Settings!$C$47,"Sell Pressure",IF($AH147&lt;=Settings!$C$48,"Neutral",IF($AH147&lt;=Settings!$C$49,"Buy Pressure","Extreme Buy Pressure")))))</f>
        <v>Buy Pressure</v>
      </c>
      <c r="AK147" s="30">
        <f t="shared" si="45"/>
        <v>5</v>
      </c>
      <c r="AL147" s="30">
        <f t="shared" si="46"/>
        <v>2026</v>
      </c>
      <c r="AM147" s="30">
        <f t="shared" si="47"/>
        <v>33</v>
      </c>
      <c r="AN147" s="30">
        <f t="shared" si="48"/>
        <v>8</v>
      </c>
      <c r="AO147" s="29">
        <f>IF($B147="","",IF(AND(N($L147)=0,N($M147)=0),50,IF(N($M147)=0,100,IF(N($L147)=0,0,MEDIAN(0,100,50+50*LN($S147)/LN(Settings!$C$40))))))</f>
        <v>100</v>
      </c>
      <c r="AP147" s="29">
        <f>IF($AA147="",50,MEDIAN(0,100,50+$AA147*100*Settings!$C$41))</f>
        <v>50</v>
      </c>
      <c r="AQ147" s="29">
        <f>IF($H147="",50,MEDIAN(0,100,50+$H147*100*Settings!$C$42))</f>
        <v>50</v>
      </c>
      <c r="AR147" s="29">
        <f>IF(OR($AC147="",$H147=""),50,MEDIAN(0,100,50+SIGN($H147)*50*MEDIAN(0,1,($AC147-1)/Settings!$C$43)))</f>
        <v>50</v>
      </c>
      <c r="AS147" s="29">
        <f>IF(OR($V147="",$W147=""),50,MEDIAN(0,100,50+50*($V147-$W147)/Settings!$C$44))</f>
        <v>50.761095890410957</v>
      </c>
      <c r="AT147" s="29">
        <f t="shared" si="49"/>
        <v>50</v>
      </c>
      <c r="AU147" s="30" t="str">
        <f t="shared" si="50"/>
        <v>USL|2026-08-14</v>
      </c>
      <c r="AV147" s="87">
        <f>IF($A147="","",IF(COUNTIFS($A$4:$A147,$A147)=1,1,0))</f>
        <v>0</v>
      </c>
    </row>
    <row r="148" spans="1:48" x14ac:dyDescent="0.3">
      <c r="A148" s="265">
        <v>46248</v>
      </c>
      <c r="B148" s="266" t="s">
        <v>123</v>
      </c>
      <c r="C148" s="267">
        <v>1010</v>
      </c>
      <c r="D148" s="267">
        <v>1010</v>
      </c>
      <c r="E148" s="267">
        <v>1020</v>
      </c>
      <c r="F148" s="267">
        <v>1030</v>
      </c>
      <c r="G148" s="267">
        <v>1010</v>
      </c>
      <c r="H148" s="268">
        <f t="shared" si="34"/>
        <v>9.9009900990099098E-3</v>
      </c>
      <c r="I148" s="269">
        <v>126296500</v>
      </c>
      <c r="J148" s="269">
        <v>140</v>
      </c>
      <c r="K148" s="269">
        <v>123675</v>
      </c>
      <c r="L148" s="269">
        <v>139041</v>
      </c>
      <c r="M148" s="269">
        <v>153707</v>
      </c>
      <c r="N148" s="269">
        <v>2284800000000</v>
      </c>
      <c r="O148" s="266" t="s">
        <v>1106</v>
      </c>
      <c r="P148" s="265">
        <v>46265</v>
      </c>
      <c r="Q148" s="266" t="s">
        <v>1342</v>
      </c>
      <c r="R148" s="23" t="str" cm="1">
        <f t="array" ref="R148">IF($B148="","",IFERROR(IF(INDEX('Data Quality'!$U$4:$U$503,ROW()-3)=0,"PENDING",INDEX('Data Quality'!$U$4:$U$503,ROW()-3)),"PENDING"))</f>
        <v>PASS</v>
      </c>
      <c r="S148" s="24">
        <f t="shared" si="35"/>
        <v>0.90458469685830833</v>
      </c>
      <c r="T148" s="25">
        <f t="shared" si="36"/>
        <v>141821820</v>
      </c>
      <c r="U148" s="25">
        <f t="shared" si="37"/>
        <v>156781140</v>
      </c>
      <c r="V148" s="26">
        <f t="shared" si="38"/>
        <v>6.2071874999999996E-5</v>
      </c>
      <c r="W148" s="26">
        <f t="shared" si="39"/>
        <v>6.8619196428571435E-5</v>
      </c>
      <c r="X148" s="25">
        <f t="shared" si="40"/>
        <v>883.39285714285711</v>
      </c>
      <c r="Y148" s="25">
        <f t="shared" si="41"/>
        <v>902117.85714285716</v>
      </c>
      <c r="Z148" s="27" t="str">
        <f>IF($B148="","",IF($AK148&lt;=Settings!$C$21,"",IFERROR(AVERAGEIFS($S$4:$S$503,$B$4:$B$503,$B148,$AK$4:$AK$503,"&gt;="&amp;$AK148-Settings!$C$21,$AK$4:$AK$503,"&lt;="&amp;$AK148-1),"")))</f>
        <v/>
      </c>
      <c r="AA148" s="28" t="str">
        <f t="shared" si="42"/>
        <v/>
      </c>
      <c r="AB148" s="25" t="str">
        <f>IF($B148="","",IF($AK148&lt;=Settings!$C$22,"",IFERROR(AVERAGEIFS($K$4:$K$503,$B$4:$B$503,$B148,$AK$4:$AK$503,"&gt;="&amp;$AK148-Settings!$C$22,$AK$4:$AK$503,"&lt;="&amp;$AK148-1),"")))</f>
        <v/>
      </c>
      <c r="AC148" s="27" t="str">
        <f t="shared" si="43"/>
        <v/>
      </c>
      <c r="AD148" s="28" t="str">
        <f>IF($B148="","",IF($AK148&lt;=Settings!$C$23,"",IFERROR($E148/SUMIFS($E$4:$E$503,$B$4:$B$503,$B148,$AK$4:$AK$503,$AK148-Settings!$C$23)-1,"")))</f>
        <v/>
      </c>
      <c r="AE148" s="28" t="str">
        <f>IF($B148="","",IF($AK148&lt;=Settings!$C$22,"",IFERROR($E148/SUMIFS($E$4:$E$503,$B$4:$B$503,$B148,$AK$4:$AK$503,$AK148-Settings!$C$22)-1,"")))</f>
        <v/>
      </c>
      <c r="AF148" s="28">
        <f t="shared" si="44"/>
        <v>1.9607843137254902E-2</v>
      </c>
      <c r="AG148" s="29">
        <f>IF($B148="","",ROUND((MIN(100,100*N($I148)/Settings!$C$27)+MIN(100,100*N($K148)/Settings!$C$28)+MIN(100,100*N($J148)/Settings!$C$29))/3,1))</f>
        <v>45.8</v>
      </c>
      <c r="AH148" s="29">
        <f>IF($B148="","",IF(SUM(Settings!$C$32:$C$37)=0,"",ROUND((Settings!$C$32*$AO148+Settings!$C$33*$AP148+Settings!$C$34*$AQ148+Settings!$C$35*$AR148+Settings!$C$36*$AS148+Settings!$C$37*$AT148)/SUM(Settings!$C$32:$C$37),1)))</f>
        <v>50.2</v>
      </c>
      <c r="AI148" s="29">
        <f>IF($B148="","",MAX(0,100-IF(N($N148)&gt;0,0,20)-IF(AND(N($L148)=0,N($M148)=0),15,0)-IF(N($J148)&gt;0,0,10)-IF(N($K148)&gt;0,0,10)-IF($Z148&lt;&gt;"",0,15)-IF($AB148&lt;&gt;"",0,10)-IF($R148="ERROR",20,IF($R148="WARNING",10,0))))</f>
        <v>75</v>
      </c>
      <c r="AJ148" s="30" t="str">
        <f>IF($AH148="","",IF($AH148&lt;Settings!$C$46,"Extreme Sell Pressure",IF($AH148&lt;Settings!$C$47,"Sell Pressure",IF($AH148&lt;=Settings!$C$48,"Neutral",IF($AH148&lt;=Settings!$C$49,"Buy Pressure","Extreme Buy Pressure")))))</f>
        <v>Neutral</v>
      </c>
      <c r="AK148" s="30">
        <f t="shared" si="45"/>
        <v>5</v>
      </c>
      <c r="AL148" s="30">
        <f t="shared" si="46"/>
        <v>2026</v>
      </c>
      <c r="AM148" s="30">
        <f t="shared" si="47"/>
        <v>33</v>
      </c>
      <c r="AN148" s="30">
        <f t="shared" si="48"/>
        <v>8</v>
      </c>
      <c r="AO148" s="29">
        <f>IF($B148="","",IF(AND(N($L148)=0,N($M148)=0),50,IF(N($M148)=0,100,IF(N($L148)=0,0,MEDIAN(0,100,50+50*LN($S148)/LN(Settings!$C$40))))))</f>
        <v>46.383187369151194</v>
      </c>
      <c r="AP148" s="29">
        <f>IF($AA148="",50,MEDIAN(0,100,50+$AA148*100*Settings!$C$41))</f>
        <v>50</v>
      </c>
      <c r="AQ148" s="29">
        <f>IF($H148="",50,MEDIAN(0,100,50+$H148*100*Settings!$C$42))</f>
        <v>59.90099009900991</v>
      </c>
      <c r="AR148" s="29">
        <f>IF(OR($AC148="",$H148=""),50,MEDIAN(0,100,50+SIGN($H148)*50*MEDIAN(0,1,($AC148-1)/Settings!$C$43)))</f>
        <v>50</v>
      </c>
      <c r="AS148" s="29">
        <f>IF(OR($V148="",$W148=""),50,MEDIAN(0,100,50+50*($V148-$W148)/Settings!$C$44))</f>
        <v>49.345267857142858</v>
      </c>
      <c r="AT148" s="29">
        <f t="shared" si="49"/>
        <v>48.343499815071247</v>
      </c>
      <c r="AU148" s="30" t="str">
        <f t="shared" si="50"/>
        <v>VODA|2026-08-14</v>
      </c>
      <c r="AV148" s="87">
        <f>IF($A148="","",IF(COUNTIFS($A$4:$A148,$A148)=1,1,0))</f>
        <v>0</v>
      </c>
    </row>
    <row r="149" spans="1:48" x14ac:dyDescent="0.3">
      <c r="A149" s="265">
        <v>46248</v>
      </c>
      <c r="B149" s="266" t="s">
        <v>141</v>
      </c>
      <c r="C149" s="267">
        <v>510</v>
      </c>
      <c r="D149" s="267">
        <v>510</v>
      </c>
      <c r="E149" s="267">
        <v>510</v>
      </c>
      <c r="F149" s="267"/>
      <c r="G149" s="267"/>
      <c r="H149" s="268">
        <f t="shared" si="34"/>
        <v>0</v>
      </c>
      <c r="I149" s="269">
        <v>0</v>
      </c>
      <c r="J149" s="269">
        <v>0</v>
      </c>
      <c r="K149" s="269">
        <v>0</v>
      </c>
      <c r="L149" s="269">
        <v>0</v>
      </c>
      <c r="M149" s="269">
        <v>0</v>
      </c>
      <c r="N149" s="269">
        <v>6180000000</v>
      </c>
      <c r="O149" s="266" t="s">
        <v>1106</v>
      </c>
      <c r="P149" s="265">
        <v>46265</v>
      </c>
      <c r="Q149" s="266" t="s">
        <v>1342</v>
      </c>
      <c r="R149" s="23" t="str" cm="1">
        <f t="array" ref="R149">IF($B149="","",IFERROR(IF(INDEX('Data Quality'!$U$4:$U$503,ROW()-3)=0,"PENDING",INDEX('Data Quality'!$U$4:$U$503,ROW()-3)),"PENDING"))</f>
        <v>WARNING</v>
      </c>
      <c r="S149" s="24" t="str">
        <f t="shared" si="35"/>
        <v/>
      </c>
      <c r="T149" s="25">
        <f t="shared" si="36"/>
        <v>0</v>
      </c>
      <c r="U149" s="25">
        <f t="shared" si="37"/>
        <v>0</v>
      </c>
      <c r="V149" s="26">
        <f t="shared" si="38"/>
        <v>0</v>
      </c>
      <c r="W149" s="26">
        <f t="shared" si="39"/>
        <v>0</v>
      </c>
      <c r="X149" s="25" t="str">
        <f t="shared" si="40"/>
        <v/>
      </c>
      <c r="Y149" s="25" t="str">
        <f t="shared" si="41"/>
        <v/>
      </c>
      <c r="Z149" s="27" t="str">
        <f>IF($B149="","",IF($AK149&lt;=Settings!$C$21,"",IFERROR(AVERAGEIFS($S$4:$S$503,$B$4:$B$503,$B149,$AK$4:$AK$503,"&gt;="&amp;$AK149-Settings!$C$21,$AK$4:$AK$503,"&lt;="&amp;$AK149-1),"")))</f>
        <v/>
      </c>
      <c r="AA149" s="28" t="str">
        <f t="shared" si="42"/>
        <v/>
      </c>
      <c r="AB149" s="25" t="str">
        <f>IF($B149="","",IF($AK149&lt;=Settings!$C$22,"",IFERROR(AVERAGEIFS($K$4:$K$503,$B$4:$B$503,$B149,$AK$4:$AK$503,"&gt;="&amp;$AK149-Settings!$C$22,$AK$4:$AK$503,"&lt;="&amp;$AK149-1),"")))</f>
        <v/>
      </c>
      <c r="AC149" s="27" t="str">
        <f t="shared" si="43"/>
        <v/>
      </c>
      <c r="AD149" s="28" t="str">
        <f>IF($B149="","",IF($AK149&lt;=Settings!$C$23,"",IFERROR($E149/SUMIFS($E$4:$E$503,$B$4:$B$503,$B149,$AK$4:$AK$503,$AK149-Settings!$C$23)-1,"")))</f>
        <v/>
      </c>
      <c r="AE149" s="28" t="str">
        <f>IF($B149="","",IF($AK149&lt;=Settings!$C$22,"",IFERROR($E149/SUMIFS($E$4:$E$503,$B$4:$B$503,$B149,$AK$4:$AK$503,$AK149-Settings!$C$22)-1,"")))</f>
        <v/>
      </c>
      <c r="AF149" s="28">
        <f t="shared" si="44"/>
        <v>0</v>
      </c>
      <c r="AG149" s="29">
        <f>IF($B149="","",ROUND((MIN(100,100*N($I149)/Settings!$C$27)+MIN(100,100*N($K149)/Settings!$C$28)+MIN(100,100*N($J149)/Settings!$C$29))/3,1))</f>
        <v>0</v>
      </c>
      <c r="AH149" s="29">
        <f>IF($B149="","",IF(SUM(Settings!$C$32:$C$37)=0,"",ROUND((Settings!$C$32*$AO149+Settings!$C$33*$AP149+Settings!$C$34*$AQ149+Settings!$C$35*$AR149+Settings!$C$36*$AS149+Settings!$C$37*$AT149)/SUM(Settings!$C$32:$C$37),1)))</f>
        <v>50</v>
      </c>
      <c r="AI149" s="29">
        <f>IF($B149="","",MAX(0,100-IF(N($N149)&gt;0,0,20)-IF(AND(N($L149)=0,N($M149)=0),15,0)-IF(N($J149)&gt;0,0,10)-IF(N($K149)&gt;0,0,10)-IF($Z149&lt;&gt;"",0,15)-IF($AB149&lt;&gt;"",0,10)-IF($R149="ERROR",20,IF($R149="WARNING",10,0))))</f>
        <v>30</v>
      </c>
      <c r="AJ149" s="30" t="str">
        <f>IF($AH149="","",IF($AH149&lt;Settings!$C$46,"Extreme Sell Pressure",IF($AH149&lt;Settings!$C$47,"Sell Pressure",IF($AH149&lt;=Settings!$C$48,"Neutral",IF($AH149&lt;=Settings!$C$49,"Buy Pressure","Extreme Buy Pressure")))))</f>
        <v>Neutral</v>
      </c>
      <c r="AK149" s="30">
        <f t="shared" si="45"/>
        <v>5</v>
      </c>
      <c r="AL149" s="30">
        <f t="shared" si="46"/>
        <v>2026</v>
      </c>
      <c r="AM149" s="30">
        <f t="shared" si="47"/>
        <v>33</v>
      </c>
      <c r="AN149" s="30">
        <f t="shared" si="48"/>
        <v>8</v>
      </c>
      <c r="AO149" s="29">
        <f>IF($B149="","",IF(AND(N($L149)=0,N($M149)=0),50,IF(N($M149)=0,100,IF(N($L149)=0,0,MEDIAN(0,100,50+50*LN($S149)/LN(Settings!$C$40))))))</f>
        <v>50</v>
      </c>
      <c r="AP149" s="29">
        <f>IF($AA149="",50,MEDIAN(0,100,50+$AA149*100*Settings!$C$41))</f>
        <v>50</v>
      </c>
      <c r="AQ149" s="29">
        <f>IF($H149="",50,MEDIAN(0,100,50+$H149*100*Settings!$C$42))</f>
        <v>50</v>
      </c>
      <c r="AR149" s="29">
        <f>IF(OR($AC149="",$H149=""),50,MEDIAN(0,100,50+SIGN($H149)*50*MEDIAN(0,1,($AC149-1)/Settings!$C$43)))</f>
        <v>50</v>
      </c>
      <c r="AS149" s="29">
        <f>IF(OR($V149="",$W149=""),50,MEDIAN(0,100,50+50*($V149-$W149)/Settings!$C$44))</f>
        <v>50</v>
      </c>
      <c r="AT149" s="29">
        <f t="shared" si="49"/>
        <v>50</v>
      </c>
      <c r="AU149" s="30" t="str">
        <f t="shared" si="50"/>
        <v>YETU|2026-08-14</v>
      </c>
      <c r="AV149" s="87">
        <f>IF($A149="","",IF(COUNTIFS($A$4:$A149,$A149)=1,1,0))</f>
        <v>0</v>
      </c>
    </row>
    <row r="150" spans="1:48" x14ac:dyDescent="0.3">
      <c r="A150" s="265">
        <v>46248</v>
      </c>
      <c r="B150" s="266" t="s">
        <v>1104</v>
      </c>
      <c r="C150" s="267">
        <v>1340</v>
      </c>
      <c r="D150" s="267">
        <v>1340</v>
      </c>
      <c r="E150" s="267">
        <v>1340</v>
      </c>
      <c r="F150" s="267">
        <v>1350</v>
      </c>
      <c r="G150" s="267">
        <v>1340</v>
      </c>
      <c r="H150" s="268">
        <f t="shared" si="34"/>
        <v>0</v>
      </c>
      <c r="I150" s="269">
        <v>14287470</v>
      </c>
      <c r="J150" s="269">
        <v>46</v>
      </c>
      <c r="K150" s="269">
        <v>10632</v>
      </c>
      <c r="L150" s="269">
        <v>103892</v>
      </c>
      <c r="M150" s="269">
        <v>66568</v>
      </c>
      <c r="N150" s="269">
        <v>189090000000</v>
      </c>
      <c r="O150" s="266" t="s">
        <v>1106</v>
      </c>
      <c r="P150" s="265">
        <v>46265</v>
      </c>
      <c r="Q150" s="266" t="s">
        <v>1342</v>
      </c>
      <c r="R150" s="23" t="str" cm="1">
        <f t="array" ref="R150">IF($B150="","",IFERROR(IF(INDEX('Data Quality'!$U$4:$U$503,ROW()-3)=0,"PENDING",INDEX('Data Quality'!$U$4:$U$503,ROW()-3)),"PENDING"))</f>
        <v>PASS</v>
      </c>
      <c r="S150" s="24">
        <f t="shared" si="35"/>
        <v>1.5606898209349838</v>
      </c>
      <c r="T150" s="25">
        <f t="shared" si="36"/>
        <v>139215280</v>
      </c>
      <c r="U150" s="25">
        <f t="shared" si="37"/>
        <v>89201120</v>
      </c>
      <c r="V150" s="26">
        <f t="shared" si="38"/>
        <v>7.3623819345285319E-4</v>
      </c>
      <c r="W150" s="26">
        <f t="shared" si="39"/>
        <v>4.7173896028346291E-4</v>
      </c>
      <c r="X150" s="25">
        <f t="shared" si="40"/>
        <v>231.13043478260869</v>
      </c>
      <c r="Y150" s="25">
        <f t="shared" si="41"/>
        <v>310597.17391304346</v>
      </c>
      <c r="Z150" s="27" t="str">
        <f>IF($B150="","",IF($AK150&lt;=Settings!$C$21,"",IFERROR(AVERAGEIFS($S$4:$S$503,$B$4:$B$503,$B150,$AK$4:$AK$503,"&gt;="&amp;$AK150-Settings!$C$21,$AK$4:$AK$503,"&lt;="&amp;$AK150-1),"")))</f>
        <v/>
      </c>
      <c r="AA150" s="28" t="str">
        <f t="shared" si="42"/>
        <v/>
      </c>
      <c r="AB150" s="25" t="str">
        <f>IF($B150="","",IF($AK150&lt;=Settings!$C$22,"",IFERROR(AVERAGEIFS($K$4:$K$503,$B$4:$B$503,$B150,$AK$4:$AK$503,"&gt;="&amp;$AK150-Settings!$C$22,$AK$4:$AK$503,"&lt;="&amp;$AK150-1),"")))</f>
        <v/>
      </c>
      <c r="AC150" s="27" t="str">
        <f t="shared" si="43"/>
        <v/>
      </c>
      <c r="AD150" s="28" t="str">
        <f>IF($B150="","",IF($AK150&lt;=Settings!$C$23,"",IFERROR($E150/SUMIFS($E$4:$E$503,$B$4:$B$503,$B150,$AK$4:$AK$503,$AK150-Settings!$C$23)-1,"")))</f>
        <v/>
      </c>
      <c r="AE150" s="28" t="str">
        <f>IF($B150="","",IF($AK150&lt;=Settings!$C$22,"",IFERROR($E150/SUMIFS($E$4:$E$503,$B$4:$B$503,$B150,$AK$4:$AK$503,$AK150-Settings!$C$22)-1,"")))</f>
        <v/>
      </c>
      <c r="AF150" s="28">
        <f t="shared" si="44"/>
        <v>7.462686567164179E-3</v>
      </c>
      <c r="AG150" s="29">
        <f>IF($B150="","",ROUND((MIN(100,100*N($I150)/Settings!$C$27)+MIN(100,100*N($K150)/Settings!$C$28)+MIN(100,100*N($J150)/Settings!$C$29))/3,1))</f>
        <v>16.5</v>
      </c>
      <c r="AH150" s="29">
        <f>IF($B150="","",IF(SUM(Settings!$C$32:$C$37)=0,"",ROUND((Settings!$C$32*$AO150+Settings!$C$33*$AP150+Settings!$C$34*$AQ150+Settings!$C$35*$AR150+Settings!$C$36*$AS150+Settings!$C$37*$AT150)/SUM(Settings!$C$32:$C$37),1)))</f>
        <v>57.7</v>
      </c>
      <c r="AI150" s="29">
        <f>IF($B150="","",MAX(0,100-IF(N($N150)&gt;0,0,20)-IF(AND(N($L150)=0,N($M150)=0),15,0)-IF(N($J150)&gt;0,0,10)-IF(N($K150)&gt;0,0,10)-IF($Z150&lt;&gt;"",0,15)-IF($AB150&lt;&gt;"",0,10)-IF($R150="ERROR",20,IF($R150="WARNING",10,0))))</f>
        <v>75</v>
      </c>
      <c r="AJ150" s="30" t="str">
        <f>IF($AH150="","",IF($AH150&lt;Settings!$C$46,"Extreme Sell Pressure",IF($AH150&lt;Settings!$C$47,"Sell Pressure",IF($AH150&lt;=Settings!$C$48,"Neutral",IF($AH150&lt;=Settings!$C$49,"Buy Pressure","Extreme Buy Pressure")))))</f>
        <v>Neutral</v>
      </c>
      <c r="AK150" s="30">
        <f t="shared" si="45"/>
        <v>4</v>
      </c>
      <c r="AL150" s="30">
        <f t="shared" si="46"/>
        <v>2026</v>
      </c>
      <c r="AM150" s="30">
        <f t="shared" si="47"/>
        <v>33</v>
      </c>
      <c r="AN150" s="30">
        <f t="shared" si="48"/>
        <v>8</v>
      </c>
      <c r="AO150" s="29">
        <f>IF($B150="","",IF(AND(N($L150)=0,N($M150)=0),50,IF(N($M150)=0,100,IF(N($L150)=0,0,MEDIAN(0,100,50+50*LN($S150)/LN(Settings!$C$40))))))</f>
        <v>66.054595939870481</v>
      </c>
      <c r="AP150" s="29">
        <f>IF($AA150="",50,MEDIAN(0,100,50+$AA150*100*Settings!$C$41))</f>
        <v>50</v>
      </c>
      <c r="AQ150" s="29">
        <f>IF($H150="",50,MEDIAN(0,100,50+$H150*100*Settings!$C$42))</f>
        <v>50</v>
      </c>
      <c r="AR150" s="29">
        <f>IF(OR($AC150="",$H150=""),50,MEDIAN(0,100,50+SIGN($H150)*50*MEDIAN(0,1,($AC150-1)/Settings!$C$43)))</f>
        <v>50</v>
      </c>
      <c r="AS150" s="29">
        <f>IF(OR($V150="",$W150=""),50,MEDIAN(0,100,50+50*($V150-$W150)/Settings!$C$44))</f>
        <v>76.449923316939021</v>
      </c>
      <c r="AT150" s="29">
        <f t="shared" si="49"/>
        <v>52.64900833007863</v>
      </c>
      <c r="AU150" s="30" t="str">
        <f t="shared" si="50"/>
        <v>IEACLC-ETF|2026-08-14</v>
      </c>
      <c r="AV150" s="87">
        <f>IF($A150="","",IF(COUNTIFS($A$4:$A150,$A150)=1,1,0))</f>
        <v>0</v>
      </c>
    </row>
    <row r="151" spans="1:48" x14ac:dyDescent="0.3">
      <c r="A151" s="265">
        <v>46248</v>
      </c>
      <c r="B151" s="266" t="s">
        <v>1105</v>
      </c>
      <c r="C151" s="267">
        <v>330</v>
      </c>
      <c r="D151" s="267">
        <v>330</v>
      </c>
      <c r="E151" s="267">
        <v>335</v>
      </c>
      <c r="F151" s="267">
        <v>345</v>
      </c>
      <c r="G151" s="267">
        <v>330</v>
      </c>
      <c r="H151" s="268">
        <f t="shared" si="34"/>
        <v>1.5151515151515138E-2</v>
      </c>
      <c r="I151" s="269">
        <v>16113210</v>
      </c>
      <c r="J151" s="269">
        <v>150</v>
      </c>
      <c r="K151" s="269">
        <v>47907</v>
      </c>
      <c r="L151" s="269">
        <v>3294</v>
      </c>
      <c r="M151" s="269">
        <v>15521</v>
      </c>
      <c r="N151" s="269">
        <v>18090000000</v>
      </c>
      <c r="O151" s="266" t="s">
        <v>1106</v>
      </c>
      <c r="P151" s="265">
        <v>46265</v>
      </c>
      <c r="Q151" s="266" t="s">
        <v>1342</v>
      </c>
      <c r="R151" s="23" t="str" cm="1">
        <f t="array" ref="R151">IF($B151="","",IFERROR(IF(INDEX('Data Quality'!$U$4:$U$503,ROW()-3)=0,"PENDING",INDEX('Data Quality'!$U$4:$U$503,ROW()-3)),"PENDING"))</f>
        <v>PASS</v>
      </c>
      <c r="S151" s="24">
        <f t="shared" si="35"/>
        <v>0.21222859351845885</v>
      </c>
      <c r="T151" s="25">
        <f t="shared" si="36"/>
        <v>1103490</v>
      </c>
      <c r="U151" s="25">
        <f t="shared" si="37"/>
        <v>5199535</v>
      </c>
      <c r="V151" s="26">
        <f t="shared" si="38"/>
        <v>6.0999999999999999E-5</v>
      </c>
      <c r="W151" s="26">
        <f t="shared" si="39"/>
        <v>2.8742592592592595E-4</v>
      </c>
      <c r="X151" s="25">
        <f t="shared" si="40"/>
        <v>319.38</v>
      </c>
      <c r="Y151" s="25">
        <f t="shared" si="41"/>
        <v>107421.4</v>
      </c>
      <c r="Z151" s="27" t="str">
        <f>IF($B151="","",IF($AK151&lt;=Settings!$C$21,"",IFERROR(AVERAGEIFS($S$4:$S$503,$B$4:$B$503,$B151,$AK$4:$AK$503,"&gt;="&amp;$AK151-Settings!$C$21,$AK$4:$AK$503,"&lt;="&amp;$AK151-1),"")))</f>
        <v/>
      </c>
      <c r="AA151" s="28" t="str">
        <f t="shared" si="42"/>
        <v/>
      </c>
      <c r="AB151" s="25" t="str">
        <f>IF($B151="","",IF($AK151&lt;=Settings!$C$22,"",IFERROR(AVERAGEIFS($K$4:$K$503,$B$4:$B$503,$B151,$AK$4:$AK$503,"&gt;="&amp;$AK151-Settings!$C$22,$AK$4:$AK$503,"&lt;="&amp;$AK151-1),"")))</f>
        <v/>
      </c>
      <c r="AC151" s="27" t="str">
        <f t="shared" si="43"/>
        <v/>
      </c>
      <c r="AD151" s="28" t="str">
        <f>IF($B151="","",IF($AK151&lt;=Settings!$C$23,"",IFERROR($E151/SUMIFS($E$4:$E$503,$B$4:$B$503,$B151,$AK$4:$AK$503,$AK151-Settings!$C$23)-1,"")))</f>
        <v/>
      </c>
      <c r="AE151" s="28" t="str">
        <f>IF($B151="","",IF($AK151&lt;=Settings!$C$22,"",IFERROR($E151/SUMIFS($E$4:$E$503,$B$4:$B$503,$B151,$AK$4:$AK$503,$AK151-Settings!$C$22)-1,"")))</f>
        <v/>
      </c>
      <c r="AF151" s="28">
        <f t="shared" si="44"/>
        <v>4.4776119402985072E-2</v>
      </c>
      <c r="AG151" s="29">
        <f>IF($B151="","",ROUND((MIN(100,100*N($I151)/Settings!$C$27)+MIN(100,100*N($K151)/Settings!$C$28)+MIN(100,100*N($J151)/Settings!$C$29))/3,1))</f>
        <v>37.1</v>
      </c>
      <c r="AH151" s="29">
        <f>IF($B151="","",IF(SUM(Settings!$C$32:$C$37)=0,"",ROUND((Settings!$C$32*$AO151+Settings!$C$33*$AP151+Settings!$C$34*$AQ151+Settings!$C$35*$AR151+Settings!$C$36*$AS151+Settings!$C$37*$AT151)/SUM(Settings!$C$32:$C$37),1)))</f>
        <v>33.200000000000003</v>
      </c>
      <c r="AI151" s="29">
        <f>IF($B151="","",MAX(0,100-IF(N($N151)&gt;0,0,20)-IF(AND(N($L151)=0,N($M151)=0),15,0)-IF(N($J151)&gt;0,0,10)-IF(N($K151)&gt;0,0,10)-IF($Z151&lt;&gt;"",0,15)-IF($AB151&lt;&gt;"",0,10)-IF($R151="ERROR",20,IF($R151="WARNING",10,0))))</f>
        <v>75</v>
      </c>
      <c r="AJ151" s="30" t="str">
        <f>IF($AH151="","",IF($AH151&lt;Settings!$C$46,"Extreme Sell Pressure",IF($AH151&lt;Settings!$C$47,"Sell Pressure",IF($AH151&lt;=Settings!$C$48,"Neutral",IF($AH151&lt;=Settings!$C$49,"Buy Pressure","Extreme Buy Pressure")))))</f>
        <v>Sell Pressure</v>
      </c>
      <c r="AK151" s="30">
        <f t="shared" si="45"/>
        <v>4</v>
      </c>
      <c r="AL151" s="30">
        <f t="shared" si="46"/>
        <v>2026</v>
      </c>
      <c r="AM151" s="30">
        <f t="shared" si="47"/>
        <v>33</v>
      </c>
      <c r="AN151" s="30">
        <f t="shared" si="48"/>
        <v>8</v>
      </c>
      <c r="AO151" s="29">
        <f>IF($B151="","",IF(AND(N($L151)=0,N($M151)=0),50,IF(N($M151)=0,100,IF(N($L151)=0,0,MEDIAN(0,100,50+50*LN($S151)/LN(Settings!$C$40))))))</f>
        <v>0</v>
      </c>
      <c r="AP151" s="29">
        <f>IF($AA151="",50,MEDIAN(0,100,50+$AA151*100*Settings!$C$41))</f>
        <v>50</v>
      </c>
      <c r="AQ151" s="29">
        <f>IF($H151="",50,MEDIAN(0,100,50+$H151*100*Settings!$C$42))</f>
        <v>65.151515151515142</v>
      </c>
      <c r="AR151" s="29">
        <f>IF(OR($AC151="",$H151=""),50,MEDIAN(0,100,50+SIGN($H151)*50*MEDIAN(0,1,($AC151-1)/Settings!$C$43)))</f>
        <v>50</v>
      </c>
      <c r="AS151" s="29">
        <f>IF(OR($V151="",$W151=""),50,MEDIAN(0,100,50+50*($V151-$W151)/Settings!$C$44))</f>
        <v>27.357407407407404</v>
      </c>
      <c r="AT151" s="29">
        <f t="shared" si="49"/>
        <v>31.45</v>
      </c>
      <c r="AU151" s="30" t="str">
        <f t="shared" si="50"/>
        <v>VERTEX-ETF|2026-08-14</v>
      </c>
      <c r="AV151" s="87">
        <f>IF($A151="","",IF(COUNTIFS($A$4:$A151,$A151)=1,1,0))</f>
        <v>0</v>
      </c>
    </row>
    <row r="152" spans="1:48" x14ac:dyDescent="0.3">
      <c r="A152" s="265"/>
      <c r="B152" s="266"/>
      <c r="C152" s="267"/>
      <c r="D152" s="267"/>
      <c r="E152" s="267"/>
      <c r="F152" s="267"/>
      <c r="G152" s="267"/>
      <c r="H152" s="268" t="str">
        <f t="shared" si="34"/>
        <v/>
      </c>
      <c r="I152" s="269"/>
      <c r="J152" s="269"/>
      <c r="K152" s="269"/>
      <c r="L152" s="269"/>
      <c r="M152" s="269"/>
      <c r="N152" s="269"/>
      <c r="O152" s="266"/>
      <c r="P152" s="265"/>
      <c r="Q152" s="266"/>
      <c r="R152" s="23" t="str" cm="1">
        <f t="array" ref="R152">IF($B152="","",IFERROR(IF(INDEX('Data Quality'!$U$4:$U$503,ROW()-3)=0,"PENDING",INDEX('Data Quality'!$U$4:$U$503,ROW()-3)),"PENDING"))</f>
        <v/>
      </c>
      <c r="S152" s="24" t="str">
        <f t="shared" si="35"/>
        <v/>
      </c>
      <c r="T152" s="25" t="str">
        <f t="shared" si="36"/>
        <v/>
      </c>
      <c r="U152" s="25" t="str">
        <f t="shared" si="37"/>
        <v/>
      </c>
      <c r="V152" s="26" t="str">
        <f t="shared" si="38"/>
        <v/>
      </c>
      <c r="W152" s="26" t="str">
        <f t="shared" si="39"/>
        <v/>
      </c>
      <c r="X152" s="25" t="str">
        <f t="shared" si="40"/>
        <v/>
      </c>
      <c r="Y152" s="25" t="str">
        <f t="shared" si="41"/>
        <v/>
      </c>
      <c r="Z152" s="27" t="str">
        <f>IF($B152="","",IF($AK152&lt;=Settings!$C$21,"",IFERROR(AVERAGEIFS($S$4:$S$503,$B$4:$B$503,$B152,$AK$4:$AK$503,"&gt;="&amp;$AK152-Settings!$C$21,$AK$4:$AK$503,"&lt;="&amp;$AK152-1),"")))</f>
        <v/>
      </c>
      <c r="AA152" s="28" t="str">
        <f t="shared" si="42"/>
        <v/>
      </c>
      <c r="AB152" s="25" t="str">
        <f>IF($B152="","",IF($AK152&lt;=Settings!$C$22,"",IFERROR(AVERAGEIFS($K$4:$K$503,$B$4:$B$503,$B152,$AK$4:$AK$503,"&gt;="&amp;$AK152-Settings!$C$22,$AK$4:$AK$503,"&lt;="&amp;$AK152-1),"")))</f>
        <v/>
      </c>
      <c r="AC152" s="27" t="str">
        <f t="shared" si="43"/>
        <v/>
      </c>
      <c r="AD152" s="28" t="str">
        <f>IF($B152="","",IF($AK152&lt;=Settings!$C$23,"",IFERROR($E152/SUMIFS($E$4:$E$503,$B$4:$B$503,$B152,$AK$4:$AK$503,$AK152-Settings!$C$23)-1,"")))</f>
        <v/>
      </c>
      <c r="AE152" s="28" t="str">
        <f>IF($B152="","",IF($AK152&lt;=Settings!$C$22,"",IFERROR($E152/SUMIFS($E$4:$E$503,$B$4:$B$503,$B152,$AK$4:$AK$503,$AK152-Settings!$C$22)-1,"")))</f>
        <v/>
      </c>
      <c r="AF152" s="28" t="str">
        <f t="shared" si="44"/>
        <v/>
      </c>
      <c r="AG152" s="29" t="str">
        <f>IF($B152="","",ROUND((MIN(100,100*N($I152)/Settings!$C$27)+MIN(100,100*N($K152)/Settings!$C$28)+MIN(100,100*N($J152)/Settings!$C$29))/3,1))</f>
        <v/>
      </c>
      <c r="AH152" s="29" t="str">
        <f>IF($B152="","",IF(SUM(Settings!$C$32:$C$37)=0,"",ROUND((Settings!$C$32*$AO152+Settings!$C$33*$AP152+Settings!$C$34*$AQ152+Settings!$C$35*$AR152+Settings!$C$36*$AS152+Settings!$C$37*$AT152)/SUM(Settings!$C$32:$C$37),1)))</f>
        <v/>
      </c>
      <c r="AI152" s="29" t="str">
        <f>IF($B152="","",MAX(0,100-IF(N($N152)&gt;0,0,20)-IF(AND(N($L152)=0,N($M152)=0),15,0)-IF(N($J152)&gt;0,0,10)-IF(N($K152)&gt;0,0,10)-IF($Z152&lt;&gt;"",0,15)-IF($AB152&lt;&gt;"",0,10)-IF($R152="ERROR",20,IF($R152="WARNING",10,0))))</f>
        <v/>
      </c>
      <c r="AJ152" s="30" t="str">
        <f>IF($AH152="","",IF($AH152&lt;Settings!$C$46,"Extreme Sell Pressure",IF($AH152&lt;Settings!$C$47,"Sell Pressure",IF($AH152&lt;=Settings!$C$48,"Neutral",IF($AH152&lt;=Settings!$C$49,"Buy Pressure","Extreme Buy Pressure")))))</f>
        <v/>
      </c>
      <c r="AK152" s="30" t="str">
        <f t="shared" si="45"/>
        <v/>
      </c>
      <c r="AL152" s="30" t="str">
        <f t="shared" si="46"/>
        <v/>
      </c>
      <c r="AM152" s="30" t="str">
        <f t="shared" si="47"/>
        <v/>
      </c>
      <c r="AN152" s="30" t="str">
        <f t="shared" si="48"/>
        <v/>
      </c>
      <c r="AO152" s="29" t="str">
        <f>IF($B152="","",IF(AND(N($L152)=0,N($M152)=0),50,IF(N($M152)=0,100,IF(N($L152)=0,0,MEDIAN(0,100,50+50*LN($S152)/LN(Settings!$C$40))))))</f>
        <v/>
      </c>
      <c r="AP152" s="29">
        <f>IF($AA152="",50,MEDIAN(0,100,50+$AA152*100*Settings!$C$41))</f>
        <v>50</v>
      </c>
      <c r="AQ152" s="29">
        <f>IF($H152="",50,MEDIAN(0,100,50+$H152*100*Settings!$C$42))</f>
        <v>50</v>
      </c>
      <c r="AR152" s="29">
        <f>IF(OR($AC152="",$H152=""),50,MEDIAN(0,100,50+SIGN($H152)*50*MEDIAN(0,1,($AC152-1)/Settings!$C$43)))</f>
        <v>50</v>
      </c>
      <c r="AS152" s="29">
        <f>IF(OR($V152="",$W152=""),50,MEDIAN(0,100,50+50*($V152-$W152)/Settings!$C$44))</f>
        <v>50</v>
      </c>
      <c r="AT152" s="29">
        <f t="shared" si="49"/>
        <v>50</v>
      </c>
      <c r="AU152" s="30" t="str">
        <f t="shared" si="50"/>
        <v/>
      </c>
      <c r="AV152" s="87" t="str">
        <f>IF($A152="","",IF(COUNTIFS($A$4:$A152,$A152)=1,1,0))</f>
        <v/>
      </c>
    </row>
    <row r="153" spans="1:48" x14ac:dyDescent="0.3">
      <c r="A153" s="265"/>
      <c r="B153" s="266"/>
      <c r="C153" s="267"/>
      <c r="D153" s="267"/>
      <c r="E153" s="267"/>
      <c r="F153" s="267"/>
      <c r="G153" s="267"/>
      <c r="H153" s="268" t="str">
        <f t="shared" si="34"/>
        <v/>
      </c>
      <c r="I153" s="269"/>
      <c r="J153" s="269"/>
      <c r="K153" s="269"/>
      <c r="L153" s="269"/>
      <c r="M153" s="269"/>
      <c r="N153" s="269"/>
      <c r="O153" s="266"/>
      <c r="P153" s="265"/>
      <c r="Q153" s="266"/>
      <c r="R153" s="23" t="str" cm="1">
        <f t="array" ref="R153">IF($B153="","",IFERROR(IF(INDEX('Data Quality'!$U$4:$U$503,ROW()-3)=0,"PENDING",INDEX('Data Quality'!$U$4:$U$503,ROW()-3)),"PENDING"))</f>
        <v/>
      </c>
      <c r="S153" s="24" t="str">
        <f t="shared" si="35"/>
        <v/>
      </c>
      <c r="T153" s="25" t="str">
        <f t="shared" si="36"/>
        <v/>
      </c>
      <c r="U153" s="25" t="str">
        <f t="shared" si="37"/>
        <v/>
      </c>
      <c r="V153" s="26" t="str">
        <f t="shared" si="38"/>
        <v/>
      </c>
      <c r="W153" s="26" t="str">
        <f t="shared" si="39"/>
        <v/>
      </c>
      <c r="X153" s="25" t="str">
        <f t="shared" si="40"/>
        <v/>
      </c>
      <c r="Y153" s="25" t="str">
        <f t="shared" si="41"/>
        <v/>
      </c>
      <c r="Z153" s="27" t="str">
        <f>IF($B153="","",IF($AK153&lt;=Settings!$C$21,"",IFERROR(AVERAGEIFS($S$4:$S$503,$B$4:$B$503,$B153,$AK$4:$AK$503,"&gt;="&amp;$AK153-Settings!$C$21,$AK$4:$AK$503,"&lt;="&amp;$AK153-1),"")))</f>
        <v/>
      </c>
      <c r="AA153" s="28" t="str">
        <f t="shared" si="42"/>
        <v/>
      </c>
      <c r="AB153" s="25" t="str">
        <f>IF($B153="","",IF($AK153&lt;=Settings!$C$22,"",IFERROR(AVERAGEIFS($K$4:$K$503,$B$4:$B$503,$B153,$AK$4:$AK$503,"&gt;="&amp;$AK153-Settings!$C$22,$AK$4:$AK$503,"&lt;="&amp;$AK153-1),"")))</f>
        <v/>
      </c>
      <c r="AC153" s="27" t="str">
        <f t="shared" si="43"/>
        <v/>
      </c>
      <c r="AD153" s="28" t="str">
        <f>IF($B153="","",IF($AK153&lt;=Settings!$C$23,"",IFERROR($E153/SUMIFS($E$4:$E$503,$B$4:$B$503,$B153,$AK$4:$AK$503,$AK153-Settings!$C$23)-1,"")))</f>
        <v/>
      </c>
      <c r="AE153" s="28" t="str">
        <f>IF($B153="","",IF($AK153&lt;=Settings!$C$22,"",IFERROR($E153/SUMIFS($E$4:$E$503,$B$4:$B$503,$B153,$AK$4:$AK$503,$AK153-Settings!$C$22)-1,"")))</f>
        <v/>
      </c>
      <c r="AF153" s="28" t="str">
        <f t="shared" si="44"/>
        <v/>
      </c>
      <c r="AG153" s="29" t="str">
        <f>IF($B153="","",ROUND((MIN(100,100*N($I153)/Settings!$C$27)+MIN(100,100*N($K153)/Settings!$C$28)+MIN(100,100*N($J153)/Settings!$C$29))/3,1))</f>
        <v/>
      </c>
      <c r="AH153" s="29" t="str">
        <f>IF($B153="","",IF(SUM(Settings!$C$32:$C$37)=0,"",ROUND((Settings!$C$32*$AO153+Settings!$C$33*$AP153+Settings!$C$34*$AQ153+Settings!$C$35*$AR153+Settings!$C$36*$AS153+Settings!$C$37*$AT153)/SUM(Settings!$C$32:$C$37),1)))</f>
        <v/>
      </c>
      <c r="AI153" s="29" t="str">
        <f>IF($B153="","",MAX(0,100-IF(N($N153)&gt;0,0,20)-IF(AND(N($L153)=0,N($M153)=0),15,0)-IF(N($J153)&gt;0,0,10)-IF(N($K153)&gt;0,0,10)-IF($Z153&lt;&gt;"",0,15)-IF($AB153&lt;&gt;"",0,10)-IF($R153="ERROR",20,IF($R153="WARNING",10,0))))</f>
        <v/>
      </c>
      <c r="AJ153" s="30" t="str">
        <f>IF($AH153="","",IF($AH153&lt;Settings!$C$46,"Extreme Sell Pressure",IF($AH153&lt;Settings!$C$47,"Sell Pressure",IF($AH153&lt;=Settings!$C$48,"Neutral",IF($AH153&lt;=Settings!$C$49,"Buy Pressure","Extreme Buy Pressure")))))</f>
        <v/>
      </c>
      <c r="AK153" s="30" t="str">
        <f t="shared" si="45"/>
        <v/>
      </c>
      <c r="AL153" s="30" t="str">
        <f t="shared" si="46"/>
        <v/>
      </c>
      <c r="AM153" s="30" t="str">
        <f t="shared" si="47"/>
        <v/>
      </c>
      <c r="AN153" s="30" t="str">
        <f t="shared" si="48"/>
        <v/>
      </c>
      <c r="AO153" s="29" t="str">
        <f>IF($B153="","",IF(AND(N($L153)=0,N($M153)=0),50,IF(N($M153)=0,100,IF(N($L153)=0,0,MEDIAN(0,100,50+50*LN($S153)/LN(Settings!$C$40))))))</f>
        <v/>
      </c>
      <c r="AP153" s="29">
        <f>IF($AA153="",50,MEDIAN(0,100,50+$AA153*100*Settings!$C$41))</f>
        <v>50</v>
      </c>
      <c r="AQ153" s="29">
        <f>IF($H153="",50,MEDIAN(0,100,50+$H153*100*Settings!$C$42))</f>
        <v>50</v>
      </c>
      <c r="AR153" s="29">
        <f>IF(OR($AC153="",$H153=""),50,MEDIAN(0,100,50+SIGN($H153)*50*MEDIAN(0,1,($AC153-1)/Settings!$C$43)))</f>
        <v>50</v>
      </c>
      <c r="AS153" s="29">
        <f>IF(OR($V153="",$W153=""),50,MEDIAN(0,100,50+50*($V153-$W153)/Settings!$C$44))</f>
        <v>50</v>
      </c>
      <c r="AT153" s="29">
        <f t="shared" si="49"/>
        <v>50</v>
      </c>
      <c r="AU153" s="30" t="str">
        <f t="shared" si="50"/>
        <v/>
      </c>
      <c r="AV153" s="87" t="str">
        <f>IF($A153="","",IF(COUNTIFS($A$4:$A153,$A153)=1,1,0))</f>
        <v/>
      </c>
    </row>
    <row r="154" spans="1:48" x14ac:dyDescent="0.3">
      <c r="A154" s="265"/>
      <c r="B154" s="266"/>
      <c r="C154" s="267"/>
      <c r="D154" s="267"/>
      <c r="E154" s="267"/>
      <c r="F154" s="267"/>
      <c r="G154" s="267"/>
      <c r="H154" s="268" t="str">
        <f t="shared" si="34"/>
        <v/>
      </c>
      <c r="I154" s="269"/>
      <c r="J154" s="269"/>
      <c r="K154" s="269"/>
      <c r="L154" s="269"/>
      <c r="M154" s="269"/>
      <c r="N154" s="269"/>
      <c r="O154" s="266"/>
      <c r="P154" s="265"/>
      <c r="Q154" s="266"/>
      <c r="R154" s="23" t="str" cm="1">
        <f t="array" ref="R154">IF($B154="","",IFERROR(IF(INDEX('Data Quality'!$U$4:$U$503,ROW()-3)=0,"PENDING",INDEX('Data Quality'!$U$4:$U$503,ROW()-3)),"PENDING"))</f>
        <v/>
      </c>
      <c r="S154" s="24" t="str">
        <f t="shared" si="35"/>
        <v/>
      </c>
      <c r="T154" s="25" t="str">
        <f t="shared" si="36"/>
        <v/>
      </c>
      <c r="U154" s="25" t="str">
        <f t="shared" si="37"/>
        <v/>
      </c>
      <c r="V154" s="26" t="str">
        <f t="shared" si="38"/>
        <v/>
      </c>
      <c r="W154" s="26" t="str">
        <f t="shared" si="39"/>
        <v/>
      </c>
      <c r="X154" s="25" t="str">
        <f t="shared" si="40"/>
        <v/>
      </c>
      <c r="Y154" s="25" t="str">
        <f t="shared" si="41"/>
        <v/>
      </c>
      <c r="Z154" s="27" t="str">
        <f>IF($B154="","",IF($AK154&lt;=Settings!$C$21,"",IFERROR(AVERAGEIFS($S$4:$S$503,$B$4:$B$503,$B154,$AK$4:$AK$503,"&gt;="&amp;$AK154-Settings!$C$21,$AK$4:$AK$503,"&lt;="&amp;$AK154-1),"")))</f>
        <v/>
      </c>
      <c r="AA154" s="28" t="str">
        <f t="shared" si="42"/>
        <v/>
      </c>
      <c r="AB154" s="25" t="str">
        <f>IF($B154="","",IF($AK154&lt;=Settings!$C$22,"",IFERROR(AVERAGEIFS($K$4:$K$503,$B$4:$B$503,$B154,$AK$4:$AK$503,"&gt;="&amp;$AK154-Settings!$C$22,$AK$4:$AK$503,"&lt;="&amp;$AK154-1),"")))</f>
        <v/>
      </c>
      <c r="AC154" s="27" t="str">
        <f t="shared" si="43"/>
        <v/>
      </c>
      <c r="AD154" s="28" t="str">
        <f>IF($B154="","",IF($AK154&lt;=Settings!$C$23,"",IFERROR($E154/SUMIFS($E$4:$E$503,$B$4:$B$503,$B154,$AK$4:$AK$503,$AK154-Settings!$C$23)-1,"")))</f>
        <v/>
      </c>
      <c r="AE154" s="28" t="str">
        <f>IF($B154="","",IF($AK154&lt;=Settings!$C$22,"",IFERROR($E154/SUMIFS($E$4:$E$503,$B$4:$B$503,$B154,$AK$4:$AK$503,$AK154-Settings!$C$22)-1,"")))</f>
        <v/>
      </c>
      <c r="AF154" s="28" t="str">
        <f t="shared" si="44"/>
        <v/>
      </c>
      <c r="AG154" s="29" t="str">
        <f>IF($B154="","",ROUND((MIN(100,100*N($I154)/Settings!$C$27)+MIN(100,100*N($K154)/Settings!$C$28)+MIN(100,100*N($J154)/Settings!$C$29))/3,1))</f>
        <v/>
      </c>
      <c r="AH154" s="29" t="str">
        <f>IF($B154="","",IF(SUM(Settings!$C$32:$C$37)=0,"",ROUND((Settings!$C$32*$AO154+Settings!$C$33*$AP154+Settings!$C$34*$AQ154+Settings!$C$35*$AR154+Settings!$C$36*$AS154+Settings!$C$37*$AT154)/SUM(Settings!$C$32:$C$37),1)))</f>
        <v/>
      </c>
      <c r="AI154" s="29" t="str">
        <f>IF($B154="","",MAX(0,100-IF(N($N154)&gt;0,0,20)-IF(AND(N($L154)=0,N($M154)=0),15,0)-IF(N($J154)&gt;0,0,10)-IF(N($K154)&gt;0,0,10)-IF($Z154&lt;&gt;"",0,15)-IF($AB154&lt;&gt;"",0,10)-IF($R154="ERROR",20,IF($R154="WARNING",10,0))))</f>
        <v/>
      </c>
      <c r="AJ154" s="30" t="str">
        <f>IF($AH154="","",IF($AH154&lt;Settings!$C$46,"Extreme Sell Pressure",IF($AH154&lt;Settings!$C$47,"Sell Pressure",IF($AH154&lt;=Settings!$C$48,"Neutral",IF($AH154&lt;=Settings!$C$49,"Buy Pressure","Extreme Buy Pressure")))))</f>
        <v/>
      </c>
      <c r="AK154" s="30" t="str">
        <f t="shared" si="45"/>
        <v/>
      </c>
      <c r="AL154" s="30" t="str">
        <f t="shared" si="46"/>
        <v/>
      </c>
      <c r="AM154" s="30" t="str">
        <f t="shared" si="47"/>
        <v/>
      </c>
      <c r="AN154" s="30" t="str">
        <f t="shared" si="48"/>
        <v/>
      </c>
      <c r="AO154" s="29" t="str">
        <f>IF($B154="","",IF(AND(N($L154)=0,N($M154)=0),50,IF(N($M154)=0,100,IF(N($L154)=0,0,MEDIAN(0,100,50+50*LN($S154)/LN(Settings!$C$40))))))</f>
        <v/>
      </c>
      <c r="AP154" s="29">
        <f>IF($AA154="",50,MEDIAN(0,100,50+$AA154*100*Settings!$C$41))</f>
        <v>50</v>
      </c>
      <c r="AQ154" s="29">
        <f>IF($H154="",50,MEDIAN(0,100,50+$H154*100*Settings!$C$42))</f>
        <v>50</v>
      </c>
      <c r="AR154" s="29">
        <f>IF(OR($AC154="",$H154=""),50,MEDIAN(0,100,50+SIGN($H154)*50*MEDIAN(0,1,($AC154-1)/Settings!$C$43)))</f>
        <v>50</v>
      </c>
      <c r="AS154" s="29">
        <f>IF(OR($V154="",$W154=""),50,MEDIAN(0,100,50+50*($V154-$W154)/Settings!$C$44))</f>
        <v>50</v>
      </c>
      <c r="AT154" s="29">
        <f t="shared" si="49"/>
        <v>50</v>
      </c>
      <c r="AU154" s="30" t="str">
        <f t="shared" si="50"/>
        <v/>
      </c>
      <c r="AV154" s="87" t="str">
        <f>IF($A154="","",IF(COUNTIFS($A$4:$A154,$A154)=1,1,0))</f>
        <v/>
      </c>
    </row>
    <row r="155" spans="1:48" x14ac:dyDescent="0.3">
      <c r="A155" s="265"/>
      <c r="B155" s="266"/>
      <c r="C155" s="267"/>
      <c r="D155" s="267"/>
      <c r="E155" s="267"/>
      <c r="F155" s="267"/>
      <c r="G155" s="267"/>
      <c r="H155" s="268" t="str">
        <f t="shared" si="34"/>
        <v/>
      </c>
      <c r="I155" s="269"/>
      <c r="J155" s="269"/>
      <c r="K155" s="269"/>
      <c r="L155" s="269"/>
      <c r="M155" s="269"/>
      <c r="N155" s="269"/>
      <c r="O155" s="266"/>
      <c r="P155" s="265"/>
      <c r="Q155" s="266"/>
      <c r="R155" s="23" t="str" cm="1">
        <f t="array" ref="R155">IF($B155="","",IFERROR(IF(INDEX('Data Quality'!$U$4:$U$503,ROW()-3)=0,"PENDING",INDEX('Data Quality'!$U$4:$U$503,ROW()-3)),"PENDING"))</f>
        <v/>
      </c>
      <c r="S155" s="24" t="str">
        <f t="shared" si="35"/>
        <v/>
      </c>
      <c r="T155" s="25" t="str">
        <f t="shared" si="36"/>
        <v/>
      </c>
      <c r="U155" s="25" t="str">
        <f t="shared" si="37"/>
        <v/>
      </c>
      <c r="V155" s="26" t="str">
        <f t="shared" si="38"/>
        <v/>
      </c>
      <c r="W155" s="26" t="str">
        <f t="shared" si="39"/>
        <v/>
      </c>
      <c r="X155" s="25" t="str">
        <f t="shared" si="40"/>
        <v/>
      </c>
      <c r="Y155" s="25" t="str">
        <f t="shared" si="41"/>
        <v/>
      </c>
      <c r="Z155" s="27" t="str">
        <f>IF($B155="","",IF($AK155&lt;=Settings!$C$21,"",IFERROR(AVERAGEIFS($S$4:$S$503,$B$4:$B$503,$B155,$AK$4:$AK$503,"&gt;="&amp;$AK155-Settings!$C$21,$AK$4:$AK$503,"&lt;="&amp;$AK155-1),"")))</f>
        <v/>
      </c>
      <c r="AA155" s="28" t="str">
        <f t="shared" si="42"/>
        <v/>
      </c>
      <c r="AB155" s="25" t="str">
        <f>IF($B155="","",IF($AK155&lt;=Settings!$C$22,"",IFERROR(AVERAGEIFS($K$4:$K$503,$B$4:$B$503,$B155,$AK$4:$AK$503,"&gt;="&amp;$AK155-Settings!$C$22,$AK$4:$AK$503,"&lt;="&amp;$AK155-1),"")))</f>
        <v/>
      </c>
      <c r="AC155" s="27" t="str">
        <f t="shared" si="43"/>
        <v/>
      </c>
      <c r="AD155" s="28" t="str">
        <f>IF($B155="","",IF($AK155&lt;=Settings!$C$23,"",IFERROR($E155/SUMIFS($E$4:$E$503,$B$4:$B$503,$B155,$AK$4:$AK$503,$AK155-Settings!$C$23)-1,"")))</f>
        <v/>
      </c>
      <c r="AE155" s="28" t="str">
        <f>IF($B155="","",IF($AK155&lt;=Settings!$C$22,"",IFERROR($E155/SUMIFS($E$4:$E$503,$B$4:$B$503,$B155,$AK$4:$AK$503,$AK155-Settings!$C$22)-1,"")))</f>
        <v/>
      </c>
      <c r="AF155" s="28" t="str">
        <f t="shared" si="44"/>
        <v/>
      </c>
      <c r="AG155" s="29" t="str">
        <f>IF($B155="","",ROUND((MIN(100,100*N($I155)/Settings!$C$27)+MIN(100,100*N($K155)/Settings!$C$28)+MIN(100,100*N($J155)/Settings!$C$29))/3,1))</f>
        <v/>
      </c>
      <c r="AH155" s="29" t="str">
        <f>IF($B155="","",IF(SUM(Settings!$C$32:$C$37)=0,"",ROUND((Settings!$C$32*$AO155+Settings!$C$33*$AP155+Settings!$C$34*$AQ155+Settings!$C$35*$AR155+Settings!$C$36*$AS155+Settings!$C$37*$AT155)/SUM(Settings!$C$32:$C$37),1)))</f>
        <v/>
      </c>
      <c r="AI155" s="29" t="str">
        <f>IF($B155="","",MAX(0,100-IF(N($N155)&gt;0,0,20)-IF(AND(N($L155)=0,N($M155)=0),15,0)-IF(N($J155)&gt;0,0,10)-IF(N($K155)&gt;0,0,10)-IF($Z155&lt;&gt;"",0,15)-IF($AB155&lt;&gt;"",0,10)-IF($R155="ERROR",20,IF($R155="WARNING",10,0))))</f>
        <v/>
      </c>
      <c r="AJ155" s="30" t="str">
        <f>IF($AH155="","",IF($AH155&lt;Settings!$C$46,"Extreme Sell Pressure",IF($AH155&lt;Settings!$C$47,"Sell Pressure",IF($AH155&lt;=Settings!$C$48,"Neutral",IF($AH155&lt;=Settings!$C$49,"Buy Pressure","Extreme Buy Pressure")))))</f>
        <v/>
      </c>
      <c r="AK155" s="30" t="str">
        <f t="shared" si="45"/>
        <v/>
      </c>
      <c r="AL155" s="30" t="str">
        <f t="shared" si="46"/>
        <v/>
      </c>
      <c r="AM155" s="30" t="str">
        <f t="shared" si="47"/>
        <v/>
      </c>
      <c r="AN155" s="30" t="str">
        <f t="shared" si="48"/>
        <v/>
      </c>
      <c r="AO155" s="29" t="str">
        <f>IF($B155="","",IF(AND(N($L155)=0,N($M155)=0),50,IF(N($M155)=0,100,IF(N($L155)=0,0,MEDIAN(0,100,50+50*LN($S155)/LN(Settings!$C$40))))))</f>
        <v/>
      </c>
      <c r="AP155" s="29">
        <f>IF($AA155="",50,MEDIAN(0,100,50+$AA155*100*Settings!$C$41))</f>
        <v>50</v>
      </c>
      <c r="AQ155" s="29">
        <f>IF($H155="",50,MEDIAN(0,100,50+$H155*100*Settings!$C$42))</f>
        <v>50</v>
      </c>
      <c r="AR155" s="29">
        <f>IF(OR($AC155="",$H155=""),50,MEDIAN(0,100,50+SIGN($H155)*50*MEDIAN(0,1,($AC155-1)/Settings!$C$43)))</f>
        <v>50</v>
      </c>
      <c r="AS155" s="29">
        <f>IF(OR($V155="",$W155=""),50,MEDIAN(0,100,50+50*($V155-$W155)/Settings!$C$44))</f>
        <v>50</v>
      </c>
      <c r="AT155" s="29">
        <f t="shared" si="49"/>
        <v>50</v>
      </c>
      <c r="AU155" s="30" t="str">
        <f t="shared" si="50"/>
        <v/>
      </c>
      <c r="AV155" s="87" t="str">
        <f>IF($A155="","",IF(COUNTIFS($A$4:$A155,$A155)=1,1,0))</f>
        <v/>
      </c>
    </row>
    <row r="156" spans="1:48" x14ac:dyDescent="0.3">
      <c r="A156" s="265"/>
      <c r="B156" s="266"/>
      <c r="C156" s="267"/>
      <c r="D156" s="267"/>
      <c r="E156" s="267"/>
      <c r="F156" s="267"/>
      <c r="G156" s="267"/>
      <c r="H156" s="268" t="str">
        <f t="shared" si="34"/>
        <v/>
      </c>
      <c r="I156" s="269"/>
      <c r="J156" s="269"/>
      <c r="K156" s="269"/>
      <c r="L156" s="269"/>
      <c r="M156" s="269"/>
      <c r="N156" s="269"/>
      <c r="O156" s="266"/>
      <c r="P156" s="265"/>
      <c r="Q156" s="266"/>
      <c r="R156" s="23" t="str" cm="1">
        <f t="array" ref="R156">IF($B156="","",IFERROR(IF(INDEX('Data Quality'!$U$4:$U$503,ROW()-3)=0,"PENDING",INDEX('Data Quality'!$U$4:$U$503,ROW()-3)),"PENDING"))</f>
        <v/>
      </c>
      <c r="S156" s="24" t="str">
        <f t="shared" si="35"/>
        <v/>
      </c>
      <c r="T156" s="25" t="str">
        <f t="shared" si="36"/>
        <v/>
      </c>
      <c r="U156" s="25" t="str">
        <f t="shared" si="37"/>
        <v/>
      </c>
      <c r="V156" s="26" t="str">
        <f t="shared" si="38"/>
        <v/>
      </c>
      <c r="W156" s="26" t="str">
        <f t="shared" si="39"/>
        <v/>
      </c>
      <c r="X156" s="25" t="str">
        <f t="shared" si="40"/>
        <v/>
      </c>
      <c r="Y156" s="25" t="str">
        <f t="shared" si="41"/>
        <v/>
      </c>
      <c r="Z156" s="27" t="str">
        <f>IF($B156="","",IF($AK156&lt;=Settings!$C$21,"",IFERROR(AVERAGEIFS($S$4:$S$503,$B$4:$B$503,$B156,$AK$4:$AK$503,"&gt;="&amp;$AK156-Settings!$C$21,$AK$4:$AK$503,"&lt;="&amp;$AK156-1),"")))</f>
        <v/>
      </c>
      <c r="AA156" s="28" t="str">
        <f t="shared" si="42"/>
        <v/>
      </c>
      <c r="AB156" s="25" t="str">
        <f>IF($B156="","",IF($AK156&lt;=Settings!$C$22,"",IFERROR(AVERAGEIFS($K$4:$K$503,$B$4:$B$503,$B156,$AK$4:$AK$503,"&gt;="&amp;$AK156-Settings!$C$22,$AK$4:$AK$503,"&lt;="&amp;$AK156-1),"")))</f>
        <v/>
      </c>
      <c r="AC156" s="27" t="str">
        <f t="shared" si="43"/>
        <v/>
      </c>
      <c r="AD156" s="28" t="str">
        <f>IF($B156="","",IF($AK156&lt;=Settings!$C$23,"",IFERROR($E156/SUMIFS($E$4:$E$503,$B$4:$B$503,$B156,$AK$4:$AK$503,$AK156-Settings!$C$23)-1,"")))</f>
        <v/>
      </c>
      <c r="AE156" s="28" t="str">
        <f>IF($B156="","",IF($AK156&lt;=Settings!$C$22,"",IFERROR($E156/SUMIFS($E$4:$E$503,$B$4:$B$503,$B156,$AK$4:$AK$503,$AK156-Settings!$C$22)-1,"")))</f>
        <v/>
      </c>
      <c r="AF156" s="28" t="str">
        <f t="shared" si="44"/>
        <v/>
      </c>
      <c r="AG156" s="29" t="str">
        <f>IF($B156="","",ROUND((MIN(100,100*N($I156)/Settings!$C$27)+MIN(100,100*N($K156)/Settings!$C$28)+MIN(100,100*N($J156)/Settings!$C$29))/3,1))</f>
        <v/>
      </c>
      <c r="AH156" s="29" t="str">
        <f>IF($B156="","",IF(SUM(Settings!$C$32:$C$37)=0,"",ROUND((Settings!$C$32*$AO156+Settings!$C$33*$AP156+Settings!$C$34*$AQ156+Settings!$C$35*$AR156+Settings!$C$36*$AS156+Settings!$C$37*$AT156)/SUM(Settings!$C$32:$C$37),1)))</f>
        <v/>
      </c>
      <c r="AI156" s="29" t="str">
        <f>IF($B156="","",MAX(0,100-IF(N($N156)&gt;0,0,20)-IF(AND(N($L156)=0,N($M156)=0),15,0)-IF(N($J156)&gt;0,0,10)-IF(N($K156)&gt;0,0,10)-IF($Z156&lt;&gt;"",0,15)-IF($AB156&lt;&gt;"",0,10)-IF($R156="ERROR",20,IF($R156="WARNING",10,0))))</f>
        <v/>
      </c>
      <c r="AJ156" s="30" t="str">
        <f>IF($AH156="","",IF($AH156&lt;Settings!$C$46,"Extreme Sell Pressure",IF($AH156&lt;Settings!$C$47,"Sell Pressure",IF($AH156&lt;=Settings!$C$48,"Neutral",IF($AH156&lt;=Settings!$C$49,"Buy Pressure","Extreme Buy Pressure")))))</f>
        <v/>
      </c>
      <c r="AK156" s="30" t="str">
        <f t="shared" si="45"/>
        <v/>
      </c>
      <c r="AL156" s="30" t="str">
        <f t="shared" si="46"/>
        <v/>
      </c>
      <c r="AM156" s="30" t="str">
        <f t="shared" si="47"/>
        <v/>
      </c>
      <c r="AN156" s="30" t="str">
        <f t="shared" si="48"/>
        <v/>
      </c>
      <c r="AO156" s="29" t="str">
        <f>IF($B156="","",IF(AND(N($L156)=0,N($M156)=0),50,IF(N($M156)=0,100,IF(N($L156)=0,0,MEDIAN(0,100,50+50*LN($S156)/LN(Settings!$C$40))))))</f>
        <v/>
      </c>
      <c r="AP156" s="29">
        <f>IF($AA156="",50,MEDIAN(0,100,50+$AA156*100*Settings!$C$41))</f>
        <v>50</v>
      </c>
      <c r="AQ156" s="29">
        <f>IF($H156="",50,MEDIAN(0,100,50+$H156*100*Settings!$C$42))</f>
        <v>50</v>
      </c>
      <c r="AR156" s="29">
        <f>IF(OR($AC156="",$H156=""),50,MEDIAN(0,100,50+SIGN($H156)*50*MEDIAN(0,1,($AC156-1)/Settings!$C$43)))</f>
        <v>50</v>
      </c>
      <c r="AS156" s="29">
        <f>IF(OR($V156="",$W156=""),50,MEDIAN(0,100,50+50*($V156-$W156)/Settings!$C$44))</f>
        <v>50</v>
      </c>
      <c r="AT156" s="29">
        <f t="shared" si="49"/>
        <v>50</v>
      </c>
      <c r="AU156" s="30" t="str">
        <f t="shared" si="50"/>
        <v/>
      </c>
      <c r="AV156" s="87" t="str">
        <f>IF($A156="","",IF(COUNTIFS($A$4:$A156,$A156)=1,1,0))</f>
        <v/>
      </c>
    </row>
    <row r="157" spans="1:48" x14ac:dyDescent="0.3">
      <c r="A157" s="265"/>
      <c r="B157" s="266"/>
      <c r="C157" s="267"/>
      <c r="D157" s="267"/>
      <c r="E157" s="267"/>
      <c r="F157" s="267"/>
      <c r="G157" s="267"/>
      <c r="H157" s="268" t="str">
        <f t="shared" si="34"/>
        <v/>
      </c>
      <c r="I157" s="269"/>
      <c r="J157" s="269"/>
      <c r="K157" s="269"/>
      <c r="L157" s="269"/>
      <c r="M157" s="269"/>
      <c r="N157" s="269"/>
      <c r="O157" s="266"/>
      <c r="P157" s="265"/>
      <c r="Q157" s="266"/>
      <c r="R157" s="23" t="str" cm="1">
        <f t="array" ref="R157">IF($B157="","",IFERROR(IF(INDEX('Data Quality'!$U$4:$U$503,ROW()-3)=0,"PENDING",INDEX('Data Quality'!$U$4:$U$503,ROW()-3)),"PENDING"))</f>
        <v/>
      </c>
      <c r="S157" s="24" t="str">
        <f t="shared" si="35"/>
        <v/>
      </c>
      <c r="T157" s="25" t="str">
        <f t="shared" si="36"/>
        <v/>
      </c>
      <c r="U157" s="25" t="str">
        <f t="shared" si="37"/>
        <v/>
      </c>
      <c r="V157" s="26" t="str">
        <f t="shared" si="38"/>
        <v/>
      </c>
      <c r="W157" s="26" t="str">
        <f t="shared" si="39"/>
        <v/>
      </c>
      <c r="X157" s="25" t="str">
        <f t="shared" si="40"/>
        <v/>
      </c>
      <c r="Y157" s="25" t="str">
        <f t="shared" si="41"/>
        <v/>
      </c>
      <c r="Z157" s="27" t="str">
        <f>IF($B157="","",IF($AK157&lt;=Settings!$C$21,"",IFERROR(AVERAGEIFS($S$4:$S$503,$B$4:$B$503,$B157,$AK$4:$AK$503,"&gt;="&amp;$AK157-Settings!$C$21,$AK$4:$AK$503,"&lt;="&amp;$AK157-1),"")))</f>
        <v/>
      </c>
      <c r="AA157" s="28" t="str">
        <f t="shared" si="42"/>
        <v/>
      </c>
      <c r="AB157" s="25" t="str">
        <f>IF($B157="","",IF($AK157&lt;=Settings!$C$22,"",IFERROR(AVERAGEIFS($K$4:$K$503,$B$4:$B$503,$B157,$AK$4:$AK$503,"&gt;="&amp;$AK157-Settings!$C$22,$AK$4:$AK$503,"&lt;="&amp;$AK157-1),"")))</f>
        <v/>
      </c>
      <c r="AC157" s="27" t="str">
        <f t="shared" si="43"/>
        <v/>
      </c>
      <c r="AD157" s="28" t="str">
        <f>IF($B157="","",IF($AK157&lt;=Settings!$C$23,"",IFERROR($E157/SUMIFS($E$4:$E$503,$B$4:$B$503,$B157,$AK$4:$AK$503,$AK157-Settings!$C$23)-1,"")))</f>
        <v/>
      </c>
      <c r="AE157" s="28" t="str">
        <f>IF($B157="","",IF($AK157&lt;=Settings!$C$22,"",IFERROR($E157/SUMIFS($E$4:$E$503,$B$4:$B$503,$B157,$AK$4:$AK$503,$AK157-Settings!$C$22)-1,"")))</f>
        <v/>
      </c>
      <c r="AF157" s="28" t="str">
        <f t="shared" si="44"/>
        <v/>
      </c>
      <c r="AG157" s="29" t="str">
        <f>IF($B157="","",ROUND((MIN(100,100*N($I157)/Settings!$C$27)+MIN(100,100*N($K157)/Settings!$C$28)+MIN(100,100*N($J157)/Settings!$C$29))/3,1))</f>
        <v/>
      </c>
      <c r="AH157" s="29" t="str">
        <f>IF($B157="","",IF(SUM(Settings!$C$32:$C$37)=0,"",ROUND((Settings!$C$32*$AO157+Settings!$C$33*$AP157+Settings!$C$34*$AQ157+Settings!$C$35*$AR157+Settings!$C$36*$AS157+Settings!$C$37*$AT157)/SUM(Settings!$C$32:$C$37),1)))</f>
        <v/>
      </c>
      <c r="AI157" s="29" t="str">
        <f>IF($B157="","",MAX(0,100-IF(N($N157)&gt;0,0,20)-IF(AND(N($L157)=0,N($M157)=0),15,0)-IF(N($J157)&gt;0,0,10)-IF(N($K157)&gt;0,0,10)-IF($Z157&lt;&gt;"",0,15)-IF($AB157&lt;&gt;"",0,10)-IF($R157="ERROR",20,IF($R157="WARNING",10,0))))</f>
        <v/>
      </c>
      <c r="AJ157" s="30" t="str">
        <f>IF($AH157="","",IF($AH157&lt;Settings!$C$46,"Extreme Sell Pressure",IF($AH157&lt;Settings!$C$47,"Sell Pressure",IF($AH157&lt;=Settings!$C$48,"Neutral",IF($AH157&lt;=Settings!$C$49,"Buy Pressure","Extreme Buy Pressure")))))</f>
        <v/>
      </c>
      <c r="AK157" s="30" t="str">
        <f t="shared" si="45"/>
        <v/>
      </c>
      <c r="AL157" s="30" t="str">
        <f t="shared" si="46"/>
        <v/>
      </c>
      <c r="AM157" s="30" t="str">
        <f t="shared" si="47"/>
        <v/>
      </c>
      <c r="AN157" s="30" t="str">
        <f t="shared" si="48"/>
        <v/>
      </c>
      <c r="AO157" s="29" t="str">
        <f>IF($B157="","",IF(AND(N($L157)=0,N($M157)=0),50,IF(N($M157)=0,100,IF(N($L157)=0,0,MEDIAN(0,100,50+50*LN($S157)/LN(Settings!$C$40))))))</f>
        <v/>
      </c>
      <c r="AP157" s="29">
        <f>IF($AA157="",50,MEDIAN(0,100,50+$AA157*100*Settings!$C$41))</f>
        <v>50</v>
      </c>
      <c r="AQ157" s="29">
        <f>IF($H157="",50,MEDIAN(0,100,50+$H157*100*Settings!$C$42))</f>
        <v>50</v>
      </c>
      <c r="AR157" s="29">
        <f>IF(OR($AC157="",$H157=""),50,MEDIAN(0,100,50+SIGN($H157)*50*MEDIAN(0,1,($AC157-1)/Settings!$C$43)))</f>
        <v>50</v>
      </c>
      <c r="AS157" s="29">
        <f>IF(OR($V157="",$W157=""),50,MEDIAN(0,100,50+50*($V157-$W157)/Settings!$C$44))</f>
        <v>50</v>
      </c>
      <c r="AT157" s="29">
        <f t="shared" si="49"/>
        <v>50</v>
      </c>
      <c r="AU157" s="30" t="str">
        <f t="shared" si="50"/>
        <v/>
      </c>
      <c r="AV157" s="87" t="str">
        <f>IF($A157="","",IF(COUNTIFS($A$4:$A157,$A157)=1,1,0))</f>
        <v/>
      </c>
    </row>
    <row r="158" spans="1:48" x14ac:dyDescent="0.3">
      <c r="A158" s="265"/>
      <c r="B158" s="266"/>
      <c r="C158" s="267"/>
      <c r="D158" s="267"/>
      <c r="E158" s="267"/>
      <c r="F158" s="267"/>
      <c r="G158" s="267"/>
      <c r="H158" s="268" t="str">
        <f t="shared" si="34"/>
        <v/>
      </c>
      <c r="I158" s="269"/>
      <c r="J158" s="269"/>
      <c r="K158" s="269"/>
      <c r="L158" s="269"/>
      <c r="M158" s="269"/>
      <c r="N158" s="269"/>
      <c r="O158" s="266"/>
      <c r="P158" s="265"/>
      <c r="Q158" s="266"/>
      <c r="R158" s="23" t="str" cm="1">
        <f t="array" ref="R158">IF($B158="","",IFERROR(IF(INDEX('Data Quality'!$U$4:$U$503,ROW()-3)=0,"PENDING",INDEX('Data Quality'!$U$4:$U$503,ROW()-3)),"PENDING"))</f>
        <v/>
      </c>
      <c r="S158" s="24" t="str">
        <f t="shared" si="35"/>
        <v/>
      </c>
      <c r="T158" s="25" t="str">
        <f t="shared" si="36"/>
        <v/>
      </c>
      <c r="U158" s="25" t="str">
        <f t="shared" si="37"/>
        <v/>
      </c>
      <c r="V158" s="26" t="str">
        <f t="shared" si="38"/>
        <v/>
      </c>
      <c r="W158" s="26" t="str">
        <f t="shared" si="39"/>
        <v/>
      </c>
      <c r="X158" s="25" t="str">
        <f t="shared" si="40"/>
        <v/>
      </c>
      <c r="Y158" s="25" t="str">
        <f t="shared" si="41"/>
        <v/>
      </c>
      <c r="Z158" s="27" t="str">
        <f>IF($B158="","",IF($AK158&lt;=Settings!$C$21,"",IFERROR(AVERAGEIFS($S$4:$S$503,$B$4:$B$503,$B158,$AK$4:$AK$503,"&gt;="&amp;$AK158-Settings!$C$21,$AK$4:$AK$503,"&lt;="&amp;$AK158-1),"")))</f>
        <v/>
      </c>
      <c r="AA158" s="28" t="str">
        <f t="shared" si="42"/>
        <v/>
      </c>
      <c r="AB158" s="25" t="str">
        <f>IF($B158="","",IF($AK158&lt;=Settings!$C$22,"",IFERROR(AVERAGEIFS($K$4:$K$503,$B$4:$B$503,$B158,$AK$4:$AK$503,"&gt;="&amp;$AK158-Settings!$C$22,$AK$4:$AK$503,"&lt;="&amp;$AK158-1),"")))</f>
        <v/>
      </c>
      <c r="AC158" s="27" t="str">
        <f t="shared" si="43"/>
        <v/>
      </c>
      <c r="AD158" s="28" t="str">
        <f>IF($B158="","",IF($AK158&lt;=Settings!$C$23,"",IFERROR($E158/SUMIFS($E$4:$E$503,$B$4:$B$503,$B158,$AK$4:$AK$503,$AK158-Settings!$C$23)-1,"")))</f>
        <v/>
      </c>
      <c r="AE158" s="28" t="str">
        <f>IF($B158="","",IF($AK158&lt;=Settings!$C$22,"",IFERROR($E158/SUMIFS($E$4:$E$503,$B$4:$B$503,$B158,$AK$4:$AK$503,$AK158-Settings!$C$22)-1,"")))</f>
        <v/>
      </c>
      <c r="AF158" s="28" t="str">
        <f t="shared" si="44"/>
        <v/>
      </c>
      <c r="AG158" s="29" t="str">
        <f>IF($B158="","",ROUND((MIN(100,100*N($I158)/Settings!$C$27)+MIN(100,100*N($K158)/Settings!$C$28)+MIN(100,100*N($J158)/Settings!$C$29))/3,1))</f>
        <v/>
      </c>
      <c r="AH158" s="29" t="str">
        <f>IF($B158="","",IF(SUM(Settings!$C$32:$C$37)=0,"",ROUND((Settings!$C$32*$AO158+Settings!$C$33*$AP158+Settings!$C$34*$AQ158+Settings!$C$35*$AR158+Settings!$C$36*$AS158+Settings!$C$37*$AT158)/SUM(Settings!$C$32:$C$37),1)))</f>
        <v/>
      </c>
      <c r="AI158" s="29" t="str">
        <f>IF($B158="","",MAX(0,100-IF(N($N158)&gt;0,0,20)-IF(AND(N($L158)=0,N($M158)=0),15,0)-IF(N($J158)&gt;0,0,10)-IF(N($K158)&gt;0,0,10)-IF($Z158&lt;&gt;"",0,15)-IF($AB158&lt;&gt;"",0,10)-IF($R158="ERROR",20,IF($R158="WARNING",10,0))))</f>
        <v/>
      </c>
      <c r="AJ158" s="30" t="str">
        <f>IF($AH158="","",IF($AH158&lt;Settings!$C$46,"Extreme Sell Pressure",IF($AH158&lt;Settings!$C$47,"Sell Pressure",IF($AH158&lt;=Settings!$C$48,"Neutral",IF($AH158&lt;=Settings!$C$49,"Buy Pressure","Extreme Buy Pressure")))))</f>
        <v/>
      </c>
      <c r="AK158" s="30" t="str">
        <f t="shared" si="45"/>
        <v/>
      </c>
      <c r="AL158" s="30" t="str">
        <f t="shared" si="46"/>
        <v/>
      </c>
      <c r="AM158" s="30" t="str">
        <f t="shared" si="47"/>
        <v/>
      </c>
      <c r="AN158" s="30" t="str">
        <f t="shared" si="48"/>
        <v/>
      </c>
      <c r="AO158" s="29" t="str">
        <f>IF($B158="","",IF(AND(N($L158)=0,N($M158)=0),50,IF(N($M158)=0,100,IF(N($L158)=0,0,MEDIAN(0,100,50+50*LN($S158)/LN(Settings!$C$40))))))</f>
        <v/>
      </c>
      <c r="AP158" s="29">
        <f>IF($AA158="",50,MEDIAN(0,100,50+$AA158*100*Settings!$C$41))</f>
        <v>50</v>
      </c>
      <c r="AQ158" s="29">
        <f>IF($H158="",50,MEDIAN(0,100,50+$H158*100*Settings!$C$42))</f>
        <v>50</v>
      </c>
      <c r="AR158" s="29">
        <f>IF(OR($AC158="",$H158=""),50,MEDIAN(0,100,50+SIGN($H158)*50*MEDIAN(0,1,($AC158-1)/Settings!$C$43)))</f>
        <v>50</v>
      </c>
      <c r="AS158" s="29">
        <f>IF(OR($V158="",$W158=""),50,MEDIAN(0,100,50+50*($V158-$W158)/Settings!$C$44))</f>
        <v>50</v>
      </c>
      <c r="AT158" s="29">
        <f t="shared" si="49"/>
        <v>50</v>
      </c>
      <c r="AU158" s="30" t="str">
        <f t="shared" si="50"/>
        <v/>
      </c>
      <c r="AV158" s="87" t="str">
        <f>IF($A158="","",IF(COUNTIFS($A$4:$A158,$A158)=1,1,0))</f>
        <v/>
      </c>
    </row>
    <row r="159" spans="1:48" x14ac:dyDescent="0.3">
      <c r="A159" s="265"/>
      <c r="B159" s="266"/>
      <c r="C159" s="267"/>
      <c r="D159" s="267"/>
      <c r="E159" s="267"/>
      <c r="F159" s="267"/>
      <c r="G159" s="267"/>
      <c r="H159" s="268" t="str">
        <f t="shared" si="34"/>
        <v/>
      </c>
      <c r="I159" s="269"/>
      <c r="J159" s="269"/>
      <c r="K159" s="269"/>
      <c r="L159" s="269"/>
      <c r="M159" s="269"/>
      <c r="N159" s="269"/>
      <c r="O159" s="266"/>
      <c r="P159" s="265"/>
      <c r="Q159" s="266"/>
      <c r="R159" s="23" t="str" cm="1">
        <f t="array" ref="R159">IF($B159="","",IFERROR(IF(INDEX('Data Quality'!$U$4:$U$503,ROW()-3)=0,"PENDING",INDEX('Data Quality'!$U$4:$U$503,ROW()-3)),"PENDING"))</f>
        <v/>
      </c>
      <c r="S159" s="24" t="str">
        <f t="shared" si="35"/>
        <v/>
      </c>
      <c r="T159" s="25" t="str">
        <f t="shared" si="36"/>
        <v/>
      </c>
      <c r="U159" s="25" t="str">
        <f t="shared" si="37"/>
        <v/>
      </c>
      <c r="V159" s="26" t="str">
        <f t="shared" si="38"/>
        <v/>
      </c>
      <c r="W159" s="26" t="str">
        <f t="shared" si="39"/>
        <v/>
      </c>
      <c r="X159" s="25" t="str">
        <f t="shared" si="40"/>
        <v/>
      </c>
      <c r="Y159" s="25" t="str">
        <f t="shared" si="41"/>
        <v/>
      </c>
      <c r="Z159" s="27" t="str">
        <f>IF($B159="","",IF($AK159&lt;=Settings!$C$21,"",IFERROR(AVERAGEIFS($S$4:$S$503,$B$4:$B$503,$B159,$AK$4:$AK$503,"&gt;="&amp;$AK159-Settings!$C$21,$AK$4:$AK$503,"&lt;="&amp;$AK159-1),"")))</f>
        <v/>
      </c>
      <c r="AA159" s="28" t="str">
        <f t="shared" si="42"/>
        <v/>
      </c>
      <c r="AB159" s="25" t="str">
        <f>IF($B159="","",IF($AK159&lt;=Settings!$C$22,"",IFERROR(AVERAGEIFS($K$4:$K$503,$B$4:$B$503,$B159,$AK$4:$AK$503,"&gt;="&amp;$AK159-Settings!$C$22,$AK$4:$AK$503,"&lt;="&amp;$AK159-1),"")))</f>
        <v/>
      </c>
      <c r="AC159" s="27" t="str">
        <f t="shared" si="43"/>
        <v/>
      </c>
      <c r="AD159" s="28" t="str">
        <f>IF($B159="","",IF($AK159&lt;=Settings!$C$23,"",IFERROR($E159/SUMIFS($E$4:$E$503,$B$4:$B$503,$B159,$AK$4:$AK$503,$AK159-Settings!$C$23)-1,"")))</f>
        <v/>
      </c>
      <c r="AE159" s="28" t="str">
        <f>IF($B159="","",IF($AK159&lt;=Settings!$C$22,"",IFERROR($E159/SUMIFS($E$4:$E$503,$B$4:$B$503,$B159,$AK$4:$AK$503,$AK159-Settings!$C$22)-1,"")))</f>
        <v/>
      </c>
      <c r="AF159" s="28" t="str">
        <f t="shared" si="44"/>
        <v/>
      </c>
      <c r="AG159" s="29" t="str">
        <f>IF($B159="","",ROUND((MIN(100,100*N($I159)/Settings!$C$27)+MIN(100,100*N($K159)/Settings!$C$28)+MIN(100,100*N($J159)/Settings!$C$29))/3,1))</f>
        <v/>
      </c>
      <c r="AH159" s="29" t="str">
        <f>IF($B159="","",IF(SUM(Settings!$C$32:$C$37)=0,"",ROUND((Settings!$C$32*$AO159+Settings!$C$33*$AP159+Settings!$C$34*$AQ159+Settings!$C$35*$AR159+Settings!$C$36*$AS159+Settings!$C$37*$AT159)/SUM(Settings!$C$32:$C$37),1)))</f>
        <v/>
      </c>
      <c r="AI159" s="29" t="str">
        <f>IF($B159="","",MAX(0,100-IF(N($N159)&gt;0,0,20)-IF(AND(N($L159)=0,N($M159)=0),15,0)-IF(N($J159)&gt;0,0,10)-IF(N($K159)&gt;0,0,10)-IF($Z159&lt;&gt;"",0,15)-IF($AB159&lt;&gt;"",0,10)-IF($R159="ERROR",20,IF($R159="WARNING",10,0))))</f>
        <v/>
      </c>
      <c r="AJ159" s="30" t="str">
        <f>IF($AH159="","",IF($AH159&lt;Settings!$C$46,"Extreme Sell Pressure",IF($AH159&lt;Settings!$C$47,"Sell Pressure",IF($AH159&lt;=Settings!$C$48,"Neutral",IF($AH159&lt;=Settings!$C$49,"Buy Pressure","Extreme Buy Pressure")))))</f>
        <v/>
      </c>
      <c r="AK159" s="30" t="str">
        <f t="shared" si="45"/>
        <v/>
      </c>
      <c r="AL159" s="30" t="str">
        <f t="shared" si="46"/>
        <v/>
      </c>
      <c r="AM159" s="30" t="str">
        <f t="shared" si="47"/>
        <v/>
      </c>
      <c r="AN159" s="30" t="str">
        <f t="shared" si="48"/>
        <v/>
      </c>
      <c r="AO159" s="29" t="str">
        <f>IF($B159="","",IF(AND(N($L159)=0,N($M159)=0),50,IF(N($M159)=0,100,IF(N($L159)=0,0,MEDIAN(0,100,50+50*LN($S159)/LN(Settings!$C$40))))))</f>
        <v/>
      </c>
      <c r="AP159" s="29">
        <f>IF($AA159="",50,MEDIAN(0,100,50+$AA159*100*Settings!$C$41))</f>
        <v>50</v>
      </c>
      <c r="AQ159" s="29">
        <f>IF($H159="",50,MEDIAN(0,100,50+$H159*100*Settings!$C$42))</f>
        <v>50</v>
      </c>
      <c r="AR159" s="29">
        <f>IF(OR($AC159="",$H159=""),50,MEDIAN(0,100,50+SIGN($H159)*50*MEDIAN(0,1,($AC159-1)/Settings!$C$43)))</f>
        <v>50</v>
      </c>
      <c r="AS159" s="29">
        <f>IF(OR($V159="",$W159=""),50,MEDIAN(0,100,50+50*($V159-$W159)/Settings!$C$44))</f>
        <v>50</v>
      </c>
      <c r="AT159" s="29">
        <f t="shared" si="49"/>
        <v>50</v>
      </c>
      <c r="AU159" s="30" t="str">
        <f t="shared" si="50"/>
        <v/>
      </c>
      <c r="AV159" s="87" t="str">
        <f>IF($A159="","",IF(COUNTIFS($A$4:$A159,$A159)=1,1,0))</f>
        <v/>
      </c>
    </row>
    <row r="160" spans="1:48" x14ac:dyDescent="0.3">
      <c r="A160" s="265"/>
      <c r="B160" s="266"/>
      <c r="C160" s="267"/>
      <c r="D160" s="267"/>
      <c r="E160" s="267"/>
      <c r="F160" s="267"/>
      <c r="G160" s="267"/>
      <c r="H160" s="268" t="str">
        <f t="shared" si="34"/>
        <v/>
      </c>
      <c r="I160" s="269"/>
      <c r="J160" s="269"/>
      <c r="K160" s="269"/>
      <c r="L160" s="269"/>
      <c r="M160" s="269"/>
      <c r="N160" s="269"/>
      <c r="O160" s="266"/>
      <c r="P160" s="265"/>
      <c r="Q160" s="266"/>
      <c r="R160" s="23" t="str" cm="1">
        <f t="array" ref="R160">IF($B160="","",IFERROR(IF(INDEX('Data Quality'!$U$4:$U$503,ROW()-3)=0,"PENDING",INDEX('Data Quality'!$U$4:$U$503,ROW()-3)),"PENDING"))</f>
        <v/>
      </c>
      <c r="S160" s="24" t="str">
        <f t="shared" si="35"/>
        <v/>
      </c>
      <c r="T160" s="25" t="str">
        <f t="shared" si="36"/>
        <v/>
      </c>
      <c r="U160" s="25" t="str">
        <f t="shared" si="37"/>
        <v/>
      </c>
      <c r="V160" s="26" t="str">
        <f t="shared" si="38"/>
        <v/>
      </c>
      <c r="W160" s="26" t="str">
        <f t="shared" si="39"/>
        <v/>
      </c>
      <c r="X160" s="25" t="str">
        <f t="shared" si="40"/>
        <v/>
      </c>
      <c r="Y160" s="25" t="str">
        <f t="shared" si="41"/>
        <v/>
      </c>
      <c r="Z160" s="27" t="str">
        <f>IF($B160="","",IF($AK160&lt;=Settings!$C$21,"",IFERROR(AVERAGEIFS($S$4:$S$503,$B$4:$B$503,$B160,$AK$4:$AK$503,"&gt;="&amp;$AK160-Settings!$C$21,$AK$4:$AK$503,"&lt;="&amp;$AK160-1),"")))</f>
        <v/>
      </c>
      <c r="AA160" s="28" t="str">
        <f t="shared" si="42"/>
        <v/>
      </c>
      <c r="AB160" s="25" t="str">
        <f>IF($B160="","",IF($AK160&lt;=Settings!$C$22,"",IFERROR(AVERAGEIFS($K$4:$K$503,$B$4:$B$503,$B160,$AK$4:$AK$503,"&gt;="&amp;$AK160-Settings!$C$22,$AK$4:$AK$503,"&lt;="&amp;$AK160-1),"")))</f>
        <v/>
      </c>
      <c r="AC160" s="27" t="str">
        <f t="shared" si="43"/>
        <v/>
      </c>
      <c r="AD160" s="28" t="str">
        <f>IF($B160="","",IF($AK160&lt;=Settings!$C$23,"",IFERROR($E160/SUMIFS($E$4:$E$503,$B$4:$B$503,$B160,$AK$4:$AK$503,$AK160-Settings!$C$23)-1,"")))</f>
        <v/>
      </c>
      <c r="AE160" s="28" t="str">
        <f>IF($B160="","",IF($AK160&lt;=Settings!$C$22,"",IFERROR($E160/SUMIFS($E$4:$E$503,$B$4:$B$503,$B160,$AK$4:$AK$503,$AK160-Settings!$C$22)-1,"")))</f>
        <v/>
      </c>
      <c r="AF160" s="28" t="str">
        <f t="shared" si="44"/>
        <v/>
      </c>
      <c r="AG160" s="29" t="str">
        <f>IF($B160="","",ROUND((MIN(100,100*N($I160)/Settings!$C$27)+MIN(100,100*N($K160)/Settings!$C$28)+MIN(100,100*N($J160)/Settings!$C$29))/3,1))</f>
        <v/>
      </c>
      <c r="AH160" s="29" t="str">
        <f>IF($B160="","",IF(SUM(Settings!$C$32:$C$37)=0,"",ROUND((Settings!$C$32*$AO160+Settings!$C$33*$AP160+Settings!$C$34*$AQ160+Settings!$C$35*$AR160+Settings!$C$36*$AS160+Settings!$C$37*$AT160)/SUM(Settings!$C$32:$C$37),1)))</f>
        <v/>
      </c>
      <c r="AI160" s="29" t="str">
        <f>IF($B160="","",MAX(0,100-IF(N($N160)&gt;0,0,20)-IF(AND(N($L160)=0,N($M160)=0),15,0)-IF(N($J160)&gt;0,0,10)-IF(N($K160)&gt;0,0,10)-IF($Z160&lt;&gt;"",0,15)-IF($AB160&lt;&gt;"",0,10)-IF($R160="ERROR",20,IF($R160="WARNING",10,0))))</f>
        <v/>
      </c>
      <c r="AJ160" s="30" t="str">
        <f>IF($AH160="","",IF($AH160&lt;Settings!$C$46,"Extreme Sell Pressure",IF($AH160&lt;Settings!$C$47,"Sell Pressure",IF($AH160&lt;=Settings!$C$48,"Neutral",IF($AH160&lt;=Settings!$C$49,"Buy Pressure","Extreme Buy Pressure")))))</f>
        <v/>
      </c>
      <c r="AK160" s="30" t="str">
        <f t="shared" si="45"/>
        <v/>
      </c>
      <c r="AL160" s="30" t="str">
        <f t="shared" si="46"/>
        <v/>
      </c>
      <c r="AM160" s="30" t="str">
        <f t="shared" si="47"/>
        <v/>
      </c>
      <c r="AN160" s="30" t="str">
        <f t="shared" si="48"/>
        <v/>
      </c>
      <c r="AO160" s="29" t="str">
        <f>IF($B160="","",IF(AND(N($L160)=0,N($M160)=0),50,IF(N($M160)=0,100,IF(N($L160)=0,0,MEDIAN(0,100,50+50*LN($S160)/LN(Settings!$C$40))))))</f>
        <v/>
      </c>
      <c r="AP160" s="29">
        <f>IF($AA160="",50,MEDIAN(0,100,50+$AA160*100*Settings!$C$41))</f>
        <v>50</v>
      </c>
      <c r="AQ160" s="29">
        <f>IF($H160="",50,MEDIAN(0,100,50+$H160*100*Settings!$C$42))</f>
        <v>50</v>
      </c>
      <c r="AR160" s="29">
        <f>IF(OR($AC160="",$H160=""),50,MEDIAN(0,100,50+SIGN($H160)*50*MEDIAN(0,1,($AC160-1)/Settings!$C$43)))</f>
        <v>50</v>
      </c>
      <c r="AS160" s="29">
        <f>IF(OR($V160="",$W160=""),50,MEDIAN(0,100,50+50*($V160-$W160)/Settings!$C$44))</f>
        <v>50</v>
      </c>
      <c r="AT160" s="29">
        <f t="shared" si="49"/>
        <v>50</v>
      </c>
      <c r="AU160" s="30" t="str">
        <f t="shared" si="50"/>
        <v/>
      </c>
      <c r="AV160" s="87" t="str">
        <f>IF($A160="","",IF(COUNTIFS($A$4:$A160,$A160)=1,1,0))</f>
        <v/>
      </c>
    </row>
    <row r="161" spans="1:48" x14ac:dyDescent="0.3">
      <c r="A161" s="265"/>
      <c r="B161" s="266"/>
      <c r="C161" s="267"/>
      <c r="D161" s="267"/>
      <c r="E161" s="267"/>
      <c r="F161" s="267"/>
      <c r="G161" s="267"/>
      <c r="H161" s="268" t="str">
        <f t="shared" si="34"/>
        <v/>
      </c>
      <c r="I161" s="269"/>
      <c r="J161" s="269"/>
      <c r="K161" s="269"/>
      <c r="L161" s="269"/>
      <c r="M161" s="269"/>
      <c r="N161" s="269"/>
      <c r="O161" s="266"/>
      <c r="P161" s="265"/>
      <c r="Q161" s="266"/>
      <c r="R161" s="23" t="str" cm="1">
        <f t="array" ref="R161">IF($B161="","",IFERROR(IF(INDEX('Data Quality'!$U$4:$U$503,ROW()-3)=0,"PENDING",INDEX('Data Quality'!$U$4:$U$503,ROW()-3)),"PENDING"))</f>
        <v/>
      </c>
      <c r="S161" s="24" t="str">
        <f t="shared" si="35"/>
        <v/>
      </c>
      <c r="T161" s="25" t="str">
        <f t="shared" si="36"/>
        <v/>
      </c>
      <c r="U161" s="25" t="str">
        <f t="shared" si="37"/>
        <v/>
      </c>
      <c r="V161" s="26" t="str">
        <f t="shared" si="38"/>
        <v/>
      </c>
      <c r="W161" s="26" t="str">
        <f t="shared" si="39"/>
        <v/>
      </c>
      <c r="X161" s="25" t="str">
        <f t="shared" si="40"/>
        <v/>
      </c>
      <c r="Y161" s="25" t="str">
        <f t="shared" si="41"/>
        <v/>
      </c>
      <c r="Z161" s="27" t="str">
        <f>IF($B161="","",IF($AK161&lt;=Settings!$C$21,"",IFERROR(AVERAGEIFS($S$4:$S$503,$B$4:$B$503,$B161,$AK$4:$AK$503,"&gt;="&amp;$AK161-Settings!$C$21,$AK$4:$AK$503,"&lt;="&amp;$AK161-1),"")))</f>
        <v/>
      </c>
      <c r="AA161" s="28" t="str">
        <f t="shared" si="42"/>
        <v/>
      </c>
      <c r="AB161" s="25" t="str">
        <f>IF($B161="","",IF($AK161&lt;=Settings!$C$22,"",IFERROR(AVERAGEIFS($K$4:$K$503,$B$4:$B$503,$B161,$AK$4:$AK$503,"&gt;="&amp;$AK161-Settings!$C$22,$AK$4:$AK$503,"&lt;="&amp;$AK161-1),"")))</f>
        <v/>
      </c>
      <c r="AC161" s="27" t="str">
        <f t="shared" si="43"/>
        <v/>
      </c>
      <c r="AD161" s="28" t="str">
        <f>IF($B161="","",IF($AK161&lt;=Settings!$C$23,"",IFERROR($E161/SUMIFS($E$4:$E$503,$B$4:$B$503,$B161,$AK$4:$AK$503,$AK161-Settings!$C$23)-1,"")))</f>
        <v/>
      </c>
      <c r="AE161" s="28" t="str">
        <f>IF($B161="","",IF($AK161&lt;=Settings!$C$22,"",IFERROR($E161/SUMIFS($E$4:$E$503,$B$4:$B$503,$B161,$AK$4:$AK$503,$AK161-Settings!$C$22)-1,"")))</f>
        <v/>
      </c>
      <c r="AF161" s="28" t="str">
        <f t="shared" si="44"/>
        <v/>
      </c>
      <c r="AG161" s="29" t="str">
        <f>IF($B161="","",ROUND((MIN(100,100*N($I161)/Settings!$C$27)+MIN(100,100*N($K161)/Settings!$C$28)+MIN(100,100*N($J161)/Settings!$C$29))/3,1))</f>
        <v/>
      </c>
      <c r="AH161" s="29" t="str">
        <f>IF($B161="","",IF(SUM(Settings!$C$32:$C$37)=0,"",ROUND((Settings!$C$32*$AO161+Settings!$C$33*$AP161+Settings!$C$34*$AQ161+Settings!$C$35*$AR161+Settings!$C$36*$AS161+Settings!$C$37*$AT161)/SUM(Settings!$C$32:$C$37),1)))</f>
        <v/>
      </c>
      <c r="AI161" s="29" t="str">
        <f>IF($B161="","",MAX(0,100-IF(N($N161)&gt;0,0,20)-IF(AND(N($L161)=0,N($M161)=0),15,0)-IF(N($J161)&gt;0,0,10)-IF(N($K161)&gt;0,0,10)-IF($Z161&lt;&gt;"",0,15)-IF($AB161&lt;&gt;"",0,10)-IF($R161="ERROR",20,IF($R161="WARNING",10,0))))</f>
        <v/>
      </c>
      <c r="AJ161" s="30" t="str">
        <f>IF($AH161="","",IF($AH161&lt;Settings!$C$46,"Extreme Sell Pressure",IF($AH161&lt;Settings!$C$47,"Sell Pressure",IF($AH161&lt;=Settings!$C$48,"Neutral",IF($AH161&lt;=Settings!$C$49,"Buy Pressure","Extreme Buy Pressure")))))</f>
        <v/>
      </c>
      <c r="AK161" s="30" t="str">
        <f t="shared" si="45"/>
        <v/>
      </c>
      <c r="AL161" s="30" t="str">
        <f t="shared" si="46"/>
        <v/>
      </c>
      <c r="AM161" s="30" t="str">
        <f t="shared" si="47"/>
        <v/>
      </c>
      <c r="AN161" s="30" t="str">
        <f t="shared" si="48"/>
        <v/>
      </c>
      <c r="AO161" s="29" t="str">
        <f>IF($B161="","",IF(AND(N($L161)=0,N($M161)=0),50,IF(N($M161)=0,100,IF(N($L161)=0,0,MEDIAN(0,100,50+50*LN($S161)/LN(Settings!$C$40))))))</f>
        <v/>
      </c>
      <c r="AP161" s="29">
        <f>IF($AA161="",50,MEDIAN(0,100,50+$AA161*100*Settings!$C$41))</f>
        <v>50</v>
      </c>
      <c r="AQ161" s="29">
        <f>IF($H161="",50,MEDIAN(0,100,50+$H161*100*Settings!$C$42))</f>
        <v>50</v>
      </c>
      <c r="AR161" s="29">
        <f>IF(OR($AC161="",$H161=""),50,MEDIAN(0,100,50+SIGN($H161)*50*MEDIAN(0,1,($AC161-1)/Settings!$C$43)))</f>
        <v>50</v>
      </c>
      <c r="AS161" s="29">
        <f>IF(OR($V161="",$W161=""),50,MEDIAN(0,100,50+50*($V161-$W161)/Settings!$C$44))</f>
        <v>50</v>
      </c>
      <c r="AT161" s="29">
        <f t="shared" si="49"/>
        <v>50</v>
      </c>
      <c r="AU161" s="30" t="str">
        <f t="shared" si="50"/>
        <v/>
      </c>
      <c r="AV161" s="87" t="str">
        <f>IF($A161="","",IF(COUNTIFS($A$4:$A161,$A161)=1,1,0))</f>
        <v/>
      </c>
    </row>
    <row r="162" spans="1:48" x14ac:dyDescent="0.3">
      <c r="A162" s="265"/>
      <c r="B162" s="266"/>
      <c r="C162" s="267"/>
      <c r="D162" s="267"/>
      <c r="E162" s="267"/>
      <c r="F162" s="267"/>
      <c r="G162" s="267"/>
      <c r="H162" s="268" t="str">
        <f t="shared" si="34"/>
        <v/>
      </c>
      <c r="I162" s="269"/>
      <c r="J162" s="269"/>
      <c r="K162" s="269"/>
      <c r="L162" s="269"/>
      <c r="M162" s="269"/>
      <c r="N162" s="269"/>
      <c r="O162" s="266"/>
      <c r="P162" s="265"/>
      <c r="Q162" s="266"/>
      <c r="R162" s="23" t="str" cm="1">
        <f t="array" ref="R162">IF($B162="","",IFERROR(IF(INDEX('Data Quality'!$U$4:$U$503,ROW()-3)=0,"PENDING",INDEX('Data Quality'!$U$4:$U$503,ROW()-3)),"PENDING"))</f>
        <v/>
      </c>
      <c r="S162" s="24" t="str">
        <f t="shared" si="35"/>
        <v/>
      </c>
      <c r="T162" s="25" t="str">
        <f t="shared" si="36"/>
        <v/>
      </c>
      <c r="U162" s="25" t="str">
        <f t="shared" si="37"/>
        <v/>
      </c>
      <c r="V162" s="26" t="str">
        <f t="shared" si="38"/>
        <v/>
      </c>
      <c r="W162" s="26" t="str">
        <f t="shared" si="39"/>
        <v/>
      </c>
      <c r="X162" s="25" t="str">
        <f t="shared" si="40"/>
        <v/>
      </c>
      <c r="Y162" s="25" t="str">
        <f t="shared" si="41"/>
        <v/>
      </c>
      <c r="Z162" s="27" t="str">
        <f>IF($B162="","",IF($AK162&lt;=Settings!$C$21,"",IFERROR(AVERAGEIFS($S$4:$S$503,$B$4:$B$503,$B162,$AK$4:$AK$503,"&gt;="&amp;$AK162-Settings!$C$21,$AK$4:$AK$503,"&lt;="&amp;$AK162-1),"")))</f>
        <v/>
      </c>
      <c r="AA162" s="28" t="str">
        <f t="shared" si="42"/>
        <v/>
      </c>
      <c r="AB162" s="25" t="str">
        <f>IF($B162="","",IF($AK162&lt;=Settings!$C$22,"",IFERROR(AVERAGEIFS($K$4:$K$503,$B$4:$B$503,$B162,$AK$4:$AK$503,"&gt;="&amp;$AK162-Settings!$C$22,$AK$4:$AK$503,"&lt;="&amp;$AK162-1),"")))</f>
        <v/>
      </c>
      <c r="AC162" s="27" t="str">
        <f t="shared" si="43"/>
        <v/>
      </c>
      <c r="AD162" s="28" t="str">
        <f>IF($B162="","",IF($AK162&lt;=Settings!$C$23,"",IFERROR($E162/SUMIFS($E$4:$E$503,$B$4:$B$503,$B162,$AK$4:$AK$503,$AK162-Settings!$C$23)-1,"")))</f>
        <v/>
      </c>
      <c r="AE162" s="28" t="str">
        <f>IF($B162="","",IF($AK162&lt;=Settings!$C$22,"",IFERROR($E162/SUMIFS($E$4:$E$503,$B$4:$B$503,$B162,$AK$4:$AK$503,$AK162-Settings!$C$22)-1,"")))</f>
        <v/>
      </c>
      <c r="AF162" s="28" t="str">
        <f t="shared" si="44"/>
        <v/>
      </c>
      <c r="AG162" s="29" t="str">
        <f>IF($B162="","",ROUND((MIN(100,100*N($I162)/Settings!$C$27)+MIN(100,100*N($K162)/Settings!$C$28)+MIN(100,100*N($J162)/Settings!$C$29))/3,1))</f>
        <v/>
      </c>
      <c r="AH162" s="29" t="str">
        <f>IF($B162="","",IF(SUM(Settings!$C$32:$C$37)=0,"",ROUND((Settings!$C$32*$AO162+Settings!$C$33*$AP162+Settings!$C$34*$AQ162+Settings!$C$35*$AR162+Settings!$C$36*$AS162+Settings!$C$37*$AT162)/SUM(Settings!$C$32:$C$37),1)))</f>
        <v/>
      </c>
      <c r="AI162" s="29" t="str">
        <f>IF($B162="","",MAX(0,100-IF(N($N162)&gt;0,0,20)-IF(AND(N($L162)=0,N($M162)=0),15,0)-IF(N($J162)&gt;0,0,10)-IF(N($K162)&gt;0,0,10)-IF($Z162&lt;&gt;"",0,15)-IF($AB162&lt;&gt;"",0,10)-IF($R162="ERROR",20,IF($R162="WARNING",10,0))))</f>
        <v/>
      </c>
      <c r="AJ162" s="30" t="str">
        <f>IF($AH162="","",IF($AH162&lt;Settings!$C$46,"Extreme Sell Pressure",IF($AH162&lt;Settings!$C$47,"Sell Pressure",IF($AH162&lt;=Settings!$C$48,"Neutral",IF($AH162&lt;=Settings!$C$49,"Buy Pressure","Extreme Buy Pressure")))))</f>
        <v/>
      </c>
      <c r="AK162" s="30" t="str">
        <f t="shared" si="45"/>
        <v/>
      </c>
      <c r="AL162" s="30" t="str">
        <f t="shared" si="46"/>
        <v/>
      </c>
      <c r="AM162" s="30" t="str">
        <f t="shared" si="47"/>
        <v/>
      </c>
      <c r="AN162" s="30" t="str">
        <f t="shared" si="48"/>
        <v/>
      </c>
      <c r="AO162" s="29" t="str">
        <f>IF($B162="","",IF(AND(N($L162)=0,N($M162)=0),50,IF(N($M162)=0,100,IF(N($L162)=0,0,MEDIAN(0,100,50+50*LN($S162)/LN(Settings!$C$40))))))</f>
        <v/>
      </c>
      <c r="AP162" s="29">
        <f>IF($AA162="",50,MEDIAN(0,100,50+$AA162*100*Settings!$C$41))</f>
        <v>50</v>
      </c>
      <c r="AQ162" s="29">
        <f>IF($H162="",50,MEDIAN(0,100,50+$H162*100*Settings!$C$42))</f>
        <v>50</v>
      </c>
      <c r="AR162" s="29">
        <f>IF(OR($AC162="",$H162=""),50,MEDIAN(0,100,50+SIGN($H162)*50*MEDIAN(0,1,($AC162-1)/Settings!$C$43)))</f>
        <v>50</v>
      </c>
      <c r="AS162" s="29">
        <f>IF(OR($V162="",$W162=""),50,MEDIAN(0,100,50+50*($V162-$W162)/Settings!$C$44))</f>
        <v>50</v>
      </c>
      <c r="AT162" s="29">
        <f t="shared" si="49"/>
        <v>50</v>
      </c>
      <c r="AU162" s="30" t="str">
        <f t="shared" si="50"/>
        <v/>
      </c>
      <c r="AV162" s="87" t="str">
        <f>IF($A162="","",IF(COUNTIFS($A$4:$A162,$A162)=1,1,0))</f>
        <v/>
      </c>
    </row>
    <row r="163" spans="1:48" x14ac:dyDescent="0.3">
      <c r="A163" s="265"/>
      <c r="B163" s="266"/>
      <c r="C163" s="267"/>
      <c r="D163" s="267"/>
      <c r="E163" s="267"/>
      <c r="F163" s="267"/>
      <c r="G163" s="267"/>
      <c r="H163" s="268" t="str">
        <f t="shared" si="34"/>
        <v/>
      </c>
      <c r="I163" s="269"/>
      <c r="J163" s="269"/>
      <c r="K163" s="269"/>
      <c r="L163" s="269"/>
      <c r="M163" s="269"/>
      <c r="N163" s="269"/>
      <c r="O163" s="266"/>
      <c r="P163" s="265"/>
      <c r="Q163" s="266"/>
      <c r="R163" s="23" t="str" cm="1">
        <f t="array" ref="R163">IF($B163="","",IFERROR(IF(INDEX('Data Quality'!$U$4:$U$503,ROW()-3)=0,"PENDING",INDEX('Data Quality'!$U$4:$U$503,ROW()-3)),"PENDING"))</f>
        <v/>
      </c>
      <c r="S163" s="24" t="str">
        <f t="shared" si="35"/>
        <v/>
      </c>
      <c r="T163" s="25" t="str">
        <f t="shared" si="36"/>
        <v/>
      </c>
      <c r="U163" s="25" t="str">
        <f t="shared" si="37"/>
        <v/>
      </c>
      <c r="V163" s="26" t="str">
        <f t="shared" si="38"/>
        <v/>
      </c>
      <c r="W163" s="26" t="str">
        <f t="shared" si="39"/>
        <v/>
      </c>
      <c r="X163" s="25" t="str">
        <f t="shared" si="40"/>
        <v/>
      </c>
      <c r="Y163" s="25" t="str">
        <f t="shared" si="41"/>
        <v/>
      </c>
      <c r="Z163" s="27" t="str">
        <f>IF($B163="","",IF($AK163&lt;=Settings!$C$21,"",IFERROR(AVERAGEIFS($S$4:$S$503,$B$4:$B$503,$B163,$AK$4:$AK$503,"&gt;="&amp;$AK163-Settings!$C$21,$AK$4:$AK$503,"&lt;="&amp;$AK163-1),"")))</f>
        <v/>
      </c>
      <c r="AA163" s="28" t="str">
        <f t="shared" si="42"/>
        <v/>
      </c>
      <c r="AB163" s="25" t="str">
        <f>IF($B163="","",IF($AK163&lt;=Settings!$C$22,"",IFERROR(AVERAGEIFS($K$4:$K$503,$B$4:$B$503,$B163,$AK$4:$AK$503,"&gt;="&amp;$AK163-Settings!$C$22,$AK$4:$AK$503,"&lt;="&amp;$AK163-1),"")))</f>
        <v/>
      </c>
      <c r="AC163" s="27" t="str">
        <f t="shared" si="43"/>
        <v/>
      </c>
      <c r="AD163" s="28" t="str">
        <f>IF($B163="","",IF($AK163&lt;=Settings!$C$23,"",IFERROR($E163/SUMIFS($E$4:$E$503,$B$4:$B$503,$B163,$AK$4:$AK$503,$AK163-Settings!$C$23)-1,"")))</f>
        <v/>
      </c>
      <c r="AE163" s="28" t="str">
        <f>IF($B163="","",IF($AK163&lt;=Settings!$C$22,"",IFERROR($E163/SUMIFS($E$4:$E$503,$B$4:$B$503,$B163,$AK$4:$AK$503,$AK163-Settings!$C$22)-1,"")))</f>
        <v/>
      </c>
      <c r="AF163" s="28" t="str">
        <f t="shared" si="44"/>
        <v/>
      </c>
      <c r="AG163" s="29" t="str">
        <f>IF($B163="","",ROUND((MIN(100,100*N($I163)/Settings!$C$27)+MIN(100,100*N($K163)/Settings!$C$28)+MIN(100,100*N($J163)/Settings!$C$29))/3,1))</f>
        <v/>
      </c>
      <c r="AH163" s="29" t="str">
        <f>IF($B163="","",IF(SUM(Settings!$C$32:$C$37)=0,"",ROUND((Settings!$C$32*$AO163+Settings!$C$33*$AP163+Settings!$C$34*$AQ163+Settings!$C$35*$AR163+Settings!$C$36*$AS163+Settings!$C$37*$AT163)/SUM(Settings!$C$32:$C$37),1)))</f>
        <v/>
      </c>
      <c r="AI163" s="29" t="str">
        <f>IF($B163="","",MAX(0,100-IF(N($N163)&gt;0,0,20)-IF(AND(N($L163)=0,N($M163)=0),15,0)-IF(N($J163)&gt;0,0,10)-IF(N($K163)&gt;0,0,10)-IF($Z163&lt;&gt;"",0,15)-IF($AB163&lt;&gt;"",0,10)-IF($R163="ERROR",20,IF($R163="WARNING",10,0))))</f>
        <v/>
      </c>
      <c r="AJ163" s="30" t="str">
        <f>IF($AH163="","",IF($AH163&lt;Settings!$C$46,"Extreme Sell Pressure",IF($AH163&lt;Settings!$C$47,"Sell Pressure",IF($AH163&lt;=Settings!$C$48,"Neutral",IF($AH163&lt;=Settings!$C$49,"Buy Pressure","Extreme Buy Pressure")))))</f>
        <v/>
      </c>
      <c r="AK163" s="30" t="str">
        <f t="shared" si="45"/>
        <v/>
      </c>
      <c r="AL163" s="30" t="str">
        <f t="shared" si="46"/>
        <v/>
      </c>
      <c r="AM163" s="30" t="str">
        <f t="shared" si="47"/>
        <v/>
      </c>
      <c r="AN163" s="30" t="str">
        <f t="shared" si="48"/>
        <v/>
      </c>
      <c r="AO163" s="29" t="str">
        <f>IF($B163="","",IF(AND(N($L163)=0,N($M163)=0),50,IF(N($M163)=0,100,IF(N($L163)=0,0,MEDIAN(0,100,50+50*LN($S163)/LN(Settings!$C$40))))))</f>
        <v/>
      </c>
      <c r="AP163" s="29">
        <f>IF($AA163="",50,MEDIAN(0,100,50+$AA163*100*Settings!$C$41))</f>
        <v>50</v>
      </c>
      <c r="AQ163" s="29">
        <f>IF($H163="",50,MEDIAN(0,100,50+$H163*100*Settings!$C$42))</f>
        <v>50</v>
      </c>
      <c r="AR163" s="29">
        <f>IF(OR($AC163="",$H163=""),50,MEDIAN(0,100,50+SIGN($H163)*50*MEDIAN(0,1,($AC163-1)/Settings!$C$43)))</f>
        <v>50</v>
      </c>
      <c r="AS163" s="29">
        <f>IF(OR($V163="",$W163=""),50,MEDIAN(0,100,50+50*($V163-$W163)/Settings!$C$44))</f>
        <v>50</v>
      </c>
      <c r="AT163" s="29">
        <f t="shared" si="49"/>
        <v>50</v>
      </c>
      <c r="AU163" s="30" t="str">
        <f t="shared" si="50"/>
        <v/>
      </c>
      <c r="AV163" s="87" t="str">
        <f>IF($A163="","",IF(COUNTIFS($A$4:$A163,$A163)=1,1,0))</f>
        <v/>
      </c>
    </row>
    <row r="164" spans="1:48" x14ac:dyDescent="0.3">
      <c r="A164" s="265"/>
      <c r="B164" s="266"/>
      <c r="C164" s="267"/>
      <c r="D164" s="267"/>
      <c r="E164" s="267"/>
      <c r="F164" s="267"/>
      <c r="G164" s="267"/>
      <c r="H164" s="268" t="str">
        <f t="shared" si="34"/>
        <v/>
      </c>
      <c r="I164" s="269"/>
      <c r="J164" s="269"/>
      <c r="K164" s="269"/>
      <c r="L164" s="269"/>
      <c r="M164" s="269"/>
      <c r="N164" s="269"/>
      <c r="O164" s="266"/>
      <c r="P164" s="265"/>
      <c r="Q164" s="266"/>
      <c r="R164" s="23" t="str" cm="1">
        <f t="array" ref="R164">IF($B164="","",IFERROR(IF(INDEX('Data Quality'!$U$4:$U$503,ROW()-3)=0,"PENDING",INDEX('Data Quality'!$U$4:$U$503,ROW()-3)),"PENDING"))</f>
        <v/>
      </c>
      <c r="S164" s="24" t="str">
        <f t="shared" si="35"/>
        <v/>
      </c>
      <c r="T164" s="25" t="str">
        <f t="shared" si="36"/>
        <v/>
      </c>
      <c r="U164" s="25" t="str">
        <f t="shared" si="37"/>
        <v/>
      </c>
      <c r="V164" s="26" t="str">
        <f t="shared" si="38"/>
        <v/>
      </c>
      <c r="W164" s="26" t="str">
        <f t="shared" si="39"/>
        <v/>
      </c>
      <c r="X164" s="25" t="str">
        <f t="shared" si="40"/>
        <v/>
      </c>
      <c r="Y164" s="25" t="str">
        <f t="shared" si="41"/>
        <v/>
      </c>
      <c r="Z164" s="27" t="str">
        <f>IF($B164="","",IF($AK164&lt;=Settings!$C$21,"",IFERROR(AVERAGEIFS($S$4:$S$503,$B$4:$B$503,$B164,$AK$4:$AK$503,"&gt;="&amp;$AK164-Settings!$C$21,$AK$4:$AK$503,"&lt;="&amp;$AK164-1),"")))</f>
        <v/>
      </c>
      <c r="AA164" s="28" t="str">
        <f t="shared" si="42"/>
        <v/>
      </c>
      <c r="AB164" s="25" t="str">
        <f>IF($B164="","",IF($AK164&lt;=Settings!$C$22,"",IFERROR(AVERAGEIFS($K$4:$K$503,$B$4:$B$503,$B164,$AK$4:$AK$503,"&gt;="&amp;$AK164-Settings!$C$22,$AK$4:$AK$503,"&lt;="&amp;$AK164-1),"")))</f>
        <v/>
      </c>
      <c r="AC164" s="27" t="str">
        <f t="shared" si="43"/>
        <v/>
      </c>
      <c r="AD164" s="28" t="str">
        <f>IF($B164="","",IF($AK164&lt;=Settings!$C$23,"",IFERROR($E164/SUMIFS($E$4:$E$503,$B$4:$B$503,$B164,$AK$4:$AK$503,$AK164-Settings!$C$23)-1,"")))</f>
        <v/>
      </c>
      <c r="AE164" s="28" t="str">
        <f>IF($B164="","",IF($AK164&lt;=Settings!$C$22,"",IFERROR($E164/SUMIFS($E$4:$E$503,$B$4:$B$503,$B164,$AK$4:$AK$503,$AK164-Settings!$C$22)-1,"")))</f>
        <v/>
      </c>
      <c r="AF164" s="28" t="str">
        <f t="shared" si="44"/>
        <v/>
      </c>
      <c r="AG164" s="29" t="str">
        <f>IF($B164="","",ROUND((MIN(100,100*N($I164)/Settings!$C$27)+MIN(100,100*N($K164)/Settings!$C$28)+MIN(100,100*N($J164)/Settings!$C$29))/3,1))</f>
        <v/>
      </c>
      <c r="AH164" s="29" t="str">
        <f>IF($B164="","",IF(SUM(Settings!$C$32:$C$37)=0,"",ROUND((Settings!$C$32*$AO164+Settings!$C$33*$AP164+Settings!$C$34*$AQ164+Settings!$C$35*$AR164+Settings!$C$36*$AS164+Settings!$C$37*$AT164)/SUM(Settings!$C$32:$C$37),1)))</f>
        <v/>
      </c>
      <c r="AI164" s="29" t="str">
        <f>IF($B164="","",MAX(0,100-IF(N($N164)&gt;0,0,20)-IF(AND(N($L164)=0,N($M164)=0),15,0)-IF(N($J164)&gt;0,0,10)-IF(N($K164)&gt;0,0,10)-IF($Z164&lt;&gt;"",0,15)-IF($AB164&lt;&gt;"",0,10)-IF($R164="ERROR",20,IF($R164="WARNING",10,0))))</f>
        <v/>
      </c>
      <c r="AJ164" s="30" t="str">
        <f>IF($AH164="","",IF($AH164&lt;Settings!$C$46,"Extreme Sell Pressure",IF($AH164&lt;Settings!$C$47,"Sell Pressure",IF($AH164&lt;=Settings!$C$48,"Neutral",IF($AH164&lt;=Settings!$C$49,"Buy Pressure","Extreme Buy Pressure")))))</f>
        <v/>
      </c>
      <c r="AK164" s="30" t="str">
        <f t="shared" si="45"/>
        <v/>
      </c>
      <c r="AL164" s="30" t="str">
        <f t="shared" si="46"/>
        <v/>
      </c>
      <c r="AM164" s="30" t="str">
        <f t="shared" si="47"/>
        <v/>
      </c>
      <c r="AN164" s="30" t="str">
        <f t="shared" si="48"/>
        <v/>
      </c>
      <c r="AO164" s="29" t="str">
        <f>IF($B164="","",IF(AND(N($L164)=0,N($M164)=0),50,IF(N($M164)=0,100,IF(N($L164)=0,0,MEDIAN(0,100,50+50*LN($S164)/LN(Settings!$C$40))))))</f>
        <v/>
      </c>
      <c r="AP164" s="29">
        <f>IF($AA164="",50,MEDIAN(0,100,50+$AA164*100*Settings!$C$41))</f>
        <v>50</v>
      </c>
      <c r="AQ164" s="29">
        <f>IF($H164="",50,MEDIAN(0,100,50+$H164*100*Settings!$C$42))</f>
        <v>50</v>
      </c>
      <c r="AR164" s="29">
        <f>IF(OR($AC164="",$H164=""),50,MEDIAN(0,100,50+SIGN($H164)*50*MEDIAN(0,1,($AC164-1)/Settings!$C$43)))</f>
        <v>50</v>
      </c>
      <c r="AS164" s="29">
        <f>IF(OR($V164="",$W164=""),50,MEDIAN(0,100,50+50*($V164-$W164)/Settings!$C$44))</f>
        <v>50</v>
      </c>
      <c r="AT164" s="29">
        <f t="shared" si="49"/>
        <v>50</v>
      </c>
      <c r="AU164" s="30" t="str">
        <f t="shared" si="50"/>
        <v/>
      </c>
      <c r="AV164" s="87" t="str">
        <f>IF($A164="","",IF(COUNTIFS($A$4:$A164,$A164)=1,1,0))</f>
        <v/>
      </c>
    </row>
    <row r="165" spans="1:48" x14ac:dyDescent="0.3">
      <c r="A165" s="265"/>
      <c r="B165" s="266"/>
      <c r="C165" s="267"/>
      <c r="D165" s="267"/>
      <c r="E165" s="267"/>
      <c r="F165" s="267"/>
      <c r="G165" s="267"/>
      <c r="H165" s="268" t="str">
        <f t="shared" si="34"/>
        <v/>
      </c>
      <c r="I165" s="269"/>
      <c r="J165" s="269"/>
      <c r="K165" s="269"/>
      <c r="L165" s="269"/>
      <c r="M165" s="269"/>
      <c r="N165" s="269"/>
      <c r="O165" s="266"/>
      <c r="P165" s="265"/>
      <c r="Q165" s="266"/>
      <c r="R165" s="23" t="str" cm="1">
        <f t="array" ref="R165">IF($B165="","",IFERROR(IF(INDEX('Data Quality'!$U$4:$U$503,ROW()-3)=0,"PENDING",INDEX('Data Quality'!$U$4:$U$503,ROW()-3)),"PENDING"))</f>
        <v/>
      </c>
      <c r="S165" s="24" t="str">
        <f t="shared" si="35"/>
        <v/>
      </c>
      <c r="T165" s="25" t="str">
        <f t="shared" si="36"/>
        <v/>
      </c>
      <c r="U165" s="25" t="str">
        <f t="shared" si="37"/>
        <v/>
      </c>
      <c r="V165" s="26" t="str">
        <f t="shared" si="38"/>
        <v/>
      </c>
      <c r="W165" s="26" t="str">
        <f t="shared" si="39"/>
        <v/>
      </c>
      <c r="X165" s="25" t="str">
        <f t="shared" si="40"/>
        <v/>
      </c>
      <c r="Y165" s="25" t="str">
        <f t="shared" si="41"/>
        <v/>
      </c>
      <c r="Z165" s="27" t="str">
        <f>IF($B165="","",IF($AK165&lt;=Settings!$C$21,"",IFERROR(AVERAGEIFS($S$4:$S$503,$B$4:$B$503,$B165,$AK$4:$AK$503,"&gt;="&amp;$AK165-Settings!$C$21,$AK$4:$AK$503,"&lt;="&amp;$AK165-1),"")))</f>
        <v/>
      </c>
      <c r="AA165" s="28" t="str">
        <f t="shared" si="42"/>
        <v/>
      </c>
      <c r="AB165" s="25" t="str">
        <f>IF($B165="","",IF($AK165&lt;=Settings!$C$22,"",IFERROR(AVERAGEIFS($K$4:$K$503,$B$4:$B$503,$B165,$AK$4:$AK$503,"&gt;="&amp;$AK165-Settings!$C$22,$AK$4:$AK$503,"&lt;="&amp;$AK165-1),"")))</f>
        <v/>
      </c>
      <c r="AC165" s="27" t="str">
        <f t="shared" si="43"/>
        <v/>
      </c>
      <c r="AD165" s="28" t="str">
        <f>IF($B165="","",IF($AK165&lt;=Settings!$C$23,"",IFERROR($E165/SUMIFS($E$4:$E$503,$B$4:$B$503,$B165,$AK$4:$AK$503,$AK165-Settings!$C$23)-1,"")))</f>
        <v/>
      </c>
      <c r="AE165" s="28" t="str">
        <f>IF($B165="","",IF($AK165&lt;=Settings!$C$22,"",IFERROR($E165/SUMIFS($E$4:$E$503,$B$4:$B$503,$B165,$AK$4:$AK$503,$AK165-Settings!$C$22)-1,"")))</f>
        <v/>
      </c>
      <c r="AF165" s="28" t="str">
        <f t="shared" si="44"/>
        <v/>
      </c>
      <c r="AG165" s="29" t="str">
        <f>IF($B165="","",ROUND((MIN(100,100*N($I165)/Settings!$C$27)+MIN(100,100*N($K165)/Settings!$C$28)+MIN(100,100*N($J165)/Settings!$C$29))/3,1))</f>
        <v/>
      </c>
      <c r="AH165" s="29" t="str">
        <f>IF($B165="","",IF(SUM(Settings!$C$32:$C$37)=0,"",ROUND((Settings!$C$32*$AO165+Settings!$C$33*$AP165+Settings!$C$34*$AQ165+Settings!$C$35*$AR165+Settings!$C$36*$AS165+Settings!$C$37*$AT165)/SUM(Settings!$C$32:$C$37),1)))</f>
        <v/>
      </c>
      <c r="AI165" s="29" t="str">
        <f>IF($B165="","",MAX(0,100-IF(N($N165)&gt;0,0,20)-IF(AND(N($L165)=0,N($M165)=0),15,0)-IF(N($J165)&gt;0,0,10)-IF(N($K165)&gt;0,0,10)-IF($Z165&lt;&gt;"",0,15)-IF($AB165&lt;&gt;"",0,10)-IF($R165="ERROR",20,IF($R165="WARNING",10,0))))</f>
        <v/>
      </c>
      <c r="AJ165" s="30" t="str">
        <f>IF($AH165="","",IF($AH165&lt;Settings!$C$46,"Extreme Sell Pressure",IF($AH165&lt;Settings!$C$47,"Sell Pressure",IF($AH165&lt;=Settings!$C$48,"Neutral",IF($AH165&lt;=Settings!$C$49,"Buy Pressure","Extreme Buy Pressure")))))</f>
        <v/>
      </c>
      <c r="AK165" s="30" t="str">
        <f t="shared" si="45"/>
        <v/>
      </c>
      <c r="AL165" s="30" t="str">
        <f t="shared" si="46"/>
        <v/>
      </c>
      <c r="AM165" s="30" t="str">
        <f t="shared" si="47"/>
        <v/>
      </c>
      <c r="AN165" s="30" t="str">
        <f t="shared" si="48"/>
        <v/>
      </c>
      <c r="AO165" s="29" t="str">
        <f>IF($B165="","",IF(AND(N($L165)=0,N($M165)=0),50,IF(N($M165)=0,100,IF(N($L165)=0,0,MEDIAN(0,100,50+50*LN($S165)/LN(Settings!$C$40))))))</f>
        <v/>
      </c>
      <c r="AP165" s="29">
        <f>IF($AA165="",50,MEDIAN(0,100,50+$AA165*100*Settings!$C$41))</f>
        <v>50</v>
      </c>
      <c r="AQ165" s="29">
        <f>IF($H165="",50,MEDIAN(0,100,50+$H165*100*Settings!$C$42))</f>
        <v>50</v>
      </c>
      <c r="AR165" s="29">
        <f>IF(OR($AC165="",$H165=""),50,MEDIAN(0,100,50+SIGN($H165)*50*MEDIAN(0,1,($AC165-1)/Settings!$C$43)))</f>
        <v>50</v>
      </c>
      <c r="AS165" s="29">
        <f>IF(OR($V165="",$W165=""),50,MEDIAN(0,100,50+50*($V165-$W165)/Settings!$C$44))</f>
        <v>50</v>
      </c>
      <c r="AT165" s="29">
        <f t="shared" si="49"/>
        <v>50</v>
      </c>
      <c r="AU165" s="30" t="str">
        <f t="shared" si="50"/>
        <v/>
      </c>
      <c r="AV165" s="87" t="str">
        <f>IF($A165="","",IF(COUNTIFS($A$4:$A165,$A165)=1,1,0))</f>
        <v/>
      </c>
    </row>
    <row r="166" spans="1:48" x14ac:dyDescent="0.3">
      <c r="A166" s="265"/>
      <c r="B166" s="266"/>
      <c r="C166" s="267"/>
      <c r="D166" s="267"/>
      <c r="E166" s="267"/>
      <c r="F166" s="267"/>
      <c r="G166" s="267"/>
      <c r="H166" s="268" t="str">
        <f t="shared" si="34"/>
        <v/>
      </c>
      <c r="I166" s="269"/>
      <c r="J166" s="269"/>
      <c r="K166" s="269"/>
      <c r="L166" s="269"/>
      <c r="M166" s="269"/>
      <c r="N166" s="269"/>
      <c r="O166" s="266"/>
      <c r="P166" s="265"/>
      <c r="Q166" s="266"/>
      <c r="R166" s="23" t="str" cm="1">
        <f t="array" ref="R166">IF($B166="","",IFERROR(IF(INDEX('Data Quality'!$U$4:$U$503,ROW()-3)=0,"PENDING",INDEX('Data Quality'!$U$4:$U$503,ROW()-3)),"PENDING"))</f>
        <v/>
      </c>
      <c r="S166" s="24" t="str">
        <f t="shared" si="35"/>
        <v/>
      </c>
      <c r="T166" s="25" t="str">
        <f t="shared" si="36"/>
        <v/>
      </c>
      <c r="U166" s="25" t="str">
        <f t="shared" si="37"/>
        <v/>
      </c>
      <c r="V166" s="26" t="str">
        <f t="shared" si="38"/>
        <v/>
      </c>
      <c r="W166" s="26" t="str">
        <f t="shared" si="39"/>
        <v/>
      </c>
      <c r="X166" s="25" t="str">
        <f t="shared" si="40"/>
        <v/>
      </c>
      <c r="Y166" s="25" t="str">
        <f t="shared" si="41"/>
        <v/>
      </c>
      <c r="Z166" s="27" t="str">
        <f>IF($B166="","",IF($AK166&lt;=Settings!$C$21,"",IFERROR(AVERAGEIFS($S$4:$S$503,$B$4:$B$503,$B166,$AK$4:$AK$503,"&gt;="&amp;$AK166-Settings!$C$21,$AK$4:$AK$503,"&lt;="&amp;$AK166-1),"")))</f>
        <v/>
      </c>
      <c r="AA166" s="28" t="str">
        <f t="shared" si="42"/>
        <v/>
      </c>
      <c r="AB166" s="25" t="str">
        <f>IF($B166="","",IF($AK166&lt;=Settings!$C$22,"",IFERROR(AVERAGEIFS($K$4:$K$503,$B$4:$B$503,$B166,$AK$4:$AK$503,"&gt;="&amp;$AK166-Settings!$C$22,$AK$4:$AK$503,"&lt;="&amp;$AK166-1),"")))</f>
        <v/>
      </c>
      <c r="AC166" s="27" t="str">
        <f t="shared" si="43"/>
        <v/>
      </c>
      <c r="AD166" s="28" t="str">
        <f>IF($B166="","",IF($AK166&lt;=Settings!$C$23,"",IFERROR($E166/SUMIFS($E$4:$E$503,$B$4:$B$503,$B166,$AK$4:$AK$503,$AK166-Settings!$C$23)-1,"")))</f>
        <v/>
      </c>
      <c r="AE166" s="28" t="str">
        <f>IF($B166="","",IF($AK166&lt;=Settings!$C$22,"",IFERROR($E166/SUMIFS($E$4:$E$503,$B$4:$B$503,$B166,$AK$4:$AK$503,$AK166-Settings!$C$22)-1,"")))</f>
        <v/>
      </c>
      <c r="AF166" s="28" t="str">
        <f t="shared" si="44"/>
        <v/>
      </c>
      <c r="AG166" s="29" t="str">
        <f>IF($B166="","",ROUND((MIN(100,100*N($I166)/Settings!$C$27)+MIN(100,100*N($K166)/Settings!$C$28)+MIN(100,100*N($J166)/Settings!$C$29))/3,1))</f>
        <v/>
      </c>
      <c r="AH166" s="29" t="str">
        <f>IF($B166="","",IF(SUM(Settings!$C$32:$C$37)=0,"",ROUND((Settings!$C$32*$AO166+Settings!$C$33*$AP166+Settings!$C$34*$AQ166+Settings!$C$35*$AR166+Settings!$C$36*$AS166+Settings!$C$37*$AT166)/SUM(Settings!$C$32:$C$37),1)))</f>
        <v/>
      </c>
      <c r="AI166" s="29" t="str">
        <f>IF($B166="","",MAX(0,100-IF(N($N166)&gt;0,0,20)-IF(AND(N($L166)=0,N($M166)=0),15,0)-IF(N($J166)&gt;0,0,10)-IF(N($K166)&gt;0,0,10)-IF($Z166&lt;&gt;"",0,15)-IF($AB166&lt;&gt;"",0,10)-IF($R166="ERROR",20,IF($R166="WARNING",10,0))))</f>
        <v/>
      </c>
      <c r="AJ166" s="30" t="str">
        <f>IF($AH166="","",IF($AH166&lt;Settings!$C$46,"Extreme Sell Pressure",IF($AH166&lt;Settings!$C$47,"Sell Pressure",IF($AH166&lt;=Settings!$C$48,"Neutral",IF($AH166&lt;=Settings!$C$49,"Buy Pressure","Extreme Buy Pressure")))))</f>
        <v/>
      </c>
      <c r="AK166" s="30" t="str">
        <f t="shared" si="45"/>
        <v/>
      </c>
      <c r="AL166" s="30" t="str">
        <f t="shared" si="46"/>
        <v/>
      </c>
      <c r="AM166" s="30" t="str">
        <f t="shared" si="47"/>
        <v/>
      </c>
      <c r="AN166" s="30" t="str">
        <f t="shared" si="48"/>
        <v/>
      </c>
      <c r="AO166" s="29" t="str">
        <f>IF($B166="","",IF(AND(N($L166)=0,N($M166)=0),50,IF(N($M166)=0,100,IF(N($L166)=0,0,MEDIAN(0,100,50+50*LN($S166)/LN(Settings!$C$40))))))</f>
        <v/>
      </c>
      <c r="AP166" s="29">
        <f>IF($AA166="",50,MEDIAN(0,100,50+$AA166*100*Settings!$C$41))</f>
        <v>50</v>
      </c>
      <c r="AQ166" s="29">
        <f>IF($H166="",50,MEDIAN(0,100,50+$H166*100*Settings!$C$42))</f>
        <v>50</v>
      </c>
      <c r="AR166" s="29">
        <f>IF(OR($AC166="",$H166=""),50,MEDIAN(0,100,50+SIGN($H166)*50*MEDIAN(0,1,($AC166-1)/Settings!$C$43)))</f>
        <v>50</v>
      </c>
      <c r="AS166" s="29">
        <f>IF(OR($V166="",$W166=""),50,MEDIAN(0,100,50+50*($V166-$W166)/Settings!$C$44))</f>
        <v>50</v>
      </c>
      <c r="AT166" s="29">
        <f t="shared" si="49"/>
        <v>50</v>
      </c>
      <c r="AU166" s="30" t="str">
        <f t="shared" si="50"/>
        <v/>
      </c>
      <c r="AV166" s="87" t="str">
        <f>IF($A166="","",IF(COUNTIFS($A$4:$A166,$A166)=1,1,0))</f>
        <v/>
      </c>
    </row>
    <row r="167" spans="1:48" x14ac:dyDescent="0.3">
      <c r="A167" s="265"/>
      <c r="B167" s="266"/>
      <c r="C167" s="267"/>
      <c r="D167" s="267"/>
      <c r="E167" s="267"/>
      <c r="F167" s="267"/>
      <c r="G167" s="267"/>
      <c r="H167" s="268" t="str">
        <f t="shared" si="34"/>
        <v/>
      </c>
      <c r="I167" s="269"/>
      <c r="J167" s="269"/>
      <c r="K167" s="269"/>
      <c r="L167" s="269"/>
      <c r="M167" s="269"/>
      <c r="N167" s="269"/>
      <c r="O167" s="266"/>
      <c r="P167" s="265"/>
      <c r="Q167" s="266"/>
      <c r="R167" s="23" t="str" cm="1">
        <f t="array" ref="R167">IF($B167="","",IFERROR(IF(INDEX('Data Quality'!$U$4:$U$503,ROW()-3)=0,"PENDING",INDEX('Data Quality'!$U$4:$U$503,ROW()-3)),"PENDING"))</f>
        <v/>
      </c>
      <c r="S167" s="24" t="str">
        <f t="shared" si="35"/>
        <v/>
      </c>
      <c r="T167" s="25" t="str">
        <f t="shared" si="36"/>
        <v/>
      </c>
      <c r="U167" s="25" t="str">
        <f t="shared" si="37"/>
        <v/>
      </c>
      <c r="V167" s="26" t="str">
        <f t="shared" si="38"/>
        <v/>
      </c>
      <c r="W167" s="26" t="str">
        <f t="shared" si="39"/>
        <v/>
      </c>
      <c r="X167" s="25" t="str">
        <f t="shared" si="40"/>
        <v/>
      </c>
      <c r="Y167" s="25" t="str">
        <f t="shared" si="41"/>
        <v/>
      </c>
      <c r="Z167" s="27" t="str">
        <f>IF($B167="","",IF($AK167&lt;=Settings!$C$21,"",IFERROR(AVERAGEIFS($S$4:$S$503,$B$4:$B$503,$B167,$AK$4:$AK$503,"&gt;="&amp;$AK167-Settings!$C$21,$AK$4:$AK$503,"&lt;="&amp;$AK167-1),"")))</f>
        <v/>
      </c>
      <c r="AA167" s="28" t="str">
        <f t="shared" si="42"/>
        <v/>
      </c>
      <c r="AB167" s="25" t="str">
        <f>IF($B167="","",IF($AK167&lt;=Settings!$C$22,"",IFERROR(AVERAGEIFS($K$4:$K$503,$B$4:$B$503,$B167,$AK$4:$AK$503,"&gt;="&amp;$AK167-Settings!$C$22,$AK$4:$AK$503,"&lt;="&amp;$AK167-1),"")))</f>
        <v/>
      </c>
      <c r="AC167" s="27" t="str">
        <f t="shared" si="43"/>
        <v/>
      </c>
      <c r="AD167" s="28" t="str">
        <f>IF($B167="","",IF($AK167&lt;=Settings!$C$23,"",IFERROR($E167/SUMIFS($E$4:$E$503,$B$4:$B$503,$B167,$AK$4:$AK$503,$AK167-Settings!$C$23)-1,"")))</f>
        <v/>
      </c>
      <c r="AE167" s="28" t="str">
        <f>IF($B167="","",IF($AK167&lt;=Settings!$C$22,"",IFERROR($E167/SUMIFS($E$4:$E$503,$B$4:$B$503,$B167,$AK$4:$AK$503,$AK167-Settings!$C$22)-1,"")))</f>
        <v/>
      </c>
      <c r="AF167" s="28" t="str">
        <f t="shared" si="44"/>
        <v/>
      </c>
      <c r="AG167" s="29" t="str">
        <f>IF($B167="","",ROUND((MIN(100,100*N($I167)/Settings!$C$27)+MIN(100,100*N($K167)/Settings!$C$28)+MIN(100,100*N($J167)/Settings!$C$29))/3,1))</f>
        <v/>
      </c>
      <c r="AH167" s="29" t="str">
        <f>IF($B167="","",IF(SUM(Settings!$C$32:$C$37)=0,"",ROUND((Settings!$C$32*$AO167+Settings!$C$33*$AP167+Settings!$C$34*$AQ167+Settings!$C$35*$AR167+Settings!$C$36*$AS167+Settings!$C$37*$AT167)/SUM(Settings!$C$32:$C$37),1)))</f>
        <v/>
      </c>
      <c r="AI167" s="29" t="str">
        <f>IF($B167="","",MAX(0,100-IF(N($N167)&gt;0,0,20)-IF(AND(N($L167)=0,N($M167)=0),15,0)-IF(N($J167)&gt;0,0,10)-IF(N($K167)&gt;0,0,10)-IF($Z167&lt;&gt;"",0,15)-IF($AB167&lt;&gt;"",0,10)-IF($R167="ERROR",20,IF($R167="WARNING",10,0))))</f>
        <v/>
      </c>
      <c r="AJ167" s="30" t="str">
        <f>IF($AH167="","",IF($AH167&lt;Settings!$C$46,"Extreme Sell Pressure",IF($AH167&lt;Settings!$C$47,"Sell Pressure",IF($AH167&lt;=Settings!$C$48,"Neutral",IF($AH167&lt;=Settings!$C$49,"Buy Pressure","Extreme Buy Pressure")))))</f>
        <v/>
      </c>
      <c r="AK167" s="30" t="str">
        <f t="shared" si="45"/>
        <v/>
      </c>
      <c r="AL167" s="30" t="str">
        <f t="shared" si="46"/>
        <v/>
      </c>
      <c r="AM167" s="30" t="str">
        <f t="shared" si="47"/>
        <v/>
      </c>
      <c r="AN167" s="30" t="str">
        <f t="shared" si="48"/>
        <v/>
      </c>
      <c r="AO167" s="29" t="str">
        <f>IF($B167="","",IF(AND(N($L167)=0,N($M167)=0),50,IF(N($M167)=0,100,IF(N($L167)=0,0,MEDIAN(0,100,50+50*LN($S167)/LN(Settings!$C$40))))))</f>
        <v/>
      </c>
      <c r="AP167" s="29">
        <f>IF($AA167="",50,MEDIAN(0,100,50+$AA167*100*Settings!$C$41))</f>
        <v>50</v>
      </c>
      <c r="AQ167" s="29">
        <f>IF($H167="",50,MEDIAN(0,100,50+$H167*100*Settings!$C$42))</f>
        <v>50</v>
      </c>
      <c r="AR167" s="29">
        <f>IF(OR($AC167="",$H167=""),50,MEDIAN(0,100,50+SIGN($H167)*50*MEDIAN(0,1,($AC167-1)/Settings!$C$43)))</f>
        <v>50</v>
      </c>
      <c r="AS167" s="29">
        <f>IF(OR($V167="",$W167=""),50,MEDIAN(0,100,50+50*($V167-$W167)/Settings!$C$44))</f>
        <v>50</v>
      </c>
      <c r="AT167" s="29">
        <f t="shared" si="49"/>
        <v>50</v>
      </c>
      <c r="AU167" s="30" t="str">
        <f t="shared" si="50"/>
        <v/>
      </c>
      <c r="AV167" s="87" t="str">
        <f>IF($A167="","",IF(COUNTIFS($A$4:$A167,$A167)=1,1,0))</f>
        <v/>
      </c>
    </row>
    <row r="168" spans="1:48" x14ac:dyDescent="0.3">
      <c r="A168" s="265"/>
      <c r="B168" s="266"/>
      <c r="C168" s="267"/>
      <c r="D168" s="267"/>
      <c r="E168" s="267"/>
      <c r="F168" s="267"/>
      <c r="G168" s="267"/>
      <c r="H168" s="268" t="str">
        <f t="shared" si="34"/>
        <v/>
      </c>
      <c r="I168" s="269"/>
      <c r="J168" s="269"/>
      <c r="K168" s="269"/>
      <c r="L168" s="269"/>
      <c r="M168" s="269"/>
      <c r="N168" s="269"/>
      <c r="O168" s="266"/>
      <c r="P168" s="265"/>
      <c r="Q168" s="266"/>
      <c r="R168" s="23" t="str" cm="1">
        <f t="array" ref="R168">IF($B168="","",IFERROR(IF(INDEX('Data Quality'!$U$4:$U$503,ROW()-3)=0,"PENDING",INDEX('Data Quality'!$U$4:$U$503,ROW()-3)),"PENDING"))</f>
        <v/>
      </c>
      <c r="S168" s="24" t="str">
        <f t="shared" si="35"/>
        <v/>
      </c>
      <c r="T168" s="25" t="str">
        <f t="shared" si="36"/>
        <v/>
      </c>
      <c r="U168" s="25" t="str">
        <f t="shared" si="37"/>
        <v/>
      </c>
      <c r="V168" s="26" t="str">
        <f t="shared" si="38"/>
        <v/>
      </c>
      <c r="W168" s="26" t="str">
        <f t="shared" si="39"/>
        <v/>
      </c>
      <c r="X168" s="25" t="str">
        <f t="shared" si="40"/>
        <v/>
      </c>
      <c r="Y168" s="25" t="str">
        <f t="shared" si="41"/>
        <v/>
      </c>
      <c r="Z168" s="27" t="str">
        <f>IF($B168="","",IF($AK168&lt;=Settings!$C$21,"",IFERROR(AVERAGEIFS($S$4:$S$503,$B$4:$B$503,$B168,$AK$4:$AK$503,"&gt;="&amp;$AK168-Settings!$C$21,$AK$4:$AK$503,"&lt;="&amp;$AK168-1),"")))</f>
        <v/>
      </c>
      <c r="AA168" s="28" t="str">
        <f t="shared" si="42"/>
        <v/>
      </c>
      <c r="AB168" s="25" t="str">
        <f>IF($B168="","",IF($AK168&lt;=Settings!$C$22,"",IFERROR(AVERAGEIFS($K$4:$K$503,$B$4:$B$503,$B168,$AK$4:$AK$503,"&gt;="&amp;$AK168-Settings!$C$22,$AK$4:$AK$503,"&lt;="&amp;$AK168-1),"")))</f>
        <v/>
      </c>
      <c r="AC168" s="27" t="str">
        <f t="shared" si="43"/>
        <v/>
      </c>
      <c r="AD168" s="28" t="str">
        <f>IF($B168="","",IF($AK168&lt;=Settings!$C$23,"",IFERROR($E168/SUMIFS($E$4:$E$503,$B$4:$B$503,$B168,$AK$4:$AK$503,$AK168-Settings!$C$23)-1,"")))</f>
        <v/>
      </c>
      <c r="AE168" s="28" t="str">
        <f>IF($B168="","",IF($AK168&lt;=Settings!$C$22,"",IFERROR($E168/SUMIFS($E$4:$E$503,$B$4:$B$503,$B168,$AK$4:$AK$503,$AK168-Settings!$C$22)-1,"")))</f>
        <v/>
      </c>
      <c r="AF168" s="28" t="str">
        <f t="shared" si="44"/>
        <v/>
      </c>
      <c r="AG168" s="29" t="str">
        <f>IF($B168="","",ROUND((MIN(100,100*N($I168)/Settings!$C$27)+MIN(100,100*N($K168)/Settings!$C$28)+MIN(100,100*N($J168)/Settings!$C$29))/3,1))</f>
        <v/>
      </c>
      <c r="AH168" s="29" t="str">
        <f>IF($B168="","",IF(SUM(Settings!$C$32:$C$37)=0,"",ROUND((Settings!$C$32*$AO168+Settings!$C$33*$AP168+Settings!$C$34*$AQ168+Settings!$C$35*$AR168+Settings!$C$36*$AS168+Settings!$C$37*$AT168)/SUM(Settings!$C$32:$C$37),1)))</f>
        <v/>
      </c>
      <c r="AI168" s="29" t="str">
        <f>IF($B168="","",MAX(0,100-IF(N($N168)&gt;0,0,20)-IF(AND(N($L168)=0,N($M168)=0),15,0)-IF(N($J168)&gt;0,0,10)-IF(N($K168)&gt;0,0,10)-IF($Z168&lt;&gt;"",0,15)-IF($AB168&lt;&gt;"",0,10)-IF($R168="ERROR",20,IF($R168="WARNING",10,0))))</f>
        <v/>
      </c>
      <c r="AJ168" s="30" t="str">
        <f>IF($AH168="","",IF($AH168&lt;Settings!$C$46,"Extreme Sell Pressure",IF($AH168&lt;Settings!$C$47,"Sell Pressure",IF($AH168&lt;=Settings!$C$48,"Neutral",IF($AH168&lt;=Settings!$C$49,"Buy Pressure","Extreme Buy Pressure")))))</f>
        <v/>
      </c>
      <c r="AK168" s="30" t="str">
        <f t="shared" si="45"/>
        <v/>
      </c>
      <c r="AL168" s="30" t="str">
        <f t="shared" si="46"/>
        <v/>
      </c>
      <c r="AM168" s="30" t="str">
        <f t="shared" si="47"/>
        <v/>
      </c>
      <c r="AN168" s="30" t="str">
        <f t="shared" si="48"/>
        <v/>
      </c>
      <c r="AO168" s="29" t="str">
        <f>IF($B168="","",IF(AND(N($L168)=0,N($M168)=0),50,IF(N($M168)=0,100,IF(N($L168)=0,0,MEDIAN(0,100,50+50*LN($S168)/LN(Settings!$C$40))))))</f>
        <v/>
      </c>
      <c r="AP168" s="29">
        <f>IF($AA168="",50,MEDIAN(0,100,50+$AA168*100*Settings!$C$41))</f>
        <v>50</v>
      </c>
      <c r="AQ168" s="29">
        <f>IF($H168="",50,MEDIAN(0,100,50+$H168*100*Settings!$C$42))</f>
        <v>50</v>
      </c>
      <c r="AR168" s="29">
        <f>IF(OR($AC168="",$H168=""),50,MEDIAN(0,100,50+SIGN($H168)*50*MEDIAN(0,1,($AC168-1)/Settings!$C$43)))</f>
        <v>50</v>
      </c>
      <c r="AS168" s="29">
        <f>IF(OR($V168="",$W168=""),50,MEDIAN(0,100,50+50*($V168-$W168)/Settings!$C$44))</f>
        <v>50</v>
      </c>
      <c r="AT168" s="29">
        <f t="shared" si="49"/>
        <v>50</v>
      </c>
      <c r="AU168" s="30" t="str">
        <f t="shared" si="50"/>
        <v/>
      </c>
      <c r="AV168" s="87" t="str">
        <f>IF($A168="","",IF(COUNTIFS($A$4:$A168,$A168)=1,1,0))</f>
        <v/>
      </c>
    </row>
    <row r="169" spans="1:48" x14ac:dyDescent="0.3">
      <c r="A169" s="265"/>
      <c r="B169" s="266"/>
      <c r="C169" s="267"/>
      <c r="D169" s="267"/>
      <c r="E169" s="267"/>
      <c r="F169" s="267"/>
      <c r="G169" s="267"/>
      <c r="H169" s="268" t="str">
        <f t="shared" si="34"/>
        <v/>
      </c>
      <c r="I169" s="269"/>
      <c r="J169" s="269"/>
      <c r="K169" s="269"/>
      <c r="L169" s="269"/>
      <c r="M169" s="269"/>
      <c r="N169" s="269"/>
      <c r="O169" s="266"/>
      <c r="P169" s="265"/>
      <c r="Q169" s="266"/>
      <c r="R169" s="23" t="str" cm="1">
        <f t="array" ref="R169">IF($B169="","",IFERROR(IF(INDEX('Data Quality'!$U$4:$U$503,ROW()-3)=0,"PENDING",INDEX('Data Quality'!$U$4:$U$503,ROW()-3)),"PENDING"))</f>
        <v/>
      </c>
      <c r="S169" s="24" t="str">
        <f t="shared" si="35"/>
        <v/>
      </c>
      <c r="T169" s="25" t="str">
        <f t="shared" si="36"/>
        <v/>
      </c>
      <c r="U169" s="25" t="str">
        <f t="shared" si="37"/>
        <v/>
      </c>
      <c r="V169" s="26" t="str">
        <f t="shared" si="38"/>
        <v/>
      </c>
      <c r="W169" s="26" t="str">
        <f t="shared" si="39"/>
        <v/>
      </c>
      <c r="X169" s="25" t="str">
        <f t="shared" si="40"/>
        <v/>
      </c>
      <c r="Y169" s="25" t="str">
        <f t="shared" si="41"/>
        <v/>
      </c>
      <c r="Z169" s="27" t="str">
        <f>IF($B169="","",IF($AK169&lt;=Settings!$C$21,"",IFERROR(AVERAGEIFS($S$4:$S$503,$B$4:$B$503,$B169,$AK$4:$AK$503,"&gt;="&amp;$AK169-Settings!$C$21,$AK$4:$AK$503,"&lt;="&amp;$AK169-1),"")))</f>
        <v/>
      </c>
      <c r="AA169" s="28" t="str">
        <f t="shared" si="42"/>
        <v/>
      </c>
      <c r="AB169" s="25" t="str">
        <f>IF($B169="","",IF($AK169&lt;=Settings!$C$22,"",IFERROR(AVERAGEIFS($K$4:$K$503,$B$4:$B$503,$B169,$AK$4:$AK$503,"&gt;="&amp;$AK169-Settings!$C$22,$AK$4:$AK$503,"&lt;="&amp;$AK169-1),"")))</f>
        <v/>
      </c>
      <c r="AC169" s="27" t="str">
        <f t="shared" si="43"/>
        <v/>
      </c>
      <c r="AD169" s="28" t="str">
        <f>IF($B169="","",IF($AK169&lt;=Settings!$C$23,"",IFERROR($E169/SUMIFS($E$4:$E$503,$B$4:$B$503,$B169,$AK$4:$AK$503,$AK169-Settings!$C$23)-1,"")))</f>
        <v/>
      </c>
      <c r="AE169" s="28" t="str">
        <f>IF($B169="","",IF($AK169&lt;=Settings!$C$22,"",IFERROR($E169/SUMIFS($E$4:$E$503,$B$4:$B$503,$B169,$AK$4:$AK$503,$AK169-Settings!$C$22)-1,"")))</f>
        <v/>
      </c>
      <c r="AF169" s="28" t="str">
        <f t="shared" si="44"/>
        <v/>
      </c>
      <c r="AG169" s="29" t="str">
        <f>IF($B169="","",ROUND((MIN(100,100*N($I169)/Settings!$C$27)+MIN(100,100*N($K169)/Settings!$C$28)+MIN(100,100*N($J169)/Settings!$C$29))/3,1))</f>
        <v/>
      </c>
      <c r="AH169" s="29" t="str">
        <f>IF($B169="","",IF(SUM(Settings!$C$32:$C$37)=0,"",ROUND((Settings!$C$32*$AO169+Settings!$C$33*$AP169+Settings!$C$34*$AQ169+Settings!$C$35*$AR169+Settings!$C$36*$AS169+Settings!$C$37*$AT169)/SUM(Settings!$C$32:$C$37),1)))</f>
        <v/>
      </c>
      <c r="AI169" s="29" t="str">
        <f>IF($B169="","",MAX(0,100-IF(N($N169)&gt;0,0,20)-IF(AND(N($L169)=0,N($M169)=0),15,0)-IF(N($J169)&gt;0,0,10)-IF(N($K169)&gt;0,0,10)-IF($Z169&lt;&gt;"",0,15)-IF($AB169&lt;&gt;"",0,10)-IF($R169="ERROR",20,IF($R169="WARNING",10,0))))</f>
        <v/>
      </c>
      <c r="AJ169" s="30" t="str">
        <f>IF($AH169="","",IF($AH169&lt;Settings!$C$46,"Extreme Sell Pressure",IF($AH169&lt;Settings!$C$47,"Sell Pressure",IF($AH169&lt;=Settings!$C$48,"Neutral",IF($AH169&lt;=Settings!$C$49,"Buy Pressure","Extreme Buy Pressure")))))</f>
        <v/>
      </c>
      <c r="AK169" s="30" t="str">
        <f t="shared" si="45"/>
        <v/>
      </c>
      <c r="AL169" s="30" t="str">
        <f t="shared" si="46"/>
        <v/>
      </c>
      <c r="AM169" s="30" t="str">
        <f t="shared" si="47"/>
        <v/>
      </c>
      <c r="AN169" s="30" t="str">
        <f t="shared" si="48"/>
        <v/>
      </c>
      <c r="AO169" s="29" t="str">
        <f>IF($B169="","",IF(AND(N($L169)=0,N($M169)=0),50,IF(N($M169)=0,100,IF(N($L169)=0,0,MEDIAN(0,100,50+50*LN($S169)/LN(Settings!$C$40))))))</f>
        <v/>
      </c>
      <c r="AP169" s="29">
        <f>IF($AA169="",50,MEDIAN(0,100,50+$AA169*100*Settings!$C$41))</f>
        <v>50</v>
      </c>
      <c r="AQ169" s="29">
        <f>IF($H169="",50,MEDIAN(0,100,50+$H169*100*Settings!$C$42))</f>
        <v>50</v>
      </c>
      <c r="AR169" s="29">
        <f>IF(OR($AC169="",$H169=""),50,MEDIAN(0,100,50+SIGN($H169)*50*MEDIAN(0,1,($AC169-1)/Settings!$C$43)))</f>
        <v>50</v>
      </c>
      <c r="AS169" s="29">
        <f>IF(OR($V169="",$W169=""),50,MEDIAN(0,100,50+50*($V169-$W169)/Settings!$C$44))</f>
        <v>50</v>
      </c>
      <c r="AT169" s="29">
        <f t="shared" si="49"/>
        <v>50</v>
      </c>
      <c r="AU169" s="30" t="str">
        <f t="shared" si="50"/>
        <v/>
      </c>
      <c r="AV169" s="87" t="str">
        <f>IF($A169="","",IF(COUNTIFS($A$4:$A169,$A169)=1,1,0))</f>
        <v/>
      </c>
    </row>
    <row r="170" spans="1:48" x14ac:dyDescent="0.3">
      <c r="A170" s="265"/>
      <c r="B170" s="266"/>
      <c r="C170" s="267"/>
      <c r="D170" s="267"/>
      <c r="E170" s="267"/>
      <c r="F170" s="267"/>
      <c r="G170" s="267"/>
      <c r="H170" s="268" t="str">
        <f t="shared" si="34"/>
        <v/>
      </c>
      <c r="I170" s="269"/>
      <c r="J170" s="269"/>
      <c r="K170" s="269"/>
      <c r="L170" s="269"/>
      <c r="M170" s="269"/>
      <c r="N170" s="269"/>
      <c r="O170" s="266"/>
      <c r="P170" s="265"/>
      <c r="Q170" s="266"/>
      <c r="R170" s="23" t="str" cm="1">
        <f t="array" ref="R170">IF($B170="","",IFERROR(IF(INDEX('Data Quality'!$U$4:$U$503,ROW()-3)=0,"PENDING",INDEX('Data Quality'!$U$4:$U$503,ROW()-3)),"PENDING"))</f>
        <v/>
      </c>
      <c r="S170" s="24" t="str">
        <f t="shared" si="35"/>
        <v/>
      </c>
      <c r="T170" s="25" t="str">
        <f t="shared" si="36"/>
        <v/>
      </c>
      <c r="U170" s="25" t="str">
        <f t="shared" si="37"/>
        <v/>
      </c>
      <c r="V170" s="26" t="str">
        <f t="shared" si="38"/>
        <v/>
      </c>
      <c r="W170" s="26" t="str">
        <f t="shared" si="39"/>
        <v/>
      </c>
      <c r="X170" s="25" t="str">
        <f t="shared" si="40"/>
        <v/>
      </c>
      <c r="Y170" s="25" t="str">
        <f t="shared" si="41"/>
        <v/>
      </c>
      <c r="Z170" s="27" t="str">
        <f>IF($B170="","",IF($AK170&lt;=Settings!$C$21,"",IFERROR(AVERAGEIFS($S$4:$S$503,$B$4:$B$503,$B170,$AK$4:$AK$503,"&gt;="&amp;$AK170-Settings!$C$21,$AK$4:$AK$503,"&lt;="&amp;$AK170-1),"")))</f>
        <v/>
      </c>
      <c r="AA170" s="28" t="str">
        <f t="shared" si="42"/>
        <v/>
      </c>
      <c r="AB170" s="25" t="str">
        <f>IF($B170="","",IF($AK170&lt;=Settings!$C$22,"",IFERROR(AVERAGEIFS($K$4:$K$503,$B$4:$B$503,$B170,$AK$4:$AK$503,"&gt;="&amp;$AK170-Settings!$C$22,$AK$4:$AK$503,"&lt;="&amp;$AK170-1),"")))</f>
        <v/>
      </c>
      <c r="AC170" s="27" t="str">
        <f t="shared" si="43"/>
        <v/>
      </c>
      <c r="AD170" s="28" t="str">
        <f>IF($B170="","",IF($AK170&lt;=Settings!$C$23,"",IFERROR($E170/SUMIFS($E$4:$E$503,$B$4:$B$503,$B170,$AK$4:$AK$503,$AK170-Settings!$C$23)-1,"")))</f>
        <v/>
      </c>
      <c r="AE170" s="28" t="str">
        <f>IF($B170="","",IF($AK170&lt;=Settings!$C$22,"",IFERROR($E170/SUMIFS($E$4:$E$503,$B$4:$B$503,$B170,$AK$4:$AK$503,$AK170-Settings!$C$22)-1,"")))</f>
        <v/>
      </c>
      <c r="AF170" s="28" t="str">
        <f t="shared" si="44"/>
        <v/>
      </c>
      <c r="AG170" s="29" t="str">
        <f>IF($B170="","",ROUND((MIN(100,100*N($I170)/Settings!$C$27)+MIN(100,100*N($K170)/Settings!$C$28)+MIN(100,100*N($J170)/Settings!$C$29))/3,1))</f>
        <v/>
      </c>
      <c r="AH170" s="29" t="str">
        <f>IF($B170="","",IF(SUM(Settings!$C$32:$C$37)=0,"",ROUND((Settings!$C$32*$AO170+Settings!$C$33*$AP170+Settings!$C$34*$AQ170+Settings!$C$35*$AR170+Settings!$C$36*$AS170+Settings!$C$37*$AT170)/SUM(Settings!$C$32:$C$37),1)))</f>
        <v/>
      </c>
      <c r="AI170" s="29" t="str">
        <f>IF($B170="","",MAX(0,100-IF(N($N170)&gt;0,0,20)-IF(AND(N($L170)=0,N($M170)=0),15,0)-IF(N($J170)&gt;0,0,10)-IF(N($K170)&gt;0,0,10)-IF($Z170&lt;&gt;"",0,15)-IF($AB170&lt;&gt;"",0,10)-IF($R170="ERROR",20,IF($R170="WARNING",10,0))))</f>
        <v/>
      </c>
      <c r="AJ170" s="30" t="str">
        <f>IF($AH170="","",IF($AH170&lt;Settings!$C$46,"Extreme Sell Pressure",IF($AH170&lt;Settings!$C$47,"Sell Pressure",IF($AH170&lt;=Settings!$C$48,"Neutral",IF($AH170&lt;=Settings!$C$49,"Buy Pressure","Extreme Buy Pressure")))))</f>
        <v/>
      </c>
      <c r="AK170" s="30" t="str">
        <f t="shared" si="45"/>
        <v/>
      </c>
      <c r="AL170" s="30" t="str">
        <f t="shared" si="46"/>
        <v/>
      </c>
      <c r="AM170" s="30" t="str">
        <f t="shared" si="47"/>
        <v/>
      </c>
      <c r="AN170" s="30" t="str">
        <f t="shared" si="48"/>
        <v/>
      </c>
      <c r="AO170" s="29" t="str">
        <f>IF($B170="","",IF(AND(N($L170)=0,N($M170)=0),50,IF(N($M170)=0,100,IF(N($L170)=0,0,MEDIAN(0,100,50+50*LN($S170)/LN(Settings!$C$40))))))</f>
        <v/>
      </c>
      <c r="AP170" s="29">
        <f>IF($AA170="",50,MEDIAN(0,100,50+$AA170*100*Settings!$C$41))</f>
        <v>50</v>
      </c>
      <c r="AQ170" s="29">
        <f>IF($H170="",50,MEDIAN(0,100,50+$H170*100*Settings!$C$42))</f>
        <v>50</v>
      </c>
      <c r="AR170" s="29">
        <f>IF(OR($AC170="",$H170=""),50,MEDIAN(0,100,50+SIGN($H170)*50*MEDIAN(0,1,($AC170-1)/Settings!$C$43)))</f>
        <v>50</v>
      </c>
      <c r="AS170" s="29">
        <f>IF(OR($V170="",$W170=""),50,MEDIAN(0,100,50+50*($V170-$W170)/Settings!$C$44))</f>
        <v>50</v>
      </c>
      <c r="AT170" s="29">
        <f t="shared" si="49"/>
        <v>50</v>
      </c>
      <c r="AU170" s="30" t="str">
        <f t="shared" si="50"/>
        <v/>
      </c>
      <c r="AV170" s="87" t="str">
        <f>IF($A170="","",IF(COUNTIFS($A$4:$A170,$A170)=1,1,0))</f>
        <v/>
      </c>
    </row>
    <row r="171" spans="1:48" x14ac:dyDescent="0.3">
      <c r="A171" s="265"/>
      <c r="B171" s="266"/>
      <c r="C171" s="267"/>
      <c r="D171" s="267"/>
      <c r="E171" s="267"/>
      <c r="F171" s="267"/>
      <c r="G171" s="267"/>
      <c r="H171" s="268" t="str">
        <f t="shared" si="34"/>
        <v/>
      </c>
      <c r="I171" s="269"/>
      <c r="J171" s="269"/>
      <c r="K171" s="269"/>
      <c r="L171" s="269"/>
      <c r="M171" s="269"/>
      <c r="N171" s="269"/>
      <c r="O171" s="266"/>
      <c r="P171" s="265"/>
      <c r="Q171" s="266"/>
      <c r="R171" s="23" t="str" cm="1">
        <f t="array" ref="R171">IF($B171="","",IFERROR(IF(INDEX('Data Quality'!$U$4:$U$503,ROW()-3)=0,"PENDING",INDEX('Data Quality'!$U$4:$U$503,ROW()-3)),"PENDING"))</f>
        <v/>
      </c>
      <c r="S171" s="24" t="str">
        <f t="shared" si="35"/>
        <v/>
      </c>
      <c r="T171" s="25" t="str">
        <f t="shared" si="36"/>
        <v/>
      </c>
      <c r="U171" s="25" t="str">
        <f t="shared" si="37"/>
        <v/>
      </c>
      <c r="V171" s="26" t="str">
        <f t="shared" si="38"/>
        <v/>
      </c>
      <c r="W171" s="26" t="str">
        <f t="shared" si="39"/>
        <v/>
      </c>
      <c r="X171" s="25" t="str">
        <f t="shared" si="40"/>
        <v/>
      </c>
      <c r="Y171" s="25" t="str">
        <f t="shared" si="41"/>
        <v/>
      </c>
      <c r="Z171" s="27" t="str">
        <f>IF($B171="","",IF($AK171&lt;=Settings!$C$21,"",IFERROR(AVERAGEIFS($S$4:$S$503,$B$4:$B$503,$B171,$AK$4:$AK$503,"&gt;="&amp;$AK171-Settings!$C$21,$AK$4:$AK$503,"&lt;="&amp;$AK171-1),"")))</f>
        <v/>
      </c>
      <c r="AA171" s="28" t="str">
        <f t="shared" si="42"/>
        <v/>
      </c>
      <c r="AB171" s="25" t="str">
        <f>IF($B171="","",IF($AK171&lt;=Settings!$C$22,"",IFERROR(AVERAGEIFS($K$4:$K$503,$B$4:$B$503,$B171,$AK$4:$AK$503,"&gt;="&amp;$AK171-Settings!$C$22,$AK$4:$AK$503,"&lt;="&amp;$AK171-1),"")))</f>
        <v/>
      </c>
      <c r="AC171" s="27" t="str">
        <f t="shared" si="43"/>
        <v/>
      </c>
      <c r="AD171" s="28" t="str">
        <f>IF($B171="","",IF($AK171&lt;=Settings!$C$23,"",IFERROR($E171/SUMIFS($E$4:$E$503,$B$4:$B$503,$B171,$AK$4:$AK$503,$AK171-Settings!$C$23)-1,"")))</f>
        <v/>
      </c>
      <c r="AE171" s="28" t="str">
        <f>IF($B171="","",IF($AK171&lt;=Settings!$C$22,"",IFERROR($E171/SUMIFS($E$4:$E$503,$B$4:$B$503,$B171,$AK$4:$AK$503,$AK171-Settings!$C$22)-1,"")))</f>
        <v/>
      </c>
      <c r="AF171" s="28" t="str">
        <f t="shared" si="44"/>
        <v/>
      </c>
      <c r="AG171" s="29" t="str">
        <f>IF($B171="","",ROUND((MIN(100,100*N($I171)/Settings!$C$27)+MIN(100,100*N($K171)/Settings!$C$28)+MIN(100,100*N($J171)/Settings!$C$29))/3,1))</f>
        <v/>
      </c>
      <c r="AH171" s="29" t="str">
        <f>IF($B171="","",IF(SUM(Settings!$C$32:$C$37)=0,"",ROUND((Settings!$C$32*$AO171+Settings!$C$33*$AP171+Settings!$C$34*$AQ171+Settings!$C$35*$AR171+Settings!$C$36*$AS171+Settings!$C$37*$AT171)/SUM(Settings!$C$32:$C$37),1)))</f>
        <v/>
      </c>
      <c r="AI171" s="29" t="str">
        <f>IF($B171="","",MAX(0,100-IF(N($N171)&gt;0,0,20)-IF(AND(N($L171)=0,N($M171)=0),15,0)-IF(N($J171)&gt;0,0,10)-IF(N($K171)&gt;0,0,10)-IF($Z171&lt;&gt;"",0,15)-IF($AB171&lt;&gt;"",0,10)-IF($R171="ERROR",20,IF($R171="WARNING",10,0))))</f>
        <v/>
      </c>
      <c r="AJ171" s="30" t="str">
        <f>IF($AH171="","",IF($AH171&lt;Settings!$C$46,"Extreme Sell Pressure",IF($AH171&lt;Settings!$C$47,"Sell Pressure",IF($AH171&lt;=Settings!$C$48,"Neutral",IF($AH171&lt;=Settings!$C$49,"Buy Pressure","Extreme Buy Pressure")))))</f>
        <v/>
      </c>
      <c r="AK171" s="30" t="str">
        <f t="shared" si="45"/>
        <v/>
      </c>
      <c r="AL171" s="30" t="str">
        <f t="shared" si="46"/>
        <v/>
      </c>
      <c r="AM171" s="30" t="str">
        <f t="shared" si="47"/>
        <v/>
      </c>
      <c r="AN171" s="30" t="str">
        <f t="shared" si="48"/>
        <v/>
      </c>
      <c r="AO171" s="29" t="str">
        <f>IF($B171="","",IF(AND(N($L171)=0,N($M171)=0),50,IF(N($M171)=0,100,IF(N($L171)=0,0,MEDIAN(0,100,50+50*LN($S171)/LN(Settings!$C$40))))))</f>
        <v/>
      </c>
      <c r="AP171" s="29">
        <f>IF($AA171="",50,MEDIAN(0,100,50+$AA171*100*Settings!$C$41))</f>
        <v>50</v>
      </c>
      <c r="AQ171" s="29">
        <f>IF($H171="",50,MEDIAN(0,100,50+$H171*100*Settings!$C$42))</f>
        <v>50</v>
      </c>
      <c r="AR171" s="29">
        <f>IF(OR($AC171="",$H171=""),50,MEDIAN(0,100,50+SIGN($H171)*50*MEDIAN(0,1,($AC171-1)/Settings!$C$43)))</f>
        <v>50</v>
      </c>
      <c r="AS171" s="29">
        <f>IF(OR($V171="",$W171=""),50,MEDIAN(0,100,50+50*($V171-$W171)/Settings!$C$44))</f>
        <v>50</v>
      </c>
      <c r="AT171" s="29">
        <f t="shared" si="49"/>
        <v>50</v>
      </c>
      <c r="AU171" s="30" t="str">
        <f t="shared" si="50"/>
        <v/>
      </c>
      <c r="AV171" s="87" t="str">
        <f>IF($A171="","",IF(COUNTIFS($A$4:$A171,$A171)=1,1,0))</f>
        <v/>
      </c>
    </row>
    <row r="172" spans="1:48" x14ac:dyDescent="0.3">
      <c r="A172" s="265"/>
      <c r="B172" s="266"/>
      <c r="C172" s="267"/>
      <c r="D172" s="267"/>
      <c r="E172" s="267"/>
      <c r="F172" s="267"/>
      <c r="G172" s="267"/>
      <c r="H172" s="268" t="str">
        <f t="shared" si="34"/>
        <v/>
      </c>
      <c r="I172" s="269"/>
      <c r="J172" s="269"/>
      <c r="K172" s="269"/>
      <c r="L172" s="269"/>
      <c r="M172" s="269"/>
      <c r="N172" s="269"/>
      <c r="O172" s="266"/>
      <c r="P172" s="265"/>
      <c r="Q172" s="266"/>
      <c r="R172" s="23" t="str" cm="1">
        <f t="array" ref="R172">IF($B172="","",IFERROR(IF(INDEX('Data Quality'!$U$4:$U$503,ROW()-3)=0,"PENDING",INDEX('Data Quality'!$U$4:$U$503,ROW()-3)),"PENDING"))</f>
        <v/>
      </c>
      <c r="S172" s="24" t="str">
        <f t="shared" si="35"/>
        <v/>
      </c>
      <c r="T172" s="25" t="str">
        <f t="shared" si="36"/>
        <v/>
      </c>
      <c r="U172" s="25" t="str">
        <f t="shared" si="37"/>
        <v/>
      </c>
      <c r="V172" s="26" t="str">
        <f t="shared" si="38"/>
        <v/>
      </c>
      <c r="W172" s="26" t="str">
        <f t="shared" si="39"/>
        <v/>
      </c>
      <c r="X172" s="25" t="str">
        <f t="shared" si="40"/>
        <v/>
      </c>
      <c r="Y172" s="25" t="str">
        <f t="shared" si="41"/>
        <v/>
      </c>
      <c r="Z172" s="27" t="str">
        <f>IF($B172="","",IF($AK172&lt;=Settings!$C$21,"",IFERROR(AVERAGEIFS($S$4:$S$503,$B$4:$B$503,$B172,$AK$4:$AK$503,"&gt;="&amp;$AK172-Settings!$C$21,$AK$4:$AK$503,"&lt;="&amp;$AK172-1),"")))</f>
        <v/>
      </c>
      <c r="AA172" s="28" t="str">
        <f t="shared" si="42"/>
        <v/>
      </c>
      <c r="AB172" s="25" t="str">
        <f>IF($B172="","",IF($AK172&lt;=Settings!$C$22,"",IFERROR(AVERAGEIFS($K$4:$K$503,$B$4:$B$503,$B172,$AK$4:$AK$503,"&gt;="&amp;$AK172-Settings!$C$22,$AK$4:$AK$503,"&lt;="&amp;$AK172-1),"")))</f>
        <v/>
      </c>
      <c r="AC172" s="27" t="str">
        <f t="shared" si="43"/>
        <v/>
      </c>
      <c r="AD172" s="28" t="str">
        <f>IF($B172="","",IF($AK172&lt;=Settings!$C$23,"",IFERROR($E172/SUMIFS($E$4:$E$503,$B$4:$B$503,$B172,$AK$4:$AK$503,$AK172-Settings!$C$23)-1,"")))</f>
        <v/>
      </c>
      <c r="AE172" s="28" t="str">
        <f>IF($B172="","",IF($AK172&lt;=Settings!$C$22,"",IFERROR($E172/SUMIFS($E$4:$E$503,$B$4:$B$503,$B172,$AK$4:$AK$503,$AK172-Settings!$C$22)-1,"")))</f>
        <v/>
      </c>
      <c r="AF172" s="28" t="str">
        <f t="shared" si="44"/>
        <v/>
      </c>
      <c r="AG172" s="29" t="str">
        <f>IF($B172="","",ROUND((MIN(100,100*N($I172)/Settings!$C$27)+MIN(100,100*N($K172)/Settings!$C$28)+MIN(100,100*N($J172)/Settings!$C$29))/3,1))</f>
        <v/>
      </c>
      <c r="AH172" s="29" t="str">
        <f>IF($B172="","",IF(SUM(Settings!$C$32:$C$37)=0,"",ROUND((Settings!$C$32*$AO172+Settings!$C$33*$AP172+Settings!$C$34*$AQ172+Settings!$C$35*$AR172+Settings!$C$36*$AS172+Settings!$C$37*$AT172)/SUM(Settings!$C$32:$C$37),1)))</f>
        <v/>
      </c>
      <c r="AI172" s="29" t="str">
        <f>IF($B172="","",MAX(0,100-IF(N($N172)&gt;0,0,20)-IF(AND(N($L172)=0,N($M172)=0),15,0)-IF(N($J172)&gt;0,0,10)-IF(N($K172)&gt;0,0,10)-IF($Z172&lt;&gt;"",0,15)-IF($AB172&lt;&gt;"",0,10)-IF($R172="ERROR",20,IF($R172="WARNING",10,0))))</f>
        <v/>
      </c>
      <c r="AJ172" s="30" t="str">
        <f>IF($AH172="","",IF($AH172&lt;Settings!$C$46,"Extreme Sell Pressure",IF($AH172&lt;Settings!$C$47,"Sell Pressure",IF($AH172&lt;=Settings!$C$48,"Neutral",IF($AH172&lt;=Settings!$C$49,"Buy Pressure","Extreme Buy Pressure")))))</f>
        <v/>
      </c>
      <c r="AK172" s="30" t="str">
        <f t="shared" si="45"/>
        <v/>
      </c>
      <c r="AL172" s="30" t="str">
        <f t="shared" si="46"/>
        <v/>
      </c>
      <c r="AM172" s="30" t="str">
        <f t="shared" si="47"/>
        <v/>
      </c>
      <c r="AN172" s="30" t="str">
        <f t="shared" si="48"/>
        <v/>
      </c>
      <c r="AO172" s="29" t="str">
        <f>IF($B172="","",IF(AND(N($L172)=0,N($M172)=0),50,IF(N($M172)=0,100,IF(N($L172)=0,0,MEDIAN(0,100,50+50*LN($S172)/LN(Settings!$C$40))))))</f>
        <v/>
      </c>
      <c r="AP172" s="29">
        <f>IF($AA172="",50,MEDIAN(0,100,50+$AA172*100*Settings!$C$41))</f>
        <v>50</v>
      </c>
      <c r="AQ172" s="29">
        <f>IF($H172="",50,MEDIAN(0,100,50+$H172*100*Settings!$C$42))</f>
        <v>50</v>
      </c>
      <c r="AR172" s="29">
        <f>IF(OR($AC172="",$H172=""),50,MEDIAN(0,100,50+SIGN($H172)*50*MEDIAN(0,1,($AC172-1)/Settings!$C$43)))</f>
        <v>50</v>
      </c>
      <c r="AS172" s="29">
        <f>IF(OR($V172="",$W172=""),50,MEDIAN(0,100,50+50*($V172-$W172)/Settings!$C$44))</f>
        <v>50</v>
      </c>
      <c r="AT172" s="29">
        <f t="shared" si="49"/>
        <v>50</v>
      </c>
      <c r="AU172" s="30" t="str">
        <f t="shared" si="50"/>
        <v/>
      </c>
      <c r="AV172" s="87" t="str">
        <f>IF($A172="","",IF(COUNTIFS($A$4:$A172,$A172)=1,1,0))</f>
        <v/>
      </c>
    </row>
    <row r="173" spans="1:48" x14ac:dyDescent="0.3">
      <c r="A173" s="265"/>
      <c r="B173" s="266"/>
      <c r="C173" s="267"/>
      <c r="D173" s="267"/>
      <c r="E173" s="267"/>
      <c r="F173" s="267"/>
      <c r="G173" s="267"/>
      <c r="H173" s="268" t="str">
        <f t="shared" si="34"/>
        <v/>
      </c>
      <c r="I173" s="269"/>
      <c r="J173" s="269"/>
      <c r="K173" s="269"/>
      <c r="L173" s="269"/>
      <c r="M173" s="269"/>
      <c r="N173" s="269"/>
      <c r="O173" s="266"/>
      <c r="P173" s="265"/>
      <c r="Q173" s="266"/>
      <c r="R173" s="23" t="str" cm="1">
        <f t="array" ref="R173">IF($B173="","",IFERROR(IF(INDEX('Data Quality'!$U$4:$U$503,ROW()-3)=0,"PENDING",INDEX('Data Quality'!$U$4:$U$503,ROW()-3)),"PENDING"))</f>
        <v/>
      </c>
      <c r="S173" s="24" t="str">
        <f t="shared" si="35"/>
        <v/>
      </c>
      <c r="T173" s="25" t="str">
        <f t="shared" si="36"/>
        <v/>
      </c>
      <c r="U173" s="25" t="str">
        <f t="shared" si="37"/>
        <v/>
      </c>
      <c r="V173" s="26" t="str">
        <f t="shared" si="38"/>
        <v/>
      </c>
      <c r="W173" s="26" t="str">
        <f t="shared" si="39"/>
        <v/>
      </c>
      <c r="X173" s="25" t="str">
        <f t="shared" si="40"/>
        <v/>
      </c>
      <c r="Y173" s="25" t="str">
        <f t="shared" si="41"/>
        <v/>
      </c>
      <c r="Z173" s="27" t="str">
        <f>IF($B173="","",IF($AK173&lt;=Settings!$C$21,"",IFERROR(AVERAGEIFS($S$4:$S$503,$B$4:$B$503,$B173,$AK$4:$AK$503,"&gt;="&amp;$AK173-Settings!$C$21,$AK$4:$AK$503,"&lt;="&amp;$AK173-1),"")))</f>
        <v/>
      </c>
      <c r="AA173" s="28" t="str">
        <f t="shared" si="42"/>
        <v/>
      </c>
      <c r="AB173" s="25" t="str">
        <f>IF($B173="","",IF($AK173&lt;=Settings!$C$22,"",IFERROR(AVERAGEIFS($K$4:$K$503,$B$4:$B$503,$B173,$AK$4:$AK$503,"&gt;="&amp;$AK173-Settings!$C$22,$AK$4:$AK$503,"&lt;="&amp;$AK173-1),"")))</f>
        <v/>
      </c>
      <c r="AC173" s="27" t="str">
        <f t="shared" si="43"/>
        <v/>
      </c>
      <c r="AD173" s="28" t="str">
        <f>IF($B173="","",IF($AK173&lt;=Settings!$C$23,"",IFERROR($E173/SUMIFS($E$4:$E$503,$B$4:$B$503,$B173,$AK$4:$AK$503,$AK173-Settings!$C$23)-1,"")))</f>
        <v/>
      </c>
      <c r="AE173" s="28" t="str">
        <f>IF($B173="","",IF($AK173&lt;=Settings!$C$22,"",IFERROR($E173/SUMIFS($E$4:$E$503,$B$4:$B$503,$B173,$AK$4:$AK$503,$AK173-Settings!$C$22)-1,"")))</f>
        <v/>
      </c>
      <c r="AF173" s="28" t="str">
        <f t="shared" si="44"/>
        <v/>
      </c>
      <c r="AG173" s="29" t="str">
        <f>IF($B173="","",ROUND((MIN(100,100*N($I173)/Settings!$C$27)+MIN(100,100*N($K173)/Settings!$C$28)+MIN(100,100*N($J173)/Settings!$C$29))/3,1))</f>
        <v/>
      </c>
      <c r="AH173" s="29" t="str">
        <f>IF($B173="","",IF(SUM(Settings!$C$32:$C$37)=0,"",ROUND((Settings!$C$32*$AO173+Settings!$C$33*$AP173+Settings!$C$34*$AQ173+Settings!$C$35*$AR173+Settings!$C$36*$AS173+Settings!$C$37*$AT173)/SUM(Settings!$C$32:$C$37),1)))</f>
        <v/>
      </c>
      <c r="AI173" s="29" t="str">
        <f>IF($B173="","",MAX(0,100-IF(N($N173)&gt;0,0,20)-IF(AND(N($L173)=0,N($M173)=0),15,0)-IF(N($J173)&gt;0,0,10)-IF(N($K173)&gt;0,0,10)-IF($Z173&lt;&gt;"",0,15)-IF($AB173&lt;&gt;"",0,10)-IF($R173="ERROR",20,IF($R173="WARNING",10,0))))</f>
        <v/>
      </c>
      <c r="AJ173" s="30" t="str">
        <f>IF($AH173="","",IF($AH173&lt;Settings!$C$46,"Extreme Sell Pressure",IF($AH173&lt;Settings!$C$47,"Sell Pressure",IF($AH173&lt;=Settings!$C$48,"Neutral",IF($AH173&lt;=Settings!$C$49,"Buy Pressure","Extreme Buy Pressure")))))</f>
        <v/>
      </c>
      <c r="AK173" s="30" t="str">
        <f t="shared" si="45"/>
        <v/>
      </c>
      <c r="AL173" s="30" t="str">
        <f t="shared" si="46"/>
        <v/>
      </c>
      <c r="AM173" s="30" t="str">
        <f t="shared" si="47"/>
        <v/>
      </c>
      <c r="AN173" s="30" t="str">
        <f t="shared" si="48"/>
        <v/>
      </c>
      <c r="AO173" s="29" t="str">
        <f>IF($B173="","",IF(AND(N($L173)=0,N($M173)=0),50,IF(N($M173)=0,100,IF(N($L173)=0,0,MEDIAN(0,100,50+50*LN($S173)/LN(Settings!$C$40))))))</f>
        <v/>
      </c>
      <c r="AP173" s="29">
        <f>IF($AA173="",50,MEDIAN(0,100,50+$AA173*100*Settings!$C$41))</f>
        <v>50</v>
      </c>
      <c r="AQ173" s="29">
        <f>IF($H173="",50,MEDIAN(0,100,50+$H173*100*Settings!$C$42))</f>
        <v>50</v>
      </c>
      <c r="AR173" s="29">
        <f>IF(OR($AC173="",$H173=""),50,MEDIAN(0,100,50+SIGN($H173)*50*MEDIAN(0,1,($AC173-1)/Settings!$C$43)))</f>
        <v>50</v>
      </c>
      <c r="AS173" s="29">
        <f>IF(OR($V173="",$W173=""),50,MEDIAN(0,100,50+50*($V173-$W173)/Settings!$C$44))</f>
        <v>50</v>
      </c>
      <c r="AT173" s="29">
        <f t="shared" si="49"/>
        <v>50</v>
      </c>
      <c r="AU173" s="30" t="str">
        <f t="shared" si="50"/>
        <v/>
      </c>
      <c r="AV173" s="87" t="str">
        <f>IF($A173="","",IF(COUNTIFS($A$4:$A173,$A173)=1,1,0))</f>
        <v/>
      </c>
    </row>
    <row r="174" spans="1:48" x14ac:dyDescent="0.3">
      <c r="A174" s="265"/>
      <c r="B174" s="266"/>
      <c r="C174" s="267"/>
      <c r="D174" s="267"/>
      <c r="E174" s="267"/>
      <c r="F174" s="267"/>
      <c r="G174" s="267"/>
      <c r="H174" s="268" t="str">
        <f t="shared" si="34"/>
        <v/>
      </c>
      <c r="I174" s="269"/>
      <c r="J174" s="269"/>
      <c r="K174" s="269"/>
      <c r="L174" s="269"/>
      <c r="M174" s="269"/>
      <c r="N174" s="269"/>
      <c r="O174" s="266"/>
      <c r="P174" s="265"/>
      <c r="Q174" s="266"/>
      <c r="R174" s="23" t="str" cm="1">
        <f t="array" ref="R174">IF($B174="","",IFERROR(IF(INDEX('Data Quality'!$U$4:$U$503,ROW()-3)=0,"PENDING",INDEX('Data Quality'!$U$4:$U$503,ROW()-3)),"PENDING"))</f>
        <v/>
      </c>
      <c r="S174" s="24" t="str">
        <f t="shared" si="35"/>
        <v/>
      </c>
      <c r="T174" s="25" t="str">
        <f t="shared" si="36"/>
        <v/>
      </c>
      <c r="U174" s="25" t="str">
        <f t="shared" si="37"/>
        <v/>
      </c>
      <c r="V174" s="26" t="str">
        <f t="shared" si="38"/>
        <v/>
      </c>
      <c r="W174" s="26" t="str">
        <f t="shared" si="39"/>
        <v/>
      </c>
      <c r="X174" s="25" t="str">
        <f t="shared" si="40"/>
        <v/>
      </c>
      <c r="Y174" s="25" t="str">
        <f t="shared" si="41"/>
        <v/>
      </c>
      <c r="Z174" s="27" t="str">
        <f>IF($B174="","",IF($AK174&lt;=Settings!$C$21,"",IFERROR(AVERAGEIFS($S$4:$S$503,$B$4:$B$503,$B174,$AK$4:$AK$503,"&gt;="&amp;$AK174-Settings!$C$21,$AK$4:$AK$503,"&lt;="&amp;$AK174-1),"")))</f>
        <v/>
      </c>
      <c r="AA174" s="28" t="str">
        <f t="shared" si="42"/>
        <v/>
      </c>
      <c r="AB174" s="25" t="str">
        <f>IF($B174="","",IF($AK174&lt;=Settings!$C$22,"",IFERROR(AVERAGEIFS($K$4:$K$503,$B$4:$B$503,$B174,$AK$4:$AK$503,"&gt;="&amp;$AK174-Settings!$C$22,$AK$4:$AK$503,"&lt;="&amp;$AK174-1),"")))</f>
        <v/>
      </c>
      <c r="AC174" s="27" t="str">
        <f t="shared" si="43"/>
        <v/>
      </c>
      <c r="AD174" s="28" t="str">
        <f>IF($B174="","",IF($AK174&lt;=Settings!$C$23,"",IFERROR($E174/SUMIFS($E$4:$E$503,$B$4:$B$503,$B174,$AK$4:$AK$503,$AK174-Settings!$C$23)-1,"")))</f>
        <v/>
      </c>
      <c r="AE174" s="28" t="str">
        <f>IF($B174="","",IF($AK174&lt;=Settings!$C$22,"",IFERROR($E174/SUMIFS($E$4:$E$503,$B$4:$B$503,$B174,$AK$4:$AK$503,$AK174-Settings!$C$22)-1,"")))</f>
        <v/>
      </c>
      <c r="AF174" s="28" t="str">
        <f t="shared" si="44"/>
        <v/>
      </c>
      <c r="AG174" s="29" t="str">
        <f>IF($B174="","",ROUND((MIN(100,100*N($I174)/Settings!$C$27)+MIN(100,100*N($K174)/Settings!$C$28)+MIN(100,100*N($J174)/Settings!$C$29))/3,1))</f>
        <v/>
      </c>
      <c r="AH174" s="29" t="str">
        <f>IF($B174="","",IF(SUM(Settings!$C$32:$C$37)=0,"",ROUND((Settings!$C$32*$AO174+Settings!$C$33*$AP174+Settings!$C$34*$AQ174+Settings!$C$35*$AR174+Settings!$C$36*$AS174+Settings!$C$37*$AT174)/SUM(Settings!$C$32:$C$37),1)))</f>
        <v/>
      </c>
      <c r="AI174" s="29" t="str">
        <f>IF($B174="","",MAX(0,100-IF(N($N174)&gt;0,0,20)-IF(AND(N($L174)=0,N($M174)=0),15,0)-IF(N($J174)&gt;0,0,10)-IF(N($K174)&gt;0,0,10)-IF($Z174&lt;&gt;"",0,15)-IF($AB174&lt;&gt;"",0,10)-IF($R174="ERROR",20,IF($R174="WARNING",10,0))))</f>
        <v/>
      </c>
      <c r="AJ174" s="30" t="str">
        <f>IF($AH174="","",IF($AH174&lt;Settings!$C$46,"Extreme Sell Pressure",IF($AH174&lt;Settings!$C$47,"Sell Pressure",IF($AH174&lt;=Settings!$C$48,"Neutral",IF($AH174&lt;=Settings!$C$49,"Buy Pressure","Extreme Buy Pressure")))))</f>
        <v/>
      </c>
      <c r="AK174" s="30" t="str">
        <f t="shared" si="45"/>
        <v/>
      </c>
      <c r="AL174" s="30" t="str">
        <f t="shared" si="46"/>
        <v/>
      </c>
      <c r="AM174" s="30" t="str">
        <f t="shared" si="47"/>
        <v/>
      </c>
      <c r="AN174" s="30" t="str">
        <f t="shared" si="48"/>
        <v/>
      </c>
      <c r="AO174" s="29" t="str">
        <f>IF($B174="","",IF(AND(N($L174)=0,N($M174)=0),50,IF(N($M174)=0,100,IF(N($L174)=0,0,MEDIAN(0,100,50+50*LN($S174)/LN(Settings!$C$40))))))</f>
        <v/>
      </c>
      <c r="AP174" s="29">
        <f>IF($AA174="",50,MEDIAN(0,100,50+$AA174*100*Settings!$C$41))</f>
        <v>50</v>
      </c>
      <c r="AQ174" s="29">
        <f>IF($H174="",50,MEDIAN(0,100,50+$H174*100*Settings!$C$42))</f>
        <v>50</v>
      </c>
      <c r="AR174" s="29">
        <f>IF(OR($AC174="",$H174=""),50,MEDIAN(0,100,50+SIGN($H174)*50*MEDIAN(0,1,($AC174-1)/Settings!$C$43)))</f>
        <v>50</v>
      </c>
      <c r="AS174" s="29">
        <f>IF(OR($V174="",$W174=""),50,MEDIAN(0,100,50+50*($V174-$W174)/Settings!$C$44))</f>
        <v>50</v>
      </c>
      <c r="AT174" s="29">
        <f t="shared" si="49"/>
        <v>50</v>
      </c>
      <c r="AU174" s="30" t="str">
        <f t="shared" si="50"/>
        <v/>
      </c>
      <c r="AV174" s="87" t="str">
        <f>IF($A174="","",IF(COUNTIFS($A$4:$A174,$A174)=1,1,0))</f>
        <v/>
      </c>
    </row>
    <row r="175" spans="1:48" x14ac:dyDescent="0.3">
      <c r="A175" s="265"/>
      <c r="B175" s="266"/>
      <c r="C175" s="267"/>
      <c r="D175" s="267"/>
      <c r="E175" s="267"/>
      <c r="F175" s="267"/>
      <c r="G175" s="267"/>
      <c r="H175" s="268" t="str">
        <f t="shared" si="34"/>
        <v/>
      </c>
      <c r="I175" s="269"/>
      <c r="J175" s="269"/>
      <c r="K175" s="269"/>
      <c r="L175" s="269"/>
      <c r="M175" s="269"/>
      <c r="N175" s="269"/>
      <c r="O175" s="266"/>
      <c r="P175" s="265"/>
      <c r="Q175" s="266"/>
      <c r="R175" s="23" t="str" cm="1">
        <f t="array" ref="R175">IF($B175="","",IFERROR(IF(INDEX('Data Quality'!$U$4:$U$503,ROW()-3)=0,"PENDING",INDEX('Data Quality'!$U$4:$U$503,ROW()-3)),"PENDING"))</f>
        <v/>
      </c>
      <c r="S175" s="24" t="str">
        <f t="shared" si="35"/>
        <v/>
      </c>
      <c r="T175" s="25" t="str">
        <f t="shared" si="36"/>
        <v/>
      </c>
      <c r="U175" s="25" t="str">
        <f t="shared" si="37"/>
        <v/>
      </c>
      <c r="V175" s="26" t="str">
        <f t="shared" si="38"/>
        <v/>
      </c>
      <c r="W175" s="26" t="str">
        <f t="shared" si="39"/>
        <v/>
      </c>
      <c r="X175" s="25" t="str">
        <f t="shared" si="40"/>
        <v/>
      </c>
      <c r="Y175" s="25" t="str">
        <f t="shared" si="41"/>
        <v/>
      </c>
      <c r="Z175" s="27" t="str">
        <f>IF($B175="","",IF($AK175&lt;=Settings!$C$21,"",IFERROR(AVERAGEIFS($S$4:$S$503,$B$4:$B$503,$B175,$AK$4:$AK$503,"&gt;="&amp;$AK175-Settings!$C$21,$AK$4:$AK$503,"&lt;="&amp;$AK175-1),"")))</f>
        <v/>
      </c>
      <c r="AA175" s="28" t="str">
        <f t="shared" si="42"/>
        <v/>
      </c>
      <c r="AB175" s="25" t="str">
        <f>IF($B175="","",IF($AK175&lt;=Settings!$C$22,"",IFERROR(AVERAGEIFS($K$4:$K$503,$B$4:$B$503,$B175,$AK$4:$AK$503,"&gt;="&amp;$AK175-Settings!$C$22,$AK$4:$AK$503,"&lt;="&amp;$AK175-1),"")))</f>
        <v/>
      </c>
      <c r="AC175" s="27" t="str">
        <f t="shared" si="43"/>
        <v/>
      </c>
      <c r="AD175" s="28" t="str">
        <f>IF($B175="","",IF($AK175&lt;=Settings!$C$23,"",IFERROR($E175/SUMIFS($E$4:$E$503,$B$4:$B$503,$B175,$AK$4:$AK$503,$AK175-Settings!$C$23)-1,"")))</f>
        <v/>
      </c>
      <c r="AE175" s="28" t="str">
        <f>IF($B175="","",IF($AK175&lt;=Settings!$C$22,"",IFERROR($E175/SUMIFS($E$4:$E$503,$B$4:$B$503,$B175,$AK$4:$AK$503,$AK175-Settings!$C$22)-1,"")))</f>
        <v/>
      </c>
      <c r="AF175" s="28" t="str">
        <f t="shared" si="44"/>
        <v/>
      </c>
      <c r="AG175" s="29" t="str">
        <f>IF($B175="","",ROUND((MIN(100,100*N($I175)/Settings!$C$27)+MIN(100,100*N($K175)/Settings!$C$28)+MIN(100,100*N($J175)/Settings!$C$29))/3,1))</f>
        <v/>
      </c>
      <c r="AH175" s="29" t="str">
        <f>IF($B175="","",IF(SUM(Settings!$C$32:$C$37)=0,"",ROUND((Settings!$C$32*$AO175+Settings!$C$33*$AP175+Settings!$C$34*$AQ175+Settings!$C$35*$AR175+Settings!$C$36*$AS175+Settings!$C$37*$AT175)/SUM(Settings!$C$32:$C$37),1)))</f>
        <v/>
      </c>
      <c r="AI175" s="29" t="str">
        <f>IF($B175="","",MAX(0,100-IF(N($N175)&gt;0,0,20)-IF(AND(N($L175)=0,N($M175)=0),15,0)-IF(N($J175)&gt;0,0,10)-IF(N($K175)&gt;0,0,10)-IF($Z175&lt;&gt;"",0,15)-IF($AB175&lt;&gt;"",0,10)-IF($R175="ERROR",20,IF($R175="WARNING",10,0))))</f>
        <v/>
      </c>
      <c r="AJ175" s="30" t="str">
        <f>IF($AH175="","",IF($AH175&lt;Settings!$C$46,"Extreme Sell Pressure",IF($AH175&lt;Settings!$C$47,"Sell Pressure",IF($AH175&lt;=Settings!$C$48,"Neutral",IF($AH175&lt;=Settings!$C$49,"Buy Pressure","Extreme Buy Pressure")))))</f>
        <v/>
      </c>
      <c r="AK175" s="30" t="str">
        <f t="shared" si="45"/>
        <v/>
      </c>
      <c r="AL175" s="30" t="str">
        <f t="shared" si="46"/>
        <v/>
      </c>
      <c r="AM175" s="30" t="str">
        <f t="shared" si="47"/>
        <v/>
      </c>
      <c r="AN175" s="30" t="str">
        <f t="shared" si="48"/>
        <v/>
      </c>
      <c r="AO175" s="29" t="str">
        <f>IF($B175="","",IF(AND(N($L175)=0,N($M175)=0),50,IF(N($M175)=0,100,IF(N($L175)=0,0,MEDIAN(0,100,50+50*LN($S175)/LN(Settings!$C$40))))))</f>
        <v/>
      </c>
      <c r="AP175" s="29">
        <f>IF($AA175="",50,MEDIAN(0,100,50+$AA175*100*Settings!$C$41))</f>
        <v>50</v>
      </c>
      <c r="AQ175" s="29">
        <f>IF($H175="",50,MEDIAN(0,100,50+$H175*100*Settings!$C$42))</f>
        <v>50</v>
      </c>
      <c r="AR175" s="29">
        <f>IF(OR($AC175="",$H175=""),50,MEDIAN(0,100,50+SIGN($H175)*50*MEDIAN(0,1,($AC175-1)/Settings!$C$43)))</f>
        <v>50</v>
      </c>
      <c r="AS175" s="29">
        <f>IF(OR($V175="",$W175=""),50,MEDIAN(0,100,50+50*($V175-$W175)/Settings!$C$44))</f>
        <v>50</v>
      </c>
      <c r="AT175" s="29">
        <f t="shared" si="49"/>
        <v>50</v>
      </c>
      <c r="AU175" s="30" t="str">
        <f t="shared" si="50"/>
        <v/>
      </c>
      <c r="AV175" s="87" t="str">
        <f>IF($A175="","",IF(COUNTIFS($A$4:$A175,$A175)=1,1,0))</f>
        <v/>
      </c>
    </row>
    <row r="176" spans="1:48" x14ac:dyDescent="0.3">
      <c r="A176" s="265"/>
      <c r="B176" s="266"/>
      <c r="C176" s="267"/>
      <c r="D176" s="267"/>
      <c r="E176" s="267"/>
      <c r="F176" s="267"/>
      <c r="G176" s="267"/>
      <c r="H176" s="268" t="str">
        <f t="shared" si="34"/>
        <v/>
      </c>
      <c r="I176" s="269"/>
      <c r="J176" s="269"/>
      <c r="K176" s="269"/>
      <c r="L176" s="269"/>
      <c r="M176" s="269"/>
      <c r="N176" s="269"/>
      <c r="O176" s="266"/>
      <c r="P176" s="265"/>
      <c r="Q176" s="266"/>
      <c r="R176" s="23" t="str" cm="1">
        <f t="array" ref="R176">IF($B176="","",IFERROR(IF(INDEX('Data Quality'!$U$4:$U$503,ROW()-3)=0,"PENDING",INDEX('Data Quality'!$U$4:$U$503,ROW()-3)),"PENDING"))</f>
        <v/>
      </c>
      <c r="S176" s="24" t="str">
        <f t="shared" si="35"/>
        <v/>
      </c>
      <c r="T176" s="25" t="str">
        <f t="shared" si="36"/>
        <v/>
      </c>
      <c r="U176" s="25" t="str">
        <f t="shared" si="37"/>
        <v/>
      </c>
      <c r="V176" s="26" t="str">
        <f t="shared" si="38"/>
        <v/>
      </c>
      <c r="W176" s="26" t="str">
        <f t="shared" si="39"/>
        <v/>
      </c>
      <c r="X176" s="25" t="str">
        <f t="shared" si="40"/>
        <v/>
      </c>
      <c r="Y176" s="25" t="str">
        <f t="shared" si="41"/>
        <v/>
      </c>
      <c r="Z176" s="27" t="str">
        <f>IF($B176="","",IF($AK176&lt;=Settings!$C$21,"",IFERROR(AVERAGEIFS($S$4:$S$503,$B$4:$B$503,$B176,$AK$4:$AK$503,"&gt;="&amp;$AK176-Settings!$C$21,$AK$4:$AK$503,"&lt;="&amp;$AK176-1),"")))</f>
        <v/>
      </c>
      <c r="AA176" s="28" t="str">
        <f t="shared" si="42"/>
        <v/>
      </c>
      <c r="AB176" s="25" t="str">
        <f>IF($B176="","",IF($AK176&lt;=Settings!$C$22,"",IFERROR(AVERAGEIFS($K$4:$K$503,$B$4:$B$503,$B176,$AK$4:$AK$503,"&gt;="&amp;$AK176-Settings!$C$22,$AK$4:$AK$503,"&lt;="&amp;$AK176-1),"")))</f>
        <v/>
      </c>
      <c r="AC176" s="27" t="str">
        <f t="shared" si="43"/>
        <v/>
      </c>
      <c r="AD176" s="28" t="str">
        <f>IF($B176="","",IF($AK176&lt;=Settings!$C$23,"",IFERROR($E176/SUMIFS($E$4:$E$503,$B$4:$B$503,$B176,$AK$4:$AK$503,$AK176-Settings!$C$23)-1,"")))</f>
        <v/>
      </c>
      <c r="AE176" s="28" t="str">
        <f>IF($B176="","",IF($AK176&lt;=Settings!$C$22,"",IFERROR($E176/SUMIFS($E$4:$E$503,$B$4:$B$503,$B176,$AK$4:$AK$503,$AK176-Settings!$C$22)-1,"")))</f>
        <v/>
      </c>
      <c r="AF176" s="28" t="str">
        <f t="shared" si="44"/>
        <v/>
      </c>
      <c r="AG176" s="29" t="str">
        <f>IF($B176="","",ROUND((MIN(100,100*N($I176)/Settings!$C$27)+MIN(100,100*N($K176)/Settings!$C$28)+MIN(100,100*N($J176)/Settings!$C$29))/3,1))</f>
        <v/>
      </c>
      <c r="AH176" s="29" t="str">
        <f>IF($B176="","",IF(SUM(Settings!$C$32:$C$37)=0,"",ROUND((Settings!$C$32*$AO176+Settings!$C$33*$AP176+Settings!$C$34*$AQ176+Settings!$C$35*$AR176+Settings!$C$36*$AS176+Settings!$C$37*$AT176)/SUM(Settings!$C$32:$C$37),1)))</f>
        <v/>
      </c>
      <c r="AI176" s="29" t="str">
        <f>IF($B176="","",MAX(0,100-IF(N($N176)&gt;0,0,20)-IF(AND(N($L176)=0,N($M176)=0),15,0)-IF(N($J176)&gt;0,0,10)-IF(N($K176)&gt;0,0,10)-IF($Z176&lt;&gt;"",0,15)-IF($AB176&lt;&gt;"",0,10)-IF($R176="ERROR",20,IF($R176="WARNING",10,0))))</f>
        <v/>
      </c>
      <c r="AJ176" s="30" t="str">
        <f>IF($AH176="","",IF($AH176&lt;Settings!$C$46,"Extreme Sell Pressure",IF($AH176&lt;Settings!$C$47,"Sell Pressure",IF($AH176&lt;=Settings!$C$48,"Neutral",IF($AH176&lt;=Settings!$C$49,"Buy Pressure","Extreme Buy Pressure")))))</f>
        <v/>
      </c>
      <c r="AK176" s="30" t="str">
        <f t="shared" si="45"/>
        <v/>
      </c>
      <c r="AL176" s="30" t="str">
        <f t="shared" si="46"/>
        <v/>
      </c>
      <c r="AM176" s="30" t="str">
        <f t="shared" si="47"/>
        <v/>
      </c>
      <c r="AN176" s="30" t="str">
        <f t="shared" si="48"/>
        <v/>
      </c>
      <c r="AO176" s="29" t="str">
        <f>IF($B176="","",IF(AND(N($L176)=0,N($M176)=0),50,IF(N($M176)=0,100,IF(N($L176)=0,0,MEDIAN(0,100,50+50*LN($S176)/LN(Settings!$C$40))))))</f>
        <v/>
      </c>
      <c r="AP176" s="29">
        <f>IF($AA176="",50,MEDIAN(0,100,50+$AA176*100*Settings!$C$41))</f>
        <v>50</v>
      </c>
      <c r="AQ176" s="29">
        <f>IF($H176="",50,MEDIAN(0,100,50+$H176*100*Settings!$C$42))</f>
        <v>50</v>
      </c>
      <c r="AR176" s="29">
        <f>IF(OR($AC176="",$H176=""),50,MEDIAN(0,100,50+SIGN($H176)*50*MEDIAN(0,1,($AC176-1)/Settings!$C$43)))</f>
        <v>50</v>
      </c>
      <c r="AS176" s="29">
        <f>IF(OR($V176="",$W176=""),50,MEDIAN(0,100,50+50*($V176-$W176)/Settings!$C$44))</f>
        <v>50</v>
      </c>
      <c r="AT176" s="29">
        <f t="shared" si="49"/>
        <v>50</v>
      </c>
      <c r="AU176" s="30" t="str">
        <f t="shared" si="50"/>
        <v/>
      </c>
      <c r="AV176" s="87" t="str">
        <f>IF($A176="","",IF(COUNTIFS($A$4:$A176,$A176)=1,1,0))</f>
        <v/>
      </c>
    </row>
    <row r="177" spans="1:48" x14ac:dyDescent="0.3">
      <c r="A177" s="265"/>
      <c r="B177" s="266"/>
      <c r="C177" s="267"/>
      <c r="D177" s="267"/>
      <c r="E177" s="267"/>
      <c r="F177" s="267"/>
      <c r="G177" s="267"/>
      <c r="H177" s="268" t="str">
        <f t="shared" si="34"/>
        <v/>
      </c>
      <c r="I177" s="269"/>
      <c r="J177" s="269"/>
      <c r="K177" s="269"/>
      <c r="L177" s="269"/>
      <c r="M177" s="269"/>
      <c r="N177" s="269"/>
      <c r="O177" s="266"/>
      <c r="P177" s="265"/>
      <c r="Q177" s="266"/>
      <c r="R177" s="23" t="str" cm="1">
        <f t="array" ref="R177">IF($B177="","",IFERROR(IF(INDEX('Data Quality'!$U$4:$U$503,ROW()-3)=0,"PENDING",INDEX('Data Quality'!$U$4:$U$503,ROW()-3)),"PENDING"))</f>
        <v/>
      </c>
      <c r="S177" s="24" t="str">
        <f t="shared" si="35"/>
        <v/>
      </c>
      <c r="T177" s="25" t="str">
        <f t="shared" si="36"/>
        <v/>
      </c>
      <c r="U177" s="25" t="str">
        <f t="shared" si="37"/>
        <v/>
      </c>
      <c r="V177" s="26" t="str">
        <f t="shared" si="38"/>
        <v/>
      </c>
      <c r="W177" s="26" t="str">
        <f t="shared" si="39"/>
        <v/>
      </c>
      <c r="X177" s="25" t="str">
        <f t="shared" si="40"/>
        <v/>
      </c>
      <c r="Y177" s="25" t="str">
        <f t="shared" si="41"/>
        <v/>
      </c>
      <c r="Z177" s="27" t="str">
        <f>IF($B177="","",IF($AK177&lt;=Settings!$C$21,"",IFERROR(AVERAGEIFS($S$4:$S$503,$B$4:$B$503,$B177,$AK$4:$AK$503,"&gt;="&amp;$AK177-Settings!$C$21,$AK$4:$AK$503,"&lt;="&amp;$AK177-1),"")))</f>
        <v/>
      </c>
      <c r="AA177" s="28" t="str">
        <f t="shared" si="42"/>
        <v/>
      </c>
      <c r="AB177" s="25" t="str">
        <f>IF($B177="","",IF($AK177&lt;=Settings!$C$22,"",IFERROR(AVERAGEIFS($K$4:$K$503,$B$4:$B$503,$B177,$AK$4:$AK$503,"&gt;="&amp;$AK177-Settings!$C$22,$AK$4:$AK$503,"&lt;="&amp;$AK177-1),"")))</f>
        <v/>
      </c>
      <c r="AC177" s="27" t="str">
        <f t="shared" si="43"/>
        <v/>
      </c>
      <c r="AD177" s="28" t="str">
        <f>IF($B177="","",IF($AK177&lt;=Settings!$C$23,"",IFERROR($E177/SUMIFS($E$4:$E$503,$B$4:$B$503,$B177,$AK$4:$AK$503,$AK177-Settings!$C$23)-1,"")))</f>
        <v/>
      </c>
      <c r="AE177" s="28" t="str">
        <f>IF($B177="","",IF($AK177&lt;=Settings!$C$22,"",IFERROR($E177/SUMIFS($E$4:$E$503,$B$4:$B$503,$B177,$AK$4:$AK$503,$AK177-Settings!$C$22)-1,"")))</f>
        <v/>
      </c>
      <c r="AF177" s="28" t="str">
        <f t="shared" si="44"/>
        <v/>
      </c>
      <c r="AG177" s="29" t="str">
        <f>IF($B177="","",ROUND((MIN(100,100*N($I177)/Settings!$C$27)+MIN(100,100*N($K177)/Settings!$C$28)+MIN(100,100*N($J177)/Settings!$C$29))/3,1))</f>
        <v/>
      </c>
      <c r="AH177" s="29" t="str">
        <f>IF($B177="","",IF(SUM(Settings!$C$32:$C$37)=0,"",ROUND((Settings!$C$32*$AO177+Settings!$C$33*$AP177+Settings!$C$34*$AQ177+Settings!$C$35*$AR177+Settings!$C$36*$AS177+Settings!$C$37*$AT177)/SUM(Settings!$C$32:$C$37),1)))</f>
        <v/>
      </c>
      <c r="AI177" s="29" t="str">
        <f>IF($B177="","",MAX(0,100-IF(N($N177)&gt;0,0,20)-IF(AND(N($L177)=0,N($M177)=0),15,0)-IF(N($J177)&gt;0,0,10)-IF(N($K177)&gt;0,0,10)-IF($Z177&lt;&gt;"",0,15)-IF($AB177&lt;&gt;"",0,10)-IF($R177="ERROR",20,IF($R177="WARNING",10,0))))</f>
        <v/>
      </c>
      <c r="AJ177" s="30" t="str">
        <f>IF($AH177="","",IF($AH177&lt;Settings!$C$46,"Extreme Sell Pressure",IF($AH177&lt;Settings!$C$47,"Sell Pressure",IF($AH177&lt;=Settings!$C$48,"Neutral",IF($AH177&lt;=Settings!$C$49,"Buy Pressure","Extreme Buy Pressure")))))</f>
        <v/>
      </c>
      <c r="AK177" s="30" t="str">
        <f t="shared" si="45"/>
        <v/>
      </c>
      <c r="AL177" s="30" t="str">
        <f t="shared" si="46"/>
        <v/>
      </c>
      <c r="AM177" s="30" t="str">
        <f t="shared" si="47"/>
        <v/>
      </c>
      <c r="AN177" s="30" t="str">
        <f t="shared" si="48"/>
        <v/>
      </c>
      <c r="AO177" s="29" t="str">
        <f>IF($B177="","",IF(AND(N($L177)=0,N($M177)=0),50,IF(N($M177)=0,100,IF(N($L177)=0,0,MEDIAN(0,100,50+50*LN($S177)/LN(Settings!$C$40))))))</f>
        <v/>
      </c>
      <c r="AP177" s="29">
        <f>IF($AA177="",50,MEDIAN(0,100,50+$AA177*100*Settings!$C$41))</f>
        <v>50</v>
      </c>
      <c r="AQ177" s="29">
        <f>IF($H177="",50,MEDIAN(0,100,50+$H177*100*Settings!$C$42))</f>
        <v>50</v>
      </c>
      <c r="AR177" s="29">
        <f>IF(OR($AC177="",$H177=""),50,MEDIAN(0,100,50+SIGN($H177)*50*MEDIAN(0,1,($AC177-1)/Settings!$C$43)))</f>
        <v>50</v>
      </c>
      <c r="AS177" s="29">
        <f>IF(OR($V177="",$W177=""),50,MEDIAN(0,100,50+50*($V177-$W177)/Settings!$C$44))</f>
        <v>50</v>
      </c>
      <c r="AT177" s="29">
        <f t="shared" si="49"/>
        <v>50</v>
      </c>
      <c r="AU177" s="30" t="str">
        <f t="shared" si="50"/>
        <v/>
      </c>
      <c r="AV177" s="87" t="str">
        <f>IF($A177="","",IF(COUNTIFS($A$4:$A177,$A177)=1,1,0))</f>
        <v/>
      </c>
    </row>
    <row r="178" spans="1:48" x14ac:dyDescent="0.3">
      <c r="A178" s="265"/>
      <c r="B178" s="266"/>
      <c r="C178" s="267"/>
      <c r="D178" s="267"/>
      <c r="E178" s="267"/>
      <c r="F178" s="267"/>
      <c r="G178" s="267"/>
      <c r="H178" s="268" t="str">
        <f t="shared" si="34"/>
        <v/>
      </c>
      <c r="I178" s="269"/>
      <c r="J178" s="269"/>
      <c r="K178" s="269"/>
      <c r="L178" s="269"/>
      <c r="M178" s="269"/>
      <c r="N178" s="269"/>
      <c r="O178" s="266"/>
      <c r="P178" s="265"/>
      <c r="Q178" s="266"/>
      <c r="R178" s="23" t="str" cm="1">
        <f t="array" ref="R178">IF($B178="","",IFERROR(IF(INDEX('Data Quality'!$U$4:$U$503,ROW()-3)=0,"PENDING",INDEX('Data Quality'!$U$4:$U$503,ROW()-3)),"PENDING"))</f>
        <v/>
      </c>
      <c r="S178" s="24" t="str">
        <f t="shared" si="35"/>
        <v/>
      </c>
      <c r="T178" s="25" t="str">
        <f t="shared" si="36"/>
        <v/>
      </c>
      <c r="U178" s="25" t="str">
        <f t="shared" si="37"/>
        <v/>
      </c>
      <c r="V178" s="26" t="str">
        <f t="shared" si="38"/>
        <v/>
      </c>
      <c r="W178" s="26" t="str">
        <f t="shared" si="39"/>
        <v/>
      </c>
      <c r="X178" s="25" t="str">
        <f t="shared" si="40"/>
        <v/>
      </c>
      <c r="Y178" s="25" t="str">
        <f t="shared" si="41"/>
        <v/>
      </c>
      <c r="Z178" s="27" t="str">
        <f>IF($B178="","",IF($AK178&lt;=Settings!$C$21,"",IFERROR(AVERAGEIFS($S$4:$S$503,$B$4:$B$503,$B178,$AK$4:$AK$503,"&gt;="&amp;$AK178-Settings!$C$21,$AK$4:$AK$503,"&lt;="&amp;$AK178-1),"")))</f>
        <v/>
      </c>
      <c r="AA178" s="28" t="str">
        <f t="shared" si="42"/>
        <v/>
      </c>
      <c r="AB178" s="25" t="str">
        <f>IF($B178="","",IF($AK178&lt;=Settings!$C$22,"",IFERROR(AVERAGEIFS($K$4:$K$503,$B$4:$B$503,$B178,$AK$4:$AK$503,"&gt;="&amp;$AK178-Settings!$C$22,$AK$4:$AK$503,"&lt;="&amp;$AK178-1),"")))</f>
        <v/>
      </c>
      <c r="AC178" s="27" t="str">
        <f t="shared" si="43"/>
        <v/>
      </c>
      <c r="AD178" s="28" t="str">
        <f>IF($B178="","",IF($AK178&lt;=Settings!$C$23,"",IFERROR($E178/SUMIFS($E$4:$E$503,$B$4:$B$503,$B178,$AK$4:$AK$503,$AK178-Settings!$C$23)-1,"")))</f>
        <v/>
      </c>
      <c r="AE178" s="28" t="str">
        <f>IF($B178="","",IF($AK178&lt;=Settings!$C$22,"",IFERROR($E178/SUMIFS($E$4:$E$503,$B$4:$B$503,$B178,$AK$4:$AK$503,$AK178-Settings!$C$22)-1,"")))</f>
        <v/>
      </c>
      <c r="AF178" s="28" t="str">
        <f t="shared" si="44"/>
        <v/>
      </c>
      <c r="AG178" s="29" t="str">
        <f>IF($B178="","",ROUND((MIN(100,100*N($I178)/Settings!$C$27)+MIN(100,100*N($K178)/Settings!$C$28)+MIN(100,100*N($J178)/Settings!$C$29))/3,1))</f>
        <v/>
      </c>
      <c r="AH178" s="29" t="str">
        <f>IF($B178="","",IF(SUM(Settings!$C$32:$C$37)=0,"",ROUND((Settings!$C$32*$AO178+Settings!$C$33*$AP178+Settings!$C$34*$AQ178+Settings!$C$35*$AR178+Settings!$C$36*$AS178+Settings!$C$37*$AT178)/SUM(Settings!$C$32:$C$37),1)))</f>
        <v/>
      </c>
      <c r="AI178" s="29" t="str">
        <f>IF($B178="","",MAX(0,100-IF(N($N178)&gt;0,0,20)-IF(AND(N($L178)=0,N($M178)=0),15,0)-IF(N($J178)&gt;0,0,10)-IF(N($K178)&gt;0,0,10)-IF($Z178&lt;&gt;"",0,15)-IF($AB178&lt;&gt;"",0,10)-IF($R178="ERROR",20,IF($R178="WARNING",10,0))))</f>
        <v/>
      </c>
      <c r="AJ178" s="30" t="str">
        <f>IF($AH178="","",IF($AH178&lt;Settings!$C$46,"Extreme Sell Pressure",IF($AH178&lt;Settings!$C$47,"Sell Pressure",IF($AH178&lt;=Settings!$C$48,"Neutral",IF($AH178&lt;=Settings!$C$49,"Buy Pressure","Extreme Buy Pressure")))))</f>
        <v/>
      </c>
      <c r="AK178" s="30" t="str">
        <f t="shared" si="45"/>
        <v/>
      </c>
      <c r="AL178" s="30" t="str">
        <f t="shared" si="46"/>
        <v/>
      </c>
      <c r="AM178" s="30" t="str">
        <f t="shared" si="47"/>
        <v/>
      </c>
      <c r="AN178" s="30" t="str">
        <f t="shared" si="48"/>
        <v/>
      </c>
      <c r="AO178" s="29" t="str">
        <f>IF($B178="","",IF(AND(N($L178)=0,N($M178)=0),50,IF(N($M178)=0,100,IF(N($L178)=0,0,MEDIAN(0,100,50+50*LN($S178)/LN(Settings!$C$40))))))</f>
        <v/>
      </c>
      <c r="AP178" s="29">
        <f>IF($AA178="",50,MEDIAN(0,100,50+$AA178*100*Settings!$C$41))</f>
        <v>50</v>
      </c>
      <c r="AQ178" s="29">
        <f>IF($H178="",50,MEDIAN(0,100,50+$H178*100*Settings!$C$42))</f>
        <v>50</v>
      </c>
      <c r="AR178" s="29">
        <f>IF(OR($AC178="",$H178=""),50,MEDIAN(0,100,50+SIGN($H178)*50*MEDIAN(0,1,($AC178-1)/Settings!$C$43)))</f>
        <v>50</v>
      </c>
      <c r="AS178" s="29">
        <f>IF(OR($V178="",$W178=""),50,MEDIAN(0,100,50+50*($V178-$W178)/Settings!$C$44))</f>
        <v>50</v>
      </c>
      <c r="AT178" s="29">
        <f t="shared" si="49"/>
        <v>50</v>
      </c>
      <c r="AU178" s="30" t="str">
        <f t="shared" si="50"/>
        <v/>
      </c>
      <c r="AV178" s="87" t="str">
        <f>IF($A178="","",IF(COUNTIFS($A$4:$A178,$A178)=1,1,0))</f>
        <v/>
      </c>
    </row>
    <row r="179" spans="1:48" x14ac:dyDescent="0.3">
      <c r="A179" s="265"/>
      <c r="B179" s="266"/>
      <c r="C179" s="267"/>
      <c r="D179" s="267"/>
      <c r="E179" s="267"/>
      <c r="F179" s="267"/>
      <c r="G179" s="267"/>
      <c r="H179" s="268" t="str">
        <f t="shared" si="34"/>
        <v/>
      </c>
      <c r="I179" s="269"/>
      <c r="J179" s="269"/>
      <c r="K179" s="269"/>
      <c r="L179" s="269"/>
      <c r="M179" s="269"/>
      <c r="N179" s="269"/>
      <c r="O179" s="266"/>
      <c r="P179" s="265"/>
      <c r="Q179" s="266"/>
      <c r="R179" s="23" t="str" cm="1">
        <f t="array" ref="R179">IF($B179="","",IFERROR(IF(INDEX('Data Quality'!$U$4:$U$503,ROW()-3)=0,"PENDING",INDEX('Data Quality'!$U$4:$U$503,ROW()-3)),"PENDING"))</f>
        <v/>
      </c>
      <c r="S179" s="24" t="str">
        <f t="shared" si="35"/>
        <v/>
      </c>
      <c r="T179" s="25" t="str">
        <f t="shared" si="36"/>
        <v/>
      </c>
      <c r="U179" s="25" t="str">
        <f t="shared" si="37"/>
        <v/>
      </c>
      <c r="V179" s="26" t="str">
        <f t="shared" si="38"/>
        <v/>
      </c>
      <c r="W179" s="26" t="str">
        <f t="shared" si="39"/>
        <v/>
      </c>
      <c r="X179" s="25" t="str">
        <f t="shared" si="40"/>
        <v/>
      </c>
      <c r="Y179" s="25" t="str">
        <f t="shared" si="41"/>
        <v/>
      </c>
      <c r="Z179" s="27" t="str">
        <f>IF($B179="","",IF($AK179&lt;=Settings!$C$21,"",IFERROR(AVERAGEIFS($S$4:$S$503,$B$4:$B$503,$B179,$AK$4:$AK$503,"&gt;="&amp;$AK179-Settings!$C$21,$AK$4:$AK$503,"&lt;="&amp;$AK179-1),"")))</f>
        <v/>
      </c>
      <c r="AA179" s="28" t="str">
        <f t="shared" si="42"/>
        <v/>
      </c>
      <c r="AB179" s="25" t="str">
        <f>IF($B179="","",IF($AK179&lt;=Settings!$C$22,"",IFERROR(AVERAGEIFS($K$4:$K$503,$B$4:$B$503,$B179,$AK$4:$AK$503,"&gt;="&amp;$AK179-Settings!$C$22,$AK$4:$AK$503,"&lt;="&amp;$AK179-1),"")))</f>
        <v/>
      </c>
      <c r="AC179" s="27" t="str">
        <f t="shared" si="43"/>
        <v/>
      </c>
      <c r="AD179" s="28" t="str">
        <f>IF($B179="","",IF($AK179&lt;=Settings!$C$23,"",IFERROR($E179/SUMIFS($E$4:$E$503,$B$4:$B$503,$B179,$AK$4:$AK$503,$AK179-Settings!$C$23)-1,"")))</f>
        <v/>
      </c>
      <c r="AE179" s="28" t="str">
        <f>IF($B179="","",IF($AK179&lt;=Settings!$C$22,"",IFERROR($E179/SUMIFS($E$4:$E$503,$B$4:$B$503,$B179,$AK$4:$AK$503,$AK179-Settings!$C$22)-1,"")))</f>
        <v/>
      </c>
      <c r="AF179" s="28" t="str">
        <f t="shared" si="44"/>
        <v/>
      </c>
      <c r="AG179" s="29" t="str">
        <f>IF($B179="","",ROUND((MIN(100,100*N($I179)/Settings!$C$27)+MIN(100,100*N($K179)/Settings!$C$28)+MIN(100,100*N($J179)/Settings!$C$29))/3,1))</f>
        <v/>
      </c>
      <c r="AH179" s="29" t="str">
        <f>IF($B179="","",IF(SUM(Settings!$C$32:$C$37)=0,"",ROUND((Settings!$C$32*$AO179+Settings!$C$33*$AP179+Settings!$C$34*$AQ179+Settings!$C$35*$AR179+Settings!$C$36*$AS179+Settings!$C$37*$AT179)/SUM(Settings!$C$32:$C$37),1)))</f>
        <v/>
      </c>
      <c r="AI179" s="29" t="str">
        <f>IF($B179="","",MAX(0,100-IF(N($N179)&gt;0,0,20)-IF(AND(N($L179)=0,N($M179)=0),15,0)-IF(N($J179)&gt;0,0,10)-IF(N($K179)&gt;0,0,10)-IF($Z179&lt;&gt;"",0,15)-IF($AB179&lt;&gt;"",0,10)-IF($R179="ERROR",20,IF($R179="WARNING",10,0))))</f>
        <v/>
      </c>
      <c r="AJ179" s="30" t="str">
        <f>IF($AH179="","",IF($AH179&lt;Settings!$C$46,"Extreme Sell Pressure",IF($AH179&lt;Settings!$C$47,"Sell Pressure",IF($AH179&lt;=Settings!$C$48,"Neutral",IF($AH179&lt;=Settings!$C$49,"Buy Pressure","Extreme Buy Pressure")))))</f>
        <v/>
      </c>
      <c r="AK179" s="30" t="str">
        <f t="shared" si="45"/>
        <v/>
      </c>
      <c r="AL179" s="30" t="str">
        <f t="shared" si="46"/>
        <v/>
      </c>
      <c r="AM179" s="30" t="str">
        <f t="shared" si="47"/>
        <v/>
      </c>
      <c r="AN179" s="30" t="str">
        <f t="shared" si="48"/>
        <v/>
      </c>
      <c r="AO179" s="29" t="str">
        <f>IF($B179="","",IF(AND(N($L179)=0,N($M179)=0),50,IF(N($M179)=0,100,IF(N($L179)=0,0,MEDIAN(0,100,50+50*LN($S179)/LN(Settings!$C$40))))))</f>
        <v/>
      </c>
      <c r="AP179" s="29">
        <f>IF($AA179="",50,MEDIAN(0,100,50+$AA179*100*Settings!$C$41))</f>
        <v>50</v>
      </c>
      <c r="AQ179" s="29">
        <f>IF($H179="",50,MEDIAN(0,100,50+$H179*100*Settings!$C$42))</f>
        <v>50</v>
      </c>
      <c r="AR179" s="29">
        <f>IF(OR($AC179="",$H179=""),50,MEDIAN(0,100,50+SIGN($H179)*50*MEDIAN(0,1,($AC179-1)/Settings!$C$43)))</f>
        <v>50</v>
      </c>
      <c r="AS179" s="29">
        <f>IF(OR($V179="",$W179=""),50,MEDIAN(0,100,50+50*($V179-$W179)/Settings!$C$44))</f>
        <v>50</v>
      </c>
      <c r="AT179" s="29">
        <f t="shared" si="49"/>
        <v>50</v>
      </c>
      <c r="AU179" s="30" t="str">
        <f t="shared" si="50"/>
        <v/>
      </c>
      <c r="AV179" s="87" t="str">
        <f>IF($A179="","",IF(COUNTIFS($A$4:$A179,$A179)=1,1,0))</f>
        <v/>
      </c>
    </row>
    <row r="180" spans="1:48" x14ac:dyDescent="0.3">
      <c r="A180" s="265"/>
      <c r="B180" s="266"/>
      <c r="C180" s="267"/>
      <c r="D180" s="267"/>
      <c r="E180" s="267"/>
      <c r="F180" s="267"/>
      <c r="G180" s="267"/>
      <c r="H180" s="268" t="str">
        <f t="shared" si="34"/>
        <v/>
      </c>
      <c r="I180" s="269"/>
      <c r="J180" s="269"/>
      <c r="K180" s="269"/>
      <c r="L180" s="269"/>
      <c r="M180" s="269"/>
      <c r="N180" s="269"/>
      <c r="O180" s="266"/>
      <c r="P180" s="265"/>
      <c r="Q180" s="266"/>
      <c r="R180" s="23" t="str" cm="1">
        <f t="array" ref="R180">IF($B180="","",IFERROR(IF(INDEX('Data Quality'!$U$4:$U$503,ROW()-3)=0,"PENDING",INDEX('Data Quality'!$U$4:$U$503,ROW()-3)),"PENDING"))</f>
        <v/>
      </c>
      <c r="S180" s="24" t="str">
        <f t="shared" si="35"/>
        <v/>
      </c>
      <c r="T180" s="25" t="str">
        <f t="shared" si="36"/>
        <v/>
      </c>
      <c r="U180" s="25" t="str">
        <f t="shared" si="37"/>
        <v/>
      </c>
      <c r="V180" s="26" t="str">
        <f t="shared" si="38"/>
        <v/>
      </c>
      <c r="W180" s="26" t="str">
        <f t="shared" si="39"/>
        <v/>
      </c>
      <c r="X180" s="25" t="str">
        <f t="shared" si="40"/>
        <v/>
      </c>
      <c r="Y180" s="25" t="str">
        <f t="shared" si="41"/>
        <v/>
      </c>
      <c r="Z180" s="27" t="str">
        <f>IF($B180="","",IF($AK180&lt;=Settings!$C$21,"",IFERROR(AVERAGEIFS($S$4:$S$503,$B$4:$B$503,$B180,$AK$4:$AK$503,"&gt;="&amp;$AK180-Settings!$C$21,$AK$4:$AK$503,"&lt;="&amp;$AK180-1),"")))</f>
        <v/>
      </c>
      <c r="AA180" s="28" t="str">
        <f t="shared" si="42"/>
        <v/>
      </c>
      <c r="AB180" s="25" t="str">
        <f>IF($B180="","",IF($AK180&lt;=Settings!$C$22,"",IFERROR(AVERAGEIFS($K$4:$K$503,$B$4:$B$503,$B180,$AK$4:$AK$503,"&gt;="&amp;$AK180-Settings!$C$22,$AK$4:$AK$503,"&lt;="&amp;$AK180-1),"")))</f>
        <v/>
      </c>
      <c r="AC180" s="27" t="str">
        <f t="shared" si="43"/>
        <v/>
      </c>
      <c r="AD180" s="28" t="str">
        <f>IF($B180="","",IF($AK180&lt;=Settings!$C$23,"",IFERROR($E180/SUMIFS($E$4:$E$503,$B$4:$B$503,$B180,$AK$4:$AK$503,$AK180-Settings!$C$23)-1,"")))</f>
        <v/>
      </c>
      <c r="AE180" s="28" t="str">
        <f>IF($B180="","",IF($AK180&lt;=Settings!$C$22,"",IFERROR($E180/SUMIFS($E$4:$E$503,$B$4:$B$503,$B180,$AK$4:$AK$503,$AK180-Settings!$C$22)-1,"")))</f>
        <v/>
      </c>
      <c r="AF180" s="28" t="str">
        <f t="shared" si="44"/>
        <v/>
      </c>
      <c r="AG180" s="29" t="str">
        <f>IF($B180="","",ROUND((MIN(100,100*N($I180)/Settings!$C$27)+MIN(100,100*N($K180)/Settings!$C$28)+MIN(100,100*N($J180)/Settings!$C$29))/3,1))</f>
        <v/>
      </c>
      <c r="AH180" s="29" t="str">
        <f>IF($B180="","",IF(SUM(Settings!$C$32:$C$37)=0,"",ROUND((Settings!$C$32*$AO180+Settings!$C$33*$AP180+Settings!$C$34*$AQ180+Settings!$C$35*$AR180+Settings!$C$36*$AS180+Settings!$C$37*$AT180)/SUM(Settings!$C$32:$C$37),1)))</f>
        <v/>
      </c>
      <c r="AI180" s="29" t="str">
        <f>IF($B180="","",MAX(0,100-IF(N($N180)&gt;0,0,20)-IF(AND(N($L180)=0,N($M180)=0),15,0)-IF(N($J180)&gt;0,0,10)-IF(N($K180)&gt;0,0,10)-IF($Z180&lt;&gt;"",0,15)-IF($AB180&lt;&gt;"",0,10)-IF($R180="ERROR",20,IF($R180="WARNING",10,0))))</f>
        <v/>
      </c>
      <c r="AJ180" s="30" t="str">
        <f>IF($AH180="","",IF($AH180&lt;Settings!$C$46,"Extreme Sell Pressure",IF($AH180&lt;Settings!$C$47,"Sell Pressure",IF($AH180&lt;=Settings!$C$48,"Neutral",IF($AH180&lt;=Settings!$C$49,"Buy Pressure","Extreme Buy Pressure")))))</f>
        <v/>
      </c>
      <c r="AK180" s="30" t="str">
        <f t="shared" si="45"/>
        <v/>
      </c>
      <c r="AL180" s="30" t="str">
        <f t="shared" si="46"/>
        <v/>
      </c>
      <c r="AM180" s="30" t="str">
        <f t="shared" si="47"/>
        <v/>
      </c>
      <c r="AN180" s="30" t="str">
        <f t="shared" si="48"/>
        <v/>
      </c>
      <c r="AO180" s="29" t="str">
        <f>IF($B180="","",IF(AND(N($L180)=0,N($M180)=0),50,IF(N($M180)=0,100,IF(N($L180)=0,0,MEDIAN(0,100,50+50*LN($S180)/LN(Settings!$C$40))))))</f>
        <v/>
      </c>
      <c r="AP180" s="29">
        <f>IF($AA180="",50,MEDIAN(0,100,50+$AA180*100*Settings!$C$41))</f>
        <v>50</v>
      </c>
      <c r="AQ180" s="29">
        <f>IF($H180="",50,MEDIAN(0,100,50+$H180*100*Settings!$C$42))</f>
        <v>50</v>
      </c>
      <c r="AR180" s="29">
        <f>IF(OR($AC180="",$H180=""),50,MEDIAN(0,100,50+SIGN($H180)*50*MEDIAN(0,1,($AC180-1)/Settings!$C$43)))</f>
        <v>50</v>
      </c>
      <c r="AS180" s="29">
        <f>IF(OR($V180="",$W180=""),50,MEDIAN(0,100,50+50*($V180-$W180)/Settings!$C$44))</f>
        <v>50</v>
      </c>
      <c r="AT180" s="29">
        <f t="shared" si="49"/>
        <v>50</v>
      </c>
      <c r="AU180" s="30" t="str">
        <f t="shared" si="50"/>
        <v/>
      </c>
      <c r="AV180" s="87" t="str">
        <f>IF($A180="","",IF(COUNTIFS($A$4:$A180,$A180)=1,1,0))</f>
        <v/>
      </c>
    </row>
    <row r="181" spans="1:48" x14ac:dyDescent="0.3">
      <c r="A181" s="265"/>
      <c r="B181" s="266"/>
      <c r="C181" s="267"/>
      <c r="D181" s="267"/>
      <c r="E181" s="267"/>
      <c r="F181" s="267"/>
      <c r="G181" s="267"/>
      <c r="H181" s="268" t="str">
        <f t="shared" si="34"/>
        <v/>
      </c>
      <c r="I181" s="269"/>
      <c r="J181" s="269"/>
      <c r="K181" s="269"/>
      <c r="L181" s="269"/>
      <c r="M181" s="269"/>
      <c r="N181" s="269"/>
      <c r="O181" s="266"/>
      <c r="P181" s="265"/>
      <c r="Q181" s="266"/>
      <c r="R181" s="23" t="str" cm="1">
        <f t="array" ref="R181">IF($B181="","",IFERROR(IF(INDEX('Data Quality'!$U$4:$U$503,ROW()-3)=0,"PENDING",INDEX('Data Quality'!$U$4:$U$503,ROW()-3)),"PENDING"))</f>
        <v/>
      </c>
      <c r="S181" s="24" t="str">
        <f t="shared" si="35"/>
        <v/>
      </c>
      <c r="T181" s="25" t="str">
        <f t="shared" si="36"/>
        <v/>
      </c>
      <c r="U181" s="25" t="str">
        <f t="shared" si="37"/>
        <v/>
      </c>
      <c r="V181" s="26" t="str">
        <f t="shared" si="38"/>
        <v/>
      </c>
      <c r="W181" s="26" t="str">
        <f t="shared" si="39"/>
        <v/>
      </c>
      <c r="X181" s="25" t="str">
        <f t="shared" si="40"/>
        <v/>
      </c>
      <c r="Y181" s="25" t="str">
        <f t="shared" si="41"/>
        <v/>
      </c>
      <c r="Z181" s="27" t="str">
        <f>IF($B181="","",IF($AK181&lt;=Settings!$C$21,"",IFERROR(AVERAGEIFS($S$4:$S$503,$B$4:$B$503,$B181,$AK$4:$AK$503,"&gt;="&amp;$AK181-Settings!$C$21,$AK$4:$AK$503,"&lt;="&amp;$AK181-1),"")))</f>
        <v/>
      </c>
      <c r="AA181" s="28" t="str">
        <f t="shared" si="42"/>
        <v/>
      </c>
      <c r="AB181" s="25" t="str">
        <f>IF($B181="","",IF($AK181&lt;=Settings!$C$22,"",IFERROR(AVERAGEIFS($K$4:$K$503,$B$4:$B$503,$B181,$AK$4:$AK$503,"&gt;="&amp;$AK181-Settings!$C$22,$AK$4:$AK$503,"&lt;="&amp;$AK181-1),"")))</f>
        <v/>
      </c>
      <c r="AC181" s="27" t="str">
        <f t="shared" si="43"/>
        <v/>
      </c>
      <c r="AD181" s="28" t="str">
        <f>IF($B181="","",IF($AK181&lt;=Settings!$C$23,"",IFERROR($E181/SUMIFS($E$4:$E$503,$B$4:$B$503,$B181,$AK$4:$AK$503,$AK181-Settings!$C$23)-1,"")))</f>
        <v/>
      </c>
      <c r="AE181" s="28" t="str">
        <f>IF($B181="","",IF($AK181&lt;=Settings!$C$22,"",IFERROR($E181/SUMIFS($E$4:$E$503,$B$4:$B$503,$B181,$AK$4:$AK$503,$AK181-Settings!$C$22)-1,"")))</f>
        <v/>
      </c>
      <c r="AF181" s="28" t="str">
        <f t="shared" si="44"/>
        <v/>
      </c>
      <c r="AG181" s="29" t="str">
        <f>IF($B181="","",ROUND((MIN(100,100*N($I181)/Settings!$C$27)+MIN(100,100*N($K181)/Settings!$C$28)+MIN(100,100*N($J181)/Settings!$C$29))/3,1))</f>
        <v/>
      </c>
      <c r="AH181" s="29" t="str">
        <f>IF($B181="","",IF(SUM(Settings!$C$32:$C$37)=0,"",ROUND((Settings!$C$32*$AO181+Settings!$C$33*$AP181+Settings!$C$34*$AQ181+Settings!$C$35*$AR181+Settings!$C$36*$AS181+Settings!$C$37*$AT181)/SUM(Settings!$C$32:$C$37),1)))</f>
        <v/>
      </c>
      <c r="AI181" s="29" t="str">
        <f>IF($B181="","",MAX(0,100-IF(N($N181)&gt;0,0,20)-IF(AND(N($L181)=0,N($M181)=0),15,0)-IF(N($J181)&gt;0,0,10)-IF(N($K181)&gt;0,0,10)-IF($Z181&lt;&gt;"",0,15)-IF($AB181&lt;&gt;"",0,10)-IF($R181="ERROR",20,IF($R181="WARNING",10,0))))</f>
        <v/>
      </c>
      <c r="AJ181" s="30" t="str">
        <f>IF($AH181="","",IF($AH181&lt;Settings!$C$46,"Extreme Sell Pressure",IF($AH181&lt;Settings!$C$47,"Sell Pressure",IF($AH181&lt;=Settings!$C$48,"Neutral",IF($AH181&lt;=Settings!$C$49,"Buy Pressure","Extreme Buy Pressure")))))</f>
        <v/>
      </c>
      <c r="AK181" s="30" t="str">
        <f t="shared" si="45"/>
        <v/>
      </c>
      <c r="AL181" s="30" t="str">
        <f t="shared" si="46"/>
        <v/>
      </c>
      <c r="AM181" s="30" t="str">
        <f t="shared" si="47"/>
        <v/>
      </c>
      <c r="AN181" s="30" t="str">
        <f t="shared" si="48"/>
        <v/>
      </c>
      <c r="AO181" s="29" t="str">
        <f>IF($B181="","",IF(AND(N($L181)=0,N($M181)=0),50,IF(N($M181)=0,100,IF(N($L181)=0,0,MEDIAN(0,100,50+50*LN($S181)/LN(Settings!$C$40))))))</f>
        <v/>
      </c>
      <c r="AP181" s="29">
        <f>IF($AA181="",50,MEDIAN(0,100,50+$AA181*100*Settings!$C$41))</f>
        <v>50</v>
      </c>
      <c r="AQ181" s="29">
        <f>IF($H181="",50,MEDIAN(0,100,50+$H181*100*Settings!$C$42))</f>
        <v>50</v>
      </c>
      <c r="AR181" s="29">
        <f>IF(OR($AC181="",$H181=""),50,MEDIAN(0,100,50+SIGN($H181)*50*MEDIAN(0,1,($AC181-1)/Settings!$C$43)))</f>
        <v>50</v>
      </c>
      <c r="AS181" s="29">
        <f>IF(OR($V181="",$W181=""),50,MEDIAN(0,100,50+50*($V181-$W181)/Settings!$C$44))</f>
        <v>50</v>
      </c>
      <c r="AT181" s="29">
        <f t="shared" si="49"/>
        <v>50</v>
      </c>
      <c r="AU181" s="30" t="str">
        <f t="shared" si="50"/>
        <v/>
      </c>
      <c r="AV181" s="87" t="str">
        <f>IF($A181="","",IF(COUNTIFS($A$4:$A181,$A181)=1,1,0))</f>
        <v/>
      </c>
    </row>
    <row r="182" spans="1:48" x14ac:dyDescent="0.3">
      <c r="A182" s="265"/>
      <c r="B182" s="266"/>
      <c r="C182" s="267"/>
      <c r="D182" s="267"/>
      <c r="E182" s="267"/>
      <c r="F182" s="267"/>
      <c r="G182" s="267"/>
      <c r="H182" s="268" t="str">
        <f t="shared" si="34"/>
        <v/>
      </c>
      <c r="I182" s="269"/>
      <c r="J182" s="269"/>
      <c r="K182" s="269"/>
      <c r="L182" s="269"/>
      <c r="M182" s="269"/>
      <c r="N182" s="269"/>
      <c r="O182" s="266"/>
      <c r="P182" s="265"/>
      <c r="Q182" s="266"/>
      <c r="R182" s="23" t="str" cm="1">
        <f t="array" ref="R182">IF($B182="","",IFERROR(IF(INDEX('Data Quality'!$U$4:$U$503,ROW()-3)=0,"PENDING",INDEX('Data Quality'!$U$4:$U$503,ROW()-3)),"PENDING"))</f>
        <v/>
      </c>
      <c r="S182" s="24" t="str">
        <f t="shared" si="35"/>
        <v/>
      </c>
      <c r="T182" s="25" t="str">
        <f t="shared" si="36"/>
        <v/>
      </c>
      <c r="U182" s="25" t="str">
        <f t="shared" si="37"/>
        <v/>
      </c>
      <c r="V182" s="26" t="str">
        <f t="shared" si="38"/>
        <v/>
      </c>
      <c r="W182" s="26" t="str">
        <f t="shared" si="39"/>
        <v/>
      </c>
      <c r="X182" s="25" t="str">
        <f t="shared" si="40"/>
        <v/>
      </c>
      <c r="Y182" s="25" t="str">
        <f t="shared" si="41"/>
        <v/>
      </c>
      <c r="Z182" s="27" t="str">
        <f>IF($B182="","",IF($AK182&lt;=Settings!$C$21,"",IFERROR(AVERAGEIFS($S$4:$S$503,$B$4:$B$503,$B182,$AK$4:$AK$503,"&gt;="&amp;$AK182-Settings!$C$21,$AK$4:$AK$503,"&lt;="&amp;$AK182-1),"")))</f>
        <v/>
      </c>
      <c r="AA182" s="28" t="str">
        <f t="shared" si="42"/>
        <v/>
      </c>
      <c r="AB182" s="25" t="str">
        <f>IF($B182="","",IF($AK182&lt;=Settings!$C$22,"",IFERROR(AVERAGEIFS($K$4:$K$503,$B$4:$B$503,$B182,$AK$4:$AK$503,"&gt;="&amp;$AK182-Settings!$C$22,$AK$4:$AK$503,"&lt;="&amp;$AK182-1),"")))</f>
        <v/>
      </c>
      <c r="AC182" s="27" t="str">
        <f t="shared" si="43"/>
        <v/>
      </c>
      <c r="AD182" s="28" t="str">
        <f>IF($B182="","",IF($AK182&lt;=Settings!$C$23,"",IFERROR($E182/SUMIFS($E$4:$E$503,$B$4:$B$503,$B182,$AK$4:$AK$503,$AK182-Settings!$C$23)-1,"")))</f>
        <v/>
      </c>
      <c r="AE182" s="28" t="str">
        <f>IF($B182="","",IF($AK182&lt;=Settings!$C$22,"",IFERROR($E182/SUMIFS($E$4:$E$503,$B$4:$B$503,$B182,$AK$4:$AK$503,$AK182-Settings!$C$22)-1,"")))</f>
        <v/>
      </c>
      <c r="AF182" s="28" t="str">
        <f t="shared" si="44"/>
        <v/>
      </c>
      <c r="AG182" s="29" t="str">
        <f>IF($B182="","",ROUND((MIN(100,100*N($I182)/Settings!$C$27)+MIN(100,100*N($K182)/Settings!$C$28)+MIN(100,100*N($J182)/Settings!$C$29))/3,1))</f>
        <v/>
      </c>
      <c r="AH182" s="29" t="str">
        <f>IF($B182="","",IF(SUM(Settings!$C$32:$C$37)=0,"",ROUND((Settings!$C$32*$AO182+Settings!$C$33*$AP182+Settings!$C$34*$AQ182+Settings!$C$35*$AR182+Settings!$C$36*$AS182+Settings!$C$37*$AT182)/SUM(Settings!$C$32:$C$37),1)))</f>
        <v/>
      </c>
      <c r="AI182" s="29" t="str">
        <f>IF($B182="","",MAX(0,100-IF(N($N182)&gt;0,0,20)-IF(AND(N($L182)=0,N($M182)=0),15,0)-IF(N($J182)&gt;0,0,10)-IF(N($K182)&gt;0,0,10)-IF($Z182&lt;&gt;"",0,15)-IF($AB182&lt;&gt;"",0,10)-IF($R182="ERROR",20,IF($R182="WARNING",10,0))))</f>
        <v/>
      </c>
      <c r="AJ182" s="30" t="str">
        <f>IF($AH182="","",IF($AH182&lt;Settings!$C$46,"Extreme Sell Pressure",IF($AH182&lt;Settings!$C$47,"Sell Pressure",IF($AH182&lt;=Settings!$C$48,"Neutral",IF($AH182&lt;=Settings!$C$49,"Buy Pressure","Extreme Buy Pressure")))))</f>
        <v/>
      </c>
      <c r="AK182" s="30" t="str">
        <f t="shared" si="45"/>
        <v/>
      </c>
      <c r="AL182" s="30" t="str">
        <f t="shared" si="46"/>
        <v/>
      </c>
      <c r="AM182" s="30" t="str">
        <f t="shared" si="47"/>
        <v/>
      </c>
      <c r="AN182" s="30" t="str">
        <f t="shared" si="48"/>
        <v/>
      </c>
      <c r="AO182" s="29" t="str">
        <f>IF($B182="","",IF(AND(N($L182)=0,N($M182)=0),50,IF(N($M182)=0,100,IF(N($L182)=0,0,MEDIAN(0,100,50+50*LN($S182)/LN(Settings!$C$40))))))</f>
        <v/>
      </c>
      <c r="AP182" s="29">
        <f>IF($AA182="",50,MEDIAN(0,100,50+$AA182*100*Settings!$C$41))</f>
        <v>50</v>
      </c>
      <c r="AQ182" s="29">
        <f>IF($H182="",50,MEDIAN(0,100,50+$H182*100*Settings!$C$42))</f>
        <v>50</v>
      </c>
      <c r="AR182" s="29">
        <f>IF(OR($AC182="",$H182=""),50,MEDIAN(0,100,50+SIGN($H182)*50*MEDIAN(0,1,($AC182-1)/Settings!$C$43)))</f>
        <v>50</v>
      </c>
      <c r="AS182" s="29">
        <f>IF(OR($V182="",$W182=""),50,MEDIAN(0,100,50+50*($V182-$W182)/Settings!$C$44))</f>
        <v>50</v>
      </c>
      <c r="AT182" s="29">
        <f t="shared" si="49"/>
        <v>50</v>
      </c>
      <c r="AU182" s="30" t="str">
        <f t="shared" si="50"/>
        <v/>
      </c>
      <c r="AV182" s="87" t="str">
        <f>IF($A182="","",IF(COUNTIFS($A$4:$A182,$A182)=1,1,0))</f>
        <v/>
      </c>
    </row>
    <row r="183" spans="1:48" x14ac:dyDescent="0.3">
      <c r="A183" s="265"/>
      <c r="B183" s="266"/>
      <c r="C183" s="267"/>
      <c r="D183" s="267"/>
      <c r="E183" s="267"/>
      <c r="F183" s="267"/>
      <c r="G183" s="267"/>
      <c r="H183" s="268" t="str">
        <f t="shared" si="34"/>
        <v/>
      </c>
      <c r="I183" s="269"/>
      <c r="J183" s="269"/>
      <c r="K183" s="269"/>
      <c r="L183" s="269"/>
      <c r="M183" s="269"/>
      <c r="N183" s="269"/>
      <c r="O183" s="266"/>
      <c r="P183" s="265"/>
      <c r="Q183" s="266"/>
      <c r="R183" s="23" t="str" cm="1">
        <f t="array" ref="R183">IF($B183="","",IFERROR(IF(INDEX('Data Quality'!$U$4:$U$503,ROW()-3)=0,"PENDING",INDEX('Data Quality'!$U$4:$U$503,ROW()-3)),"PENDING"))</f>
        <v/>
      </c>
      <c r="S183" s="24" t="str">
        <f t="shared" si="35"/>
        <v/>
      </c>
      <c r="T183" s="25" t="str">
        <f t="shared" si="36"/>
        <v/>
      </c>
      <c r="U183" s="25" t="str">
        <f t="shared" si="37"/>
        <v/>
      </c>
      <c r="V183" s="26" t="str">
        <f t="shared" si="38"/>
        <v/>
      </c>
      <c r="W183" s="26" t="str">
        <f t="shared" si="39"/>
        <v/>
      </c>
      <c r="X183" s="25" t="str">
        <f t="shared" si="40"/>
        <v/>
      </c>
      <c r="Y183" s="25" t="str">
        <f t="shared" si="41"/>
        <v/>
      </c>
      <c r="Z183" s="27" t="str">
        <f>IF($B183="","",IF($AK183&lt;=Settings!$C$21,"",IFERROR(AVERAGEIFS($S$4:$S$503,$B$4:$B$503,$B183,$AK$4:$AK$503,"&gt;="&amp;$AK183-Settings!$C$21,$AK$4:$AK$503,"&lt;="&amp;$AK183-1),"")))</f>
        <v/>
      </c>
      <c r="AA183" s="28" t="str">
        <f t="shared" si="42"/>
        <v/>
      </c>
      <c r="AB183" s="25" t="str">
        <f>IF($B183="","",IF($AK183&lt;=Settings!$C$22,"",IFERROR(AVERAGEIFS($K$4:$K$503,$B$4:$B$503,$B183,$AK$4:$AK$503,"&gt;="&amp;$AK183-Settings!$C$22,$AK$4:$AK$503,"&lt;="&amp;$AK183-1),"")))</f>
        <v/>
      </c>
      <c r="AC183" s="27" t="str">
        <f t="shared" si="43"/>
        <v/>
      </c>
      <c r="AD183" s="28" t="str">
        <f>IF($B183="","",IF($AK183&lt;=Settings!$C$23,"",IFERROR($E183/SUMIFS($E$4:$E$503,$B$4:$B$503,$B183,$AK$4:$AK$503,$AK183-Settings!$C$23)-1,"")))</f>
        <v/>
      </c>
      <c r="AE183" s="28" t="str">
        <f>IF($B183="","",IF($AK183&lt;=Settings!$C$22,"",IFERROR($E183/SUMIFS($E$4:$E$503,$B$4:$B$503,$B183,$AK$4:$AK$503,$AK183-Settings!$C$22)-1,"")))</f>
        <v/>
      </c>
      <c r="AF183" s="28" t="str">
        <f t="shared" si="44"/>
        <v/>
      </c>
      <c r="AG183" s="29" t="str">
        <f>IF($B183="","",ROUND((MIN(100,100*N($I183)/Settings!$C$27)+MIN(100,100*N($K183)/Settings!$C$28)+MIN(100,100*N($J183)/Settings!$C$29))/3,1))</f>
        <v/>
      </c>
      <c r="AH183" s="29" t="str">
        <f>IF($B183="","",IF(SUM(Settings!$C$32:$C$37)=0,"",ROUND((Settings!$C$32*$AO183+Settings!$C$33*$AP183+Settings!$C$34*$AQ183+Settings!$C$35*$AR183+Settings!$C$36*$AS183+Settings!$C$37*$AT183)/SUM(Settings!$C$32:$C$37),1)))</f>
        <v/>
      </c>
      <c r="AI183" s="29" t="str">
        <f>IF($B183="","",MAX(0,100-IF(N($N183)&gt;0,0,20)-IF(AND(N($L183)=0,N($M183)=0),15,0)-IF(N($J183)&gt;0,0,10)-IF(N($K183)&gt;0,0,10)-IF($Z183&lt;&gt;"",0,15)-IF($AB183&lt;&gt;"",0,10)-IF($R183="ERROR",20,IF($R183="WARNING",10,0))))</f>
        <v/>
      </c>
      <c r="AJ183" s="30" t="str">
        <f>IF($AH183="","",IF($AH183&lt;Settings!$C$46,"Extreme Sell Pressure",IF($AH183&lt;Settings!$C$47,"Sell Pressure",IF($AH183&lt;=Settings!$C$48,"Neutral",IF($AH183&lt;=Settings!$C$49,"Buy Pressure","Extreme Buy Pressure")))))</f>
        <v/>
      </c>
      <c r="AK183" s="30" t="str">
        <f t="shared" si="45"/>
        <v/>
      </c>
      <c r="AL183" s="30" t="str">
        <f t="shared" si="46"/>
        <v/>
      </c>
      <c r="AM183" s="30" t="str">
        <f t="shared" si="47"/>
        <v/>
      </c>
      <c r="AN183" s="30" t="str">
        <f t="shared" si="48"/>
        <v/>
      </c>
      <c r="AO183" s="29" t="str">
        <f>IF($B183="","",IF(AND(N($L183)=0,N($M183)=0),50,IF(N($M183)=0,100,IF(N($L183)=0,0,MEDIAN(0,100,50+50*LN($S183)/LN(Settings!$C$40))))))</f>
        <v/>
      </c>
      <c r="AP183" s="29">
        <f>IF($AA183="",50,MEDIAN(0,100,50+$AA183*100*Settings!$C$41))</f>
        <v>50</v>
      </c>
      <c r="AQ183" s="29">
        <f>IF($H183="",50,MEDIAN(0,100,50+$H183*100*Settings!$C$42))</f>
        <v>50</v>
      </c>
      <c r="AR183" s="29">
        <f>IF(OR($AC183="",$H183=""),50,MEDIAN(0,100,50+SIGN($H183)*50*MEDIAN(0,1,($AC183-1)/Settings!$C$43)))</f>
        <v>50</v>
      </c>
      <c r="AS183" s="29">
        <f>IF(OR($V183="",$W183=""),50,MEDIAN(0,100,50+50*($V183-$W183)/Settings!$C$44))</f>
        <v>50</v>
      </c>
      <c r="AT183" s="29">
        <f t="shared" si="49"/>
        <v>50</v>
      </c>
      <c r="AU183" s="30" t="str">
        <f t="shared" si="50"/>
        <v/>
      </c>
      <c r="AV183" s="87" t="str">
        <f>IF($A183="","",IF(COUNTIFS($A$4:$A183,$A183)=1,1,0))</f>
        <v/>
      </c>
    </row>
    <row r="184" spans="1:48" x14ac:dyDescent="0.3">
      <c r="A184" s="265"/>
      <c r="B184" s="266"/>
      <c r="C184" s="267"/>
      <c r="D184" s="267"/>
      <c r="E184" s="267"/>
      <c r="F184" s="267"/>
      <c r="G184" s="267"/>
      <c r="H184" s="268" t="str">
        <f t="shared" si="34"/>
        <v/>
      </c>
      <c r="I184" s="269"/>
      <c r="J184" s="269"/>
      <c r="K184" s="269"/>
      <c r="L184" s="269"/>
      <c r="M184" s="269"/>
      <c r="N184" s="269"/>
      <c r="O184" s="266"/>
      <c r="P184" s="265"/>
      <c r="Q184" s="266"/>
      <c r="R184" s="23" t="str" cm="1">
        <f t="array" ref="R184">IF($B184="","",IFERROR(IF(INDEX('Data Quality'!$U$4:$U$503,ROW()-3)=0,"PENDING",INDEX('Data Quality'!$U$4:$U$503,ROW()-3)),"PENDING"))</f>
        <v/>
      </c>
      <c r="S184" s="24" t="str">
        <f t="shared" si="35"/>
        <v/>
      </c>
      <c r="T184" s="25" t="str">
        <f t="shared" si="36"/>
        <v/>
      </c>
      <c r="U184" s="25" t="str">
        <f t="shared" si="37"/>
        <v/>
      </c>
      <c r="V184" s="26" t="str">
        <f t="shared" si="38"/>
        <v/>
      </c>
      <c r="W184" s="26" t="str">
        <f t="shared" si="39"/>
        <v/>
      </c>
      <c r="X184" s="25" t="str">
        <f t="shared" si="40"/>
        <v/>
      </c>
      <c r="Y184" s="25" t="str">
        <f t="shared" si="41"/>
        <v/>
      </c>
      <c r="Z184" s="27" t="str">
        <f>IF($B184="","",IF($AK184&lt;=Settings!$C$21,"",IFERROR(AVERAGEIFS($S$4:$S$503,$B$4:$B$503,$B184,$AK$4:$AK$503,"&gt;="&amp;$AK184-Settings!$C$21,$AK$4:$AK$503,"&lt;="&amp;$AK184-1),"")))</f>
        <v/>
      </c>
      <c r="AA184" s="28" t="str">
        <f t="shared" si="42"/>
        <v/>
      </c>
      <c r="AB184" s="25" t="str">
        <f>IF($B184="","",IF($AK184&lt;=Settings!$C$22,"",IFERROR(AVERAGEIFS($K$4:$K$503,$B$4:$B$503,$B184,$AK$4:$AK$503,"&gt;="&amp;$AK184-Settings!$C$22,$AK$4:$AK$503,"&lt;="&amp;$AK184-1),"")))</f>
        <v/>
      </c>
      <c r="AC184" s="27" t="str">
        <f t="shared" si="43"/>
        <v/>
      </c>
      <c r="AD184" s="28" t="str">
        <f>IF($B184="","",IF($AK184&lt;=Settings!$C$23,"",IFERROR($E184/SUMIFS($E$4:$E$503,$B$4:$B$503,$B184,$AK$4:$AK$503,$AK184-Settings!$C$23)-1,"")))</f>
        <v/>
      </c>
      <c r="AE184" s="28" t="str">
        <f>IF($B184="","",IF($AK184&lt;=Settings!$C$22,"",IFERROR($E184/SUMIFS($E$4:$E$503,$B$4:$B$503,$B184,$AK$4:$AK$503,$AK184-Settings!$C$22)-1,"")))</f>
        <v/>
      </c>
      <c r="AF184" s="28" t="str">
        <f t="shared" si="44"/>
        <v/>
      </c>
      <c r="AG184" s="29" t="str">
        <f>IF($B184="","",ROUND((MIN(100,100*N($I184)/Settings!$C$27)+MIN(100,100*N($K184)/Settings!$C$28)+MIN(100,100*N($J184)/Settings!$C$29))/3,1))</f>
        <v/>
      </c>
      <c r="AH184" s="29" t="str">
        <f>IF($B184="","",IF(SUM(Settings!$C$32:$C$37)=0,"",ROUND((Settings!$C$32*$AO184+Settings!$C$33*$AP184+Settings!$C$34*$AQ184+Settings!$C$35*$AR184+Settings!$C$36*$AS184+Settings!$C$37*$AT184)/SUM(Settings!$C$32:$C$37),1)))</f>
        <v/>
      </c>
      <c r="AI184" s="29" t="str">
        <f>IF($B184="","",MAX(0,100-IF(N($N184)&gt;0,0,20)-IF(AND(N($L184)=0,N($M184)=0),15,0)-IF(N($J184)&gt;0,0,10)-IF(N($K184)&gt;0,0,10)-IF($Z184&lt;&gt;"",0,15)-IF($AB184&lt;&gt;"",0,10)-IF($R184="ERROR",20,IF($R184="WARNING",10,0))))</f>
        <v/>
      </c>
      <c r="AJ184" s="30" t="str">
        <f>IF($AH184="","",IF($AH184&lt;Settings!$C$46,"Extreme Sell Pressure",IF($AH184&lt;Settings!$C$47,"Sell Pressure",IF($AH184&lt;=Settings!$C$48,"Neutral",IF($AH184&lt;=Settings!$C$49,"Buy Pressure","Extreme Buy Pressure")))))</f>
        <v/>
      </c>
      <c r="AK184" s="30" t="str">
        <f t="shared" si="45"/>
        <v/>
      </c>
      <c r="AL184" s="30" t="str">
        <f t="shared" si="46"/>
        <v/>
      </c>
      <c r="AM184" s="30" t="str">
        <f t="shared" si="47"/>
        <v/>
      </c>
      <c r="AN184" s="30" t="str">
        <f t="shared" si="48"/>
        <v/>
      </c>
      <c r="AO184" s="29" t="str">
        <f>IF($B184="","",IF(AND(N($L184)=0,N($M184)=0),50,IF(N($M184)=0,100,IF(N($L184)=0,0,MEDIAN(0,100,50+50*LN($S184)/LN(Settings!$C$40))))))</f>
        <v/>
      </c>
      <c r="AP184" s="29">
        <f>IF($AA184="",50,MEDIAN(0,100,50+$AA184*100*Settings!$C$41))</f>
        <v>50</v>
      </c>
      <c r="AQ184" s="29">
        <f>IF($H184="",50,MEDIAN(0,100,50+$H184*100*Settings!$C$42))</f>
        <v>50</v>
      </c>
      <c r="AR184" s="29">
        <f>IF(OR($AC184="",$H184=""),50,MEDIAN(0,100,50+SIGN($H184)*50*MEDIAN(0,1,($AC184-1)/Settings!$C$43)))</f>
        <v>50</v>
      </c>
      <c r="AS184" s="29">
        <f>IF(OR($V184="",$W184=""),50,MEDIAN(0,100,50+50*($V184-$W184)/Settings!$C$44))</f>
        <v>50</v>
      </c>
      <c r="AT184" s="29">
        <f t="shared" si="49"/>
        <v>50</v>
      </c>
      <c r="AU184" s="30" t="str">
        <f t="shared" si="50"/>
        <v/>
      </c>
      <c r="AV184" s="87" t="str">
        <f>IF($A184="","",IF(COUNTIFS($A$4:$A184,$A184)=1,1,0))</f>
        <v/>
      </c>
    </row>
    <row r="185" spans="1:48" x14ac:dyDescent="0.3">
      <c r="A185" s="265"/>
      <c r="B185" s="266"/>
      <c r="C185" s="267"/>
      <c r="D185" s="267"/>
      <c r="E185" s="267"/>
      <c r="F185" s="267"/>
      <c r="G185" s="267"/>
      <c r="H185" s="268" t="str">
        <f t="shared" si="34"/>
        <v/>
      </c>
      <c r="I185" s="269"/>
      <c r="J185" s="269"/>
      <c r="K185" s="269"/>
      <c r="L185" s="269"/>
      <c r="M185" s="269"/>
      <c r="N185" s="269"/>
      <c r="O185" s="266"/>
      <c r="P185" s="265"/>
      <c r="Q185" s="266"/>
      <c r="R185" s="23" t="str" cm="1">
        <f t="array" ref="R185">IF($B185="","",IFERROR(IF(INDEX('Data Quality'!$U$4:$U$503,ROW()-3)=0,"PENDING",INDEX('Data Quality'!$U$4:$U$503,ROW()-3)),"PENDING"))</f>
        <v/>
      </c>
      <c r="S185" s="24" t="str">
        <f t="shared" si="35"/>
        <v/>
      </c>
      <c r="T185" s="25" t="str">
        <f t="shared" si="36"/>
        <v/>
      </c>
      <c r="U185" s="25" t="str">
        <f t="shared" si="37"/>
        <v/>
      </c>
      <c r="V185" s="26" t="str">
        <f t="shared" si="38"/>
        <v/>
      </c>
      <c r="W185" s="26" t="str">
        <f t="shared" si="39"/>
        <v/>
      </c>
      <c r="X185" s="25" t="str">
        <f t="shared" si="40"/>
        <v/>
      </c>
      <c r="Y185" s="25" t="str">
        <f t="shared" si="41"/>
        <v/>
      </c>
      <c r="Z185" s="27" t="str">
        <f>IF($B185="","",IF($AK185&lt;=Settings!$C$21,"",IFERROR(AVERAGEIFS($S$4:$S$503,$B$4:$B$503,$B185,$AK$4:$AK$503,"&gt;="&amp;$AK185-Settings!$C$21,$AK$4:$AK$503,"&lt;="&amp;$AK185-1),"")))</f>
        <v/>
      </c>
      <c r="AA185" s="28" t="str">
        <f t="shared" si="42"/>
        <v/>
      </c>
      <c r="AB185" s="25" t="str">
        <f>IF($B185="","",IF($AK185&lt;=Settings!$C$22,"",IFERROR(AVERAGEIFS($K$4:$K$503,$B$4:$B$503,$B185,$AK$4:$AK$503,"&gt;="&amp;$AK185-Settings!$C$22,$AK$4:$AK$503,"&lt;="&amp;$AK185-1),"")))</f>
        <v/>
      </c>
      <c r="AC185" s="27" t="str">
        <f t="shared" si="43"/>
        <v/>
      </c>
      <c r="AD185" s="28" t="str">
        <f>IF($B185="","",IF($AK185&lt;=Settings!$C$23,"",IFERROR($E185/SUMIFS($E$4:$E$503,$B$4:$B$503,$B185,$AK$4:$AK$503,$AK185-Settings!$C$23)-1,"")))</f>
        <v/>
      </c>
      <c r="AE185" s="28" t="str">
        <f>IF($B185="","",IF($AK185&lt;=Settings!$C$22,"",IFERROR($E185/SUMIFS($E$4:$E$503,$B$4:$B$503,$B185,$AK$4:$AK$503,$AK185-Settings!$C$22)-1,"")))</f>
        <v/>
      </c>
      <c r="AF185" s="28" t="str">
        <f t="shared" si="44"/>
        <v/>
      </c>
      <c r="AG185" s="29" t="str">
        <f>IF($B185="","",ROUND((MIN(100,100*N($I185)/Settings!$C$27)+MIN(100,100*N($K185)/Settings!$C$28)+MIN(100,100*N($J185)/Settings!$C$29))/3,1))</f>
        <v/>
      </c>
      <c r="AH185" s="29" t="str">
        <f>IF($B185="","",IF(SUM(Settings!$C$32:$C$37)=0,"",ROUND((Settings!$C$32*$AO185+Settings!$C$33*$AP185+Settings!$C$34*$AQ185+Settings!$C$35*$AR185+Settings!$C$36*$AS185+Settings!$C$37*$AT185)/SUM(Settings!$C$32:$C$37),1)))</f>
        <v/>
      </c>
      <c r="AI185" s="29" t="str">
        <f>IF($B185="","",MAX(0,100-IF(N($N185)&gt;0,0,20)-IF(AND(N($L185)=0,N($M185)=0),15,0)-IF(N($J185)&gt;0,0,10)-IF(N($K185)&gt;0,0,10)-IF($Z185&lt;&gt;"",0,15)-IF($AB185&lt;&gt;"",0,10)-IF($R185="ERROR",20,IF($R185="WARNING",10,0))))</f>
        <v/>
      </c>
      <c r="AJ185" s="30" t="str">
        <f>IF($AH185="","",IF($AH185&lt;Settings!$C$46,"Extreme Sell Pressure",IF($AH185&lt;Settings!$C$47,"Sell Pressure",IF($AH185&lt;=Settings!$C$48,"Neutral",IF($AH185&lt;=Settings!$C$49,"Buy Pressure","Extreme Buy Pressure")))))</f>
        <v/>
      </c>
      <c r="AK185" s="30" t="str">
        <f t="shared" si="45"/>
        <v/>
      </c>
      <c r="AL185" s="30" t="str">
        <f t="shared" si="46"/>
        <v/>
      </c>
      <c r="AM185" s="30" t="str">
        <f t="shared" si="47"/>
        <v/>
      </c>
      <c r="AN185" s="30" t="str">
        <f t="shared" si="48"/>
        <v/>
      </c>
      <c r="AO185" s="29" t="str">
        <f>IF($B185="","",IF(AND(N($L185)=0,N($M185)=0),50,IF(N($M185)=0,100,IF(N($L185)=0,0,MEDIAN(0,100,50+50*LN($S185)/LN(Settings!$C$40))))))</f>
        <v/>
      </c>
      <c r="AP185" s="29">
        <f>IF($AA185="",50,MEDIAN(0,100,50+$AA185*100*Settings!$C$41))</f>
        <v>50</v>
      </c>
      <c r="AQ185" s="29">
        <f>IF($H185="",50,MEDIAN(0,100,50+$H185*100*Settings!$C$42))</f>
        <v>50</v>
      </c>
      <c r="AR185" s="29">
        <f>IF(OR($AC185="",$H185=""),50,MEDIAN(0,100,50+SIGN($H185)*50*MEDIAN(0,1,($AC185-1)/Settings!$C$43)))</f>
        <v>50</v>
      </c>
      <c r="AS185" s="29">
        <f>IF(OR($V185="",$W185=""),50,MEDIAN(0,100,50+50*($V185-$W185)/Settings!$C$44))</f>
        <v>50</v>
      </c>
      <c r="AT185" s="29">
        <f t="shared" si="49"/>
        <v>50</v>
      </c>
      <c r="AU185" s="30" t="str">
        <f t="shared" si="50"/>
        <v/>
      </c>
      <c r="AV185" s="87" t="str">
        <f>IF($A185="","",IF(COUNTIFS($A$4:$A185,$A185)=1,1,0))</f>
        <v/>
      </c>
    </row>
    <row r="186" spans="1:48" x14ac:dyDescent="0.3">
      <c r="A186" s="265"/>
      <c r="B186" s="266"/>
      <c r="C186" s="267"/>
      <c r="D186" s="267"/>
      <c r="E186" s="267"/>
      <c r="F186" s="267"/>
      <c r="G186" s="267"/>
      <c r="H186" s="268" t="str">
        <f t="shared" si="34"/>
        <v/>
      </c>
      <c r="I186" s="269"/>
      <c r="J186" s="269"/>
      <c r="K186" s="269"/>
      <c r="L186" s="269"/>
      <c r="M186" s="269"/>
      <c r="N186" s="269"/>
      <c r="O186" s="266"/>
      <c r="P186" s="265"/>
      <c r="Q186" s="266"/>
      <c r="R186" s="23" t="str" cm="1">
        <f t="array" ref="R186">IF($B186="","",IFERROR(IF(INDEX('Data Quality'!$U$4:$U$503,ROW()-3)=0,"PENDING",INDEX('Data Quality'!$U$4:$U$503,ROW()-3)),"PENDING"))</f>
        <v/>
      </c>
      <c r="S186" s="24" t="str">
        <f t="shared" si="35"/>
        <v/>
      </c>
      <c r="T186" s="25" t="str">
        <f t="shared" si="36"/>
        <v/>
      </c>
      <c r="U186" s="25" t="str">
        <f t="shared" si="37"/>
        <v/>
      </c>
      <c r="V186" s="26" t="str">
        <f t="shared" si="38"/>
        <v/>
      </c>
      <c r="W186" s="26" t="str">
        <f t="shared" si="39"/>
        <v/>
      </c>
      <c r="X186" s="25" t="str">
        <f t="shared" si="40"/>
        <v/>
      </c>
      <c r="Y186" s="25" t="str">
        <f t="shared" si="41"/>
        <v/>
      </c>
      <c r="Z186" s="27" t="str">
        <f>IF($B186="","",IF($AK186&lt;=Settings!$C$21,"",IFERROR(AVERAGEIFS($S$4:$S$503,$B$4:$B$503,$B186,$AK$4:$AK$503,"&gt;="&amp;$AK186-Settings!$C$21,$AK$4:$AK$503,"&lt;="&amp;$AK186-1),"")))</f>
        <v/>
      </c>
      <c r="AA186" s="28" t="str">
        <f t="shared" si="42"/>
        <v/>
      </c>
      <c r="AB186" s="25" t="str">
        <f>IF($B186="","",IF($AK186&lt;=Settings!$C$22,"",IFERROR(AVERAGEIFS($K$4:$K$503,$B$4:$B$503,$B186,$AK$4:$AK$503,"&gt;="&amp;$AK186-Settings!$C$22,$AK$4:$AK$503,"&lt;="&amp;$AK186-1),"")))</f>
        <v/>
      </c>
      <c r="AC186" s="27" t="str">
        <f t="shared" si="43"/>
        <v/>
      </c>
      <c r="AD186" s="28" t="str">
        <f>IF($B186="","",IF($AK186&lt;=Settings!$C$23,"",IFERROR($E186/SUMIFS($E$4:$E$503,$B$4:$B$503,$B186,$AK$4:$AK$503,$AK186-Settings!$C$23)-1,"")))</f>
        <v/>
      </c>
      <c r="AE186" s="28" t="str">
        <f>IF($B186="","",IF($AK186&lt;=Settings!$C$22,"",IFERROR($E186/SUMIFS($E$4:$E$503,$B$4:$B$503,$B186,$AK$4:$AK$503,$AK186-Settings!$C$22)-1,"")))</f>
        <v/>
      </c>
      <c r="AF186" s="28" t="str">
        <f t="shared" si="44"/>
        <v/>
      </c>
      <c r="AG186" s="29" t="str">
        <f>IF($B186="","",ROUND((MIN(100,100*N($I186)/Settings!$C$27)+MIN(100,100*N($K186)/Settings!$C$28)+MIN(100,100*N($J186)/Settings!$C$29))/3,1))</f>
        <v/>
      </c>
      <c r="AH186" s="29" t="str">
        <f>IF($B186="","",IF(SUM(Settings!$C$32:$C$37)=0,"",ROUND((Settings!$C$32*$AO186+Settings!$C$33*$AP186+Settings!$C$34*$AQ186+Settings!$C$35*$AR186+Settings!$C$36*$AS186+Settings!$C$37*$AT186)/SUM(Settings!$C$32:$C$37),1)))</f>
        <v/>
      </c>
      <c r="AI186" s="29" t="str">
        <f>IF($B186="","",MAX(0,100-IF(N($N186)&gt;0,0,20)-IF(AND(N($L186)=0,N($M186)=0),15,0)-IF(N($J186)&gt;0,0,10)-IF(N($K186)&gt;0,0,10)-IF($Z186&lt;&gt;"",0,15)-IF($AB186&lt;&gt;"",0,10)-IF($R186="ERROR",20,IF($R186="WARNING",10,0))))</f>
        <v/>
      </c>
      <c r="AJ186" s="30" t="str">
        <f>IF($AH186="","",IF($AH186&lt;Settings!$C$46,"Extreme Sell Pressure",IF($AH186&lt;Settings!$C$47,"Sell Pressure",IF($AH186&lt;=Settings!$C$48,"Neutral",IF($AH186&lt;=Settings!$C$49,"Buy Pressure","Extreme Buy Pressure")))))</f>
        <v/>
      </c>
      <c r="AK186" s="30" t="str">
        <f t="shared" si="45"/>
        <v/>
      </c>
      <c r="AL186" s="30" t="str">
        <f t="shared" si="46"/>
        <v/>
      </c>
      <c r="AM186" s="30" t="str">
        <f t="shared" si="47"/>
        <v/>
      </c>
      <c r="AN186" s="30" t="str">
        <f t="shared" si="48"/>
        <v/>
      </c>
      <c r="AO186" s="29" t="str">
        <f>IF($B186="","",IF(AND(N($L186)=0,N($M186)=0),50,IF(N($M186)=0,100,IF(N($L186)=0,0,MEDIAN(0,100,50+50*LN($S186)/LN(Settings!$C$40))))))</f>
        <v/>
      </c>
      <c r="AP186" s="29">
        <f>IF($AA186="",50,MEDIAN(0,100,50+$AA186*100*Settings!$C$41))</f>
        <v>50</v>
      </c>
      <c r="AQ186" s="29">
        <f>IF($H186="",50,MEDIAN(0,100,50+$H186*100*Settings!$C$42))</f>
        <v>50</v>
      </c>
      <c r="AR186" s="29">
        <f>IF(OR($AC186="",$H186=""),50,MEDIAN(0,100,50+SIGN($H186)*50*MEDIAN(0,1,($AC186-1)/Settings!$C$43)))</f>
        <v>50</v>
      </c>
      <c r="AS186" s="29">
        <f>IF(OR($V186="",$W186=""),50,MEDIAN(0,100,50+50*($V186-$W186)/Settings!$C$44))</f>
        <v>50</v>
      </c>
      <c r="AT186" s="29">
        <f t="shared" si="49"/>
        <v>50</v>
      </c>
      <c r="AU186" s="30" t="str">
        <f t="shared" si="50"/>
        <v/>
      </c>
      <c r="AV186" s="87" t="str">
        <f>IF($A186="","",IF(COUNTIFS($A$4:$A186,$A186)=1,1,0))</f>
        <v/>
      </c>
    </row>
    <row r="187" spans="1:48" x14ac:dyDescent="0.3">
      <c r="A187" s="265"/>
      <c r="B187" s="266"/>
      <c r="C187" s="267"/>
      <c r="D187" s="267"/>
      <c r="E187" s="267"/>
      <c r="F187" s="267"/>
      <c r="G187" s="267"/>
      <c r="H187" s="268" t="str">
        <f t="shared" si="34"/>
        <v/>
      </c>
      <c r="I187" s="269"/>
      <c r="J187" s="269"/>
      <c r="K187" s="269"/>
      <c r="L187" s="269"/>
      <c r="M187" s="269"/>
      <c r="N187" s="269"/>
      <c r="O187" s="266"/>
      <c r="P187" s="265"/>
      <c r="Q187" s="266"/>
      <c r="R187" s="23" t="str" cm="1">
        <f t="array" ref="R187">IF($B187="","",IFERROR(IF(INDEX('Data Quality'!$U$4:$U$503,ROW()-3)=0,"PENDING",INDEX('Data Quality'!$U$4:$U$503,ROW()-3)),"PENDING"))</f>
        <v/>
      </c>
      <c r="S187" s="24" t="str">
        <f t="shared" si="35"/>
        <v/>
      </c>
      <c r="T187" s="25" t="str">
        <f t="shared" si="36"/>
        <v/>
      </c>
      <c r="U187" s="25" t="str">
        <f t="shared" si="37"/>
        <v/>
      </c>
      <c r="V187" s="26" t="str">
        <f t="shared" si="38"/>
        <v/>
      </c>
      <c r="W187" s="26" t="str">
        <f t="shared" si="39"/>
        <v/>
      </c>
      <c r="X187" s="25" t="str">
        <f t="shared" si="40"/>
        <v/>
      </c>
      <c r="Y187" s="25" t="str">
        <f t="shared" si="41"/>
        <v/>
      </c>
      <c r="Z187" s="27" t="str">
        <f>IF($B187="","",IF($AK187&lt;=Settings!$C$21,"",IFERROR(AVERAGEIFS($S$4:$S$503,$B$4:$B$503,$B187,$AK$4:$AK$503,"&gt;="&amp;$AK187-Settings!$C$21,$AK$4:$AK$503,"&lt;="&amp;$AK187-1),"")))</f>
        <v/>
      </c>
      <c r="AA187" s="28" t="str">
        <f t="shared" si="42"/>
        <v/>
      </c>
      <c r="AB187" s="25" t="str">
        <f>IF($B187="","",IF($AK187&lt;=Settings!$C$22,"",IFERROR(AVERAGEIFS($K$4:$K$503,$B$4:$B$503,$B187,$AK$4:$AK$503,"&gt;="&amp;$AK187-Settings!$C$22,$AK$4:$AK$503,"&lt;="&amp;$AK187-1),"")))</f>
        <v/>
      </c>
      <c r="AC187" s="27" t="str">
        <f t="shared" si="43"/>
        <v/>
      </c>
      <c r="AD187" s="28" t="str">
        <f>IF($B187="","",IF($AK187&lt;=Settings!$C$23,"",IFERROR($E187/SUMIFS($E$4:$E$503,$B$4:$B$503,$B187,$AK$4:$AK$503,$AK187-Settings!$C$23)-1,"")))</f>
        <v/>
      </c>
      <c r="AE187" s="28" t="str">
        <f>IF($B187="","",IF($AK187&lt;=Settings!$C$22,"",IFERROR($E187/SUMIFS($E$4:$E$503,$B$4:$B$503,$B187,$AK$4:$AK$503,$AK187-Settings!$C$22)-1,"")))</f>
        <v/>
      </c>
      <c r="AF187" s="28" t="str">
        <f t="shared" si="44"/>
        <v/>
      </c>
      <c r="AG187" s="29" t="str">
        <f>IF($B187="","",ROUND((MIN(100,100*N($I187)/Settings!$C$27)+MIN(100,100*N($K187)/Settings!$C$28)+MIN(100,100*N($J187)/Settings!$C$29))/3,1))</f>
        <v/>
      </c>
      <c r="AH187" s="29" t="str">
        <f>IF($B187="","",IF(SUM(Settings!$C$32:$C$37)=0,"",ROUND((Settings!$C$32*$AO187+Settings!$C$33*$AP187+Settings!$C$34*$AQ187+Settings!$C$35*$AR187+Settings!$C$36*$AS187+Settings!$C$37*$AT187)/SUM(Settings!$C$32:$C$37),1)))</f>
        <v/>
      </c>
      <c r="AI187" s="29" t="str">
        <f>IF($B187="","",MAX(0,100-IF(N($N187)&gt;0,0,20)-IF(AND(N($L187)=0,N($M187)=0),15,0)-IF(N($J187)&gt;0,0,10)-IF(N($K187)&gt;0,0,10)-IF($Z187&lt;&gt;"",0,15)-IF($AB187&lt;&gt;"",0,10)-IF($R187="ERROR",20,IF($R187="WARNING",10,0))))</f>
        <v/>
      </c>
      <c r="AJ187" s="30" t="str">
        <f>IF($AH187="","",IF($AH187&lt;Settings!$C$46,"Extreme Sell Pressure",IF($AH187&lt;Settings!$C$47,"Sell Pressure",IF($AH187&lt;=Settings!$C$48,"Neutral",IF($AH187&lt;=Settings!$C$49,"Buy Pressure","Extreme Buy Pressure")))))</f>
        <v/>
      </c>
      <c r="AK187" s="30" t="str">
        <f t="shared" si="45"/>
        <v/>
      </c>
      <c r="AL187" s="30" t="str">
        <f t="shared" si="46"/>
        <v/>
      </c>
      <c r="AM187" s="30" t="str">
        <f t="shared" si="47"/>
        <v/>
      </c>
      <c r="AN187" s="30" t="str">
        <f t="shared" si="48"/>
        <v/>
      </c>
      <c r="AO187" s="29" t="str">
        <f>IF($B187="","",IF(AND(N($L187)=0,N($M187)=0),50,IF(N($M187)=0,100,IF(N($L187)=0,0,MEDIAN(0,100,50+50*LN($S187)/LN(Settings!$C$40))))))</f>
        <v/>
      </c>
      <c r="AP187" s="29">
        <f>IF($AA187="",50,MEDIAN(0,100,50+$AA187*100*Settings!$C$41))</f>
        <v>50</v>
      </c>
      <c r="AQ187" s="29">
        <f>IF($H187="",50,MEDIAN(0,100,50+$H187*100*Settings!$C$42))</f>
        <v>50</v>
      </c>
      <c r="AR187" s="29">
        <f>IF(OR($AC187="",$H187=""),50,MEDIAN(0,100,50+SIGN($H187)*50*MEDIAN(0,1,($AC187-1)/Settings!$C$43)))</f>
        <v>50</v>
      </c>
      <c r="AS187" s="29">
        <f>IF(OR($V187="",$W187=""),50,MEDIAN(0,100,50+50*($V187-$W187)/Settings!$C$44))</f>
        <v>50</v>
      </c>
      <c r="AT187" s="29">
        <f t="shared" si="49"/>
        <v>50</v>
      </c>
      <c r="AU187" s="30" t="str">
        <f t="shared" si="50"/>
        <v/>
      </c>
      <c r="AV187" s="87" t="str">
        <f>IF($A187="","",IF(COUNTIFS($A$4:$A187,$A187)=1,1,0))</f>
        <v/>
      </c>
    </row>
    <row r="188" spans="1:48" x14ac:dyDescent="0.3">
      <c r="A188" s="265"/>
      <c r="B188" s="266"/>
      <c r="C188" s="267"/>
      <c r="D188" s="267"/>
      <c r="E188" s="267"/>
      <c r="F188" s="267"/>
      <c r="G188" s="267"/>
      <c r="H188" s="268" t="str">
        <f t="shared" si="34"/>
        <v/>
      </c>
      <c r="I188" s="269"/>
      <c r="J188" s="269"/>
      <c r="K188" s="269"/>
      <c r="L188" s="269"/>
      <c r="M188" s="269"/>
      <c r="N188" s="269"/>
      <c r="O188" s="266"/>
      <c r="P188" s="265"/>
      <c r="Q188" s="266"/>
      <c r="R188" s="23" t="str" cm="1">
        <f t="array" ref="R188">IF($B188="","",IFERROR(IF(INDEX('Data Quality'!$U$4:$U$503,ROW()-3)=0,"PENDING",INDEX('Data Quality'!$U$4:$U$503,ROW()-3)),"PENDING"))</f>
        <v/>
      </c>
      <c r="S188" s="24" t="str">
        <f t="shared" si="35"/>
        <v/>
      </c>
      <c r="T188" s="25" t="str">
        <f t="shared" si="36"/>
        <v/>
      </c>
      <c r="U188" s="25" t="str">
        <f t="shared" si="37"/>
        <v/>
      </c>
      <c r="V188" s="26" t="str">
        <f t="shared" si="38"/>
        <v/>
      </c>
      <c r="W188" s="26" t="str">
        <f t="shared" si="39"/>
        <v/>
      </c>
      <c r="X188" s="25" t="str">
        <f t="shared" si="40"/>
        <v/>
      </c>
      <c r="Y188" s="25" t="str">
        <f t="shared" si="41"/>
        <v/>
      </c>
      <c r="Z188" s="27" t="str">
        <f>IF($B188="","",IF($AK188&lt;=Settings!$C$21,"",IFERROR(AVERAGEIFS($S$4:$S$503,$B$4:$B$503,$B188,$AK$4:$AK$503,"&gt;="&amp;$AK188-Settings!$C$21,$AK$4:$AK$503,"&lt;="&amp;$AK188-1),"")))</f>
        <v/>
      </c>
      <c r="AA188" s="28" t="str">
        <f t="shared" si="42"/>
        <v/>
      </c>
      <c r="AB188" s="25" t="str">
        <f>IF($B188="","",IF($AK188&lt;=Settings!$C$22,"",IFERROR(AVERAGEIFS($K$4:$K$503,$B$4:$B$503,$B188,$AK$4:$AK$503,"&gt;="&amp;$AK188-Settings!$C$22,$AK$4:$AK$503,"&lt;="&amp;$AK188-1),"")))</f>
        <v/>
      </c>
      <c r="AC188" s="27" t="str">
        <f t="shared" si="43"/>
        <v/>
      </c>
      <c r="AD188" s="28" t="str">
        <f>IF($B188="","",IF($AK188&lt;=Settings!$C$23,"",IFERROR($E188/SUMIFS($E$4:$E$503,$B$4:$B$503,$B188,$AK$4:$AK$503,$AK188-Settings!$C$23)-1,"")))</f>
        <v/>
      </c>
      <c r="AE188" s="28" t="str">
        <f>IF($B188="","",IF($AK188&lt;=Settings!$C$22,"",IFERROR($E188/SUMIFS($E$4:$E$503,$B$4:$B$503,$B188,$AK$4:$AK$503,$AK188-Settings!$C$22)-1,"")))</f>
        <v/>
      </c>
      <c r="AF188" s="28" t="str">
        <f t="shared" si="44"/>
        <v/>
      </c>
      <c r="AG188" s="29" t="str">
        <f>IF($B188="","",ROUND((MIN(100,100*N($I188)/Settings!$C$27)+MIN(100,100*N($K188)/Settings!$C$28)+MIN(100,100*N($J188)/Settings!$C$29))/3,1))</f>
        <v/>
      </c>
      <c r="AH188" s="29" t="str">
        <f>IF($B188="","",IF(SUM(Settings!$C$32:$C$37)=0,"",ROUND((Settings!$C$32*$AO188+Settings!$C$33*$AP188+Settings!$C$34*$AQ188+Settings!$C$35*$AR188+Settings!$C$36*$AS188+Settings!$C$37*$AT188)/SUM(Settings!$C$32:$C$37),1)))</f>
        <v/>
      </c>
      <c r="AI188" s="29" t="str">
        <f>IF($B188="","",MAX(0,100-IF(N($N188)&gt;0,0,20)-IF(AND(N($L188)=0,N($M188)=0),15,0)-IF(N($J188)&gt;0,0,10)-IF(N($K188)&gt;0,0,10)-IF($Z188&lt;&gt;"",0,15)-IF($AB188&lt;&gt;"",0,10)-IF($R188="ERROR",20,IF($R188="WARNING",10,0))))</f>
        <v/>
      </c>
      <c r="AJ188" s="30" t="str">
        <f>IF($AH188="","",IF($AH188&lt;Settings!$C$46,"Extreme Sell Pressure",IF($AH188&lt;Settings!$C$47,"Sell Pressure",IF($AH188&lt;=Settings!$C$48,"Neutral",IF($AH188&lt;=Settings!$C$49,"Buy Pressure","Extreme Buy Pressure")))))</f>
        <v/>
      </c>
      <c r="AK188" s="30" t="str">
        <f t="shared" si="45"/>
        <v/>
      </c>
      <c r="AL188" s="30" t="str">
        <f t="shared" si="46"/>
        <v/>
      </c>
      <c r="AM188" s="30" t="str">
        <f t="shared" si="47"/>
        <v/>
      </c>
      <c r="AN188" s="30" t="str">
        <f t="shared" si="48"/>
        <v/>
      </c>
      <c r="AO188" s="29" t="str">
        <f>IF($B188="","",IF(AND(N($L188)=0,N($M188)=0),50,IF(N($M188)=0,100,IF(N($L188)=0,0,MEDIAN(0,100,50+50*LN($S188)/LN(Settings!$C$40))))))</f>
        <v/>
      </c>
      <c r="AP188" s="29">
        <f>IF($AA188="",50,MEDIAN(0,100,50+$AA188*100*Settings!$C$41))</f>
        <v>50</v>
      </c>
      <c r="AQ188" s="29">
        <f>IF($H188="",50,MEDIAN(0,100,50+$H188*100*Settings!$C$42))</f>
        <v>50</v>
      </c>
      <c r="AR188" s="29">
        <f>IF(OR($AC188="",$H188=""),50,MEDIAN(0,100,50+SIGN($H188)*50*MEDIAN(0,1,($AC188-1)/Settings!$C$43)))</f>
        <v>50</v>
      </c>
      <c r="AS188" s="29">
        <f>IF(OR($V188="",$W188=""),50,MEDIAN(0,100,50+50*($V188-$W188)/Settings!$C$44))</f>
        <v>50</v>
      </c>
      <c r="AT188" s="29">
        <f t="shared" si="49"/>
        <v>50</v>
      </c>
      <c r="AU188" s="30" t="str">
        <f t="shared" si="50"/>
        <v/>
      </c>
      <c r="AV188" s="87" t="str">
        <f>IF($A188="","",IF(COUNTIFS($A$4:$A188,$A188)=1,1,0))</f>
        <v/>
      </c>
    </row>
    <row r="189" spans="1:48" x14ac:dyDescent="0.3">
      <c r="A189" s="265"/>
      <c r="B189" s="266"/>
      <c r="C189" s="267"/>
      <c r="D189" s="267"/>
      <c r="E189" s="267"/>
      <c r="F189" s="267"/>
      <c r="G189" s="267"/>
      <c r="H189" s="268" t="str">
        <f t="shared" si="34"/>
        <v/>
      </c>
      <c r="I189" s="269"/>
      <c r="J189" s="269"/>
      <c r="K189" s="269"/>
      <c r="L189" s="269"/>
      <c r="M189" s="269"/>
      <c r="N189" s="269"/>
      <c r="O189" s="266"/>
      <c r="P189" s="265"/>
      <c r="Q189" s="266"/>
      <c r="R189" s="23" t="str" cm="1">
        <f t="array" ref="R189">IF($B189="","",IFERROR(IF(INDEX('Data Quality'!$U$4:$U$503,ROW()-3)=0,"PENDING",INDEX('Data Quality'!$U$4:$U$503,ROW()-3)),"PENDING"))</f>
        <v/>
      </c>
      <c r="S189" s="24" t="str">
        <f t="shared" si="35"/>
        <v/>
      </c>
      <c r="T189" s="25" t="str">
        <f t="shared" si="36"/>
        <v/>
      </c>
      <c r="U189" s="25" t="str">
        <f t="shared" si="37"/>
        <v/>
      </c>
      <c r="V189" s="26" t="str">
        <f t="shared" si="38"/>
        <v/>
      </c>
      <c r="W189" s="26" t="str">
        <f t="shared" si="39"/>
        <v/>
      </c>
      <c r="X189" s="25" t="str">
        <f t="shared" si="40"/>
        <v/>
      </c>
      <c r="Y189" s="25" t="str">
        <f t="shared" si="41"/>
        <v/>
      </c>
      <c r="Z189" s="27" t="str">
        <f>IF($B189="","",IF($AK189&lt;=Settings!$C$21,"",IFERROR(AVERAGEIFS($S$4:$S$503,$B$4:$B$503,$B189,$AK$4:$AK$503,"&gt;="&amp;$AK189-Settings!$C$21,$AK$4:$AK$503,"&lt;="&amp;$AK189-1),"")))</f>
        <v/>
      </c>
      <c r="AA189" s="28" t="str">
        <f t="shared" si="42"/>
        <v/>
      </c>
      <c r="AB189" s="25" t="str">
        <f>IF($B189="","",IF($AK189&lt;=Settings!$C$22,"",IFERROR(AVERAGEIFS($K$4:$K$503,$B$4:$B$503,$B189,$AK$4:$AK$503,"&gt;="&amp;$AK189-Settings!$C$22,$AK$4:$AK$503,"&lt;="&amp;$AK189-1),"")))</f>
        <v/>
      </c>
      <c r="AC189" s="27" t="str">
        <f t="shared" si="43"/>
        <v/>
      </c>
      <c r="AD189" s="28" t="str">
        <f>IF($B189="","",IF($AK189&lt;=Settings!$C$23,"",IFERROR($E189/SUMIFS($E$4:$E$503,$B$4:$B$503,$B189,$AK$4:$AK$503,$AK189-Settings!$C$23)-1,"")))</f>
        <v/>
      </c>
      <c r="AE189" s="28" t="str">
        <f>IF($B189="","",IF($AK189&lt;=Settings!$C$22,"",IFERROR($E189/SUMIFS($E$4:$E$503,$B$4:$B$503,$B189,$AK$4:$AK$503,$AK189-Settings!$C$22)-1,"")))</f>
        <v/>
      </c>
      <c r="AF189" s="28" t="str">
        <f t="shared" si="44"/>
        <v/>
      </c>
      <c r="AG189" s="29" t="str">
        <f>IF($B189="","",ROUND((MIN(100,100*N($I189)/Settings!$C$27)+MIN(100,100*N($K189)/Settings!$C$28)+MIN(100,100*N($J189)/Settings!$C$29))/3,1))</f>
        <v/>
      </c>
      <c r="AH189" s="29" t="str">
        <f>IF($B189="","",IF(SUM(Settings!$C$32:$C$37)=0,"",ROUND((Settings!$C$32*$AO189+Settings!$C$33*$AP189+Settings!$C$34*$AQ189+Settings!$C$35*$AR189+Settings!$C$36*$AS189+Settings!$C$37*$AT189)/SUM(Settings!$C$32:$C$37),1)))</f>
        <v/>
      </c>
      <c r="AI189" s="29" t="str">
        <f>IF($B189="","",MAX(0,100-IF(N($N189)&gt;0,0,20)-IF(AND(N($L189)=0,N($M189)=0),15,0)-IF(N($J189)&gt;0,0,10)-IF(N($K189)&gt;0,0,10)-IF($Z189&lt;&gt;"",0,15)-IF($AB189&lt;&gt;"",0,10)-IF($R189="ERROR",20,IF($R189="WARNING",10,0))))</f>
        <v/>
      </c>
      <c r="AJ189" s="30" t="str">
        <f>IF($AH189="","",IF($AH189&lt;Settings!$C$46,"Extreme Sell Pressure",IF($AH189&lt;Settings!$C$47,"Sell Pressure",IF($AH189&lt;=Settings!$C$48,"Neutral",IF($AH189&lt;=Settings!$C$49,"Buy Pressure","Extreme Buy Pressure")))))</f>
        <v/>
      </c>
      <c r="AK189" s="30" t="str">
        <f t="shared" si="45"/>
        <v/>
      </c>
      <c r="AL189" s="30" t="str">
        <f t="shared" si="46"/>
        <v/>
      </c>
      <c r="AM189" s="30" t="str">
        <f t="shared" si="47"/>
        <v/>
      </c>
      <c r="AN189" s="30" t="str">
        <f t="shared" si="48"/>
        <v/>
      </c>
      <c r="AO189" s="29" t="str">
        <f>IF($B189="","",IF(AND(N($L189)=0,N($M189)=0),50,IF(N($M189)=0,100,IF(N($L189)=0,0,MEDIAN(0,100,50+50*LN($S189)/LN(Settings!$C$40))))))</f>
        <v/>
      </c>
      <c r="AP189" s="29">
        <f>IF($AA189="",50,MEDIAN(0,100,50+$AA189*100*Settings!$C$41))</f>
        <v>50</v>
      </c>
      <c r="AQ189" s="29">
        <f>IF($H189="",50,MEDIAN(0,100,50+$H189*100*Settings!$C$42))</f>
        <v>50</v>
      </c>
      <c r="AR189" s="29">
        <f>IF(OR($AC189="",$H189=""),50,MEDIAN(0,100,50+SIGN($H189)*50*MEDIAN(0,1,($AC189-1)/Settings!$C$43)))</f>
        <v>50</v>
      </c>
      <c r="AS189" s="29">
        <f>IF(OR($V189="",$W189=""),50,MEDIAN(0,100,50+50*($V189-$W189)/Settings!$C$44))</f>
        <v>50</v>
      </c>
      <c r="AT189" s="29">
        <f t="shared" si="49"/>
        <v>50</v>
      </c>
      <c r="AU189" s="30" t="str">
        <f t="shared" si="50"/>
        <v/>
      </c>
      <c r="AV189" s="87" t="str">
        <f>IF($A189="","",IF(COUNTIFS($A$4:$A189,$A189)=1,1,0))</f>
        <v/>
      </c>
    </row>
    <row r="190" spans="1:48" x14ac:dyDescent="0.3">
      <c r="A190" s="265"/>
      <c r="B190" s="266"/>
      <c r="C190" s="267"/>
      <c r="D190" s="267"/>
      <c r="E190" s="267"/>
      <c r="F190" s="267"/>
      <c r="G190" s="267"/>
      <c r="H190" s="268" t="str">
        <f t="shared" si="34"/>
        <v/>
      </c>
      <c r="I190" s="269"/>
      <c r="J190" s="269"/>
      <c r="K190" s="269"/>
      <c r="L190" s="269"/>
      <c r="M190" s="269"/>
      <c r="N190" s="269"/>
      <c r="O190" s="266"/>
      <c r="P190" s="265"/>
      <c r="Q190" s="266"/>
      <c r="R190" s="23" t="str" cm="1">
        <f t="array" ref="R190">IF($B190="","",IFERROR(IF(INDEX('Data Quality'!$U$4:$U$503,ROW()-3)=0,"PENDING",INDEX('Data Quality'!$U$4:$U$503,ROW()-3)),"PENDING"))</f>
        <v/>
      </c>
      <c r="S190" s="24" t="str">
        <f t="shared" si="35"/>
        <v/>
      </c>
      <c r="T190" s="25" t="str">
        <f t="shared" si="36"/>
        <v/>
      </c>
      <c r="U190" s="25" t="str">
        <f t="shared" si="37"/>
        <v/>
      </c>
      <c r="V190" s="26" t="str">
        <f t="shared" si="38"/>
        <v/>
      </c>
      <c r="W190" s="26" t="str">
        <f t="shared" si="39"/>
        <v/>
      </c>
      <c r="X190" s="25" t="str">
        <f t="shared" si="40"/>
        <v/>
      </c>
      <c r="Y190" s="25" t="str">
        <f t="shared" si="41"/>
        <v/>
      </c>
      <c r="Z190" s="27" t="str">
        <f>IF($B190="","",IF($AK190&lt;=Settings!$C$21,"",IFERROR(AVERAGEIFS($S$4:$S$503,$B$4:$B$503,$B190,$AK$4:$AK$503,"&gt;="&amp;$AK190-Settings!$C$21,$AK$4:$AK$503,"&lt;="&amp;$AK190-1),"")))</f>
        <v/>
      </c>
      <c r="AA190" s="28" t="str">
        <f t="shared" si="42"/>
        <v/>
      </c>
      <c r="AB190" s="25" t="str">
        <f>IF($B190="","",IF($AK190&lt;=Settings!$C$22,"",IFERROR(AVERAGEIFS($K$4:$K$503,$B$4:$B$503,$B190,$AK$4:$AK$503,"&gt;="&amp;$AK190-Settings!$C$22,$AK$4:$AK$503,"&lt;="&amp;$AK190-1),"")))</f>
        <v/>
      </c>
      <c r="AC190" s="27" t="str">
        <f t="shared" si="43"/>
        <v/>
      </c>
      <c r="AD190" s="28" t="str">
        <f>IF($B190="","",IF($AK190&lt;=Settings!$C$23,"",IFERROR($E190/SUMIFS($E$4:$E$503,$B$4:$B$503,$B190,$AK$4:$AK$503,$AK190-Settings!$C$23)-1,"")))</f>
        <v/>
      </c>
      <c r="AE190" s="28" t="str">
        <f>IF($B190="","",IF($AK190&lt;=Settings!$C$22,"",IFERROR($E190/SUMIFS($E$4:$E$503,$B$4:$B$503,$B190,$AK$4:$AK$503,$AK190-Settings!$C$22)-1,"")))</f>
        <v/>
      </c>
      <c r="AF190" s="28" t="str">
        <f t="shared" si="44"/>
        <v/>
      </c>
      <c r="AG190" s="29" t="str">
        <f>IF($B190="","",ROUND((MIN(100,100*N($I190)/Settings!$C$27)+MIN(100,100*N($K190)/Settings!$C$28)+MIN(100,100*N($J190)/Settings!$C$29))/3,1))</f>
        <v/>
      </c>
      <c r="AH190" s="29" t="str">
        <f>IF($B190="","",IF(SUM(Settings!$C$32:$C$37)=0,"",ROUND((Settings!$C$32*$AO190+Settings!$C$33*$AP190+Settings!$C$34*$AQ190+Settings!$C$35*$AR190+Settings!$C$36*$AS190+Settings!$C$37*$AT190)/SUM(Settings!$C$32:$C$37),1)))</f>
        <v/>
      </c>
      <c r="AI190" s="29" t="str">
        <f>IF($B190="","",MAX(0,100-IF(N($N190)&gt;0,0,20)-IF(AND(N($L190)=0,N($M190)=0),15,0)-IF(N($J190)&gt;0,0,10)-IF(N($K190)&gt;0,0,10)-IF($Z190&lt;&gt;"",0,15)-IF($AB190&lt;&gt;"",0,10)-IF($R190="ERROR",20,IF($R190="WARNING",10,0))))</f>
        <v/>
      </c>
      <c r="AJ190" s="30" t="str">
        <f>IF($AH190="","",IF($AH190&lt;Settings!$C$46,"Extreme Sell Pressure",IF($AH190&lt;Settings!$C$47,"Sell Pressure",IF($AH190&lt;=Settings!$C$48,"Neutral",IF($AH190&lt;=Settings!$C$49,"Buy Pressure","Extreme Buy Pressure")))))</f>
        <v/>
      </c>
      <c r="AK190" s="30" t="str">
        <f t="shared" si="45"/>
        <v/>
      </c>
      <c r="AL190" s="30" t="str">
        <f t="shared" si="46"/>
        <v/>
      </c>
      <c r="AM190" s="30" t="str">
        <f t="shared" si="47"/>
        <v/>
      </c>
      <c r="AN190" s="30" t="str">
        <f t="shared" si="48"/>
        <v/>
      </c>
      <c r="AO190" s="29" t="str">
        <f>IF($B190="","",IF(AND(N($L190)=0,N($M190)=0),50,IF(N($M190)=0,100,IF(N($L190)=0,0,MEDIAN(0,100,50+50*LN($S190)/LN(Settings!$C$40))))))</f>
        <v/>
      </c>
      <c r="AP190" s="29">
        <f>IF($AA190="",50,MEDIAN(0,100,50+$AA190*100*Settings!$C$41))</f>
        <v>50</v>
      </c>
      <c r="AQ190" s="29">
        <f>IF($H190="",50,MEDIAN(0,100,50+$H190*100*Settings!$C$42))</f>
        <v>50</v>
      </c>
      <c r="AR190" s="29">
        <f>IF(OR($AC190="",$H190=""),50,MEDIAN(0,100,50+SIGN($H190)*50*MEDIAN(0,1,($AC190-1)/Settings!$C$43)))</f>
        <v>50</v>
      </c>
      <c r="AS190" s="29">
        <f>IF(OR($V190="",$W190=""),50,MEDIAN(0,100,50+50*($V190-$W190)/Settings!$C$44))</f>
        <v>50</v>
      </c>
      <c r="AT190" s="29">
        <f t="shared" si="49"/>
        <v>50</v>
      </c>
      <c r="AU190" s="30" t="str">
        <f t="shared" si="50"/>
        <v/>
      </c>
      <c r="AV190" s="87" t="str">
        <f>IF($A190="","",IF(COUNTIFS($A$4:$A190,$A190)=1,1,0))</f>
        <v/>
      </c>
    </row>
    <row r="191" spans="1:48" x14ac:dyDescent="0.3">
      <c r="A191" s="265"/>
      <c r="B191" s="266"/>
      <c r="C191" s="267"/>
      <c r="D191" s="267"/>
      <c r="E191" s="267"/>
      <c r="F191" s="267"/>
      <c r="G191" s="267"/>
      <c r="H191" s="268" t="str">
        <f t="shared" si="34"/>
        <v/>
      </c>
      <c r="I191" s="269"/>
      <c r="J191" s="269"/>
      <c r="K191" s="269"/>
      <c r="L191" s="269"/>
      <c r="M191" s="269"/>
      <c r="N191" s="269"/>
      <c r="O191" s="266"/>
      <c r="P191" s="265"/>
      <c r="Q191" s="266"/>
      <c r="R191" s="23" t="str" cm="1">
        <f t="array" ref="R191">IF($B191="","",IFERROR(IF(INDEX('Data Quality'!$U$4:$U$503,ROW()-3)=0,"PENDING",INDEX('Data Quality'!$U$4:$U$503,ROW()-3)),"PENDING"))</f>
        <v/>
      </c>
      <c r="S191" s="24" t="str">
        <f t="shared" si="35"/>
        <v/>
      </c>
      <c r="T191" s="25" t="str">
        <f t="shared" si="36"/>
        <v/>
      </c>
      <c r="U191" s="25" t="str">
        <f t="shared" si="37"/>
        <v/>
      </c>
      <c r="V191" s="26" t="str">
        <f t="shared" si="38"/>
        <v/>
      </c>
      <c r="W191" s="26" t="str">
        <f t="shared" si="39"/>
        <v/>
      </c>
      <c r="X191" s="25" t="str">
        <f t="shared" si="40"/>
        <v/>
      </c>
      <c r="Y191" s="25" t="str">
        <f t="shared" si="41"/>
        <v/>
      </c>
      <c r="Z191" s="27" t="str">
        <f>IF($B191="","",IF($AK191&lt;=Settings!$C$21,"",IFERROR(AVERAGEIFS($S$4:$S$503,$B$4:$B$503,$B191,$AK$4:$AK$503,"&gt;="&amp;$AK191-Settings!$C$21,$AK$4:$AK$503,"&lt;="&amp;$AK191-1),"")))</f>
        <v/>
      </c>
      <c r="AA191" s="28" t="str">
        <f t="shared" si="42"/>
        <v/>
      </c>
      <c r="AB191" s="25" t="str">
        <f>IF($B191="","",IF($AK191&lt;=Settings!$C$22,"",IFERROR(AVERAGEIFS($K$4:$K$503,$B$4:$B$503,$B191,$AK$4:$AK$503,"&gt;="&amp;$AK191-Settings!$C$22,$AK$4:$AK$503,"&lt;="&amp;$AK191-1),"")))</f>
        <v/>
      </c>
      <c r="AC191" s="27" t="str">
        <f t="shared" si="43"/>
        <v/>
      </c>
      <c r="AD191" s="28" t="str">
        <f>IF($B191="","",IF($AK191&lt;=Settings!$C$23,"",IFERROR($E191/SUMIFS($E$4:$E$503,$B$4:$B$503,$B191,$AK$4:$AK$503,$AK191-Settings!$C$23)-1,"")))</f>
        <v/>
      </c>
      <c r="AE191" s="28" t="str">
        <f>IF($B191="","",IF($AK191&lt;=Settings!$C$22,"",IFERROR($E191/SUMIFS($E$4:$E$503,$B$4:$B$503,$B191,$AK$4:$AK$503,$AK191-Settings!$C$22)-1,"")))</f>
        <v/>
      </c>
      <c r="AF191" s="28" t="str">
        <f t="shared" si="44"/>
        <v/>
      </c>
      <c r="AG191" s="29" t="str">
        <f>IF($B191="","",ROUND((MIN(100,100*N($I191)/Settings!$C$27)+MIN(100,100*N($K191)/Settings!$C$28)+MIN(100,100*N($J191)/Settings!$C$29))/3,1))</f>
        <v/>
      </c>
      <c r="AH191" s="29" t="str">
        <f>IF($B191="","",IF(SUM(Settings!$C$32:$C$37)=0,"",ROUND((Settings!$C$32*$AO191+Settings!$C$33*$AP191+Settings!$C$34*$AQ191+Settings!$C$35*$AR191+Settings!$C$36*$AS191+Settings!$C$37*$AT191)/SUM(Settings!$C$32:$C$37),1)))</f>
        <v/>
      </c>
      <c r="AI191" s="29" t="str">
        <f>IF($B191="","",MAX(0,100-IF(N($N191)&gt;0,0,20)-IF(AND(N($L191)=0,N($M191)=0),15,0)-IF(N($J191)&gt;0,0,10)-IF(N($K191)&gt;0,0,10)-IF($Z191&lt;&gt;"",0,15)-IF($AB191&lt;&gt;"",0,10)-IF($R191="ERROR",20,IF($R191="WARNING",10,0))))</f>
        <v/>
      </c>
      <c r="AJ191" s="30" t="str">
        <f>IF($AH191="","",IF($AH191&lt;Settings!$C$46,"Extreme Sell Pressure",IF($AH191&lt;Settings!$C$47,"Sell Pressure",IF($AH191&lt;=Settings!$C$48,"Neutral",IF($AH191&lt;=Settings!$C$49,"Buy Pressure","Extreme Buy Pressure")))))</f>
        <v/>
      </c>
      <c r="AK191" s="30" t="str">
        <f t="shared" si="45"/>
        <v/>
      </c>
      <c r="AL191" s="30" t="str">
        <f t="shared" si="46"/>
        <v/>
      </c>
      <c r="AM191" s="30" t="str">
        <f t="shared" si="47"/>
        <v/>
      </c>
      <c r="AN191" s="30" t="str">
        <f t="shared" si="48"/>
        <v/>
      </c>
      <c r="AO191" s="29" t="str">
        <f>IF($B191="","",IF(AND(N($L191)=0,N($M191)=0),50,IF(N($M191)=0,100,IF(N($L191)=0,0,MEDIAN(0,100,50+50*LN($S191)/LN(Settings!$C$40))))))</f>
        <v/>
      </c>
      <c r="AP191" s="29">
        <f>IF($AA191="",50,MEDIAN(0,100,50+$AA191*100*Settings!$C$41))</f>
        <v>50</v>
      </c>
      <c r="AQ191" s="29">
        <f>IF($H191="",50,MEDIAN(0,100,50+$H191*100*Settings!$C$42))</f>
        <v>50</v>
      </c>
      <c r="AR191" s="29">
        <f>IF(OR($AC191="",$H191=""),50,MEDIAN(0,100,50+SIGN($H191)*50*MEDIAN(0,1,($AC191-1)/Settings!$C$43)))</f>
        <v>50</v>
      </c>
      <c r="AS191" s="29">
        <f>IF(OR($V191="",$W191=""),50,MEDIAN(0,100,50+50*($V191-$W191)/Settings!$C$44))</f>
        <v>50</v>
      </c>
      <c r="AT191" s="29">
        <f t="shared" si="49"/>
        <v>50</v>
      </c>
      <c r="AU191" s="30" t="str">
        <f t="shared" si="50"/>
        <v/>
      </c>
      <c r="AV191" s="87" t="str">
        <f>IF($A191="","",IF(COUNTIFS($A$4:$A191,$A191)=1,1,0))</f>
        <v/>
      </c>
    </row>
    <row r="192" spans="1:48" x14ac:dyDescent="0.3">
      <c r="A192" s="265"/>
      <c r="B192" s="266"/>
      <c r="C192" s="267"/>
      <c r="D192" s="267"/>
      <c r="E192" s="267"/>
      <c r="F192" s="267"/>
      <c r="G192" s="267"/>
      <c r="H192" s="268" t="str">
        <f t="shared" si="34"/>
        <v/>
      </c>
      <c r="I192" s="269"/>
      <c r="J192" s="269"/>
      <c r="K192" s="269"/>
      <c r="L192" s="269"/>
      <c r="M192" s="269"/>
      <c r="N192" s="269"/>
      <c r="O192" s="266"/>
      <c r="P192" s="265"/>
      <c r="Q192" s="266"/>
      <c r="R192" s="23" t="str" cm="1">
        <f t="array" ref="R192">IF($B192="","",IFERROR(IF(INDEX('Data Quality'!$U$4:$U$503,ROW()-3)=0,"PENDING",INDEX('Data Quality'!$U$4:$U$503,ROW()-3)),"PENDING"))</f>
        <v/>
      </c>
      <c r="S192" s="24" t="str">
        <f t="shared" si="35"/>
        <v/>
      </c>
      <c r="T192" s="25" t="str">
        <f t="shared" si="36"/>
        <v/>
      </c>
      <c r="U192" s="25" t="str">
        <f t="shared" si="37"/>
        <v/>
      </c>
      <c r="V192" s="26" t="str">
        <f t="shared" si="38"/>
        <v/>
      </c>
      <c r="W192" s="26" t="str">
        <f t="shared" si="39"/>
        <v/>
      </c>
      <c r="X192" s="25" t="str">
        <f t="shared" si="40"/>
        <v/>
      </c>
      <c r="Y192" s="25" t="str">
        <f t="shared" si="41"/>
        <v/>
      </c>
      <c r="Z192" s="27" t="str">
        <f>IF($B192="","",IF($AK192&lt;=Settings!$C$21,"",IFERROR(AVERAGEIFS($S$4:$S$503,$B$4:$B$503,$B192,$AK$4:$AK$503,"&gt;="&amp;$AK192-Settings!$C$21,$AK$4:$AK$503,"&lt;="&amp;$AK192-1),"")))</f>
        <v/>
      </c>
      <c r="AA192" s="28" t="str">
        <f t="shared" si="42"/>
        <v/>
      </c>
      <c r="AB192" s="25" t="str">
        <f>IF($B192="","",IF($AK192&lt;=Settings!$C$22,"",IFERROR(AVERAGEIFS($K$4:$K$503,$B$4:$B$503,$B192,$AK$4:$AK$503,"&gt;="&amp;$AK192-Settings!$C$22,$AK$4:$AK$503,"&lt;="&amp;$AK192-1),"")))</f>
        <v/>
      </c>
      <c r="AC192" s="27" t="str">
        <f t="shared" si="43"/>
        <v/>
      </c>
      <c r="AD192" s="28" t="str">
        <f>IF($B192="","",IF($AK192&lt;=Settings!$C$23,"",IFERROR($E192/SUMIFS($E$4:$E$503,$B$4:$B$503,$B192,$AK$4:$AK$503,$AK192-Settings!$C$23)-1,"")))</f>
        <v/>
      </c>
      <c r="AE192" s="28" t="str">
        <f>IF($B192="","",IF($AK192&lt;=Settings!$C$22,"",IFERROR($E192/SUMIFS($E$4:$E$503,$B$4:$B$503,$B192,$AK$4:$AK$503,$AK192-Settings!$C$22)-1,"")))</f>
        <v/>
      </c>
      <c r="AF192" s="28" t="str">
        <f t="shared" si="44"/>
        <v/>
      </c>
      <c r="AG192" s="29" t="str">
        <f>IF($B192="","",ROUND((MIN(100,100*N($I192)/Settings!$C$27)+MIN(100,100*N($K192)/Settings!$C$28)+MIN(100,100*N($J192)/Settings!$C$29))/3,1))</f>
        <v/>
      </c>
      <c r="AH192" s="29" t="str">
        <f>IF($B192="","",IF(SUM(Settings!$C$32:$C$37)=0,"",ROUND((Settings!$C$32*$AO192+Settings!$C$33*$AP192+Settings!$C$34*$AQ192+Settings!$C$35*$AR192+Settings!$C$36*$AS192+Settings!$C$37*$AT192)/SUM(Settings!$C$32:$C$37),1)))</f>
        <v/>
      </c>
      <c r="AI192" s="29" t="str">
        <f>IF($B192="","",MAX(0,100-IF(N($N192)&gt;0,0,20)-IF(AND(N($L192)=0,N($M192)=0),15,0)-IF(N($J192)&gt;0,0,10)-IF(N($K192)&gt;0,0,10)-IF($Z192&lt;&gt;"",0,15)-IF($AB192&lt;&gt;"",0,10)-IF($R192="ERROR",20,IF($R192="WARNING",10,0))))</f>
        <v/>
      </c>
      <c r="AJ192" s="30" t="str">
        <f>IF($AH192="","",IF($AH192&lt;Settings!$C$46,"Extreme Sell Pressure",IF($AH192&lt;Settings!$C$47,"Sell Pressure",IF($AH192&lt;=Settings!$C$48,"Neutral",IF($AH192&lt;=Settings!$C$49,"Buy Pressure","Extreme Buy Pressure")))))</f>
        <v/>
      </c>
      <c r="AK192" s="30" t="str">
        <f t="shared" si="45"/>
        <v/>
      </c>
      <c r="AL192" s="30" t="str">
        <f t="shared" si="46"/>
        <v/>
      </c>
      <c r="AM192" s="30" t="str">
        <f t="shared" si="47"/>
        <v/>
      </c>
      <c r="AN192" s="30" t="str">
        <f t="shared" si="48"/>
        <v/>
      </c>
      <c r="AO192" s="29" t="str">
        <f>IF($B192="","",IF(AND(N($L192)=0,N($M192)=0),50,IF(N($M192)=0,100,IF(N($L192)=0,0,MEDIAN(0,100,50+50*LN($S192)/LN(Settings!$C$40))))))</f>
        <v/>
      </c>
      <c r="AP192" s="29">
        <f>IF($AA192="",50,MEDIAN(0,100,50+$AA192*100*Settings!$C$41))</f>
        <v>50</v>
      </c>
      <c r="AQ192" s="29">
        <f>IF($H192="",50,MEDIAN(0,100,50+$H192*100*Settings!$C$42))</f>
        <v>50</v>
      </c>
      <c r="AR192" s="29">
        <f>IF(OR($AC192="",$H192=""),50,MEDIAN(0,100,50+SIGN($H192)*50*MEDIAN(0,1,($AC192-1)/Settings!$C$43)))</f>
        <v>50</v>
      </c>
      <c r="AS192" s="29">
        <f>IF(OR($V192="",$W192=""),50,MEDIAN(0,100,50+50*($V192-$W192)/Settings!$C$44))</f>
        <v>50</v>
      </c>
      <c r="AT192" s="29">
        <f t="shared" si="49"/>
        <v>50</v>
      </c>
      <c r="AU192" s="30" t="str">
        <f t="shared" si="50"/>
        <v/>
      </c>
      <c r="AV192" s="87" t="str">
        <f>IF($A192="","",IF(COUNTIFS($A$4:$A192,$A192)=1,1,0))</f>
        <v/>
      </c>
    </row>
    <row r="193" spans="1:48" x14ac:dyDescent="0.3">
      <c r="A193" s="265"/>
      <c r="B193" s="266"/>
      <c r="C193" s="267"/>
      <c r="D193" s="267"/>
      <c r="E193" s="267"/>
      <c r="F193" s="267"/>
      <c r="G193" s="267"/>
      <c r="H193" s="268" t="str">
        <f t="shared" si="34"/>
        <v/>
      </c>
      <c r="I193" s="269"/>
      <c r="J193" s="269"/>
      <c r="K193" s="269"/>
      <c r="L193" s="269"/>
      <c r="M193" s="269"/>
      <c r="N193" s="269"/>
      <c r="O193" s="266"/>
      <c r="P193" s="265"/>
      <c r="Q193" s="266"/>
      <c r="R193" s="23" t="str" cm="1">
        <f t="array" ref="R193">IF($B193="","",IFERROR(IF(INDEX('Data Quality'!$U$4:$U$503,ROW()-3)=0,"PENDING",INDEX('Data Quality'!$U$4:$U$503,ROW()-3)),"PENDING"))</f>
        <v/>
      </c>
      <c r="S193" s="24" t="str">
        <f t="shared" si="35"/>
        <v/>
      </c>
      <c r="T193" s="25" t="str">
        <f t="shared" si="36"/>
        <v/>
      </c>
      <c r="U193" s="25" t="str">
        <f t="shared" si="37"/>
        <v/>
      </c>
      <c r="V193" s="26" t="str">
        <f t="shared" si="38"/>
        <v/>
      </c>
      <c r="W193" s="26" t="str">
        <f t="shared" si="39"/>
        <v/>
      </c>
      <c r="X193" s="25" t="str">
        <f t="shared" si="40"/>
        <v/>
      </c>
      <c r="Y193" s="25" t="str">
        <f t="shared" si="41"/>
        <v/>
      </c>
      <c r="Z193" s="27" t="str">
        <f>IF($B193="","",IF($AK193&lt;=Settings!$C$21,"",IFERROR(AVERAGEIFS($S$4:$S$503,$B$4:$B$503,$B193,$AK$4:$AK$503,"&gt;="&amp;$AK193-Settings!$C$21,$AK$4:$AK$503,"&lt;="&amp;$AK193-1),"")))</f>
        <v/>
      </c>
      <c r="AA193" s="28" t="str">
        <f t="shared" si="42"/>
        <v/>
      </c>
      <c r="AB193" s="25" t="str">
        <f>IF($B193="","",IF($AK193&lt;=Settings!$C$22,"",IFERROR(AVERAGEIFS($K$4:$K$503,$B$4:$B$503,$B193,$AK$4:$AK$503,"&gt;="&amp;$AK193-Settings!$C$22,$AK$4:$AK$503,"&lt;="&amp;$AK193-1),"")))</f>
        <v/>
      </c>
      <c r="AC193" s="27" t="str">
        <f t="shared" si="43"/>
        <v/>
      </c>
      <c r="AD193" s="28" t="str">
        <f>IF($B193="","",IF($AK193&lt;=Settings!$C$23,"",IFERROR($E193/SUMIFS($E$4:$E$503,$B$4:$B$503,$B193,$AK$4:$AK$503,$AK193-Settings!$C$23)-1,"")))</f>
        <v/>
      </c>
      <c r="AE193" s="28" t="str">
        <f>IF($B193="","",IF($AK193&lt;=Settings!$C$22,"",IFERROR($E193/SUMIFS($E$4:$E$503,$B$4:$B$503,$B193,$AK$4:$AK$503,$AK193-Settings!$C$22)-1,"")))</f>
        <v/>
      </c>
      <c r="AF193" s="28" t="str">
        <f t="shared" si="44"/>
        <v/>
      </c>
      <c r="AG193" s="29" t="str">
        <f>IF($B193="","",ROUND((MIN(100,100*N($I193)/Settings!$C$27)+MIN(100,100*N($K193)/Settings!$C$28)+MIN(100,100*N($J193)/Settings!$C$29))/3,1))</f>
        <v/>
      </c>
      <c r="AH193" s="29" t="str">
        <f>IF($B193="","",IF(SUM(Settings!$C$32:$C$37)=0,"",ROUND((Settings!$C$32*$AO193+Settings!$C$33*$AP193+Settings!$C$34*$AQ193+Settings!$C$35*$AR193+Settings!$C$36*$AS193+Settings!$C$37*$AT193)/SUM(Settings!$C$32:$C$37),1)))</f>
        <v/>
      </c>
      <c r="AI193" s="29" t="str">
        <f>IF($B193="","",MAX(0,100-IF(N($N193)&gt;0,0,20)-IF(AND(N($L193)=0,N($M193)=0),15,0)-IF(N($J193)&gt;0,0,10)-IF(N($K193)&gt;0,0,10)-IF($Z193&lt;&gt;"",0,15)-IF($AB193&lt;&gt;"",0,10)-IF($R193="ERROR",20,IF($R193="WARNING",10,0))))</f>
        <v/>
      </c>
      <c r="AJ193" s="30" t="str">
        <f>IF($AH193="","",IF($AH193&lt;Settings!$C$46,"Extreme Sell Pressure",IF($AH193&lt;Settings!$C$47,"Sell Pressure",IF($AH193&lt;=Settings!$C$48,"Neutral",IF($AH193&lt;=Settings!$C$49,"Buy Pressure","Extreme Buy Pressure")))))</f>
        <v/>
      </c>
      <c r="AK193" s="30" t="str">
        <f t="shared" si="45"/>
        <v/>
      </c>
      <c r="AL193" s="30" t="str">
        <f t="shared" si="46"/>
        <v/>
      </c>
      <c r="AM193" s="30" t="str">
        <f t="shared" si="47"/>
        <v/>
      </c>
      <c r="AN193" s="30" t="str">
        <f t="shared" si="48"/>
        <v/>
      </c>
      <c r="AO193" s="29" t="str">
        <f>IF($B193="","",IF(AND(N($L193)=0,N($M193)=0),50,IF(N($M193)=0,100,IF(N($L193)=0,0,MEDIAN(0,100,50+50*LN($S193)/LN(Settings!$C$40))))))</f>
        <v/>
      </c>
      <c r="AP193" s="29">
        <f>IF($AA193="",50,MEDIAN(0,100,50+$AA193*100*Settings!$C$41))</f>
        <v>50</v>
      </c>
      <c r="AQ193" s="29">
        <f>IF($H193="",50,MEDIAN(0,100,50+$H193*100*Settings!$C$42))</f>
        <v>50</v>
      </c>
      <c r="AR193" s="29">
        <f>IF(OR($AC193="",$H193=""),50,MEDIAN(0,100,50+SIGN($H193)*50*MEDIAN(0,1,($AC193-1)/Settings!$C$43)))</f>
        <v>50</v>
      </c>
      <c r="AS193" s="29">
        <f>IF(OR($V193="",$W193=""),50,MEDIAN(0,100,50+50*($V193-$W193)/Settings!$C$44))</f>
        <v>50</v>
      </c>
      <c r="AT193" s="29">
        <f t="shared" si="49"/>
        <v>50</v>
      </c>
      <c r="AU193" s="30" t="str">
        <f t="shared" si="50"/>
        <v/>
      </c>
      <c r="AV193" s="87" t="str">
        <f>IF($A193="","",IF(COUNTIFS($A$4:$A193,$A193)=1,1,0))</f>
        <v/>
      </c>
    </row>
    <row r="194" spans="1:48" x14ac:dyDescent="0.3">
      <c r="A194" s="265"/>
      <c r="B194" s="266"/>
      <c r="C194" s="267"/>
      <c r="D194" s="267"/>
      <c r="E194" s="267"/>
      <c r="F194" s="267"/>
      <c r="G194" s="267"/>
      <c r="H194" s="268" t="str">
        <f t="shared" si="34"/>
        <v/>
      </c>
      <c r="I194" s="269"/>
      <c r="J194" s="269"/>
      <c r="K194" s="269"/>
      <c r="L194" s="269"/>
      <c r="M194" s="269"/>
      <c r="N194" s="269"/>
      <c r="O194" s="266"/>
      <c r="P194" s="265"/>
      <c r="Q194" s="266"/>
      <c r="R194" s="23" t="str" cm="1">
        <f t="array" ref="R194">IF($B194="","",IFERROR(IF(INDEX('Data Quality'!$U$4:$U$503,ROW()-3)=0,"PENDING",INDEX('Data Quality'!$U$4:$U$503,ROW()-3)),"PENDING"))</f>
        <v/>
      </c>
      <c r="S194" s="24" t="str">
        <f t="shared" si="35"/>
        <v/>
      </c>
      <c r="T194" s="25" t="str">
        <f t="shared" si="36"/>
        <v/>
      </c>
      <c r="U194" s="25" t="str">
        <f t="shared" si="37"/>
        <v/>
      </c>
      <c r="V194" s="26" t="str">
        <f t="shared" si="38"/>
        <v/>
      </c>
      <c r="W194" s="26" t="str">
        <f t="shared" si="39"/>
        <v/>
      </c>
      <c r="X194" s="25" t="str">
        <f t="shared" si="40"/>
        <v/>
      </c>
      <c r="Y194" s="25" t="str">
        <f t="shared" si="41"/>
        <v/>
      </c>
      <c r="Z194" s="27" t="str">
        <f>IF($B194="","",IF($AK194&lt;=Settings!$C$21,"",IFERROR(AVERAGEIFS($S$4:$S$503,$B$4:$B$503,$B194,$AK$4:$AK$503,"&gt;="&amp;$AK194-Settings!$C$21,$AK$4:$AK$503,"&lt;="&amp;$AK194-1),"")))</f>
        <v/>
      </c>
      <c r="AA194" s="28" t="str">
        <f t="shared" si="42"/>
        <v/>
      </c>
      <c r="AB194" s="25" t="str">
        <f>IF($B194="","",IF($AK194&lt;=Settings!$C$22,"",IFERROR(AVERAGEIFS($K$4:$K$503,$B$4:$B$503,$B194,$AK$4:$AK$503,"&gt;="&amp;$AK194-Settings!$C$22,$AK$4:$AK$503,"&lt;="&amp;$AK194-1),"")))</f>
        <v/>
      </c>
      <c r="AC194" s="27" t="str">
        <f t="shared" si="43"/>
        <v/>
      </c>
      <c r="AD194" s="28" t="str">
        <f>IF($B194="","",IF($AK194&lt;=Settings!$C$23,"",IFERROR($E194/SUMIFS($E$4:$E$503,$B$4:$B$503,$B194,$AK$4:$AK$503,$AK194-Settings!$C$23)-1,"")))</f>
        <v/>
      </c>
      <c r="AE194" s="28" t="str">
        <f>IF($B194="","",IF($AK194&lt;=Settings!$C$22,"",IFERROR($E194/SUMIFS($E$4:$E$503,$B$4:$B$503,$B194,$AK$4:$AK$503,$AK194-Settings!$C$22)-1,"")))</f>
        <v/>
      </c>
      <c r="AF194" s="28" t="str">
        <f t="shared" si="44"/>
        <v/>
      </c>
      <c r="AG194" s="29" t="str">
        <f>IF($B194="","",ROUND((MIN(100,100*N($I194)/Settings!$C$27)+MIN(100,100*N($K194)/Settings!$C$28)+MIN(100,100*N($J194)/Settings!$C$29))/3,1))</f>
        <v/>
      </c>
      <c r="AH194" s="29" t="str">
        <f>IF($B194="","",IF(SUM(Settings!$C$32:$C$37)=0,"",ROUND((Settings!$C$32*$AO194+Settings!$C$33*$AP194+Settings!$C$34*$AQ194+Settings!$C$35*$AR194+Settings!$C$36*$AS194+Settings!$C$37*$AT194)/SUM(Settings!$C$32:$C$37),1)))</f>
        <v/>
      </c>
      <c r="AI194" s="29" t="str">
        <f>IF($B194="","",MAX(0,100-IF(N($N194)&gt;0,0,20)-IF(AND(N($L194)=0,N($M194)=0),15,0)-IF(N($J194)&gt;0,0,10)-IF(N($K194)&gt;0,0,10)-IF($Z194&lt;&gt;"",0,15)-IF($AB194&lt;&gt;"",0,10)-IF($R194="ERROR",20,IF($R194="WARNING",10,0))))</f>
        <v/>
      </c>
      <c r="AJ194" s="30" t="str">
        <f>IF($AH194="","",IF($AH194&lt;Settings!$C$46,"Extreme Sell Pressure",IF($AH194&lt;Settings!$C$47,"Sell Pressure",IF($AH194&lt;=Settings!$C$48,"Neutral",IF($AH194&lt;=Settings!$C$49,"Buy Pressure","Extreme Buy Pressure")))))</f>
        <v/>
      </c>
      <c r="AK194" s="30" t="str">
        <f t="shared" si="45"/>
        <v/>
      </c>
      <c r="AL194" s="30" t="str">
        <f t="shared" si="46"/>
        <v/>
      </c>
      <c r="AM194" s="30" t="str">
        <f t="shared" si="47"/>
        <v/>
      </c>
      <c r="AN194" s="30" t="str">
        <f t="shared" si="48"/>
        <v/>
      </c>
      <c r="AO194" s="29" t="str">
        <f>IF($B194="","",IF(AND(N($L194)=0,N($M194)=0),50,IF(N($M194)=0,100,IF(N($L194)=0,0,MEDIAN(0,100,50+50*LN($S194)/LN(Settings!$C$40))))))</f>
        <v/>
      </c>
      <c r="AP194" s="29">
        <f>IF($AA194="",50,MEDIAN(0,100,50+$AA194*100*Settings!$C$41))</f>
        <v>50</v>
      </c>
      <c r="AQ194" s="29">
        <f>IF($H194="",50,MEDIAN(0,100,50+$H194*100*Settings!$C$42))</f>
        <v>50</v>
      </c>
      <c r="AR194" s="29">
        <f>IF(OR($AC194="",$H194=""),50,MEDIAN(0,100,50+SIGN($H194)*50*MEDIAN(0,1,($AC194-1)/Settings!$C$43)))</f>
        <v>50</v>
      </c>
      <c r="AS194" s="29">
        <f>IF(OR($V194="",$W194=""),50,MEDIAN(0,100,50+50*($V194-$W194)/Settings!$C$44))</f>
        <v>50</v>
      </c>
      <c r="AT194" s="29">
        <f t="shared" si="49"/>
        <v>50</v>
      </c>
      <c r="AU194" s="30" t="str">
        <f t="shared" si="50"/>
        <v/>
      </c>
      <c r="AV194" s="87" t="str">
        <f>IF($A194="","",IF(COUNTIFS($A$4:$A194,$A194)=1,1,0))</f>
        <v/>
      </c>
    </row>
    <row r="195" spans="1:48" x14ac:dyDescent="0.3">
      <c r="A195" s="265"/>
      <c r="B195" s="266"/>
      <c r="C195" s="267"/>
      <c r="D195" s="267"/>
      <c r="E195" s="267"/>
      <c r="F195" s="267"/>
      <c r="G195" s="267"/>
      <c r="H195" s="268" t="str">
        <f t="shared" si="34"/>
        <v/>
      </c>
      <c r="I195" s="269"/>
      <c r="J195" s="269"/>
      <c r="K195" s="269"/>
      <c r="L195" s="269"/>
      <c r="M195" s="269"/>
      <c r="N195" s="269"/>
      <c r="O195" s="266"/>
      <c r="P195" s="265"/>
      <c r="Q195" s="266"/>
      <c r="R195" s="23" t="str" cm="1">
        <f t="array" ref="R195">IF($B195="","",IFERROR(IF(INDEX('Data Quality'!$U$4:$U$503,ROW()-3)=0,"PENDING",INDEX('Data Quality'!$U$4:$U$503,ROW()-3)),"PENDING"))</f>
        <v/>
      </c>
      <c r="S195" s="24" t="str">
        <f t="shared" si="35"/>
        <v/>
      </c>
      <c r="T195" s="25" t="str">
        <f t="shared" si="36"/>
        <v/>
      </c>
      <c r="U195" s="25" t="str">
        <f t="shared" si="37"/>
        <v/>
      </c>
      <c r="V195" s="26" t="str">
        <f t="shared" si="38"/>
        <v/>
      </c>
      <c r="W195" s="26" t="str">
        <f t="shared" si="39"/>
        <v/>
      </c>
      <c r="X195" s="25" t="str">
        <f t="shared" si="40"/>
        <v/>
      </c>
      <c r="Y195" s="25" t="str">
        <f t="shared" si="41"/>
        <v/>
      </c>
      <c r="Z195" s="27" t="str">
        <f>IF($B195="","",IF($AK195&lt;=Settings!$C$21,"",IFERROR(AVERAGEIFS($S$4:$S$503,$B$4:$B$503,$B195,$AK$4:$AK$503,"&gt;="&amp;$AK195-Settings!$C$21,$AK$4:$AK$503,"&lt;="&amp;$AK195-1),"")))</f>
        <v/>
      </c>
      <c r="AA195" s="28" t="str">
        <f t="shared" si="42"/>
        <v/>
      </c>
      <c r="AB195" s="25" t="str">
        <f>IF($B195="","",IF($AK195&lt;=Settings!$C$22,"",IFERROR(AVERAGEIFS($K$4:$K$503,$B$4:$B$503,$B195,$AK$4:$AK$503,"&gt;="&amp;$AK195-Settings!$C$22,$AK$4:$AK$503,"&lt;="&amp;$AK195-1),"")))</f>
        <v/>
      </c>
      <c r="AC195" s="27" t="str">
        <f t="shared" si="43"/>
        <v/>
      </c>
      <c r="AD195" s="28" t="str">
        <f>IF($B195="","",IF($AK195&lt;=Settings!$C$23,"",IFERROR($E195/SUMIFS($E$4:$E$503,$B$4:$B$503,$B195,$AK$4:$AK$503,$AK195-Settings!$C$23)-1,"")))</f>
        <v/>
      </c>
      <c r="AE195" s="28" t="str">
        <f>IF($B195="","",IF($AK195&lt;=Settings!$C$22,"",IFERROR($E195/SUMIFS($E$4:$E$503,$B$4:$B$503,$B195,$AK$4:$AK$503,$AK195-Settings!$C$22)-1,"")))</f>
        <v/>
      </c>
      <c r="AF195" s="28" t="str">
        <f t="shared" si="44"/>
        <v/>
      </c>
      <c r="AG195" s="29" t="str">
        <f>IF($B195="","",ROUND((MIN(100,100*N($I195)/Settings!$C$27)+MIN(100,100*N($K195)/Settings!$C$28)+MIN(100,100*N($J195)/Settings!$C$29))/3,1))</f>
        <v/>
      </c>
      <c r="AH195" s="29" t="str">
        <f>IF($B195="","",IF(SUM(Settings!$C$32:$C$37)=0,"",ROUND((Settings!$C$32*$AO195+Settings!$C$33*$AP195+Settings!$C$34*$AQ195+Settings!$C$35*$AR195+Settings!$C$36*$AS195+Settings!$C$37*$AT195)/SUM(Settings!$C$32:$C$37),1)))</f>
        <v/>
      </c>
      <c r="AI195" s="29" t="str">
        <f>IF($B195="","",MAX(0,100-IF(N($N195)&gt;0,0,20)-IF(AND(N($L195)=0,N($M195)=0),15,0)-IF(N($J195)&gt;0,0,10)-IF(N($K195)&gt;0,0,10)-IF($Z195&lt;&gt;"",0,15)-IF($AB195&lt;&gt;"",0,10)-IF($R195="ERROR",20,IF($R195="WARNING",10,0))))</f>
        <v/>
      </c>
      <c r="AJ195" s="30" t="str">
        <f>IF($AH195="","",IF($AH195&lt;Settings!$C$46,"Extreme Sell Pressure",IF($AH195&lt;Settings!$C$47,"Sell Pressure",IF($AH195&lt;=Settings!$C$48,"Neutral",IF($AH195&lt;=Settings!$C$49,"Buy Pressure","Extreme Buy Pressure")))))</f>
        <v/>
      </c>
      <c r="AK195" s="30" t="str">
        <f t="shared" si="45"/>
        <v/>
      </c>
      <c r="AL195" s="30" t="str">
        <f t="shared" si="46"/>
        <v/>
      </c>
      <c r="AM195" s="30" t="str">
        <f t="shared" si="47"/>
        <v/>
      </c>
      <c r="AN195" s="30" t="str">
        <f t="shared" si="48"/>
        <v/>
      </c>
      <c r="AO195" s="29" t="str">
        <f>IF($B195="","",IF(AND(N($L195)=0,N($M195)=0),50,IF(N($M195)=0,100,IF(N($L195)=0,0,MEDIAN(0,100,50+50*LN($S195)/LN(Settings!$C$40))))))</f>
        <v/>
      </c>
      <c r="AP195" s="29">
        <f>IF($AA195="",50,MEDIAN(0,100,50+$AA195*100*Settings!$C$41))</f>
        <v>50</v>
      </c>
      <c r="AQ195" s="29">
        <f>IF($H195="",50,MEDIAN(0,100,50+$H195*100*Settings!$C$42))</f>
        <v>50</v>
      </c>
      <c r="AR195" s="29">
        <f>IF(OR($AC195="",$H195=""),50,MEDIAN(0,100,50+SIGN($H195)*50*MEDIAN(0,1,($AC195-1)/Settings!$C$43)))</f>
        <v>50</v>
      </c>
      <c r="AS195" s="29">
        <f>IF(OR($V195="",$W195=""),50,MEDIAN(0,100,50+50*($V195-$W195)/Settings!$C$44))</f>
        <v>50</v>
      </c>
      <c r="AT195" s="29">
        <f t="shared" si="49"/>
        <v>50</v>
      </c>
      <c r="AU195" s="30" t="str">
        <f t="shared" si="50"/>
        <v/>
      </c>
      <c r="AV195" s="87" t="str">
        <f>IF($A195="","",IF(COUNTIFS($A$4:$A195,$A195)=1,1,0))</f>
        <v/>
      </c>
    </row>
    <row r="196" spans="1:48" x14ac:dyDescent="0.3">
      <c r="A196" s="265"/>
      <c r="B196" s="266"/>
      <c r="C196" s="267"/>
      <c r="D196" s="267"/>
      <c r="E196" s="267"/>
      <c r="F196" s="267"/>
      <c r="G196" s="267"/>
      <c r="H196" s="268" t="str">
        <f t="shared" si="34"/>
        <v/>
      </c>
      <c r="I196" s="269"/>
      <c r="J196" s="269"/>
      <c r="K196" s="269"/>
      <c r="L196" s="269"/>
      <c r="M196" s="269"/>
      <c r="N196" s="269"/>
      <c r="O196" s="266"/>
      <c r="P196" s="265"/>
      <c r="Q196" s="266"/>
      <c r="R196" s="23" t="str" cm="1">
        <f t="array" ref="R196">IF($B196="","",IFERROR(IF(INDEX('Data Quality'!$U$4:$U$503,ROW()-3)=0,"PENDING",INDEX('Data Quality'!$U$4:$U$503,ROW()-3)),"PENDING"))</f>
        <v/>
      </c>
      <c r="S196" s="24" t="str">
        <f t="shared" si="35"/>
        <v/>
      </c>
      <c r="T196" s="25" t="str">
        <f t="shared" si="36"/>
        <v/>
      </c>
      <c r="U196" s="25" t="str">
        <f t="shared" si="37"/>
        <v/>
      </c>
      <c r="V196" s="26" t="str">
        <f t="shared" si="38"/>
        <v/>
      </c>
      <c r="W196" s="26" t="str">
        <f t="shared" si="39"/>
        <v/>
      </c>
      <c r="X196" s="25" t="str">
        <f t="shared" si="40"/>
        <v/>
      </c>
      <c r="Y196" s="25" t="str">
        <f t="shared" si="41"/>
        <v/>
      </c>
      <c r="Z196" s="27" t="str">
        <f>IF($B196="","",IF($AK196&lt;=Settings!$C$21,"",IFERROR(AVERAGEIFS($S$4:$S$503,$B$4:$B$503,$B196,$AK$4:$AK$503,"&gt;="&amp;$AK196-Settings!$C$21,$AK$4:$AK$503,"&lt;="&amp;$AK196-1),"")))</f>
        <v/>
      </c>
      <c r="AA196" s="28" t="str">
        <f t="shared" si="42"/>
        <v/>
      </c>
      <c r="AB196" s="25" t="str">
        <f>IF($B196="","",IF($AK196&lt;=Settings!$C$22,"",IFERROR(AVERAGEIFS($K$4:$K$503,$B$4:$B$503,$B196,$AK$4:$AK$503,"&gt;="&amp;$AK196-Settings!$C$22,$AK$4:$AK$503,"&lt;="&amp;$AK196-1),"")))</f>
        <v/>
      </c>
      <c r="AC196" s="27" t="str">
        <f t="shared" si="43"/>
        <v/>
      </c>
      <c r="AD196" s="28" t="str">
        <f>IF($B196="","",IF($AK196&lt;=Settings!$C$23,"",IFERROR($E196/SUMIFS($E$4:$E$503,$B$4:$B$503,$B196,$AK$4:$AK$503,$AK196-Settings!$C$23)-1,"")))</f>
        <v/>
      </c>
      <c r="AE196" s="28" t="str">
        <f>IF($B196="","",IF($AK196&lt;=Settings!$C$22,"",IFERROR($E196/SUMIFS($E$4:$E$503,$B$4:$B$503,$B196,$AK$4:$AK$503,$AK196-Settings!$C$22)-1,"")))</f>
        <v/>
      </c>
      <c r="AF196" s="28" t="str">
        <f t="shared" si="44"/>
        <v/>
      </c>
      <c r="AG196" s="29" t="str">
        <f>IF($B196="","",ROUND((MIN(100,100*N($I196)/Settings!$C$27)+MIN(100,100*N($K196)/Settings!$C$28)+MIN(100,100*N($J196)/Settings!$C$29))/3,1))</f>
        <v/>
      </c>
      <c r="AH196" s="29" t="str">
        <f>IF($B196="","",IF(SUM(Settings!$C$32:$C$37)=0,"",ROUND((Settings!$C$32*$AO196+Settings!$C$33*$AP196+Settings!$C$34*$AQ196+Settings!$C$35*$AR196+Settings!$C$36*$AS196+Settings!$C$37*$AT196)/SUM(Settings!$C$32:$C$37),1)))</f>
        <v/>
      </c>
      <c r="AI196" s="29" t="str">
        <f>IF($B196="","",MAX(0,100-IF(N($N196)&gt;0,0,20)-IF(AND(N($L196)=0,N($M196)=0),15,0)-IF(N($J196)&gt;0,0,10)-IF(N($K196)&gt;0,0,10)-IF($Z196&lt;&gt;"",0,15)-IF($AB196&lt;&gt;"",0,10)-IF($R196="ERROR",20,IF($R196="WARNING",10,0))))</f>
        <v/>
      </c>
      <c r="AJ196" s="30" t="str">
        <f>IF($AH196="","",IF($AH196&lt;Settings!$C$46,"Extreme Sell Pressure",IF($AH196&lt;Settings!$C$47,"Sell Pressure",IF($AH196&lt;=Settings!$C$48,"Neutral",IF($AH196&lt;=Settings!$C$49,"Buy Pressure","Extreme Buy Pressure")))))</f>
        <v/>
      </c>
      <c r="AK196" s="30" t="str">
        <f t="shared" si="45"/>
        <v/>
      </c>
      <c r="AL196" s="30" t="str">
        <f t="shared" si="46"/>
        <v/>
      </c>
      <c r="AM196" s="30" t="str">
        <f t="shared" si="47"/>
        <v/>
      </c>
      <c r="AN196" s="30" t="str">
        <f t="shared" si="48"/>
        <v/>
      </c>
      <c r="AO196" s="29" t="str">
        <f>IF($B196="","",IF(AND(N($L196)=0,N($M196)=0),50,IF(N($M196)=0,100,IF(N($L196)=0,0,MEDIAN(0,100,50+50*LN($S196)/LN(Settings!$C$40))))))</f>
        <v/>
      </c>
      <c r="AP196" s="29">
        <f>IF($AA196="",50,MEDIAN(0,100,50+$AA196*100*Settings!$C$41))</f>
        <v>50</v>
      </c>
      <c r="AQ196" s="29">
        <f>IF($H196="",50,MEDIAN(0,100,50+$H196*100*Settings!$C$42))</f>
        <v>50</v>
      </c>
      <c r="AR196" s="29">
        <f>IF(OR($AC196="",$H196=""),50,MEDIAN(0,100,50+SIGN($H196)*50*MEDIAN(0,1,($AC196-1)/Settings!$C$43)))</f>
        <v>50</v>
      </c>
      <c r="AS196" s="29">
        <f>IF(OR($V196="",$W196=""),50,MEDIAN(0,100,50+50*($V196-$W196)/Settings!$C$44))</f>
        <v>50</v>
      </c>
      <c r="AT196" s="29">
        <f t="shared" si="49"/>
        <v>50</v>
      </c>
      <c r="AU196" s="30" t="str">
        <f t="shared" si="50"/>
        <v/>
      </c>
      <c r="AV196" s="87" t="str">
        <f>IF($A196="","",IF(COUNTIFS($A$4:$A196,$A196)=1,1,0))</f>
        <v/>
      </c>
    </row>
    <row r="197" spans="1:48" x14ac:dyDescent="0.3">
      <c r="A197" s="265"/>
      <c r="B197" s="266"/>
      <c r="C197" s="267"/>
      <c r="D197" s="267"/>
      <c r="E197" s="267"/>
      <c r="F197" s="267"/>
      <c r="G197" s="267"/>
      <c r="H197" s="268" t="str">
        <f t="shared" ref="H197:H260" si="51">IF($B197="","",IFERROR($E197/$D197-1,""))</f>
        <v/>
      </c>
      <c r="I197" s="269"/>
      <c r="J197" s="269"/>
      <c r="K197" s="269"/>
      <c r="L197" s="269"/>
      <c r="M197" s="269"/>
      <c r="N197" s="269"/>
      <c r="O197" s="266"/>
      <c r="P197" s="265"/>
      <c r="Q197" s="266"/>
      <c r="R197" s="23" t="str" cm="1">
        <f t="array" ref="R197">IF($B197="","",IFERROR(IF(INDEX('Data Quality'!$U$4:$U$503,ROW()-3)=0,"PENDING",INDEX('Data Quality'!$U$4:$U$503,ROW()-3)),"PENDING"))</f>
        <v/>
      </c>
      <c r="S197" s="24" t="str">
        <f t="shared" ref="S197:S260" si="52">IF($B197="","",IF(N($M197)&gt;0,$L197/$M197,""))</f>
        <v/>
      </c>
      <c r="T197" s="25" t="str">
        <f t="shared" ref="T197:T260" si="53">IF($B197="","",$L197*$E197)</f>
        <v/>
      </c>
      <c r="U197" s="25" t="str">
        <f t="shared" ref="U197:U260" si="54">IF($B197="","",$M197*$E197)</f>
        <v/>
      </c>
      <c r="V197" s="26" t="str">
        <f t="shared" ref="V197:V260" si="55">IF($B197="","",IF(N($N197)&gt;0,$T197/$N197,""))</f>
        <v/>
      </c>
      <c r="W197" s="26" t="str">
        <f t="shared" ref="W197:W260" si="56">IF($B197="","",IF(N($N197)&gt;0,$U197/$N197,""))</f>
        <v/>
      </c>
      <c r="X197" s="25" t="str">
        <f t="shared" ref="X197:X260" si="57">IF($B197="","",IF(N($J197)&gt;0,$K197/$J197,""))</f>
        <v/>
      </c>
      <c r="Y197" s="25" t="str">
        <f t="shared" ref="Y197:Y260" si="58">IF($B197="","",IF(N($J197)&gt;0,$I197/$J197,""))</f>
        <v/>
      </c>
      <c r="Z197" s="27" t="str">
        <f>IF($B197="","",IF($AK197&lt;=Settings!$C$21,"",IFERROR(AVERAGEIFS($S$4:$S$503,$B$4:$B$503,$B197,$AK$4:$AK$503,"&gt;="&amp;$AK197-Settings!$C$21,$AK$4:$AK$503,"&lt;="&amp;$AK197-1),"")))</f>
        <v/>
      </c>
      <c r="AA197" s="28" t="str">
        <f t="shared" ref="AA197:AA260" si="59">IF(OR($S197="",$Z197="",N($Z197)=0),"",$S197/$Z197-1)</f>
        <v/>
      </c>
      <c r="AB197" s="25" t="str">
        <f>IF($B197="","",IF($AK197&lt;=Settings!$C$22,"",IFERROR(AVERAGEIFS($K$4:$K$503,$B$4:$B$503,$B197,$AK$4:$AK$503,"&gt;="&amp;$AK197-Settings!$C$22,$AK$4:$AK$503,"&lt;="&amp;$AK197-1),"")))</f>
        <v/>
      </c>
      <c r="AC197" s="27" t="str">
        <f t="shared" ref="AC197:AC260" si="60">IF(OR($AB197="",N($AB197)=0),"",$K197/$AB197)</f>
        <v/>
      </c>
      <c r="AD197" s="28" t="str">
        <f>IF($B197="","",IF($AK197&lt;=Settings!$C$23,"",IFERROR($E197/SUMIFS($E$4:$E$503,$B$4:$B$503,$B197,$AK$4:$AK$503,$AK197-Settings!$C$23)-1,"")))</f>
        <v/>
      </c>
      <c r="AE197" s="28" t="str">
        <f>IF($B197="","",IF($AK197&lt;=Settings!$C$22,"",IFERROR($E197/SUMIFS($E$4:$E$503,$B$4:$B$503,$B197,$AK$4:$AK$503,$AK197-Settings!$C$22)-1,"")))</f>
        <v/>
      </c>
      <c r="AF197" s="28" t="str">
        <f t="shared" ref="AF197:AF260" si="61">IF($B197="","",IF(N($E197)&gt;0,($F197-$G197)/$E197,""))</f>
        <v/>
      </c>
      <c r="AG197" s="29" t="str">
        <f>IF($B197="","",ROUND((MIN(100,100*N($I197)/Settings!$C$27)+MIN(100,100*N($K197)/Settings!$C$28)+MIN(100,100*N($J197)/Settings!$C$29))/3,1))</f>
        <v/>
      </c>
      <c r="AH197" s="29" t="str">
        <f>IF($B197="","",IF(SUM(Settings!$C$32:$C$37)=0,"",ROUND((Settings!$C$32*$AO197+Settings!$C$33*$AP197+Settings!$C$34*$AQ197+Settings!$C$35*$AR197+Settings!$C$36*$AS197+Settings!$C$37*$AT197)/SUM(Settings!$C$32:$C$37),1)))</f>
        <v/>
      </c>
      <c r="AI197" s="29" t="str">
        <f>IF($B197="","",MAX(0,100-IF(N($N197)&gt;0,0,20)-IF(AND(N($L197)=0,N($M197)=0),15,0)-IF(N($J197)&gt;0,0,10)-IF(N($K197)&gt;0,0,10)-IF($Z197&lt;&gt;"",0,15)-IF($AB197&lt;&gt;"",0,10)-IF($R197="ERROR",20,IF($R197="WARNING",10,0))))</f>
        <v/>
      </c>
      <c r="AJ197" s="30" t="str">
        <f>IF($AH197="","",IF($AH197&lt;Settings!$C$46,"Extreme Sell Pressure",IF($AH197&lt;Settings!$C$47,"Sell Pressure",IF($AH197&lt;=Settings!$C$48,"Neutral",IF($AH197&lt;=Settings!$C$49,"Buy Pressure","Extreme Buy Pressure")))))</f>
        <v/>
      </c>
      <c r="AK197" s="30" t="str">
        <f t="shared" ref="AK197:AK260" si="62">IF($B197="","",COUNTIFS($B$4:$B$503,$B197,$A$4:$A$503,"&lt;="&amp;$A197))</f>
        <v/>
      </c>
      <c r="AL197" s="30" t="str">
        <f t="shared" ref="AL197:AL260" si="63">IF($A197="","",YEAR($A197))</f>
        <v/>
      </c>
      <c r="AM197" s="30" t="str">
        <f t="shared" ref="AM197:AM260" si="64">IF($A197="","",_xlfn.ISOWEEKNUM($A197))</f>
        <v/>
      </c>
      <c r="AN197" s="30" t="str">
        <f t="shared" ref="AN197:AN260" si="65">IF($A197="","",MONTH($A197))</f>
        <v/>
      </c>
      <c r="AO197" s="29" t="str">
        <f>IF($B197="","",IF(AND(N($L197)=0,N($M197)=0),50,IF(N($M197)=0,100,IF(N($L197)=0,0,MEDIAN(0,100,50+50*LN($S197)/LN(Settings!$C$40))))))</f>
        <v/>
      </c>
      <c r="AP197" s="29">
        <f>IF($AA197="",50,MEDIAN(0,100,50+$AA197*100*Settings!$C$41))</f>
        <v>50</v>
      </c>
      <c r="AQ197" s="29">
        <f>IF($H197="",50,MEDIAN(0,100,50+$H197*100*Settings!$C$42))</f>
        <v>50</v>
      </c>
      <c r="AR197" s="29">
        <f>IF(OR($AC197="",$H197=""),50,MEDIAN(0,100,50+SIGN($H197)*50*MEDIAN(0,1,($AC197-1)/Settings!$C$43)))</f>
        <v>50</v>
      </c>
      <c r="AS197" s="29">
        <f>IF(OR($V197="",$W197=""),50,MEDIAN(0,100,50+50*($V197-$W197)/Settings!$C$44))</f>
        <v>50</v>
      </c>
      <c r="AT197" s="29">
        <f t="shared" ref="AT197:AT260" si="66">IF($AO197="",50,50+(N($AG197)/100)*($AO197-50))</f>
        <v>50</v>
      </c>
      <c r="AU197" s="30" t="str">
        <f t="shared" ref="AU197:AU260" si="67">IF($B197="","",$B197&amp;"|"&amp;TEXT($A197,"yyyy-mm-dd"))</f>
        <v/>
      </c>
      <c r="AV197" s="87" t="str">
        <f>IF($A197="","",IF(COUNTIFS($A$4:$A197,$A197)=1,1,0))</f>
        <v/>
      </c>
    </row>
    <row r="198" spans="1:48" x14ac:dyDescent="0.3">
      <c r="A198" s="265"/>
      <c r="B198" s="266"/>
      <c r="C198" s="267"/>
      <c r="D198" s="267"/>
      <c r="E198" s="267"/>
      <c r="F198" s="267"/>
      <c r="G198" s="267"/>
      <c r="H198" s="268" t="str">
        <f t="shared" si="51"/>
        <v/>
      </c>
      <c r="I198" s="269"/>
      <c r="J198" s="269"/>
      <c r="K198" s="269"/>
      <c r="L198" s="269"/>
      <c r="M198" s="269"/>
      <c r="N198" s="269"/>
      <c r="O198" s="266"/>
      <c r="P198" s="265"/>
      <c r="Q198" s="266"/>
      <c r="R198" s="23" t="str" cm="1">
        <f t="array" ref="R198">IF($B198="","",IFERROR(IF(INDEX('Data Quality'!$U$4:$U$503,ROW()-3)=0,"PENDING",INDEX('Data Quality'!$U$4:$U$503,ROW()-3)),"PENDING"))</f>
        <v/>
      </c>
      <c r="S198" s="24" t="str">
        <f t="shared" si="52"/>
        <v/>
      </c>
      <c r="T198" s="25" t="str">
        <f t="shared" si="53"/>
        <v/>
      </c>
      <c r="U198" s="25" t="str">
        <f t="shared" si="54"/>
        <v/>
      </c>
      <c r="V198" s="26" t="str">
        <f t="shared" si="55"/>
        <v/>
      </c>
      <c r="W198" s="26" t="str">
        <f t="shared" si="56"/>
        <v/>
      </c>
      <c r="X198" s="25" t="str">
        <f t="shared" si="57"/>
        <v/>
      </c>
      <c r="Y198" s="25" t="str">
        <f t="shared" si="58"/>
        <v/>
      </c>
      <c r="Z198" s="27" t="str">
        <f>IF($B198="","",IF($AK198&lt;=Settings!$C$21,"",IFERROR(AVERAGEIFS($S$4:$S$503,$B$4:$B$503,$B198,$AK$4:$AK$503,"&gt;="&amp;$AK198-Settings!$C$21,$AK$4:$AK$503,"&lt;="&amp;$AK198-1),"")))</f>
        <v/>
      </c>
      <c r="AA198" s="28" t="str">
        <f t="shared" si="59"/>
        <v/>
      </c>
      <c r="AB198" s="25" t="str">
        <f>IF($B198="","",IF($AK198&lt;=Settings!$C$22,"",IFERROR(AVERAGEIFS($K$4:$K$503,$B$4:$B$503,$B198,$AK$4:$AK$503,"&gt;="&amp;$AK198-Settings!$C$22,$AK$4:$AK$503,"&lt;="&amp;$AK198-1),"")))</f>
        <v/>
      </c>
      <c r="AC198" s="27" t="str">
        <f t="shared" si="60"/>
        <v/>
      </c>
      <c r="AD198" s="28" t="str">
        <f>IF($B198="","",IF($AK198&lt;=Settings!$C$23,"",IFERROR($E198/SUMIFS($E$4:$E$503,$B$4:$B$503,$B198,$AK$4:$AK$503,$AK198-Settings!$C$23)-1,"")))</f>
        <v/>
      </c>
      <c r="AE198" s="28" t="str">
        <f>IF($B198="","",IF($AK198&lt;=Settings!$C$22,"",IFERROR($E198/SUMIFS($E$4:$E$503,$B$4:$B$503,$B198,$AK$4:$AK$503,$AK198-Settings!$C$22)-1,"")))</f>
        <v/>
      </c>
      <c r="AF198" s="28" t="str">
        <f t="shared" si="61"/>
        <v/>
      </c>
      <c r="AG198" s="29" t="str">
        <f>IF($B198="","",ROUND((MIN(100,100*N($I198)/Settings!$C$27)+MIN(100,100*N($K198)/Settings!$C$28)+MIN(100,100*N($J198)/Settings!$C$29))/3,1))</f>
        <v/>
      </c>
      <c r="AH198" s="29" t="str">
        <f>IF($B198="","",IF(SUM(Settings!$C$32:$C$37)=0,"",ROUND((Settings!$C$32*$AO198+Settings!$C$33*$AP198+Settings!$C$34*$AQ198+Settings!$C$35*$AR198+Settings!$C$36*$AS198+Settings!$C$37*$AT198)/SUM(Settings!$C$32:$C$37),1)))</f>
        <v/>
      </c>
      <c r="AI198" s="29" t="str">
        <f>IF($B198="","",MAX(0,100-IF(N($N198)&gt;0,0,20)-IF(AND(N($L198)=0,N($M198)=0),15,0)-IF(N($J198)&gt;0,0,10)-IF(N($K198)&gt;0,0,10)-IF($Z198&lt;&gt;"",0,15)-IF($AB198&lt;&gt;"",0,10)-IF($R198="ERROR",20,IF($R198="WARNING",10,0))))</f>
        <v/>
      </c>
      <c r="AJ198" s="30" t="str">
        <f>IF($AH198="","",IF($AH198&lt;Settings!$C$46,"Extreme Sell Pressure",IF($AH198&lt;Settings!$C$47,"Sell Pressure",IF($AH198&lt;=Settings!$C$48,"Neutral",IF($AH198&lt;=Settings!$C$49,"Buy Pressure","Extreme Buy Pressure")))))</f>
        <v/>
      </c>
      <c r="AK198" s="30" t="str">
        <f t="shared" si="62"/>
        <v/>
      </c>
      <c r="AL198" s="30" t="str">
        <f t="shared" si="63"/>
        <v/>
      </c>
      <c r="AM198" s="30" t="str">
        <f t="shared" si="64"/>
        <v/>
      </c>
      <c r="AN198" s="30" t="str">
        <f t="shared" si="65"/>
        <v/>
      </c>
      <c r="AO198" s="29" t="str">
        <f>IF($B198="","",IF(AND(N($L198)=0,N($M198)=0),50,IF(N($M198)=0,100,IF(N($L198)=0,0,MEDIAN(0,100,50+50*LN($S198)/LN(Settings!$C$40))))))</f>
        <v/>
      </c>
      <c r="AP198" s="29">
        <f>IF($AA198="",50,MEDIAN(0,100,50+$AA198*100*Settings!$C$41))</f>
        <v>50</v>
      </c>
      <c r="AQ198" s="29">
        <f>IF($H198="",50,MEDIAN(0,100,50+$H198*100*Settings!$C$42))</f>
        <v>50</v>
      </c>
      <c r="AR198" s="29">
        <f>IF(OR($AC198="",$H198=""),50,MEDIAN(0,100,50+SIGN($H198)*50*MEDIAN(0,1,($AC198-1)/Settings!$C$43)))</f>
        <v>50</v>
      </c>
      <c r="AS198" s="29">
        <f>IF(OR($V198="",$W198=""),50,MEDIAN(0,100,50+50*($V198-$W198)/Settings!$C$44))</f>
        <v>50</v>
      </c>
      <c r="AT198" s="29">
        <f t="shared" si="66"/>
        <v>50</v>
      </c>
      <c r="AU198" s="30" t="str">
        <f t="shared" si="67"/>
        <v/>
      </c>
      <c r="AV198" s="87" t="str">
        <f>IF($A198="","",IF(COUNTIFS($A$4:$A198,$A198)=1,1,0))</f>
        <v/>
      </c>
    </row>
    <row r="199" spans="1:48" x14ac:dyDescent="0.3">
      <c r="A199" s="265"/>
      <c r="B199" s="266"/>
      <c r="C199" s="267"/>
      <c r="D199" s="267"/>
      <c r="E199" s="267"/>
      <c r="F199" s="267"/>
      <c r="G199" s="267"/>
      <c r="H199" s="268" t="str">
        <f t="shared" si="51"/>
        <v/>
      </c>
      <c r="I199" s="269"/>
      <c r="J199" s="269"/>
      <c r="K199" s="269"/>
      <c r="L199" s="269"/>
      <c r="M199" s="269"/>
      <c r="N199" s="269"/>
      <c r="O199" s="266"/>
      <c r="P199" s="265"/>
      <c r="Q199" s="266"/>
      <c r="R199" s="23" t="str" cm="1">
        <f t="array" ref="R199">IF($B199="","",IFERROR(IF(INDEX('Data Quality'!$U$4:$U$503,ROW()-3)=0,"PENDING",INDEX('Data Quality'!$U$4:$U$503,ROW()-3)),"PENDING"))</f>
        <v/>
      </c>
      <c r="S199" s="24" t="str">
        <f t="shared" si="52"/>
        <v/>
      </c>
      <c r="T199" s="25" t="str">
        <f t="shared" si="53"/>
        <v/>
      </c>
      <c r="U199" s="25" t="str">
        <f t="shared" si="54"/>
        <v/>
      </c>
      <c r="V199" s="26" t="str">
        <f t="shared" si="55"/>
        <v/>
      </c>
      <c r="W199" s="26" t="str">
        <f t="shared" si="56"/>
        <v/>
      </c>
      <c r="X199" s="25" t="str">
        <f t="shared" si="57"/>
        <v/>
      </c>
      <c r="Y199" s="25" t="str">
        <f t="shared" si="58"/>
        <v/>
      </c>
      <c r="Z199" s="27" t="str">
        <f>IF($B199="","",IF($AK199&lt;=Settings!$C$21,"",IFERROR(AVERAGEIFS($S$4:$S$503,$B$4:$B$503,$B199,$AK$4:$AK$503,"&gt;="&amp;$AK199-Settings!$C$21,$AK$4:$AK$503,"&lt;="&amp;$AK199-1),"")))</f>
        <v/>
      </c>
      <c r="AA199" s="28" t="str">
        <f t="shared" si="59"/>
        <v/>
      </c>
      <c r="AB199" s="25" t="str">
        <f>IF($B199="","",IF($AK199&lt;=Settings!$C$22,"",IFERROR(AVERAGEIFS($K$4:$K$503,$B$4:$B$503,$B199,$AK$4:$AK$503,"&gt;="&amp;$AK199-Settings!$C$22,$AK$4:$AK$503,"&lt;="&amp;$AK199-1),"")))</f>
        <v/>
      </c>
      <c r="AC199" s="27" t="str">
        <f t="shared" si="60"/>
        <v/>
      </c>
      <c r="AD199" s="28" t="str">
        <f>IF($B199="","",IF($AK199&lt;=Settings!$C$23,"",IFERROR($E199/SUMIFS($E$4:$E$503,$B$4:$B$503,$B199,$AK$4:$AK$503,$AK199-Settings!$C$23)-1,"")))</f>
        <v/>
      </c>
      <c r="AE199" s="28" t="str">
        <f>IF($B199="","",IF($AK199&lt;=Settings!$C$22,"",IFERROR($E199/SUMIFS($E$4:$E$503,$B$4:$B$503,$B199,$AK$4:$AK$503,$AK199-Settings!$C$22)-1,"")))</f>
        <v/>
      </c>
      <c r="AF199" s="28" t="str">
        <f t="shared" si="61"/>
        <v/>
      </c>
      <c r="AG199" s="29" t="str">
        <f>IF($B199="","",ROUND((MIN(100,100*N($I199)/Settings!$C$27)+MIN(100,100*N($K199)/Settings!$C$28)+MIN(100,100*N($J199)/Settings!$C$29))/3,1))</f>
        <v/>
      </c>
      <c r="AH199" s="29" t="str">
        <f>IF($B199="","",IF(SUM(Settings!$C$32:$C$37)=0,"",ROUND((Settings!$C$32*$AO199+Settings!$C$33*$AP199+Settings!$C$34*$AQ199+Settings!$C$35*$AR199+Settings!$C$36*$AS199+Settings!$C$37*$AT199)/SUM(Settings!$C$32:$C$37),1)))</f>
        <v/>
      </c>
      <c r="AI199" s="29" t="str">
        <f>IF($B199="","",MAX(0,100-IF(N($N199)&gt;0,0,20)-IF(AND(N($L199)=0,N($M199)=0),15,0)-IF(N($J199)&gt;0,0,10)-IF(N($K199)&gt;0,0,10)-IF($Z199&lt;&gt;"",0,15)-IF($AB199&lt;&gt;"",0,10)-IF($R199="ERROR",20,IF($R199="WARNING",10,0))))</f>
        <v/>
      </c>
      <c r="AJ199" s="30" t="str">
        <f>IF($AH199="","",IF($AH199&lt;Settings!$C$46,"Extreme Sell Pressure",IF($AH199&lt;Settings!$C$47,"Sell Pressure",IF($AH199&lt;=Settings!$C$48,"Neutral",IF($AH199&lt;=Settings!$C$49,"Buy Pressure","Extreme Buy Pressure")))))</f>
        <v/>
      </c>
      <c r="AK199" s="30" t="str">
        <f t="shared" si="62"/>
        <v/>
      </c>
      <c r="AL199" s="30" t="str">
        <f t="shared" si="63"/>
        <v/>
      </c>
      <c r="AM199" s="30" t="str">
        <f t="shared" si="64"/>
        <v/>
      </c>
      <c r="AN199" s="30" t="str">
        <f t="shared" si="65"/>
        <v/>
      </c>
      <c r="AO199" s="29" t="str">
        <f>IF($B199="","",IF(AND(N($L199)=0,N($M199)=0),50,IF(N($M199)=0,100,IF(N($L199)=0,0,MEDIAN(0,100,50+50*LN($S199)/LN(Settings!$C$40))))))</f>
        <v/>
      </c>
      <c r="AP199" s="29">
        <f>IF($AA199="",50,MEDIAN(0,100,50+$AA199*100*Settings!$C$41))</f>
        <v>50</v>
      </c>
      <c r="AQ199" s="29">
        <f>IF($H199="",50,MEDIAN(0,100,50+$H199*100*Settings!$C$42))</f>
        <v>50</v>
      </c>
      <c r="AR199" s="29">
        <f>IF(OR($AC199="",$H199=""),50,MEDIAN(0,100,50+SIGN($H199)*50*MEDIAN(0,1,($AC199-1)/Settings!$C$43)))</f>
        <v>50</v>
      </c>
      <c r="AS199" s="29">
        <f>IF(OR($V199="",$W199=""),50,MEDIAN(0,100,50+50*($V199-$W199)/Settings!$C$44))</f>
        <v>50</v>
      </c>
      <c r="AT199" s="29">
        <f t="shared" si="66"/>
        <v>50</v>
      </c>
      <c r="AU199" s="30" t="str">
        <f t="shared" si="67"/>
        <v/>
      </c>
      <c r="AV199" s="87" t="str">
        <f>IF($A199="","",IF(COUNTIFS($A$4:$A199,$A199)=1,1,0))</f>
        <v/>
      </c>
    </row>
    <row r="200" spans="1:48" x14ac:dyDescent="0.3">
      <c r="A200" s="265"/>
      <c r="B200" s="266"/>
      <c r="C200" s="267"/>
      <c r="D200" s="267"/>
      <c r="E200" s="267"/>
      <c r="F200" s="267"/>
      <c r="G200" s="267"/>
      <c r="H200" s="268" t="str">
        <f t="shared" si="51"/>
        <v/>
      </c>
      <c r="I200" s="269"/>
      <c r="J200" s="269"/>
      <c r="K200" s="269"/>
      <c r="L200" s="269"/>
      <c r="M200" s="269"/>
      <c r="N200" s="269"/>
      <c r="O200" s="266"/>
      <c r="P200" s="265"/>
      <c r="Q200" s="266"/>
      <c r="R200" s="23" t="str" cm="1">
        <f t="array" ref="R200">IF($B200="","",IFERROR(IF(INDEX('Data Quality'!$U$4:$U$503,ROW()-3)=0,"PENDING",INDEX('Data Quality'!$U$4:$U$503,ROW()-3)),"PENDING"))</f>
        <v/>
      </c>
      <c r="S200" s="24" t="str">
        <f t="shared" si="52"/>
        <v/>
      </c>
      <c r="T200" s="25" t="str">
        <f t="shared" si="53"/>
        <v/>
      </c>
      <c r="U200" s="25" t="str">
        <f t="shared" si="54"/>
        <v/>
      </c>
      <c r="V200" s="26" t="str">
        <f t="shared" si="55"/>
        <v/>
      </c>
      <c r="W200" s="26" t="str">
        <f t="shared" si="56"/>
        <v/>
      </c>
      <c r="X200" s="25" t="str">
        <f t="shared" si="57"/>
        <v/>
      </c>
      <c r="Y200" s="25" t="str">
        <f t="shared" si="58"/>
        <v/>
      </c>
      <c r="Z200" s="27" t="str">
        <f>IF($B200="","",IF($AK200&lt;=Settings!$C$21,"",IFERROR(AVERAGEIFS($S$4:$S$503,$B$4:$B$503,$B200,$AK$4:$AK$503,"&gt;="&amp;$AK200-Settings!$C$21,$AK$4:$AK$503,"&lt;="&amp;$AK200-1),"")))</f>
        <v/>
      </c>
      <c r="AA200" s="28" t="str">
        <f t="shared" si="59"/>
        <v/>
      </c>
      <c r="AB200" s="25" t="str">
        <f>IF($B200="","",IF($AK200&lt;=Settings!$C$22,"",IFERROR(AVERAGEIFS($K$4:$K$503,$B$4:$B$503,$B200,$AK$4:$AK$503,"&gt;="&amp;$AK200-Settings!$C$22,$AK$4:$AK$503,"&lt;="&amp;$AK200-1),"")))</f>
        <v/>
      </c>
      <c r="AC200" s="27" t="str">
        <f t="shared" si="60"/>
        <v/>
      </c>
      <c r="AD200" s="28" t="str">
        <f>IF($B200="","",IF($AK200&lt;=Settings!$C$23,"",IFERROR($E200/SUMIFS($E$4:$E$503,$B$4:$B$503,$B200,$AK$4:$AK$503,$AK200-Settings!$C$23)-1,"")))</f>
        <v/>
      </c>
      <c r="AE200" s="28" t="str">
        <f>IF($B200="","",IF($AK200&lt;=Settings!$C$22,"",IFERROR($E200/SUMIFS($E$4:$E$503,$B$4:$B$503,$B200,$AK$4:$AK$503,$AK200-Settings!$C$22)-1,"")))</f>
        <v/>
      </c>
      <c r="AF200" s="28" t="str">
        <f t="shared" si="61"/>
        <v/>
      </c>
      <c r="AG200" s="29" t="str">
        <f>IF($B200="","",ROUND((MIN(100,100*N($I200)/Settings!$C$27)+MIN(100,100*N($K200)/Settings!$C$28)+MIN(100,100*N($J200)/Settings!$C$29))/3,1))</f>
        <v/>
      </c>
      <c r="AH200" s="29" t="str">
        <f>IF($B200="","",IF(SUM(Settings!$C$32:$C$37)=0,"",ROUND((Settings!$C$32*$AO200+Settings!$C$33*$AP200+Settings!$C$34*$AQ200+Settings!$C$35*$AR200+Settings!$C$36*$AS200+Settings!$C$37*$AT200)/SUM(Settings!$C$32:$C$37),1)))</f>
        <v/>
      </c>
      <c r="AI200" s="29" t="str">
        <f>IF($B200="","",MAX(0,100-IF(N($N200)&gt;0,0,20)-IF(AND(N($L200)=0,N($M200)=0),15,0)-IF(N($J200)&gt;0,0,10)-IF(N($K200)&gt;0,0,10)-IF($Z200&lt;&gt;"",0,15)-IF($AB200&lt;&gt;"",0,10)-IF($R200="ERROR",20,IF($R200="WARNING",10,0))))</f>
        <v/>
      </c>
      <c r="AJ200" s="30" t="str">
        <f>IF($AH200="","",IF($AH200&lt;Settings!$C$46,"Extreme Sell Pressure",IF($AH200&lt;Settings!$C$47,"Sell Pressure",IF($AH200&lt;=Settings!$C$48,"Neutral",IF($AH200&lt;=Settings!$C$49,"Buy Pressure","Extreme Buy Pressure")))))</f>
        <v/>
      </c>
      <c r="AK200" s="30" t="str">
        <f t="shared" si="62"/>
        <v/>
      </c>
      <c r="AL200" s="30" t="str">
        <f t="shared" si="63"/>
        <v/>
      </c>
      <c r="AM200" s="30" t="str">
        <f t="shared" si="64"/>
        <v/>
      </c>
      <c r="AN200" s="30" t="str">
        <f t="shared" si="65"/>
        <v/>
      </c>
      <c r="AO200" s="29" t="str">
        <f>IF($B200="","",IF(AND(N($L200)=0,N($M200)=0),50,IF(N($M200)=0,100,IF(N($L200)=0,0,MEDIAN(0,100,50+50*LN($S200)/LN(Settings!$C$40))))))</f>
        <v/>
      </c>
      <c r="AP200" s="29">
        <f>IF($AA200="",50,MEDIAN(0,100,50+$AA200*100*Settings!$C$41))</f>
        <v>50</v>
      </c>
      <c r="AQ200" s="29">
        <f>IF($H200="",50,MEDIAN(0,100,50+$H200*100*Settings!$C$42))</f>
        <v>50</v>
      </c>
      <c r="AR200" s="29">
        <f>IF(OR($AC200="",$H200=""),50,MEDIAN(0,100,50+SIGN($H200)*50*MEDIAN(0,1,($AC200-1)/Settings!$C$43)))</f>
        <v>50</v>
      </c>
      <c r="AS200" s="29">
        <f>IF(OR($V200="",$W200=""),50,MEDIAN(0,100,50+50*($V200-$W200)/Settings!$C$44))</f>
        <v>50</v>
      </c>
      <c r="AT200" s="29">
        <f t="shared" si="66"/>
        <v>50</v>
      </c>
      <c r="AU200" s="30" t="str">
        <f t="shared" si="67"/>
        <v/>
      </c>
      <c r="AV200" s="87" t="str">
        <f>IF($A200="","",IF(COUNTIFS($A$4:$A200,$A200)=1,1,0))</f>
        <v/>
      </c>
    </row>
    <row r="201" spans="1:48" x14ac:dyDescent="0.3">
      <c r="A201" s="265"/>
      <c r="B201" s="266"/>
      <c r="C201" s="267"/>
      <c r="D201" s="267"/>
      <c r="E201" s="267"/>
      <c r="F201" s="267"/>
      <c r="G201" s="267"/>
      <c r="H201" s="268" t="str">
        <f t="shared" si="51"/>
        <v/>
      </c>
      <c r="I201" s="269"/>
      <c r="J201" s="269"/>
      <c r="K201" s="269"/>
      <c r="L201" s="269"/>
      <c r="M201" s="269"/>
      <c r="N201" s="269"/>
      <c r="O201" s="266"/>
      <c r="P201" s="265"/>
      <c r="Q201" s="266"/>
      <c r="R201" s="23" t="str" cm="1">
        <f t="array" ref="R201">IF($B201="","",IFERROR(IF(INDEX('Data Quality'!$U$4:$U$503,ROW()-3)=0,"PENDING",INDEX('Data Quality'!$U$4:$U$503,ROW()-3)),"PENDING"))</f>
        <v/>
      </c>
      <c r="S201" s="24" t="str">
        <f t="shared" si="52"/>
        <v/>
      </c>
      <c r="T201" s="25" t="str">
        <f t="shared" si="53"/>
        <v/>
      </c>
      <c r="U201" s="25" t="str">
        <f t="shared" si="54"/>
        <v/>
      </c>
      <c r="V201" s="26" t="str">
        <f t="shared" si="55"/>
        <v/>
      </c>
      <c r="W201" s="26" t="str">
        <f t="shared" si="56"/>
        <v/>
      </c>
      <c r="X201" s="25" t="str">
        <f t="shared" si="57"/>
        <v/>
      </c>
      <c r="Y201" s="25" t="str">
        <f t="shared" si="58"/>
        <v/>
      </c>
      <c r="Z201" s="27" t="str">
        <f>IF($B201="","",IF($AK201&lt;=Settings!$C$21,"",IFERROR(AVERAGEIFS($S$4:$S$503,$B$4:$B$503,$B201,$AK$4:$AK$503,"&gt;="&amp;$AK201-Settings!$C$21,$AK$4:$AK$503,"&lt;="&amp;$AK201-1),"")))</f>
        <v/>
      </c>
      <c r="AA201" s="28" t="str">
        <f t="shared" si="59"/>
        <v/>
      </c>
      <c r="AB201" s="25" t="str">
        <f>IF($B201="","",IF($AK201&lt;=Settings!$C$22,"",IFERROR(AVERAGEIFS($K$4:$K$503,$B$4:$B$503,$B201,$AK$4:$AK$503,"&gt;="&amp;$AK201-Settings!$C$22,$AK$4:$AK$503,"&lt;="&amp;$AK201-1),"")))</f>
        <v/>
      </c>
      <c r="AC201" s="27" t="str">
        <f t="shared" si="60"/>
        <v/>
      </c>
      <c r="AD201" s="28" t="str">
        <f>IF($B201="","",IF($AK201&lt;=Settings!$C$23,"",IFERROR($E201/SUMIFS($E$4:$E$503,$B$4:$B$503,$B201,$AK$4:$AK$503,$AK201-Settings!$C$23)-1,"")))</f>
        <v/>
      </c>
      <c r="AE201" s="28" t="str">
        <f>IF($B201="","",IF($AK201&lt;=Settings!$C$22,"",IFERROR($E201/SUMIFS($E$4:$E$503,$B$4:$B$503,$B201,$AK$4:$AK$503,$AK201-Settings!$C$22)-1,"")))</f>
        <v/>
      </c>
      <c r="AF201" s="28" t="str">
        <f t="shared" si="61"/>
        <v/>
      </c>
      <c r="AG201" s="29" t="str">
        <f>IF($B201="","",ROUND((MIN(100,100*N($I201)/Settings!$C$27)+MIN(100,100*N($K201)/Settings!$C$28)+MIN(100,100*N($J201)/Settings!$C$29))/3,1))</f>
        <v/>
      </c>
      <c r="AH201" s="29" t="str">
        <f>IF($B201="","",IF(SUM(Settings!$C$32:$C$37)=0,"",ROUND((Settings!$C$32*$AO201+Settings!$C$33*$AP201+Settings!$C$34*$AQ201+Settings!$C$35*$AR201+Settings!$C$36*$AS201+Settings!$C$37*$AT201)/SUM(Settings!$C$32:$C$37),1)))</f>
        <v/>
      </c>
      <c r="AI201" s="29" t="str">
        <f>IF($B201="","",MAX(0,100-IF(N($N201)&gt;0,0,20)-IF(AND(N($L201)=0,N($M201)=0),15,0)-IF(N($J201)&gt;0,0,10)-IF(N($K201)&gt;0,0,10)-IF($Z201&lt;&gt;"",0,15)-IF($AB201&lt;&gt;"",0,10)-IF($R201="ERROR",20,IF($R201="WARNING",10,0))))</f>
        <v/>
      </c>
      <c r="AJ201" s="30" t="str">
        <f>IF($AH201="","",IF($AH201&lt;Settings!$C$46,"Extreme Sell Pressure",IF($AH201&lt;Settings!$C$47,"Sell Pressure",IF($AH201&lt;=Settings!$C$48,"Neutral",IF($AH201&lt;=Settings!$C$49,"Buy Pressure","Extreme Buy Pressure")))))</f>
        <v/>
      </c>
      <c r="AK201" s="30" t="str">
        <f t="shared" si="62"/>
        <v/>
      </c>
      <c r="AL201" s="30" t="str">
        <f t="shared" si="63"/>
        <v/>
      </c>
      <c r="AM201" s="30" t="str">
        <f t="shared" si="64"/>
        <v/>
      </c>
      <c r="AN201" s="30" t="str">
        <f t="shared" si="65"/>
        <v/>
      </c>
      <c r="AO201" s="29" t="str">
        <f>IF($B201="","",IF(AND(N($L201)=0,N($M201)=0),50,IF(N($M201)=0,100,IF(N($L201)=0,0,MEDIAN(0,100,50+50*LN($S201)/LN(Settings!$C$40))))))</f>
        <v/>
      </c>
      <c r="AP201" s="29">
        <f>IF($AA201="",50,MEDIAN(0,100,50+$AA201*100*Settings!$C$41))</f>
        <v>50</v>
      </c>
      <c r="AQ201" s="29">
        <f>IF($H201="",50,MEDIAN(0,100,50+$H201*100*Settings!$C$42))</f>
        <v>50</v>
      </c>
      <c r="AR201" s="29">
        <f>IF(OR($AC201="",$H201=""),50,MEDIAN(0,100,50+SIGN($H201)*50*MEDIAN(0,1,($AC201-1)/Settings!$C$43)))</f>
        <v>50</v>
      </c>
      <c r="AS201" s="29">
        <f>IF(OR($V201="",$W201=""),50,MEDIAN(0,100,50+50*($V201-$W201)/Settings!$C$44))</f>
        <v>50</v>
      </c>
      <c r="AT201" s="29">
        <f t="shared" si="66"/>
        <v>50</v>
      </c>
      <c r="AU201" s="30" t="str">
        <f t="shared" si="67"/>
        <v/>
      </c>
      <c r="AV201" s="87" t="str">
        <f>IF($A201="","",IF(COUNTIFS($A$4:$A201,$A201)=1,1,0))</f>
        <v/>
      </c>
    </row>
    <row r="202" spans="1:48" x14ac:dyDescent="0.3">
      <c r="A202" s="265"/>
      <c r="B202" s="266"/>
      <c r="C202" s="267"/>
      <c r="D202" s="267"/>
      <c r="E202" s="267"/>
      <c r="F202" s="267"/>
      <c r="G202" s="267"/>
      <c r="H202" s="268" t="str">
        <f t="shared" si="51"/>
        <v/>
      </c>
      <c r="I202" s="269"/>
      <c r="J202" s="269"/>
      <c r="K202" s="269"/>
      <c r="L202" s="269"/>
      <c r="M202" s="269"/>
      <c r="N202" s="269"/>
      <c r="O202" s="266"/>
      <c r="P202" s="265"/>
      <c r="Q202" s="266"/>
      <c r="R202" s="23" t="str" cm="1">
        <f t="array" ref="R202">IF($B202="","",IFERROR(IF(INDEX('Data Quality'!$U$4:$U$503,ROW()-3)=0,"PENDING",INDEX('Data Quality'!$U$4:$U$503,ROW()-3)),"PENDING"))</f>
        <v/>
      </c>
      <c r="S202" s="24" t="str">
        <f t="shared" si="52"/>
        <v/>
      </c>
      <c r="T202" s="25" t="str">
        <f t="shared" si="53"/>
        <v/>
      </c>
      <c r="U202" s="25" t="str">
        <f t="shared" si="54"/>
        <v/>
      </c>
      <c r="V202" s="26" t="str">
        <f t="shared" si="55"/>
        <v/>
      </c>
      <c r="W202" s="26" t="str">
        <f t="shared" si="56"/>
        <v/>
      </c>
      <c r="X202" s="25" t="str">
        <f t="shared" si="57"/>
        <v/>
      </c>
      <c r="Y202" s="25" t="str">
        <f t="shared" si="58"/>
        <v/>
      </c>
      <c r="Z202" s="27" t="str">
        <f>IF($B202="","",IF($AK202&lt;=Settings!$C$21,"",IFERROR(AVERAGEIFS($S$4:$S$503,$B$4:$B$503,$B202,$AK$4:$AK$503,"&gt;="&amp;$AK202-Settings!$C$21,$AK$4:$AK$503,"&lt;="&amp;$AK202-1),"")))</f>
        <v/>
      </c>
      <c r="AA202" s="28" t="str">
        <f t="shared" si="59"/>
        <v/>
      </c>
      <c r="AB202" s="25" t="str">
        <f>IF($B202="","",IF($AK202&lt;=Settings!$C$22,"",IFERROR(AVERAGEIFS($K$4:$K$503,$B$4:$B$503,$B202,$AK$4:$AK$503,"&gt;="&amp;$AK202-Settings!$C$22,$AK$4:$AK$503,"&lt;="&amp;$AK202-1),"")))</f>
        <v/>
      </c>
      <c r="AC202" s="27" t="str">
        <f t="shared" si="60"/>
        <v/>
      </c>
      <c r="AD202" s="28" t="str">
        <f>IF($B202="","",IF($AK202&lt;=Settings!$C$23,"",IFERROR($E202/SUMIFS($E$4:$E$503,$B$4:$B$503,$B202,$AK$4:$AK$503,$AK202-Settings!$C$23)-1,"")))</f>
        <v/>
      </c>
      <c r="AE202" s="28" t="str">
        <f>IF($B202="","",IF($AK202&lt;=Settings!$C$22,"",IFERROR($E202/SUMIFS($E$4:$E$503,$B$4:$B$503,$B202,$AK$4:$AK$503,$AK202-Settings!$C$22)-1,"")))</f>
        <v/>
      </c>
      <c r="AF202" s="28" t="str">
        <f t="shared" si="61"/>
        <v/>
      </c>
      <c r="AG202" s="29" t="str">
        <f>IF($B202="","",ROUND((MIN(100,100*N($I202)/Settings!$C$27)+MIN(100,100*N($K202)/Settings!$C$28)+MIN(100,100*N($J202)/Settings!$C$29))/3,1))</f>
        <v/>
      </c>
      <c r="AH202" s="29" t="str">
        <f>IF($B202="","",IF(SUM(Settings!$C$32:$C$37)=0,"",ROUND((Settings!$C$32*$AO202+Settings!$C$33*$AP202+Settings!$C$34*$AQ202+Settings!$C$35*$AR202+Settings!$C$36*$AS202+Settings!$C$37*$AT202)/SUM(Settings!$C$32:$C$37),1)))</f>
        <v/>
      </c>
      <c r="AI202" s="29" t="str">
        <f>IF($B202="","",MAX(0,100-IF(N($N202)&gt;0,0,20)-IF(AND(N($L202)=0,N($M202)=0),15,0)-IF(N($J202)&gt;0,0,10)-IF(N($K202)&gt;0,0,10)-IF($Z202&lt;&gt;"",0,15)-IF($AB202&lt;&gt;"",0,10)-IF($R202="ERROR",20,IF($R202="WARNING",10,0))))</f>
        <v/>
      </c>
      <c r="AJ202" s="30" t="str">
        <f>IF($AH202="","",IF($AH202&lt;Settings!$C$46,"Extreme Sell Pressure",IF($AH202&lt;Settings!$C$47,"Sell Pressure",IF($AH202&lt;=Settings!$C$48,"Neutral",IF($AH202&lt;=Settings!$C$49,"Buy Pressure","Extreme Buy Pressure")))))</f>
        <v/>
      </c>
      <c r="AK202" s="30" t="str">
        <f t="shared" si="62"/>
        <v/>
      </c>
      <c r="AL202" s="30" t="str">
        <f t="shared" si="63"/>
        <v/>
      </c>
      <c r="AM202" s="30" t="str">
        <f t="shared" si="64"/>
        <v/>
      </c>
      <c r="AN202" s="30" t="str">
        <f t="shared" si="65"/>
        <v/>
      </c>
      <c r="AO202" s="29" t="str">
        <f>IF($B202="","",IF(AND(N($L202)=0,N($M202)=0),50,IF(N($M202)=0,100,IF(N($L202)=0,0,MEDIAN(0,100,50+50*LN($S202)/LN(Settings!$C$40))))))</f>
        <v/>
      </c>
      <c r="AP202" s="29">
        <f>IF($AA202="",50,MEDIAN(0,100,50+$AA202*100*Settings!$C$41))</f>
        <v>50</v>
      </c>
      <c r="AQ202" s="29">
        <f>IF($H202="",50,MEDIAN(0,100,50+$H202*100*Settings!$C$42))</f>
        <v>50</v>
      </c>
      <c r="AR202" s="29">
        <f>IF(OR($AC202="",$H202=""),50,MEDIAN(0,100,50+SIGN($H202)*50*MEDIAN(0,1,($AC202-1)/Settings!$C$43)))</f>
        <v>50</v>
      </c>
      <c r="AS202" s="29">
        <f>IF(OR($V202="",$W202=""),50,MEDIAN(0,100,50+50*($V202-$W202)/Settings!$C$44))</f>
        <v>50</v>
      </c>
      <c r="AT202" s="29">
        <f t="shared" si="66"/>
        <v>50</v>
      </c>
      <c r="AU202" s="30" t="str">
        <f t="shared" si="67"/>
        <v/>
      </c>
      <c r="AV202" s="87" t="str">
        <f>IF($A202="","",IF(COUNTIFS($A$4:$A202,$A202)=1,1,0))</f>
        <v/>
      </c>
    </row>
    <row r="203" spans="1:48" x14ac:dyDescent="0.3">
      <c r="A203" s="265"/>
      <c r="B203" s="266"/>
      <c r="C203" s="267"/>
      <c r="D203" s="267"/>
      <c r="E203" s="267"/>
      <c r="F203" s="267"/>
      <c r="G203" s="267"/>
      <c r="H203" s="268" t="str">
        <f t="shared" si="51"/>
        <v/>
      </c>
      <c r="I203" s="269"/>
      <c r="J203" s="269"/>
      <c r="K203" s="269"/>
      <c r="L203" s="269"/>
      <c r="M203" s="269"/>
      <c r="N203" s="269"/>
      <c r="O203" s="266"/>
      <c r="P203" s="265"/>
      <c r="Q203" s="266"/>
      <c r="R203" s="23" t="str" cm="1">
        <f t="array" ref="R203">IF($B203="","",IFERROR(IF(INDEX('Data Quality'!$U$4:$U$503,ROW()-3)=0,"PENDING",INDEX('Data Quality'!$U$4:$U$503,ROW()-3)),"PENDING"))</f>
        <v/>
      </c>
      <c r="S203" s="24" t="str">
        <f t="shared" si="52"/>
        <v/>
      </c>
      <c r="T203" s="25" t="str">
        <f t="shared" si="53"/>
        <v/>
      </c>
      <c r="U203" s="25" t="str">
        <f t="shared" si="54"/>
        <v/>
      </c>
      <c r="V203" s="26" t="str">
        <f t="shared" si="55"/>
        <v/>
      </c>
      <c r="W203" s="26" t="str">
        <f t="shared" si="56"/>
        <v/>
      </c>
      <c r="X203" s="25" t="str">
        <f t="shared" si="57"/>
        <v/>
      </c>
      <c r="Y203" s="25" t="str">
        <f t="shared" si="58"/>
        <v/>
      </c>
      <c r="Z203" s="27" t="str">
        <f>IF($B203="","",IF($AK203&lt;=Settings!$C$21,"",IFERROR(AVERAGEIFS($S$4:$S$503,$B$4:$B$503,$B203,$AK$4:$AK$503,"&gt;="&amp;$AK203-Settings!$C$21,$AK$4:$AK$503,"&lt;="&amp;$AK203-1),"")))</f>
        <v/>
      </c>
      <c r="AA203" s="28" t="str">
        <f t="shared" si="59"/>
        <v/>
      </c>
      <c r="AB203" s="25" t="str">
        <f>IF($B203="","",IF($AK203&lt;=Settings!$C$22,"",IFERROR(AVERAGEIFS($K$4:$K$503,$B$4:$B$503,$B203,$AK$4:$AK$503,"&gt;="&amp;$AK203-Settings!$C$22,$AK$4:$AK$503,"&lt;="&amp;$AK203-1),"")))</f>
        <v/>
      </c>
      <c r="AC203" s="27" t="str">
        <f t="shared" si="60"/>
        <v/>
      </c>
      <c r="AD203" s="28" t="str">
        <f>IF($B203="","",IF($AK203&lt;=Settings!$C$23,"",IFERROR($E203/SUMIFS($E$4:$E$503,$B$4:$B$503,$B203,$AK$4:$AK$503,$AK203-Settings!$C$23)-1,"")))</f>
        <v/>
      </c>
      <c r="AE203" s="28" t="str">
        <f>IF($B203="","",IF($AK203&lt;=Settings!$C$22,"",IFERROR($E203/SUMIFS($E$4:$E$503,$B$4:$B$503,$B203,$AK$4:$AK$503,$AK203-Settings!$C$22)-1,"")))</f>
        <v/>
      </c>
      <c r="AF203" s="28" t="str">
        <f t="shared" si="61"/>
        <v/>
      </c>
      <c r="AG203" s="29" t="str">
        <f>IF($B203="","",ROUND((MIN(100,100*N($I203)/Settings!$C$27)+MIN(100,100*N($K203)/Settings!$C$28)+MIN(100,100*N($J203)/Settings!$C$29))/3,1))</f>
        <v/>
      </c>
      <c r="AH203" s="29" t="str">
        <f>IF($B203="","",IF(SUM(Settings!$C$32:$C$37)=0,"",ROUND((Settings!$C$32*$AO203+Settings!$C$33*$AP203+Settings!$C$34*$AQ203+Settings!$C$35*$AR203+Settings!$C$36*$AS203+Settings!$C$37*$AT203)/SUM(Settings!$C$32:$C$37),1)))</f>
        <v/>
      </c>
      <c r="AI203" s="29" t="str">
        <f>IF($B203="","",MAX(0,100-IF(N($N203)&gt;0,0,20)-IF(AND(N($L203)=0,N($M203)=0),15,0)-IF(N($J203)&gt;0,0,10)-IF(N($K203)&gt;0,0,10)-IF($Z203&lt;&gt;"",0,15)-IF($AB203&lt;&gt;"",0,10)-IF($R203="ERROR",20,IF($R203="WARNING",10,0))))</f>
        <v/>
      </c>
      <c r="AJ203" s="30" t="str">
        <f>IF($AH203="","",IF($AH203&lt;Settings!$C$46,"Extreme Sell Pressure",IF($AH203&lt;Settings!$C$47,"Sell Pressure",IF($AH203&lt;=Settings!$C$48,"Neutral",IF($AH203&lt;=Settings!$C$49,"Buy Pressure","Extreme Buy Pressure")))))</f>
        <v/>
      </c>
      <c r="AK203" s="30" t="str">
        <f t="shared" si="62"/>
        <v/>
      </c>
      <c r="AL203" s="30" t="str">
        <f t="shared" si="63"/>
        <v/>
      </c>
      <c r="AM203" s="30" t="str">
        <f t="shared" si="64"/>
        <v/>
      </c>
      <c r="AN203" s="30" t="str">
        <f t="shared" si="65"/>
        <v/>
      </c>
      <c r="AO203" s="29" t="str">
        <f>IF($B203="","",IF(AND(N($L203)=0,N($M203)=0),50,IF(N($M203)=0,100,IF(N($L203)=0,0,MEDIAN(0,100,50+50*LN($S203)/LN(Settings!$C$40))))))</f>
        <v/>
      </c>
      <c r="AP203" s="29">
        <f>IF($AA203="",50,MEDIAN(0,100,50+$AA203*100*Settings!$C$41))</f>
        <v>50</v>
      </c>
      <c r="AQ203" s="29">
        <f>IF($H203="",50,MEDIAN(0,100,50+$H203*100*Settings!$C$42))</f>
        <v>50</v>
      </c>
      <c r="AR203" s="29">
        <f>IF(OR($AC203="",$H203=""),50,MEDIAN(0,100,50+SIGN($H203)*50*MEDIAN(0,1,($AC203-1)/Settings!$C$43)))</f>
        <v>50</v>
      </c>
      <c r="AS203" s="29">
        <f>IF(OR($V203="",$W203=""),50,MEDIAN(0,100,50+50*($V203-$W203)/Settings!$C$44))</f>
        <v>50</v>
      </c>
      <c r="AT203" s="29">
        <f t="shared" si="66"/>
        <v>50</v>
      </c>
      <c r="AU203" s="30" t="str">
        <f t="shared" si="67"/>
        <v/>
      </c>
      <c r="AV203" s="87" t="str">
        <f>IF($A203="","",IF(COUNTIFS($A$4:$A203,$A203)=1,1,0))</f>
        <v/>
      </c>
    </row>
    <row r="204" spans="1:48" x14ac:dyDescent="0.3">
      <c r="A204" s="270"/>
      <c r="B204" s="271"/>
      <c r="C204" s="272"/>
      <c r="D204" s="272"/>
      <c r="E204" s="272"/>
      <c r="F204" s="272"/>
      <c r="G204" s="272"/>
      <c r="H204" s="268" t="str">
        <f t="shared" si="51"/>
        <v/>
      </c>
      <c r="I204" s="273"/>
      <c r="J204" s="273"/>
      <c r="K204" s="273"/>
      <c r="L204" s="273"/>
      <c r="M204" s="273"/>
      <c r="N204" s="273"/>
      <c r="O204" s="271"/>
      <c r="P204" s="270"/>
      <c r="Q204" s="271"/>
      <c r="R204" s="23" t="str" cm="1">
        <f t="array" ref="R204">IF($B204="","",IFERROR(IF(INDEX('Data Quality'!$U$4:$U$503,ROW()-3)=0,"PENDING",INDEX('Data Quality'!$U$4:$U$503,ROW()-3)),"PENDING"))</f>
        <v/>
      </c>
      <c r="S204" s="24" t="str">
        <f t="shared" si="52"/>
        <v/>
      </c>
      <c r="T204" s="25" t="str">
        <f t="shared" si="53"/>
        <v/>
      </c>
      <c r="U204" s="25" t="str">
        <f t="shared" si="54"/>
        <v/>
      </c>
      <c r="V204" s="26" t="str">
        <f t="shared" si="55"/>
        <v/>
      </c>
      <c r="W204" s="26" t="str">
        <f t="shared" si="56"/>
        <v/>
      </c>
      <c r="X204" s="25" t="str">
        <f t="shared" si="57"/>
        <v/>
      </c>
      <c r="Y204" s="25" t="str">
        <f t="shared" si="58"/>
        <v/>
      </c>
      <c r="Z204" s="27" t="str">
        <f>IF($B204="","",IF($AK204&lt;=Settings!$C$21,"",IFERROR(AVERAGEIFS($S$4:$S$503,$B$4:$B$503,$B204,$AK$4:$AK$503,"&gt;="&amp;$AK204-Settings!$C$21,$AK$4:$AK$503,"&lt;="&amp;$AK204-1),"")))</f>
        <v/>
      </c>
      <c r="AA204" s="28" t="str">
        <f t="shared" si="59"/>
        <v/>
      </c>
      <c r="AB204" s="25" t="str">
        <f>IF($B204="","",IF($AK204&lt;=Settings!$C$22,"",IFERROR(AVERAGEIFS($K$4:$K$503,$B$4:$B$503,$B204,$AK$4:$AK$503,"&gt;="&amp;$AK204-Settings!$C$22,$AK$4:$AK$503,"&lt;="&amp;$AK204-1),"")))</f>
        <v/>
      </c>
      <c r="AC204" s="27" t="str">
        <f t="shared" si="60"/>
        <v/>
      </c>
      <c r="AD204" s="28" t="str">
        <f>IF($B204="","",IF($AK204&lt;=Settings!$C$23,"",IFERROR($E204/SUMIFS($E$4:$E$503,$B$4:$B$503,$B204,$AK$4:$AK$503,$AK204-Settings!$C$23)-1,"")))</f>
        <v/>
      </c>
      <c r="AE204" s="28" t="str">
        <f>IF($B204="","",IF($AK204&lt;=Settings!$C$22,"",IFERROR($E204/SUMIFS($E$4:$E$503,$B$4:$B$503,$B204,$AK$4:$AK$503,$AK204-Settings!$C$22)-1,"")))</f>
        <v/>
      </c>
      <c r="AF204" s="28" t="str">
        <f t="shared" si="61"/>
        <v/>
      </c>
      <c r="AG204" s="29" t="str">
        <f>IF($B204="","",ROUND((MIN(100,100*N($I204)/Settings!$C$27)+MIN(100,100*N($K204)/Settings!$C$28)+MIN(100,100*N($J204)/Settings!$C$29))/3,1))</f>
        <v/>
      </c>
      <c r="AH204" s="29" t="str">
        <f>IF($B204="","",IF(SUM(Settings!$C$32:$C$37)=0,"",ROUND((Settings!$C$32*$AO204+Settings!$C$33*$AP204+Settings!$C$34*$AQ204+Settings!$C$35*$AR204+Settings!$C$36*$AS204+Settings!$C$37*$AT204)/SUM(Settings!$C$32:$C$37),1)))</f>
        <v/>
      </c>
      <c r="AI204" s="29" t="str">
        <f>IF($B204="","",MAX(0,100-IF(N($N204)&gt;0,0,20)-IF(AND(N($L204)=0,N($M204)=0),15,0)-IF(N($J204)&gt;0,0,10)-IF(N($K204)&gt;0,0,10)-IF($Z204&lt;&gt;"",0,15)-IF($AB204&lt;&gt;"",0,10)-IF($R204="ERROR",20,IF($R204="WARNING",10,0))))</f>
        <v/>
      </c>
      <c r="AJ204" s="30" t="str">
        <f>IF($AH204="","",IF($AH204&lt;Settings!$C$46,"Extreme Sell Pressure",IF($AH204&lt;Settings!$C$47,"Sell Pressure",IF($AH204&lt;=Settings!$C$48,"Neutral",IF($AH204&lt;=Settings!$C$49,"Buy Pressure","Extreme Buy Pressure")))))</f>
        <v/>
      </c>
      <c r="AK204" s="30" t="str">
        <f t="shared" si="62"/>
        <v/>
      </c>
      <c r="AL204" s="30" t="str">
        <f t="shared" si="63"/>
        <v/>
      </c>
      <c r="AM204" s="30" t="str">
        <f t="shared" si="64"/>
        <v/>
      </c>
      <c r="AN204" s="30" t="str">
        <f t="shared" si="65"/>
        <v/>
      </c>
      <c r="AO204" s="29" t="str">
        <f>IF($B204="","",IF(AND(N($L204)=0,N($M204)=0),50,IF(N($M204)=0,100,IF(N($L204)=0,0,MEDIAN(0,100,50+50*LN($S204)/LN(Settings!$C$40))))))</f>
        <v/>
      </c>
      <c r="AP204" s="29">
        <f>IF($AA204="",50,MEDIAN(0,100,50+$AA204*100*Settings!$C$41))</f>
        <v>50</v>
      </c>
      <c r="AQ204" s="29">
        <f>IF($H204="",50,MEDIAN(0,100,50+$H204*100*Settings!$C$42))</f>
        <v>50</v>
      </c>
      <c r="AR204" s="29">
        <f>IF(OR($AC204="",$H204=""),50,MEDIAN(0,100,50+SIGN($H204)*50*MEDIAN(0,1,($AC204-1)/Settings!$C$43)))</f>
        <v>50</v>
      </c>
      <c r="AS204" s="29">
        <f>IF(OR($V204="",$W204=""),50,MEDIAN(0,100,50+50*($V204-$W204)/Settings!$C$44))</f>
        <v>50</v>
      </c>
      <c r="AT204" s="29">
        <f t="shared" si="66"/>
        <v>50</v>
      </c>
      <c r="AU204" s="30" t="str">
        <f t="shared" si="67"/>
        <v/>
      </c>
      <c r="AV204" s="87" t="str">
        <f>IF($A204="","",IF(COUNTIFS($A$4:$A204,$A204)=1,1,0))</f>
        <v/>
      </c>
    </row>
    <row r="205" spans="1:48" x14ac:dyDescent="0.3">
      <c r="A205" s="270"/>
      <c r="B205" s="271"/>
      <c r="C205" s="272"/>
      <c r="D205" s="272"/>
      <c r="E205" s="272"/>
      <c r="F205" s="272"/>
      <c r="G205" s="272"/>
      <c r="H205" s="268" t="str">
        <f t="shared" si="51"/>
        <v/>
      </c>
      <c r="I205" s="273"/>
      <c r="J205" s="273"/>
      <c r="K205" s="273"/>
      <c r="L205" s="273"/>
      <c r="M205" s="273"/>
      <c r="N205" s="273"/>
      <c r="O205" s="271"/>
      <c r="P205" s="270"/>
      <c r="Q205" s="271"/>
      <c r="R205" s="23" t="str" cm="1">
        <f t="array" ref="R205">IF($B205="","",IFERROR(IF(INDEX('Data Quality'!$U$4:$U$503,ROW()-3)=0,"PENDING",INDEX('Data Quality'!$U$4:$U$503,ROW()-3)),"PENDING"))</f>
        <v/>
      </c>
      <c r="S205" s="24" t="str">
        <f t="shared" si="52"/>
        <v/>
      </c>
      <c r="T205" s="25" t="str">
        <f t="shared" si="53"/>
        <v/>
      </c>
      <c r="U205" s="25" t="str">
        <f t="shared" si="54"/>
        <v/>
      </c>
      <c r="V205" s="26" t="str">
        <f t="shared" si="55"/>
        <v/>
      </c>
      <c r="W205" s="26" t="str">
        <f t="shared" si="56"/>
        <v/>
      </c>
      <c r="X205" s="25" t="str">
        <f t="shared" si="57"/>
        <v/>
      </c>
      <c r="Y205" s="25" t="str">
        <f t="shared" si="58"/>
        <v/>
      </c>
      <c r="Z205" s="27" t="str">
        <f>IF($B205="","",IF($AK205&lt;=Settings!$C$21,"",IFERROR(AVERAGEIFS($S$4:$S$503,$B$4:$B$503,$B205,$AK$4:$AK$503,"&gt;="&amp;$AK205-Settings!$C$21,$AK$4:$AK$503,"&lt;="&amp;$AK205-1),"")))</f>
        <v/>
      </c>
      <c r="AA205" s="28" t="str">
        <f t="shared" si="59"/>
        <v/>
      </c>
      <c r="AB205" s="25" t="str">
        <f>IF($B205="","",IF($AK205&lt;=Settings!$C$22,"",IFERROR(AVERAGEIFS($K$4:$K$503,$B$4:$B$503,$B205,$AK$4:$AK$503,"&gt;="&amp;$AK205-Settings!$C$22,$AK$4:$AK$503,"&lt;="&amp;$AK205-1),"")))</f>
        <v/>
      </c>
      <c r="AC205" s="27" t="str">
        <f t="shared" si="60"/>
        <v/>
      </c>
      <c r="AD205" s="28" t="str">
        <f>IF($B205="","",IF($AK205&lt;=Settings!$C$23,"",IFERROR($E205/SUMIFS($E$4:$E$503,$B$4:$B$503,$B205,$AK$4:$AK$503,$AK205-Settings!$C$23)-1,"")))</f>
        <v/>
      </c>
      <c r="AE205" s="28" t="str">
        <f>IF($B205="","",IF($AK205&lt;=Settings!$C$22,"",IFERROR($E205/SUMIFS($E$4:$E$503,$B$4:$B$503,$B205,$AK$4:$AK$503,$AK205-Settings!$C$22)-1,"")))</f>
        <v/>
      </c>
      <c r="AF205" s="28" t="str">
        <f t="shared" si="61"/>
        <v/>
      </c>
      <c r="AG205" s="29" t="str">
        <f>IF($B205="","",ROUND((MIN(100,100*N($I205)/Settings!$C$27)+MIN(100,100*N($K205)/Settings!$C$28)+MIN(100,100*N($J205)/Settings!$C$29))/3,1))</f>
        <v/>
      </c>
      <c r="AH205" s="29" t="str">
        <f>IF($B205="","",IF(SUM(Settings!$C$32:$C$37)=0,"",ROUND((Settings!$C$32*$AO205+Settings!$C$33*$AP205+Settings!$C$34*$AQ205+Settings!$C$35*$AR205+Settings!$C$36*$AS205+Settings!$C$37*$AT205)/SUM(Settings!$C$32:$C$37),1)))</f>
        <v/>
      </c>
      <c r="AI205" s="29" t="str">
        <f>IF($B205="","",MAX(0,100-IF(N($N205)&gt;0,0,20)-IF(AND(N($L205)=0,N($M205)=0),15,0)-IF(N($J205)&gt;0,0,10)-IF(N($K205)&gt;0,0,10)-IF($Z205&lt;&gt;"",0,15)-IF($AB205&lt;&gt;"",0,10)-IF($R205="ERROR",20,IF($R205="WARNING",10,0))))</f>
        <v/>
      </c>
      <c r="AJ205" s="30" t="str">
        <f>IF($AH205="","",IF($AH205&lt;Settings!$C$46,"Extreme Sell Pressure",IF($AH205&lt;Settings!$C$47,"Sell Pressure",IF($AH205&lt;=Settings!$C$48,"Neutral",IF($AH205&lt;=Settings!$C$49,"Buy Pressure","Extreme Buy Pressure")))))</f>
        <v/>
      </c>
      <c r="AK205" s="30" t="str">
        <f t="shared" si="62"/>
        <v/>
      </c>
      <c r="AL205" s="30" t="str">
        <f t="shared" si="63"/>
        <v/>
      </c>
      <c r="AM205" s="30" t="str">
        <f t="shared" si="64"/>
        <v/>
      </c>
      <c r="AN205" s="30" t="str">
        <f t="shared" si="65"/>
        <v/>
      </c>
      <c r="AO205" s="29" t="str">
        <f>IF($B205="","",IF(AND(N($L205)=0,N($M205)=0),50,IF(N($M205)=0,100,IF(N($L205)=0,0,MEDIAN(0,100,50+50*LN($S205)/LN(Settings!$C$40))))))</f>
        <v/>
      </c>
      <c r="AP205" s="29">
        <f>IF($AA205="",50,MEDIAN(0,100,50+$AA205*100*Settings!$C$41))</f>
        <v>50</v>
      </c>
      <c r="AQ205" s="29">
        <f>IF($H205="",50,MEDIAN(0,100,50+$H205*100*Settings!$C$42))</f>
        <v>50</v>
      </c>
      <c r="AR205" s="29">
        <f>IF(OR($AC205="",$H205=""),50,MEDIAN(0,100,50+SIGN($H205)*50*MEDIAN(0,1,($AC205-1)/Settings!$C$43)))</f>
        <v>50</v>
      </c>
      <c r="AS205" s="29">
        <f>IF(OR($V205="",$W205=""),50,MEDIAN(0,100,50+50*($V205-$W205)/Settings!$C$44))</f>
        <v>50</v>
      </c>
      <c r="AT205" s="29">
        <f t="shared" si="66"/>
        <v>50</v>
      </c>
      <c r="AU205" s="30" t="str">
        <f t="shared" si="67"/>
        <v/>
      </c>
      <c r="AV205" s="87" t="str">
        <f>IF($A205="","",IF(COUNTIFS($A$4:$A205,$A205)=1,1,0))</f>
        <v/>
      </c>
    </row>
    <row r="206" spans="1:48" x14ac:dyDescent="0.3">
      <c r="A206" s="270"/>
      <c r="B206" s="271"/>
      <c r="C206" s="272"/>
      <c r="D206" s="272"/>
      <c r="E206" s="272"/>
      <c r="F206" s="272"/>
      <c r="G206" s="272"/>
      <c r="H206" s="268" t="str">
        <f t="shared" si="51"/>
        <v/>
      </c>
      <c r="I206" s="273"/>
      <c r="J206" s="273"/>
      <c r="K206" s="273"/>
      <c r="L206" s="273"/>
      <c r="M206" s="273"/>
      <c r="N206" s="273"/>
      <c r="O206" s="271"/>
      <c r="P206" s="270"/>
      <c r="Q206" s="271"/>
      <c r="R206" s="23" t="str" cm="1">
        <f t="array" ref="R206">IF($B206="","",IFERROR(IF(INDEX('Data Quality'!$U$4:$U$503,ROW()-3)=0,"PENDING",INDEX('Data Quality'!$U$4:$U$503,ROW()-3)),"PENDING"))</f>
        <v/>
      </c>
      <c r="S206" s="24" t="str">
        <f t="shared" si="52"/>
        <v/>
      </c>
      <c r="T206" s="25" t="str">
        <f t="shared" si="53"/>
        <v/>
      </c>
      <c r="U206" s="25" t="str">
        <f t="shared" si="54"/>
        <v/>
      </c>
      <c r="V206" s="26" t="str">
        <f t="shared" si="55"/>
        <v/>
      </c>
      <c r="W206" s="26" t="str">
        <f t="shared" si="56"/>
        <v/>
      </c>
      <c r="X206" s="25" t="str">
        <f t="shared" si="57"/>
        <v/>
      </c>
      <c r="Y206" s="25" t="str">
        <f t="shared" si="58"/>
        <v/>
      </c>
      <c r="Z206" s="27" t="str">
        <f>IF($B206="","",IF($AK206&lt;=Settings!$C$21,"",IFERROR(AVERAGEIFS($S$4:$S$503,$B$4:$B$503,$B206,$AK$4:$AK$503,"&gt;="&amp;$AK206-Settings!$C$21,$AK$4:$AK$503,"&lt;="&amp;$AK206-1),"")))</f>
        <v/>
      </c>
      <c r="AA206" s="28" t="str">
        <f t="shared" si="59"/>
        <v/>
      </c>
      <c r="AB206" s="25" t="str">
        <f>IF($B206="","",IF($AK206&lt;=Settings!$C$22,"",IFERROR(AVERAGEIFS($K$4:$K$503,$B$4:$B$503,$B206,$AK$4:$AK$503,"&gt;="&amp;$AK206-Settings!$C$22,$AK$4:$AK$503,"&lt;="&amp;$AK206-1),"")))</f>
        <v/>
      </c>
      <c r="AC206" s="27" t="str">
        <f t="shared" si="60"/>
        <v/>
      </c>
      <c r="AD206" s="28" t="str">
        <f>IF($B206="","",IF($AK206&lt;=Settings!$C$23,"",IFERROR($E206/SUMIFS($E$4:$E$503,$B$4:$B$503,$B206,$AK$4:$AK$503,$AK206-Settings!$C$23)-1,"")))</f>
        <v/>
      </c>
      <c r="AE206" s="28" t="str">
        <f>IF($B206="","",IF($AK206&lt;=Settings!$C$22,"",IFERROR($E206/SUMIFS($E$4:$E$503,$B$4:$B$503,$B206,$AK$4:$AK$503,$AK206-Settings!$C$22)-1,"")))</f>
        <v/>
      </c>
      <c r="AF206" s="28" t="str">
        <f t="shared" si="61"/>
        <v/>
      </c>
      <c r="AG206" s="29" t="str">
        <f>IF($B206="","",ROUND((MIN(100,100*N($I206)/Settings!$C$27)+MIN(100,100*N($K206)/Settings!$C$28)+MIN(100,100*N($J206)/Settings!$C$29))/3,1))</f>
        <v/>
      </c>
      <c r="AH206" s="29" t="str">
        <f>IF($B206="","",IF(SUM(Settings!$C$32:$C$37)=0,"",ROUND((Settings!$C$32*$AO206+Settings!$C$33*$AP206+Settings!$C$34*$AQ206+Settings!$C$35*$AR206+Settings!$C$36*$AS206+Settings!$C$37*$AT206)/SUM(Settings!$C$32:$C$37),1)))</f>
        <v/>
      </c>
      <c r="AI206" s="29" t="str">
        <f>IF($B206="","",MAX(0,100-IF(N($N206)&gt;0,0,20)-IF(AND(N($L206)=0,N($M206)=0),15,0)-IF(N($J206)&gt;0,0,10)-IF(N($K206)&gt;0,0,10)-IF($Z206&lt;&gt;"",0,15)-IF($AB206&lt;&gt;"",0,10)-IF($R206="ERROR",20,IF($R206="WARNING",10,0))))</f>
        <v/>
      </c>
      <c r="AJ206" s="30" t="str">
        <f>IF($AH206="","",IF($AH206&lt;Settings!$C$46,"Extreme Sell Pressure",IF($AH206&lt;Settings!$C$47,"Sell Pressure",IF($AH206&lt;=Settings!$C$48,"Neutral",IF($AH206&lt;=Settings!$C$49,"Buy Pressure","Extreme Buy Pressure")))))</f>
        <v/>
      </c>
      <c r="AK206" s="30" t="str">
        <f t="shared" si="62"/>
        <v/>
      </c>
      <c r="AL206" s="30" t="str">
        <f t="shared" si="63"/>
        <v/>
      </c>
      <c r="AM206" s="30" t="str">
        <f t="shared" si="64"/>
        <v/>
      </c>
      <c r="AN206" s="30" t="str">
        <f t="shared" si="65"/>
        <v/>
      </c>
      <c r="AO206" s="29" t="str">
        <f>IF($B206="","",IF(AND(N($L206)=0,N($M206)=0),50,IF(N($M206)=0,100,IF(N($L206)=0,0,MEDIAN(0,100,50+50*LN($S206)/LN(Settings!$C$40))))))</f>
        <v/>
      </c>
      <c r="AP206" s="29">
        <f>IF($AA206="",50,MEDIAN(0,100,50+$AA206*100*Settings!$C$41))</f>
        <v>50</v>
      </c>
      <c r="AQ206" s="29">
        <f>IF($H206="",50,MEDIAN(0,100,50+$H206*100*Settings!$C$42))</f>
        <v>50</v>
      </c>
      <c r="AR206" s="29">
        <f>IF(OR($AC206="",$H206=""),50,MEDIAN(0,100,50+SIGN($H206)*50*MEDIAN(0,1,($AC206-1)/Settings!$C$43)))</f>
        <v>50</v>
      </c>
      <c r="AS206" s="29">
        <f>IF(OR($V206="",$W206=""),50,MEDIAN(0,100,50+50*($V206-$W206)/Settings!$C$44))</f>
        <v>50</v>
      </c>
      <c r="AT206" s="29">
        <f t="shared" si="66"/>
        <v>50</v>
      </c>
      <c r="AU206" s="30" t="str">
        <f t="shared" si="67"/>
        <v/>
      </c>
      <c r="AV206" s="87" t="str">
        <f>IF($A206="","",IF(COUNTIFS($A$4:$A206,$A206)=1,1,0))</f>
        <v/>
      </c>
    </row>
    <row r="207" spans="1:48" x14ac:dyDescent="0.3">
      <c r="A207" s="270"/>
      <c r="B207" s="271"/>
      <c r="C207" s="272"/>
      <c r="D207" s="272"/>
      <c r="E207" s="272"/>
      <c r="F207" s="272"/>
      <c r="G207" s="272"/>
      <c r="H207" s="268" t="str">
        <f t="shared" si="51"/>
        <v/>
      </c>
      <c r="I207" s="273"/>
      <c r="J207" s="273"/>
      <c r="K207" s="273"/>
      <c r="L207" s="273"/>
      <c r="M207" s="273"/>
      <c r="N207" s="273"/>
      <c r="O207" s="271"/>
      <c r="P207" s="270"/>
      <c r="Q207" s="271"/>
      <c r="R207" s="23" t="str" cm="1">
        <f t="array" ref="R207">IF($B207="","",IFERROR(IF(INDEX('Data Quality'!$U$4:$U$503,ROW()-3)=0,"PENDING",INDEX('Data Quality'!$U$4:$U$503,ROW()-3)),"PENDING"))</f>
        <v/>
      </c>
      <c r="S207" s="24" t="str">
        <f t="shared" si="52"/>
        <v/>
      </c>
      <c r="T207" s="25" t="str">
        <f t="shared" si="53"/>
        <v/>
      </c>
      <c r="U207" s="25" t="str">
        <f t="shared" si="54"/>
        <v/>
      </c>
      <c r="V207" s="26" t="str">
        <f t="shared" si="55"/>
        <v/>
      </c>
      <c r="W207" s="26" t="str">
        <f t="shared" si="56"/>
        <v/>
      </c>
      <c r="X207" s="25" t="str">
        <f t="shared" si="57"/>
        <v/>
      </c>
      <c r="Y207" s="25" t="str">
        <f t="shared" si="58"/>
        <v/>
      </c>
      <c r="Z207" s="27" t="str">
        <f>IF($B207="","",IF($AK207&lt;=Settings!$C$21,"",IFERROR(AVERAGEIFS($S$4:$S$503,$B$4:$B$503,$B207,$AK$4:$AK$503,"&gt;="&amp;$AK207-Settings!$C$21,$AK$4:$AK$503,"&lt;="&amp;$AK207-1),"")))</f>
        <v/>
      </c>
      <c r="AA207" s="28" t="str">
        <f t="shared" si="59"/>
        <v/>
      </c>
      <c r="AB207" s="25" t="str">
        <f>IF($B207="","",IF($AK207&lt;=Settings!$C$22,"",IFERROR(AVERAGEIFS($K$4:$K$503,$B$4:$B$503,$B207,$AK$4:$AK$503,"&gt;="&amp;$AK207-Settings!$C$22,$AK$4:$AK$503,"&lt;="&amp;$AK207-1),"")))</f>
        <v/>
      </c>
      <c r="AC207" s="27" t="str">
        <f t="shared" si="60"/>
        <v/>
      </c>
      <c r="AD207" s="28" t="str">
        <f>IF($B207="","",IF($AK207&lt;=Settings!$C$23,"",IFERROR($E207/SUMIFS($E$4:$E$503,$B$4:$B$503,$B207,$AK$4:$AK$503,$AK207-Settings!$C$23)-1,"")))</f>
        <v/>
      </c>
      <c r="AE207" s="28" t="str">
        <f>IF($B207="","",IF($AK207&lt;=Settings!$C$22,"",IFERROR($E207/SUMIFS($E$4:$E$503,$B$4:$B$503,$B207,$AK$4:$AK$503,$AK207-Settings!$C$22)-1,"")))</f>
        <v/>
      </c>
      <c r="AF207" s="28" t="str">
        <f t="shared" si="61"/>
        <v/>
      </c>
      <c r="AG207" s="29" t="str">
        <f>IF($B207="","",ROUND((MIN(100,100*N($I207)/Settings!$C$27)+MIN(100,100*N($K207)/Settings!$C$28)+MIN(100,100*N($J207)/Settings!$C$29))/3,1))</f>
        <v/>
      </c>
      <c r="AH207" s="29" t="str">
        <f>IF($B207="","",IF(SUM(Settings!$C$32:$C$37)=0,"",ROUND((Settings!$C$32*$AO207+Settings!$C$33*$AP207+Settings!$C$34*$AQ207+Settings!$C$35*$AR207+Settings!$C$36*$AS207+Settings!$C$37*$AT207)/SUM(Settings!$C$32:$C$37),1)))</f>
        <v/>
      </c>
      <c r="AI207" s="29" t="str">
        <f>IF($B207="","",MAX(0,100-IF(N($N207)&gt;0,0,20)-IF(AND(N($L207)=0,N($M207)=0),15,0)-IF(N($J207)&gt;0,0,10)-IF(N($K207)&gt;0,0,10)-IF($Z207&lt;&gt;"",0,15)-IF($AB207&lt;&gt;"",0,10)-IF($R207="ERROR",20,IF($R207="WARNING",10,0))))</f>
        <v/>
      </c>
      <c r="AJ207" s="30" t="str">
        <f>IF($AH207="","",IF($AH207&lt;Settings!$C$46,"Extreme Sell Pressure",IF($AH207&lt;Settings!$C$47,"Sell Pressure",IF($AH207&lt;=Settings!$C$48,"Neutral",IF($AH207&lt;=Settings!$C$49,"Buy Pressure","Extreme Buy Pressure")))))</f>
        <v/>
      </c>
      <c r="AK207" s="30" t="str">
        <f t="shared" si="62"/>
        <v/>
      </c>
      <c r="AL207" s="30" t="str">
        <f t="shared" si="63"/>
        <v/>
      </c>
      <c r="AM207" s="30" t="str">
        <f t="shared" si="64"/>
        <v/>
      </c>
      <c r="AN207" s="30" t="str">
        <f t="shared" si="65"/>
        <v/>
      </c>
      <c r="AO207" s="29" t="str">
        <f>IF($B207="","",IF(AND(N($L207)=0,N($M207)=0),50,IF(N($M207)=0,100,IF(N($L207)=0,0,MEDIAN(0,100,50+50*LN($S207)/LN(Settings!$C$40))))))</f>
        <v/>
      </c>
      <c r="AP207" s="29">
        <f>IF($AA207="",50,MEDIAN(0,100,50+$AA207*100*Settings!$C$41))</f>
        <v>50</v>
      </c>
      <c r="AQ207" s="29">
        <f>IF($H207="",50,MEDIAN(0,100,50+$H207*100*Settings!$C$42))</f>
        <v>50</v>
      </c>
      <c r="AR207" s="29">
        <f>IF(OR($AC207="",$H207=""),50,MEDIAN(0,100,50+SIGN($H207)*50*MEDIAN(0,1,($AC207-1)/Settings!$C$43)))</f>
        <v>50</v>
      </c>
      <c r="AS207" s="29">
        <f>IF(OR($V207="",$W207=""),50,MEDIAN(0,100,50+50*($V207-$W207)/Settings!$C$44))</f>
        <v>50</v>
      </c>
      <c r="AT207" s="29">
        <f t="shared" si="66"/>
        <v>50</v>
      </c>
      <c r="AU207" s="30" t="str">
        <f t="shared" si="67"/>
        <v/>
      </c>
      <c r="AV207" s="87" t="str">
        <f>IF($A207="","",IF(COUNTIFS($A$4:$A207,$A207)=1,1,0))</f>
        <v/>
      </c>
    </row>
    <row r="208" spans="1:48" x14ac:dyDescent="0.3">
      <c r="A208" s="270"/>
      <c r="B208" s="271"/>
      <c r="C208" s="272"/>
      <c r="D208" s="272"/>
      <c r="E208" s="272"/>
      <c r="F208" s="272"/>
      <c r="G208" s="272"/>
      <c r="H208" s="268" t="str">
        <f t="shared" si="51"/>
        <v/>
      </c>
      <c r="I208" s="273"/>
      <c r="J208" s="273"/>
      <c r="K208" s="273"/>
      <c r="L208" s="273"/>
      <c r="M208" s="273"/>
      <c r="N208" s="273"/>
      <c r="O208" s="271"/>
      <c r="P208" s="270"/>
      <c r="Q208" s="271"/>
      <c r="R208" s="23" t="str" cm="1">
        <f t="array" ref="R208">IF($B208="","",IFERROR(IF(INDEX('Data Quality'!$U$4:$U$503,ROW()-3)=0,"PENDING",INDEX('Data Quality'!$U$4:$U$503,ROW()-3)),"PENDING"))</f>
        <v/>
      </c>
      <c r="S208" s="24" t="str">
        <f t="shared" si="52"/>
        <v/>
      </c>
      <c r="T208" s="25" t="str">
        <f t="shared" si="53"/>
        <v/>
      </c>
      <c r="U208" s="25" t="str">
        <f t="shared" si="54"/>
        <v/>
      </c>
      <c r="V208" s="26" t="str">
        <f t="shared" si="55"/>
        <v/>
      </c>
      <c r="W208" s="26" t="str">
        <f t="shared" si="56"/>
        <v/>
      </c>
      <c r="X208" s="25" t="str">
        <f t="shared" si="57"/>
        <v/>
      </c>
      <c r="Y208" s="25" t="str">
        <f t="shared" si="58"/>
        <v/>
      </c>
      <c r="Z208" s="27" t="str">
        <f>IF($B208="","",IF($AK208&lt;=Settings!$C$21,"",IFERROR(AVERAGEIFS($S$4:$S$503,$B$4:$B$503,$B208,$AK$4:$AK$503,"&gt;="&amp;$AK208-Settings!$C$21,$AK$4:$AK$503,"&lt;="&amp;$AK208-1),"")))</f>
        <v/>
      </c>
      <c r="AA208" s="28" t="str">
        <f t="shared" si="59"/>
        <v/>
      </c>
      <c r="AB208" s="25" t="str">
        <f>IF($B208="","",IF($AK208&lt;=Settings!$C$22,"",IFERROR(AVERAGEIFS($K$4:$K$503,$B$4:$B$503,$B208,$AK$4:$AK$503,"&gt;="&amp;$AK208-Settings!$C$22,$AK$4:$AK$503,"&lt;="&amp;$AK208-1),"")))</f>
        <v/>
      </c>
      <c r="AC208" s="27" t="str">
        <f t="shared" si="60"/>
        <v/>
      </c>
      <c r="AD208" s="28" t="str">
        <f>IF($B208="","",IF($AK208&lt;=Settings!$C$23,"",IFERROR($E208/SUMIFS($E$4:$E$503,$B$4:$B$503,$B208,$AK$4:$AK$503,$AK208-Settings!$C$23)-1,"")))</f>
        <v/>
      </c>
      <c r="AE208" s="28" t="str">
        <f>IF($B208="","",IF($AK208&lt;=Settings!$C$22,"",IFERROR($E208/SUMIFS($E$4:$E$503,$B$4:$B$503,$B208,$AK$4:$AK$503,$AK208-Settings!$C$22)-1,"")))</f>
        <v/>
      </c>
      <c r="AF208" s="28" t="str">
        <f t="shared" si="61"/>
        <v/>
      </c>
      <c r="AG208" s="29" t="str">
        <f>IF($B208="","",ROUND((MIN(100,100*N($I208)/Settings!$C$27)+MIN(100,100*N($K208)/Settings!$C$28)+MIN(100,100*N($J208)/Settings!$C$29))/3,1))</f>
        <v/>
      </c>
      <c r="AH208" s="29" t="str">
        <f>IF($B208="","",IF(SUM(Settings!$C$32:$C$37)=0,"",ROUND((Settings!$C$32*$AO208+Settings!$C$33*$AP208+Settings!$C$34*$AQ208+Settings!$C$35*$AR208+Settings!$C$36*$AS208+Settings!$C$37*$AT208)/SUM(Settings!$C$32:$C$37),1)))</f>
        <v/>
      </c>
      <c r="AI208" s="29" t="str">
        <f>IF($B208="","",MAX(0,100-IF(N($N208)&gt;0,0,20)-IF(AND(N($L208)=0,N($M208)=0),15,0)-IF(N($J208)&gt;0,0,10)-IF(N($K208)&gt;0,0,10)-IF($Z208&lt;&gt;"",0,15)-IF($AB208&lt;&gt;"",0,10)-IF($R208="ERROR",20,IF($R208="WARNING",10,0))))</f>
        <v/>
      </c>
      <c r="AJ208" s="30" t="str">
        <f>IF($AH208="","",IF($AH208&lt;Settings!$C$46,"Extreme Sell Pressure",IF($AH208&lt;Settings!$C$47,"Sell Pressure",IF($AH208&lt;=Settings!$C$48,"Neutral",IF($AH208&lt;=Settings!$C$49,"Buy Pressure","Extreme Buy Pressure")))))</f>
        <v/>
      </c>
      <c r="AK208" s="30" t="str">
        <f t="shared" si="62"/>
        <v/>
      </c>
      <c r="AL208" s="30" t="str">
        <f t="shared" si="63"/>
        <v/>
      </c>
      <c r="AM208" s="30" t="str">
        <f t="shared" si="64"/>
        <v/>
      </c>
      <c r="AN208" s="30" t="str">
        <f t="shared" si="65"/>
        <v/>
      </c>
      <c r="AO208" s="29" t="str">
        <f>IF($B208="","",IF(AND(N($L208)=0,N($M208)=0),50,IF(N($M208)=0,100,IF(N($L208)=0,0,MEDIAN(0,100,50+50*LN($S208)/LN(Settings!$C$40))))))</f>
        <v/>
      </c>
      <c r="AP208" s="29">
        <f>IF($AA208="",50,MEDIAN(0,100,50+$AA208*100*Settings!$C$41))</f>
        <v>50</v>
      </c>
      <c r="AQ208" s="29">
        <f>IF($H208="",50,MEDIAN(0,100,50+$H208*100*Settings!$C$42))</f>
        <v>50</v>
      </c>
      <c r="AR208" s="29">
        <f>IF(OR($AC208="",$H208=""),50,MEDIAN(0,100,50+SIGN($H208)*50*MEDIAN(0,1,($AC208-1)/Settings!$C$43)))</f>
        <v>50</v>
      </c>
      <c r="AS208" s="29">
        <f>IF(OR($V208="",$W208=""),50,MEDIAN(0,100,50+50*($V208-$W208)/Settings!$C$44))</f>
        <v>50</v>
      </c>
      <c r="AT208" s="29">
        <f t="shared" si="66"/>
        <v>50</v>
      </c>
      <c r="AU208" s="30" t="str">
        <f t="shared" si="67"/>
        <v/>
      </c>
      <c r="AV208" s="87" t="str">
        <f>IF($A208="","",IF(COUNTIFS($A$4:$A208,$A208)=1,1,0))</f>
        <v/>
      </c>
    </row>
    <row r="209" spans="1:48" x14ac:dyDescent="0.3">
      <c r="A209" s="270"/>
      <c r="B209" s="271"/>
      <c r="C209" s="272"/>
      <c r="D209" s="272"/>
      <c r="E209" s="272"/>
      <c r="F209" s="272"/>
      <c r="G209" s="272"/>
      <c r="H209" s="268" t="str">
        <f t="shared" si="51"/>
        <v/>
      </c>
      <c r="I209" s="273"/>
      <c r="J209" s="273"/>
      <c r="K209" s="273"/>
      <c r="L209" s="273"/>
      <c r="M209" s="273"/>
      <c r="N209" s="273"/>
      <c r="O209" s="271"/>
      <c r="P209" s="270"/>
      <c r="Q209" s="271"/>
      <c r="R209" s="23" t="str" cm="1">
        <f t="array" ref="R209">IF($B209="","",IFERROR(IF(INDEX('Data Quality'!$U$4:$U$503,ROW()-3)=0,"PENDING",INDEX('Data Quality'!$U$4:$U$503,ROW()-3)),"PENDING"))</f>
        <v/>
      </c>
      <c r="S209" s="24" t="str">
        <f t="shared" si="52"/>
        <v/>
      </c>
      <c r="T209" s="25" t="str">
        <f t="shared" si="53"/>
        <v/>
      </c>
      <c r="U209" s="25" t="str">
        <f t="shared" si="54"/>
        <v/>
      </c>
      <c r="V209" s="26" t="str">
        <f t="shared" si="55"/>
        <v/>
      </c>
      <c r="W209" s="26" t="str">
        <f t="shared" si="56"/>
        <v/>
      </c>
      <c r="X209" s="25" t="str">
        <f t="shared" si="57"/>
        <v/>
      </c>
      <c r="Y209" s="25" t="str">
        <f t="shared" si="58"/>
        <v/>
      </c>
      <c r="Z209" s="27" t="str">
        <f>IF($B209="","",IF($AK209&lt;=Settings!$C$21,"",IFERROR(AVERAGEIFS($S$4:$S$503,$B$4:$B$503,$B209,$AK$4:$AK$503,"&gt;="&amp;$AK209-Settings!$C$21,$AK$4:$AK$503,"&lt;="&amp;$AK209-1),"")))</f>
        <v/>
      </c>
      <c r="AA209" s="28" t="str">
        <f t="shared" si="59"/>
        <v/>
      </c>
      <c r="AB209" s="25" t="str">
        <f>IF($B209="","",IF($AK209&lt;=Settings!$C$22,"",IFERROR(AVERAGEIFS($K$4:$K$503,$B$4:$B$503,$B209,$AK$4:$AK$503,"&gt;="&amp;$AK209-Settings!$C$22,$AK$4:$AK$503,"&lt;="&amp;$AK209-1),"")))</f>
        <v/>
      </c>
      <c r="AC209" s="27" t="str">
        <f t="shared" si="60"/>
        <v/>
      </c>
      <c r="AD209" s="28" t="str">
        <f>IF($B209="","",IF($AK209&lt;=Settings!$C$23,"",IFERROR($E209/SUMIFS($E$4:$E$503,$B$4:$B$503,$B209,$AK$4:$AK$503,$AK209-Settings!$C$23)-1,"")))</f>
        <v/>
      </c>
      <c r="AE209" s="28" t="str">
        <f>IF($B209="","",IF($AK209&lt;=Settings!$C$22,"",IFERROR($E209/SUMIFS($E$4:$E$503,$B$4:$B$503,$B209,$AK$4:$AK$503,$AK209-Settings!$C$22)-1,"")))</f>
        <v/>
      </c>
      <c r="AF209" s="28" t="str">
        <f t="shared" si="61"/>
        <v/>
      </c>
      <c r="AG209" s="29" t="str">
        <f>IF($B209="","",ROUND((MIN(100,100*N($I209)/Settings!$C$27)+MIN(100,100*N($K209)/Settings!$C$28)+MIN(100,100*N($J209)/Settings!$C$29))/3,1))</f>
        <v/>
      </c>
      <c r="AH209" s="29" t="str">
        <f>IF($B209="","",IF(SUM(Settings!$C$32:$C$37)=0,"",ROUND((Settings!$C$32*$AO209+Settings!$C$33*$AP209+Settings!$C$34*$AQ209+Settings!$C$35*$AR209+Settings!$C$36*$AS209+Settings!$C$37*$AT209)/SUM(Settings!$C$32:$C$37),1)))</f>
        <v/>
      </c>
      <c r="AI209" s="29" t="str">
        <f>IF($B209="","",MAX(0,100-IF(N($N209)&gt;0,0,20)-IF(AND(N($L209)=0,N($M209)=0),15,0)-IF(N($J209)&gt;0,0,10)-IF(N($K209)&gt;0,0,10)-IF($Z209&lt;&gt;"",0,15)-IF($AB209&lt;&gt;"",0,10)-IF($R209="ERROR",20,IF($R209="WARNING",10,0))))</f>
        <v/>
      </c>
      <c r="AJ209" s="30" t="str">
        <f>IF($AH209="","",IF($AH209&lt;Settings!$C$46,"Extreme Sell Pressure",IF($AH209&lt;Settings!$C$47,"Sell Pressure",IF($AH209&lt;=Settings!$C$48,"Neutral",IF($AH209&lt;=Settings!$C$49,"Buy Pressure","Extreme Buy Pressure")))))</f>
        <v/>
      </c>
      <c r="AK209" s="30" t="str">
        <f t="shared" si="62"/>
        <v/>
      </c>
      <c r="AL209" s="30" t="str">
        <f t="shared" si="63"/>
        <v/>
      </c>
      <c r="AM209" s="30" t="str">
        <f t="shared" si="64"/>
        <v/>
      </c>
      <c r="AN209" s="30" t="str">
        <f t="shared" si="65"/>
        <v/>
      </c>
      <c r="AO209" s="29" t="str">
        <f>IF($B209="","",IF(AND(N($L209)=0,N($M209)=0),50,IF(N($M209)=0,100,IF(N($L209)=0,0,MEDIAN(0,100,50+50*LN($S209)/LN(Settings!$C$40))))))</f>
        <v/>
      </c>
      <c r="AP209" s="29">
        <f>IF($AA209="",50,MEDIAN(0,100,50+$AA209*100*Settings!$C$41))</f>
        <v>50</v>
      </c>
      <c r="AQ209" s="29">
        <f>IF($H209="",50,MEDIAN(0,100,50+$H209*100*Settings!$C$42))</f>
        <v>50</v>
      </c>
      <c r="AR209" s="29">
        <f>IF(OR($AC209="",$H209=""),50,MEDIAN(0,100,50+SIGN($H209)*50*MEDIAN(0,1,($AC209-1)/Settings!$C$43)))</f>
        <v>50</v>
      </c>
      <c r="AS209" s="29">
        <f>IF(OR($V209="",$W209=""),50,MEDIAN(0,100,50+50*($V209-$W209)/Settings!$C$44))</f>
        <v>50</v>
      </c>
      <c r="AT209" s="29">
        <f t="shared" si="66"/>
        <v>50</v>
      </c>
      <c r="AU209" s="30" t="str">
        <f t="shared" si="67"/>
        <v/>
      </c>
      <c r="AV209" s="87" t="str">
        <f>IF($A209="","",IF(COUNTIFS($A$4:$A209,$A209)=1,1,0))</f>
        <v/>
      </c>
    </row>
    <row r="210" spans="1:48" x14ac:dyDescent="0.3">
      <c r="A210" s="270"/>
      <c r="B210" s="271"/>
      <c r="C210" s="272"/>
      <c r="D210" s="272"/>
      <c r="E210" s="272"/>
      <c r="F210" s="272"/>
      <c r="G210" s="272"/>
      <c r="H210" s="268" t="str">
        <f t="shared" si="51"/>
        <v/>
      </c>
      <c r="I210" s="273"/>
      <c r="J210" s="273"/>
      <c r="K210" s="273"/>
      <c r="L210" s="273"/>
      <c r="M210" s="273"/>
      <c r="N210" s="273"/>
      <c r="O210" s="271"/>
      <c r="P210" s="270"/>
      <c r="Q210" s="271"/>
      <c r="R210" s="23" t="str" cm="1">
        <f t="array" ref="R210">IF($B210="","",IFERROR(IF(INDEX('Data Quality'!$U$4:$U$503,ROW()-3)=0,"PENDING",INDEX('Data Quality'!$U$4:$U$503,ROW()-3)),"PENDING"))</f>
        <v/>
      </c>
      <c r="S210" s="24" t="str">
        <f t="shared" si="52"/>
        <v/>
      </c>
      <c r="T210" s="25" t="str">
        <f t="shared" si="53"/>
        <v/>
      </c>
      <c r="U210" s="25" t="str">
        <f t="shared" si="54"/>
        <v/>
      </c>
      <c r="V210" s="26" t="str">
        <f t="shared" si="55"/>
        <v/>
      </c>
      <c r="W210" s="26" t="str">
        <f t="shared" si="56"/>
        <v/>
      </c>
      <c r="X210" s="25" t="str">
        <f t="shared" si="57"/>
        <v/>
      </c>
      <c r="Y210" s="25" t="str">
        <f t="shared" si="58"/>
        <v/>
      </c>
      <c r="Z210" s="27" t="str">
        <f>IF($B210="","",IF($AK210&lt;=Settings!$C$21,"",IFERROR(AVERAGEIFS($S$4:$S$503,$B$4:$B$503,$B210,$AK$4:$AK$503,"&gt;="&amp;$AK210-Settings!$C$21,$AK$4:$AK$503,"&lt;="&amp;$AK210-1),"")))</f>
        <v/>
      </c>
      <c r="AA210" s="28" t="str">
        <f t="shared" si="59"/>
        <v/>
      </c>
      <c r="AB210" s="25" t="str">
        <f>IF($B210="","",IF($AK210&lt;=Settings!$C$22,"",IFERROR(AVERAGEIFS($K$4:$K$503,$B$4:$B$503,$B210,$AK$4:$AK$503,"&gt;="&amp;$AK210-Settings!$C$22,$AK$4:$AK$503,"&lt;="&amp;$AK210-1),"")))</f>
        <v/>
      </c>
      <c r="AC210" s="27" t="str">
        <f t="shared" si="60"/>
        <v/>
      </c>
      <c r="AD210" s="28" t="str">
        <f>IF($B210="","",IF($AK210&lt;=Settings!$C$23,"",IFERROR($E210/SUMIFS($E$4:$E$503,$B$4:$B$503,$B210,$AK$4:$AK$503,$AK210-Settings!$C$23)-1,"")))</f>
        <v/>
      </c>
      <c r="AE210" s="28" t="str">
        <f>IF($B210="","",IF($AK210&lt;=Settings!$C$22,"",IFERROR($E210/SUMIFS($E$4:$E$503,$B$4:$B$503,$B210,$AK$4:$AK$503,$AK210-Settings!$C$22)-1,"")))</f>
        <v/>
      </c>
      <c r="AF210" s="28" t="str">
        <f t="shared" si="61"/>
        <v/>
      </c>
      <c r="AG210" s="29" t="str">
        <f>IF($B210="","",ROUND((MIN(100,100*N($I210)/Settings!$C$27)+MIN(100,100*N($K210)/Settings!$C$28)+MIN(100,100*N($J210)/Settings!$C$29))/3,1))</f>
        <v/>
      </c>
      <c r="AH210" s="29" t="str">
        <f>IF($B210="","",IF(SUM(Settings!$C$32:$C$37)=0,"",ROUND((Settings!$C$32*$AO210+Settings!$C$33*$AP210+Settings!$C$34*$AQ210+Settings!$C$35*$AR210+Settings!$C$36*$AS210+Settings!$C$37*$AT210)/SUM(Settings!$C$32:$C$37),1)))</f>
        <v/>
      </c>
      <c r="AI210" s="29" t="str">
        <f>IF($B210="","",MAX(0,100-IF(N($N210)&gt;0,0,20)-IF(AND(N($L210)=0,N($M210)=0),15,0)-IF(N($J210)&gt;0,0,10)-IF(N($K210)&gt;0,0,10)-IF($Z210&lt;&gt;"",0,15)-IF($AB210&lt;&gt;"",0,10)-IF($R210="ERROR",20,IF($R210="WARNING",10,0))))</f>
        <v/>
      </c>
      <c r="AJ210" s="30" t="str">
        <f>IF($AH210="","",IF($AH210&lt;Settings!$C$46,"Extreme Sell Pressure",IF($AH210&lt;Settings!$C$47,"Sell Pressure",IF($AH210&lt;=Settings!$C$48,"Neutral",IF($AH210&lt;=Settings!$C$49,"Buy Pressure","Extreme Buy Pressure")))))</f>
        <v/>
      </c>
      <c r="AK210" s="30" t="str">
        <f t="shared" si="62"/>
        <v/>
      </c>
      <c r="AL210" s="30" t="str">
        <f t="shared" si="63"/>
        <v/>
      </c>
      <c r="AM210" s="30" t="str">
        <f t="shared" si="64"/>
        <v/>
      </c>
      <c r="AN210" s="30" t="str">
        <f t="shared" si="65"/>
        <v/>
      </c>
      <c r="AO210" s="29" t="str">
        <f>IF($B210="","",IF(AND(N($L210)=0,N($M210)=0),50,IF(N($M210)=0,100,IF(N($L210)=0,0,MEDIAN(0,100,50+50*LN($S210)/LN(Settings!$C$40))))))</f>
        <v/>
      </c>
      <c r="AP210" s="29">
        <f>IF($AA210="",50,MEDIAN(0,100,50+$AA210*100*Settings!$C$41))</f>
        <v>50</v>
      </c>
      <c r="AQ210" s="29">
        <f>IF($H210="",50,MEDIAN(0,100,50+$H210*100*Settings!$C$42))</f>
        <v>50</v>
      </c>
      <c r="AR210" s="29">
        <f>IF(OR($AC210="",$H210=""),50,MEDIAN(0,100,50+SIGN($H210)*50*MEDIAN(0,1,($AC210-1)/Settings!$C$43)))</f>
        <v>50</v>
      </c>
      <c r="AS210" s="29">
        <f>IF(OR($V210="",$W210=""),50,MEDIAN(0,100,50+50*($V210-$W210)/Settings!$C$44))</f>
        <v>50</v>
      </c>
      <c r="AT210" s="29">
        <f t="shared" si="66"/>
        <v>50</v>
      </c>
      <c r="AU210" s="30" t="str">
        <f t="shared" si="67"/>
        <v/>
      </c>
      <c r="AV210" s="87" t="str">
        <f>IF($A210="","",IF(COUNTIFS($A$4:$A210,$A210)=1,1,0))</f>
        <v/>
      </c>
    </row>
    <row r="211" spans="1:48" x14ac:dyDescent="0.3">
      <c r="A211" s="270"/>
      <c r="B211" s="271"/>
      <c r="C211" s="272"/>
      <c r="D211" s="272"/>
      <c r="E211" s="272"/>
      <c r="F211" s="272"/>
      <c r="G211" s="272"/>
      <c r="H211" s="268" t="str">
        <f t="shared" si="51"/>
        <v/>
      </c>
      <c r="I211" s="273"/>
      <c r="J211" s="273"/>
      <c r="K211" s="273"/>
      <c r="L211" s="273"/>
      <c r="M211" s="273"/>
      <c r="N211" s="273"/>
      <c r="O211" s="271"/>
      <c r="P211" s="270"/>
      <c r="Q211" s="271"/>
      <c r="R211" s="23" t="str" cm="1">
        <f t="array" ref="R211">IF($B211="","",IFERROR(IF(INDEX('Data Quality'!$U$4:$U$503,ROW()-3)=0,"PENDING",INDEX('Data Quality'!$U$4:$U$503,ROW()-3)),"PENDING"))</f>
        <v/>
      </c>
      <c r="S211" s="24" t="str">
        <f t="shared" si="52"/>
        <v/>
      </c>
      <c r="T211" s="25" t="str">
        <f t="shared" si="53"/>
        <v/>
      </c>
      <c r="U211" s="25" t="str">
        <f t="shared" si="54"/>
        <v/>
      </c>
      <c r="V211" s="26" t="str">
        <f t="shared" si="55"/>
        <v/>
      </c>
      <c r="W211" s="26" t="str">
        <f t="shared" si="56"/>
        <v/>
      </c>
      <c r="X211" s="25" t="str">
        <f t="shared" si="57"/>
        <v/>
      </c>
      <c r="Y211" s="25" t="str">
        <f t="shared" si="58"/>
        <v/>
      </c>
      <c r="Z211" s="27" t="str">
        <f>IF($B211="","",IF($AK211&lt;=Settings!$C$21,"",IFERROR(AVERAGEIFS($S$4:$S$503,$B$4:$B$503,$B211,$AK$4:$AK$503,"&gt;="&amp;$AK211-Settings!$C$21,$AK$4:$AK$503,"&lt;="&amp;$AK211-1),"")))</f>
        <v/>
      </c>
      <c r="AA211" s="28" t="str">
        <f t="shared" si="59"/>
        <v/>
      </c>
      <c r="AB211" s="25" t="str">
        <f>IF($B211="","",IF($AK211&lt;=Settings!$C$22,"",IFERROR(AVERAGEIFS($K$4:$K$503,$B$4:$B$503,$B211,$AK$4:$AK$503,"&gt;="&amp;$AK211-Settings!$C$22,$AK$4:$AK$503,"&lt;="&amp;$AK211-1),"")))</f>
        <v/>
      </c>
      <c r="AC211" s="27" t="str">
        <f t="shared" si="60"/>
        <v/>
      </c>
      <c r="AD211" s="28" t="str">
        <f>IF($B211="","",IF($AK211&lt;=Settings!$C$23,"",IFERROR($E211/SUMIFS($E$4:$E$503,$B$4:$B$503,$B211,$AK$4:$AK$503,$AK211-Settings!$C$23)-1,"")))</f>
        <v/>
      </c>
      <c r="AE211" s="28" t="str">
        <f>IF($B211="","",IF($AK211&lt;=Settings!$C$22,"",IFERROR($E211/SUMIFS($E$4:$E$503,$B$4:$B$503,$B211,$AK$4:$AK$503,$AK211-Settings!$C$22)-1,"")))</f>
        <v/>
      </c>
      <c r="AF211" s="28" t="str">
        <f t="shared" si="61"/>
        <v/>
      </c>
      <c r="AG211" s="29" t="str">
        <f>IF($B211="","",ROUND((MIN(100,100*N($I211)/Settings!$C$27)+MIN(100,100*N($K211)/Settings!$C$28)+MIN(100,100*N($J211)/Settings!$C$29))/3,1))</f>
        <v/>
      </c>
      <c r="AH211" s="29" t="str">
        <f>IF($B211="","",IF(SUM(Settings!$C$32:$C$37)=0,"",ROUND((Settings!$C$32*$AO211+Settings!$C$33*$AP211+Settings!$C$34*$AQ211+Settings!$C$35*$AR211+Settings!$C$36*$AS211+Settings!$C$37*$AT211)/SUM(Settings!$C$32:$C$37),1)))</f>
        <v/>
      </c>
      <c r="AI211" s="29" t="str">
        <f>IF($B211="","",MAX(0,100-IF(N($N211)&gt;0,0,20)-IF(AND(N($L211)=0,N($M211)=0),15,0)-IF(N($J211)&gt;0,0,10)-IF(N($K211)&gt;0,0,10)-IF($Z211&lt;&gt;"",0,15)-IF($AB211&lt;&gt;"",0,10)-IF($R211="ERROR",20,IF($R211="WARNING",10,0))))</f>
        <v/>
      </c>
      <c r="AJ211" s="30" t="str">
        <f>IF($AH211="","",IF($AH211&lt;Settings!$C$46,"Extreme Sell Pressure",IF($AH211&lt;Settings!$C$47,"Sell Pressure",IF($AH211&lt;=Settings!$C$48,"Neutral",IF($AH211&lt;=Settings!$C$49,"Buy Pressure","Extreme Buy Pressure")))))</f>
        <v/>
      </c>
      <c r="AK211" s="30" t="str">
        <f t="shared" si="62"/>
        <v/>
      </c>
      <c r="AL211" s="30" t="str">
        <f t="shared" si="63"/>
        <v/>
      </c>
      <c r="AM211" s="30" t="str">
        <f t="shared" si="64"/>
        <v/>
      </c>
      <c r="AN211" s="30" t="str">
        <f t="shared" si="65"/>
        <v/>
      </c>
      <c r="AO211" s="29" t="str">
        <f>IF($B211="","",IF(AND(N($L211)=0,N($M211)=0),50,IF(N($M211)=0,100,IF(N($L211)=0,0,MEDIAN(0,100,50+50*LN($S211)/LN(Settings!$C$40))))))</f>
        <v/>
      </c>
      <c r="AP211" s="29">
        <f>IF($AA211="",50,MEDIAN(0,100,50+$AA211*100*Settings!$C$41))</f>
        <v>50</v>
      </c>
      <c r="AQ211" s="29">
        <f>IF($H211="",50,MEDIAN(0,100,50+$H211*100*Settings!$C$42))</f>
        <v>50</v>
      </c>
      <c r="AR211" s="29">
        <f>IF(OR($AC211="",$H211=""),50,MEDIAN(0,100,50+SIGN($H211)*50*MEDIAN(0,1,($AC211-1)/Settings!$C$43)))</f>
        <v>50</v>
      </c>
      <c r="AS211" s="29">
        <f>IF(OR($V211="",$W211=""),50,MEDIAN(0,100,50+50*($V211-$W211)/Settings!$C$44))</f>
        <v>50</v>
      </c>
      <c r="AT211" s="29">
        <f t="shared" si="66"/>
        <v>50</v>
      </c>
      <c r="AU211" s="30" t="str">
        <f t="shared" si="67"/>
        <v/>
      </c>
      <c r="AV211" s="87" t="str">
        <f>IF($A211="","",IF(COUNTIFS($A$4:$A211,$A211)=1,1,0))</f>
        <v/>
      </c>
    </row>
    <row r="212" spans="1:48" x14ac:dyDescent="0.3">
      <c r="A212" s="270"/>
      <c r="B212" s="271"/>
      <c r="C212" s="272"/>
      <c r="D212" s="272"/>
      <c r="E212" s="272"/>
      <c r="F212" s="272"/>
      <c r="G212" s="272"/>
      <c r="H212" s="268" t="str">
        <f t="shared" si="51"/>
        <v/>
      </c>
      <c r="I212" s="273"/>
      <c r="J212" s="273"/>
      <c r="K212" s="273"/>
      <c r="L212" s="273"/>
      <c r="M212" s="273"/>
      <c r="N212" s="273"/>
      <c r="O212" s="271"/>
      <c r="P212" s="270"/>
      <c r="Q212" s="271"/>
      <c r="R212" s="23" t="str" cm="1">
        <f t="array" ref="R212">IF($B212="","",IFERROR(IF(INDEX('Data Quality'!$U$4:$U$503,ROW()-3)=0,"PENDING",INDEX('Data Quality'!$U$4:$U$503,ROW()-3)),"PENDING"))</f>
        <v/>
      </c>
      <c r="S212" s="24" t="str">
        <f t="shared" si="52"/>
        <v/>
      </c>
      <c r="T212" s="25" t="str">
        <f t="shared" si="53"/>
        <v/>
      </c>
      <c r="U212" s="25" t="str">
        <f t="shared" si="54"/>
        <v/>
      </c>
      <c r="V212" s="26" t="str">
        <f t="shared" si="55"/>
        <v/>
      </c>
      <c r="W212" s="26" t="str">
        <f t="shared" si="56"/>
        <v/>
      </c>
      <c r="X212" s="25" t="str">
        <f t="shared" si="57"/>
        <v/>
      </c>
      <c r="Y212" s="25" t="str">
        <f t="shared" si="58"/>
        <v/>
      </c>
      <c r="Z212" s="27" t="str">
        <f>IF($B212="","",IF($AK212&lt;=Settings!$C$21,"",IFERROR(AVERAGEIFS($S$4:$S$503,$B$4:$B$503,$B212,$AK$4:$AK$503,"&gt;="&amp;$AK212-Settings!$C$21,$AK$4:$AK$503,"&lt;="&amp;$AK212-1),"")))</f>
        <v/>
      </c>
      <c r="AA212" s="28" t="str">
        <f t="shared" si="59"/>
        <v/>
      </c>
      <c r="AB212" s="25" t="str">
        <f>IF($B212="","",IF($AK212&lt;=Settings!$C$22,"",IFERROR(AVERAGEIFS($K$4:$K$503,$B$4:$B$503,$B212,$AK$4:$AK$503,"&gt;="&amp;$AK212-Settings!$C$22,$AK$4:$AK$503,"&lt;="&amp;$AK212-1),"")))</f>
        <v/>
      </c>
      <c r="AC212" s="27" t="str">
        <f t="shared" si="60"/>
        <v/>
      </c>
      <c r="AD212" s="28" t="str">
        <f>IF($B212="","",IF($AK212&lt;=Settings!$C$23,"",IFERROR($E212/SUMIFS($E$4:$E$503,$B$4:$B$503,$B212,$AK$4:$AK$503,$AK212-Settings!$C$23)-1,"")))</f>
        <v/>
      </c>
      <c r="AE212" s="28" t="str">
        <f>IF($B212="","",IF($AK212&lt;=Settings!$C$22,"",IFERROR($E212/SUMIFS($E$4:$E$503,$B$4:$B$503,$B212,$AK$4:$AK$503,$AK212-Settings!$C$22)-1,"")))</f>
        <v/>
      </c>
      <c r="AF212" s="28" t="str">
        <f t="shared" si="61"/>
        <v/>
      </c>
      <c r="AG212" s="29" t="str">
        <f>IF($B212="","",ROUND((MIN(100,100*N($I212)/Settings!$C$27)+MIN(100,100*N($K212)/Settings!$C$28)+MIN(100,100*N($J212)/Settings!$C$29))/3,1))</f>
        <v/>
      </c>
      <c r="AH212" s="29" t="str">
        <f>IF($B212="","",IF(SUM(Settings!$C$32:$C$37)=0,"",ROUND((Settings!$C$32*$AO212+Settings!$C$33*$AP212+Settings!$C$34*$AQ212+Settings!$C$35*$AR212+Settings!$C$36*$AS212+Settings!$C$37*$AT212)/SUM(Settings!$C$32:$C$37),1)))</f>
        <v/>
      </c>
      <c r="AI212" s="29" t="str">
        <f>IF($B212="","",MAX(0,100-IF(N($N212)&gt;0,0,20)-IF(AND(N($L212)=0,N($M212)=0),15,0)-IF(N($J212)&gt;0,0,10)-IF(N($K212)&gt;0,0,10)-IF($Z212&lt;&gt;"",0,15)-IF($AB212&lt;&gt;"",0,10)-IF($R212="ERROR",20,IF($R212="WARNING",10,0))))</f>
        <v/>
      </c>
      <c r="AJ212" s="30" t="str">
        <f>IF($AH212="","",IF($AH212&lt;Settings!$C$46,"Extreme Sell Pressure",IF($AH212&lt;Settings!$C$47,"Sell Pressure",IF($AH212&lt;=Settings!$C$48,"Neutral",IF($AH212&lt;=Settings!$C$49,"Buy Pressure","Extreme Buy Pressure")))))</f>
        <v/>
      </c>
      <c r="AK212" s="30" t="str">
        <f t="shared" si="62"/>
        <v/>
      </c>
      <c r="AL212" s="30" t="str">
        <f t="shared" si="63"/>
        <v/>
      </c>
      <c r="AM212" s="30" t="str">
        <f t="shared" si="64"/>
        <v/>
      </c>
      <c r="AN212" s="30" t="str">
        <f t="shared" si="65"/>
        <v/>
      </c>
      <c r="AO212" s="29" t="str">
        <f>IF($B212="","",IF(AND(N($L212)=0,N($M212)=0),50,IF(N($M212)=0,100,IF(N($L212)=0,0,MEDIAN(0,100,50+50*LN($S212)/LN(Settings!$C$40))))))</f>
        <v/>
      </c>
      <c r="AP212" s="29">
        <f>IF($AA212="",50,MEDIAN(0,100,50+$AA212*100*Settings!$C$41))</f>
        <v>50</v>
      </c>
      <c r="AQ212" s="29">
        <f>IF($H212="",50,MEDIAN(0,100,50+$H212*100*Settings!$C$42))</f>
        <v>50</v>
      </c>
      <c r="AR212" s="29">
        <f>IF(OR($AC212="",$H212=""),50,MEDIAN(0,100,50+SIGN($H212)*50*MEDIAN(0,1,($AC212-1)/Settings!$C$43)))</f>
        <v>50</v>
      </c>
      <c r="AS212" s="29">
        <f>IF(OR($V212="",$W212=""),50,MEDIAN(0,100,50+50*($V212-$W212)/Settings!$C$44))</f>
        <v>50</v>
      </c>
      <c r="AT212" s="29">
        <f t="shared" si="66"/>
        <v>50</v>
      </c>
      <c r="AU212" s="30" t="str">
        <f t="shared" si="67"/>
        <v/>
      </c>
      <c r="AV212" s="87" t="str">
        <f>IF($A212="","",IF(COUNTIFS($A$4:$A212,$A212)=1,1,0))</f>
        <v/>
      </c>
    </row>
    <row r="213" spans="1:48" x14ac:dyDescent="0.3">
      <c r="A213" s="270"/>
      <c r="B213" s="271"/>
      <c r="C213" s="272"/>
      <c r="D213" s="272"/>
      <c r="E213" s="272"/>
      <c r="F213" s="272"/>
      <c r="G213" s="272"/>
      <c r="H213" s="268" t="str">
        <f t="shared" si="51"/>
        <v/>
      </c>
      <c r="I213" s="273"/>
      <c r="J213" s="273"/>
      <c r="K213" s="273"/>
      <c r="L213" s="273"/>
      <c r="M213" s="273"/>
      <c r="N213" s="273"/>
      <c r="O213" s="271"/>
      <c r="P213" s="270"/>
      <c r="Q213" s="271"/>
      <c r="R213" s="23" t="str" cm="1">
        <f t="array" ref="R213">IF($B213="","",IFERROR(IF(INDEX('Data Quality'!$U$4:$U$503,ROW()-3)=0,"PENDING",INDEX('Data Quality'!$U$4:$U$503,ROW()-3)),"PENDING"))</f>
        <v/>
      </c>
      <c r="S213" s="24" t="str">
        <f t="shared" si="52"/>
        <v/>
      </c>
      <c r="T213" s="25" t="str">
        <f t="shared" si="53"/>
        <v/>
      </c>
      <c r="U213" s="25" t="str">
        <f t="shared" si="54"/>
        <v/>
      </c>
      <c r="V213" s="26" t="str">
        <f t="shared" si="55"/>
        <v/>
      </c>
      <c r="W213" s="26" t="str">
        <f t="shared" si="56"/>
        <v/>
      </c>
      <c r="X213" s="25" t="str">
        <f t="shared" si="57"/>
        <v/>
      </c>
      <c r="Y213" s="25" t="str">
        <f t="shared" si="58"/>
        <v/>
      </c>
      <c r="Z213" s="27" t="str">
        <f>IF($B213="","",IF($AK213&lt;=Settings!$C$21,"",IFERROR(AVERAGEIFS($S$4:$S$503,$B$4:$B$503,$B213,$AK$4:$AK$503,"&gt;="&amp;$AK213-Settings!$C$21,$AK$4:$AK$503,"&lt;="&amp;$AK213-1),"")))</f>
        <v/>
      </c>
      <c r="AA213" s="28" t="str">
        <f t="shared" si="59"/>
        <v/>
      </c>
      <c r="AB213" s="25" t="str">
        <f>IF($B213="","",IF($AK213&lt;=Settings!$C$22,"",IFERROR(AVERAGEIFS($K$4:$K$503,$B$4:$B$503,$B213,$AK$4:$AK$503,"&gt;="&amp;$AK213-Settings!$C$22,$AK$4:$AK$503,"&lt;="&amp;$AK213-1),"")))</f>
        <v/>
      </c>
      <c r="AC213" s="27" t="str">
        <f t="shared" si="60"/>
        <v/>
      </c>
      <c r="AD213" s="28" t="str">
        <f>IF($B213="","",IF($AK213&lt;=Settings!$C$23,"",IFERROR($E213/SUMIFS($E$4:$E$503,$B$4:$B$503,$B213,$AK$4:$AK$503,$AK213-Settings!$C$23)-1,"")))</f>
        <v/>
      </c>
      <c r="AE213" s="28" t="str">
        <f>IF($B213="","",IF($AK213&lt;=Settings!$C$22,"",IFERROR($E213/SUMIFS($E$4:$E$503,$B$4:$B$503,$B213,$AK$4:$AK$503,$AK213-Settings!$C$22)-1,"")))</f>
        <v/>
      </c>
      <c r="AF213" s="28" t="str">
        <f t="shared" si="61"/>
        <v/>
      </c>
      <c r="AG213" s="29" t="str">
        <f>IF($B213="","",ROUND((MIN(100,100*N($I213)/Settings!$C$27)+MIN(100,100*N($K213)/Settings!$C$28)+MIN(100,100*N($J213)/Settings!$C$29))/3,1))</f>
        <v/>
      </c>
      <c r="AH213" s="29" t="str">
        <f>IF($B213="","",IF(SUM(Settings!$C$32:$C$37)=0,"",ROUND((Settings!$C$32*$AO213+Settings!$C$33*$AP213+Settings!$C$34*$AQ213+Settings!$C$35*$AR213+Settings!$C$36*$AS213+Settings!$C$37*$AT213)/SUM(Settings!$C$32:$C$37),1)))</f>
        <v/>
      </c>
      <c r="AI213" s="29" t="str">
        <f>IF($B213="","",MAX(0,100-IF(N($N213)&gt;0,0,20)-IF(AND(N($L213)=0,N($M213)=0),15,0)-IF(N($J213)&gt;0,0,10)-IF(N($K213)&gt;0,0,10)-IF($Z213&lt;&gt;"",0,15)-IF($AB213&lt;&gt;"",0,10)-IF($R213="ERROR",20,IF($R213="WARNING",10,0))))</f>
        <v/>
      </c>
      <c r="AJ213" s="30" t="str">
        <f>IF($AH213="","",IF($AH213&lt;Settings!$C$46,"Extreme Sell Pressure",IF($AH213&lt;Settings!$C$47,"Sell Pressure",IF($AH213&lt;=Settings!$C$48,"Neutral",IF($AH213&lt;=Settings!$C$49,"Buy Pressure","Extreme Buy Pressure")))))</f>
        <v/>
      </c>
      <c r="AK213" s="30" t="str">
        <f t="shared" si="62"/>
        <v/>
      </c>
      <c r="AL213" s="30" t="str">
        <f t="shared" si="63"/>
        <v/>
      </c>
      <c r="AM213" s="30" t="str">
        <f t="shared" si="64"/>
        <v/>
      </c>
      <c r="AN213" s="30" t="str">
        <f t="shared" si="65"/>
        <v/>
      </c>
      <c r="AO213" s="29" t="str">
        <f>IF($B213="","",IF(AND(N($L213)=0,N($M213)=0),50,IF(N($M213)=0,100,IF(N($L213)=0,0,MEDIAN(0,100,50+50*LN($S213)/LN(Settings!$C$40))))))</f>
        <v/>
      </c>
      <c r="AP213" s="29">
        <f>IF($AA213="",50,MEDIAN(0,100,50+$AA213*100*Settings!$C$41))</f>
        <v>50</v>
      </c>
      <c r="AQ213" s="29">
        <f>IF($H213="",50,MEDIAN(0,100,50+$H213*100*Settings!$C$42))</f>
        <v>50</v>
      </c>
      <c r="AR213" s="29">
        <f>IF(OR($AC213="",$H213=""),50,MEDIAN(0,100,50+SIGN($H213)*50*MEDIAN(0,1,($AC213-1)/Settings!$C$43)))</f>
        <v>50</v>
      </c>
      <c r="AS213" s="29">
        <f>IF(OR($V213="",$W213=""),50,MEDIAN(0,100,50+50*($V213-$W213)/Settings!$C$44))</f>
        <v>50</v>
      </c>
      <c r="AT213" s="29">
        <f t="shared" si="66"/>
        <v>50</v>
      </c>
      <c r="AU213" s="30" t="str">
        <f t="shared" si="67"/>
        <v/>
      </c>
      <c r="AV213" s="87" t="str">
        <f>IF($A213="","",IF(COUNTIFS($A$4:$A213,$A213)=1,1,0))</f>
        <v/>
      </c>
    </row>
    <row r="214" spans="1:48" x14ac:dyDescent="0.3">
      <c r="A214" s="270"/>
      <c r="B214" s="271"/>
      <c r="C214" s="272"/>
      <c r="D214" s="272"/>
      <c r="E214" s="272"/>
      <c r="F214" s="272"/>
      <c r="G214" s="272"/>
      <c r="H214" s="268" t="str">
        <f t="shared" si="51"/>
        <v/>
      </c>
      <c r="I214" s="273"/>
      <c r="J214" s="273"/>
      <c r="K214" s="273"/>
      <c r="L214" s="273"/>
      <c r="M214" s="273"/>
      <c r="N214" s="273"/>
      <c r="O214" s="271"/>
      <c r="P214" s="270"/>
      <c r="Q214" s="271"/>
      <c r="R214" s="23" t="str" cm="1">
        <f t="array" ref="R214">IF($B214="","",IFERROR(IF(INDEX('Data Quality'!$U$4:$U$503,ROW()-3)=0,"PENDING",INDEX('Data Quality'!$U$4:$U$503,ROW()-3)),"PENDING"))</f>
        <v/>
      </c>
      <c r="S214" s="24" t="str">
        <f t="shared" si="52"/>
        <v/>
      </c>
      <c r="T214" s="25" t="str">
        <f t="shared" si="53"/>
        <v/>
      </c>
      <c r="U214" s="25" t="str">
        <f t="shared" si="54"/>
        <v/>
      </c>
      <c r="V214" s="26" t="str">
        <f t="shared" si="55"/>
        <v/>
      </c>
      <c r="W214" s="26" t="str">
        <f t="shared" si="56"/>
        <v/>
      </c>
      <c r="X214" s="25" t="str">
        <f t="shared" si="57"/>
        <v/>
      </c>
      <c r="Y214" s="25" t="str">
        <f t="shared" si="58"/>
        <v/>
      </c>
      <c r="Z214" s="27" t="str">
        <f>IF($B214="","",IF($AK214&lt;=Settings!$C$21,"",IFERROR(AVERAGEIFS($S$4:$S$503,$B$4:$B$503,$B214,$AK$4:$AK$503,"&gt;="&amp;$AK214-Settings!$C$21,$AK$4:$AK$503,"&lt;="&amp;$AK214-1),"")))</f>
        <v/>
      </c>
      <c r="AA214" s="28" t="str">
        <f t="shared" si="59"/>
        <v/>
      </c>
      <c r="AB214" s="25" t="str">
        <f>IF($B214="","",IF($AK214&lt;=Settings!$C$22,"",IFERROR(AVERAGEIFS($K$4:$K$503,$B$4:$B$503,$B214,$AK$4:$AK$503,"&gt;="&amp;$AK214-Settings!$C$22,$AK$4:$AK$503,"&lt;="&amp;$AK214-1),"")))</f>
        <v/>
      </c>
      <c r="AC214" s="27" t="str">
        <f t="shared" si="60"/>
        <v/>
      </c>
      <c r="AD214" s="28" t="str">
        <f>IF($B214="","",IF($AK214&lt;=Settings!$C$23,"",IFERROR($E214/SUMIFS($E$4:$E$503,$B$4:$B$503,$B214,$AK$4:$AK$503,$AK214-Settings!$C$23)-1,"")))</f>
        <v/>
      </c>
      <c r="AE214" s="28" t="str">
        <f>IF($B214="","",IF($AK214&lt;=Settings!$C$22,"",IFERROR($E214/SUMIFS($E$4:$E$503,$B$4:$B$503,$B214,$AK$4:$AK$503,$AK214-Settings!$C$22)-1,"")))</f>
        <v/>
      </c>
      <c r="AF214" s="28" t="str">
        <f t="shared" si="61"/>
        <v/>
      </c>
      <c r="AG214" s="29" t="str">
        <f>IF($B214="","",ROUND((MIN(100,100*N($I214)/Settings!$C$27)+MIN(100,100*N($K214)/Settings!$C$28)+MIN(100,100*N($J214)/Settings!$C$29))/3,1))</f>
        <v/>
      </c>
      <c r="AH214" s="29" t="str">
        <f>IF($B214="","",IF(SUM(Settings!$C$32:$C$37)=0,"",ROUND((Settings!$C$32*$AO214+Settings!$C$33*$AP214+Settings!$C$34*$AQ214+Settings!$C$35*$AR214+Settings!$C$36*$AS214+Settings!$C$37*$AT214)/SUM(Settings!$C$32:$C$37),1)))</f>
        <v/>
      </c>
      <c r="AI214" s="29" t="str">
        <f>IF($B214="","",MAX(0,100-IF(N($N214)&gt;0,0,20)-IF(AND(N($L214)=0,N($M214)=0),15,0)-IF(N($J214)&gt;0,0,10)-IF(N($K214)&gt;0,0,10)-IF($Z214&lt;&gt;"",0,15)-IF($AB214&lt;&gt;"",0,10)-IF($R214="ERROR",20,IF($R214="WARNING",10,0))))</f>
        <v/>
      </c>
      <c r="AJ214" s="30" t="str">
        <f>IF($AH214="","",IF($AH214&lt;Settings!$C$46,"Extreme Sell Pressure",IF($AH214&lt;Settings!$C$47,"Sell Pressure",IF($AH214&lt;=Settings!$C$48,"Neutral",IF($AH214&lt;=Settings!$C$49,"Buy Pressure","Extreme Buy Pressure")))))</f>
        <v/>
      </c>
      <c r="AK214" s="30" t="str">
        <f t="shared" si="62"/>
        <v/>
      </c>
      <c r="AL214" s="30" t="str">
        <f t="shared" si="63"/>
        <v/>
      </c>
      <c r="AM214" s="30" t="str">
        <f t="shared" si="64"/>
        <v/>
      </c>
      <c r="AN214" s="30" t="str">
        <f t="shared" si="65"/>
        <v/>
      </c>
      <c r="AO214" s="29" t="str">
        <f>IF($B214="","",IF(AND(N($L214)=0,N($M214)=0),50,IF(N($M214)=0,100,IF(N($L214)=0,0,MEDIAN(0,100,50+50*LN($S214)/LN(Settings!$C$40))))))</f>
        <v/>
      </c>
      <c r="AP214" s="29">
        <f>IF($AA214="",50,MEDIAN(0,100,50+$AA214*100*Settings!$C$41))</f>
        <v>50</v>
      </c>
      <c r="AQ214" s="29">
        <f>IF($H214="",50,MEDIAN(0,100,50+$H214*100*Settings!$C$42))</f>
        <v>50</v>
      </c>
      <c r="AR214" s="29">
        <f>IF(OR($AC214="",$H214=""),50,MEDIAN(0,100,50+SIGN($H214)*50*MEDIAN(0,1,($AC214-1)/Settings!$C$43)))</f>
        <v>50</v>
      </c>
      <c r="AS214" s="29">
        <f>IF(OR($V214="",$W214=""),50,MEDIAN(0,100,50+50*($V214-$W214)/Settings!$C$44))</f>
        <v>50</v>
      </c>
      <c r="AT214" s="29">
        <f t="shared" si="66"/>
        <v>50</v>
      </c>
      <c r="AU214" s="30" t="str">
        <f t="shared" si="67"/>
        <v/>
      </c>
      <c r="AV214" s="87" t="str">
        <f>IF($A214="","",IF(COUNTIFS($A$4:$A214,$A214)=1,1,0))</f>
        <v/>
      </c>
    </row>
    <row r="215" spans="1:48" x14ac:dyDescent="0.3">
      <c r="A215" s="270"/>
      <c r="B215" s="271"/>
      <c r="C215" s="272"/>
      <c r="D215" s="272"/>
      <c r="E215" s="272"/>
      <c r="F215" s="272"/>
      <c r="G215" s="272"/>
      <c r="H215" s="268" t="str">
        <f t="shared" si="51"/>
        <v/>
      </c>
      <c r="I215" s="273"/>
      <c r="J215" s="273"/>
      <c r="K215" s="273"/>
      <c r="L215" s="273"/>
      <c r="M215" s="273"/>
      <c r="N215" s="273"/>
      <c r="O215" s="271"/>
      <c r="P215" s="270"/>
      <c r="Q215" s="271"/>
      <c r="R215" s="23" t="str" cm="1">
        <f t="array" ref="R215">IF($B215="","",IFERROR(IF(INDEX('Data Quality'!$U$4:$U$503,ROW()-3)=0,"PENDING",INDEX('Data Quality'!$U$4:$U$503,ROW()-3)),"PENDING"))</f>
        <v/>
      </c>
      <c r="S215" s="24" t="str">
        <f t="shared" si="52"/>
        <v/>
      </c>
      <c r="T215" s="25" t="str">
        <f t="shared" si="53"/>
        <v/>
      </c>
      <c r="U215" s="25" t="str">
        <f t="shared" si="54"/>
        <v/>
      </c>
      <c r="V215" s="26" t="str">
        <f t="shared" si="55"/>
        <v/>
      </c>
      <c r="W215" s="26" t="str">
        <f t="shared" si="56"/>
        <v/>
      </c>
      <c r="X215" s="25" t="str">
        <f t="shared" si="57"/>
        <v/>
      </c>
      <c r="Y215" s="25" t="str">
        <f t="shared" si="58"/>
        <v/>
      </c>
      <c r="Z215" s="27" t="str">
        <f>IF($B215="","",IF($AK215&lt;=Settings!$C$21,"",IFERROR(AVERAGEIFS($S$4:$S$503,$B$4:$B$503,$B215,$AK$4:$AK$503,"&gt;="&amp;$AK215-Settings!$C$21,$AK$4:$AK$503,"&lt;="&amp;$AK215-1),"")))</f>
        <v/>
      </c>
      <c r="AA215" s="28" t="str">
        <f t="shared" si="59"/>
        <v/>
      </c>
      <c r="AB215" s="25" t="str">
        <f>IF($B215="","",IF($AK215&lt;=Settings!$C$22,"",IFERROR(AVERAGEIFS($K$4:$K$503,$B$4:$B$503,$B215,$AK$4:$AK$503,"&gt;="&amp;$AK215-Settings!$C$22,$AK$4:$AK$503,"&lt;="&amp;$AK215-1),"")))</f>
        <v/>
      </c>
      <c r="AC215" s="27" t="str">
        <f t="shared" si="60"/>
        <v/>
      </c>
      <c r="AD215" s="28" t="str">
        <f>IF($B215="","",IF($AK215&lt;=Settings!$C$23,"",IFERROR($E215/SUMIFS($E$4:$E$503,$B$4:$B$503,$B215,$AK$4:$AK$503,$AK215-Settings!$C$23)-1,"")))</f>
        <v/>
      </c>
      <c r="AE215" s="28" t="str">
        <f>IF($B215="","",IF($AK215&lt;=Settings!$C$22,"",IFERROR($E215/SUMIFS($E$4:$E$503,$B$4:$B$503,$B215,$AK$4:$AK$503,$AK215-Settings!$C$22)-1,"")))</f>
        <v/>
      </c>
      <c r="AF215" s="28" t="str">
        <f t="shared" si="61"/>
        <v/>
      </c>
      <c r="AG215" s="29" t="str">
        <f>IF($B215="","",ROUND((MIN(100,100*N($I215)/Settings!$C$27)+MIN(100,100*N($K215)/Settings!$C$28)+MIN(100,100*N($J215)/Settings!$C$29))/3,1))</f>
        <v/>
      </c>
      <c r="AH215" s="29" t="str">
        <f>IF($B215="","",IF(SUM(Settings!$C$32:$C$37)=0,"",ROUND((Settings!$C$32*$AO215+Settings!$C$33*$AP215+Settings!$C$34*$AQ215+Settings!$C$35*$AR215+Settings!$C$36*$AS215+Settings!$C$37*$AT215)/SUM(Settings!$C$32:$C$37),1)))</f>
        <v/>
      </c>
      <c r="AI215" s="29" t="str">
        <f>IF($B215="","",MAX(0,100-IF(N($N215)&gt;0,0,20)-IF(AND(N($L215)=0,N($M215)=0),15,0)-IF(N($J215)&gt;0,0,10)-IF(N($K215)&gt;0,0,10)-IF($Z215&lt;&gt;"",0,15)-IF($AB215&lt;&gt;"",0,10)-IF($R215="ERROR",20,IF($R215="WARNING",10,0))))</f>
        <v/>
      </c>
      <c r="AJ215" s="30" t="str">
        <f>IF($AH215="","",IF($AH215&lt;Settings!$C$46,"Extreme Sell Pressure",IF($AH215&lt;Settings!$C$47,"Sell Pressure",IF($AH215&lt;=Settings!$C$48,"Neutral",IF($AH215&lt;=Settings!$C$49,"Buy Pressure","Extreme Buy Pressure")))))</f>
        <v/>
      </c>
      <c r="AK215" s="30" t="str">
        <f t="shared" si="62"/>
        <v/>
      </c>
      <c r="AL215" s="30" t="str">
        <f t="shared" si="63"/>
        <v/>
      </c>
      <c r="AM215" s="30" t="str">
        <f t="shared" si="64"/>
        <v/>
      </c>
      <c r="AN215" s="30" t="str">
        <f t="shared" si="65"/>
        <v/>
      </c>
      <c r="AO215" s="29" t="str">
        <f>IF($B215="","",IF(AND(N($L215)=0,N($M215)=0),50,IF(N($M215)=0,100,IF(N($L215)=0,0,MEDIAN(0,100,50+50*LN($S215)/LN(Settings!$C$40))))))</f>
        <v/>
      </c>
      <c r="AP215" s="29">
        <f>IF($AA215="",50,MEDIAN(0,100,50+$AA215*100*Settings!$C$41))</f>
        <v>50</v>
      </c>
      <c r="AQ215" s="29">
        <f>IF($H215="",50,MEDIAN(0,100,50+$H215*100*Settings!$C$42))</f>
        <v>50</v>
      </c>
      <c r="AR215" s="29">
        <f>IF(OR($AC215="",$H215=""),50,MEDIAN(0,100,50+SIGN($H215)*50*MEDIAN(0,1,($AC215-1)/Settings!$C$43)))</f>
        <v>50</v>
      </c>
      <c r="AS215" s="29">
        <f>IF(OR($V215="",$W215=""),50,MEDIAN(0,100,50+50*($V215-$W215)/Settings!$C$44))</f>
        <v>50</v>
      </c>
      <c r="AT215" s="29">
        <f t="shared" si="66"/>
        <v>50</v>
      </c>
      <c r="AU215" s="30" t="str">
        <f t="shared" si="67"/>
        <v/>
      </c>
      <c r="AV215" s="87" t="str">
        <f>IF($A215="","",IF(COUNTIFS($A$4:$A215,$A215)=1,1,0))</f>
        <v/>
      </c>
    </row>
    <row r="216" spans="1:48" x14ac:dyDescent="0.3">
      <c r="A216" s="270"/>
      <c r="B216" s="271"/>
      <c r="C216" s="272"/>
      <c r="D216" s="272"/>
      <c r="E216" s="272"/>
      <c r="F216" s="272"/>
      <c r="G216" s="272"/>
      <c r="H216" s="268" t="str">
        <f t="shared" si="51"/>
        <v/>
      </c>
      <c r="I216" s="273"/>
      <c r="J216" s="273"/>
      <c r="K216" s="273"/>
      <c r="L216" s="273"/>
      <c r="M216" s="273"/>
      <c r="N216" s="273"/>
      <c r="O216" s="271"/>
      <c r="P216" s="270"/>
      <c r="Q216" s="271"/>
      <c r="R216" s="23" t="str" cm="1">
        <f t="array" ref="R216">IF($B216="","",IFERROR(IF(INDEX('Data Quality'!$U$4:$U$503,ROW()-3)=0,"PENDING",INDEX('Data Quality'!$U$4:$U$503,ROW()-3)),"PENDING"))</f>
        <v/>
      </c>
      <c r="S216" s="24" t="str">
        <f t="shared" si="52"/>
        <v/>
      </c>
      <c r="T216" s="25" t="str">
        <f t="shared" si="53"/>
        <v/>
      </c>
      <c r="U216" s="25" t="str">
        <f t="shared" si="54"/>
        <v/>
      </c>
      <c r="V216" s="26" t="str">
        <f t="shared" si="55"/>
        <v/>
      </c>
      <c r="W216" s="26" t="str">
        <f t="shared" si="56"/>
        <v/>
      </c>
      <c r="X216" s="25" t="str">
        <f t="shared" si="57"/>
        <v/>
      </c>
      <c r="Y216" s="25" t="str">
        <f t="shared" si="58"/>
        <v/>
      </c>
      <c r="Z216" s="27" t="str">
        <f>IF($B216="","",IF($AK216&lt;=Settings!$C$21,"",IFERROR(AVERAGEIFS($S$4:$S$503,$B$4:$B$503,$B216,$AK$4:$AK$503,"&gt;="&amp;$AK216-Settings!$C$21,$AK$4:$AK$503,"&lt;="&amp;$AK216-1),"")))</f>
        <v/>
      </c>
      <c r="AA216" s="28" t="str">
        <f t="shared" si="59"/>
        <v/>
      </c>
      <c r="AB216" s="25" t="str">
        <f>IF($B216="","",IF($AK216&lt;=Settings!$C$22,"",IFERROR(AVERAGEIFS($K$4:$K$503,$B$4:$B$503,$B216,$AK$4:$AK$503,"&gt;="&amp;$AK216-Settings!$C$22,$AK$4:$AK$503,"&lt;="&amp;$AK216-1),"")))</f>
        <v/>
      </c>
      <c r="AC216" s="27" t="str">
        <f t="shared" si="60"/>
        <v/>
      </c>
      <c r="AD216" s="28" t="str">
        <f>IF($B216="","",IF($AK216&lt;=Settings!$C$23,"",IFERROR($E216/SUMIFS($E$4:$E$503,$B$4:$B$503,$B216,$AK$4:$AK$503,$AK216-Settings!$C$23)-1,"")))</f>
        <v/>
      </c>
      <c r="AE216" s="28" t="str">
        <f>IF($B216="","",IF($AK216&lt;=Settings!$C$22,"",IFERROR($E216/SUMIFS($E$4:$E$503,$B$4:$B$503,$B216,$AK$4:$AK$503,$AK216-Settings!$C$22)-1,"")))</f>
        <v/>
      </c>
      <c r="AF216" s="28" t="str">
        <f t="shared" si="61"/>
        <v/>
      </c>
      <c r="AG216" s="29" t="str">
        <f>IF($B216="","",ROUND((MIN(100,100*N($I216)/Settings!$C$27)+MIN(100,100*N($K216)/Settings!$C$28)+MIN(100,100*N($J216)/Settings!$C$29))/3,1))</f>
        <v/>
      </c>
      <c r="AH216" s="29" t="str">
        <f>IF($B216="","",IF(SUM(Settings!$C$32:$C$37)=0,"",ROUND((Settings!$C$32*$AO216+Settings!$C$33*$AP216+Settings!$C$34*$AQ216+Settings!$C$35*$AR216+Settings!$C$36*$AS216+Settings!$C$37*$AT216)/SUM(Settings!$C$32:$C$37),1)))</f>
        <v/>
      </c>
      <c r="AI216" s="29" t="str">
        <f>IF($B216="","",MAX(0,100-IF(N($N216)&gt;0,0,20)-IF(AND(N($L216)=0,N($M216)=0),15,0)-IF(N($J216)&gt;0,0,10)-IF(N($K216)&gt;0,0,10)-IF($Z216&lt;&gt;"",0,15)-IF($AB216&lt;&gt;"",0,10)-IF($R216="ERROR",20,IF($R216="WARNING",10,0))))</f>
        <v/>
      </c>
      <c r="AJ216" s="30" t="str">
        <f>IF($AH216="","",IF($AH216&lt;Settings!$C$46,"Extreme Sell Pressure",IF($AH216&lt;Settings!$C$47,"Sell Pressure",IF($AH216&lt;=Settings!$C$48,"Neutral",IF($AH216&lt;=Settings!$C$49,"Buy Pressure","Extreme Buy Pressure")))))</f>
        <v/>
      </c>
      <c r="AK216" s="30" t="str">
        <f t="shared" si="62"/>
        <v/>
      </c>
      <c r="AL216" s="30" t="str">
        <f t="shared" si="63"/>
        <v/>
      </c>
      <c r="AM216" s="30" t="str">
        <f t="shared" si="64"/>
        <v/>
      </c>
      <c r="AN216" s="30" t="str">
        <f t="shared" si="65"/>
        <v/>
      </c>
      <c r="AO216" s="29" t="str">
        <f>IF($B216="","",IF(AND(N($L216)=0,N($M216)=0),50,IF(N($M216)=0,100,IF(N($L216)=0,0,MEDIAN(0,100,50+50*LN($S216)/LN(Settings!$C$40))))))</f>
        <v/>
      </c>
      <c r="AP216" s="29">
        <f>IF($AA216="",50,MEDIAN(0,100,50+$AA216*100*Settings!$C$41))</f>
        <v>50</v>
      </c>
      <c r="AQ216" s="29">
        <f>IF($H216="",50,MEDIAN(0,100,50+$H216*100*Settings!$C$42))</f>
        <v>50</v>
      </c>
      <c r="AR216" s="29">
        <f>IF(OR($AC216="",$H216=""),50,MEDIAN(0,100,50+SIGN($H216)*50*MEDIAN(0,1,($AC216-1)/Settings!$C$43)))</f>
        <v>50</v>
      </c>
      <c r="AS216" s="29">
        <f>IF(OR($V216="",$W216=""),50,MEDIAN(0,100,50+50*($V216-$W216)/Settings!$C$44))</f>
        <v>50</v>
      </c>
      <c r="AT216" s="29">
        <f t="shared" si="66"/>
        <v>50</v>
      </c>
      <c r="AU216" s="30" t="str">
        <f t="shared" si="67"/>
        <v/>
      </c>
      <c r="AV216" s="87" t="str">
        <f>IF($A216="","",IF(COUNTIFS($A$4:$A216,$A216)=1,1,0))</f>
        <v/>
      </c>
    </row>
    <row r="217" spans="1:48" x14ac:dyDescent="0.3">
      <c r="A217" s="270"/>
      <c r="B217" s="271"/>
      <c r="C217" s="272"/>
      <c r="D217" s="272"/>
      <c r="E217" s="272"/>
      <c r="F217" s="272"/>
      <c r="G217" s="272"/>
      <c r="H217" s="268" t="str">
        <f t="shared" si="51"/>
        <v/>
      </c>
      <c r="I217" s="273"/>
      <c r="J217" s="273"/>
      <c r="K217" s="273"/>
      <c r="L217" s="273"/>
      <c r="M217" s="273"/>
      <c r="N217" s="273"/>
      <c r="O217" s="271"/>
      <c r="P217" s="270"/>
      <c r="Q217" s="271"/>
      <c r="R217" s="23" t="str" cm="1">
        <f t="array" ref="R217">IF($B217="","",IFERROR(IF(INDEX('Data Quality'!$U$4:$U$503,ROW()-3)=0,"PENDING",INDEX('Data Quality'!$U$4:$U$503,ROW()-3)),"PENDING"))</f>
        <v/>
      </c>
      <c r="S217" s="24" t="str">
        <f t="shared" si="52"/>
        <v/>
      </c>
      <c r="T217" s="25" t="str">
        <f t="shared" si="53"/>
        <v/>
      </c>
      <c r="U217" s="25" t="str">
        <f t="shared" si="54"/>
        <v/>
      </c>
      <c r="V217" s="26" t="str">
        <f t="shared" si="55"/>
        <v/>
      </c>
      <c r="W217" s="26" t="str">
        <f t="shared" si="56"/>
        <v/>
      </c>
      <c r="X217" s="25" t="str">
        <f t="shared" si="57"/>
        <v/>
      </c>
      <c r="Y217" s="25" t="str">
        <f t="shared" si="58"/>
        <v/>
      </c>
      <c r="Z217" s="27" t="str">
        <f>IF($B217="","",IF($AK217&lt;=Settings!$C$21,"",IFERROR(AVERAGEIFS($S$4:$S$503,$B$4:$B$503,$B217,$AK$4:$AK$503,"&gt;="&amp;$AK217-Settings!$C$21,$AK$4:$AK$503,"&lt;="&amp;$AK217-1),"")))</f>
        <v/>
      </c>
      <c r="AA217" s="28" t="str">
        <f t="shared" si="59"/>
        <v/>
      </c>
      <c r="AB217" s="25" t="str">
        <f>IF($B217="","",IF($AK217&lt;=Settings!$C$22,"",IFERROR(AVERAGEIFS($K$4:$K$503,$B$4:$B$503,$B217,$AK$4:$AK$503,"&gt;="&amp;$AK217-Settings!$C$22,$AK$4:$AK$503,"&lt;="&amp;$AK217-1),"")))</f>
        <v/>
      </c>
      <c r="AC217" s="27" t="str">
        <f t="shared" si="60"/>
        <v/>
      </c>
      <c r="AD217" s="28" t="str">
        <f>IF($B217="","",IF($AK217&lt;=Settings!$C$23,"",IFERROR($E217/SUMIFS($E$4:$E$503,$B$4:$B$503,$B217,$AK$4:$AK$503,$AK217-Settings!$C$23)-1,"")))</f>
        <v/>
      </c>
      <c r="AE217" s="28" t="str">
        <f>IF($B217="","",IF($AK217&lt;=Settings!$C$22,"",IFERROR($E217/SUMIFS($E$4:$E$503,$B$4:$B$503,$B217,$AK$4:$AK$503,$AK217-Settings!$C$22)-1,"")))</f>
        <v/>
      </c>
      <c r="AF217" s="28" t="str">
        <f t="shared" si="61"/>
        <v/>
      </c>
      <c r="AG217" s="29" t="str">
        <f>IF($B217="","",ROUND((MIN(100,100*N($I217)/Settings!$C$27)+MIN(100,100*N($K217)/Settings!$C$28)+MIN(100,100*N($J217)/Settings!$C$29))/3,1))</f>
        <v/>
      </c>
      <c r="AH217" s="29" t="str">
        <f>IF($B217="","",IF(SUM(Settings!$C$32:$C$37)=0,"",ROUND((Settings!$C$32*$AO217+Settings!$C$33*$AP217+Settings!$C$34*$AQ217+Settings!$C$35*$AR217+Settings!$C$36*$AS217+Settings!$C$37*$AT217)/SUM(Settings!$C$32:$C$37),1)))</f>
        <v/>
      </c>
      <c r="AI217" s="29" t="str">
        <f>IF($B217="","",MAX(0,100-IF(N($N217)&gt;0,0,20)-IF(AND(N($L217)=0,N($M217)=0),15,0)-IF(N($J217)&gt;0,0,10)-IF(N($K217)&gt;0,0,10)-IF($Z217&lt;&gt;"",0,15)-IF($AB217&lt;&gt;"",0,10)-IF($R217="ERROR",20,IF($R217="WARNING",10,0))))</f>
        <v/>
      </c>
      <c r="AJ217" s="30" t="str">
        <f>IF($AH217="","",IF($AH217&lt;Settings!$C$46,"Extreme Sell Pressure",IF($AH217&lt;Settings!$C$47,"Sell Pressure",IF($AH217&lt;=Settings!$C$48,"Neutral",IF($AH217&lt;=Settings!$C$49,"Buy Pressure","Extreme Buy Pressure")))))</f>
        <v/>
      </c>
      <c r="AK217" s="30" t="str">
        <f t="shared" si="62"/>
        <v/>
      </c>
      <c r="AL217" s="30" t="str">
        <f t="shared" si="63"/>
        <v/>
      </c>
      <c r="AM217" s="30" t="str">
        <f t="shared" si="64"/>
        <v/>
      </c>
      <c r="AN217" s="30" t="str">
        <f t="shared" si="65"/>
        <v/>
      </c>
      <c r="AO217" s="29" t="str">
        <f>IF($B217="","",IF(AND(N($L217)=0,N($M217)=0),50,IF(N($M217)=0,100,IF(N($L217)=0,0,MEDIAN(0,100,50+50*LN($S217)/LN(Settings!$C$40))))))</f>
        <v/>
      </c>
      <c r="AP217" s="29">
        <f>IF($AA217="",50,MEDIAN(0,100,50+$AA217*100*Settings!$C$41))</f>
        <v>50</v>
      </c>
      <c r="AQ217" s="29">
        <f>IF($H217="",50,MEDIAN(0,100,50+$H217*100*Settings!$C$42))</f>
        <v>50</v>
      </c>
      <c r="AR217" s="29">
        <f>IF(OR($AC217="",$H217=""),50,MEDIAN(0,100,50+SIGN($H217)*50*MEDIAN(0,1,($AC217-1)/Settings!$C$43)))</f>
        <v>50</v>
      </c>
      <c r="AS217" s="29">
        <f>IF(OR($V217="",$W217=""),50,MEDIAN(0,100,50+50*($V217-$W217)/Settings!$C$44))</f>
        <v>50</v>
      </c>
      <c r="AT217" s="29">
        <f t="shared" si="66"/>
        <v>50</v>
      </c>
      <c r="AU217" s="30" t="str">
        <f t="shared" si="67"/>
        <v/>
      </c>
      <c r="AV217" s="87" t="str">
        <f>IF($A217="","",IF(COUNTIFS($A$4:$A217,$A217)=1,1,0))</f>
        <v/>
      </c>
    </row>
    <row r="218" spans="1:48" x14ac:dyDescent="0.3">
      <c r="A218" s="270"/>
      <c r="B218" s="271"/>
      <c r="C218" s="272"/>
      <c r="D218" s="272"/>
      <c r="E218" s="272"/>
      <c r="F218" s="272"/>
      <c r="G218" s="272"/>
      <c r="H218" s="268" t="str">
        <f t="shared" si="51"/>
        <v/>
      </c>
      <c r="I218" s="273"/>
      <c r="J218" s="273"/>
      <c r="K218" s="273"/>
      <c r="L218" s="273"/>
      <c r="M218" s="273"/>
      <c r="N218" s="273"/>
      <c r="O218" s="271"/>
      <c r="P218" s="270"/>
      <c r="Q218" s="271"/>
      <c r="R218" s="23" t="str" cm="1">
        <f t="array" ref="R218">IF($B218="","",IFERROR(IF(INDEX('Data Quality'!$U$4:$U$503,ROW()-3)=0,"PENDING",INDEX('Data Quality'!$U$4:$U$503,ROW()-3)),"PENDING"))</f>
        <v/>
      </c>
      <c r="S218" s="24" t="str">
        <f t="shared" si="52"/>
        <v/>
      </c>
      <c r="T218" s="25" t="str">
        <f t="shared" si="53"/>
        <v/>
      </c>
      <c r="U218" s="25" t="str">
        <f t="shared" si="54"/>
        <v/>
      </c>
      <c r="V218" s="26" t="str">
        <f t="shared" si="55"/>
        <v/>
      </c>
      <c r="W218" s="26" t="str">
        <f t="shared" si="56"/>
        <v/>
      </c>
      <c r="X218" s="25" t="str">
        <f t="shared" si="57"/>
        <v/>
      </c>
      <c r="Y218" s="25" t="str">
        <f t="shared" si="58"/>
        <v/>
      </c>
      <c r="Z218" s="27" t="str">
        <f>IF($B218="","",IF($AK218&lt;=Settings!$C$21,"",IFERROR(AVERAGEIFS($S$4:$S$503,$B$4:$B$503,$B218,$AK$4:$AK$503,"&gt;="&amp;$AK218-Settings!$C$21,$AK$4:$AK$503,"&lt;="&amp;$AK218-1),"")))</f>
        <v/>
      </c>
      <c r="AA218" s="28" t="str">
        <f t="shared" si="59"/>
        <v/>
      </c>
      <c r="AB218" s="25" t="str">
        <f>IF($B218="","",IF($AK218&lt;=Settings!$C$22,"",IFERROR(AVERAGEIFS($K$4:$K$503,$B$4:$B$503,$B218,$AK$4:$AK$503,"&gt;="&amp;$AK218-Settings!$C$22,$AK$4:$AK$503,"&lt;="&amp;$AK218-1),"")))</f>
        <v/>
      </c>
      <c r="AC218" s="27" t="str">
        <f t="shared" si="60"/>
        <v/>
      </c>
      <c r="AD218" s="28" t="str">
        <f>IF($B218="","",IF($AK218&lt;=Settings!$C$23,"",IFERROR($E218/SUMIFS($E$4:$E$503,$B$4:$B$503,$B218,$AK$4:$AK$503,$AK218-Settings!$C$23)-1,"")))</f>
        <v/>
      </c>
      <c r="AE218" s="28" t="str">
        <f>IF($B218="","",IF($AK218&lt;=Settings!$C$22,"",IFERROR($E218/SUMIFS($E$4:$E$503,$B$4:$B$503,$B218,$AK$4:$AK$503,$AK218-Settings!$C$22)-1,"")))</f>
        <v/>
      </c>
      <c r="AF218" s="28" t="str">
        <f t="shared" si="61"/>
        <v/>
      </c>
      <c r="AG218" s="29" t="str">
        <f>IF($B218="","",ROUND((MIN(100,100*N($I218)/Settings!$C$27)+MIN(100,100*N($K218)/Settings!$C$28)+MIN(100,100*N($J218)/Settings!$C$29))/3,1))</f>
        <v/>
      </c>
      <c r="AH218" s="29" t="str">
        <f>IF($B218="","",IF(SUM(Settings!$C$32:$C$37)=0,"",ROUND((Settings!$C$32*$AO218+Settings!$C$33*$AP218+Settings!$C$34*$AQ218+Settings!$C$35*$AR218+Settings!$C$36*$AS218+Settings!$C$37*$AT218)/SUM(Settings!$C$32:$C$37),1)))</f>
        <v/>
      </c>
      <c r="AI218" s="29" t="str">
        <f>IF($B218="","",MAX(0,100-IF(N($N218)&gt;0,0,20)-IF(AND(N($L218)=0,N($M218)=0),15,0)-IF(N($J218)&gt;0,0,10)-IF(N($K218)&gt;0,0,10)-IF($Z218&lt;&gt;"",0,15)-IF($AB218&lt;&gt;"",0,10)-IF($R218="ERROR",20,IF($R218="WARNING",10,0))))</f>
        <v/>
      </c>
      <c r="AJ218" s="30" t="str">
        <f>IF($AH218="","",IF($AH218&lt;Settings!$C$46,"Extreme Sell Pressure",IF($AH218&lt;Settings!$C$47,"Sell Pressure",IF($AH218&lt;=Settings!$C$48,"Neutral",IF($AH218&lt;=Settings!$C$49,"Buy Pressure","Extreme Buy Pressure")))))</f>
        <v/>
      </c>
      <c r="AK218" s="30" t="str">
        <f t="shared" si="62"/>
        <v/>
      </c>
      <c r="AL218" s="30" t="str">
        <f t="shared" si="63"/>
        <v/>
      </c>
      <c r="AM218" s="30" t="str">
        <f t="shared" si="64"/>
        <v/>
      </c>
      <c r="AN218" s="30" t="str">
        <f t="shared" si="65"/>
        <v/>
      </c>
      <c r="AO218" s="29" t="str">
        <f>IF($B218="","",IF(AND(N($L218)=0,N($M218)=0),50,IF(N($M218)=0,100,IF(N($L218)=0,0,MEDIAN(0,100,50+50*LN($S218)/LN(Settings!$C$40))))))</f>
        <v/>
      </c>
      <c r="AP218" s="29">
        <f>IF($AA218="",50,MEDIAN(0,100,50+$AA218*100*Settings!$C$41))</f>
        <v>50</v>
      </c>
      <c r="AQ218" s="29">
        <f>IF($H218="",50,MEDIAN(0,100,50+$H218*100*Settings!$C$42))</f>
        <v>50</v>
      </c>
      <c r="AR218" s="29">
        <f>IF(OR($AC218="",$H218=""),50,MEDIAN(0,100,50+SIGN($H218)*50*MEDIAN(0,1,($AC218-1)/Settings!$C$43)))</f>
        <v>50</v>
      </c>
      <c r="AS218" s="29">
        <f>IF(OR($V218="",$W218=""),50,MEDIAN(0,100,50+50*($V218-$W218)/Settings!$C$44))</f>
        <v>50</v>
      </c>
      <c r="AT218" s="29">
        <f t="shared" si="66"/>
        <v>50</v>
      </c>
      <c r="AU218" s="30" t="str">
        <f t="shared" si="67"/>
        <v/>
      </c>
      <c r="AV218" s="87" t="str">
        <f>IF($A218="","",IF(COUNTIFS($A$4:$A218,$A218)=1,1,0))</f>
        <v/>
      </c>
    </row>
    <row r="219" spans="1:48" x14ac:dyDescent="0.3">
      <c r="A219" s="270"/>
      <c r="B219" s="271"/>
      <c r="C219" s="272"/>
      <c r="D219" s="272"/>
      <c r="E219" s="272"/>
      <c r="F219" s="272"/>
      <c r="G219" s="272"/>
      <c r="H219" s="268" t="str">
        <f t="shared" si="51"/>
        <v/>
      </c>
      <c r="I219" s="273"/>
      <c r="J219" s="273"/>
      <c r="K219" s="273"/>
      <c r="L219" s="273"/>
      <c r="M219" s="273"/>
      <c r="N219" s="273"/>
      <c r="O219" s="271"/>
      <c r="P219" s="270"/>
      <c r="Q219" s="271"/>
      <c r="R219" s="23" t="str" cm="1">
        <f t="array" ref="R219">IF($B219="","",IFERROR(IF(INDEX('Data Quality'!$U$4:$U$503,ROW()-3)=0,"PENDING",INDEX('Data Quality'!$U$4:$U$503,ROW()-3)),"PENDING"))</f>
        <v/>
      </c>
      <c r="S219" s="24" t="str">
        <f t="shared" si="52"/>
        <v/>
      </c>
      <c r="T219" s="25" t="str">
        <f t="shared" si="53"/>
        <v/>
      </c>
      <c r="U219" s="25" t="str">
        <f t="shared" si="54"/>
        <v/>
      </c>
      <c r="V219" s="26" t="str">
        <f t="shared" si="55"/>
        <v/>
      </c>
      <c r="W219" s="26" t="str">
        <f t="shared" si="56"/>
        <v/>
      </c>
      <c r="X219" s="25" t="str">
        <f t="shared" si="57"/>
        <v/>
      </c>
      <c r="Y219" s="25" t="str">
        <f t="shared" si="58"/>
        <v/>
      </c>
      <c r="Z219" s="27" t="str">
        <f>IF($B219="","",IF($AK219&lt;=Settings!$C$21,"",IFERROR(AVERAGEIFS($S$4:$S$503,$B$4:$B$503,$B219,$AK$4:$AK$503,"&gt;="&amp;$AK219-Settings!$C$21,$AK$4:$AK$503,"&lt;="&amp;$AK219-1),"")))</f>
        <v/>
      </c>
      <c r="AA219" s="28" t="str">
        <f t="shared" si="59"/>
        <v/>
      </c>
      <c r="AB219" s="25" t="str">
        <f>IF($B219="","",IF($AK219&lt;=Settings!$C$22,"",IFERROR(AVERAGEIFS($K$4:$K$503,$B$4:$B$503,$B219,$AK$4:$AK$503,"&gt;="&amp;$AK219-Settings!$C$22,$AK$4:$AK$503,"&lt;="&amp;$AK219-1),"")))</f>
        <v/>
      </c>
      <c r="AC219" s="27" t="str">
        <f t="shared" si="60"/>
        <v/>
      </c>
      <c r="AD219" s="28" t="str">
        <f>IF($B219="","",IF($AK219&lt;=Settings!$C$23,"",IFERROR($E219/SUMIFS($E$4:$E$503,$B$4:$B$503,$B219,$AK$4:$AK$503,$AK219-Settings!$C$23)-1,"")))</f>
        <v/>
      </c>
      <c r="AE219" s="28" t="str">
        <f>IF($B219="","",IF($AK219&lt;=Settings!$C$22,"",IFERROR($E219/SUMIFS($E$4:$E$503,$B$4:$B$503,$B219,$AK$4:$AK$503,$AK219-Settings!$C$22)-1,"")))</f>
        <v/>
      </c>
      <c r="AF219" s="28" t="str">
        <f t="shared" si="61"/>
        <v/>
      </c>
      <c r="AG219" s="29" t="str">
        <f>IF($B219="","",ROUND((MIN(100,100*N($I219)/Settings!$C$27)+MIN(100,100*N($K219)/Settings!$C$28)+MIN(100,100*N($J219)/Settings!$C$29))/3,1))</f>
        <v/>
      </c>
      <c r="AH219" s="29" t="str">
        <f>IF($B219="","",IF(SUM(Settings!$C$32:$C$37)=0,"",ROUND((Settings!$C$32*$AO219+Settings!$C$33*$AP219+Settings!$C$34*$AQ219+Settings!$C$35*$AR219+Settings!$C$36*$AS219+Settings!$C$37*$AT219)/SUM(Settings!$C$32:$C$37),1)))</f>
        <v/>
      </c>
      <c r="AI219" s="29" t="str">
        <f>IF($B219="","",MAX(0,100-IF(N($N219)&gt;0,0,20)-IF(AND(N($L219)=0,N($M219)=0),15,0)-IF(N($J219)&gt;0,0,10)-IF(N($K219)&gt;0,0,10)-IF($Z219&lt;&gt;"",0,15)-IF($AB219&lt;&gt;"",0,10)-IF($R219="ERROR",20,IF($R219="WARNING",10,0))))</f>
        <v/>
      </c>
      <c r="AJ219" s="30" t="str">
        <f>IF($AH219="","",IF($AH219&lt;Settings!$C$46,"Extreme Sell Pressure",IF($AH219&lt;Settings!$C$47,"Sell Pressure",IF($AH219&lt;=Settings!$C$48,"Neutral",IF($AH219&lt;=Settings!$C$49,"Buy Pressure","Extreme Buy Pressure")))))</f>
        <v/>
      </c>
      <c r="AK219" s="30" t="str">
        <f t="shared" si="62"/>
        <v/>
      </c>
      <c r="AL219" s="30" t="str">
        <f t="shared" si="63"/>
        <v/>
      </c>
      <c r="AM219" s="30" t="str">
        <f t="shared" si="64"/>
        <v/>
      </c>
      <c r="AN219" s="30" t="str">
        <f t="shared" si="65"/>
        <v/>
      </c>
      <c r="AO219" s="29" t="str">
        <f>IF($B219="","",IF(AND(N($L219)=0,N($M219)=0),50,IF(N($M219)=0,100,IF(N($L219)=0,0,MEDIAN(0,100,50+50*LN($S219)/LN(Settings!$C$40))))))</f>
        <v/>
      </c>
      <c r="AP219" s="29">
        <f>IF($AA219="",50,MEDIAN(0,100,50+$AA219*100*Settings!$C$41))</f>
        <v>50</v>
      </c>
      <c r="AQ219" s="29">
        <f>IF($H219="",50,MEDIAN(0,100,50+$H219*100*Settings!$C$42))</f>
        <v>50</v>
      </c>
      <c r="AR219" s="29">
        <f>IF(OR($AC219="",$H219=""),50,MEDIAN(0,100,50+SIGN($H219)*50*MEDIAN(0,1,($AC219-1)/Settings!$C$43)))</f>
        <v>50</v>
      </c>
      <c r="AS219" s="29">
        <f>IF(OR($V219="",$W219=""),50,MEDIAN(0,100,50+50*($V219-$W219)/Settings!$C$44))</f>
        <v>50</v>
      </c>
      <c r="AT219" s="29">
        <f t="shared" si="66"/>
        <v>50</v>
      </c>
      <c r="AU219" s="30" t="str">
        <f t="shared" si="67"/>
        <v/>
      </c>
      <c r="AV219" s="87" t="str">
        <f>IF($A219="","",IF(COUNTIFS($A$4:$A219,$A219)=1,1,0))</f>
        <v/>
      </c>
    </row>
    <row r="220" spans="1:48" x14ac:dyDescent="0.3">
      <c r="A220" s="270"/>
      <c r="B220" s="271"/>
      <c r="C220" s="272"/>
      <c r="D220" s="272"/>
      <c r="E220" s="272"/>
      <c r="F220" s="272"/>
      <c r="G220" s="272"/>
      <c r="H220" s="268" t="str">
        <f t="shared" si="51"/>
        <v/>
      </c>
      <c r="I220" s="273"/>
      <c r="J220" s="273"/>
      <c r="K220" s="273"/>
      <c r="L220" s="273"/>
      <c r="M220" s="273"/>
      <c r="N220" s="273"/>
      <c r="O220" s="271"/>
      <c r="P220" s="270"/>
      <c r="Q220" s="271"/>
      <c r="R220" s="23" t="str" cm="1">
        <f t="array" ref="R220">IF($B220="","",IFERROR(IF(INDEX('Data Quality'!$U$4:$U$503,ROW()-3)=0,"PENDING",INDEX('Data Quality'!$U$4:$U$503,ROW()-3)),"PENDING"))</f>
        <v/>
      </c>
      <c r="S220" s="24" t="str">
        <f t="shared" si="52"/>
        <v/>
      </c>
      <c r="T220" s="25" t="str">
        <f t="shared" si="53"/>
        <v/>
      </c>
      <c r="U220" s="25" t="str">
        <f t="shared" si="54"/>
        <v/>
      </c>
      <c r="V220" s="26" t="str">
        <f t="shared" si="55"/>
        <v/>
      </c>
      <c r="W220" s="26" t="str">
        <f t="shared" si="56"/>
        <v/>
      </c>
      <c r="X220" s="25" t="str">
        <f t="shared" si="57"/>
        <v/>
      </c>
      <c r="Y220" s="25" t="str">
        <f t="shared" si="58"/>
        <v/>
      </c>
      <c r="Z220" s="27" t="str">
        <f>IF($B220="","",IF($AK220&lt;=Settings!$C$21,"",IFERROR(AVERAGEIFS($S$4:$S$503,$B$4:$B$503,$B220,$AK$4:$AK$503,"&gt;="&amp;$AK220-Settings!$C$21,$AK$4:$AK$503,"&lt;="&amp;$AK220-1),"")))</f>
        <v/>
      </c>
      <c r="AA220" s="28" t="str">
        <f t="shared" si="59"/>
        <v/>
      </c>
      <c r="AB220" s="25" t="str">
        <f>IF($B220="","",IF($AK220&lt;=Settings!$C$22,"",IFERROR(AVERAGEIFS($K$4:$K$503,$B$4:$B$503,$B220,$AK$4:$AK$503,"&gt;="&amp;$AK220-Settings!$C$22,$AK$4:$AK$503,"&lt;="&amp;$AK220-1),"")))</f>
        <v/>
      </c>
      <c r="AC220" s="27" t="str">
        <f t="shared" si="60"/>
        <v/>
      </c>
      <c r="AD220" s="28" t="str">
        <f>IF($B220="","",IF($AK220&lt;=Settings!$C$23,"",IFERROR($E220/SUMIFS($E$4:$E$503,$B$4:$B$503,$B220,$AK$4:$AK$503,$AK220-Settings!$C$23)-1,"")))</f>
        <v/>
      </c>
      <c r="AE220" s="28" t="str">
        <f>IF($B220="","",IF($AK220&lt;=Settings!$C$22,"",IFERROR($E220/SUMIFS($E$4:$E$503,$B$4:$B$503,$B220,$AK$4:$AK$503,$AK220-Settings!$C$22)-1,"")))</f>
        <v/>
      </c>
      <c r="AF220" s="28" t="str">
        <f t="shared" si="61"/>
        <v/>
      </c>
      <c r="AG220" s="29" t="str">
        <f>IF($B220="","",ROUND((MIN(100,100*N($I220)/Settings!$C$27)+MIN(100,100*N($K220)/Settings!$C$28)+MIN(100,100*N($J220)/Settings!$C$29))/3,1))</f>
        <v/>
      </c>
      <c r="AH220" s="29" t="str">
        <f>IF($B220="","",IF(SUM(Settings!$C$32:$C$37)=0,"",ROUND((Settings!$C$32*$AO220+Settings!$C$33*$AP220+Settings!$C$34*$AQ220+Settings!$C$35*$AR220+Settings!$C$36*$AS220+Settings!$C$37*$AT220)/SUM(Settings!$C$32:$C$37),1)))</f>
        <v/>
      </c>
      <c r="AI220" s="29" t="str">
        <f>IF($B220="","",MAX(0,100-IF(N($N220)&gt;0,0,20)-IF(AND(N($L220)=0,N($M220)=0),15,0)-IF(N($J220)&gt;0,0,10)-IF(N($K220)&gt;0,0,10)-IF($Z220&lt;&gt;"",0,15)-IF($AB220&lt;&gt;"",0,10)-IF($R220="ERROR",20,IF($R220="WARNING",10,0))))</f>
        <v/>
      </c>
      <c r="AJ220" s="30" t="str">
        <f>IF($AH220="","",IF($AH220&lt;Settings!$C$46,"Extreme Sell Pressure",IF($AH220&lt;Settings!$C$47,"Sell Pressure",IF($AH220&lt;=Settings!$C$48,"Neutral",IF($AH220&lt;=Settings!$C$49,"Buy Pressure","Extreme Buy Pressure")))))</f>
        <v/>
      </c>
      <c r="AK220" s="30" t="str">
        <f t="shared" si="62"/>
        <v/>
      </c>
      <c r="AL220" s="30" t="str">
        <f t="shared" si="63"/>
        <v/>
      </c>
      <c r="AM220" s="30" t="str">
        <f t="shared" si="64"/>
        <v/>
      </c>
      <c r="AN220" s="30" t="str">
        <f t="shared" si="65"/>
        <v/>
      </c>
      <c r="AO220" s="29" t="str">
        <f>IF($B220="","",IF(AND(N($L220)=0,N($M220)=0),50,IF(N($M220)=0,100,IF(N($L220)=0,0,MEDIAN(0,100,50+50*LN($S220)/LN(Settings!$C$40))))))</f>
        <v/>
      </c>
      <c r="AP220" s="29">
        <f>IF($AA220="",50,MEDIAN(0,100,50+$AA220*100*Settings!$C$41))</f>
        <v>50</v>
      </c>
      <c r="AQ220" s="29">
        <f>IF($H220="",50,MEDIAN(0,100,50+$H220*100*Settings!$C$42))</f>
        <v>50</v>
      </c>
      <c r="AR220" s="29">
        <f>IF(OR($AC220="",$H220=""),50,MEDIAN(0,100,50+SIGN($H220)*50*MEDIAN(0,1,($AC220-1)/Settings!$C$43)))</f>
        <v>50</v>
      </c>
      <c r="AS220" s="29">
        <f>IF(OR($V220="",$W220=""),50,MEDIAN(0,100,50+50*($V220-$W220)/Settings!$C$44))</f>
        <v>50</v>
      </c>
      <c r="AT220" s="29">
        <f t="shared" si="66"/>
        <v>50</v>
      </c>
      <c r="AU220" s="30" t="str">
        <f t="shared" si="67"/>
        <v/>
      </c>
      <c r="AV220" s="87" t="str">
        <f>IF($A220="","",IF(COUNTIFS($A$4:$A220,$A220)=1,1,0))</f>
        <v/>
      </c>
    </row>
    <row r="221" spans="1:48" x14ac:dyDescent="0.3">
      <c r="A221" s="270"/>
      <c r="B221" s="271"/>
      <c r="C221" s="272"/>
      <c r="D221" s="272"/>
      <c r="E221" s="272"/>
      <c r="F221" s="272"/>
      <c r="G221" s="272"/>
      <c r="H221" s="268" t="str">
        <f t="shared" si="51"/>
        <v/>
      </c>
      <c r="I221" s="273"/>
      <c r="J221" s="273"/>
      <c r="K221" s="273"/>
      <c r="L221" s="273"/>
      <c r="M221" s="273"/>
      <c r="N221" s="273"/>
      <c r="O221" s="271"/>
      <c r="P221" s="270"/>
      <c r="Q221" s="271"/>
      <c r="R221" s="23" t="str" cm="1">
        <f t="array" ref="R221">IF($B221="","",IFERROR(IF(INDEX('Data Quality'!$U$4:$U$503,ROW()-3)=0,"PENDING",INDEX('Data Quality'!$U$4:$U$503,ROW()-3)),"PENDING"))</f>
        <v/>
      </c>
      <c r="S221" s="24" t="str">
        <f t="shared" si="52"/>
        <v/>
      </c>
      <c r="T221" s="25" t="str">
        <f t="shared" si="53"/>
        <v/>
      </c>
      <c r="U221" s="25" t="str">
        <f t="shared" si="54"/>
        <v/>
      </c>
      <c r="V221" s="26" t="str">
        <f t="shared" si="55"/>
        <v/>
      </c>
      <c r="W221" s="26" t="str">
        <f t="shared" si="56"/>
        <v/>
      </c>
      <c r="X221" s="25" t="str">
        <f t="shared" si="57"/>
        <v/>
      </c>
      <c r="Y221" s="25" t="str">
        <f t="shared" si="58"/>
        <v/>
      </c>
      <c r="Z221" s="27" t="str">
        <f>IF($B221="","",IF($AK221&lt;=Settings!$C$21,"",IFERROR(AVERAGEIFS($S$4:$S$503,$B$4:$B$503,$B221,$AK$4:$AK$503,"&gt;="&amp;$AK221-Settings!$C$21,$AK$4:$AK$503,"&lt;="&amp;$AK221-1),"")))</f>
        <v/>
      </c>
      <c r="AA221" s="28" t="str">
        <f t="shared" si="59"/>
        <v/>
      </c>
      <c r="AB221" s="25" t="str">
        <f>IF($B221="","",IF($AK221&lt;=Settings!$C$22,"",IFERROR(AVERAGEIFS($K$4:$K$503,$B$4:$B$503,$B221,$AK$4:$AK$503,"&gt;="&amp;$AK221-Settings!$C$22,$AK$4:$AK$503,"&lt;="&amp;$AK221-1),"")))</f>
        <v/>
      </c>
      <c r="AC221" s="27" t="str">
        <f t="shared" si="60"/>
        <v/>
      </c>
      <c r="AD221" s="28" t="str">
        <f>IF($B221="","",IF($AK221&lt;=Settings!$C$23,"",IFERROR($E221/SUMIFS($E$4:$E$503,$B$4:$B$503,$B221,$AK$4:$AK$503,$AK221-Settings!$C$23)-1,"")))</f>
        <v/>
      </c>
      <c r="AE221" s="28" t="str">
        <f>IF($B221="","",IF($AK221&lt;=Settings!$C$22,"",IFERROR($E221/SUMIFS($E$4:$E$503,$B$4:$B$503,$B221,$AK$4:$AK$503,$AK221-Settings!$C$22)-1,"")))</f>
        <v/>
      </c>
      <c r="AF221" s="28" t="str">
        <f t="shared" si="61"/>
        <v/>
      </c>
      <c r="AG221" s="29" t="str">
        <f>IF($B221="","",ROUND((MIN(100,100*N($I221)/Settings!$C$27)+MIN(100,100*N($K221)/Settings!$C$28)+MIN(100,100*N($J221)/Settings!$C$29))/3,1))</f>
        <v/>
      </c>
      <c r="AH221" s="29" t="str">
        <f>IF($B221="","",IF(SUM(Settings!$C$32:$C$37)=0,"",ROUND((Settings!$C$32*$AO221+Settings!$C$33*$AP221+Settings!$C$34*$AQ221+Settings!$C$35*$AR221+Settings!$C$36*$AS221+Settings!$C$37*$AT221)/SUM(Settings!$C$32:$C$37),1)))</f>
        <v/>
      </c>
      <c r="AI221" s="29" t="str">
        <f>IF($B221="","",MAX(0,100-IF(N($N221)&gt;0,0,20)-IF(AND(N($L221)=0,N($M221)=0),15,0)-IF(N($J221)&gt;0,0,10)-IF(N($K221)&gt;0,0,10)-IF($Z221&lt;&gt;"",0,15)-IF($AB221&lt;&gt;"",0,10)-IF($R221="ERROR",20,IF($R221="WARNING",10,0))))</f>
        <v/>
      </c>
      <c r="AJ221" s="30" t="str">
        <f>IF($AH221="","",IF($AH221&lt;Settings!$C$46,"Extreme Sell Pressure",IF($AH221&lt;Settings!$C$47,"Sell Pressure",IF($AH221&lt;=Settings!$C$48,"Neutral",IF($AH221&lt;=Settings!$C$49,"Buy Pressure","Extreme Buy Pressure")))))</f>
        <v/>
      </c>
      <c r="AK221" s="30" t="str">
        <f t="shared" si="62"/>
        <v/>
      </c>
      <c r="AL221" s="30" t="str">
        <f t="shared" si="63"/>
        <v/>
      </c>
      <c r="AM221" s="30" t="str">
        <f t="shared" si="64"/>
        <v/>
      </c>
      <c r="AN221" s="30" t="str">
        <f t="shared" si="65"/>
        <v/>
      </c>
      <c r="AO221" s="29" t="str">
        <f>IF($B221="","",IF(AND(N($L221)=0,N($M221)=0),50,IF(N($M221)=0,100,IF(N($L221)=0,0,MEDIAN(0,100,50+50*LN($S221)/LN(Settings!$C$40))))))</f>
        <v/>
      </c>
      <c r="AP221" s="29">
        <f>IF($AA221="",50,MEDIAN(0,100,50+$AA221*100*Settings!$C$41))</f>
        <v>50</v>
      </c>
      <c r="AQ221" s="29">
        <f>IF($H221="",50,MEDIAN(0,100,50+$H221*100*Settings!$C$42))</f>
        <v>50</v>
      </c>
      <c r="AR221" s="29">
        <f>IF(OR($AC221="",$H221=""),50,MEDIAN(0,100,50+SIGN($H221)*50*MEDIAN(0,1,($AC221-1)/Settings!$C$43)))</f>
        <v>50</v>
      </c>
      <c r="AS221" s="29">
        <f>IF(OR($V221="",$W221=""),50,MEDIAN(0,100,50+50*($V221-$W221)/Settings!$C$44))</f>
        <v>50</v>
      </c>
      <c r="AT221" s="29">
        <f t="shared" si="66"/>
        <v>50</v>
      </c>
      <c r="AU221" s="30" t="str">
        <f t="shared" si="67"/>
        <v/>
      </c>
      <c r="AV221" s="87" t="str">
        <f>IF($A221="","",IF(COUNTIFS($A$4:$A221,$A221)=1,1,0))</f>
        <v/>
      </c>
    </row>
    <row r="222" spans="1:48" x14ac:dyDescent="0.3">
      <c r="A222" s="270"/>
      <c r="B222" s="271"/>
      <c r="C222" s="272"/>
      <c r="D222" s="272"/>
      <c r="E222" s="272"/>
      <c r="F222" s="272"/>
      <c r="G222" s="272"/>
      <c r="H222" s="268" t="str">
        <f t="shared" si="51"/>
        <v/>
      </c>
      <c r="I222" s="273"/>
      <c r="J222" s="273"/>
      <c r="K222" s="273"/>
      <c r="L222" s="273"/>
      <c r="M222" s="273"/>
      <c r="N222" s="273"/>
      <c r="O222" s="271"/>
      <c r="P222" s="270"/>
      <c r="Q222" s="271"/>
      <c r="R222" s="23" t="str" cm="1">
        <f t="array" ref="R222">IF($B222="","",IFERROR(IF(INDEX('Data Quality'!$U$4:$U$503,ROW()-3)=0,"PENDING",INDEX('Data Quality'!$U$4:$U$503,ROW()-3)),"PENDING"))</f>
        <v/>
      </c>
      <c r="S222" s="24" t="str">
        <f t="shared" si="52"/>
        <v/>
      </c>
      <c r="T222" s="25" t="str">
        <f t="shared" si="53"/>
        <v/>
      </c>
      <c r="U222" s="25" t="str">
        <f t="shared" si="54"/>
        <v/>
      </c>
      <c r="V222" s="26" t="str">
        <f t="shared" si="55"/>
        <v/>
      </c>
      <c r="W222" s="26" t="str">
        <f t="shared" si="56"/>
        <v/>
      </c>
      <c r="X222" s="25" t="str">
        <f t="shared" si="57"/>
        <v/>
      </c>
      <c r="Y222" s="25" t="str">
        <f t="shared" si="58"/>
        <v/>
      </c>
      <c r="Z222" s="27" t="str">
        <f>IF($B222="","",IF($AK222&lt;=Settings!$C$21,"",IFERROR(AVERAGEIFS($S$4:$S$503,$B$4:$B$503,$B222,$AK$4:$AK$503,"&gt;="&amp;$AK222-Settings!$C$21,$AK$4:$AK$503,"&lt;="&amp;$AK222-1),"")))</f>
        <v/>
      </c>
      <c r="AA222" s="28" t="str">
        <f t="shared" si="59"/>
        <v/>
      </c>
      <c r="AB222" s="25" t="str">
        <f>IF($B222="","",IF($AK222&lt;=Settings!$C$22,"",IFERROR(AVERAGEIFS($K$4:$K$503,$B$4:$B$503,$B222,$AK$4:$AK$503,"&gt;="&amp;$AK222-Settings!$C$22,$AK$4:$AK$503,"&lt;="&amp;$AK222-1),"")))</f>
        <v/>
      </c>
      <c r="AC222" s="27" t="str">
        <f t="shared" si="60"/>
        <v/>
      </c>
      <c r="AD222" s="28" t="str">
        <f>IF($B222="","",IF($AK222&lt;=Settings!$C$23,"",IFERROR($E222/SUMIFS($E$4:$E$503,$B$4:$B$503,$B222,$AK$4:$AK$503,$AK222-Settings!$C$23)-1,"")))</f>
        <v/>
      </c>
      <c r="AE222" s="28" t="str">
        <f>IF($B222="","",IF($AK222&lt;=Settings!$C$22,"",IFERROR($E222/SUMIFS($E$4:$E$503,$B$4:$B$503,$B222,$AK$4:$AK$503,$AK222-Settings!$C$22)-1,"")))</f>
        <v/>
      </c>
      <c r="AF222" s="28" t="str">
        <f t="shared" si="61"/>
        <v/>
      </c>
      <c r="AG222" s="29" t="str">
        <f>IF($B222="","",ROUND((MIN(100,100*N($I222)/Settings!$C$27)+MIN(100,100*N($K222)/Settings!$C$28)+MIN(100,100*N($J222)/Settings!$C$29))/3,1))</f>
        <v/>
      </c>
      <c r="AH222" s="29" t="str">
        <f>IF($B222="","",IF(SUM(Settings!$C$32:$C$37)=0,"",ROUND((Settings!$C$32*$AO222+Settings!$C$33*$AP222+Settings!$C$34*$AQ222+Settings!$C$35*$AR222+Settings!$C$36*$AS222+Settings!$C$37*$AT222)/SUM(Settings!$C$32:$C$37),1)))</f>
        <v/>
      </c>
      <c r="AI222" s="29" t="str">
        <f>IF($B222="","",MAX(0,100-IF(N($N222)&gt;0,0,20)-IF(AND(N($L222)=0,N($M222)=0),15,0)-IF(N($J222)&gt;0,0,10)-IF(N($K222)&gt;0,0,10)-IF($Z222&lt;&gt;"",0,15)-IF($AB222&lt;&gt;"",0,10)-IF($R222="ERROR",20,IF($R222="WARNING",10,0))))</f>
        <v/>
      </c>
      <c r="AJ222" s="30" t="str">
        <f>IF($AH222="","",IF($AH222&lt;Settings!$C$46,"Extreme Sell Pressure",IF($AH222&lt;Settings!$C$47,"Sell Pressure",IF($AH222&lt;=Settings!$C$48,"Neutral",IF($AH222&lt;=Settings!$C$49,"Buy Pressure","Extreme Buy Pressure")))))</f>
        <v/>
      </c>
      <c r="AK222" s="30" t="str">
        <f t="shared" si="62"/>
        <v/>
      </c>
      <c r="AL222" s="30" t="str">
        <f t="shared" si="63"/>
        <v/>
      </c>
      <c r="AM222" s="30" t="str">
        <f t="shared" si="64"/>
        <v/>
      </c>
      <c r="AN222" s="30" t="str">
        <f t="shared" si="65"/>
        <v/>
      </c>
      <c r="AO222" s="29" t="str">
        <f>IF($B222="","",IF(AND(N($L222)=0,N($M222)=0),50,IF(N($M222)=0,100,IF(N($L222)=0,0,MEDIAN(0,100,50+50*LN($S222)/LN(Settings!$C$40))))))</f>
        <v/>
      </c>
      <c r="AP222" s="29">
        <f>IF($AA222="",50,MEDIAN(0,100,50+$AA222*100*Settings!$C$41))</f>
        <v>50</v>
      </c>
      <c r="AQ222" s="29">
        <f>IF($H222="",50,MEDIAN(0,100,50+$H222*100*Settings!$C$42))</f>
        <v>50</v>
      </c>
      <c r="AR222" s="29">
        <f>IF(OR($AC222="",$H222=""),50,MEDIAN(0,100,50+SIGN($H222)*50*MEDIAN(0,1,($AC222-1)/Settings!$C$43)))</f>
        <v>50</v>
      </c>
      <c r="AS222" s="29">
        <f>IF(OR($V222="",$W222=""),50,MEDIAN(0,100,50+50*($V222-$W222)/Settings!$C$44))</f>
        <v>50</v>
      </c>
      <c r="AT222" s="29">
        <f t="shared" si="66"/>
        <v>50</v>
      </c>
      <c r="AU222" s="30" t="str">
        <f t="shared" si="67"/>
        <v/>
      </c>
      <c r="AV222" s="87" t="str">
        <f>IF($A222="","",IF(COUNTIFS($A$4:$A222,$A222)=1,1,0))</f>
        <v/>
      </c>
    </row>
    <row r="223" spans="1:48" x14ac:dyDescent="0.3">
      <c r="A223" s="270"/>
      <c r="B223" s="271"/>
      <c r="C223" s="272"/>
      <c r="D223" s="272"/>
      <c r="E223" s="272"/>
      <c r="F223" s="272"/>
      <c r="G223" s="272"/>
      <c r="H223" s="268" t="str">
        <f t="shared" si="51"/>
        <v/>
      </c>
      <c r="I223" s="273"/>
      <c r="J223" s="273"/>
      <c r="K223" s="273"/>
      <c r="L223" s="273"/>
      <c r="M223" s="273"/>
      <c r="N223" s="273"/>
      <c r="O223" s="271"/>
      <c r="P223" s="270"/>
      <c r="Q223" s="271"/>
      <c r="R223" s="23" t="str" cm="1">
        <f t="array" ref="R223">IF($B223="","",IFERROR(IF(INDEX('Data Quality'!$U$4:$U$503,ROW()-3)=0,"PENDING",INDEX('Data Quality'!$U$4:$U$503,ROW()-3)),"PENDING"))</f>
        <v/>
      </c>
      <c r="S223" s="24" t="str">
        <f t="shared" si="52"/>
        <v/>
      </c>
      <c r="T223" s="25" t="str">
        <f t="shared" si="53"/>
        <v/>
      </c>
      <c r="U223" s="25" t="str">
        <f t="shared" si="54"/>
        <v/>
      </c>
      <c r="V223" s="26" t="str">
        <f t="shared" si="55"/>
        <v/>
      </c>
      <c r="W223" s="26" t="str">
        <f t="shared" si="56"/>
        <v/>
      </c>
      <c r="X223" s="25" t="str">
        <f t="shared" si="57"/>
        <v/>
      </c>
      <c r="Y223" s="25" t="str">
        <f t="shared" si="58"/>
        <v/>
      </c>
      <c r="Z223" s="27" t="str">
        <f>IF($B223="","",IF($AK223&lt;=Settings!$C$21,"",IFERROR(AVERAGEIFS($S$4:$S$503,$B$4:$B$503,$B223,$AK$4:$AK$503,"&gt;="&amp;$AK223-Settings!$C$21,$AK$4:$AK$503,"&lt;="&amp;$AK223-1),"")))</f>
        <v/>
      </c>
      <c r="AA223" s="28" t="str">
        <f t="shared" si="59"/>
        <v/>
      </c>
      <c r="AB223" s="25" t="str">
        <f>IF($B223="","",IF($AK223&lt;=Settings!$C$22,"",IFERROR(AVERAGEIFS($K$4:$K$503,$B$4:$B$503,$B223,$AK$4:$AK$503,"&gt;="&amp;$AK223-Settings!$C$22,$AK$4:$AK$503,"&lt;="&amp;$AK223-1),"")))</f>
        <v/>
      </c>
      <c r="AC223" s="27" t="str">
        <f t="shared" si="60"/>
        <v/>
      </c>
      <c r="AD223" s="28" t="str">
        <f>IF($B223="","",IF($AK223&lt;=Settings!$C$23,"",IFERROR($E223/SUMIFS($E$4:$E$503,$B$4:$B$503,$B223,$AK$4:$AK$503,$AK223-Settings!$C$23)-1,"")))</f>
        <v/>
      </c>
      <c r="AE223" s="28" t="str">
        <f>IF($B223="","",IF($AK223&lt;=Settings!$C$22,"",IFERROR($E223/SUMIFS($E$4:$E$503,$B$4:$B$503,$B223,$AK$4:$AK$503,$AK223-Settings!$C$22)-1,"")))</f>
        <v/>
      </c>
      <c r="AF223" s="28" t="str">
        <f t="shared" si="61"/>
        <v/>
      </c>
      <c r="AG223" s="29" t="str">
        <f>IF($B223="","",ROUND((MIN(100,100*N($I223)/Settings!$C$27)+MIN(100,100*N($K223)/Settings!$C$28)+MIN(100,100*N($J223)/Settings!$C$29))/3,1))</f>
        <v/>
      </c>
      <c r="AH223" s="29" t="str">
        <f>IF($B223="","",IF(SUM(Settings!$C$32:$C$37)=0,"",ROUND((Settings!$C$32*$AO223+Settings!$C$33*$AP223+Settings!$C$34*$AQ223+Settings!$C$35*$AR223+Settings!$C$36*$AS223+Settings!$C$37*$AT223)/SUM(Settings!$C$32:$C$37),1)))</f>
        <v/>
      </c>
      <c r="AI223" s="29" t="str">
        <f>IF($B223="","",MAX(0,100-IF(N($N223)&gt;0,0,20)-IF(AND(N($L223)=0,N($M223)=0),15,0)-IF(N($J223)&gt;0,0,10)-IF(N($K223)&gt;0,0,10)-IF($Z223&lt;&gt;"",0,15)-IF($AB223&lt;&gt;"",0,10)-IF($R223="ERROR",20,IF($R223="WARNING",10,0))))</f>
        <v/>
      </c>
      <c r="AJ223" s="30" t="str">
        <f>IF($AH223="","",IF($AH223&lt;Settings!$C$46,"Extreme Sell Pressure",IF($AH223&lt;Settings!$C$47,"Sell Pressure",IF($AH223&lt;=Settings!$C$48,"Neutral",IF($AH223&lt;=Settings!$C$49,"Buy Pressure","Extreme Buy Pressure")))))</f>
        <v/>
      </c>
      <c r="AK223" s="30" t="str">
        <f t="shared" si="62"/>
        <v/>
      </c>
      <c r="AL223" s="30" t="str">
        <f t="shared" si="63"/>
        <v/>
      </c>
      <c r="AM223" s="30" t="str">
        <f t="shared" si="64"/>
        <v/>
      </c>
      <c r="AN223" s="30" t="str">
        <f t="shared" si="65"/>
        <v/>
      </c>
      <c r="AO223" s="29" t="str">
        <f>IF($B223="","",IF(AND(N($L223)=0,N($M223)=0),50,IF(N($M223)=0,100,IF(N($L223)=0,0,MEDIAN(0,100,50+50*LN($S223)/LN(Settings!$C$40))))))</f>
        <v/>
      </c>
      <c r="AP223" s="29">
        <f>IF($AA223="",50,MEDIAN(0,100,50+$AA223*100*Settings!$C$41))</f>
        <v>50</v>
      </c>
      <c r="AQ223" s="29">
        <f>IF($H223="",50,MEDIAN(0,100,50+$H223*100*Settings!$C$42))</f>
        <v>50</v>
      </c>
      <c r="AR223" s="29">
        <f>IF(OR($AC223="",$H223=""),50,MEDIAN(0,100,50+SIGN($H223)*50*MEDIAN(0,1,($AC223-1)/Settings!$C$43)))</f>
        <v>50</v>
      </c>
      <c r="AS223" s="29">
        <f>IF(OR($V223="",$W223=""),50,MEDIAN(0,100,50+50*($V223-$W223)/Settings!$C$44))</f>
        <v>50</v>
      </c>
      <c r="AT223" s="29">
        <f t="shared" si="66"/>
        <v>50</v>
      </c>
      <c r="AU223" s="30" t="str">
        <f t="shared" si="67"/>
        <v/>
      </c>
      <c r="AV223" s="87" t="str">
        <f>IF($A223="","",IF(COUNTIFS($A$4:$A223,$A223)=1,1,0))</f>
        <v/>
      </c>
    </row>
    <row r="224" spans="1:48" x14ac:dyDescent="0.3">
      <c r="A224" s="270"/>
      <c r="B224" s="271"/>
      <c r="C224" s="272"/>
      <c r="D224" s="272"/>
      <c r="E224" s="272"/>
      <c r="F224" s="272"/>
      <c r="G224" s="272"/>
      <c r="H224" s="268" t="str">
        <f t="shared" si="51"/>
        <v/>
      </c>
      <c r="I224" s="273"/>
      <c r="J224" s="273"/>
      <c r="K224" s="273"/>
      <c r="L224" s="273"/>
      <c r="M224" s="273"/>
      <c r="N224" s="273"/>
      <c r="O224" s="271"/>
      <c r="P224" s="270"/>
      <c r="Q224" s="271"/>
      <c r="R224" s="23" t="str" cm="1">
        <f t="array" ref="R224">IF($B224="","",IFERROR(IF(INDEX('Data Quality'!$U$4:$U$503,ROW()-3)=0,"PENDING",INDEX('Data Quality'!$U$4:$U$503,ROW()-3)),"PENDING"))</f>
        <v/>
      </c>
      <c r="S224" s="24" t="str">
        <f t="shared" si="52"/>
        <v/>
      </c>
      <c r="T224" s="25" t="str">
        <f t="shared" si="53"/>
        <v/>
      </c>
      <c r="U224" s="25" t="str">
        <f t="shared" si="54"/>
        <v/>
      </c>
      <c r="V224" s="26" t="str">
        <f t="shared" si="55"/>
        <v/>
      </c>
      <c r="W224" s="26" t="str">
        <f t="shared" si="56"/>
        <v/>
      </c>
      <c r="X224" s="25" t="str">
        <f t="shared" si="57"/>
        <v/>
      </c>
      <c r="Y224" s="25" t="str">
        <f t="shared" si="58"/>
        <v/>
      </c>
      <c r="Z224" s="27" t="str">
        <f>IF($B224="","",IF($AK224&lt;=Settings!$C$21,"",IFERROR(AVERAGEIFS($S$4:$S$503,$B$4:$B$503,$B224,$AK$4:$AK$503,"&gt;="&amp;$AK224-Settings!$C$21,$AK$4:$AK$503,"&lt;="&amp;$AK224-1),"")))</f>
        <v/>
      </c>
      <c r="AA224" s="28" t="str">
        <f t="shared" si="59"/>
        <v/>
      </c>
      <c r="AB224" s="25" t="str">
        <f>IF($B224="","",IF($AK224&lt;=Settings!$C$22,"",IFERROR(AVERAGEIFS($K$4:$K$503,$B$4:$B$503,$B224,$AK$4:$AK$503,"&gt;="&amp;$AK224-Settings!$C$22,$AK$4:$AK$503,"&lt;="&amp;$AK224-1),"")))</f>
        <v/>
      </c>
      <c r="AC224" s="27" t="str">
        <f t="shared" si="60"/>
        <v/>
      </c>
      <c r="AD224" s="28" t="str">
        <f>IF($B224="","",IF($AK224&lt;=Settings!$C$23,"",IFERROR($E224/SUMIFS($E$4:$E$503,$B$4:$B$503,$B224,$AK$4:$AK$503,$AK224-Settings!$C$23)-1,"")))</f>
        <v/>
      </c>
      <c r="AE224" s="28" t="str">
        <f>IF($B224="","",IF($AK224&lt;=Settings!$C$22,"",IFERROR($E224/SUMIFS($E$4:$E$503,$B$4:$B$503,$B224,$AK$4:$AK$503,$AK224-Settings!$C$22)-1,"")))</f>
        <v/>
      </c>
      <c r="AF224" s="28" t="str">
        <f t="shared" si="61"/>
        <v/>
      </c>
      <c r="AG224" s="29" t="str">
        <f>IF($B224="","",ROUND((MIN(100,100*N($I224)/Settings!$C$27)+MIN(100,100*N($K224)/Settings!$C$28)+MIN(100,100*N($J224)/Settings!$C$29))/3,1))</f>
        <v/>
      </c>
      <c r="AH224" s="29" t="str">
        <f>IF($B224="","",IF(SUM(Settings!$C$32:$C$37)=0,"",ROUND((Settings!$C$32*$AO224+Settings!$C$33*$AP224+Settings!$C$34*$AQ224+Settings!$C$35*$AR224+Settings!$C$36*$AS224+Settings!$C$37*$AT224)/SUM(Settings!$C$32:$C$37),1)))</f>
        <v/>
      </c>
      <c r="AI224" s="29" t="str">
        <f>IF($B224="","",MAX(0,100-IF(N($N224)&gt;0,0,20)-IF(AND(N($L224)=0,N($M224)=0),15,0)-IF(N($J224)&gt;0,0,10)-IF(N($K224)&gt;0,0,10)-IF($Z224&lt;&gt;"",0,15)-IF($AB224&lt;&gt;"",0,10)-IF($R224="ERROR",20,IF($R224="WARNING",10,0))))</f>
        <v/>
      </c>
      <c r="AJ224" s="30" t="str">
        <f>IF($AH224="","",IF($AH224&lt;Settings!$C$46,"Extreme Sell Pressure",IF($AH224&lt;Settings!$C$47,"Sell Pressure",IF($AH224&lt;=Settings!$C$48,"Neutral",IF($AH224&lt;=Settings!$C$49,"Buy Pressure","Extreme Buy Pressure")))))</f>
        <v/>
      </c>
      <c r="AK224" s="30" t="str">
        <f t="shared" si="62"/>
        <v/>
      </c>
      <c r="AL224" s="30" t="str">
        <f t="shared" si="63"/>
        <v/>
      </c>
      <c r="AM224" s="30" t="str">
        <f t="shared" si="64"/>
        <v/>
      </c>
      <c r="AN224" s="30" t="str">
        <f t="shared" si="65"/>
        <v/>
      </c>
      <c r="AO224" s="29" t="str">
        <f>IF($B224="","",IF(AND(N($L224)=0,N($M224)=0),50,IF(N($M224)=0,100,IF(N($L224)=0,0,MEDIAN(0,100,50+50*LN($S224)/LN(Settings!$C$40))))))</f>
        <v/>
      </c>
      <c r="AP224" s="29">
        <f>IF($AA224="",50,MEDIAN(0,100,50+$AA224*100*Settings!$C$41))</f>
        <v>50</v>
      </c>
      <c r="AQ224" s="29">
        <f>IF($H224="",50,MEDIAN(0,100,50+$H224*100*Settings!$C$42))</f>
        <v>50</v>
      </c>
      <c r="AR224" s="29">
        <f>IF(OR($AC224="",$H224=""),50,MEDIAN(0,100,50+SIGN($H224)*50*MEDIAN(0,1,($AC224-1)/Settings!$C$43)))</f>
        <v>50</v>
      </c>
      <c r="AS224" s="29">
        <f>IF(OR($V224="",$W224=""),50,MEDIAN(0,100,50+50*($V224-$W224)/Settings!$C$44))</f>
        <v>50</v>
      </c>
      <c r="AT224" s="29">
        <f t="shared" si="66"/>
        <v>50</v>
      </c>
      <c r="AU224" s="30" t="str">
        <f t="shared" si="67"/>
        <v/>
      </c>
      <c r="AV224" s="87" t="str">
        <f>IF($A224="","",IF(COUNTIFS($A$4:$A224,$A224)=1,1,0))</f>
        <v/>
      </c>
    </row>
    <row r="225" spans="1:48" x14ac:dyDescent="0.3">
      <c r="A225" s="270"/>
      <c r="B225" s="271"/>
      <c r="C225" s="272"/>
      <c r="D225" s="272"/>
      <c r="E225" s="272"/>
      <c r="F225" s="272"/>
      <c r="G225" s="272"/>
      <c r="H225" s="268" t="str">
        <f t="shared" si="51"/>
        <v/>
      </c>
      <c r="I225" s="273"/>
      <c r="J225" s="273"/>
      <c r="K225" s="273"/>
      <c r="L225" s="273"/>
      <c r="M225" s="273"/>
      <c r="N225" s="273"/>
      <c r="O225" s="271"/>
      <c r="P225" s="270"/>
      <c r="Q225" s="271"/>
      <c r="R225" s="23" t="str" cm="1">
        <f t="array" ref="R225">IF($B225="","",IFERROR(IF(INDEX('Data Quality'!$U$4:$U$503,ROW()-3)=0,"PENDING",INDEX('Data Quality'!$U$4:$U$503,ROW()-3)),"PENDING"))</f>
        <v/>
      </c>
      <c r="S225" s="24" t="str">
        <f t="shared" si="52"/>
        <v/>
      </c>
      <c r="T225" s="25" t="str">
        <f t="shared" si="53"/>
        <v/>
      </c>
      <c r="U225" s="25" t="str">
        <f t="shared" si="54"/>
        <v/>
      </c>
      <c r="V225" s="26" t="str">
        <f t="shared" si="55"/>
        <v/>
      </c>
      <c r="W225" s="26" t="str">
        <f t="shared" si="56"/>
        <v/>
      </c>
      <c r="X225" s="25" t="str">
        <f t="shared" si="57"/>
        <v/>
      </c>
      <c r="Y225" s="25" t="str">
        <f t="shared" si="58"/>
        <v/>
      </c>
      <c r="Z225" s="27" t="str">
        <f>IF($B225="","",IF($AK225&lt;=Settings!$C$21,"",IFERROR(AVERAGEIFS($S$4:$S$503,$B$4:$B$503,$B225,$AK$4:$AK$503,"&gt;="&amp;$AK225-Settings!$C$21,$AK$4:$AK$503,"&lt;="&amp;$AK225-1),"")))</f>
        <v/>
      </c>
      <c r="AA225" s="28" t="str">
        <f t="shared" si="59"/>
        <v/>
      </c>
      <c r="AB225" s="25" t="str">
        <f>IF($B225="","",IF($AK225&lt;=Settings!$C$22,"",IFERROR(AVERAGEIFS($K$4:$K$503,$B$4:$B$503,$B225,$AK$4:$AK$503,"&gt;="&amp;$AK225-Settings!$C$22,$AK$4:$AK$503,"&lt;="&amp;$AK225-1),"")))</f>
        <v/>
      </c>
      <c r="AC225" s="27" t="str">
        <f t="shared" si="60"/>
        <v/>
      </c>
      <c r="AD225" s="28" t="str">
        <f>IF($B225="","",IF($AK225&lt;=Settings!$C$23,"",IFERROR($E225/SUMIFS($E$4:$E$503,$B$4:$B$503,$B225,$AK$4:$AK$503,$AK225-Settings!$C$23)-1,"")))</f>
        <v/>
      </c>
      <c r="AE225" s="28" t="str">
        <f>IF($B225="","",IF($AK225&lt;=Settings!$C$22,"",IFERROR($E225/SUMIFS($E$4:$E$503,$B$4:$B$503,$B225,$AK$4:$AK$503,$AK225-Settings!$C$22)-1,"")))</f>
        <v/>
      </c>
      <c r="AF225" s="28" t="str">
        <f t="shared" si="61"/>
        <v/>
      </c>
      <c r="AG225" s="29" t="str">
        <f>IF($B225="","",ROUND((MIN(100,100*N($I225)/Settings!$C$27)+MIN(100,100*N($K225)/Settings!$C$28)+MIN(100,100*N($J225)/Settings!$C$29))/3,1))</f>
        <v/>
      </c>
      <c r="AH225" s="29" t="str">
        <f>IF($B225="","",IF(SUM(Settings!$C$32:$C$37)=0,"",ROUND((Settings!$C$32*$AO225+Settings!$C$33*$AP225+Settings!$C$34*$AQ225+Settings!$C$35*$AR225+Settings!$C$36*$AS225+Settings!$C$37*$AT225)/SUM(Settings!$C$32:$C$37),1)))</f>
        <v/>
      </c>
      <c r="AI225" s="29" t="str">
        <f>IF($B225="","",MAX(0,100-IF(N($N225)&gt;0,0,20)-IF(AND(N($L225)=0,N($M225)=0),15,0)-IF(N($J225)&gt;0,0,10)-IF(N($K225)&gt;0,0,10)-IF($Z225&lt;&gt;"",0,15)-IF($AB225&lt;&gt;"",0,10)-IF($R225="ERROR",20,IF($R225="WARNING",10,0))))</f>
        <v/>
      </c>
      <c r="AJ225" s="30" t="str">
        <f>IF($AH225="","",IF($AH225&lt;Settings!$C$46,"Extreme Sell Pressure",IF($AH225&lt;Settings!$C$47,"Sell Pressure",IF($AH225&lt;=Settings!$C$48,"Neutral",IF($AH225&lt;=Settings!$C$49,"Buy Pressure","Extreme Buy Pressure")))))</f>
        <v/>
      </c>
      <c r="AK225" s="30" t="str">
        <f t="shared" si="62"/>
        <v/>
      </c>
      <c r="AL225" s="30" t="str">
        <f t="shared" si="63"/>
        <v/>
      </c>
      <c r="AM225" s="30" t="str">
        <f t="shared" si="64"/>
        <v/>
      </c>
      <c r="AN225" s="30" t="str">
        <f t="shared" si="65"/>
        <v/>
      </c>
      <c r="AO225" s="29" t="str">
        <f>IF($B225="","",IF(AND(N($L225)=0,N($M225)=0),50,IF(N($M225)=0,100,IF(N($L225)=0,0,MEDIAN(0,100,50+50*LN($S225)/LN(Settings!$C$40))))))</f>
        <v/>
      </c>
      <c r="AP225" s="29">
        <f>IF($AA225="",50,MEDIAN(0,100,50+$AA225*100*Settings!$C$41))</f>
        <v>50</v>
      </c>
      <c r="AQ225" s="29">
        <f>IF($H225="",50,MEDIAN(0,100,50+$H225*100*Settings!$C$42))</f>
        <v>50</v>
      </c>
      <c r="AR225" s="29">
        <f>IF(OR($AC225="",$H225=""),50,MEDIAN(0,100,50+SIGN($H225)*50*MEDIAN(0,1,($AC225-1)/Settings!$C$43)))</f>
        <v>50</v>
      </c>
      <c r="AS225" s="29">
        <f>IF(OR($V225="",$W225=""),50,MEDIAN(0,100,50+50*($V225-$W225)/Settings!$C$44))</f>
        <v>50</v>
      </c>
      <c r="AT225" s="29">
        <f t="shared" si="66"/>
        <v>50</v>
      </c>
      <c r="AU225" s="30" t="str">
        <f t="shared" si="67"/>
        <v/>
      </c>
      <c r="AV225" s="87" t="str">
        <f>IF($A225="","",IF(COUNTIFS($A$4:$A225,$A225)=1,1,0))</f>
        <v/>
      </c>
    </row>
    <row r="226" spans="1:48" x14ac:dyDescent="0.3">
      <c r="A226" s="270"/>
      <c r="B226" s="271"/>
      <c r="C226" s="272"/>
      <c r="D226" s="272"/>
      <c r="E226" s="272"/>
      <c r="F226" s="272"/>
      <c r="G226" s="272"/>
      <c r="H226" s="268" t="str">
        <f t="shared" si="51"/>
        <v/>
      </c>
      <c r="I226" s="273"/>
      <c r="J226" s="273"/>
      <c r="K226" s="273"/>
      <c r="L226" s="273"/>
      <c r="M226" s="273"/>
      <c r="N226" s="273"/>
      <c r="O226" s="271"/>
      <c r="P226" s="270"/>
      <c r="Q226" s="271"/>
      <c r="R226" s="23" t="str" cm="1">
        <f t="array" ref="R226">IF($B226="","",IFERROR(IF(INDEX('Data Quality'!$U$4:$U$503,ROW()-3)=0,"PENDING",INDEX('Data Quality'!$U$4:$U$503,ROW()-3)),"PENDING"))</f>
        <v/>
      </c>
      <c r="S226" s="24" t="str">
        <f t="shared" si="52"/>
        <v/>
      </c>
      <c r="T226" s="25" t="str">
        <f t="shared" si="53"/>
        <v/>
      </c>
      <c r="U226" s="25" t="str">
        <f t="shared" si="54"/>
        <v/>
      </c>
      <c r="V226" s="26" t="str">
        <f t="shared" si="55"/>
        <v/>
      </c>
      <c r="W226" s="26" t="str">
        <f t="shared" si="56"/>
        <v/>
      </c>
      <c r="X226" s="25" t="str">
        <f t="shared" si="57"/>
        <v/>
      </c>
      <c r="Y226" s="25" t="str">
        <f t="shared" si="58"/>
        <v/>
      </c>
      <c r="Z226" s="27" t="str">
        <f>IF($B226="","",IF($AK226&lt;=Settings!$C$21,"",IFERROR(AVERAGEIFS($S$4:$S$503,$B$4:$B$503,$B226,$AK$4:$AK$503,"&gt;="&amp;$AK226-Settings!$C$21,$AK$4:$AK$503,"&lt;="&amp;$AK226-1),"")))</f>
        <v/>
      </c>
      <c r="AA226" s="28" t="str">
        <f t="shared" si="59"/>
        <v/>
      </c>
      <c r="AB226" s="25" t="str">
        <f>IF($B226="","",IF($AK226&lt;=Settings!$C$22,"",IFERROR(AVERAGEIFS($K$4:$K$503,$B$4:$B$503,$B226,$AK$4:$AK$503,"&gt;="&amp;$AK226-Settings!$C$22,$AK$4:$AK$503,"&lt;="&amp;$AK226-1),"")))</f>
        <v/>
      </c>
      <c r="AC226" s="27" t="str">
        <f t="shared" si="60"/>
        <v/>
      </c>
      <c r="AD226" s="28" t="str">
        <f>IF($B226="","",IF($AK226&lt;=Settings!$C$23,"",IFERROR($E226/SUMIFS($E$4:$E$503,$B$4:$B$503,$B226,$AK$4:$AK$503,$AK226-Settings!$C$23)-1,"")))</f>
        <v/>
      </c>
      <c r="AE226" s="28" t="str">
        <f>IF($B226="","",IF($AK226&lt;=Settings!$C$22,"",IFERROR($E226/SUMIFS($E$4:$E$503,$B$4:$B$503,$B226,$AK$4:$AK$503,$AK226-Settings!$C$22)-1,"")))</f>
        <v/>
      </c>
      <c r="AF226" s="28" t="str">
        <f t="shared" si="61"/>
        <v/>
      </c>
      <c r="AG226" s="29" t="str">
        <f>IF($B226="","",ROUND((MIN(100,100*N($I226)/Settings!$C$27)+MIN(100,100*N($K226)/Settings!$C$28)+MIN(100,100*N($J226)/Settings!$C$29))/3,1))</f>
        <v/>
      </c>
      <c r="AH226" s="29" t="str">
        <f>IF($B226="","",IF(SUM(Settings!$C$32:$C$37)=0,"",ROUND((Settings!$C$32*$AO226+Settings!$C$33*$AP226+Settings!$C$34*$AQ226+Settings!$C$35*$AR226+Settings!$C$36*$AS226+Settings!$C$37*$AT226)/SUM(Settings!$C$32:$C$37),1)))</f>
        <v/>
      </c>
      <c r="AI226" s="29" t="str">
        <f>IF($B226="","",MAX(0,100-IF(N($N226)&gt;0,0,20)-IF(AND(N($L226)=0,N($M226)=0),15,0)-IF(N($J226)&gt;0,0,10)-IF(N($K226)&gt;0,0,10)-IF($Z226&lt;&gt;"",0,15)-IF($AB226&lt;&gt;"",0,10)-IF($R226="ERROR",20,IF($R226="WARNING",10,0))))</f>
        <v/>
      </c>
      <c r="AJ226" s="30" t="str">
        <f>IF($AH226="","",IF($AH226&lt;Settings!$C$46,"Extreme Sell Pressure",IF($AH226&lt;Settings!$C$47,"Sell Pressure",IF($AH226&lt;=Settings!$C$48,"Neutral",IF($AH226&lt;=Settings!$C$49,"Buy Pressure","Extreme Buy Pressure")))))</f>
        <v/>
      </c>
      <c r="AK226" s="30" t="str">
        <f t="shared" si="62"/>
        <v/>
      </c>
      <c r="AL226" s="30" t="str">
        <f t="shared" si="63"/>
        <v/>
      </c>
      <c r="AM226" s="30" t="str">
        <f t="shared" si="64"/>
        <v/>
      </c>
      <c r="AN226" s="30" t="str">
        <f t="shared" si="65"/>
        <v/>
      </c>
      <c r="AO226" s="29" t="str">
        <f>IF($B226="","",IF(AND(N($L226)=0,N($M226)=0),50,IF(N($M226)=0,100,IF(N($L226)=0,0,MEDIAN(0,100,50+50*LN($S226)/LN(Settings!$C$40))))))</f>
        <v/>
      </c>
      <c r="AP226" s="29">
        <f>IF($AA226="",50,MEDIAN(0,100,50+$AA226*100*Settings!$C$41))</f>
        <v>50</v>
      </c>
      <c r="AQ226" s="29">
        <f>IF($H226="",50,MEDIAN(0,100,50+$H226*100*Settings!$C$42))</f>
        <v>50</v>
      </c>
      <c r="AR226" s="29">
        <f>IF(OR($AC226="",$H226=""),50,MEDIAN(0,100,50+SIGN($H226)*50*MEDIAN(0,1,($AC226-1)/Settings!$C$43)))</f>
        <v>50</v>
      </c>
      <c r="AS226" s="29">
        <f>IF(OR($V226="",$W226=""),50,MEDIAN(0,100,50+50*($V226-$W226)/Settings!$C$44))</f>
        <v>50</v>
      </c>
      <c r="AT226" s="29">
        <f t="shared" si="66"/>
        <v>50</v>
      </c>
      <c r="AU226" s="30" t="str">
        <f t="shared" si="67"/>
        <v/>
      </c>
      <c r="AV226" s="87" t="str">
        <f>IF($A226="","",IF(COUNTIFS($A$4:$A226,$A226)=1,1,0))</f>
        <v/>
      </c>
    </row>
    <row r="227" spans="1:48" x14ac:dyDescent="0.3">
      <c r="A227" s="270"/>
      <c r="B227" s="271"/>
      <c r="C227" s="272"/>
      <c r="D227" s="272"/>
      <c r="E227" s="272"/>
      <c r="F227" s="272"/>
      <c r="G227" s="272"/>
      <c r="H227" s="268" t="str">
        <f t="shared" si="51"/>
        <v/>
      </c>
      <c r="I227" s="273"/>
      <c r="J227" s="273"/>
      <c r="K227" s="273"/>
      <c r="L227" s="273"/>
      <c r="M227" s="273"/>
      <c r="N227" s="273"/>
      <c r="O227" s="271"/>
      <c r="P227" s="270"/>
      <c r="Q227" s="271"/>
      <c r="R227" s="23" t="str" cm="1">
        <f t="array" ref="R227">IF($B227="","",IFERROR(IF(INDEX('Data Quality'!$U$4:$U$503,ROW()-3)=0,"PENDING",INDEX('Data Quality'!$U$4:$U$503,ROW()-3)),"PENDING"))</f>
        <v/>
      </c>
      <c r="S227" s="24" t="str">
        <f t="shared" si="52"/>
        <v/>
      </c>
      <c r="T227" s="25" t="str">
        <f t="shared" si="53"/>
        <v/>
      </c>
      <c r="U227" s="25" t="str">
        <f t="shared" si="54"/>
        <v/>
      </c>
      <c r="V227" s="26" t="str">
        <f t="shared" si="55"/>
        <v/>
      </c>
      <c r="W227" s="26" t="str">
        <f t="shared" si="56"/>
        <v/>
      </c>
      <c r="X227" s="25" t="str">
        <f t="shared" si="57"/>
        <v/>
      </c>
      <c r="Y227" s="25" t="str">
        <f t="shared" si="58"/>
        <v/>
      </c>
      <c r="Z227" s="27" t="str">
        <f>IF($B227="","",IF($AK227&lt;=Settings!$C$21,"",IFERROR(AVERAGEIFS($S$4:$S$503,$B$4:$B$503,$B227,$AK$4:$AK$503,"&gt;="&amp;$AK227-Settings!$C$21,$AK$4:$AK$503,"&lt;="&amp;$AK227-1),"")))</f>
        <v/>
      </c>
      <c r="AA227" s="28" t="str">
        <f t="shared" si="59"/>
        <v/>
      </c>
      <c r="AB227" s="25" t="str">
        <f>IF($B227="","",IF($AK227&lt;=Settings!$C$22,"",IFERROR(AVERAGEIFS($K$4:$K$503,$B$4:$B$503,$B227,$AK$4:$AK$503,"&gt;="&amp;$AK227-Settings!$C$22,$AK$4:$AK$503,"&lt;="&amp;$AK227-1),"")))</f>
        <v/>
      </c>
      <c r="AC227" s="27" t="str">
        <f t="shared" si="60"/>
        <v/>
      </c>
      <c r="AD227" s="28" t="str">
        <f>IF($B227="","",IF($AK227&lt;=Settings!$C$23,"",IFERROR($E227/SUMIFS($E$4:$E$503,$B$4:$B$503,$B227,$AK$4:$AK$503,$AK227-Settings!$C$23)-1,"")))</f>
        <v/>
      </c>
      <c r="AE227" s="28" t="str">
        <f>IF($B227="","",IF($AK227&lt;=Settings!$C$22,"",IFERROR($E227/SUMIFS($E$4:$E$503,$B$4:$B$503,$B227,$AK$4:$AK$503,$AK227-Settings!$C$22)-1,"")))</f>
        <v/>
      </c>
      <c r="AF227" s="28" t="str">
        <f t="shared" si="61"/>
        <v/>
      </c>
      <c r="AG227" s="29" t="str">
        <f>IF($B227="","",ROUND((MIN(100,100*N($I227)/Settings!$C$27)+MIN(100,100*N($K227)/Settings!$C$28)+MIN(100,100*N($J227)/Settings!$C$29))/3,1))</f>
        <v/>
      </c>
      <c r="AH227" s="29" t="str">
        <f>IF($B227="","",IF(SUM(Settings!$C$32:$C$37)=0,"",ROUND((Settings!$C$32*$AO227+Settings!$C$33*$AP227+Settings!$C$34*$AQ227+Settings!$C$35*$AR227+Settings!$C$36*$AS227+Settings!$C$37*$AT227)/SUM(Settings!$C$32:$C$37),1)))</f>
        <v/>
      </c>
      <c r="AI227" s="29" t="str">
        <f>IF($B227="","",MAX(0,100-IF(N($N227)&gt;0,0,20)-IF(AND(N($L227)=0,N($M227)=0),15,0)-IF(N($J227)&gt;0,0,10)-IF(N($K227)&gt;0,0,10)-IF($Z227&lt;&gt;"",0,15)-IF($AB227&lt;&gt;"",0,10)-IF($R227="ERROR",20,IF($R227="WARNING",10,0))))</f>
        <v/>
      </c>
      <c r="AJ227" s="30" t="str">
        <f>IF($AH227="","",IF($AH227&lt;Settings!$C$46,"Extreme Sell Pressure",IF($AH227&lt;Settings!$C$47,"Sell Pressure",IF($AH227&lt;=Settings!$C$48,"Neutral",IF($AH227&lt;=Settings!$C$49,"Buy Pressure","Extreme Buy Pressure")))))</f>
        <v/>
      </c>
      <c r="AK227" s="30" t="str">
        <f t="shared" si="62"/>
        <v/>
      </c>
      <c r="AL227" s="30" t="str">
        <f t="shared" si="63"/>
        <v/>
      </c>
      <c r="AM227" s="30" t="str">
        <f t="shared" si="64"/>
        <v/>
      </c>
      <c r="AN227" s="30" t="str">
        <f t="shared" si="65"/>
        <v/>
      </c>
      <c r="AO227" s="29" t="str">
        <f>IF($B227="","",IF(AND(N($L227)=0,N($M227)=0),50,IF(N($M227)=0,100,IF(N($L227)=0,0,MEDIAN(0,100,50+50*LN($S227)/LN(Settings!$C$40))))))</f>
        <v/>
      </c>
      <c r="AP227" s="29">
        <f>IF($AA227="",50,MEDIAN(0,100,50+$AA227*100*Settings!$C$41))</f>
        <v>50</v>
      </c>
      <c r="AQ227" s="29">
        <f>IF($H227="",50,MEDIAN(0,100,50+$H227*100*Settings!$C$42))</f>
        <v>50</v>
      </c>
      <c r="AR227" s="29">
        <f>IF(OR($AC227="",$H227=""),50,MEDIAN(0,100,50+SIGN($H227)*50*MEDIAN(0,1,($AC227-1)/Settings!$C$43)))</f>
        <v>50</v>
      </c>
      <c r="AS227" s="29">
        <f>IF(OR($V227="",$W227=""),50,MEDIAN(0,100,50+50*($V227-$W227)/Settings!$C$44))</f>
        <v>50</v>
      </c>
      <c r="AT227" s="29">
        <f t="shared" si="66"/>
        <v>50</v>
      </c>
      <c r="AU227" s="30" t="str">
        <f t="shared" si="67"/>
        <v/>
      </c>
      <c r="AV227" s="87" t="str">
        <f>IF($A227="","",IF(COUNTIFS($A$4:$A227,$A227)=1,1,0))</f>
        <v/>
      </c>
    </row>
    <row r="228" spans="1:48" x14ac:dyDescent="0.3">
      <c r="A228" s="270"/>
      <c r="B228" s="271"/>
      <c r="C228" s="272"/>
      <c r="D228" s="272"/>
      <c r="E228" s="272"/>
      <c r="F228" s="272"/>
      <c r="G228" s="272"/>
      <c r="H228" s="268" t="str">
        <f t="shared" si="51"/>
        <v/>
      </c>
      <c r="I228" s="273"/>
      <c r="J228" s="273"/>
      <c r="K228" s="273"/>
      <c r="L228" s="273"/>
      <c r="M228" s="273"/>
      <c r="N228" s="273"/>
      <c r="O228" s="271"/>
      <c r="P228" s="270"/>
      <c r="Q228" s="271"/>
      <c r="R228" s="23" t="str" cm="1">
        <f t="array" ref="R228">IF($B228="","",IFERROR(IF(INDEX('Data Quality'!$U$4:$U$503,ROW()-3)=0,"PENDING",INDEX('Data Quality'!$U$4:$U$503,ROW()-3)),"PENDING"))</f>
        <v/>
      </c>
      <c r="S228" s="24" t="str">
        <f t="shared" si="52"/>
        <v/>
      </c>
      <c r="T228" s="25" t="str">
        <f t="shared" si="53"/>
        <v/>
      </c>
      <c r="U228" s="25" t="str">
        <f t="shared" si="54"/>
        <v/>
      </c>
      <c r="V228" s="26" t="str">
        <f t="shared" si="55"/>
        <v/>
      </c>
      <c r="W228" s="26" t="str">
        <f t="shared" si="56"/>
        <v/>
      </c>
      <c r="X228" s="25" t="str">
        <f t="shared" si="57"/>
        <v/>
      </c>
      <c r="Y228" s="25" t="str">
        <f t="shared" si="58"/>
        <v/>
      </c>
      <c r="Z228" s="27" t="str">
        <f>IF($B228="","",IF($AK228&lt;=Settings!$C$21,"",IFERROR(AVERAGEIFS($S$4:$S$503,$B$4:$B$503,$B228,$AK$4:$AK$503,"&gt;="&amp;$AK228-Settings!$C$21,$AK$4:$AK$503,"&lt;="&amp;$AK228-1),"")))</f>
        <v/>
      </c>
      <c r="AA228" s="28" t="str">
        <f t="shared" si="59"/>
        <v/>
      </c>
      <c r="AB228" s="25" t="str">
        <f>IF($B228="","",IF($AK228&lt;=Settings!$C$22,"",IFERROR(AVERAGEIFS($K$4:$K$503,$B$4:$B$503,$B228,$AK$4:$AK$503,"&gt;="&amp;$AK228-Settings!$C$22,$AK$4:$AK$503,"&lt;="&amp;$AK228-1),"")))</f>
        <v/>
      </c>
      <c r="AC228" s="27" t="str">
        <f t="shared" si="60"/>
        <v/>
      </c>
      <c r="AD228" s="28" t="str">
        <f>IF($B228="","",IF($AK228&lt;=Settings!$C$23,"",IFERROR($E228/SUMIFS($E$4:$E$503,$B$4:$B$503,$B228,$AK$4:$AK$503,$AK228-Settings!$C$23)-1,"")))</f>
        <v/>
      </c>
      <c r="AE228" s="28" t="str">
        <f>IF($B228="","",IF($AK228&lt;=Settings!$C$22,"",IFERROR($E228/SUMIFS($E$4:$E$503,$B$4:$B$503,$B228,$AK$4:$AK$503,$AK228-Settings!$C$22)-1,"")))</f>
        <v/>
      </c>
      <c r="AF228" s="28" t="str">
        <f t="shared" si="61"/>
        <v/>
      </c>
      <c r="AG228" s="29" t="str">
        <f>IF($B228="","",ROUND((MIN(100,100*N($I228)/Settings!$C$27)+MIN(100,100*N($K228)/Settings!$C$28)+MIN(100,100*N($J228)/Settings!$C$29))/3,1))</f>
        <v/>
      </c>
      <c r="AH228" s="29" t="str">
        <f>IF($B228="","",IF(SUM(Settings!$C$32:$C$37)=0,"",ROUND((Settings!$C$32*$AO228+Settings!$C$33*$AP228+Settings!$C$34*$AQ228+Settings!$C$35*$AR228+Settings!$C$36*$AS228+Settings!$C$37*$AT228)/SUM(Settings!$C$32:$C$37),1)))</f>
        <v/>
      </c>
      <c r="AI228" s="29" t="str">
        <f>IF($B228="","",MAX(0,100-IF(N($N228)&gt;0,0,20)-IF(AND(N($L228)=0,N($M228)=0),15,0)-IF(N($J228)&gt;0,0,10)-IF(N($K228)&gt;0,0,10)-IF($Z228&lt;&gt;"",0,15)-IF($AB228&lt;&gt;"",0,10)-IF($R228="ERROR",20,IF($R228="WARNING",10,0))))</f>
        <v/>
      </c>
      <c r="AJ228" s="30" t="str">
        <f>IF($AH228="","",IF($AH228&lt;Settings!$C$46,"Extreme Sell Pressure",IF($AH228&lt;Settings!$C$47,"Sell Pressure",IF($AH228&lt;=Settings!$C$48,"Neutral",IF($AH228&lt;=Settings!$C$49,"Buy Pressure","Extreme Buy Pressure")))))</f>
        <v/>
      </c>
      <c r="AK228" s="30" t="str">
        <f t="shared" si="62"/>
        <v/>
      </c>
      <c r="AL228" s="30" t="str">
        <f t="shared" si="63"/>
        <v/>
      </c>
      <c r="AM228" s="30" t="str">
        <f t="shared" si="64"/>
        <v/>
      </c>
      <c r="AN228" s="30" t="str">
        <f t="shared" si="65"/>
        <v/>
      </c>
      <c r="AO228" s="29" t="str">
        <f>IF($B228="","",IF(AND(N($L228)=0,N($M228)=0),50,IF(N($M228)=0,100,IF(N($L228)=0,0,MEDIAN(0,100,50+50*LN($S228)/LN(Settings!$C$40))))))</f>
        <v/>
      </c>
      <c r="AP228" s="29">
        <f>IF($AA228="",50,MEDIAN(0,100,50+$AA228*100*Settings!$C$41))</f>
        <v>50</v>
      </c>
      <c r="AQ228" s="29">
        <f>IF($H228="",50,MEDIAN(0,100,50+$H228*100*Settings!$C$42))</f>
        <v>50</v>
      </c>
      <c r="AR228" s="29">
        <f>IF(OR($AC228="",$H228=""),50,MEDIAN(0,100,50+SIGN($H228)*50*MEDIAN(0,1,($AC228-1)/Settings!$C$43)))</f>
        <v>50</v>
      </c>
      <c r="AS228" s="29">
        <f>IF(OR($V228="",$W228=""),50,MEDIAN(0,100,50+50*($V228-$W228)/Settings!$C$44))</f>
        <v>50</v>
      </c>
      <c r="AT228" s="29">
        <f t="shared" si="66"/>
        <v>50</v>
      </c>
      <c r="AU228" s="30" t="str">
        <f t="shared" si="67"/>
        <v/>
      </c>
      <c r="AV228" s="87" t="str">
        <f>IF($A228="","",IF(COUNTIFS($A$4:$A228,$A228)=1,1,0))</f>
        <v/>
      </c>
    </row>
    <row r="229" spans="1:48" x14ac:dyDescent="0.3">
      <c r="A229" s="270"/>
      <c r="B229" s="271"/>
      <c r="C229" s="272"/>
      <c r="D229" s="272"/>
      <c r="E229" s="272"/>
      <c r="F229" s="272"/>
      <c r="G229" s="272"/>
      <c r="H229" s="268" t="str">
        <f t="shared" si="51"/>
        <v/>
      </c>
      <c r="I229" s="273"/>
      <c r="J229" s="273"/>
      <c r="K229" s="273"/>
      <c r="L229" s="273"/>
      <c r="M229" s="273"/>
      <c r="N229" s="273"/>
      <c r="O229" s="271"/>
      <c r="P229" s="270"/>
      <c r="Q229" s="271"/>
      <c r="R229" s="23" t="str" cm="1">
        <f t="array" ref="R229">IF($B229="","",IFERROR(IF(INDEX('Data Quality'!$U$4:$U$503,ROW()-3)=0,"PENDING",INDEX('Data Quality'!$U$4:$U$503,ROW()-3)),"PENDING"))</f>
        <v/>
      </c>
      <c r="S229" s="24" t="str">
        <f t="shared" si="52"/>
        <v/>
      </c>
      <c r="T229" s="25" t="str">
        <f t="shared" si="53"/>
        <v/>
      </c>
      <c r="U229" s="25" t="str">
        <f t="shared" si="54"/>
        <v/>
      </c>
      <c r="V229" s="26" t="str">
        <f t="shared" si="55"/>
        <v/>
      </c>
      <c r="W229" s="26" t="str">
        <f t="shared" si="56"/>
        <v/>
      </c>
      <c r="X229" s="25" t="str">
        <f t="shared" si="57"/>
        <v/>
      </c>
      <c r="Y229" s="25" t="str">
        <f t="shared" si="58"/>
        <v/>
      </c>
      <c r="Z229" s="27" t="str">
        <f>IF($B229="","",IF($AK229&lt;=Settings!$C$21,"",IFERROR(AVERAGEIFS($S$4:$S$503,$B$4:$B$503,$B229,$AK$4:$AK$503,"&gt;="&amp;$AK229-Settings!$C$21,$AK$4:$AK$503,"&lt;="&amp;$AK229-1),"")))</f>
        <v/>
      </c>
      <c r="AA229" s="28" t="str">
        <f t="shared" si="59"/>
        <v/>
      </c>
      <c r="AB229" s="25" t="str">
        <f>IF($B229="","",IF($AK229&lt;=Settings!$C$22,"",IFERROR(AVERAGEIFS($K$4:$K$503,$B$4:$B$503,$B229,$AK$4:$AK$503,"&gt;="&amp;$AK229-Settings!$C$22,$AK$4:$AK$503,"&lt;="&amp;$AK229-1),"")))</f>
        <v/>
      </c>
      <c r="AC229" s="27" t="str">
        <f t="shared" si="60"/>
        <v/>
      </c>
      <c r="AD229" s="28" t="str">
        <f>IF($B229="","",IF($AK229&lt;=Settings!$C$23,"",IFERROR($E229/SUMIFS($E$4:$E$503,$B$4:$B$503,$B229,$AK$4:$AK$503,$AK229-Settings!$C$23)-1,"")))</f>
        <v/>
      </c>
      <c r="AE229" s="28" t="str">
        <f>IF($B229="","",IF($AK229&lt;=Settings!$C$22,"",IFERROR($E229/SUMIFS($E$4:$E$503,$B$4:$B$503,$B229,$AK$4:$AK$503,$AK229-Settings!$C$22)-1,"")))</f>
        <v/>
      </c>
      <c r="AF229" s="28" t="str">
        <f t="shared" si="61"/>
        <v/>
      </c>
      <c r="AG229" s="29" t="str">
        <f>IF($B229="","",ROUND((MIN(100,100*N($I229)/Settings!$C$27)+MIN(100,100*N($K229)/Settings!$C$28)+MIN(100,100*N($J229)/Settings!$C$29))/3,1))</f>
        <v/>
      </c>
      <c r="AH229" s="29" t="str">
        <f>IF($B229="","",IF(SUM(Settings!$C$32:$C$37)=0,"",ROUND((Settings!$C$32*$AO229+Settings!$C$33*$AP229+Settings!$C$34*$AQ229+Settings!$C$35*$AR229+Settings!$C$36*$AS229+Settings!$C$37*$AT229)/SUM(Settings!$C$32:$C$37),1)))</f>
        <v/>
      </c>
      <c r="AI229" s="29" t="str">
        <f>IF($B229="","",MAX(0,100-IF(N($N229)&gt;0,0,20)-IF(AND(N($L229)=0,N($M229)=0),15,0)-IF(N($J229)&gt;0,0,10)-IF(N($K229)&gt;0,0,10)-IF($Z229&lt;&gt;"",0,15)-IF($AB229&lt;&gt;"",0,10)-IF($R229="ERROR",20,IF($R229="WARNING",10,0))))</f>
        <v/>
      </c>
      <c r="AJ229" s="30" t="str">
        <f>IF($AH229="","",IF($AH229&lt;Settings!$C$46,"Extreme Sell Pressure",IF($AH229&lt;Settings!$C$47,"Sell Pressure",IF($AH229&lt;=Settings!$C$48,"Neutral",IF($AH229&lt;=Settings!$C$49,"Buy Pressure","Extreme Buy Pressure")))))</f>
        <v/>
      </c>
      <c r="AK229" s="30" t="str">
        <f t="shared" si="62"/>
        <v/>
      </c>
      <c r="AL229" s="30" t="str">
        <f t="shared" si="63"/>
        <v/>
      </c>
      <c r="AM229" s="30" t="str">
        <f t="shared" si="64"/>
        <v/>
      </c>
      <c r="AN229" s="30" t="str">
        <f t="shared" si="65"/>
        <v/>
      </c>
      <c r="AO229" s="29" t="str">
        <f>IF($B229="","",IF(AND(N($L229)=0,N($M229)=0),50,IF(N($M229)=0,100,IF(N($L229)=0,0,MEDIAN(0,100,50+50*LN($S229)/LN(Settings!$C$40))))))</f>
        <v/>
      </c>
      <c r="AP229" s="29">
        <f>IF($AA229="",50,MEDIAN(0,100,50+$AA229*100*Settings!$C$41))</f>
        <v>50</v>
      </c>
      <c r="AQ229" s="29">
        <f>IF($H229="",50,MEDIAN(0,100,50+$H229*100*Settings!$C$42))</f>
        <v>50</v>
      </c>
      <c r="AR229" s="29">
        <f>IF(OR($AC229="",$H229=""),50,MEDIAN(0,100,50+SIGN($H229)*50*MEDIAN(0,1,($AC229-1)/Settings!$C$43)))</f>
        <v>50</v>
      </c>
      <c r="AS229" s="29">
        <f>IF(OR($V229="",$W229=""),50,MEDIAN(0,100,50+50*($V229-$W229)/Settings!$C$44))</f>
        <v>50</v>
      </c>
      <c r="AT229" s="29">
        <f t="shared" si="66"/>
        <v>50</v>
      </c>
      <c r="AU229" s="30" t="str">
        <f t="shared" si="67"/>
        <v/>
      </c>
      <c r="AV229" s="87" t="str">
        <f>IF($A229="","",IF(COUNTIFS($A$4:$A229,$A229)=1,1,0))</f>
        <v/>
      </c>
    </row>
    <row r="230" spans="1:48" x14ac:dyDescent="0.3">
      <c r="A230" s="270"/>
      <c r="B230" s="271"/>
      <c r="C230" s="272"/>
      <c r="D230" s="272"/>
      <c r="E230" s="272"/>
      <c r="F230" s="272"/>
      <c r="G230" s="272"/>
      <c r="H230" s="268" t="str">
        <f t="shared" si="51"/>
        <v/>
      </c>
      <c r="I230" s="273"/>
      <c r="J230" s="273"/>
      <c r="K230" s="273"/>
      <c r="L230" s="273"/>
      <c r="M230" s="273"/>
      <c r="N230" s="273"/>
      <c r="O230" s="271"/>
      <c r="P230" s="270"/>
      <c r="Q230" s="271"/>
      <c r="R230" s="23" t="str" cm="1">
        <f t="array" ref="R230">IF($B230="","",IFERROR(IF(INDEX('Data Quality'!$U$4:$U$503,ROW()-3)=0,"PENDING",INDEX('Data Quality'!$U$4:$U$503,ROW()-3)),"PENDING"))</f>
        <v/>
      </c>
      <c r="S230" s="24" t="str">
        <f t="shared" si="52"/>
        <v/>
      </c>
      <c r="T230" s="25" t="str">
        <f t="shared" si="53"/>
        <v/>
      </c>
      <c r="U230" s="25" t="str">
        <f t="shared" si="54"/>
        <v/>
      </c>
      <c r="V230" s="26" t="str">
        <f t="shared" si="55"/>
        <v/>
      </c>
      <c r="W230" s="26" t="str">
        <f t="shared" si="56"/>
        <v/>
      </c>
      <c r="X230" s="25" t="str">
        <f t="shared" si="57"/>
        <v/>
      </c>
      <c r="Y230" s="25" t="str">
        <f t="shared" si="58"/>
        <v/>
      </c>
      <c r="Z230" s="27" t="str">
        <f>IF($B230="","",IF($AK230&lt;=Settings!$C$21,"",IFERROR(AVERAGEIFS($S$4:$S$503,$B$4:$B$503,$B230,$AK$4:$AK$503,"&gt;="&amp;$AK230-Settings!$C$21,$AK$4:$AK$503,"&lt;="&amp;$AK230-1),"")))</f>
        <v/>
      </c>
      <c r="AA230" s="28" t="str">
        <f t="shared" si="59"/>
        <v/>
      </c>
      <c r="AB230" s="25" t="str">
        <f>IF($B230="","",IF($AK230&lt;=Settings!$C$22,"",IFERROR(AVERAGEIFS($K$4:$K$503,$B$4:$B$503,$B230,$AK$4:$AK$503,"&gt;="&amp;$AK230-Settings!$C$22,$AK$4:$AK$503,"&lt;="&amp;$AK230-1),"")))</f>
        <v/>
      </c>
      <c r="AC230" s="27" t="str">
        <f t="shared" si="60"/>
        <v/>
      </c>
      <c r="AD230" s="28" t="str">
        <f>IF($B230="","",IF($AK230&lt;=Settings!$C$23,"",IFERROR($E230/SUMIFS($E$4:$E$503,$B$4:$B$503,$B230,$AK$4:$AK$503,$AK230-Settings!$C$23)-1,"")))</f>
        <v/>
      </c>
      <c r="AE230" s="28" t="str">
        <f>IF($B230="","",IF($AK230&lt;=Settings!$C$22,"",IFERROR($E230/SUMIFS($E$4:$E$503,$B$4:$B$503,$B230,$AK$4:$AK$503,$AK230-Settings!$C$22)-1,"")))</f>
        <v/>
      </c>
      <c r="AF230" s="28" t="str">
        <f t="shared" si="61"/>
        <v/>
      </c>
      <c r="AG230" s="29" t="str">
        <f>IF($B230="","",ROUND((MIN(100,100*N($I230)/Settings!$C$27)+MIN(100,100*N($K230)/Settings!$C$28)+MIN(100,100*N($J230)/Settings!$C$29))/3,1))</f>
        <v/>
      </c>
      <c r="AH230" s="29" t="str">
        <f>IF($B230="","",IF(SUM(Settings!$C$32:$C$37)=0,"",ROUND((Settings!$C$32*$AO230+Settings!$C$33*$AP230+Settings!$C$34*$AQ230+Settings!$C$35*$AR230+Settings!$C$36*$AS230+Settings!$C$37*$AT230)/SUM(Settings!$C$32:$C$37),1)))</f>
        <v/>
      </c>
      <c r="AI230" s="29" t="str">
        <f>IF($B230="","",MAX(0,100-IF(N($N230)&gt;0,0,20)-IF(AND(N($L230)=0,N($M230)=0),15,0)-IF(N($J230)&gt;0,0,10)-IF(N($K230)&gt;0,0,10)-IF($Z230&lt;&gt;"",0,15)-IF($AB230&lt;&gt;"",0,10)-IF($R230="ERROR",20,IF($R230="WARNING",10,0))))</f>
        <v/>
      </c>
      <c r="AJ230" s="30" t="str">
        <f>IF($AH230="","",IF($AH230&lt;Settings!$C$46,"Extreme Sell Pressure",IF($AH230&lt;Settings!$C$47,"Sell Pressure",IF($AH230&lt;=Settings!$C$48,"Neutral",IF($AH230&lt;=Settings!$C$49,"Buy Pressure","Extreme Buy Pressure")))))</f>
        <v/>
      </c>
      <c r="AK230" s="30" t="str">
        <f t="shared" si="62"/>
        <v/>
      </c>
      <c r="AL230" s="30" t="str">
        <f t="shared" si="63"/>
        <v/>
      </c>
      <c r="AM230" s="30" t="str">
        <f t="shared" si="64"/>
        <v/>
      </c>
      <c r="AN230" s="30" t="str">
        <f t="shared" si="65"/>
        <v/>
      </c>
      <c r="AO230" s="29" t="str">
        <f>IF($B230="","",IF(AND(N($L230)=0,N($M230)=0),50,IF(N($M230)=0,100,IF(N($L230)=0,0,MEDIAN(0,100,50+50*LN($S230)/LN(Settings!$C$40))))))</f>
        <v/>
      </c>
      <c r="AP230" s="29">
        <f>IF($AA230="",50,MEDIAN(0,100,50+$AA230*100*Settings!$C$41))</f>
        <v>50</v>
      </c>
      <c r="AQ230" s="29">
        <f>IF($H230="",50,MEDIAN(0,100,50+$H230*100*Settings!$C$42))</f>
        <v>50</v>
      </c>
      <c r="AR230" s="29">
        <f>IF(OR($AC230="",$H230=""),50,MEDIAN(0,100,50+SIGN($H230)*50*MEDIAN(0,1,($AC230-1)/Settings!$C$43)))</f>
        <v>50</v>
      </c>
      <c r="AS230" s="29">
        <f>IF(OR($V230="",$W230=""),50,MEDIAN(0,100,50+50*($V230-$W230)/Settings!$C$44))</f>
        <v>50</v>
      </c>
      <c r="AT230" s="29">
        <f t="shared" si="66"/>
        <v>50</v>
      </c>
      <c r="AU230" s="30" t="str">
        <f t="shared" si="67"/>
        <v/>
      </c>
      <c r="AV230" s="87" t="str">
        <f>IF($A230="","",IF(COUNTIFS($A$4:$A230,$A230)=1,1,0))</f>
        <v/>
      </c>
    </row>
    <row r="231" spans="1:48" x14ac:dyDescent="0.3">
      <c r="A231" s="270"/>
      <c r="B231" s="271"/>
      <c r="C231" s="272"/>
      <c r="D231" s="272"/>
      <c r="E231" s="272"/>
      <c r="F231" s="272"/>
      <c r="G231" s="272"/>
      <c r="H231" s="268" t="str">
        <f t="shared" si="51"/>
        <v/>
      </c>
      <c r="I231" s="273"/>
      <c r="J231" s="273"/>
      <c r="K231" s="273"/>
      <c r="L231" s="273"/>
      <c r="M231" s="273"/>
      <c r="N231" s="273"/>
      <c r="O231" s="271"/>
      <c r="P231" s="270"/>
      <c r="Q231" s="271"/>
      <c r="R231" s="23" t="str" cm="1">
        <f t="array" ref="R231">IF($B231="","",IFERROR(IF(INDEX('Data Quality'!$U$4:$U$503,ROW()-3)=0,"PENDING",INDEX('Data Quality'!$U$4:$U$503,ROW()-3)),"PENDING"))</f>
        <v/>
      </c>
      <c r="S231" s="24" t="str">
        <f t="shared" si="52"/>
        <v/>
      </c>
      <c r="T231" s="25" t="str">
        <f t="shared" si="53"/>
        <v/>
      </c>
      <c r="U231" s="25" t="str">
        <f t="shared" si="54"/>
        <v/>
      </c>
      <c r="V231" s="26" t="str">
        <f t="shared" si="55"/>
        <v/>
      </c>
      <c r="W231" s="26" t="str">
        <f t="shared" si="56"/>
        <v/>
      </c>
      <c r="X231" s="25" t="str">
        <f t="shared" si="57"/>
        <v/>
      </c>
      <c r="Y231" s="25" t="str">
        <f t="shared" si="58"/>
        <v/>
      </c>
      <c r="Z231" s="27" t="str">
        <f>IF($B231="","",IF($AK231&lt;=Settings!$C$21,"",IFERROR(AVERAGEIFS($S$4:$S$503,$B$4:$B$503,$B231,$AK$4:$AK$503,"&gt;="&amp;$AK231-Settings!$C$21,$AK$4:$AK$503,"&lt;="&amp;$AK231-1),"")))</f>
        <v/>
      </c>
      <c r="AA231" s="28" t="str">
        <f t="shared" si="59"/>
        <v/>
      </c>
      <c r="AB231" s="25" t="str">
        <f>IF($B231="","",IF($AK231&lt;=Settings!$C$22,"",IFERROR(AVERAGEIFS($K$4:$K$503,$B$4:$B$503,$B231,$AK$4:$AK$503,"&gt;="&amp;$AK231-Settings!$C$22,$AK$4:$AK$503,"&lt;="&amp;$AK231-1),"")))</f>
        <v/>
      </c>
      <c r="AC231" s="27" t="str">
        <f t="shared" si="60"/>
        <v/>
      </c>
      <c r="AD231" s="28" t="str">
        <f>IF($B231="","",IF($AK231&lt;=Settings!$C$23,"",IFERROR($E231/SUMIFS($E$4:$E$503,$B$4:$B$503,$B231,$AK$4:$AK$503,$AK231-Settings!$C$23)-1,"")))</f>
        <v/>
      </c>
      <c r="AE231" s="28" t="str">
        <f>IF($B231="","",IF($AK231&lt;=Settings!$C$22,"",IFERROR($E231/SUMIFS($E$4:$E$503,$B$4:$B$503,$B231,$AK$4:$AK$503,$AK231-Settings!$C$22)-1,"")))</f>
        <v/>
      </c>
      <c r="AF231" s="28" t="str">
        <f t="shared" si="61"/>
        <v/>
      </c>
      <c r="AG231" s="29" t="str">
        <f>IF($B231="","",ROUND((MIN(100,100*N($I231)/Settings!$C$27)+MIN(100,100*N($K231)/Settings!$C$28)+MIN(100,100*N($J231)/Settings!$C$29))/3,1))</f>
        <v/>
      </c>
      <c r="AH231" s="29" t="str">
        <f>IF($B231="","",IF(SUM(Settings!$C$32:$C$37)=0,"",ROUND((Settings!$C$32*$AO231+Settings!$C$33*$AP231+Settings!$C$34*$AQ231+Settings!$C$35*$AR231+Settings!$C$36*$AS231+Settings!$C$37*$AT231)/SUM(Settings!$C$32:$C$37),1)))</f>
        <v/>
      </c>
      <c r="AI231" s="29" t="str">
        <f>IF($B231="","",MAX(0,100-IF(N($N231)&gt;0,0,20)-IF(AND(N($L231)=0,N($M231)=0),15,0)-IF(N($J231)&gt;0,0,10)-IF(N($K231)&gt;0,0,10)-IF($Z231&lt;&gt;"",0,15)-IF($AB231&lt;&gt;"",0,10)-IF($R231="ERROR",20,IF($R231="WARNING",10,0))))</f>
        <v/>
      </c>
      <c r="AJ231" s="30" t="str">
        <f>IF($AH231="","",IF($AH231&lt;Settings!$C$46,"Extreme Sell Pressure",IF($AH231&lt;Settings!$C$47,"Sell Pressure",IF($AH231&lt;=Settings!$C$48,"Neutral",IF($AH231&lt;=Settings!$C$49,"Buy Pressure","Extreme Buy Pressure")))))</f>
        <v/>
      </c>
      <c r="AK231" s="30" t="str">
        <f t="shared" si="62"/>
        <v/>
      </c>
      <c r="AL231" s="30" t="str">
        <f t="shared" si="63"/>
        <v/>
      </c>
      <c r="AM231" s="30" t="str">
        <f t="shared" si="64"/>
        <v/>
      </c>
      <c r="AN231" s="30" t="str">
        <f t="shared" si="65"/>
        <v/>
      </c>
      <c r="AO231" s="29" t="str">
        <f>IF($B231="","",IF(AND(N($L231)=0,N($M231)=0),50,IF(N($M231)=0,100,IF(N($L231)=0,0,MEDIAN(0,100,50+50*LN($S231)/LN(Settings!$C$40))))))</f>
        <v/>
      </c>
      <c r="AP231" s="29">
        <f>IF($AA231="",50,MEDIAN(0,100,50+$AA231*100*Settings!$C$41))</f>
        <v>50</v>
      </c>
      <c r="AQ231" s="29">
        <f>IF($H231="",50,MEDIAN(0,100,50+$H231*100*Settings!$C$42))</f>
        <v>50</v>
      </c>
      <c r="AR231" s="29">
        <f>IF(OR($AC231="",$H231=""),50,MEDIAN(0,100,50+SIGN($H231)*50*MEDIAN(0,1,($AC231-1)/Settings!$C$43)))</f>
        <v>50</v>
      </c>
      <c r="AS231" s="29">
        <f>IF(OR($V231="",$W231=""),50,MEDIAN(0,100,50+50*($V231-$W231)/Settings!$C$44))</f>
        <v>50</v>
      </c>
      <c r="AT231" s="29">
        <f t="shared" si="66"/>
        <v>50</v>
      </c>
      <c r="AU231" s="30" t="str">
        <f t="shared" si="67"/>
        <v/>
      </c>
      <c r="AV231" s="87" t="str">
        <f>IF($A231="","",IF(COUNTIFS($A$4:$A231,$A231)=1,1,0))</f>
        <v/>
      </c>
    </row>
    <row r="232" spans="1:48" x14ac:dyDescent="0.3">
      <c r="A232" s="270"/>
      <c r="B232" s="271"/>
      <c r="C232" s="272"/>
      <c r="D232" s="272"/>
      <c r="E232" s="272"/>
      <c r="F232" s="272"/>
      <c r="G232" s="272"/>
      <c r="H232" s="268" t="str">
        <f t="shared" si="51"/>
        <v/>
      </c>
      <c r="I232" s="273"/>
      <c r="J232" s="273"/>
      <c r="K232" s="273"/>
      <c r="L232" s="273"/>
      <c r="M232" s="273"/>
      <c r="N232" s="273"/>
      <c r="O232" s="271"/>
      <c r="P232" s="270"/>
      <c r="Q232" s="271"/>
      <c r="R232" s="23" t="str" cm="1">
        <f t="array" ref="R232">IF($B232="","",IFERROR(IF(INDEX('Data Quality'!$U$4:$U$503,ROW()-3)=0,"PENDING",INDEX('Data Quality'!$U$4:$U$503,ROW()-3)),"PENDING"))</f>
        <v/>
      </c>
      <c r="S232" s="24" t="str">
        <f t="shared" si="52"/>
        <v/>
      </c>
      <c r="T232" s="25" t="str">
        <f t="shared" si="53"/>
        <v/>
      </c>
      <c r="U232" s="25" t="str">
        <f t="shared" si="54"/>
        <v/>
      </c>
      <c r="V232" s="26" t="str">
        <f t="shared" si="55"/>
        <v/>
      </c>
      <c r="W232" s="26" t="str">
        <f t="shared" si="56"/>
        <v/>
      </c>
      <c r="X232" s="25" t="str">
        <f t="shared" si="57"/>
        <v/>
      </c>
      <c r="Y232" s="25" t="str">
        <f t="shared" si="58"/>
        <v/>
      </c>
      <c r="Z232" s="27" t="str">
        <f>IF($B232="","",IF($AK232&lt;=Settings!$C$21,"",IFERROR(AVERAGEIFS($S$4:$S$503,$B$4:$B$503,$B232,$AK$4:$AK$503,"&gt;="&amp;$AK232-Settings!$C$21,$AK$4:$AK$503,"&lt;="&amp;$AK232-1),"")))</f>
        <v/>
      </c>
      <c r="AA232" s="28" t="str">
        <f t="shared" si="59"/>
        <v/>
      </c>
      <c r="AB232" s="25" t="str">
        <f>IF($B232="","",IF($AK232&lt;=Settings!$C$22,"",IFERROR(AVERAGEIFS($K$4:$K$503,$B$4:$B$503,$B232,$AK$4:$AK$503,"&gt;="&amp;$AK232-Settings!$C$22,$AK$4:$AK$503,"&lt;="&amp;$AK232-1),"")))</f>
        <v/>
      </c>
      <c r="AC232" s="27" t="str">
        <f t="shared" si="60"/>
        <v/>
      </c>
      <c r="AD232" s="28" t="str">
        <f>IF($B232="","",IF($AK232&lt;=Settings!$C$23,"",IFERROR($E232/SUMIFS($E$4:$E$503,$B$4:$B$503,$B232,$AK$4:$AK$503,$AK232-Settings!$C$23)-1,"")))</f>
        <v/>
      </c>
      <c r="AE232" s="28" t="str">
        <f>IF($B232="","",IF($AK232&lt;=Settings!$C$22,"",IFERROR($E232/SUMIFS($E$4:$E$503,$B$4:$B$503,$B232,$AK$4:$AK$503,$AK232-Settings!$C$22)-1,"")))</f>
        <v/>
      </c>
      <c r="AF232" s="28" t="str">
        <f t="shared" si="61"/>
        <v/>
      </c>
      <c r="AG232" s="29" t="str">
        <f>IF($B232="","",ROUND((MIN(100,100*N($I232)/Settings!$C$27)+MIN(100,100*N($K232)/Settings!$C$28)+MIN(100,100*N($J232)/Settings!$C$29))/3,1))</f>
        <v/>
      </c>
      <c r="AH232" s="29" t="str">
        <f>IF($B232="","",IF(SUM(Settings!$C$32:$C$37)=0,"",ROUND((Settings!$C$32*$AO232+Settings!$C$33*$AP232+Settings!$C$34*$AQ232+Settings!$C$35*$AR232+Settings!$C$36*$AS232+Settings!$C$37*$AT232)/SUM(Settings!$C$32:$C$37),1)))</f>
        <v/>
      </c>
      <c r="AI232" s="29" t="str">
        <f>IF($B232="","",MAX(0,100-IF(N($N232)&gt;0,0,20)-IF(AND(N($L232)=0,N($M232)=0),15,0)-IF(N($J232)&gt;0,0,10)-IF(N($K232)&gt;0,0,10)-IF($Z232&lt;&gt;"",0,15)-IF($AB232&lt;&gt;"",0,10)-IF($R232="ERROR",20,IF($R232="WARNING",10,0))))</f>
        <v/>
      </c>
      <c r="AJ232" s="30" t="str">
        <f>IF($AH232="","",IF($AH232&lt;Settings!$C$46,"Extreme Sell Pressure",IF($AH232&lt;Settings!$C$47,"Sell Pressure",IF($AH232&lt;=Settings!$C$48,"Neutral",IF($AH232&lt;=Settings!$C$49,"Buy Pressure","Extreme Buy Pressure")))))</f>
        <v/>
      </c>
      <c r="AK232" s="30" t="str">
        <f t="shared" si="62"/>
        <v/>
      </c>
      <c r="AL232" s="30" t="str">
        <f t="shared" si="63"/>
        <v/>
      </c>
      <c r="AM232" s="30" t="str">
        <f t="shared" si="64"/>
        <v/>
      </c>
      <c r="AN232" s="30" t="str">
        <f t="shared" si="65"/>
        <v/>
      </c>
      <c r="AO232" s="29" t="str">
        <f>IF($B232="","",IF(AND(N($L232)=0,N($M232)=0),50,IF(N($M232)=0,100,IF(N($L232)=0,0,MEDIAN(0,100,50+50*LN($S232)/LN(Settings!$C$40))))))</f>
        <v/>
      </c>
      <c r="AP232" s="29">
        <f>IF($AA232="",50,MEDIAN(0,100,50+$AA232*100*Settings!$C$41))</f>
        <v>50</v>
      </c>
      <c r="AQ232" s="29">
        <f>IF($H232="",50,MEDIAN(0,100,50+$H232*100*Settings!$C$42))</f>
        <v>50</v>
      </c>
      <c r="AR232" s="29">
        <f>IF(OR($AC232="",$H232=""),50,MEDIAN(0,100,50+SIGN($H232)*50*MEDIAN(0,1,($AC232-1)/Settings!$C$43)))</f>
        <v>50</v>
      </c>
      <c r="AS232" s="29">
        <f>IF(OR($V232="",$W232=""),50,MEDIAN(0,100,50+50*($V232-$W232)/Settings!$C$44))</f>
        <v>50</v>
      </c>
      <c r="AT232" s="29">
        <f t="shared" si="66"/>
        <v>50</v>
      </c>
      <c r="AU232" s="30" t="str">
        <f t="shared" si="67"/>
        <v/>
      </c>
      <c r="AV232" s="87" t="str">
        <f>IF($A232="","",IF(COUNTIFS($A$4:$A232,$A232)=1,1,0))</f>
        <v/>
      </c>
    </row>
    <row r="233" spans="1:48" x14ac:dyDescent="0.3">
      <c r="A233" s="270"/>
      <c r="B233" s="271"/>
      <c r="C233" s="272"/>
      <c r="D233" s="272"/>
      <c r="E233" s="272"/>
      <c r="F233" s="272"/>
      <c r="G233" s="272"/>
      <c r="H233" s="268" t="str">
        <f t="shared" si="51"/>
        <v/>
      </c>
      <c r="I233" s="273"/>
      <c r="J233" s="273"/>
      <c r="K233" s="273"/>
      <c r="L233" s="273"/>
      <c r="M233" s="273"/>
      <c r="N233" s="273"/>
      <c r="O233" s="271"/>
      <c r="P233" s="270"/>
      <c r="Q233" s="271"/>
      <c r="R233" s="23" t="str" cm="1">
        <f t="array" ref="R233">IF($B233="","",IFERROR(IF(INDEX('Data Quality'!$U$4:$U$503,ROW()-3)=0,"PENDING",INDEX('Data Quality'!$U$4:$U$503,ROW()-3)),"PENDING"))</f>
        <v/>
      </c>
      <c r="S233" s="24" t="str">
        <f t="shared" si="52"/>
        <v/>
      </c>
      <c r="T233" s="25" t="str">
        <f t="shared" si="53"/>
        <v/>
      </c>
      <c r="U233" s="25" t="str">
        <f t="shared" si="54"/>
        <v/>
      </c>
      <c r="V233" s="26" t="str">
        <f t="shared" si="55"/>
        <v/>
      </c>
      <c r="W233" s="26" t="str">
        <f t="shared" si="56"/>
        <v/>
      </c>
      <c r="X233" s="25" t="str">
        <f t="shared" si="57"/>
        <v/>
      </c>
      <c r="Y233" s="25" t="str">
        <f t="shared" si="58"/>
        <v/>
      </c>
      <c r="Z233" s="27" t="str">
        <f>IF($B233="","",IF($AK233&lt;=Settings!$C$21,"",IFERROR(AVERAGEIFS($S$4:$S$503,$B$4:$B$503,$B233,$AK$4:$AK$503,"&gt;="&amp;$AK233-Settings!$C$21,$AK$4:$AK$503,"&lt;="&amp;$AK233-1),"")))</f>
        <v/>
      </c>
      <c r="AA233" s="28" t="str">
        <f t="shared" si="59"/>
        <v/>
      </c>
      <c r="AB233" s="25" t="str">
        <f>IF($B233="","",IF($AK233&lt;=Settings!$C$22,"",IFERROR(AVERAGEIFS($K$4:$K$503,$B$4:$B$503,$B233,$AK$4:$AK$503,"&gt;="&amp;$AK233-Settings!$C$22,$AK$4:$AK$503,"&lt;="&amp;$AK233-1),"")))</f>
        <v/>
      </c>
      <c r="AC233" s="27" t="str">
        <f t="shared" si="60"/>
        <v/>
      </c>
      <c r="AD233" s="28" t="str">
        <f>IF($B233="","",IF($AK233&lt;=Settings!$C$23,"",IFERROR($E233/SUMIFS($E$4:$E$503,$B$4:$B$503,$B233,$AK$4:$AK$503,$AK233-Settings!$C$23)-1,"")))</f>
        <v/>
      </c>
      <c r="AE233" s="28" t="str">
        <f>IF($B233="","",IF($AK233&lt;=Settings!$C$22,"",IFERROR($E233/SUMIFS($E$4:$E$503,$B$4:$B$503,$B233,$AK$4:$AK$503,$AK233-Settings!$C$22)-1,"")))</f>
        <v/>
      </c>
      <c r="AF233" s="28" t="str">
        <f t="shared" si="61"/>
        <v/>
      </c>
      <c r="AG233" s="29" t="str">
        <f>IF($B233="","",ROUND((MIN(100,100*N($I233)/Settings!$C$27)+MIN(100,100*N($K233)/Settings!$C$28)+MIN(100,100*N($J233)/Settings!$C$29))/3,1))</f>
        <v/>
      </c>
      <c r="AH233" s="29" t="str">
        <f>IF($B233="","",IF(SUM(Settings!$C$32:$C$37)=0,"",ROUND((Settings!$C$32*$AO233+Settings!$C$33*$AP233+Settings!$C$34*$AQ233+Settings!$C$35*$AR233+Settings!$C$36*$AS233+Settings!$C$37*$AT233)/SUM(Settings!$C$32:$C$37),1)))</f>
        <v/>
      </c>
      <c r="AI233" s="29" t="str">
        <f>IF($B233="","",MAX(0,100-IF(N($N233)&gt;0,0,20)-IF(AND(N($L233)=0,N($M233)=0),15,0)-IF(N($J233)&gt;0,0,10)-IF(N($K233)&gt;0,0,10)-IF($Z233&lt;&gt;"",0,15)-IF($AB233&lt;&gt;"",0,10)-IF($R233="ERROR",20,IF($R233="WARNING",10,0))))</f>
        <v/>
      </c>
      <c r="AJ233" s="30" t="str">
        <f>IF($AH233="","",IF($AH233&lt;Settings!$C$46,"Extreme Sell Pressure",IF($AH233&lt;Settings!$C$47,"Sell Pressure",IF($AH233&lt;=Settings!$C$48,"Neutral",IF($AH233&lt;=Settings!$C$49,"Buy Pressure","Extreme Buy Pressure")))))</f>
        <v/>
      </c>
      <c r="AK233" s="30" t="str">
        <f t="shared" si="62"/>
        <v/>
      </c>
      <c r="AL233" s="30" t="str">
        <f t="shared" si="63"/>
        <v/>
      </c>
      <c r="AM233" s="30" t="str">
        <f t="shared" si="64"/>
        <v/>
      </c>
      <c r="AN233" s="30" t="str">
        <f t="shared" si="65"/>
        <v/>
      </c>
      <c r="AO233" s="29" t="str">
        <f>IF($B233="","",IF(AND(N($L233)=0,N($M233)=0),50,IF(N($M233)=0,100,IF(N($L233)=0,0,MEDIAN(0,100,50+50*LN($S233)/LN(Settings!$C$40))))))</f>
        <v/>
      </c>
      <c r="AP233" s="29">
        <f>IF($AA233="",50,MEDIAN(0,100,50+$AA233*100*Settings!$C$41))</f>
        <v>50</v>
      </c>
      <c r="AQ233" s="29">
        <f>IF($H233="",50,MEDIAN(0,100,50+$H233*100*Settings!$C$42))</f>
        <v>50</v>
      </c>
      <c r="AR233" s="29">
        <f>IF(OR($AC233="",$H233=""),50,MEDIAN(0,100,50+SIGN($H233)*50*MEDIAN(0,1,($AC233-1)/Settings!$C$43)))</f>
        <v>50</v>
      </c>
      <c r="AS233" s="29">
        <f>IF(OR($V233="",$W233=""),50,MEDIAN(0,100,50+50*($V233-$W233)/Settings!$C$44))</f>
        <v>50</v>
      </c>
      <c r="AT233" s="29">
        <f t="shared" si="66"/>
        <v>50</v>
      </c>
      <c r="AU233" s="30" t="str">
        <f t="shared" si="67"/>
        <v/>
      </c>
      <c r="AV233" s="87" t="str">
        <f>IF($A233="","",IF(COUNTIFS($A$4:$A233,$A233)=1,1,0))</f>
        <v/>
      </c>
    </row>
    <row r="234" spans="1:48" x14ac:dyDescent="0.3">
      <c r="A234" s="270"/>
      <c r="B234" s="271"/>
      <c r="C234" s="272"/>
      <c r="D234" s="272"/>
      <c r="E234" s="272"/>
      <c r="F234" s="272"/>
      <c r="G234" s="272"/>
      <c r="H234" s="268" t="str">
        <f t="shared" si="51"/>
        <v/>
      </c>
      <c r="I234" s="273"/>
      <c r="J234" s="273"/>
      <c r="K234" s="273"/>
      <c r="L234" s="273"/>
      <c r="M234" s="273"/>
      <c r="N234" s="273"/>
      <c r="O234" s="271"/>
      <c r="P234" s="270"/>
      <c r="Q234" s="271"/>
      <c r="R234" s="23" t="str" cm="1">
        <f t="array" ref="R234">IF($B234="","",IFERROR(IF(INDEX('Data Quality'!$U$4:$U$503,ROW()-3)=0,"PENDING",INDEX('Data Quality'!$U$4:$U$503,ROW()-3)),"PENDING"))</f>
        <v/>
      </c>
      <c r="S234" s="24" t="str">
        <f t="shared" si="52"/>
        <v/>
      </c>
      <c r="T234" s="25" t="str">
        <f t="shared" si="53"/>
        <v/>
      </c>
      <c r="U234" s="25" t="str">
        <f t="shared" si="54"/>
        <v/>
      </c>
      <c r="V234" s="26" t="str">
        <f t="shared" si="55"/>
        <v/>
      </c>
      <c r="W234" s="26" t="str">
        <f t="shared" si="56"/>
        <v/>
      </c>
      <c r="X234" s="25" t="str">
        <f t="shared" si="57"/>
        <v/>
      </c>
      <c r="Y234" s="25" t="str">
        <f t="shared" si="58"/>
        <v/>
      </c>
      <c r="Z234" s="27" t="str">
        <f>IF($B234="","",IF($AK234&lt;=Settings!$C$21,"",IFERROR(AVERAGEIFS($S$4:$S$503,$B$4:$B$503,$B234,$AK$4:$AK$503,"&gt;="&amp;$AK234-Settings!$C$21,$AK$4:$AK$503,"&lt;="&amp;$AK234-1),"")))</f>
        <v/>
      </c>
      <c r="AA234" s="28" t="str">
        <f t="shared" si="59"/>
        <v/>
      </c>
      <c r="AB234" s="25" t="str">
        <f>IF($B234="","",IF($AK234&lt;=Settings!$C$22,"",IFERROR(AVERAGEIFS($K$4:$K$503,$B$4:$B$503,$B234,$AK$4:$AK$503,"&gt;="&amp;$AK234-Settings!$C$22,$AK$4:$AK$503,"&lt;="&amp;$AK234-1),"")))</f>
        <v/>
      </c>
      <c r="AC234" s="27" t="str">
        <f t="shared" si="60"/>
        <v/>
      </c>
      <c r="AD234" s="28" t="str">
        <f>IF($B234="","",IF($AK234&lt;=Settings!$C$23,"",IFERROR($E234/SUMIFS($E$4:$E$503,$B$4:$B$503,$B234,$AK$4:$AK$503,$AK234-Settings!$C$23)-1,"")))</f>
        <v/>
      </c>
      <c r="AE234" s="28" t="str">
        <f>IF($B234="","",IF($AK234&lt;=Settings!$C$22,"",IFERROR($E234/SUMIFS($E$4:$E$503,$B$4:$B$503,$B234,$AK$4:$AK$503,$AK234-Settings!$C$22)-1,"")))</f>
        <v/>
      </c>
      <c r="AF234" s="28" t="str">
        <f t="shared" si="61"/>
        <v/>
      </c>
      <c r="AG234" s="29" t="str">
        <f>IF($B234="","",ROUND((MIN(100,100*N($I234)/Settings!$C$27)+MIN(100,100*N($K234)/Settings!$C$28)+MIN(100,100*N($J234)/Settings!$C$29))/3,1))</f>
        <v/>
      </c>
      <c r="AH234" s="29" t="str">
        <f>IF($B234="","",IF(SUM(Settings!$C$32:$C$37)=0,"",ROUND((Settings!$C$32*$AO234+Settings!$C$33*$AP234+Settings!$C$34*$AQ234+Settings!$C$35*$AR234+Settings!$C$36*$AS234+Settings!$C$37*$AT234)/SUM(Settings!$C$32:$C$37),1)))</f>
        <v/>
      </c>
      <c r="AI234" s="29" t="str">
        <f>IF($B234="","",MAX(0,100-IF(N($N234)&gt;0,0,20)-IF(AND(N($L234)=0,N($M234)=0),15,0)-IF(N($J234)&gt;0,0,10)-IF(N($K234)&gt;0,0,10)-IF($Z234&lt;&gt;"",0,15)-IF($AB234&lt;&gt;"",0,10)-IF($R234="ERROR",20,IF($R234="WARNING",10,0))))</f>
        <v/>
      </c>
      <c r="AJ234" s="30" t="str">
        <f>IF($AH234="","",IF($AH234&lt;Settings!$C$46,"Extreme Sell Pressure",IF($AH234&lt;Settings!$C$47,"Sell Pressure",IF($AH234&lt;=Settings!$C$48,"Neutral",IF($AH234&lt;=Settings!$C$49,"Buy Pressure","Extreme Buy Pressure")))))</f>
        <v/>
      </c>
      <c r="AK234" s="30" t="str">
        <f t="shared" si="62"/>
        <v/>
      </c>
      <c r="AL234" s="30" t="str">
        <f t="shared" si="63"/>
        <v/>
      </c>
      <c r="AM234" s="30" t="str">
        <f t="shared" si="64"/>
        <v/>
      </c>
      <c r="AN234" s="30" t="str">
        <f t="shared" si="65"/>
        <v/>
      </c>
      <c r="AO234" s="29" t="str">
        <f>IF($B234="","",IF(AND(N($L234)=0,N($M234)=0),50,IF(N($M234)=0,100,IF(N($L234)=0,0,MEDIAN(0,100,50+50*LN($S234)/LN(Settings!$C$40))))))</f>
        <v/>
      </c>
      <c r="AP234" s="29">
        <f>IF($AA234="",50,MEDIAN(0,100,50+$AA234*100*Settings!$C$41))</f>
        <v>50</v>
      </c>
      <c r="AQ234" s="29">
        <f>IF($H234="",50,MEDIAN(0,100,50+$H234*100*Settings!$C$42))</f>
        <v>50</v>
      </c>
      <c r="AR234" s="29">
        <f>IF(OR($AC234="",$H234=""),50,MEDIAN(0,100,50+SIGN($H234)*50*MEDIAN(0,1,($AC234-1)/Settings!$C$43)))</f>
        <v>50</v>
      </c>
      <c r="AS234" s="29">
        <f>IF(OR($V234="",$W234=""),50,MEDIAN(0,100,50+50*($V234-$W234)/Settings!$C$44))</f>
        <v>50</v>
      </c>
      <c r="AT234" s="29">
        <f t="shared" si="66"/>
        <v>50</v>
      </c>
      <c r="AU234" s="30" t="str">
        <f t="shared" si="67"/>
        <v/>
      </c>
      <c r="AV234" s="87" t="str">
        <f>IF($A234="","",IF(COUNTIFS($A$4:$A234,$A234)=1,1,0))</f>
        <v/>
      </c>
    </row>
    <row r="235" spans="1:48" x14ac:dyDescent="0.3">
      <c r="A235" s="270"/>
      <c r="B235" s="271"/>
      <c r="C235" s="272"/>
      <c r="D235" s="272"/>
      <c r="E235" s="272"/>
      <c r="F235" s="272"/>
      <c r="G235" s="272"/>
      <c r="H235" s="268" t="str">
        <f t="shared" si="51"/>
        <v/>
      </c>
      <c r="I235" s="273"/>
      <c r="J235" s="273"/>
      <c r="K235" s="273"/>
      <c r="L235" s="273"/>
      <c r="M235" s="273"/>
      <c r="N235" s="273"/>
      <c r="O235" s="271"/>
      <c r="P235" s="270"/>
      <c r="Q235" s="271"/>
      <c r="R235" s="23" t="str" cm="1">
        <f t="array" ref="R235">IF($B235="","",IFERROR(IF(INDEX('Data Quality'!$U$4:$U$503,ROW()-3)=0,"PENDING",INDEX('Data Quality'!$U$4:$U$503,ROW()-3)),"PENDING"))</f>
        <v/>
      </c>
      <c r="S235" s="24" t="str">
        <f t="shared" si="52"/>
        <v/>
      </c>
      <c r="T235" s="25" t="str">
        <f t="shared" si="53"/>
        <v/>
      </c>
      <c r="U235" s="25" t="str">
        <f t="shared" si="54"/>
        <v/>
      </c>
      <c r="V235" s="26" t="str">
        <f t="shared" si="55"/>
        <v/>
      </c>
      <c r="W235" s="26" t="str">
        <f t="shared" si="56"/>
        <v/>
      </c>
      <c r="X235" s="25" t="str">
        <f t="shared" si="57"/>
        <v/>
      </c>
      <c r="Y235" s="25" t="str">
        <f t="shared" si="58"/>
        <v/>
      </c>
      <c r="Z235" s="27" t="str">
        <f>IF($B235="","",IF($AK235&lt;=Settings!$C$21,"",IFERROR(AVERAGEIFS($S$4:$S$503,$B$4:$B$503,$B235,$AK$4:$AK$503,"&gt;="&amp;$AK235-Settings!$C$21,$AK$4:$AK$503,"&lt;="&amp;$AK235-1),"")))</f>
        <v/>
      </c>
      <c r="AA235" s="28" t="str">
        <f t="shared" si="59"/>
        <v/>
      </c>
      <c r="AB235" s="25" t="str">
        <f>IF($B235="","",IF($AK235&lt;=Settings!$C$22,"",IFERROR(AVERAGEIFS($K$4:$K$503,$B$4:$B$503,$B235,$AK$4:$AK$503,"&gt;="&amp;$AK235-Settings!$C$22,$AK$4:$AK$503,"&lt;="&amp;$AK235-1),"")))</f>
        <v/>
      </c>
      <c r="AC235" s="27" t="str">
        <f t="shared" si="60"/>
        <v/>
      </c>
      <c r="AD235" s="28" t="str">
        <f>IF($B235="","",IF($AK235&lt;=Settings!$C$23,"",IFERROR($E235/SUMIFS($E$4:$E$503,$B$4:$B$503,$B235,$AK$4:$AK$503,$AK235-Settings!$C$23)-1,"")))</f>
        <v/>
      </c>
      <c r="AE235" s="28" t="str">
        <f>IF($B235="","",IF($AK235&lt;=Settings!$C$22,"",IFERROR($E235/SUMIFS($E$4:$E$503,$B$4:$B$503,$B235,$AK$4:$AK$503,$AK235-Settings!$C$22)-1,"")))</f>
        <v/>
      </c>
      <c r="AF235" s="28" t="str">
        <f t="shared" si="61"/>
        <v/>
      </c>
      <c r="AG235" s="29" t="str">
        <f>IF($B235="","",ROUND((MIN(100,100*N($I235)/Settings!$C$27)+MIN(100,100*N($K235)/Settings!$C$28)+MIN(100,100*N($J235)/Settings!$C$29))/3,1))</f>
        <v/>
      </c>
      <c r="AH235" s="29" t="str">
        <f>IF($B235="","",IF(SUM(Settings!$C$32:$C$37)=0,"",ROUND((Settings!$C$32*$AO235+Settings!$C$33*$AP235+Settings!$C$34*$AQ235+Settings!$C$35*$AR235+Settings!$C$36*$AS235+Settings!$C$37*$AT235)/SUM(Settings!$C$32:$C$37),1)))</f>
        <v/>
      </c>
      <c r="AI235" s="29" t="str">
        <f>IF($B235="","",MAX(0,100-IF(N($N235)&gt;0,0,20)-IF(AND(N($L235)=0,N($M235)=0),15,0)-IF(N($J235)&gt;0,0,10)-IF(N($K235)&gt;0,0,10)-IF($Z235&lt;&gt;"",0,15)-IF($AB235&lt;&gt;"",0,10)-IF($R235="ERROR",20,IF($R235="WARNING",10,0))))</f>
        <v/>
      </c>
      <c r="AJ235" s="30" t="str">
        <f>IF($AH235="","",IF($AH235&lt;Settings!$C$46,"Extreme Sell Pressure",IF($AH235&lt;Settings!$C$47,"Sell Pressure",IF($AH235&lt;=Settings!$C$48,"Neutral",IF($AH235&lt;=Settings!$C$49,"Buy Pressure","Extreme Buy Pressure")))))</f>
        <v/>
      </c>
      <c r="AK235" s="30" t="str">
        <f t="shared" si="62"/>
        <v/>
      </c>
      <c r="AL235" s="30" t="str">
        <f t="shared" si="63"/>
        <v/>
      </c>
      <c r="AM235" s="30" t="str">
        <f t="shared" si="64"/>
        <v/>
      </c>
      <c r="AN235" s="30" t="str">
        <f t="shared" si="65"/>
        <v/>
      </c>
      <c r="AO235" s="29" t="str">
        <f>IF($B235="","",IF(AND(N($L235)=0,N($M235)=0),50,IF(N($M235)=0,100,IF(N($L235)=0,0,MEDIAN(0,100,50+50*LN($S235)/LN(Settings!$C$40))))))</f>
        <v/>
      </c>
      <c r="AP235" s="29">
        <f>IF($AA235="",50,MEDIAN(0,100,50+$AA235*100*Settings!$C$41))</f>
        <v>50</v>
      </c>
      <c r="AQ235" s="29">
        <f>IF($H235="",50,MEDIAN(0,100,50+$H235*100*Settings!$C$42))</f>
        <v>50</v>
      </c>
      <c r="AR235" s="29">
        <f>IF(OR($AC235="",$H235=""),50,MEDIAN(0,100,50+SIGN($H235)*50*MEDIAN(0,1,($AC235-1)/Settings!$C$43)))</f>
        <v>50</v>
      </c>
      <c r="AS235" s="29">
        <f>IF(OR($V235="",$W235=""),50,MEDIAN(0,100,50+50*($V235-$W235)/Settings!$C$44))</f>
        <v>50</v>
      </c>
      <c r="AT235" s="29">
        <f t="shared" si="66"/>
        <v>50</v>
      </c>
      <c r="AU235" s="30" t="str">
        <f t="shared" si="67"/>
        <v/>
      </c>
      <c r="AV235" s="87" t="str">
        <f>IF($A235="","",IF(COUNTIFS($A$4:$A235,$A235)=1,1,0))</f>
        <v/>
      </c>
    </row>
    <row r="236" spans="1:48" x14ac:dyDescent="0.3">
      <c r="A236" s="270"/>
      <c r="B236" s="271"/>
      <c r="C236" s="272"/>
      <c r="D236" s="272"/>
      <c r="E236" s="272"/>
      <c r="F236" s="272"/>
      <c r="G236" s="272"/>
      <c r="H236" s="268" t="str">
        <f t="shared" si="51"/>
        <v/>
      </c>
      <c r="I236" s="273"/>
      <c r="J236" s="273"/>
      <c r="K236" s="273"/>
      <c r="L236" s="273"/>
      <c r="M236" s="273"/>
      <c r="N236" s="273"/>
      <c r="O236" s="271"/>
      <c r="P236" s="270"/>
      <c r="Q236" s="271"/>
      <c r="R236" s="23" t="str" cm="1">
        <f t="array" ref="R236">IF($B236="","",IFERROR(IF(INDEX('Data Quality'!$U$4:$U$503,ROW()-3)=0,"PENDING",INDEX('Data Quality'!$U$4:$U$503,ROW()-3)),"PENDING"))</f>
        <v/>
      </c>
      <c r="S236" s="24" t="str">
        <f t="shared" si="52"/>
        <v/>
      </c>
      <c r="T236" s="25" t="str">
        <f t="shared" si="53"/>
        <v/>
      </c>
      <c r="U236" s="25" t="str">
        <f t="shared" si="54"/>
        <v/>
      </c>
      <c r="V236" s="26" t="str">
        <f t="shared" si="55"/>
        <v/>
      </c>
      <c r="W236" s="26" t="str">
        <f t="shared" si="56"/>
        <v/>
      </c>
      <c r="X236" s="25" t="str">
        <f t="shared" si="57"/>
        <v/>
      </c>
      <c r="Y236" s="25" t="str">
        <f t="shared" si="58"/>
        <v/>
      </c>
      <c r="Z236" s="27" t="str">
        <f>IF($B236="","",IF($AK236&lt;=Settings!$C$21,"",IFERROR(AVERAGEIFS($S$4:$S$503,$B$4:$B$503,$B236,$AK$4:$AK$503,"&gt;="&amp;$AK236-Settings!$C$21,$AK$4:$AK$503,"&lt;="&amp;$AK236-1),"")))</f>
        <v/>
      </c>
      <c r="AA236" s="28" t="str">
        <f t="shared" si="59"/>
        <v/>
      </c>
      <c r="AB236" s="25" t="str">
        <f>IF($B236="","",IF($AK236&lt;=Settings!$C$22,"",IFERROR(AVERAGEIFS($K$4:$K$503,$B$4:$B$503,$B236,$AK$4:$AK$503,"&gt;="&amp;$AK236-Settings!$C$22,$AK$4:$AK$503,"&lt;="&amp;$AK236-1),"")))</f>
        <v/>
      </c>
      <c r="AC236" s="27" t="str">
        <f t="shared" si="60"/>
        <v/>
      </c>
      <c r="AD236" s="28" t="str">
        <f>IF($B236="","",IF($AK236&lt;=Settings!$C$23,"",IFERROR($E236/SUMIFS($E$4:$E$503,$B$4:$B$503,$B236,$AK$4:$AK$503,$AK236-Settings!$C$23)-1,"")))</f>
        <v/>
      </c>
      <c r="AE236" s="28" t="str">
        <f>IF($B236="","",IF($AK236&lt;=Settings!$C$22,"",IFERROR($E236/SUMIFS($E$4:$E$503,$B$4:$B$503,$B236,$AK$4:$AK$503,$AK236-Settings!$C$22)-1,"")))</f>
        <v/>
      </c>
      <c r="AF236" s="28" t="str">
        <f t="shared" si="61"/>
        <v/>
      </c>
      <c r="AG236" s="29" t="str">
        <f>IF($B236="","",ROUND((MIN(100,100*N($I236)/Settings!$C$27)+MIN(100,100*N($K236)/Settings!$C$28)+MIN(100,100*N($J236)/Settings!$C$29))/3,1))</f>
        <v/>
      </c>
      <c r="AH236" s="29" t="str">
        <f>IF($B236="","",IF(SUM(Settings!$C$32:$C$37)=0,"",ROUND((Settings!$C$32*$AO236+Settings!$C$33*$AP236+Settings!$C$34*$AQ236+Settings!$C$35*$AR236+Settings!$C$36*$AS236+Settings!$C$37*$AT236)/SUM(Settings!$C$32:$C$37),1)))</f>
        <v/>
      </c>
      <c r="AI236" s="29" t="str">
        <f>IF($B236="","",MAX(0,100-IF(N($N236)&gt;0,0,20)-IF(AND(N($L236)=0,N($M236)=0),15,0)-IF(N($J236)&gt;0,0,10)-IF(N($K236)&gt;0,0,10)-IF($Z236&lt;&gt;"",0,15)-IF($AB236&lt;&gt;"",0,10)-IF($R236="ERROR",20,IF($R236="WARNING",10,0))))</f>
        <v/>
      </c>
      <c r="AJ236" s="30" t="str">
        <f>IF($AH236="","",IF($AH236&lt;Settings!$C$46,"Extreme Sell Pressure",IF($AH236&lt;Settings!$C$47,"Sell Pressure",IF($AH236&lt;=Settings!$C$48,"Neutral",IF($AH236&lt;=Settings!$C$49,"Buy Pressure","Extreme Buy Pressure")))))</f>
        <v/>
      </c>
      <c r="AK236" s="30" t="str">
        <f t="shared" si="62"/>
        <v/>
      </c>
      <c r="AL236" s="30" t="str">
        <f t="shared" si="63"/>
        <v/>
      </c>
      <c r="AM236" s="30" t="str">
        <f t="shared" si="64"/>
        <v/>
      </c>
      <c r="AN236" s="30" t="str">
        <f t="shared" si="65"/>
        <v/>
      </c>
      <c r="AO236" s="29" t="str">
        <f>IF($B236="","",IF(AND(N($L236)=0,N($M236)=0),50,IF(N($M236)=0,100,IF(N($L236)=0,0,MEDIAN(0,100,50+50*LN($S236)/LN(Settings!$C$40))))))</f>
        <v/>
      </c>
      <c r="AP236" s="29">
        <f>IF($AA236="",50,MEDIAN(0,100,50+$AA236*100*Settings!$C$41))</f>
        <v>50</v>
      </c>
      <c r="AQ236" s="29">
        <f>IF($H236="",50,MEDIAN(0,100,50+$H236*100*Settings!$C$42))</f>
        <v>50</v>
      </c>
      <c r="AR236" s="29">
        <f>IF(OR($AC236="",$H236=""),50,MEDIAN(0,100,50+SIGN($H236)*50*MEDIAN(0,1,($AC236-1)/Settings!$C$43)))</f>
        <v>50</v>
      </c>
      <c r="AS236" s="29">
        <f>IF(OR($V236="",$W236=""),50,MEDIAN(0,100,50+50*($V236-$W236)/Settings!$C$44))</f>
        <v>50</v>
      </c>
      <c r="AT236" s="29">
        <f t="shared" si="66"/>
        <v>50</v>
      </c>
      <c r="AU236" s="30" t="str">
        <f t="shared" si="67"/>
        <v/>
      </c>
      <c r="AV236" s="87" t="str">
        <f>IF($A236="","",IF(COUNTIFS($A$4:$A236,$A236)=1,1,0))</f>
        <v/>
      </c>
    </row>
    <row r="237" spans="1:48" x14ac:dyDescent="0.3">
      <c r="A237" s="270"/>
      <c r="B237" s="271"/>
      <c r="C237" s="272"/>
      <c r="D237" s="272"/>
      <c r="E237" s="272"/>
      <c r="F237" s="272"/>
      <c r="G237" s="272"/>
      <c r="H237" s="268" t="str">
        <f t="shared" si="51"/>
        <v/>
      </c>
      <c r="I237" s="273"/>
      <c r="J237" s="273"/>
      <c r="K237" s="273"/>
      <c r="L237" s="273"/>
      <c r="M237" s="273"/>
      <c r="N237" s="273"/>
      <c r="O237" s="271"/>
      <c r="P237" s="270"/>
      <c r="Q237" s="271"/>
      <c r="R237" s="23" t="str" cm="1">
        <f t="array" ref="R237">IF($B237="","",IFERROR(IF(INDEX('Data Quality'!$U$4:$U$503,ROW()-3)=0,"PENDING",INDEX('Data Quality'!$U$4:$U$503,ROW()-3)),"PENDING"))</f>
        <v/>
      </c>
      <c r="S237" s="24" t="str">
        <f t="shared" si="52"/>
        <v/>
      </c>
      <c r="T237" s="25" t="str">
        <f t="shared" si="53"/>
        <v/>
      </c>
      <c r="U237" s="25" t="str">
        <f t="shared" si="54"/>
        <v/>
      </c>
      <c r="V237" s="26" t="str">
        <f t="shared" si="55"/>
        <v/>
      </c>
      <c r="W237" s="26" t="str">
        <f t="shared" si="56"/>
        <v/>
      </c>
      <c r="X237" s="25" t="str">
        <f t="shared" si="57"/>
        <v/>
      </c>
      <c r="Y237" s="25" t="str">
        <f t="shared" si="58"/>
        <v/>
      </c>
      <c r="Z237" s="27" t="str">
        <f>IF($B237="","",IF($AK237&lt;=Settings!$C$21,"",IFERROR(AVERAGEIFS($S$4:$S$503,$B$4:$B$503,$B237,$AK$4:$AK$503,"&gt;="&amp;$AK237-Settings!$C$21,$AK$4:$AK$503,"&lt;="&amp;$AK237-1),"")))</f>
        <v/>
      </c>
      <c r="AA237" s="28" t="str">
        <f t="shared" si="59"/>
        <v/>
      </c>
      <c r="AB237" s="25" t="str">
        <f>IF($B237="","",IF($AK237&lt;=Settings!$C$22,"",IFERROR(AVERAGEIFS($K$4:$K$503,$B$4:$B$503,$B237,$AK$4:$AK$503,"&gt;="&amp;$AK237-Settings!$C$22,$AK$4:$AK$503,"&lt;="&amp;$AK237-1),"")))</f>
        <v/>
      </c>
      <c r="AC237" s="27" t="str">
        <f t="shared" si="60"/>
        <v/>
      </c>
      <c r="AD237" s="28" t="str">
        <f>IF($B237="","",IF($AK237&lt;=Settings!$C$23,"",IFERROR($E237/SUMIFS($E$4:$E$503,$B$4:$B$503,$B237,$AK$4:$AK$503,$AK237-Settings!$C$23)-1,"")))</f>
        <v/>
      </c>
      <c r="AE237" s="28" t="str">
        <f>IF($B237="","",IF($AK237&lt;=Settings!$C$22,"",IFERROR($E237/SUMIFS($E$4:$E$503,$B$4:$B$503,$B237,$AK$4:$AK$503,$AK237-Settings!$C$22)-1,"")))</f>
        <v/>
      </c>
      <c r="AF237" s="28" t="str">
        <f t="shared" si="61"/>
        <v/>
      </c>
      <c r="AG237" s="29" t="str">
        <f>IF($B237="","",ROUND((MIN(100,100*N($I237)/Settings!$C$27)+MIN(100,100*N($K237)/Settings!$C$28)+MIN(100,100*N($J237)/Settings!$C$29))/3,1))</f>
        <v/>
      </c>
      <c r="AH237" s="29" t="str">
        <f>IF($B237="","",IF(SUM(Settings!$C$32:$C$37)=0,"",ROUND((Settings!$C$32*$AO237+Settings!$C$33*$AP237+Settings!$C$34*$AQ237+Settings!$C$35*$AR237+Settings!$C$36*$AS237+Settings!$C$37*$AT237)/SUM(Settings!$C$32:$C$37),1)))</f>
        <v/>
      </c>
      <c r="AI237" s="29" t="str">
        <f>IF($B237="","",MAX(0,100-IF(N($N237)&gt;0,0,20)-IF(AND(N($L237)=0,N($M237)=0),15,0)-IF(N($J237)&gt;0,0,10)-IF(N($K237)&gt;0,0,10)-IF($Z237&lt;&gt;"",0,15)-IF($AB237&lt;&gt;"",0,10)-IF($R237="ERROR",20,IF($R237="WARNING",10,0))))</f>
        <v/>
      </c>
      <c r="AJ237" s="30" t="str">
        <f>IF($AH237="","",IF($AH237&lt;Settings!$C$46,"Extreme Sell Pressure",IF($AH237&lt;Settings!$C$47,"Sell Pressure",IF($AH237&lt;=Settings!$C$48,"Neutral",IF($AH237&lt;=Settings!$C$49,"Buy Pressure","Extreme Buy Pressure")))))</f>
        <v/>
      </c>
      <c r="AK237" s="30" t="str">
        <f t="shared" si="62"/>
        <v/>
      </c>
      <c r="AL237" s="30" t="str">
        <f t="shared" si="63"/>
        <v/>
      </c>
      <c r="AM237" s="30" t="str">
        <f t="shared" si="64"/>
        <v/>
      </c>
      <c r="AN237" s="30" t="str">
        <f t="shared" si="65"/>
        <v/>
      </c>
      <c r="AO237" s="29" t="str">
        <f>IF($B237="","",IF(AND(N($L237)=0,N($M237)=0),50,IF(N($M237)=0,100,IF(N($L237)=0,0,MEDIAN(0,100,50+50*LN($S237)/LN(Settings!$C$40))))))</f>
        <v/>
      </c>
      <c r="AP237" s="29">
        <f>IF($AA237="",50,MEDIAN(0,100,50+$AA237*100*Settings!$C$41))</f>
        <v>50</v>
      </c>
      <c r="AQ237" s="29">
        <f>IF($H237="",50,MEDIAN(0,100,50+$H237*100*Settings!$C$42))</f>
        <v>50</v>
      </c>
      <c r="AR237" s="29">
        <f>IF(OR($AC237="",$H237=""),50,MEDIAN(0,100,50+SIGN($H237)*50*MEDIAN(0,1,($AC237-1)/Settings!$C$43)))</f>
        <v>50</v>
      </c>
      <c r="AS237" s="29">
        <f>IF(OR($V237="",$W237=""),50,MEDIAN(0,100,50+50*($V237-$W237)/Settings!$C$44))</f>
        <v>50</v>
      </c>
      <c r="AT237" s="29">
        <f t="shared" si="66"/>
        <v>50</v>
      </c>
      <c r="AU237" s="30" t="str">
        <f t="shared" si="67"/>
        <v/>
      </c>
      <c r="AV237" s="87" t="str">
        <f>IF($A237="","",IF(COUNTIFS($A$4:$A237,$A237)=1,1,0))</f>
        <v/>
      </c>
    </row>
    <row r="238" spans="1:48" x14ac:dyDescent="0.3">
      <c r="A238" s="270"/>
      <c r="B238" s="271"/>
      <c r="C238" s="272"/>
      <c r="D238" s="272"/>
      <c r="E238" s="272"/>
      <c r="F238" s="272"/>
      <c r="G238" s="272"/>
      <c r="H238" s="268" t="str">
        <f t="shared" si="51"/>
        <v/>
      </c>
      <c r="I238" s="273"/>
      <c r="J238" s="273"/>
      <c r="K238" s="273"/>
      <c r="L238" s="273"/>
      <c r="M238" s="273"/>
      <c r="N238" s="273"/>
      <c r="O238" s="271"/>
      <c r="P238" s="270"/>
      <c r="Q238" s="271"/>
      <c r="R238" s="23" t="str" cm="1">
        <f t="array" ref="R238">IF($B238="","",IFERROR(IF(INDEX('Data Quality'!$U$4:$U$503,ROW()-3)=0,"PENDING",INDEX('Data Quality'!$U$4:$U$503,ROW()-3)),"PENDING"))</f>
        <v/>
      </c>
      <c r="S238" s="24" t="str">
        <f t="shared" si="52"/>
        <v/>
      </c>
      <c r="T238" s="25" t="str">
        <f t="shared" si="53"/>
        <v/>
      </c>
      <c r="U238" s="25" t="str">
        <f t="shared" si="54"/>
        <v/>
      </c>
      <c r="V238" s="26" t="str">
        <f t="shared" si="55"/>
        <v/>
      </c>
      <c r="W238" s="26" t="str">
        <f t="shared" si="56"/>
        <v/>
      </c>
      <c r="X238" s="25" t="str">
        <f t="shared" si="57"/>
        <v/>
      </c>
      <c r="Y238" s="25" t="str">
        <f t="shared" si="58"/>
        <v/>
      </c>
      <c r="Z238" s="27" t="str">
        <f>IF($B238="","",IF($AK238&lt;=Settings!$C$21,"",IFERROR(AVERAGEIFS($S$4:$S$503,$B$4:$B$503,$B238,$AK$4:$AK$503,"&gt;="&amp;$AK238-Settings!$C$21,$AK$4:$AK$503,"&lt;="&amp;$AK238-1),"")))</f>
        <v/>
      </c>
      <c r="AA238" s="28" t="str">
        <f t="shared" si="59"/>
        <v/>
      </c>
      <c r="AB238" s="25" t="str">
        <f>IF($B238="","",IF($AK238&lt;=Settings!$C$22,"",IFERROR(AVERAGEIFS($K$4:$K$503,$B$4:$B$503,$B238,$AK$4:$AK$503,"&gt;="&amp;$AK238-Settings!$C$22,$AK$4:$AK$503,"&lt;="&amp;$AK238-1),"")))</f>
        <v/>
      </c>
      <c r="AC238" s="27" t="str">
        <f t="shared" si="60"/>
        <v/>
      </c>
      <c r="AD238" s="28" t="str">
        <f>IF($B238="","",IF($AK238&lt;=Settings!$C$23,"",IFERROR($E238/SUMIFS($E$4:$E$503,$B$4:$B$503,$B238,$AK$4:$AK$503,$AK238-Settings!$C$23)-1,"")))</f>
        <v/>
      </c>
      <c r="AE238" s="28" t="str">
        <f>IF($B238="","",IF($AK238&lt;=Settings!$C$22,"",IFERROR($E238/SUMIFS($E$4:$E$503,$B$4:$B$503,$B238,$AK$4:$AK$503,$AK238-Settings!$C$22)-1,"")))</f>
        <v/>
      </c>
      <c r="AF238" s="28" t="str">
        <f t="shared" si="61"/>
        <v/>
      </c>
      <c r="AG238" s="29" t="str">
        <f>IF($B238="","",ROUND((MIN(100,100*N($I238)/Settings!$C$27)+MIN(100,100*N($K238)/Settings!$C$28)+MIN(100,100*N($J238)/Settings!$C$29))/3,1))</f>
        <v/>
      </c>
      <c r="AH238" s="29" t="str">
        <f>IF($B238="","",IF(SUM(Settings!$C$32:$C$37)=0,"",ROUND((Settings!$C$32*$AO238+Settings!$C$33*$AP238+Settings!$C$34*$AQ238+Settings!$C$35*$AR238+Settings!$C$36*$AS238+Settings!$C$37*$AT238)/SUM(Settings!$C$32:$C$37),1)))</f>
        <v/>
      </c>
      <c r="AI238" s="29" t="str">
        <f>IF($B238="","",MAX(0,100-IF(N($N238)&gt;0,0,20)-IF(AND(N($L238)=0,N($M238)=0),15,0)-IF(N($J238)&gt;0,0,10)-IF(N($K238)&gt;0,0,10)-IF($Z238&lt;&gt;"",0,15)-IF($AB238&lt;&gt;"",0,10)-IF($R238="ERROR",20,IF($R238="WARNING",10,0))))</f>
        <v/>
      </c>
      <c r="AJ238" s="30" t="str">
        <f>IF($AH238="","",IF($AH238&lt;Settings!$C$46,"Extreme Sell Pressure",IF($AH238&lt;Settings!$C$47,"Sell Pressure",IF($AH238&lt;=Settings!$C$48,"Neutral",IF($AH238&lt;=Settings!$C$49,"Buy Pressure","Extreme Buy Pressure")))))</f>
        <v/>
      </c>
      <c r="AK238" s="30" t="str">
        <f t="shared" si="62"/>
        <v/>
      </c>
      <c r="AL238" s="30" t="str">
        <f t="shared" si="63"/>
        <v/>
      </c>
      <c r="AM238" s="30" t="str">
        <f t="shared" si="64"/>
        <v/>
      </c>
      <c r="AN238" s="30" t="str">
        <f t="shared" si="65"/>
        <v/>
      </c>
      <c r="AO238" s="29" t="str">
        <f>IF($B238="","",IF(AND(N($L238)=0,N($M238)=0),50,IF(N($M238)=0,100,IF(N($L238)=0,0,MEDIAN(0,100,50+50*LN($S238)/LN(Settings!$C$40))))))</f>
        <v/>
      </c>
      <c r="AP238" s="29">
        <f>IF($AA238="",50,MEDIAN(0,100,50+$AA238*100*Settings!$C$41))</f>
        <v>50</v>
      </c>
      <c r="AQ238" s="29">
        <f>IF($H238="",50,MEDIAN(0,100,50+$H238*100*Settings!$C$42))</f>
        <v>50</v>
      </c>
      <c r="AR238" s="29">
        <f>IF(OR($AC238="",$H238=""),50,MEDIAN(0,100,50+SIGN($H238)*50*MEDIAN(0,1,($AC238-1)/Settings!$C$43)))</f>
        <v>50</v>
      </c>
      <c r="AS238" s="29">
        <f>IF(OR($V238="",$W238=""),50,MEDIAN(0,100,50+50*($V238-$W238)/Settings!$C$44))</f>
        <v>50</v>
      </c>
      <c r="AT238" s="29">
        <f t="shared" si="66"/>
        <v>50</v>
      </c>
      <c r="AU238" s="30" t="str">
        <f t="shared" si="67"/>
        <v/>
      </c>
      <c r="AV238" s="87" t="str">
        <f>IF($A238="","",IF(COUNTIFS($A$4:$A238,$A238)=1,1,0))</f>
        <v/>
      </c>
    </row>
    <row r="239" spans="1:48" x14ac:dyDescent="0.3">
      <c r="A239" s="270"/>
      <c r="B239" s="271"/>
      <c r="C239" s="272"/>
      <c r="D239" s="272"/>
      <c r="E239" s="272"/>
      <c r="F239" s="272"/>
      <c r="G239" s="272"/>
      <c r="H239" s="268" t="str">
        <f t="shared" si="51"/>
        <v/>
      </c>
      <c r="I239" s="273"/>
      <c r="J239" s="273"/>
      <c r="K239" s="273"/>
      <c r="L239" s="273"/>
      <c r="M239" s="273"/>
      <c r="N239" s="273"/>
      <c r="O239" s="271"/>
      <c r="P239" s="270"/>
      <c r="Q239" s="271"/>
      <c r="R239" s="23" t="str" cm="1">
        <f t="array" ref="R239">IF($B239="","",IFERROR(IF(INDEX('Data Quality'!$U$4:$U$503,ROW()-3)=0,"PENDING",INDEX('Data Quality'!$U$4:$U$503,ROW()-3)),"PENDING"))</f>
        <v/>
      </c>
      <c r="S239" s="24" t="str">
        <f t="shared" si="52"/>
        <v/>
      </c>
      <c r="T239" s="25" t="str">
        <f t="shared" si="53"/>
        <v/>
      </c>
      <c r="U239" s="25" t="str">
        <f t="shared" si="54"/>
        <v/>
      </c>
      <c r="V239" s="26" t="str">
        <f t="shared" si="55"/>
        <v/>
      </c>
      <c r="W239" s="26" t="str">
        <f t="shared" si="56"/>
        <v/>
      </c>
      <c r="X239" s="25" t="str">
        <f t="shared" si="57"/>
        <v/>
      </c>
      <c r="Y239" s="25" t="str">
        <f t="shared" si="58"/>
        <v/>
      </c>
      <c r="Z239" s="27" t="str">
        <f>IF($B239="","",IF($AK239&lt;=Settings!$C$21,"",IFERROR(AVERAGEIFS($S$4:$S$503,$B$4:$B$503,$B239,$AK$4:$AK$503,"&gt;="&amp;$AK239-Settings!$C$21,$AK$4:$AK$503,"&lt;="&amp;$AK239-1),"")))</f>
        <v/>
      </c>
      <c r="AA239" s="28" t="str">
        <f t="shared" si="59"/>
        <v/>
      </c>
      <c r="AB239" s="25" t="str">
        <f>IF($B239="","",IF($AK239&lt;=Settings!$C$22,"",IFERROR(AVERAGEIFS($K$4:$K$503,$B$4:$B$503,$B239,$AK$4:$AK$503,"&gt;="&amp;$AK239-Settings!$C$22,$AK$4:$AK$503,"&lt;="&amp;$AK239-1),"")))</f>
        <v/>
      </c>
      <c r="AC239" s="27" t="str">
        <f t="shared" si="60"/>
        <v/>
      </c>
      <c r="AD239" s="28" t="str">
        <f>IF($B239="","",IF($AK239&lt;=Settings!$C$23,"",IFERROR($E239/SUMIFS($E$4:$E$503,$B$4:$B$503,$B239,$AK$4:$AK$503,$AK239-Settings!$C$23)-1,"")))</f>
        <v/>
      </c>
      <c r="AE239" s="28" t="str">
        <f>IF($B239="","",IF($AK239&lt;=Settings!$C$22,"",IFERROR($E239/SUMIFS($E$4:$E$503,$B$4:$B$503,$B239,$AK$4:$AK$503,$AK239-Settings!$C$22)-1,"")))</f>
        <v/>
      </c>
      <c r="AF239" s="28" t="str">
        <f t="shared" si="61"/>
        <v/>
      </c>
      <c r="AG239" s="29" t="str">
        <f>IF($B239="","",ROUND((MIN(100,100*N($I239)/Settings!$C$27)+MIN(100,100*N($K239)/Settings!$C$28)+MIN(100,100*N($J239)/Settings!$C$29))/3,1))</f>
        <v/>
      </c>
      <c r="AH239" s="29" t="str">
        <f>IF($B239="","",IF(SUM(Settings!$C$32:$C$37)=0,"",ROUND((Settings!$C$32*$AO239+Settings!$C$33*$AP239+Settings!$C$34*$AQ239+Settings!$C$35*$AR239+Settings!$C$36*$AS239+Settings!$C$37*$AT239)/SUM(Settings!$C$32:$C$37),1)))</f>
        <v/>
      </c>
      <c r="AI239" s="29" t="str">
        <f>IF($B239="","",MAX(0,100-IF(N($N239)&gt;0,0,20)-IF(AND(N($L239)=0,N($M239)=0),15,0)-IF(N($J239)&gt;0,0,10)-IF(N($K239)&gt;0,0,10)-IF($Z239&lt;&gt;"",0,15)-IF($AB239&lt;&gt;"",0,10)-IF($R239="ERROR",20,IF($R239="WARNING",10,0))))</f>
        <v/>
      </c>
      <c r="AJ239" s="30" t="str">
        <f>IF($AH239="","",IF($AH239&lt;Settings!$C$46,"Extreme Sell Pressure",IF($AH239&lt;Settings!$C$47,"Sell Pressure",IF($AH239&lt;=Settings!$C$48,"Neutral",IF($AH239&lt;=Settings!$C$49,"Buy Pressure","Extreme Buy Pressure")))))</f>
        <v/>
      </c>
      <c r="AK239" s="30" t="str">
        <f t="shared" si="62"/>
        <v/>
      </c>
      <c r="AL239" s="30" t="str">
        <f t="shared" si="63"/>
        <v/>
      </c>
      <c r="AM239" s="30" t="str">
        <f t="shared" si="64"/>
        <v/>
      </c>
      <c r="AN239" s="30" t="str">
        <f t="shared" si="65"/>
        <v/>
      </c>
      <c r="AO239" s="29" t="str">
        <f>IF($B239="","",IF(AND(N($L239)=0,N($M239)=0),50,IF(N($M239)=0,100,IF(N($L239)=0,0,MEDIAN(0,100,50+50*LN($S239)/LN(Settings!$C$40))))))</f>
        <v/>
      </c>
      <c r="AP239" s="29">
        <f>IF($AA239="",50,MEDIAN(0,100,50+$AA239*100*Settings!$C$41))</f>
        <v>50</v>
      </c>
      <c r="AQ239" s="29">
        <f>IF($H239="",50,MEDIAN(0,100,50+$H239*100*Settings!$C$42))</f>
        <v>50</v>
      </c>
      <c r="AR239" s="29">
        <f>IF(OR($AC239="",$H239=""),50,MEDIAN(0,100,50+SIGN($H239)*50*MEDIAN(0,1,($AC239-1)/Settings!$C$43)))</f>
        <v>50</v>
      </c>
      <c r="AS239" s="29">
        <f>IF(OR($V239="",$W239=""),50,MEDIAN(0,100,50+50*($V239-$W239)/Settings!$C$44))</f>
        <v>50</v>
      </c>
      <c r="AT239" s="29">
        <f t="shared" si="66"/>
        <v>50</v>
      </c>
      <c r="AU239" s="30" t="str">
        <f t="shared" si="67"/>
        <v/>
      </c>
      <c r="AV239" s="87" t="str">
        <f>IF($A239="","",IF(COUNTIFS($A$4:$A239,$A239)=1,1,0))</f>
        <v/>
      </c>
    </row>
    <row r="240" spans="1:48" x14ac:dyDescent="0.3">
      <c r="A240" s="270"/>
      <c r="B240" s="271"/>
      <c r="C240" s="272"/>
      <c r="D240" s="272"/>
      <c r="E240" s="272"/>
      <c r="F240" s="272"/>
      <c r="G240" s="272"/>
      <c r="H240" s="268" t="str">
        <f t="shared" si="51"/>
        <v/>
      </c>
      <c r="I240" s="273"/>
      <c r="J240" s="273"/>
      <c r="K240" s="273"/>
      <c r="L240" s="273"/>
      <c r="M240" s="273"/>
      <c r="N240" s="273"/>
      <c r="O240" s="271"/>
      <c r="P240" s="270"/>
      <c r="Q240" s="271"/>
      <c r="R240" s="23" t="str" cm="1">
        <f t="array" ref="R240">IF($B240="","",IFERROR(IF(INDEX('Data Quality'!$U$4:$U$503,ROW()-3)=0,"PENDING",INDEX('Data Quality'!$U$4:$U$503,ROW()-3)),"PENDING"))</f>
        <v/>
      </c>
      <c r="S240" s="24" t="str">
        <f t="shared" si="52"/>
        <v/>
      </c>
      <c r="T240" s="25" t="str">
        <f t="shared" si="53"/>
        <v/>
      </c>
      <c r="U240" s="25" t="str">
        <f t="shared" si="54"/>
        <v/>
      </c>
      <c r="V240" s="26" t="str">
        <f t="shared" si="55"/>
        <v/>
      </c>
      <c r="W240" s="26" t="str">
        <f t="shared" si="56"/>
        <v/>
      </c>
      <c r="X240" s="25" t="str">
        <f t="shared" si="57"/>
        <v/>
      </c>
      <c r="Y240" s="25" t="str">
        <f t="shared" si="58"/>
        <v/>
      </c>
      <c r="Z240" s="27" t="str">
        <f>IF($B240="","",IF($AK240&lt;=Settings!$C$21,"",IFERROR(AVERAGEIFS($S$4:$S$503,$B$4:$B$503,$B240,$AK$4:$AK$503,"&gt;="&amp;$AK240-Settings!$C$21,$AK$4:$AK$503,"&lt;="&amp;$AK240-1),"")))</f>
        <v/>
      </c>
      <c r="AA240" s="28" t="str">
        <f t="shared" si="59"/>
        <v/>
      </c>
      <c r="AB240" s="25" t="str">
        <f>IF($B240="","",IF($AK240&lt;=Settings!$C$22,"",IFERROR(AVERAGEIFS($K$4:$K$503,$B$4:$B$503,$B240,$AK$4:$AK$503,"&gt;="&amp;$AK240-Settings!$C$22,$AK$4:$AK$503,"&lt;="&amp;$AK240-1),"")))</f>
        <v/>
      </c>
      <c r="AC240" s="27" t="str">
        <f t="shared" si="60"/>
        <v/>
      </c>
      <c r="AD240" s="28" t="str">
        <f>IF($B240="","",IF($AK240&lt;=Settings!$C$23,"",IFERROR($E240/SUMIFS($E$4:$E$503,$B$4:$B$503,$B240,$AK$4:$AK$503,$AK240-Settings!$C$23)-1,"")))</f>
        <v/>
      </c>
      <c r="AE240" s="28" t="str">
        <f>IF($B240="","",IF($AK240&lt;=Settings!$C$22,"",IFERROR($E240/SUMIFS($E$4:$E$503,$B$4:$B$503,$B240,$AK$4:$AK$503,$AK240-Settings!$C$22)-1,"")))</f>
        <v/>
      </c>
      <c r="AF240" s="28" t="str">
        <f t="shared" si="61"/>
        <v/>
      </c>
      <c r="AG240" s="29" t="str">
        <f>IF($B240="","",ROUND((MIN(100,100*N($I240)/Settings!$C$27)+MIN(100,100*N($K240)/Settings!$C$28)+MIN(100,100*N($J240)/Settings!$C$29))/3,1))</f>
        <v/>
      </c>
      <c r="AH240" s="29" t="str">
        <f>IF($B240="","",IF(SUM(Settings!$C$32:$C$37)=0,"",ROUND((Settings!$C$32*$AO240+Settings!$C$33*$AP240+Settings!$C$34*$AQ240+Settings!$C$35*$AR240+Settings!$C$36*$AS240+Settings!$C$37*$AT240)/SUM(Settings!$C$32:$C$37),1)))</f>
        <v/>
      </c>
      <c r="AI240" s="29" t="str">
        <f>IF($B240="","",MAX(0,100-IF(N($N240)&gt;0,0,20)-IF(AND(N($L240)=0,N($M240)=0),15,0)-IF(N($J240)&gt;0,0,10)-IF(N($K240)&gt;0,0,10)-IF($Z240&lt;&gt;"",0,15)-IF($AB240&lt;&gt;"",0,10)-IF($R240="ERROR",20,IF($R240="WARNING",10,0))))</f>
        <v/>
      </c>
      <c r="AJ240" s="30" t="str">
        <f>IF($AH240="","",IF($AH240&lt;Settings!$C$46,"Extreme Sell Pressure",IF($AH240&lt;Settings!$C$47,"Sell Pressure",IF($AH240&lt;=Settings!$C$48,"Neutral",IF($AH240&lt;=Settings!$C$49,"Buy Pressure","Extreme Buy Pressure")))))</f>
        <v/>
      </c>
      <c r="AK240" s="30" t="str">
        <f t="shared" si="62"/>
        <v/>
      </c>
      <c r="AL240" s="30" t="str">
        <f t="shared" si="63"/>
        <v/>
      </c>
      <c r="AM240" s="30" t="str">
        <f t="shared" si="64"/>
        <v/>
      </c>
      <c r="AN240" s="30" t="str">
        <f t="shared" si="65"/>
        <v/>
      </c>
      <c r="AO240" s="29" t="str">
        <f>IF($B240="","",IF(AND(N($L240)=0,N($M240)=0),50,IF(N($M240)=0,100,IF(N($L240)=0,0,MEDIAN(0,100,50+50*LN($S240)/LN(Settings!$C$40))))))</f>
        <v/>
      </c>
      <c r="AP240" s="29">
        <f>IF($AA240="",50,MEDIAN(0,100,50+$AA240*100*Settings!$C$41))</f>
        <v>50</v>
      </c>
      <c r="AQ240" s="29">
        <f>IF($H240="",50,MEDIAN(0,100,50+$H240*100*Settings!$C$42))</f>
        <v>50</v>
      </c>
      <c r="AR240" s="29">
        <f>IF(OR($AC240="",$H240=""),50,MEDIAN(0,100,50+SIGN($H240)*50*MEDIAN(0,1,($AC240-1)/Settings!$C$43)))</f>
        <v>50</v>
      </c>
      <c r="AS240" s="29">
        <f>IF(OR($V240="",$W240=""),50,MEDIAN(0,100,50+50*($V240-$W240)/Settings!$C$44))</f>
        <v>50</v>
      </c>
      <c r="AT240" s="29">
        <f t="shared" si="66"/>
        <v>50</v>
      </c>
      <c r="AU240" s="30" t="str">
        <f t="shared" si="67"/>
        <v/>
      </c>
      <c r="AV240" s="87" t="str">
        <f>IF($A240="","",IF(COUNTIFS($A$4:$A240,$A240)=1,1,0))</f>
        <v/>
      </c>
    </row>
    <row r="241" spans="1:48" x14ac:dyDescent="0.3">
      <c r="A241" s="270"/>
      <c r="B241" s="271"/>
      <c r="C241" s="272"/>
      <c r="D241" s="272"/>
      <c r="E241" s="272"/>
      <c r="F241" s="272"/>
      <c r="G241" s="272"/>
      <c r="H241" s="268" t="str">
        <f t="shared" si="51"/>
        <v/>
      </c>
      <c r="I241" s="273"/>
      <c r="J241" s="273"/>
      <c r="K241" s="273"/>
      <c r="L241" s="273"/>
      <c r="M241" s="273"/>
      <c r="N241" s="273"/>
      <c r="O241" s="271"/>
      <c r="P241" s="270"/>
      <c r="Q241" s="271"/>
      <c r="R241" s="23" t="str" cm="1">
        <f t="array" ref="R241">IF($B241="","",IFERROR(IF(INDEX('Data Quality'!$U$4:$U$503,ROW()-3)=0,"PENDING",INDEX('Data Quality'!$U$4:$U$503,ROW()-3)),"PENDING"))</f>
        <v/>
      </c>
      <c r="S241" s="24" t="str">
        <f t="shared" si="52"/>
        <v/>
      </c>
      <c r="T241" s="25" t="str">
        <f t="shared" si="53"/>
        <v/>
      </c>
      <c r="U241" s="25" t="str">
        <f t="shared" si="54"/>
        <v/>
      </c>
      <c r="V241" s="26" t="str">
        <f t="shared" si="55"/>
        <v/>
      </c>
      <c r="W241" s="26" t="str">
        <f t="shared" si="56"/>
        <v/>
      </c>
      <c r="X241" s="25" t="str">
        <f t="shared" si="57"/>
        <v/>
      </c>
      <c r="Y241" s="25" t="str">
        <f t="shared" si="58"/>
        <v/>
      </c>
      <c r="Z241" s="27" t="str">
        <f>IF($B241="","",IF($AK241&lt;=Settings!$C$21,"",IFERROR(AVERAGEIFS($S$4:$S$503,$B$4:$B$503,$B241,$AK$4:$AK$503,"&gt;="&amp;$AK241-Settings!$C$21,$AK$4:$AK$503,"&lt;="&amp;$AK241-1),"")))</f>
        <v/>
      </c>
      <c r="AA241" s="28" t="str">
        <f t="shared" si="59"/>
        <v/>
      </c>
      <c r="AB241" s="25" t="str">
        <f>IF($B241="","",IF($AK241&lt;=Settings!$C$22,"",IFERROR(AVERAGEIFS($K$4:$K$503,$B$4:$B$503,$B241,$AK$4:$AK$503,"&gt;="&amp;$AK241-Settings!$C$22,$AK$4:$AK$503,"&lt;="&amp;$AK241-1),"")))</f>
        <v/>
      </c>
      <c r="AC241" s="27" t="str">
        <f t="shared" si="60"/>
        <v/>
      </c>
      <c r="AD241" s="28" t="str">
        <f>IF($B241="","",IF($AK241&lt;=Settings!$C$23,"",IFERROR($E241/SUMIFS($E$4:$E$503,$B$4:$B$503,$B241,$AK$4:$AK$503,$AK241-Settings!$C$23)-1,"")))</f>
        <v/>
      </c>
      <c r="AE241" s="28" t="str">
        <f>IF($B241="","",IF($AK241&lt;=Settings!$C$22,"",IFERROR($E241/SUMIFS($E$4:$E$503,$B$4:$B$503,$B241,$AK$4:$AK$503,$AK241-Settings!$C$22)-1,"")))</f>
        <v/>
      </c>
      <c r="AF241" s="28" t="str">
        <f t="shared" si="61"/>
        <v/>
      </c>
      <c r="AG241" s="29" t="str">
        <f>IF($B241="","",ROUND((MIN(100,100*N($I241)/Settings!$C$27)+MIN(100,100*N($K241)/Settings!$C$28)+MIN(100,100*N($J241)/Settings!$C$29))/3,1))</f>
        <v/>
      </c>
      <c r="AH241" s="29" t="str">
        <f>IF($B241="","",IF(SUM(Settings!$C$32:$C$37)=0,"",ROUND((Settings!$C$32*$AO241+Settings!$C$33*$AP241+Settings!$C$34*$AQ241+Settings!$C$35*$AR241+Settings!$C$36*$AS241+Settings!$C$37*$AT241)/SUM(Settings!$C$32:$C$37),1)))</f>
        <v/>
      </c>
      <c r="AI241" s="29" t="str">
        <f>IF($B241="","",MAX(0,100-IF(N($N241)&gt;0,0,20)-IF(AND(N($L241)=0,N($M241)=0),15,0)-IF(N($J241)&gt;0,0,10)-IF(N($K241)&gt;0,0,10)-IF($Z241&lt;&gt;"",0,15)-IF($AB241&lt;&gt;"",0,10)-IF($R241="ERROR",20,IF($R241="WARNING",10,0))))</f>
        <v/>
      </c>
      <c r="AJ241" s="30" t="str">
        <f>IF($AH241="","",IF($AH241&lt;Settings!$C$46,"Extreme Sell Pressure",IF($AH241&lt;Settings!$C$47,"Sell Pressure",IF($AH241&lt;=Settings!$C$48,"Neutral",IF($AH241&lt;=Settings!$C$49,"Buy Pressure","Extreme Buy Pressure")))))</f>
        <v/>
      </c>
      <c r="AK241" s="30" t="str">
        <f t="shared" si="62"/>
        <v/>
      </c>
      <c r="AL241" s="30" t="str">
        <f t="shared" si="63"/>
        <v/>
      </c>
      <c r="AM241" s="30" t="str">
        <f t="shared" si="64"/>
        <v/>
      </c>
      <c r="AN241" s="30" t="str">
        <f t="shared" si="65"/>
        <v/>
      </c>
      <c r="AO241" s="29" t="str">
        <f>IF($B241="","",IF(AND(N($L241)=0,N($M241)=0),50,IF(N($M241)=0,100,IF(N($L241)=0,0,MEDIAN(0,100,50+50*LN($S241)/LN(Settings!$C$40))))))</f>
        <v/>
      </c>
      <c r="AP241" s="29">
        <f>IF($AA241="",50,MEDIAN(0,100,50+$AA241*100*Settings!$C$41))</f>
        <v>50</v>
      </c>
      <c r="AQ241" s="29">
        <f>IF($H241="",50,MEDIAN(0,100,50+$H241*100*Settings!$C$42))</f>
        <v>50</v>
      </c>
      <c r="AR241" s="29">
        <f>IF(OR($AC241="",$H241=""),50,MEDIAN(0,100,50+SIGN($H241)*50*MEDIAN(0,1,($AC241-1)/Settings!$C$43)))</f>
        <v>50</v>
      </c>
      <c r="AS241" s="29">
        <f>IF(OR($V241="",$W241=""),50,MEDIAN(0,100,50+50*($V241-$W241)/Settings!$C$44))</f>
        <v>50</v>
      </c>
      <c r="AT241" s="29">
        <f t="shared" si="66"/>
        <v>50</v>
      </c>
      <c r="AU241" s="30" t="str">
        <f t="shared" si="67"/>
        <v/>
      </c>
      <c r="AV241" s="87" t="str">
        <f>IF($A241="","",IF(COUNTIFS($A$4:$A241,$A241)=1,1,0))</f>
        <v/>
      </c>
    </row>
    <row r="242" spans="1:48" x14ac:dyDescent="0.3">
      <c r="A242" s="270"/>
      <c r="B242" s="271"/>
      <c r="C242" s="272"/>
      <c r="D242" s="272"/>
      <c r="E242" s="272"/>
      <c r="F242" s="272"/>
      <c r="G242" s="272"/>
      <c r="H242" s="268" t="str">
        <f t="shared" si="51"/>
        <v/>
      </c>
      <c r="I242" s="273"/>
      <c r="J242" s="273"/>
      <c r="K242" s="273"/>
      <c r="L242" s="273"/>
      <c r="M242" s="273"/>
      <c r="N242" s="273"/>
      <c r="O242" s="271"/>
      <c r="P242" s="270"/>
      <c r="Q242" s="271"/>
      <c r="R242" s="23" t="str" cm="1">
        <f t="array" ref="R242">IF($B242="","",IFERROR(IF(INDEX('Data Quality'!$U$4:$U$503,ROW()-3)=0,"PENDING",INDEX('Data Quality'!$U$4:$U$503,ROW()-3)),"PENDING"))</f>
        <v/>
      </c>
      <c r="S242" s="24" t="str">
        <f t="shared" si="52"/>
        <v/>
      </c>
      <c r="T242" s="25" t="str">
        <f t="shared" si="53"/>
        <v/>
      </c>
      <c r="U242" s="25" t="str">
        <f t="shared" si="54"/>
        <v/>
      </c>
      <c r="V242" s="26" t="str">
        <f t="shared" si="55"/>
        <v/>
      </c>
      <c r="W242" s="26" t="str">
        <f t="shared" si="56"/>
        <v/>
      </c>
      <c r="X242" s="25" t="str">
        <f t="shared" si="57"/>
        <v/>
      </c>
      <c r="Y242" s="25" t="str">
        <f t="shared" si="58"/>
        <v/>
      </c>
      <c r="Z242" s="27" t="str">
        <f>IF($B242="","",IF($AK242&lt;=Settings!$C$21,"",IFERROR(AVERAGEIFS($S$4:$S$503,$B$4:$B$503,$B242,$AK$4:$AK$503,"&gt;="&amp;$AK242-Settings!$C$21,$AK$4:$AK$503,"&lt;="&amp;$AK242-1),"")))</f>
        <v/>
      </c>
      <c r="AA242" s="28" t="str">
        <f t="shared" si="59"/>
        <v/>
      </c>
      <c r="AB242" s="25" t="str">
        <f>IF($B242="","",IF($AK242&lt;=Settings!$C$22,"",IFERROR(AVERAGEIFS($K$4:$K$503,$B$4:$B$503,$B242,$AK$4:$AK$503,"&gt;="&amp;$AK242-Settings!$C$22,$AK$4:$AK$503,"&lt;="&amp;$AK242-1),"")))</f>
        <v/>
      </c>
      <c r="AC242" s="27" t="str">
        <f t="shared" si="60"/>
        <v/>
      </c>
      <c r="AD242" s="28" t="str">
        <f>IF($B242="","",IF($AK242&lt;=Settings!$C$23,"",IFERROR($E242/SUMIFS($E$4:$E$503,$B$4:$B$503,$B242,$AK$4:$AK$503,$AK242-Settings!$C$23)-1,"")))</f>
        <v/>
      </c>
      <c r="AE242" s="28" t="str">
        <f>IF($B242="","",IF($AK242&lt;=Settings!$C$22,"",IFERROR($E242/SUMIFS($E$4:$E$503,$B$4:$B$503,$B242,$AK$4:$AK$503,$AK242-Settings!$C$22)-1,"")))</f>
        <v/>
      </c>
      <c r="AF242" s="28" t="str">
        <f t="shared" si="61"/>
        <v/>
      </c>
      <c r="AG242" s="29" t="str">
        <f>IF($B242="","",ROUND((MIN(100,100*N($I242)/Settings!$C$27)+MIN(100,100*N($K242)/Settings!$C$28)+MIN(100,100*N($J242)/Settings!$C$29))/3,1))</f>
        <v/>
      </c>
      <c r="AH242" s="29" t="str">
        <f>IF($B242="","",IF(SUM(Settings!$C$32:$C$37)=0,"",ROUND((Settings!$C$32*$AO242+Settings!$C$33*$AP242+Settings!$C$34*$AQ242+Settings!$C$35*$AR242+Settings!$C$36*$AS242+Settings!$C$37*$AT242)/SUM(Settings!$C$32:$C$37),1)))</f>
        <v/>
      </c>
      <c r="AI242" s="29" t="str">
        <f>IF($B242="","",MAX(0,100-IF(N($N242)&gt;0,0,20)-IF(AND(N($L242)=0,N($M242)=0),15,0)-IF(N($J242)&gt;0,0,10)-IF(N($K242)&gt;0,0,10)-IF($Z242&lt;&gt;"",0,15)-IF($AB242&lt;&gt;"",0,10)-IF($R242="ERROR",20,IF($R242="WARNING",10,0))))</f>
        <v/>
      </c>
      <c r="AJ242" s="30" t="str">
        <f>IF($AH242="","",IF($AH242&lt;Settings!$C$46,"Extreme Sell Pressure",IF($AH242&lt;Settings!$C$47,"Sell Pressure",IF($AH242&lt;=Settings!$C$48,"Neutral",IF($AH242&lt;=Settings!$C$49,"Buy Pressure","Extreme Buy Pressure")))))</f>
        <v/>
      </c>
      <c r="AK242" s="30" t="str">
        <f t="shared" si="62"/>
        <v/>
      </c>
      <c r="AL242" s="30" t="str">
        <f t="shared" si="63"/>
        <v/>
      </c>
      <c r="AM242" s="30" t="str">
        <f t="shared" si="64"/>
        <v/>
      </c>
      <c r="AN242" s="30" t="str">
        <f t="shared" si="65"/>
        <v/>
      </c>
      <c r="AO242" s="29" t="str">
        <f>IF($B242="","",IF(AND(N($L242)=0,N($M242)=0),50,IF(N($M242)=0,100,IF(N($L242)=0,0,MEDIAN(0,100,50+50*LN($S242)/LN(Settings!$C$40))))))</f>
        <v/>
      </c>
      <c r="AP242" s="29">
        <f>IF($AA242="",50,MEDIAN(0,100,50+$AA242*100*Settings!$C$41))</f>
        <v>50</v>
      </c>
      <c r="AQ242" s="29">
        <f>IF($H242="",50,MEDIAN(0,100,50+$H242*100*Settings!$C$42))</f>
        <v>50</v>
      </c>
      <c r="AR242" s="29">
        <f>IF(OR($AC242="",$H242=""),50,MEDIAN(0,100,50+SIGN($H242)*50*MEDIAN(0,1,($AC242-1)/Settings!$C$43)))</f>
        <v>50</v>
      </c>
      <c r="AS242" s="29">
        <f>IF(OR($V242="",$W242=""),50,MEDIAN(0,100,50+50*($V242-$W242)/Settings!$C$44))</f>
        <v>50</v>
      </c>
      <c r="AT242" s="29">
        <f t="shared" si="66"/>
        <v>50</v>
      </c>
      <c r="AU242" s="30" t="str">
        <f t="shared" si="67"/>
        <v/>
      </c>
      <c r="AV242" s="87" t="str">
        <f>IF($A242="","",IF(COUNTIFS($A$4:$A242,$A242)=1,1,0))</f>
        <v/>
      </c>
    </row>
    <row r="243" spans="1:48" x14ac:dyDescent="0.3">
      <c r="A243" s="270"/>
      <c r="B243" s="271"/>
      <c r="C243" s="272"/>
      <c r="D243" s="272"/>
      <c r="E243" s="272"/>
      <c r="F243" s="272"/>
      <c r="G243" s="272"/>
      <c r="H243" s="268" t="str">
        <f t="shared" si="51"/>
        <v/>
      </c>
      <c r="I243" s="273"/>
      <c r="J243" s="273"/>
      <c r="K243" s="273"/>
      <c r="L243" s="273"/>
      <c r="M243" s="273"/>
      <c r="N243" s="273"/>
      <c r="O243" s="271"/>
      <c r="P243" s="270"/>
      <c r="Q243" s="271"/>
      <c r="R243" s="23" t="str" cm="1">
        <f t="array" ref="R243">IF($B243="","",IFERROR(IF(INDEX('Data Quality'!$U$4:$U$503,ROW()-3)=0,"PENDING",INDEX('Data Quality'!$U$4:$U$503,ROW()-3)),"PENDING"))</f>
        <v/>
      </c>
      <c r="S243" s="24" t="str">
        <f t="shared" si="52"/>
        <v/>
      </c>
      <c r="T243" s="25" t="str">
        <f t="shared" si="53"/>
        <v/>
      </c>
      <c r="U243" s="25" t="str">
        <f t="shared" si="54"/>
        <v/>
      </c>
      <c r="V243" s="26" t="str">
        <f t="shared" si="55"/>
        <v/>
      </c>
      <c r="W243" s="26" t="str">
        <f t="shared" si="56"/>
        <v/>
      </c>
      <c r="X243" s="25" t="str">
        <f t="shared" si="57"/>
        <v/>
      </c>
      <c r="Y243" s="25" t="str">
        <f t="shared" si="58"/>
        <v/>
      </c>
      <c r="Z243" s="27" t="str">
        <f>IF($B243="","",IF($AK243&lt;=Settings!$C$21,"",IFERROR(AVERAGEIFS($S$4:$S$503,$B$4:$B$503,$B243,$AK$4:$AK$503,"&gt;="&amp;$AK243-Settings!$C$21,$AK$4:$AK$503,"&lt;="&amp;$AK243-1),"")))</f>
        <v/>
      </c>
      <c r="AA243" s="28" t="str">
        <f t="shared" si="59"/>
        <v/>
      </c>
      <c r="AB243" s="25" t="str">
        <f>IF($B243="","",IF($AK243&lt;=Settings!$C$22,"",IFERROR(AVERAGEIFS($K$4:$K$503,$B$4:$B$503,$B243,$AK$4:$AK$503,"&gt;="&amp;$AK243-Settings!$C$22,$AK$4:$AK$503,"&lt;="&amp;$AK243-1),"")))</f>
        <v/>
      </c>
      <c r="AC243" s="27" t="str">
        <f t="shared" si="60"/>
        <v/>
      </c>
      <c r="AD243" s="28" t="str">
        <f>IF($B243="","",IF($AK243&lt;=Settings!$C$23,"",IFERROR($E243/SUMIFS($E$4:$E$503,$B$4:$B$503,$B243,$AK$4:$AK$503,$AK243-Settings!$C$23)-1,"")))</f>
        <v/>
      </c>
      <c r="AE243" s="28" t="str">
        <f>IF($B243="","",IF($AK243&lt;=Settings!$C$22,"",IFERROR($E243/SUMIFS($E$4:$E$503,$B$4:$B$503,$B243,$AK$4:$AK$503,$AK243-Settings!$C$22)-1,"")))</f>
        <v/>
      </c>
      <c r="AF243" s="28" t="str">
        <f t="shared" si="61"/>
        <v/>
      </c>
      <c r="AG243" s="29" t="str">
        <f>IF($B243="","",ROUND((MIN(100,100*N($I243)/Settings!$C$27)+MIN(100,100*N($K243)/Settings!$C$28)+MIN(100,100*N($J243)/Settings!$C$29))/3,1))</f>
        <v/>
      </c>
      <c r="AH243" s="29" t="str">
        <f>IF($B243="","",IF(SUM(Settings!$C$32:$C$37)=0,"",ROUND((Settings!$C$32*$AO243+Settings!$C$33*$AP243+Settings!$C$34*$AQ243+Settings!$C$35*$AR243+Settings!$C$36*$AS243+Settings!$C$37*$AT243)/SUM(Settings!$C$32:$C$37),1)))</f>
        <v/>
      </c>
      <c r="AI243" s="29" t="str">
        <f>IF($B243="","",MAX(0,100-IF(N($N243)&gt;0,0,20)-IF(AND(N($L243)=0,N($M243)=0),15,0)-IF(N($J243)&gt;0,0,10)-IF(N($K243)&gt;0,0,10)-IF($Z243&lt;&gt;"",0,15)-IF($AB243&lt;&gt;"",0,10)-IF($R243="ERROR",20,IF($R243="WARNING",10,0))))</f>
        <v/>
      </c>
      <c r="AJ243" s="30" t="str">
        <f>IF($AH243="","",IF($AH243&lt;Settings!$C$46,"Extreme Sell Pressure",IF($AH243&lt;Settings!$C$47,"Sell Pressure",IF($AH243&lt;=Settings!$C$48,"Neutral",IF($AH243&lt;=Settings!$C$49,"Buy Pressure","Extreme Buy Pressure")))))</f>
        <v/>
      </c>
      <c r="AK243" s="30" t="str">
        <f t="shared" si="62"/>
        <v/>
      </c>
      <c r="AL243" s="30" t="str">
        <f t="shared" si="63"/>
        <v/>
      </c>
      <c r="AM243" s="30" t="str">
        <f t="shared" si="64"/>
        <v/>
      </c>
      <c r="AN243" s="30" t="str">
        <f t="shared" si="65"/>
        <v/>
      </c>
      <c r="AO243" s="29" t="str">
        <f>IF($B243="","",IF(AND(N($L243)=0,N($M243)=0),50,IF(N($M243)=0,100,IF(N($L243)=0,0,MEDIAN(0,100,50+50*LN($S243)/LN(Settings!$C$40))))))</f>
        <v/>
      </c>
      <c r="AP243" s="29">
        <f>IF($AA243="",50,MEDIAN(0,100,50+$AA243*100*Settings!$C$41))</f>
        <v>50</v>
      </c>
      <c r="AQ243" s="29">
        <f>IF($H243="",50,MEDIAN(0,100,50+$H243*100*Settings!$C$42))</f>
        <v>50</v>
      </c>
      <c r="AR243" s="29">
        <f>IF(OR($AC243="",$H243=""),50,MEDIAN(0,100,50+SIGN($H243)*50*MEDIAN(0,1,($AC243-1)/Settings!$C$43)))</f>
        <v>50</v>
      </c>
      <c r="AS243" s="29">
        <f>IF(OR($V243="",$W243=""),50,MEDIAN(0,100,50+50*($V243-$W243)/Settings!$C$44))</f>
        <v>50</v>
      </c>
      <c r="AT243" s="29">
        <f t="shared" si="66"/>
        <v>50</v>
      </c>
      <c r="AU243" s="30" t="str">
        <f t="shared" si="67"/>
        <v/>
      </c>
      <c r="AV243" s="87" t="str">
        <f>IF($A243="","",IF(COUNTIFS($A$4:$A243,$A243)=1,1,0))</f>
        <v/>
      </c>
    </row>
    <row r="244" spans="1:48" x14ac:dyDescent="0.3">
      <c r="A244" s="270"/>
      <c r="B244" s="271"/>
      <c r="C244" s="272"/>
      <c r="D244" s="272"/>
      <c r="E244" s="272"/>
      <c r="F244" s="272"/>
      <c r="G244" s="272"/>
      <c r="H244" s="268" t="str">
        <f t="shared" si="51"/>
        <v/>
      </c>
      <c r="I244" s="273"/>
      <c r="J244" s="273"/>
      <c r="K244" s="273"/>
      <c r="L244" s="273"/>
      <c r="M244" s="273"/>
      <c r="N244" s="273"/>
      <c r="O244" s="271"/>
      <c r="P244" s="270"/>
      <c r="Q244" s="271"/>
      <c r="R244" s="23" t="str" cm="1">
        <f t="array" ref="R244">IF($B244="","",IFERROR(IF(INDEX('Data Quality'!$U$4:$U$503,ROW()-3)=0,"PENDING",INDEX('Data Quality'!$U$4:$U$503,ROW()-3)),"PENDING"))</f>
        <v/>
      </c>
      <c r="S244" s="24" t="str">
        <f t="shared" si="52"/>
        <v/>
      </c>
      <c r="T244" s="25" t="str">
        <f t="shared" si="53"/>
        <v/>
      </c>
      <c r="U244" s="25" t="str">
        <f t="shared" si="54"/>
        <v/>
      </c>
      <c r="V244" s="26" t="str">
        <f t="shared" si="55"/>
        <v/>
      </c>
      <c r="W244" s="26" t="str">
        <f t="shared" si="56"/>
        <v/>
      </c>
      <c r="X244" s="25" t="str">
        <f t="shared" si="57"/>
        <v/>
      </c>
      <c r="Y244" s="25" t="str">
        <f t="shared" si="58"/>
        <v/>
      </c>
      <c r="Z244" s="27" t="str">
        <f>IF($B244="","",IF($AK244&lt;=Settings!$C$21,"",IFERROR(AVERAGEIFS($S$4:$S$503,$B$4:$B$503,$B244,$AK$4:$AK$503,"&gt;="&amp;$AK244-Settings!$C$21,$AK$4:$AK$503,"&lt;="&amp;$AK244-1),"")))</f>
        <v/>
      </c>
      <c r="AA244" s="28" t="str">
        <f t="shared" si="59"/>
        <v/>
      </c>
      <c r="AB244" s="25" t="str">
        <f>IF($B244="","",IF($AK244&lt;=Settings!$C$22,"",IFERROR(AVERAGEIFS($K$4:$K$503,$B$4:$B$503,$B244,$AK$4:$AK$503,"&gt;="&amp;$AK244-Settings!$C$22,$AK$4:$AK$503,"&lt;="&amp;$AK244-1),"")))</f>
        <v/>
      </c>
      <c r="AC244" s="27" t="str">
        <f t="shared" si="60"/>
        <v/>
      </c>
      <c r="AD244" s="28" t="str">
        <f>IF($B244="","",IF($AK244&lt;=Settings!$C$23,"",IFERROR($E244/SUMIFS($E$4:$E$503,$B$4:$B$503,$B244,$AK$4:$AK$503,$AK244-Settings!$C$23)-1,"")))</f>
        <v/>
      </c>
      <c r="AE244" s="28" t="str">
        <f>IF($B244="","",IF($AK244&lt;=Settings!$C$22,"",IFERROR($E244/SUMIFS($E$4:$E$503,$B$4:$B$503,$B244,$AK$4:$AK$503,$AK244-Settings!$C$22)-1,"")))</f>
        <v/>
      </c>
      <c r="AF244" s="28" t="str">
        <f t="shared" si="61"/>
        <v/>
      </c>
      <c r="AG244" s="29" t="str">
        <f>IF($B244="","",ROUND((MIN(100,100*N($I244)/Settings!$C$27)+MIN(100,100*N($K244)/Settings!$C$28)+MIN(100,100*N($J244)/Settings!$C$29))/3,1))</f>
        <v/>
      </c>
      <c r="AH244" s="29" t="str">
        <f>IF($B244="","",IF(SUM(Settings!$C$32:$C$37)=0,"",ROUND((Settings!$C$32*$AO244+Settings!$C$33*$AP244+Settings!$C$34*$AQ244+Settings!$C$35*$AR244+Settings!$C$36*$AS244+Settings!$C$37*$AT244)/SUM(Settings!$C$32:$C$37),1)))</f>
        <v/>
      </c>
      <c r="AI244" s="29" t="str">
        <f>IF($B244="","",MAX(0,100-IF(N($N244)&gt;0,0,20)-IF(AND(N($L244)=0,N($M244)=0),15,0)-IF(N($J244)&gt;0,0,10)-IF(N($K244)&gt;0,0,10)-IF($Z244&lt;&gt;"",0,15)-IF($AB244&lt;&gt;"",0,10)-IF($R244="ERROR",20,IF($R244="WARNING",10,0))))</f>
        <v/>
      </c>
      <c r="AJ244" s="30" t="str">
        <f>IF($AH244="","",IF($AH244&lt;Settings!$C$46,"Extreme Sell Pressure",IF($AH244&lt;Settings!$C$47,"Sell Pressure",IF($AH244&lt;=Settings!$C$48,"Neutral",IF($AH244&lt;=Settings!$C$49,"Buy Pressure","Extreme Buy Pressure")))))</f>
        <v/>
      </c>
      <c r="AK244" s="30" t="str">
        <f t="shared" si="62"/>
        <v/>
      </c>
      <c r="AL244" s="30" t="str">
        <f t="shared" si="63"/>
        <v/>
      </c>
      <c r="AM244" s="30" t="str">
        <f t="shared" si="64"/>
        <v/>
      </c>
      <c r="AN244" s="30" t="str">
        <f t="shared" si="65"/>
        <v/>
      </c>
      <c r="AO244" s="29" t="str">
        <f>IF($B244="","",IF(AND(N($L244)=0,N($M244)=0),50,IF(N($M244)=0,100,IF(N($L244)=0,0,MEDIAN(0,100,50+50*LN($S244)/LN(Settings!$C$40))))))</f>
        <v/>
      </c>
      <c r="AP244" s="29">
        <f>IF($AA244="",50,MEDIAN(0,100,50+$AA244*100*Settings!$C$41))</f>
        <v>50</v>
      </c>
      <c r="AQ244" s="29">
        <f>IF($H244="",50,MEDIAN(0,100,50+$H244*100*Settings!$C$42))</f>
        <v>50</v>
      </c>
      <c r="AR244" s="29">
        <f>IF(OR($AC244="",$H244=""),50,MEDIAN(0,100,50+SIGN($H244)*50*MEDIAN(0,1,($AC244-1)/Settings!$C$43)))</f>
        <v>50</v>
      </c>
      <c r="AS244" s="29">
        <f>IF(OR($V244="",$W244=""),50,MEDIAN(0,100,50+50*($V244-$W244)/Settings!$C$44))</f>
        <v>50</v>
      </c>
      <c r="AT244" s="29">
        <f t="shared" si="66"/>
        <v>50</v>
      </c>
      <c r="AU244" s="30" t="str">
        <f t="shared" si="67"/>
        <v/>
      </c>
      <c r="AV244" s="87" t="str">
        <f>IF($A244="","",IF(COUNTIFS($A$4:$A244,$A244)=1,1,0))</f>
        <v/>
      </c>
    </row>
    <row r="245" spans="1:48" x14ac:dyDescent="0.3">
      <c r="A245" s="270"/>
      <c r="B245" s="271"/>
      <c r="C245" s="272"/>
      <c r="D245" s="272"/>
      <c r="E245" s="272"/>
      <c r="F245" s="272"/>
      <c r="G245" s="272"/>
      <c r="H245" s="268" t="str">
        <f t="shared" si="51"/>
        <v/>
      </c>
      <c r="I245" s="273"/>
      <c r="J245" s="273"/>
      <c r="K245" s="273"/>
      <c r="L245" s="273"/>
      <c r="M245" s="273"/>
      <c r="N245" s="273"/>
      <c r="O245" s="271"/>
      <c r="P245" s="270"/>
      <c r="Q245" s="271"/>
      <c r="R245" s="23" t="str" cm="1">
        <f t="array" ref="R245">IF($B245="","",IFERROR(IF(INDEX('Data Quality'!$U$4:$U$503,ROW()-3)=0,"PENDING",INDEX('Data Quality'!$U$4:$U$503,ROW()-3)),"PENDING"))</f>
        <v/>
      </c>
      <c r="S245" s="24" t="str">
        <f t="shared" si="52"/>
        <v/>
      </c>
      <c r="T245" s="25" t="str">
        <f t="shared" si="53"/>
        <v/>
      </c>
      <c r="U245" s="25" t="str">
        <f t="shared" si="54"/>
        <v/>
      </c>
      <c r="V245" s="26" t="str">
        <f t="shared" si="55"/>
        <v/>
      </c>
      <c r="W245" s="26" t="str">
        <f t="shared" si="56"/>
        <v/>
      </c>
      <c r="X245" s="25" t="str">
        <f t="shared" si="57"/>
        <v/>
      </c>
      <c r="Y245" s="25" t="str">
        <f t="shared" si="58"/>
        <v/>
      </c>
      <c r="Z245" s="27" t="str">
        <f>IF($B245="","",IF($AK245&lt;=Settings!$C$21,"",IFERROR(AVERAGEIFS($S$4:$S$503,$B$4:$B$503,$B245,$AK$4:$AK$503,"&gt;="&amp;$AK245-Settings!$C$21,$AK$4:$AK$503,"&lt;="&amp;$AK245-1),"")))</f>
        <v/>
      </c>
      <c r="AA245" s="28" t="str">
        <f t="shared" si="59"/>
        <v/>
      </c>
      <c r="AB245" s="25" t="str">
        <f>IF($B245="","",IF($AK245&lt;=Settings!$C$22,"",IFERROR(AVERAGEIFS($K$4:$K$503,$B$4:$B$503,$B245,$AK$4:$AK$503,"&gt;="&amp;$AK245-Settings!$C$22,$AK$4:$AK$503,"&lt;="&amp;$AK245-1),"")))</f>
        <v/>
      </c>
      <c r="AC245" s="27" t="str">
        <f t="shared" si="60"/>
        <v/>
      </c>
      <c r="AD245" s="28" t="str">
        <f>IF($B245="","",IF($AK245&lt;=Settings!$C$23,"",IFERROR($E245/SUMIFS($E$4:$E$503,$B$4:$B$503,$B245,$AK$4:$AK$503,$AK245-Settings!$C$23)-1,"")))</f>
        <v/>
      </c>
      <c r="AE245" s="28" t="str">
        <f>IF($B245="","",IF($AK245&lt;=Settings!$C$22,"",IFERROR($E245/SUMIFS($E$4:$E$503,$B$4:$B$503,$B245,$AK$4:$AK$503,$AK245-Settings!$C$22)-1,"")))</f>
        <v/>
      </c>
      <c r="AF245" s="28" t="str">
        <f t="shared" si="61"/>
        <v/>
      </c>
      <c r="AG245" s="29" t="str">
        <f>IF($B245="","",ROUND((MIN(100,100*N($I245)/Settings!$C$27)+MIN(100,100*N($K245)/Settings!$C$28)+MIN(100,100*N($J245)/Settings!$C$29))/3,1))</f>
        <v/>
      </c>
      <c r="AH245" s="29" t="str">
        <f>IF($B245="","",IF(SUM(Settings!$C$32:$C$37)=0,"",ROUND((Settings!$C$32*$AO245+Settings!$C$33*$AP245+Settings!$C$34*$AQ245+Settings!$C$35*$AR245+Settings!$C$36*$AS245+Settings!$C$37*$AT245)/SUM(Settings!$C$32:$C$37),1)))</f>
        <v/>
      </c>
      <c r="AI245" s="29" t="str">
        <f>IF($B245="","",MAX(0,100-IF(N($N245)&gt;0,0,20)-IF(AND(N($L245)=0,N($M245)=0),15,0)-IF(N($J245)&gt;0,0,10)-IF(N($K245)&gt;0,0,10)-IF($Z245&lt;&gt;"",0,15)-IF($AB245&lt;&gt;"",0,10)-IF($R245="ERROR",20,IF($R245="WARNING",10,0))))</f>
        <v/>
      </c>
      <c r="AJ245" s="30" t="str">
        <f>IF($AH245="","",IF($AH245&lt;Settings!$C$46,"Extreme Sell Pressure",IF($AH245&lt;Settings!$C$47,"Sell Pressure",IF($AH245&lt;=Settings!$C$48,"Neutral",IF($AH245&lt;=Settings!$C$49,"Buy Pressure","Extreme Buy Pressure")))))</f>
        <v/>
      </c>
      <c r="AK245" s="30" t="str">
        <f t="shared" si="62"/>
        <v/>
      </c>
      <c r="AL245" s="30" t="str">
        <f t="shared" si="63"/>
        <v/>
      </c>
      <c r="AM245" s="30" t="str">
        <f t="shared" si="64"/>
        <v/>
      </c>
      <c r="AN245" s="30" t="str">
        <f t="shared" si="65"/>
        <v/>
      </c>
      <c r="AO245" s="29" t="str">
        <f>IF($B245="","",IF(AND(N($L245)=0,N($M245)=0),50,IF(N($M245)=0,100,IF(N($L245)=0,0,MEDIAN(0,100,50+50*LN($S245)/LN(Settings!$C$40))))))</f>
        <v/>
      </c>
      <c r="AP245" s="29">
        <f>IF($AA245="",50,MEDIAN(0,100,50+$AA245*100*Settings!$C$41))</f>
        <v>50</v>
      </c>
      <c r="AQ245" s="29">
        <f>IF($H245="",50,MEDIAN(0,100,50+$H245*100*Settings!$C$42))</f>
        <v>50</v>
      </c>
      <c r="AR245" s="29">
        <f>IF(OR($AC245="",$H245=""),50,MEDIAN(0,100,50+SIGN($H245)*50*MEDIAN(0,1,($AC245-1)/Settings!$C$43)))</f>
        <v>50</v>
      </c>
      <c r="AS245" s="29">
        <f>IF(OR($V245="",$W245=""),50,MEDIAN(0,100,50+50*($V245-$W245)/Settings!$C$44))</f>
        <v>50</v>
      </c>
      <c r="AT245" s="29">
        <f t="shared" si="66"/>
        <v>50</v>
      </c>
      <c r="AU245" s="30" t="str">
        <f t="shared" si="67"/>
        <v/>
      </c>
      <c r="AV245" s="87" t="str">
        <f>IF($A245="","",IF(COUNTIFS($A$4:$A245,$A245)=1,1,0))</f>
        <v/>
      </c>
    </row>
    <row r="246" spans="1:48" x14ac:dyDescent="0.3">
      <c r="A246" s="270"/>
      <c r="B246" s="271"/>
      <c r="C246" s="272"/>
      <c r="D246" s="272"/>
      <c r="E246" s="272"/>
      <c r="F246" s="272"/>
      <c r="G246" s="272"/>
      <c r="H246" s="268" t="str">
        <f t="shared" si="51"/>
        <v/>
      </c>
      <c r="I246" s="273"/>
      <c r="J246" s="273"/>
      <c r="K246" s="273"/>
      <c r="L246" s="273"/>
      <c r="M246" s="273"/>
      <c r="N246" s="273"/>
      <c r="O246" s="271"/>
      <c r="P246" s="270"/>
      <c r="Q246" s="271"/>
      <c r="R246" s="23" t="str" cm="1">
        <f t="array" ref="R246">IF($B246="","",IFERROR(IF(INDEX('Data Quality'!$U$4:$U$503,ROW()-3)=0,"PENDING",INDEX('Data Quality'!$U$4:$U$503,ROW()-3)),"PENDING"))</f>
        <v/>
      </c>
      <c r="S246" s="24" t="str">
        <f t="shared" si="52"/>
        <v/>
      </c>
      <c r="T246" s="25" t="str">
        <f t="shared" si="53"/>
        <v/>
      </c>
      <c r="U246" s="25" t="str">
        <f t="shared" si="54"/>
        <v/>
      </c>
      <c r="V246" s="26" t="str">
        <f t="shared" si="55"/>
        <v/>
      </c>
      <c r="W246" s="26" t="str">
        <f t="shared" si="56"/>
        <v/>
      </c>
      <c r="X246" s="25" t="str">
        <f t="shared" si="57"/>
        <v/>
      </c>
      <c r="Y246" s="25" t="str">
        <f t="shared" si="58"/>
        <v/>
      </c>
      <c r="Z246" s="27" t="str">
        <f>IF($B246="","",IF($AK246&lt;=Settings!$C$21,"",IFERROR(AVERAGEIFS($S$4:$S$503,$B$4:$B$503,$B246,$AK$4:$AK$503,"&gt;="&amp;$AK246-Settings!$C$21,$AK$4:$AK$503,"&lt;="&amp;$AK246-1),"")))</f>
        <v/>
      </c>
      <c r="AA246" s="28" t="str">
        <f t="shared" si="59"/>
        <v/>
      </c>
      <c r="AB246" s="25" t="str">
        <f>IF($B246="","",IF($AK246&lt;=Settings!$C$22,"",IFERROR(AVERAGEIFS($K$4:$K$503,$B$4:$B$503,$B246,$AK$4:$AK$503,"&gt;="&amp;$AK246-Settings!$C$22,$AK$4:$AK$503,"&lt;="&amp;$AK246-1),"")))</f>
        <v/>
      </c>
      <c r="AC246" s="27" t="str">
        <f t="shared" si="60"/>
        <v/>
      </c>
      <c r="AD246" s="28" t="str">
        <f>IF($B246="","",IF($AK246&lt;=Settings!$C$23,"",IFERROR($E246/SUMIFS($E$4:$E$503,$B$4:$B$503,$B246,$AK$4:$AK$503,$AK246-Settings!$C$23)-1,"")))</f>
        <v/>
      </c>
      <c r="AE246" s="28" t="str">
        <f>IF($B246="","",IF($AK246&lt;=Settings!$C$22,"",IFERROR($E246/SUMIFS($E$4:$E$503,$B$4:$B$503,$B246,$AK$4:$AK$503,$AK246-Settings!$C$22)-1,"")))</f>
        <v/>
      </c>
      <c r="AF246" s="28" t="str">
        <f t="shared" si="61"/>
        <v/>
      </c>
      <c r="AG246" s="29" t="str">
        <f>IF($B246="","",ROUND((MIN(100,100*N($I246)/Settings!$C$27)+MIN(100,100*N($K246)/Settings!$C$28)+MIN(100,100*N($J246)/Settings!$C$29))/3,1))</f>
        <v/>
      </c>
      <c r="AH246" s="29" t="str">
        <f>IF($B246="","",IF(SUM(Settings!$C$32:$C$37)=0,"",ROUND((Settings!$C$32*$AO246+Settings!$C$33*$AP246+Settings!$C$34*$AQ246+Settings!$C$35*$AR246+Settings!$C$36*$AS246+Settings!$C$37*$AT246)/SUM(Settings!$C$32:$C$37),1)))</f>
        <v/>
      </c>
      <c r="AI246" s="29" t="str">
        <f>IF($B246="","",MAX(0,100-IF(N($N246)&gt;0,0,20)-IF(AND(N($L246)=0,N($M246)=0),15,0)-IF(N($J246)&gt;0,0,10)-IF(N($K246)&gt;0,0,10)-IF($Z246&lt;&gt;"",0,15)-IF($AB246&lt;&gt;"",0,10)-IF($R246="ERROR",20,IF($R246="WARNING",10,0))))</f>
        <v/>
      </c>
      <c r="AJ246" s="30" t="str">
        <f>IF($AH246="","",IF($AH246&lt;Settings!$C$46,"Extreme Sell Pressure",IF($AH246&lt;Settings!$C$47,"Sell Pressure",IF($AH246&lt;=Settings!$C$48,"Neutral",IF($AH246&lt;=Settings!$C$49,"Buy Pressure","Extreme Buy Pressure")))))</f>
        <v/>
      </c>
      <c r="AK246" s="30" t="str">
        <f t="shared" si="62"/>
        <v/>
      </c>
      <c r="AL246" s="30" t="str">
        <f t="shared" si="63"/>
        <v/>
      </c>
      <c r="AM246" s="30" t="str">
        <f t="shared" si="64"/>
        <v/>
      </c>
      <c r="AN246" s="30" t="str">
        <f t="shared" si="65"/>
        <v/>
      </c>
      <c r="AO246" s="29" t="str">
        <f>IF($B246="","",IF(AND(N($L246)=0,N($M246)=0),50,IF(N($M246)=0,100,IF(N($L246)=0,0,MEDIAN(0,100,50+50*LN($S246)/LN(Settings!$C$40))))))</f>
        <v/>
      </c>
      <c r="AP246" s="29">
        <f>IF($AA246="",50,MEDIAN(0,100,50+$AA246*100*Settings!$C$41))</f>
        <v>50</v>
      </c>
      <c r="AQ246" s="29">
        <f>IF($H246="",50,MEDIAN(0,100,50+$H246*100*Settings!$C$42))</f>
        <v>50</v>
      </c>
      <c r="AR246" s="29">
        <f>IF(OR($AC246="",$H246=""),50,MEDIAN(0,100,50+SIGN($H246)*50*MEDIAN(0,1,($AC246-1)/Settings!$C$43)))</f>
        <v>50</v>
      </c>
      <c r="AS246" s="29">
        <f>IF(OR($V246="",$W246=""),50,MEDIAN(0,100,50+50*($V246-$W246)/Settings!$C$44))</f>
        <v>50</v>
      </c>
      <c r="AT246" s="29">
        <f t="shared" si="66"/>
        <v>50</v>
      </c>
      <c r="AU246" s="30" t="str">
        <f t="shared" si="67"/>
        <v/>
      </c>
      <c r="AV246" s="87" t="str">
        <f>IF($A246="","",IF(COUNTIFS($A$4:$A246,$A246)=1,1,0))</f>
        <v/>
      </c>
    </row>
    <row r="247" spans="1:48" x14ac:dyDescent="0.3">
      <c r="A247" s="270"/>
      <c r="B247" s="271"/>
      <c r="C247" s="272"/>
      <c r="D247" s="272"/>
      <c r="E247" s="272"/>
      <c r="F247" s="272"/>
      <c r="G247" s="272"/>
      <c r="H247" s="268" t="str">
        <f t="shared" si="51"/>
        <v/>
      </c>
      <c r="I247" s="273"/>
      <c r="J247" s="273"/>
      <c r="K247" s="273"/>
      <c r="L247" s="273"/>
      <c r="M247" s="273"/>
      <c r="N247" s="273"/>
      <c r="O247" s="271"/>
      <c r="P247" s="270"/>
      <c r="Q247" s="271"/>
      <c r="R247" s="23" t="str" cm="1">
        <f t="array" ref="R247">IF($B247="","",IFERROR(IF(INDEX('Data Quality'!$U$4:$U$503,ROW()-3)=0,"PENDING",INDEX('Data Quality'!$U$4:$U$503,ROW()-3)),"PENDING"))</f>
        <v/>
      </c>
      <c r="S247" s="24" t="str">
        <f t="shared" si="52"/>
        <v/>
      </c>
      <c r="T247" s="25" t="str">
        <f t="shared" si="53"/>
        <v/>
      </c>
      <c r="U247" s="25" t="str">
        <f t="shared" si="54"/>
        <v/>
      </c>
      <c r="V247" s="26" t="str">
        <f t="shared" si="55"/>
        <v/>
      </c>
      <c r="W247" s="26" t="str">
        <f t="shared" si="56"/>
        <v/>
      </c>
      <c r="X247" s="25" t="str">
        <f t="shared" si="57"/>
        <v/>
      </c>
      <c r="Y247" s="25" t="str">
        <f t="shared" si="58"/>
        <v/>
      </c>
      <c r="Z247" s="27" t="str">
        <f>IF($B247="","",IF($AK247&lt;=Settings!$C$21,"",IFERROR(AVERAGEIFS($S$4:$S$503,$B$4:$B$503,$B247,$AK$4:$AK$503,"&gt;="&amp;$AK247-Settings!$C$21,$AK$4:$AK$503,"&lt;="&amp;$AK247-1),"")))</f>
        <v/>
      </c>
      <c r="AA247" s="28" t="str">
        <f t="shared" si="59"/>
        <v/>
      </c>
      <c r="AB247" s="25" t="str">
        <f>IF($B247="","",IF($AK247&lt;=Settings!$C$22,"",IFERROR(AVERAGEIFS($K$4:$K$503,$B$4:$B$503,$B247,$AK$4:$AK$503,"&gt;="&amp;$AK247-Settings!$C$22,$AK$4:$AK$503,"&lt;="&amp;$AK247-1),"")))</f>
        <v/>
      </c>
      <c r="AC247" s="27" t="str">
        <f t="shared" si="60"/>
        <v/>
      </c>
      <c r="AD247" s="28" t="str">
        <f>IF($B247="","",IF($AK247&lt;=Settings!$C$23,"",IFERROR($E247/SUMIFS($E$4:$E$503,$B$4:$B$503,$B247,$AK$4:$AK$503,$AK247-Settings!$C$23)-1,"")))</f>
        <v/>
      </c>
      <c r="AE247" s="28" t="str">
        <f>IF($B247="","",IF($AK247&lt;=Settings!$C$22,"",IFERROR($E247/SUMIFS($E$4:$E$503,$B$4:$B$503,$B247,$AK$4:$AK$503,$AK247-Settings!$C$22)-1,"")))</f>
        <v/>
      </c>
      <c r="AF247" s="28" t="str">
        <f t="shared" si="61"/>
        <v/>
      </c>
      <c r="AG247" s="29" t="str">
        <f>IF($B247="","",ROUND((MIN(100,100*N($I247)/Settings!$C$27)+MIN(100,100*N($K247)/Settings!$C$28)+MIN(100,100*N($J247)/Settings!$C$29))/3,1))</f>
        <v/>
      </c>
      <c r="AH247" s="29" t="str">
        <f>IF($B247="","",IF(SUM(Settings!$C$32:$C$37)=0,"",ROUND((Settings!$C$32*$AO247+Settings!$C$33*$AP247+Settings!$C$34*$AQ247+Settings!$C$35*$AR247+Settings!$C$36*$AS247+Settings!$C$37*$AT247)/SUM(Settings!$C$32:$C$37),1)))</f>
        <v/>
      </c>
      <c r="AI247" s="29" t="str">
        <f>IF($B247="","",MAX(0,100-IF(N($N247)&gt;0,0,20)-IF(AND(N($L247)=0,N($M247)=0),15,0)-IF(N($J247)&gt;0,0,10)-IF(N($K247)&gt;0,0,10)-IF($Z247&lt;&gt;"",0,15)-IF($AB247&lt;&gt;"",0,10)-IF($R247="ERROR",20,IF($R247="WARNING",10,0))))</f>
        <v/>
      </c>
      <c r="AJ247" s="30" t="str">
        <f>IF($AH247="","",IF($AH247&lt;Settings!$C$46,"Extreme Sell Pressure",IF($AH247&lt;Settings!$C$47,"Sell Pressure",IF($AH247&lt;=Settings!$C$48,"Neutral",IF($AH247&lt;=Settings!$C$49,"Buy Pressure","Extreme Buy Pressure")))))</f>
        <v/>
      </c>
      <c r="AK247" s="30" t="str">
        <f t="shared" si="62"/>
        <v/>
      </c>
      <c r="AL247" s="30" t="str">
        <f t="shared" si="63"/>
        <v/>
      </c>
      <c r="AM247" s="30" t="str">
        <f t="shared" si="64"/>
        <v/>
      </c>
      <c r="AN247" s="30" t="str">
        <f t="shared" si="65"/>
        <v/>
      </c>
      <c r="AO247" s="29" t="str">
        <f>IF($B247="","",IF(AND(N($L247)=0,N($M247)=0),50,IF(N($M247)=0,100,IF(N($L247)=0,0,MEDIAN(0,100,50+50*LN($S247)/LN(Settings!$C$40))))))</f>
        <v/>
      </c>
      <c r="AP247" s="29">
        <f>IF($AA247="",50,MEDIAN(0,100,50+$AA247*100*Settings!$C$41))</f>
        <v>50</v>
      </c>
      <c r="AQ247" s="29">
        <f>IF($H247="",50,MEDIAN(0,100,50+$H247*100*Settings!$C$42))</f>
        <v>50</v>
      </c>
      <c r="AR247" s="29">
        <f>IF(OR($AC247="",$H247=""),50,MEDIAN(0,100,50+SIGN($H247)*50*MEDIAN(0,1,($AC247-1)/Settings!$C$43)))</f>
        <v>50</v>
      </c>
      <c r="AS247" s="29">
        <f>IF(OR($V247="",$W247=""),50,MEDIAN(0,100,50+50*($V247-$W247)/Settings!$C$44))</f>
        <v>50</v>
      </c>
      <c r="AT247" s="29">
        <f t="shared" si="66"/>
        <v>50</v>
      </c>
      <c r="AU247" s="30" t="str">
        <f t="shared" si="67"/>
        <v/>
      </c>
      <c r="AV247" s="87" t="str">
        <f>IF($A247="","",IF(COUNTIFS($A$4:$A247,$A247)=1,1,0))</f>
        <v/>
      </c>
    </row>
    <row r="248" spans="1:48" x14ac:dyDescent="0.3">
      <c r="A248" s="270"/>
      <c r="B248" s="271"/>
      <c r="C248" s="272"/>
      <c r="D248" s="272"/>
      <c r="E248" s="272"/>
      <c r="F248" s="272"/>
      <c r="G248" s="272"/>
      <c r="H248" s="268" t="str">
        <f t="shared" si="51"/>
        <v/>
      </c>
      <c r="I248" s="273"/>
      <c r="J248" s="273"/>
      <c r="K248" s="273"/>
      <c r="L248" s="273"/>
      <c r="M248" s="273"/>
      <c r="N248" s="273"/>
      <c r="O248" s="271"/>
      <c r="P248" s="270"/>
      <c r="Q248" s="271"/>
      <c r="R248" s="23" t="str" cm="1">
        <f t="array" ref="R248">IF($B248="","",IFERROR(IF(INDEX('Data Quality'!$U$4:$U$503,ROW()-3)=0,"PENDING",INDEX('Data Quality'!$U$4:$U$503,ROW()-3)),"PENDING"))</f>
        <v/>
      </c>
      <c r="S248" s="24" t="str">
        <f t="shared" si="52"/>
        <v/>
      </c>
      <c r="T248" s="25" t="str">
        <f t="shared" si="53"/>
        <v/>
      </c>
      <c r="U248" s="25" t="str">
        <f t="shared" si="54"/>
        <v/>
      </c>
      <c r="V248" s="26" t="str">
        <f t="shared" si="55"/>
        <v/>
      </c>
      <c r="W248" s="26" t="str">
        <f t="shared" si="56"/>
        <v/>
      </c>
      <c r="X248" s="25" t="str">
        <f t="shared" si="57"/>
        <v/>
      </c>
      <c r="Y248" s="25" t="str">
        <f t="shared" si="58"/>
        <v/>
      </c>
      <c r="Z248" s="27" t="str">
        <f>IF($B248="","",IF($AK248&lt;=Settings!$C$21,"",IFERROR(AVERAGEIFS($S$4:$S$503,$B$4:$B$503,$B248,$AK$4:$AK$503,"&gt;="&amp;$AK248-Settings!$C$21,$AK$4:$AK$503,"&lt;="&amp;$AK248-1),"")))</f>
        <v/>
      </c>
      <c r="AA248" s="28" t="str">
        <f t="shared" si="59"/>
        <v/>
      </c>
      <c r="AB248" s="25" t="str">
        <f>IF($B248="","",IF($AK248&lt;=Settings!$C$22,"",IFERROR(AVERAGEIFS($K$4:$K$503,$B$4:$B$503,$B248,$AK$4:$AK$503,"&gt;="&amp;$AK248-Settings!$C$22,$AK$4:$AK$503,"&lt;="&amp;$AK248-1),"")))</f>
        <v/>
      </c>
      <c r="AC248" s="27" t="str">
        <f t="shared" si="60"/>
        <v/>
      </c>
      <c r="AD248" s="28" t="str">
        <f>IF($B248="","",IF($AK248&lt;=Settings!$C$23,"",IFERROR($E248/SUMIFS($E$4:$E$503,$B$4:$B$503,$B248,$AK$4:$AK$503,$AK248-Settings!$C$23)-1,"")))</f>
        <v/>
      </c>
      <c r="AE248" s="28" t="str">
        <f>IF($B248="","",IF($AK248&lt;=Settings!$C$22,"",IFERROR($E248/SUMIFS($E$4:$E$503,$B$4:$B$503,$B248,$AK$4:$AK$503,$AK248-Settings!$C$22)-1,"")))</f>
        <v/>
      </c>
      <c r="AF248" s="28" t="str">
        <f t="shared" si="61"/>
        <v/>
      </c>
      <c r="AG248" s="29" t="str">
        <f>IF($B248="","",ROUND((MIN(100,100*N($I248)/Settings!$C$27)+MIN(100,100*N($K248)/Settings!$C$28)+MIN(100,100*N($J248)/Settings!$C$29))/3,1))</f>
        <v/>
      </c>
      <c r="AH248" s="29" t="str">
        <f>IF($B248="","",IF(SUM(Settings!$C$32:$C$37)=0,"",ROUND((Settings!$C$32*$AO248+Settings!$C$33*$AP248+Settings!$C$34*$AQ248+Settings!$C$35*$AR248+Settings!$C$36*$AS248+Settings!$C$37*$AT248)/SUM(Settings!$C$32:$C$37),1)))</f>
        <v/>
      </c>
      <c r="AI248" s="29" t="str">
        <f>IF($B248="","",MAX(0,100-IF(N($N248)&gt;0,0,20)-IF(AND(N($L248)=0,N($M248)=0),15,0)-IF(N($J248)&gt;0,0,10)-IF(N($K248)&gt;0,0,10)-IF($Z248&lt;&gt;"",0,15)-IF($AB248&lt;&gt;"",0,10)-IF($R248="ERROR",20,IF($R248="WARNING",10,0))))</f>
        <v/>
      </c>
      <c r="AJ248" s="30" t="str">
        <f>IF($AH248="","",IF($AH248&lt;Settings!$C$46,"Extreme Sell Pressure",IF($AH248&lt;Settings!$C$47,"Sell Pressure",IF($AH248&lt;=Settings!$C$48,"Neutral",IF($AH248&lt;=Settings!$C$49,"Buy Pressure","Extreme Buy Pressure")))))</f>
        <v/>
      </c>
      <c r="AK248" s="30" t="str">
        <f t="shared" si="62"/>
        <v/>
      </c>
      <c r="AL248" s="30" t="str">
        <f t="shared" si="63"/>
        <v/>
      </c>
      <c r="AM248" s="30" t="str">
        <f t="shared" si="64"/>
        <v/>
      </c>
      <c r="AN248" s="30" t="str">
        <f t="shared" si="65"/>
        <v/>
      </c>
      <c r="AO248" s="29" t="str">
        <f>IF($B248="","",IF(AND(N($L248)=0,N($M248)=0),50,IF(N($M248)=0,100,IF(N($L248)=0,0,MEDIAN(0,100,50+50*LN($S248)/LN(Settings!$C$40))))))</f>
        <v/>
      </c>
      <c r="AP248" s="29">
        <f>IF($AA248="",50,MEDIAN(0,100,50+$AA248*100*Settings!$C$41))</f>
        <v>50</v>
      </c>
      <c r="AQ248" s="29">
        <f>IF($H248="",50,MEDIAN(0,100,50+$H248*100*Settings!$C$42))</f>
        <v>50</v>
      </c>
      <c r="AR248" s="29">
        <f>IF(OR($AC248="",$H248=""),50,MEDIAN(0,100,50+SIGN($H248)*50*MEDIAN(0,1,($AC248-1)/Settings!$C$43)))</f>
        <v>50</v>
      </c>
      <c r="AS248" s="29">
        <f>IF(OR($V248="",$W248=""),50,MEDIAN(0,100,50+50*($V248-$W248)/Settings!$C$44))</f>
        <v>50</v>
      </c>
      <c r="AT248" s="29">
        <f t="shared" si="66"/>
        <v>50</v>
      </c>
      <c r="AU248" s="30" t="str">
        <f t="shared" si="67"/>
        <v/>
      </c>
      <c r="AV248" s="87" t="str">
        <f>IF($A248="","",IF(COUNTIFS($A$4:$A248,$A248)=1,1,0))</f>
        <v/>
      </c>
    </row>
    <row r="249" spans="1:48" x14ac:dyDescent="0.3">
      <c r="A249" s="270"/>
      <c r="B249" s="271"/>
      <c r="C249" s="272"/>
      <c r="D249" s="272"/>
      <c r="E249" s="272"/>
      <c r="F249" s="272"/>
      <c r="G249" s="272"/>
      <c r="H249" s="268" t="str">
        <f t="shared" si="51"/>
        <v/>
      </c>
      <c r="I249" s="273"/>
      <c r="J249" s="273"/>
      <c r="K249" s="273"/>
      <c r="L249" s="273"/>
      <c r="M249" s="273"/>
      <c r="N249" s="273"/>
      <c r="O249" s="271"/>
      <c r="P249" s="270"/>
      <c r="Q249" s="271"/>
      <c r="R249" s="23" t="str" cm="1">
        <f t="array" ref="R249">IF($B249="","",IFERROR(IF(INDEX('Data Quality'!$U$4:$U$503,ROW()-3)=0,"PENDING",INDEX('Data Quality'!$U$4:$U$503,ROW()-3)),"PENDING"))</f>
        <v/>
      </c>
      <c r="S249" s="24" t="str">
        <f t="shared" si="52"/>
        <v/>
      </c>
      <c r="T249" s="25" t="str">
        <f t="shared" si="53"/>
        <v/>
      </c>
      <c r="U249" s="25" t="str">
        <f t="shared" si="54"/>
        <v/>
      </c>
      <c r="V249" s="26" t="str">
        <f t="shared" si="55"/>
        <v/>
      </c>
      <c r="W249" s="26" t="str">
        <f t="shared" si="56"/>
        <v/>
      </c>
      <c r="X249" s="25" t="str">
        <f t="shared" si="57"/>
        <v/>
      </c>
      <c r="Y249" s="25" t="str">
        <f t="shared" si="58"/>
        <v/>
      </c>
      <c r="Z249" s="27" t="str">
        <f>IF($B249="","",IF($AK249&lt;=Settings!$C$21,"",IFERROR(AVERAGEIFS($S$4:$S$503,$B$4:$B$503,$B249,$AK$4:$AK$503,"&gt;="&amp;$AK249-Settings!$C$21,$AK$4:$AK$503,"&lt;="&amp;$AK249-1),"")))</f>
        <v/>
      </c>
      <c r="AA249" s="28" t="str">
        <f t="shared" si="59"/>
        <v/>
      </c>
      <c r="AB249" s="25" t="str">
        <f>IF($B249="","",IF($AK249&lt;=Settings!$C$22,"",IFERROR(AVERAGEIFS($K$4:$K$503,$B$4:$B$503,$B249,$AK$4:$AK$503,"&gt;="&amp;$AK249-Settings!$C$22,$AK$4:$AK$503,"&lt;="&amp;$AK249-1),"")))</f>
        <v/>
      </c>
      <c r="AC249" s="27" t="str">
        <f t="shared" si="60"/>
        <v/>
      </c>
      <c r="AD249" s="28" t="str">
        <f>IF($B249="","",IF($AK249&lt;=Settings!$C$23,"",IFERROR($E249/SUMIFS($E$4:$E$503,$B$4:$B$503,$B249,$AK$4:$AK$503,$AK249-Settings!$C$23)-1,"")))</f>
        <v/>
      </c>
      <c r="AE249" s="28" t="str">
        <f>IF($B249="","",IF($AK249&lt;=Settings!$C$22,"",IFERROR($E249/SUMIFS($E$4:$E$503,$B$4:$B$503,$B249,$AK$4:$AK$503,$AK249-Settings!$C$22)-1,"")))</f>
        <v/>
      </c>
      <c r="AF249" s="28" t="str">
        <f t="shared" si="61"/>
        <v/>
      </c>
      <c r="AG249" s="29" t="str">
        <f>IF($B249="","",ROUND((MIN(100,100*N($I249)/Settings!$C$27)+MIN(100,100*N($K249)/Settings!$C$28)+MIN(100,100*N($J249)/Settings!$C$29))/3,1))</f>
        <v/>
      </c>
      <c r="AH249" s="29" t="str">
        <f>IF($B249="","",IF(SUM(Settings!$C$32:$C$37)=0,"",ROUND((Settings!$C$32*$AO249+Settings!$C$33*$AP249+Settings!$C$34*$AQ249+Settings!$C$35*$AR249+Settings!$C$36*$AS249+Settings!$C$37*$AT249)/SUM(Settings!$C$32:$C$37),1)))</f>
        <v/>
      </c>
      <c r="AI249" s="29" t="str">
        <f>IF($B249="","",MAX(0,100-IF(N($N249)&gt;0,0,20)-IF(AND(N($L249)=0,N($M249)=0),15,0)-IF(N($J249)&gt;0,0,10)-IF(N($K249)&gt;0,0,10)-IF($Z249&lt;&gt;"",0,15)-IF($AB249&lt;&gt;"",0,10)-IF($R249="ERROR",20,IF($R249="WARNING",10,0))))</f>
        <v/>
      </c>
      <c r="AJ249" s="30" t="str">
        <f>IF($AH249="","",IF($AH249&lt;Settings!$C$46,"Extreme Sell Pressure",IF($AH249&lt;Settings!$C$47,"Sell Pressure",IF($AH249&lt;=Settings!$C$48,"Neutral",IF($AH249&lt;=Settings!$C$49,"Buy Pressure","Extreme Buy Pressure")))))</f>
        <v/>
      </c>
      <c r="AK249" s="30" t="str">
        <f t="shared" si="62"/>
        <v/>
      </c>
      <c r="AL249" s="30" t="str">
        <f t="shared" si="63"/>
        <v/>
      </c>
      <c r="AM249" s="30" t="str">
        <f t="shared" si="64"/>
        <v/>
      </c>
      <c r="AN249" s="30" t="str">
        <f t="shared" si="65"/>
        <v/>
      </c>
      <c r="AO249" s="29" t="str">
        <f>IF($B249="","",IF(AND(N($L249)=0,N($M249)=0),50,IF(N($M249)=0,100,IF(N($L249)=0,0,MEDIAN(0,100,50+50*LN($S249)/LN(Settings!$C$40))))))</f>
        <v/>
      </c>
      <c r="AP249" s="29">
        <f>IF($AA249="",50,MEDIAN(0,100,50+$AA249*100*Settings!$C$41))</f>
        <v>50</v>
      </c>
      <c r="AQ249" s="29">
        <f>IF($H249="",50,MEDIAN(0,100,50+$H249*100*Settings!$C$42))</f>
        <v>50</v>
      </c>
      <c r="AR249" s="29">
        <f>IF(OR($AC249="",$H249=""),50,MEDIAN(0,100,50+SIGN($H249)*50*MEDIAN(0,1,($AC249-1)/Settings!$C$43)))</f>
        <v>50</v>
      </c>
      <c r="AS249" s="29">
        <f>IF(OR($V249="",$W249=""),50,MEDIAN(0,100,50+50*($V249-$W249)/Settings!$C$44))</f>
        <v>50</v>
      </c>
      <c r="AT249" s="29">
        <f t="shared" si="66"/>
        <v>50</v>
      </c>
      <c r="AU249" s="30" t="str">
        <f t="shared" si="67"/>
        <v/>
      </c>
      <c r="AV249" s="87" t="str">
        <f>IF($A249="","",IF(COUNTIFS($A$4:$A249,$A249)=1,1,0))</f>
        <v/>
      </c>
    </row>
    <row r="250" spans="1:48" x14ac:dyDescent="0.3">
      <c r="A250" s="270"/>
      <c r="B250" s="271"/>
      <c r="C250" s="272"/>
      <c r="D250" s="272"/>
      <c r="E250" s="272"/>
      <c r="F250" s="272"/>
      <c r="G250" s="272"/>
      <c r="H250" s="268" t="str">
        <f t="shared" si="51"/>
        <v/>
      </c>
      <c r="I250" s="273"/>
      <c r="J250" s="273"/>
      <c r="K250" s="273"/>
      <c r="L250" s="273"/>
      <c r="M250" s="273"/>
      <c r="N250" s="273"/>
      <c r="O250" s="271"/>
      <c r="P250" s="270"/>
      <c r="Q250" s="271"/>
      <c r="R250" s="23" t="str" cm="1">
        <f t="array" ref="R250">IF($B250="","",IFERROR(IF(INDEX('Data Quality'!$U$4:$U$503,ROW()-3)=0,"PENDING",INDEX('Data Quality'!$U$4:$U$503,ROW()-3)),"PENDING"))</f>
        <v/>
      </c>
      <c r="S250" s="24" t="str">
        <f t="shared" si="52"/>
        <v/>
      </c>
      <c r="T250" s="25" t="str">
        <f t="shared" si="53"/>
        <v/>
      </c>
      <c r="U250" s="25" t="str">
        <f t="shared" si="54"/>
        <v/>
      </c>
      <c r="V250" s="26" t="str">
        <f t="shared" si="55"/>
        <v/>
      </c>
      <c r="W250" s="26" t="str">
        <f t="shared" si="56"/>
        <v/>
      </c>
      <c r="X250" s="25" t="str">
        <f t="shared" si="57"/>
        <v/>
      </c>
      <c r="Y250" s="25" t="str">
        <f t="shared" si="58"/>
        <v/>
      </c>
      <c r="Z250" s="27" t="str">
        <f>IF($B250="","",IF($AK250&lt;=Settings!$C$21,"",IFERROR(AVERAGEIFS($S$4:$S$503,$B$4:$B$503,$B250,$AK$4:$AK$503,"&gt;="&amp;$AK250-Settings!$C$21,$AK$4:$AK$503,"&lt;="&amp;$AK250-1),"")))</f>
        <v/>
      </c>
      <c r="AA250" s="28" t="str">
        <f t="shared" si="59"/>
        <v/>
      </c>
      <c r="AB250" s="25" t="str">
        <f>IF($B250="","",IF($AK250&lt;=Settings!$C$22,"",IFERROR(AVERAGEIFS($K$4:$K$503,$B$4:$B$503,$B250,$AK$4:$AK$503,"&gt;="&amp;$AK250-Settings!$C$22,$AK$4:$AK$503,"&lt;="&amp;$AK250-1),"")))</f>
        <v/>
      </c>
      <c r="AC250" s="27" t="str">
        <f t="shared" si="60"/>
        <v/>
      </c>
      <c r="AD250" s="28" t="str">
        <f>IF($B250="","",IF($AK250&lt;=Settings!$C$23,"",IFERROR($E250/SUMIFS($E$4:$E$503,$B$4:$B$503,$B250,$AK$4:$AK$503,$AK250-Settings!$C$23)-1,"")))</f>
        <v/>
      </c>
      <c r="AE250" s="28" t="str">
        <f>IF($B250="","",IF($AK250&lt;=Settings!$C$22,"",IFERROR($E250/SUMIFS($E$4:$E$503,$B$4:$B$503,$B250,$AK$4:$AK$503,$AK250-Settings!$C$22)-1,"")))</f>
        <v/>
      </c>
      <c r="AF250" s="28" t="str">
        <f t="shared" si="61"/>
        <v/>
      </c>
      <c r="AG250" s="29" t="str">
        <f>IF($B250="","",ROUND((MIN(100,100*N($I250)/Settings!$C$27)+MIN(100,100*N($K250)/Settings!$C$28)+MIN(100,100*N($J250)/Settings!$C$29))/3,1))</f>
        <v/>
      </c>
      <c r="AH250" s="29" t="str">
        <f>IF($B250="","",IF(SUM(Settings!$C$32:$C$37)=0,"",ROUND((Settings!$C$32*$AO250+Settings!$C$33*$AP250+Settings!$C$34*$AQ250+Settings!$C$35*$AR250+Settings!$C$36*$AS250+Settings!$C$37*$AT250)/SUM(Settings!$C$32:$C$37),1)))</f>
        <v/>
      </c>
      <c r="AI250" s="29" t="str">
        <f>IF($B250="","",MAX(0,100-IF(N($N250)&gt;0,0,20)-IF(AND(N($L250)=0,N($M250)=0),15,0)-IF(N($J250)&gt;0,0,10)-IF(N($K250)&gt;0,0,10)-IF($Z250&lt;&gt;"",0,15)-IF($AB250&lt;&gt;"",0,10)-IF($R250="ERROR",20,IF($R250="WARNING",10,0))))</f>
        <v/>
      </c>
      <c r="AJ250" s="30" t="str">
        <f>IF($AH250="","",IF($AH250&lt;Settings!$C$46,"Extreme Sell Pressure",IF($AH250&lt;Settings!$C$47,"Sell Pressure",IF($AH250&lt;=Settings!$C$48,"Neutral",IF($AH250&lt;=Settings!$C$49,"Buy Pressure","Extreme Buy Pressure")))))</f>
        <v/>
      </c>
      <c r="AK250" s="30" t="str">
        <f t="shared" si="62"/>
        <v/>
      </c>
      <c r="AL250" s="30" t="str">
        <f t="shared" si="63"/>
        <v/>
      </c>
      <c r="AM250" s="30" t="str">
        <f t="shared" si="64"/>
        <v/>
      </c>
      <c r="AN250" s="30" t="str">
        <f t="shared" si="65"/>
        <v/>
      </c>
      <c r="AO250" s="29" t="str">
        <f>IF($B250="","",IF(AND(N($L250)=0,N($M250)=0),50,IF(N($M250)=0,100,IF(N($L250)=0,0,MEDIAN(0,100,50+50*LN($S250)/LN(Settings!$C$40))))))</f>
        <v/>
      </c>
      <c r="AP250" s="29">
        <f>IF($AA250="",50,MEDIAN(0,100,50+$AA250*100*Settings!$C$41))</f>
        <v>50</v>
      </c>
      <c r="AQ250" s="29">
        <f>IF($H250="",50,MEDIAN(0,100,50+$H250*100*Settings!$C$42))</f>
        <v>50</v>
      </c>
      <c r="AR250" s="29">
        <f>IF(OR($AC250="",$H250=""),50,MEDIAN(0,100,50+SIGN($H250)*50*MEDIAN(0,1,($AC250-1)/Settings!$C$43)))</f>
        <v>50</v>
      </c>
      <c r="AS250" s="29">
        <f>IF(OR($V250="",$W250=""),50,MEDIAN(0,100,50+50*($V250-$W250)/Settings!$C$44))</f>
        <v>50</v>
      </c>
      <c r="AT250" s="29">
        <f t="shared" si="66"/>
        <v>50</v>
      </c>
      <c r="AU250" s="30" t="str">
        <f t="shared" si="67"/>
        <v/>
      </c>
      <c r="AV250" s="87" t="str">
        <f>IF($A250="","",IF(COUNTIFS($A$4:$A250,$A250)=1,1,0))</f>
        <v/>
      </c>
    </row>
    <row r="251" spans="1:48" x14ac:dyDescent="0.3">
      <c r="A251" s="270"/>
      <c r="B251" s="271"/>
      <c r="C251" s="272"/>
      <c r="D251" s="272"/>
      <c r="E251" s="272"/>
      <c r="F251" s="272"/>
      <c r="G251" s="272"/>
      <c r="H251" s="268" t="str">
        <f t="shared" si="51"/>
        <v/>
      </c>
      <c r="I251" s="273"/>
      <c r="J251" s="273"/>
      <c r="K251" s="273"/>
      <c r="L251" s="273"/>
      <c r="M251" s="273"/>
      <c r="N251" s="273"/>
      <c r="O251" s="271"/>
      <c r="P251" s="270"/>
      <c r="Q251" s="271"/>
      <c r="R251" s="23" t="str" cm="1">
        <f t="array" ref="R251">IF($B251="","",IFERROR(IF(INDEX('Data Quality'!$U$4:$U$503,ROW()-3)=0,"PENDING",INDEX('Data Quality'!$U$4:$U$503,ROW()-3)),"PENDING"))</f>
        <v/>
      </c>
      <c r="S251" s="24" t="str">
        <f t="shared" si="52"/>
        <v/>
      </c>
      <c r="T251" s="25" t="str">
        <f t="shared" si="53"/>
        <v/>
      </c>
      <c r="U251" s="25" t="str">
        <f t="shared" si="54"/>
        <v/>
      </c>
      <c r="V251" s="26" t="str">
        <f t="shared" si="55"/>
        <v/>
      </c>
      <c r="W251" s="26" t="str">
        <f t="shared" si="56"/>
        <v/>
      </c>
      <c r="X251" s="25" t="str">
        <f t="shared" si="57"/>
        <v/>
      </c>
      <c r="Y251" s="25" t="str">
        <f t="shared" si="58"/>
        <v/>
      </c>
      <c r="Z251" s="27" t="str">
        <f>IF($B251="","",IF($AK251&lt;=Settings!$C$21,"",IFERROR(AVERAGEIFS($S$4:$S$503,$B$4:$B$503,$B251,$AK$4:$AK$503,"&gt;="&amp;$AK251-Settings!$C$21,$AK$4:$AK$503,"&lt;="&amp;$AK251-1),"")))</f>
        <v/>
      </c>
      <c r="AA251" s="28" t="str">
        <f t="shared" si="59"/>
        <v/>
      </c>
      <c r="AB251" s="25" t="str">
        <f>IF($B251="","",IF($AK251&lt;=Settings!$C$22,"",IFERROR(AVERAGEIFS($K$4:$K$503,$B$4:$B$503,$B251,$AK$4:$AK$503,"&gt;="&amp;$AK251-Settings!$C$22,$AK$4:$AK$503,"&lt;="&amp;$AK251-1),"")))</f>
        <v/>
      </c>
      <c r="AC251" s="27" t="str">
        <f t="shared" si="60"/>
        <v/>
      </c>
      <c r="AD251" s="28" t="str">
        <f>IF($B251="","",IF($AK251&lt;=Settings!$C$23,"",IFERROR($E251/SUMIFS($E$4:$E$503,$B$4:$B$503,$B251,$AK$4:$AK$503,$AK251-Settings!$C$23)-1,"")))</f>
        <v/>
      </c>
      <c r="AE251" s="28" t="str">
        <f>IF($B251="","",IF($AK251&lt;=Settings!$C$22,"",IFERROR($E251/SUMIFS($E$4:$E$503,$B$4:$B$503,$B251,$AK$4:$AK$503,$AK251-Settings!$C$22)-1,"")))</f>
        <v/>
      </c>
      <c r="AF251" s="28" t="str">
        <f t="shared" si="61"/>
        <v/>
      </c>
      <c r="AG251" s="29" t="str">
        <f>IF($B251="","",ROUND((MIN(100,100*N($I251)/Settings!$C$27)+MIN(100,100*N($K251)/Settings!$C$28)+MIN(100,100*N($J251)/Settings!$C$29))/3,1))</f>
        <v/>
      </c>
      <c r="AH251" s="29" t="str">
        <f>IF($B251="","",IF(SUM(Settings!$C$32:$C$37)=0,"",ROUND((Settings!$C$32*$AO251+Settings!$C$33*$AP251+Settings!$C$34*$AQ251+Settings!$C$35*$AR251+Settings!$C$36*$AS251+Settings!$C$37*$AT251)/SUM(Settings!$C$32:$C$37),1)))</f>
        <v/>
      </c>
      <c r="AI251" s="29" t="str">
        <f>IF($B251="","",MAX(0,100-IF(N($N251)&gt;0,0,20)-IF(AND(N($L251)=0,N($M251)=0),15,0)-IF(N($J251)&gt;0,0,10)-IF(N($K251)&gt;0,0,10)-IF($Z251&lt;&gt;"",0,15)-IF($AB251&lt;&gt;"",0,10)-IF($R251="ERROR",20,IF($R251="WARNING",10,0))))</f>
        <v/>
      </c>
      <c r="AJ251" s="30" t="str">
        <f>IF($AH251="","",IF($AH251&lt;Settings!$C$46,"Extreme Sell Pressure",IF($AH251&lt;Settings!$C$47,"Sell Pressure",IF($AH251&lt;=Settings!$C$48,"Neutral",IF($AH251&lt;=Settings!$C$49,"Buy Pressure","Extreme Buy Pressure")))))</f>
        <v/>
      </c>
      <c r="AK251" s="30" t="str">
        <f t="shared" si="62"/>
        <v/>
      </c>
      <c r="AL251" s="30" t="str">
        <f t="shared" si="63"/>
        <v/>
      </c>
      <c r="AM251" s="30" t="str">
        <f t="shared" si="64"/>
        <v/>
      </c>
      <c r="AN251" s="30" t="str">
        <f t="shared" si="65"/>
        <v/>
      </c>
      <c r="AO251" s="29" t="str">
        <f>IF($B251="","",IF(AND(N($L251)=0,N($M251)=0),50,IF(N($M251)=0,100,IF(N($L251)=0,0,MEDIAN(0,100,50+50*LN($S251)/LN(Settings!$C$40))))))</f>
        <v/>
      </c>
      <c r="AP251" s="29">
        <f>IF($AA251="",50,MEDIAN(0,100,50+$AA251*100*Settings!$C$41))</f>
        <v>50</v>
      </c>
      <c r="AQ251" s="29">
        <f>IF($H251="",50,MEDIAN(0,100,50+$H251*100*Settings!$C$42))</f>
        <v>50</v>
      </c>
      <c r="AR251" s="29">
        <f>IF(OR($AC251="",$H251=""),50,MEDIAN(0,100,50+SIGN($H251)*50*MEDIAN(0,1,($AC251-1)/Settings!$C$43)))</f>
        <v>50</v>
      </c>
      <c r="AS251" s="29">
        <f>IF(OR($V251="",$W251=""),50,MEDIAN(0,100,50+50*($V251-$W251)/Settings!$C$44))</f>
        <v>50</v>
      </c>
      <c r="AT251" s="29">
        <f t="shared" si="66"/>
        <v>50</v>
      </c>
      <c r="AU251" s="30" t="str">
        <f t="shared" si="67"/>
        <v/>
      </c>
      <c r="AV251" s="87" t="str">
        <f>IF($A251="","",IF(COUNTIFS($A$4:$A251,$A251)=1,1,0))</f>
        <v/>
      </c>
    </row>
    <row r="252" spans="1:48" x14ac:dyDescent="0.3">
      <c r="A252" s="270"/>
      <c r="B252" s="271"/>
      <c r="C252" s="272"/>
      <c r="D252" s="272"/>
      <c r="E252" s="272"/>
      <c r="F252" s="272"/>
      <c r="G252" s="272"/>
      <c r="H252" s="268" t="str">
        <f t="shared" si="51"/>
        <v/>
      </c>
      <c r="I252" s="273"/>
      <c r="J252" s="273"/>
      <c r="K252" s="273"/>
      <c r="L252" s="273"/>
      <c r="M252" s="273"/>
      <c r="N252" s="273"/>
      <c r="O252" s="271"/>
      <c r="P252" s="270"/>
      <c r="Q252" s="271"/>
      <c r="R252" s="23" t="str" cm="1">
        <f t="array" ref="R252">IF($B252="","",IFERROR(IF(INDEX('Data Quality'!$U$4:$U$503,ROW()-3)=0,"PENDING",INDEX('Data Quality'!$U$4:$U$503,ROW()-3)),"PENDING"))</f>
        <v/>
      </c>
      <c r="S252" s="24" t="str">
        <f t="shared" si="52"/>
        <v/>
      </c>
      <c r="T252" s="25" t="str">
        <f t="shared" si="53"/>
        <v/>
      </c>
      <c r="U252" s="25" t="str">
        <f t="shared" si="54"/>
        <v/>
      </c>
      <c r="V252" s="26" t="str">
        <f t="shared" si="55"/>
        <v/>
      </c>
      <c r="W252" s="26" t="str">
        <f t="shared" si="56"/>
        <v/>
      </c>
      <c r="X252" s="25" t="str">
        <f t="shared" si="57"/>
        <v/>
      </c>
      <c r="Y252" s="25" t="str">
        <f t="shared" si="58"/>
        <v/>
      </c>
      <c r="Z252" s="27" t="str">
        <f>IF($B252="","",IF($AK252&lt;=Settings!$C$21,"",IFERROR(AVERAGEIFS($S$4:$S$503,$B$4:$B$503,$B252,$AK$4:$AK$503,"&gt;="&amp;$AK252-Settings!$C$21,$AK$4:$AK$503,"&lt;="&amp;$AK252-1),"")))</f>
        <v/>
      </c>
      <c r="AA252" s="28" t="str">
        <f t="shared" si="59"/>
        <v/>
      </c>
      <c r="AB252" s="25" t="str">
        <f>IF($B252="","",IF($AK252&lt;=Settings!$C$22,"",IFERROR(AVERAGEIFS($K$4:$K$503,$B$4:$B$503,$B252,$AK$4:$AK$503,"&gt;="&amp;$AK252-Settings!$C$22,$AK$4:$AK$503,"&lt;="&amp;$AK252-1),"")))</f>
        <v/>
      </c>
      <c r="AC252" s="27" t="str">
        <f t="shared" si="60"/>
        <v/>
      </c>
      <c r="AD252" s="28" t="str">
        <f>IF($B252="","",IF($AK252&lt;=Settings!$C$23,"",IFERROR($E252/SUMIFS($E$4:$E$503,$B$4:$B$503,$B252,$AK$4:$AK$503,$AK252-Settings!$C$23)-1,"")))</f>
        <v/>
      </c>
      <c r="AE252" s="28" t="str">
        <f>IF($B252="","",IF($AK252&lt;=Settings!$C$22,"",IFERROR($E252/SUMIFS($E$4:$E$503,$B$4:$B$503,$B252,$AK$4:$AK$503,$AK252-Settings!$C$22)-1,"")))</f>
        <v/>
      </c>
      <c r="AF252" s="28" t="str">
        <f t="shared" si="61"/>
        <v/>
      </c>
      <c r="AG252" s="29" t="str">
        <f>IF($B252="","",ROUND((MIN(100,100*N($I252)/Settings!$C$27)+MIN(100,100*N($K252)/Settings!$C$28)+MIN(100,100*N($J252)/Settings!$C$29))/3,1))</f>
        <v/>
      </c>
      <c r="AH252" s="29" t="str">
        <f>IF($B252="","",IF(SUM(Settings!$C$32:$C$37)=0,"",ROUND((Settings!$C$32*$AO252+Settings!$C$33*$AP252+Settings!$C$34*$AQ252+Settings!$C$35*$AR252+Settings!$C$36*$AS252+Settings!$C$37*$AT252)/SUM(Settings!$C$32:$C$37),1)))</f>
        <v/>
      </c>
      <c r="AI252" s="29" t="str">
        <f>IF($B252="","",MAX(0,100-IF(N($N252)&gt;0,0,20)-IF(AND(N($L252)=0,N($M252)=0),15,0)-IF(N($J252)&gt;0,0,10)-IF(N($K252)&gt;0,0,10)-IF($Z252&lt;&gt;"",0,15)-IF($AB252&lt;&gt;"",0,10)-IF($R252="ERROR",20,IF($R252="WARNING",10,0))))</f>
        <v/>
      </c>
      <c r="AJ252" s="30" t="str">
        <f>IF($AH252="","",IF($AH252&lt;Settings!$C$46,"Extreme Sell Pressure",IF($AH252&lt;Settings!$C$47,"Sell Pressure",IF($AH252&lt;=Settings!$C$48,"Neutral",IF($AH252&lt;=Settings!$C$49,"Buy Pressure","Extreme Buy Pressure")))))</f>
        <v/>
      </c>
      <c r="AK252" s="30" t="str">
        <f t="shared" si="62"/>
        <v/>
      </c>
      <c r="AL252" s="30" t="str">
        <f t="shared" si="63"/>
        <v/>
      </c>
      <c r="AM252" s="30" t="str">
        <f t="shared" si="64"/>
        <v/>
      </c>
      <c r="AN252" s="30" t="str">
        <f t="shared" si="65"/>
        <v/>
      </c>
      <c r="AO252" s="29" t="str">
        <f>IF($B252="","",IF(AND(N($L252)=0,N($M252)=0),50,IF(N($M252)=0,100,IF(N($L252)=0,0,MEDIAN(0,100,50+50*LN($S252)/LN(Settings!$C$40))))))</f>
        <v/>
      </c>
      <c r="AP252" s="29">
        <f>IF($AA252="",50,MEDIAN(0,100,50+$AA252*100*Settings!$C$41))</f>
        <v>50</v>
      </c>
      <c r="AQ252" s="29">
        <f>IF($H252="",50,MEDIAN(0,100,50+$H252*100*Settings!$C$42))</f>
        <v>50</v>
      </c>
      <c r="AR252" s="29">
        <f>IF(OR($AC252="",$H252=""),50,MEDIAN(0,100,50+SIGN($H252)*50*MEDIAN(0,1,($AC252-1)/Settings!$C$43)))</f>
        <v>50</v>
      </c>
      <c r="AS252" s="29">
        <f>IF(OR($V252="",$W252=""),50,MEDIAN(0,100,50+50*($V252-$W252)/Settings!$C$44))</f>
        <v>50</v>
      </c>
      <c r="AT252" s="29">
        <f t="shared" si="66"/>
        <v>50</v>
      </c>
      <c r="AU252" s="30" t="str">
        <f t="shared" si="67"/>
        <v/>
      </c>
      <c r="AV252" s="87" t="str">
        <f>IF($A252="","",IF(COUNTIFS($A$4:$A252,$A252)=1,1,0))</f>
        <v/>
      </c>
    </row>
    <row r="253" spans="1:48" x14ac:dyDescent="0.3">
      <c r="A253" s="270"/>
      <c r="B253" s="271"/>
      <c r="C253" s="272"/>
      <c r="D253" s="272"/>
      <c r="E253" s="272"/>
      <c r="F253" s="272"/>
      <c r="G253" s="272"/>
      <c r="H253" s="268" t="str">
        <f t="shared" si="51"/>
        <v/>
      </c>
      <c r="I253" s="273"/>
      <c r="J253" s="273"/>
      <c r="K253" s="273"/>
      <c r="L253" s="273"/>
      <c r="M253" s="273"/>
      <c r="N253" s="273"/>
      <c r="O253" s="271"/>
      <c r="P253" s="270"/>
      <c r="Q253" s="271"/>
      <c r="R253" s="23" t="str" cm="1">
        <f t="array" ref="R253">IF($B253="","",IFERROR(IF(INDEX('Data Quality'!$U$4:$U$503,ROW()-3)=0,"PENDING",INDEX('Data Quality'!$U$4:$U$503,ROW()-3)),"PENDING"))</f>
        <v/>
      </c>
      <c r="S253" s="24" t="str">
        <f t="shared" si="52"/>
        <v/>
      </c>
      <c r="T253" s="25" t="str">
        <f t="shared" si="53"/>
        <v/>
      </c>
      <c r="U253" s="25" t="str">
        <f t="shared" si="54"/>
        <v/>
      </c>
      <c r="V253" s="26" t="str">
        <f t="shared" si="55"/>
        <v/>
      </c>
      <c r="W253" s="26" t="str">
        <f t="shared" si="56"/>
        <v/>
      </c>
      <c r="X253" s="25" t="str">
        <f t="shared" si="57"/>
        <v/>
      </c>
      <c r="Y253" s="25" t="str">
        <f t="shared" si="58"/>
        <v/>
      </c>
      <c r="Z253" s="27" t="str">
        <f>IF($B253="","",IF($AK253&lt;=Settings!$C$21,"",IFERROR(AVERAGEIFS($S$4:$S$503,$B$4:$B$503,$B253,$AK$4:$AK$503,"&gt;="&amp;$AK253-Settings!$C$21,$AK$4:$AK$503,"&lt;="&amp;$AK253-1),"")))</f>
        <v/>
      </c>
      <c r="AA253" s="28" t="str">
        <f t="shared" si="59"/>
        <v/>
      </c>
      <c r="AB253" s="25" t="str">
        <f>IF($B253="","",IF($AK253&lt;=Settings!$C$22,"",IFERROR(AVERAGEIFS($K$4:$K$503,$B$4:$B$503,$B253,$AK$4:$AK$503,"&gt;="&amp;$AK253-Settings!$C$22,$AK$4:$AK$503,"&lt;="&amp;$AK253-1),"")))</f>
        <v/>
      </c>
      <c r="AC253" s="27" t="str">
        <f t="shared" si="60"/>
        <v/>
      </c>
      <c r="AD253" s="28" t="str">
        <f>IF($B253="","",IF($AK253&lt;=Settings!$C$23,"",IFERROR($E253/SUMIFS($E$4:$E$503,$B$4:$B$503,$B253,$AK$4:$AK$503,$AK253-Settings!$C$23)-1,"")))</f>
        <v/>
      </c>
      <c r="AE253" s="28" t="str">
        <f>IF($B253="","",IF($AK253&lt;=Settings!$C$22,"",IFERROR($E253/SUMIFS($E$4:$E$503,$B$4:$B$503,$B253,$AK$4:$AK$503,$AK253-Settings!$C$22)-1,"")))</f>
        <v/>
      </c>
      <c r="AF253" s="28" t="str">
        <f t="shared" si="61"/>
        <v/>
      </c>
      <c r="AG253" s="29" t="str">
        <f>IF($B253="","",ROUND((MIN(100,100*N($I253)/Settings!$C$27)+MIN(100,100*N($K253)/Settings!$C$28)+MIN(100,100*N($J253)/Settings!$C$29))/3,1))</f>
        <v/>
      </c>
      <c r="AH253" s="29" t="str">
        <f>IF($B253="","",IF(SUM(Settings!$C$32:$C$37)=0,"",ROUND((Settings!$C$32*$AO253+Settings!$C$33*$AP253+Settings!$C$34*$AQ253+Settings!$C$35*$AR253+Settings!$C$36*$AS253+Settings!$C$37*$AT253)/SUM(Settings!$C$32:$C$37),1)))</f>
        <v/>
      </c>
      <c r="AI253" s="29" t="str">
        <f>IF($B253="","",MAX(0,100-IF(N($N253)&gt;0,0,20)-IF(AND(N($L253)=0,N($M253)=0),15,0)-IF(N($J253)&gt;0,0,10)-IF(N($K253)&gt;0,0,10)-IF($Z253&lt;&gt;"",0,15)-IF($AB253&lt;&gt;"",0,10)-IF($R253="ERROR",20,IF($R253="WARNING",10,0))))</f>
        <v/>
      </c>
      <c r="AJ253" s="30" t="str">
        <f>IF($AH253="","",IF($AH253&lt;Settings!$C$46,"Extreme Sell Pressure",IF($AH253&lt;Settings!$C$47,"Sell Pressure",IF($AH253&lt;=Settings!$C$48,"Neutral",IF($AH253&lt;=Settings!$C$49,"Buy Pressure","Extreme Buy Pressure")))))</f>
        <v/>
      </c>
      <c r="AK253" s="30" t="str">
        <f t="shared" si="62"/>
        <v/>
      </c>
      <c r="AL253" s="30" t="str">
        <f t="shared" si="63"/>
        <v/>
      </c>
      <c r="AM253" s="30" t="str">
        <f t="shared" si="64"/>
        <v/>
      </c>
      <c r="AN253" s="30" t="str">
        <f t="shared" si="65"/>
        <v/>
      </c>
      <c r="AO253" s="29" t="str">
        <f>IF($B253="","",IF(AND(N($L253)=0,N($M253)=0),50,IF(N($M253)=0,100,IF(N($L253)=0,0,MEDIAN(0,100,50+50*LN($S253)/LN(Settings!$C$40))))))</f>
        <v/>
      </c>
      <c r="AP253" s="29">
        <f>IF($AA253="",50,MEDIAN(0,100,50+$AA253*100*Settings!$C$41))</f>
        <v>50</v>
      </c>
      <c r="AQ253" s="29">
        <f>IF($H253="",50,MEDIAN(0,100,50+$H253*100*Settings!$C$42))</f>
        <v>50</v>
      </c>
      <c r="AR253" s="29">
        <f>IF(OR($AC253="",$H253=""),50,MEDIAN(0,100,50+SIGN($H253)*50*MEDIAN(0,1,($AC253-1)/Settings!$C$43)))</f>
        <v>50</v>
      </c>
      <c r="AS253" s="29">
        <f>IF(OR($V253="",$W253=""),50,MEDIAN(0,100,50+50*($V253-$W253)/Settings!$C$44))</f>
        <v>50</v>
      </c>
      <c r="AT253" s="29">
        <f t="shared" si="66"/>
        <v>50</v>
      </c>
      <c r="AU253" s="30" t="str">
        <f t="shared" si="67"/>
        <v/>
      </c>
      <c r="AV253" s="87" t="str">
        <f>IF($A253="","",IF(COUNTIFS($A$4:$A253,$A253)=1,1,0))</f>
        <v/>
      </c>
    </row>
    <row r="254" spans="1:48" x14ac:dyDescent="0.3">
      <c r="A254" s="270"/>
      <c r="B254" s="271"/>
      <c r="C254" s="272"/>
      <c r="D254" s="272"/>
      <c r="E254" s="272"/>
      <c r="F254" s="272"/>
      <c r="G254" s="272"/>
      <c r="H254" s="268" t="str">
        <f t="shared" si="51"/>
        <v/>
      </c>
      <c r="I254" s="273"/>
      <c r="J254" s="273"/>
      <c r="K254" s="273"/>
      <c r="L254" s="273"/>
      <c r="M254" s="273"/>
      <c r="N254" s="273"/>
      <c r="O254" s="271"/>
      <c r="P254" s="270"/>
      <c r="Q254" s="271"/>
      <c r="R254" s="23" t="str" cm="1">
        <f t="array" ref="R254">IF($B254="","",IFERROR(IF(INDEX('Data Quality'!$U$4:$U$503,ROW()-3)=0,"PENDING",INDEX('Data Quality'!$U$4:$U$503,ROW()-3)),"PENDING"))</f>
        <v/>
      </c>
      <c r="S254" s="24" t="str">
        <f t="shared" si="52"/>
        <v/>
      </c>
      <c r="T254" s="25" t="str">
        <f t="shared" si="53"/>
        <v/>
      </c>
      <c r="U254" s="25" t="str">
        <f t="shared" si="54"/>
        <v/>
      </c>
      <c r="V254" s="26" t="str">
        <f t="shared" si="55"/>
        <v/>
      </c>
      <c r="W254" s="26" t="str">
        <f t="shared" si="56"/>
        <v/>
      </c>
      <c r="X254" s="25" t="str">
        <f t="shared" si="57"/>
        <v/>
      </c>
      <c r="Y254" s="25" t="str">
        <f t="shared" si="58"/>
        <v/>
      </c>
      <c r="Z254" s="27" t="str">
        <f>IF($B254="","",IF($AK254&lt;=Settings!$C$21,"",IFERROR(AVERAGEIFS($S$4:$S$503,$B$4:$B$503,$B254,$AK$4:$AK$503,"&gt;="&amp;$AK254-Settings!$C$21,$AK$4:$AK$503,"&lt;="&amp;$AK254-1),"")))</f>
        <v/>
      </c>
      <c r="AA254" s="28" t="str">
        <f t="shared" si="59"/>
        <v/>
      </c>
      <c r="AB254" s="25" t="str">
        <f>IF($B254="","",IF($AK254&lt;=Settings!$C$22,"",IFERROR(AVERAGEIFS($K$4:$K$503,$B$4:$B$503,$B254,$AK$4:$AK$503,"&gt;="&amp;$AK254-Settings!$C$22,$AK$4:$AK$503,"&lt;="&amp;$AK254-1),"")))</f>
        <v/>
      </c>
      <c r="AC254" s="27" t="str">
        <f t="shared" si="60"/>
        <v/>
      </c>
      <c r="AD254" s="28" t="str">
        <f>IF($B254="","",IF($AK254&lt;=Settings!$C$23,"",IFERROR($E254/SUMIFS($E$4:$E$503,$B$4:$B$503,$B254,$AK$4:$AK$503,$AK254-Settings!$C$23)-1,"")))</f>
        <v/>
      </c>
      <c r="AE254" s="28" t="str">
        <f>IF($B254="","",IF($AK254&lt;=Settings!$C$22,"",IFERROR($E254/SUMIFS($E$4:$E$503,$B$4:$B$503,$B254,$AK$4:$AK$503,$AK254-Settings!$C$22)-1,"")))</f>
        <v/>
      </c>
      <c r="AF254" s="28" t="str">
        <f t="shared" si="61"/>
        <v/>
      </c>
      <c r="AG254" s="29" t="str">
        <f>IF($B254="","",ROUND((MIN(100,100*N($I254)/Settings!$C$27)+MIN(100,100*N($K254)/Settings!$C$28)+MIN(100,100*N($J254)/Settings!$C$29))/3,1))</f>
        <v/>
      </c>
      <c r="AH254" s="29" t="str">
        <f>IF($B254="","",IF(SUM(Settings!$C$32:$C$37)=0,"",ROUND((Settings!$C$32*$AO254+Settings!$C$33*$AP254+Settings!$C$34*$AQ254+Settings!$C$35*$AR254+Settings!$C$36*$AS254+Settings!$C$37*$AT254)/SUM(Settings!$C$32:$C$37),1)))</f>
        <v/>
      </c>
      <c r="AI254" s="29" t="str">
        <f>IF($B254="","",MAX(0,100-IF(N($N254)&gt;0,0,20)-IF(AND(N($L254)=0,N($M254)=0),15,0)-IF(N($J254)&gt;0,0,10)-IF(N($K254)&gt;0,0,10)-IF($Z254&lt;&gt;"",0,15)-IF($AB254&lt;&gt;"",0,10)-IF($R254="ERROR",20,IF($R254="WARNING",10,0))))</f>
        <v/>
      </c>
      <c r="AJ254" s="30" t="str">
        <f>IF($AH254="","",IF($AH254&lt;Settings!$C$46,"Extreme Sell Pressure",IF($AH254&lt;Settings!$C$47,"Sell Pressure",IF($AH254&lt;=Settings!$C$48,"Neutral",IF($AH254&lt;=Settings!$C$49,"Buy Pressure","Extreme Buy Pressure")))))</f>
        <v/>
      </c>
      <c r="AK254" s="30" t="str">
        <f t="shared" si="62"/>
        <v/>
      </c>
      <c r="AL254" s="30" t="str">
        <f t="shared" si="63"/>
        <v/>
      </c>
      <c r="AM254" s="30" t="str">
        <f t="shared" si="64"/>
        <v/>
      </c>
      <c r="AN254" s="30" t="str">
        <f t="shared" si="65"/>
        <v/>
      </c>
      <c r="AO254" s="29" t="str">
        <f>IF($B254="","",IF(AND(N($L254)=0,N($M254)=0),50,IF(N($M254)=0,100,IF(N($L254)=0,0,MEDIAN(0,100,50+50*LN($S254)/LN(Settings!$C$40))))))</f>
        <v/>
      </c>
      <c r="AP254" s="29">
        <f>IF($AA254="",50,MEDIAN(0,100,50+$AA254*100*Settings!$C$41))</f>
        <v>50</v>
      </c>
      <c r="AQ254" s="29">
        <f>IF($H254="",50,MEDIAN(0,100,50+$H254*100*Settings!$C$42))</f>
        <v>50</v>
      </c>
      <c r="AR254" s="29">
        <f>IF(OR($AC254="",$H254=""),50,MEDIAN(0,100,50+SIGN($H254)*50*MEDIAN(0,1,($AC254-1)/Settings!$C$43)))</f>
        <v>50</v>
      </c>
      <c r="AS254" s="29">
        <f>IF(OR($V254="",$W254=""),50,MEDIAN(0,100,50+50*($V254-$W254)/Settings!$C$44))</f>
        <v>50</v>
      </c>
      <c r="AT254" s="29">
        <f t="shared" si="66"/>
        <v>50</v>
      </c>
      <c r="AU254" s="30" t="str">
        <f t="shared" si="67"/>
        <v/>
      </c>
      <c r="AV254" s="87" t="str">
        <f>IF($A254="","",IF(COUNTIFS($A$4:$A254,$A254)=1,1,0))</f>
        <v/>
      </c>
    </row>
    <row r="255" spans="1:48" x14ac:dyDescent="0.3">
      <c r="A255" s="270"/>
      <c r="B255" s="271"/>
      <c r="C255" s="272"/>
      <c r="D255" s="272"/>
      <c r="E255" s="272"/>
      <c r="F255" s="272"/>
      <c r="G255" s="272"/>
      <c r="H255" s="268" t="str">
        <f t="shared" si="51"/>
        <v/>
      </c>
      <c r="I255" s="273"/>
      <c r="J255" s="273"/>
      <c r="K255" s="273"/>
      <c r="L255" s="273"/>
      <c r="M255" s="273"/>
      <c r="N255" s="273"/>
      <c r="O255" s="271"/>
      <c r="P255" s="270"/>
      <c r="Q255" s="271"/>
      <c r="R255" s="23" t="str" cm="1">
        <f t="array" ref="R255">IF($B255="","",IFERROR(IF(INDEX('Data Quality'!$U$4:$U$503,ROW()-3)=0,"PENDING",INDEX('Data Quality'!$U$4:$U$503,ROW()-3)),"PENDING"))</f>
        <v/>
      </c>
      <c r="S255" s="24" t="str">
        <f t="shared" si="52"/>
        <v/>
      </c>
      <c r="T255" s="25" t="str">
        <f t="shared" si="53"/>
        <v/>
      </c>
      <c r="U255" s="25" t="str">
        <f t="shared" si="54"/>
        <v/>
      </c>
      <c r="V255" s="26" t="str">
        <f t="shared" si="55"/>
        <v/>
      </c>
      <c r="W255" s="26" t="str">
        <f t="shared" si="56"/>
        <v/>
      </c>
      <c r="X255" s="25" t="str">
        <f t="shared" si="57"/>
        <v/>
      </c>
      <c r="Y255" s="25" t="str">
        <f t="shared" si="58"/>
        <v/>
      </c>
      <c r="Z255" s="27" t="str">
        <f>IF($B255="","",IF($AK255&lt;=Settings!$C$21,"",IFERROR(AVERAGEIFS($S$4:$S$503,$B$4:$B$503,$B255,$AK$4:$AK$503,"&gt;="&amp;$AK255-Settings!$C$21,$AK$4:$AK$503,"&lt;="&amp;$AK255-1),"")))</f>
        <v/>
      </c>
      <c r="AA255" s="28" t="str">
        <f t="shared" si="59"/>
        <v/>
      </c>
      <c r="AB255" s="25" t="str">
        <f>IF($B255="","",IF($AK255&lt;=Settings!$C$22,"",IFERROR(AVERAGEIFS($K$4:$K$503,$B$4:$B$503,$B255,$AK$4:$AK$503,"&gt;="&amp;$AK255-Settings!$C$22,$AK$4:$AK$503,"&lt;="&amp;$AK255-1),"")))</f>
        <v/>
      </c>
      <c r="AC255" s="27" t="str">
        <f t="shared" si="60"/>
        <v/>
      </c>
      <c r="AD255" s="28" t="str">
        <f>IF($B255="","",IF($AK255&lt;=Settings!$C$23,"",IFERROR($E255/SUMIFS($E$4:$E$503,$B$4:$B$503,$B255,$AK$4:$AK$503,$AK255-Settings!$C$23)-1,"")))</f>
        <v/>
      </c>
      <c r="AE255" s="28" t="str">
        <f>IF($B255="","",IF($AK255&lt;=Settings!$C$22,"",IFERROR($E255/SUMIFS($E$4:$E$503,$B$4:$B$503,$B255,$AK$4:$AK$503,$AK255-Settings!$C$22)-1,"")))</f>
        <v/>
      </c>
      <c r="AF255" s="28" t="str">
        <f t="shared" si="61"/>
        <v/>
      </c>
      <c r="AG255" s="29" t="str">
        <f>IF($B255="","",ROUND((MIN(100,100*N($I255)/Settings!$C$27)+MIN(100,100*N($K255)/Settings!$C$28)+MIN(100,100*N($J255)/Settings!$C$29))/3,1))</f>
        <v/>
      </c>
      <c r="AH255" s="29" t="str">
        <f>IF($B255="","",IF(SUM(Settings!$C$32:$C$37)=0,"",ROUND((Settings!$C$32*$AO255+Settings!$C$33*$AP255+Settings!$C$34*$AQ255+Settings!$C$35*$AR255+Settings!$C$36*$AS255+Settings!$C$37*$AT255)/SUM(Settings!$C$32:$C$37),1)))</f>
        <v/>
      </c>
      <c r="AI255" s="29" t="str">
        <f>IF($B255="","",MAX(0,100-IF(N($N255)&gt;0,0,20)-IF(AND(N($L255)=0,N($M255)=0),15,0)-IF(N($J255)&gt;0,0,10)-IF(N($K255)&gt;0,0,10)-IF($Z255&lt;&gt;"",0,15)-IF($AB255&lt;&gt;"",0,10)-IF($R255="ERROR",20,IF($R255="WARNING",10,0))))</f>
        <v/>
      </c>
      <c r="AJ255" s="30" t="str">
        <f>IF($AH255="","",IF($AH255&lt;Settings!$C$46,"Extreme Sell Pressure",IF($AH255&lt;Settings!$C$47,"Sell Pressure",IF($AH255&lt;=Settings!$C$48,"Neutral",IF($AH255&lt;=Settings!$C$49,"Buy Pressure","Extreme Buy Pressure")))))</f>
        <v/>
      </c>
      <c r="AK255" s="30" t="str">
        <f t="shared" si="62"/>
        <v/>
      </c>
      <c r="AL255" s="30" t="str">
        <f t="shared" si="63"/>
        <v/>
      </c>
      <c r="AM255" s="30" t="str">
        <f t="shared" si="64"/>
        <v/>
      </c>
      <c r="AN255" s="30" t="str">
        <f t="shared" si="65"/>
        <v/>
      </c>
      <c r="AO255" s="29" t="str">
        <f>IF($B255="","",IF(AND(N($L255)=0,N($M255)=0),50,IF(N($M255)=0,100,IF(N($L255)=0,0,MEDIAN(0,100,50+50*LN($S255)/LN(Settings!$C$40))))))</f>
        <v/>
      </c>
      <c r="AP255" s="29">
        <f>IF($AA255="",50,MEDIAN(0,100,50+$AA255*100*Settings!$C$41))</f>
        <v>50</v>
      </c>
      <c r="AQ255" s="29">
        <f>IF($H255="",50,MEDIAN(0,100,50+$H255*100*Settings!$C$42))</f>
        <v>50</v>
      </c>
      <c r="AR255" s="29">
        <f>IF(OR($AC255="",$H255=""),50,MEDIAN(0,100,50+SIGN($H255)*50*MEDIAN(0,1,($AC255-1)/Settings!$C$43)))</f>
        <v>50</v>
      </c>
      <c r="AS255" s="29">
        <f>IF(OR($V255="",$W255=""),50,MEDIAN(0,100,50+50*($V255-$W255)/Settings!$C$44))</f>
        <v>50</v>
      </c>
      <c r="AT255" s="29">
        <f t="shared" si="66"/>
        <v>50</v>
      </c>
      <c r="AU255" s="30" t="str">
        <f t="shared" si="67"/>
        <v/>
      </c>
      <c r="AV255" s="87" t="str">
        <f>IF($A255="","",IF(COUNTIFS($A$4:$A255,$A255)=1,1,0))</f>
        <v/>
      </c>
    </row>
    <row r="256" spans="1:48" x14ac:dyDescent="0.3">
      <c r="A256" s="270"/>
      <c r="B256" s="271"/>
      <c r="C256" s="272"/>
      <c r="D256" s="272"/>
      <c r="E256" s="272"/>
      <c r="F256" s="272"/>
      <c r="G256" s="272"/>
      <c r="H256" s="268" t="str">
        <f t="shared" si="51"/>
        <v/>
      </c>
      <c r="I256" s="273"/>
      <c r="J256" s="273"/>
      <c r="K256" s="273"/>
      <c r="L256" s="273"/>
      <c r="M256" s="273"/>
      <c r="N256" s="273"/>
      <c r="O256" s="271"/>
      <c r="P256" s="270"/>
      <c r="Q256" s="271"/>
      <c r="R256" s="23" t="str" cm="1">
        <f t="array" ref="R256">IF($B256="","",IFERROR(IF(INDEX('Data Quality'!$U$4:$U$503,ROW()-3)=0,"PENDING",INDEX('Data Quality'!$U$4:$U$503,ROW()-3)),"PENDING"))</f>
        <v/>
      </c>
      <c r="S256" s="24" t="str">
        <f t="shared" si="52"/>
        <v/>
      </c>
      <c r="T256" s="25" t="str">
        <f t="shared" si="53"/>
        <v/>
      </c>
      <c r="U256" s="25" t="str">
        <f t="shared" si="54"/>
        <v/>
      </c>
      <c r="V256" s="26" t="str">
        <f t="shared" si="55"/>
        <v/>
      </c>
      <c r="W256" s="26" t="str">
        <f t="shared" si="56"/>
        <v/>
      </c>
      <c r="X256" s="25" t="str">
        <f t="shared" si="57"/>
        <v/>
      </c>
      <c r="Y256" s="25" t="str">
        <f t="shared" si="58"/>
        <v/>
      </c>
      <c r="Z256" s="27" t="str">
        <f>IF($B256="","",IF($AK256&lt;=Settings!$C$21,"",IFERROR(AVERAGEIFS($S$4:$S$503,$B$4:$B$503,$B256,$AK$4:$AK$503,"&gt;="&amp;$AK256-Settings!$C$21,$AK$4:$AK$503,"&lt;="&amp;$AK256-1),"")))</f>
        <v/>
      </c>
      <c r="AA256" s="28" t="str">
        <f t="shared" si="59"/>
        <v/>
      </c>
      <c r="AB256" s="25" t="str">
        <f>IF($B256="","",IF($AK256&lt;=Settings!$C$22,"",IFERROR(AVERAGEIFS($K$4:$K$503,$B$4:$B$503,$B256,$AK$4:$AK$503,"&gt;="&amp;$AK256-Settings!$C$22,$AK$4:$AK$503,"&lt;="&amp;$AK256-1),"")))</f>
        <v/>
      </c>
      <c r="AC256" s="27" t="str">
        <f t="shared" si="60"/>
        <v/>
      </c>
      <c r="AD256" s="28" t="str">
        <f>IF($B256="","",IF($AK256&lt;=Settings!$C$23,"",IFERROR($E256/SUMIFS($E$4:$E$503,$B$4:$B$503,$B256,$AK$4:$AK$503,$AK256-Settings!$C$23)-1,"")))</f>
        <v/>
      </c>
      <c r="AE256" s="28" t="str">
        <f>IF($B256="","",IF($AK256&lt;=Settings!$C$22,"",IFERROR($E256/SUMIFS($E$4:$E$503,$B$4:$B$503,$B256,$AK$4:$AK$503,$AK256-Settings!$C$22)-1,"")))</f>
        <v/>
      </c>
      <c r="AF256" s="28" t="str">
        <f t="shared" si="61"/>
        <v/>
      </c>
      <c r="AG256" s="29" t="str">
        <f>IF($B256="","",ROUND((MIN(100,100*N($I256)/Settings!$C$27)+MIN(100,100*N($K256)/Settings!$C$28)+MIN(100,100*N($J256)/Settings!$C$29))/3,1))</f>
        <v/>
      </c>
      <c r="AH256" s="29" t="str">
        <f>IF($B256="","",IF(SUM(Settings!$C$32:$C$37)=0,"",ROUND((Settings!$C$32*$AO256+Settings!$C$33*$AP256+Settings!$C$34*$AQ256+Settings!$C$35*$AR256+Settings!$C$36*$AS256+Settings!$C$37*$AT256)/SUM(Settings!$C$32:$C$37),1)))</f>
        <v/>
      </c>
      <c r="AI256" s="29" t="str">
        <f>IF($B256="","",MAX(0,100-IF(N($N256)&gt;0,0,20)-IF(AND(N($L256)=0,N($M256)=0),15,0)-IF(N($J256)&gt;0,0,10)-IF(N($K256)&gt;0,0,10)-IF($Z256&lt;&gt;"",0,15)-IF($AB256&lt;&gt;"",0,10)-IF($R256="ERROR",20,IF($R256="WARNING",10,0))))</f>
        <v/>
      </c>
      <c r="AJ256" s="30" t="str">
        <f>IF($AH256="","",IF($AH256&lt;Settings!$C$46,"Extreme Sell Pressure",IF($AH256&lt;Settings!$C$47,"Sell Pressure",IF($AH256&lt;=Settings!$C$48,"Neutral",IF($AH256&lt;=Settings!$C$49,"Buy Pressure","Extreme Buy Pressure")))))</f>
        <v/>
      </c>
      <c r="AK256" s="30" t="str">
        <f t="shared" si="62"/>
        <v/>
      </c>
      <c r="AL256" s="30" t="str">
        <f t="shared" si="63"/>
        <v/>
      </c>
      <c r="AM256" s="30" t="str">
        <f t="shared" si="64"/>
        <v/>
      </c>
      <c r="AN256" s="30" t="str">
        <f t="shared" si="65"/>
        <v/>
      </c>
      <c r="AO256" s="29" t="str">
        <f>IF($B256="","",IF(AND(N($L256)=0,N($M256)=0),50,IF(N($M256)=0,100,IF(N($L256)=0,0,MEDIAN(0,100,50+50*LN($S256)/LN(Settings!$C$40))))))</f>
        <v/>
      </c>
      <c r="AP256" s="29">
        <f>IF($AA256="",50,MEDIAN(0,100,50+$AA256*100*Settings!$C$41))</f>
        <v>50</v>
      </c>
      <c r="AQ256" s="29">
        <f>IF($H256="",50,MEDIAN(0,100,50+$H256*100*Settings!$C$42))</f>
        <v>50</v>
      </c>
      <c r="AR256" s="29">
        <f>IF(OR($AC256="",$H256=""),50,MEDIAN(0,100,50+SIGN($H256)*50*MEDIAN(0,1,($AC256-1)/Settings!$C$43)))</f>
        <v>50</v>
      </c>
      <c r="AS256" s="29">
        <f>IF(OR($V256="",$W256=""),50,MEDIAN(0,100,50+50*($V256-$W256)/Settings!$C$44))</f>
        <v>50</v>
      </c>
      <c r="AT256" s="29">
        <f t="shared" si="66"/>
        <v>50</v>
      </c>
      <c r="AU256" s="30" t="str">
        <f t="shared" si="67"/>
        <v/>
      </c>
      <c r="AV256" s="87" t="str">
        <f>IF($A256="","",IF(COUNTIFS($A$4:$A256,$A256)=1,1,0))</f>
        <v/>
      </c>
    </row>
    <row r="257" spans="1:48" x14ac:dyDescent="0.3">
      <c r="A257" s="270"/>
      <c r="B257" s="271"/>
      <c r="C257" s="272"/>
      <c r="D257" s="272"/>
      <c r="E257" s="272"/>
      <c r="F257" s="272"/>
      <c r="G257" s="272"/>
      <c r="H257" s="268" t="str">
        <f t="shared" si="51"/>
        <v/>
      </c>
      <c r="I257" s="273"/>
      <c r="J257" s="273"/>
      <c r="K257" s="273"/>
      <c r="L257" s="273"/>
      <c r="M257" s="273"/>
      <c r="N257" s="273"/>
      <c r="O257" s="271"/>
      <c r="P257" s="270"/>
      <c r="Q257" s="271"/>
      <c r="R257" s="23" t="str" cm="1">
        <f t="array" ref="R257">IF($B257="","",IFERROR(IF(INDEX('Data Quality'!$U$4:$U$503,ROW()-3)=0,"PENDING",INDEX('Data Quality'!$U$4:$U$503,ROW()-3)),"PENDING"))</f>
        <v/>
      </c>
      <c r="S257" s="24" t="str">
        <f t="shared" si="52"/>
        <v/>
      </c>
      <c r="T257" s="25" t="str">
        <f t="shared" si="53"/>
        <v/>
      </c>
      <c r="U257" s="25" t="str">
        <f t="shared" si="54"/>
        <v/>
      </c>
      <c r="V257" s="26" t="str">
        <f t="shared" si="55"/>
        <v/>
      </c>
      <c r="W257" s="26" t="str">
        <f t="shared" si="56"/>
        <v/>
      </c>
      <c r="X257" s="25" t="str">
        <f t="shared" si="57"/>
        <v/>
      </c>
      <c r="Y257" s="25" t="str">
        <f t="shared" si="58"/>
        <v/>
      </c>
      <c r="Z257" s="27" t="str">
        <f>IF($B257="","",IF($AK257&lt;=Settings!$C$21,"",IFERROR(AVERAGEIFS($S$4:$S$503,$B$4:$B$503,$B257,$AK$4:$AK$503,"&gt;="&amp;$AK257-Settings!$C$21,$AK$4:$AK$503,"&lt;="&amp;$AK257-1),"")))</f>
        <v/>
      </c>
      <c r="AA257" s="28" t="str">
        <f t="shared" si="59"/>
        <v/>
      </c>
      <c r="AB257" s="25" t="str">
        <f>IF($B257="","",IF($AK257&lt;=Settings!$C$22,"",IFERROR(AVERAGEIFS($K$4:$K$503,$B$4:$B$503,$B257,$AK$4:$AK$503,"&gt;="&amp;$AK257-Settings!$C$22,$AK$4:$AK$503,"&lt;="&amp;$AK257-1),"")))</f>
        <v/>
      </c>
      <c r="AC257" s="27" t="str">
        <f t="shared" si="60"/>
        <v/>
      </c>
      <c r="AD257" s="28" t="str">
        <f>IF($B257="","",IF($AK257&lt;=Settings!$C$23,"",IFERROR($E257/SUMIFS($E$4:$E$503,$B$4:$B$503,$B257,$AK$4:$AK$503,$AK257-Settings!$C$23)-1,"")))</f>
        <v/>
      </c>
      <c r="AE257" s="28" t="str">
        <f>IF($B257="","",IF($AK257&lt;=Settings!$C$22,"",IFERROR($E257/SUMIFS($E$4:$E$503,$B$4:$B$503,$B257,$AK$4:$AK$503,$AK257-Settings!$C$22)-1,"")))</f>
        <v/>
      </c>
      <c r="AF257" s="28" t="str">
        <f t="shared" si="61"/>
        <v/>
      </c>
      <c r="AG257" s="29" t="str">
        <f>IF($B257="","",ROUND((MIN(100,100*N($I257)/Settings!$C$27)+MIN(100,100*N($K257)/Settings!$C$28)+MIN(100,100*N($J257)/Settings!$C$29))/3,1))</f>
        <v/>
      </c>
      <c r="AH257" s="29" t="str">
        <f>IF($B257="","",IF(SUM(Settings!$C$32:$C$37)=0,"",ROUND((Settings!$C$32*$AO257+Settings!$C$33*$AP257+Settings!$C$34*$AQ257+Settings!$C$35*$AR257+Settings!$C$36*$AS257+Settings!$C$37*$AT257)/SUM(Settings!$C$32:$C$37),1)))</f>
        <v/>
      </c>
      <c r="AI257" s="29" t="str">
        <f>IF($B257="","",MAX(0,100-IF(N($N257)&gt;0,0,20)-IF(AND(N($L257)=0,N($M257)=0),15,0)-IF(N($J257)&gt;0,0,10)-IF(N($K257)&gt;0,0,10)-IF($Z257&lt;&gt;"",0,15)-IF($AB257&lt;&gt;"",0,10)-IF($R257="ERROR",20,IF($R257="WARNING",10,0))))</f>
        <v/>
      </c>
      <c r="AJ257" s="30" t="str">
        <f>IF($AH257="","",IF($AH257&lt;Settings!$C$46,"Extreme Sell Pressure",IF($AH257&lt;Settings!$C$47,"Sell Pressure",IF($AH257&lt;=Settings!$C$48,"Neutral",IF($AH257&lt;=Settings!$C$49,"Buy Pressure","Extreme Buy Pressure")))))</f>
        <v/>
      </c>
      <c r="AK257" s="30" t="str">
        <f t="shared" si="62"/>
        <v/>
      </c>
      <c r="AL257" s="30" t="str">
        <f t="shared" si="63"/>
        <v/>
      </c>
      <c r="AM257" s="30" t="str">
        <f t="shared" si="64"/>
        <v/>
      </c>
      <c r="AN257" s="30" t="str">
        <f t="shared" si="65"/>
        <v/>
      </c>
      <c r="AO257" s="29" t="str">
        <f>IF($B257="","",IF(AND(N($L257)=0,N($M257)=0),50,IF(N($M257)=0,100,IF(N($L257)=0,0,MEDIAN(0,100,50+50*LN($S257)/LN(Settings!$C$40))))))</f>
        <v/>
      </c>
      <c r="AP257" s="29">
        <f>IF($AA257="",50,MEDIAN(0,100,50+$AA257*100*Settings!$C$41))</f>
        <v>50</v>
      </c>
      <c r="AQ257" s="29">
        <f>IF($H257="",50,MEDIAN(0,100,50+$H257*100*Settings!$C$42))</f>
        <v>50</v>
      </c>
      <c r="AR257" s="29">
        <f>IF(OR($AC257="",$H257=""),50,MEDIAN(0,100,50+SIGN($H257)*50*MEDIAN(0,1,($AC257-1)/Settings!$C$43)))</f>
        <v>50</v>
      </c>
      <c r="AS257" s="29">
        <f>IF(OR($V257="",$W257=""),50,MEDIAN(0,100,50+50*($V257-$W257)/Settings!$C$44))</f>
        <v>50</v>
      </c>
      <c r="AT257" s="29">
        <f t="shared" si="66"/>
        <v>50</v>
      </c>
      <c r="AU257" s="30" t="str">
        <f t="shared" si="67"/>
        <v/>
      </c>
      <c r="AV257" s="87" t="str">
        <f>IF($A257="","",IF(COUNTIFS($A$4:$A257,$A257)=1,1,0))</f>
        <v/>
      </c>
    </row>
    <row r="258" spans="1:48" x14ac:dyDescent="0.3">
      <c r="A258" s="270"/>
      <c r="B258" s="271"/>
      <c r="C258" s="272"/>
      <c r="D258" s="272"/>
      <c r="E258" s="272"/>
      <c r="F258" s="272"/>
      <c r="G258" s="272"/>
      <c r="H258" s="268" t="str">
        <f t="shared" si="51"/>
        <v/>
      </c>
      <c r="I258" s="273"/>
      <c r="J258" s="273"/>
      <c r="K258" s="273"/>
      <c r="L258" s="273"/>
      <c r="M258" s="273"/>
      <c r="N258" s="273"/>
      <c r="O258" s="271"/>
      <c r="P258" s="270"/>
      <c r="Q258" s="271"/>
      <c r="R258" s="23" t="str" cm="1">
        <f t="array" ref="R258">IF($B258="","",IFERROR(IF(INDEX('Data Quality'!$U$4:$U$503,ROW()-3)=0,"PENDING",INDEX('Data Quality'!$U$4:$U$503,ROW()-3)),"PENDING"))</f>
        <v/>
      </c>
      <c r="S258" s="24" t="str">
        <f t="shared" si="52"/>
        <v/>
      </c>
      <c r="T258" s="25" t="str">
        <f t="shared" si="53"/>
        <v/>
      </c>
      <c r="U258" s="25" t="str">
        <f t="shared" si="54"/>
        <v/>
      </c>
      <c r="V258" s="26" t="str">
        <f t="shared" si="55"/>
        <v/>
      </c>
      <c r="W258" s="26" t="str">
        <f t="shared" si="56"/>
        <v/>
      </c>
      <c r="X258" s="25" t="str">
        <f t="shared" si="57"/>
        <v/>
      </c>
      <c r="Y258" s="25" t="str">
        <f t="shared" si="58"/>
        <v/>
      </c>
      <c r="Z258" s="27" t="str">
        <f>IF($B258="","",IF($AK258&lt;=Settings!$C$21,"",IFERROR(AVERAGEIFS($S$4:$S$503,$B$4:$B$503,$B258,$AK$4:$AK$503,"&gt;="&amp;$AK258-Settings!$C$21,$AK$4:$AK$503,"&lt;="&amp;$AK258-1),"")))</f>
        <v/>
      </c>
      <c r="AA258" s="28" t="str">
        <f t="shared" si="59"/>
        <v/>
      </c>
      <c r="AB258" s="25" t="str">
        <f>IF($B258="","",IF($AK258&lt;=Settings!$C$22,"",IFERROR(AVERAGEIFS($K$4:$K$503,$B$4:$B$503,$B258,$AK$4:$AK$503,"&gt;="&amp;$AK258-Settings!$C$22,$AK$4:$AK$503,"&lt;="&amp;$AK258-1),"")))</f>
        <v/>
      </c>
      <c r="AC258" s="27" t="str">
        <f t="shared" si="60"/>
        <v/>
      </c>
      <c r="AD258" s="28" t="str">
        <f>IF($B258="","",IF($AK258&lt;=Settings!$C$23,"",IFERROR($E258/SUMIFS($E$4:$E$503,$B$4:$B$503,$B258,$AK$4:$AK$503,$AK258-Settings!$C$23)-1,"")))</f>
        <v/>
      </c>
      <c r="AE258" s="28" t="str">
        <f>IF($B258="","",IF($AK258&lt;=Settings!$C$22,"",IFERROR($E258/SUMIFS($E$4:$E$503,$B$4:$B$503,$B258,$AK$4:$AK$503,$AK258-Settings!$C$22)-1,"")))</f>
        <v/>
      </c>
      <c r="AF258" s="28" t="str">
        <f t="shared" si="61"/>
        <v/>
      </c>
      <c r="AG258" s="29" t="str">
        <f>IF($B258="","",ROUND((MIN(100,100*N($I258)/Settings!$C$27)+MIN(100,100*N($K258)/Settings!$C$28)+MIN(100,100*N($J258)/Settings!$C$29))/3,1))</f>
        <v/>
      </c>
      <c r="AH258" s="29" t="str">
        <f>IF($B258="","",IF(SUM(Settings!$C$32:$C$37)=0,"",ROUND((Settings!$C$32*$AO258+Settings!$C$33*$AP258+Settings!$C$34*$AQ258+Settings!$C$35*$AR258+Settings!$C$36*$AS258+Settings!$C$37*$AT258)/SUM(Settings!$C$32:$C$37),1)))</f>
        <v/>
      </c>
      <c r="AI258" s="29" t="str">
        <f>IF($B258="","",MAX(0,100-IF(N($N258)&gt;0,0,20)-IF(AND(N($L258)=0,N($M258)=0),15,0)-IF(N($J258)&gt;0,0,10)-IF(N($K258)&gt;0,0,10)-IF($Z258&lt;&gt;"",0,15)-IF($AB258&lt;&gt;"",0,10)-IF($R258="ERROR",20,IF($R258="WARNING",10,0))))</f>
        <v/>
      </c>
      <c r="AJ258" s="30" t="str">
        <f>IF($AH258="","",IF($AH258&lt;Settings!$C$46,"Extreme Sell Pressure",IF($AH258&lt;Settings!$C$47,"Sell Pressure",IF($AH258&lt;=Settings!$C$48,"Neutral",IF($AH258&lt;=Settings!$C$49,"Buy Pressure","Extreme Buy Pressure")))))</f>
        <v/>
      </c>
      <c r="AK258" s="30" t="str">
        <f t="shared" si="62"/>
        <v/>
      </c>
      <c r="AL258" s="30" t="str">
        <f t="shared" si="63"/>
        <v/>
      </c>
      <c r="AM258" s="30" t="str">
        <f t="shared" si="64"/>
        <v/>
      </c>
      <c r="AN258" s="30" t="str">
        <f t="shared" si="65"/>
        <v/>
      </c>
      <c r="AO258" s="29" t="str">
        <f>IF($B258="","",IF(AND(N($L258)=0,N($M258)=0),50,IF(N($M258)=0,100,IF(N($L258)=0,0,MEDIAN(0,100,50+50*LN($S258)/LN(Settings!$C$40))))))</f>
        <v/>
      </c>
      <c r="AP258" s="29">
        <f>IF($AA258="",50,MEDIAN(0,100,50+$AA258*100*Settings!$C$41))</f>
        <v>50</v>
      </c>
      <c r="AQ258" s="29">
        <f>IF($H258="",50,MEDIAN(0,100,50+$H258*100*Settings!$C$42))</f>
        <v>50</v>
      </c>
      <c r="AR258" s="29">
        <f>IF(OR($AC258="",$H258=""),50,MEDIAN(0,100,50+SIGN($H258)*50*MEDIAN(0,1,($AC258-1)/Settings!$C$43)))</f>
        <v>50</v>
      </c>
      <c r="AS258" s="29">
        <f>IF(OR($V258="",$W258=""),50,MEDIAN(0,100,50+50*($V258-$W258)/Settings!$C$44))</f>
        <v>50</v>
      </c>
      <c r="AT258" s="29">
        <f t="shared" si="66"/>
        <v>50</v>
      </c>
      <c r="AU258" s="30" t="str">
        <f t="shared" si="67"/>
        <v/>
      </c>
      <c r="AV258" s="87" t="str">
        <f>IF($A258="","",IF(COUNTIFS($A$4:$A258,$A258)=1,1,0))</f>
        <v/>
      </c>
    </row>
    <row r="259" spans="1:48" x14ac:dyDescent="0.3">
      <c r="A259" s="270"/>
      <c r="B259" s="271"/>
      <c r="C259" s="272"/>
      <c r="D259" s="272"/>
      <c r="E259" s="272"/>
      <c r="F259" s="272"/>
      <c r="G259" s="272"/>
      <c r="H259" s="268" t="str">
        <f t="shared" si="51"/>
        <v/>
      </c>
      <c r="I259" s="273"/>
      <c r="J259" s="273"/>
      <c r="K259" s="273"/>
      <c r="L259" s="273"/>
      <c r="M259" s="273"/>
      <c r="N259" s="273"/>
      <c r="O259" s="271"/>
      <c r="P259" s="270"/>
      <c r="Q259" s="271"/>
      <c r="R259" s="23" t="str" cm="1">
        <f t="array" ref="R259">IF($B259="","",IFERROR(IF(INDEX('Data Quality'!$U$4:$U$503,ROW()-3)=0,"PENDING",INDEX('Data Quality'!$U$4:$U$503,ROW()-3)),"PENDING"))</f>
        <v/>
      </c>
      <c r="S259" s="24" t="str">
        <f t="shared" si="52"/>
        <v/>
      </c>
      <c r="T259" s="25" t="str">
        <f t="shared" si="53"/>
        <v/>
      </c>
      <c r="U259" s="25" t="str">
        <f t="shared" si="54"/>
        <v/>
      </c>
      <c r="V259" s="26" t="str">
        <f t="shared" si="55"/>
        <v/>
      </c>
      <c r="W259" s="26" t="str">
        <f t="shared" si="56"/>
        <v/>
      </c>
      <c r="X259" s="25" t="str">
        <f t="shared" si="57"/>
        <v/>
      </c>
      <c r="Y259" s="25" t="str">
        <f t="shared" si="58"/>
        <v/>
      </c>
      <c r="Z259" s="27" t="str">
        <f>IF($B259="","",IF($AK259&lt;=Settings!$C$21,"",IFERROR(AVERAGEIFS($S$4:$S$503,$B$4:$B$503,$B259,$AK$4:$AK$503,"&gt;="&amp;$AK259-Settings!$C$21,$AK$4:$AK$503,"&lt;="&amp;$AK259-1),"")))</f>
        <v/>
      </c>
      <c r="AA259" s="28" t="str">
        <f t="shared" si="59"/>
        <v/>
      </c>
      <c r="AB259" s="25" t="str">
        <f>IF($B259="","",IF($AK259&lt;=Settings!$C$22,"",IFERROR(AVERAGEIFS($K$4:$K$503,$B$4:$B$503,$B259,$AK$4:$AK$503,"&gt;="&amp;$AK259-Settings!$C$22,$AK$4:$AK$503,"&lt;="&amp;$AK259-1),"")))</f>
        <v/>
      </c>
      <c r="AC259" s="27" t="str">
        <f t="shared" si="60"/>
        <v/>
      </c>
      <c r="AD259" s="28" t="str">
        <f>IF($B259="","",IF($AK259&lt;=Settings!$C$23,"",IFERROR($E259/SUMIFS($E$4:$E$503,$B$4:$B$503,$B259,$AK$4:$AK$503,$AK259-Settings!$C$23)-1,"")))</f>
        <v/>
      </c>
      <c r="AE259" s="28" t="str">
        <f>IF($B259="","",IF($AK259&lt;=Settings!$C$22,"",IFERROR($E259/SUMIFS($E$4:$E$503,$B$4:$B$503,$B259,$AK$4:$AK$503,$AK259-Settings!$C$22)-1,"")))</f>
        <v/>
      </c>
      <c r="AF259" s="28" t="str">
        <f t="shared" si="61"/>
        <v/>
      </c>
      <c r="AG259" s="29" t="str">
        <f>IF($B259="","",ROUND((MIN(100,100*N($I259)/Settings!$C$27)+MIN(100,100*N($K259)/Settings!$C$28)+MIN(100,100*N($J259)/Settings!$C$29))/3,1))</f>
        <v/>
      </c>
      <c r="AH259" s="29" t="str">
        <f>IF($B259="","",IF(SUM(Settings!$C$32:$C$37)=0,"",ROUND((Settings!$C$32*$AO259+Settings!$C$33*$AP259+Settings!$C$34*$AQ259+Settings!$C$35*$AR259+Settings!$C$36*$AS259+Settings!$C$37*$AT259)/SUM(Settings!$C$32:$C$37),1)))</f>
        <v/>
      </c>
      <c r="AI259" s="29" t="str">
        <f>IF($B259="","",MAX(0,100-IF(N($N259)&gt;0,0,20)-IF(AND(N($L259)=0,N($M259)=0),15,0)-IF(N($J259)&gt;0,0,10)-IF(N($K259)&gt;0,0,10)-IF($Z259&lt;&gt;"",0,15)-IF($AB259&lt;&gt;"",0,10)-IF($R259="ERROR",20,IF($R259="WARNING",10,0))))</f>
        <v/>
      </c>
      <c r="AJ259" s="30" t="str">
        <f>IF($AH259="","",IF($AH259&lt;Settings!$C$46,"Extreme Sell Pressure",IF($AH259&lt;Settings!$C$47,"Sell Pressure",IF($AH259&lt;=Settings!$C$48,"Neutral",IF($AH259&lt;=Settings!$C$49,"Buy Pressure","Extreme Buy Pressure")))))</f>
        <v/>
      </c>
      <c r="AK259" s="30" t="str">
        <f t="shared" si="62"/>
        <v/>
      </c>
      <c r="AL259" s="30" t="str">
        <f t="shared" si="63"/>
        <v/>
      </c>
      <c r="AM259" s="30" t="str">
        <f t="shared" si="64"/>
        <v/>
      </c>
      <c r="AN259" s="30" t="str">
        <f t="shared" si="65"/>
        <v/>
      </c>
      <c r="AO259" s="29" t="str">
        <f>IF($B259="","",IF(AND(N($L259)=0,N($M259)=0),50,IF(N($M259)=0,100,IF(N($L259)=0,0,MEDIAN(0,100,50+50*LN($S259)/LN(Settings!$C$40))))))</f>
        <v/>
      </c>
      <c r="AP259" s="29">
        <f>IF($AA259="",50,MEDIAN(0,100,50+$AA259*100*Settings!$C$41))</f>
        <v>50</v>
      </c>
      <c r="AQ259" s="29">
        <f>IF($H259="",50,MEDIAN(0,100,50+$H259*100*Settings!$C$42))</f>
        <v>50</v>
      </c>
      <c r="AR259" s="29">
        <f>IF(OR($AC259="",$H259=""),50,MEDIAN(0,100,50+SIGN($H259)*50*MEDIAN(0,1,($AC259-1)/Settings!$C$43)))</f>
        <v>50</v>
      </c>
      <c r="AS259" s="29">
        <f>IF(OR($V259="",$W259=""),50,MEDIAN(0,100,50+50*($V259-$W259)/Settings!$C$44))</f>
        <v>50</v>
      </c>
      <c r="AT259" s="29">
        <f t="shared" si="66"/>
        <v>50</v>
      </c>
      <c r="AU259" s="30" t="str">
        <f t="shared" si="67"/>
        <v/>
      </c>
      <c r="AV259" s="87" t="str">
        <f>IF($A259="","",IF(COUNTIFS($A$4:$A259,$A259)=1,1,0))</f>
        <v/>
      </c>
    </row>
    <row r="260" spans="1:48" x14ac:dyDescent="0.3">
      <c r="A260" s="270"/>
      <c r="B260" s="271"/>
      <c r="C260" s="272"/>
      <c r="D260" s="272"/>
      <c r="E260" s="272"/>
      <c r="F260" s="272"/>
      <c r="G260" s="272"/>
      <c r="H260" s="268" t="str">
        <f t="shared" si="51"/>
        <v/>
      </c>
      <c r="I260" s="273"/>
      <c r="J260" s="273"/>
      <c r="K260" s="273"/>
      <c r="L260" s="273"/>
      <c r="M260" s="273"/>
      <c r="N260" s="273"/>
      <c r="O260" s="271"/>
      <c r="P260" s="270"/>
      <c r="Q260" s="271"/>
      <c r="R260" s="23" t="str" cm="1">
        <f t="array" ref="R260">IF($B260="","",IFERROR(IF(INDEX('Data Quality'!$U$4:$U$503,ROW()-3)=0,"PENDING",INDEX('Data Quality'!$U$4:$U$503,ROW()-3)),"PENDING"))</f>
        <v/>
      </c>
      <c r="S260" s="24" t="str">
        <f t="shared" si="52"/>
        <v/>
      </c>
      <c r="T260" s="25" t="str">
        <f t="shared" si="53"/>
        <v/>
      </c>
      <c r="U260" s="25" t="str">
        <f t="shared" si="54"/>
        <v/>
      </c>
      <c r="V260" s="26" t="str">
        <f t="shared" si="55"/>
        <v/>
      </c>
      <c r="W260" s="26" t="str">
        <f t="shared" si="56"/>
        <v/>
      </c>
      <c r="X260" s="25" t="str">
        <f t="shared" si="57"/>
        <v/>
      </c>
      <c r="Y260" s="25" t="str">
        <f t="shared" si="58"/>
        <v/>
      </c>
      <c r="Z260" s="27" t="str">
        <f>IF($B260="","",IF($AK260&lt;=Settings!$C$21,"",IFERROR(AVERAGEIFS($S$4:$S$503,$B$4:$B$503,$B260,$AK$4:$AK$503,"&gt;="&amp;$AK260-Settings!$C$21,$AK$4:$AK$503,"&lt;="&amp;$AK260-1),"")))</f>
        <v/>
      </c>
      <c r="AA260" s="28" t="str">
        <f t="shared" si="59"/>
        <v/>
      </c>
      <c r="AB260" s="25" t="str">
        <f>IF($B260="","",IF($AK260&lt;=Settings!$C$22,"",IFERROR(AVERAGEIFS($K$4:$K$503,$B$4:$B$503,$B260,$AK$4:$AK$503,"&gt;="&amp;$AK260-Settings!$C$22,$AK$4:$AK$503,"&lt;="&amp;$AK260-1),"")))</f>
        <v/>
      </c>
      <c r="AC260" s="27" t="str">
        <f t="shared" si="60"/>
        <v/>
      </c>
      <c r="AD260" s="28" t="str">
        <f>IF($B260="","",IF($AK260&lt;=Settings!$C$23,"",IFERROR($E260/SUMIFS($E$4:$E$503,$B$4:$B$503,$B260,$AK$4:$AK$503,$AK260-Settings!$C$23)-1,"")))</f>
        <v/>
      </c>
      <c r="AE260" s="28" t="str">
        <f>IF($B260="","",IF($AK260&lt;=Settings!$C$22,"",IFERROR($E260/SUMIFS($E$4:$E$503,$B$4:$B$503,$B260,$AK$4:$AK$503,$AK260-Settings!$C$22)-1,"")))</f>
        <v/>
      </c>
      <c r="AF260" s="28" t="str">
        <f t="shared" si="61"/>
        <v/>
      </c>
      <c r="AG260" s="29" t="str">
        <f>IF($B260="","",ROUND((MIN(100,100*N($I260)/Settings!$C$27)+MIN(100,100*N($K260)/Settings!$C$28)+MIN(100,100*N($J260)/Settings!$C$29))/3,1))</f>
        <v/>
      </c>
      <c r="AH260" s="29" t="str">
        <f>IF($B260="","",IF(SUM(Settings!$C$32:$C$37)=0,"",ROUND((Settings!$C$32*$AO260+Settings!$C$33*$AP260+Settings!$C$34*$AQ260+Settings!$C$35*$AR260+Settings!$C$36*$AS260+Settings!$C$37*$AT260)/SUM(Settings!$C$32:$C$37),1)))</f>
        <v/>
      </c>
      <c r="AI260" s="29" t="str">
        <f>IF($B260="","",MAX(0,100-IF(N($N260)&gt;0,0,20)-IF(AND(N($L260)=0,N($M260)=0),15,0)-IF(N($J260)&gt;0,0,10)-IF(N($K260)&gt;0,0,10)-IF($Z260&lt;&gt;"",0,15)-IF($AB260&lt;&gt;"",0,10)-IF($R260="ERROR",20,IF($R260="WARNING",10,0))))</f>
        <v/>
      </c>
      <c r="AJ260" s="30" t="str">
        <f>IF($AH260="","",IF($AH260&lt;Settings!$C$46,"Extreme Sell Pressure",IF($AH260&lt;Settings!$C$47,"Sell Pressure",IF($AH260&lt;=Settings!$C$48,"Neutral",IF($AH260&lt;=Settings!$C$49,"Buy Pressure","Extreme Buy Pressure")))))</f>
        <v/>
      </c>
      <c r="AK260" s="30" t="str">
        <f t="shared" si="62"/>
        <v/>
      </c>
      <c r="AL260" s="30" t="str">
        <f t="shared" si="63"/>
        <v/>
      </c>
      <c r="AM260" s="30" t="str">
        <f t="shared" si="64"/>
        <v/>
      </c>
      <c r="AN260" s="30" t="str">
        <f t="shared" si="65"/>
        <v/>
      </c>
      <c r="AO260" s="29" t="str">
        <f>IF($B260="","",IF(AND(N($L260)=0,N($M260)=0),50,IF(N($M260)=0,100,IF(N($L260)=0,0,MEDIAN(0,100,50+50*LN($S260)/LN(Settings!$C$40))))))</f>
        <v/>
      </c>
      <c r="AP260" s="29">
        <f>IF($AA260="",50,MEDIAN(0,100,50+$AA260*100*Settings!$C$41))</f>
        <v>50</v>
      </c>
      <c r="AQ260" s="29">
        <f>IF($H260="",50,MEDIAN(0,100,50+$H260*100*Settings!$C$42))</f>
        <v>50</v>
      </c>
      <c r="AR260" s="29">
        <f>IF(OR($AC260="",$H260=""),50,MEDIAN(0,100,50+SIGN($H260)*50*MEDIAN(0,1,($AC260-1)/Settings!$C$43)))</f>
        <v>50</v>
      </c>
      <c r="AS260" s="29">
        <f>IF(OR($V260="",$W260=""),50,MEDIAN(0,100,50+50*($V260-$W260)/Settings!$C$44))</f>
        <v>50</v>
      </c>
      <c r="AT260" s="29">
        <f t="shared" si="66"/>
        <v>50</v>
      </c>
      <c r="AU260" s="30" t="str">
        <f t="shared" si="67"/>
        <v/>
      </c>
      <c r="AV260" s="87" t="str">
        <f>IF($A260="","",IF(COUNTIFS($A$4:$A260,$A260)=1,1,0))</f>
        <v/>
      </c>
    </row>
    <row r="261" spans="1:48" x14ac:dyDescent="0.3">
      <c r="A261" s="270"/>
      <c r="B261" s="271"/>
      <c r="C261" s="272"/>
      <c r="D261" s="272"/>
      <c r="E261" s="272"/>
      <c r="F261" s="272"/>
      <c r="G261" s="272"/>
      <c r="H261" s="268" t="str">
        <f t="shared" ref="H261:H324" si="68">IF($B261="","",IFERROR($E261/$D261-1,""))</f>
        <v/>
      </c>
      <c r="I261" s="273"/>
      <c r="J261" s="273"/>
      <c r="K261" s="273"/>
      <c r="L261" s="273"/>
      <c r="M261" s="273"/>
      <c r="N261" s="273"/>
      <c r="O261" s="271"/>
      <c r="P261" s="270"/>
      <c r="Q261" s="271"/>
      <c r="R261" s="23" t="str" cm="1">
        <f t="array" ref="R261">IF($B261="","",IFERROR(IF(INDEX('Data Quality'!$U$4:$U$503,ROW()-3)=0,"PENDING",INDEX('Data Quality'!$U$4:$U$503,ROW()-3)),"PENDING"))</f>
        <v/>
      </c>
      <c r="S261" s="24" t="str">
        <f t="shared" ref="S261:S324" si="69">IF($B261="","",IF(N($M261)&gt;0,$L261/$M261,""))</f>
        <v/>
      </c>
      <c r="T261" s="25" t="str">
        <f t="shared" ref="T261:T324" si="70">IF($B261="","",$L261*$E261)</f>
        <v/>
      </c>
      <c r="U261" s="25" t="str">
        <f t="shared" ref="U261:U324" si="71">IF($B261="","",$M261*$E261)</f>
        <v/>
      </c>
      <c r="V261" s="26" t="str">
        <f t="shared" ref="V261:V324" si="72">IF($B261="","",IF(N($N261)&gt;0,$T261/$N261,""))</f>
        <v/>
      </c>
      <c r="W261" s="26" t="str">
        <f t="shared" ref="W261:W324" si="73">IF($B261="","",IF(N($N261)&gt;0,$U261/$N261,""))</f>
        <v/>
      </c>
      <c r="X261" s="25" t="str">
        <f t="shared" ref="X261:X324" si="74">IF($B261="","",IF(N($J261)&gt;0,$K261/$J261,""))</f>
        <v/>
      </c>
      <c r="Y261" s="25" t="str">
        <f t="shared" ref="Y261:Y324" si="75">IF($B261="","",IF(N($J261)&gt;0,$I261/$J261,""))</f>
        <v/>
      </c>
      <c r="Z261" s="27" t="str">
        <f>IF($B261="","",IF($AK261&lt;=Settings!$C$21,"",IFERROR(AVERAGEIFS($S$4:$S$503,$B$4:$B$503,$B261,$AK$4:$AK$503,"&gt;="&amp;$AK261-Settings!$C$21,$AK$4:$AK$503,"&lt;="&amp;$AK261-1),"")))</f>
        <v/>
      </c>
      <c r="AA261" s="28" t="str">
        <f t="shared" ref="AA261:AA324" si="76">IF(OR($S261="",$Z261="",N($Z261)=0),"",$S261/$Z261-1)</f>
        <v/>
      </c>
      <c r="AB261" s="25" t="str">
        <f>IF($B261="","",IF($AK261&lt;=Settings!$C$22,"",IFERROR(AVERAGEIFS($K$4:$K$503,$B$4:$B$503,$B261,$AK$4:$AK$503,"&gt;="&amp;$AK261-Settings!$C$22,$AK$4:$AK$503,"&lt;="&amp;$AK261-1),"")))</f>
        <v/>
      </c>
      <c r="AC261" s="27" t="str">
        <f t="shared" ref="AC261:AC324" si="77">IF(OR($AB261="",N($AB261)=0),"",$K261/$AB261)</f>
        <v/>
      </c>
      <c r="AD261" s="28" t="str">
        <f>IF($B261="","",IF($AK261&lt;=Settings!$C$23,"",IFERROR($E261/SUMIFS($E$4:$E$503,$B$4:$B$503,$B261,$AK$4:$AK$503,$AK261-Settings!$C$23)-1,"")))</f>
        <v/>
      </c>
      <c r="AE261" s="28" t="str">
        <f>IF($B261="","",IF($AK261&lt;=Settings!$C$22,"",IFERROR($E261/SUMIFS($E$4:$E$503,$B$4:$B$503,$B261,$AK$4:$AK$503,$AK261-Settings!$C$22)-1,"")))</f>
        <v/>
      </c>
      <c r="AF261" s="28" t="str">
        <f t="shared" ref="AF261:AF324" si="78">IF($B261="","",IF(N($E261)&gt;0,($F261-$G261)/$E261,""))</f>
        <v/>
      </c>
      <c r="AG261" s="29" t="str">
        <f>IF($B261="","",ROUND((MIN(100,100*N($I261)/Settings!$C$27)+MIN(100,100*N($K261)/Settings!$C$28)+MIN(100,100*N($J261)/Settings!$C$29))/3,1))</f>
        <v/>
      </c>
      <c r="AH261" s="29" t="str">
        <f>IF($B261="","",IF(SUM(Settings!$C$32:$C$37)=0,"",ROUND((Settings!$C$32*$AO261+Settings!$C$33*$AP261+Settings!$C$34*$AQ261+Settings!$C$35*$AR261+Settings!$C$36*$AS261+Settings!$C$37*$AT261)/SUM(Settings!$C$32:$C$37),1)))</f>
        <v/>
      </c>
      <c r="AI261" s="29" t="str">
        <f>IF($B261="","",MAX(0,100-IF(N($N261)&gt;0,0,20)-IF(AND(N($L261)=0,N($M261)=0),15,0)-IF(N($J261)&gt;0,0,10)-IF(N($K261)&gt;0,0,10)-IF($Z261&lt;&gt;"",0,15)-IF($AB261&lt;&gt;"",0,10)-IF($R261="ERROR",20,IF($R261="WARNING",10,0))))</f>
        <v/>
      </c>
      <c r="AJ261" s="30" t="str">
        <f>IF($AH261="","",IF($AH261&lt;Settings!$C$46,"Extreme Sell Pressure",IF($AH261&lt;Settings!$C$47,"Sell Pressure",IF($AH261&lt;=Settings!$C$48,"Neutral",IF($AH261&lt;=Settings!$C$49,"Buy Pressure","Extreme Buy Pressure")))))</f>
        <v/>
      </c>
      <c r="AK261" s="30" t="str">
        <f t="shared" ref="AK261:AK324" si="79">IF($B261="","",COUNTIFS($B$4:$B$503,$B261,$A$4:$A$503,"&lt;="&amp;$A261))</f>
        <v/>
      </c>
      <c r="AL261" s="30" t="str">
        <f t="shared" ref="AL261:AL324" si="80">IF($A261="","",YEAR($A261))</f>
        <v/>
      </c>
      <c r="AM261" s="30" t="str">
        <f t="shared" ref="AM261:AM324" si="81">IF($A261="","",_xlfn.ISOWEEKNUM($A261))</f>
        <v/>
      </c>
      <c r="AN261" s="30" t="str">
        <f t="shared" ref="AN261:AN324" si="82">IF($A261="","",MONTH($A261))</f>
        <v/>
      </c>
      <c r="AO261" s="29" t="str">
        <f>IF($B261="","",IF(AND(N($L261)=0,N($M261)=0),50,IF(N($M261)=0,100,IF(N($L261)=0,0,MEDIAN(0,100,50+50*LN($S261)/LN(Settings!$C$40))))))</f>
        <v/>
      </c>
      <c r="AP261" s="29">
        <f>IF($AA261="",50,MEDIAN(0,100,50+$AA261*100*Settings!$C$41))</f>
        <v>50</v>
      </c>
      <c r="AQ261" s="29">
        <f>IF($H261="",50,MEDIAN(0,100,50+$H261*100*Settings!$C$42))</f>
        <v>50</v>
      </c>
      <c r="AR261" s="29">
        <f>IF(OR($AC261="",$H261=""),50,MEDIAN(0,100,50+SIGN($H261)*50*MEDIAN(0,1,($AC261-1)/Settings!$C$43)))</f>
        <v>50</v>
      </c>
      <c r="AS261" s="29">
        <f>IF(OR($V261="",$W261=""),50,MEDIAN(0,100,50+50*($V261-$W261)/Settings!$C$44))</f>
        <v>50</v>
      </c>
      <c r="AT261" s="29">
        <f t="shared" ref="AT261:AT324" si="83">IF($AO261="",50,50+(N($AG261)/100)*($AO261-50))</f>
        <v>50</v>
      </c>
      <c r="AU261" s="30" t="str">
        <f t="shared" ref="AU261:AU324" si="84">IF($B261="","",$B261&amp;"|"&amp;TEXT($A261,"yyyy-mm-dd"))</f>
        <v/>
      </c>
      <c r="AV261" s="87" t="str">
        <f>IF($A261="","",IF(COUNTIFS($A$4:$A261,$A261)=1,1,0))</f>
        <v/>
      </c>
    </row>
    <row r="262" spans="1:48" x14ac:dyDescent="0.3">
      <c r="A262" s="270"/>
      <c r="B262" s="271"/>
      <c r="C262" s="272"/>
      <c r="D262" s="272"/>
      <c r="E262" s="272"/>
      <c r="F262" s="272"/>
      <c r="G262" s="272"/>
      <c r="H262" s="268" t="str">
        <f t="shared" si="68"/>
        <v/>
      </c>
      <c r="I262" s="273"/>
      <c r="J262" s="273"/>
      <c r="K262" s="273"/>
      <c r="L262" s="273"/>
      <c r="M262" s="273"/>
      <c r="N262" s="273"/>
      <c r="O262" s="271"/>
      <c r="P262" s="270"/>
      <c r="Q262" s="271"/>
      <c r="R262" s="23" t="str" cm="1">
        <f t="array" ref="R262">IF($B262="","",IFERROR(IF(INDEX('Data Quality'!$U$4:$U$503,ROW()-3)=0,"PENDING",INDEX('Data Quality'!$U$4:$U$503,ROW()-3)),"PENDING"))</f>
        <v/>
      </c>
      <c r="S262" s="24" t="str">
        <f t="shared" si="69"/>
        <v/>
      </c>
      <c r="T262" s="25" t="str">
        <f t="shared" si="70"/>
        <v/>
      </c>
      <c r="U262" s="25" t="str">
        <f t="shared" si="71"/>
        <v/>
      </c>
      <c r="V262" s="26" t="str">
        <f t="shared" si="72"/>
        <v/>
      </c>
      <c r="W262" s="26" t="str">
        <f t="shared" si="73"/>
        <v/>
      </c>
      <c r="X262" s="25" t="str">
        <f t="shared" si="74"/>
        <v/>
      </c>
      <c r="Y262" s="25" t="str">
        <f t="shared" si="75"/>
        <v/>
      </c>
      <c r="Z262" s="27" t="str">
        <f>IF($B262="","",IF($AK262&lt;=Settings!$C$21,"",IFERROR(AVERAGEIFS($S$4:$S$503,$B$4:$B$503,$B262,$AK$4:$AK$503,"&gt;="&amp;$AK262-Settings!$C$21,$AK$4:$AK$503,"&lt;="&amp;$AK262-1),"")))</f>
        <v/>
      </c>
      <c r="AA262" s="28" t="str">
        <f t="shared" si="76"/>
        <v/>
      </c>
      <c r="AB262" s="25" t="str">
        <f>IF($B262="","",IF($AK262&lt;=Settings!$C$22,"",IFERROR(AVERAGEIFS($K$4:$K$503,$B$4:$B$503,$B262,$AK$4:$AK$503,"&gt;="&amp;$AK262-Settings!$C$22,$AK$4:$AK$503,"&lt;="&amp;$AK262-1),"")))</f>
        <v/>
      </c>
      <c r="AC262" s="27" t="str">
        <f t="shared" si="77"/>
        <v/>
      </c>
      <c r="AD262" s="28" t="str">
        <f>IF($B262="","",IF($AK262&lt;=Settings!$C$23,"",IFERROR($E262/SUMIFS($E$4:$E$503,$B$4:$B$503,$B262,$AK$4:$AK$503,$AK262-Settings!$C$23)-1,"")))</f>
        <v/>
      </c>
      <c r="AE262" s="28" t="str">
        <f>IF($B262="","",IF($AK262&lt;=Settings!$C$22,"",IFERROR($E262/SUMIFS($E$4:$E$503,$B$4:$B$503,$B262,$AK$4:$AK$503,$AK262-Settings!$C$22)-1,"")))</f>
        <v/>
      </c>
      <c r="AF262" s="28" t="str">
        <f t="shared" si="78"/>
        <v/>
      </c>
      <c r="AG262" s="29" t="str">
        <f>IF($B262="","",ROUND((MIN(100,100*N($I262)/Settings!$C$27)+MIN(100,100*N($K262)/Settings!$C$28)+MIN(100,100*N($J262)/Settings!$C$29))/3,1))</f>
        <v/>
      </c>
      <c r="AH262" s="29" t="str">
        <f>IF($B262="","",IF(SUM(Settings!$C$32:$C$37)=0,"",ROUND((Settings!$C$32*$AO262+Settings!$C$33*$AP262+Settings!$C$34*$AQ262+Settings!$C$35*$AR262+Settings!$C$36*$AS262+Settings!$C$37*$AT262)/SUM(Settings!$C$32:$C$37),1)))</f>
        <v/>
      </c>
      <c r="AI262" s="29" t="str">
        <f>IF($B262="","",MAX(0,100-IF(N($N262)&gt;0,0,20)-IF(AND(N($L262)=0,N($M262)=0),15,0)-IF(N($J262)&gt;0,0,10)-IF(N($K262)&gt;0,0,10)-IF($Z262&lt;&gt;"",0,15)-IF($AB262&lt;&gt;"",0,10)-IF($R262="ERROR",20,IF($R262="WARNING",10,0))))</f>
        <v/>
      </c>
      <c r="AJ262" s="30" t="str">
        <f>IF($AH262="","",IF($AH262&lt;Settings!$C$46,"Extreme Sell Pressure",IF($AH262&lt;Settings!$C$47,"Sell Pressure",IF($AH262&lt;=Settings!$C$48,"Neutral",IF($AH262&lt;=Settings!$C$49,"Buy Pressure","Extreme Buy Pressure")))))</f>
        <v/>
      </c>
      <c r="AK262" s="30" t="str">
        <f t="shared" si="79"/>
        <v/>
      </c>
      <c r="AL262" s="30" t="str">
        <f t="shared" si="80"/>
        <v/>
      </c>
      <c r="AM262" s="30" t="str">
        <f t="shared" si="81"/>
        <v/>
      </c>
      <c r="AN262" s="30" t="str">
        <f t="shared" si="82"/>
        <v/>
      </c>
      <c r="AO262" s="29" t="str">
        <f>IF($B262="","",IF(AND(N($L262)=0,N($M262)=0),50,IF(N($M262)=0,100,IF(N($L262)=0,0,MEDIAN(0,100,50+50*LN($S262)/LN(Settings!$C$40))))))</f>
        <v/>
      </c>
      <c r="AP262" s="29">
        <f>IF($AA262="",50,MEDIAN(0,100,50+$AA262*100*Settings!$C$41))</f>
        <v>50</v>
      </c>
      <c r="AQ262" s="29">
        <f>IF($H262="",50,MEDIAN(0,100,50+$H262*100*Settings!$C$42))</f>
        <v>50</v>
      </c>
      <c r="AR262" s="29">
        <f>IF(OR($AC262="",$H262=""),50,MEDIAN(0,100,50+SIGN($H262)*50*MEDIAN(0,1,($AC262-1)/Settings!$C$43)))</f>
        <v>50</v>
      </c>
      <c r="AS262" s="29">
        <f>IF(OR($V262="",$W262=""),50,MEDIAN(0,100,50+50*($V262-$W262)/Settings!$C$44))</f>
        <v>50</v>
      </c>
      <c r="AT262" s="29">
        <f t="shared" si="83"/>
        <v>50</v>
      </c>
      <c r="AU262" s="30" t="str">
        <f t="shared" si="84"/>
        <v/>
      </c>
      <c r="AV262" s="87" t="str">
        <f>IF($A262="","",IF(COUNTIFS($A$4:$A262,$A262)=1,1,0))</f>
        <v/>
      </c>
    </row>
    <row r="263" spans="1:48" x14ac:dyDescent="0.3">
      <c r="A263" s="270"/>
      <c r="B263" s="271"/>
      <c r="C263" s="272"/>
      <c r="D263" s="272"/>
      <c r="E263" s="272"/>
      <c r="F263" s="272"/>
      <c r="G263" s="272"/>
      <c r="H263" s="268" t="str">
        <f t="shared" si="68"/>
        <v/>
      </c>
      <c r="I263" s="273"/>
      <c r="J263" s="273"/>
      <c r="K263" s="273"/>
      <c r="L263" s="273"/>
      <c r="M263" s="273"/>
      <c r="N263" s="273"/>
      <c r="O263" s="271"/>
      <c r="P263" s="270"/>
      <c r="Q263" s="271"/>
      <c r="R263" s="23" t="str" cm="1">
        <f t="array" ref="R263">IF($B263="","",IFERROR(IF(INDEX('Data Quality'!$U$4:$U$503,ROW()-3)=0,"PENDING",INDEX('Data Quality'!$U$4:$U$503,ROW()-3)),"PENDING"))</f>
        <v/>
      </c>
      <c r="S263" s="24" t="str">
        <f t="shared" si="69"/>
        <v/>
      </c>
      <c r="T263" s="25" t="str">
        <f t="shared" si="70"/>
        <v/>
      </c>
      <c r="U263" s="25" t="str">
        <f t="shared" si="71"/>
        <v/>
      </c>
      <c r="V263" s="26" t="str">
        <f t="shared" si="72"/>
        <v/>
      </c>
      <c r="W263" s="26" t="str">
        <f t="shared" si="73"/>
        <v/>
      </c>
      <c r="X263" s="25" t="str">
        <f t="shared" si="74"/>
        <v/>
      </c>
      <c r="Y263" s="25" t="str">
        <f t="shared" si="75"/>
        <v/>
      </c>
      <c r="Z263" s="27" t="str">
        <f>IF($B263="","",IF($AK263&lt;=Settings!$C$21,"",IFERROR(AVERAGEIFS($S$4:$S$503,$B$4:$B$503,$B263,$AK$4:$AK$503,"&gt;="&amp;$AK263-Settings!$C$21,$AK$4:$AK$503,"&lt;="&amp;$AK263-1),"")))</f>
        <v/>
      </c>
      <c r="AA263" s="28" t="str">
        <f t="shared" si="76"/>
        <v/>
      </c>
      <c r="AB263" s="25" t="str">
        <f>IF($B263="","",IF($AK263&lt;=Settings!$C$22,"",IFERROR(AVERAGEIFS($K$4:$K$503,$B$4:$B$503,$B263,$AK$4:$AK$503,"&gt;="&amp;$AK263-Settings!$C$22,$AK$4:$AK$503,"&lt;="&amp;$AK263-1),"")))</f>
        <v/>
      </c>
      <c r="AC263" s="27" t="str">
        <f t="shared" si="77"/>
        <v/>
      </c>
      <c r="AD263" s="28" t="str">
        <f>IF($B263="","",IF($AK263&lt;=Settings!$C$23,"",IFERROR($E263/SUMIFS($E$4:$E$503,$B$4:$B$503,$B263,$AK$4:$AK$503,$AK263-Settings!$C$23)-1,"")))</f>
        <v/>
      </c>
      <c r="AE263" s="28" t="str">
        <f>IF($B263="","",IF($AK263&lt;=Settings!$C$22,"",IFERROR($E263/SUMIFS($E$4:$E$503,$B$4:$B$503,$B263,$AK$4:$AK$503,$AK263-Settings!$C$22)-1,"")))</f>
        <v/>
      </c>
      <c r="AF263" s="28" t="str">
        <f t="shared" si="78"/>
        <v/>
      </c>
      <c r="AG263" s="29" t="str">
        <f>IF($B263="","",ROUND((MIN(100,100*N($I263)/Settings!$C$27)+MIN(100,100*N($K263)/Settings!$C$28)+MIN(100,100*N($J263)/Settings!$C$29))/3,1))</f>
        <v/>
      </c>
      <c r="AH263" s="29" t="str">
        <f>IF($B263="","",IF(SUM(Settings!$C$32:$C$37)=0,"",ROUND((Settings!$C$32*$AO263+Settings!$C$33*$AP263+Settings!$C$34*$AQ263+Settings!$C$35*$AR263+Settings!$C$36*$AS263+Settings!$C$37*$AT263)/SUM(Settings!$C$32:$C$37),1)))</f>
        <v/>
      </c>
      <c r="AI263" s="29" t="str">
        <f>IF($B263="","",MAX(0,100-IF(N($N263)&gt;0,0,20)-IF(AND(N($L263)=0,N($M263)=0),15,0)-IF(N($J263)&gt;0,0,10)-IF(N($K263)&gt;0,0,10)-IF($Z263&lt;&gt;"",0,15)-IF($AB263&lt;&gt;"",0,10)-IF($R263="ERROR",20,IF($R263="WARNING",10,0))))</f>
        <v/>
      </c>
      <c r="AJ263" s="30" t="str">
        <f>IF($AH263="","",IF($AH263&lt;Settings!$C$46,"Extreme Sell Pressure",IF($AH263&lt;Settings!$C$47,"Sell Pressure",IF($AH263&lt;=Settings!$C$48,"Neutral",IF($AH263&lt;=Settings!$C$49,"Buy Pressure","Extreme Buy Pressure")))))</f>
        <v/>
      </c>
      <c r="AK263" s="30" t="str">
        <f t="shared" si="79"/>
        <v/>
      </c>
      <c r="AL263" s="30" t="str">
        <f t="shared" si="80"/>
        <v/>
      </c>
      <c r="AM263" s="30" t="str">
        <f t="shared" si="81"/>
        <v/>
      </c>
      <c r="AN263" s="30" t="str">
        <f t="shared" si="82"/>
        <v/>
      </c>
      <c r="AO263" s="29" t="str">
        <f>IF($B263="","",IF(AND(N($L263)=0,N($M263)=0),50,IF(N($M263)=0,100,IF(N($L263)=0,0,MEDIAN(0,100,50+50*LN($S263)/LN(Settings!$C$40))))))</f>
        <v/>
      </c>
      <c r="AP263" s="29">
        <f>IF($AA263="",50,MEDIAN(0,100,50+$AA263*100*Settings!$C$41))</f>
        <v>50</v>
      </c>
      <c r="AQ263" s="29">
        <f>IF($H263="",50,MEDIAN(0,100,50+$H263*100*Settings!$C$42))</f>
        <v>50</v>
      </c>
      <c r="AR263" s="29">
        <f>IF(OR($AC263="",$H263=""),50,MEDIAN(0,100,50+SIGN($H263)*50*MEDIAN(0,1,($AC263-1)/Settings!$C$43)))</f>
        <v>50</v>
      </c>
      <c r="AS263" s="29">
        <f>IF(OR($V263="",$W263=""),50,MEDIAN(0,100,50+50*($V263-$W263)/Settings!$C$44))</f>
        <v>50</v>
      </c>
      <c r="AT263" s="29">
        <f t="shared" si="83"/>
        <v>50</v>
      </c>
      <c r="AU263" s="30" t="str">
        <f t="shared" si="84"/>
        <v/>
      </c>
      <c r="AV263" s="87" t="str">
        <f>IF($A263="","",IF(COUNTIFS($A$4:$A263,$A263)=1,1,0))</f>
        <v/>
      </c>
    </row>
    <row r="264" spans="1:48" x14ac:dyDescent="0.3">
      <c r="A264" s="270"/>
      <c r="B264" s="271"/>
      <c r="C264" s="272"/>
      <c r="D264" s="272"/>
      <c r="E264" s="272"/>
      <c r="F264" s="272"/>
      <c r="G264" s="272"/>
      <c r="H264" s="268" t="str">
        <f t="shared" si="68"/>
        <v/>
      </c>
      <c r="I264" s="273"/>
      <c r="J264" s="273"/>
      <c r="K264" s="273"/>
      <c r="L264" s="273"/>
      <c r="M264" s="273"/>
      <c r="N264" s="273"/>
      <c r="O264" s="271"/>
      <c r="P264" s="270"/>
      <c r="Q264" s="271"/>
      <c r="R264" s="23" t="str" cm="1">
        <f t="array" ref="R264">IF($B264="","",IFERROR(IF(INDEX('Data Quality'!$U$4:$U$503,ROW()-3)=0,"PENDING",INDEX('Data Quality'!$U$4:$U$503,ROW()-3)),"PENDING"))</f>
        <v/>
      </c>
      <c r="S264" s="24" t="str">
        <f t="shared" si="69"/>
        <v/>
      </c>
      <c r="T264" s="25" t="str">
        <f t="shared" si="70"/>
        <v/>
      </c>
      <c r="U264" s="25" t="str">
        <f t="shared" si="71"/>
        <v/>
      </c>
      <c r="V264" s="26" t="str">
        <f t="shared" si="72"/>
        <v/>
      </c>
      <c r="W264" s="26" t="str">
        <f t="shared" si="73"/>
        <v/>
      </c>
      <c r="X264" s="25" t="str">
        <f t="shared" si="74"/>
        <v/>
      </c>
      <c r="Y264" s="25" t="str">
        <f t="shared" si="75"/>
        <v/>
      </c>
      <c r="Z264" s="27" t="str">
        <f>IF($B264="","",IF($AK264&lt;=Settings!$C$21,"",IFERROR(AVERAGEIFS($S$4:$S$503,$B$4:$B$503,$B264,$AK$4:$AK$503,"&gt;="&amp;$AK264-Settings!$C$21,$AK$4:$AK$503,"&lt;="&amp;$AK264-1),"")))</f>
        <v/>
      </c>
      <c r="AA264" s="28" t="str">
        <f t="shared" si="76"/>
        <v/>
      </c>
      <c r="AB264" s="25" t="str">
        <f>IF($B264="","",IF($AK264&lt;=Settings!$C$22,"",IFERROR(AVERAGEIFS($K$4:$K$503,$B$4:$B$503,$B264,$AK$4:$AK$503,"&gt;="&amp;$AK264-Settings!$C$22,$AK$4:$AK$503,"&lt;="&amp;$AK264-1),"")))</f>
        <v/>
      </c>
      <c r="AC264" s="27" t="str">
        <f t="shared" si="77"/>
        <v/>
      </c>
      <c r="AD264" s="28" t="str">
        <f>IF($B264="","",IF($AK264&lt;=Settings!$C$23,"",IFERROR($E264/SUMIFS($E$4:$E$503,$B$4:$B$503,$B264,$AK$4:$AK$503,$AK264-Settings!$C$23)-1,"")))</f>
        <v/>
      </c>
      <c r="AE264" s="28" t="str">
        <f>IF($B264="","",IF($AK264&lt;=Settings!$C$22,"",IFERROR($E264/SUMIFS($E$4:$E$503,$B$4:$B$503,$B264,$AK$4:$AK$503,$AK264-Settings!$C$22)-1,"")))</f>
        <v/>
      </c>
      <c r="AF264" s="28" t="str">
        <f t="shared" si="78"/>
        <v/>
      </c>
      <c r="AG264" s="29" t="str">
        <f>IF($B264="","",ROUND((MIN(100,100*N($I264)/Settings!$C$27)+MIN(100,100*N($K264)/Settings!$C$28)+MIN(100,100*N($J264)/Settings!$C$29))/3,1))</f>
        <v/>
      </c>
      <c r="AH264" s="29" t="str">
        <f>IF($B264="","",IF(SUM(Settings!$C$32:$C$37)=0,"",ROUND((Settings!$C$32*$AO264+Settings!$C$33*$AP264+Settings!$C$34*$AQ264+Settings!$C$35*$AR264+Settings!$C$36*$AS264+Settings!$C$37*$AT264)/SUM(Settings!$C$32:$C$37),1)))</f>
        <v/>
      </c>
      <c r="AI264" s="29" t="str">
        <f>IF($B264="","",MAX(0,100-IF(N($N264)&gt;0,0,20)-IF(AND(N($L264)=0,N($M264)=0),15,0)-IF(N($J264)&gt;0,0,10)-IF(N($K264)&gt;0,0,10)-IF($Z264&lt;&gt;"",0,15)-IF($AB264&lt;&gt;"",0,10)-IF($R264="ERROR",20,IF($R264="WARNING",10,0))))</f>
        <v/>
      </c>
      <c r="AJ264" s="30" t="str">
        <f>IF($AH264="","",IF($AH264&lt;Settings!$C$46,"Extreme Sell Pressure",IF($AH264&lt;Settings!$C$47,"Sell Pressure",IF($AH264&lt;=Settings!$C$48,"Neutral",IF($AH264&lt;=Settings!$C$49,"Buy Pressure","Extreme Buy Pressure")))))</f>
        <v/>
      </c>
      <c r="AK264" s="30" t="str">
        <f t="shared" si="79"/>
        <v/>
      </c>
      <c r="AL264" s="30" t="str">
        <f t="shared" si="80"/>
        <v/>
      </c>
      <c r="AM264" s="30" t="str">
        <f t="shared" si="81"/>
        <v/>
      </c>
      <c r="AN264" s="30" t="str">
        <f t="shared" si="82"/>
        <v/>
      </c>
      <c r="AO264" s="29" t="str">
        <f>IF($B264="","",IF(AND(N($L264)=0,N($M264)=0),50,IF(N($M264)=0,100,IF(N($L264)=0,0,MEDIAN(0,100,50+50*LN($S264)/LN(Settings!$C$40))))))</f>
        <v/>
      </c>
      <c r="AP264" s="29">
        <f>IF($AA264="",50,MEDIAN(0,100,50+$AA264*100*Settings!$C$41))</f>
        <v>50</v>
      </c>
      <c r="AQ264" s="29">
        <f>IF($H264="",50,MEDIAN(0,100,50+$H264*100*Settings!$C$42))</f>
        <v>50</v>
      </c>
      <c r="AR264" s="29">
        <f>IF(OR($AC264="",$H264=""),50,MEDIAN(0,100,50+SIGN($H264)*50*MEDIAN(0,1,($AC264-1)/Settings!$C$43)))</f>
        <v>50</v>
      </c>
      <c r="AS264" s="29">
        <f>IF(OR($V264="",$W264=""),50,MEDIAN(0,100,50+50*($V264-$W264)/Settings!$C$44))</f>
        <v>50</v>
      </c>
      <c r="AT264" s="29">
        <f t="shared" si="83"/>
        <v>50</v>
      </c>
      <c r="AU264" s="30" t="str">
        <f t="shared" si="84"/>
        <v/>
      </c>
      <c r="AV264" s="87" t="str">
        <f>IF($A264="","",IF(COUNTIFS($A$4:$A264,$A264)=1,1,0))</f>
        <v/>
      </c>
    </row>
    <row r="265" spans="1:48" x14ac:dyDescent="0.3">
      <c r="A265" s="270"/>
      <c r="B265" s="271"/>
      <c r="C265" s="272"/>
      <c r="D265" s="272"/>
      <c r="E265" s="272"/>
      <c r="F265" s="272"/>
      <c r="G265" s="272"/>
      <c r="H265" s="268" t="str">
        <f t="shared" si="68"/>
        <v/>
      </c>
      <c r="I265" s="273"/>
      <c r="J265" s="273"/>
      <c r="K265" s="273"/>
      <c r="L265" s="273"/>
      <c r="M265" s="273"/>
      <c r="N265" s="273"/>
      <c r="O265" s="271"/>
      <c r="P265" s="270"/>
      <c r="Q265" s="271"/>
      <c r="R265" s="23" t="str" cm="1">
        <f t="array" ref="R265">IF($B265="","",IFERROR(IF(INDEX('Data Quality'!$U$4:$U$503,ROW()-3)=0,"PENDING",INDEX('Data Quality'!$U$4:$U$503,ROW()-3)),"PENDING"))</f>
        <v/>
      </c>
      <c r="S265" s="24" t="str">
        <f t="shared" si="69"/>
        <v/>
      </c>
      <c r="T265" s="25" t="str">
        <f t="shared" si="70"/>
        <v/>
      </c>
      <c r="U265" s="25" t="str">
        <f t="shared" si="71"/>
        <v/>
      </c>
      <c r="V265" s="26" t="str">
        <f t="shared" si="72"/>
        <v/>
      </c>
      <c r="W265" s="26" t="str">
        <f t="shared" si="73"/>
        <v/>
      </c>
      <c r="X265" s="25" t="str">
        <f t="shared" si="74"/>
        <v/>
      </c>
      <c r="Y265" s="25" t="str">
        <f t="shared" si="75"/>
        <v/>
      </c>
      <c r="Z265" s="27" t="str">
        <f>IF($B265="","",IF($AK265&lt;=Settings!$C$21,"",IFERROR(AVERAGEIFS($S$4:$S$503,$B$4:$B$503,$B265,$AK$4:$AK$503,"&gt;="&amp;$AK265-Settings!$C$21,$AK$4:$AK$503,"&lt;="&amp;$AK265-1),"")))</f>
        <v/>
      </c>
      <c r="AA265" s="28" t="str">
        <f t="shared" si="76"/>
        <v/>
      </c>
      <c r="AB265" s="25" t="str">
        <f>IF($B265="","",IF($AK265&lt;=Settings!$C$22,"",IFERROR(AVERAGEIFS($K$4:$K$503,$B$4:$B$503,$B265,$AK$4:$AK$503,"&gt;="&amp;$AK265-Settings!$C$22,$AK$4:$AK$503,"&lt;="&amp;$AK265-1),"")))</f>
        <v/>
      </c>
      <c r="AC265" s="27" t="str">
        <f t="shared" si="77"/>
        <v/>
      </c>
      <c r="AD265" s="28" t="str">
        <f>IF($B265="","",IF($AK265&lt;=Settings!$C$23,"",IFERROR($E265/SUMIFS($E$4:$E$503,$B$4:$B$503,$B265,$AK$4:$AK$503,$AK265-Settings!$C$23)-1,"")))</f>
        <v/>
      </c>
      <c r="AE265" s="28" t="str">
        <f>IF($B265="","",IF($AK265&lt;=Settings!$C$22,"",IFERROR($E265/SUMIFS($E$4:$E$503,$B$4:$B$503,$B265,$AK$4:$AK$503,$AK265-Settings!$C$22)-1,"")))</f>
        <v/>
      </c>
      <c r="AF265" s="28" t="str">
        <f t="shared" si="78"/>
        <v/>
      </c>
      <c r="AG265" s="29" t="str">
        <f>IF($B265="","",ROUND((MIN(100,100*N($I265)/Settings!$C$27)+MIN(100,100*N($K265)/Settings!$C$28)+MIN(100,100*N($J265)/Settings!$C$29))/3,1))</f>
        <v/>
      </c>
      <c r="AH265" s="29" t="str">
        <f>IF($B265="","",IF(SUM(Settings!$C$32:$C$37)=0,"",ROUND((Settings!$C$32*$AO265+Settings!$C$33*$AP265+Settings!$C$34*$AQ265+Settings!$C$35*$AR265+Settings!$C$36*$AS265+Settings!$C$37*$AT265)/SUM(Settings!$C$32:$C$37),1)))</f>
        <v/>
      </c>
      <c r="AI265" s="29" t="str">
        <f>IF($B265="","",MAX(0,100-IF(N($N265)&gt;0,0,20)-IF(AND(N($L265)=0,N($M265)=0),15,0)-IF(N($J265)&gt;0,0,10)-IF(N($K265)&gt;0,0,10)-IF($Z265&lt;&gt;"",0,15)-IF($AB265&lt;&gt;"",0,10)-IF($R265="ERROR",20,IF($R265="WARNING",10,0))))</f>
        <v/>
      </c>
      <c r="AJ265" s="30" t="str">
        <f>IF($AH265="","",IF($AH265&lt;Settings!$C$46,"Extreme Sell Pressure",IF($AH265&lt;Settings!$C$47,"Sell Pressure",IF($AH265&lt;=Settings!$C$48,"Neutral",IF($AH265&lt;=Settings!$C$49,"Buy Pressure","Extreme Buy Pressure")))))</f>
        <v/>
      </c>
      <c r="AK265" s="30" t="str">
        <f t="shared" si="79"/>
        <v/>
      </c>
      <c r="AL265" s="30" t="str">
        <f t="shared" si="80"/>
        <v/>
      </c>
      <c r="AM265" s="30" t="str">
        <f t="shared" si="81"/>
        <v/>
      </c>
      <c r="AN265" s="30" t="str">
        <f t="shared" si="82"/>
        <v/>
      </c>
      <c r="AO265" s="29" t="str">
        <f>IF($B265="","",IF(AND(N($L265)=0,N($M265)=0),50,IF(N($M265)=0,100,IF(N($L265)=0,0,MEDIAN(0,100,50+50*LN($S265)/LN(Settings!$C$40))))))</f>
        <v/>
      </c>
      <c r="AP265" s="29">
        <f>IF($AA265="",50,MEDIAN(0,100,50+$AA265*100*Settings!$C$41))</f>
        <v>50</v>
      </c>
      <c r="AQ265" s="29">
        <f>IF($H265="",50,MEDIAN(0,100,50+$H265*100*Settings!$C$42))</f>
        <v>50</v>
      </c>
      <c r="AR265" s="29">
        <f>IF(OR($AC265="",$H265=""),50,MEDIAN(0,100,50+SIGN($H265)*50*MEDIAN(0,1,($AC265-1)/Settings!$C$43)))</f>
        <v>50</v>
      </c>
      <c r="AS265" s="29">
        <f>IF(OR($V265="",$W265=""),50,MEDIAN(0,100,50+50*($V265-$W265)/Settings!$C$44))</f>
        <v>50</v>
      </c>
      <c r="AT265" s="29">
        <f t="shared" si="83"/>
        <v>50</v>
      </c>
      <c r="AU265" s="30" t="str">
        <f t="shared" si="84"/>
        <v/>
      </c>
      <c r="AV265" s="87" t="str">
        <f>IF($A265="","",IF(COUNTIFS($A$4:$A265,$A265)=1,1,0))</f>
        <v/>
      </c>
    </row>
    <row r="266" spans="1:48" x14ac:dyDescent="0.3">
      <c r="A266" s="270"/>
      <c r="B266" s="271"/>
      <c r="C266" s="272"/>
      <c r="D266" s="272"/>
      <c r="E266" s="272"/>
      <c r="F266" s="272"/>
      <c r="G266" s="272"/>
      <c r="H266" s="268" t="str">
        <f t="shared" si="68"/>
        <v/>
      </c>
      <c r="I266" s="273"/>
      <c r="J266" s="273"/>
      <c r="K266" s="273"/>
      <c r="L266" s="273"/>
      <c r="M266" s="273"/>
      <c r="N266" s="273"/>
      <c r="O266" s="271"/>
      <c r="P266" s="270"/>
      <c r="Q266" s="271"/>
      <c r="R266" s="23" t="str" cm="1">
        <f t="array" ref="R266">IF($B266="","",IFERROR(IF(INDEX('Data Quality'!$U$4:$U$503,ROW()-3)=0,"PENDING",INDEX('Data Quality'!$U$4:$U$503,ROW()-3)),"PENDING"))</f>
        <v/>
      </c>
      <c r="S266" s="24" t="str">
        <f t="shared" si="69"/>
        <v/>
      </c>
      <c r="T266" s="25" t="str">
        <f t="shared" si="70"/>
        <v/>
      </c>
      <c r="U266" s="25" t="str">
        <f t="shared" si="71"/>
        <v/>
      </c>
      <c r="V266" s="26" t="str">
        <f t="shared" si="72"/>
        <v/>
      </c>
      <c r="W266" s="26" t="str">
        <f t="shared" si="73"/>
        <v/>
      </c>
      <c r="X266" s="25" t="str">
        <f t="shared" si="74"/>
        <v/>
      </c>
      <c r="Y266" s="25" t="str">
        <f t="shared" si="75"/>
        <v/>
      </c>
      <c r="Z266" s="27" t="str">
        <f>IF($B266="","",IF($AK266&lt;=Settings!$C$21,"",IFERROR(AVERAGEIFS($S$4:$S$503,$B$4:$B$503,$B266,$AK$4:$AK$503,"&gt;="&amp;$AK266-Settings!$C$21,$AK$4:$AK$503,"&lt;="&amp;$AK266-1),"")))</f>
        <v/>
      </c>
      <c r="AA266" s="28" t="str">
        <f t="shared" si="76"/>
        <v/>
      </c>
      <c r="AB266" s="25" t="str">
        <f>IF($B266="","",IF($AK266&lt;=Settings!$C$22,"",IFERROR(AVERAGEIFS($K$4:$K$503,$B$4:$B$503,$B266,$AK$4:$AK$503,"&gt;="&amp;$AK266-Settings!$C$22,$AK$4:$AK$503,"&lt;="&amp;$AK266-1),"")))</f>
        <v/>
      </c>
      <c r="AC266" s="27" t="str">
        <f t="shared" si="77"/>
        <v/>
      </c>
      <c r="AD266" s="28" t="str">
        <f>IF($B266="","",IF($AK266&lt;=Settings!$C$23,"",IFERROR($E266/SUMIFS($E$4:$E$503,$B$4:$B$503,$B266,$AK$4:$AK$503,$AK266-Settings!$C$23)-1,"")))</f>
        <v/>
      </c>
      <c r="AE266" s="28" t="str">
        <f>IF($B266="","",IF($AK266&lt;=Settings!$C$22,"",IFERROR($E266/SUMIFS($E$4:$E$503,$B$4:$B$503,$B266,$AK$4:$AK$503,$AK266-Settings!$C$22)-1,"")))</f>
        <v/>
      </c>
      <c r="AF266" s="28" t="str">
        <f t="shared" si="78"/>
        <v/>
      </c>
      <c r="AG266" s="29" t="str">
        <f>IF($B266="","",ROUND((MIN(100,100*N($I266)/Settings!$C$27)+MIN(100,100*N($K266)/Settings!$C$28)+MIN(100,100*N($J266)/Settings!$C$29))/3,1))</f>
        <v/>
      </c>
      <c r="AH266" s="29" t="str">
        <f>IF($B266="","",IF(SUM(Settings!$C$32:$C$37)=0,"",ROUND((Settings!$C$32*$AO266+Settings!$C$33*$AP266+Settings!$C$34*$AQ266+Settings!$C$35*$AR266+Settings!$C$36*$AS266+Settings!$C$37*$AT266)/SUM(Settings!$C$32:$C$37),1)))</f>
        <v/>
      </c>
      <c r="AI266" s="29" t="str">
        <f>IF($B266="","",MAX(0,100-IF(N($N266)&gt;0,0,20)-IF(AND(N($L266)=0,N($M266)=0),15,0)-IF(N($J266)&gt;0,0,10)-IF(N($K266)&gt;0,0,10)-IF($Z266&lt;&gt;"",0,15)-IF($AB266&lt;&gt;"",0,10)-IF($R266="ERROR",20,IF($R266="WARNING",10,0))))</f>
        <v/>
      </c>
      <c r="AJ266" s="30" t="str">
        <f>IF($AH266="","",IF($AH266&lt;Settings!$C$46,"Extreme Sell Pressure",IF($AH266&lt;Settings!$C$47,"Sell Pressure",IF($AH266&lt;=Settings!$C$48,"Neutral",IF($AH266&lt;=Settings!$C$49,"Buy Pressure","Extreme Buy Pressure")))))</f>
        <v/>
      </c>
      <c r="AK266" s="30" t="str">
        <f t="shared" si="79"/>
        <v/>
      </c>
      <c r="AL266" s="30" t="str">
        <f t="shared" si="80"/>
        <v/>
      </c>
      <c r="AM266" s="30" t="str">
        <f t="shared" si="81"/>
        <v/>
      </c>
      <c r="AN266" s="30" t="str">
        <f t="shared" si="82"/>
        <v/>
      </c>
      <c r="AO266" s="29" t="str">
        <f>IF($B266="","",IF(AND(N($L266)=0,N($M266)=0),50,IF(N($M266)=0,100,IF(N($L266)=0,0,MEDIAN(0,100,50+50*LN($S266)/LN(Settings!$C$40))))))</f>
        <v/>
      </c>
      <c r="AP266" s="29">
        <f>IF($AA266="",50,MEDIAN(0,100,50+$AA266*100*Settings!$C$41))</f>
        <v>50</v>
      </c>
      <c r="AQ266" s="29">
        <f>IF($H266="",50,MEDIAN(0,100,50+$H266*100*Settings!$C$42))</f>
        <v>50</v>
      </c>
      <c r="AR266" s="29">
        <f>IF(OR($AC266="",$H266=""),50,MEDIAN(0,100,50+SIGN($H266)*50*MEDIAN(0,1,($AC266-1)/Settings!$C$43)))</f>
        <v>50</v>
      </c>
      <c r="AS266" s="29">
        <f>IF(OR($V266="",$W266=""),50,MEDIAN(0,100,50+50*($V266-$W266)/Settings!$C$44))</f>
        <v>50</v>
      </c>
      <c r="AT266" s="29">
        <f t="shared" si="83"/>
        <v>50</v>
      </c>
      <c r="AU266" s="30" t="str">
        <f t="shared" si="84"/>
        <v/>
      </c>
      <c r="AV266" s="87" t="str">
        <f>IF($A266="","",IF(COUNTIFS($A$4:$A266,$A266)=1,1,0))</f>
        <v/>
      </c>
    </row>
    <row r="267" spans="1:48" x14ac:dyDescent="0.3">
      <c r="A267" s="270"/>
      <c r="B267" s="271"/>
      <c r="C267" s="272"/>
      <c r="D267" s="272"/>
      <c r="E267" s="272"/>
      <c r="F267" s="272"/>
      <c r="G267" s="272"/>
      <c r="H267" s="268" t="str">
        <f t="shared" si="68"/>
        <v/>
      </c>
      <c r="I267" s="273"/>
      <c r="J267" s="273"/>
      <c r="K267" s="273"/>
      <c r="L267" s="273"/>
      <c r="M267" s="273"/>
      <c r="N267" s="273"/>
      <c r="O267" s="271"/>
      <c r="P267" s="270"/>
      <c r="Q267" s="271"/>
      <c r="R267" s="23" t="str" cm="1">
        <f t="array" ref="R267">IF($B267="","",IFERROR(IF(INDEX('Data Quality'!$U$4:$U$503,ROW()-3)=0,"PENDING",INDEX('Data Quality'!$U$4:$U$503,ROW()-3)),"PENDING"))</f>
        <v/>
      </c>
      <c r="S267" s="24" t="str">
        <f t="shared" si="69"/>
        <v/>
      </c>
      <c r="T267" s="25" t="str">
        <f t="shared" si="70"/>
        <v/>
      </c>
      <c r="U267" s="25" t="str">
        <f t="shared" si="71"/>
        <v/>
      </c>
      <c r="V267" s="26" t="str">
        <f t="shared" si="72"/>
        <v/>
      </c>
      <c r="W267" s="26" t="str">
        <f t="shared" si="73"/>
        <v/>
      </c>
      <c r="X267" s="25" t="str">
        <f t="shared" si="74"/>
        <v/>
      </c>
      <c r="Y267" s="25" t="str">
        <f t="shared" si="75"/>
        <v/>
      </c>
      <c r="Z267" s="27" t="str">
        <f>IF($B267="","",IF($AK267&lt;=Settings!$C$21,"",IFERROR(AVERAGEIFS($S$4:$S$503,$B$4:$B$503,$B267,$AK$4:$AK$503,"&gt;="&amp;$AK267-Settings!$C$21,$AK$4:$AK$503,"&lt;="&amp;$AK267-1),"")))</f>
        <v/>
      </c>
      <c r="AA267" s="28" t="str">
        <f t="shared" si="76"/>
        <v/>
      </c>
      <c r="AB267" s="25" t="str">
        <f>IF($B267="","",IF($AK267&lt;=Settings!$C$22,"",IFERROR(AVERAGEIFS($K$4:$K$503,$B$4:$B$503,$B267,$AK$4:$AK$503,"&gt;="&amp;$AK267-Settings!$C$22,$AK$4:$AK$503,"&lt;="&amp;$AK267-1),"")))</f>
        <v/>
      </c>
      <c r="AC267" s="27" t="str">
        <f t="shared" si="77"/>
        <v/>
      </c>
      <c r="AD267" s="28" t="str">
        <f>IF($B267="","",IF($AK267&lt;=Settings!$C$23,"",IFERROR($E267/SUMIFS($E$4:$E$503,$B$4:$B$503,$B267,$AK$4:$AK$503,$AK267-Settings!$C$23)-1,"")))</f>
        <v/>
      </c>
      <c r="AE267" s="28" t="str">
        <f>IF($B267="","",IF($AK267&lt;=Settings!$C$22,"",IFERROR($E267/SUMIFS($E$4:$E$503,$B$4:$B$503,$B267,$AK$4:$AK$503,$AK267-Settings!$C$22)-1,"")))</f>
        <v/>
      </c>
      <c r="AF267" s="28" t="str">
        <f t="shared" si="78"/>
        <v/>
      </c>
      <c r="AG267" s="29" t="str">
        <f>IF($B267="","",ROUND((MIN(100,100*N($I267)/Settings!$C$27)+MIN(100,100*N($K267)/Settings!$C$28)+MIN(100,100*N($J267)/Settings!$C$29))/3,1))</f>
        <v/>
      </c>
      <c r="AH267" s="29" t="str">
        <f>IF($B267="","",IF(SUM(Settings!$C$32:$C$37)=0,"",ROUND((Settings!$C$32*$AO267+Settings!$C$33*$AP267+Settings!$C$34*$AQ267+Settings!$C$35*$AR267+Settings!$C$36*$AS267+Settings!$C$37*$AT267)/SUM(Settings!$C$32:$C$37),1)))</f>
        <v/>
      </c>
      <c r="AI267" s="29" t="str">
        <f>IF($B267="","",MAX(0,100-IF(N($N267)&gt;0,0,20)-IF(AND(N($L267)=0,N($M267)=0),15,0)-IF(N($J267)&gt;0,0,10)-IF(N($K267)&gt;0,0,10)-IF($Z267&lt;&gt;"",0,15)-IF($AB267&lt;&gt;"",0,10)-IF($R267="ERROR",20,IF($R267="WARNING",10,0))))</f>
        <v/>
      </c>
      <c r="AJ267" s="30" t="str">
        <f>IF($AH267="","",IF($AH267&lt;Settings!$C$46,"Extreme Sell Pressure",IF($AH267&lt;Settings!$C$47,"Sell Pressure",IF($AH267&lt;=Settings!$C$48,"Neutral",IF($AH267&lt;=Settings!$C$49,"Buy Pressure","Extreme Buy Pressure")))))</f>
        <v/>
      </c>
      <c r="AK267" s="30" t="str">
        <f t="shared" si="79"/>
        <v/>
      </c>
      <c r="AL267" s="30" t="str">
        <f t="shared" si="80"/>
        <v/>
      </c>
      <c r="AM267" s="30" t="str">
        <f t="shared" si="81"/>
        <v/>
      </c>
      <c r="AN267" s="30" t="str">
        <f t="shared" si="82"/>
        <v/>
      </c>
      <c r="AO267" s="29" t="str">
        <f>IF($B267="","",IF(AND(N($L267)=0,N($M267)=0),50,IF(N($M267)=0,100,IF(N($L267)=0,0,MEDIAN(0,100,50+50*LN($S267)/LN(Settings!$C$40))))))</f>
        <v/>
      </c>
      <c r="AP267" s="29">
        <f>IF($AA267="",50,MEDIAN(0,100,50+$AA267*100*Settings!$C$41))</f>
        <v>50</v>
      </c>
      <c r="AQ267" s="29">
        <f>IF($H267="",50,MEDIAN(0,100,50+$H267*100*Settings!$C$42))</f>
        <v>50</v>
      </c>
      <c r="AR267" s="29">
        <f>IF(OR($AC267="",$H267=""),50,MEDIAN(0,100,50+SIGN($H267)*50*MEDIAN(0,1,($AC267-1)/Settings!$C$43)))</f>
        <v>50</v>
      </c>
      <c r="AS267" s="29">
        <f>IF(OR($V267="",$W267=""),50,MEDIAN(0,100,50+50*($V267-$W267)/Settings!$C$44))</f>
        <v>50</v>
      </c>
      <c r="AT267" s="29">
        <f t="shared" si="83"/>
        <v>50</v>
      </c>
      <c r="AU267" s="30" t="str">
        <f t="shared" si="84"/>
        <v/>
      </c>
      <c r="AV267" s="87" t="str">
        <f>IF($A267="","",IF(COUNTIFS($A$4:$A267,$A267)=1,1,0))</f>
        <v/>
      </c>
    </row>
    <row r="268" spans="1:48" x14ac:dyDescent="0.3">
      <c r="A268" s="270"/>
      <c r="B268" s="271"/>
      <c r="C268" s="272"/>
      <c r="D268" s="272"/>
      <c r="E268" s="272"/>
      <c r="F268" s="272"/>
      <c r="G268" s="272"/>
      <c r="H268" s="268" t="str">
        <f t="shared" si="68"/>
        <v/>
      </c>
      <c r="I268" s="273"/>
      <c r="J268" s="273"/>
      <c r="K268" s="273"/>
      <c r="L268" s="273"/>
      <c r="M268" s="273"/>
      <c r="N268" s="273"/>
      <c r="O268" s="271"/>
      <c r="P268" s="270"/>
      <c r="Q268" s="271"/>
      <c r="R268" s="23" t="str" cm="1">
        <f t="array" ref="R268">IF($B268="","",IFERROR(IF(INDEX('Data Quality'!$U$4:$U$503,ROW()-3)=0,"PENDING",INDEX('Data Quality'!$U$4:$U$503,ROW()-3)),"PENDING"))</f>
        <v/>
      </c>
      <c r="S268" s="24" t="str">
        <f t="shared" si="69"/>
        <v/>
      </c>
      <c r="T268" s="25" t="str">
        <f t="shared" si="70"/>
        <v/>
      </c>
      <c r="U268" s="25" t="str">
        <f t="shared" si="71"/>
        <v/>
      </c>
      <c r="V268" s="26" t="str">
        <f t="shared" si="72"/>
        <v/>
      </c>
      <c r="W268" s="26" t="str">
        <f t="shared" si="73"/>
        <v/>
      </c>
      <c r="X268" s="25" t="str">
        <f t="shared" si="74"/>
        <v/>
      </c>
      <c r="Y268" s="25" t="str">
        <f t="shared" si="75"/>
        <v/>
      </c>
      <c r="Z268" s="27" t="str">
        <f>IF($B268="","",IF($AK268&lt;=Settings!$C$21,"",IFERROR(AVERAGEIFS($S$4:$S$503,$B$4:$B$503,$B268,$AK$4:$AK$503,"&gt;="&amp;$AK268-Settings!$C$21,$AK$4:$AK$503,"&lt;="&amp;$AK268-1),"")))</f>
        <v/>
      </c>
      <c r="AA268" s="28" t="str">
        <f t="shared" si="76"/>
        <v/>
      </c>
      <c r="AB268" s="25" t="str">
        <f>IF($B268="","",IF($AK268&lt;=Settings!$C$22,"",IFERROR(AVERAGEIFS($K$4:$K$503,$B$4:$B$503,$B268,$AK$4:$AK$503,"&gt;="&amp;$AK268-Settings!$C$22,$AK$4:$AK$503,"&lt;="&amp;$AK268-1),"")))</f>
        <v/>
      </c>
      <c r="AC268" s="27" t="str">
        <f t="shared" si="77"/>
        <v/>
      </c>
      <c r="AD268" s="28" t="str">
        <f>IF($B268="","",IF($AK268&lt;=Settings!$C$23,"",IFERROR($E268/SUMIFS($E$4:$E$503,$B$4:$B$503,$B268,$AK$4:$AK$503,$AK268-Settings!$C$23)-1,"")))</f>
        <v/>
      </c>
      <c r="AE268" s="28" t="str">
        <f>IF($B268="","",IF($AK268&lt;=Settings!$C$22,"",IFERROR($E268/SUMIFS($E$4:$E$503,$B$4:$B$503,$B268,$AK$4:$AK$503,$AK268-Settings!$C$22)-1,"")))</f>
        <v/>
      </c>
      <c r="AF268" s="28" t="str">
        <f t="shared" si="78"/>
        <v/>
      </c>
      <c r="AG268" s="29" t="str">
        <f>IF($B268="","",ROUND((MIN(100,100*N($I268)/Settings!$C$27)+MIN(100,100*N($K268)/Settings!$C$28)+MIN(100,100*N($J268)/Settings!$C$29))/3,1))</f>
        <v/>
      </c>
      <c r="AH268" s="29" t="str">
        <f>IF($B268="","",IF(SUM(Settings!$C$32:$C$37)=0,"",ROUND((Settings!$C$32*$AO268+Settings!$C$33*$AP268+Settings!$C$34*$AQ268+Settings!$C$35*$AR268+Settings!$C$36*$AS268+Settings!$C$37*$AT268)/SUM(Settings!$C$32:$C$37),1)))</f>
        <v/>
      </c>
      <c r="AI268" s="29" t="str">
        <f>IF($B268="","",MAX(0,100-IF(N($N268)&gt;0,0,20)-IF(AND(N($L268)=0,N($M268)=0),15,0)-IF(N($J268)&gt;0,0,10)-IF(N($K268)&gt;0,0,10)-IF($Z268&lt;&gt;"",0,15)-IF($AB268&lt;&gt;"",0,10)-IF($R268="ERROR",20,IF($R268="WARNING",10,0))))</f>
        <v/>
      </c>
      <c r="AJ268" s="30" t="str">
        <f>IF($AH268="","",IF($AH268&lt;Settings!$C$46,"Extreme Sell Pressure",IF($AH268&lt;Settings!$C$47,"Sell Pressure",IF($AH268&lt;=Settings!$C$48,"Neutral",IF($AH268&lt;=Settings!$C$49,"Buy Pressure","Extreme Buy Pressure")))))</f>
        <v/>
      </c>
      <c r="AK268" s="30" t="str">
        <f t="shared" si="79"/>
        <v/>
      </c>
      <c r="AL268" s="30" t="str">
        <f t="shared" si="80"/>
        <v/>
      </c>
      <c r="AM268" s="30" t="str">
        <f t="shared" si="81"/>
        <v/>
      </c>
      <c r="AN268" s="30" t="str">
        <f t="shared" si="82"/>
        <v/>
      </c>
      <c r="AO268" s="29" t="str">
        <f>IF($B268="","",IF(AND(N($L268)=0,N($M268)=0),50,IF(N($M268)=0,100,IF(N($L268)=0,0,MEDIAN(0,100,50+50*LN($S268)/LN(Settings!$C$40))))))</f>
        <v/>
      </c>
      <c r="AP268" s="29">
        <f>IF($AA268="",50,MEDIAN(0,100,50+$AA268*100*Settings!$C$41))</f>
        <v>50</v>
      </c>
      <c r="AQ268" s="29">
        <f>IF($H268="",50,MEDIAN(0,100,50+$H268*100*Settings!$C$42))</f>
        <v>50</v>
      </c>
      <c r="AR268" s="29">
        <f>IF(OR($AC268="",$H268=""),50,MEDIAN(0,100,50+SIGN($H268)*50*MEDIAN(0,1,($AC268-1)/Settings!$C$43)))</f>
        <v>50</v>
      </c>
      <c r="AS268" s="29">
        <f>IF(OR($V268="",$W268=""),50,MEDIAN(0,100,50+50*($V268-$W268)/Settings!$C$44))</f>
        <v>50</v>
      </c>
      <c r="AT268" s="29">
        <f t="shared" si="83"/>
        <v>50</v>
      </c>
      <c r="AU268" s="30" t="str">
        <f t="shared" si="84"/>
        <v/>
      </c>
      <c r="AV268" s="87" t="str">
        <f>IF($A268="","",IF(COUNTIFS($A$4:$A268,$A268)=1,1,0))</f>
        <v/>
      </c>
    </row>
    <row r="269" spans="1:48" x14ac:dyDescent="0.3">
      <c r="A269" s="270"/>
      <c r="B269" s="271"/>
      <c r="C269" s="272"/>
      <c r="D269" s="272"/>
      <c r="E269" s="272"/>
      <c r="F269" s="272"/>
      <c r="G269" s="272"/>
      <c r="H269" s="268" t="str">
        <f t="shared" si="68"/>
        <v/>
      </c>
      <c r="I269" s="273"/>
      <c r="J269" s="273"/>
      <c r="K269" s="273"/>
      <c r="L269" s="273"/>
      <c r="M269" s="273"/>
      <c r="N269" s="273"/>
      <c r="O269" s="271"/>
      <c r="P269" s="270"/>
      <c r="Q269" s="271"/>
      <c r="R269" s="23" t="str" cm="1">
        <f t="array" ref="R269">IF($B269="","",IFERROR(IF(INDEX('Data Quality'!$U$4:$U$503,ROW()-3)=0,"PENDING",INDEX('Data Quality'!$U$4:$U$503,ROW()-3)),"PENDING"))</f>
        <v/>
      </c>
      <c r="S269" s="24" t="str">
        <f t="shared" si="69"/>
        <v/>
      </c>
      <c r="T269" s="25" t="str">
        <f t="shared" si="70"/>
        <v/>
      </c>
      <c r="U269" s="25" t="str">
        <f t="shared" si="71"/>
        <v/>
      </c>
      <c r="V269" s="26" t="str">
        <f t="shared" si="72"/>
        <v/>
      </c>
      <c r="W269" s="26" t="str">
        <f t="shared" si="73"/>
        <v/>
      </c>
      <c r="X269" s="25" t="str">
        <f t="shared" si="74"/>
        <v/>
      </c>
      <c r="Y269" s="25" t="str">
        <f t="shared" si="75"/>
        <v/>
      </c>
      <c r="Z269" s="27" t="str">
        <f>IF($B269="","",IF($AK269&lt;=Settings!$C$21,"",IFERROR(AVERAGEIFS($S$4:$S$503,$B$4:$B$503,$B269,$AK$4:$AK$503,"&gt;="&amp;$AK269-Settings!$C$21,$AK$4:$AK$503,"&lt;="&amp;$AK269-1),"")))</f>
        <v/>
      </c>
      <c r="AA269" s="28" t="str">
        <f t="shared" si="76"/>
        <v/>
      </c>
      <c r="AB269" s="25" t="str">
        <f>IF($B269="","",IF($AK269&lt;=Settings!$C$22,"",IFERROR(AVERAGEIFS($K$4:$K$503,$B$4:$B$503,$B269,$AK$4:$AK$503,"&gt;="&amp;$AK269-Settings!$C$22,$AK$4:$AK$503,"&lt;="&amp;$AK269-1),"")))</f>
        <v/>
      </c>
      <c r="AC269" s="27" t="str">
        <f t="shared" si="77"/>
        <v/>
      </c>
      <c r="AD269" s="28" t="str">
        <f>IF($B269="","",IF($AK269&lt;=Settings!$C$23,"",IFERROR($E269/SUMIFS($E$4:$E$503,$B$4:$B$503,$B269,$AK$4:$AK$503,$AK269-Settings!$C$23)-1,"")))</f>
        <v/>
      </c>
      <c r="AE269" s="28" t="str">
        <f>IF($B269="","",IF($AK269&lt;=Settings!$C$22,"",IFERROR($E269/SUMIFS($E$4:$E$503,$B$4:$B$503,$B269,$AK$4:$AK$503,$AK269-Settings!$C$22)-1,"")))</f>
        <v/>
      </c>
      <c r="AF269" s="28" t="str">
        <f t="shared" si="78"/>
        <v/>
      </c>
      <c r="AG269" s="29" t="str">
        <f>IF($B269="","",ROUND((MIN(100,100*N($I269)/Settings!$C$27)+MIN(100,100*N($K269)/Settings!$C$28)+MIN(100,100*N($J269)/Settings!$C$29))/3,1))</f>
        <v/>
      </c>
      <c r="AH269" s="29" t="str">
        <f>IF($B269="","",IF(SUM(Settings!$C$32:$C$37)=0,"",ROUND((Settings!$C$32*$AO269+Settings!$C$33*$AP269+Settings!$C$34*$AQ269+Settings!$C$35*$AR269+Settings!$C$36*$AS269+Settings!$C$37*$AT269)/SUM(Settings!$C$32:$C$37),1)))</f>
        <v/>
      </c>
      <c r="AI269" s="29" t="str">
        <f>IF($B269="","",MAX(0,100-IF(N($N269)&gt;0,0,20)-IF(AND(N($L269)=0,N($M269)=0),15,0)-IF(N($J269)&gt;0,0,10)-IF(N($K269)&gt;0,0,10)-IF($Z269&lt;&gt;"",0,15)-IF($AB269&lt;&gt;"",0,10)-IF($R269="ERROR",20,IF($R269="WARNING",10,0))))</f>
        <v/>
      </c>
      <c r="AJ269" s="30" t="str">
        <f>IF($AH269="","",IF($AH269&lt;Settings!$C$46,"Extreme Sell Pressure",IF($AH269&lt;Settings!$C$47,"Sell Pressure",IF($AH269&lt;=Settings!$C$48,"Neutral",IF($AH269&lt;=Settings!$C$49,"Buy Pressure","Extreme Buy Pressure")))))</f>
        <v/>
      </c>
      <c r="AK269" s="30" t="str">
        <f t="shared" si="79"/>
        <v/>
      </c>
      <c r="AL269" s="30" t="str">
        <f t="shared" si="80"/>
        <v/>
      </c>
      <c r="AM269" s="30" t="str">
        <f t="shared" si="81"/>
        <v/>
      </c>
      <c r="AN269" s="30" t="str">
        <f t="shared" si="82"/>
        <v/>
      </c>
      <c r="AO269" s="29" t="str">
        <f>IF($B269="","",IF(AND(N($L269)=0,N($M269)=0),50,IF(N($M269)=0,100,IF(N($L269)=0,0,MEDIAN(0,100,50+50*LN($S269)/LN(Settings!$C$40))))))</f>
        <v/>
      </c>
      <c r="AP269" s="29">
        <f>IF($AA269="",50,MEDIAN(0,100,50+$AA269*100*Settings!$C$41))</f>
        <v>50</v>
      </c>
      <c r="AQ269" s="29">
        <f>IF($H269="",50,MEDIAN(0,100,50+$H269*100*Settings!$C$42))</f>
        <v>50</v>
      </c>
      <c r="AR269" s="29">
        <f>IF(OR($AC269="",$H269=""),50,MEDIAN(0,100,50+SIGN($H269)*50*MEDIAN(0,1,($AC269-1)/Settings!$C$43)))</f>
        <v>50</v>
      </c>
      <c r="AS269" s="29">
        <f>IF(OR($V269="",$W269=""),50,MEDIAN(0,100,50+50*($V269-$W269)/Settings!$C$44))</f>
        <v>50</v>
      </c>
      <c r="AT269" s="29">
        <f t="shared" si="83"/>
        <v>50</v>
      </c>
      <c r="AU269" s="30" t="str">
        <f t="shared" si="84"/>
        <v/>
      </c>
      <c r="AV269" s="87" t="str">
        <f>IF($A269="","",IF(COUNTIFS($A$4:$A269,$A269)=1,1,0))</f>
        <v/>
      </c>
    </row>
    <row r="270" spans="1:48" x14ac:dyDescent="0.3">
      <c r="A270" s="270"/>
      <c r="B270" s="271"/>
      <c r="C270" s="272"/>
      <c r="D270" s="272"/>
      <c r="E270" s="272"/>
      <c r="F270" s="272"/>
      <c r="G270" s="272"/>
      <c r="H270" s="268" t="str">
        <f t="shared" si="68"/>
        <v/>
      </c>
      <c r="I270" s="273"/>
      <c r="J270" s="273"/>
      <c r="K270" s="273"/>
      <c r="L270" s="273"/>
      <c r="M270" s="273"/>
      <c r="N270" s="273"/>
      <c r="O270" s="271"/>
      <c r="P270" s="270"/>
      <c r="Q270" s="271"/>
      <c r="R270" s="23" t="str" cm="1">
        <f t="array" ref="R270">IF($B270="","",IFERROR(IF(INDEX('Data Quality'!$U$4:$U$503,ROW()-3)=0,"PENDING",INDEX('Data Quality'!$U$4:$U$503,ROW()-3)),"PENDING"))</f>
        <v/>
      </c>
      <c r="S270" s="24" t="str">
        <f t="shared" si="69"/>
        <v/>
      </c>
      <c r="T270" s="25" t="str">
        <f t="shared" si="70"/>
        <v/>
      </c>
      <c r="U270" s="25" t="str">
        <f t="shared" si="71"/>
        <v/>
      </c>
      <c r="V270" s="26" t="str">
        <f t="shared" si="72"/>
        <v/>
      </c>
      <c r="W270" s="26" t="str">
        <f t="shared" si="73"/>
        <v/>
      </c>
      <c r="X270" s="25" t="str">
        <f t="shared" si="74"/>
        <v/>
      </c>
      <c r="Y270" s="25" t="str">
        <f t="shared" si="75"/>
        <v/>
      </c>
      <c r="Z270" s="27" t="str">
        <f>IF($B270="","",IF($AK270&lt;=Settings!$C$21,"",IFERROR(AVERAGEIFS($S$4:$S$503,$B$4:$B$503,$B270,$AK$4:$AK$503,"&gt;="&amp;$AK270-Settings!$C$21,$AK$4:$AK$503,"&lt;="&amp;$AK270-1),"")))</f>
        <v/>
      </c>
      <c r="AA270" s="28" t="str">
        <f t="shared" si="76"/>
        <v/>
      </c>
      <c r="AB270" s="25" t="str">
        <f>IF($B270="","",IF($AK270&lt;=Settings!$C$22,"",IFERROR(AVERAGEIFS($K$4:$K$503,$B$4:$B$503,$B270,$AK$4:$AK$503,"&gt;="&amp;$AK270-Settings!$C$22,$AK$4:$AK$503,"&lt;="&amp;$AK270-1),"")))</f>
        <v/>
      </c>
      <c r="AC270" s="27" t="str">
        <f t="shared" si="77"/>
        <v/>
      </c>
      <c r="AD270" s="28" t="str">
        <f>IF($B270="","",IF($AK270&lt;=Settings!$C$23,"",IFERROR($E270/SUMIFS($E$4:$E$503,$B$4:$B$503,$B270,$AK$4:$AK$503,$AK270-Settings!$C$23)-1,"")))</f>
        <v/>
      </c>
      <c r="AE270" s="28" t="str">
        <f>IF($B270="","",IF($AK270&lt;=Settings!$C$22,"",IFERROR($E270/SUMIFS($E$4:$E$503,$B$4:$B$503,$B270,$AK$4:$AK$503,$AK270-Settings!$C$22)-1,"")))</f>
        <v/>
      </c>
      <c r="AF270" s="28" t="str">
        <f t="shared" si="78"/>
        <v/>
      </c>
      <c r="AG270" s="29" t="str">
        <f>IF($B270="","",ROUND((MIN(100,100*N($I270)/Settings!$C$27)+MIN(100,100*N($K270)/Settings!$C$28)+MIN(100,100*N($J270)/Settings!$C$29))/3,1))</f>
        <v/>
      </c>
      <c r="AH270" s="29" t="str">
        <f>IF($B270="","",IF(SUM(Settings!$C$32:$C$37)=0,"",ROUND((Settings!$C$32*$AO270+Settings!$C$33*$AP270+Settings!$C$34*$AQ270+Settings!$C$35*$AR270+Settings!$C$36*$AS270+Settings!$C$37*$AT270)/SUM(Settings!$C$32:$C$37),1)))</f>
        <v/>
      </c>
      <c r="AI270" s="29" t="str">
        <f>IF($B270="","",MAX(0,100-IF(N($N270)&gt;0,0,20)-IF(AND(N($L270)=0,N($M270)=0),15,0)-IF(N($J270)&gt;0,0,10)-IF(N($K270)&gt;0,0,10)-IF($Z270&lt;&gt;"",0,15)-IF($AB270&lt;&gt;"",0,10)-IF($R270="ERROR",20,IF($R270="WARNING",10,0))))</f>
        <v/>
      </c>
      <c r="AJ270" s="30" t="str">
        <f>IF($AH270="","",IF($AH270&lt;Settings!$C$46,"Extreme Sell Pressure",IF($AH270&lt;Settings!$C$47,"Sell Pressure",IF($AH270&lt;=Settings!$C$48,"Neutral",IF($AH270&lt;=Settings!$C$49,"Buy Pressure","Extreme Buy Pressure")))))</f>
        <v/>
      </c>
      <c r="AK270" s="30" t="str">
        <f t="shared" si="79"/>
        <v/>
      </c>
      <c r="AL270" s="30" t="str">
        <f t="shared" si="80"/>
        <v/>
      </c>
      <c r="AM270" s="30" t="str">
        <f t="shared" si="81"/>
        <v/>
      </c>
      <c r="AN270" s="30" t="str">
        <f t="shared" si="82"/>
        <v/>
      </c>
      <c r="AO270" s="29" t="str">
        <f>IF($B270="","",IF(AND(N($L270)=0,N($M270)=0),50,IF(N($M270)=0,100,IF(N($L270)=0,0,MEDIAN(0,100,50+50*LN($S270)/LN(Settings!$C$40))))))</f>
        <v/>
      </c>
      <c r="AP270" s="29">
        <f>IF($AA270="",50,MEDIAN(0,100,50+$AA270*100*Settings!$C$41))</f>
        <v>50</v>
      </c>
      <c r="AQ270" s="29">
        <f>IF($H270="",50,MEDIAN(0,100,50+$H270*100*Settings!$C$42))</f>
        <v>50</v>
      </c>
      <c r="AR270" s="29">
        <f>IF(OR($AC270="",$H270=""),50,MEDIAN(0,100,50+SIGN($H270)*50*MEDIAN(0,1,($AC270-1)/Settings!$C$43)))</f>
        <v>50</v>
      </c>
      <c r="AS270" s="29">
        <f>IF(OR($V270="",$W270=""),50,MEDIAN(0,100,50+50*($V270-$W270)/Settings!$C$44))</f>
        <v>50</v>
      </c>
      <c r="AT270" s="29">
        <f t="shared" si="83"/>
        <v>50</v>
      </c>
      <c r="AU270" s="30" t="str">
        <f t="shared" si="84"/>
        <v/>
      </c>
      <c r="AV270" s="87" t="str">
        <f>IF($A270="","",IF(COUNTIFS($A$4:$A270,$A270)=1,1,0))</f>
        <v/>
      </c>
    </row>
    <row r="271" spans="1:48" x14ac:dyDescent="0.3">
      <c r="A271" s="270"/>
      <c r="B271" s="271"/>
      <c r="C271" s="272"/>
      <c r="D271" s="272"/>
      <c r="E271" s="272"/>
      <c r="F271" s="272"/>
      <c r="G271" s="272"/>
      <c r="H271" s="268" t="str">
        <f t="shared" si="68"/>
        <v/>
      </c>
      <c r="I271" s="273"/>
      <c r="J271" s="273"/>
      <c r="K271" s="273"/>
      <c r="L271" s="273"/>
      <c r="M271" s="273"/>
      <c r="N271" s="273"/>
      <c r="O271" s="271"/>
      <c r="P271" s="270"/>
      <c r="Q271" s="271"/>
      <c r="R271" s="23" t="str" cm="1">
        <f t="array" ref="R271">IF($B271="","",IFERROR(IF(INDEX('Data Quality'!$U$4:$U$503,ROW()-3)=0,"PENDING",INDEX('Data Quality'!$U$4:$U$503,ROW()-3)),"PENDING"))</f>
        <v/>
      </c>
      <c r="S271" s="24" t="str">
        <f t="shared" si="69"/>
        <v/>
      </c>
      <c r="T271" s="25" t="str">
        <f t="shared" si="70"/>
        <v/>
      </c>
      <c r="U271" s="25" t="str">
        <f t="shared" si="71"/>
        <v/>
      </c>
      <c r="V271" s="26" t="str">
        <f t="shared" si="72"/>
        <v/>
      </c>
      <c r="W271" s="26" t="str">
        <f t="shared" si="73"/>
        <v/>
      </c>
      <c r="X271" s="25" t="str">
        <f t="shared" si="74"/>
        <v/>
      </c>
      <c r="Y271" s="25" t="str">
        <f t="shared" si="75"/>
        <v/>
      </c>
      <c r="Z271" s="27" t="str">
        <f>IF($B271="","",IF($AK271&lt;=Settings!$C$21,"",IFERROR(AVERAGEIFS($S$4:$S$503,$B$4:$B$503,$B271,$AK$4:$AK$503,"&gt;="&amp;$AK271-Settings!$C$21,$AK$4:$AK$503,"&lt;="&amp;$AK271-1),"")))</f>
        <v/>
      </c>
      <c r="AA271" s="28" t="str">
        <f t="shared" si="76"/>
        <v/>
      </c>
      <c r="AB271" s="25" t="str">
        <f>IF($B271="","",IF($AK271&lt;=Settings!$C$22,"",IFERROR(AVERAGEIFS($K$4:$K$503,$B$4:$B$503,$B271,$AK$4:$AK$503,"&gt;="&amp;$AK271-Settings!$C$22,$AK$4:$AK$503,"&lt;="&amp;$AK271-1),"")))</f>
        <v/>
      </c>
      <c r="AC271" s="27" t="str">
        <f t="shared" si="77"/>
        <v/>
      </c>
      <c r="AD271" s="28" t="str">
        <f>IF($B271="","",IF($AK271&lt;=Settings!$C$23,"",IFERROR($E271/SUMIFS($E$4:$E$503,$B$4:$B$503,$B271,$AK$4:$AK$503,$AK271-Settings!$C$23)-1,"")))</f>
        <v/>
      </c>
      <c r="AE271" s="28" t="str">
        <f>IF($B271="","",IF($AK271&lt;=Settings!$C$22,"",IFERROR($E271/SUMIFS($E$4:$E$503,$B$4:$B$503,$B271,$AK$4:$AK$503,$AK271-Settings!$C$22)-1,"")))</f>
        <v/>
      </c>
      <c r="AF271" s="28" t="str">
        <f t="shared" si="78"/>
        <v/>
      </c>
      <c r="AG271" s="29" t="str">
        <f>IF($B271="","",ROUND((MIN(100,100*N($I271)/Settings!$C$27)+MIN(100,100*N($K271)/Settings!$C$28)+MIN(100,100*N($J271)/Settings!$C$29))/3,1))</f>
        <v/>
      </c>
      <c r="AH271" s="29" t="str">
        <f>IF($B271="","",IF(SUM(Settings!$C$32:$C$37)=0,"",ROUND((Settings!$C$32*$AO271+Settings!$C$33*$AP271+Settings!$C$34*$AQ271+Settings!$C$35*$AR271+Settings!$C$36*$AS271+Settings!$C$37*$AT271)/SUM(Settings!$C$32:$C$37),1)))</f>
        <v/>
      </c>
      <c r="AI271" s="29" t="str">
        <f>IF($B271="","",MAX(0,100-IF(N($N271)&gt;0,0,20)-IF(AND(N($L271)=0,N($M271)=0),15,0)-IF(N($J271)&gt;0,0,10)-IF(N($K271)&gt;0,0,10)-IF($Z271&lt;&gt;"",0,15)-IF($AB271&lt;&gt;"",0,10)-IF($R271="ERROR",20,IF($R271="WARNING",10,0))))</f>
        <v/>
      </c>
      <c r="AJ271" s="30" t="str">
        <f>IF($AH271="","",IF($AH271&lt;Settings!$C$46,"Extreme Sell Pressure",IF($AH271&lt;Settings!$C$47,"Sell Pressure",IF($AH271&lt;=Settings!$C$48,"Neutral",IF($AH271&lt;=Settings!$C$49,"Buy Pressure","Extreme Buy Pressure")))))</f>
        <v/>
      </c>
      <c r="AK271" s="30" t="str">
        <f t="shared" si="79"/>
        <v/>
      </c>
      <c r="AL271" s="30" t="str">
        <f t="shared" si="80"/>
        <v/>
      </c>
      <c r="AM271" s="30" t="str">
        <f t="shared" si="81"/>
        <v/>
      </c>
      <c r="AN271" s="30" t="str">
        <f t="shared" si="82"/>
        <v/>
      </c>
      <c r="AO271" s="29" t="str">
        <f>IF($B271="","",IF(AND(N($L271)=0,N($M271)=0),50,IF(N($M271)=0,100,IF(N($L271)=0,0,MEDIAN(0,100,50+50*LN($S271)/LN(Settings!$C$40))))))</f>
        <v/>
      </c>
      <c r="AP271" s="29">
        <f>IF($AA271="",50,MEDIAN(0,100,50+$AA271*100*Settings!$C$41))</f>
        <v>50</v>
      </c>
      <c r="AQ271" s="29">
        <f>IF($H271="",50,MEDIAN(0,100,50+$H271*100*Settings!$C$42))</f>
        <v>50</v>
      </c>
      <c r="AR271" s="29">
        <f>IF(OR($AC271="",$H271=""),50,MEDIAN(0,100,50+SIGN($H271)*50*MEDIAN(0,1,($AC271-1)/Settings!$C$43)))</f>
        <v>50</v>
      </c>
      <c r="AS271" s="29">
        <f>IF(OR($V271="",$W271=""),50,MEDIAN(0,100,50+50*($V271-$W271)/Settings!$C$44))</f>
        <v>50</v>
      </c>
      <c r="AT271" s="29">
        <f t="shared" si="83"/>
        <v>50</v>
      </c>
      <c r="AU271" s="30" t="str">
        <f t="shared" si="84"/>
        <v/>
      </c>
      <c r="AV271" s="87" t="str">
        <f>IF($A271="","",IF(COUNTIFS($A$4:$A271,$A271)=1,1,0))</f>
        <v/>
      </c>
    </row>
    <row r="272" spans="1:48" x14ac:dyDescent="0.3">
      <c r="A272" s="270"/>
      <c r="B272" s="271"/>
      <c r="C272" s="272"/>
      <c r="D272" s="272"/>
      <c r="E272" s="272"/>
      <c r="F272" s="272"/>
      <c r="G272" s="272"/>
      <c r="H272" s="268" t="str">
        <f t="shared" si="68"/>
        <v/>
      </c>
      <c r="I272" s="273"/>
      <c r="J272" s="273"/>
      <c r="K272" s="273"/>
      <c r="L272" s="273"/>
      <c r="M272" s="273"/>
      <c r="N272" s="273"/>
      <c r="O272" s="271"/>
      <c r="P272" s="270"/>
      <c r="Q272" s="271"/>
      <c r="R272" s="23" t="str" cm="1">
        <f t="array" ref="R272">IF($B272="","",IFERROR(IF(INDEX('Data Quality'!$U$4:$U$503,ROW()-3)=0,"PENDING",INDEX('Data Quality'!$U$4:$U$503,ROW()-3)),"PENDING"))</f>
        <v/>
      </c>
      <c r="S272" s="24" t="str">
        <f t="shared" si="69"/>
        <v/>
      </c>
      <c r="T272" s="25" t="str">
        <f t="shared" si="70"/>
        <v/>
      </c>
      <c r="U272" s="25" t="str">
        <f t="shared" si="71"/>
        <v/>
      </c>
      <c r="V272" s="26" t="str">
        <f t="shared" si="72"/>
        <v/>
      </c>
      <c r="W272" s="26" t="str">
        <f t="shared" si="73"/>
        <v/>
      </c>
      <c r="X272" s="25" t="str">
        <f t="shared" si="74"/>
        <v/>
      </c>
      <c r="Y272" s="25" t="str">
        <f t="shared" si="75"/>
        <v/>
      </c>
      <c r="Z272" s="27" t="str">
        <f>IF($B272="","",IF($AK272&lt;=Settings!$C$21,"",IFERROR(AVERAGEIFS($S$4:$S$503,$B$4:$B$503,$B272,$AK$4:$AK$503,"&gt;="&amp;$AK272-Settings!$C$21,$AK$4:$AK$503,"&lt;="&amp;$AK272-1),"")))</f>
        <v/>
      </c>
      <c r="AA272" s="28" t="str">
        <f t="shared" si="76"/>
        <v/>
      </c>
      <c r="AB272" s="25" t="str">
        <f>IF($B272="","",IF($AK272&lt;=Settings!$C$22,"",IFERROR(AVERAGEIFS($K$4:$K$503,$B$4:$B$503,$B272,$AK$4:$AK$503,"&gt;="&amp;$AK272-Settings!$C$22,$AK$4:$AK$503,"&lt;="&amp;$AK272-1),"")))</f>
        <v/>
      </c>
      <c r="AC272" s="27" t="str">
        <f t="shared" si="77"/>
        <v/>
      </c>
      <c r="AD272" s="28" t="str">
        <f>IF($B272="","",IF($AK272&lt;=Settings!$C$23,"",IFERROR($E272/SUMIFS($E$4:$E$503,$B$4:$B$503,$B272,$AK$4:$AK$503,$AK272-Settings!$C$23)-1,"")))</f>
        <v/>
      </c>
      <c r="AE272" s="28" t="str">
        <f>IF($B272="","",IF($AK272&lt;=Settings!$C$22,"",IFERROR($E272/SUMIFS($E$4:$E$503,$B$4:$B$503,$B272,$AK$4:$AK$503,$AK272-Settings!$C$22)-1,"")))</f>
        <v/>
      </c>
      <c r="AF272" s="28" t="str">
        <f t="shared" si="78"/>
        <v/>
      </c>
      <c r="AG272" s="29" t="str">
        <f>IF($B272="","",ROUND((MIN(100,100*N($I272)/Settings!$C$27)+MIN(100,100*N($K272)/Settings!$C$28)+MIN(100,100*N($J272)/Settings!$C$29))/3,1))</f>
        <v/>
      </c>
      <c r="AH272" s="29" t="str">
        <f>IF($B272="","",IF(SUM(Settings!$C$32:$C$37)=0,"",ROUND((Settings!$C$32*$AO272+Settings!$C$33*$AP272+Settings!$C$34*$AQ272+Settings!$C$35*$AR272+Settings!$C$36*$AS272+Settings!$C$37*$AT272)/SUM(Settings!$C$32:$C$37),1)))</f>
        <v/>
      </c>
      <c r="AI272" s="29" t="str">
        <f>IF($B272="","",MAX(0,100-IF(N($N272)&gt;0,0,20)-IF(AND(N($L272)=0,N($M272)=0),15,0)-IF(N($J272)&gt;0,0,10)-IF(N($K272)&gt;0,0,10)-IF($Z272&lt;&gt;"",0,15)-IF($AB272&lt;&gt;"",0,10)-IF($R272="ERROR",20,IF($R272="WARNING",10,0))))</f>
        <v/>
      </c>
      <c r="AJ272" s="30" t="str">
        <f>IF($AH272="","",IF($AH272&lt;Settings!$C$46,"Extreme Sell Pressure",IF($AH272&lt;Settings!$C$47,"Sell Pressure",IF($AH272&lt;=Settings!$C$48,"Neutral",IF($AH272&lt;=Settings!$C$49,"Buy Pressure","Extreme Buy Pressure")))))</f>
        <v/>
      </c>
      <c r="AK272" s="30" t="str">
        <f t="shared" si="79"/>
        <v/>
      </c>
      <c r="AL272" s="30" t="str">
        <f t="shared" si="80"/>
        <v/>
      </c>
      <c r="AM272" s="30" t="str">
        <f t="shared" si="81"/>
        <v/>
      </c>
      <c r="AN272" s="30" t="str">
        <f t="shared" si="82"/>
        <v/>
      </c>
      <c r="AO272" s="29" t="str">
        <f>IF($B272="","",IF(AND(N($L272)=0,N($M272)=0),50,IF(N($M272)=0,100,IF(N($L272)=0,0,MEDIAN(0,100,50+50*LN($S272)/LN(Settings!$C$40))))))</f>
        <v/>
      </c>
      <c r="AP272" s="29">
        <f>IF($AA272="",50,MEDIAN(0,100,50+$AA272*100*Settings!$C$41))</f>
        <v>50</v>
      </c>
      <c r="AQ272" s="29">
        <f>IF($H272="",50,MEDIAN(0,100,50+$H272*100*Settings!$C$42))</f>
        <v>50</v>
      </c>
      <c r="AR272" s="29">
        <f>IF(OR($AC272="",$H272=""),50,MEDIAN(0,100,50+SIGN($H272)*50*MEDIAN(0,1,($AC272-1)/Settings!$C$43)))</f>
        <v>50</v>
      </c>
      <c r="AS272" s="29">
        <f>IF(OR($V272="",$W272=""),50,MEDIAN(0,100,50+50*($V272-$W272)/Settings!$C$44))</f>
        <v>50</v>
      </c>
      <c r="AT272" s="29">
        <f t="shared" si="83"/>
        <v>50</v>
      </c>
      <c r="AU272" s="30" t="str">
        <f t="shared" si="84"/>
        <v/>
      </c>
      <c r="AV272" s="87" t="str">
        <f>IF($A272="","",IF(COUNTIFS($A$4:$A272,$A272)=1,1,0))</f>
        <v/>
      </c>
    </row>
    <row r="273" spans="1:48" x14ac:dyDescent="0.3">
      <c r="A273" s="270"/>
      <c r="B273" s="271"/>
      <c r="C273" s="272"/>
      <c r="D273" s="272"/>
      <c r="E273" s="272"/>
      <c r="F273" s="272"/>
      <c r="G273" s="272"/>
      <c r="H273" s="268" t="str">
        <f t="shared" si="68"/>
        <v/>
      </c>
      <c r="I273" s="273"/>
      <c r="J273" s="273"/>
      <c r="K273" s="273"/>
      <c r="L273" s="273"/>
      <c r="M273" s="273"/>
      <c r="N273" s="273"/>
      <c r="O273" s="271"/>
      <c r="P273" s="270"/>
      <c r="Q273" s="271"/>
      <c r="R273" s="23" t="str" cm="1">
        <f t="array" ref="R273">IF($B273="","",IFERROR(IF(INDEX('Data Quality'!$U$4:$U$503,ROW()-3)=0,"PENDING",INDEX('Data Quality'!$U$4:$U$503,ROW()-3)),"PENDING"))</f>
        <v/>
      </c>
      <c r="S273" s="24" t="str">
        <f t="shared" si="69"/>
        <v/>
      </c>
      <c r="T273" s="25" t="str">
        <f t="shared" si="70"/>
        <v/>
      </c>
      <c r="U273" s="25" t="str">
        <f t="shared" si="71"/>
        <v/>
      </c>
      <c r="V273" s="26" t="str">
        <f t="shared" si="72"/>
        <v/>
      </c>
      <c r="W273" s="26" t="str">
        <f t="shared" si="73"/>
        <v/>
      </c>
      <c r="X273" s="25" t="str">
        <f t="shared" si="74"/>
        <v/>
      </c>
      <c r="Y273" s="25" t="str">
        <f t="shared" si="75"/>
        <v/>
      </c>
      <c r="Z273" s="27" t="str">
        <f>IF($B273="","",IF($AK273&lt;=Settings!$C$21,"",IFERROR(AVERAGEIFS($S$4:$S$503,$B$4:$B$503,$B273,$AK$4:$AK$503,"&gt;="&amp;$AK273-Settings!$C$21,$AK$4:$AK$503,"&lt;="&amp;$AK273-1),"")))</f>
        <v/>
      </c>
      <c r="AA273" s="28" t="str">
        <f t="shared" si="76"/>
        <v/>
      </c>
      <c r="AB273" s="25" t="str">
        <f>IF($B273="","",IF($AK273&lt;=Settings!$C$22,"",IFERROR(AVERAGEIFS($K$4:$K$503,$B$4:$B$503,$B273,$AK$4:$AK$503,"&gt;="&amp;$AK273-Settings!$C$22,$AK$4:$AK$503,"&lt;="&amp;$AK273-1),"")))</f>
        <v/>
      </c>
      <c r="AC273" s="27" t="str">
        <f t="shared" si="77"/>
        <v/>
      </c>
      <c r="AD273" s="28" t="str">
        <f>IF($B273="","",IF($AK273&lt;=Settings!$C$23,"",IFERROR($E273/SUMIFS($E$4:$E$503,$B$4:$B$503,$B273,$AK$4:$AK$503,$AK273-Settings!$C$23)-1,"")))</f>
        <v/>
      </c>
      <c r="AE273" s="28" t="str">
        <f>IF($B273="","",IF($AK273&lt;=Settings!$C$22,"",IFERROR($E273/SUMIFS($E$4:$E$503,$B$4:$B$503,$B273,$AK$4:$AK$503,$AK273-Settings!$C$22)-1,"")))</f>
        <v/>
      </c>
      <c r="AF273" s="28" t="str">
        <f t="shared" si="78"/>
        <v/>
      </c>
      <c r="AG273" s="29" t="str">
        <f>IF($B273="","",ROUND((MIN(100,100*N($I273)/Settings!$C$27)+MIN(100,100*N($K273)/Settings!$C$28)+MIN(100,100*N($J273)/Settings!$C$29))/3,1))</f>
        <v/>
      </c>
      <c r="AH273" s="29" t="str">
        <f>IF($B273="","",IF(SUM(Settings!$C$32:$C$37)=0,"",ROUND((Settings!$C$32*$AO273+Settings!$C$33*$AP273+Settings!$C$34*$AQ273+Settings!$C$35*$AR273+Settings!$C$36*$AS273+Settings!$C$37*$AT273)/SUM(Settings!$C$32:$C$37),1)))</f>
        <v/>
      </c>
      <c r="AI273" s="29" t="str">
        <f>IF($B273="","",MAX(0,100-IF(N($N273)&gt;0,0,20)-IF(AND(N($L273)=0,N($M273)=0),15,0)-IF(N($J273)&gt;0,0,10)-IF(N($K273)&gt;0,0,10)-IF($Z273&lt;&gt;"",0,15)-IF($AB273&lt;&gt;"",0,10)-IF($R273="ERROR",20,IF($R273="WARNING",10,0))))</f>
        <v/>
      </c>
      <c r="AJ273" s="30" t="str">
        <f>IF($AH273="","",IF($AH273&lt;Settings!$C$46,"Extreme Sell Pressure",IF($AH273&lt;Settings!$C$47,"Sell Pressure",IF($AH273&lt;=Settings!$C$48,"Neutral",IF($AH273&lt;=Settings!$C$49,"Buy Pressure","Extreme Buy Pressure")))))</f>
        <v/>
      </c>
      <c r="AK273" s="30" t="str">
        <f t="shared" si="79"/>
        <v/>
      </c>
      <c r="AL273" s="30" t="str">
        <f t="shared" si="80"/>
        <v/>
      </c>
      <c r="AM273" s="30" t="str">
        <f t="shared" si="81"/>
        <v/>
      </c>
      <c r="AN273" s="30" t="str">
        <f t="shared" si="82"/>
        <v/>
      </c>
      <c r="AO273" s="29" t="str">
        <f>IF($B273="","",IF(AND(N($L273)=0,N($M273)=0),50,IF(N($M273)=0,100,IF(N($L273)=0,0,MEDIAN(0,100,50+50*LN($S273)/LN(Settings!$C$40))))))</f>
        <v/>
      </c>
      <c r="AP273" s="29">
        <f>IF($AA273="",50,MEDIAN(0,100,50+$AA273*100*Settings!$C$41))</f>
        <v>50</v>
      </c>
      <c r="AQ273" s="29">
        <f>IF($H273="",50,MEDIAN(0,100,50+$H273*100*Settings!$C$42))</f>
        <v>50</v>
      </c>
      <c r="AR273" s="29">
        <f>IF(OR($AC273="",$H273=""),50,MEDIAN(0,100,50+SIGN($H273)*50*MEDIAN(0,1,($AC273-1)/Settings!$C$43)))</f>
        <v>50</v>
      </c>
      <c r="AS273" s="29">
        <f>IF(OR($V273="",$W273=""),50,MEDIAN(0,100,50+50*($V273-$W273)/Settings!$C$44))</f>
        <v>50</v>
      </c>
      <c r="AT273" s="29">
        <f t="shared" si="83"/>
        <v>50</v>
      </c>
      <c r="AU273" s="30" t="str">
        <f t="shared" si="84"/>
        <v/>
      </c>
      <c r="AV273" s="87" t="str">
        <f>IF($A273="","",IF(COUNTIFS($A$4:$A273,$A273)=1,1,0))</f>
        <v/>
      </c>
    </row>
    <row r="274" spans="1:48" x14ac:dyDescent="0.3">
      <c r="A274" s="270"/>
      <c r="B274" s="271"/>
      <c r="C274" s="272"/>
      <c r="D274" s="272"/>
      <c r="E274" s="272"/>
      <c r="F274" s="272"/>
      <c r="G274" s="272"/>
      <c r="H274" s="268" t="str">
        <f t="shared" si="68"/>
        <v/>
      </c>
      <c r="I274" s="273"/>
      <c r="J274" s="273"/>
      <c r="K274" s="273"/>
      <c r="L274" s="273"/>
      <c r="M274" s="273"/>
      <c r="N274" s="273"/>
      <c r="O274" s="271"/>
      <c r="P274" s="270"/>
      <c r="Q274" s="271"/>
      <c r="R274" s="23" t="str" cm="1">
        <f t="array" ref="R274">IF($B274="","",IFERROR(IF(INDEX('Data Quality'!$U$4:$U$503,ROW()-3)=0,"PENDING",INDEX('Data Quality'!$U$4:$U$503,ROW()-3)),"PENDING"))</f>
        <v/>
      </c>
      <c r="S274" s="24" t="str">
        <f t="shared" si="69"/>
        <v/>
      </c>
      <c r="T274" s="25" t="str">
        <f t="shared" si="70"/>
        <v/>
      </c>
      <c r="U274" s="25" t="str">
        <f t="shared" si="71"/>
        <v/>
      </c>
      <c r="V274" s="26" t="str">
        <f t="shared" si="72"/>
        <v/>
      </c>
      <c r="W274" s="26" t="str">
        <f t="shared" si="73"/>
        <v/>
      </c>
      <c r="X274" s="25" t="str">
        <f t="shared" si="74"/>
        <v/>
      </c>
      <c r="Y274" s="25" t="str">
        <f t="shared" si="75"/>
        <v/>
      </c>
      <c r="Z274" s="27" t="str">
        <f>IF($B274="","",IF($AK274&lt;=Settings!$C$21,"",IFERROR(AVERAGEIFS($S$4:$S$503,$B$4:$B$503,$B274,$AK$4:$AK$503,"&gt;="&amp;$AK274-Settings!$C$21,$AK$4:$AK$503,"&lt;="&amp;$AK274-1),"")))</f>
        <v/>
      </c>
      <c r="AA274" s="28" t="str">
        <f t="shared" si="76"/>
        <v/>
      </c>
      <c r="AB274" s="25" t="str">
        <f>IF($B274="","",IF($AK274&lt;=Settings!$C$22,"",IFERROR(AVERAGEIFS($K$4:$K$503,$B$4:$B$503,$B274,$AK$4:$AK$503,"&gt;="&amp;$AK274-Settings!$C$22,$AK$4:$AK$503,"&lt;="&amp;$AK274-1),"")))</f>
        <v/>
      </c>
      <c r="AC274" s="27" t="str">
        <f t="shared" si="77"/>
        <v/>
      </c>
      <c r="AD274" s="28" t="str">
        <f>IF($B274="","",IF($AK274&lt;=Settings!$C$23,"",IFERROR($E274/SUMIFS($E$4:$E$503,$B$4:$B$503,$B274,$AK$4:$AK$503,$AK274-Settings!$C$23)-1,"")))</f>
        <v/>
      </c>
      <c r="AE274" s="28" t="str">
        <f>IF($B274="","",IF($AK274&lt;=Settings!$C$22,"",IFERROR($E274/SUMIFS($E$4:$E$503,$B$4:$B$503,$B274,$AK$4:$AK$503,$AK274-Settings!$C$22)-1,"")))</f>
        <v/>
      </c>
      <c r="AF274" s="28" t="str">
        <f t="shared" si="78"/>
        <v/>
      </c>
      <c r="AG274" s="29" t="str">
        <f>IF($B274="","",ROUND((MIN(100,100*N($I274)/Settings!$C$27)+MIN(100,100*N($K274)/Settings!$C$28)+MIN(100,100*N($J274)/Settings!$C$29))/3,1))</f>
        <v/>
      </c>
      <c r="AH274" s="29" t="str">
        <f>IF($B274="","",IF(SUM(Settings!$C$32:$C$37)=0,"",ROUND((Settings!$C$32*$AO274+Settings!$C$33*$AP274+Settings!$C$34*$AQ274+Settings!$C$35*$AR274+Settings!$C$36*$AS274+Settings!$C$37*$AT274)/SUM(Settings!$C$32:$C$37),1)))</f>
        <v/>
      </c>
      <c r="AI274" s="29" t="str">
        <f>IF($B274="","",MAX(0,100-IF(N($N274)&gt;0,0,20)-IF(AND(N($L274)=0,N($M274)=0),15,0)-IF(N($J274)&gt;0,0,10)-IF(N($K274)&gt;0,0,10)-IF($Z274&lt;&gt;"",0,15)-IF($AB274&lt;&gt;"",0,10)-IF($R274="ERROR",20,IF($R274="WARNING",10,0))))</f>
        <v/>
      </c>
      <c r="AJ274" s="30" t="str">
        <f>IF($AH274="","",IF($AH274&lt;Settings!$C$46,"Extreme Sell Pressure",IF($AH274&lt;Settings!$C$47,"Sell Pressure",IF($AH274&lt;=Settings!$C$48,"Neutral",IF($AH274&lt;=Settings!$C$49,"Buy Pressure","Extreme Buy Pressure")))))</f>
        <v/>
      </c>
      <c r="AK274" s="30" t="str">
        <f t="shared" si="79"/>
        <v/>
      </c>
      <c r="AL274" s="30" t="str">
        <f t="shared" si="80"/>
        <v/>
      </c>
      <c r="AM274" s="30" t="str">
        <f t="shared" si="81"/>
        <v/>
      </c>
      <c r="AN274" s="30" t="str">
        <f t="shared" si="82"/>
        <v/>
      </c>
      <c r="AO274" s="29" t="str">
        <f>IF($B274="","",IF(AND(N($L274)=0,N($M274)=0),50,IF(N($M274)=0,100,IF(N($L274)=0,0,MEDIAN(0,100,50+50*LN($S274)/LN(Settings!$C$40))))))</f>
        <v/>
      </c>
      <c r="AP274" s="29">
        <f>IF($AA274="",50,MEDIAN(0,100,50+$AA274*100*Settings!$C$41))</f>
        <v>50</v>
      </c>
      <c r="AQ274" s="29">
        <f>IF($H274="",50,MEDIAN(0,100,50+$H274*100*Settings!$C$42))</f>
        <v>50</v>
      </c>
      <c r="AR274" s="29">
        <f>IF(OR($AC274="",$H274=""),50,MEDIAN(0,100,50+SIGN($H274)*50*MEDIAN(0,1,($AC274-1)/Settings!$C$43)))</f>
        <v>50</v>
      </c>
      <c r="AS274" s="29">
        <f>IF(OR($V274="",$W274=""),50,MEDIAN(0,100,50+50*($V274-$W274)/Settings!$C$44))</f>
        <v>50</v>
      </c>
      <c r="AT274" s="29">
        <f t="shared" si="83"/>
        <v>50</v>
      </c>
      <c r="AU274" s="30" t="str">
        <f t="shared" si="84"/>
        <v/>
      </c>
      <c r="AV274" s="87" t="str">
        <f>IF($A274="","",IF(COUNTIFS($A$4:$A274,$A274)=1,1,0))</f>
        <v/>
      </c>
    </row>
    <row r="275" spans="1:48" x14ac:dyDescent="0.3">
      <c r="A275" s="270"/>
      <c r="B275" s="271"/>
      <c r="C275" s="272"/>
      <c r="D275" s="272"/>
      <c r="E275" s="272"/>
      <c r="F275" s="272"/>
      <c r="G275" s="272"/>
      <c r="H275" s="268" t="str">
        <f t="shared" si="68"/>
        <v/>
      </c>
      <c r="I275" s="273"/>
      <c r="J275" s="273"/>
      <c r="K275" s="273"/>
      <c r="L275" s="273"/>
      <c r="M275" s="273"/>
      <c r="N275" s="273"/>
      <c r="O275" s="271"/>
      <c r="P275" s="270"/>
      <c r="Q275" s="271"/>
      <c r="R275" s="23" t="str" cm="1">
        <f t="array" ref="R275">IF($B275="","",IFERROR(IF(INDEX('Data Quality'!$U$4:$U$503,ROW()-3)=0,"PENDING",INDEX('Data Quality'!$U$4:$U$503,ROW()-3)),"PENDING"))</f>
        <v/>
      </c>
      <c r="S275" s="24" t="str">
        <f t="shared" si="69"/>
        <v/>
      </c>
      <c r="T275" s="25" t="str">
        <f t="shared" si="70"/>
        <v/>
      </c>
      <c r="U275" s="25" t="str">
        <f t="shared" si="71"/>
        <v/>
      </c>
      <c r="V275" s="26" t="str">
        <f t="shared" si="72"/>
        <v/>
      </c>
      <c r="W275" s="26" t="str">
        <f t="shared" si="73"/>
        <v/>
      </c>
      <c r="X275" s="25" t="str">
        <f t="shared" si="74"/>
        <v/>
      </c>
      <c r="Y275" s="25" t="str">
        <f t="shared" si="75"/>
        <v/>
      </c>
      <c r="Z275" s="27" t="str">
        <f>IF($B275="","",IF($AK275&lt;=Settings!$C$21,"",IFERROR(AVERAGEIFS($S$4:$S$503,$B$4:$B$503,$B275,$AK$4:$AK$503,"&gt;="&amp;$AK275-Settings!$C$21,$AK$4:$AK$503,"&lt;="&amp;$AK275-1),"")))</f>
        <v/>
      </c>
      <c r="AA275" s="28" t="str">
        <f t="shared" si="76"/>
        <v/>
      </c>
      <c r="AB275" s="25" t="str">
        <f>IF($B275="","",IF($AK275&lt;=Settings!$C$22,"",IFERROR(AVERAGEIFS($K$4:$K$503,$B$4:$B$503,$B275,$AK$4:$AK$503,"&gt;="&amp;$AK275-Settings!$C$22,$AK$4:$AK$503,"&lt;="&amp;$AK275-1),"")))</f>
        <v/>
      </c>
      <c r="AC275" s="27" t="str">
        <f t="shared" si="77"/>
        <v/>
      </c>
      <c r="AD275" s="28" t="str">
        <f>IF($B275="","",IF($AK275&lt;=Settings!$C$23,"",IFERROR($E275/SUMIFS($E$4:$E$503,$B$4:$B$503,$B275,$AK$4:$AK$503,$AK275-Settings!$C$23)-1,"")))</f>
        <v/>
      </c>
      <c r="AE275" s="28" t="str">
        <f>IF($B275="","",IF($AK275&lt;=Settings!$C$22,"",IFERROR($E275/SUMIFS($E$4:$E$503,$B$4:$B$503,$B275,$AK$4:$AK$503,$AK275-Settings!$C$22)-1,"")))</f>
        <v/>
      </c>
      <c r="AF275" s="28" t="str">
        <f t="shared" si="78"/>
        <v/>
      </c>
      <c r="AG275" s="29" t="str">
        <f>IF($B275="","",ROUND((MIN(100,100*N($I275)/Settings!$C$27)+MIN(100,100*N($K275)/Settings!$C$28)+MIN(100,100*N($J275)/Settings!$C$29))/3,1))</f>
        <v/>
      </c>
      <c r="AH275" s="29" t="str">
        <f>IF($B275="","",IF(SUM(Settings!$C$32:$C$37)=0,"",ROUND((Settings!$C$32*$AO275+Settings!$C$33*$AP275+Settings!$C$34*$AQ275+Settings!$C$35*$AR275+Settings!$C$36*$AS275+Settings!$C$37*$AT275)/SUM(Settings!$C$32:$C$37),1)))</f>
        <v/>
      </c>
      <c r="AI275" s="29" t="str">
        <f>IF($B275="","",MAX(0,100-IF(N($N275)&gt;0,0,20)-IF(AND(N($L275)=0,N($M275)=0),15,0)-IF(N($J275)&gt;0,0,10)-IF(N($K275)&gt;0,0,10)-IF($Z275&lt;&gt;"",0,15)-IF($AB275&lt;&gt;"",0,10)-IF($R275="ERROR",20,IF($R275="WARNING",10,0))))</f>
        <v/>
      </c>
      <c r="AJ275" s="30" t="str">
        <f>IF($AH275="","",IF($AH275&lt;Settings!$C$46,"Extreme Sell Pressure",IF($AH275&lt;Settings!$C$47,"Sell Pressure",IF($AH275&lt;=Settings!$C$48,"Neutral",IF($AH275&lt;=Settings!$C$49,"Buy Pressure","Extreme Buy Pressure")))))</f>
        <v/>
      </c>
      <c r="AK275" s="30" t="str">
        <f t="shared" si="79"/>
        <v/>
      </c>
      <c r="AL275" s="30" t="str">
        <f t="shared" si="80"/>
        <v/>
      </c>
      <c r="AM275" s="30" t="str">
        <f t="shared" si="81"/>
        <v/>
      </c>
      <c r="AN275" s="30" t="str">
        <f t="shared" si="82"/>
        <v/>
      </c>
      <c r="AO275" s="29" t="str">
        <f>IF($B275="","",IF(AND(N($L275)=0,N($M275)=0),50,IF(N($M275)=0,100,IF(N($L275)=0,0,MEDIAN(0,100,50+50*LN($S275)/LN(Settings!$C$40))))))</f>
        <v/>
      </c>
      <c r="AP275" s="29">
        <f>IF($AA275="",50,MEDIAN(0,100,50+$AA275*100*Settings!$C$41))</f>
        <v>50</v>
      </c>
      <c r="AQ275" s="29">
        <f>IF($H275="",50,MEDIAN(0,100,50+$H275*100*Settings!$C$42))</f>
        <v>50</v>
      </c>
      <c r="AR275" s="29">
        <f>IF(OR($AC275="",$H275=""),50,MEDIAN(0,100,50+SIGN($H275)*50*MEDIAN(0,1,($AC275-1)/Settings!$C$43)))</f>
        <v>50</v>
      </c>
      <c r="AS275" s="29">
        <f>IF(OR($V275="",$W275=""),50,MEDIAN(0,100,50+50*($V275-$W275)/Settings!$C$44))</f>
        <v>50</v>
      </c>
      <c r="AT275" s="29">
        <f t="shared" si="83"/>
        <v>50</v>
      </c>
      <c r="AU275" s="30" t="str">
        <f t="shared" si="84"/>
        <v/>
      </c>
      <c r="AV275" s="87" t="str">
        <f>IF($A275="","",IF(COUNTIFS($A$4:$A275,$A275)=1,1,0))</f>
        <v/>
      </c>
    </row>
    <row r="276" spans="1:48" x14ac:dyDescent="0.3">
      <c r="A276" s="270"/>
      <c r="B276" s="271"/>
      <c r="C276" s="272"/>
      <c r="D276" s="272"/>
      <c r="E276" s="272"/>
      <c r="F276" s="272"/>
      <c r="G276" s="272"/>
      <c r="H276" s="268" t="str">
        <f t="shared" si="68"/>
        <v/>
      </c>
      <c r="I276" s="273"/>
      <c r="J276" s="273"/>
      <c r="K276" s="273"/>
      <c r="L276" s="273"/>
      <c r="M276" s="273"/>
      <c r="N276" s="273"/>
      <c r="O276" s="271"/>
      <c r="P276" s="270"/>
      <c r="Q276" s="271"/>
      <c r="R276" s="23" t="str" cm="1">
        <f t="array" ref="R276">IF($B276="","",IFERROR(IF(INDEX('Data Quality'!$U$4:$U$503,ROW()-3)=0,"PENDING",INDEX('Data Quality'!$U$4:$U$503,ROW()-3)),"PENDING"))</f>
        <v/>
      </c>
      <c r="S276" s="24" t="str">
        <f t="shared" si="69"/>
        <v/>
      </c>
      <c r="T276" s="25" t="str">
        <f t="shared" si="70"/>
        <v/>
      </c>
      <c r="U276" s="25" t="str">
        <f t="shared" si="71"/>
        <v/>
      </c>
      <c r="V276" s="26" t="str">
        <f t="shared" si="72"/>
        <v/>
      </c>
      <c r="W276" s="26" t="str">
        <f t="shared" si="73"/>
        <v/>
      </c>
      <c r="X276" s="25" t="str">
        <f t="shared" si="74"/>
        <v/>
      </c>
      <c r="Y276" s="25" t="str">
        <f t="shared" si="75"/>
        <v/>
      </c>
      <c r="Z276" s="27" t="str">
        <f>IF($B276="","",IF($AK276&lt;=Settings!$C$21,"",IFERROR(AVERAGEIFS($S$4:$S$503,$B$4:$B$503,$B276,$AK$4:$AK$503,"&gt;="&amp;$AK276-Settings!$C$21,$AK$4:$AK$503,"&lt;="&amp;$AK276-1),"")))</f>
        <v/>
      </c>
      <c r="AA276" s="28" t="str">
        <f t="shared" si="76"/>
        <v/>
      </c>
      <c r="AB276" s="25" t="str">
        <f>IF($B276="","",IF($AK276&lt;=Settings!$C$22,"",IFERROR(AVERAGEIFS($K$4:$K$503,$B$4:$B$503,$B276,$AK$4:$AK$503,"&gt;="&amp;$AK276-Settings!$C$22,$AK$4:$AK$503,"&lt;="&amp;$AK276-1),"")))</f>
        <v/>
      </c>
      <c r="AC276" s="27" t="str">
        <f t="shared" si="77"/>
        <v/>
      </c>
      <c r="AD276" s="28" t="str">
        <f>IF($B276="","",IF($AK276&lt;=Settings!$C$23,"",IFERROR($E276/SUMIFS($E$4:$E$503,$B$4:$B$503,$B276,$AK$4:$AK$503,$AK276-Settings!$C$23)-1,"")))</f>
        <v/>
      </c>
      <c r="AE276" s="28" t="str">
        <f>IF($B276="","",IF($AK276&lt;=Settings!$C$22,"",IFERROR($E276/SUMIFS($E$4:$E$503,$B$4:$B$503,$B276,$AK$4:$AK$503,$AK276-Settings!$C$22)-1,"")))</f>
        <v/>
      </c>
      <c r="AF276" s="28" t="str">
        <f t="shared" si="78"/>
        <v/>
      </c>
      <c r="AG276" s="29" t="str">
        <f>IF($B276="","",ROUND((MIN(100,100*N($I276)/Settings!$C$27)+MIN(100,100*N($K276)/Settings!$C$28)+MIN(100,100*N($J276)/Settings!$C$29))/3,1))</f>
        <v/>
      </c>
      <c r="AH276" s="29" t="str">
        <f>IF($B276="","",IF(SUM(Settings!$C$32:$C$37)=0,"",ROUND((Settings!$C$32*$AO276+Settings!$C$33*$AP276+Settings!$C$34*$AQ276+Settings!$C$35*$AR276+Settings!$C$36*$AS276+Settings!$C$37*$AT276)/SUM(Settings!$C$32:$C$37),1)))</f>
        <v/>
      </c>
      <c r="AI276" s="29" t="str">
        <f>IF($B276="","",MAX(0,100-IF(N($N276)&gt;0,0,20)-IF(AND(N($L276)=0,N($M276)=0),15,0)-IF(N($J276)&gt;0,0,10)-IF(N($K276)&gt;0,0,10)-IF($Z276&lt;&gt;"",0,15)-IF($AB276&lt;&gt;"",0,10)-IF($R276="ERROR",20,IF($R276="WARNING",10,0))))</f>
        <v/>
      </c>
      <c r="AJ276" s="30" t="str">
        <f>IF($AH276="","",IF($AH276&lt;Settings!$C$46,"Extreme Sell Pressure",IF($AH276&lt;Settings!$C$47,"Sell Pressure",IF($AH276&lt;=Settings!$C$48,"Neutral",IF($AH276&lt;=Settings!$C$49,"Buy Pressure","Extreme Buy Pressure")))))</f>
        <v/>
      </c>
      <c r="AK276" s="30" t="str">
        <f t="shared" si="79"/>
        <v/>
      </c>
      <c r="AL276" s="30" t="str">
        <f t="shared" si="80"/>
        <v/>
      </c>
      <c r="AM276" s="30" t="str">
        <f t="shared" si="81"/>
        <v/>
      </c>
      <c r="AN276" s="30" t="str">
        <f t="shared" si="82"/>
        <v/>
      </c>
      <c r="AO276" s="29" t="str">
        <f>IF($B276="","",IF(AND(N($L276)=0,N($M276)=0),50,IF(N($M276)=0,100,IF(N($L276)=0,0,MEDIAN(0,100,50+50*LN($S276)/LN(Settings!$C$40))))))</f>
        <v/>
      </c>
      <c r="AP276" s="29">
        <f>IF($AA276="",50,MEDIAN(0,100,50+$AA276*100*Settings!$C$41))</f>
        <v>50</v>
      </c>
      <c r="AQ276" s="29">
        <f>IF($H276="",50,MEDIAN(0,100,50+$H276*100*Settings!$C$42))</f>
        <v>50</v>
      </c>
      <c r="AR276" s="29">
        <f>IF(OR($AC276="",$H276=""),50,MEDIAN(0,100,50+SIGN($H276)*50*MEDIAN(0,1,($AC276-1)/Settings!$C$43)))</f>
        <v>50</v>
      </c>
      <c r="AS276" s="29">
        <f>IF(OR($V276="",$W276=""),50,MEDIAN(0,100,50+50*($V276-$W276)/Settings!$C$44))</f>
        <v>50</v>
      </c>
      <c r="AT276" s="29">
        <f t="shared" si="83"/>
        <v>50</v>
      </c>
      <c r="AU276" s="30" t="str">
        <f t="shared" si="84"/>
        <v/>
      </c>
      <c r="AV276" s="87" t="str">
        <f>IF($A276="","",IF(COUNTIFS($A$4:$A276,$A276)=1,1,0))</f>
        <v/>
      </c>
    </row>
    <row r="277" spans="1:48" x14ac:dyDescent="0.3">
      <c r="A277" s="270"/>
      <c r="B277" s="271"/>
      <c r="C277" s="272"/>
      <c r="D277" s="272"/>
      <c r="E277" s="272"/>
      <c r="F277" s="272"/>
      <c r="G277" s="272"/>
      <c r="H277" s="268" t="str">
        <f t="shared" si="68"/>
        <v/>
      </c>
      <c r="I277" s="273"/>
      <c r="J277" s="273"/>
      <c r="K277" s="273"/>
      <c r="L277" s="273"/>
      <c r="M277" s="273"/>
      <c r="N277" s="273"/>
      <c r="O277" s="271"/>
      <c r="P277" s="270"/>
      <c r="Q277" s="271"/>
      <c r="R277" s="23" t="str" cm="1">
        <f t="array" ref="R277">IF($B277="","",IFERROR(IF(INDEX('Data Quality'!$U$4:$U$503,ROW()-3)=0,"PENDING",INDEX('Data Quality'!$U$4:$U$503,ROW()-3)),"PENDING"))</f>
        <v/>
      </c>
      <c r="S277" s="24" t="str">
        <f t="shared" si="69"/>
        <v/>
      </c>
      <c r="T277" s="25" t="str">
        <f t="shared" si="70"/>
        <v/>
      </c>
      <c r="U277" s="25" t="str">
        <f t="shared" si="71"/>
        <v/>
      </c>
      <c r="V277" s="26" t="str">
        <f t="shared" si="72"/>
        <v/>
      </c>
      <c r="W277" s="26" t="str">
        <f t="shared" si="73"/>
        <v/>
      </c>
      <c r="X277" s="25" t="str">
        <f t="shared" si="74"/>
        <v/>
      </c>
      <c r="Y277" s="25" t="str">
        <f t="shared" si="75"/>
        <v/>
      </c>
      <c r="Z277" s="27" t="str">
        <f>IF($B277="","",IF($AK277&lt;=Settings!$C$21,"",IFERROR(AVERAGEIFS($S$4:$S$503,$B$4:$B$503,$B277,$AK$4:$AK$503,"&gt;="&amp;$AK277-Settings!$C$21,$AK$4:$AK$503,"&lt;="&amp;$AK277-1),"")))</f>
        <v/>
      </c>
      <c r="AA277" s="28" t="str">
        <f t="shared" si="76"/>
        <v/>
      </c>
      <c r="AB277" s="25" t="str">
        <f>IF($B277="","",IF($AK277&lt;=Settings!$C$22,"",IFERROR(AVERAGEIFS($K$4:$K$503,$B$4:$B$503,$B277,$AK$4:$AK$503,"&gt;="&amp;$AK277-Settings!$C$22,$AK$4:$AK$503,"&lt;="&amp;$AK277-1),"")))</f>
        <v/>
      </c>
      <c r="AC277" s="27" t="str">
        <f t="shared" si="77"/>
        <v/>
      </c>
      <c r="AD277" s="28" t="str">
        <f>IF($B277="","",IF($AK277&lt;=Settings!$C$23,"",IFERROR($E277/SUMIFS($E$4:$E$503,$B$4:$B$503,$B277,$AK$4:$AK$503,$AK277-Settings!$C$23)-1,"")))</f>
        <v/>
      </c>
      <c r="AE277" s="28" t="str">
        <f>IF($B277="","",IF($AK277&lt;=Settings!$C$22,"",IFERROR($E277/SUMIFS($E$4:$E$503,$B$4:$B$503,$B277,$AK$4:$AK$503,$AK277-Settings!$C$22)-1,"")))</f>
        <v/>
      </c>
      <c r="AF277" s="28" t="str">
        <f t="shared" si="78"/>
        <v/>
      </c>
      <c r="AG277" s="29" t="str">
        <f>IF($B277="","",ROUND((MIN(100,100*N($I277)/Settings!$C$27)+MIN(100,100*N($K277)/Settings!$C$28)+MIN(100,100*N($J277)/Settings!$C$29))/3,1))</f>
        <v/>
      </c>
      <c r="AH277" s="29" t="str">
        <f>IF($B277="","",IF(SUM(Settings!$C$32:$C$37)=0,"",ROUND((Settings!$C$32*$AO277+Settings!$C$33*$AP277+Settings!$C$34*$AQ277+Settings!$C$35*$AR277+Settings!$C$36*$AS277+Settings!$C$37*$AT277)/SUM(Settings!$C$32:$C$37),1)))</f>
        <v/>
      </c>
      <c r="AI277" s="29" t="str">
        <f>IF($B277="","",MAX(0,100-IF(N($N277)&gt;0,0,20)-IF(AND(N($L277)=0,N($M277)=0),15,0)-IF(N($J277)&gt;0,0,10)-IF(N($K277)&gt;0,0,10)-IF($Z277&lt;&gt;"",0,15)-IF($AB277&lt;&gt;"",0,10)-IF($R277="ERROR",20,IF($R277="WARNING",10,0))))</f>
        <v/>
      </c>
      <c r="AJ277" s="30" t="str">
        <f>IF($AH277="","",IF($AH277&lt;Settings!$C$46,"Extreme Sell Pressure",IF($AH277&lt;Settings!$C$47,"Sell Pressure",IF($AH277&lt;=Settings!$C$48,"Neutral",IF($AH277&lt;=Settings!$C$49,"Buy Pressure","Extreme Buy Pressure")))))</f>
        <v/>
      </c>
      <c r="AK277" s="30" t="str">
        <f t="shared" si="79"/>
        <v/>
      </c>
      <c r="AL277" s="30" t="str">
        <f t="shared" si="80"/>
        <v/>
      </c>
      <c r="AM277" s="30" t="str">
        <f t="shared" si="81"/>
        <v/>
      </c>
      <c r="AN277" s="30" t="str">
        <f t="shared" si="82"/>
        <v/>
      </c>
      <c r="AO277" s="29" t="str">
        <f>IF($B277="","",IF(AND(N($L277)=0,N($M277)=0),50,IF(N($M277)=0,100,IF(N($L277)=0,0,MEDIAN(0,100,50+50*LN($S277)/LN(Settings!$C$40))))))</f>
        <v/>
      </c>
      <c r="AP277" s="29">
        <f>IF($AA277="",50,MEDIAN(0,100,50+$AA277*100*Settings!$C$41))</f>
        <v>50</v>
      </c>
      <c r="AQ277" s="29">
        <f>IF($H277="",50,MEDIAN(0,100,50+$H277*100*Settings!$C$42))</f>
        <v>50</v>
      </c>
      <c r="AR277" s="29">
        <f>IF(OR($AC277="",$H277=""),50,MEDIAN(0,100,50+SIGN($H277)*50*MEDIAN(0,1,($AC277-1)/Settings!$C$43)))</f>
        <v>50</v>
      </c>
      <c r="AS277" s="29">
        <f>IF(OR($V277="",$W277=""),50,MEDIAN(0,100,50+50*($V277-$W277)/Settings!$C$44))</f>
        <v>50</v>
      </c>
      <c r="AT277" s="29">
        <f t="shared" si="83"/>
        <v>50</v>
      </c>
      <c r="AU277" s="30" t="str">
        <f t="shared" si="84"/>
        <v/>
      </c>
      <c r="AV277" s="87" t="str">
        <f>IF($A277="","",IF(COUNTIFS($A$4:$A277,$A277)=1,1,0))</f>
        <v/>
      </c>
    </row>
    <row r="278" spans="1:48" x14ac:dyDescent="0.3">
      <c r="A278" s="270"/>
      <c r="B278" s="271"/>
      <c r="C278" s="272"/>
      <c r="D278" s="272"/>
      <c r="E278" s="272"/>
      <c r="F278" s="272"/>
      <c r="G278" s="272"/>
      <c r="H278" s="268" t="str">
        <f t="shared" si="68"/>
        <v/>
      </c>
      <c r="I278" s="273"/>
      <c r="J278" s="273"/>
      <c r="K278" s="273"/>
      <c r="L278" s="273"/>
      <c r="M278" s="273"/>
      <c r="N278" s="273"/>
      <c r="O278" s="271"/>
      <c r="P278" s="270"/>
      <c r="Q278" s="271"/>
      <c r="R278" s="23" t="str" cm="1">
        <f t="array" ref="R278">IF($B278="","",IFERROR(IF(INDEX('Data Quality'!$U$4:$U$503,ROW()-3)=0,"PENDING",INDEX('Data Quality'!$U$4:$U$503,ROW()-3)),"PENDING"))</f>
        <v/>
      </c>
      <c r="S278" s="24" t="str">
        <f t="shared" si="69"/>
        <v/>
      </c>
      <c r="T278" s="25" t="str">
        <f t="shared" si="70"/>
        <v/>
      </c>
      <c r="U278" s="25" t="str">
        <f t="shared" si="71"/>
        <v/>
      </c>
      <c r="V278" s="26" t="str">
        <f t="shared" si="72"/>
        <v/>
      </c>
      <c r="W278" s="26" t="str">
        <f t="shared" si="73"/>
        <v/>
      </c>
      <c r="X278" s="25" t="str">
        <f t="shared" si="74"/>
        <v/>
      </c>
      <c r="Y278" s="25" t="str">
        <f t="shared" si="75"/>
        <v/>
      </c>
      <c r="Z278" s="27" t="str">
        <f>IF($B278="","",IF($AK278&lt;=Settings!$C$21,"",IFERROR(AVERAGEIFS($S$4:$S$503,$B$4:$B$503,$B278,$AK$4:$AK$503,"&gt;="&amp;$AK278-Settings!$C$21,$AK$4:$AK$503,"&lt;="&amp;$AK278-1),"")))</f>
        <v/>
      </c>
      <c r="AA278" s="28" t="str">
        <f t="shared" si="76"/>
        <v/>
      </c>
      <c r="AB278" s="25" t="str">
        <f>IF($B278="","",IF($AK278&lt;=Settings!$C$22,"",IFERROR(AVERAGEIFS($K$4:$K$503,$B$4:$B$503,$B278,$AK$4:$AK$503,"&gt;="&amp;$AK278-Settings!$C$22,$AK$4:$AK$503,"&lt;="&amp;$AK278-1),"")))</f>
        <v/>
      </c>
      <c r="AC278" s="27" t="str">
        <f t="shared" si="77"/>
        <v/>
      </c>
      <c r="AD278" s="28" t="str">
        <f>IF($B278="","",IF($AK278&lt;=Settings!$C$23,"",IFERROR($E278/SUMIFS($E$4:$E$503,$B$4:$B$503,$B278,$AK$4:$AK$503,$AK278-Settings!$C$23)-1,"")))</f>
        <v/>
      </c>
      <c r="AE278" s="28" t="str">
        <f>IF($B278="","",IF($AK278&lt;=Settings!$C$22,"",IFERROR($E278/SUMIFS($E$4:$E$503,$B$4:$B$503,$B278,$AK$4:$AK$503,$AK278-Settings!$C$22)-1,"")))</f>
        <v/>
      </c>
      <c r="AF278" s="28" t="str">
        <f t="shared" si="78"/>
        <v/>
      </c>
      <c r="AG278" s="29" t="str">
        <f>IF($B278="","",ROUND((MIN(100,100*N($I278)/Settings!$C$27)+MIN(100,100*N($K278)/Settings!$C$28)+MIN(100,100*N($J278)/Settings!$C$29))/3,1))</f>
        <v/>
      </c>
      <c r="AH278" s="29" t="str">
        <f>IF($B278="","",IF(SUM(Settings!$C$32:$C$37)=0,"",ROUND((Settings!$C$32*$AO278+Settings!$C$33*$AP278+Settings!$C$34*$AQ278+Settings!$C$35*$AR278+Settings!$C$36*$AS278+Settings!$C$37*$AT278)/SUM(Settings!$C$32:$C$37),1)))</f>
        <v/>
      </c>
      <c r="AI278" s="29" t="str">
        <f>IF($B278="","",MAX(0,100-IF(N($N278)&gt;0,0,20)-IF(AND(N($L278)=0,N($M278)=0),15,0)-IF(N($J278)&gt;0,0,10)-IF(N($K278)&gt;0,0,10)-IF($Z278&lt;&gt;"",0,15)-IF($AB278&lt;&gt;"",0,10)-IF($R278="ERROR",20,IF($R278="WARNING",10,0))))</f>
        <v/>
      </c>
      <c r="AJ278" s="30" t="str">
        <f>IF($AH278="","",IF($AH278&lt;Settings!$C$46,"Extreme Sell Pressure",IF($AH278&lt;Settings!$C$47,"Sell Pressure",IF($AH278&lt;=Settings!$C$48,"Neutral",IF($AH278&lt;=Settings!$C$49,"Buy Pressure","Extreme Buy Pressure")))))</f>
        <v/>
      </c>
      <c r="AK278" s="30" t="str">
        <f t="shared" si="79"/>
        <v/>
      </c>
      <c r="AL278" s="30" t="str">
        <f t="shared" si="80"/>
        <v/>
      </c>
      <c r="AM278" s="30" t="str">
        <f t="shared" si="81"/>
        <v/>
      </c>
      <c r="AN278" s="30" t="str">
        <f t="shared" si="82"/>
        <v/>
      </c>
      <c r="AO278" s="29" t="str">
        <f>IF($B278="","",IF(AND(N($L278)=0,N($M278)=0),50,IF(N($M278)=0,100,IF(N($L278)=0,0,MEDIAN(0,100,50+50*LN($S278)/LN(Settings!$C$40))))))</f>
        <v/>
      </c>
      <c r="AP278" s="29">
        <f>IF($AA278="",50,MEDIAN(0,100,50+$AA278*100*Settings!$C$41))</f>
        <v>50</v>
      </c>
      <c r="AQ278" s="29">
        <f>IF($H278="",50,MEDIAN(0,100,50+$H278*100*Settings!$C$42))</f>
        <v>50</v>
      </c>
      <c r="AR278" s="29">
        <f>IF(OR($AC278="",$H278=""),50,MEDIAN(0,100,50+SIGN($H278)*50*MEDIAN(0,1,($AC278-1)/Settings!$C$43)))</f>
        <v>50</v>
      </c>
      <c r="AS278" s="29">
        <f>IF(OR($V278="",$W278=""),50,MEDIAN(0,100,50+50*($V278-$W278)/Settings!$C$44))</f>
        <v>50</v>
      </c>
      <c r="AT278" s="29">
        <f t="shared" si="83"/>
        <v>50</v>
      </c>
      <c r="AU278" s="30" t="str">
        <f t="shared" si="84"/>
        <v/>
      </c>
      <c r="AV278" s="87" t="str">
        <f>IF($A278="","",IF(COUNTIFS($A$4:$A278,$A278)=1,1,0))</f>
        <v/>
      </c>
    </row>
    <row r="279" spans="1:48" x14ac:dyDescent="0.3">
      <c r="A279" s="270"/>
      <c r="B279" s="271"/>
      <c r="C279" s="272"/>
      <c r="D279" s="272"/>
      <c r="E279" s="272"/>
      <c r="F279" s="272"/>
      <c r="G279" s="272"/>
      <c r="H279" s="268" t="str">
        <f t="shared" si="68"/>
        <v/>
      </c>
      <c r="I279" s="273"/>
      <c r="J279" s="273"/>
      <c r="K279" s="273"/>
      <c r="L279" s="273"/>
      <c r="M279" s="273"/>
      <c r="N279" s="273"/>
      <c r="O279" s="271"/>
      <c r="P279" s="270"/>
      <c r="Q279" s="271"/>
      <c r="R279" s="23" t="str" cm="1">
        <f t="array" ref="R279">IF($B279="","",IFERROR(IF(INDEX('Data Quality'!$U$4:$U$503,ROW()-3)=0,"PENDING",INDEX('Data Quality'!$U$4:$U$503,ROW()-3)),"PENDING"))</f>
        <v/>
      </c>
      <c r="S279" s="24" t="str">
        <f t="shared" si="69"/>
        <v/>
      </c>
      <c r="T279" s="25" t="str">
        <f t="shared" si="70"/>
        <v/>
      </c>
      <c r="U279" s="25" t="str">
        <f t="shared" si="71"/>
        <v/>
      </c>
      <c r="V279" s="26" t="str">
        <f t="shared" si="72"/>
        <v/>
      </c>
      <c r="W279" s="26" t="str">
        <f t="shared" si="73"/>
        <v/>
      </c>
      <c r="X279" s="25" t="str">
        <f t="shared" si="74"/>
        <v/>
      </c>
      <c r="Y279" s="25" t="str">
        <f t="shared" si="75"/>
        <v/>
      </c>
      <c r="Z279" s="27" t="str">
        <f>IF($B279="","",IF($AK279&lt;=Settings!$C$21,"",IFERROR(AVERAGEIFS($S$4:$S$503,$B$4:$B$503,$B279,$AK$4:$AK$503,"&gt;="&amp;$AK279-Settings!$C$21,$AK$4:$AK$503,"&lt;="&amp;$AK279-1),"")))</f>
        <v/>
      </c>
      <c r="AA279" s="28" t="str">
        <f t="shared" si="76"/>
        <v/>
      </c>
      <c r="AB279" s="25" t="str">
        <f>IF($B279="","",IF($AK279&lt;=Settings!$C$22,"",IFERROR(AVERAGEIFS($K$4:$K$503,$B$4:$B$503,$B279,$AK$4:$AK$503,"&gt;="&amp;$AK279-Settings!$C$22,$AK$4:$AK$503,"&lt;="&amp;$AK279-1),"")))</f>
        <v/>
      </c>
      <c r="AC279" s="27" t="str">
        <f t="shared" si="77"/>
        <v/>
      </c>
      <c r="AD279" s="28" t="str">
        <f>IF($B279="","",IF($AK279&lt;=Settings!$C$23,"",IFERROR($E279/SUMIFS($E$4:$E$503,$B$4:$B$503,$B279,$AK$4:$AK$503,$AK279-Settings!$C$23)-1,"")))</f>
        <v/>
      </c>
      <c r="AE279" s="28" t="str">
        <f>IF($B279="","",IF($AK279&lt;=Settings!$C$22,"",IFERROR($E279/SUMIFS($E$4:$E$503,$B$4:$B$503,$B279,$AK$4:$AK$503,$AK279-Settings!$C$22)-1,"")))</f>
        <v/>
      </c>
      <c r="AF279" s="28" t="str">
        <f t="shared" si="78"/>
        <v/>
      </c>
      <c r="AG279" s="29" t="str">
        <f>IF($B279="","",ROUND((MIN(100,100*N($I279)/Settings!$C$27)+MIN(100,100*N($K279)/Settings!$C$28)+MIN(100,100*N($J279)/Settings!$C$29))/3,1))</f>
        <v/>
      </c>
      <c r="AH279" s="29" t="str">
        <f>IF($B279="","",IF(SUM(Settings!$C$32:$C$37)=0,"",ROUND((Settings!$C$32*$AO279+Settings!$C$33*$AP279+Settings!$C$34*$AQ279+Settings!$C$35*$AR279+Settings!$C$36*$AS279+Settings!$C$37*$AT279)/SUM(Settings!$C$32:$C$37),1)))</f>
        <v/>
      </c>
      <c r="AI279" s="29" t="str">
        <f>IF($B279="","",MAX(0,100-IF(N($N279)&gt;0,0,20)-IF(AND(N($L279)=0,N($M279)=0),15,0)-IF(N($J279)&gt;0,0,10)-IF(N($K279)&gt;0,0,10)-IF($Z279&lt;&gt;"",0,15)-IF($AB279&lt;&gt;"",0,10)-IF($R279="ERROR",20,IF($R279="WARNING",10,0))))</f>
        <v/>
      </c>
      <c r="AJ279" s="30" t="str">
        <f>IF($AH279="","",IF($AH279&lt;Settings!$C$46,"Extreme Sell Pressure",IF($AH279&lt;Settings!$C$47,"Sell Pressure",IF($AH279&lt;=Settings!$C$48,"Neutral",IF($AH279&lt;=Settings!$C$49,"Buy Pressure","Extreme Buy Pressure")))))</f>
        <v/>
      </c>
      <c r="AK279" s="30" t="str">
        <f t="shared" si="79"/>
        <v/>
      </c>
      <c r="AL279" s="30" t="str">
        <f t="shared" si="80"/>
        <v/>
      </c>
      <c r="AM279" s="30" t="str">
        <f t="shared" si="81"/>
        <v/>
      </c>
      <c r="AN279" s="30" t="str">
        <f t="shared" si="82"/>
        <v/>
      </c>
      <c r="AO279" s="29" t="str">
        <f>IF($B279="","",IF(AND(N($L279)=0,N($M279)=0),50,IF(N($M279)=0,100,IF(N($L279)=0,0,MEDIAN(0,100,50+50*LN($S279)/LN(Settings!$C$40))))))</f>
        <v/>
      </c>
      <c r="AP279" s="29">
        <f>IF($AA279="",50,MEDIAN(0,100,50+$AA279*100*Settings!$C$41))</f>
        <v>50</v>
      </c>
      <c r="AQ279" s="29">
        <f>IF($H279="",50,MEDIAN(0,100,50+$H279*100*Settings!$C$42))</f>
        <v>50</v>
      </c>
      <c r="AR279" s="29">
        <f>IF(OR($AC279="",$H279=""),50,MEDIAN(0,100,50+SIGN($H279)*50*MEDIAN(0,1,($AC279-1)/Settings!$C$43)))</f>
        <v>50</v>
      </c>
      <c r="AS279" s="29">
        <f>IF(OR($V279="",$W279=""),50,MEDIAN(0,100,50+50*($V279-$W279)/Settings!$C$44))</f>
        <v>50</v>
      </c>
      <c r="AT279" s="29">
        <f t="shared" si="83"/>
        <v>50</v>
      </c>
      <c r="AU279" s="30" t="str">
        <f t="shared" si="84"/>
        <v/>
      </c>
      <c r="AV279" s="87" t="str">
        <f>IF($A279="","",IF(COUNTIFS($A$4:$A279,$A279)=1,1,0))</f>
        <v/>
      </c>
    </row>
    <row r="280" spans="1:48" x14ac:dyDescent="0.3">
      <c r="A280" s="270"/>
      <c r="B280" s="271"/>
      <c r="C280" s="272"/>
      <c r="D280" s="272"/>
      <c r="E280" s="272"/>
      <c r="F280" s="272"/>
      <c r="G280" s="272"/>
      <c r="H280" s="268" t="str">
        <f t="shared" si="68"/>
        <v/>
      </c>
      <c r="I280" s="273"/>
      <c r="J280" s="273"/>
      <c r="K280" s="273"/>
      <c r="L280" s="273"/>
      <c r="M280" s="273"/>
      <c r="N280" s="273"/>
      <c r="O280" s="271"/>
      <c r="P280" s="270"/>
      <c r="Q280" s="271"/>
      <c r="R280" s="23" t="str" cm="1">
        <f t="array" ref="R280">IF($B280="","",IFERROR(IF(INDEX('Data Quality'!$U$4:$U$503,ROW()-3)=0,"PENDING",INDEX('Data Quality'!$U$4:$U$503,ROW()-3)),"PENDING"))</f>
        <v/>
      </c>
      <c r="S280" s="24" t="str">
        <f t="shared" si="69"/>
        <v/>
      </c>
      <c r="T280" s="25" t="str">
        <f t="shared" si="70"/>
        <v/>
      </c>
      <c r="U280" s="25" t="str">
        <f t="shared" si="71"/>
        <v/>
      </c>
      <c r="V280" s="26" t="str">
        <f t="shared" si="72"/>
        <v/>
      </c>
      <c r="W280" s="26" t="str">
        <f t="shared" si="73"/>
        <v/>
      </c>
      <c r="X280" s="25" t="str">
        <f t="shared" si="74"/>
        <v/>
      </c>
      <c r="Y280" s="25" t="str">
        <f t="shared" si="75"/>
        <v/>
      </c>
      <c r="Z280" s="27" t="str">
        <f>IF($B280="","",IF($AK280&lt;=Settings!$C$21,"",IFERROR(AVERAGEIFS($S$4:$S$503,$B$4:$B$503,$B280,$AK$4:$AK$503,"&gt;="&amp;$AK280-Settings!$C$21,$AK$4:$AK$503,"&lt;="&amp;$AK280-1),"")))</f>
        <v/>
      </c>
      <c r="AA280" s="28" t="str">
        <f t="shared" si="76"/>
        <v/>
      </c>
      <c r="AB280" s="25" t="str">
        <f>IF($B280="","",IF($AK280&lt;=Settings!$C$22,"",IFERROR(AVERAGEIFS($K$4:$K$503,$B$4:$B$503,$B280,$AK$4:$AK$503,"&gt;="&amp;$AK280-Settings!$C$22,$AK$4:$AK$503,"&lt;="&amp;$AK280-1),"")))</f>
        <v/>
      </c>
      <c r="AC280" s="27" t="str">
        <f t="shared" si="77"/>
        <v/>
      </c>
      <c r="AD280" s="28" t="str">
        <f>IF($B280="","",IF($AK280&lt;=Settings!$C$23,"",IFERROR($E280/SUMIFS($E$4:$E$503,$B$4:$B$503,$B280,$AK$4:$AK$503,$AK280-Settings!$C$23)-1,"")))</f>
        <v/>
      </c>
      <c r="AE280" s="28" t="str">
        <f>IF($B280="","",IF($AK280&lt;=Settings!$C$22,"",IFERROR($E280/SUMIFS($E$4:$E$503,$B$4:$B$503,$B280,$AK$4:$AK$503,$AK280-Settings!$C$22)-1,"")))</f>
        <v/>
      </c>
      <c r="AF280" s="28" t="str">
        <f t="shared" si="78"/>
        <v/>
      </c>
      <c r="AG280" s="29" t="str">
        <f>IF($B280="","",ROUND((MIN(100,100*N($I280)/Settings!$C$27)+MIN(100,100*N($K280)/Settings!$C$28)+MIN(100,100*N($J280)/Settings!$C$29))/3,1))</f>
        <v/>
      </c>
      <c r="AH280" s="29" t="str">
        <f>IF($B280="","",IF(SUM(Settings!$C$32:$C$37)=0,"",ROUND((Settings!$C$32*$AO280+Settings!$C$33*$AP280+Settings!$C$34*$AQ280+Settings!$C$35*$AR280+Settings!$C$36*$AS280+Settings!$C$37*$AT280)/SUM(Settings!$C$32:$C$37),1)))</f>
        <v/>
      </c>
      <c r="AI280" s="29" t="str">
        <f>IF($B280="","",MAX(0,100-IF(N($N280)&gt;0,0,20)-IF(AND(N($L280)=0,N($M280)=0),15,0)-IF(N($J280)&gt;0,0,10)-IF(N($K280)&gt;0,0,10)-IF($Z280&lt;&gt;"",0,15)-IF($AB280&lt;&gt;"",0,10)-IF($R280="ERROR",20,IF($R280="WARNING",10,0))))</f>
        <v/>
      </c>
      <c r="AJ280" s="30" t="str">
        <f>IF($AH280="","",IF($AH280&lt;Settings!$C$46,"Extreme Sell Pressure",IF($AH280&lt;Settings!$C$47,"Sell Pressure",IF($AH280&lt;=Settings!$C$48,"Neutral",IF($AH280&lt;=Settings!$C$49,"Buy Pressure","Extreme Buy Pressure")))))</f>
        <v/>
      </c>
      <c r="AK280" s="30" t="str">
        <f t="shared" si="79"/>
        <v/>
      </c>
      <c r="AL280" s="30" t="str">
        <f t="shared" si="80"/>
        <v/>
      </c>
      <c r="AM280" s="30" t="str">
        <f t="shared" si="81"/>
        <v/>
      </c>
      <c r="AN280" s="30" t="str">
        <f t="shared" si="82"/>
        <v/>
      </c>
      <c r="AO280" s="29" t="str">
        <f>IF($B280="","",IF(AND(N($L280)=0,N($M280)=0),50,IF(N($M280)=0,100,IF(N($L280)=0,0,MEDIAN(0,100,50+50*LN($S280)/LN(Settings!$C$40))))))</f>
        <v/>
      </c>
      <c r="AP280" s="29">
        <f>IF($AA280="",50,MEDIAN(0,100,50+$AA280*100*Settings!$C$41))</f>
        <v>50</v>
      </c>
      <c r="AQ280" s="29">
        <f>IF($H280="",50,MEDIAN(0,100,50+$H280*100*Settings!$C$42))</f>
        <v>50</v>
      </c>
      <c r="AR280" s="29">
        <f>IF(OR($AC280="",$H280=""),50,MEDIAN(0,100,50+SIGN($H280)*50*MEDIAN(0,1,($AC280-1)/Settings!$C$43)))</f>
        <v>50</v>
      </c>
      <c r="AS280" s="29">
        <f>IF(OR($V280="",$W280=""),50,MEDIAN(0,100,50+50*($V280-$W280)/Settings!$C$44))</f>
        <v>50</v>
      </c>
      <c r="AT280" s="29">
        <f t="shared" si="83"/>
        <v>50</v>
      </c>
      <c r="AU280" s="30" t="str">
        <f t="shared" si="84"/>
        <v/>
      </c>
      <c r="AV280" s="87" t="str">
        <f>IF($A280="","",IF(COUNTIFS($A$4:$A280,$A280)=1,1,0))</f>
        <v/>
      </c>
    </row>
    <row r="281" spans="1:48" x14ac:dyDescent="0.3">
      <c r="A281" s="270"/>
      <c r="B281" s="271"/>
      <c r="C281" s="272"/>
      <c r="D281" s="272"/>
      <c r="E281" s="272"/>
      <c r="F281" s="272"/>
      <c r="G281" s="272"/>
      <c r="H281" s="268" t="str">
        <f t="shared" si="68"/>
        <v/>
      </c>
      <c r="I281" s="273"/>
      <c r="J281" s="273"/>
      <c r="K281" s="273"/>
      <c r="L281" s="273"/>
      <c r="M281" s="273"/>
      <c r="N281" s="273"/>
      <c r="O281" s="271"/>
      <c r="P281" s="270"/>
      <c r="Q281" s="271"/>
      <c r="R281" s="23" t="str" cm="1">
        <f t="array" ref="R281">IF($B281="","",IFERROR(IF(INDEX('Data Quality'!$U$4:$U$503,ROW()-3)=0,"PENDING",INDEX('Data Quality'!$U$4:$U$503,ROW()-3)),"PENDING"))</f>
        <v/>
      </c>
      <c r="S281" s="24" t="str">
        <f t="shared" si="69"/>
        <v/>
      </c>
      <c r="T281" s="25" t="str">
        <f t="shared" si="70"/>
        <v/>
      </c>
      <c r="U281" s="25" t="str">
        <f t="shared" si="71"/>
        <v/>
      </c>
      <c r="V281" s="26" t="str">
        <f t="shared" si="72"/>
        <v/>
      </c>
      <c r="W281" s="26" t="str">
        <f t="shared" si="73"/>
        <v/>
      </c>
      <c r="X281" s="25" t="str">
        <f t="shared" si="74"/>
        <v/>
      </c>
      <c r="Y281" s="25" t="str">
        <f t="shared" si="75"/>
        <v/>
      </c>
      <c r="Z281" s="27" t="str">
        <f>IF($B281="","",IF($AK281&lt;=Settings!$C$21,"",IFERROR(AVERAGEIFS($S$4:$S$503,$B$4:$B$503,$B281,$AK$4:$AK$503,"&gt;="&amp;$AK281-Settings!$C$21,$AK$4:$AK$503,"&lt;="&amp;$AK281-1),"")))</f>
        <v/>
      </c>
      <c r="AA281" s="28" t="str">
        <f t="shared" si="76"/>
        <v/>
      </c>
      <c r="AB281" s="25" t="str">
        <f>IF($B281="","",IF($AK281&lt;=Settings!$C$22,"",IFERROR(AVERAGEIFS($K$4:$K$503,$B$4:$B$503,$B281,$AK$4:$AK$503,"&gt;="&amp;$AK281-Settings!$C$22,$AK$4:$AK$503,"&lt;="&amp;$AK281-1),"")))</f>
        <v/>
      </c>
      <c r="AC281" s="27" t="str">
        <f t="shared" si="77"/>
        <v/>
      </c>
      <c r="AD281" s="28" t="str">
        <f>IF($B281="","",IF($AK281&lt;=Settings!$C$23,"",IFERROR($E281/SUMIFS($E$4:$E$503,$B$4:$B$503,$B281,$AK$4:$AK$503,$AK281-Settings!$C$23)-1,"")))</f>
        <v/>
      </c>
      <c r="AE281" s="28" t="str">
        <f>IF($B281="","",IF($AK281&lt;=Settings!$C$22,"",IFERROR($E281/SUMIFS($E$4:$E$503,$B$4:$B$503,$B281,$AK$4:$AK$503,$AK281-Settings!$C$22)-1,"")))</f>
        <v/>
      </c>
      <c r="AF281" s="28" t="str">
        <f t="shared" si="78"/>
        <v/>
      </c>
      <c r="AG281" s="29" t="str">
        <f>IF($B281="","",ROUND((MIN(100,100*N($I281)/Settings!$C$27)+MIN(100,100*N($K281)/Settings!$C$28)+MIN(100,100*N($J281)/Settings!$C$29))/3,1))</f>
        <v/>
      </c>
      <c r="AH281" s="29" t="str">
        <f>IF($B281="","",IF(SUM(Settings!$C$32:$C$37)=0,"",ROUND((Settings!$C$32*$AO281+Settings!$C$33*$AP281+Settings!$C$34*$AQ281+Settings!$C$35*$AR281+Settings!$C$36*$AS281+Settings!$C$37*$AT281)/SUM(Settings!$C$32:$C$37),1)))</f>
        <v/>
      </c>
      <c r="AI281" s="29" t="str">
        <f>IF($B281="","",MAX(0,100-IF(N($N281)&gt;0,0,20)-IF(AND(N($L281)=0,N($M281)=0),15,0)-IF(N($J281)&gt;0,0,10)-IF(N($K281)&gt;0,0,10)-IF($Z281&lt;&gt;"",0,15)-IF($AB281&lt;&gt;"",0,10)-IF($R281="ERROR",20,IF($R281="WARNING",10,0))))</f>
        <v/>
      </c>
      <c r="AJ281" s="30" t="str">
        <f>IF($AH281="","",IF($AH281&lt;Settings!$C$46,"Extreme Sell Pressure",IF($AH281&lt;Settings!$C$47,"Sell Pressure",IF($AH281&lt;=Settings!$C$48,"Neutral",IF($AH281&lt;=Settings!$C$49,"Buy Pressure","Extreme Buy Pressure")))))</f>
        <v/>
      </c>
      <c r="AK281" s="30" t="str">
        <f t="shared" si="79"/>
        <v/>
      </c>
      <c r="AL281" s="30" t="str">
        <f t="shared" si="80"/>
        <v/>
      </c>
      <c r="AM281" s="30" t="str">
        <f t="shared" si="81"/>
        <v/>
      </c>
      <c r="AN281" s="30" t="str">
        <f t="shared" si="82"/>
        <v/>
      </c>
      <c r="AO281" s="29" t="str">
        <f>IF($B281="","",IF(AND(N($L281)=0,N($M281)=0),50,IF(N($M281)=0,100,IF(N($L281)=0,0,MEDIAN(0,100,50+50*LN($S281)/LN(Settings!$C$40))))))</f>
        <v/>
      </c>
      <c r="AP281" s="29">
        <f>IF($AA281="",50,MEDIAN(0,100,50+$AA281*100*Settings!$C$41))</f>
        <v>50</v>
      </c>
      <c r="AQ281" s="29">
        <f>IF($H281="",50,MEDIAN(0,100,50+$H281*100*Settings!$C$42))</f>
        <v>50</v>
      </c>
      <c r="AR281" s="29">
        <f>IF(OR($AC281="",$H281=""),50,MEDIAN(0,100,50+SIGN($H281)*50*MEDIAN(0,1,($AC281-1)/Settings!$C$43)))</f>
        <v>50</v>
      </c>
      <c r="AS281" s="29">
        <f>IF(OR($V281="",$W281=""),50,MEDIAN(0,100,50+50*($V281-$W281)/Settings!$C$44))</f>
        <v>50</v>
      </c>
      <c r="AT281" s="29">
        <f t="shared" si="83"/>
        <v>50</v>
      </c>
      <c r="AU281" s="30" t="str">
        <f t="shared" si="84"/>
        <v/>
      </c>
      <c r="AV281" s="87" t="str">
        <f>IF($A281="","",IF(COUNTIFS($A$4:$A281,$A281)=1,1,0))</f>
        <v/>
      </c>
    </row>
    <row r="282" spans="1:48" x14ac:dyDescent="0.3">
      <c r="A282" s="270"/>
      <c r="B282" s="271"/>
      <c r="C282" s="272"/>
      <c r="D282" s="272"/>
      <c r="E282" s="272"/>
      <c r="F282" s="272"/>
      <c r="G282" s="272"/>
      <c r="H282" s="268" t="str">
        <f t="shared" si="68"/>
        <v/>
      </c>
      <c r="I282" s="273"/>
      <c r="J282" s="273"/>
      <c r="K282" s="273"/>
      <c r="L282" s="273"/>
      <c r="M282" s="273"/>
      <c r="N282" s="273"/>
      <c r="O282" s="271"/>
      <c r="P282" s="270"/>
      <c r="Q282" s="271"/>
      <c r="R282" s="23" t="str" cm="1">
        <f t="array" ref="R282">IF($B282="","",IFERROR(IF(INDEX('Data Quality'!$U$4:$U$503,ROW()-3)=0,"PENDING",INDEX('Data Quality'!$U$4:$U$503,ROW()-3)),"PENDING"))</f>
        <v/>
      </c>
      <c r="S282" s="24" t="str">
        <f t="shared" si="69"/>
        <v/>
      </c>
      <c r="T282" s="25" t="str">
        <f t="shared" si="70"/>
        <v/>
      </c>
      <c r="U282" s="25" t="str">
        <f t="shared" si="71"/>
        <v/>
      </c>
      <c r="V282" s="26" t="str">
        <f t="shared" si="72"/>
        <v/>
      </c>
      <c r="W282" s="26" t="str">
        <f t="shared" si="73"/>
        <v/>
      </c>
      <c r="X282" s="25" t="str">
        <f t="shared" si="74"/>
        <v/>
      </c>
      <c r="Y282" s="25" t="str">
        <f t="shared" si="75"/>
        <v/>
      </c>
      <c r="Z282" s="27" t="str">
        <f>IF($B282="","",IF($AK282&lt;=Settings!$C$21,"",IFERROR(AVERAGEIFS($S$4:$S$503,$B$4:$B$503,$B282,$AK$4:$AK$503,"&gt;="&amp;$AK282-Settings!$C$21,$AK$4:$AK$503,"&lt;="&amp;$AK282-1),"")))</f>
        <v/>
      </c>
      <c r="AA282" s="28" t="str">
        <f t="shared" si="76"/>
        <v/>
      </c>
      <c r="AB282" s="25" t="str">
        <f>IF($B282="","",IF($AK282&lt;=Settings!$C$22,"",IFERROR(AVERAGEIFS($K$4:$K$503,$B$4:$B$503,$B282,$AK$4:$AK$503,"&gt;="&amp;$AK282-Settings!$C$22,$AK$4:$AK$503,"&lt;="&amp;$AK282-1),"")))</f>
        <v/>
      </c>
      <c r="AC282" s="27" t="str">
        <f t="shared" si="77"/>
        <v/>
      </c>
      <c r="AD282" s="28" t="str">
        <f>IF($B282="","",IF($AK282&lt;=Settings!$C$23,"",IFERROR($E282/SUMIFS($E$4:$E$503,$B$4:$B$503,$B282,$AK$4:$AK$503,$AK282-Settings!$C$23)-1,"")))</f>
        <v/>
      </c>
      <c r="AE282" s="28" t="str">
        <f>IF($B282="","",IF($AK282&lt;=Settings!$C$22,"",IFERROR($E282/SUMIFS($E$4:$E$503,$B$4:$B$503,$B282,$AK$4:$AK$503,$AK282-Settings!$C$22)-1,"")))</f>
        <v/>
      </c>
      <c r="AF282" s="28" t="str">
        <f t="shared" si="78"/>
        <v/>
      </c>
      <c r="AG282" s="29" t="str">
        <f>IF($B282="","",ROUND((MIN(100,100*N($I282)/Settings!$C$27)+MIN(100,100*N($K282)/Settings!$C$28)+MIN(100,100*N($J282)/Settings!$C$29))/3,1))</f>
        <v/>
      </c>
      <c r="AH282" s="29" t="str">
        <f>IF($B282="","",IF(SUM(Settings!$C$32:$C$37)=0,"",ROUND((Settings!$C$32*$AO282+Settings!$C$33*$AP282+Settings!$C$34*$AQ282+Settings!$C$35*$AR282+Settings!$C$36*$AS282+Settings!$C$37*$AT282)/SUM(Settings!$C$32:$C$37),1)))</f>
        <v/>
      </c>
      <c r="AI282" s="29" t="str">
        <f>IF($B282="","",MAX(0,100-IF(N($N282)&gt;0,0,20)-IF(AND(N($L282)=0,N($M282)=0),15,0)-IF(N($J282)&gt;0,0,10)-IF(N($K282)&gt;0,0,10)-IF($Z282&lt;&gt;"",0,15)-IF($AB282&lt;&gt;"",0,10)-IF($R282="ERROR",20,IF($R282="WARNING",10,0))))</f>
        <v/>
      </c>
      <c r="AJ282" s="30" t="str">
        <f>IF($AH282="","",IF($AH282&lt;Settings!$C$46,"Extreme Sell Pressure",IF($AH282&lt;Settings!$C$47,"Sell Pressure",IF($AH282&lt;=Settings!$C$48,"Neutral",IF($AH282&lt;=Settings!$C$49,"Buy Pressure","Extreme Buy Pressure")))))</f>
        <v/>
      </c>
      <c r="AK282" s="30" t="str">
        <f t="shared" si="79"/>
        <v/>
      </c>
      <c r="AL282" s="30" t="str">
        <f t="shared" si="80"/>
        <v/>
      </c>
      <c r="AM282" s="30" t="str">
        <f t="shared" si="81"/>
        <v/>
      </c>
      <c r="AN282" s="30" t="str">
        <f t="shared" si="82"/>
        <v/>
      </c>
      <c r="AO282" s="29" t="str">
        <f>IF($B282="","",IF(AND(N($L282)=0,N($M282)=0),50,IF(N($M282)=0,100,IF(N($L282)=0,0,MEDIAN(0,100,50+50*LN($S282)/LN(Settings!$C$40))))))</f>
        <v/>
      </c>
      <c r="AP282" s="29">
        <f>IF($AA282="",50,MEDIAN(0,100,50+$AA282*100*Settings!$C$41))</f>
        <v>50</v>
      </c>
      <c r="AQ282" s="29">
        <f>IF($H282="",50,MEDIAN(0,100,50+$H282*100*Settings!$C$42))</f>
        <v>50</v>
      </c>
      <c r="AR282" s="29">
        <f>IF(OR($AC282="",$H282=""),50,MEDIAN(0,100,50+SIGN($H282)*50*MEDIAN(0,1,($AC282-1)/Settings!$C$43)))</f>
        <v>50</v>
      </c>
      <c r="AS282" s="29">
        <f>IF(OR($V282="",$W282=""),50,MEDIAN(0,100,50+50*($V282-$W282)/Settings!$C$44))</f>
        <v>50</v>
      </c>
      <c r="AT282" s="29">
        <f t="shared" si="83"/>
        <v>50</v>
      </c>
      <c r="AU282" s="30" t="str">
        <f t="shared" si="84"/>
        <v/>
      </c>
      <c r="AV282" s="87" t="str">
        <f>IF($A282="","",IF(COUNTIFS($A$4:$A282,$A282)=1,1,0))</f>
        <v/>
      </c>
    </row>
    <row r="283" spans="1:48" x14ac:dyDescent="0.3">
      <c r="A283" s="270"/>
      <c r="B283" s="271"/>
      <c r="C283" s="272"/>
      <c r="D283" s="272"/>
      <c r="E283" s="272"/>
      <c r="F283" s="272"/>
      <c r="G283" s="272"/>
      <c r="H283" s="268" t="str">
        <f t="shared" si="68"/>
        <v/>
      </c>
      <c r="I283" s="273"/>
      <c r="J283" s="273"/>
      <c r="K283" s="273"/>
      <c r="L283" s="273"/>
      <c r="M283" s="273"/>
      <c r="N283" s="273"/>
      <c r="O283" s="271"/>
      <c r="P283" s="270"/>
      <c r="Q283" s="271"/>
      <c r="R283" s="23" t="str" cm="1">
        <f t="array" ref="R283">IF($B283="","",IFERROR(IF(INDEX('Data Quality'!$U$4:$U$503,ROW()-3)=0,"PENDING",INDEX('Data Quality'!$U$4:$U$503,ROW()-3)),"PENDING"))</f>
        <v/>
      </c>
      <c r="S283" s="24" t="str">
        <f t="shared" si="69"/>
        <v/>
      </c>
      <c r="T283" s="25" t="str">
        <f t="shared" si="70"/>
        <v/>
      </c>
      <c r="U283" s="25" t="str">
        <f t="shared" si="71"/>
        <v/>
      </c>
      <c r="V283" s="26" t="str">
        <f t="shared" si="72"/>
        <v/>
      </c>
      <c r="W283" s="26" t="str">
        <f t="shared" si="73"/>
        <v/>
      </c>
      <c r="X283" s="25" t="str">
        <f t="shared" si="74"/>
        <v/>
      </c>
      <c r="Y283" s="25" t="str">
        <f t="shared" si="75"/>
        <v/>
      </c>
      <c r="Z283" s="27" t="str">
        <f>IF($B283="","",IF($AK283&lt;=Settings!$C$21,"",IFERROR(AVERAGEIFS($S$4:$S$503,$B$4:$B$503,$B283,$AK$4:$AK$503,"&gt;="&amp;$AK283-Settings!$C$21,$AK$4:$AK$503,"&lt;="&amp;$AK283-1),"")))</f>
        <v/>
      </c>
      <c r="AA283" s="28" t="str">
        <f t="shared" si="76"/>
        <v/>
      </c>
      <c r="AB283" s="25" t="str">
        <f>IF($B283="","",IF($AK283&lt;=Settings!$C$22,"",IFERROR(AVERAGEIFS($K$4:$K$503,$B$4:$B$503,$B283,$AK$4:$AK$503,"&gt;="&amp;$AK283-Settings!$C$22,$AK$4:$AK$503,"&lt;="&amp;$AK283-1),"")))</f>
        <v/>
      </c>
      <c r="AC283" s="27" t="str">
        <f t="shared" si="77"/>
        <v/>
      </c>
      <c r="AD283" s="28" t="str">
        <f>IF($B283="","",IF($AK283&lt;=Settings!$C$23,"",IFERROR($E283/SUMIFS($E$4:$E$503,$B$4:$B$503,$B283,$AK$4:$AK$503,$AK283-Settings!$C$23)-1,"")))</f>
        <v/>
      </c>
      <c r="AE283" s="28" t="str">
        <f>IF($B283="","",IF($AK283&lt;=Settings!$C$22,"",IFERROR($E283/SUMIFS($E$4:$E$503,$B$4:$B$503,$B283,$AK$4:$AK$503,$AK283-Settings!$C$22)-1,"")))</f>
        <v/>
      </c>
      <c r="AF283" s="28" t="str">
        <f t="shared" si="78"/>
        <v/>
      </c>
      <c r="AG283" s="29" t="str">
        <f>IF($B283="","",ROUND((MIN(100,100*N($I283)/Settings!$C$27)+MIN(100,100*N($K283)/Settings!$C$28)+MIN(100,100*N($J283)/Settings!$C$29))/3,1))</f>
        <v/>
      </c>
      <c r="AH283" s="29" t="str">
        <f>IF($B283="","",IF(SUM(Settings!$C$32:$C$37)=0,"",ROUND((Settings!$C$32*$AO283+Settings!$C$33*$AP283+Settings!$C$34*$AQ283+Settings!$C$35*$AR283+Settings!$C$36*$AS283+Settings!$C$37*$AT283)/SUM(Settings!$C$32:$C$37),1)))</f>
        <v/>
      </c>
      <c r="AI283" s="29" t="str">
        <f>IF($B283="","",MAX(0,100-IF(N($N283)&gt;0,0,20)-IF(AND(N($L283)=0,N($M283)=0),15,0)-IF(N($J283)&gt;0,0,10)-IF(N($K283)&gt;0,0,10)-IF($Z283&lt;&gt;"",0,15)-IF($AB283&lt;&gt;"",0,10)-IF($R283="ERROR",20,IF($R283="WARNING",10,0))))</f>
        <v/>
      </c>
      <c r="AJ283" s="30" t="str">
        <f>IF($AH283="","",IF($AH283&lt;Settings!$C$46,"Extreme Sell Pressure",IF($AH283&lt;Settings!$C$47,"Sell Pressure",IF($AH283&lt;=Settings!$C$48,"Neutral",IF($AH283&lt;=Settings!$C$49,"Buy Pressure","Extreme Buy Pressure")))))</f>
        <v/>
      </c>
      <c r="AK283" s="30" t="str">
        <f t="shared" si="79"/>
        <v/>
      </c>
      <c r="AL283" s="30" t="str">
        <f t="shared" si="80"/>
        <v/>
      </c>
      <c r="AM283" s="30" t="str">
        <f t="shared" si="81"/>
        <v/>
      </c>
      <c r="AN283" s="30" t="str">
        <f t="shared" si="82"/>
        <v/>
      </c>
      <c r="AO283" s="29" t="str">
        <f>IF($B283="","",IF(AND(N($L283)=0,N($M283)=0),50,IF(N($M283)=0,100,IF(N($L283)=0,0,MEDIAN(0,100,50+50*LN($S283)/LN(Settings!$C$40))))))</f>
        <v/>
      </c>
      <c r="AP283" s="29">
        <f>IF($AA283="",50,MEDIAN(0,100,50+$AA283*100*Settings!$C$41))</f>
        <v>50</v>
      </c>
      <c r="AQ283" s="29">
        <f>IF($H283="",50,MEDIAN(0,100,50+$H283*100*Settings!$C$42))</f>
        <v>50</v>
      </c>
      <c r="AR283" s="29">
        <f>IF(OR($AC283="",$H283=""),50,MEDIAN(0,100,50+SIGN($H283)*50*MEDIAN(0,1,($AC283-1)/Settings!$C$43)))</f>
        <v>50</v>
      </c>
      <c r="AS283" s="29">
        <f>IF(OR($V283="",$W283=""),50,MEDIAN(0,100,50+50*($V283-$W283)/Settings!$C$44))</f>
        <v>50</v>
      </c>
      <c r="AT283" s="29">
        <f t="shared" si="83"/>
        <v>50</v>
      </c>
      <c r="AU283" s="30" t="str">
        <f t="shared" si="84"/>
        <v/>
      </c>
      <c r="AV283" s="87" t="str">
        <f>IF($A283="","",IF(COUNTIFS($A$4:$A283,$A283)=1,1,0))</f>
        <v/>
      </c>
    </row>
    <row r="284" spans="1:48" x14ac:dyDescent="0.3">
      <c r="A284" s="270"/>
      <c r="B284" s="271"/>
      <c r="C284" s="272"/>
      <c r="D284" s="272"/>
      <c r="E284" s="272"/>
      <c r="F284" s="272"/>
      <c r="G284" s="272"/>
      <c r="H284" s="268" t="str">
        <f t="shared" si="68"/>
        <v/>
      </c>
      <c r="I284" s="273"/>
      <c r="J284" s="273"/>
      <c r="K284" s="273"/>
      <c r="L284" s="273"/>
      <c r="M284" s="273"/>
      <c r="N284" s="273"/>
      <c r="O284" s="271"/>
      <c r="P284" s="270"/>
      <c r="Q284" s="271"/>
      <c r="R284" s="23" t="str" cm="1">
        <f t="array" ref="R284">IF($B284="","",IFERROR(IF(INDEX('Data Quality'!$U$4:$U$503,ROW()-3)=0,"PENDING",INDEX('Data Quality'!$U$4:$U$503,ROW()-3)),"PENDING"))</f>
        <v/>
      </c>
      <c r="S284" s="24" t="str">
        <f t="shared" si="69"/>
        <v/>
      </c>
      <c r="T284" s="25" t="str">
        <f t="shared" si="70"/>
        <v/>
      </c>
      <c r="U284" s="25" t="str">
        <f t="shared" si="71"/>
        <v/>
      </c>
      <c r="V284" s="26" t="str">
        <f t="shared" si="72"/>
        <v/>
      </c>
      <c r="W284" s="26" t="str">
        <f t="shared" si="73"/>
        <v/>
      </c>
      <c r="X284" s="25" t="str">
        <f t="shared" si="74"/>
        <v/>
      </c>
      <c r="Y284" s="25" t="str">
        <f t="shared" si="75"/>
        <v/>
      </c>
      <c r="Z284" s="27" t="str">
        <f>IF($B284="","",IF($AK284&lt;=Settings!$C$21,"",IFERROR(AVERAGEIFS($S$4:$S$503,$B$4:$B$503,$B284,$AK$4:$AK$503,"&gt;="&amp;$AK284-Settings!$C$21,$AK$4:$AK$503,"&lt;="&amp;$AK284-1),"")))</f>
        <v/>
      </c>
      <c r="AA284" s="28" t="str">
        <f t="shared" si="76"/>
        <v/>
      </c>
      <c r="AB284" s="25" t="str">
        <f>IF($B284="","",IF($AK284&lt;=Settings!$C$22,"",IFERROR(AVERAGEIFS($K$4:$K$503,$B$4:$B$503,$B284,$AK$4:$AK$503,"&gt;="&amp;$AK284-Settings!$C$22,$AK$4:$AK$503,"&lt;="&amp;$AK284-1),"")))</f>
        <v/>
      </c>
      <c r="AC284" s="27" t="str">
        <f t="shared" si="77"/>
        <v/>
      </c>
      <c r="AD284" s="28" t="str">
        <f>IF($B284="","",IF($AK284&lt;=Settings!$C$23,"",IFERROR($E284/SUMIFS($E$4:$E$503,$B$4:$B$503,$B284,$AK$4:$AK$503,$AK284-Settings!$C$23)-1,"")))</f>
        <v/>
      </c>
      <c r="AE284" s="28" t="str">
        <f>IF($B284="","",IF($AK284&lt;=Settings!$C$22,"",IFERROR($E284/SUMIFS($E$4:$E$503,$B$4:$B$503,$B284,$AK$4:$AK$503,$AK284-Settings!$C$22)-1,"")))</f>
        <v/>
      </c>
      <c r="AF284" s="28" t="str">
        <f t="shared" si="78"/>
        <v/>
      </c>
      <c r="AG284" s="29" t="str">
        <f>IF($B284="","",ROUND((MIN(100,100*N($I284)/Settings!$C$27)+MIN(100,100*N($K284)/Settings!$C$28)+MIN(100,100*N($J284)/Settings!$C$29))/3,1))</f>
        <v/>
      </c>
      <c r="AH284" s="29" t="str">
        <f>IF($B284="","",IF(SUM(Settings!$C$32:$C$37)=0,"",ROUND((Settings!$C$32*$AO284+Settings!$C$33*$AP284+Settings!$C$34*$AQ284+Settings!$C$35*$AR284+Settings!$C$36*$AS284+Settings!$C$37*$AT284)/SUM(Settings!$C$32:$C$37),1)))</f>
        <v/>
      </c>
      <c r="AI284" s="29" t="str">
        <f>IF($B284="","",MAX(0,100-IF(N($N284)&gt;0,0,20)-IF(AND(N($L284)=0,N($M284)=0),15,0)-IF(N($J284)&gt;0,0,10)-IF(N($K284)&gt;0,0,10)-IF($Z284&lt;&gt;"",0,15)-IF($AB284&lt;&gt;"",0,10)-IF($R284="ERROR",20,IF($R284="WARNING",10,0))))</f>
        <v/>
      </c>
      <c r="AJ284" s="30" t="str">
        <f>IF($AH284="","",IF($AH284&lt;Settings!$C$46,"Extreme Sell Pressure",IF($AH284&lt;Settings!$C$47,"Sell Pressure",IF($AH284&lt;=Settings!$C$48,"Neutral",IF($AH284&lt;=Settings!$C$49,"Buy Pressure","Extreme Buy Pressure")))))</f>
        <v/>
      </c>
      <c r="AK284" s="30" t="str">
        <f t="shared" si="79"/>
        <v/>
      </c>
      <c r="AL284" s="30" t="str">
        <f t="shared" si="80"/>
        <v/>
      </c>
      <c r="AM284" s="30" t="str">
        <f t="shared" si="81"/>
        <v/>
      </c>
      <c r="AN284" s="30" t="str">
        <f t="shared" si="82"/>
        <v/>
      </c>
      <c r="AO284" s="29" t="str">
        <f>IF($B284="","",IF(AND(N($L284)=0,N($M284)=0),50,IF(N($M284)=0,100,IF(N($L284)=0,0,MEDIAN(0,100,50+50*LN($S284)/LN(Settings!$C$40))))))</f>
        <v/>
      </c>
      <c r="AP284" s="29">
        <f>IF($AA284="",50,MEDIAN(0,100,50+$AA284*100*Settings!$C$41))</f>
        <v>50</v>
      </c>
      <c r="AQ284" s="29">
        <f>IF($H284="",50,MEDIAN(0,100,50+$H284*100*Settings!$C$42))</f>
        <v>50</v>
      </c>
      <c r="AR284" s="29">
        <f>IF(OR($AC284="",$H284=""),50,MEDIAN(0,100,50+SIGN($H284)*50*MEDIAN(0,1,($AC284-1)/Settings!$C$43)))</f>
        <v>50</v>
      </c>
      <c r="AS284" s="29">
        <f>IF(OR($V284="",$W284=""),50,MEDIAN(0,100,50+50*($V284-$W284)/Settings!$C$44))</f>
        <v>50</v>
      </c>
      <c r="AT284" s="29">
        <f t="shared" si="83"/>
        <v>50</v>
      </c>
      <c r="AU284" s="30" t="str">
        <f t="shared" si="84"/>
        <v/>
      </c>
      <c r="AV284" s="87" t="str">
        <f>IF($A284="","",IF(COUNTIFS($A$4:$A284,$A284)=1,1,0))</f>
        <v/>
      </c>
    </row>
    <row r="285" spans="1:48" x14ac:dyDescent="0.3">
      <c r="A285" s="270"/>
      <c r="B285" s="271"/>
      <c r="C285" s="272"/>
      <c r="D285" s="272"/>
      <c r="E285" s="272"/>
      <c r="F285" s="272"/>
      <c r="G285" s="272"/>
      <c r="H285" s="268" t="str">
        <f t="shared" si="68"/>
        <v/>
      </c>
      <c r="I285" s="273"/>
      <c r="J285" s="273"/>
      <c r="K285" s="273"/>
      <c r="L285" s="273"/>
      <c r="M285" s="273"/>
      <c r="N285" s="273"/>
      <c r="O285" s="271"/>
      <c r="P285" s="270"/>
      <c r="Q285" s="271"/>
      <c r="R285" s="23" t="str" cm="1">
        <f t="array" ref="R285">IF($B285="","",IFERROR(IF(INDEX('Data Quality'!$U$4:$U$503,ROW()-3)=0,"PENDING",INDEX('Data Quality'!$U$4:$U$503,ROW()-3)),"PENDING"))</f>
        <v/>
      </c>
      <c r="S285" s="24" t="str">
        <f t="shared" si="69"/>
        <v/>
      </c>
      <c r="T285" s="25" t="str">
        <f t="shared" si="70"/>
        <v/>
      </c>
      <c r="U285" s="25" t="str">
        <f t="shared" si="71"/>
        <v/>
      </c>
      <c r="V285" s="26" t="str">
        <f t="shared" si="72"/>
        <v/>
      </c>
      <c r="W285" s="26" t="str">
        <f t="shared" si="73"/>
        <v/>
      </c>
      <c r="X285" s="25" t="str">
        <f t="shared" si="74"/>
        <v/>
      </c>
      <c r="Y285" s="25" t="str">
        <f t="shared" si="75"/>
        <v/>
      </c>
      <c r="Z285" s="27" t="str">
        <f>IF($B285="","",IF($AK285&lt;=Settings!$C$21,"",IFERROR(AVERAGEIFS($S$4:$S$503,$B$4:$B$503,$B285,$AK$4:$AK$503,"&gt;="&amp;$AK285-Settings!$C$21,$AK$4:$AK$503,"&lt;="&amp;$AK285-1),"")))</f>
        <v/>
      </c>
      <c r="AA285" s="28" t="str">
        <f t="shared" si="76"/>
        <v/>
      </c>
      <c r="AB285" s="25" t="str">
        <f>IF($B285="","",IF($AK285&lt;=Settings!$C$22,"",IFERROR(AVERAGEIFS($K$4:$K$503,$B$4:$B$503,$B285,$AK$4:$AK$503,"&gt;="&amp;$AK285-Settings!$C$22,$AK$4:$AK$503,"&lt;="&amp;$AK285-1),"")))</f>
        <v/>
      </c>
      <c r="AC285" s="27" t="str">
        <f t="shared" si="77"/>
        <v/>
      </c>
      <c r="AD285" s="28" t="str">
        <f>IF($B285="","",IF($AK285&lt;=Settings!$C$23,"",IFERROR($E285/SUMIFS($E$4:$E$503,$B$4:$B$503,$B285,$AK$4:$AK$503,$AK285-Settings!$C$23)-1,"")))</f>
        <v/>
      </c>
      <c r="AE285" s="28" t="str">
        <f>IF($B285="","",IF($AK285&lt;=Settings!$C$22,"",IFERROR($E285/SUMIFS($E$4:$E$503,$B$4:$B$503,$B285,$AK$4:$AK$503,$AK285-Settings!$C$22)-1,"")))</f>
        <v/>
      </c>
      <c r="AF285" s="28" t="str">
        <f t="shared" si="78"/>
        <v/>
      </c>
      <c r="AG285" s="29" t="str">
        <f>IF($B285="","",ROUND((MIN(100,100*N($I285)/Settings!$C$27)+MIN(100,100*N($K285)/Settings!$C$28)+MIN(100,100*N($J285)/Settings!$C$29))/3,1))</f>
        <v/>
      </c>
      <c r="AH285" s="29" t="str">
        <f>IF($B285="","",IF(SUM(Settings!$C$32:$C$37)=0,"",ROUND((Settings!$C$32*$AO285+Settings!$C$33*$AP285+Settings!$C$34*$AQ285+Settings!$C$35*$AR285+Settings!$C$36*$AS285+Settings!$C$37*$AT285)/SUM(Settings!$C$32:$C$37),1)))</f>
        <v/>
      </c>
      <c r="AI285" s="29" t="str">
        <f>IF($B285="","",MAX(0,100-IF(N($N285)&gt;0,0,20)-IF(AND(N($L285)=0,N($M285)=0),15,0)-IF(N($J285)&gt;0,0,10)-IF(N($K285)&gt;0,0,10)-IF($Z285&lt;&gt;"",0,15)-IF($AB285&lt;&gt;"",0,10)-IF($R285="ERROR",20,IF($R285="WARNING",10,0))))</f>
        <v/>
      </c>
      <c r="AJ285" s="30" t="str">
        <f>IF($AH285="","",IF($AH285&lt;Settings!$C$46,"Extreme Sell Pressure",IF($AH285&lt;Settings!$C$47,"Sell Pressure",IF($AH285&lt;=Settings!$C$48,"Neutral",IF($AH285&lt;=Settings!$C$49,"Buy Pressure","Extreme Buy Pressure")))))</f>
        <v/>
      </c>
      <c r="AK285" s="30" t="str">
        <f t="shared" si="79"/>
        <v/>
      </c>
      <c r="AL285" s="30" t="str">
        <f t="shared" si="80"/>
        <v/>
      </c>
      <c r="AM285" s="30" t="str">
        <f t="shared" si="81"/>
        <v/>
      </c>
      <c r="AN285" s="30" t="str">
        <f t="shared" si="82"/>
        <v/>
      </c>
      <c r="AO285" s="29" t="str">
        <f>IF($B285="","",IF(AND(N($L285)=0,N($M285)=0),50,IF(N($M285)=0,100,IF(N($L285)=0,0,MEDIAN(0,100,50+50*LN($S285)/LN(Settings!$C$40))))))</f>
        <v/>
      </c>
      <c r="AP285" s="29">
        <f>IF($AA285="",50,MEDIAN(0,100,50+$AA285*100*Settings!$C$41))</f>
        <v>50</v>
      </c>
      <c r="AQ285" s="29">
        <f>IF($H285="",50,MEDIAN(0,100,50+$H285*100*Settings!$C$42))</f>
        <v>50</v>
      </c>
      <c r="AR285" s="29">
        <f>IF(OR($AC285="",$H285=""),50,MEDIAN(0,100,50+SIGN($H285)*50*MEDIAN(0,1,($AC285-1)/Settings!$C$43)))</f>
        <v>50</v>
      </c>
      <c r="AS285" s="29">
        <f>IF(OR($V285="",$W285=""),50,MEDIAN(0,100,50+50*($V285-$W285)/Settings!$C$44))</f>
        <v>50</v>
      </c>
      <c r="AT285" s="29">
        <f t="shared" si="83"/>
        <v>50</v>
      </c>
      <c r="AU285" s="30" t="str">
        <f t="shared" si="84"/>
        <v/>
      </c>
      <c r="AV285" s="87" t="str">
        <f>IF($A285="","",IF(COUNTIFS($A$4:$A285,$A285)=1,1,0))</f>
        <v/>
      </c>
    </row>
    <row r="286" spans="1:48" x14ac:dyDescent="0.3">
      <c r="A286" s="270"/>
      <c r="B286" s="271"/>
      <c r="C286" s="272"/>
      <c r="D286" s="272"/>
      <c r="E286" s="272"/>
      <c r="F286" s="272"/>
      <c r="G286" s="272"/>
      <c r="H286" s="268" t="str">
        <f t="shared" si="68"/>
        <v/>
      </c>
      <c r="I286" s="273"/>
      <c r="J286" s="273"/>
      <c r="K286" s="273"/>
      <c r="L286" s="273"/>
      <c r="M286" s="273"/>
      <c r="N286" s="273"/>
      <c r="O286" s="271"/>
      <c r="P286" s="270"/>
      <c r="Q286" s="271"/>
      <c r="R286" s="23" t="str" cm="1">
        <f t="array" ref="R286">IF($B286="","",IFERROR(IF(INDEX('Data Quality'!$U$4:$U$503,ROW()-3)=0,"PENDING",INDEX('Data Quality'!$U$4:$U$503,ROW()-3)),"PENDING"))</f>
        <v/>
      </c>
      <c r="S286" s="24" t="str">
        <f t="shared" si="69"/>
        <v/>
      </c>
      <c r="T286" s="25" t="str">
        <f t="shared" si="70"/>
        <v/>
      </c>
      <c r="U286" s="25" t="str">
        <f t="shared" si="71"/>
        <v/>
      </c>
      <c r="V286" s="26" t="str">
        <f t="shared" si="72"/>
        <v/>
      </c>
      <c r="W286" s="26" t="str">
        <f t="shared" si="73"/>
        <v/>
      </c>
      <c r="X286" s="25" t="str">
        <f t="shared" si="74"/>
        <v/>
      </c>
      <c r="Y286" s="25" t="str">
        <f t="shared" si="75"/>
        <v/>
      </c>
      <c r="Z286" s="27" t="str">
        <f>IF($B286="","",IF($AK286&lt;=Settings!$C$21,"",IFERROR(AVERAGEIFS($S$4:$S$503,$B$4:$B$503,$B286,$AK$4:$AK$503,"&gt;="&amp;$AK286-Settings!$C$21,$AK$4:$AK$503,"&lt;="&amp;$AK286-1),"")))</f>
        <v/>
      </c>
      <c r="AA286" s="28" t="str">
        <f t="shared" si="76"/>
        <v/>
      </c>
      <c r="AB286" s="25" t="str">
        <f>IF($B286="","",IF($AK286&lt;=Settings!$C$22,"",IFERROR(AVERAGEIFS($K$4:$K$503,$B$4:$B$503,$B286,$AK$4:$AK$503,"&gt;="&amp;$AK286-Settings!$C$22,$AK$4:$AK$503,"&lt;="&amp;$AK286-1),"")))</f>
        <v/>
      </c>
      <c r="AC286" s="27" t="str">
        <f t="shared" si="77"/>
        <v/>
      </c>
      <c r="AD286" s="28" t="str">
        <f>IF($B286="","",IF($AK286&lt;=Settings!$C$23,"",IFERROR($E286/SUMIFS($E$4:$E$503,$B$4:$B$503,$B286,$AK$4:$AK$503,$AK286-Settings!$C$23)-1,"")))</f>
        <v/>
      </c>
      <c r="AE286" s="28" t="str">
        <f>IF($B286="","",IF($AK286&lt;=Settings!$C$22,"",IFERROR($E286/SUMIFS($E$4:$E$503,$B$4:$B$503,$B286,$AK$4:$AK$503,$AK286-Settings!$C$22)-1,"")))</f>
        <v/>
      </c>
      <c r="AF286" s="28" t="str">
        <f t="shared" si="78"/>
        <v/>
      </c>
      <c r="AG286" s="29" t="str">
        <f>IF($B286="","",ROUND((MIN(100,100*N($I286)/Settings!$C$27)+MIN(100,100*N($K286)/Settings!$C$28)+MIN(100,100*N($J286)/Settings!$C$29))/3,1))</f>
        <v/>
      </c>
      <c r="AH286" s="29" t="str">
        <f>IF($B286="","",IF(SUM(Settings!$C$32:$C$37)=0,"",ROUND((Settings!$C$32*$AO286+Settings!$C$33*$AP286+Settings!$C$34*$AQ286+Settings!$C$35*$AR286+Settings!$C$36*$AS286+Settings!$C$37*$AT286)/SUM(Settings!$C$32:$C$37),1)))</f>
        <v/>
      </c>
      <c r="AI286" s="29" t="str">
        <f>IF($B286="","",MAX(0,100-IF(N($N286)&gt;0,0,20)-IF(AND(N($L286)=0,N($M286)=0),15,0)-IF(N($J286)&gt;0,0,10)-IF(N($K286)&gt;0,0,10)-IF($Z286&lt;&gt;"",0,15)-IF($AB286&lt;&gt;"",0,10)-IF($R286="ERROR",20,IF($R286="WARNING",10,0))))</f>
        <v/>
      </c>
      <c r="AJ286" s="30" t="str">
        <f>IF($AH286="","",IF($AH286&lt;Settings!$C$46,"Extreme Sell Pressure",IF($AH286&lt;Settings!$C$47,"Sell Pressure",IF($AH286&lt;=Settings!$C$48,"Neutral",IF($AH286&lt;=Settings!$C$49,"Buy Pressure","Extreme Buy Pressure")))))</f>
        <v/>
      </c>
      <c r="AK286" s="30" t="str">
        <f t="shared" si="79"/>
        <v/>
      </c>
      <c r="AL286" s="30" t="str">
        <f t="shared" si="80"/>
        <v/>
      </c>
      <c r="AM286" s="30" t="str">
        <f t="shared" si="81"/>
        <v/>
      </c>
      <c r="AN286" s="30" t="str">
        <f t="shared" si="82"/>
        <v/>
      </c>
      <c r="AO286" s="29" t="str">
        <f>IF($B286="","",IF(AND(N($L286)=0,N($M286)=0),50,IF(N($M286)=0,100,IF(N($L286)=0,0,MEDIAN(0,100,50+50*LN($S286)/LN(Settings!$C$40))))))</f>
        <v/>
      </c>
      <c r="AP286" s="29">
        <f>IF($AA286="",50,MEDIAN(0,100,50+$AA286*100*Settings!$C$41))</f>
        <v>50</v>
      </c>
      <c r="AQ286" s="29">
        <f>IF($H286="",50,MEDIAN(0,100,50+$H286*100*Settings!$C$42))</f>
        <v>50</v>
      </c>
      <c r="AR286" s="29">
        <f>IF(OR($AC286="",$H286=""),50,MEDIAN(0,100,50+SIGN($H286)*50*MEDIAN(0,1,($AC286-1)/Settings!$C$43)))</f>
        <v>50</v>
      </c>
      <c r="AS286" s="29">
        <f>IF(OR($V286="",$W286=""),50,MEDIAN(0,100,50+50*($V286-$W286)/Settings!$C$44))</f>
        <v>50</v>
      </c>
      <c r="AT286" s="29">
        <f t="shared" si="83"/>
        <v>50</v>
      </c>
      <c r="AU286" s="30" t="str">
        <f t="shared" si="84"/>
        <v/>
      </c>
      <c r="AV286" s="87" t="str">
        <f>IF($A286="","",IF(COUNTIFS($A$4:$A286,$A286)=1,1,0))</f>
        <v/>
      </c>
    </row>
    <row r="287" spans="1:48" x14ac:dyDescent="0.3">
      <c r="A287" s="270"/>
      <c r="B287" s="271"/>
      <c r="C287" s="272"/>
      <c r="D287" s="272"/>
      <c r="E287" s="272"/>
      <c r="F287" s="272"/>
      <c r="G287" s="272"/>
      <c r="H287" s="268" t="str">
        <f t="shared" si="68"/>
        <v/>
      </c>
      <c r="I287" s="273"/>
      <c r="J287" s="273"/>
      <c r="K287" s="273"/>
      <c r="L287" s="273"/>
      <c r="M287" s="273"/>
      <c r="N287" s="273"/>
      <c r="O287" s="271"/>
      <c r="P287" s="270"/>
      <c r="Q287" s="271"/>
      <c r="R287" s="23" t="str" cm="1">
        <f t="array" ref="R287">IF($B287="","",IFERROR(IF(INDEX('Data Quality'!$U$4:$U$503,ROW()-3)=0,"PENDING",INDEX('Data Quality'!$U$4:$U$503,ROW()-3)),"PENDING"))</f>
        <v/>
      </c>
      <c r="S287" s="24" t="str">
        <f t="shared" si="69"/>
        <v/>
      </c>
      <c r="T287" s="25" t="str">
        <f t="shared" si="70"/>
        <v/>
      </c>
      <c r="U287" s="25" t="str">
        <f t="shared" si="71"/>
        <v/>
      </c>
      <c r="V287" s="26" t="str">
        <f t="shared" si="72"/>
        <v/>
      </c>
      <c r="W287" s="26" t="str">
        <f t="shared" si="73"/>
        <v/>
      </c>
      <c r="X287" s="25" t="str">
        <f t="shared" si="74"/>
        <v/>
      </c>
      <c r="Y287" s="25" t="str">
        <f t="shared" si="75"/>
        <v/>
      </c>
      <c r="Z287" s="27" t="str">
        <f>IF($B287="","",IF($AK287&lt;=Settings!$C$21,"",IFERROR(AVERAGEIFS($S$4:$S$503,$B$4:$B$503,$B287,$AK$4:$AK$503,"&gt;="&amp;$AK287-Settings!$C$21,$AK$4:$AK$503,"&lt;="&amp;$AK287-1),"")))</f>
        <v/>
      </c>
      <c r="AA287" s="28" t="str">
        <f t="shared" si="76"/>
        <v/>
      </c>
      <c r="AB287" s="25" t="str">
        <f>IF($B287="","",IF($AK287&lt;=Settings!$C$22,"",IFERROR(AVERAGEIFS($K$4:$K$503,$B$4:$B$503,$B287,$AK$4:$AK$503,"&gt;="&amp;$AK287-Settings!$C$22,$AK$4:$AK$503,"&lt;="&amp;$AK287-1),"")))</f>
        <v/>
      </c>
      <c r="AC287" s="27" t="str">
        <f t="shared" si="77"/>
        <v/>
      </c>
      <c r="AD287" s="28" t="str">
        <f>IF($B287="","",IF($AK287&lt;=Settings!$C$23,"",IFERROR($E287/SUMIFS($E$4:$E$503,$B$4:$B$503,$B287,$AK$4:$AK$503,$AK287-Settings!$C$23)-1,"")))</f>
        <v/>
      </c>
      <c r="AE287" s="28" t="str">
        <f>IF($B287="","",IF($AK287&lt;=Settings!$C$22,"",IFERROR($E287/SUMIFS($E$4:$E$503,$B$4:$B$503,$B287,$AK$4:$AK$503,$AK287-Settings!$C$22)-1,"")))</f>
        <v/>
      </c>
      <c r="AF287" s="28" t="str">
        <f t="shared" si="78"/>
        <v/>
      </c>
      <c r="AG287" s="29" t="str">
        <f>IF($B287="","",ROUND((MIN(100,100*N($I287)/Settings!$C$27)+MIN(100,100*N($K287)/Settings!$C$28)+MIN(100,100*N($J287)/Settings!$C$29))/3,1))</f>
        <v/>
      </c>
      <c r="AH287" s="29" t="str">
        <f>IF($B287="","",IF(SUM(Settings!$C$32:$C$37)=0,"",ROUND((Settings!$C$32*$AO287+Settings!$C$33*$AP287+Settings!$C$34*$AQ287+Settings!$C$35*$AR287+Settings!$C$36*$AS287+Settings!$C$37*$AT287)/SUM(Settings!$C$32:$C$37),1)))</f>
        <v/>
      </c>
      <c r="AI287" s="29" t="str">
        <f>IF($B287="","",MAX(0,100-IF(N($N287)&gt;0,0,20)-IF(AND(N($L287)=0,N($M287)=0),15,0)-IF(N($J287)&gt;0,0,10)-IF(N($K287)&gt;0,0,10)-IF($Z287&lt;&gt;"",0,15)-IF($AB287&lt;&gt;"",0,10)-IF($R287="ERROR",20,IF($R287="WARNING",10,0))))</f>
        <v/>
      </c>
      <c r="AJ287" s="30" t="str">
        <f>IF($AH287="","",IF($AH287&lt;Settings!$C$46,"Extreme Sell Pressure",IF($AH287&lt;Settings!$C$47,"Sell Pressure",IF($AH287&lt;=Settings!$C$48,"Neutral",IF($AH287&lt;=Settings!$C$49,"Buy Pressure","Extreme Buy Pressure")))))</f>
        <v/>
      </c>
      <c r="AK287" s="30" t="str">
        <f t="shared" si="79"/>
        <v/>
      </c>
      <c r="AL287" s="30" t="str">
        <f t="shared" si="80"/>
        <v/>
      </c>
      <c r="AM287" s="30" t="str">
        <f t="shared" si="81"/>
        <v/>
      </c>
      <c r="AN287" s="30" t="str">
        <f t="shared" si="82"/>
        <v/>
      </c>
      <c r="AO287" s="29" t="str">
        <f>IF($B287="","",IF(AND(N($L287)=0,N($M287)=0),50,IF(N($M287)=0,100,IF(N($L287)=0,0,MEDIAN(0,100,50+50*LN($S287)/LN(Settings!$C$40))))))</f>
        <v/>
      </c>
      <c r="AP287" s="29">
        <f>IF($AA287="",50,MEDIAN(0,100,50+$AA287*100*Settings!$C$41))</f>
        <v>50</v>
      </c>
      <c r="AQ287" s="29">
        <f>IF($H287="",50,MEDIAN(0,100,50+$H287*100*Settings!$C$42))</f>
        <v>50</v>
      </c>
      <c r="AR287" s="29">
        <f>IF(OR($AC287="",$H287=""),50,MEDIAN(0,100,50+SIGN($H287)*50*MEDIAN(0,1,($AC287-1)/Settings!$C$43)))</f>
        <v>50</v>
      </c>
      <c r="AS287" s="29">
        <f>IF(OR($V287="",$W287=""),50,MEDIAN(0,100,50+50*($V287-$W287)/Settings!$C$44))</f>
        <v>50</v>
      </c>
      <c r="AT287" s="29">
        <f t="shared" si="83"/>
        <v>50</v>
      </c>
      <c r="AU287" s="30" t="str">
        <f t="shared" si="84"/>
        <v/>
      </c>
      <c r="AV287" s="87" t="str">
        <f>IF($A287="","",IF(COUNTIFS($A$4:$A287,$A287)=1,1,0))</f>
        <v/>
      </c>
    </row>
    <row r="288" spans="1:48" x14ac:dyDescent="0.3">
      <c r="A288" s="270"/>
      <c r="B288" s="271"/>
      <c r="C288" s="272"/>
      <c r="D288" s="272"/>
      <c r="E288" s="272"/>
      <c r="F288" s="272"/>
      <c r="G288" s="272"/>
      <c r="H288" s="268" t="str">
        <f t="shared" si="68"/>
        <v/>
      </c>
      <c r="I288" s="273"/>
      <c r="J288" s="273"/>
      <c r="K288" s="273"/>
      <c r="L288" s="273"/>
      <c r="M288" s="273"/>
      <c r="N288" s="273"/>
      <c r="O288" s="271"/>
      <c r="P288" s="270"/>
      <c r="Q288" s="271"/>
      <c r="R288" s="23" t="str" cm="1">
        <f t="array" ref="R288">IF($B288="","",IFERROR(IF(INDEX('Data Quality'!$U$4:$U$503,ROW()-3)=0,"PENDING",INDEX('Data Quality'!$U$4:$U$503,ROW()-3)),"PENDING"))</f>
        <v/>
      </c>
      <c r="S288" s="24" t="str">
        <f t="shared" si="69"/>
        <v/>
      </c>
      <c r="T288" s="25" t="str">
        <f t="shared" si="70"/>
        <v/>
      </c>
      <c r="U288" s="25" t="str">
        <f t="shared" si="71"/>
        <v/>
      </c>
      <c r="V288" s="26" t="str">
        <f t="shared" si="72"/>
        <v/>
      </c>
      <c r="W288" s="26" t="str">
        <f t="shared" si="73"/>
        <v/>
      </c>
      <c r="X288" s="25" t="str">
        <f t="shared" si="74"/>
        <v/>
      </c>
      <c r="Y288" s="25" t="str">
        <f t="shared" si="75"/>
        <v/>
      </c>
      <c r="Z288" s="27" t="str">
        <f>IF($B288="","",IF($AK288&lt;=Settings!$C$21,"",IFERROR(AVERAGEIFS($S$4:$S$503,$B$4:$B$503,$B288,$AK$4:$AK$503,"&gt;="&amp;$AK288-Settings!$C$21,$AK$4:$AK$503,"&lt;="&amp;$AK288-1),"")))</f>
        <v/>
      </c>
      <c r="AA288" s="28" t="str">
        <f t="shared" si="76"/>
        <v/>
      </c>
      <c r="AB288" s="25" t="str">
        <f>IF($B288="","",IF($AK288&lt;=Settings!$C$22,"",IFERROR(AVERAGEIFS($K$4:$K$503,$B$4:$B$503,$B288,$AK$4:$AK$503,"&gt;="&amp;$AK288-Settings!$C$22,$AK$4:$AK$503,"&lt;="&amp;$AK288-1),"")))</f>
        <v/>
      </c>
      <c r="AC288" s="27" t="str">
        <f t="shared" si="77"/>
        <v/>
      </c>
      <c r="AD288" s="28" t="str">
        <f>IF($B288="","",IF($AK288&lt;=Settings!$C$23,"",IFERROR($E288/SUMIFS($E$4:$E$503,$B$4:$B$503,$B288,$AK$4:$AK$503,$AK288-Settings!$C$23)-1,"")))</f>
        <v/>
      </c>
      <c r="AE288" s="28" t="str">
        <f>IF($B288="","",IF($AK288&lt;=Settings!$C$22,"",IFERROR($E288/SUMIFS($E$4:$E$503,$B$4:$B$503,$B288,$AK$4:$AK$503,$AK288-Settings!$C$22)-1,"")))</f>
        <v/>
      </c>
      <c r="AF288" s="28" t="str">
        <f t="shared" si="78"/>
        <v/>
      </c>
      <c r="AG288" s="29" t="str">
        <f>IF($B288="","",ROUND((MIN(100,100*N($I288)/Settings!$C$27)+MIN(100,100*N($K288)/Settings!$C$28)+MIN(100,100*N($J288)/Settings!$C$29))/3,1))</f>
        <v/>
      </c>
      <c r="AH288" s="29" t="str">
        <f>IF($B288="","",IF(SUM(Settings!$C$32:$C$37)=0,"",ROUND((Settings!$C$32*$AO288+Settings!$C$33*$AP288+Settings!$C$34*$AQ288+Settings!$C$35*$AR288+Settings!$C$36*$AS288+Settings!$C$37*$AT288)/SUM(Settings!$C$32:$C$37),1)))</f>
        <v/>
      </c>
      <c r="AI288" s="29" t="str">
        <f>IF($B288="","",MAX(0,100-IF(N($N288)&gt;0,0,20)-IF(AND(N($L288)=0,N($M288)=0),15,0)-IF(N($J288)&gt;0,0,10)-IF(N($K288)&gt;0,0,10)-IF($Z288&lt;&gt;"",0,15)-IF($AB288&lt;&gt;"",0,10)-IF($R288="ERROR",20,IF($R288="WARNING",10,0))))</f>
        <v/>
      </c>
      <c r="AJ288" s="30" t="str">
        <f>IF($AH288="","",IF($AH288&lt;Settings!$C$46,"Extreme Sell Pressure",IF($AH288&lt;Settings!$C$47,"Sell Pressure",IF($AH288&lt;=Settings!$C$48,"Neutral",IF($AH288&lt;=Settings!$C$49,"Buy Pressure","Extreme Buy Pressure")))))</f>
        <v/>
      </c>
      <c r="AK288" s="30" t="str">
        <f t="shared" si="79"/>
        <v/>
      </c>
      <c r="AL288" s="30" t="str">
        <f t="shared" si="80"/>
        <v/>
      </c>
      <c r="AM288" s="30" t="str">
        <f t="shared" si="81"/>
        <v/>
      </c>
      <c r="AN288" s="30" t="str">
        <f t="shared" si="82"/>
        <v/>
      </c>
      <c r="AO288" s="29" t="str">
        <f>IF($B288="","",IF(AND(N($L288)=0,N($M288)=0),50,IF(N($M288)=0,100,IF(N($L288)=0,0,MEDIAN(0,100,50+50*LN($S288)/LN(Settings!$C$40))))))</f>
        <v/>
      </c>
      <c r="AP288" s="29">
        <f>IF($AA288="",50,MEDIAN(0,100,50+$AA288*100*Settings!$C$41))</f>
        <v>50</v>
      </c>
      <c r="AQ288" s="29">
        <f>IF($H288="",50,MEDIAN(0,100,50+$H288*100*Settings!$C$42))</f>
        <v>50</v>
      </c>
      <c r="AR288" s="29">
        <f>IF(OR($AC288="",$H288=""),50,MEDIAN(0,100,50+SIGN($H288)*50*MEDIAN(0,1,($AC288-1)/Settings!$C$43)))</f>
        <v>50</v>
      </c>
      <c r="AS288" s="29">
        <f>IF(OR($V288="",$W288=""),50,MEDIAN(0,100,50+50*($V288-$W288)/Settings!$C$44))</f>
        <v>50</v>
      </c>
      <c r="AT288" s="29">
        <f t="shared" si="83"/>
        <v>50</v>
      </c>
      <c r="AU288" s="30" t="str">
        <f t="shared" si="84"/>
        <v/>
      </c>
      <c r="AV288" s="87" t="str">
        <f>IF($A288="","",IF(COUNTIFS($A$4:$A288,$A288)=1,1,0))</f>
        <v/>
      </c>
    </row>
    <row r="289" spans="1:48" x14ac:dyDescent="0.3">
      <c r="A289" s="270"/>
      <c r="B289" s="271"/>
      <c r="C289" s="272"/>
      <c r="D289" s="272"/>
      <c r="E289" s="272"/>
      <c r="F289" s="272"/>
      <c r="G289" s="272"/>
      <c r="H289" s="268" t="str">
        <f t="shared" si="68"/>
        <v/>
      </c>
      <c r="I289" s="273"/>
      <c r="J289" s="273"/>
      <c r="K289" s="273"/>
      <c r="L289" s="273"/>
      <c r="M289" s="273"/>
      <c r="N289" s="273"/>
      <c r="O289" s="271"/>
      <c r="P289" s="270"/>
      <c r="Q289" s="271"/>
      <c r="R289" s="23" t="str" cm="1">
        <f t="array" ref="R289">IF($B289="","",IFERROR(IF(INDEX('Data Quality'!$U$4:$U$503,ROW()-3)=0,"PENDING",INDEX('Data Quality'!$U$4:$U$503,ROW()-3)),"PENDING"))</f>
        <v/>
      </c>
      <c r="S289" s="24" t="str">
        <f t="shared" si="69"/>
        <v/>
      </c>
      <c r="T289" s="25" t="str">
        <f t="shared" si="70"/>
        <v/>
      </c>
      <c r="U289" s="25" t="str">
        <f t="shared" si="71"/>
        <v/>
      </c>
      <c r="V289" s="26" t="str">
        <f t="shared" si="72"/>
        <v/>
      </c>
      <c r="W289" s="26" t="str">
        <f t="shared" si="73"/>
        <v/>
      </c>
      <c r="X289" s="25" t="str">
        <f t="shared" si="74"/>
        <v/>
      </c>
      <c r="Y289" s="25" t="str">
        <f t="shared" si="75"/>
        <v/>
      </c>
      <c r="Z289" s="27" t="str">
        <f>IF($B289="","",IF($AK289&lt;=Settings!$C$21,"",IFERROR(AVERAGEIFS($S$4:$S$503,$B$4:$B$503,$B289,$AK$4:$AK$503,"&gt;="&amp;$AK289-Settings!$C$21,$AK$4:$AK$503,"&lt;="&amp;$AK289-1),"")))</f>
        <v/>
      </c>
      <c r="AA289" s="28" t="str">
        <f t="shared" si="76"/>
        <v/>
      </c>
      <c r="AB289" s="25" t="str">
        <f>IF($B289="","",IF($AK289&lt;=Settings!$C$22,"",IFERROR(AVERAGEIFS($K$4:$K$503,$B$4:$B$503,$B289,$AK$4:$AK$503,"&gt;="&amp;$AK289-Settings!$C$22,$AK$4:$AK$503,"&lt;="&amp;$AK289-1),"")))</f>
        <v/>
      </c>
      <c r="AC289" s="27" t="str">
        <f t="shared" si="77"/>
        <v/>
      </c>
      <c r="AD289" s="28" t="str">
        <f>IF($B289="","",IF($AK289&lt;=Settings!$C$23,"",IFERROR($E289/SUMIFS($E$4:$E$503,$B$4:$B$503,$B289,$AK$4:$AK$503,$AK289-Settings!$C$23)-1,"")))</f>
        <v/>
      </c>
      <c r="AE289" s="28" t="str">
        <f>IF($B289="","",IF($AK289&lt;=Settings!$C$22,"",IFERROR($E289/SUMIFS($E$4:$E$503,$B$4:$B$503,$B289,$AK$4:$AK$503,$AK289-Settings!$C$22)-1,"")))</f>
        <v/>
      </c>
      <c r="AF289" s="28" t="str">
        <f t="shared" si="78"/>
        <v/>
      </c>
      <c r="AG289" s="29" t="str">
        <f>IF($B289="","",ROUND((MIN(100,100*N($I289)/Settings!$C$27)+MIN(100,100*N($K289)/Settings!$C$28)+MIN(100,100*N($J289)/Settings!$C$29))/3,1))</f>
        <v/>
      </c>
      <c r="AH289" s="29" t="str">
        <f>IF($B289="","",IF(SUM(Settings!$C$32:$C$37)=0,"",ROUND((Settings!$C$32*$AO289+Settings!$C$33*$AP289+Settings!$C$34*$AQ289+Settings!$C$35*$AR289+Settings!$C$36*$AS289+Settings!$C$37*$AT289)/SUM(Settings!$C$32:$C$37),1)))</f>
        <v/>
      </c>
      <c r="AI289" s="29" t="str">
        <f>IF($B289="","",MAX(0,100-IF(N($N289)&gt;0,0,20)-IF(AND(N($L289)=0,N($M289)=0),15,0)-IF(N($J289)&gt;0,0,10)-IF(N($K289)&gt;0,0,10)-IF($Z289&lt;&gt;"",0,15)-IF($AB289&lt;&gt;"",0,10)-IF($R289="ERROR",20,IF($R289="WARNING",10,0))))</f>
        <v/>
      </c>
      <c r="AJ289" s="30" t="str">
        <f>IF($AH289="","",IF($AH289&lt;Settings!$C$46,"Extreme Sell Pressure",IF($AH289&lt;Settings!$C$47,"Sell Pressure",IF($AH289&lt;=Settings!$C$48,"Neutral",IF($AH289&lt;=Settings!$C$49,"Buy Pressure","Extreme Buy Pressure")))))</f>
        <v/>
      </c>
      <c r="AK289" s="30" t="str">
        <f t="shared" si="79"/>
        <v/>
      </c>
      <c r="AL289" s="30" t="str">
        <f t="shared" si="80"/>
        <v/>
      </c>
      <c r="AM289" s="30" t="str">
        <f t="shared" si="81"/>
        <v/>
      </c>
      <c r="AN289" s="30" t="str">
        <f t="shared" si="82"/>
        <v/>
      </c>
      <c r="AO289" s="29" t="str">
        <f>IF($B289="","",IF(AND(N($L289)=0,N($M289)=0),50,IF(N($M289)=0,100,IF(N($L289)=0,0,MEDIAN(0,100,50+50*LN($S289)/LN(Settings!$C$40))))))</f>
        <v/>
      </c>
      <c r="AP289" s="29">
        <f>IF($AA289="",50,MEDIAN(0,100,50+$AA289*100*Settings!$C$41))</f>
        <v>50</v>
      </c>
      <c r="AQ289" s="29">
        <f>IF($H289="",50,MEDIAN(0,100,50+$H289*100*Settings!$C$42))</f>
        <v>50</v>
      </c>
      <c r="AR289" s="29">
        <f>IF(OR($AC289="",$H289=""),50,MEDIAN(0,100,50+SIGN($H289)*50*MEDIAN(0,1,($AC289-1)/Settings!$C$43)))</f>
        <v>50</v>
      </c>
      <c r="AS289" s="29">
        <f>IF(OR($V289="",$W289=""),50,MEDIAN(0,100,50+50*($V289-$W289)/Settings!$C$44))</f>
        <v>50</v>
      </c>
      <c r="AT289" s="29">
        <f t="shared" si="83"/>
        <v>50</v>
      </c>
      <c r="AU289" s="30" t="str">
        <f t="shared" si="84"/>
        <v/>
      </c>
      <c r="AV289" s="87" t="str">
        <f>IF($A289="","",IF(COUNTIFS($A$4:$A289,$A289)=1,1,0))</f>
        <v/>
      </c>
    </row>
    <row r="290" spans="1:48" x14ac:dyDescent="0.3">
      <c r="A290" s="270"/>
      <c r="B290" s="271"/>
      <c r="C290" s="272"/>
      <c r="D290" s="272"/>
      <c r="E290" s="272"/>
      <c r="F290" s="272"/>
      <c r="G290" s="272"/>
      <c r="H290" s="268" t="str">
        <f t="shared" si="68"/>
        <v/>
      </c>
      <c r="I290" s="273"/>
      <c r="J290" s="273"/>
      <c r="K290" s="273"/>
      <c r="L290" s="273"/>
      <c r="M290" s="273"/>
      <c r="N290" s="273"/>
      <c r="O290" s="271"/>
      <c r="P290" s="270"/>
      <c r="Q290" s="271"/>
      <c r="R290" s="23" t="str" cm="1">
        <f t="array" ref="R290">IF($B290="","",IFERROR(IF(INDEX('Data Quality'!$U$4:$U$503,ROW()-3)=0,"PENDING",INDEX('Data Quality'!$U$4:$U$503,ROW()-3)),"PENDING"))</f>
        <v/>
      </c>
      <c r="S290" s="24" t="str">
        <f t="shared" si="69"/>
        <v/>
      </c>
      <c r="T290" s="25" t="str">
        <f t="shared" si="70"/>
        <v/>
      </c>
      <c r="U290" s="25" t="str">
        <f t="shared" si="71"/>
        <v/>
      </c>
      <c r="V290" s="26" t="str">
        <f t="shared" si="72"/>
        <v/>
      </c>
      <c r="W290" s="26" t="str">
        <f t="shared" si="73"/>
        <v/>
      </c>
      <c r="X290" s="25" t="str">
        <f t="shared" si="74"/>
        <v/>
      </c>
      <c r="Y290" s="25" t="str">
        <f t="shared" si="75"/>
        <v/>
      </c>
      <c r="Z290" s="27" t="str">
        <f>IF($B290="","",IF($AK290&lt;=Settings!$C$21,"",IFERROR(AVERAGEIFS($S$4:$S$503,$B$4:$B$503,$B290,$AK$4:$AK$503,"&gt;="&amp;$AK290-Settings!$C$21,$AK$4:$AK$503,"&lt;="&amp;$AK290-1),"")))</f>
        <v/>
      </c>
      <c r="AA290" s="28" t="str">
        <f t="shared" si="76"/>
        <v/>
      </c>
      <c r="AB290" s="25" t="str">
        <f>IF($B290="","",IF($AK290&lt;=Settings!$C$22,"",IFERROR(AVERAGEIFS($K$4:$K$503,$B$4:$B$503,$B290,$AK$4:$AK$503,"&gt;="&amp;$AK290-Settings!$C$22,$AK$4:$AK$503,"&lt;="&amp;$AK290-1),"")))</f>
        <v/>
      </c>
      <c r="AC290" s="27" t="str">
        <f t="shared" si="77"/>
        <v/>
      </c>
      <c r="AD290" s="28" t="str">
        <f>IF($B290="","",IF($AK290&lt;=Settings!$C$23,"",IFERROR($E290/SUMIFS($E$4:$E$503,$B$4:$B$503,$B290,$AK$4:$AK$503,$AK290-Settings!$C$23)-1,"")))</f>
        <v/>
      </c>
      <c r="AE290" s="28" t="str">
        <f>IF($B290="","",IF($AK290&lt;=Settings!$C$22,"",IFERROR($E290/SUMIFS($E$4:$E$503,$B$4:$B$503,$B290,$AK$4:$AK$503,$AK290-Settings!$C$22)-1,"")))</f>
        <v/>
      </c>
      <c r="AF290" s="28" t="str">
        <f t="shared" si="78"/>
        <v/>
      </c>
      <c r="AG290" s="29" t="str">
        <f>IF($B290="","",ROUND((MIN(100,100*N($I290)/Settings!$C$27)+MIN(100,100*N($K290)/Settings!$C$28)+MIN(100,100*N($J290)/Settings!$C$29))/3,1))</f>
        <v/>
      </c>
      <c r="AH290" s="29" t="str">
        <f>IF($B290="","",IF(SUM(Settings!$C$32:$C$37)=0,"",ROUND((Settings!$C$32*$AO290+Settings!$C$33*$AP290+Settings!$C$34*$AQ290+Settings!$C$35*$AR290+Settings!$C$36*$AS290+Settings!$C$37*$AT290)/SUM(Settings!$C$32:$C$37),1)))</f>
        <v/>
      </c>
      <c r="AI290" s="29" t="str">
        <f>IF($B290="","",MAX(0,100-IF(N($N290)&gt;0,0,20)-IF(AND(N($L290)=0,N($M290)=0),15,0)-IF(N($J290)&gt;0,0,10)-IF(N($K290)&gt;0,0,10)-IF($Z290&lt;&gt;"",0,15)-IF($AB290&lt;&gt;"",0,10)-IF($R290="ERROR",20,IF($R290="WARNING",10,0))))</f>
        <v/>
      </c>
      <c r="AJ290" s="30" t="str">
        <f>IF($AH290="","",IF($AH290&lt;Settings!$C$46,"Extreme Sell Pressure",IF($AH290&lt;Settings!$C$47,"Sell Pressure",IF($AH290&lt;=Settings!$C$48,"Neutral",IF($AH290&lt;=Settings!$C$49,"Buy Pressure","Extreme Buy Pressure")))))</f>
        <v/>
      </c>
      <c r="AK290" s="30" t="str">
        <f t="shared" si="79"/>
        <v/>
      </c>
      <c r="AL290" s="30" t="str">
        <f t="shared" si="80"/>
        <v/>
      </c>
      <c r="AM290" s="30" t="str">
        <f t="shared" si="81"/>
        <v/>
      </c>
      <c r="AN290" s="30" t="str">
        <f t="shared" si="82"/>
        <v/>
      </c>
      <c r="AO290" s="29" t="str">
        <f>IF($B290="","",IF(AND(N($L290)=0,N($M290)=0),50,IF(N($M290)=0,100,IF(N($L290)=0,0,MEDIAN(0,100,50+50*LN($S290)/LN(Settings!$C$40))))))</f>
        <v/>
      </c>
      <c r="AP290" s="29">
        <f>IF($AA290="",50,MEDIAN(0,100,50+$AA290*100*Settings!$C$41))</f>
        <v>50</v>
      </c>
      <c r="AQ290" s="29">
        <f>IF($H290="",50,MEDIAN(0,100,50+$H290*100*Settings!$C$42))</f>
        <v>50</v>
      </c>
      <c r="AR290" s="29">
        <f>IF(OR($AC290="",$H290=""),50,MEDIAN(0,100,50+SIGN($H290)*50*MEDIAN(0,1,($AC290-1)/Settings!$C$43)))</f>
        <v>50</v>
      </c>
      <c r="AS290" s="29">
        <f>IF(OR($V290="",$W290=""),50,MEDIAN(0,100,50+50*($V290-$W290)/Settings!$C$44))</f>
        <v>50</v>
      </c>
      <c r="AT290" s="29">
        <f t="shared" si="83"/>
        <v>50</v>
      </c>
      <c r="AU290" s="30" t="str">
        <f t="shared" si="84"/>
        <v/>
      </c>
      <c r="AV290" s="87" t="str">
        <f>IF($A290="","",IF(COUNTIFS($A$4:$A290,$A290)=1,1,0))</f>
        <v/>
      </c>
    </row>
    <row r="291" spans="1:48" x14ac:dyDescent="0.3">
      <c r="A291" s="270"/>
      <c r="B291" s="271"/>
      <c r="C291" s="272"/>
      <c r="D291" s="272"/>
      <c r="E291" s="272"/>
      <c r="F291" s="272"/>
      <c r="G291" s="272"/>
      <c r="H291" s="268" t="str">
        <f t="shared" si="68"/>
        <v/>
      </c>
      <c r="I291" s="273"/>
      <c r="J291" s="273"/>
      <c r="K291" s="273"/>
      <c r="L291" s="273"/>
      <c r="M291" s="273"/>
      <c r="N291" s="273"/>
      <c r="O291" s="271"/>
      <c r="P291" s="270"/>
      <c r="Q291" s="271"/>
      <c r="R291" s="23" t="str" cm="1">
        <f t="array" ref="R291">IF($B291="","",IFERROR(IF(INDEX('Data Quality'!$U$4:$U$503,ROW()-3)=0,"PENDING",INDEX('Data Quality'!$U$4:$U$503,ROW()-3)),"PENDING"))</f>
        <v/>
      </c>
      <c r="S291" s="24" t="str">
        <f t="shared" si="69"/>
        <v/>
      </c>
      <c r="T291" s="25" t="str">
        <f t="shared" si="70"/>
        <v/>
      </c>
      <c r="U291" s="25" t="str">
        <f t="shared" si="71"/>
        <v/>
      </c>
      <c r="V291" s="26" t="str">
        <f t="shared" si="72"/>
        <v/>
      </c>
      <c r="W291" s="26" t="str">
        <f t="shared" si="73"/>
        <v/>
      </c>
      <c r="X291" s="25" t="str">
        <f t="shared" si="74"/>
        <v/>
      </c>
      <c r="Y291" s="25" t="str">
        <f t="shared" si="75"/>
        <v/>
      </c>
      <c r="Z291" s="27" t="str">
        <f>IF($B291="","",IF($AK291&lt;=Settings!$C$21,"",IFERROR(AVERAGEIFS($S$4:$S$503,$B$4:$B$503,$B291,$AK$4:$AK$503,"&gt;="&amp;$AK291-Settings!$C$21,$AK$4:$AK$503,"&lt;="&amp;$AK291-1),"")))</f>
        <v/>
      </c>
      <c r="AA291" s="28" t="str">
        <f t="shared" si="76"/>
        <v/>
      </c>
      <c r="AB291" s="25" t="str">
        <f>IF($B291="","",IF($AK291&lt;=Settings!$C$22,"",IFERROR(AVERAGEIFS($K$4:$K$503,$B$4:$B$503,$B291,$AK$4:$AK$503,"&gt;="&amp;$AK291-Settings!$C$22,$AK$4:$AK$503,"&lt;="&amp;$AK291-1),"")))</f>
        <v/>
      </c>
      <c r="AC291" s="27" t="str">
        <f t="shared" si="77"/>
        <v/>
      </c>
      <c r="AD291" s="28" t="str">
        <f>IF($B291="","",IF($AK291&lt;=Settings!$C$23,"",IFERROR($E291/SUMIFS($E$4:$E$503,$B$4:$B$503,$B291,$AK$4:$AK$503,$AK291-Settings!$C$23)-1,"")))</f>
        <v/>
      </c>
      <c r="AE291" s="28" t="str">
        <f>IF($B291="","",IF($AK291&lt;=Settings!$C$22,"",IFERROR($E291/SUMIFS($E$4:$E$503,$B$4:$B$503,$B291,$AK$4:$AK$503,$AK291-Settings!$C$22)-1,"")))</f>
        <v/>
      </c>
      <c r="AF291" s="28" t="str">
        <f t="shared" si="78"/>
        <v/>
      </c>
      <c r="AG291" s="29" t="str">
        <f>IF($B291="","",ROUND((MIN(100,100*N($I291)/Settings!$C$27)+MIN(100,100*N($K291)/Settings!$C$28)+MIN(100,100*N($J291)/Settings!$C$29))/3,1))</f>
        <v/>
      </c>
      <c r="AH291" s="29" t="str">
        <f>IF($B291="","",IF(SUM(Settings!$C$32:$C$37)=0,"",ROUND((Settings!$C$32*$AO291+Settings!$C$33*$AP291+Settings!$C$34*$AQ291+Settings!$C$35*$AR291+Settings!$C$36*$AS291+Settings!$C$37*$AT291)/SUM(Settings!$C$32:$C$37),1)))</f>
        <v/>
      </c>
      <c r="AI291" s="29" t="str">
        <f>IF($B291="","",MAX(0,100-IF(N($N291)&gt;0,0,20)-IF(AND(N($L291)=0,N($M291)=0),15,0)-IF(N($J291)&gt;0,0,10)-IF(N($K291)&gt;0,0,10)-IF($Z291&lt;&gt;"",0,15)-IF($AB291&lt;&gt;"",0,10)-IF($R291="ERROR",20,IF($R291="WARNING",10,0))))</f>
        <v/>
      </c>
      <c r="AJ291" s="30" t="str">
        <f>IF($AH291="","",IF($AH291&lt;Settings!$C$46,"Extreme Sell Pressure",IF($AH291&lt;Settings!$C$47,"Sell Pressure",IF($AH291&lt;=Settings!$C$48,"Neutral",IF($AH291&lt;=Settings!$C$49,"Buy Pressure","Extreme Buy Pressure")))))</f>
        <v/>
      </c>
      <c r="AK291" s="30" t="str">
        <f t="shared" si="79"/>
        <v/>
      </c>
      <c r="AL291" s="30" t="str">
        <f t="shared" si="80"/>
        <v/>
      </c>
      <c r="AM291" s="30" t="str">
        <f t="shared" si="81"/>
        <v/>
      </c>
      <c r="AN291" s="30" t="str">
        <f t="shared" si="82"/>
        <v/>
      </c>
      <c r="AO291" s="29" t="str">
        <f>IF($B291="","",IF(AND(N($L291)=0,N($M291)=0),50,IF(N($M291)=0,100,IF(N($L291)=0,0,MEDIAN(0,100,50+50*LN($S291)/LN(Settings!$C$40))))))</f>
        <v/>
      </c>
      <c r="AP291" s="29">
        <f>IF($AA291="",50,MEDIAN(0,100,50+$AA291*100*Settings!$C$41))</f>
        <v>50</v>
      </c>
      <c r="AQ291" s="29">
        <f>IF($H291="",50,MEDIAN(0,100,50+$H291*100*Settings!$C$42))</f>
        <v>50</v>
      </c>
      <c r="AR291" s="29">
        <f>IF(OR($AC291="",$H291=""),50,MEDIAN(0,100,50+SIGN($H291)*50*MEDIAN(0,1,($AC291-1)/Settings!$C$43)))</f>
        <v>50</v>
      </c>
      <c r="AS291" s="29">
        <f>IF(OR($V291="",$W291=""),50,MEDIAN(0,100,50+50*($V291-$W291)/Settings!$C$44))</f>
        <v>50</v>
      </c>
      <c r="AT291" s="29">
        <f t="shared" si="83"/>
        <v>50</v>
      </c>
      <c r="AU291" s="30" t="str">
        <f t="shared" si="84"/>
        <v/>
      </c>
      <c r="AV291" s="87" t="str">
        <f>IF($A291="","",IF(COUNTIFS($A$4:$A291,$A291)=1,1,0))</f>
        <v/>
      </c>
    </row>
    <row r="292" spans="1:48" x14ac:dyDescent="0.3">
      <c r="A292" s="270"/>
      <c r="B292" s="271"/>
      <c r="C292" s="272"/>
      <c r="D292" s="272"/>
      <c r="E292" s="272"/>
      <c r="F292" s="272"/>
      <c r="G292" s="272"/>
      <c r="H292" s="268" t="str">
        <f t="shared" si="68"/>
        <v/>
      </c>
      <c r="I292" s="273"/>
      <c r="J292" s="273"/>
      <c r="K292" s="273"/>
      <c r="L292" s="273"/>
      <c r="M292" s="273"/>
      <c r="N292" s="273"/>
      <c r="O292" s="271"/>
      <c r="P292" s="270"/>
      <c r="Q292" s="271"/>
      <c r="R292" s="23" t="str" cm="1">
        <f t="array" ref="R292">IF($B292="","",IFERROR(IF(INDEX('Data Quality'!$U$4:$U$503,ROW()-3)=0,"PENDING",INDEX('Data Quality'!$U$4:$U$503,ROW()-3)),"PENDING"))</f>
        <v/>
      </c>
      <c r="S292" s="24" t="str">
        <f t="shared" si="69"/>
        <v/>
      </c>
      <c r="T292" s="25" t="str">
        <f t="shared" si="70"/>
        <v/>
      </c>
      <c r="U292" s="25" t="str">
        <f t="shared" si="71"/>
        <v/>
      </c>
      <c r="V292" s="26" t="str">
        <f t="shared" si="72"/>
        <v/>
      </c>
      <c r="W292" s="26" t="str">
        <f t="shared" si="73"/>
        <v/>
      </c>
      <c r="X292" s="25" t="str">
        <f t="shared" si="74"/>
        <v/>
      </c>
      <c r="Y292" s="25" t="str">
        <f t="shared" si="75"/>
        <v/>
      </c>
      <c r="Z292" s="27" t="str">
        <f>IF($B292="","",IF($AK292&lt;=Settings!$C$21,"",IFERROR(AVERAGEIFS($S$4:$S$503,$B$4:$B$503,$B292,$AK$4:$AK$503,"&gt;="&amp;$AK292-Settings!$C$21,$AK$4:$AK$503,"&lt;="&amp;$AK292-1),"")))</f>
        <v/>
      </c>
      <c r="AA292" s="28" t="str">
        <f t="shared" si="76"/>
        <v/>
      </c>
      <c r="AB292" s="25" t="str">
        <f>IF($B292="","",IF($AK292&lt;=Settings!$C$22,"",IFERROR(AVERAGEIFS($K$4:$K$503,$B$4:$B$503,$B292,$AK$4:$AK$503,"&gt;="&amp;$AK292-Settings!$C$22,$AK$4:$AK$503,"&lt;="&amp;$AK292-1),"")))</f>
        <v/>
      </c>
      <c r="AC292" s="27" t="str">
        <f t="shared" si="77"/>
        <v/>
      </c>
      <c r="AD292" s="28" t="str">
        <f>IF($B292="","",IF($AK292&lt;=Settings!$C$23,"",IFERROR($E292/SUMIFS($E$4:$E$503,$B$4:$B$503,$B292,$AK$4:$AK$503,$AK292-Settings!$C$23)-1,"")))</f>
        <v/>
      </c>
      <c r="AE292" s="28" t="str">
        <f>IF($B292="","",IF($AK292&lt;=Settings!$C$22,"",IFERROR($E292/SUMIFS($E$4:$E$503,$B$4:$B$503,$B292,$AK$4:$AK$503,$AK292-Settings!$C$22)-1,"")))</f>
        <v/>
      </c>
      <c r="AF292" s="28" t="str">
        <f t="shared" si="78"/>
        <v/>
      </c>
      <c r="AG292" s="29" t="str">
        <f>IF($B292="","",ROUND((MIN(100,100*N($I292)/Settings!$C$27)+MIN(100,100*N($K292)/Settings!$C$28)+MIN(100,100*N($J292)/Settings!$C$29))/3,1))</f>
        <v/>
      </c>
      <c r="AH292" s="29" t="str">
        <f>IF($B292="","",IF(SUM(Settings!$C$32:$C$37)=0,"",ROUND((Settings!$C$32*$AO292+Settings!$C$33*$AP292+Settings!$C$34*$AQ292+Settings!$C$35*$AR292+Settings!$C$36*$AS292+Settings!$C$37*$AT292)/SUM(Settings!$C$32:$C$37),1)))</f>
        <v/>
      </c>
      <c r="AI292" s="29" t="str">
        <f>IF($B292="","",MAX(0,100-IF(N($N292)&gt;0,0,20)-IF(AND(N($L292)=0,N($M292)=0),15,0)-IF(N($J292)&gt;0,0,10)-IF(N($K292)&gt;0,0,10)-IF($Z292&lt;&gt;"",0,15)-IF($AB292&lt;&gt;"",0,10)-IF($R292="ERROR",20,IF($R292="WARNING",10,0))))</f>
        <v/>
      </c>
      <c r="AJ292" s="30" t="str">
        <f>IF($AH292="","",IF($AH292&lt;Settings!$C$46,"Extreme Sell Pressure",IF($AH292&lt;Settings!$C$47,"Sell Pressure",IF($AH292&lt;=Settings!$C$48,"Neutral",IF($AH292&lt;=Settings!$C$49,"Buy Pressure","Extreme Buy Pressure")))))</f>
        <v/>
      </c>
      <c r="AK292" s="30" t="str">
        <f t="shared" si="79"/>
        <v/>
      </c>
      <c r="AL292" s="30" t="str">
        <f t="shared" si="80"/>
        <v/>
      </c>
      <c r="AM292" s="30" t="str">
        <f t="shared" si="81"/>
        <v/>
      </c>
      <c r="AN292" s="30" t="str">
        <f t="shared" si="82"/>
        <v/>
      </c>
      <c r="AO292" s="29" t="str">
        <f>IF($B292="","",IF(AND(N($L292)=0,N($M292)=0),50,IF(N($M292)=0,100,IF(N($L292)=0,0,MEDIAN(0,100,50+50*LN($S292)/LN(Settings!$C$40))))))</f>
        <v/>
      </c>
      <c r="AP292" s="29">
        <f>IF($AA292="",50,MEDIAN(0,100,50+$AA292*100*Settings!$C$41))</f>
        <v>50</v>
      </c>
      <c r="AQ292" s="29">
        <f>IF($H292="",50,MEDIAN(0,100,50+$H292*100*Settings!$C$42))</f>
        <v>50</v>
      </c>
      <c r="AR292" s="29">
        <f>IF(OR($AC292="",$H292=""),50,MEDIAN(0,100,50+SIGN($H292)*50*MEDIAN(0,1,($AC292-1)/Settings!$C$43)))</f>
        <v>50</v>
      </c>
      <c r="AS292" s="29">
        <f>IF(OR($V292="",$W292=""),50,MEDIAN(0,100,50+50*($V292-$W292)/Settings!$C$44))</f>
        <v>50</v>
      </c>
      <c r="AT292" s="29">
        <f t="shared" si="83"/>
        <v>50</v>
      </c>
      <c r="AU292" s="30" t="str">
        <f t="shared" si="84"/>
        <v/>
      </c>
      <c r="AV292" s="87" t="str">
        <f>IF($A292="","",IF(COUNTIFS($A$4:$A292,$A292)=1,1,0))</f>
        <v/>
      </c>
    </row>
    <row r="293" spans="1:48" x14ac:dyDescent="0.3">
      <c r="A293" s="270"/>
      <c r="B293" s="271"/>
      <c r="C293" s="272"/>
      <c r="D293" s="272"/>
      <c r="E293" s="272"/>
      <c r="F293" s="272"/>
      <c r="G293" s="272"/>
      <c r="H293" s="268" t="str">
        <f t="shared" si="68"/>
        <v/>
      </c>
      <c r="I293" s="273"/>
      <c r="J293" s="273"/>
      <c r="K293" s="273"/>
      <c r="L293" s="273"/>
      <c r="M293" s="273"/>
      <c r="N293" s="273"/>
      <c r="O293" s="271"/>
      <c r="P293" s="270"/>
      <c r="Q293" s="271"/>
      <c r="R293" s="23" t="str" cm="1">
        <f t="array" ref="R293">IF($B293="","",IFERROR(IF(INDEX('Data Quality'!$U$4:$U$503,ROW()-3)=0,"PENDING",INDEX('Data Quality'!$U$4:$U$503,ROW()-3)),"PENDING"))</f>
        <v/>
      </c>
      <c r="S293" s="24" t="str">
        <f t="shared" si="69"/>
        <v/>
      </c>
      <c r="T293" s="25" t="str">
        <f t="shared" si="70"/>
        <v/>
      </c>
      <c r="U293" s="25" t="str">
        <f t="shared" si="71"/>
        <v/>
      </c>
      <c r="V293" s="26" t="str">
        <f t="shared" si="72"/>
        <v/>
      </c>
      <c r="W293" s="26" t="str">
        <f t="shared" si="73"/>
        <v/>
      </c>
      <c r="X293" s="25" t="str">
        <f t="shared" si="74"/>
        <v/>
      </c>
      <c r="Y293" s="25" t="str">
        <f t="shared" si="75"/>
        <v/>
      </c>
      <c r="Z293" s="27" t="str">
        <f>IF($B293="","",IF($AK293&lt;=Settings!$C$21,"",IFERROR(AVERAGEIFS($S$4:$S$503,$B$4:$B$503,$B293,$AK$4:$AK$503,"&gt;="&amp;$AK293-Settings!$C$21,$AK$4:$AK$503,"&lt;="&amp;$AK293-1),"")))</f>
        <v/>
      </c>
      <c r="AA293" s="28" t="str">
        <f t="shared" si="76"/>
        <v/>
      </c>
      <c r="AB293" s="25" t="str">
        <f>IF($B293="","",IF($AK293&lt;=Settings!$C$22,"",IFERROR(AVERAGEIFS($K$4:$K$503,$B$4:$B$503,$B293,$AK$4:$AK$503,"&gt;="&amp;$AK293-Settings!$C$22,$AK$4:$AK$503,"&lt;="&amp;$AK293-1),"")))</f>
        <v/>
      </c>
      <c r="AC293" s="27" t="str">
        <f t="shared" si="77"/>
        <v/>
      </c>
      <c r="AD293" s="28" t="str">
        <f>IF($B293="","",IF($AK293&lt;=Settings!$C$23,"",IFERROR($E293/SUMIFS($E$4:$E$503,$B$4:$B$503,$B293,$AK$4:$AK$503,$AK293-Settings!$C$23)-1,"")))</f>
        <v/>
      </c>
      <c r="AE293" s="28" t="str">
        <f>IF($B293="","",IF($AK293&lt;=Settings!$C$22,"",IFERROR($E293/SUMIFS($E$4:$E$503,$B$4:$B$503,$B293,$AK$4:$AK$503,$AK293-Settings!$C$22)-1,"")))</f>
        <v/>
      </c>
      <c r="AF293" s="28" t="str">
        <f t="shared" si="78"/>
        <v/>
      </c>
      <c r="AG293" s="29" t="str">
        <f>IF($B293="","",ROUND((MIN(100,100*N($I293)/Settings!$C$27)+MIN(100,100*N($K293)/Settings!$C$28)+MIN(100,100*N($J293)/Settings!$C$29))/3,1))</f>
        <v/>
      </c>
      <c r="AH293" s="29" t="str">
        <f>IF($B293="","",IF(SUM(Settings!$C$32:$C$37)=0,"",ROUND((Settings!$C$32*$AO293+Settings!$C$33*$AP293+Settings!$C$34*$AQ293+Settings!$C$35*$AR293+Settings!$C$36*$AS293+Settings!$C$37*$AT293)/SUM(Settings!$C$32:$C$37),1)))</f>
        <v/>
      </c>
      <c r="AI293" s="29" t="str">
        <f>IF($B293="","",MAX(0,100-IF(N($N293)&gt;0,0,20)-IF(AND(N($L293)=0,N($M293)=0),15,0)-IF(N($J293)&gt;0,0,10)-IF(N($K293)&gt;0,0,10)-IF($Z293&lt;&gt;"",0,15)-IF($AB293&lt;&gt;"",0,10)-IF($R293="ERROR",20,IF($R293="WARNING",10,0))))</f>
        <v/>
      </c>
      <c r="AJ293" s="30" t="str">
        <f>IF($AH293="","",IF($AH293&lt;Settings!$C$46,"Extreme Sell Pressure",IF($AH293&lt;Settings!$C$47,"Sell Pressure",IF($AH293&lt;=Settings!$C$48,"Neutral",IF($AH293&lt;=Settings!$C$49,"Buy Pressure","Extreme Buy Pressure")))))</f>
        <v/>
      </c>
      <c r="AK293" s="30" t="str">
        <f t="shared" si="79"/>
        <v/>
      </c>
      <c r="AL293" s="30" t="str">
        <f t="shared" si="80"/>
        <v/>
      </c>
      <c r="AM293" s="30" t="str">
        <f t="shared" si="81"/>
        <v/>
      </c>
      <c r="AN293" s="30" t="str">
        <f t="shared" si="82"/>
        <v/>
      </c>
      <c r="AO293" s="29" t="str">
        <f>IF($B293="","",IF(AND(N($L293)=0,N($M293)=0),50,IF(N($M293)=0,100,IF(N($L293)=0,0,MEDIAN(0,100,50+50*LN($S293)/LN(Settings!$C$40))))))</f>
        <v/>
      </c>
      <c r="AP293" s="29">
        <f>IF($AA293="",50,MEDIAN(0,100,50+$AA293*100*Settings!$C$41))</f>
        <v>50</v>
      </c>
      <c r="AQ293" s="29">
        <f>IF($H293="",50,MEDIAN(0,100,50+$H293*100*Settings!$C$42))</f>
        <v>50</v>
      </c>
      <c r="AR293" s="29">
        <f>IF(OR($AC293="",$H293=""),50,MEDIAN(0,100,50+SIGN($H293)*50*MEDIAN(0,1,($AC293-1)/Settings!$C$43)))</f>
        <v>50</v>
      </c>
      <c r="AS293" s="29">
        <f>IF(OR($V293="",$W293=""),50,MEDIAN(0,100,50+50*($V293-$W293)/Settings!$C$44))</f>
        <v>50</v>
      </c>
      <c r="AT293" s="29">
        <f t="shared" si="83"/>
        <v>50</v>
      </c>
      <c r="AU293" s="30" t="str">
        <f t="shared" si="84"/>
        <v/>
      </c>
      <c r="AV293" s="87" t="str">
        <f>IF($A293="","",IF(COUNTIFS($A$4:$A293,$A293)=1,1,0))</f>
        <v/>
      </c>
    </row>
    <row r="294" spans="1:48" x14ac:dyDescent="0.3">
      <c r="A294" s="270"/>
      <c r="B294" s="271"/>
      <c r="C294" s="272"/>
      <c r="D294" s="272"/>
      <c r="E294" s="272"/>
      <c r="F294" s="272"/>
      <c r="G294" s="272"/>
      <c r="H294" s="268" t="str">
        <f t="shared" si="68"/>
        <v/>
      </c>
      <c r="I294" s="273"/>
      <c r="J294" s="273"/>
      <c r="K294" s="273"/>
      <c r="L294" s="273"/>
      <c r="M294" s="273"/>
      <c r="N294" s="273"/>
      <c r="O294" s="271"/>
      <c r="P294" s="270"/>
      <c r="Q294" s="271"/>
      <c r="R294" s="23" t="str" cm="1">
        <f t="array" ref="R294">IF($B294="","",IFERROR(IF(INDEX('Data Quality'!$U$4:$U$503,ROW()-3)=0,"PENDING",INDEX('Data Quality'!$U$4:$U$503,ROW()-3)),"PENDING"))</f>
        <v/>
      </c>
      <c r="S294" s="24" t="str">
        <f t="shared" si="69"/>
        <v/>
      </c>
      <c r="T294" s="25" t="str">
        <f t="shared" si="70"/>
        <v/>
      </c>
      <c r="U294" s="25" t="str">
        <f t="shared" si="71"/>
        <v/>
      </c>
      <c r="V294" s="26" t="str">
        <f t="shared" si="72"/>
        <v/>
      </c>
      <c r="W294" s="26" t="str">
        <f t="shared" si="73"/>
        <v/>
      </c>
      <c r="X294" s="25" t="str">
        <f t="shared" si="74"/>
        <v/>
      </c>
      <c r="Y294" s="25" t="str">
        <f t="shared" si="75"/>
        <v/>
      </c>
      <c r="Z294" s="27" t="str">
        <f>IF($B294="","",IF($AK294&lt;=Settings!$C$21,"",IFERROR(AVERAGEIFS($S$4:$S$503,$B$4:$B$503,$B294,$AK$4:$AK$503,"&gt;="&amp;$AK294-Settings!$C$21,$AK$4:$AK$503,"&lt;="&amp;$AK294-1),"")))</f>
        <v/>
      </c>
      <c r="AA294" s="28" t="str">
        <f t="shared" si="76"/>
        <v/>
      </c>
      <c r="AB294" s="25" t="str">
        <f>IF($B294="","",IF($AK294&lt;=Settings!$C$22,"",IFERROR(AVERAGEIFS($K$4:$K$503,$B$4:$B$503,$B294,$AK$4:$AK$503,"&gt;="&amp;$AK294-Settings!$C$22,$AK$4:$AK$503,"&lt;="&amp;$AK294-1),"")))</f>
        <v/>
      </c>
      <c r="AC294" s="27" t="str">
        <f t="shared" si="77"/>
        <v/>
      </c>
      <c r="AD294" s="28" t="str">
        <f>IF($B294="","",IF($AK294&lt;=Settings!$C$23,"",IFERROR($E294/SUMIFS($E$4:$E$503,$B$4:$B$503,$B294,$AK$4:$AK$503,$AK294-Settings!$C$23)-1,"")))</f>
        <v/>
      </c>
      <c r="AE294" s="28" t="str">
        <f>IF($B294="","",IF($AK294&lt;=Settings!$C$22,"",IFERROR($E294/SUMIFS($E$4:$E$503,$B$4:$B$503,$B294,$AK$4:$AK$503,$AK294-Settings!$C$22)-1,"")))</f>
        <v/>
      </c>
      <c r="AF294" s="28" t="str">
        <f t="shared" si="78"/>
        <v/>
      </c>
      <c r="AG294" s="29" t="str">
        <f>IF($B294="","",ROUND((MIN(100,100*N($I294)/Settings!$C$27)+MIN(100,100*N($K294)/Settings!$C$28)+MIN(100,100*N($J294)/Settings!$C$29))/3,1))</f>
        <v/>
      </c>
      <c r="AH294" s="29" t="str">
        <f>IF($B294="","",IF(SUM(Settings!$C$32:$C$37)=0,"",ROUND((Settings!$C$32*$AO294+Settings!$C$33*$AP294+Settings!$C$34*$AQ294+Settings!$C$35*$AR294+Settings!$C$36*$AS294+Settings!$C$37*$AT294)/SUM(Settings!$C$32:$C$37),1)))</f>
        <v/>
      </c>
      <c r="AI294" s="29" t="str">
        <f>IF($B294="","",MAX(0,100-IF(N($N294)&gt;0,0,20)-IF(AND(N($L294)=0,N($M294)=0),15,0)-IF(N($J294)&gt;0,0,10)-IF(N($K294)&gt;0,0,10)-IF($Z294&lt;&gt;"",0,15)-IF($AB294&lt;&gt;"",0,10)-IF($R294="ERROR",20,IF($R294="WARNING",10,0))))</f>
        <v/>
      </c>
      <c r="AJ294" s="30" t="str">
        <f>IF($AH294="","",IF($AH294&lt;Settings!$C$46,"Extreme Sell Pressure",IF($AH294&lt;Settings!$C$47,"Sell Pressure",IF($AH294&lt;=Settings!$C$48,"Neutral",IF($AH294&lt;=Settings!$C$49,"Buy Pressure","Extreme Buy Pressure")))))</f>
        <v/>
      </c>
      <c r="AK294" s="30" t="str">
        <f t="shared" si="79"/>
        <v/>
      </c>
      <c r="AL294" s="30" t="str">
        <f t="shared" si="80"/>
        <v/>
      </c>
      <c r="AM294" s="30" t="str">
        <f t="shared" si="81"/>
        <v/>
      </c>
      <c r="AN294" s="30" t="str">
        <f t="shared" si="82"/>
        <v/>
      </c>
      <c r="AO294" s="29" t="str">
        <f>IF($B294="","",IF(AND(N($L294)=0,N($M294)=0),50,IF(N($M294)=0,100,IF(N($L294)=0,0,MEDIAN(0,100,50+50*LN($S294)/LN(Settings!$C$40))))))</f>
        <v/>
      </c>
      <c r="AP294" s="29">
        <f>IF($AA294="",50,MEDIAN(0,100,50+$AA294*100*Settings!$C$41))</f>
        <v>50</v>
      </c>
      <c r="AQ294" s="29">
        <f>IF($H294="",50,MEDIAN(0,100,50+$H294*100*Settings!$C$42))</f>
        <v>50</v>
      </c>
      <c r="AR294" s="29">
        <f>IF(OR($AC294="",$H294=""),50,MEDIAN(0,100,50+SIGN($H294)*50*MEDIAN(0,1,($AC294-1)/Settings!$C$43)))</f>
        <v>50</v>
      </c>
      <c r="AS294" s="29">
        <f>IF(OR($V294="",$W294=""),50,MEDIAN(0,100,50+50*($V294-$W294)/Settings!$C$44))</f>
        <v>50</v>
      </c>
      <c r="AT294" s="29">
        <f t="shared" si="83"/>
        <v>50</v>
      </c>
      <c r="AU294" s="30" t="str">
        <f t="shared" si="84"/>
        <v/>
      </c>
      <c r="AV294" s="87" t="str">
        <f>IF($A294="","",IF(COUNTIFS($A$4:$A294,$A294)=1,1,0))</f>
        <v/>
      </c>
    </row>
    <row r="295" spans="1:48" x14ac:dyDescent="0.3">
      <c r="A295" s="270"/>
      <c r="B295" s="271"/>
      <c r="C295" s="272"/>
      <c r="D295" s="272"/>
      <c r="E295" s="272"/>
      <c r="F295" s="272"/>
      <c r="G295" s="272"/>
      <c r="H295" s="268" t="str">
        <f t="shared" si="68"/>
        <v/>
      </c>
      <c r="I295" s="273"/>
      <c r="J295" s="273"/>
      <c r="K295" s="273"/>
      <c r="L295" s="273"/>
      <c r="M295" s="273"/>
      <c r="N295" s="273"/>
      <c r="O295" s="271"/>
      <c r="P295" s="270"/>
      <c r="Q295" s="271"/>
      <c r="R295" s="23" t="str" cm="1">
        <f t="array" ref="R295">IF($B295="","",IFERROR(IF(INDEX('Data Quality'!$U$4:$U$503,ROW()-3)=0,"PENDING",INDEX('Data Quality'!$U$4:$U$503,ROW()-3)),"PENDING"))</f>
        <v/>
      </c>
      <c r="S295" s="24" t="str">
        <f t="shared" si="69"/>
        <v/>
      </c>
      <c r="T295" s="25" t="str">
        <f t="shared" si="70"/>
        <v/>
      </c>
      <c r="U295" s="25" t="str">
        <f t="shared" si="71"/>
        <v/>
      </c>
      <c r="V295" s="26" t="str">
        <f t="shared" si="72"/>
        <v/>
      </c>
      <c r="W295" s="26" t="str">
        <f t="shared" si="73"/>
        <v/>
      </c>
      <c r="X295" s="25" t="str">
        <f t="shared" si="74"/>
        <v/>
      </c>
      <c r="Y295" s="25" t="str">
        <f t="shared" si="75"/>
        <v/>
      </c>
      <c r="Z295" s="27" t="str">
        <f>IF($B295="","",IF($AK295&lt;=Settings!$C$21,"",IFERROR(AVERAGEIFS($S$4:$S$503,$B$4:$B$503,$B295,$AK$4:$AK$503,"&gt;="&amp;$AK295-Settings!$C$21,$AK$4:$AK$503,"&lt;="&amp;$AK295-1),"")))</f>
        <v/>
      </c>
      <c r="AA295" s="28" t="str">
        <f t="shared" si="76"/>
        <v/>
      </c>
      <c r="AB295" s="25" t="str">
        <f>IF($B295="","",IF($AK295&lt;=Settings!$C$22,"",IFERROR(AVERAGEIFS($K$4:$K$503,$B$4:$B$503,$B295,$AK$4:$AK$503,"&gt;="&amp;$AK295-Settings!$C$22,$AK$4:$AK$503,"&lt;="&amp;$AK295-1),"")))</f>
        <v/>
      </c>
      <c r="AC295" s="27" t="str">
        <f t="shared" si="77"/>
        <v/>
      </c>
      <c r="AD295" s="28" t="str">
        <f>IF($B295="","",IF($AK295&lt;=Settings!$C$23,"",IFERROR($E295/SUMIFS($E$4:$E$503,$B$4:$B$503,$B295,$AK$4:$AK$503,$AK295-Settings!$C$23)-1,"")))</f>
        <v/>
      </c>
      <c r="AE295" s="28" t="str">
        <f>IF($B295="","",IF($AK295&lt;=Settings!$C$22,"",IFERROR($E295/SUMIFS($E$4:$E$503,$B$4:$B$503,$B295,$AK$4:$AK$503,$AK295-Settings!$C$22)-1,"")))</f>
        <v/>
      </c>
      <c r="AF295" s="28" t="str">
        <f t="shared" si="78"/>
        <v/>
      </c>
      <c r="AG295" s="29" t="str">
        <f>IF($B295="","",ROUND((MIN(100,100*N($I295)/Settings!$C$27)+MIN(100,100*N($K295)/Settings!$C$28)+MIN(100,100*N($J295)/Settings!$C$29))/3,1))</f>
        <v/>
      </c>
      <c r="AH295" s="29" t="str">
        <f>IF($B295="","",IF(SUM(Settings!$C$32:$C$37)=0,"",ROUND((Settings!$C$32*$AO295+Settings!$C$33*$AP295+Settings!$C$34*$AQ295+Settings!$C$35*$AR295+Settings!$C$36*$AS295+Settings!$C$37*$AT295)/SUM(Settings!$C$32:$C$37),1)))</f>
        <v/>
      </c>
      <c r="AI295" s="29" t="str">
        <f>IF($B295="","",MAX(0,100-IF(N($N295)&gt;0,0,20)-IF(AND(N($L295)=0,N($M295)=0),15,0)-IF(N($J295)&gt;0,0,10)-IF(N($K295)&gt;0,0,10)-IF($Z295&lt;&gt;"",0,15)-IF($AB295&lt;&gt;"",0,10)-IF($R295="ERROR",20,IF($R295="WARNING",10,0))))</f>
        <v/>
      </c>
      <c r="AJ295" s="30" t="str">
        <f>IF($AH295="","",IF($AH295&lt;Settings!$C$46,"Extreme Sell Pressure",IF($AH295&lt;Settings!$C$47,"Sell Pressure",IF($AH295&lt;=Settings!$C$48,"Neutral",IF($AH295&lt;=Settings!$C$49,"Buy Pressure","Extreme Buy Pressure")))))</f>
        <v/>
      </c>
      <c r="AK295" s="30" t="str">
        <f t="shared" si="79"/>
        <v/>
      </c>
      <c r="AL295" s="30" t="str">
        <f t="shared" si="80"/>
        <v/>
      </c>
      <c r="AM295" s="30" t="str">
        <f t="shared" si="81"/>
        <v/>
      </c>
      <c r="AN295" s="30" t="str">
        <f t="shared" si="82"/>
        <v/>
      </c>
      <c r="AO295" s="29" t="str">
        <f>IF($B295="","",IF(AND(N($L295)=0,N($M295)=0),50,IF(N($M295)=0,100,IF(N($L295)=0,0,MEDIAN(0,100,50+50*LN($S295)/LN(Settings!$C$40))))))</f>
        <v/>
      </c>
      <c r="AP295" s="29">
        <f>IF($AA295="",50,MEDIAN(0,100,50+$AA295*100*Settings!$C$41))</f>
        <v>50</v>
      </c>
      <c r="AQ295" s="29">
        <f>IF($H295="",50,MEDIAN(0,100,50+$H295*100*Settings!$C$42))</f>
        <v>50</v>
      </c>
      <c r="AR295" s="29">
        <f>IF(OR($AC295="",$H295=""),50,MEDIAN(0,100,50+SIGN($H295)*50*MEDIAN(0,1,($AC295-1)/Settings!$C$43)))</f>
        <v>50</v>
      </c>
      <c r="AS295" s="29">
        <f>IF(OR($V295="",$W295=""),50,MEDIAN(0,100,50+50*($V295-$W295)/Settings!$C$44))</f>
        <v>50</v>
      </c>
      <c r="AT295" s="29">
        <f t="shared" si="83"/>
        <v>50</v>
      </c>
      <c r="AU295" s="30" t="str">
        <f t="shared" si="84"/>
        <v/>
      </c>
      <c r="AV295" s="87" t="str">
        <f>IF($A295="","",IF(COUNTIFS($A$4:$A295,$A295)=1,1,0))</f>
        <v/>
      </c>
    </row>
    <row r="296" spans="1:48" x14ac:dyDescent="0.3">
      <c r="A296" s="270"/>
      <c r="B296" s="271"/>
      <c r="C296" s="272"/>
      <c r="D296" s="272"/>
      <c r="E296" s="272"/>
      <c r="F296" s="272"/>
      <c r="G296" s="272"/>
      <c r="H296" s="268" t="str">
        <f t="shared" si="68"/>
        <v/>
      </c>
      <c r="I296" s="273"/>
      <c r="J296" s="273"/>
      <c r="K296" s="273"/>
      <c r="L296" s="273"/>
      <c r="M296" s="273"/>
      <c r="N296" s="273"/>
      <c r="O296" s="271"/>
      <c r="P296" s="270"/>
      <c r="Q296" s="271"/>
      <c r="R296" s="23" t="str" cm="1">
        <f t="array" ref="R296">IF($B296="","",IFERROR(IF(INDEX('Data Quality'!$U$4:$U$503,ROW()-3)=0,"PENDING",INDEX('Data Quality'!$U$4:$U$503,ROW()-3)),"PENDING"))</f>
        <v/>
      </c>
      <c r="S296" s="24" t="str">
        <f t="shared" si="69"/>
        <v/>
      </c>
      <c r="T296" s="25" t="str">
        <f t="shared" si="70"/>
        <v/>
      </c>
      <c r="U296" s="25" t="str">
        <f t="shared" si="71"/>
        <v/>
      </c>
      <c r="V296" s="26" t="str">
        <f t="shared" si="72"/>
        <v/>
      </c>
      <c r="W296" s="26" t="str">
        <f t="shared" si="73"/>
        <v/>
      </c>
      <c r="X296" s="25" t="str">
        <f t="shared" si="74"/>
        <v/>
      </c>
      <c r="Y296" s="25" t="str">
        <f t="shared" si="75"/>
        <v/>
      </c>
      <c r="Z296" s="27" t="str">
        <f>IF($B296="","",IF($AK296&lt;=Settings!$C$21,"",IFERROR(AVERAGEIFS($S$4:$S$503,$B$4:$B$503,$B296,$AK$4:$AK$503,"&gt;="&amp;$AK296-Settings!$C$21,$AK$4:$AK$503,"&lt;="&amp;$AK296-1),"")))</f>
        <v/>
      </c>
      <c r="AA296" s="28" t="str">
        <f t="shared" si="76"/>
        <v/>
      </c>
      <c r="AB296" s="25" t="str">
        <f>IF($B296="","",IF($AK296&lt;=Settings!$C$22,"",IFERROR(AVERAGEIFS($K$4:$K$503,$B$4:$B$503,$B296,$AK$4:$AK$503,"&gt;="&amp;$AK296-Settings!$C$22,$AK$4:$AK$503,"&lt;="&amp;$AK296-1),"")))</f>
        <v/>
      </c>
      <c r="AC296" s="27" t="str">
        <f t="shared" si="77"/>
        <v/>
      </c>
      <c r="AD296" s="28" t="str">
        <f>IF($B296="","",IF($AK296&lt;=Settings!$C$23,"",IFERROR($E296/SUMIFS($E$4:$E$503,$B$4:$B$503,$B296,$AK$4:$AK$503,$AK296-Settings!$C$23)-1,"")))</f>
        <v/>
      </c>
      <c r="AE296" s="28" t="str">
        <f>IF($B296="","",IF($AK296&lt;=Settings!$C$22,"",IFERROR($E296/SUMIFS($E$4:$E$503,$B$4:$B$503,$B296,$AK$4:$AK$503,$AK296-Settings!$C$22)-1,"")))</f>
        <v/>
      </c>
      <c r="AF296" s="28" t="str">
        <f t="shared" si="78"/>
        <v/>
      </c>
      <c r="AG296" s="29" t="str">
        <f>IF($B296="","",ROUND((MIN(100,100*N($I296)/Settings!$C$27)+MIN(100,100*N($K296)/Settings!$C$28)+MIN(100,100*N($J296)/Settings!$C$29))/3,1))</f>
        <v/>
      </c>
      <c r="AH296" s="29" t="str">
        <f>IF($B296="","",IF(SUM(Settings!$C$32:$C$37)=0,"",ROUND((Settings!$C$32*$AO296+Settings!$C$33*$AP296+Settings!$C$34*$AQ296+Settings!$C$35*$AR296+Settings!$C$36*$AS296+Settings!$C$37*$AT296)/SUM(Settings!$C$32:$C$37),1)))</f>
        <v/>
      </c>
      <c r="AI296" s="29" t="str">
        <f>IF($B296="","",MAX(0,100-IF(N($N296)&gt;0,0,20)-IF(AND(N($L296)=0,N($M296)=0),15,0)-IF(N($J296)&gt;0,0,10)-IF(N($K296)&gt;0,0,10)-IF($Z296&lt;&gt;"",0,15)-IF($AB296&lt;&gt;"",0,10)-IF($R296="ERROR",20,IF($R296="WARNING",10,0))))</f>
        <v/>
      </c>
      <c r="AJ296" s="30" t="str">
        <f>IF($AH296="","",IF($AH296&lt;Settings!$C$46,"Extreme Sell Pressure",IF($AH296&lt;Settings!$C$47,"Sell Pressure",IF($AH296&lt;=Settings!$C$48,"Neutral",IF($AH296&lt;=Settings!$C$49,"Buy Pressure","Extreme Buy Pressure")))))</f>
        <v/>
      </c>
      <c r="AK296" s="30" t="str">
        <f t="shared" si="79"/>
        <v/>
      </c>
      <c r="AL296" s="30" t="str">
        <f t="shared" si="80"/>
        <v/>
      </c>
      <c r="AM296" s="30" t="str">
        <f t="shared" si="81"/>
        <v/>
      </c>
      <c r="AN296" s="30" t="str">
        <f t="shared" si="82"/>
        <v/>
      </c>
      <c r="AO296" s="29" t="str">
        <f>IF($B296="","",IF(AND(N($L296)=0,N($M296)=0),50,IF(N($M296)=0,100,IF(N($L296)=0,0,MEDIAN(0,100,50+50*LN($S296)/LN(Settings!$C$40))))))</f>
        <v/>
      </c>
      <c r="AP296" s="29">
        <f>IF($AA296="",50,MEDIAN(0,100,50+$AA296*100*Settings!$C$41))</f>
        <v>50</v>
      </c>
      <c r="AQ296" s="29">
        <f>IF($H296="",50,MEDIAN(0,100,50+$H296*100*Settings!$C$42))</f>
        <v>50</v>
      </c>
      <c r="AR296" s="29">
        <f>IF(OR($AC296="",$H296=""),50,MEDIAN(0,100,50+SIGN($H296)*50*MEDIAN(0,1,($AC296-1)/Settings!$C$43)))</f>
        <v>50</v>
      </c>
      <c r="AS296" s="29">
        <f>IF(OR($V296="",$W296=""),50,MEDIAN(0,100,50+50*($V296-$W296)/Settings!$C$44))</f>
        <v>50</v>
      </c>
      <c r="AT296" s="29">
        <f t="shared" si="83"/>
        <v>50</v>
      </c>
      <c r="AU296" s="30" t="str">
        <f t="shared" si="84"/>
        <v/>
      </c>
      <c r="AV296" s="87" t="str">
        <f>IF($A296="","",IF(COUNTIFS($A$4:$A296,$A296)=1,1,0))</f>
        <v/>
      </c>
    </row>
    <row r="297" spans="1:48" x14ac:dyDescent="0.3">
      <c r="A297" s="270"/>
      <c r="B297" s="271"/>
      <c r="C297" s="272"/>
      <c r="D297" s="272"/>
      <c r="E297" s="272"/>
      <c r="F297" s="272"/>
      <c r="G297" s="272"/>
      <c r="H297" s="268" t="str">
        <f t="shared" si="68"/>
        <v/>
      </c>
      <c r="I297" s="273"/>
      <c r="J297" s="273"/>
      <c r="K297" s="273"/>
      <c r="L297" s="273"/>
      <c r="M297" s="273"/>
      <c r="N297" s="273"/>
      <c r="O297" s="271"/>
      <c r="P297" s="270"/>
      <c r="Q297" s="271"/>
      <c r="R297" s="23" t="str" cm="1">
        <f t="array" ref="R297">IF($B297="","",IFERROR(IF(INDEX('Data Quality'!$U$4:$U$503,ROW()-3)=0,"PENDING",INDEX('Data Quality'!$U$4:$U$503,ROW()-3)),"PENDING"))</f>
        <v/>
      </c>
      <c r="S297" s="24" t="str">
        <f t="shared" si="69"/>
        <v/>
      </c>
      <c r="T297" s="25" t="str">
        <f t="shared" si="70"/>
        <v/>
      </c>
      <c r="U297" s="25" t="str">
        <f t="shared" si="71"/>
        <v/>
      </c>
      <c r="V297" s="26" t="str">
        <f t="shared" si="72"/>
        <v/>
      </c>
      <c r="W297" s="26" t="str">
        <f t="shared" si="73"/>
        <v/>
      </c>
      <c r="X297" s="25" t="str">
        <f t="shared" si="74"/>
        <v/>
      </c>
      <c r="Y297" s="25" t="str">
        <f t="shared" si="75"/>
        <v/>
      </c>
      <c r="Z297" s="27" t="str">
        <f>IF($B297="","",IF($AK297&lt;=Settings!$C$21,"",IFERROR(AVERAGEIFS($S$4:$S$503,$B$4:$B$503,$B297,$AK$4:$AK$503,"&gt;="&amp;$AK297-Settings!$C$21,$AK$4:$AK$503,"&lt;="&amp;$AK297-1),"")))</f>
        <v/>
      </c>
      <c r="AA297" s="28" t="str">
        <f t="shared" si="76"/>
        <v/>
      </c>
      <c r="AB297" s="25" t="str">
        <f>IF($B297="","",IF($AK297&lt;=Settings!$C$22,"",IFERROR(AVERAGEIFS($K$4:$K$503,$B$4:$B$503,$B297,$AK$4:$AK$503,"&gt;="&amp;$AK297-Settings!$C$22,$AK$4:$AK$503,"&lt;="&amp;$AK297-1),"")))</f>
        <v/>
      </c>
      <c r="AC297" s="27" t="str">
        <f t="shared" si="77"/>
        <v/>
      </c>
      <c r="AD297" s="28" t="str">
        <f>IF($B297="","",IF($AK297&lt;=Settings!$C$23,"",IFERROR($E297/SUMIFS($E$4:$E$503,$B$4:$B$503,$B297,$AK$4:$AK$503,$AK297-Settings!$C$23)-1,"")))</f>
        <v/>
      </c>
      <c r="AE297" s="28" t="str">
        <f>IF($B297="","",IF($AK297&lt;=Settings!$C$22,"",IFERROR($E297/SUMIFS($E$4:$E$503,$B$4:$B$503,$B297,$AK$4:$AK$503,$AK297-Settings!$C$22)-1,"")))</f>
        <v/>
      </c>
      <c r="AF297" s="28" t="str">
        <f t="shared" si="78"/>
        <v/>
      </c>
      <c r="AG297" s="29" t="str">
        <f>IF($B297="","",ROUND((MIN(100,100*N($I297)/Settings!$C$27)+MIN(100,100*N($K297)/Settings!$C$28)+MIN(100,100*N($J297)/Settings!$C$29))/3,1))</f>
        <v/>
      </c>
      <c r="AH297" s="29" t="str">
        <f>IF($B297="","",IF(SUM(Settings!$C$32:$C$37)=0,"",ROUND((Settings!$C$32*$AO297+Settings!$C$33*$AP297+Settings!$C$34*$AQ297+Settings!$C$35*$AR297+Settings!$C$36*$AS297+Settings!$C$37*$AT297)/SUM(Settings!$C$32:$C$37),1)))</f>
        <v/>
      </c>
      <c r="AI297" s="29" t="str">
        <f>IF($B297="","",MAX(0,100-IF(N($N297)&gt;0,0,20)-IF(AND(N($L297)=0,N($M297)=0),15,0)-IF(N($J297)&gt;0,0,10)-IF(N($K297)&gt;0,0,10)-IF($Z297&lt;&gt;"",0,15)-IF($AB297&lt;&gt;"",0,10)-IF($R297="ERROR",20,IF($R297="WARNING",10,0))))</f>
        <v/>
      </c>
      <c r="AJ297" s="30" t="str">
        <f>IF($AH297="","",IF($AH297&lt;Settings!$C$46,"Extreme Sell Pressure",IF($AH297&lt;Settings!$C$47,"Sell Pressure",IF($AH297&lt;=Settings!$C$48,"Neutral",IF($AH297&lt;=Settings!$C$49,"Buy Pressure","Extreme Buy Pressure")))))</f>
        <v/>
      </c>
      <c r="AK297" s="30" t="str">
        <f t="shared" si="79"/>
        <v/>
      </c>
      <c r="AL297" s="30" t="str">
        <f t="shared" si="80"/>
        <v/>
      </c>
      <c r="AM297" s="30" t="str">
        <f t="shared" si="81"/>
        <v/>
      </c>
      <c r="AN297" s="30" t="str">
        <f t="shared" si="82"/>
        <v/>
      </c>
      <c r="AO297" s="29" t="str">
        <f>IF($B297="","",IF(AND(N($L297)=0,N($M297)=0),50,IF(N($M297)=0,100,IF(N($L297)=0,0,MEDIAN(0,100,50+50*LN($S297)/LN(Settings!$C$40))))))</f>
        <v/>
      </c>
      <c r="AP297" s="29">
        <f>IF($AA297="",50,MEDIAN(0,100,50+$AA297*100*Settings!$C$41))</f>
        <v>50</v>
      </c>
      <c r="AQ297" s="29">
        <f>IF($H297="",50,MEDIAN(0,100,50+$H297*100*Settings!$C$42))</f>
        <v>50</v>
      </c>
      <c r="AR297" s="29">
        <f>IF(OR($AC297="",$H297=""),50,MEDIAN(0,100,50+SIGN($H297)*50*MEDIAN(0,1,($AC297-1)/Settings!$C$43)))</f>
        <v>50</v>
      </c>
      <c r="AS297" s="29">
        <f>IF(OR($V297="",$W297=""),50,MEDIAN(0,100,50+50*($V297-$W297)/Settings!$C$44))</f>
        <v>50</v>
      </c>
      <c r="AT297" s="29">
        <f t="shared" si="83"/>
        <v>50</v>
      </c>
      <c r="AU297" s="30" t="str">
        <f t="shared" si="84"/>
        <v/>
      </c>
      <c r="AV297" s="87" t="str">
        <f>IF($A297="","",IF(COUNTIFS($A$4:$A297,$A297)=1,1,0))</f>
        <v/>
      </c>
    </row>
    <row r="298" spans="1:48" x14ac:dyDescent="0.3">
      <c r="A298" s="270"/>
      <c r="B298" s="271"/>
      <c r="C298" s="272"/>
      <c r="D298" s="272"/>
      <c r="E298" s="272"/>
      <c r="F298" s="272"/>
      <c r="G298" s="272"/>
      <c r="H298" s="268" t="str">
        <f t="shared" si="68"/>
        <v/>
      </c>
      <c r="I298" s="273"/>
      <c r="J298" s="273"/>
      <c r="K298" s="273"/>
      <c r="L298" s="273"/>
      <c r="M298" s="273"/>
      <c r="N298" s="273"/>
      <c r="O298" s="271"/>
      <c r="P298" s="270"/>
      <c r="Q298" s="271"/>
      <c r="R298" s="23" t="str" cm="1">
        <f t="array" ref="R298">IF($B298="","",IFERROR(IF(INDEX('Data Quality'!$U$4:$U$503,ROW()-3)=0,"PENDING",INDEX('Data Quality'!$U$4:$U$503,ROW()-3)),"PENDING"))</f>
        <v/>
      </c>
      <c r="S298" s="24" t="str">
        <f t="shared" si="69"/>
        <v/>
      </c>
      <c r="T298" s="25" t="str">
        <f t="shared" si="70"/>
        <v/>
      </c>
      <c r="U298" s="25" t="str">
        <f t="shared" si="71"/>
        <v/>
      </c>
      <c r="V298" s="26" t="str">
        <f t="shared" si="72"/>
        <v/>
      </c>
      <c r="W298" s="26" t="str">
        <f t="shared" si="73"/>
        <v/>
      </c>
      <c r="X298" s="25" t="str">
        <f t="shared" si="74"/>
        <v/>
      </c>
      <c r="Y298" s="25" t="str">
        <f t="shared" si="75"/>
        <v/>
      </c>
      <c r="Z298" s="27" t="str">
        <f>IF($B298="","",IF($AK298&lt;=Settings!$C$21,"",IFERROR(AVERAGEIFS($S$4:$S$503,$B$4:$B$503,$B298,$AK$4:$AK$503,"&gt;="&amp;$AK298-Settings!$C$21,$AK$4:$AK$503,"&lt;="&amp;$AK298-1),"")))</f>
        <v/>
      </c>
      <c r="AA298" s="28" t="str">
        <f t="shared" si="76"/>
        <v/>
      </c>
      <c r="AB298" s="25" t="str">
        <f>IF($B298="","",IF($AK298&lt;=Settings!$C$22,"",IFERROR(AVERAGEIFS($K$4:$K$503,$B$4:$B$503,$B298,$AK$4:$AK$503,"&gt;="&amp;$AK298-Settings!$C$22,$AK$4:$AK$503,"&lt;="&amp;$AK298-1),"")))</f>
        <v/>
      </c>
      <c r="AC298" s="27" t="str">
        <f t="shared" si="77"/>
        <v/>
      </c>
      <c r="AD298" s="28" t="str">
        <f>IF($B298="","",IF($AK298&lt;=Settings!$C$23,"",IFERROR($E298/SUMIFS($E$4:$E$503,$B$4:$B$503,$B298,$AK$4:$AK$503,$AK298-Settings!$C$23)-1,"")))</f>
        <v/>
      </c>
      <c r="AE298" s="28" t="str">
        <f>IF($B298="","",IF($AK298&lt;=Settings!$C$22,"",IFERROR($E298/SUMIFS($E$4:$E$503,$B$4:$B$503,$B298,$AK$4:$AK$503,$AK298-Settings!$C$22)-1,"")))</f>
        <v/>
      </c>
      <c r="AF298" s="28" t="str">
        <f t="shared" si="78"/>
        <v/>
      </c>
      <c r="AG298" s="29" t="str">
        <f>IF($B298="","",ROUND((MIN(100,100*N($I298)/Settings!$C$27)+MIN(100,100*N($K298)/Settings!$C$28)+MIN(100,100*N($J298)/Settings!$C$29))/3,1))</f>
        <v/>
      </c>
      <c r="AH298" s="29" t="str">
        <f>IF($B298="","",IF(SUM(Settings!$C$32:$C$37)=0,"",ROUND((Settings!$C$32*$AO298+Settings!$C$33*$AP298+Settings!$C$34*$AQ298+Settings!$C$35*$AR298+Settings!$C$36*$AS298+Settings!$C$37*$AT298)/SUM(Settings!$C$32:$C$37),1)))</f>
        <v/>
      </c>
      <c r="AI298" s="29" t="str">
        <f>IF($B298="","",MAX(0,100-IF(N($N298)&gt;0,0,20)-IF(AND(N($L298)=0,N($M298)=0),15,0)-IF(N($J298)&gt;0,0,10)-IF(N($K298)&gt;0,0,10)-IF($Z298&lt;&gt;"",0,15)-IF($AB298&lt;&gt;"",0,10)-IF($R298="ERROR",20,IF($R298="WARNING",10,0))))</f>
        <v/>
      </c>
      <c r="AJ298" s="30" t="str">
        <f>IF($AH298="","",IF($AH298&lt;Settings!$C$46,"Extreme Sell Pressure",IF($AH298&lt;Settings!$C$47,"Sell Pressure",IF($AH298&lt;=Settings!$C$48,"Neutral",IF($AH298&lt;=Settings!$C$49,"Buy Pressure","Extreme Buy Pressure")))))</f>
        <v/>
      </c>
      <c r="AK298" s="30" t="str">
        <f t="shared" si="79"/>
        <v/>
      </c>
      <c r="AL298" s="30" t="str">
        <f t="shared" si="80"/>
        <v/>
      </c>
      <c r="AM298" s="30" t="str">
        <f t="shared" si="81"/>
        <v/>
      </c>
      <c r="AN298" s="30" t="str">
        <f t="shared" si="82"/>
        <v/>
      </c>
      <c r="AO298" s="29" t="str">
        <f>IF($B298="","",IF(AND(N($L298)=0,N($M298)=0),50,IF(N($M298)=0,100,IF(N($L298)=0,0,MEDIAN(0,100,50+50*LN($S298)/LN(Settings!$C$40))))))</f>
        <v/>
      </c>
      <c r="AP298" s="29">
        <f>IF($AA298="",50,MEDIAN(0,100,50+$AA298*100*Settings!$C$41))</f>
        <v>50</v>
      </c>
      <c r="AQ298" s="29">
        <f>IF($H298="",50,MEDIAN(0,100,50+$H298*100*Settings!$C$42))</f>
        <v>50</v>
      </c>
      <c r="AR298" s="29">
        <f>IF(OR($AC298="",$H298=""),50,MEDIAN(0,100,50+SIGN($H298)*50*MEDIAN(0,1,($AC298-1)/Settings!$C$43)))</f>
        <v>50</v>
      </c>
      <c r="AS298" s="29">
        <f>IF(OR($V298="",$W298=""),50,MEDIAN(0,100,50+50*($V298-$W298)/Settings!$C$44))</f>
        <v>50</v>
      </c>
      <c r="AT298" s="29">
        <f t="shared" si="83"/>
        <v>50</v>
      </c>
      <c r="AU298" s="30" t="str">
        <f t="shared" si="84"/>
        <v/>
      </c>
      <c r="AV298" s="87" t="str">
        <f>IF($A298="","",IF(COUNTIFS($A$4:$A298,$A298)=1,1,0))</f>
        <v/>
      </c>
    </row>
    <row r="299" spans="1:48" x14ac:dyDescent="0.3">
      <c r="A299" s="270"/>
      <c r="B299" s="271"/>
      <c r="C299" s="272"/>
      <c r="D299" s="272"/>
      <c r="E299" s="272"/>
      <c r="F299" s="272"/>
      <c r="G299" s="272"/>
      <c r="H299" s="268" t="str">
        <f t="shared" si="68"/>
        <v/>
      </c>
      <c r="I299" s="273"/>
      <c r="J299" s="273"/>
      <c r="K299" s="273"/>
      <c r="L299" s="273"/>
      <c r="M299" s="273"/>
      <c r="N299" s="273"/>
      <c r="O299" s="271"/>
      <c r="P299" s="270"/>
      <c r="Q299" s="271"/>
      <c r="R299" s="23" t="str" cm="1">
        <f t="array" ref="R299">IF($B299="","",IFERROR(IF(INDEX('Data Quality'!$U$4:$U$503,ROW()-3)=0,"PENDING",INDEX('Data Quality'!$U$4:$U$503,ROW()-3)),"PENDING"))</f>
        <v/>
      </c>
      <c r="S299" s="24" t="str">
        <f t="shared" si="69"/>
        <v/>
      </c>
      <c r="T299" s="25" t="str">
        <f t="shared" si="70"/>
        <v/>
      </c>
      <c r="U299" s="25" t="str">
        <f t="shared" si="71"/>
        <v/>
      </c>
      <c r="V299" s="26" t="str">
        <f t="shared" si="72"/>
        <v/>
      </c>
      <c r="W299" s="26" t="str">
        <f t="shared" si="73"/>
        <v/>
      </c>
      <c r="X299" s="25" t="str">
        <f t="shared" si="74"/>
        <v/>
      </c>
      <c r="Y299" s="25" t="str">
        <f t="shared" si="75"/>
        <v/>
      </c>
      <c r="Z299" s="27" t="str">
        <f>IF($B299="","",IF($AK299&lt;=Settings!$C$21,"",IFERROR(AVERAGEIFS($S$4:$S$503,$B$4:$B$503,$B299,$AK$4:$AK$503,"&gt;="&amp;$AK299-Settings!$C$21,$AK$4:$AK$503,"&lt;="&amp;$AK299-1),"")))</f>
        <v/>
      </c>
      <c r="AA299" s="28" t="str">
        <f t="shared" si="76"/>
        <v/>
      </c>
      <c r="AB299" s="25" t="str">
        <f>IF($B299="","",IF($AK299&lt;=Settings!$C$22,"",IFERROR(AVERAGEIFS($K$4:$K$503,$B$4:$B$503,$B299,$AK$4:$AK$503,"&gt;="&amp;$AK299-Settings!$C$22,$AK$4:$AK$503,"&lt;="&amp;$AK299-1),"")))</f>
        <v/>
      </c>
      <c r="AC299" s="27" t="str">
        <f t="shared" si="77"/>
        <v/>
      </c>
      <c r="AD299" s="28" t="str">
        <f>IF($B299="","",IF($AK299&lt;=Settings!$C$23,"",IFERROR($E299/SUMIFS($E$4:$E$503,$B$4:$B$503,$B299,$AK$4:$AK$503,$AK299-Settings!$C$23)-1,"")))</f>
        <v/>
      </c>
      <c r="AE299" s="28" t="str">
        <f>IF($B299="","",IF($AK299&lt;=Settings!$C$22,"",IFERROR($E299/SUMIFS($E$4:$E$503,$B$4:$B$503,$B299,$AK$4:$AK$503,$AK299-Settings!$C$22)-1,"")))</f>
        <v/>
      </c>
      <c r="AF299" s="28" t="str">
        <f t="shared" si="78"/>
        <v/>
      </c>
      <c r="AG299" s="29" t="str">
        <f>IF($B299="","",ROUND((MIN(100,100*N($I299)/Settings!$C$27)+MIN(100,100*N($K299)/Settings!$C$28)+MIN(100,100*N($J299)/Settings!$C$29))/3,1))</f>
        <v/>
      </c>
      <c r="AH299" s="29" t="str">
        <f>IF($B299="","",IF(SUM(Settings!$C$32:$C$37)=0,"",ROUND((Settings!$C$32*$AO299+Settings!$C$33*$AP299+Settings!$C$34*$AQ299+Settings!$C$35*$AR299+Settings!$C$36*$AS299+Settings!$C$37*$AT299)/SUM(Settings!$C$32:$C$37),1)))</f>
        <v/>
      </c>
      <c r="AI299" s="29" t="str">
        <f>IF($B299="","",MAX(0,100-IF(N($N299)&gt;0,0,20)-IF(AND(N($L299)=0,N($M299)=0),15,0)-IF(N($J299)&gt;0,0,10)-IF(N($K299)&gt;0,0,10)-IF($Z299&lt;&gt;"",0,15)-IF($AB299&lt;&gt;"",0,10)-IF($R299="ERROR",20,IF($R299="WARNING",10,0))))</f>
        <v/>
      </c>
      <c r="AJ299" s="30" t="str">
        <f>IF($AH299="","",IF($AH299&lt;Settings!$C$46,"Extreme Sell Pressure",IF($AH299&lt;Settings!$C$47,"Sell Pressure",IF($AH299&lt;=Settings!$C$48,"Neutral",IF($AH299&lt;=Settings!$C$49,"Buy Pressure","Extreme Buy Pressure")))))</f>
        <v/>
      </c>
      <c r="AK299" s="30" t="str">
        <f t="shared" si="79"/>
        <v/>
      </c>
      <c r="AL299" s="30" t="str">
        <f t="shared" si="80"/>
        <v/>
      </c>
      <c r="AM299" s="30" t="str">
        <f t="shared" si="81"/>
        <v/>
      </c>
      <c r="AN299" s="30" t="str">
        <f t="shared" si="82"/>
        <v/>
      </c>
      <c r="AO299" s="29" t="str">
        <f>IF($B299="","",IF(AND(N($L299)=0,N($M299)=0),50,IF(N($M299)=0,100,IF(N($L299)=0,0,MEDIAN(0,100,50+50*LN($S299)/LN(Settings!$C$40))))))</f>
        <v/>
      </c>
      <c r="AP299" s="29">
        <f>IF($AA299="",50,MEDIAN(0,100,50+$AA299*100*Settings!$C$41))</f>
        <v>50</v>
      </c>
      <c r="AQ299" s="29">
        <f>IF($H299="",50,MEDIAN(0,100,50+$H299*100*Settings!$C$42))</f>
        <v>50</v>
      </c>
      <c r="AR299" s="29">
        <f>IF(OR($AC299="",$H299=""),50,MEDIAN(0,100,50+SIGN($H299)*50*MEDIAN(0,1,($AC299-1)/Settings!$C$43)))</f>
        <v>50</v>
      </c>
      <c r="AS299" s="29">
        <f>IF(OR($V299="",$W299=""),50,MEDIAN(0,100,50+50*($V299-$W299)/Settings!$C$44))</f>
        <v>50</v>
      </c>
      <c r="AT299" s="29">
        <f t="shared" si="83"/>
        <v>50</v>
      </c>
      <c r="AU299" s="30" t="str">
        <f t="shared" si="84"/>
        <v/>
      </c>
      <c r="AV299" s="87" t="str">
        <f>IF($A299="","",IF(COUNTIFS($A$4:$A299,$A299)=1,1,0))</f>
        <v/>
      </c>
    </row>
    <row r="300" spans="1:48" x14ac:dyDescent="0.3">
      <c r="A300" s="270"/>
      <c r="B300" s="271"/>
      <c r="C300" s="272"/>
      <c r="D300" s="272"/>
      <c r="E300" s="272"/>
      <c r="F300" s="272"/>
      <c r="G300" s="272"/>
      <c r="H300" s="268" t="str">
        <f t="shared" si="68"/>
        <v/>
      </c>
      <c r="I300" s="273"/>
      <c r="J300" s="273"/>
      <c r="K300" s="273"/>
      <c r="L300" s="273"/>
      <c r="M300" s="273"/>
      <c r="N300" s="273"/>
      <c r="O300" s="271"/>
      <c r="P300" s="270"/>
      <c r="Q300" s="271"/>
      <c r="R300" s="23" t="str" cm="1">
        <f t="array" ref="R300">IF($B300="","",IFERROR(IF(INDEX('Data Quality'!$U$4:$U$503,ROW()-3)=0,"PENDING",INDEX('Data Quality'!$U$4:$U$503,ROW()-3)),"PENDING"))</f>
        <v/>
      </c>
      <c r="S300" s="24" t="str">
        <f t="shared" si="69"/>
        <v/>
      </c>
      <c r="T300" s="25" t="str">
        <f t="shared" si="70"/>
        <v/>
      </c>
      <c r="U300" s="25" t="str">
        <f t="shared" si="71"/>
        <v/>
      </c>
      <c r="V300" s="26" t="str">
        <f t="shared" si="72"/>
        <v/>
      </c>
      <c r="W300" s="26" t="str">
        <f t="shared" si="73"/>
        <v/>
      </c>
      <c r="X300" s="25" t="str">
        <f t="shared" si="74"/>
        <v/>
      </c>
      <c r="Y300" s="25" t="str">
        <f t="shared" si="75"/>
        <v/>
      </c>
      <c r="Z300" s="27" t="str">
        <f>IF($B300="","",IF($AK300&lt;=Settings!$C$21,"",IFERROR(AVERAGEIFS($S$4:$S$503,$B$4:$B$503,$B300,$AK$4:$AK$503,"&gt;="&amp;$AK300-Settings!$C$21,$AK$4:$AK$503,"&lt;="&amp;$AK300-1),"")))</f>
        <v/>
      </c>
      <c r="AA300" s="28" t="str">
        <f t="shared" si="76"/>
        <v/>
      </c>
      <c r="AB300" s="25" t="str">
        <f>IF($B300="","",IF($AK300&lt;=Settings!$C$22,"",IFERROR(AVERAGEIFS($K$4:$K$503,$B$4:$B$503,$B300,$AK$4:$AK$503,"&gt;="&amp;$AK300-Settings!$C$22,$AK$4:$AK$503,"&lt;="&amp;$AK300-1),"")))</f>
        <v/>
      </c>
      <c r="AC300" s="27" t="str">
        <f t="shared" si="77"/>
        <v/>
      </c>
      <c r="AD300" s="28" t="str">
        <f>IF($B300="","",IF($AK300&lt;=Settings!$C$23,"",IFERROR($E300/SUMIFS($E$4:$E$503,$B$4:$B$503,$B300,$AK$4:$AK$503,$AK300-Settings!$C$23)-1,"")))</f>
        <v/>
      </c>
      <c r="AE300" s="28" t="str">
        <f>IF($B300="","",IF($AK300&lt;=Settings!$C$22,"",IFERROR($E300/SUMIFS($E$4:$E$503,$B$4:$B$503,$B300,$AK$4:$AK$503,$AK300-Settings!$C$22)-1,"")))</f>
        <v/>
      </c>
      <c r="AF300" s="28" t="str">
        <f t="shared" si="78"/>
        <v/>
      </c>
      <c r="AG300" s="29" t="str">
        <f>IF($B300="","",ROUND((MIN(100,100*N($I300)/Settings!$C$27)+MIN(100,100*N($K300)/Settings!$C$28)+MIN(100,100*N($J300)/Settings!$C$29))/3,1))</f>
        <v/>
      </c>
      <c r="AH300" s="29" t="str">
        <f>IF($B300="","",IF(SUM(Settings!$C$32:$C$37)=0,"",ROUND((Settings!$C$32*$AO300+Settings!$C$33*$AP300+Settings!$C$34*$AQ300+Settings!$C$35*$AR300+Settings!$C$36*$AS300+Settings!$C$37*$AT300)/SUM(Settings!$C$32:$C$37),1)))</f>
        <v/>
      </c>
      <c r="AI300" s="29" t="str">
        <f>IF($B300="","",MAX(0,100-IF(N($N300)&gt;0,0,20)-IF(AND(N($L300)=0,N($M300)=0),15,0)-IF(N($J300)&gt;0,0,10)-IF(N($K300)&gt;0,0,10)-IF($Z300&lt;&gt;"",0,15)-IF($AB300&lt;&gt;"",0,10)-IF($R300="ERROR",20,IF($R300="WARNING",10,0))))</f>
        <v/>
      </c>
      <c r="AJ300" s="30" t="str">
        <f>IF($AH300="","",IF($AH300&lt;Settings!$C$46,"Extreme Sell Pressure",IF($AH300&lt;Settings!$C$47,"Sell Pressure",IF($AH300&lt;=Settings!$C$48,"Neutral",IF($AH300&lt;=Settings!$C$49,"Buy Pressure","Extreme Buy Pressure")))))</f>
        <v/>
      </c>
      <c r="AK300" s="30" t="str">
        <f t="shared" si="79"/>
        <v/>
      </c>
      <c r="AL300" s="30" t="str">
        <f t="shared" si="80"/>
        <v/>
      </c>
      <c r="AM300" s="30" t="str">
        <f t="shared" si="81"/>
        <v/>
      </c>
      <c r="AN300" s="30" t="str">
        <f t="shared" si="82"/>
        <v/>
      </c>
      <c r="AO300" s="29" t="str">
        <f>IF($B300="","",IF(AND(N($L300)=0,N($M300)=0),50,IF(N($M300)=0,100,IF(N($L300)=0,0,MEDIAN(0,100,50+50*LN($S300)/LN(Settings!$C$40))))))</f>
        <v/>
      </c>
      <c r="AP300" s="29">
        <f>IF($AA300="",50,MEDIAN(0,100,50+$AA300*100*Settings!$C$41))</f>
        <v>50</v>
      </c>
      <c r="AQ300" s="29">
        <f>IF($H300="",50,MEDIAN(0,100,50+$H300*100*Settings!$C$42))</f>
        <v>50</v>
      </c>
      <c r="AR300" s="29">
        <f>IF(OR($AC300="",$H300=""),50,MEDIAN(0,100,50+SIGN($H300)*50*MEDIAN(0,1,($AC300-1)/Settings!$C$43)))</f>
        <v>50</v>
      </c>
      <c r="AS300" s="29">
        <f>IF(OR($V300="",$W300=""),50,MEDIAN(0,100,50+50*($V300-$W300)/Settings!$C$44))</f>
        <v>50</v>
      </c>
      <c r="AT300" s="29">
        <f t="shared" si="83"/>
        <v>50</v>
      </c>
      <c r="AU300" s="30" t="str">
        <f t="shared" si="84"/>
        <v/>
      </c>
      <c r="AV300" s="87" t="str">
        <f>IF($A300="","",IF(COUNTIFS($A$4:$A300,$A300)=1,1,0))</f>
        <v/>
      </c>
    </row>
    <row r="301" spans="1:48" x14ac:dyDescent="0.3">
      <c r="A301" s="270"/>
      <c r="B301" s="271"/>
      <c r="C301" s="272"/>
      <c r="D301" s="272"/>
      <c r="E301" s="272"/>
      <c r="F301" s="272"/>
      <c r="G301" s="272"/>
      <c r="H301" s="268" t="str">
        <f t="shared" si="68"/>
        <v/>
      </c>
      <c r="I301" s="273"/>
      <c r="J301" s="273"/>
      <c r="K301" s="273"/>
      <c r="L301" s="273"/>
      <c r="M301" s="273"/>
      <c r="N301" s="273"/>
      <c r="O301" s="271"/>
      <c r="P301" s="270"/>
      <c r="Q301" s="271"/>
      <c r="R301" s="23" t="str" cm="1">
        <f t="array" ref="R301">IF($B301="","",IFERROR(IF(INDEX('Data Quality'!$U$4:$U$503,ROW()-3)=0,"PENDING",INDEX('Data Quality'!$U$4:$U$503,ROW()-3)),"PENDING"))</f>
        <v/>
      </c>
      <c r="S301" s="24" t="str">
        <f t="shared" si="69"/>
        <v/>
      </c>
      <c r="T301" s="25" t="str">
        <f t="shared" si="70"/>
        <v/>
      </c>
      <c r="U301" s="25" t="str">
        <f t="shared" si="71"/>
        <v/>
      </c>
      <c r="V301" s="26" t="str">
        <f t="shared" si="72"/>
        <v/>
      </c>
      <c r="W301" s="26" t="str">
        <f t="shared" si="73"/>
        <v/>
      </c>
      <c r="X301" s="25" t="str">
        <f t="shared" si="74"/>
        <v/>
      </c>
      <c r="Y301" s="25" t="str">
        <f t="shared" si="75"/>
        <v/>
      </c>
      <c r="Z301" s="27" t="str">
        <f>IF($B301="","",IF($AK301&lt;=Settings!$C$21,"",IFERROR(AVERAGEIFS($S$4:$S$503,$B$4:$B$503,$B301,$AK$4:$AK$503,"&gt;="&amp;$AK301-Settings!$C$21,$AK$4:$AK$503,"&lt;="&amp;$AK301-1),"")))</f>
        <v/>
      </c>
      <c r="AA301" s="28" t="str">
        <f t="shared" si="76"/>
        <v/>
      </c>
      <c r="AB301" s="25" t="str">
        <f>IF($B301="","",IF($AK301&lt;=Settings!$C$22,"",IFERROR(AVERAGEIFS($K$4:$K$503,$B$4:$B$503,$B301,$AK$4:$AK$503,"&gt;="&amp;$AK301-Settings!$C$22,$AK$4:$AK$503,"&lt;="&amp;$AK301-1),"")))</f>
        <v/>
      </c>
      <c r="AC301" s="27" t="str">
        <f t="shared" si="77"/>
        <v/>
      </c>
      <c r="AD301" s="28" t="str">
        <f>IF($B301="","",IF($AK301&lt;=Settings!$C$23,"",IFERROR($E301/SUMIFS($E$4:$E$503,$B$4:$B$503,$B301,$AK$4:$AK$503,$AK301-Settings!$C$23)-1,"")))</f>
        <v/>
      </c>
      <c r="AE301" s="28" t="str">
        <f>IF($B301="","",IF($AK301&lt;=Settings!$C$22,"",IFERROR($E301/SUMIFS($E$4:$E$503,$B$4:$B$503,$B301,$AK$4:$AK$503,$AK301-Settings!$C$22)-1,"")))</f>
        <v/>
      </c>
      <c r="AF301" s="28" t="str">
        <f t="shared" si="78"/>
        <v/>
      </c>
      <c r="AG301" s="29" t="str">
        <f>IF($B301="","",ROUND((MIN(100,100*N($I301)/Settings!$C$27)+MIN(100,100*N($K301)/Settings!$C$28)+MIN(100,100*N($J301)/Settings!$C$29))/3,1))</f>
        <v/>
      </c>
      <c r="AH301" s="29" t="str">
        <f>IF($B301="","",IF(SUM(Settings!$C$32:$C$37)=0,"",ROUND((Settings!$C$32*$AO301+Settings!$C$33*$AP301+Settings!$C$34*$AQ301+Settings!$C$35*$AR301+Settings!$C$36*$AS301+Settings!$C$37*$AT301)/SUM(Settings!$C$32:$C$37),1)))</f>
        <v/>
      </c>
      <c r="AI301" s="29" t="str">
        <f>IF($B301="","",MAX(0,100-IF(N($N301)&gt;0,0,20)-IF(AND(N($L301)=0,N($M301)=0),15,0)-IF(N($J301)&gt;0,0,10)-IF(N($K301)&gt;0,0,10)-IF($Z301&lt;&gt;"",0,15)-IF($AB301&lt;&gt;"",0,10)-IF($R301="ERROR",20,IF($R301="WARNING",10,0))))</f>
        <v/>
      </c>
      <c r="AJ301" s="30" t="str">
        <f>IF($AH301="","",IF($AH301&lt;Settings!$C$46,"Extreme Sell Pressure",IF($AH301&lt;Settings!$C$47,"Sell Pressure",IF($AH301&lt;=Settings!$C$48,"Neutral",IF($AH301&lt;=Settings!$C$49,"Buy Pressure","Extreme Buy Pressure")))))</f>
        <v/>
      </c>
      <c r="AK301" s="30" t="str">
        <f t="shared" si="79"/>
        <v/>
      </c>
      <c r="AL301" s="30" t="str">
        <f t="shared" si="80"/>
        <v/>
      </c>
      <c r="AM301" s="30" t="str">
        <f t="shared" si="81"/>
        <v/>
      </c>
      <c r="AN301" s="30" t="str">
        <f t="shared" si="82"/>
        <v/>
      </c>
      <c r="AO301" s="29" t="str">
        <f>IF($B301="","",IF(AND(N($L301)=0,N($M301)=0),50,IF(N($M301)=0,100,IF(N($L301)=0,0,MEDIAN(0,100,50+50*LN($S301)/LN(Settings!$C$40))))))</f>
        <v/>
      </c>
      <c r="AP301" s="29">
        <f>IF($AA301="",50,MEDIAN(0,100,50+$AA301*100*Settings!$C$41))</f>
        <v>50</v>
      </c>
      <c r="AQ301" s="29">
        <f>IF($H301="",50,MEDIAN(0,100,50+$H301*100*Settings!$C$42))</f>
        <v>50</v>
      </c>
      <c r="AR301" s="29">
        <f>IF(OR($AC301="",$H301=""),50,MEDIAN(0,100,50+SIGN($H301)*50*MEDIAN(0,1,($AC301-1)/Settings!$C$43)))</f>
        <v>50</v>
      </c>
      <c r="AS301" s="29">
        <f>IF(OR($V301="",$W301=""),50,MEDIAN(0,100,50+50*($V301-$W301)/Settings!$C$44))</f>
        <v>50</v>
      </c>
      <c r="AT301" s="29">
        <f t="shared" si="83"/>
        <v>50</v>
      </c>
      <c r="AU301" s="30" t="str">
        <f t="shared" si="84"/>
        <v/>
      </c>
      <c r="AV301" s="87" t="str">
        <f>IF($A301="","",IF(COUNTIFS($A$4:$A301,$A301)=1,1,0))</f>
        <v/>
      </c>
    </row>
    <row r="302" spans="1:48" x14ac:dyDescent="0.3">
      <c r="A302" s="270"/>
      <c r="B302" s="271"/>
      <c r="C302" s="272"/>
      <c r="D302" s="272"/>
      <c r="E302" s="272"/>
      <c r="F302" s="272"/>
      <c r="G302" s="272"/>
      <c r="H302" s="268" t="str">
        <f t="shared" si="68"/>
        <v/>
      </c>
      <c r="I302" s="273"/>
      <c r="J302" s="273"/>
      <c r="K302" s="273"/>
      <c r="L302" s="273"/>
      <c r="M302" s="273"/>
      <c r="N302" s="273"/>
      <c r="O302" s="271"/>
      <c r="P302" s="270"/>
      <c r="Q302" s="271"/>
      <c r="R302" s="23" t="str" cm="1">
        <f t="array" ref="R302">IF($B302="","",IFERROR(IF(INDEX('Data Quality'!$U$4:$U$503,ROW()-3)=0,"PENDING",INDEX('Data Quality'!$U$4:$U$503,ROW()-3)),"PENDING"))</f>
        <v/>
      </c>
      <c r="S302" s="24" t="str">
        <f t="shared" si="69"/>
        <v/>
      </c>
      <c r="T302" s="25" t="str">
        <f t="shared" si="70"/>
        <v/>
      </c>
      <c r="U302" s="25" t="str">
        <f t="shared" si="71"/>
        <v/>
      </c>
      <c r="V302" s="26" t="str">
        <f t="shared" si="72"/>
        <v/>
      </c>
      <c r="W302" s="26" t="str">
        <f t="shared" si="73"/>
        <v/>
      </c>
      <c r="X302" s="25" t="str">
        <f t="shared" si="74"/>
        <v/>
      </c>
      <c r="Y302" s="25" t="str">
        <f t="shared" si="75"/>
        <v/>
      </c>
      <c r="Z302" s="27" t="str">
        <f>IF($B302="","",IF($AK302&lt;=Settings!$C$21,"",IFERROR(AVERAGEIFS($S$4:$S$503,$B$4:$B$503,$B302,$AK$4:$AK$503,"&gt;="&amp;$AK302-Settings!$C$21,$AK$4:$AK$503,"&lt;="&amp;$AK302-1),"")))</f>
        <v/>
      </c>
      <c r="AA302" s="28" t="str">
        <f t="shared" si="76"/>
        <v/>
      </c>
      <c r="AB302" s="25" t="str">
        <f>IF($B302="","",IF($AK302&lt;=Settings!$C$22,"",IFERROR(AVERAGEIFS($K$4:$K$503,$B$4:$B$503,$B302,$AK$4:$AK$503,"&gt;="&amp;$AK302-Settings!$C$22,$AK$4:$AK$503,"&lt;="&amp;$AK302-1),"")))</f>
        <v/>
      </c>
      <c r="AC302" s="27" t="str">
        <f t="shared" si="77"/>
        <v/>
      </c>
      <c r="AD302" s="28" t="str">
        <f>IF($B302="","",IF($AK302&lt;=Settings!$C$23,"",IFERROR($E302/SUMIFS($E$4:$E$503,$B$4:$B$503,$B302,$AK$4:$AK$503,$AK302-Settings!$C$23)-1,"")))</f>
        <v/>
      </c>
      <c r="AE302" s="28" t="str">
        <f>IF($B302="","",IF($AK302&lt;=Settings!$C$22,"",IFERROR($E302/SUMIFS($E$4:$E$503,$B$4:$B$503,$B302,$AK$4:$AK$503,$AK302-Settings!$C$22)-1,"")))</f>
        <v/>
      </c>
      <c r="AF302" s="28" t="str">
        <f t="shared" si="78"/>
        <v/>
      </c>
      <c r="AG302" s="29" t="str">
        <f>IF($B302="","",ROUND((MIN(100,100*N($I302)/Settings!$C$27)+MIN(100,100*N($K302)/Settings!$C$28)+MIN(100,100*N($J302)/Settings!$C$29))/3,1))</f>
        <v/>
      </c>
      <c r="AH302" s="29" t="str">
        <f>IF($B302="","",IF(SUM(Settings!$C$32:$C$37)=0,"",ROUND((Settings!$C$32*$AO302+Settings!$C$33*$AP302+Settings!$C$34*$AQ302+Settings!$C$35*$AR302+Settings!$C$36*$AS302+Settings!$C$37*$AT302)/SUM(Settings!$C$32:$C$37),1)))</f>
        <v/>
      </c>
      <c r="AI302" s="29" t="str">
        <f>IF($B302="","",MAX(0,100-IF(N($N302)&gt;0,0,20)-IF(AND(N($L302)=0,N($M302)=0),15,0)-IF(N($J302)&gt;0,0,10)-IF(N($K302)&gt;0,0,10)-IF($Z302&lt;&gt;"",0,15)-IF($AB302&lt;&gt;"",0,10)-IF($R302="ERROR",20,IF($R302="WARNING",10,0))))</f>
        <v/>
      </c>
      <c r="AJ302" s="30" t="str">
        <f>IF($AH302="","",IF($AH302&lt;Settings!$C$46,"Extreme Sell Pressure",IF($AH302&lt;Settings!$C$47,"Sell Pressure",IF($AH302&lt;=Settings!$C$48,"Neutral",IF($AH302&lt;=Settings!$C$49,"Buy Pressure","Extreme Buy Pressure")))))</f>
        <v/>
      </c>
      <c r="AK302" s="30" t="str">
        <f t="shared" si="79"/>
        <v/>
      </c>
      <c r="AL302" s="30" t="str">
        <f t="shared" si="80"/>
        <v/>
      </c>
      <c r="AM302" s="30" t="str">
        <f t="shared" si="81"/>
        <v/>
      </c>
      <c r="AN302" s="30" t="str">
        <f t="shared" si="82"/>
        <v/>
      </c>
      <c r="AO302" s="29" t="str">
        <f>IF($B302="","",IF(AND(N($L302)=0,N($M302)=0),50,IF(N($M302)=0,100,IF(N($L302)=0,0,MEDIAN(0,100,50+50*LN($S302)/LN(Settings!$C$40))))))</f>
        <v/>
      </c>
      <c r="AP302" s="29">
        <f>IF($AA302="",50,MEDIAN(0,100,50+$AA302*100*Settings!$C$41))</f>
        <v>50</v>
      </c>
      <c r="AQ302" s="29">
        <f>IF($H302="",50,MEDIAN(0,100,50+$H302*100*Settings!$C$42))</f>
        <v>50</v>
      </c>
      <c r="AR302" s="29">
        <f>IF(OR($AC302="",$H302=""),50,MEDIAN(0,100,50+SIGN($H302)*50*MEDIAN(0,1,($AC302-1)/Settings!$C$43)))</f>
        <v>50</v>
      </c>
      <c r="AS302" s="29">
        <f>IF(OR($V302="",$W302=""),50,MEDIAN(0,100,50+50*($V302-$W302)/Settings!$C$44))</f>
        <v>50</v>
      </c>
      <c r="AT302" s="29">
        <f t="shared" si="83"/>
        <v>50</v>
      </c>
      <c r="AU302" s="30" t="str">
        <f t="shared" si="84"/>
        <v/>
      </c>
      <c r="AV302" s="87" t="str">
        <f>IF($A302="","",IF(COUNTIFS($A$4:$A302,$A302)=1,1,0))</f>
        <v/>
      </c>
    </row>
    <row r="303" spans="1:48" x14ac:dyDescent="0.3">
      <c r="A303" s="270"/>
      <c r="B303" s="271"/>
      <c r="C303" s="272"/>
      <c r="D303" s="272"/>
      <c r="E303" s="272"/>
      <c r="F303" s="272"/>
      <c r="G303" s="272"/>
      <c r="H303" s="268" t="str">
        <f t="shared" si="68"/>
        <v/>
      </c>
      <c r="I303" s="273"/>
      <c r="J303" s="273"/>
      <c r="K303" s="273"/>
      <c r="L303" s="273"/>
      <c r="M303" s="273"/>
      <c r="N303" s="273"/>
      <c r="O303" s="271"/>
      <c r="P303" s="270"/>
      <c r="Q303" s="271"/>
      <c r="R303" s="23" t="str" cm="1">
        <f t="array" ref="R303">IF($B303="","",IFERROR(IF(INDEX('Data Quality'!$U$4:$U$503,ROW()-3)=0,"PENDING",INDEX('Data Quality'!$U$4:$U$503,ROW()-3)),"PENDING"))</f>
        <v/>
      </c>
      <c r="S303" s="24" t="str">
        <f t="shared" si="69"/>
        <v/>
      </c>
      <c r="T303" s="25" t="str">
        <f t="shared" si="70"/>
        <v/>
      </c>
      <c r="U303" s="25" t="str">
        <f t="shared" si="71"/>
        <v/>
      </c>
      <c r="V303" s="26" t="str">
        <f t="shared" si="72"/>
        <v/>
      </c>
      <c r="W303" s="26" t="str">
        <f t="shared" si="73"/>
        <v/>
      </c>
      <c r="X303" s="25" t="str">
        <f t="shared" si="74"/>
        <v/>
      </c>
      <c r="Y303" s="25" t="str">
        <f t="shared" si="75"/>
        <v/>
      </c>
      <c r="Z303" s="27" t="str">
        <f>IF($B303="","",IF($AK303&lt;=Settings!$C$21,"",IFERROR(AVERAGEIFS($S$4:$S$503,$B$4:$B$503,$B303,$AK$4:$AK$503,"&gt;="&amp;$AK303-Settings!$C$21,$AK$4:$AK$503,"&lt;="&amp;$AK303-1),"")))</f>
        <v/>
      </c>
      <c r="AA303" s="28" t="str">
        <f t="shared" si="76"/>
        <v/>
      </c>
      <c r="AB303" s="25" t="str">
        <f>IF($B303="","",IF($AK303&lt;=Settings!$C$22,"",IFERROR(AVERAGEIFS($K$4:$K$503,$B$4:$B$503,$B303,$AK$4:$AK$503,"&gt;="&amp;$AK303-Settings!$C$22,$AK$4:$AK$503,"&lt;="&amp;$AK303-1),"")))</f>
        <v/>
      </c>
      <c r="AC303" s="27" t="str">
        <f t="shared" si="77"/>
        <v/>
      </c>
      <c r="AD303" s="28" t="str">
        <f>IF($B303="","",IF($AK303&lt;=Settings!$C$23,"",IFERROR($E303/SUMIFS($E$4:$E$503,$B$4:$B$503,$B303,$AK$4:$AK$503,$AK303-Settings!$C$23)-1,"")))</f>
        <v/>
      </c>
      <c r="AE303" s="28" t="str">
        <f>IF($B303="","",IF($AK303&lt;=Settings!$C$22,"",IFERROR($E303/SUMIFS($E$4:$E$503,$B$4:$B$503,$B303,$AK$4:$AK$503,$AK303-Settings!$C$22)-1,"")))</f>
        <v/>
      </c>
      <c r="AF303" s="28" t="str">
        <f t="shared" si="78"/>
        <v/>
      </c>
      <c r="AG303" s="29" t="str">
        <f>IF($B303="","",ROUND((MIN(100,100*N($I303)/Settings!$C$27)+MIN(100,100*N($K303)/Settings!$C$28)+MIN(100,100*N($J303)/Settings!$C$29))/3,1))</f>
        <v/>
      </c>
      <c r="AH303" s="29" t="str">
        <f>IF($B303="","",IF(SUM(Settings!$C$32:$C$37)=0,"",ROUND((Settings!$C$32*$AO303+Settings!$C$33*$AP303+Settings!$C$34*$AQ303+Settings!$C$35*$AR303+Settings!$C$36*$AS303+Settings!$C$37*$AT303)/SUM(Settings!$C$32:$C$37),1)))</f>
        <v/>
      </c>
      <c r="AI303" s="29" t="str">
        <f>IF($B303="","",MAX(0,100-IF(N($N303)&gt;0,0,20)-IF(AND(N($L303)=0,N($M303)=0),15,0)-IF(N($J303)&gt;0,0,10)-IF(N($K303)&gt;0,0,10)-IF($Z303&lt;&gt;"",0,15)-IF($AB303&lt;&gt;"",0,10)-IF($R303="ERROR",20,IF($R303="WARNING",10,0))))</f>
        <v/>
      </c>
      <c r="AJ303" s="30" t="str">
        <f>IF($AH303="","",IF($AH303&lt;Settings!$C$46,"Extreme Sell Pressure",IF($AH303&lt;Settings!$C$47,"Sell Pressure",IF($AH303&lt;=Settings!$C$48,"Neutral",IF($AH303&lt;=Settings!$C$49,"Buy Pressure","Extreme Buy Pressure")))))</f>
        <v/>
      </c>
      <c r="AK303" s="30" t="str">
        <f t="shared" si="79"/>
        <v/>
      </c>
      <c r="AL303" s="30" t="str">
        <f t="shared" si="80"/>
        <v/>
      </c>
      <c r="AM303" s="30" t="str">
        <f t="shared" si="81"/>
        <v/>
      </c>
      <c r="AN303" s="30" t="str">
        <f t="shared" si="82"/>
        <v/>
      </c>
      <c r="AO303" s="29" t="str">
        <f>IF($B303="","",IF(AND(N($L303)=0,N($M303)=0),50,IF(N($M303)=0,100,IF(N($L303)=0,0,MEDIAN(0,100,50+50*LN($S303)/LN(Settings!$C$40))))))</f>
        <v/>
      </c>
      <c r="AP303" s="29">
        <f>IF($AA303="",50,MEDIAN(0,100,50+$AA303*100*Settings!$C$41))</f>
        <v>50</v>
      </c>
      <c r="AQ303" s="29">
        <f>IF($H303="",50,MEDIAN(0,100,50+$H303*100*Settings!$C$42))</f>
        <v>50</v>
      </c>
      <c r="AR303" s="29">
        <f>IF(OR($AC303="",$H303=""),50,MEDIAN(0,100,50+SIGN($H303)*50*MEDIAN(0,1,($AC303-1)/Settings!$C$43)))</f>
        <v>50</v>
      </c>
      <c r="AS303" s="29">
        <f>IF(OR($V303="",$W303=""),50,MEDIAN(0,100,50+50*($V303-$W303)/Settings!$C$44))</f>
        <v>50</v>
      </c>
      <c r="AT303" s="29">
        <f t="shared" si="83"/>
        <v>50</v>
      </c>
      <c r="AU303" s="30" t="str">
        <f t="shared" si="84"/>
        <v/>
      </c>
      <c r="AV303" s="87" t="str">
        <f>IF($A303="","",IF(COUNTIFS($A$4:$A303,$A303)=1,1,0))</f>
        <v/>
      </c>
    </row>
    <row r="304" spans="1:48" x14ac:dyDescent="0.3">
      <c r="A304" s="270"/>
      <c r="B304" s="271"/>
      <c r="C304" s="272"/>
      <c r="D304" s="272"/>
      <c r="E304" s="272"/>
      <c r="F304" s="272"/>
      <c r="G304" s="272"/>
      <c r="H304" s="268" t="str">
        <f t="shared" si="68"/>
        <v/>
      </c>
      <c r="I304" s="273"/>
      <c r="J304" s="273"/>
      <c r="K304" s="273"/>
      <c r="L304" s="273"/>
      <c r="M304" s="273"/>
      <c r="N304" s="273"/>
      <c r="O304" s="271"/>
      <c r="P304" s="270"/>
      <c r="Q304" s="271"/>
      <c r="R304" s="23" t="str" cm="1">
        <f t="array" ref="R304">IF($B304="","",IFERROR(IF(INDEX('Data Quality'!$U$4:$U$503,ROW()-3)=0,"PENDING",INDEX('Data Quality'!$U$4:$U$503,ROW()-3)),"PENDING"))</f>
        <v/>
      </c>
      <c r="S304" s="24" t="str">
        <f t="shared" si="69"/>
        <v/>
      </c>
      <c r="T304" s="25" t="str">
        <f t="shared" si="70"/>
        <v/>
      </c>
      <c r="U304" s="25" t="str">
        <f t="shared" si="71"/>
        <v/>
      </c>
      <c r="V304" s="26" t="str">
        <f t="shared" si="72"/>
        <v/>
      </c>
      <c r="W304" s="26" t="str">
        <f t="shared" si="73"/>
        <v/>
      </c>
      <c r="X304" s="25" t="str">
        <f t="shared" si="74"/>
        <v/>
      </c>
      <c r="Y304" s="25" t="str">
        <f t="shared" si="75"/>
        <v/>
      </c>
      <c r="Z304" s="27" t="str">
        <f>IF($B304="","",IF($AK304&lt;=Settings!$C$21,"",IFERROR(AVERAGEIFS($S$4:$S$503,$B$4:$B$503,$B304,$AK$4:$AK$503,"&gt;="&amp;$AK304-Settings!$C$21,$AK$4:$AK$503,"&lt;="&amp;$AK304-1),"")))</f>
        <v/>
      </c>
      <c r="AA304" s="28" t="str">
        <f t="shared" si="76"/>
        <v/>
      </c>
      <c r="AB304" s="25" t="str">
        <f>IF($B304="","",IF($AK304&lt;=Settings!$C$22,"",IFERROR(AVERAGEIFS($K$4:$K$503,$B$4:$B$503,$B304,$AK$4:$AK$503,"&gt;="&amp;$AK304-Settings!$C$22,$AK$4:$AK$503,"&lt;="&amp;$AK304-1),"")))</f>
        <v/>
      </c>
      <c r="AC304" s="27" t="str">
        <f t="shared" si="77"/>
        <v/>
      </c>
      <c r="AD304" s="28" t="str">
        <f>IF($B304="","",IF($AK304&lt;=Settings!$C$23,"",IFERROR($E304/SUMIFS($E$4:$E$503,$B$4:$B$503,$B304,$AK$4:$AK$503,$AK304-Settings!$C$23)-1,"")))</f>
        <v/>
      </c>
      <c r="AE304" s="28" t="str">
        <f>IF($B304="","",IF($AK304&lt;=Settings!$C$22,"",IFERROR($E304/SUMIFS($E$4:$E$503,$B$4:$B$503,$B304,$AK$4:$AK$503,$AK304-Settings!$C$22)-1,"")))</f>
        <v/>
      </c>
      <c r="AF304" s="28" t="str">
        <f t="shared" si="78"/>
        <v/>
      </c>
      <c r="AG304" s="29" t="str">
        <f>IF($B304="","",ROUND((MIN(100,100*N($I304)/Settings!$C$27)+MIN(100,100*N($K304)/Settings!$C$28)+MIN(100,100*N($J304)/Settings!$C$29))/3,1))</f>
        <v/>
      </c>
      <c r="AH304" s="29" t="str">
        <f>IF($B304="","",IF(SUM(Settings!$C$32:$C$37)=0,"",ROUND((Settings!$C$32*$AO304+Settings!$C$33*$AP304+Settings!$C$34*$AQ304+Settings!$C$35*$AR304+Settings!$C$36*$AS304+Settings!$C$37*$AT304)/SUM(Settings!$C$32:$C$37),1)))</f>
        <v/>
      </c>
      <c r="AI304" s="29" t="str">
        <f>IF($B304="","",MAX(0,100-IF(N($N304)&gt;0,0,20)-IF(AND(N($L304)=0,N($M304)=0),15,0)-IF(N($J304)&gt;0,0,10)-IF(N($K304)&gt;0,0,10)-IF($Z304&lt;&gt;"",0,15)-IF($AB304&lt;&gt;"",0,10)-IF($R304="ERROR",20,IF($R304="WARNING",10,0))))</f>
        <v/>
      </c>
      <c r="AJ304" s="30" t="str">
        <f>IF($AH304="","",IF($AH304&lt;Settings!$C$46,"Extreme Sell Pressure",IF($AH304&lt;Settings!$C$47,"Sell Pressure",IF($AH304&lt;=Settings!$C$48,"Neutral",IF($AH304&lt;=Settings!$C$49,"Buy Pressure","Extreme Buy Pressure")))))</f>
        <v/>
      </c>
      <c r="AK304" s="30" t="str">
        <f t="shared" si="79"/>
        <v/>
      </c>
      <c r="AL304" s="30" t="str">
        <f t="shared" si="80"/>
        <v/>
      </c>
      <c r="AM304" s="30" t="str">
        <f t="shared" si="81"/>
        <v/>
      </c>
      <c r="AN304" s="30" t="str">
        <f t="shared" si="82"/>
        <v/>
      </c>
      <c r="AO304" s="29" t="str">
        <f>IF($B304="","",IF(AND(N($L304)=0,N($M304)=0),50,IF(N($M304)=0,100,IF(N($L304)=0,0,MEDIAN(0,100,50+50*LN($S304)/LN(Settings!$C$40))))))</f>
        <v/>
      </c>
      <c r="AP304" s="29">
        <f>IF($AA304="",50,MEDIAN(0,100,50+$AA304*100*Settings!$C$41))</f>
        <v>50</v>
      </c>
      <c r="AQ304" s="29">
        <f>IF($H304="",50,MEDIAN(0,100,50+$H304*100*Settings!$C$42))</f>
        <v>50</v>
      </c>
      <c r="AR304" s="29">
        <f>IF(OR($AC304="",$H304=""),50,MEDIAN(0,100,50+SIGN($H304)*50*MEDIAN(0,1,($AC304-1)/Settings!$C$43)))</f>
        <v>50</v>
      </c>
      <c r="AS304" s="29">
        <f>IF(OR($V304="",$W304=""),50,MEDIAN(0,100,50+50*($V304-$W304)/Settings!$C$44))</f>
        <v>50</v>
      </c>
      <c r="AT304" s="29">
        <f t="shared" si="83"/>
        <v>50</v>
      </c>
      <c r="AU304" s="30" t="str">
        <f t="shared" si="84"/>
        <v/>
      </c>
      <c r="AV304" s="87" t="str">
        <f>IF($A304="","",IF(COUNTIFS($A$4:$A304,$A304)=1,1,0))</f>
        <v/>
      </c>
    </row>
    <row r="305" spans="1:48" x14ac:dyDescent="0.3">
      <c r="A305" s="270"/>
      <c r="B305" s="271"/>
      <c r="C305" s="272"/>
      <c r="D305" s="272"/>
      <c r="E305" s="272"/>
      <c r="F305" s="272"/>
      <c r="G305" s="272"/>
      <c r="H305" s="268" t="str">
        <f t="shared" si="68"/>
        <v/>
      </c>
      <c r="I305" s="273"/>
      <c r="J305" s="273"/>
      <c r="K305" s="273"/>
      <c r="L305" s="273"/>
      <c r="M305" s="273"/>
      <c r="N305" s="273"/>
      <c r="O305" s="271"/>
      <c r="P305" s="270"/>
      <c r="Q305" s="271"/>
      <c r="R305" s="23" t="str" cm="1">
        <f t="array" ref="R305">IF($B305="","",IFERROR(IF(INDEX('Data Quality'!$U$4:$U$503,ROW()-3)=0,"PENDING",INDEX('Data Quality'!$U$4:$U$503,ROW()-3)),"PENDING"))</f>
        <v/>
      </c>
      <c r="S305" s="24" t="str">
        <f t="shared" si="69"/>
        <v/>
      </c>
      <c r="T305" s="25" t="str">
        <f t="shared" si="70"/>
        <v/>
      </c>
      <c r="U305" s="25" t="str">
        <f t="shared" si="71"/>
        <v/>
      </c>
      <c r="V305" s="26" t="str">
        <f t="shared" si="72"/>
        <v/>
      </c>
      <c r="W305" s="26" t="str">
        <f t="shared" si="73"/>
        <v/>
      </c>
      <c r="X305" s="25" t="str">
        <f t="shared" si="74"/>
        <v/>
      </c>
      <c r="Y305" s="25" t="str">
        <f t="shared" si="75"/>
        <v/>
      </c>
      <c r="Z305" s="27" t="str">
        <f>IF($B305="","",IF($AK305&lt;=Settings!$C$21,"",IFERROR(AVERAGEIFS($S$4:$S$503,$B$4:$B$503,$B305,$AK$4:$AK$503,"&gt;="&amp;$AK305-Settings!$C$21,$AK$4:$AK$503,"&lt;="&amp;$AK305-1),"")))</f>
        <v/>
      </c>
      <c r="AA305" s="28" t="str">
        <f t="shared" si="76"/>
        <v/>
      </c>
      <c r="AB305" s="25" t="str">
        <f>IF($B305="","",IF($AK305&lt;=Settings!$C$22,"",IFERROR(AVERAGEIFS($K$4:$K$503,$B$4:$B$503,$B305,$AK$4:$AK$503,"&gt;="&amp;$AK305-Settings!$C$22,$AK$4:$AK$503,"&lt;="&amp;$AK305-1),"")))</f>
        <v/>
      </c>
      <c r="AC305" s="27" t="str">
        <f t="shared" si="77"/>
        <v/>
      </c>
      <c r="AD305" s="28" t="str">
        <f>IF($B305="","",IF($AK305&lt;=Settings!$C$23,"",IFERROR($E305/SUMIFS($E$4:$E$503,$B$4:$B$503,$B305,$AK$4:$AK$503,$AK305-Settings!$C$23)-1,"")))</f>
        <v/>
      </c>
      <c r="AE305" s="28" t="str">
        <f>IF($B305="","",IF($AK305&lt;=Settings!$C$22,"",IFERROR($E305/SUMIFS($E$4:$E$503,$B$4:$B$503,$B305,$AK$4:$AK$503,$AK305-Settings!$C$22)-1,"")))</f>
        <v/>
      </c>
      <c r="AF305" s="28" t="str">
        <f t="shared" si="78"/>
        <v/>
      </c>
      <c r="AG305" s="29" t="str">
        <f>IF($B305="","",ROUND((MIN(100,100*N($I305)/Settings!$C$27)+MIN(100,100*N($K305)/Settings!$C$28)+MIN(100,100*N($J305)/Settings!$C$29))/3,1))</f>
        <v/>
      </c>
      <c r="AH305" s="29" t="str">
        <f>IF($B305="","",IF(SUM(Settings!$C$32:$C$37)=0,"",ROUND((Settings!$C$32*$AO305+Settings!$C$33*$AP305+Settings!$C$34*$AQ305+Settings!$C$35*$AR305+Settings!$C$36*$AS305+Settings!$C$37*$AT305)/SUM(Settings!$C$32:$C$37),1)))</f>
        <v/>
      </c>
      <c r="AI305" s="29" t="str">
        <f>IF($B305="","",MAX(0,100-IF(N($N305)&gt;0,0,20)-IF(AND(N($L305)=0,N($M305)=0),15,0)-IF(N($J305)&gt;0,0,10)-IF(N($K305)&gt;0,0,10)-IF($Z305&lt;&gt;"",0,15)-IF($AB305&lt;&gt;"",0,10)-IF($R305="ERROR",20,IF($R305="WARNING",10,0))))</f>
        <v/>
      </c>
      <c r="AJ305" s="30" t="str">
        <f>IF($AH305="","",IF($AH305&lt;Settings!$C$46,"Extreme Sell Pressure",IF($AH305&lt;Settings!$C$47,"Sell Pressure",IF($AH305&lt;=Settings!$C$48,"Neutral",IF($AH305&lt;=Settings!$C$49,"Buy Pressure","Extreme Buy Pressure")))))</f>
        <v/>
      </c>
      <c r="AK305" s="30" t="str">
        <f t="shared" si="79"/>
        <v/>
      </c>
      <c r="AL305" s="30" t="str">
        <f t="shared" si="80"/>
        <v/>
      </c>
      <c r="AM305" s="30" t="str">
        <f t="shared" si="81"/>
        <v/>
      </c>
      <c r="AN305" s="30" t="str">
        <f t="shared" si="82"/>
        <v/>
      </c>
      <c r="AO305" s="29" t="str">
        <f>IF($B305="","",IF(AND(N($L305)=0,N($M305)=0),50,IF(N($M305)=0,100,IF(N($L305)=0,0,MEDIAN(0,100,50+50*LN($S305)/LN(Settings!$C$40))))))</f>
        <v/>
      </c>
      <c r="AP305" s="29">
        <f>IF($AA305="",50,MEDIAN(0,100,50+$AA305*100*Settings!$C$41))</f>
        <v>50</v>
      </c>
      <c r="AQ305" s="29">
        <f>IF($H305="",50,MEDIAN(0,100,50+$H305*100*Settings!$C$42))</f>
        <v>50</v>
      </c>
      <c r="AR305" s="29">
        <f>IF(OR($AC305="",$H305=""),50,MEDIAN(0,100,50+SIGN($H305)*50*MEDIAN(0,1,($AC305-1)/Settings!$C$43)))</f>
        <v>50</v>
      </c>
      <c r="AS305" s="29">
        <f>IF(OR($V305="",$W305=""),50,MEDIAN(0,100,50+50*($V305-$W305)/Settings!$C$44))</f>
        <v>50</v>
      </c>
      <c r="AT305" s="29">
        <f t="shared" si="83"/>
        <v>50</v>
      </c>
      <c r="AU305" s="30" t="str">
        <f t="shared" si="84"/>
        <v/>
      </c>
      <c r="AV305" s="87" t="str">
        <f>IF($A305="","",IF(COUNTIFS($A$4:$A305,$A305)=1,1,0))</f>
        <v/>
      </c>
    </row>
    <row r="306" spans="1:48" x14ac:dyDescent="0.3">
      <c r="A306" s="270"/>
      <c r="B306" s="271"/>
      <c r="C306" s="272"/>
      <c r="D306" s="272"/>
      <c r="E306" s="272"/>
      <c r="F306" s="272"/>
      <c r="G306" s="272"/>
      <c r="H306" s="268" t="str">
        <f t="shared" si="68"/>
        <v/>
      </c>
      <c r="I306" s="273"/>
      <c r="J306" s="273"/>
      <c r="K306" s="273"/>
      <c r="L306" s="273"/>
      <c r="M306" s="273"/>
      <c r="N306" s="273"/>
      <c r="O306" s="271"/>
      <c r="P306" s="270"/>
      <c r="Q306" s="271"/>
      <c r="R306" s="23" t="str" cm="1">
        <f t="array" ref="R306">IF($B306="","",IFERROR(IF(INDEX('Data Quality'!$U$4:$U$503,ROW()-3)=0,"PENDING",INDEX('Data Quality'!$U$4:$U$503,ROW()-3)),"PENDING"))</f>
        <v/>
      </c>
      <c r="S306" s="24" t="str">
        <f t="shared" si="69"/>
        <v/>
      </c>
      <c r="T306" s="25" t="str">
        <f t="shared" si="70"/>
        <v/>
      </c>
      <c r="U306" s="25" t="str">
        <f t="shared" si="71"/>
        <v/>
      </c>
      <c r="V306" s="26" t="str">
        <f t="shared" si="72"/>
        <v/>
      </c>
      <c r="W306" s="26" t="str">
        <f t="shared" si="73"/>
        <v/>
      </c>
      <c r="X306" s="25" t="str">
        <f t="shared" si="74"/>
        <v/>
      </c>
      <c r="Y306" s="25" t="str">
        <f t="shared" si="75"/>
        <v/>
      </c>
      <c r="Z306" s="27" t="str">
        <f>IF($B306="","",IF($AK306&lt;=Settings!$C$21,"",IFERROR(AVERAGEIFS($S$4:$S$503,$B$4:$B$503,$B306,$AK$4:$AK$503,"&gt;="&amp;$AK306-Settings!$C$21,$AK$4:$AK$503,"&lt;="&amp;$AK306-1),"")))</f>
        <v/>
      </c>
      <c r="AA306" s="28" t="str">
        <f t="shared" si="76"/>
        <v/>
      </c>
      <c r="AB306" s="25" t="str">
        <f>IF($B306="","",IF($AK306&lt;=Settings!$C$22,"",IFERROR(AVERAGEIFS($K$4:$K$503,$B$4:$B$503,$B306,$AK$4:$AK$503,"&gt;="&amp;$AK306-Settings!$C$22,$AK$4:$AK$503,"&lt;="&amp;$AK306-1),"")))</f>
        <v/>
      </c>
      <c r="AC306" s="27" t="str">
        <f t="shared" si="77"/>
        <v/>
      </c>
      <c r="AD306" s="28" t="str">
        <f>IF($B306="","",IF($AK306&lt;=Settings!$C$23,"",IFERROR($E306/SUMIFS($E$4:$E$503,$B$4:$B$503,$B306,$AK$4:$AK$503,$AK306-Settings!$C$23)-1,"")))</f>
        <v/>
      </c>
      <c r="AE306" s="28" t="str">
        <f>IF($B306="","",IF($AK306&lt;=Settings!$C$22,"",IFERROR($E306/SUMIFS($E$4:$E$503,$B$4:$B$503,$B306,$AK$4:$AK$503,$AK306-Settings!$C$22)-1,"")))</f>
        <v/>
      </c>
      <c r="AF306" s="28" t="str">
        <f t="shared" si="78"/>
        <v/>
      </c>
      <c r="AG306" s="29" t="str">
        <f>IF($B306="","",ROUND((MIN(100,100*N($I306)/Settings!$C$27)+MIN(100,100*N($K306)/Settings!$C$28)+MIN(100,100*N($J306)/Settings!$C$29))/3,1))</f>
        <v/>
      </c>
      <c r="AH306" s="29" t="str">
        <f>IF($B306="","",IF(SUM(Settings!$C$32:$C$37)=0,"",ROUND((Settings!$C$32*$AO306+Settings!$C$33*$AP306+Settings!$C$34*$AQ306+Settings!$C$35*$AR306+Settings!$C$36*$AS306+Settings!$C$37*$AT306)/SUM(Settings!$C$32:$C$37),1)))</f>
        <v/>
      </c>
      <c r="AI306" s="29" t="str">
        <f>IF($B306="","",MAX(0,100-IF(N($N306)&gt;0,0,20)-IF(AND(N($L306)=0,N($M306)=0),15,0)-IF(N($J306)&gt;0,0,10)-IF(N($K306)&gt;0,0,10)-IF($Z306&lt;&gt;"",0,15)-IF($AB306&lt;&gt;"",0,10)-IF($R306="ERROR",20,IF($R306="WARNING",10,0))))</f>
        <v/>
      </c>
      <c r="AJ306" s="30" t="str">
        <f>IF($AH306="","",IF($AH306&lt;Settings!$C$46,"Extreme Sell Pressure",IF($AH306&lt;Settings!$C$47,"Sell Pressure",IF($AH306&lt;=Settings!$C$48,"Neutral",IF($AH306&lt;=Settings!$C$49,"Buy Pressure","Extreme Buy Pressure")))))</f>
        <v/>
      </c>
      <c r="AK306" s="30" t="str">
        <f t="shared" si="79"/>
        <v/>
      </c>
      <c r="AL306" s="30" t="str">
        <f t="shared" si="80"/>
        <v/>
      </c>
      <c r="AM306" s="30" t="str">
        <f t="shared" si="81"/>
        <v/>
      </c>
      <c r="AN306" s="30" t="str">
        <f t="shared" si="82"/>
        <v/>
      </c>
      <c r="AO306" s="29" t="str">
        <f>IF($B306="","",IF(AND(N($L306)=0,N($M306)=0),50,IF(N($M306)=0,100,IF(N($L306)=0,0,MEDIAN(0,100,50+50*LN($S306)/LN(Settings!$C$40))))))</f>
        <v/>
      </c>
      <c r="AP306" s="29">
        <f>IF($AA306="",50,MEDIAN(0,100,50+$AA306*100*Settings!$C$41))</f>
        <v>50</v>
      </c>
      <c r="AQ306" s="29">
        <f>IF($H306="",50,MEDIAN(0,100,50+$H306*100*Settings!$C$42))</f>
        <v>50</v>
      </c>
      <c r="AR306" s="29">
        <f>IF(OR($AC306="",$H306=""),50,MEDIAN(0,100,50+SIGN($H306)*50*MEDIAN(0,1,($AC306-1)/Settings!$C$43)))</f>
        <v>50</v>
      </c>
      <c r="AS306" s="29">
        <f>IF(OR($V306="",$W306=""),50,MEDIAN(0,100,50+50*($V306-$W306)/Settings!$C$44))</f>
        <v>50</v>
      </c>
      <c r="AT306" s="29">
        <f t="shared" si="83"/>
        <v>50</v>
      </c>
      <c r="AU306" s="30" t="str">
        <f t="shared" si="84"/>
        <v/>
      </c>
      <c r="AV306" s="87" t="str">
        <f>IF($A306="","",IF(COUNTIFS($A$4:$A306,$A306)=1,1,0))</f>
        <v/>
      </c>
    </row>
    <row r="307" spans="1:48" x14ac:dyDescent="0.3">
      <c r="A307" s="270"/>
      <c r="B307" s="271"/>
      <c r="C307" s="272"/>
      <c r="D307" s="272"/>
      <c r="E307" s="272"/>
      <c r="F307" s="272"/>
      <c r="G307" s="272"/>
      <c r="H307" s="268" t="str">
        <f t="shared" si="68"/>
        <v/>
      </c>
      <c r="I307" s="273"/>
      <c r="J307" s="273"/>
      <c r="K307" s="273"/>
      <c r="L307" s="273"/>
      <c r="M307" s="273"/>
      <c r="N307" s="273"/>
      <c r="O307" s="271"/>
      <c r="P307" s="270"/>
      <c r="Q307" s="271"/>
      <c r="R307" s="23" t="str" cm="1">
        <f t="array" ref="R307">IF($B307="","",IFERROR(IF(INDEX('Data Quality'!$U$4:$U$503,ROW()-3)=0,"PENDING",INDEX('Data Quality'!$U$4:$U$503,ROW()-3)),"PENDING"))</f>
        <v/>
      </c>
      <c r="S307" s="24" t="str">
        <f t="shared" si="69"/>
        <v/>
      </c>
      <c r="T307" s="25" t="str">
        <f t="shared" si="70"/>
        <v/>
      </c>
      <c r="U307" s="25" t="str">
        <f t="shared" si="71"/>
        <v/>
      </c>
      <c r="V307" s="26" t="str">
        <f t="shared" si="72"/>
        <v/>
      </c>
      <c r="W307" s="26" t="str">
        <f t="shared" si="73"/>
        <v/>
      </c>
      <c r="X307" s="25" t="str">
        <f t="shared" si="74"/>
        <v/>
      </c>
      <c r="Y307" s="25" t="str">
        <f t="shared" si="75"/>
        <v/>
      </c>
      <c r="Z307" s="27" t="str">
        <f>IF($B307="","",IF($AK307&lt;=Settings!$C$21,"",IFERROR(AVERAGEIFS($S$4:$S$503,$B$4:$B$503,$B307,$AK$4:$AK$503,"&gt;="&amp;$AK307-Settings!$C$21,$AK$4:$AK$503,"&lt;="&amp;$AK307-1),"")))</f>
        <v/>
      </c>
      <c r="AA307" s="28" t="str">
        <f t="shared" si="76"/>
        <v/>
      </c>
      <c r="AB307" s="25" t="str">
        <f>IF($B307="","",IF($AK307&lt;=Settings!$C$22,"",IFERROR(AVERAGEIFS($K$4:$K$503,$B$4:$B$503,$B307,$AK$4:$AK$503,"&gt;="&amp;$AK307-Settings!$C$22,$AK$4:$AK$503,"&lt;="&amp;$AK307-1),"")))</f>
        <v/>
      </c>
      <c r="AC307" s="27" t="str">
        <f t="shared" si="77"/>
        <v/>
      </c>
      <c r="AD307" s="28" t="str">
        <f>IF($B307="","",IF($AK307&lt;=Settings!$C$23,"",IFERROR($E307/SUMIFS($E$4:$E$503,$B$4:$B$503,$B307,$AK$4:$AK$503,$AK307-Settings!$C$23)-1,"")))</f>
        <v/>
      </c>
      <c r="AE307" s="28" t="str">
        <f>IF($B307="","",IF($AK307&lt;=Settings!$C$22,"",IFERROR($E307/SUMIFS($E$4:$E$503,$B$4:$B$503,$B307,$AK$4:$AK$503,$AK307-Settings!$C$22)-1,"")))</f>
        <v/>
      </c>
      <c r="AF307" s="28" t="str">
        <f t="shared" si="78"/>
        <v/>
      </c>
      <c r="AG307" s="29" t="str">
        <f>IF($B307="","",ROUND((MIN(100,100*N($I307)/Settings!$C$27)+MIN(100,100*N($K307)/Settings!$C$28)+MIN(100,100*N($J307)/Settings!$C$29))/3,1))</f>
        <v/>
      </c>
      <c r="AH307" s="29" t="str">
        <f>IF($B307="","",IF(SUM(Settings!$C$32:$C$37)=0,"",ROUND((Settings!$C$32*$AO307+Settings!$C$33*$AP307+Settings!$C$34*$AQ307+Settings!$C$35*$AR307+Settings!$C$36*$AS307+Settings!$C$37*$AT307)/SUM(Settings!$C$32:$C$37),1)))</f>
        <v/>
      </c>
      <c r="AI307" s="29" t="str">
        <f>IF($B307="","",MAX(0,100-IF(N($N307)&gt;0,0,20)-IF(AND(N($L307)=0,N($M307)=0),15,0)-IF(N($J307)&gt;0,0,10)-IF(N($K307)&gt;0,0,10)-IF($Z307&lt;&gt;"",0,15)-IF($AB307&lt;&gt;"",0,10)-IF($R307="ERROR",20,IF($R307="WARNING",10,0))))</f>
        <v/>
      </c>
      <c r="AJ307" s="30" t="str">
        <f>IF($AH307="","",IF($AH307&lt;Settings!$C$46,"Extreme Sell Pressure",IF($AH307&lt;Settings!$C$47,"Sell Pressure",IF($AH307&lt;=Settings!$C$48,"Neutral",IF($AH307&lt;=Settings!$C$49,"Buy Pressure","Extreme Buy Pressure")))))</f>
        <v/>
      </c>
      <c r="AK307" s="30" t="str">
        <f t="shared" si="79"/>
        <v/>
      </c>
      <c r="AL307" s="30" t="str">
        <f t="shared" si="80"/>
        <v/>
      </c>
      <c r="AM307" s="30" t="str">
        <f t="shared" si="81"/>
        <v/>
      </c>
      <c r="AN307" s="30" t="str">
        <f t="shared" si="82"/>
        <v/>
      </c>
      <c r="AO307" s="29" t="str">
        <f>IF($B307="","",IF(AND(N($L307)=0,N($M307)=0),50,IF(N($M307)=0,100,IF(N($L307)=0,0,MEDIAN(0,100,50+50*LN($S307)/LN(Settings!$C$40))))))</f>
        <v/>
      </c>
      <c r="AP307" s="29">
        <f>IF($AA307="",50,MEDIAN(0,100,50+$AA307*100*Settings!$C$41))</f>
        <v>50</v>
      </c>
      <c r="AQ307" s="29">
        <f>IF($H307="",50,MEDIAN(0,100,50+$H307*100*Settings!$C$42))</f>
        <v>50</v>
      </c>
      <c r="AR307" s="29">
        <f>IF(OR($AC307="",$H307=""),50,MEDIAN(0,100,50+SIGN($H307)*50*MEDIAN(0,1,($AC307-1)/Settings!$C$43)))</f>
        <v>50</v>
      </c>
      <c r="AS307" s="29">
        <f>IF(OR($V307="",$W307=""),50,MEDIAN(0,100,50+50*($V307-$W307)/Settings!$C$44))</f>
        <v>50</v>
      </c>
      <c r="AT307" s="29">
        <f t="shared" si="83"/>
        <v>50</v>
      </c>
      <c r="AU307" s="30" t="str">
        <f t="shared" si="84"/>
        <v/>
      </c>
      <c r="AV307" s="87" t="str">
        <f>IF($A307="","",IF(COUNTIFS($A$4:$A307,$A307)=1,1,0))</f>
        <v/>
      </c>
    </row>
    <row r="308" spans="1:48" x14ac:dyDescent="0.3">
      <c r="A308" s="270"/>
      <c r="B308" s="271"/>
      <c r="C308" s="272"/>
      <c r="D308" s="272"/>
      <c r="E308" s="272"/>
      <c r="F308" s="272"/>
      <c r="G308" s="272"/>
      <c r="H308" s="268" t="str">
        <f t="shared" si="68"/>
        <v/>
      </c>
      <c r="I308" s="273"/>
      <c r="J308" s="273"/>
      <c r="K308" s="273"/>
      <c r="L308" s="273"/>
      <c r="M308" s="273"/>
      <c r="N308" s="273"/>
      <c r="O308" s="271"/>
      <c r="P308" s="270"/>
      <c r="Q308" s="271"/>
      <c r="R308" s="23" t="str" cm="1">
        <f t="array" ref="R308">IF($B308="","",IFERROR(IF(INDEX('Data Quality'!$U$4:$U$503,ROW()-3)=0,"PENDING",INDEX('Data Quality'!$U$4:$U$503,ROW()-3)),"PENDING"))</f>
        <v/>
      </c>
      <c r="S308" s="24" t="str">
        <f t="shared" si="69"/>
        <v/>
      </c>
      <c r="T308" s="25" t="str">
        <f t="shared" si="70"/>
        <v/>
      </c>
      <c r="U308" s="25" t="str">
        <f t="shared" si="71"/>
        <v/>
      </c>
      <c r="V308" s="26" t="str">
        <f t="shared" si="72"/>
        <v/>
      </c>
      <c r="W308" s="26" t="str">
        <f t="shared" si="73"/>
        <v/>
      </c>
      <c r="X308" s="25" t="str">
        <f t="shared" si="74"/>
        <v/>
      </c>
      <c r="Y308" s="25" t="str">
        <f t="shared" si="75"/>
        <v/>
      </c>
      <c r="Z308" s="27" t="str">
        <f>IF($B308="","",IF($AK308&lt;=Settings!$C$21,"",IFERROR(AVERAGEIFS($S$4:$S$503,$B$4:$B$503,$B308,$AK$4:$AK$503,"&gt;="&amp;$AK308-Settings!$C$21,$AK$4:$AK$503,"&lt;="&amp;$AK308-1),"")))</f>
        <v/>
      </c>
      <c r="AA308" s="28" t="str">
        <f t="shared" si="76"/>
        <v/>
      </c>
      <c r="AB308" s="25" t="str">
        <f>IF($B308="","",IF($AK308&lt;=Settings!$C$22,"",IFERROR(AVERAGEIFS($K$4:$K$503,$B$4:$B$503,$B308,$AK$4:$AK$503,"&gt;="&amp;$AK308-Settings!$C$22,$AK$4:$AK$503,"&lt;="&amp;$AK308-1),"")))</f>
        <v/>
      </c>
      <c r="AC308" s="27" t="str">
        <f t="shared" si="77"/>
        <v/>
      </c>
      <c r="AD308" s="28" t="str">
        <f>IF($B308="","",IF($AK308&lt;=Settings!$C$23,"",IFERROR($E308/SUMIFS($E$4:$E$503,$B$4:$B$503,$B308,$AK$4:$AK$503,$AK308-Settings!$C$23)-1,"")))</f>
        <v/>
      </c>
      <c r="AE308" s="28" t="str">
        <f>IF($B308="","",IF($AK308&lt;=Settings!$C$22,"",IFERROR($E308/SUMIFS($E$4:$E$503,$B$4:$B$503,$B308,$AK$4:$AK$503,$AK308-Settings!$C$22)-1,"")))</f>
        <v/>
      </c>
      <c r="AF308" s="28" t="str">
        <f t="shared" si="78"/>
        <v/>
      </c>
      <c r="AG308" s="29" t="str">
        <f>IF($B308="","",ROUND((MIN(100,100*N($I308)/Settings!$C$27)+MIN(100,100*N($K308)/Settings!$C$28)+MIN(100,100*N($J308)/Settings!$C$29))/3,1))</f>
        <v/>
      </c>
      <c r="AH308" s="29" t="str">
        <f>IF($B308="","",IF(SUM(Settings!$C$32:$C$37)=0,"",ROUND((Settings!$C$32*$AO308+Settings!$C$33*$AP308+Settings!$C$34*$AQ308+Settings!$C$35*$AR308+Settings!$C$36*$AS308+Settings!$C$37*$AT308)/SUM(Settings!$C$32:$C$37),1)))</f>
        <v/>
      </c>
      <c r="AI308" s="29" t="str">
        <f>IF($B308="","",MAX(0,100-IF(N($N308)&gt;0,0,20)-IF(AND(N($L308)=0,N($M308)=0),15,0)-IF(N($J308)&gt;0,0,10)-IF(N($K308)&gt;0,0,10)-IF($Z308&lt;&gt;"",0,15)-IF($AB308&lt;&gt;"",0,10)-IF($R308="ERROR",20,IF($R308="WARNING",10,0))))</f>
        <v/>
      </c>
      <c r="AJ308" s="30" t="str">
        <f>IF($AH308="","",IF($AH308&lt;Settings!$C$46,"Extreme Sell Pressure",IF($AH308&lt;Settings!$C$47,"Sell Pressure",IF($AH308&lt;=Settings!$C$48,"Neutral",IF($AH308&lt;=Settings!$C$49,"Buy Pressure","Extreme Buy Pressure")))))</f>
        <v/>
      </c>
      <c r="AK308" s="30" t="str">
        <f t="shared" si="79"/>
        <v/>
      </c>
      <c r="AL308" s="30" t="str">
        <f t="shared" si="80"/>
        <v/>
      </c>
      <c r="AM308" s="30" t="str">
        <f t="shared" si="81"/>
        <v/>
      </c>
      <c r="AN308" s="30" t="str">
        <f t="shared" si="82"/>
        <v/>
      </c>
      <c r="AO308" s="29" t="str">
        <f>IF($B308="","",IF(AND(N($L308)=0,N($M308)=0),50,IF(N($M308)=0,100,IF(N($L308)=0,0,MEDIAN(0,100,50+50*LN($S308)/LN(Settings!$C$40))))))</f>
        <v/>
      </c>
      <c r="AP308" s="29">
        <f>IF($AA308="",50,MEDIAN(0,100,50+$AA308*100*Settings!$C$41))</f>
        <v>50</v>
      </c>
      <c r="AQ308" s="29">
        <f>IF($H308="",50,MEDIAN(0,100,50+$H308*100*Settings!$C$42))</f>
        <v>50</v>
      </c>
      <c r="AR308" s="29">
        <f>IF(OR($AC308="",$H308=""),50,MEDIAN(0,100,50+SIGN($H308)*50*MEDIAN(0,1,($AC308-1)/Settings!$C$43)))</f>
        <v>50</v>
      </c>
      <c r="AS308" s="29">
        <f>IF(OR($V308="",$W308=""),50,MEDIAN(0,100,50+50*($V308-$W308)/Settings!$C$44))</f>
        <v>50</v>
      </c>
      <c r="AT308" s="29">
        <f t="shared" si="83"/>
        <v>50</v>
      </c>
      <c r="AU308" s="30" t="str">
        <f t="shared" si="84"/>
        <v/>
      </c>
      <c r="AV308" s="87" t="str">
        <f>IF($A308="","",IF(COUNTIFS($A$4:$A308,$A308)=1,1,0))</f>
        <v/>
      </c>
    </row>
    <row r="309" spans="1:48" x14ac:dyDescent="0.3">
      <c r="A309" s="270"/>
      <c r="B309" s="271"/>
      <c r="C309" s="272"/>
      <c r="D309" s="272"/>
      <c r="E309" s="272"/>
      <c r="F309" s="272"/>
      <c r="G309" s="272"/>
      <c r="H309" s="268" t="str">
        <f t="shared" si="68"/>
        <v/>
      </c>
      <c r="I309" s="273"/>
      <c r="J309" s="273"/>
      <c r="K309" s="273"/>
      <c r="L309" s="273"/>
      <c r="M309" s="273"/>
      <c r="N309" s="273"/>
      <c r="O309" s="271"/>
      <c r="P309" s="270"/>
      <c r="Q309" s="271"/>
      <c r="R309" s="23" t="str" cm="1">
        <f t="array" ref="R309">IF($B309="","",IFERROR(IF(INDEX('Data Quality'!$U$4:$U$503,ROW()-3)=0,"PENDING",INDEX('Data Quality'!$U$4:$U$503,ROW()-3)),"PENDING"))</f>
        <v/>
      </c>
      <c r="S309" s="24" t="str">
        <f t="shared" si="69"/>
        <v/>
      </c>
      <c r="T309" s="25" t="str">
        <f t="shared" si="70"/>
        <v/>
      </c>
      <c r="U309" s="25" t="str">
        <f t="shared" si="71"/>
        <v/>
      </c>
      <c r="V309" s="26" t="str">
        <f t="shared" si="72"/>
        <v/>
      </c>
      <c r="W309" s="26" t="str">
        <f t="shared" si="73"/>
        <v/>
      </c>
      <c r="X309" s="25" t="str">
        <f t="shared" si="74"/>
        <v/>
      </c>
      <c r="Y309" s="25" t="str">
        <f t="shared" si="75"/>
        <v/>
      </c>
      <c r="Z309" s="27" t="str">
        <f>IF($B309="","",IF($AK309&lt;=Settings!$C$21,"",IFERROR(AVERAGEIFS($S$4:$S$503,$B$4:$B$503,$B309,$AK$4:$AK$503,"&gt;="&amp;$AK309-Settings!$C$21,$AK$4:$AK$503,"&lt;="&amp;$AK309-1),"")))</f>
        <v/>
      </c>
      <c r="AA309" s="28" t="str">
        <f t="shared" si="76"/>
        <v/>
      </c>
      <c r="AB309" s="25" t="str">
        <f>IF($B309="","",IF($AK309&lt;=Settings!$C$22,"",IFERROR(AVERAGEIFS($K$4:$K$503,$B$4:$B$503,$B309,$AK$4:$AK$503,"&gt;="&amp;$AK309-Settings!$C$22,$AK$4:$AK$503,"&lt;="&amp;$AK309-1),"")))</f>
        <v/>
      </c>
      <c r="AC309" s="27" t="str">
        <f t="shared" si="77"/>
        <v/>
      </c>
      <c r="AD309" s="28" t="str">
        <f>IF($B309="","",IF($AK309&lt;=Settings!$C$23,"",IFERROR($E309/SUMIFS($E$4:$E$503,$B$4:$B$503,$B309,$AK$4:$AK$503,$AK309-Settings!$C$23)-1,"")))</f>
        <v/>
      </c>
      <c r="AE309" s="28" t="str">
        <f>IF($B309="","",IF($AK309&lt;=Settings!$C$22,"",IFERROR($E309/SUMIFS($E$4:$E$503,$B$4:$B$503,$B309,$AK$4:$AK$503,$AK309-Settings!$C$22)-1,"")))</f>
        <v/>
      </c>
      <c r="AF309" s="28" t="str">
        <f t="shared" si="78"/>
        <v/>
      </c>
      <c r="AG309" s="29" t="str">
        <f>IF($B309="","",ROUND((MIN(100,100*N($I309)/Settings!$C$27)+MIN(100,100*N($K309)/Settings!$C$28)+MIN(100,100*N($J309)/Settings!$C$29))/3,1))</f>
        <v/>
      </c>
      <c r="AH309" s="29" t="str">
        <f>IF($B309="","",IF(SUM(Settings!$C$32:$C$37)=0,"",ROUND((Settings!$C$32*$AO309+Settings!$C$33*$AP309+Settings!$C$34*$AQ309+Settings!$C$35*$AR309+Settings!$C$36*$AS309+Settings!$C$37*$AT309)/SUM(Settings!$C$32:$C$37),1)))</f>
        <v/>
      </c>
      <c r="AI309" s="29" t="str">
        <f>IF($B309="","",MAX(0,100-IF(N($N309)&gt;0,0,20)-IF(AND(N($L309)=0,N($M309)=0),15,0)-IF(N($J309)&gt;0,0,10)-IF(N($K309)&gt;0,0,10)-IF($Z309&lt;&gt;"",0,15)-IF($AB309&lt;&gt;"",0,10)-IF($R309="ERROR",20,IF($R309="WARNING",10,0))))</f>
        <v/>
      </c>
      <c r="AJ309" s="30" t="str">
        <f>IF($AH309="","",IF($AH309&lt;Settings!$C$46,"Extreme Sell Pressure",IF($AH309&lt;Settings!$C$47,"Sell Pressure",IF($AH309&lt;=Settings!$C$48,"Neutral",IF($AH309&lt;=Settings!$C$49,"Buy Pressure","Extreme Buy Pressure")))))</f>
        <v/>
      </c>
      <c r="AK309" s="30" t="str">
        <f t="shared" si="79"/>
        <v/>
      </c>
      <c r="AL309" s="30" t="str">
        <f t="shared" si="80"/>
        <v/>
      </c>
      <c r="AM309" s="30" t="str">
        <f t="shared" si="81"/>
        <v/>
      </c>
      <c r="AN309" s="30" t="str">
        <f t="shared" si="82"/>
        <v/>
      </c>
      <c r="AO309" s="29" t="str">
        <f>IF($B309="","",IF(AND(N($L309)=0,N($M309)=0),50,IF(N($M309)=0,100,IF(N($L309)=0,0,MEDIAN(0,100,50+50*LN($S309)/LN(Settings!$C$40))))))</f>
        <v/>
      </c>
      <c r="AP309" s="29">
        <f>IF($AA309="",50,MEDIAN(0,100,50+$AA309*100*Settings!$C$41))</f>
        <v>50</v>
      </c>
      <c r="AQ309" s="29">
        <f>IF($H309="",50,MEDIAN(0,100,50+$H309*100*Settings!$C$42))</f>
        <v>50</v>
      </c>
      <c r="AR309" s="29">
        <f>IF(OR($AC309="",$H309=""),50,MEDIAN(0,100,50+SIGN($H309)*50*MEDIAN(0,1,($AC309-1)/Settings!$C$43)))</f>
        <v>50</v>
      </c>
      <c r="AS309" s="29">
        <f>IF(OR($V309="",$W309=""),50,MEDIAN(0,100,50+50*($V309-$W309)/Settings!$C$44))</f>
        <v>50</v>
      </c>
      <c r="AT309" s="29">
        <f t="shared" si="83"/>
        <v>50</v>
      </c>
      <c r="AU309" s="30" t="str">
        <f t="shared" si="84"/>
        <v/>
      </c>
      <c r="AV309" s="87" t="str">
        <f>IF($A309="","",IF(COUNTIFS($A$4:$A309,$A309)=1,1,0))</f>
        <v/>
      </c>
    </row>
    <row r="310" spans="1:48" x14ac:dyDescent="0.3">
      <c r="A310" s="270"/>
      <c r="B310" s="271"/>
      <c r="C310" s="272"/>
      <c r="D310" s="272"/>
      <c r="E310" s="272"/>
      <c r="F310" s="272"/>
      <c r="G310" s="272"/>
      <c r="H310" s="268" t="str">
        <f t="shared" si="68"/>
        <v/>
      </c>
      <c r="I310" s="273"/>
      <c r="J310" s="273"/>
      <c r="K310" s="273"/>
      <c r="L310" s="273"/>
      <c r="M310" s="273"/>
      <c r="N310" s="273"/>
      <c r="O310" s="271"/>
      <c r="P310" s="270"/>
      <c r="Q310" s="271"/>
      <c r="R310" s="23" t="str" cm="1">
        <f t="array" ref="R310">IF($B310="","",IFERROR(IF(INDEX('Data Quality'!$U$4:$U$503,ROW()-3)=0,"PENDING",INDEX('Data Quality'!$U$4:$U$503,ROW()-3)),"PENDING"))</f>
        <v/>
      </c>
      <c r="S310" s="24" t="str">
        <f t="shared" si="69"/>
        <v/>
      </c>
      <c r="T310" s="25" t="str">
        <f t="shared" si="70"/>
        <v/>
      </c>
      <c r="U310" s="25" t="str">
        <f t="shared" si="71"/>
        <v/>
      </c>
      <c r="V310" s="26" t="str">
        <f t="shared" si="72"/>
        <v/>
      </c>
      <c r="W310" s="26" t="str">
        <f t="shared" si="73"/>
        <v/>
      </c>
      <c r="X310" s="25" t="str">
        <f t="shared" si="74"/>
        <v/>
      </c>
      <c r="Y310" s="25" t="str">
        <f t="shared" si="75"/>
        <v/>
      </c>
      <c r="Z310" s="27" t="str">
        <f>IF($B310="","",IF($AK310&lt;=Settings!$C$21,"",IFERROR(AVERAGEIFS($S$4:$S$503,$B$4:$B$503,$B310,$AK$4:$AK$503,"&gt;="&amp;$AK310-Settings!$C$21,$AK$4:$AK$503,"&lt;="&amp;$AK310-1),"")))</f>
        <v/>
      </c>
      <c r="AA310" s="28" t="str">
        <f t="shared" si="76"/>
        <v/>
      </c>
      <c r="AB310" s="25" t="str">
        <f>IF($B310="","",IF($AK310&lt;=Settings!$C$22,"",IFERROR(AVERAGEIFS($K$4:$K$503,$B$4:$B$503,$B310,$AK$4:$AK$503,"&gt;="&amp;$AK310-Settings!$C$22,$AK$4:$AK$503,"&lt;="&amp;$AK310-1),"")))</f>
        <v/>
      </c>
      <c r="AC310" s="27" t="str">
        <f t="shared" si="77"/>
        <v/>
      </c>
      <c r="AD310" s="28" t="str">
        <f>IF($B310="","",IF($AK310&lt;=Settings!$C$23,"",IFERROR($E310/SUMIFS($E$4:$E$503,$B$4:$B$503,$B310,$AK$4:$AK$503,$AK310-Settings!$C$23)-1,"")))</f>
        <v/>
      </c>
      <c r="AE310" s="28" t="str">
        <f>IF($B310="","",IF($AK310&lt;=Settings!$C$22,"",IFERROR($E310/SUMIFS($E$4:$E$503,$B$4:$B$503,$B310,$AK$4:$AK$503,$AK310-Settings!$C$22)-1,"")))</f>
        <v/>
      </c>
      <c r="AF310" s="28" t="str">
        <f t="shared" si="78"/>
        <v/>
      </c>
      <c r="AG310" s="29" t="str">
        <f>IF($B310="","",ROUND((MIN(100,100*N($I310)/Settings!$C$27)+MIN(100,100*N($K310)/Settings!$C$28)+MIN(100,100*N($J310)/Settings!$C$29))/3,1))</f>
        <v/>
      </c>
      <c r="AH310" s="29" t="str">
        <f>IF($B310="","",IF(SUM(Settings!$C$32:$C$37)=0,"",ROUND((Settings!$C$32*$AO310+Settings!$C$33*$AP310+Settings!$C$34*$AQ310+Settings!$C$35*$AR310+Settings!$C$36*$AS310+Settings!$C$37*$AT310)/SUM(Settings!$C$32:$C$37),1)))</f>
        <v/>
      </c>
      <c r="AI310" s="29" t="str">
        <f>IF($B310="","",MAX(0,100-IF(N($N310)&gt;0,0,20)-IF(AND(N($L310)=0,N($M310)=0),15,0)-IF(N($J310)&gt;0,0,10)-IF(N($K310)&gt;0,0,10)-IF($Z310&lt;&gt;"",0,15)-IF($AB310&lt;&gt;"",0,10)-IF($R310="ERROR",20,IF($R310="WARNING",10,0))))</f>
        <v/>
      </c>
      <c r="AJ310" s="30" t="str">
        <f>IF($AH310="","",IF($AH310&lt;Settings!$C$46,"Extreme Sell Pressure",IF($AH310&lt;Settings!$C$47,"Sell Pressure",IF($AH310&lt;=Settings!$C$48,"Neutral",IF($AH310&lt;=Settings!$C$49,"Buy Pressure","Extreme Buy Pressure")))))</f>
        <v/>
      </c>
      <c r="AK310" s="30" t="str">
        <f t="shared" si="79"/>
        <v/>
      </c>
      <c r="AL310" s="30" t="str">
        <f t="shared" si="80"/>
        <v/>
      </c>
      <c r="AM310" s="30" t="str">
        <f t="shared" si="81"/>
        <v/>
      </c>
      <c r="AN310" s="30" t="str">
        <f t="shared" si="82"/>
        <v/>
      </c>
      <c r="AO310" s="29" t="str">
        <f>IF($B310="","",IF(AND(N($L310)=0,N($M310)=0),50,IF(N($M310)=0,100,IF(N($L310)=0,0,MEDIAN(0,100,50+50*LN($S310)/LN(Settings!$C$40))))))</f>
        <v/>
      </c>
      <c r="AP310" s="29">
        <f>IF($AA310="",50,MEDIAN(0,100,50+$AA310*100*Settings!$C$41))</f>
        <v>50</v>
      </c>
      <c r="AQ310" s="29">
        <f>IF($H310="",50,MEDIAN(0,100,50+$H310*100*Settings!$C$42))</f>
        <v>50</v>
      </c>
      <c r="AR310" s="29">
        <f>IF(OR($AC310="",$H310=""),50,MEDIAN(0,100,50+SIGN($H310)*50*MEDIAN(0,1,($AC310-1)/Settings!$C$43)))</f>
        <v>50</v>
      </c>
      <c r="AS310" s="29">
        <f>IF(OR($V310="",$W310=""),50,MEDIAN(0,100,50+50*($V310-$W310)/Settings!$C$44))</f>
        <v>50</v>
      </c>
      <c r="AT310" s="29">
        <f t="shared" si="83"/>
        <v>50</v>
      </c>
      <c r="AU310" s="30" t="str">
        <f t="shared" si="84"/>
        <v/>
      </c>
      <c r="AV310" s="87" t="str">
        <f>IF($A310="","",IF(COUNTIFS($A$4:$A310,$A310)=1,1,0))</f>
        <v/>
      </c>
    </row>
    <row r="311" spans="1:48" x14ac:dyDescent="0.3">
      <c r="A311" s="270"/>
      <c r="B311" s="271"/>
      <c r="C311" s="272"/>
      <c r="D311" s="272"/>
      <c r="E311" s="272"/>
      <c r="F311" s="272"/>
      <c r="G311" s="272"/>
      <c r="H311" s="268" t="str">
        <f t="shared" si="68"/>
        <v/>
      </c>
      <c r="I311" s="273"/>
      <c r="J311" s="273"/>
      <c r="K311" s="273"/>
      <c r="L311" s="273"/>
      <c r="M311" s="273"/>
      <c r="N311" s="273"/>
      <c r="O311" s="271"/>
      <c r="P311" s="270"/>
      <c r="Q311" s="271"/>
      <c r="R311" s="23" t="str" cm="1">
        <f t="array" ref="R311">IF($B311="","",IFERROR(IF(INDEX('Data Quality'!$U$4:$U$503,ROW()-3)=0,"PENDING",INDEX('Data Quality'!$U$4:$U$503,ROW()-3)),"PENDING"))</f>
        <v/>
      </c>
      <c r="S311" s="24" t="str">
        <f t="shared" si="69"/>
        <v/>
      </c>
      <c r="T311" s="25" t="str">
        <f t="shared" si="70"/>
        <v/>
      </c>
      <c r="U311" s="25" t="str">
        <f t="shared" si="71"/>
        <v/>
      </c>
      <c r="V311" s="26" t="str">
        <f t="shared" si="72"/>
        <v/>
      </c>
      <c r="W311" s="26" t="str">
        <f t="shared" si="73"/>
        <v/>
      </c>
      <c r="X311" s="25" t="str">
        <f t="shared" si="74"/>
        <v/>
      </c>
      <c r="Y311" s="25" t="str">
        <f t="shared" si="75"/>
        <v/>
      </c>
      <c r="Z311" s="27" t="str">
        <f>IF($B311="","",IF($AK311&lt;=Settings!$C$21,"",IFERROR(AVERAGEIFS($S$4:$S$503,$B$4:$B$503,$B311,$AK$4:$AK$503,"&gt;="&amp;$AK311-Settings!$C$21,$AK$4:$AK$503,"&lt;="&amp;$AK311-1),"")))</f>
        <v/>
      </c>
      <c r="AA311" s="28" t="str">
        <f t="shared" si="76"/>
        <v/>
      </c>
      <c r="AB311" s="25" t="str">
        <f>IF($B311="","",IF($AK311&lt;=Settings!$C$22,"",IFERROR(AVERAGEIFS($K$4:$K$503,$B$4:$B$503,$B311,$AK$4:$AK$503,"&gt;="&amp;$AK311-Settings!$C$22,$AK$4:$AK$503,"&lt;="&amp;$AK311-1),"")))</f>
        <v/>
      </c>
      <c r="AC311" s="27" t="str">
        <f t="shared" si="77"/>
        <v/>
      </c>
      <c r="AD311" s="28" t="str">
        <f>IF($B311="","",IF($AK311&lt;=Settings!$C$23,"",IFERROR($E311/SUMIFS($E$4:$E$503,$B$4:$B$503,$B311,$AK$4:$AK$503,$AK311-Settings!$C$23)-1,"")))</f>
        <v/>
      </c>
      <c r="AE311" s="28" t="str">
        <f>IF($B311="","",IF($AK311&lt;=Settings!$C$22,"",IFERROR($E311/SUMIFS($E$4:$E$503,$B$4:$B$503,$B311,$AK$4:$AK$503,$AK311-Settings!$C$22)-1,"")))</f>
        <v/>
      </c>
      <c r="AF311" s="28" t="str">
        <f t="shared" si="78"/>
        <v/>
      </c>
      <c r="AG311" s="29" t="str">
        <f>IF($B311="","",ROUND((MIN(100,100*N($I311)/Settings!$C$27)+MIN(100,100*N($K311)/Settings!$C$28)+MIN(100,100*N($J311)/Settings!$C$29))/3,1))</f>
        <v/>
      </c>
      <c r="AH311" s="29" t="str">
        <f>IF($B311="","",IF(SUM(Settings!$C$32:$C$37)=0,"",ROUND((Settings!$C$32*$AO311+Settings!$C$33*$AP311+Settings!$C$34*$AQ311+Settings!$C$35*$AR311+Settings!$C$36*$AS311+Settings!$C$37*$AT311)/SUM(Settings!$C$32:$C$37),1)))</f>
        <v/>
      </c>
      <c r="AI311" s="29" t="str">
        <f>IF($B311="","",MAX(0,100-IF(N($N311)&gt;0,0,20)-IF(AND(N($L311)=0,N($M311)=0),15,0)-IF(N($J311)&gt;0,0,10)-IF(N($K311)&gt;0,0,10)-IF($Z311&lt;&gt;"",0,15)-IF($AB311&lt;&gt;"",0,10)-IF($R311="ERROR",20,IF($R311="WARNING",10,0))))</f>
        <v/>
      </c>
      <c r="AJ311" s="30" t="str">
        <f>IF($AH311="","",IF($AH311&lt;Settings!$C$46,"Extreme Sell Pressure",IF($AH311&lt;Settings!$C$47,"Sell Pressure",IF($AH311&lt;=Settings!$C$48,"Neutral",IF($AH311&lt;=Settings!$C$49,"Buy Pressure","Extreme Buy Pressure")))))</f>
        <v/>
      </c>
      <c r="AK311" s="30" t="str">
        <f t="shared" si="79"/>
        <v/>
      </c>
      <c r="AL311" s="30" t="str">
        <f t="shared" si="80"/>
        <v/>
      </c>
      <c r="AM311" s="30" t="str">
        <f t="shared" si="81"/>
        <v/>
      </c>
      <c r="AN311" s="30" t="str">
        <f t="shared" si="82"/>
        <v/>
      </c>
      <c r="AO311" s="29" t="str">
        <f>IF($B311="","",IF(AND(N($L311)=0,N($M311)=0),50,IF(N($M311)=0,100,IF(N($L311)=0,0,MEDIAN(0,100,50+50*LN($S311)/LN(Settings!$C$40))))))</f>
        <v/>
      </c>
      <c r="AP311" s="29">
        <f>IF($AA311="",50,MEDIAN(0,100,50+$AA311*100*Settings!$C$41))</f>
        <v>50</v>
      </c>
      <c r="AQ311" s="29">
        <f>IF($H311="",50,MEDIAN(0,100,50+$H311*100*Settings!$C$42))</f>
        <v>50</v>
      </c>
      <c r="AR311" s="29">
        <f>IF(OR($AC311="",$H311=""),50,MEDIAN(0,100,50+SIGN($H311)*50*MEDIAN(0,1,($AC311-1)/Settings!$C$43)))</f>
        <v>50</v>
      </c>
      <c r="AS311" s="29">
        <f>IF(OR($V311="",$W311=""),50,MEDIAN(0,100,50+50*($V311-$W311)/Settings!$C$44))</f>
        <v>50</v>
      </c>
      <c r="AT311" s="29">
        <f t="shared" si="83"/>
        <v>50</v>
      </c>
      <c r="AU311" s="30" t="str">
        <f t="shared" si="84"/>
        <v/>
      </c>
      <c r="AV311" s="87" t="str">
        <f>IF($A311="","",IF(COUNTIFS($A$4:$A311,$A311)=1,1,0))</f>
        <v/>
      </c>
    </row>
    <row r="312" spans="1:48" x14ac:dyDescent="0.3">
      <c r="A312" s="270"/>
      <c r="B312" s="271"/>
      <c r="C312" s="272"/>
      <c r="D312" s="272"/>
      <c r="E312" s="272"/>
      <c r="F312" s="272"/>
      <c r="G312" s="272"/>
      <c r="H312" s="268" t="str">
        <f t="shared" si="68"/>
        <v/>
      </c>
      <c r="I312" s="273"/>
      <c r="J312" s="273"/>
      <c r="K312" s="273"/>
      <c r="L312" s="273"/>
      <c r="M312" s="273"/>
      <c r="N312" s="273"/>
      <c r="O312" s="271"/>
      <c r="P312" s="270"/>
      <c r="Q312" s="271"/>
      <c r="R312" s="23" t="str" cm="1">
        <f t="array" ref="R312">IF($B312="","",IFERROR(IF(INDEX('Data Quality'!$U$4:$U$503,ROW()-3)=0,"PENDING",INDEX('Data Quality'!$U$4:$U$503,ROW()-3)),"PENDING"))</f>
        <v/>
      </c>
      <c r="S312" s="24" t="str">
        <f t="shared" si="69"/>
        <v/>
      </c>
      <c r="T312" s="25" t="str">
        <f t="shared" si="70"/>
        <v/>
      </c>
      <c r="U312" s="25" t="str">
        <f t="shared" si="71"/>
        <v/>
      </c>
      <c r="V312" s="26" t="str">
        <f t="shared" si="72"/>
        <v/>
      </c>
      <c r="W312" s="26" t="str">
        <f t="shared" si="73"/>
        <v/>
      </c>
      <c r="X312" s="25" t="str">
        <f t="shared" si="74"/>
        <v/>
      </c>
      <c r="Y312" s="25" t="str">
        <f t="shared" si="75"/>
        <v/>
      </c>
      <c r="Z312" s="27" t="str">
        <f>IF($B312="","",IF($AK312&lt;=Settings!$C$21,"",IFERROR(AVERAGEIFS($S$4:$S$503,$B$4:$B$503,$B312,$AK$4:$AK$503,"&gt;="&amp;$AK312-Settings!$C$21,$AK$4:$AK$503,"&lt;="&amp;$AK312-1),"")))</f>
        <v/>
      </c>
      <c r="AA312" s="28" t="str">
        <f t="shared" si="76"/>
        <v/>
      </c>
      <c r="AB312" s="25" t="str">
        <f>IF($B312="","",IF($AK312&lt;=Settings!$C$22,"",IFERROR(AVERAGEIFS($K$4:$K$503,$B$4:$B$503,$B312,$AK$4:$AK$503,"&gt;="&amp;$AK312-Settings!$C$22,$AK$4:$AK$503,"&lt;="&amp;$AK312-1),"")))</f>
        <v/>
      </c>
      <c r="AC312" s="27" t="str">
        <f t="shared" si="77"/>
        <v/>
      </c>
      <c r="AD312" s="28" t="str">
        <f>IF($B312="","",IF($AK312&lt;=Settings!$C$23,"",IFERROR($E312/SUMIFS($E$4:$E$503,$B$4:$B$503,$B312,$AK$4:$AK$503,$AK312-Settings!$C$23)-1,"")))</f>
        <v/>
      </c>
      <c r="AE312" s="28" t="str">
        <f>IF($B312="","",IF($AK312&lt;=Settings!$C$22,"",IFERROR($E312/SUMIFS($E$4:$E$503,$B$4:$B$503,$B312,$AK$4:$AK$503,$AK312-Settings!$C$22)-1,"")))</f>
        <v/>
      </c>
      <c r="AF312" s="28" t="str">
        <f t="shared" si="78"/>
        <v/>
      </c>
      <c r="AG312" s="29" t="str">
        <f>IF($B312="","",ROUND((MIN(100,100*N($I312)/Settings!$C$27)+MIN(100,100*N($K312)/Settings!$C$28)+MIN(100,100*N($J312)/Settings!$C$29))/3,1))</f>
        <v/>
      </c>
      <c r="AH312" s="29" t="str">
        <f>IF($B312="","",IF(SUM(Settings!$C$32:$C$37)=0,"",ROUND((Settings!$C$32*$AO312+Settings!$C$33*$AP312+Settings!$C$34*$AQ312+Settings!$C$35*$AR312+Settings!$C$36*$AS312+Settings!$C$37*$AT312)/SUM(Settings!$C$32:$C$37),1)))</f>
        <v/>
      </c>
      <c r="AI312" s="29" t="str">
        <f>IF($B312="","",MAX(0,100-IF(N($N312)&gt;0,0,20)-IF(AND(N($L312)=0,N($M312)=0),15,0)-IF(N($J312)&gt;0,0,10)-IF(N($K312)&gt;0,0,10)-IF($Z312&lt;&gt;"",0,15)-IF($AB312&lt;&gt;"",0,10)-IF($R312="ERROR",20,IF($R312="WARNING",10,0))))</f>
        <v/>
      </c>
      <c r="AJ312" s="30" t="str">
        <f>IF($AH312="","",IF($AH312&lt;Settings!$C$46,"Extreme Sell Pressure",IF($AH312&lt;Settings!$C$47,"Sell Pressure",IF($AH312&lt;=Settings!$C$48,"Neutral",IF($AH312&lt;=Settings!$C$49,"Buy Pressure","Extreme Buy Pressure")))))</f>
        <v/>
      </c>
      <c r="AK312" s="30" t="str">
        <f t="shared" si="79"/>
        <v/>
      </c>
      <c r="AL312" s="30" t="str">
        <f t="shared" si="80"/>
        <v/>
      </c>
      <c r="AM312" s="30" t="str">
        <f t="shared" si="81"/>
        <v/>
      </c>
      <c r="AN312" s="30" t="str">
        <f t="shared" si="82"/>
        <v/>
      </c>
      <c r="AO312" s="29" t="str">
        <f>IF($B312="","",IF(AND(N($L312)=0,N($M312)=0),50,IF(N($M312)=0,100,IF(N($L312)=0,0,MEDIAN(0,100,50+50*LN($S312)/LN(Settings!$C$40))))))</f>
        <v/>
      </c>
      <c r="AP312" s="29">
        <f>IF($AA312="",50,MEDIAN(0,100,50+$AA312*100*Settings!$C$41))</f>
        <v>50</v>
      </c>
      <c r="AQ312" s="29">
        <f>IF($H312="",50,MEDIAN(0,100,50+$H312*100*Settings!$C$42))</f>
        <v>50</v>
      </c>
      <c r="AR312" s="29">
        <f>IF(OR($AC312="",$H312=""),50,MEDIAN(0,100,50+SIGN($H312)*50*MEDIAN(0,1,($AC312-1)/Settings!$C$43)))</f>
        <v>50</v>
      </c>
      <c r="AS312" s="29">
        <f>IF(OR($V312="",$W312=""),50,MEDIAN(0,100,50+50*($V312-$W312)/Settings!$C$44))</f>
        <v>50</v>
      </c>
      <c r="AT312" s="29">
        <f t="shared" si="83"/>
        <v>50</v>
      </c>
      <c r="AU312" s="30" t="str">
        <f t="shared" si="84"/>
        <v/>
      </c>
      <c r="AV312" s="87" t="str">
        <f>IF($A312="","",IF(COUNTIFS($A$4:$A312,$A312)=1,1,0))</f>
        <v/>
      </c>
    </row>
    <row r="313" spans="1:48" x14ac:dyDescent="0.3">
      <c r="A313" s="270"/>
      <c r="B313" s="271"/>
      <c r="C313" s="272"/>
      <c r="D313" s="272"/>
      <c r="E313" s="272"/>
      <c r="F313" s="272"/>
      <c r="G313" s="272"/>
      <c r="H313" s="268" t="str">
        <f t="shared" si="68"/>
        <v/>
      </c>
      <c r="I313" s="273"/>
      <c r="J313" s="273"/>
      <c r="K313" s="273"/>
      <c r="L313" s="273"/>
      <c r="M313" s="273"/>
      <c r="N313" s="273"/>
      <c r="O313" s="271"/>
      <c r="P313" s="270"/>
      <c r="Q313" s="271"/>
      <c r="R313" s="23" t="str" cm="1">
        <f t="array" ref="R313">IF($B313="","",IFERROR(IF(INDEX('Data Quality'!$U$4:$U$503,ROW()-3)=0,"PENDING",INDEX('Data Quality'!$U$4:$U$503,ROW()-3)),"PENDING"))</f>
        <v/>
      </c>
      <c r="S313" s="24" t="str">
        <f t="shared" si="69"/>
        <v/>
      </c>
      <c r="T313" s="25" t="str">
        <f t="shared" si="70"/>
        <v/>
      </c>
      <c r="U313" s="25" t="str">
        <f t="shared" si="71"/>
        <v/>
      </c>
      <c r="V313" s="26" t="str">
        <f t="shared" si="72"/>
        <v/>
      </c>
      <c r="W313" s="26" t="str">
        <f t="shared" si="73"/>
        <v/>
      </c>
      <c r="X313" s="25" t="str">
        <f t="shared" si="74"/>
        <v/>
      </c>
      <c r="Y313" s="25" t="str">
        <f t="shared" si="75"/>
        <v/>
      </c>
      <c r="Z313" s="27" t="str">
        <f>IF($B313="","",IF($AK313&lt;=Settings!$C$21,"",IFERROR(AVERAGEIFS($S$4:$S$503,$B$4:$B$503,$B313,$AK$4:$AK$503,"&gt;="&amp;$AK313-Settings!$C$21,$AK$4:$AK$503,"&lt;="&amp;$AK313-1),"")))</f>
        <v/>
      </c>
      <c r="AA313" s="28" t="str">
        <f t="shared" si="76"/>
        <v/>
      </c>
      <c r="AB313" s="25" t="str">
        <f>IF($B313="","",IF($AK313&lt;=Settings!$C$22,"",IFERROR(AVERAGEIFS($K$4:$K$503,$B$4:$B$503,$B313,$AK$4:$AK$503,"&gt;="&amp;$AK313-Settings!$C$22,$AK$4:$AK$503,"&lt;="&amp;$AK313-1),"")))</f>
        <v/>
      </c>
      <c r="AC313" s="27" t="str">
        <f t="shared" si="77"/>
        <v/>
      </c>
      <c r="AD313" s="28" t="str">
        <f>IF($B313="","",IF($AK313&lt;=Settings!$C$23,"",IFERROR($E313/SUMIFS($E$4:$E$503,$B$4:$B$503,$B313,$AK$4:$AK$503,$AK313-Settings!$C$23)-1,"")))</f>
        <v/>
      </c>
      <c r="AE313" s="28" t="str">
        <f>IF($B313="","",IF($AK313&lt;=Settings!$C$22,"",IFERROR($E313/SUMIFS($E$4:$E$503,$B$4:$B$503,$B313,$AK$4:$AK$503,$AK313-Settings!$C$22)-1,"")))</f>
        <v/>
      </c>
      <c r="AF313" s="28" t="str">
        <f t="shared" si="78"/>
        <v/>
      </c>
      <c r="AG313" s="29" t="str">
        <f>IF($B313="","",ROUND((MIN(100,100*N($I313)/Settings!$C$27)+MIN(100,100*N($K313)/Settings!$C$28)+MIN(100,100*N($J313)/Settings!$C$29))/3,1))</f>
        <v/>
      </c>
      <c r="AH313" s="29" t="str">
        <f>IF($B313="","",IF(SUM(Settings!$C$32:$C$37)=0,"",ROUND((Settings!$C$32*$AO313+Settings!$C$33*$AP313+Settings!$C$34*$AQ313+Settings!$C$35*$AR313+Settings!$C$36*$AS313+Settings!$C$37*$AT313)/SUM(Settings!$C$32:$C$37),1)))</f>
        <v/>
      </c>
      <c r="AI313" s="29" t="str">
        <f>IF($B313="","",MAX(0,100-IF(N($N313)&gt;0,0,20)-IF(AND(N($L313)=0,N($M313)=0),15,0)-IF(N($J313)&gt;0,0,10)-IF(N($K313)&gt;0,0,10)-IF($Z313&lt;&gt;"",0,15)-IF($AB313&lt;&gt;"",0,10)-IF($R313="ERROR",20,IF($R313="WARNING",10,0))))</f>
        <v/>
      </c>
      <c r="AJ313" s="30" t="str">
        <f>IF($AH313="","",IF($AH313&lt;Settings!$C$46,"Extreme Sell Pressure",IF($AH313&lt;Settings!$C$47,"Sell Pressure",IF($AH313&lt;=Settings!$C$48,"Neutral",IF($AH313&lt;=Settings!$C$49,"Buy Pressure","Extreme Buy Pressure")))))</f>
        <v/>
      </c>
      <c r="AK313" s="30" t="str">
        <f t="shared" si="79"/>
        <v/>
      </c>
      <c r="AL313" s="30" t="str">
        <f t="shared" si="80"/>
        <v/>
      </c>
      <c r="AM313" s="30" t="str">
        <f t="shared" si="81"/>
        <v/>
      </c>
      <c r="AN313" s="30" t="str">
        <f t="shared" si="82"/>
        <v/>
      </c>
      <c r="AO313" s="29" t="str">
        <f>IF($B313="","",IF(AND(N($L313)=0,N($M313)=0),50,IF(N($M313)=0,100,IF(N($L313)=0,0,MEDIAN(0,100,50+50*LN($S313)/LN(Settings!$C$40))))))</f>
        <v/>
      </c>
      <c r="AP313" s="29">
        <f>IF($AA313="",50,MEDIAN(0,100,50+$AA313*100*Settings!$C$41))</f>
        <v>50</v>
      </c>
      <c r="AQ313" s="29">
        <f>IF($H313="",50,MEDIAN(0,100,50+$H313*100*Settings!$C$42))</f>
        <v>50</v>
      </c>
      <c r="AR313" s="29">
        <f>IF(OR($AC313="",$H313=""),50,MEDIAN(0,100,50+SIGN($H313)*50*MEDIAN(0,1,($AC313-1)/Settings!$C$43)))</f>
        <v>50</v>
      </c>
      <c r="AS313" s="29">
        <f>IF(OR($V313="",$W313=""),50,MEDIAN(0,100,50+50*($V313-$W313)/Settings!$C$44))</f>
        <v>50</v>
      </c>
      <c r="AT313" s="29">
        <f t="shared" si="83"/>
        <v>50</v>
      </c>
      <c r="AU313" s="30" t="str">
        <f t="shared" si="84"/>
        <v/>
      </c>
      <c r="AV313" s="87" t="str">
        <f>IF($A313="","",IF(COUNTIFS($A$4:$A313,$A313)=1,1,0))</f>
        <v/>
      </c>
    </row>
    <row r="314" spans="1:48" x14ac:dyDescent="0.3">
      <c r="A314" s="270"/>
      <c r="B314" s="271"/>
      <c r="C314" s="272"/>
      <c r="D314" s="272"/>
      <c r="E314" s="272"/>
      <c r="F314" s="272"/>
      <c r="G314" s="272"/>
      <c r="H314" s="268" t="str">
        <f t="shared" si="68"/>
        <v/>
      </c>
      <c r="I314" s="273"/>
      <c r="J314" s="273"/>
      <c r="K314" s="273"/>
      <c r="L314" s="273"/>
      <c r="M314" s="273"/>
      <c r="N314" s="273"/>
      <c r="O314" s="271"/>
      <c r="P314" s="270"/>
      <c r="Q314" s="271"/>
      <c r="R314" s="23" t="str" cm="1">
        <f t="array" ref="R314">IF($B314="","",IFERROR(IF(INDEX('Data Quality'!$U$4:$U$503,ROW()-3)=0,"PENDING",INDEX('Data Quality'!$U$4:$U$503,ROW()-3)),"PENDING"))</f>
        <v/>
      </c>
      <c r="S314" s="24" t="str">
        <f t="shared" si="69"/>
        <v/>
      </c>
      <c r="T314" s="25" t="str">
        <f t="shared" si="70"/>
        <v/>
      </c>
      <c r="U314" s="25" t="str">
        <f t="shared" si="71"/>
        <v/>
      </c>
      <c r="V314" s="26" t="str">
        <f t="shared" si="72"/>
        <v/>
      </c>
      <c r="W314" s="26" t="str">
        <f t="shared" si="73"/>
        <v/>
      </c>
      <c r="X314" s="25" t="str">
        <f t="shared" si="74"/>
        <v/>
      </c>
      <c r="Y314" s="25" t="str">
        <f t="shared" si="75"/>
        <v/>
      </c>
      <c r="Z314" s="27" t="str">
        <f>IF($B314="","",IF($AK314&lt;=Settings!$C$21,"",IFERROR(AVERAGEIFS($S$4:$S$503,$B$4:$B$503,$B314,$AK$4:$AK$503,"&gt;="&amp;$AK314-Settings!$C$21,$AK$4:$AK$503,"&lt;="&amp;$AK314-1),"")))</f>
        <v/>
      </c>
      <c r="AA314" s="28" t="str">
        <f t="shared" si="76"/>
        <v/>
      </c>
      <c r="AB314" s="25" t="str">
        <f>IF($B314="","",IF($AK314&lt;=Settings!$C$22,"",IFERROR(AVERAGEIFS($K$4:$K$503,$B$4:$B$503,$B314,$AK$4:$AK$503,"&gt;="&amp;$AK314-Settings!$C$22,$AK$4:$AK$503,"&lt;="&amp;$AK314-1),"")))</f>
        <v/>
      </c>
      <c r="AC314" s="27" t="str">
        <f t="shared" si="77"/>
        <v/>
      </c>
      <c r="AD314" s="28" t="str">
        <f>IF($B314="","",IF($AK314&lt;=Settings!$C$23,"",IFERROR($E314/SUMIFS($E$4:$E$503,$B$4:$B$503,$B314,$AK$4:$AK$503,$AK314-Settings!$C$23)-1,"")))</f>
        <v/>
      </c>
      <c r="AE314" s="28" t="str">
        <f>IF($B314="","",IF($AK314&lt;=Settings!$C$22,"",IFERROR($E314/SUMIFS($E$4:$E$503,$B$4:$B$503,$B314,$AK$4:$AK$503,$AK314-Settings!$C$22)-1,"")))</f>
        <v/>
      </c>
      <c r="AF314" s="28" t="str">
        <f t="shared" si="78"/>
        <v/>
      </c>
      <c r="AG314" s="29" t="str">
        <f>IF($B314="","",ROUND((MIN(100,100*N($I314)/Settings!$C$27)+MIN(100,100*N($K314)/Settings!$C$28)+MIN(100,100*N($J314)/Settings!$C$29))/3,1))</f>
        <v/>
      </c>
      <c r="AH314" s="29" t="str">
        <f>IF($B314="","",IF(SUM(Settings!$C$32:$C$37)=0,"",ROUND((Settings!$C$32*$AO314+Settings!$C$33*$AP314+Settings!$C$34*$AQ314+Settings!$C$35*$AR314+Settings!$C$36*$AS314+Settings!$C$37*$AT314)/SUM(Settings!$C$32:$C$37),1)))</f>
        <v/>
      </c>
      <c r="AI314" s="29" t="str">
        <f>IF($B314="","",MAX(0,100-IF(N($N314)&gt;0,0,20)-IF(AND(N($L314)=0,N($M314)=0),15,0)-IF(N($J314)&gt;0,0,10)-IF(N($K314)&gt;0,0,10)-IF($Z314&lt;&gt;"",0,15)-IF($AB314&lt;&gt;"",0,10)-IF($R314="ERROR",20,IF($R314="WARNING",10,0))))</f>
        <v/>
      </c>
      <c r="AJ314" s="30" t="str">
        <f>IF($AH314="","",IF($AH314&lt;Settings!$C$46,"Extreme Sell Pressure",IF($AH314&lt;Settings!$C$47,"Sell Pressure",IF($AH314&lt;=Settings!$C$48,"Neutral",IF($AH314&lt;=Settings!$C$49,"Buy Pressure","Extreme Buy Pressure")))))</f>
        <v/>
      </c>
      <c r="AK314" s="30" t="str">
        <f t="shared" si="79"/>
        <v/>
      </c>
      <c r="AL314" s="30" t="str">
        <f t="shared" si="80"/>
        <v/>
      </c>
      <c r="AM314" s="30" t="str">
        <f t="shared" si="81"/>
        <v/>
      </c>
      <c r="AN314" s="30" t="str">
        <f t="shared" si="82"/>
        <v/>
      </c>
      <c r="AO314" s="29" t="str">
        <f>IF($B314="","",IF(AND(N($L314)=0,N($M314)=0),50,IF(N($M314)=0,100,IF(N($L314)=0,0,MEDIAN(0,100,50+50*LN($S314)/LN(Settings!$C$40))))))</f>
        <v/>
      </c>
      <c r="AP314" s="29">
        <f>IF($AA314="",50,MEDIAN(0,100,50+$AA314*100*Settings!$C$41))</f>
        <v>50</v>
      </c>
      <c r="AQ314" s="29">
        <f>IF($H314="",50,MEDIAN(0,100,50+$H314*100*Settings!$C$42))</f>
        <v>50</v>
      </c>
      <c r="AR314" s="29">
        <f>IF(OR($AC314="",$H314=""),50,MEDIAN(0,100,50+SIGN($H314)*50*MEDIAN(0,1,($AC314-1)/Settings!$C$43)))</f>
        <v>50</v>
      </c>
      <c r="AS314" s="29">
        <f>IF(OR($V314="",$W314=""),50,MEDIAN(0,100,50+50*($V314-$W314)/Settings!$C$44))</f>
        <v>50</v>
      </c>
      <c r="AT314" s="29">
        <f t="shared" si="83"/>
        <v>50</v>
      </c>
      <c r="AU314" s="30" t="str">
        <f t="shared" si="84"/>
        <v/>
      </c>
      <c r="AV314" s="87" t="str">
        <f>IF($A314="","",IF(COUNTIFS($A$4:$A314,$A314)=1,1,0))</f>
        <v/>
      </c>
    </row>
    <row r="315" spans="1:48" x14ac:dyDescent="0.3">
      <c r="A315" s="270"/>
      <c r="B315" s="271"/>
      <c r="C315" s="272"/>
      <c r="D315" s="272"/>
      <c r="E315" s="272"/>
      <c r="F315" s="272"/>
      <c r="G315" s="272"/>
      <c r="H315" s="268" t="str">
        <f t="shared" si="68"/>
        <v/>
      </c>
      <c r="I315" s="273"/>
      <c r="J315" s="273"/>
      <c r="K315" s="273"/>
      <c r="L315" s="273"/>
      <c r="M315" s="273"/>
      <c r="N315" s="273"/>
      <c r="O315" s="271"/>
      <c r="P315" s="270"/>
      <c r="Q315" s="271"/>
      <c r="R315" s="23" t="str" cm="1">
        <f t="array" ref="R315">IF($B315="","",IFERROR(IF(INDEX('Data Quality'!$U$4:$U$503,ROW()-3)=0,"PENDING",INDEX('Data Quality'!$U$4:$U$503,ROW()-3)),"PENDING"))</f>
        <v/>
      </c>
      <c r="S315" s="24" t="str">
        <f t="shared" si="69"/>
        <v/>
      </c>
      <c r="T315" s="25" t="str">
        <f t="shared" si="70"/>
        <v/>
      </c>
      <c r="U315" s="25" t="str">
        <f t="shared" si="71"/>
        <v/>
      </c>
      <c r="V315" s="26" t="str">
        <f t="shared" si="72"/>
        <v/>
      </c>
      <c r="W315" s="26" t="str">
        <f t="shared" si="73"/>
        <v/>
      </c>
      <c r="X315" s="25" t="str">
        <f t="shared" si="74"/>
        <v/>
      </c>
      <c r="Y315" s="25" t="str">
        <f t="shared" si="75"/>
        <v/>
      </c>
      <c r="Z315" s="27" t="str">
        <f>IF($B315="","",IF($AK315&lt;=Settings!$C$21,"",IFERROR(AVERAGEIFS($S$4:$S$503,$B$4:$B$503,$B315,$AK$4:$AK$503,"&gt;="&amp;$AK315-Settings!$C$21,$AK$4:$AK$503,"&lt;="&amp;$AK315-1),"")))</f>
        <v/>
      </c>
      <c r="AA315" s="28" t="str">
        <f t="shared" si="76"/>
        <v/>
      </c>
      <c r="AB315" s="25" t="str">
        <f>IF($B315="","",IF($AK315&lt;=Settings!$C$22,"",IFERROR(AVERAGEIFS($K$4:$K$503,$B$4:$B$503,$B315,$AK$4:$AK$503,"&gt;="&amp;$AK315-Settings!$C$22,$AK$4:$AK$503,"&lt;="&amp;$AK315-1),"")))</f>
        <v/>
      </c>
      <c r="AC315" s="27" t="str">
        <f t="shared" si="77"/>
        <v/>
      </c>
      <c r="AD315" s="28" t="str">
        <f>IF($B315="","",IF($AK315&lt;=Settings!$C$23,"",IFERROR($E315/SUMIFS($E$4:$E$503,$B$4:$B$503,$B315,$AK$4:$AK$503,$AK315-Settings!$C$23)-1,"")))</f>
        <v/>
      </c>
      <c r="AE315" s="28" t="str">
        <f>IF($B315="","",IF($AK315&lt;=Settings!$C$22,"",IFERROR($E315/SUMIFS($E$4:$E$503,$B$4:$B$503,$B315,$AK$4:$AK$503,$AK315-Settings!$C$22)-1,"")))</f>
        <v/>
      </c>
      <c r="AF315" s="28" t="str">
        <f t="shared" si="78"/>
        <v/>
      </c>
      <c r="AG315" s="29" t="str">
        <f>IF($B315="","",ROUND((MIN(100,100*N($I315)/Settings!$C$27)+MIN(100,100*N($K315)/Settings!$C$28)+MIN(100,100*N($J315)/Settings!$C$29))/3,1))</f>
        <v/>
      </c>
      <c r="AH315" s="29" t="str">
        <f>IF($B315="","",IF(SUM(Settings!$C$32:$C$37)=0,"",ROUND((Settings!$C$32*$AO315+Settings!$C$33*$AP315+Settings!$C$34*$AQ315+Settings!$C$35*$AR315+Settings!$C$36*$AS315+Settings!$C$37*$AT315)/SUM(Settings!$C$32:$C$37),1)))</f>
        <v/>
      </c>
      <c r="AI315" s="29" t="str">
        <f>IF($B315="","",MAX(0,100-IF(N($N315)&gt;0,0,20)-IF(AND(N($L315)=0,N($M315)=0),15,0)-IF(N($J315)&gt;0,0,10)-IF(N($K315)&gt;0,0,10)-IF($Z315&lt;&gt;"",0,15)-IF($AB315&lt;&gt;"",0,10)-IF($R315="ERROR",20,IF($R315="WARNING",10,0))))</f>
        <v/>
      </c>
      <c r="AJ315" s="30" t="str">
        <f>IF($AH315="","",IF($AH315&lt;Settings!$C$46,"Extreme Sell Pressure",IF($AH315&lt;Settings!$C$47,"Sell Pressure",IF($AH315&lt;=Settings!$C$48,"Neutral",IF($AH315&lt;=Settings!$C$49,"Buy Pressure","Extreme Buy Pressure")))))</f>
        <v/>
      </c>
      <c r="AK315" s="30" t="str">
        <f t="shared" si="79"/>
        <v/>
      </c>
      <c r="AL315" s="30" t="str">
        <f t="shared" si="80"/>
        <v/>
      </c>
      <c r="AM315" s="30" t="str">
        <f t="shared" si="81"/>
        <v/>
      </c>
      <c r="AN315" s="30" t="str">
        <f t="shared" si="82"/>
        <v/>
      </c>
      <c r="AO315" s="29" t="str">
        <f>IF($B315="","",IF(AND(N($L315)=0,N($M315)=0),50,IF(N($M315)=0,100,IF(N($L315)=0,0,MEDIAN(0,100,50+50*LN($S315)/LN(Settings!$C$40))))))</f>
        <v/>
      </c>
      <c r="AP315" s="29">
        <f>IF($AA315="",50,MEDIAN(0,100,50+$AA315*100*Settings!$C$41))</f>
        <v>50</v>
      </c>
      <c r="AQ315" s="29">
        <f>IF($H315="",50,MEDIAN(0,100,50+$H315*100*Settings!$C$42))</f>
        <v>50</v>
      </c>
      <c r="AR315" s="29">
        <f>IF(OR($AC315="",$H315=""),50,MEDIAN(0,100,50+SIGN($H315)*50*MEDIAN(0,1,($AC315-1)/Settings!$C$43)))</f>
        <v>50</v>
      </c>
      <c r="AS315" s="29">
        <f>IF(OR($V315="",$W315=""),50,MEDIAN(0,100,50+50*($V315-$W315)/Settings!$C$44))</f>
        <v>50</v>
      </c>
      <c r="AT315" s="29">
        <f t="shared" si="83"/>
        <v>50</v>
      </c>
      <c r="AU315" s="30" t="str">
        <f t="shared" si="84"/>
        <v/>
      </c>
      <c r="AV315" s="87" t="str">
        <f>IF($A315="","",IF(COUNTIFS($A$4:$A315,$A315)=1,1,0))</f>
        <v/>
      </c>
    </row>
    <row r="316" spans="1:48" x14ac:dyDescent="0.3">
      <c r="A316" s="270"/>
      <c r="B316" s="271"/>
      <c r="C316" s="272"/>
      <c r="D316" s="272"/>
      <c r="E316" s="272"/>
      <c r="F316" s="272"/>
      <c r="G316" s="272"/>
      <c r="H316" s="268" t="str">
        <f t="shared" si="68"/>
        <v/>
      </c>
      <c r="I316" s="273"/>
      <c r="J316" s="273"/>
      <c r="K316" s="273"/>
      <c r="L316" s="273"/>
      <c r="M316" s="273"/>
      <c r="N316" s="273"/>
      <c r="O316" s="271"/>
      <c r="P316" s="270"/>
      <c r="Q316" s="271"/>
      <c r="R316" s="23" t="str" cm="1">
        <f t="array" ref="R316">IF($B316="","",IFERROR(IF(INDEX('Data Quality'!$U$4:$U$503,ROW()-3)=0,"PENDING",INDEX('Data Quality'!$U$4:$U$503,ROW()-3)),"PENDING"))</f>
        <v/>
      </c>
      <c r="S316" s="24" t="str">
        <f t="shared" si="69"/>
        <v/>
      </c>
      <c r="T316" s="25" t="str">
        <f t="shared" si="70"/>
        <v/>
      </c>
      <c r="U316" s="25" t="str">
        <f t="shared" si="71"/>
        <v/>
      </c>
      <c r="V316" s="26" t="str">
        <f t="shared" si="72"/>
        <v/>
      </c>
      <c r="W316" s="26" t="str">
        <f t="shared" si="73"/>
        <v/>
      </c>
      <c r="X316" s="25" t="str">
        <f t="shared" si="74"/>
        <v/>
      </c>
      <c r="Y316" s="25" t="str">
        <f t="shared" si="75"/>
        <v/>
      </c>
      <c r="Z316" s="27" t="str">
        <f>IF($B316="","",IF($AK316&lt;=Settings!$C$21,"",IFERROR(AVERAGEIFS($S$4:$S$503,$B$4:$B$503,$B316,$AK$4:$AK$503,"&gt;="&amp;$AK316-Settings!$C$21,$AK$4:$AK$503,"&lt;="&amp;$AK316-1),"")))</f>
        <v/>
      </c>
      <c r="AA316" s="28" t="str">
        <f t="shared" si="76"/>
        <v/>
      </c>
      <c r="AB316" s="25" t="str">
        <f>IF($B316="","",IF($AK316&lt;=Settings!$C$22,"",IFERROR(AVERAGEIFS($K$4:$K$503,$B$4:$B$503,$B316,$AK$4:$AK$503,"&gt;="&amp;$AK316-Settings!$C$22,$AK$4:$AK$503,"&lt;="&amp;$AK316-1),"")))</f>
        <v/>
      </c>
      <c r="AC316" s="27" t="str">
        <f t="shared" si="77"/>
        <v/>
      </c>
      <c r="AD316" s="28" t="str">
        <f>IF($B316="","",IF($AK316&lt;=Settings!$C$23,"",IFERROR($E316/SUMIFS($E$4:$E$503,$B$4:$B$503,$B316,$AK$4:$AK$503,$AK316-Settings!$C$23)-1,"")))</f>
        <v/>
      </c>
      <c r="AE316" s="28" t="str">
        <f>IF($B316="","",IF($AK316&lt;=Settings!$C$22,"",IFERROR($E316/SUMIFS($E$4:$E$503,$B$4:$B$503,$B316,$AK$4:$AK$503,$AK316-Settings!$C$22)-1,"")))</f>
        <v/>
      </c>
      <c r="AF316" s="28" t="str">
        <f t="shared" si="78"/>
        <v/>
      </c>
      <c r="AG316" s="29" t="str">
        <f>IF($B316="","",ROUND((MIN(100,100*N($I316)/Settings!$C$27)+MIN(100,100*N($K316)/Settings!$C$28)+MIN(100,100*N($J316)/Settings!$C$29))/3,1))</f>
        <v/>
      </c>
      <c r="AH316" s="29" t="str">
        <f>IF($B316="","",IF(SUM(Settings!$C$32:$C$37)=0,"",ROUND((Settings!$C$32*$AO316+Settings!$C$33*$AP316+Settings!$C$34*$AQ316+Settings!$C$35*$AR316+Settings!$C$36*$AS316+Settings!$C$37*$AT316)/SUM(Settings!$C$32:$C$37),1)))</f>
        <v/>
      </c>
      <c r="AI316" s="29" t="str">
        <f>IF($B316="","",MAX(0,100-IF(N($N316)&gt;0,0,20)-IF(AND(N($L316)=0,N($M316)=0),15,0)-IF(N($J316)&gt;0,0,10)-IF(N($K316)&gt;0,0,10)-IF($Z316&lt;&gt;"",0,15)-IF($AB316&lt;&gt;"",0,10)-IF($R316="ERROR",20,IF($R316="WARNING",10,0))))</f>
        <v/>
      </c>
      <c r="AJ316" s="30" t="str">
        <f>IF($AH316="","",IF($AH316&lt;Settings!$C$46,"Extreme Sell Pressure",IF($AH316&lt;Settings!$C$47,"Sell Pressure",IF($AH316&lt;=Settings!$C$48,"Neutral",IF($AH316&lt;=Settings!$C$49,"Buy Pressure","Extreme Buy Pressure")))))</f>
        <v/>
      </c>
      <c r="AK316" s="30" t="str">
        <f t="shared" si="79"/>
        <v/>
      </c>
      <c r="AL316" s="30" t="str">
        <f t="shared" si="80"/>
        <v/>
      </c>
      <c r="AM316" s="30" t="str">
        <f t="shared" si="81"/>
        <v/>
      </c>
      <c r="AN316" s="30" t="str">
        <f t="shared" si="82"/>
        <v/>
      </c>
      <c r="AO316" s="29" t="str">
        <f>IF($B316="","",IF(AND(N($L316)=0,N($M316)=0),50,IF(N($M316)=0,100,IF(N($L316)=0,0,MEDIAN(0,100,50+50*LN($S316)/LN(Settings!$C$40))))))</f>
        <v/>
      </c>
      <c r="AP316" s="29">
        <f>IF($AA316="",50,MEDIAN(0,100,50+$AA316*100*Settings!$C$41))</f>
        <v>50</v>
      </c>
      <c r="AQ316" s="29">
        <f>IF($H316="",50,MEDIAN(0,100,50+$H316*100*Settings!$C$42))</f>
        <v>50</v>
      </c>
      <c r="AR316" s="29">
        <f>IF(OR($AC316="",$H316=""),50,MEDIAN(0,100,50+SIGN($H316)*50*MEDIAN(0,1,($AC316-1)/Settings!$C$43)))</f>
        <v>50</v>
      </c>
      <c r="AS316" s="29">
        <f>IF(OR($V316="",$W316=""),50,MEDIAN(0,100,50+50*($V316-$W316)/Settings!$C$44))</f>
        <v>50</v>
      </c>
      <c r="AT316" s="29">
        <f t="shared" si="83"/>
        <v>50</v>
      </c>
      <c r="AU316" s="30" t="str">
        <f t="shared" si="84"/>
        <v/>
      </c>
      <c r="AV316" s="87" t="str">
        <f>IF($A316="","",IF(COUNTIFS($A$4:$A316,$A316)=1,1,0))</f>
        <v/>
      </c>
    </row>
    <row r="317" spans="1:48" x14ac:dyDescent="0.3">
      <c r="A317" s="270"/>
      <c r="B317" s="271"/>
      <c r="C317" s="272"/>
      <c r="D317" s="272"/>
      <c r="E317" s="272"/>
      <c r="F317" s="272"/>
      <c r="G317" s="272"/>
      <c r="H317" s="268" t="str">
        <f t="shared" si="68"/>
        <v/>
      </c>
      <c r="I317" s="273"/>
      <c r="J317" s="273"/>
      <c r="K317" s="273"/>
      <c r="L317" s="273"/>
      <c r="M317" s="273"/>
      <c r="N317" s="273"/>
      <c r="O317" s="271"/>
      <c r="P317" s="270"/>
      <c r="Q317" s="271"/>
      <c r="R317" s="23" t="str" cm="1">
        <f t="array" ref="R317">IF($B317="","",IFERROR(IF(INDEX('Data Quality'!$U$4:$U$503,ROW()-3)=0,"PENDING",INDEX('Data Quality'!$U$4:$U$503,ROW()-3)),"PENDING"))</f>
        <v/>
      </c>
      <c r="S317" s="24" t="str">
        <f t="shared" si="69"/>
        <v/>
      </c>
      <c r="T317" s="25" t="str">
        <f t="shared" si="70"/>
        <v/>
      </c>
      <c r="U317" s="25" t="str">
        <f t="shared" si="71"/>
        <v/>
      </c>
      <c r="V317" s="26" t="str">
        <f t="shared" si="72"/>
        <v/>
      </c>
      <c r="W317" s="26" t="str">
        <f t="shared" si="73"/>
        <v/>
      </c>
      <c r="X317" s="25" t="str">
        <f t="shared" si="74"/>
        <v/>
      </c>
      <c r="Y317" s="25" t="str">
        <f t="shared" si="75"/>
        <v/>
      </c>
      <c r="Z317" s="27" t="str">
        <f>IF($B317="","",IF($AK317&lt;=Settings!$C$21,"",IFERROR(AVERAGEIFS($S$4:$S$503,$B$4:$B$503,$B317,$AK$4:$AK$503,"&gt;="&amp;$AK317-Settings!$C$21,$AK$4:$AK$503,"&lt;="&amp;$AK317-1),"")))</f>
        <v/>
      </c>
      <c r="AA317" s="28" t="str">
        <f t="shared" si="76"/>
        <v/>
      </c>
      <c r="AB317" s="25" t="str">
        <f>IF($B317="","",IF($AK317&lt;=Settings!$C$22,"",IFERROR(AVERAGEIFS($K$4:$K$503,$B$4:$B$503,$B317,$AK$4:$AK$503,"&gt;="&amp;$AK317-Settings!$C$22,$AK$4:$AK$503,"&lt;="&amp;$AK317-1),"")))</f>
        <v/>
      </c>
      <c r="AC317" s="27" t="str">
        <f t="shared" si="77"/>
        <v/>
      </c>
      <c r="AD317" s="28" t="str">
        <f>IF($B317="","",IF($AK317&lt;=Settings!$C$23,"",IFERROR($E317/SUMIFS($E$4:$E$503,$B$4:$B$503,$B317,$AK$4:$AK$503,$AK317-Settings!$C$23)-1,"")))</f>
        <v/>
      </c>
      <c r="AE317" s="28" t="str">
        <f>IF($B317="","",IF($AK317&lt;=Settings!$C$22,"",IFERROR($E317/SUMIFS($E$4:$E$503,$B$4:$B$503,$B317,$AK$4:$AK$503,$AK317-Settings!$C$22)-1,"")))</f>
        <v/>
      </c>
      <c r="AF317" s="28" t="str">
        <f t="shared" si="78"/>
        <v/>
      </c>
      <c r="AG317" s="29" t="str">
        <f>IF($B317="","",ROUND((MIN(100,100*N($I317)/Settings!$C$27)+MIN(100,100*N($K317)/Settings!$C$28)+MIN(100,100*N($J317)/Settings!$C$29))/3,1))</f>
        <v/>
      </c>
      <c r="AH317" s="29" t="str">
        <f>IF($B317="","",IF(SUM(Settings!$C$32:$C$37)=0,"",ROUND((Settings!$C$32*$AO317+Settings!$C$33*$AP317+Settings!$C$34*$AQ317+Settings!$C$35*$AR317+Settings!$C$36*$AS317+Settings!$C$37*$AT317)/SUM(Settings!$C$32:$C$37),1)))</f>
        <v/>
      </c>
      <c r="AI317" s="29" t="str">
        <f>IF($B317="","",MAX(0,100-IF(N($N317)&gt;0,0,20)-IF(AND(N($L317)=0,N($M317)=0),15,0)-IF(N($J317)&gt;0,0,10)-IF(N($K317)&gt;0,0,10)-IF($Z317&lt;&gt;"",0,15)-IF($AB317&lt;&gt;"",0,10)-IF($R317="ERROR",20,IF($R317="WARNING",10,0))))</f>
        <v/>
      </c>
      <c r="AJ317" s="30" t="str">
        <f>IF($AH317="","",IF($AH317&lt;Settings!$C$46,"Extreme Sell Pressure",IF($AH317&lt;Settings!$C$47,"Sell Pressure",IF($AH317&lt;=Settings!$C$48,"Neutral",IF($AH317&lt;=Settings!$C$49,"Buy Pressure","Extreme Buy Pressure")))))</f>
        <v/>
      </c>
      <c r="AK317" s="30" t="str">
        <f t="shared" si="79"/>
        <v/>
      </c>
      <c r="AL317" s="30" t="str">
        <f t="shared" si="80"/>
        <v/>
      </c>
      <c r="AM317" s="30" t="str">
        <f t="shared" si="81"/>
        <v/>
      </c>
      <c r="AN317" s="30" t="str">
        <f t="shared" si="82"/>
        <v/>
      </c>
      <c r="AO317" s="29" t="str">
        <f>IF($B317="","",IF(AND(N($L317)=0,N($M317)=0),50,IF(N($M317)=0,100,IF(N($L317)=0,0,MEDIAN(0,100,50+50*LN($S317)/LN(Settings!$C$40))))))</f>
        <v/>
      </c>
      <c r="AP317" s="29">
        <f>IF($AA317="",50,MEDIAN(0,100,50+$AA317*100*Settings!$C$41))</f>
        <v>50</v>
      </c>
      <c r="AQ317" s="29">
        <f>IF($H317="",50,MEDIAN(0,100,50+$H317*100*Settings!$C$42))</f>
        <v>50</v>
      </c>
      <c r="AR317" s="29">
        <f>IF(OR($AC317="",$H317=""),50,MEDIAN(0,100,50+SIGN($H317)*50*MEDIAN(0,1,($AC317-1)/Settings!$C$43)))</f>
        <v>50</v>
      </c>
      <c r="AS317" s="29">
        <f>IF(OR($V317="",$W317=""),50,MEDIAN(0,100,50+50*($V317-$W317)/Settings!$C$44))</f>
        <v>50</v>
      </c>
      <c r="AT317" s="29">
        <f t="shared" si="83"/>
        <v>50</v>
      </c>
      <c r="AU317" s="30" t="str">
        <f t="shared" si="84"/>
        <v/>
      </c>
      <c r="AV317" s="87" t="str">
        <f>IF($A317="","",IF(COUNTIFS($A$4:$A317,$A317)=1,1,0))</f>
        <v/>
      </c>
    </row>
    <row r="318" spans="1:48" x14ac:dyDescent="0.3">
      <c r="A318" s="270"/>
      <c r="B318" s="271"/>
      <c r="C318" s="272"/>
      <c r="D318" s="272"/>
      <c r="E318" s="272"/>
      <c r="F318" s="272"/>
      <c r="G318" s="272"/>
      <c r="H318" s="268" t="str">
        <f t="shared" si="68"/>
        <v/>
      </c>
      <c r="I318" s="273"/>
      <c r="J318" s="273"/>
      <c r="K318" s="273"/>
      <c r="L318" s="273"/>
      <c r="M318" s="273"/>
      <c r="N318" s="273"/>
      <c r="O318" s="271"/>
      <c r="P318" s="270"/>
      <c r="Q318" s="271"/>
      <c r="R318" s="23" t="str" cm="1">
        <f t="array" ref="R318">IF($B318="","",IFERROR(IF(INDEX('Data Quality'!$U$4:$U$503,ROW()-3)=0,"PENDING",INDEX('Data Quality'!$U$4:$U$503,ROW()-3)),"PENDING"))</f>
        <v/>
      </c>
      <c r="S318" s="24" t="str">
        <f t="shared" si="69"/>
        <v/>
      </c>
      <c r="T318" s="25" t="str">
        <f t="shared" si="70"/>
        <v/>
      </c>
      <c r="U318" s="25" t="str">
        <f t="shared" si="71"/>
        <v/>
      </c>
      <c r="V318" s="26" t="str">
        <f t="shared" si="72"/>
        <v/>
      </c>
      <c r="W318" s="26" t="str">
        <f t="shared" si="73"/>
        <v/>
      </c>
      <c r="X318" s="25" t="str">
        <f t="shared" si="74"/>
        <v/>
      </c>
      <c r="Y318" s="25" t="str">
        <f t="shared" si="75"/>
        <v/>
      </c>
      <c r="Z318" s="27" t="str">
        <f>IF($B318="","",IF($AK318&lt;=Settings!$C$21,"",IFERROR(AVERAGEIFS($S$4:$S$503,$B$4:$B$503,$B318,$AK$4:$AK$503,"&gt;="&amp;$AK318-Settings!$C$21,$AK$4:$AK$503,"&lt;="&amp;$AK318-1),"")))</f>
        <v/>
      </c>
      <c r="AA318" s="28" t="str">
        <f t="shared" si="76"/>
        <v/>
      </c>
      <c r="AB318" s="25" t="str">
        <f>IF($B318="","",IF($AK318&lt;=Settings!$C$22,"",IFERROR(AVERAGEIFS($K$4:$K$503,$B$4:$B$503,$B318,$AK$4:$AK$503,"&gt;="&amp;$AK318-Settings!$C$22,$AK$4:$AK$503,"&lt;="&amp;$AK318-1),"")))</f>
        <v/>
      </c>
      <c r="AC318" s="27" t="str">
        <f t="shared" si="77"/>
        <v/>
      </c>
      <c r="AD318" s="28" t="str">
        <f>IF($B318="","",IF($AK318&lt;=Settings!$C$23,"",IFERROR($E318/SUMIFS($E$4:$E$503,$B$4:$B$503,$B318,$AK$4:$AK$503,$AK318-Settings!$C$23)-1,"")))</f>
        <v/>
      </c>
      <c r="AE318" s="28" t="str">
        <f>IF($B318="","",IF($AK318&lt;=Settings!$C$22,"",IFERROR($E318/SUMIFS($E$4:$E$503,$B$4:$B$503,$B318,$AK$4:$AK$503,$AK318-Settings!$C$22)-1,"")))</f>
        <v/>
      </c>
      <c r="AF318" s="28" t="str">
        <f t="shared" si="78"/>
        <v/>
      </c>
      <c r="AG318" s="29" t="str">
        <f>IF($B318="","",ROUND((MIN(100,100*N($I318)/Settings!$C$27)+MIN(100,100*N($K318)/Settings!$C$28)+MIN(100,100*N($J318)/Settings!$C$29))/3,1))</f>
        <v/>
      </c>
      <c r="AH318" s="29" t="str">
        <f>IF($B318="","",IF(SUM(Settings!$C$32:$C$37)=0,"",ROUND((Settings!$C$32*$AO318+Settings!$C$33*$AP318+Settings!$C$34*$AQ318+Settings!$C$35*$AR318+Settings!$C$36*$AS318+Settings!$C$37*$AT318)/SUM(Settings!$C$32:$C$37),1)))</f>
        <v/>
      </c>
      <c r="AI318" s="29" t="str">
        <f>IF($B318="","",MAX(0,100-IF(N($N318)&gt;0,0,20)-IF(AND(N($L318)=0,N($M318)=0),15,0)-IF(N($J318)&gt;0,0,10)-IF(N($K318)&gt;0,0,10)-IF($Z318&lt;&gt;"",0,15)-IF($AB318&lt;&gt;"",0,10)-IF($R318="ERROR",20,IF($R318="WARNING",10,0))))</f>
        <v/>
      </c>
      <c r="AJ318" s="30" t="str">
        <f>IF($AH318="","",IF($AH318&lt;Settings!$C$46,"Extreme Sell Pressure",IF($AH318&lt;Settings!$C$47,"Sell Pressure",IF($AH318&lt;=Settings!$C$48,"Neutral",IF($AH318&lt;=Settings!$C$49,"Buy Pressure","Extreme Buy Pressure")))))</f>
        <v/>
      </c>
      <c r="AK318" s="30" t="str">
        <f t="shared" si="79"/>
        <v/>
      </c>
      <c r="AL318" s="30" t="str">
        <f t="shared" si="80"/>
        <v/>
      </c>
      <c r="AM318" s="30" t="str">
        <f t="shared" si="81"/>
        <v/>
      </c>
      <c r="AN318" s="30" t="str">
        <f t="shared" si="82"/>
        <v/>
      </c>
      <c r="AO318" s="29" t="str">
        <f>IF($B318="","",IF(AND(N($L318)=0,N($M318)=0),50,IF(N($M318)=0,100,IF(N($L318)=0,0,MEDIAN(0,100,50+50*LN($S318)/LN(Settings!$C$40))))))</f>
        <v/>
      </c>
      <c r="AP318" s="29">
        <f>IF($AA318="",50,MEDIAN(0,100,50+$AA318*100*Settings!$C$41))</f>
        <v>50</v>
      </c>
      <c r="AQ318" s="29">
        <f>IF($H318="",50,MEDIAN(0,100,50+$H318*100*Settings!$C$42))</f>
        <v>50</v>
      </c>
      <c r="AR318" s="29">
        <f>IF(OR($AC318="",$H318=""),50,MEDIAN(0,100,50+SIGN($H318)*50*MEDIAN(0,1,($AC318-1)/Settings!$C$43)))</f>
        <v>50</v>
      </c>
      <c r="AS318" s="29">
        <f>IF(OR($V318="",$W318=""),50,MEDIAN(0,100,50+50*($V318-$W318)/Settings!$C$44))</f>
        <v>50</v>
      </c>
      <c r="AT318" s="29">
        <f t="shared" si="83"/>
        <v>50</v>
      </c>
      <c r="AU318" s="30" t="str">
        <f t="shared" si="84"/>
        <v/>
      </c>
      <c r="AV318" s="87" t="str">
        <f>IF($A318="","",IF(COUNTIFS($A$4:$A318,$A318)=1,1,0))</f>
        <v/>
      </c>
    </row>
    <row r="319" spans="1:48" x14ac:dyDescent="0.3">
      <c r="A319" s="270"/>
      <c r="B319" s="271"/>
      <c r="C319" s="272"/>
      <c r="D319" s="272"/>
      <c r="E319" s="272"/>
      <c r="F319" s="272"/>
      <c r="G319" s="272"/>
      <c r="H319" s="268" t="str">
        <f t="shared" si="68"/>
        <v/>
      </c>
      <c r="I319" s="273"/>
      <c r="J319" s="273"/>
      <c r="K319" s="273"/>
      <c r="L319" s="273"/>
      <c r="M319" s="273"/>
      <c r="N319" s="273"/>
      <c r="O319" s="271"/>
      <c r="P319" s="270"/>
      <c r="Q319" s="271"/>
      <c r="R319" s="23" t="str" cm="1">
        <f t="array" ref="R319">IF($B319="","",IFERROR(IF(INDEX('Data Quality'!$U$4:$U$503,ROW()-3)=0,"PENDING",INDEX('Data Quality'!$U$4:$U$503,ROW()-3)),"PENDING"))</f>
        <v/>
      </c>
      <c r="S319" s="24" t="str">
        <f t="shared" si="69"/>
        <v/>
      </c>
      <c r="T319" s="25" t="str">
        <f t="shared" si="70"/>
        <v/>
      </c>
      <c r="U319" s="25" t="str">
        <f t="shared" si="71"/>
        <v/>
      </c>
      <c r="V319" s="26" t="str">
        <f t="shared" si="72"/>
        <v/>
      </c>
      <c r="W319" s="26" t="str">
        <f t="shared" si="73"/>
        <v/>
      </c>
      <c r="X319" s="25" t="str">
        <f t="shared" si="74"/>
        <v/>
      </c>
      <c r="Y319" s="25" t="str">
        <f t="shared" si="75"/>
        <v/>
      </c>
      <c r="Z319" s="27" t="str">
        <f>IF($B319="","",IF($AK319&lt;=Settings!$C$21,"",IFERROR(AVERAGEIFS($S$4:$S$503,$B$4:$B$503,$B319,$AK$4:$AK$503,"&gt;="&amp;$AK319-Settings!$C$21,$AK$4:$AK$503,"&lt;="&amp;$AK319-1),"")))</f>
        <v/>
      </c>
      <c r="AA319" s="28" t="str">
        <f t="shared" si="76"/>
        <v/>
      </c>
      <c r="AB319" s="25" t="str">
        <f>IF($B319="","",IF($AK319&lt;=Settings!$C$22,"",IFERROR(AVERAGEIFS($K$4:$K$503,$B$4:$B$503,$B319,$AK$4:$AK$503,"&gt;="&amp;$AK319-Settings!$C$22,$AK$4:$AK$503,"&lt;="&amp;$AK319-1),"")))</f>
        <v/>
      </c>
      <c r="AC319" s="27" t="str">
        <f t="shared" si="77"/>
        <v/>
      </c>
      <c r="AD319" s="28" t="str">
        <f>IF($B319="","",IF($AK319&lt;=Settings!$C$23,"",IFERROR($E319/SUMIFS($E$4:$E$503,$B$4:$B$503,$B319,$AK$4:$AK$503,$AK319-Settings!$C$23)-1,"")))</f>
        <v/>
      </c>
      <c r="AE319" s="28" t="str">
        <f>IF($B319="","",IF($AK319&lt;=Settings!$C$22,"",IFERROR($E319/SUMIFS($E$4:$E$503,$B$4:$B$503,$B319,$AK$4:$AK$503,$AK319-Settings!$C$22)-1,"")))</f>
        <v/>
      </c>
      <c r="AF319" s="28" t="str">
        <f t="shared" si="78"/>
        <v/>
      </c>
      <c r="AG319" s="29" t="str">
        <f>IF($B319="","",ROUND((MIN(100,100*N($I319)/Settings!$C$27)+MIN(100,100*N($K319)/Settings!$C$28)+MIN(100,100*N($J319)/Settings!$C$29))/3,1))</f>
        <v/>
      </c>
      <c r="AH319" s="29" t="str">
        <f>IF($B319="","",IF(SUM(Settings!$C$32:$C$37)=0,"",ROUND((Settings!$C$32*$AO319+Settings!$C$33*$AP319+Settings!$C$34*$AQ319+Settings!$C$35*$AR319+Settings!$C$36*$AS319+Settings!$C$37*$AT319)/SUM(Settings!$C$32:$C$37),1)))</f>
        <v/>
      </c>
      <c r="AI319" s="29" t="str">
        <f>IF($B319="","",MAX(0,100-IF(N($N319)&gt;0,0,20)-IF(AND(N($L319)=0,N($M319)=0),15,0)-IF(N($J319)&gt;0,0,10)-IF(N($K319)&gt;0,0,10)-IF($Z319&lt;&gt;"",0,15)-IF($AB319&lt;&gt;"",0,10)-IF($R319="ERROR",20,IF($R319="WARNING",10,0))))</f>
        <v/>
      </c>
      <c r="AJ319" s="30" t="str">
        <f>IF($AH319="","",IF($AH319&lt;Settings!$C$46,"Extreme Sell Pressure",IF($AH319&lt;Settings!$C$47,"Sell Pressure",IF($AH319&lt;=Settings!$C$48,"Neutral",IF($AH319&lt;=Settings!$C$49,"Buy Pressure","Extreme Buy Pressure")))))</f>
        <v/>
      </c>
      <c r="AK319" s="30" t="str">
        <f t="shared" si="79"/>
        <v/>
      </c>
      <c r="AL319" s="30" t="str">
        <f t="shared" si="80"/>
        <v/>
      </c>
      <c r="AM319" s="30" t="str">
        <f t="shared" si="81"/>
        <v/>
      </c>
      <c r="AN319" s="30" t="str">
        <f t="shared" si="82"/>
        <v/>
      </c>
      <c r="AO319" s="29" t="str">
        <f>IF($B319="","",IF(AND(N($L319)=0,N($M319)=0),50,IF(N($M319)=0,100,IF(N($L319)=0,0,MEDIAN(0,100,50+50*LN($S319)/LN(Settings!$C$40))))))</f>
        <v/>
      </c>
      <c r="AP319" s="29">
        <f>IF($AA319="",50,MEDIAN(0,100,50+$AA319*100*Settings!$C$41))</f>
        <v>50</v>
      </c>
      <c r="AQ319" s="29">
        <f>IF($H319="",50,MEDIAN(0,100,50+$H319*100*Settings!$C$42))</f>
        <v>50</v>
      </c>
      <c r="AR319" s="29">
        <f>IF(OR($AC319="",$H319=""),50,MEDIAN(0,100,50+SIGN($H319)*50*MEDIAN(0,1,($AC319-1)/Settings!$C$43)))</f>
        <v>50</v>
      </c>
      <c r="AS319" s="29">
        <f>IF(OR($V319="",$W319=""),50,MEDIAN(0,100,50+50*($V319-$W319)/Settings!$C$44))</f>
        <v>50</v>
      </c>
      <c r="AT319" s="29">
        <f t="shared" si="83"/>
        <v>50</v>
      </c>
      <c r="AU319" s="30" t="str">
        <f t="shared" si="84"/>
        <v/>
      </c>
      <c r="AV319" s="87" t="str">
        <f>IF($A319="","",IF(COUNTIFS($A$4:$A319,$A319)=1,1,0))</f>
        <v/>
      </c>
    </row>
    <row r="320" spans="1:48" x14ac:dyDescent="0.3">
      <c r="A320" s="270"/>
      <c r="B320" s="271"/>
      <c r="C320" s="272"/>
      <c r="D320" s="272"/>
      <c r="E320" s="272"/>
      <c r="F320" s="272"/>
      <c r="G320" s="272"/>
      <c r="H320" s="268" t="str">
        <f t="shared" si="68"/>
        <v/>
      </c>
      <c r="I320" s="273"/>
      <c r="J320" s="273"/>
      <c r="K320" s="273"/>
      <c r="L320" s="273"/>
      <c r="M320" s="273"/>
      <c r="N320" s="273"/>
      <c r="O320" s="271"/>
      <c r="P320" s="270"/>
      <c r="Q320" s="271"/>
      <c r="R320" s="23" t="str" cm="1">
        <f t="array" ref="R320">IF($B320="","",IFERROR(IF(INDEX('Data Quality'!$U$4:$U$503,ROW()-3)=0,"PENDING",INDEX('Data Quality'!$U$4:$U$503,ROW()-3)),"PENDING"))</f>
        <v/>
      </c>
      <c r="S320" s="24" t="str">
        <f t="shared" si="69"/>
        <v/>
      </c>
      <c r="T320" s="25" t="str">
        <f t="shared" si="70"/>
        <v/>
      </c>
      <c r="U320" s="25" t="str">
        <f t="shared" si="71"/>
        <v/>
      </c>
      <c r="V320" s="26" t="str">
        <f t="shared" si="72"/>
        <v/>
      </c>
      <c r="W320" s="26" t="str">
        <f t="shared" si="73"/>
        <v/>
      </c>
      <c r="X320" s="25" t="str">
        <f t="shared" si="74"/>
        <v/>
      </c>
      <c r="Y320" s="25" t="str">
        <f t="shared" si="75"/>
        <v/>
      </c>
      <c r="Z320" s="27" t="str">
        <f>IF($B320="","",IF($AK320&lt;=Settings!$C$21,"",IFERROR(AVERAGEIFS($S$4:$S$503,$B$4:$B$503,$B320,$AK$4:$AK$503,"&gt;="&amp;$AK320-Settings!$C$21,$AK$4:$AK$503,"&lt;="&amp;$AK320-1),"")))</f>
        <v/>
      </c>
      <c r="AA320" s="28" t="str">
        <f t="shared" si="76"/>
        <v/>
      </c>
      <c r="AB320" s="25" t="str">
        <f>IF($B320="","",IF($AK320&lt;=Settings!$C$22,"",IFERROR(AVERAGEIFS($K$4:$K$503,$B$4:$B$503,$B320,$AK$4:$AK$503,"&gt;="&amp;$AK320-Settings!$C$22,$AK$4:$AK$503,"&lt;="&amp;$AK320-1),"")))</f>
        <v/>
      </c>
      <c r="AC320" s="27" t="str">
        <f t="shared" si="77"/>
        <v/>
      </c>
      <c r="AD320" s="28" t="str">
        <f>IF($B320="","",IF($AK320&lt;=Settings!$C$23,"",IFERROR($E320/SUMIFS($E$4:$E$503,$B$4:$B$503,$B320,$AK$4:$AK$503,$AK320-Settings!$C$23)-1,"")))</f>
        <v/>
      </c>
      <c r="AE320" s="28" t="str">
        <f>IF($B320="","",IF($AK320&lt;=Settings!$C$22,"",IFERROR($E320/SUMIFS($E$4:$E$503,$B$4:$B$503,$B320,$AK$4:$AK$503,$AK320-Settings!$C$22)-1,"")))</f>
        <v/>
      </c>
      <c r="AF320" s="28" t="str">
        <f t="shared" si="78"/>
        <v/>
      </c>
      <c r="AG320" s="29" t="str">
        <f>IF($B320="","",ROUND((MIN(100,100*N($I320)/Settings!$C$27)+MIN(100,100*N($K320)/Settings!$C$28)+MIN(100,100*N($J320)/Settings!$C$29))/3,1))</f>
        <v/>
      </c>
      <c r="AH320" s="29" t="str">
        <f>IF($B320="","",IF(SUM(Settings!$C$32:$C$37)=0,"",ROUND((Settings!$C$32*$AO320+Settings!$C$33*$AP320+Settings!$C$34*$AQ320+Settings!$C$35*$AR320+Settings!$C$36*$AS320+Settings!$C$37*$AT320)/SUM(Settings!$C$32:$C$37),1)))</f>
        <v/>
      </c>
      <c r="AI320" s="29" t="str">
        <f>IF($B320="","",MAX(0,100-IF(N($N320)&gt;0,0,20)-IF(AND(N($L320)=0,N($M320)=0),15,0)-IF(N($J320)&gt;0,0,10)-IF(N($K320)&gt;0,0,10)-IF($Z320&lt;&gt;"",0,15)-IF($AB320&lt;&gt;"",0,10)-IF($R320="ERROR",20,IF($R320="WARNING",10,0))))</f>
        <v/>
      </c>
      <c r="AJ320" s="30" t="str">
        <f>IF($AH320="","",IF($AH320&lt;Settings!$C$46,"Extreme Sell Pressure",IF($AH320&lt;Settings!$C$47,"Sell Pressure",IF($AH320&lt;=Settings!$C$48,"Neutral",IF($AH320&lt;=Settings!$C$49,"Buy Pressure","Extreme Buy Pressure")))))</f>
        <v/>
      </c>
      <c r="AK320" s="30" t="str">
        <f t="shared" si="79"/>
        <v/>
      </c>
      <c r="AL320" s="30" t="str">
        <f t="shared" si="80"/>
        <v/>
      </c>
      <c r="AM320" s="30" t="str">
        <f t="shared" si="81"/>
        <v/>
      </c>
      <c r="AN320" s="30" t="str">
        <f t="shared" si="82"/>
        <v/>
      </c>
      <c r="AO320" s="29" t="str">
        <f>IF($B320="","",IF(AND(N($L320)=0,N($M320)=0),50,IF(N($M320)=0,100,IF(N($L320)=0,0,MEDIAN(0,100,50+50*LN($S320)/LN(Settings!$C$40))))))</f>
        <v/>
      </c>
      <c r="AP320" s="29">
        <f>IF($AA320="",50,MEDIAN(0,100,50+$AA320*100*Settings!$C$41))</f>
        <v>50</v>
      </c>
      <c r="AQ320" s="29">
        <f>IF($H320="",50,MEDIAN(0,100,50+$H320*100*Settings!$C$42))</f>
        <v>50</v>
      </c>
      <c r="AR320" s="29">
        <f>IF(OR($AC320="",$H320=""),50,MEDIAN(0,100,50+SIGN($H320)*50*MEDIAN(0,1,($AC320-1)/Settings!$C$43)))</f>
        <v>50</v>
      </c>
      <c r="AS320" s="29">
        <f>IF(OR($V320="",$W320=""),50,MEDIAN(0,100,50+50*($V320-$W320)/Settings!$C$44))</f>
        <v>50</v>
      </c>
      <c r="AT320" s="29">
        <f t="shared" si="83"/>
        <v>50</v>
      </c>
      <c r="AU320" s="30" t="str">
        <f t="shared" si="84"/>
        <v/>
      </c>
      <c r="AV320" s="87" t="str">
        <f>IF($A320="","",IF(COUNTIFS($A$4:$A320,$A320)=1,1,0))</f>
        <v/>
      </c>
    </row>
    <row r="321" spans="1:48" x14ac:dyDescent="0.3">
      <c r="A321" s="270"/>
      <c r="B321" s="271"/>
      <c r="C321" s="272"/>
      <c r="D321" s="272"/>
      <c r="E321" s="272"/>
      <c r="F321" s="272"/>
      <c r="G321" s="272"/>
      <c r="H321" s="268" t="str">
        <f t="shared" si="68"/>
        <v/>
      </c>
      <c r="I321" s="273"/>
      <c r="J321" s="273"/>
      <c r="K321" s="273"/>
      <c r="L321" s="273"/>
      <c r="M321" s="273"/>
      <c r="N321" s="273"/>
      <c r="O321" s="271"/>
      <c r="P321" s="270"/>
      <c r="Q321" s="271"/>
      <c r="R321" s="23" t="str" cm="1">
        <f t="array" ref="R321">IF($B321="","",IFERROR(IF(INDEX('Data Quality'!$U$4:$U$503,ROW()-3)=0,"PENDING",INDEX('Data Quality'!$U$4:$U$503,ROW()-3)),"PENDING"))</f>
        <v/>
      </c>
      <c r="S321" s="24" t="str">
        <f t="shared" si="69"/>
        <v/>
      </c>
      <c r="T321" s="25" t="str">
        <f t="shared" si="70"/>
        <v/>
      </c>
      <c r="U321" s="25" t="str">
        <f t="shared" si="71"/>
        <v/>
      </c>
      <c r="V321" s="26" t="str">
        <f t="shared" si="72"/>
        <v/>
      </c>
      <c r="W321" s="26" t="str">
        <f t="shared" si="73"/>
        <v/>
      </c>
      <c r="X321" s="25" t="str">
        <f t="shared" si="74"/>
        <v/>
      </c>
      <c r="Y321" s="25" t="str">
        <f t="shared" si="75"/>
        <v/>
      </c>
      <c r="Z321" s="27" t="str">
        <f>IF($B321="","",IF($AK321&lt;=Settings!$C$21,"",IFERROR(AVERAGEIFS($S$4:$S$503,$B$4:$B$503,$B321,$AK$4:$AK$503,"&gt;="&amp;$AK321-Settings!$C$21,$AK$4:$AK$503,"&lt;="&amp;$AK321-1),"")))</f>
        <v/>
      </c>
      <c r="AA321" s="28" t="str">
        <f t="shared" si="76"/>
        <v/>
      </c>
      <c r="AB321" s="25" t="str">
        <f>IF($B321="","",IF($AK321&lt;=Settings!$C$22,"",IFERROR(AVERAGEIFS($K$4:$K$503,$B$4:$B$503,$B321,$AK$4:$AK$503,"&gt;="&amp;$AK321-Settings!$C$22,$AK$4:$AK$503,"&lt;="&amp;$AK321-1),"")))</f>
        <v/>
      </c>
      <c r="AC321" s="27" t="str">
        <f t="shared" si="77"/>
        <v/>
      </c>
      <c r="AD321" s="28" t="str">
        <f>IF($B321="","",IF($AK321&lt;=Settings!$C$23,"",IFERROR($E321/SUMIFS($E$4:$E$503,$B$4:$B$503,$B321,$AK$4:$AK$503,$AK321-Settings!$C$23)-1,"")))</f>
        <v/>
      </c>
      <c r="AE321" s="28" t="str">
        <f>IF($B321="","",IF($AK321&lt;=Settings!$C$22,"",IFERROR($E321/SUMIFS($E$4:$E$503,$B$4:$B$503,$B321,$AK$4:$AK$503,$AK321-Settings!$C$22)-1,"")))</f>
        <v/>
      </c>
      <c r="AF321" s="28" t="str">
        <f t="shared" si="78"/>
        <v/>
      </c>
      <c r="AG321" s="29" t="str">
        <f>IF($B321="","",ROUND((MIN(100,100*N($I321)/Settings!$C$27)+MIN(100,100*N($K321)/Settings!$C$28)+MIN(100,100*N($J321)/Settings!$C$29))/3,1))</f>
        <v/>
      </c>
      <c r="AH321" s="29" t="str">
        <f>IF($B321="","",IF(SUM(Settings!$C$32:$C$37)=0,"",ROUND((Settings!$C$32*$AO321+Settings!$C$33*$AP321+Settings!$C$34*$AQ321+Settings!$C$35*$AR321+Settings!$C$36*$AS321+Settings!$C$37*$AT321)/SUM(Settings!$C$32:$C$37),1)))</f>
        <v/>
      </c>
      <c r="AI321" s="29" t="str">
        <f>IF($B321="","",MAX(0,100-IF(N($N321)&gt;0,0,20)-IF(AND(N($L321)=0,N($M321)=0),15,0)-IF(N($J321)&gt;0,0,10)-IF(N($K321)&gt;0,0,10)-IF($Z321&lt;&gt;"",0,15)-IF($AB321&lt;&gt;"",0,10)-IF($R321="ERROR",20,IF($R321="WARNING",10,0))))</f>
        <v/>
      </c>
      <c r="AJ321" s="30" t="str">
        <f>IF($AH321="","",IF($AH321&lt;Settings!$C$46,"Extreme Sell Pressure",IF($AH321&lt;Settings!$C$47,"Sell Pressure",IF($AH321&lt;=Settings!$C$48,"Neutral",IF($AH321&lt;=Settings!$C$49,"Buy Pressure","Extreme Buy Pressure")))))</f>
        <v/>
      </c>
      <c r="AK321" s="30" t="str">
        <f t="shared" si="79"/>
        <v/>
      </c>
      <c r="AL321" s="30" t="str">
        <f t="shared" si="80"/>
        <v/>
      </c>
      <c r="AM321" s="30" t="str">
        <f t="shared" si="81"/>
        <v/>
      </c>
      <c r="AN321" s="30" t="str">
        <f t="shared" si="82"/>
        <v/>
      </c>
      <c r="AO321" s="29" t="str">
        <f>IF($B321="","",IF(AND(N($L321)=0,N($M321)=0),50,IF(N($M321)=0,100,IF(N($L321)=0,0,MEDIAN(0,100,50+50*LN($S321)/LN(Settings!$C$40))))))</f>
        <v/>
      </c>
      <c r="AP321" s="29">
        <f>IF($AA321="",50,MEDIAN(0,100,50+$AA321*100*Settings!$C$41))</f>
        <v>50</v>
      </c>
      <c r="AQ321" s="29">
        <f>IF($H321="",50,MEDIAN(0,100,50+$H321*100*Settings!$C$42))</f>
        <v>50</v>
      </c>
      <c r="AR321" s="29">
        <f>IF(OR($AC321="",$H321=""),50,MEDIAN(0,100,50+SIGN($H321)*50*MEDIAN(0,1,($AC321-1)/Settings!$C$43)))</f>
        <v>50</v>
      </c>
      <c r="AS321" s="29">
        <f>IF(OR($V321="",$W321=""),50,MEDIAN(0,100,50+50*($V321-$W321)/Settings!$C$44))</f>
        <v>50</v>
      </c>
      <c r="AT321" s="29">
        <f t="shared" si="83"/>
        <v>50</v>
      </c>
      <c r="AU321" s="30" t="str">
        <f t="shared" si="84"/>
        <v/>
      </c>
      <c r="AV321" s="87" t="str">
        <f>IF($A321="","",IF(COUNTIFS($A$4:$A321,$A321)=1,1,0))</f>
        <v/>
      </c>
    </row>
    <row r="322" spans="1:48" x14ac:dyDescent="0.3">
      <c r="A322" s="270"/>
      <c r="B322" s="271"/>
      <c r="C322" s="272"/>
      <c r="D322" s="272"/>
      <c r="E322" s="272"/>
      <c r="F322" s="272"/>
      <c r="G322" s="272"/>
      <c r="H322" s="268" t="str">
        <f t="shared" si="68"/>
        <v/>
      </c>
      <c r="I322" s="273"/>
      <c r="J322" s="273"/>
      <c r="K322" s="273"/>
      <c r="L322" s="273"/>
      <c r="M322" s="273"/>
      <c r="N322" s="273"/>
      <c r="O322" s="271"/>
      <c r="P322" s="270"/>
      <c r="Q322" s="271"/>
      <c r="R322" s="23" t="str" cm="1">
        <f t="array" ref="R322">IF($B322="","",IFERROR(IF(INDEX('Data Quality'!$U$4:$U$503,ROW()-3)=0,"PENDING",INDEX('Data Quality'!$U$4:$U$503,ROW()-3)),"PENDING"))</f>
        <v/>
      </c>
      <c r="S322" s="24" t="str">
        <f t="shared" si="69"/>
        <v/>
      </c>
      <c r="T322" s="25" t="str">
        <f t="shared" si="70"/>
        <v/>
      </c>
      <c r="U322" s="25" t="str">
        <f t="shared" si="71"/>
        <v/>
      </c>
      <c r="V322" s="26" t="str">
        <f t="shared" si="72"/>
        <v/>
      </c>
      <c r="W322" s="26" t="str">
        <f t="shared" si="73"/>
        <v/>
      </c>
      <c r="X322" s="25" t="str">
        <f t="shared" si="74"/>
        <v/>
      </c>
      <c r="Y322" s="25" t="str">
        <f t="shared" si="75"/>
        <v/>
      </c>
      <c r="Z322" s="27" t="str">
        <f>IF($B322="","",IF($AK322&lt;=Settings!$C$21,"",IFERROR(AVERAGEIFS($S$4:$S$503,$B$4:$B$503,$B322,$AK$4:$AK$503,"&gt;="&amp;$AK322-Settings!$C$21,$AK$4:$AK$503,"&lt;="&amp;$AK322-1),"")))</f>
        <v/>
      </c>
      <c r="AA322" s="28" t="str">
        <f t="shared" si="76"/>
        <v/>
      </c>
      <c r="AB322" s="25" t="str">
        <f>IF($B322="","",IF($AK322&lt;=Settings!$C$22,"",IFERROR(AVERAGEIFS($K$4:$K$503,$B$4:$B$503,$B322,$AK$4:$AK$503,"&gt;="&amp;$AK322-Settings!$C$22,$AK$4:$AK$503,"&lt;="&amp;$AK322-1),"")))</f>
        <v/>
      </c>
      <c r="AC322" s="27" t="str">
        <f t="shared" si="77"/>
        <v/>
      </c>
      <c r="AD322" s="28" t="str">
        <f>IF($B322="","",IF($AK322&lt;=Settings!$C$23,"",IFERROR($E322/SUMIFS($E$4:$E$503,$B$4:$B$503,$B322,$AK$4:$AK$503,$AK322-Settings!$C$23)-1,"")))</f>
        <v/>
      </c>
      <c r="AE322" s="28" t="str">
        <f>IF($B322="","",IF($AK322&lt;=Settings!$C$22,"",IFERROR($E322/SUMIFS($E$4:$E$503,$B$4:$B$503,$B322,$AK$4:$AK$503,$AK322-Settings!$C$22)-1,"")))</f>
        <v/>
      </c>
      <c r="AF322" s="28" t="str">
        <f t="shared" si="78"/>
        <v/>
      </c>
      <c r="AG322" s="29" t="str">
        <f>IF($B322="","",ROUND((MIN(100,100*N($I322)/Settings!$C$27)+MIN(100,100*N($K322)/Settings!$C$28)+MIN(100,100*N($J322)/Settings!$C$29))/3,1))</f>
        <v/>
      </c>
      <c r="AH322" s="29" t="str">
        <f>IF($B322="","",IF(SUM(Settings!$C$32:$C$37)=0,"",ROUND((Settings!$C$32*$AO322+Settings!$C$33*$AP322+Settings!$C$34*$AQ322+Settings!$C$35*$AR322+Settings!$C$36*$AS322+Settings!$C$37*$AT322)/SUM(Settings!$C$32:$C$37),1)))</f>
        <v/>
      </c>
      <c r="AI322" s="29" t="str">
        <f>IF($B322="","",MAX(0,100-IF(N($N322)&gt;0,0,20)-IF(AND(N($L322)=0,N($M322)=0),15,0)-IF(N($J322)&gt;0,0,10)-IF(N($K322)&gt;0,0,10)-IF($Z322&lt;&gt;"",0,15)-IF($AB322&lt;&gt;"",0,10)-IF($R322="ERROR",20,IF($R322="WARNING",10,0))))</f>
        <v/>
      </c>
      <c r="AJ322" s="30" t="str">
        <f>IF($AH322="","",IF($AH322&lt;Settings!$C$46,"Extreme Sell Pressure",IF($AH322&lt;Settings!$C$47,"Sell Pressure",IF($AH322&lt;=Settings!$C$48,"Neutral",IF($AH322&lt;=Settings!$C$49,"Buy Pressure","Extreme Buy Pressure")))))</f>
        <v/>
      </c>
      <c r="AK322" s="30" t="str">
        <f t="shared" si="79"/>
        <v/>
      </c>
      <c r="AL322" s="30" t="str">
        <f t="shared" si="80"/>
        <v/>
      </c>
      <c r="AM322" s="30" t="str">
        <f t="shared" si="81"/>
        <v/>
      </c>
      <c r="AN322" s="30" t="str">
        <f t="shared" si="82"/>
        <v/>
      </c>
      <c r="AO322" s="29" t="str">
        <f>IF($B322="","",IF(AND(N($L322)=0,N($M322)=0),50,IF(N($M322)=0,100,IF(N($L322)=0,0,MEDIAN(0,100,50+50*LN($S322)/LN(Settings!$C$40))))))</f>
        <v/>
      </c>
      <c r="AP322" s="29">
        <f>IF($AA322="",50,MEDIAN(0,100,50+$AA322*100*Settings!$C$41))</f>
        <v>50</v>
      </c>
      <c r="AQ322" s="29">
        <f>IF($H322="",50,MEDIAN(0,100,50+$H322*100*Settings!$C$42))</f>
        <v>50</v>
      </c>
      <c r="AR322" s="29">
        <f>IF(OR($AC322="",$H322=""),50,MEDIAN(0,100,50+SIGN($H322)*50*MEDIAN(0,1,($AC322-1)/Settings!$C$43)))</f>
        <v>50</v>
      </c>
      <c r="AS322" s="29">
        <f>IF(OR($V322="",$W322=""),50,MEDIAN(0,100,50+50*($V322-$W322)/Settings!$C$44))</f>
        <v>50</v>
      </c>
      <c r="AT322" s="29">
        <f t="shared" si="83"/>
        <v>50</v>
      </c>
      <c r="AU322" s="30" t="str">
        <f t="shared" si="84"/>
        <v/>
      </c>
      <c r="AV322" s="87" t="str">
        <f>IF($A322="","",IF(COUNTIFS($A$4:$A322,$A322)=1,1,0))</f>
        <v/>
      </c>
    </row>
    <row r="323" spans="1:48" x14ac:dyDescent="0.3">
      <c r="A323" s="270"/>
      <c r="B323" s="271"/>
      <c r="C323" s="272"/>
      <c r="D323" s="272"/>
      <c r="E323" s="272"/>
      <c r="F323" s="272"/>
      <c r="G323" s="272"/>
      <c r="H323" s="268" t="str">
        <f t="shared" si="68"/>
        <v/>
      </c>
      <c r="I323" s="273"/>
      <c r="J323" s="273"/>
      <c r="K323" s="273"/>
      <c r="L323" s="273"/>
      <c r="M323" s="273"/>
      <c r="N323" s="273"/>
      <c r="O323" s="271"/>
      <c r="P323" s="270"/>
      <c r="Q323" s="271"/>
      <c r="R323" s="23" t="str" cm="1">
        <f t="array" ref="R323">IF($B323="","",IFERROR(IF(INDEX('Data Quality'!$U$4:$U$503,ROW()-3)=0,"PENDING",INDEX('Data Quality'!$U$4:$U$503,ROW()-3)),"PENDING"))</f>
        <v/>
      </c>
      <c r="S323" s="24" t="str">
        <f t="shared" si="69"/>
        <v/>
      </c>
      <c r="T323" s="25" t="str">
        <f t="shared" si="70"/>
        <v/>
      </c>
      <c r="U323" s="25" t="str">
        <f t="shared" si="71"/>
        <v/>
      </c>
      <c r="V323" s="26" t="str">
        <f t="shared" si="72"/>
        <v/>
      </c>
      <c r="W323" s="26" t="str">
        <f t="shared" si="73"/>
        <v/>
      </c>
      <c r="X323" s="25" t="str">
        <f t="shared" si="74"/>
        <v/>
      </c>
      <c r="Y323" s="25" t="str">
        <f t="shared" si="75"/>
        <v/>
      </c>
      <c r="Z323" s="27" t="str">
        <f>IF($B323="","",IF($AK323&lt;=Settings!$C$21,"",IFERROR(AVERAGEIFS($S$4:$S$503,$B$4:$B$503,$B323,$AK$4:$AK$503,"&gt;="&amp;$AK323-Settings!$C$21,$AK$4:$AK$503,"&lt;="&amp;$AK323-1),"")))</f>
        <v/>
      </c>
      <c r="AA323" s="28" t="str">
        <f t="shared" si="76"/>
        <v/>
      </c>
      <c r="AB323" s="25" t="str">
        <f>IF($B323="","",IF($AK323&lt;=Settings!$C$22,"",IFERROR(AVERAGEIFS($K$4:$K$503,$B$4:$B$503,$B323,$AK$4:$AK$503,"&gt;="&amp;$AK323-Settings!$C$22,$AK$4:$AK$503,"&lt;="&amp;$AK323-1),"")))</f>
        <v/>
      </c>
      <c r="AC323" s="27" t="str">
        <f t="shared" si="77"/>
        <v/>
      </c>
      <c r="AD323" s="28" t="str">
        <f>IF($B323="","",IF($AK323&lt;=Settings!$C$23,"",IFERROR($E323/SUMIFS($E$4:$E$503,$B$4:$B$503,$B323,$AK$4:$AK$503,$AK323-Settings!$C$23)-1,"")))</f>
        <v/>
      </c>
      <c r="AE323" s="28" t="str">
        <f>IF($B323="","",IF($AK323&lt;=Settings!$C$22,"",IFERROR($E323/SUMIFS($E$4:$E$503,$B$4:$B$503,$B323,$AK$4:$AK$503,$AK323-Settings!$C$22)-1,"")))</f>
        <v/>
      </c>
      <c r="AF323" s="28" t="str">
        <f t="shared" si="78"/>
        <v/>
      </c>
      <c r="AG323" s="29" t="str">
        <f>IF($B323="","",ROUND((MIN(100,100*N($I323)/Settings!$C$27)+MIN(100,100*N($K323)/Settings!$C$28)+MIN(100,100*N($J323)/Settings!$C$29))/3,1))</f>
        <v/>
      </c>
      <c r="AH323" s="29" t="str">
        <f>IF($B323="","",IF(SUM(Settings!$C$32:$C$37)=0,"",ROUND((Settings!$C$32*$AO323+Settings!$C$33*$AP323+Settings!$C$34*$AQ323+Settings!$C$35*$AR323+Settings!$C$36*$AS323+Settings!$C$37*$AT323)/SUM(Settings!$C$32:$C$37),1)))</f>
        <v/>
      </c>
      <c r="AI323" s="29" t="str">
        <f>IF($B323="","",MAX(0,100-IF(N($N323)&gt;0,0,20)-IF(AND(N($L323)=0,N($M323)=0),15,0)-IF(N($J323)&gt;0,0,10)-IF(N($K323)&gt;0,0,10)-IF($Z323&lt;&gt;"",0,15)-IF($AB323&lt;&gt;"",0,10)-IF($R323="ERROR",20,IF($R323="WARNING",10,0))))</f>
        <v/>
      </c>
      <c r="AJ323" s="30" t="str">
        <f>IF($AH323="","",IF($AH323&lt;Settings!$C$46,"Extreme Sell Pressure",IF($AH323&lt;Settings!$C$47,"Sell Pressure",IF($AH323&lt;=Settings!$C$48,"Neutral",IF($AH323&lt;=Settings!$C$49,"Buy Pressure","Extreme Buy Pressure")))))</f>
        <v/>
      </c>
      <c r="AK323" s="30" t="str">
        <f t="shared" si="79"/>
        <v/>
      </c>
      <c r="AL323" s="30" t="str">
        <f t="shared" si="80"/>
        <v/>
      </c>
      <c r="AM323" s="30" t="str">
        <f t="shared" si="81"/>
        <v/>
      </c>
      <c r="AN323" s="30" t="str">
        <f t="shared" si="82"/>
        <v/>
      </c>
      <c r="AO323" s="29" t="str">
        <f>IF($B323="","",IF(AND(N($L323)=0,N($M323)=0),50,IF(N($M323)=0,100,IF(N($L323)=0,0,MEDIAN(0,100,50+50*LN($S323)/LN(Settings!$C$40))))))</f>
        <v/>
      </c>
      <c r="AP323" s="29">
        <f>IF($AA323="",50,MEDIAN(0,100,50+$AA323*100*Settings!$C$41))</f>
        <v>50</v>
      </c>
      <c r="AQ323" s="29">
        <f>IF($H323="",50,MEDIAN(0,100,50+$H323*100*Settings!$C$42))</f>
        <v>50</v>
      </c>
      <c r="AR323" s="29">
        <f>IF(OR($AC323="",$H323=""),50,MEDIAN(0,100,50+SIGN($H323)*50*MEDIAN(0,1,($AC323-1)/Settings!$C$43)))</f>
        <v>50</v>
      </c>
      <c r="AS323" s="29">
        <f>IF(OR($V323="",$W323=""),50,MEDIAN(0,100,50+50*($V323-$W323)/Settings!$C$44))</f>
        <v>50</v>
      </c>
      <c r="AT323" s="29">
        <f t="shared" si="83"/>
        <v>50</v>
      </c>
      <c r="AU323" s="30" t="str">
        <f t="shared" si="84"/>
        <v/>
      </c>
      <c r="AV323" s="87" t="str">
        <f>IF($A323="","",IF(COUNTIFS($A$4:$A323,$A323)=1,1,0))</f>
        <v/>
      </c>
    </row>
    <row r="324" spans="1:48" x14ac:dyDescent="0.3">
      <c r="A324" s="270"/>
      <c r="B324" s="271"/>
      <c r="C324" s="272"/>
      <c r="D324" s="272"/>
      <c r="E324" s="272"/>
      <c r="F324" s="272"/>
      <c r="G324" s="272"/>
      <c r="H324" s="268" t="str">
        <f t="shared" si="68"/>
        <v/>
      </c>
      <c r="I324" s="273"/>
      <c r="J324" s="273"/>
      <c r="K324" s="273"/>
      <c r="L324" s="273"/>
      <c r="M324" s="273"/>
      <c r="N324" s="273"/>
      <c r="O324" s="271"/>
      <c r="P324" s="270"/>
      <c r="Q324" s="271"/>
      <c r="R324" s="23" t="str" cm="1">
        <f t="array" ref="R324">IF($B324="","",IFERROR(IF(INDEX('Data Quality'!$U$4:$U$503,ROW()-3)=0,"PENDING",INDEX('Data Quality'!$U$4:$U$503,ROW()-3)),"PENDING"))</f>
        <v/>
      </c>
      <c r="S324" s="24" t="str">
        <f t="shared" si="69"/>
        <v/>
      </c>
      <c r="T324" s="25" t="str">
        <f t="shared" si="70"/>
        <v/>
      </c>
      <c r="U324" s="25" t="str">
        <f t="shared" si="71"/>
        <v/>
      </c>
      <c r="V324" s="26" t="str">
        <f t="shared" si="72"/>
        <v/>
      </c>
      <c r="W324" s="26" t="str">
        <f t="shared" si="73"/>
        <v/>
      </c>
      <c r="X324" s="25" t="str">
        <f t="shared" si="74"/>
        <v/>
      </c>
      <c r="Y324" s="25" t="str">
        <f t="shared" si="75"/>
        <v/>
      </c>
      <c r="Z324" s="27" t="str">
        <f>IF($B324="","",IF($AK324&lt;=Settings!$C$21,"",IFERROR(AVERAGEIFS($S$4:$S$503,$B$4:$B$503,$B324,$AK$4:$AK$503,"&gt;="&amp;$AK324-Settings!$C$21,$AK$4:$AK$503,"&lt;="&amp;$AK324-1),"")))</f>
        <v/>
      </c>
      <c r="AA324" s="28" t="str">
        <f t="shared" si="76"/>
        <v/>
      </c>
      <c r="AB324" s="25" t="str">
        <f>IF($B324="","",IF($AK324&lt;=Settings!$C$22,"",IFERROR(AVERAGEIFS($K$4:$K$503,$B$4:$B$503,$B324,$AK$4:$AK$503,"&gt;="&amp;$AK324-Settings!$C$22,$AK$4:$AK$503,"&lt;="&amp;$AK324-1),"")))</f>
        <v/>
      </c>
      <c r="AC324" s="27" t="str">
        <f t="shared" si="77"/>
        <v/>
      </c>
      <c r="AD324" s="28" t="str">
        <f>IF($B324="","",IF($AK324&lt;=Settings!$C$23,"",IFERROR($E324/SUMIFS($E$4:$E$503,$B$4:$B$503,$B324,$AK$4:$AK$503,$AK324-Settings!$C$23)-1,"")))</f>
        <v/>
      </c>
      <c r="AE324" s="28" t="str">
        <f>IF($B324="","",IF($AK324&lt;=Settings!$C$22,"",IFERROR($E324/SUMIFS($E$4:$E$503,$B$4:$B$503,$B324,$AK$4:$AK$503,$AK324-Settings!$C$22)-1,"")))</f>
        <v/>
      </c>
      <c r="AF324" s="28" t="str">
        <f t="shared" si="78"/>
        <v/>
      </c>
      <c r="AG324" s="29" t="str">
        <f>IF($B324="","",ROUND((MIN(100,100*N($I324)/Settings!$C$27)+MIN(100,100*N($K324)/Settings!$C$28)+MIN(100,100*N($J324)/Settings!$C$29))/3,1))</f>
        <v/>
      </c>
      <c r="AH324" s="29" t="str">
        <f>IF($B324="","",IF(SUM(Settings!$C$32:$C$37)=0,"",ROUND((Settings!$C$32*$AO324+Settings!$C$33*$AP324+Settings!$C$34*$AQ324+Settings!$C$35*$AR324+Settings!$C$36*$AS324+Settings!$C$37*$AT324)/SUM(Settings!$C$32:$C$37),1)))</f>
        <v/>
      </c>
      <c r="AI324" s="29" t="str">
        <f>IF($B324="","",MAX(0,100-IF(N($N324)&gt;0,0,20)-IF(AND(N($L324)=0,N($M324)=0),15,0)-IF(N($J324)&gt;0,0,10)-IF(N($K324)&gt;0,0,10)-IF($Z324&lt;&gt;"",0,15)-IF($AB324&lt;&gt;"",0,10)-IF($R324="ERROR",20,IF($R324="WARNING",10,0))))</f>
        <v/>
      </c>
      <c r="AJ324" s="30" t="str">
        <f>IF($AH324="","",IF($AH324&lt;Settings!$C$46,"Extreme Sell Pressure",IF($AH324&lt;Settings!$C$47,"Sell Pressure",IF($AH324&lt;=Settings!$C$48,"Neutral",IF($AH324&lt;=Settings!$C$49,"Buy Pressure","Extreme Buy Pressure")))))</f>
        <v/>
      </c>
      <c r="AK324" s="30" t="str">
        <f t="shared" si="79"/>
        <v/>
      </c>
      <c r="AL324" s="30" t="str">
        <f t="shared" si="80"/>
        <v/>
      </c>
      <c r="AM324" s="30" t="str">
        <f t="shared" si="81"/>
        <v/>
      </c>
      <c r="AN324" s="30" t="str">
        <f t="shared" si="82"/>
        <v/>
      </c>
      <c r="AO324" s="29" t="str">
        <f>IF($B324="","",IF(AND(N($L324)=0,N($M324)=0),50,IF(N($M324)=0,100,IF(N($L324)=0,0,MEDIAN(0,100,50+50*LN($S324)/LN(Settings!$C$40))))))</f>
        <v/>
      </c>
      <c r="AP324" s="29">
        <f>IF($AA324="",50,MEDIAN(0,100,50+$AA324*100*Settings!$C$41))</f>
        <v>50</v>
      </c>
      <c r="AQ324" s="29">
        <f>IF($H324="",50,MEDIAN(0,100,50+$H324*100*Settings!$C$42))</f>
        <v>50</v>
      </c>
      <c r="AR324" s="29">
        <f>IF(OR($AC324="",$H324=""),50,MEDIAN(0,100,50+SIGN($H324)*50*MEDIAN(0,1,($AC324-1)/Settings!$C$43)))</f>
        <v>50</v>
      </c>
      <c r="AS324" s="29">
        <f>IF(OR($V324="",$W324=""),50,MEDIAN(0,100,50+50*($V324-$W324)/Settings!$C$44))</f>
        <v>50</v>
      </c>
      <c r="AT324" s="29">
        <f t="shared" si="83"/>
        <v>50</v>
      </c>
      <c r="AU324" s="30" t="str">
        <f t="shared" si="84"/>
        <v/>
      </c>
      <c r="AV324" s="87" t="str">
        <f>IF($A324="","",IF(COUNTIFS($A$4:$A324,$A324)=1,1,0))</f>
        <v/>
      </c>
    </row>
    <row r="325" spans="1:48" x14ac:dyDescent="0.3">
      <c r="A325" s="270"/>
      <c r="B325" s="271"/>
      <c r="C325" s="272"/>
      <c r="D325" s="272"/>
      <c r="E325" s="272"/>
      <c r="F325" s="272"/>
      <c r="G325" s="272"/>
      <c r="H325" s="268" t="str">
        <f t="shared" ref="H325:H388" si="85">IF($B325="","",IFERROR($E325/$D325-1,""))</f>
        <v/>
      </c>
      <c r="I325" s="273"/>
      <c r="J325" s="273"/>
      <c r="K325" s="273"/>
      <c r="L325" s="273"/>
      <c r="M325" s="273"/>
      <c r="N325" s="273"/>
      <c r="O325" s="271"/>
      <c r="P325" s="270"/>
      <c r="Q325" s="271"/>
      <c r="R325" s="23" t="str" cm="1">
        <f t="array" ref="R325">IF($B325="","",IFERROR(IF(INDEX('Data Quality'!$U$4:$U$503,ROW()-3)=0,"PENDING",INDEX('Data Quality'!$U$4:$U$503,ROW()-3)),"PENDING"))</f>
        <v/>
      </c>
      <c r="S325" s="24" t="str">
        <f t="shared" ref="S325:S388" si="86">IF($B325="","",IF(N($M325)&gt;0,$L325/$M325,""))</f>
        <v/>
      </c>
      <c r="T325" s="25" t="str">
        <f t="shared" ref="T325:T388" si="87">IF($B325="","",$L325*$E325)</f>
        <v/>
      </c>
      <c r="U325" s="25" t="str">
        <f t="shared" ref="U325:U388" si="88">IF($B325="","",$M325*$E325)</f>
        <v/>
      </c>
      <c r="V325" s="26" t="str">
        <f t="shared" ref="V325:V388" si="89">IF($B325="","",IF(N($N325)&gt;0,$T325/$N325,""))</f>
        <v/>
      </c>
      <c r="W325" s="26" t="str">
        <f t="shared" ref="W325:W388" si="90">IF($B325="","",IF(N($N325)&gt;0,$U325/$N325,""))</f>
        <v/>
      </c>
      <c r="X325" s="25" t="str">
        <f t="shared" ref="X325:X388" si="91">IF($B325="","",IF(N($J325)&gt;0,$K325/$J325,""))</f>
        <v/>
      </c>
      <c r="Y325" s="25" t="str">
        <f t="shared" ref="Y325:Y388" si="92">IF($B325="","",IF(N($J325)&gt;0,$I325/$J325,""))</f>
        <v/>
      </c>
      <c r="Z325" s="27" t="str">
        <f>IF($B325="","",IF($AK325&lt;=Settings!$C$21,"",IFERROR(AVERAGEIFS($S$4:$S$503,$B$4:$B$503,$B325,$AK$4:$AK$503,"&gt;="&amp;$AK325-Settings!$C$21,$AK$4:$AK$503,"&lt;="&amp;$AK325-1),"")))</f>
        <v/>
      </c>
      <c r="AA325" s="28" t="str">
        <f t="shared" ref="AA325:AA388" si="93">IF(OR($S325="",$Z325="",N($Z325)=0),"",$S325/$Z325-1)</f>
        <v/>
      </c>
      <c r="AB325" s="25" t="str">
        <f>IF($B325="","",IF($AK325&lt;=Settings!$C$22,"",IFERROR(AVERAGEIFS($K$4:$K$503,$B$4:$B$503,$B325,$AK$4:$AK$503,"&gt;="&amp;$AK325-Settings!$C$22,$AK$4:$AK$503,"&lt;="&amp;$AK325-1),"")))</f>
        <v/>
      </c>
      <c r="AC325" s="27" t="str">
        <f t="shared" ref="AC325:AC388" si="94">IF(OR($AB325="",N($AB325)=0),"",$K325/$AB325)</f>
        <v/>
      </c>
      <c r="AD325" s="28" t="str">
        <f>IF($B325="","",IF($AK325&lt;=Settings!$C$23,"",IFERROR($E325/SUMIFS($E$4:$E$503,$B$4:$B$503,$B325,$AK$4:$AK$503,$AK325-Settings!$C$23)-1,"")))</f>
        <v/>
      </c>
      <c r="AE325" s="28" t="str">
        <f>IF($B325="","",IF($AK325&lt;=Settings!$C$22,"",IFERROR($E325/SUMIFS($E$4:$E$503,$B$4:$B$503,$B325,$AK$4:$AK$503,$AK325-Settings!$C$22)-1,"")))</f>
        <v/>
      </c>
      <c r="AF325" s="28" t="str">
        <f t="shared" ref="AF325:AF388" si="95">IF($B325="","",IF(N($E325)&gt;0,($F325-$G325)/$E325,""))</f>
        <v/>
      </c>
      <c r="AG325" s="29" t="str">
        <f>IF($B325="","",ROUND((MIN(100,100*N($I325)/Settings!$C$27)+MIN(100,100*N($K325)/Settings!$C$28)+MIN(100,100*N($J325)/Settings!$C$29))/3,1))</f>
        <v/>
      </c>
      <c r="AH325" s="29" t="str">
        <f>IF($B325="","",IF(SUM(Settings!$C$32:$C$37)=0,"",ROUND((Settings!$C$32*$AO325+Settings!$C$33*$AP325+Settings!$C$34*$AQ325+Settings!$C$35*$AR325+Settings!$C$36*$AS325+Settings!$C$37*$AT325)/SUM(Settings!$C$32:$C$37),1)))</f>
        <v/>
      </c>
      <c r="AI325" s="29" t="str">
        <f>IF($B325="","",MAX(0,100-IF(N($N325)&gt;0,0,20)-IF(AND(N($L325)=0,N($M325)=0),15,0)-IF(N($J325)&gt;0,0,10)-IF(N($K325)&gt;0,0,10)-IF($Z325&lt;&gt;"",0,15)-IF($AB325&lt;&gt;"",0,10)-IF($R325="ERROR",20,IF($R325="WARNING",10,0))))</f>
        <v/>
      </c>
      <c r="AJ325" s="30" t="str">
        <f>IF($AH325="","",IF($AH325&lt;Settings!$C$46,"Extreme Sell Pressure",IF($AH325&lt;Settings!$C$47,"Sell Pressure",IF($AH325&lt;=Settings!$C$48,"Neutral",IF($AH325&lt;=Settings!$C$49,"Buy Pressure","Extreme Buy Pressure")))))</f>
        <v/>
      </c>
      <c r="AK325" s="30" t="str">
        <f t="shared" ref="AK325:AK388" si="96">IF($B325="","",COUNTIFS($B$4:$B$503,$B325,$A$4:$A$503,"&lt;="&amp;$A325))</f>
        <v/>
      </c>
      <c r="AL325" s="30" t="str">
        <f t="shared" ref="AL325:AL388" si="97">IF($A325="","",YEAR($A325))</f>
        <v/>
      </c>
      <c r="AM325" s="30" t="str">
        <f t="shared" ref="AM325:AM388" si="98">IF($A325="","",_xlfn.ISOWEEKNUM($A325))</f>
        <v/>
      </c>
      <c r="AN325" s="30" t="str">
        <f t="shared" ref="AN325:AN388" si="99">IF($A325="","",MONTH($A325))</f>
        <v/>
      </c>
      <c r="AO325" s="29" t="str">
        <f>IF($B325="","",IF(AND(N($L325)=0,N($M325)=0),50,IF(N($M325)=0,100,IF(N($L325)=0,0,MEDIAN(0,100,50+50*LN($S325)/LN(Settings!$C$40))))))</f>
        <v/>
      </c>
      <c r="AP325" s="29">
        <f>IF($AA325="",50,MEDIAN(0,100,50+$AA325*100*Settings!$C$41))</f>
        <v>50</v>
      </c>
      <c r="AQ325" s="29">
        <f>IF($H325="",50,MEDIAN(0,100,50+$H325*100*Settings!$C$42))</f>
        <v>50</v>
      </c>
      <c r="AR325" s="29">
        <f>IF(OR($AC325="",$H325=""),50,MEDIAN(0,100,50+SIGN($H325)*50*MEDIAN(0,1,($AC325-1)/Settings!$C$43)))</f>
        <v>50</v>
      </c>
      <c r="AS325" s="29">
        <f>IF(OR($V325="",$W325=""),50,MEDIAN(0,100,50+50*($V325-$W325)/Settings!$C$44))</f>
        <v>50</v>
      </c>
      <c r="AT325" s="29">
        <f t="shared" ref="AT325:AT388" si="100">IF($AO325="",50,50+(N($AG325)/100)*($AO325-50))</f>
        <v>50</v>
      </c>
      <c r="AU325" s="30" t="str">
        <f t="shared" ref="AU325:AU388" si="101">IF($B325="","",$B325&amp;"|"&amp;TEXT($A325,"yyyy-mm-dd"))</f>
        <v/>
      </c>
      <c r="AV325" s="87" t="str">
        <f>IF($A325="","",IF(COUNTIFS($A$4:$A325,$A325)=1,1,0))</f>
        <v/>
      </c>
    </row>
    <row r="326" spans="1:48" x14ac:dyDescent="0.3">
      <c r="A326" s="270"/>
      <c r="B326" s="271"/>
      <c r="C326" s="272"/>
      <c r="D326" s="272"/>
      <c r="E326" s="272"/>
      <c r="F326" s="272"/>
      <c r="G326" s="272"/>
      <c r="H326" s="268" t="str">
        <f t="shared" si="85"/>
        <v/>
      </c>
      <c r="I326" s="273"/>
      <c r="J326" s="273"/>
      <c r="K326" s="273"/>
      <c r="L326" s="273"/>
      <c r="M326" s="273"/>
      <c r="N326" s="273"/>
      <c r="O326" s="271"/>
      <c r="P326" s="270"/>
      <c r="Q326" s="271"/>
      <c r="R326" s="23" t="str" cm="1">
        <f t="array" ref="R326">IF($B326="","",IFERROR(IF(INDEX('Data Quality'!$U$4:$U$503,ROW()-3)=0,"PENDING",INDEX('Data Quality'!$U$4:$U$503,ROW()-3)),"PENDING"))</f>
        <v/>
      </c>
      <c r="S326" s="24" t="str">
        <f t="shared" si="86"/>
        <v/>
      </c>
      <c r="T326" s="25" t="str">
        <f t="shared" si="87"/>
        <v/>
      </c>
      <c r="U326" s="25" t="str">
        <f t="shared" si="88"/>
        <v/>
      </c>
      <c r="V326" s="26" t="str">
        <f t="shared" si="89"/>
        <v/>
      </c>
      <c r="W326" s="26" t="str">
        <f t="shared" si="90"/>
        <v/>
      </c>
      <c r="X326" s="25" t="str">
        <f t="shared" si="91"/>
        <v/>
      </c>
      <c r="Y326" s="25" t="str">
        <f t="shared" si="92"/>
        <v/>
      </c>
      <c r="Z326" s="27" t="str">
        <f>IF($B326="","",IF($AK326&lt;=Settings!$C$21,"",IFERROR(AVERAGEIFS($S$4:$S$503,$B$4:$B$503,$B326,$AK$4:$AK$503,"&gt;="&amp;$AK326-Settings!$C$21,$AK$4:$AK$503,"&lt;="&amp;$AK326-1),"")))</f>
        <v/>
      </c>
      <c r="AA326" s="28" t="str">
        <f t="shared" si="93"/>
        <v/>
      </c>
      <c r="AB326" s="25" t="str">
        <f>IF($B326="","",IF($AK326&lt;=Settings!$C$22,"",IFERROR(AVERAGEIFS($K$4:$K$503,$B$4:$B$503,$B326,$AK$4:$AK$503,"&gt;="&amp;$AK326-Settings!$C$22,$AK$4:$AK$503,"&lt;="&amp;$AK326-1),"")))</f>
        <v/>
      </c>
      <c r="AC326" s="27" t="str">
        <f t="shared" si="94"/>
        <v/>
      </c>
      <c r="AD326" s="28" t="str">
        <f>IF($B326="","",IF($AK326&lt;=Settings!$C$23,"",IFERROR($E326/SUMIFS($E$4:$E$503,$B$4:$B$503,$B326,$AK$4:$AK$503,$AK326-Settings!$C$23)-1,"")))</f>
        <v/>
      </c>
      <c r="AE326" s="28" t="str">
        <f>IF($B326="","",IF($AK326&lt;=Settings!$C$22,"",IFERROR($E326/SUMIFS($E$4:$E$503,$B$4:$B$503,$B326,$AK$4:$AK$503,$AK326-Settings!$C$22)-1,"")))</f>
        <v/>
      </c>
      <c r="AF326" s="28" t="str">
        <f t="shared" si="95"/>
        <v/>
      </c>
      <c r="AG326" s="29" t="str">
        <f>IF($B326="","",ROUND((MIN(100,100*N($I326)/Settings!$C$27)+MIN(100,100*N($K326)/Settings!$C$28)+MIN(100,100*N($J326)/Settings!$C$29))/3,1))</f>
        <v/>
      </c>
      <c r="AH326" s="29" t="str">
        <f>IF($B326="","",IF(SUM(Settings!$C$32:$C$37)=0,"",ROUND((Settings!$C$32*$AO326+Settings!$C$33*$AP326+Settings!$C$34*$AQ326+Settings!$C$35*$AR326+Settings!$C$36*$AS326+Settings!$C$37*$AT326)/SUM(Settings!$C$32:$C$37),1)))</f>
        <v/>
      </c>
      <c r="AI326" s="29" t="str">
        <f>IF($B326="","",MAX(0,100-IF(N($N326)&gt;0,0,20)-IF(AND(N($L326)=0,N($M326)=0),15,0)-IF(N($J326)&gt;0,0,10)-IF(N($K326)&gt;0,0,10)-IF($Z326&lt;&gt;"",0,15)-IF($AB326&lt;&gt;"",0,10)-IF($R326="ERROR",20,IF($R326="WARNING",10,0))))</f>
        <v/>
      </c>
      <c r="AJ326" s="30" t="str">
        <f>IF($AH326="","",IF($AH326&lt;Settings!$C$46,"Extreme Sell Pressure",IF($AH326&lt;Settings!$C$47,"Sell Pressure",IF($AH326&lt;=Settings!$C$48,"Neutral",IF($AH326&lt;=Settings!$C$49,"Buy Pressure","Extreme Buy Pressure")))))</f>
        <v/>
      </c>
      <c r="AK326" s="30" t="str">
        <f t="shared" si="96"/>
        <v/>
      </c>
      <c r="AL326" s="30" t="str">
        <f t="shared" si="97"/>
        <v/>
      </c>
      <c r="AM326" s="30" t="str">
        <f t="shared" si="98"/>
        <v/>
      </c>
      <c r="AN326" s="30" t="str">
        <f t="shared" si="99"/>
        <v/>
      </c>
      <c r="AO326" s="29" t="str">
        <f>IF($B326="","",IF(AND(N($L326)=0,N($M326)=0),50,IF(N($M326)=0,100,IF(N($L326)=0,0,MEDIAN(0,100,50+50*LN($S326)/LN(Settings!$C$40))))))</f>
        <v/>
      </c>
      <c r="AP326" s="29">
        <f>IF($AA326="",50,MEDIAN(0,100,50+$AA326*100*Settings!$C$41))</f>
        <v>50</v>
      </c>
      <c r="AQ326" s="29">
        <f>IF($H326="",50,MEDIAN(0,100,50+$H326*100*Settings!$C$42))</f>
        <v>50</v>
      </c>
      <c r="AR326" s="29">
        <f>IF(OR($AC326="",$H326=""),50,MEDIAN(0,100,50+SIGN($H326)*50*MEDIAN(0,1,($AC326-1)/Settings!$C$43)))</f>
        <v>50</v>
      </c>
      <c r="AS326" s="29">
        <f>IF(OR($V326="",$W326=""),50,MEDIAN(0,100,50+50*($V326-$W326)/Settings!$C$44))</f>
        <v>50</v>
      </c>
      <c r="AT326" s="29">
        <f t="shared" si="100"/>
        <v>50</v>
      </c>
      <c r="AU326" s="30" t="str">
        <f t="shared" si="101"/>
        <v/>
      </c>
      <c r="AV326" s="87" t="str">
        <f>IF($A326="","",IF(COUNTIFS($A$4:$A326,$A326)=1,1,0))</f>
        <v/>
      </c>
    </row>
    <row r="327" spans="1:48" x14ac:dyDescent="0.3">
      <c r="A327" s="270"/>
      <c r="B327" s="271"/>
      <c r="C327" s="272"/>
      <c r="D327" s="272"/>
      <c r="E327" s="272"/>
      <c r="F327" s="272"/>
      <c r="G327" s="272"/>
      <c r="H327" s="268" t="str">
        <f t="shared" si="85"/>
        <v/>
      </c>
      <c r="I327" s="273"/>
      <c r="J327" s="273"/>
      <c r="K327" s="273"/>
      <c r="L327" s="273"/>
      <c r="M327" s="273"/>
      <c r="N327" s="273"/>
      <c r="O327" s="271"/>
      <c r="P327" s="270"/>
      <c r="Q327" s="271"/>
      <c r="R327" s="23" t="str" cm="1">
        <f t="array" ref="R327">IF($B327="","",IFERROR(IF(INDEX('Data Quality'!$U$4:$U$503,ROW()-3)=0,"PENDING",INDEX('Data Quality'!$U$4:$U$503,ROW()-3)),"PENDING"))</f>
        <v/>
      </c>
      <c r="S327" s="24" t="str">
        <f t="shared" si="86"/>
        <v/>
      </c>
      <c r="T327" s="25" t="str">
        <f t="shared" si="87"/>
        <v/>
      </c>
      <c r="U327" s="25" t="str">
        <f t="shared" si="88"/>
        <v/>
      </c>
      <c r="V327" s="26" t="str">
        <f t="shared" si="89"/>
        <v/>
      </c>
      <c r="W327" s="26" t="str">
        <f t="shared" si="90"/>
        <v/>
      </c>
      <c r="X327" s="25" t="str">
        <f t="shared" si="91"/>
        <v/>
      </c>
      <c r="Y327" s="25" t="str">
        <f t="shared" si="92"/>
        <v/>
      </c>
      <c r="Z327" s="27" t="str">
        <f>IF($B327="","",IF($AK327&lt;=Settings!$C$21,"",IFERROR(AVERAGEIFS($S$4:$S$503,$B$4:$B$503,$B327,$AK$4:$AK$503,"&gt;="&amp;$AK327-Settings!$C$21,$AK$4:$AK$503,"&lt;="&amp;$AK327-1),"")))</f>
        <v/>
      </c>
      <c r="AA327" s="28" t="str">
        <f t="shared" si="93"/>
        <v/>
      </c>
      <c r="AB327" s="25" t="str">
        <f>IF($B327="","",IF($AK327&lt;=Settings!$C$22,"",IFERROR(AVERAGEIFS($K$4:$K$503,$B$4:$B$503,$B327,$AK$4:$AK$503,"&gt;="&amp;$AK327-Settings!$C$22,$AK$4:$AK$503,"&lt;="&amp;$AK327-1),"")))</f>
        <v/>
      </c>
      <c r="AC327" s="27" t="str">
        <f t="shared" si="94"/>
        <v/>
      </c>
      <c r="AD327" s="28" t="str">
        <f>IF($B327="","",IF($AK327&lt;=Settings!$C$23,"",IFERROR($E327/SUMIFS($E$4:$E$503,$B$4:$B$503,$B327,$AK$4:$AK$503,$AK327-Settings!$C$23)-1,"")))</f>
        <v/>
      </c>
      <c r="AE327" s="28" t="str">
        <f>IF($B327="","",IF($AK327&lt;=Settings!$C$22,"",IFERROR($E327/SUMIFS($E$4:$E$503,$B$4:$B$503,$B327,$AK$4:$AK$503,$AK327-Settings!$C$22)-1,"")))</f>
        <v/>
      </c>
      <c r="AF327" s="28" t="str">
        <f t="shared" si="95"/>
        <v/>
      </c>
      <c r="AG327" s="29" t="str">
        <f>IF($B327="","",ROUND((MIN(100,100*N($I327)/Settings!$C$27)+MIN(100,100*N($K327)/Settings!$C$28)+MIN(100,100*N($J327)/Settings!$C$29))/3,1))</f>
        <v/>
      </c>
      <c r="AH327" s="29" t="str">
        <f>IF($B327="","",IF(SUM(Settings!$C$32:$C$37)=0,"",ROUND((Settings!$C$32*$AO327+Settings!$C$33*$AP327+Settings!$C$34*$AQ327+Settings!$C$35*$AR327+Settings!$C$36*$AS327+Settings!$C$37*$AT327)/SUM(Settings!$C$32:$C$37),1)))</f>
        <v/>
      </c>
      <c r="AI327" s="29" t="str">
        <f>IF($B327="","",MAX(0,100-IF(N($N327)&gt;0,0,20)-IF(AND(N($L327)=0,N($M327)=0),15,0)-IF(N($J327)&gt;0,0,10)-IF(N($K327)&gt;0,0,10)-IF($Z327&lt;&gt;"",0,15)-IF($AB327&lt;&gt;"",0,10)-IF($R327="ERROR",20,IF($R327="WARNING",10,0))))</f>
        <v/>
      </c>
      <c r="AJ327" s="30" t="str">
        <f>IF($AH327="","",IF($AH327&lt;Settings!$C$46,"Extreme Sell Pressure",IF($AH327&lt;Settings!$C$47,"Sell Pressure",IF($AH327&lt;=Settings!$C$48,"Neutral",IF($AH327&lt;=Settings!$C$49,"Buy Pressure","Extreme Buy Pressure")))))</f>
        <v/>
      </c>
      <c r="AK327" s="30" t="str">
        <f t="shared" si="96"/>
        <v/>
      </c>
      <c r="AL327" s="30" t="str">
        <f t="shared" si="97"/>
        <v/>
      </c>
      <c r="AM327" s="30" t="str">
        <f t="shared" si="98"/>
        <v/>
      </c>
      <c r="AN327" s="30" t="str">
        <f t="shared" si="99"/>
        <v/>
      </c>
      <c r="AO327" s="29" t="str">
        <f>IF($B327="","",IF(AND(N($L327)=0,N($M327)=0),50,IF(N($M327)=0,100,IF(N($L327)=0,0,MEDIAN(0,100,50+50*LN($S327)/LN(Settings!$C$40))))))</f>
        <v/>
      </c>
      <c r="AP327" s="29">
        <f>IF($AA327="",50,MEDIAN(0,100,50+$AA327*100*Settings!$C$41))</f>
        <v>50</v>
      </c>
      <c r="AQ327" s="29">
        <f>IF($H327="",50,MEDIAN(0,100,50+$H327*100*Settings!$C$42))</f>
        <v>50</v>
      </c>
      <c r="AR327" s="29">
        <f>IF(OR($AC327="",$H327=""),50,MEDIAN(0,100,50+SIGN($H327)*50*MEDIAN(0,1,($AC327-1)/Settings!$C$43)))</f>
        <v>50</v>
      </c>
      <c r="AS327" s="29">
        <f>IF(OR($V327="",$W327=""),50,MEDIAN(0,100,50+50*($V327-$W327)/Settings!$C$44))</f>
        <v>50</v>
      </c>
      <c r="AT327" s="29">
        <f t="shared" si="100"/>
        <v>50</v>
      </c>
      <c r="AU327" s="30" t="str">
        <f t="shared" si="101"/>
        <v/>
      </c>
      <c r="AV327" s="87" t="str">
        <f>IF($A327="","",IF(COUNTIFS($A$4:$A327,$A327)=1,1,0))</f>
        <v/>
      </c>
    </row>
    <row r="328" spans="1:48" x14ac:dyDescent="0.3">
      <c r="A328" s="270"/>
      <c r="B328" s="271"/>
      <c r="C328" s="272"/>
      <c r="D328" s="272"/>
      <c r="E328" s="272"/>
      <c r="F328" s="272"/>
      <c r="G328" s="272"/>
      <c r="H328" s="268" t="str">
        <f t="shared" si="85"/>
        <v/>
      </c>
      <c r="I328" s="273"/>
      <c r="J328" s="273"/>
      <c r="K328" s="273"/>
      <c r="L328" s="273"/>
      <c r="M328" s="273"/>
      <c r="N328" s="273"/>
      <c r="O328" s="271"/>
      <c r="P328" s="270"/>
      <c r="Q328" s="271"/>
      <c r="R328" s="23" t="str" cm="1">
        <f t="array" ref="R328">IF($B328="","",IFERROR(IF(INDEX('Data Quality'!$U$4:$U$503,ROW()-3)=0,"PENDING",INDEX('Data Quality'!$U$4:$U$503,ROW()-3)),"PENDING"))</f>
        <v/>
      </c>
      <c r="S328" s="24" t="str">
        <f t="shared" si="86"/>
        <v/>
      </c>
      <c r="T328" s="25" t="str">
        <f t="shared" si="87"/>
        <v/>
      </c>
      <c r="U328" s="25" t="str">
        <f t="shared" si="88"/>
        <v/>
      </c>
      <c r="V328" s="26" t="str">
        <f t="shared" si="89"/>
        <v/>
      </c>
      <c r="W328" s="26" t="str">
        <f t="shared" si="90"/>
        <v/>
      </c>
      <c r="X328" s="25" t="str">
        <f t="shared" si="91"/>
        <v/>
      </c>
      <c r="Y328" s="25" t="str">
        <f t="shared" si="92"/>
        <v/>
      </c>
      <c r="Z328" s="27" t="str">
        <f>IF($B328="","",IF($AK328&lt;=Settings!$C$21,"",IFERROR(AVERAGEIFS($S$4:$S$503,$B$4:$B$503,$B328,$AK$4:$AK$503,"&gt;="&amp;$AK328-Settings!$C$21,$AK$4:$AK$503,"&lt;="&amp;$AK328-1),"")))</f>
        <v/>
      </c>
      <c r="AA328" s="28" t="str">
        <f t="shared" si="93"/>
        <v/>
      </c>
      <c r="AB328" s="25" t="str">
        <f>IF($B328="","",IF($AK328&lt;=Settings!$C$22,"",IFERROR(AVERAGEIFS($K$4:$K$503,$B$4:$B$503,$B328,$AK$4:$AK$503,"&gt;="&amp;$AK328-Settings!$C$22,$AK$4:$AK$503,"&lt;="&amp;$AK328-1),"")))</f>
        <v/>
      </c>
      <c r="AC328" s="27" t="str">
        <f t="shared" si="94"/>
        <v/>
      </c>
      <c r="AD328" s="28" t="str">
        <f>IF($B328="","",IF($AK328&lt;=Settings!$C$23,"",IFERROR($E328/SUMIFS($E$4:$E$503,$B$4:$B$503,$B328,$AK$4:$AK$503,$AK328-Settings!$C$23)-1,"")))</f>
        <v/>
      </c>
      <c r="AE328" s="28" t="str">
        <f>IF($B328="","",IF($AK328&lt;=Settings!$C$22,"",IFERROR($E328/SUMIFS($E$4:$E$503,$B$4:$B$503,$B328,$AK$4:$AK$503,$AK328-Settings!$C$22)-1,"")))</f>
        <v/>
      </c>
      <c r="AF328" s="28" t="str">
        <f t="shared" si="95"/>
        <v/>
      </c>
      <c r="AG328" s="29" t="str">
        <f>IF($B328="","",ROUND((MIN(100,100*N($I328)/Settings!$C$27)+MIN(100,100*N($K328)/Settings!$C$28)+MIN(100,100*N($J328)/Settings!$C$29))/3,1))</f>
        <v/>
      </c>
      <c r="AH328" s="29" t="str">
        <f>IF($B328="","",IF(SUM(Settings!$C$32:$C$37)=0,"",ROUND((Settings!$C$32*$AO328+Settings!$C$33*$AP328+Settings!$C$34*$AQ328+Settings!$C$35*$AR328+Settings!$C$36*$AS328+Settings!$C$37*$AT328)/SUM(Settings!$C$32:$C$37),1)))</f>
        <v/>
      </c>
      <c r="AI328" s="29" t="str">
        <f>IF($B328="","",MAX(0,100-IF(N($N328)&gt;0,0,20)-IF(AND(N($L328)=0,N($M328)=0),15,0)-IF(N($J328)&gt;0,0,10)-IF(N($K328)&gt;0,0,10)-IF($Z328&lt;&gt;"",0,15)-IF($AB328&lt;&gt;"",0,10)-IF($R328="ERROR",20,IF($R328="WARNING",10,0))))</f>
        <v/>
      </c>
      <c r="AJ328" s="30" t="str">
        <f>IF($AH328="","",IF($AH328&lt;Settings!$C$46,"Extreme Sell Pressure",IF($AH328&lt;Settings!$C$47,"Sell Pressure",IF($AH328&lt;=Settings!$C$48,"Neutral",IF($AH328&lt;=Settings!$C$49,"Buy Pressure","Extreme Buy Pressure")))))</f>
        <v/>
      </c>
      <c r="AK328" s="30" t="str">
        <f t="shared" si="96"/>
        <v/>
      </c>
      <c r="AL328" s="30" t="str">
        <f t="shared" si="97"/>
        <v/>
      </c>
      <c r="AM328" s="30" t="str">
        <f t="shared" si="98"/>
        <v/>
      </c>
      <c r="AN328" s="30" t="str">
        <f t="shared" si="99"/>
        <v/>
      </c>
      <c r="AO328" s="29" t="str">
        <f>IF($B328="","",IF(AND(N($L328)=0,N($M328)=0),50,IF(N($M328)=0,100,IF(N($L328)=0,0,MEDIAN(0,100,50+50*LN($S328)/LN(Settings!$C$40))))))</f>
        <v/>
      </c>
      <c r="AP328" s="29">
        <f>IF($AA328="",50,MEDIAN(0,100,50+$AA328*100*Settings!$C$41))</f>
        <v>50</v>
      </c>
      <c r="AQ328" s="29">
        <f>IF($H328="",50,MEDIAN(0,100,50+$H328*100*Settings!$C$42))</f>
        <v>50</v>
      </c>
      <c r="AR328" s="29">
        <f>IF(OR($AC328="",$H328=""),50,MEDIAN(0,100,50+SIGN($H328)*50*MEDIAN(0,1,($AC328-1)/Settings!$C$43)))</f>
        <v>50</v>
      </c>
      <c r="AS328" s="29">
        <f>IF(OR($V328="",$W328=""),50,MEDIAN(0,100,50+50*($V328-$W328)/Settings!$C$44))</f>
        <v>50</v>
      </c>
      <c r="AT328" s="29">
        <f t="shared" si="100"/>
        <v>50</v>
      </c>
      <c r="AU328" s="30" t="str">
        <f t="shared" si="101"/>
        <v/>
      </c>
      <c r="AV328" s="87" t="str">
        <f>IF($A328="","",IF(COUNTIFS($A$4:$A328,$A328)=1,1,0))</f>
        <v/>
      </c>
    </row>
    <row r="329" spans="1:48" x14ac:dyDescent="0.3">
      <c r="A329" s="270"/>
      <c r="B329" s="271"/>
      <c r="C329" s="272"/>
      <c r="D329" s="272"/>
      <c r="E329" s="272"/>
      <c r="F329" s="272"/>
      <c r="G329" s="272"/>
      <c r="H329" s="268" t="str">
        <f t="shared" si="85"/>
        <v/>
      </c>
      <c r="I329" s="273"/>
      <c r="J329" s="273"/>
      <c r="K329" s="273"/>
      <c r="L329" s="273"/>
      <c r="M329" s="273"/>
      <c r="N329" s="273"/>
      <c r="O329" s="271"/>
      <c r="P329" s="270"/>
      <c r="Q329" s="271"/>
      <c r="R329" s="23" t="str" cm="1">
        <f t="array" ref="R329">IF($B329="","",IFERROR(IF(INDEX('Data Quality'!$U$4:$U$503,ROW()-3)=0,"PENDING",INDEX('Data Quality'!$U$4:$U$503,ROW()-3)),"PENDING"))</f>
        <v/>
      </c>
      <c r="S329" s="24" t="str">
        <f t="shared" si="86"/>
        <v/>
      </c>
      <c r="T329" s="25" t="str">
        <f t="shared" si="87"/>
        <v/>
      </c>
      <c r="U329" s="25" t="str">
        <f t="shared" si="88"/>
        <v/>
      </c>
      <c r="V329" s="26" t="str">
        <f t="shared" si="89"/>
        <v/>
      </c>
      <c r="W329" s="26" t="str">
        <f t="shared" si="90"/>
        <v/>
      </c>
      <c r="X329" s="25" t="str">
        <f t="shared" si="91"/>
        <v/>
      </c>
      <c r="Y329" s="25" t="str">
        <f t="shared" si="92"/>
        <v/>
      </c>
      <c r="Z329" s="27" t="str">
        <f>IF($B329="","",IF($AK329&lt;=Settings!$C$21,"",IFERROR(AVERAGEIFS($S$4:$S$503,$B$4:$B$503,$B329,$AK$4:$AK$503,"&gt;="&amp;$AK329-Settings!$C$21,$AK$4:$AK$503,"&lt;="&amp;$AK329-1),"")))</f>
        <v/>
      </c>
      <c r="AA329" s="28" t="str">
        <f t="shared" si="93"/>
        <v/>
      </c>
      <c r="AB329" s="25" t="str">
        <f>IF($B329="","",IF($AK329&lt;=Settings!$C$22,"",IFERROR(AVERAGEIFS($K$4:$K$503,$B$4:$B$503,$B329,$AK$4:$AK$503,"&gt;="&amp;$AK329-Settings!$C$22,$AK$4:$AK$503,"&lt;="&amp;$AK329-1),"")))</f>
        <v/>
      </c>
      <c r="AC329" s="27" t="str">
        <f t="shared" si="94"/>
        <v/>
      </c>
      <c r="AD329" s="28" t="str">
        <f>IF($B329="","",IF($AK329&lt;=Settings!$C$23,"",IFERROR($E329/SUMIFS($E$4:$E$503,$B$4:$B$503,$B329,$AK$4:$AK$503,$AK329-Settings!$C$23)-1,"")))</f>
        <v/>
      </c>
      <c r="AE329" s="28" t="str">
        <f>IF($B329="","",IF($AK329&lt;=Settings!$C$22,"",IFERROR($E329/SUMIFS($E$4:$E$503,$B$4:$B$503,$B329,$AK$4:$AK$503,$AK329-Settings!$C$22)-1,"")))</f>
        <v/>
      </c>
      <c r="AF329" s="28" t="str">
        <f t="shared" si="95"/>
        <v/>
      </c>
      <c r="AG329" s="29" t="str">
        <f>IF($B329="","",ROUND((MIN(100,100*N($I329)/Settings!$C$27)+MIN(100,100*N($K329)/Settings!$C$28)+MIN(100,100*N($J329)/Settings!$C$29))/3,1))</f>
        <v/>
      </c>
      <c r="AH329" s="29" t="str">
        <f>IF($B329="","",IF(SUM(Settings!$C$32:$C$37)=0,"",ROUND((Settings!$C$32*$AO329+Settings!$C$33*$AP329+Settings!$C$34*$AQ329+Settings!$C$35*$AR329+Settings!$C$36*$AS329+Settings!$C$37*$AT329)/SUM(Settings!$C$32:$C$37),1)))</f>
        <v/>
      </c>
      <c r="AI329" s="29" t="str">
        <f>IF($B329="","",MAX(0,100-IF(N($N329)&gt;0,0,20)-IF(AND(N($L329)=0,N($M329)=0),15,0)-IF(N($J329)&gt;0,0,10)-IF(N($K329)&gt;0,0,10)-IF($Z329&lt;&gt;"",0,15)-IF($AB329&lt;&gt;"",0,10)-IF($R329="ERROR",20,IF($R329="WARNING",10,0))))</f>
        <v/>
      </c>
      <c r="AJ329" s="30" t="str">
        <f>IF($AH329="","",IF($AH329&lt;Settings!$C$46,"Extreme Sell Pressure",IF($AH329&lt;Settings!$C$47,"Sell Pressure",IF($AH329&lt;=Settings!$C$48,"Neutral",IF($AH329&lt;=Settings!$C$49,"Buy Pressure","Extreme Buy Pressure")))))</f>
        <v/>
      </c>
      <c r="AK329" s="30" t="str">
        <f t="shared" si="96"/>
        <v/>
      </c>
      <c r="AL329" s="30" t="str">
        <f t="shared" si="97"/>
        <v/>
      </c>
      <c r="AM329" s="30" t="str">
        <f t="shared" si="98"/>
        <v/>
      </c>
      <c r="AN329" s="30" t="str">
        <f t="shared" si="99"/>
        <v/>
      </c>
      <c r="AO329" s="29" t="str">
        <f>IF($B329="","",IF(AND(N($L329)=0,N($M329)=0),50,IF(N($M329)=0,100,IF(N($L329)=0,0,MEDIAN(0,100,50+50*LN($S329)/LN(Settings!$C$40))))))</f>
        <v/>
      </c>
      <c r="AP329" s="29">
        <f>IF($AA329="",50,MEDIAN(0,100,50+$AA329*100*Settings!$C$41))</f>
        <v>50</v>
      </c>
      <c r="AQ329" s="29">
        <f>IF($H329="",50,MEDIAN(0,100,50+$H329*100*Settings!$C$42))</f>
        <v>50</v>
      </c>
      <c r="AR329" s="29">
        <f>IF(OR($AC329="",$H329=""),50,MEDIAN(0,100,50+SIGN($H329)*50*MEDIAN(0,1,($AC329-1)/Settings!$C$43)))</f>
        <v>50</v>
      </c>
      <c r="AS329" s="29">
        <f>IF(OR($V329="",$W329=""),50,MEDIAN(0,100,50+50*($V329-$W329)/Settings!$C$44))</f>
        <v>50</v>
      </c>
      <c r="AT329" s="29">
        <f t="shared" si="100"/>
        <v>50</v>
      </c>
      <c r="AU329" s="30" t="str">
        <f t="shared" si="101"/>
        <v/>
      </c>
      <c r="AV329" s="87" t="str">
        <f>IF($A329="","",IF(COUNTIFS($A$4:$A329,$A329)=1,1,0))</f>
        <v/>
      </c>
    </row>
    <row r="330" spans="1:48" x14ac:dyDescent="0.3">
      <c r="A330" s="270"/>
      <c r="B330" s="271"/>
      <c r="C330" s="272"/>
      <c r="D330" s="272"/>
      <c r="E330" s="272"/>
      <c r="F330" s="272"/>
      <c r="G330" s="272"/>
      <c r="H330" s="268" t="str">
        <f t="shared" si="85"/>
        <v/>
      </c>
      <c r="I330" s="273"/>
      <c r="J330" s="273"/>
      <c r="K330" s="273"/>
      <c r="L330" s="273"/>
      <c r="M330" s="273"/>
      <c r="N330" s="273"/>
      <c r="O330" s="271"/>
      <c r="P330" s="270"/>
      <c r="Q330" s="271"/>
      <c r="R330" s="23" t="str" cm="1">
        <f t="array" ref="R330">IF($B330="","",IFERROR(IF(INDEX('Data Quality'!$U$4:$U$503,ROW()-3)=0,"PENDING",INDEX('Data Quality'!$U$4:$U$503,ROW()-3)),"PENDING"))</f>
        <v/>
      </c>
      <c r="S330" s="24" t="str">
        <f t="shared" si="86"/>
        <v/>
      </c>
      <c r="T330" s="25" t="str">
        <f t="shared" si="87"/>
        <v/>
      </c>
      <c r="U330" s="25" t="str">
        <f t="shared" si="88"/>
        <v/>
      </c>
      <c r="V330" s="26" t="str">
        <f t="shared" si="89"/>
        <v/>
      </c>
      <c r="W330" s="26" t="str">
        <f t="shared" si="90"/>
        <v/>
      </c>
      <c r="X330" s="25" t="str">
        <f t="shared" si="91"/>
        <v/>
      </c>
      <c r="Y330" s="25" t="str">
        <f t="shared" si="92"/>
        <v/>
      </c>
      <c r="Z330" s="27" t="str">
        <f>IF($B330="","",IF($AK330&lt;=Settings!$C$21,"",IFERROR(AVERAGEIFS($S$4:$S$503,$B$4:$B$503,$B330,$AK$4:$AK$503,"&gt;="&amp;$AK330-Settings!$C$21,$AK$4:$AK$503,"&lt;="&amp;$AK330-1),"")))</f>
        <v/>
      </c>
      <c r="AA330" s="28" t="str">
        <f t="shared" si="93"/>
        <v/>
      </c>
      <c r="AB330" s="25" t="str">
        <f>IF($B330="","",IF($AK330&lt;=Settings!$C$22,"",IFERROR(AVERAGEIFS($K$4:$K$503,$B$4:$B$503,$B330,$AK$4:$AK$503,"&gt;="&amp;$AK330-Settings!$C$22,$AK$4:$AK$503,"&lt;="&amp;$AK330-1),"")))</f>
        <v/>
      </c>
      <c r="AC330" s="27" t="str">
        <f t="shared" si="94"/>
        <v/>
      </c>
      <c r="AD330" s="28" t="str">
        <f>IF($B330="","",IF($AK330&lt;=Settings!$C$23,"",IFERROR($E330/SUMIFS($E$4:$E$503,$B$4:$B$503,$B330,$AK$4:$AK$503,$AK330-Settings!$C$23)-1,"")))</f>
        <v/>
      </c>
      <c r="AE330" s="28" t="str">
        <f>IF($B330="","",IF($AK330&lt;=Settings!$C$22,"",IFERROR($E330/SUMIFS($E$4:$E$503,$B$4:$B$503,$B330,$AK$4:$AK$503,$AK330-Settings!$C$22)-1,"")))</f>
        <v/>
      </c>
      <c r="AF330" s="28" t="str">
        <f t="shared" si="95"/>
        <v/>
      </c>
      <c r="AG330" s="29" t="str">
        <f>IF($B330="","",ROUND((MIN(100,100*N($I330)/Settings!$C$27)+MIN(100,100*N($K330)/Settings!$C$28)+MIN(100,100*N($J330)/Settings!$C$29))/3,1))</f>
        <v/>
      </c>
      <c r="AH330" s="29" t="str">
        <f>IF($B330="","",IF(SUM(Settings!$C$32:$C$37)=0,"",ROUND((Settings!$C$32*$AO330+Settings!$C$33*$AP330+Settings!$C$34*$AQ330+Settings!$C$35*$AR330+Settings!$C$36*$AS330+Settings!$C$37*$AT330)/SUM(Settings!$C$32:$C$37),1)))</f>
        <v/>
      </c>
      <c r="AI330" s="29" t="str">
        <f>IF($B330="","",MAX(0,100-IF(N($N330)&gt;0,0,20)-IF(AND(N($L330)=0,N($M330)=0),15,0)-IF(N($J330)&gt;0,0,10)-IF(N($K330)&gt;0,0,10)-IF($Z330&lt;&gt;"",0,15)-IF($AB330&lt;&gt;"",0,10)-IF($R330="ERROR",20,IF($R330="WARNING",10,0))))</f>
        <v/>
      </c>
      <c r="AJ330" s="30" t="str">
        <f>IF($AH330="","",IF($AH330&lt;Settings!$C$46,"Extreme Sell Pressure",IF($AH330&lt;Settings!$C$47,"Sell Pressure",IF($AH330&lt;=Settings!$C$48,"Neutral",IF($AH330&lt;=Settings!$C$49,"Buy Pressure","Extreme Buy Pressure")))))</f>
        <v/>
      </c>
      <c r="AK330" s="30" t="str">
        <f t="shared" si="96"/>
        <v/>
      </c>
      <c r="AL330" s="30" t="str">
        <f t="shared" si="97"/>
        <v/>
      </c>
      <c r="AM330" s="30" t="str">
        <f t="shared" si="98"/>
        <v/>
      </c>
      <c r="AN330" s="30" t="str">
        <f t="shared" si="99"/>
        <v/>
      </c>
      <c r="AO330" s="29" t="str">
        <f>IF($B330="","",IF(AND(N($L330)=0,N($M330)=0),50,IF(N($M330)=0,100,IF(N($L330)=0,0,MEDIAN(0,100,50+50*LN($S330)/LN(Settings!$C$40))))))</f>
        <v/>
      </c>
      <c r="AP330" s="29">
        <f>IF($AA330="",50,MEDIAN(0,100,50+$AA330*100*Settings!$C$41))</f>
        <v>50</v>
      </c>
      <c r="AQ330" s="29">
        <f>IF($H330="",50,MEDIAN(0,100,50+$H330*100*Settings!$C$42))</f>
        <v>50</v>
      </c>
      <c r="AR330" s="29">
        <f>IF(OR($AC330="",$H330=""),50,MEDIAN(0,100,50+SIGN($H330)*50*MEDIAN(0,1,($AC330-1)/Settings!$C$43)))</f>
        <v>50</v>
      </c>
      <c r="AS330" s="29">
        <f>IF(OR($V330="",$W330=""),50,MEDIAN(0,100,50+50*($V330-$W330)/Settings!$C$44))</f>
        <v>50</v>
      </c>
      <c r="AT330" s="29">
        <f t="shared" si="100"/>
        <v>50</v>
      </c>
      <c r="AU330" s="30" t="str">
        <f t="shared" si="101"/>
        <v/>
      </c>
      <c r="AV330" s="87" t="str">
        <f>IF($A330="","",IF(COUNTIFS($A$4:$A330,$A330)=1,1,0))</f>
        <v/>
      </c>
    </row>
    <row r="331" spans="1:48" x14ac:dyDescent="0.3">
      <c r="A331" s="270"/>
      <c r="B331" s="271"/>
      <c r="C331" s="272"/>
      <c r="D331" s="272"/>
      <c r="E331" s="272"/>
      <c r="F331" s="272"/>
      <c r="G331" s="272"/>
      <c r="H331" s="268" t="str">
        <f t="shared" si="85"/>
        <v/>
      </c>
      <c r="I331" s="273"/>
      <c r="J331" s="273"/>
      <c r="K331" s="273"/>
      <c r="L331" s="273"/>
      <c r="M331" s="273"/>
      <c r="N331" s="273"/>
      <c r="O331" s="271"/>
      <c r="P331" s="270"/>
      <c r="Q331" s="271"/>
      <c r="R331" s="23" t="str" cm="1">
        <f t="array" ref="R331">IF($B331="","",IFERROR(IF(INDEX('Data Quality'!$U$4:$U$503,ROW()-3)=0,"PENDING",INDEX('Data Quality'!$U$4:$U$503,ROW()-3)),"PENDING"))</f>
        <v/>
      </c>
      <c r="S331" s="24" t="str">
        <f t="shared" si="86"/>
        <v/>
      </c>
      <c r="T331" s="25" t="str">
        <f t="shared" si="87"/>
        <v/>
      </c>
      <c r="U331" s="25" t="str">
        <f t="shared" si="88"/>
        <v/>
      </c>
      <c r="V331" s="26" t="str">
        <f t="shared" si="89"/>
        <v/>
      </c>
      <c r="W331" s="26" t="str">
        <f t="shared" si="90"/>
        <v/>
      </c>
      <c r="X331" s="25" t="str">
        <f t="shared" si="91"/>
        <v/>
      </c>
      <c r="Y331" s="25" t="str">
        <f t="shared" si="92"/>
        <v/>
      </c>
      <c r="Z331" s="27" t="str">
        <f>IF($B331="","",IF($AK331&lt;=Settings!$C$21,"",IFERROR(AVERAGEIFS($S$4:$S$503,$B$4:$B$503,$B331,$AK$4:$AK$503,"&gt;="&amp;$AK331-Settings!$C$21,$AK$4:$AK$503,"&lt;="&amp;$AK331-1),"")))</f>
        <v/>
      </c>
      <c r="AA331" s="28" t="str">
        <f t="shared" si="93"/>
        <v/>
      </c>
      <c r="AB331" s="25" t="str">
        <f>IF($B331="","",IF($AK331&lt;=Settings!$C$22,"",IFERROR(AVERAGEIFS($K$4:$K$503,$B$4:$B$503,$B331,$AK$4:$AK$503,"&gt;="&amp;$AK331-Settings!$C$22,$AK$4:$AK$503,"&lt;="&amp;$AK331-1),"")))</f>
        <v/>
      </c>
      <c r="AC331" s="27" t="str">
        <f t="shared" si="94"/>
        <v/>
      </c>
      <c r="AD331" s="28" t="str">
        <f>IF($B331="","",IF($AK331&lt;=Settings!$C$23,"",IFERROR($E331/SUMIFS($E$4:$E$503,$B$4:$B$503,$B331,$AK$4:$AK$503,$AK331-Settings!$C$23)-1,"")))</f>
        <v/>
      </c>
      <c r="AE331" s="28" t="str">
        <f>IF($B331="","",IF($AK331&lt;=Settings!$C$22,"",IFERROR($E331/SUMIFS($E$4:$E$503,$B$4:$B$503,$B331,$AK$4:$AK$503,$AK331-Settings!$C$22)-1,"")))</f>
        <v/>
      </c>
      <c r="AF331" s="28" t="str">
        <f t="shared" si="95"/>
        <v/>
      </c>
      <c r="AG331" s="29" t="str">
        <f>IF($B331="","",ROUND((MIN(100,100*N($I331)/Settings!$C$27)+MIN(100,100*N($K331)/Settings!$C$28)+MIN(100,100*N($J331)/Settings!$C$29))/3,1))</f>
        <v/>
      </c>
      <c r="AH331" s="29" t="str">
        <f>IF($B331="","",IF(SUM(Settings!$C$32:$C$37)=0,"",ROUND((Settings!$C$32*$AO331+Settings!$C$33*$AP331+Settings!$C$34*$AQ331+Settings!$C$35*$AR331+Settings!$C$36*$AS331+Settings!$C$37*$AT331)/SUM(Settings!$C$32:$C$37),1)))</f>
        <v/>
      </c>
      <c r="AI331" s="29" t="str">
        <f>IF($B331="","",MAX(0,100-IF(N($N331)&gt;0,0,20)-IF(AND(N($L331)=0,N($M331)=0),15,0)-IF(N($J331)&gt;0,0,10)-IF(N($K331)&gt;0,0,10)-IF($Z331&lt;&gt;"",0,15)-IF($AB331&lt;&gt;"",0,10)-IF($R331="ERROR",20,IF($R331="WARNING",10,0))))</f>
        <v/>
      </c>
      <c r="AJ331" s="30" t="str">
        <f>IF($AH331="","",IF($AH331&lt;Settings!$C$46,"Extreme Sell Pressure",IF($AH331&lt;Settings!$C$47,"Sell Pressure",IF($AH331&lt;=Settings!$C$48,"Neutral",IF($AH331&lt;=Settings!$C$49,"Buy Pressure","Extreme Buy Pressure")))))</f>
        <v/>
      </c>
      <c r="AK331" s="30" t="str">
        <f t="shared" si="96"/>
        <v/>
      </c>
      <c r="AL331" s="30" t="str">
        <f t="shared" si="97"/>
        <v/>
      </c>
      <c r="AM331" s="30" t="str">
        <f t="shared" si="98"/>
        <v/>
      </c>
      <c r="AN331" s="30" t="str">
        <f t="shared" si="99"/>
        <v/>
      </c>
      <c r="AO331" s="29" t="str">
        <f>IF($B331="","",IF(AND(N($L331)=0,N($M331)=0),50,IF(N($M331)=0,100,IF(N($L331)=0,0,MEDIAN(0,100,50+50*LN($S331)/LN(Settings!$C$40))))))</f>
        <v/>
      </c>
      <c r="AP331" s="29">
        <f>IF($AA331="",50,MEDIAN(0,100,50+$AA331*100*Settings!$C$41))</f>
        <v>50</v>
      </c>
      <c r="AQ331" s="29">
        <f>IF($H331="",50,MEDIAN(0,100,50+$H331*100*Settings!$C$42))</f>
        <v>50</v>
      </c>
      <c r="AR331" s="29">
        <f>IF(OR($AC331="",$H331=""),50,MEDIAN(0,100,50+SIGN($H331)*50*MEDIAN(0,1,($AC331-1)/Settings!$C$43)))</f>
        <v>50</v>
      </c>
      <c r="AS331" s="29">
        <f>IF(OR($V331="",$W331=""),50,MEDIAN(0,100,50+50*($V331-$W331)/Settings!$C$44))</f>
        <v>50</v>
      </c>
      <c r="AT331" s="29">
        <f t="shared" si="100"/>
        <v>50</v>
      </c>
      <c r="AU331" s="30" t="str">
        <f t="shared" si="101"/>
        <v/>
      </c>
      <c r="AV331" s="87" t="str">
        <f>IF($A331="","",IF(COUNTIFS($A$4:$A331,$A331)=1,1,0))</f>
        <v/>
      </c>
    </row>
    <row r="332" spans="1:48" x14ac:dyDescent="0.3">
      <c r="A332" s="270"/>
      <c r="B332" s="271"/>
      <c r="C332" s="272"/>
      <c r="D332" s="272"/>
      <c r="E332" s="272"/>
      <c r="F332" s="272"/>
      <c r="G332" s="272"/>
      <c r="H332" s="268" t="str">
        <f t="shared" si="85"/>
        <v/>
      </c>
      <c r="I332" s="273"/>
      <c r="J332" s="273"/>
      <c r="K332" s="273"/>
      <c r="L332" s="273"/>
      <c r="M332" s="273"/>
      <c r="N332" s="273"/>
      <c r="O332" s="271"/>
      <c r="P332" s="270"/>
      <c r="Q332" s="271"/>
      <c r="R332" s="23" t="str" cm="1">
        <f t="array" ref="R332">IF($B332="","",IFERROR(IF(INDEX('Data Quality'!$U$4:$U$503,ROW()-3)=0,"PENDING",INDEX('Data Quality'!$U$4:$U$503,ROW()-3)),"PENDING"))</f>
        <v/>
      </c>
      <c r="S332" s="24" t="str">
        <f t="shared" si="86"/>
        <v/>
      </c>
      <c r="T332" s="25" t="str">
        <f t="shared" si="87"/>
        <v/>
      </c>
      <c r="U332" s="25" t="str">
        <f t="shared" si="88"/>
        <v/>
      </c>
      <c r="V332" s="26" t="str">
        <f t="shared" si="89"/>
        <v/>
      </c>
      <c r="W332" s="26" t="str">
        <f t="shared" si="90"/>
        <v/>
      </c>
      <c r="X332" s="25" t="str">
        <f t="shared" si="91"/>
        <v/>
      </c>
      <c r="Y332" s="25" t="str">
        <f t="shared" si="92"/>
        <v/>
      </c>
      <c r="Z332" s="27" t="str">
        <f>IF($B332="","",IF($AK332&lt;=Settings!$C$21,"",IFERROR(AVERAGEIFS($S$4:$S$503,$B$4:$B$503,$B332,$AK$4:$AK$503,"&gt;="&amp;$AK332-Settings!$C$21,$AK$4:$AK$503,"&lt;="&amp;$AK332-1),"")))</f>
        <v/>
      </c>
      <c r="AA332" s="28" t="str">
        <f t="shared" si="93"/>
        <v/>
      </c>
      <c r="AB332" s="25" t="str">
        <f>IF($B332="","",IF($AK332&lt;=Settings!$C$22,"",IFERROR(AVERAGEIFS($K$4:$K$503,$B$4:$B$503,$B332,$AK$4:$AK$503,"&gt;="&amp;$AK332-Settings!$C$22,$AK$4:$AK$503,"&lt;="&amp;$AK332-1),"")))</f>
        <v/>
      </c>
      <c r="AC332" s="27" t="str">
        <f t="shared" si="94"/>
        <v/>
      </c>
      <c r="AD332" s="28" t="str">
        <f>IF($B332="","",IF($AK332&lt;=Settings!$C$23,"",IFERROR($E332/SUMIFS($E$4:$E$503,$B$4:$B$503,$B332,$AK$4:$AK$503,$AK332-Settings!$C$23)-1,"")))</f>
        <v/>
      </c>
      <c r="AE332" s="28" t="str">
        <f>IF($B332="","",IF($AK332&lt;=Settings!$C$22,"",IFERROR($E332/SUMIFS($E$4:$E$503,$B$4:$B$503,$B332,$AK$4:$AK$503,$AK332-Settings!$C$22)-1,"")))</f>
        <v/>
      </c>
      <c r="AF332" s="28" t="str">
        <f t="shared" si="95"/>
        <v/>
      </c>
      <c r="AG332" s="29" t="str">
        <f>IF($B332="","",ROUND((MIN(100,100*N($I332)/Settings!$C$27)+MIN(100,100*N($K332)/Settings!$C$28)+MIN(100,100*N($J332)/Settings!$C$29))/3,1))</f>
        <v/>
      </c>
      <c r="AH332" s="29" t="str">
        <f>IF($B332="","",IF(SUM(Settings!$C$32:$C$37)=0,"",ROUND((Settings!$C$32*$AO332+Settings!$C$33*$AP332+Settings!$C$34*$AQ332+Settings!$C$35*$AR332+Settings!$C$36*$AS332+Settings!$C$37*$AT332)/SUM(Settings!$C$32:$C$37),1)))</f>
        <v/>
      </c>
      <c r="AI332" s="29" t="str">
        <f>IF($B332="","",MAX(0,100-IF(N($N332)&gt;0,0,20)-IF(AND(N($L332)=0,N($M332)=0),15,0)-IF(N($J332)&gt;0,0,10)-IF(N($K332)&gt;0,0,10)-IF($Z332&lt;&gt;"",0,15)-IF($AB332&lt;&gt;"",0,10)-IF($R332="ERROR",20,IF($R332="WARNING",10,0))))</f>
        <v/>
      </c>
      <c r="AJ332" s="30" t="str">
        <f>IF($AH332="","",IF($AH332&lt;Settings!$C$46,"Extreme Sell Pressure",IF($AH332&lt;Settings!$C$47,"Sell Pressure",IF($AH332&lt;=Settings!$C$48,"Neutral",IF($AH332&lt;=Settings!$C$49,"Buy Pressure","Extreme Buy Pressure")))))</f>
        <v/>
      </c>
      <c r="AK332" s="30" t="str">
        <f t="shared" si="96"/>
        <v/>
      </c>
      <c r="AL332" s="30" t="str">
        <f t="shared" si="97"/>
        <v/>
      </c>
      <c r="AM332" s="30" t="str">
        <f t="shared" si="98"/>
        <v/>
      </c>
      <c r="AN332" s="30" t="str">
        <f t="shared" si="99"/>
        <v/>
      </c>
      <c r="AO332" s="29" t="str">
        <f>IF($B332="","",IF(AND(N($L332)=0,N($M332)=0),50,IF(N($M332)=0,100,IF(N($L332)=0,0,MEDIAN(0,100,50+50*LN($S332)/LN(Settings!$C$40))))))</f>
        <v/>
      </c>
      <c r="AP332" s="29">
        <f>IF($AA332="",50,MEDIAN(0,100,50+$AA332*100*Settings!$C$41))</f>
        <v>50</v>
      </c>
      <c r="AQ332" s="29">
        <f>IF($H332="",50,MEDIAN(0,100,50+$H332*100*Settings!$C$42))</f>
        <v>50</v>
      </c>
      <c r="AR332" s="29">
        <f>IF(OR($AC332="",$H332=""),50,MEDIAN(0,100,50+SIGN($H332)*50*MEDIAN(0,1,($AC332-1)/Settings!$C$43)))</f>
        <v>50</v>
      </c>
      <c r="AS332" s="29">
        <f>IF(OR($V332="",$W332=""),50,MEDIAN(0,100,50+50*($V332-$W332)/Settings!$C$44))</f>
        <v>50</v>
      </c>
      <c r="AT332" s="29">
        <f t="shared" si="100"/>
        <v>50</v>
      </c>
      <c r="AU332" s="30" t="str">
        <f t="shared" si="101"/>
        <v/>
      </c>
      <c r="AV332" s="87" t="str">
        <f>IF($A332="","",IF(COUNTIFS($A$4:$A332,$A332)=1,1,0))</f>
        <v/>
      </c>
    </row>
    <row r="333" spans="1:48" x14ac:dyDescent="0.3">
      <c r="A333" s="270"/>
      <c r="B333" s="271"/>
      <c r="C333" s="272"/>
      <c r="D333" s="272"/>
      <c r="E333" s="272"/>
      <c r="F333" s="272"/>
      <c r="G333" s="272"/>
      <c r="H333" s="268" t="str">
        <f t="shared" si="85"/>
        <v/>
      </c>
      <c r="I333" s="273"/>
      <c r="J333" s="273"/>
      <c r="K333" s="273"/>
      <c r="L333" s="273"/>
      <c r="M333" s="273"/>
      <c r="N333" s="273"/>
      <c r="O333" s="271"/>
      <c r="P333" s="270"/>
      <c r="Q333" s="271"/>
      <c r="R333" s="23" t="str" cm="1">
        <f t="array" ref="R333">IF($B333="","",IFERROR(IF(INDEX('Data Quality'!$U$4:$U$503,ROW()-3)=0,"PENDING",INDEX('Data Quality'!$U$4:$U$503,ROW()-3)),"PENDING"))</f>
        <v/>
      </c>
      <c r="S333" s="24" t="str">
        <f t="shared" si="86"/>
        <v/>
      </c>
      <c r="T333" s="25" t="str">
        <f t="shared" si="87"/>
        <v/>
      </c>
      <c r="U333" s="25" t="str">
        <f t="shared" si="88"/>
        <v/>
      </c>
      <c r="V333" s="26" t="str">
        <f t="shared" si="89"/>
        <v/>
      </c>
      <c r="W333" s="26" t="str">
        <f t="shared" si="90"/>
        <v/>
      </c>
      <c r="X333" s="25" t="str">
        <f t="shared" si="91"/>
        <v/>
      </c>
      <c r="Y333" s="25" t="str">
        <f t="shared" si="92"/>
        <v/>
      </c>
      <c r="Z333" s="27" t="str">
        <f>IF($B333="","",IF($AK333&lt;=Settings!$C$21,"",IFERROR(AVERAGEIFS($S$4:$S$503,$B$4:$B$503,$B333,$AK$4:$AK$503,"&gt;="&amp;$AK333-Settings!$C$21,$AK$4:$AK$503,"&lt;="&amp;$AK333-1),"")))</f>
        <v/>
      </c>
      <c r="AA333" s="28" t="str">
        <f t="shared" si="93"/>
        <v/>
      </c>
      <c r="AB333" s="25" t="str">
        <f>IF($B333="","",IF($AK333&lt;=Settings!$C$22,"",IFERROR(AVERAGEIFS($K$4:$K$503,$B$4:$B$503,$B333,$AK$4:$AK$503,"&gt;="&amp;$AK333-Settings!$C$22,$AK$4:$AK$503,"&lt;="&amp;$AK333-1),"")))</f>
        <v/>
      </c>
      <c r="AC333" s="27" t="str">
        <f t="shared" si="94"/>
        <v/>
      </c>
      <c r="AD333" s="28" t="str">
        <f>IF($B333="","",IF($AK333&lt;=Settings!$C$23,"",IFERROR($E333/SUMIFS($E$4:$E$503,$B$4:$B$503,$B333,$AK$4:$AK$503,$AK333-Settings!$C$23)-1,"")))</f>
        <v/>
      </c>
      <c r="AE333" s="28" t="str">
        <f>IF($B333="","",IF($AK333&lt;=Settings!$C$22,"",IFERROR($E333/SUMIFS($E$4:$E$503,$B$4:$B$503,$B333,$AK$4:$AK$503,$AK333-Settings!$C$22)-1,"")))</f>
        <v/>
      </c>
      <c r="AF333" s="28" t="str">
        <f t="shared" si="95"/>
        <v/>
      </c>
      <c r="AG333" s="29" t="str">
        <f>IF($B333="","",ROUND((MIN(100,100*N($I333)/Settings!$C$27)+MIN(100,100*N($K333)/Settings!$C$28)+MIN(100,100*N($J333)/Settings!$C$29))/3,1))</f>
        <v/>
      </c>
      <c r="AH333" s="29" t="str">
        <f>IF($B333="","",IF(SUM(Settings!$C$32:$C$37)=0,"",ROUND((Settings!$C$32*$AO333+Settings!$C$33*$AP333+Settings!$C$34*$AQ333+Settings!$C$35*$AR333+Settings!$C$36*$AS333+Settings!$C$37*$AT333)/SUM(Settings!$C$32:$C$37),1)))</f>
        <v/>
      </c>
      <c r="AI333" s="29" t="str">
        <f>IF($B333="","",MAX(0,100-IF(N($N333)&gt;0,0,20)-IF(AND(N($L333)=0,N($M333)=0),15,0)-IF(N($J333)&gt;0,0,10)-IF(N($K333)&gt;0,0,10)-IF($Z333&lt;&gt;"",0,15)-IF($AB333&lt;&gt;"",0,10)-IF($R333="ERROR",20,IF($R333="WARNING",10,0))))</f>
        <v/>
      </c>
      <c r="AJ333" s="30" t="str">
        <f>IF($AH333="","",IF($AH333&lt;Settings!$C$46,"Extreme Sell Pressure",IF($AH333&lt;Settings!$C$47,"Sell Pressure",IF($AH333&lt;=Settings!$C$48,"Neutral",IF($AH333&lt;=Settings!$C$49,"Buy Pressure","Extreme Buy Pressure")))))</f>
        <v/>
      </c>
      <c r="AK333" s="30" t="str">
        <f t="shared" si="96"/>
        <v/>
      </c>
      <c r="AL333" s="30" t="str">
        <f t="shared" si="97"/>
        <v/>
      </c>
      <c r="AM333" s="30" t="str">
        <f t="shared" si="98"/>
        <v/>
      </c>
      <c r="AN333" s="30" t="str">
        <f t="shared" si="99"/>
        <v/>
      </c>
      <c r="AO333" s="29" t="str">
        <f>IF($B333="","",IF(AND(N($L333)=0,N($M333)=0),50,IF(N($M333)=0,100,IF(N($L333)=0,0,MEDIAN(0,100,50+50*LN($S333)/LN(Settings!$C$40))))))</f>
        <v/>
      </c>
      <c r="AP333" s="29">
        <f>IF($AA333="",50,MEDIAN(0,100,50+$AA333*100*Settings!$C$41))</f>
        <v>50</v>
      </c>
      <c r="AQ333" s="29">
        <f>IF($H333="",50,MEDIAN(0,100,50+$H333*100*Settings!$C$42))</f>
        <v>50</v>
      </c>
      <c r="AR333" s="29">
        <f>IF(OR($AC333="",$H333=""),50,MEDIAN(0,100,50+SIGN($H333)*50*MEDIAN(0,1,($AC333-1)/Settings!$C$43)))</f>
        <v>50</v>
      </c>
      <c r="AS333" s="29">
        <f>IF(OR($V333="",$W333=""),50,MEDIAN(0,100,50+50*($V333-$W333)/Settings!$C$44))</f>
        <v>50</v>
      </c>
      <c r="AT333" s="29">
        <f t="shared" si="100"/>
        <v>50</v>
      </c>
      <c r="AU333" s="30" t="str">
        <f t="shared" si="101"/>
        <v/>
      </c>
      <c r="AV333" s="87" t="str">
        <f>IF($A333="","",IF(COUNTIFS($A$4:$A333,$A333)=1,1,0))</f>
        <v/>
      </c>
    </row>
    <row r="334" spans="1:48" x14ac:dyDescent="0.3">
      <c r="A334" s="270"/>
      <c r="B334" s="271"/>
      <c r="C334" s="272"/>
      <c r="D334" s="272"/>
      <c r="E334" s="272"/>
      <c r="F334" s="272"/>
      <c r="G334" s="272"/>
      <c r="H334" s="268" t="str">
        <f t="shared" si="85"/>
        <v/>
      </c>
      <c r="I334" s="273"/>
      <c r="J334" s="273"/>
      <c r="K334" s="273"/>
      <c r="L334" s="273"/>
      <c r="M334" s="273"/>
      <c r="N334" s="273"/>
      <c r="O334" s="271"/>
      <c r="P334" s="270"/>
      <c r="Q334" s="271"/>
      <c r="R334" s="23" t="str" cm="1">
        <f t="array" ref="R334">IF($B334="","",IFERROR(IF(INDEX('Data Quality'!$U$4:$U$503,ROW()-3)=0,"PENDING",INDEX('Data Quality'!$U$4:$U$503,ROW()-3)),"PENDING"))</f>
        <v/>
      </c>
      <c r="S334" s="24" t="str">
        <f t="shared" si="86"/>
        <v/>
      </c>
      <c r="T334" s="25" t="str">
        <f t="shared" si="87"/>
        <v/>
      </c>
      <c r="U334" s="25" t="str">
        <f t="shared" si="88"/>
        <v/>
      </c>
      <c r="V334" s="26" t="str">
        <f t="shared" si="89"/>
        <v/>
      </c>
      <c r="W334" s="26" t="str">
        <f t="shared" si="90"/>
        <v/>
      </c>
      <c r="X334" s="25" t="str">
        <f t="shared" si="91"/>
        <v/>
      </c>
      <c r="Y334" s="25" t="str">
        <f t="shared" si="92"/>
        <v/>
      </c>
      <c r="Z334" s="27" t="str">
        <f>IF($B334="","",IF($AK334&lt;=Settings!$C$21,"",IFERROR(AVERAGEIFS($S$4:$S$503,$B$4:$B$503,$B334,$AK$4:$AK$503,"&gt;="&amp;$AK334-Settings!$C$21,$AK$4:$AK$503,"&lt;="&amp;$AK334-1),"")))</f>
        <v/>
      </c>
      <c r="AA334" s="28" t="str">
        <f t="shared" si="93"/>
        <v/>
      </c>
      <c r="AB334" s="25" t="str">
        <f>IF($B334="","",IF($AK334&lt;=Settings!$C$22,"",IFERROR(AVERAGEIFS($K$4:$K$503,$B$4:$B$503,$B334,$AK$4:$AK$503,"&gt;="&amp;$AK334-Settings!$C$22,$AK$4:$AK$503,"&lt;="&amp;$AK334-1),"")))</f>
        <v/>
      </c>
      <c r="AC334" s="27" t="str">
        <f t="shared" si="94"/>
        <v/>
      </c>
      <c r="AD334" s="28" t="str">
        <f>IF($B334="","",IF($AK334&lt;=Settings!$C$23,"",IFERROR($E334/SUMIFS($E$4:$E$503,$B$4:$B$503,$B334,$AK$4:$AK$503,$AK334-Settings!$C$23)-1,"")))</f>
        <v/>
      </c>
      <c r="AE334" s="28" t="str">
        <f>IF($B334="","",IF($AK334&lt;=Settings!$C$22,"",IFERROR($E334/SUMIFS($E$4:$E$503,$B$4:$B$503,$B334,$AK$4:$AK$503,$AK334-Settings!$C$22)-1,"")))</f>
        <v/>
      </c>
      <c r="AF334" s="28" t="str">
        <f t="shared" si="95"/>
        <v/>
      </c>
      <c r="AG334" s="29" t="str">
        <f>IF($B334="","",ROUND((MIN(100,100*N($I334)/Settings!$C$27)+MIN(100,100*N($K334)/Settings!$C$28)+MIN(100,100*N($J334)/Settings!$C$29))/3,1))</f>
        <v/>
      </c>
      <c r="AH334" s="29" t="str">
        <f>IF($B334="","",IF(SUM(Settings!$C$32:$C$37)=0,"",ROUND((Settings!$C$32*$AO334+Settings!$C$33*$AP334+Settings!$C$34*$AQ334+Settings!$C$35*$AR334+Settings!$C$36*$AS334+Settings!$C$37*$AT334)/SUM(Settings!$C$32:$C$37),1)))</f>
        <v/>
      </c>
      <c r="AI334" s="29" t="str">
        <f>IF($B334="","",MAX(0,100-IF(N($N334)&gt;0,0,20)-IF(AND(N($L334)=0,N($M334)=0),15,0)-IF(N($J334)&gt;0,0,10)-IF(N($K334)&gt;0,0,10)-IF($Z334&lt;&gt;"",0,15)-IF($AB334&lt;&gt;"",0,10)-IF($R334="ERROR",20,IF($R334="WARNING",10,0))))</f>
        <v/>
      </c>
      <c r="AJ334" s="30" t="str">
        <f>IF($AH334="","",IF($AH334&lt;Settings!$C$46,"Extreme Sell Pressure",IF($AH334&lt;Settings!$C$47,"Sell Pressure",IF($AH334&lt;=Settings!$C$48,"Neutral",IF($AH334&lt;=Settings!$C$49,"Buy Pressure","Extreme Buy Pressure")))))</f>
        <v/>
      </c>
      <c r="AK334" s="30" t="str">
        <f t="shared" si="96"/>
        <v/>
      </c>
      <c r="AL334" s="30" t="str">
        <f t="shared" si="97"/>
        <v/>
      </c>
      <c r="AM334" s="30" t="str">
        <f t="shared" si="98"/>
        <v/>
      </c>
      <c r="AN334" s="30" t="str">
        <f t="shared" si="99"/>
        <v/>
      </c>
      <c r="AO334" s="29" t="str">
        <f>IF($B334="","",IF(AND(N($L334)=0,N($M334)=0),50,IF(N($M334)=0,100,IF(N($L334)=0,0,MEDIAN(0,100,50+50*LN($S334)/LN(Settings!$C$40))))))</f>
        <v/>
      </c>
      <c r="AP334" s="29">
        <f>IF($AA334="",50,MEDIAN(0,100,50+$AA334*100*Settings!$C$41))</f>
        <v>50</v>
      </c>
      <c r="AQ334" s="29">
        <f>IF($H334="",50,MEDIAN(0,100,50+$H334*100*Settings!$C$42))</f>
        <v>50</v>
      </c>
      <c r="AR334" s="29">
        <f>IF(OR($AC334="",$H334=""),50,MEDIAN(0,100,50+SIGN($H334)*50*MEDIAN(0,1,($AC334-1)/Settings!$C$43)))</f>
        <v>50</v>
      </c>
      <c r="AS334" s="29">
        <f>IF(OR($V334="",$W334=""),50,MEDIAN(0,100,50+50*($V334-$W334)/Settings!$C$44))</f>
        <v>50</v>
      </c>
      <c r="AT334" s="29">
        <f t="shared" si="100"/>
        <v>50</v>
      </c>
      <c r="AU334" s="30" t="str">
        <f t="shared" si="101"/>
        <v/>
      </c>
      <c r="AV334" s="87" t="str">
        <f>IF($A334="","",IF(COUNTIFS($A$4:$A334,$A334)=1,1,0))</f>
        <v/>
      </c>
    </row>
    <row r="335" spans="1:48" x14ac:dyDescent="0.3">
      <c r="A335" s="270"/>
      <c r="B335" s="271"/>
      <c r="C335" s="272"/>
      <c r="D335" s="272"/>
      <c r="E335" s="272"/>
      <c r="F335" s="272"/>
      <c r="G335" s="272"/>
      <c r="H335" s="268" t="str">
        <f t="shared" si="85"/>
        <v/>
      </c>
      <c r="I335" s="273"/>
      <c r="J335" s="273"/>
      <c r="K335" s="273"/>
      <c r="L335" s="273"/>
      <c r="M335" s="273"/>
      <c r="N335" s="273"/>
      <c r="O335" s="271"/>
      <c r="P335" s="270"/>
      <c r="Q335" s="271"/>
      <c r="R335" s="23" t="str" cm="1">
        <f t="array" ref="R335">IF($B335="","",IFERROR(IF(INDEX('Data Quality'!$U$4:$U$503,ROW()-3)=0,"PENDING",INDEX('Data Quality'!$U$4:$U$503,ROW()-3)),"PENDING"))</f>
        <v/>
      </c>
      <c r="S335" s="24" t="str">
        <f t="shared" si="86"/>
        <v/>
      </c>
      <c r="T335" s="25" t="str">
        <f t="shared" si="87"/>
        <v/>
      </c>
      <c r="U335" s="25" t="str">
        <f t="shared" si="88"/>
        <v/>
      </c>
      <c r="V335" s="26" t="str">
        <f t="shared" si="89"/>
        <v/>
      </c>
      <c r="W335" s="26" t="str">
        <f t="shared" si="90"/>
        <v/>
      </c>
      <c r="X335" s="25" t="str">
        <f t="shared" si="91"/>
        <v/>
      </c>
      <c r="Y335" s="25" t="str">
        <f t="shared" si="92"/>
        <v/>
      </c>
      <c r="Z335" s="27" t="str">
        <f>IF($B335="","",IF($AK335&lt;=Settings!$C$21,"",IFERROR(AVERAGEIFS($S$4:$S$503,$B$4:$B$503,$B335,$AK$4:$AK$503,"&gt;="&amp;$AK335-Settings!$C$21,$AK$4:$AK$503,"&lt;="&amp;$AK335-1),"")))</f>
        <v/>
      </c>
      <c r="AA335" s="28" t="str">
        <f t="shared" si="93"/>
        <v/>
      </c>
      <c r="AB335" s="25" t="str">
        <f>IF($B335="","",IF($AK335&lt;=Settings!$C$22,"",IFERROR(AVERAGEIFS($K$4:$K$503,$B$4:$B$503,$B335,$AK$4:$AK$503,"&gt;="&amp;$AK335-Settings!$C$22,$AK$4:$AK$503,"&lt;="&amp;$AK335-1),"")))</f>
        <v/>
      </c>
      <c r="AC335" s="27" t="str">
        <f t="shared" si="94"/>
        <v/>
      </c>
      <c r="AD335" s="28" t="str">
        <f>IF($B335="","",IF($AK335&lt;=Settings!$C$23,"",IFERROR($E335/SUMIFS($E$4:$E$503,$B$4:$B$503,$B335,$AK$4:$AK$503,$AK335-Settings!$C$23)-1,"")))</f>
        <v/>
      </c>
      <c r="AE335" s="28" t="str">
        <f>IF($B335="","",IF($AK335&lt;=Settings!$C$22,"",IFERROR($E335/SUMIFS($E$4:$E$503,$B$4:$B$503,$B335,$AK$4:$AK$503,$AK335-Settings!$C$22)-1,"")))</f>
        <v/>
      </c>
      <c r="AF335" s="28" t="str">
        <f t="shared" si="95"/>
        <v/>
      </c>
      <c r="AG335" s="29" t="str">
        <f>IF($B335="","",ROUND((MIN(100,100*N($I335)/Settings!$C$27)+MIN(100,100*N($K335)/Settings!$C$28)+MIN(100,100*N($J335)/Settings!$C$29))/3,1))</f>
        <v/>
      </c>
      <c r="AH335" s="29" t="str">
        <f>IF($B335="","",IF(SUM(Settings!$C$32:$C$37)=0,"",ROUND((Settings!$C$32*$AO335+Settings!$C$33*$AP335+Settings!$C$34*$AQ335+Settings!$C$35*$AR335+Settings!$C$36*$AS335+Settings!$C$37*$AT335)/SUM(Settings!$C$32:$C$37),1)))</f>
        <v/>
      </c>
      <c r="AI335" s="29" t="str">
        <f>IF($B335="","",MAX(0,100-IF(N($N335)&gt;0,0,20)-IF(AND(N($L335)=0,N($M335)=0),15,0)-IF(N($J335)&gt;0,0,10)-IF(N($K335)&gt;0,0,10)-IF($Z335&lt;&gt;"",0,15)-IF($AB335&lt;&gt;"",0,10)-IF($R335="ERROR",20,IF($R335="WARNING",10,0))))</f>
        <v/>
      </c>
      <c r="AJ335" s="30" t="str">
        <f>IF($AH335="","",IF($AH335&lt;Settings!$C$46,"Extreme Sell Pressure",IF($AH335&lt;Settings!$C$47,"Sell Pressure",IF($AH335&lt;=Settings!$C$48,"Neutral",IF($AH335&lt;=Settings!$C$49,"Buy Pressure","Extreme Buy Pressure")))))</f>
        <v/>
      </c>
      <c r="AK335" s="30" t="str">
        <f t="shared" si="96"/>
        <v/>
      </c>
      <c r="AL335" s="30" t="str">
        <f t="shared" si="97"/>
        <v/>
      </c>
      <c r="AM335" s="30" t="str">
        <f t="shared" si="98"/>
        <v/>
      </c>
      <c r="AN335" s="30" t="str">
        <f t="shared" si="99"/>
        <v/>
      </c>
      <c r="AO335" s="29" t="str">
        <f>IF($B335="","",IF(AND(N($L335)=0,N($M335)=0),50,IF(N($M335)=0,100,IF(N($L335)=0,0,MEDIAN(0,100,50+50*LN($S335)/LN(Settings!$C$40))))))</f>
        <v/>
      </c>
      <c r="AP335" s="29">
        <f>IF($AA335="",50,MEDIAN(0,100,50+$AA335*100*Settings!$C$41))</f>
        <v>50</v>
      </c>
      <c r="AQ335" s="29">
        <f>IF($H335="",50,MEDIAN(0,100,50+$H335*100*Settings!$C$42))</f>
        <v>50</v>
      </c>
      <c r="AR335" s="29">
        <f>IF(OR($AC335="",$H335=""),50,MEDIAN(0,100,50+SIGN($H335)*50*MEDIAN(0,1,($AC335-1)/Settings!$C$43)))</f>
        <v>50</v>
      </c>
      <c r="AS335" s="29">
        <f>IF(OR($V335="",$W335=""),50,MEDIAN(0,100,50+50*($V335-$W335)/Settings!$C$44))</f>
        <v>50</v>
      </c>
      <c r="AT335" s="29">
        <f t="shared" si="100"/>
        <v>50</v>
      </c>
      <c r="AU335" s="30" t="str">
        <f t="shared" si="101"/>
        <v/>
      </c>
      <c r="AV335" s="87" t="str">
        <f>IF($A335="","",IF(COUNTIFS($A$4:$A335,$A335)=1,1,0))</f>
        <v/>
      </c>
    </row>
    <row r="336" spans="1:48" x14ac:dyDescent="0.3">
      <c r="A336" s="270"/>
      <c r="B336" s="271"/>
      <c r="C336" s="272"/>
      <c r="D336" s="272"/>
      <c r="E336" s="272"/>
      <c r="F336" s="272"/>
      <c r="G336" s="272"/>
      <c r="H336" s="268" t="str">
        <f t="shared" si="85"/>
        <v/>
      </c>
      <c r="I336" s="273"/>
      <c r="J336" s="273"/>
      <c r="K336" s="273"/>
      <c r="L336" s="273"/>
      <c r="M336" s="273"/>
      <c r="N336" s="273"/>
      <c r="O336" s="271"/>
      <c r="P336" s="270"/>
      <c r="Q336" s="271"/>
      <c r="R336" s="23" t="str" cm="1">
        <f t="array" ref="R336">IF($B336="","",IFERROR(IF(INDEX('Data Quality'!$U$4:$U$503,ROW()-3)=0,"PENDING",INDEX('Data Quality'!$U$4:$U$503,ROW()-3)),"PENDING"))</f>
        <v/>
      </c>
      <c r="S336" s="24" t="str">
        <f t="shared" si="86"/>
        <v/>
      </c>
      <c r="T336" s="25" t="str">
        <f t="shared" si="87"/>
        <v/>
      </c>
      <c r="U336" s="25" t="str">
        <f t="shared" si="88"/>
        <v/>
      </c>
      <c r="V336" s="26" t="str">
        <f t="shared" si="89"/>
        <v/>
      </c>
      <c r="W336" s="26" t="str">
        <f t="shared" si="90"/>
        <v/>
      </c>
      <c r="X336" s="25" t="str">
        <f t="shared" si="91"/>
        <v/>
      </c>
      <c r="Y336" s="25" t="str">
        <f t="shared" si="92"/>
        <v/>
      </c>
      <c r="Z336" s="27" t="str">
        <f>IF($B336="","",IF($AK336&lt;=Settings!$C$21,"",IFERROR(AVERAGEIFS($S$4:$S$503,$B$4:$B$503,$B336,$AK$4:$AK$503,"&gt;="&amp;$AK336-Settings!$C$21,$AK$4:$AK$503,"&lt;="&amp;$AK336-1),"")))</f>
        <v/>
      </c>
      <c r="AA336" s="28" t="str">
        <f t="shared" si="93"/>
        <v/>
      </c>
      <c r="AB336" s="25" t="str">
        <f>IF($B336="","",IF($AK336&lt;=Settings!$C$22,"",IFERROR(AVERAGEIFS($K$4:$K$503,$B$4:$B$503,$B336,$AK$4:$AK$503,"&gt;="&amp;$AK336-Settings!$C$22,$AK$4:$AK$503,"&lt;="&amp;$AK336-1),"")))</f>
        <v/>
      </c>
      <c r="AC336" s="27" t="str">
        <f t="shared" si="94"/>
        <v/>
      </c>
      <c r="AD336" s="28" t="str">
        <f>IF($B336="","",IF($AK336&lt;=Settings!$C$23,"",IFERROR($E336/SUMIFS($E$4:$E$503,$B$4:$B$503,$B336,$AK$4:$AK$503,$AK336-Settings!$C$23)-1,"")))</f>
        <v/>
      </c>
      <c r="AE336" s="28" t="str">
        <f>IF($B336="","",IF($AK336&lt;=Settings!$C$22,"",IFERROR($E336/SUMIFS($E$4:$E$503,$B$4:$B$503,$B336,$AK$4:$AK$503,$AK336-Settings!$C$22)-1,"")))</f>
        <v/>
      </c>
      <c r="AF336" s="28" t="str">
        <f t="shared" si="95"/>
        <v/>
      </c>
      <c r="AG336" s="29" t="str">
        <f>IF($B336="","",ROUND((MIN(100,100*N($I336)/Settings!$C$27)+MIN(100,100*N($K336)/Settings!$C$28)+MIN(100,100*N($J336)/Settings!$C$29))/3,1))</f>
        <v/>
      </c>
      <c r="AH336" s="29" t="str">
        <f>IF($B336="","",IF(SUM(Settings!$C$32:$C$37)=0,"",ROUND((Settings!$C$32*$AO336+Settings!$C$33*$AP336+Settings!$C$34*$AQ336+Settings!$C$35*$AR336+Settings!$C$36*$AS336+Settings!$C$37*$AT336)/SUM(Settings!$C$32:$C$37),1)))</f>
        <v/>
      </c>
      <c r="AI336" s="29" t="str">
        <f>IF($B336="","",MAX(0,100-IF(N($N336)&gt;0,0,20)-IF(AND(N($L336)=0,N($M336)=0),15,0)-IF(N($J336)&gt;0,0,10)-IF(N($K336)&gt;0,0,10)-IF($Z336&lt;&gt;"",0,15)-IF($AB336&lt;&gt;"",0,10)-IF($R336="ERROR",20,IF($R336="WARNING",10,0))))</f>
        <v/>
      </c>
      <c r="AJ336" s="30" t="str">
        <f>IF($AH336="","",IF($AH336&lt;Settings!$C$46,"Extreme Sell Pressure",IF($AH336&lt;Settings!$C$47,"Sell Pressure",IF($AH336&lt;=Settings!$C$48,"Neutral",IF($AH336&lt;=Settings!$C$49,"Buy Pressure","Extreme Buy Pressure")))))</f>
        <v/>
      </c>
      <c r="AK336" s="30" t="str">
        <f t="shared" si="96"/>
        <v/>
      </c>
      <c r="AL336" s="30" t="str">
        <f t="shared" si="97"/>
        <v/>
      </c>
      <c r="AM336" s="30" t="str">
        <f t="shared" si="98"/>
        <v/>
      </c>
      <c r="AN336" s="30" t="str">
        <f t="shared" si="99"/>
        <v/>
      </c>
      <c r="AO336" s="29" t="str">
        <f>IF($B336="","",IF(AND(N($L336)=0,N($M336)=0),50,IF(N($M336)=0,100,IF(N($L336)=0,0,MEDIAN(0,100,50+50*LN($S336)/LN(Settings!$C$40))))))</f>
        <v/>
      </c>
      <c r="AP336" s="29">
        <f>IF($AA336="",50,MEDIAN(0,100,50+$AA336*100*Settings!$C$41))</f>
        <v>50</v>
      </c>
      <c r="AQ336" s="29">
        <f>IF($H336="",50,MEDIAN(0,100,50+$H336*100*Settings!$C$42))</f>
        <v>50</v>
      </c>
      <c r="AR336" s="29">
        <f>IF(OR($AC336="",$H336=""),50,MEDIAN(0,100,50+SIGN($H336)*50*MEDIAN(0,1,($AC336-1)/Settings!$C$43)))</f>
        <v>50</v>
      </c>
      <c r="AS336" s="29">
        <f>IF(OR($V336="",$W336=""),50,MEDIAN(0,100,50+50*($V336-$W336)/Settings!$C$44))</f>
        <v>50</v>
      </c>
      <c r="AT336" s="29">
        <f t="shared" si="100"/>
        <v>50</v>
      </c>
      <c r="AU336" s="30" t="str">
        <f t="shared" si="101"/>
        <v/>
      </c>
      <c r="AV336" s="87" t="str">
        <f>IF($A336="","",IF(COUNTIFS($A$4:$A336,$A336)=1,1,0))</f>
        <v/>
      </c>
    </row>
    <row r="337" spans="1:48" x14ac:dyDescent="0.3">
      <c r="A337" s="270"/>
      <c r="B337" s="271"/>
      <c r="C337" s="272"/>
      <c r="D337" s="272"/>
      <c r="E337" s="272"/>
      <c r="F337" s="272"/>
      <c r="G337" s="272"/>
      <c r="H337" s="268" t="str">
        <f t="shared" si="85"/>
        <v/>
      </c>
      <c r="I337" s="273"/>
      <c r="J337" s="273"/>
      <c r="K337" s="273"/>
      <c r="L337" s="273"/>
      <c r="M337" s="273"/>
      <c r="N337" s="273"/>
      <c r="O337" s="271"/>
      <c r="P337" s="270"/>
      <c r="Q337" s="271"/>
      <c r="R337" s="23" t="str" cm="1">
        <f t="array" ref="R337">IF($B337="","",IFERROR(IF(INDEX('Data Quality'!$U$4:$U$503,ROW()-3)=0,"PENDING",INDEX('Data Quality'!$U$4:$U$503,ROW()-3)),"PENDING"))</f>
        <v/>
      </c>
      <c r="S337" s="24" t="str">
        <f t="shared" si="86"/>
        <v/>
      </c>
      <c r="T337" s="25" t="str">
        <f t="shared" si="87"/>
        <v/>
      </c>
      <c r="U337" s="25" t="str">
        <f t="shared" si="88"/>
        <v/>
      </c>
      <c r="V337" s="26" t="str">
        <f t="shared" si="89"/>
        <v/>
      </c>
      <c r="W337" s="26" t="str">
        <f t="shared" si="90"/>
        <v/>
      </c>
      <c r="X337" s="25" t="str">
        <f t="shared" si="91"/>
        <v/>
      </c>
      <c r="Y337" s="25" t="str">
        <f t="shared" si="92"/>
        <v/>
      </c>
      <c r="Z337" s="27" t="str">
        <f>IF($B337="","",IF($AK337&lt;=Settings!$C$21,"",IFERROR(AVERAGEIFS($S$4:$S$503,$B$4:$B$503,$B337,$AK$4:$AK$503,"&gt;="&amp;$AK337-Settings!$C$21,$AK$4:$AK$503,"&lt;="&amp;$AK337-1),"")))</f>
        <v/>
      </c>
      <c r="AA337" s="28" t="str">
        <f t="shared" si="93"/>
        <v/>
      </c>
      <c r="AB337" s="25" t="str">
        <f>IF($B337="","",IF($AK337&lt;=Settings!$C$22,"",IFERROR(AVERAGEIFS($K$4:$K$503,$B$4:$B$503,$B337,$AK$4:$AK$503,"&gt;="&amp;$AK337-Settings!$C$22,$AK$4:$AK$503,"&lt;="&amp;$AK337-1),"")))</f>
        <v/>
      </c>
      <c r="AC337" s="27" t="str">
        <f t="shared" si="94"/>
        <v/>
      </c>
      <c r="AD337" s="28" t="str">
        <f>IF($B337="","",IF($AK337&lt;=Settings!$C$23,"",IFERROR($E337/SUMIFS($E$4:$E$503,$B$4:$B$503,$B337,$AK$4:$AK$503,$AK337-Settings!$C$23)-1,"")))</f>
        <v/>
      </c>
      <c r="AE337" s="28" t="str">
        <f>IF($B337="","",IF($AK337&lt;=Settings!$C$22,"",IFERROR($E337/SUMIFS($E$4:$E$503,$B$4:$B$503,$B337,$AK$4:$AK$503,$AK337-Settings!$C$22)-1,"")))</f>
        <v/>
      </c>
      <c r="AF337" s="28" t="str">
        <f t="shared" si="95"/>
        <v/>
      </c>
      <c r="AG337" s="29" t="str">
        <f>IF($B337="","",ROUND((MIN(100,100*N($I337)/Settings!$C$27)+MIN(100,100*N($K337)/Settings!$C$28)+MIN(100,100*N($J337)/Settings!$C$29))/3,1))</f>
        <v/>
      </c>
      <c r="AH337" s="29" t="str">
        <f>IF($B337="","",IF(SUM(Settings!$C$32:$C$37)=0,"",ROUND((Settings!$C$32*$AO337+Settings!$C$33*$AP337+Settings!$C$34*$AQ337+Settings!$C$35*$AR337+Settings!$C$36*$AS337+Settings!$C$37*$AT337)/SUM(Settings!$C$32:$C$37),1)))</f>
        <v/>
      </c>
      <c r="AI337" s="29" t="str">
        <f>IF($B337="","",MAX(0,100-IF(N($N337)&gt;0,0,20)-IF(AND(N($L337)=0,N($M337)=0),15,0)-IF(N($J337)&gt;0,0,10)-IF(N($K337)&gt;0,0,10)-IF($Z337&lt;&gt;"",0,15)-IF($AB337&lt;&gt;"",0,10)-IF($R337="ERROR",20,IF($R337="WARNING",10,0))))</f>
        <v/>
      </c>
      <c r="AJ337" s="30" t="str">
        <f>IF($AH337="","",IF($AH337&lt;Settings!$C$46,"Extreme Sell Pressure",IF($AH337&lt;Settings!$C$47,"Sell Pressure",IF($AH337&lt;=Settings!$C$48,"Neutral",IF($AH337&lt;=Settings!$C$49,"Buy Pressure","Extreme Buy Pressure")))))</f>
        <v/>
      </c>
      <c r="AK337" s="30" t="str">
        <f t="shared" si="96"/>
        <v/>
      </c>
      <c r="AL337" s="30" t="str">
        <f t="shared" si="97"/>
        <v/>
      </c>
      <c r="AM337" s="30" t="str">
        <f t="shared" si="98"/>
        <v/>
      </c>
      <c r="AN337" s="30" t="str">
        <f t="shared" si="99"/>
        <v/>
      </c>
      <c r="AO337" s="29" t="str">
        <f>IF($B337="","",IF(AND(N($L337)=0,N($M337)=0),50,IF(N($M337)=0,100,IF(N($L337)=0,0,MEDIAN(0,100,50+50*LN($S337)/LN(Settings!$C$40))))))</f>
        <v/>
      </c>
      <c r="AP337" s="29">
        <f>IF($AA337="",50,MEDIAN(0,100,50+$AA337*100*Settings!$C$41))</f>
        <v>50</v>
      </c>
      <c r="AQ337" s="29">
        <f>IF($H337="",50,MEDIAN(0,100,50+$H337*100*Settings!$C$42))</f>
        <v>50</v>
      </c>
      <c r="AR337" s="29">
        <f>IF(OR($AC337="",$H337=""),50,MEDIAN(0,100,50+SIGN($H337)*50*MEDIAN(0,1,($AC337-1)/Settings!$C$43)))</f>
        <v>50</v>
      </c>
      <c r="AS337" s="29">
        <f>IF(OR($V337="",$W337=""),50,MEDIAN(0,100,50+50*($V337-$W337)/Settings!$C$44))</f>
        <v>50</v>
      </c>
      <c r="AT337" s="29">
        <f t="shared" si="100"/>
        <v>50</v>
      </c>
      <c r="AU337" s="30" t="str">
        <f t="shared" si="101"/>
        <v/>
      </c>
      <c r="AV337" s="87" t="str">
        <f>IF($A337="","",IF(COUNTIFS($A$4:$A337,$A337)=1,1,0))</f>
        <v/>
      </c>
    </row>
    <row r="338" spans="1:48" x14ac:dyDescent="0.3">
      <c r="A338" s="270"/>
      <c r="B338" s="271"/>
      <c r="C338" s="272"/>
      <c r="D338" s="272"/>
      <c r="E338" s="272"/>
      <c r="F338" s="272"/>
      <c r="G338" s="272"/>
      <c r="H338" s="268" t="str">
        <f t="shared" si="85"/>
        <v/>
      </c>
      <c r="I338" s="273"/>
      <c r="J338" s="273"/>
      <c r="K338" s="273"/>
      <c r="L338" s="273"/>
      <c r="M338" s="273"/>
      <c r="N338" s="273"/>
      <c r="O338" s="271"/>
      <c r="P338" s="270"/>
      <c r="Q338" s="271"/>
      <c r="R338" s="23" t="str" cm="1">
        <f t="array" ref="R338">IF($B338="","",IFERROR(IF(INDEX('Data Quality'!$U$4:$U$503,ROW()-3)=0,"PENDING",INDEX('Data Quality'!$U$4:$U$503,ROW()-3)),"PENDING"))</f>
        <v/>
      </c>
      <c r="S338" s="24" t="str">
        <f t="shared" si="86"/>
        <v/>
      </c>
      <c r="T338" s="25" t="str">
        <f t="shared" si="87"/>
        <v/>
      </c>
      <c r="U338" s="25" t="str">
        <f t="shared" si="88"/>
        <v/>
      </c>
      <c r="V338" s="26" t="str">
        <f t="shared" si="89"/>
        <v/>
      </c>
      <c r="W338" s="26" t="str">
        <f t="shared" si="90"/>
        <v/>
      </c>
      <c r="X338" s="25" t="str">
        <f t="shared" si="91"/>
        <v/>
      </c>
      <c r="Y338" s="25" t="str">
        <f t="shared" si="92"/>
        <v/>
      </c>
      <c r="Z338" s="27" t="str">
        <f>IF($B338="","",IF($AK338&lt;=Settings!$C$21,"",IFERROR(AVERAGEIFS($S$4:$S$503,$B$4:$B$503,$B338,$AK$4:$AK$503,"&gt;="&amp;$AK338-Settings!$C$21,$AK$4:$AK$503,"&lt;="&amp;$AK338-1),"")))</f>
        <v/>
      </c>
      <c r="AA338" s="28" t="str">
        <f t="shared" si="93"/>
        <v/>
      </c>
      <c r="AB338" s="25" t="str">
        <f>IF($B338="","",IF($AK338&lt;=Settings!$C$22,"",IFERROR(AVERAGEIFS($K$4:$K$503,$B$4:$B$503,$B338,$AK$4:$AK$503,"&gt;="&amp;$AK338-Settings!$C$22,$AK$4:$AK$503,"&lt;="&amp;$AK338-1),"")))</f>
        <v/>
      </c>
      <c r="AC338" s="27" t="str">
        <f t="shared" si="94"/>
        <v/>
      </c>
      <c r="AD338" s="28" t="str">
        <f>IF($B338="","",IF($AK338&lt;=Settings!$C$23,"",IFERROR($E338/SUMIFS($E$4:$E$503,$B$4:$B$503,$B338,$AK$4:$AK$503,$AK338-Settings!$C$23)-1,"")))</f>
        <v/>
      </c>
      <c r="AE338" s="28" t="str">
        <f>IF($B338="","",IF($AK338&lt;=Settings!$C$22,"",IFERROR($E338/SUMIFS($E$4:$E$503,$B$4:$B$503,$B338,$AK$4:$AK$503,$AK338-Settings!$C$22)-1,"")))</f>
        <v/>
      </c>
      <c r="AF338" s="28" t="str">
        <f t="shared" si="95"/>
        <v/>
      </c>
      <c r="AG338" s="29" t="str">
        <f>IF($B338="","",ROUND((MIN(100,100*N($I338)/Settings!$C$27)+MIN(100,100*N($K338)/Settings!$C$28)+MIN(100,100*N($J338)/Settings!$C$29))/3,1))</f>
        <v/>
      </c>
      <c r="AH338" s="29" t="str">
        <f>IF($B338="","",IF(SUM(Settings!$C$32:$C$37)=0,"",ROUND((Settings!$C$32*$AO338+Settings!$C$33*$AP338+Settings!$C$34*$AQ338+Settings!$C$35*$AR338+Settings!$C$36*$AS338+Settings!$C$37*$AT338)/SUM(Settings!$C$32:$C$37),1)))</f>
        <v/>
      </c>
      <c r="AI338" s="29" t="str">
        <f>IF($B338="","",MAX(0,100-IF(N($N338)&gt;0,0,20)-IF(AND(N($L338)=0,N($M338)=0),15,0)-IF(N($J338)&gt;0,0,10)-IF(N($K338)&gt;0,0,10)-IF($Z338&lt;&gt;"",0,15)-IF($AB338&lt;&gt;"",0,10)-IF($R338="ERROR",20,IF($R338="WARNING",10,0))))</f>
        <v/>
      </c>
      <c r="AJ338" s="30" t="str">
        <f>IF($AH338="","",IF($AH338&lt;Settings!$C$46,"Extreme Sell Pressure",IF($AH338&lt;Settings!$C$47,"Sell Pressure",IF($AH338&lt;=Settings!$C$48,"Neutral",IF($AH338&lt;=Settings!$C$49,"Buy Pressure","Extreme Buy Pressure")))))</f>
        <v/>
      </c>
      <c r="AK338" s="30" t="str">
        <f t="shared" si="96"/>
        <v/>
      </c>
      <c r="AL338" s="30" t="str">
        <f t="shared" si="97"/>
        <v/>
      </c>
      <c r="AM338" s="30" t="str">
        <f t="shared" si="98"/>
        <v/>
      </c>
      <c r="AN338" s="30" t="str">
        <f t="shared" si="99"/>
        <v/>
      </c>
      <c r="AO338" s="29" t="str">
        <f>IF($B338="","",IF(AND(N($L338)=0,N($M338)=0),50,IF(N($M338)=0,100,IF(N($L338)=0,0,MEDIAN(0,100,50+50*LN($S338)/LN(Settings!$C$40))))))</f>
        <v/>
      </c>
      <c r="AP338" s="29">
        <f>IF($AA338="",50,MEDIAN(0,100,50+$AA338*100*Settings!$C$41))</f>
        <v>50</v>
      </c>
      <c r="AQ338" s="29">
        <f>IF($H338="",50,MEDIAN(0,100,50+$H338*100*Settings!$C$42))</f>
        <v>50</v>
      </c>
      <c r="AR338" s="29">
        <f>IF(OR($AC338="",$H338=""),50,MEDIAN(0,100,50+SIGN($H338)*50*MEDIAN(0,1,($AC338-1)/Settings!$C$43)))</f>
        <v>50</v>
      </c>
      <c r="AS338" s="29">
        <f>IF(OR($V338="",$W338=""),50,MEDIAN(0,100,50+50*($V338-$W338)/Settings!$C$44))</f>
        <v>50</v>
      </c>
      <c r="AT338" s="29">
        <f t="shared" si="100"/>
        <v>50</v>
      </c>
      <c r="AU338" s="30" t="str">
        <f t="shared" si="101"/>
        <v/>
      </c>
      <c r="AV338" s="87" t="str">
        <f>IF($A338="","",IF(COUNTIFS($A$4:$A338,$A338)=1,1,0))</f>
        <v/>
      </c>
    </row>
    <row r="339" spans="1:48" x14ac:dyDescent="0.3">
      <c r="A339" s="270"/>
      <c r="B339" s="271"/>
      <c r="C339" s="272"/>
      <c r="D339" s="272"/>
      <c r="E339" s="272"/>
      <c r="F339" s="272"/>
      <c r="G339" s="272"/>
      <c r="H339" s="268" t="str">
        <f t="shared" si="85"/>
        <v/>
      </c>
      <c r="I339" s="273"/>
      <c r="J339" s="273"/>
      <c r="K339" s="273"/>
      <c r="L339" s="273"/>
      <c r="M339" s="273"/>
      <c r="N339" s="273"/>
      <c r="O339" s="271"/>
      <c r="P339" s="270"/>
      <c r="Q339" s="271"/>
      <c r="R339" s="23" t="str" cm="1">
        <f t="array" ref="R339">IF($B339="","",IFERROR(IF(INDEX('Data Quality'!$U$4:$U$503,ROW()-3)=0,"PENDING",INDEX('Data Quality'!$U$4:$U$503,ROW()-3)),"PENDING"))</f>
        <v/>
      </c>
      <c r="S339" s="24" t="str">
        <f t="shared" si="86"/>
        <v/>
      </c>
      <c r="T339" s="25" t="str">
        <f t="shared" si="87"/>
        <v/>
      </c>
      <c r="U339" s="25" t="str">
        <f t="shared" si="88"/>
        <v/>
      </c>
      <c r="V339" s="26" t="str">
        <f t="shared" si="89"/>
        <v/>
      </c>
      <c r="W339" s="26" t="str">
        <f t="shared" si="90"/>
        <v/>
      </c>
      <c r="X339" s="25" t="str">
        <f t="shared" si="91"/>
        <v/>
      </c>
      <c r="Y339" s="25" t="str">
        <f t="shared" si="92"/>
        <v/>
      </c>
      <c r="Z339" s="27" t="str">
        <f>IF($B339="","",IF($AK339&lt;=Settings!$C$21,"",IFERROR(AVERAGEIFS($S$4:$S$503,$B$4:$B$503,$B339,$AK$4:$AK$503,"&gt;="&amp;$AK339-Settings!$C$21,$AK$4:$AK$503,"&lt;="&amp;$AK339-1),"")))</f>
        <v/>
      </c>
      <c r="AA339" s="28" t="str">
        <f t="shared" si="93"/>
        <v/>
      </c>
      <c r="AB339" s="25" t="str">
        <f>IF($B339="","",IF($AK339&lt;=Settings!$C$22,"",IFERROR(AVERAGEIFS($K$4:$K$503,$B$4:$B$503,$B339,$AK$4:$AK$503,"&gt;="&amp;$AK339-Settings!$C$22,$AK$4:$AK$503,"&lt;="&amp;$AK339-1),"")))</f>
        <v/>
      </c>
      <c r="AC339" s="27" t="str">
        <f t="shared" si="94"/>
        <v/>
      </c>
      <c r="AD339" s="28" t="str">
        <f>IF($B339="","",IF($AK339&lt;=Settings!$C$23,"",IFERROR($E339/SUMIFS($E$4:$E$503,$B$4:$B$503,$B339,$AK$4:$AK$503,$AK339-Settings!$C$23)-1,"")))</f>
        <v/>
      </c>
      <c r="AE339" s="28" t="str">
        <f>IF($B339="","",IF($AK339&lt;=Settings!$C$22,"",IFERROR($E339/SUMIFS($E$4:$E$503,$B$4:$B$503,$B339,$AK$4:$AK$503,$AK339-Settings!$C$22)-1,"")))</f>
        <v/>
      </c>
      <c r="AF339" s="28" t="str">
        <f t="shared" si="95"/>
        <v/>
      </c>
      <c r="AG339" s="29" t="str">
        <f>IF($B339="","",ROUND((MIN(100,100*N($I339)/Settings!$C$27)+MIN(100,100*N($K339)/Settings!$C$28)+MIN(100,100*N($J339)/Settings!$C$29))/3,1))</f>
        <v/>
      </c>
      <c r="AH339" s="29" t="str">
        <f>IF($B339="","",IF(SUM(Settings!$C$32:$C$37)=0,"",ROUND((Settings!$C$32*$AO339+Settings!$C$33*$AP339+Settings!$C$34*$AQ339+Settings!$C$35*$AR339+Settings!$C$36*$AS339+Settings!$C$37*$AT339)/SUM(Settings!$C$32:$C$37),1)))</f>
        <v/>
      </c>
      <c r="AI339" s="29" t="str">
        <f>IF($B339="","",MAX(0,100-IF(N($N339)&gt;0,0,20)-IF(AND(N($L339)=0,N($M339)=0),15,0)-IF(N($J339)&gt;0,0,10)-IF(N($K339)&gt;0,0,10)-IF($Z339&lt;&gt;"",0,15)-IF($AB339&lt;&gt;"",0,10)-IF($R339="ERROR",20,IF($R339="WARNING",10,0))))</f>
        <v/>
      </c>
      <c r="AJ339" s="30" t="str">
        <f>IF($AH339="","",IF($AH339&lt;Settings!$C$46,"Extreme Sell Pressure",IF($AH339&lt;Settings!$C$47,"Sell Pressure",IF($AH339&lt;=Settings!$C$48,"Neutral",IF($AH339&lt;=Settings!$C$49,"Buy Pressure","Extreme Buy Pressure")))))</f>
        <v/>
      </c>
      <c r="AK339" s="30" t="str">
        <f t="shared" si="96"/>
        <v/>
      </c>
      <c r="AL339" s="30" t="str">
        <f t="shared" si="97"/>
        <v/>
      </c>
      <c r="AM339" s="30" t="str">
        <f t="shared" si="98"/>
        <v/>
      </c>
      <c r="AN339" s="30" t="str">
        <f t="shared" si="99"/>
        <v/>
      </c>
      <c r="AO339" s="29" t="str">
        <f>IF($B339="","",IF(AND(N($L339)=0,N($M339)=0),50,IF(N($M339)=0,100,IF(N($L339)=0,0,MEDIAN(0,100,50+50*LN($S339)/LN(Settings!$C$40))))))</f>
        <v/>
      </c>
      <c r="AP339" s="29">
        <f>IF($AA339="",50,MEDIAN(0,100,50+$AA339*100*Settings!$C$41))</f>
        <v>50</v>
      </c>
      <c r="AQ339" s="29">
        <f>IF($H339="",50,MEDIAN(0,100,50+$H339*100*Settings!$C$42))</f>
        <v>50</v>
      </c>
      <c r="AR339" s="29">
        <f>IF(OR($AC339="",$H339=""),50,MEDIAN(0,100,50+SIGN($H339)*50*MEDIAN(0,1,($AC339-1)/Settings!$C$43)))</f>
        <v>50</v>
      </c>
      <c r="AS339" s="29">
        <f>IF(OR($V339="",$W339=""),50,MEDIAN(0,100,50+50*($V339-$W339)/Settings!$C$44))</f>
        <v>50</v>
      </c>
      <c r="AT339" s="29">
        <f t="shared" si="100"/>
        <v>50</v>
      </c>
      <c r="AU339" s="30" t="str">
        <f t="shared" si="101"/>
        <v/>
      </c>
      <c r="AV339" s="87" t="str">
        <f>IF($A339="","",IF(COUNTIFS($A$4:$A339,$A339)=1,1,0))</f>
        <v/>
      </c>
    </row>
    <row r="340" spans="1:48" x14ac:dyDescent="0.3">
      <c r="A340" s="270"/>
      <c r="B340" s="271"/>
      <c r="C340" s="272"/>
      <c r="D340" s="272"/>
      <c r="E340" s="272"/>
      <c r="F340" s="272"/>
      <c r="G340" s="272"/>
      <c r="H340" s="268" t="str">
        <f t="shared" si="85"/>
        <v/>
      </c>
      <c r="I340" s="273"/>
      <c r="J340" s="273"/>
      <c r="K340" s="273"/>
      <c r="L340" s="273"/>
      <c r="M340" s="273"/>
      <c r="N340" s="273"/>
      <c r="O340" s="271"/>
      <c r="P340" s="270"/>
      <c r="Q340" s="271"/>
      <c r="R340" s="23" t="str" cm="1">
        <f t="array" ref="R340">IF($B340="","",IFERROR(IF(INDEX('Data Quality'!$U$4:$U$503,ROW()-3)=0,"PENDING",INDEX('Data Quality'!$U$4:$U$503,ROW()-3)),"PENDING"))</f>
        <v/>
      </c>
      <c r="S340" s="24" t="str">
        <f t="shared" si="86"/>
        <v/>
      </c>
      <c r="T340" s="25" t="str">
        <f t="shared" si="87"/>
        <v/>
      </c>
      <c r="U340" s="25" t="str">
        <f t="shared" si="88"/>
        <v/>
      </c>
      <c r="V340" s="26" t="str">
        <f t="shared" si="89"/>
        <v/>
      </c>
      <c r="W340" s="26" t="str">
        <f t="shared" si="90"/>
        <v/>
      </c>
      <c r="X340" s="25" t="str">
        <f t="shared" si="91"/>
        <v/>
      </c>
      <c r="Y340" s="25" t="str">
        <f t="shared" si="92"/>
        <v/>
      </c>
      <c r="Z340" s="27" t="str">
        <f>IF($B340="","",IF($AK340&lt;=Settings!$C$21,"",IFERROR(AVERAGEIFS($S$4:$S$503,$B$4:$B$503,$B340,$AK$4:$AK$503,"&gt;="&amp;$AK340-Settings!$C$21,$AK$4:$AK$503,"&lt;="&amp;$AK340-1),"")))</f>
        <v/>
      </c>
      <c r="AA340" s="28" t="str">
        <f t="shared" si="93"/>
        <v/>
      </c>
      <c r="AB340" s="25" t="str">
        <f>IF($B340="","",IF($AK340&lt;=Settings!$C$22,"",IFERROR(AVERAGEIFS($K$4:$K$503,$B$4:$B$503,$B340,$AK$4:$AK$503,"&gt;="&amp;$AK340-Settings!$C$22,$AK$4:$AK$503,"&lt;="&amp;$AK340-1),"")))</f>
        <v/>
      </c>
      <c r="AC340" s="27" t="str">
        <f t="shared" si="94"/>
        <v/>
      </c>
      <c r="AD340" s="28" t="str">
        <f>IF($B340="","",IF($AK340&lt;=Settings!$C$23,"",IFERROR($E340/SUMIFS($E$4:$E$503,$B$4:$B$503,$B340,$AK$4:$AK$503,$AK340-Settings!$C$23)-1,"")))</f>
        <v/>
      </c>
      <c r="AE340" s="28" t="str">
        <f>IF($B340="","",IF($AK340&lt;=Settings!$C$22,"",IFERROR($E340/SUMIFS($E$4:$E$503,$B$4:$B$503,$B340,$AK$4:$AK$503,$AK340-Settings!$C$22)-1,"")))</f>
        <v/>
      </c>
      <c r="AF340" s="28" t="str">
        <f t="shared" si="95"/>
        <v/>
      </c>
      <c r="AG340" s="29" t="str">
        <f>IF($B340="","",ROUND((MIN(100,100*N($I340)/Settings!$C$27)+MIN(100,100*N($K340)/Settings!$C$28)+MIN(100,100*N($J340)/Settings!$C$29))/3,1))</f>
        <v/>
      </c>
      <c r="AH340" s="29" t="str">
        <f>IF($B340="","",IF(SUM(Settings!$C$32:$C$37)=0,"",ROUND((Settings!$C$32*$AO340+Settings!$C$33*$AP340+Settings!$C$34*$AQ340+Settings!$C$35*$AR340+Settings!$C$36*$AS340+Settings!$C$37*$AT340)/SUM(Settings!$C$32:$C$37),1)))</f>
        <v/>
      </c>
      <c r="AI340" s="29" t="str">
        <f>IF($B340="","",MAX(0,100-IF(N($N340)&gt;0,0,20)-IF(AND(N($L340)=0,N($M340)=0),15,0)-IF(N($J340)&gt;0,0,10)-IF(N($K340)&gt;0,0,10)-IF($Z340&lt;&gt;"",0,15)-IF($AB340&lt;&gt;"",0,10)-IF($R340="ERROR",20,IF($R340="WARNING",10,0))))</f>
        <v/>
      </c>
      <c r="AJ340" s="30" t="str">
        <f>IF($AH340="","",IF($AH340&lt;Settings!$C$46,"Extreme Sell Pressure",IF($AH340&lt;Settings!$C$47,"Sell Pressure",IF($AH340&lt;=Settings!$C$48,"Neutral",IF($AH340&lt;=Settings!$C$49,"Buy Pressure","Extreme Buy Pressure")))))</f>
        <v/>
      </c>
      <c r="AK340" s="30" t="str">
        <f t="shared" si="96"/>
        <v/>
      </c>
      <c r="AL340" s="30" t="str">
        <f t="shared" si="97"/>
        <v/>
      </c>
      <c r="AM340" s="30" t="str">
        <f t="shared" si="98"/>
        <v/>
      </c>
      <c r="AN340" s="30" t="str">
        <f t="shared" si="99"/>
        <v/>
      </c>
      <c r="AO340" s="29" t="str">
        <f>IF($B340="","",IF(AND(N($L340)=0,N($M340)=0),50,IF(N($M340)=0,100,IF(N($L340)=0,0,MEDIAN(0,100,50+50*LN($S340)/LN(Settings!$C$40))))))</f>
        <v/>
      </c>
      <c r="AP340" s="29">
        <f>IF($AA340="",50,MEDIAN(0,100,50+$AA340*100*Settings!$C$41))</f>
        <v>50</v>
      </c>
      <c r="AQ340" s="29">
        <f>IF($H340="",50,MEDIAN(0,100,50+$H340*100*Settings!$C$42))</f>
        <v>50</v>
      </c>
      <c r="AR340" s="29">
        <f>IF(OR($AC340="",$H340=""),50,MEDIAN(0,100,50+SIGN($H340)*50*MEDIAN(0,1,($AC340-1)/Settings!$C$43)))</f>
        <v>50</v>
      </c>
      <c r="AS340" s="29">
        <f>IF(OR($V340="",$W340=""),50,MEDIAN(0,100,50+50*($V340-$W340)/Settings!$C$44))</f>
        <v>50</v>
      </c>
      <c r="AT340" s="29">
        <f t="shared" si="100"/>
        <v>50</v>
      </c>
      <c r="AU340" s="30" t="str">
        <f t="shared" si="101"/>
        <v/>
      </c>
      <c r="AV340" s="87" t="str">
        <f>IF($A340="","",IF(COUNTIFS($A$4:$A340,$A340)=1,1,0))</f>
        <v/>
      </c>
    </row>
    <row r="341" spans="1:48" x14ac:dyDescent="0.3">
      <c r="A341" s="270"/>
      <c r="B341" s="271"/>
      <c r="C341" s="272"/>
      <c r="D341" s="272"/>
      <c r="E341" s="272"/>
      <c r="F341" s="272"/>
      <c r="G341" s="272"/>
      <c r="H341" s="268" t="str">
        <f t="shared" si="85"/>
        <v/>
      </c>
      <c r="I341" s="273"/>
      <c r="J341" s="273"/>
      <c r="K341" s="273"/>
      <c r="L341" s="273"/>
      <c r="M341" s="273"/>
      <c r="N341" s="273"/>
      <c r="O341" s="271"/>
      <c r="P341" s="270"/>
      <c r="Q341" s="271"/>
      <c r="R341" s="23" t="str" cm="1">
        <f t="array" ref="R341">IF($B341="","",IFERROR(IF(INDEX('Data Quality'!$U$4:$U$503,ROW()-3)=0,"PENDING",INDEX('Data Quality'!$U$4:$U$503,ROW()-3)),"PENDING"))</f>
        <v/>
      </c>
      <c r="S341" s="24" t="str">
        <f t="shared" si="86"/>
        <v/>
      </c>
      <c r="T341" s="25" t="str">
        <f t="shared" si="87"/>
        <v/>
      </c>
      <c r="U341" s="25" t="str">
        <f t="shared" si="88"/>
        <v/>
      </c>
      <c r="V341" s="26" t="str">
        <f t="shared" si="89"/>
        <v/>
      </c>
      <c r="W341" s="26" t="str">
        <f t="shared" si="90"/>
        <v/>
      </c>
      <c r="X341" s="25" t="str">
        <f t="shared" si="91"/>
        <v/>
      </c>
      <c r="Y341" s="25" t="str">
        <f t="shared" si="92"/>
        <v/>
      </c>
      <c r="Z341" s="27" t="str">
        <f>IF($B341="","",IF($AK341&lt;=Settings!$C$21,"",IFERROR(AVERAGEIFS($S$4:$S$503,$B$4:$B$503,$B341,$AK$4:$AK$503,"&gt;="&amp;$AK341-Settings!$C$21,$AK$4:$AK$503,"&lt;="&amp;$AK341-1),"")))</f>
        <v/>
      </c>
      <c r="AA341" s="28" t="str">
        <f t="shared" si="93"/>
        <v/>
      </c>
      <c r="AB341" s="25" t="str">
        <f>IF($B341="","",IF($AK341&lt;=Settings!$C$22,"",IFERROR(AVERAGEIFS($K$4:$K$503,$B$4:$B$503,$B341,$AK$4:$AK$503,"&gt;="&amp;$AK341-Settings!$C$22,$AK$4:$AK$503,"&lt;="&amp;$AK341-1),"")))</f>
        <v/>
      </c>
      <c r="AC341" s="27" t="str">
        <f t="shared" si="94"/>
        <v/>
      </c>
      <c r="AD341" s="28" t="str">
        <f>IF($B341="","",IF($AK341&lt;=Settings!$C$23,"",IFERROR($E341/SUMIFS($E$4:$E$503,$B$4:$B$503,$B341,$AK$4:$AK$503,$AK341-Settings!$C$23)-1,"")))</f>
        <v/>
      </c>
      <c r="AE341" s="28" t="str">
        <f>IF($B341="","",IF($AK341&lt;=Settings!$C$22,"",IFERROR($E341/SUMIFS($E$4:$E$503,$B$4:$B$503,$B341,$AK$4:$AK$503,$AK341-Settings!$C$22)-1,"")))</f>
        <v/>
      </c>
      <c r="AF341" s="28" t="str">
        <f t="shared" si="95"/>
        <v/>
      </c>
      <c r="AG341" s="29" t="str">
        <f>IF($B341="","",ROUND((MIN(100,100*N($I341)/Settings!$C$27)+MIN(100,100*N($K341)/Settings!$C$28)+MIN(100,100*N($J341)/Settings!$C$29))/3,1))</f>
        <v/>
      </c>
      <c r="AH341" s="29" t="str">
        <f>IF($B341="","",IF(SUM(Settings!$C$32:$C$37)=0,"",ROUND((Settings!$C$32*$AO341+Settings!$C$33*$AP341+Settings!$C$34*$AQ341+Settings!$C$35*$AR341+Settings!$C$36*$AS341+Settings!$C$37*$AT341)/SUM(Settings!$C$32:$C$37),1)))</f>
        <v/>
      </c>
      <c r="AI341" s="29" t="str">
        <f>IF($B341="","",MAX(0,100-IF(N($N341)&gt;0,0,20)-IF(AND(N($L341)=0,N($M341)=0),15,0)-IF(N($J341)&gt;0,0,10)-IF(N($K341)&gt;0,0,10)-IF($Z341&lt;&gt;"",0,15)-IF($AB341&lt;&gt;"",0,10)-IF($R341="ERROR",20,IF($R341="WARNING",10,0))))</f>
        <v/>
      </c>
      <c r="AJ341" s="30" t="str">
        <f>IF($AH341="","",IF($AH341&lt;Settings!$C$46,"Extreme Sell Pressure",IF($AH341&lt;Settings!$C$47,"Sell Pressure",IF($AH341&lt;=Settings!$C$48,"Neutral",IF($AH341&lt;=Settings!$C$49,"Buy Pressure","Extreme Buy Pressure")))))</f>
        <v/>
      </c>
      <c r="AK341" s="30" t="str">
        <f t="shared" si="96"/>
        <v/>
      </c>
      <c r="AL341" s="30" t="str">
        <f t="shared" si="97"/>
        <v/>
      </c>
      <c r="AM341" s="30" t="str">
        <f t="shared" si="98"/>
        <v/>
      </c>
      <c r="AN341" s="30" t="str">
        <f t="shared" si="99"/>
        <v/>
      </c>
      <c r="AO341" s="29" t="str">
        <f>IF($B341="","",IF(AND(N($L341)=0,N($M341)=0),50,IF(N($M341)=0,100,IF(N($L341)=0,0,MEDIAN(0,100,50+50*LN($S341)/LN(Settings!$C$40))))))</f>
        <v/>
      </c>
      <c r="AP341" s="29">
        <f>IF($AA341="",50,MEDIAN(0,100,50+$AA341*100*Settings!$C$41))</f>
        <v>50</v>
      </c>
      <c r="AQ341" s="29">
        <f>IF($H341="",50,MEDIAN(0,100,50+$H341*100*Settings!$C$42))</f>
        <v>50</v>
      </c>
      <c r="AR341" s="29">
        <f>IF(OR($AC341="",$H341=""),50,MEDIAN(0,100,50+SIGN($H341)*50*MEDIAN(0,1,($AC341-1)/Settings!$C$43)))</f>
        <v>50</v>
      </c>
      <c r="AS341" s="29">
        <f>IF(OR($V341="",$W341=""),50,MEDIAN(0,100,50+50*($V341-$W341)/Settings!$C$44))</f>
        <v>50</v>
      </c>
      <c r="AT341" s="29">
        <f t="shared" si="100"/>
        <v>50</v>
      </c>
      <c r="AU341" s="30" t="str">
        <f t="shared" si="101"/>
        <v/>
      </c>
      <c r="AV341" s="87" t="str">
        <f>IF($A341="","",IF(COUNTIFS($A$4:$A341,$A341)=1,1,0))</f>
        <v/>
      </c>
    </row>
    <row r="342" spans="1:48" x14ac:dyDescent="0.3">
      <c r="A342" s="270"/>
      <c r="B342" s="271"/>
      <c r="C342" s="272"/>
      <c r="D342" s="272"/>
      <c r="E342" s="272"/>
      <c r="F342" s="272"/>
      <c r="G342" s="272"/>
      <c r="H342" s="268" t="str">
        <f t="shared" si="85"/>
        <v/>
      </c>
      <c r="I342" s="273"/>
      <c r="J342" s="273"/>
      <c r="K342" s="273"/>
      <c r="L342" s="273"/>
      <c r="M342" s="273"/>
      <c r="N342" s="273"/>
      <c r="O342" s="271"/>
      <c r="P342" s="270"/>
      <c r="Q342" s="271"/>
      <c r="R342" s="23" t="str" cm="1">
        <f t="array" ref="R342">IF($B342="","",IFERROR(IF(INDEX('Data Quality'!$U$4:$U$503,ROW()-3)=0,"PENDING",INDEX('Data Quality'!$U$4:$U$503,ROW()-3)),"PENDING"))</f>
        <v/>
      </c>
      <c r="S342" s="24" t="str">
        <f t="shared" si="86"/>
        <v/>
      </c>
      <c r="T342" s="25" t="str">
        <f t="shared" si="87"/>
        <v/>
      </c>
      <c r="U342" s="25" t="str">
        <f t="shared" si="88"/>
        <v/>
      </c>
      <c r="V342" s="26" t="str">
        <f t="shared" si="89"/>
        <v/>
      </c>
      <c r="W342" s="26" t="str">
        <f t="shared" si="90"/>
        <v/>
      </c>
      <c r="X342" s="25" t="str">
        <f t="shared" si="91"/>
        <v/>
      </c>
      <c r="Y342" s="25" t="str">
        <f t="shared" si="92"/>
        <v/>
      </c>
      <c r="Z342" s="27" t="str">
        <f>IF($B342="","",IF($AK342&lt;=Settings!$C$21,"",IFERROR(AVERAGEIFS($S$4:$S$503,$B$4:$B$503,$B342,$AK$4:$AK$503,"&gt;="&amp;$AK342-Settings!$C$21,$AK$4:$AK$503,"&lt;="&amp;$AK342-1),"")))</f>
        <v/>
      </c>
      <c r="AA342" s="28" t="str">
        <f t="shared" si="93"/>
        <v/>
      </c>
      <c r="AB342" s="25" t="str">
        <f>IF($B342="","",IF($AK342&lt;=Settings!$C$22,"",IFERROR(AVERAGEIFS($K$4:$K$503,$B$4:$B$503,$B342,$AK$4:$AK$503,"&gt;="&amp;$AK342-Settings!$C$22,$AK$4:$AK$503,"&lt;="&amp;$AK342-1),"")))</f>
        <v/>
      </c>
      <c r="AC342" s="27" t="str">
        <f t="shared" si="94"/>
        <v/>
      </c>
      <c r="AD342" s="28" t="str">
        <f>IF($B342="","",IF($AK342&lt;=Settings!$C$23,"",IFERROR($E342/SUMIFS($E$4:$E$503,$B$4:$B$503,$B342,$AK$4:$AK$503,$AK342-Settings!$C$23)-1,"")))</f>
        <v/>
      </c>
      <c r="AE342" s="28" t="str">
        <f>IF($B342="","",IF($AK342&lt;=Settings!$C$22,"",IFERROR($E342/SUMIFS($E$4:$E$503,$B$4:$B$503,$B342,$AK$4:$AK$503,$AK342-Settings!$C$22)-1,"")))</f>
        <v/>
      </c>
      <c r="AF342" s="28" t="str">
        <f t="shared" si="95"/>
        <v/>
      </c>
      <c r="AG342" s="29" t="str">
        <f>IF($B342="","",ROUND((MIN(100,100*N($I342)/Settings!$C$27)+MIN(100,100*N($K342)/Settings!$C$28)+MIN(100,100*N($J342)/Settings!$C$29))/3,1))</f>
        <v/>
      </c>
      <c r="AH342" s="29" t="str">
        <f>IF($B342="","",IF(SUM(Settings!$C$32:$C$37)=0,"",ROUND((Settings!$C$32*$AO342+Settings!$C$33*$AP342+Settings!$C$34*$AQ342+Settings!$C$35*$AR342+Settings!$C$36*$AS342+Settings!$C$37*$AT342)/SUM(Settings!$C$32:$C$37),1)))</f>
        <v/>
      </c>
      <c r="AI342" s="29" t="str">
        <f>IF($B342="","",MAX(0,100-IF(N($N342)&gt;0,0,20)-IF(AND(N($L342)=0,N($M342)=0),15,0)-IF(N($J342)&gt;0,0,10)-IF(N($K342)&gt;0,0,10)-IF($Z342&lt;&gt;"",0,15)-IF($AB342&lt;&gt;"",0,10)-IF($R342="ERROR",20,IF($R342="WARNING",10,0))))</f>
        <v/>
      </c>
      <c r="AJ342" s="30" t="str">
        <f>IF($AH342="","",IF($AH342&lt;Settings!$C$46,"Extreme Sell Pressure",IF($AH342&lt;Settings!$C$47,"Sell Pressure",IF($AH342&lt;=Settings!$C$48,"Neutral",IF($AH342&lt;=Settings!$C$49,"Buy Pressure","Extreme Buy Pressure")))))</f>
        <v/>
      </c>
      <c r="AK342" s="30" t="str">
        <f t="shared" si="96"/>
        <v/>
      </c>
      <c r="AL342" s="30" t="str">
        <f t="shared" si="97"/>
        <v/>
      </c>
      <c r="AM342" s="30" t="str">
        <f t="shared" si="98"/>
        <v/>
      </c>
      <c r="AN342" s="30" t="str">
        <f t="shared" si="99"/>
        <v/>
      </c>
      <c r="AO342" s="29" t="str">
        <f>IF($B342="","",IF(AND(N($L342)=0,N($M342)=0),50,IF(N($M342)=0,100,IF(N($L342)=0,0,MEDIAN(0,100,50+50*LN($S342)/LN(Settings!$C$40))))))</f>
        <v/>
      </c>
      <c r="AP342" s="29">
        <f>IF($AA342="",50,MEDIAN(0,100,50+$AA342*100*Settings!$C$41))</f>
        <v>50</v>
      </c>
      <c r="AQ342" s="29">
        <f>IF($H342="",50,MEDIAN(0,100,50+$H342*100*Settings!$C$42))</f>
        <v>50</v>
      </c>
      <c r="AR342" s="29">
        <f>IF(OR($AC342="",$H342=""),50,MEDIAN(0,100,50+SIGN($H342)*50*MEDIAN(0,1,($AC342-1)/Settings!$C$43)))</f>
        <v>50</v>
      </c>
      <c r="AS342" s="29">
        <f>IF(OR($V342="",$W342=""),50,MEDIAN(0,100,50+50*($V342-$W342)/Settings!$C$44))</f>
        <v>50</v>
      </c>
      <c r="AT342" s="29">
        <f t="shared" si="100"/>
        <v>50</v>
      </c>
      <c r="AU342" s="30" t="str">
        <f t="shared" si="101"/>
        <v/>
      </c>
      <c r="AV342" s="87" t="str">
        <f>IF($A342="","",IF(COUNTIFS($A$4:$A342,$A342)=1,1,0))</f>
        <v/>
      </c>
    </row>
    <row r="343" spans="1:48" x14ac:dyDescent="0.3">
      <c r="A343" s="270"/>
      <c r="B343" s="271"/>
      <c r="C343" s="272"/>
      <c r="D343" s="272"/>
      <c r="E343" s="272"/>
      <c r="F343" s="272"/>
      <c r="G343" s="272"/>
      <c r="H343" s="268" t="str">
        <f t="shared" si="85"/>
        <v/>
      </c>
      <c r="I343" s="273"/>
      <c r="J343" s="273"/>
      <c r="K343" s="273"/>
      <c r="L343" s="273"/>
      <c r="M343" s="273"/>
      <c r="N343" s="273"/>
      <c r="O343" s="271"/>
      <c r="P343" s="270"/>
      <c r="Q343" s="271"/>
      <c r="R343" s="23" t="str" cm="1">
        <f t="array" ref="R343">IF($B343="","",IFERROR(IF(INDEX('Data Quality'!$U$4:$U$503,ROW()-3)=0,"PENDING",INDEX('Data Quality'!$U$4:$U$503,ROW()-3)),"PENDING"))</f>
        <v/>
      </c>
      <c r="S343" s="24" t="str">
        <f t="shared" si="86"/>
        <v/>
      </c>
      <c r="T343" s="25" t="str">
        <f t="shared" si="87"/>
        <v/>
      </c>
      <c r="U343" s="25" t="str">
        <f t="shared" si="88"/>
        <v/>
      </c>
      <c r="V343" s="26" t="str">
        <f t="shared" si="89"/>
        <v/>
      </c>
      <c r="W343" s="26" t="str">
        <f t="shared" si="90"/>
        <v/>
      </c>
      <c r="X343" s="25" t="str">
        <f t="shared" si="91"/>
        <v/>
      </c>
      <c r="Y343" s="25" t="str">
        <f t="shared" si="92"/>
        <v/>
      </c>
      <c r="Z343" s="27" t="str">
        <f>IF($B343="","",IF($AK343&lt;=Settings!$C$21,"",IFERROR(AVERAGEIFS($S$4:$S$503,$B$4:$B$503,$B343,$AK$4:$AK$503,"&gt;="&amp;$AK343-Settings!$C$21,$AK$4:$AK$503,"&lt;="&amp;$AK343-1),"")))</f>
        <v/>
      </c>
      <c r="AA343" s="28" t="str">
        <f t="shared" si="93"/>
        <v/>
      </c>
      <c r="AB343" s="25" t="str">
        <f>IF($B343="","",IF($AK343&lt;=Settings!$C$22,"",IFERROR(AVERAGEIFS($K$4:$K$503,$B$4:$B$503,$B343,$AK$4:$AK$503,"&gt;="&amp;$AK343-Settings!$C$22,$AK$4:$AK$503,"&lt;="&amp;$AK343-1),"")))</f>
        <v/>
      </c>
      <c r="AC343" s="27" t="str">
        <f t="shared" si="94"/>
        <v/>
      </c>
      <c r="AD343" s="28" t="str">
        <f>IF($B343="","",IF($AK343&lt;=Settings!$C$23,"",IFERROR($E343/SUMIFS($E$4:$E$503,$B$4:$B$503,$B343,$AK$4:$AK$503,$AK343-Settings!$C$23)-1,"")))</f>
        <v/>
      </c>
      <c r="AE343" s="28" t="str">
        <f>IF($B343="","",IF($AK343&lt;=Settings!$C$22,"",IFERROR($E343/SUMIFS($E$4:$E$503,$B$4:$B$503,$B343,$AK$4:$AK$503,$AK343-Settings!$C$22)-1,"")))</f>
        <v/>
      </c>
      <c r="AF343" s="28" t="str">
        <f t="shared" si="95"/>
        <v/>
      </c>
      <c r="AG343" s="29" t="str">
        <f>IF($B343="","",ROUND((MIN(100,100*N($I343)/Settings!$C$27)+MIN(100,100*N($K343)/Settings!$C$28)+MIN(100,100*N($J343)/Settings!$C$29))/3,1))</f>
        <v/>
      </c>
      <c r="AH343" s="29" t="str">
        <f>IF($B343="","",IF(SUM(Settings!$C$32:$C$37)=0,"",ROUND((Settings!$C$32*$AO343+Settings!$C$33*$AP343+Settings!$C$34*$AQ343+Settings!$C$35*$AR343+Settings!$C$36*$AS343+Settings!$C$37*$AT343)/SUM(Settings!$C$32:$C$37),1)))</f>
        <v/>
      </c>
      <c r="AI343" s="29" t="str">
        <f>IF($B343="","",MAX(0,100-IF(N($N343)&gt;0,0,20)-IF(AND(N($L343)=0,N($M343)=0),15,0)-IF(N($J343)&gt;0,0,10)-IF(N($K343)&gt;0,0,10)-IF($Z343&lt;&gt;"",0,15)-IF($AB343&lt;&gt;"",0,10)-IF($R343="ERROR",20,IF($R343="WARNING",10,0))))</f>
        <v/>
      </c>
      <c r="AJ343" s="30" t="str">
        <f>IF($AH343="","",IF($AH343&lt;Settings!$C$46,"Extreme Sell Pressure",IF($AH343&lt;Settings!$C$47,"Sell Pressure",IF($AH343&lt;=Settings!$C$48,"Neutral",IF($AH343&lt;=Settings!$C$49,"Buy Pressure","Extreme Buy Pressure")))))</f>
        <v/>
      </c>
      <c r="AK343" s="30" t="str">
        <f t="shared" si="96"/>
        <v/>
      </c>
      <c r="AL343" s="30" t="str">
        <f t="shared" si="97"/>
        <v/>
      </c>
      <c r="AM343" s="30" t="str">
        <f t="shared" si="98"/>
        <v/>
      </c>
      <c r="AN343" s="30" t="str">
        <f t="shared" si="99"/>
        <v/>
      </c>
      <c r="AO343" s="29" t="str">
        <f>IF($B343="","",IF(AND(N($L343)=0,N($M343)=0),50,IF(N($M343)=0,100,IF(N($L343)=0,0,MEDIAN(0,100,50+50*LN($S343)/LN(Settings!$C$40))))))</f>
        <v/>
      </c>
      <c r="AP343" s="29">
        <f>IF($AA343="",50,MEDIAN(0,100,50+$AA343*100*Settings!$C$41))</f>
        <v>50</v>
      </c>
      <c r="AQ343" s="29">
        <f>IF($H343="",50,MEDIAN(0,100,50+$H343*100*Settings!$C$42))</f>
        <v>50</v>
      </c>
      <c r="AR343" s="29">
        <f>IF(OR($AC343="",$H343=""),50,MEDIAN(0,100,50+SIGN($H343)*50*MEDIAN(0,1,($AC343-1)/Settings!$C$43)))</f>
        <v>50</v>
      </c>
      <c r="AS343" s="29">
        <f>IF(OR($V343="",$W343=""),50,MEDIAN(0,100,50+50*($V343-$W343)/Settings!$C$44))</f>
        <v>50</v>
      </c>
      <c r="AT343" s="29">
        <f t="shared" si="100"/>
        <v>50</v>
      </c>
      <c r="AU343" s="30" t="str">
        <f t="shared" si="101"/>
        <v/>
      </c>
      <c r="AV343" s="87" t="str">
        <f>IF($A343="","",IF(COUNTIFS($A$4:$A343,$A343)=1,1,0))</f>
        <v/>
      </c>
    </row>
    <row r="344" spans="1:48" x14ac:dyDescent="0.3">
      <c r="A344" s="270"/>
      <c r="B344" s="271"/>
      <c r="C344" s="272"/>
      <c r="D344" s="272"/>
      <c r="E344" s="272"/>
      <c r="F344" s="272"/>
      <c r="G344" s="272"/>
      <c r="H344" s="268" t="str">
        <f t="shared" si="85"/>
        <v/>
      </c>
      <c r="I344" s="273"/>
      <c r="J344" s="273"/>
      <c r="K344" s="273"/>
      <c r="L344" s="273"/>
      <c r="M344" s="273"/>
      <c r="N344" s="273"/>
      <c r="O344" s="271"/>
      <c r="P344" s="270"/>
      <c r="Q344" s="271"/>
      <c r="R344" s="23" t="str" cm="1">
        <f t="array" ref="R344">IF($B344="","",IFERROR(IF(INDEX('Data Quality'!$U$4:$U$503,ROW()-3)=0,"PENDING",INDEX('Data Quality'!$U$4:$U$503,ROW()-3)),"PENDING"))</f>
        <v/>
      </c>
      <c r="S344" s="24" t="str">
        <f t="shared" si="86"/>
        <v/>
      </c>
      <c r="T344" s="25" t="str">
        <f t="shared" si="87"/>
        <v/>
      </c>
      <c r="U344" s="25" t="str">
        <f t="shared" si="88"/>
        <v/>
      </c>
      <c r="V344" s="26" t="str">
        <f t="shared" si="89"/>
        <v/>
      </c>
      <c r="W344" s="26" t="str">
        <f t="shared" si="90"/>
        <v/>
      </c>
      <c r="X344" s="25" t="str">
        <f t="shared" si="91"/>
        <v/>
      </c>
      <c r="Y344" s="25" t="str">
        <f t="shared" si="92"/>
        <v/>
      </c>
      <c r="Z344" s="27" t="str">
        <f>IF($B344="","",IF($AK344&lt;=Settings!$C$21,"",IFERROR(AVERAGEIFS($S$4:$S$503,$B$4:$B$503,$B344,$AK$4:$AK$503,"&gt;="&amp;$AK344-Settings!$C$21,$AK$4:$AK$503,"&lt;="&amp;$AK344-1),"")))</f>
        <v/>
      </c>
      <c r="AA344" s="28" t="str">
        <f t="shared" si="93"/>
        <v/>
      </c>
      <c r="AB344" s="25" t="str">
        <f>IF($B344="","",IF($AK344&lt;=Settings!$C$22,"",IFERROR(AVERAGEIFS($K$4:$K$503,$B$4:$B$503,$B344,$AK$4:$AK$503,"&gt;="&amp;$AK344-Settings!$C$22,$AK$4:$AK$503,"&lt;="&amp;$AK344-1),"")))</f>
        <v/>
      </c>
      <c r="AC344" s="27" t="str">
        <f t="shared" si="94"/>
        <v/>
      </c>
      <c r="AD344" s="28" t="str">
        <f>IF($B344="","",IF($AK344&lt;=Settings!$C$23,"",IFERROR($E344/SUMIFS($E$4:$E$503,$B$4:$B$503,$B344,$AK$4:$AK$503,$AK344-Settings!$C$23)-1,"")))</f>
        <v/>
      </c>
      <c r="AE344" s="28" t="str">
        <f>IF($B344="","",IF($AK344&lt;=Settings!$C$22,"",IFERROR($E344/SUMIFS($E$4:$E$503,$B$4:$B$503,$B344,$AK$4:$AK$503,$AK344-Settings!$C$22)-1,"")))</f>
        <v/>
      </c>
      <c r="AF344" s="28" t="str">
        <f t="shared" si="95"/>
        <v/>
      </c>
      <c r="AG344" s="29" t="str">
        <f>IF($B344="","",ROUND((MIN(100,100*N($I344)/Settings!$C$27)+MIN(100,100*N($K344)/Settings!$C$28)+MIN(100,100*N($J344)/Settings!$C$29))/3,1))</f>
        <v/>
      </c>
      <c r="AH344" s="29" t="str">
        <f>IF($B344="","",IF(SUM(Settings!$C$32:$C$37)=0,"",ROUND((Settings!$C$32*$AO344+Settings!$C$33*$AP344+Settings!$C$34*$AQ344+Settings!$C$35*$AR344+Settings!$C$36*$AS344+Settings!$C$37*$AT344)/SUM(Settings!$C$32:$C$37),1)))</f>
        <v/>
      </c>
      <c r="AI344" s="29" t="str">
        <f>IF($B344="","",MAX(0,100-IF(N($N344)&gt;0,0,20)-IF(AND(N($L344)=0,N($M344)=0),15,0)-IF(N($J344)&gt;0,0,10)-IF(N($K344)&gt;0,0,10)-IF($Z344&lt;&gt;"",0,15)-IF($AB344&lt;&gt;"",0,10)-IF($R344="ERROR",20,IF($R344="WARNING",10,0))))</f>
        <v/>
      </c>
      <c r="AJ344" s="30" t="str">
        <f>IF($AH344="","",IF($AH344&lt;Settings!$C$46,"Extreme Sell Pressure",IF($AH344&lt;Settings!$C$47,"Sell Pressure",IF($AH344&lt;=Settings!$C$48,"Neutral",IF($AH344&lt;=Settings!$C$49,"Buy Pressure","Extreme Buy Pressure")))))</f>
        <v/>
      </c>
      <c r="AK344" s="30" t="str">
        <f t="shared" si="96"/>
        <v/>
      </c>
      <c r="AL344" s="30" t="str">
        <f t="shared" si="97"/>
        <v/>
      </c>
      <c r="AM344" s="30" t="str">
        <f t="shared" si="98"/>
        <v/>
      </c>
      <c r="AN344" s="30" t="str">
        <f t="shared" si="99"/>
        <v/>
      </c>
      <c r="AO344" s="29" t="str">
        <f>IF($B344="","",IF(AND(N($L344)=0,N($M344)=0),50,IF(N($M344)=0,100,IF(N($L344)=0,0,MEDIAN(0,100,50+50*LN($S344)/LN(Settings!$C$40))))))</f>
        <v/>
      </c>
      <c r="AP344" s="29">
        <f>IF($AA344="",50,MEDIAN(0,100,50+$AA344*100*Settings!$C$41))</f>
        <v>50</v>
      </c>
      <c r="AQ344" s="29">
        <f>IF($H344="",50,MEDIAN(0,100,50+$H344*100*Settings!$C$42))</f>
        <v>50</v>
      </c>
      <c r="AR344" s="29">
        <f>IF(OR($AC344="",$H344=""),50,MEDIAN(0,100,50+SIGN($H344)*50*MEDIAN(0,1,($AC344-1)/Settings!$C$43)))</f>
        <v>50</v>
      </c>
      <c r="AS344" s="29">
        <f>IF(OR($V344="",$W344=""),50,MEDIAN(0,100,50+50*($V344-$W344)/Settings!$C$44))</f>
        <v>50</v>
      </c>
      <c r="AT344" s="29">
        <f t="shared" si="100"/>
        <v>50</v>
      </c>
      <c r="AU344" s="30" t="str">
        <f t="shared" si="101"/>
        <v/>
      </c>
      <c r="AV344" s="87" t="str">
        <f>IF($A344="","",IF(COUNTIFS($A$4:$A344,$A344)=1,1,0))</f>
        <v/>
      </c>
    </row>
    <row r="345" spans="1:48" x14ac:dyDescent="0.3">
      <c r="A345" s="270"/>
      <c r="B345" s="271"/>
      <c r="C345" s="272"/>
      <c r="D345" s="272"/>
      <c r="E345" s="272"/>
      <c r="F345" s="272"/>
      <c r="G345" s="272"/>
      <c r="H345" s="268" t="str">
        <f t="shared" si="85"/>
        <v/>
      </c>
      <c r="I345" s="273"/>
      <c r="J345" s="273"/>
      <c r="K345" s="273"/>
      <c r="L345" s="273"/>
      <c r="M345" s="273"/>
      <c r="N345" s="273"/>
      <c r="O345" s="271"/>
      <c r="P345" s="270"/>
      <c r="Q345" s="271"/>
      <c r="R345" s="23" t="str" cm="1">
        <f t="array" ref="R345">IF($B345="","",IFERROR(IF(INDEX('Data Quality'!$U$4:$U$503,ROW()-3)=0,"PENDING",INDEX('Data Quality'!$U$4:$U$503,ROW()-3)),"PENDING"))</f>
        <v/>
      </c>
      <c r="S345" s="24" t="str">
        <f t="shared" si="86"/>
        <v/>
      </c>
      <c r="T345" s="25" t="str">
        <f t="shared" si="87"/>
        <v/>
      </c>
      <c r="U345" s="25" t="str">
        <f t="shared" si="88"/>
        <v/>
      </c>
      <c r="V345" s="26" t="str">
        <f t="shared" si="89"/>
        <v/>
      </c>
      <c r="W345" s="26" t="str">
        <f t="shared" si="90"/>
        <v/>
      </c>
      <c r="X345" s="25" t="str">
        <f t="shared" si="91"/>
        <v/>
      </c>
      <c r="Y345" s="25" t="str">
        <f t="shared" si="92"/>
        <v/>
      </c>
      <c r="Z345" s="27" t="str">
        <f>IF($B345="","",IF($AK345&lt;=Settings!$C$21,"",IFERROR(AVERAGEIFS($S$4:$S$503,$B$4:$B$503,$B345,$AK$4:$AK$503,"&gt;="&amp;$AK345-Settings!$C$21,$AK$4:$AK$503,"&lt;="&amp;$AK345-1),"")))</f>
        <v/>
      </c>
      <c r="AA345" s="28" t="str">
        <f t="shared" si="93"/>
        <v/>
      </c>
      <c r="AB345" s="25" t="str">
        <f>IF($B345="","",IF($AK345&lt;=Settings!$C$22,"",IFERROR(AVERAGEIFS($K$4:$K$503,$B$4:$B$503,$B345,$AK$4:$AK$503,"&gt;="&amp;$AK345-Settings!$C$22,$AK$4:$AK$503,"&lt;="&amp;$AK345-1),"")))</f>
        <v/>
      </c>
      <c r="AC345" s="27" t="str">
        <f t="shared" si="94"/>
        <v/>
      </c>
      <c r="AD345" s="28" t="str">
        <f>IF($B345="","",IF($AK345&lt;=Settings!$C$23,"",IFERROR($E345/SUMIFS($E$4:$E$503,$B$4:$B$503,$B345,$AK$4:$AK$503,$AK345-Settings!$C$23)-1,"")))</f>
        <v/>
      </c>
      <c r="AE345" s="28" t="str">
        <f>IF($B345="","",IF($AK345&lt;=Settings!$C$22,"",IFERROR($E345/SUMIFS($E$4:$E$503,$B$4:$B$503,$B345,$AK$4:$AK$503,$AK345-Settings!$C$22)-1,"")))</f>
        <v/>
      </c>
      <c r="AF345" s="28" t="str">
        <f t="shared" si="95"/>
        <v/>
      </c>
      <c r="AG345" s="29" t="str">
        <f>IF($B345="","",ROUND((MIN(100,100*N($I345)/Settings!$C$27)+MIN(100,100*N($K345)/Settings!$C$28)+MIN(100,100*N($J345)/Settings!$C$29))/3,1))</f>
        <v/>
      </c>
      <c r="AH345" s="29" t="str">
        <f>IF($B345="","",IF(SUM(Settings!$C$32:$C$37)=0,"",ROUND((Settings!$C$32*$AO345+Settings!$C$33*$AP345+Settings!$C$34*$AQ345+Settings!$C$35*$AR345+Settings!$C$36*$AS345+Settings!$C$37*$AT345)/SUM(Settings!$C$32:$C$37),1)))</f>
        <v/>
      </c>
      <c r="AI345" s="29" t="str">
        <f>IF($B345="","",MAX(0,100-IF(N($N345)&gt;0,0,20)-IF(AND(N($L345)=0,N($M345)=0),15,0)-IF(N($J345)&gt;0,0,10)-IF(N($K345)&gt;0,0,10)-IF($Z345&lt;&gt;"",0,15)-IF($AB345&lt;&gt;"",0,10)-IF($R345="ERROR",20,IF($R345="WARNING",10,0))))</f>
        <v/>
      </c>
      <c r="AJ345" s="30" t="str">
        <f>IF($AH345="","",IF($AH345&lt;Settings!$C$46,"Extreme Sell Pressure",IF($AH345&lt;Settings!$C$47,"Sell Pressure",IF($AH345&lt;=Settings!$C$48,"Neutral",IF($AH345&lt;=Settings!$C$49,"Buy Pressure","Extreme Buy Pressure")))))</f>
        <v/>
      </c>
      <c r="AK345" s="30" t="str">
        <f t="shared" si="96"/>
        <v/>
      </c>
      <c r="AL345" s="30" t="str">
        <f t="shared" si="97"/>
        <v/>
      </c>
      <c r="AM345" s="30" t="str">
        <f t="shared" si="98"/>
        <v/>
      </c>
      <c r="AN345" s="30" t="str">
        <f t="shared" si="99"/>
        <v/>
      </c>
      <c r="AO345" s="29" t="str">
        <f>IF($B345="","",IF(AND(N($L345)=0,N($M345)=0),50,IF(N($M345)=0,100,IF(N($L345)=0,0,MEDIAN(0,100,50+50*LN($S345)/LN(Settings!$C$40))))))</f>
        <v/>
      </c>
      <c r="AP345" s="29">
        <f>IF($AA345="",50,MEDIAN(0,100,50+$AA345*100*Settings!$C$41))</f>
        <v>50</v>
      </c>
      <c r="AQ345" s="29">
        <f>IF($H345="",50,MEDIAN(0,100,50+$H345*100*Settings!$C$42))</f>
        <v>50</v>
      </c>
      <c r="AR345" s="29">
        <f>IF(OR($AC345="",$H345=""),50,MEDIAN(0,100,50+SIGN($H345)*50*MEDIAN(0,1,($AC345-1)/Settings!$C$43)))</f>
        <v>50</v>
      </c>
      <c r="AS345" s="29">
        <f>IF(OR($V345="",$W345=""),50,MEDIAN(0,100,50+50*($V345-$W345)/Settings!$C$44))</f>
        <v>50</v>
      </c>
      <c r="AT345" s="29">
        <f t="shared" si="100"/>
        <v>50</v>
      </c>
      <c r="AU345" s="30" t="str">
        <f t="shared" si="101"/>
        <v/>
      </c>
      <c r="AV345" s="87" t="str">
        <f>IF($A345="","",IF(COUNTIFS($A$4:$A345,$A345)=1,1,0))</f>
        <v/>
      </c>
    </row>
    <row r="346" spans="1:48" x14ac:dyDescent="0.3">
      <c r="A346" s="270"/>
      <c r="B346" s="271"/>
      <c r="C346" s="272"/>
      <c r="D346" s="272"/>
      <c r="E346" s="272"/>
      <c r="F346" s="272"/>
      <c r="G346" s="272"/>
      <c r="H346" s="268" t="str">
        <f t="shared" si="85"/>
        <v/>
      </c>
      <c r="I346" s="273"/>
      <c r="J346" s="273"/>
      <c r="K346" s="273"/>
      <c r="L346" s="273"/>
      <c r="M346" s="273"/>
      <c r="N346" s="273"/>
      <c r="O346" s="271"/>
      <c r="P346" s="270"/>
      <c r="Q346" s="271"/>
      <c r="R346" s="23" t="str" cm="1">
        <f t="array" ref="R346">IF($B346="","",IFERROR(IF(INDEX('Data Quality'!$U$4:$U$503,ROW()-3)=0,"PENDING",INDEX('Data Quality'!$U$4:$U$503,ROW()-3)),"PENDING"))</f>
        <v/>
      </c>
      <c r="S346" s="24" t="str">
        <f t="shared" si="86"/>
        <v/>
      </c>
      <c r="T346" s="25" t="str">
        <f t="shared" si="87"/>
        <v/>
      </c>
      <c r="U346" s="25" t="str">
        <f t="shared" si="88"/>
        <v/>
      </c>
      <c r="V346" s="26" t="str">
        <f t="shared" si="89"/>
        <v/>
      </c>
      <c r="W346" s="26" t="str">
        <f t="shared" si="90"/>
        <v/>
      </c>
      <c r="X346" s="25" t="str">
        <f t="shared" si="91"/>
        <v/>
      </c>
      <c r="Y346" s="25" t="str">
        <f t="shared" si="92"/>
        <v/>
      </c>
      <c r="Z346" s="27" t="str">
        <f>IF($B346="","",IF($AK346&lt;=Settings!$C$21,"",IFERROR(AVERAGEIFS($S$4:$S$503,$B$4:$B$503,$B346,$AK$4:$AK$503,"&gt;="&amp;$AK346-Settings!$C$21,$AK$4:$AK$503,"&lt;="&amp;$AK346-1),"")))</f>
        <v/>
      </c>
      <c r="AA346" s="28" t="str">
        <f t="shared" si="93"/>
        <v/>
      </c>
      <c r="AB346" s="25" t="str">
        <f>IF($B346="","",IF($AK346&lt;=Settings!$C$22,"",IFERROR(AVERAGEIFS($K$4:$K$503,$B$4:$B$503,$B346,$AK$4:$AK$503,"&gt;="&amp;$AK346-Settings!$C$22,$AK$4:$AK$503,"&lt;="&amp;$AK346-1),"")))</f>
        <v/>
      </c>
      <c r="AC346" s="27" t="str">
        <f t="shared" si="94"/>
        <v/>
      </c>
      <c r="AD346" s="28" t="str">
        <f>IF($B346="","",IF($AK346&lt;=Settings!$C$23,"",IFERROR($E346/SUMIFS($E$4:$E$503,$B$4:$B$503,$B346,$AK$4:$AK$503,$AK346-Settings!$C$23)-1,"")))</f>
        <v/>
      </c>
      <c r="AE346" s="28" t="str">
        <f>IF($B346="","",IF($AK346&lt;=Settings!$C$22,"",IFERROR($E346/SUMIFS($E$4:$E$503,$B$4:$B$503,$B346,$AK$4:$AK$503,$AK346-Settings!$C$22)-1,"")))</f>
        <v/>
      </c>
      <c r="AF346" s="28" t="str">
        <f t="shared" si="95"/>
        <v/>
      </c>
      <c r="AG346" s="29" t="str">
        <f>IF($B346="","",ROUND((MIN(100,100*N($I346)/Settings!$C$27)+MIN(100,100*N($K346)/Settings!$C$28)+MIN(100,100*N($J346)/Settings!$C$29))/3,1))</f>
        <v/>
      </c>
      <c r="AH346" s="29" t="str">
        <f>IF($B346="","",IF(SUM(Settings!$C$32:$C$37)=0,"",ROUND((Settings!$C$32*$AO346+Settings!$C$33*$AP346+Settings!$C$34*$AQ346+Settings!$C$35*$AR346+Settings!$C$36*$AS346+Settings!$C$37*$AT346)/SUM(Settings!$C$32:$C$37),1)))</f>
        <v/>
      </c>
      <c r="AI346" s="29" t="str">
        <f>IF($B346="","",MAX(0,100-IF(N($N346)&gt;0,0,20)-IF(AND(N($L346)=0,N($M346)=0),15,0)-IF(N($J346)&gt;0,0,10)-IF(N($K346)&gt;0,0,10)-IF($Z346&lt;&gt;"",0,15)-IF($AB346&lt;&gt;"",0,10)-IF($R346="ERROR",20,IF($R346="WARNING",10,0))))</f>
        <v/>
      </c>
      <c r="AJ346" s="30" t="str">
        <f>IF($AH346="","",IF($AH346&lt;Settings!$C$46,"Extreme Sell Pressure",IF($AH346&lt;Settings!$C$47,"Sell Pressure",IF($AH346&lt;=Settings!$C$48,"Neutral",IF($AH346&lt;=Settings!$C$49,"Buy Pressure","Extreme Buy Pressure")))))</f>
        <v/>
      </c>
      <c r="AK346" s="30" t="str">
        <f t="shared" si="96"/>
        <v/>
      </c>
      <c r="AL346" s="30" t="str">
        <f t="shared" si="97"/>
        <v/>
      </c>
      <c r="AM346" s="30" t="str">
        <f t="shared" si="98"/>
        <v/>
      </c>
      <c r="AN346" s="30" t="str">
        <f t="shared" si="99"/>
        <v/>
      </c>
      <c r="AO346" s="29" t="str">
        <f>IF($B346="","",IF(AND(N($L346)=0,N($M346)=0),50,IF(N($M346)=0,100,IF(N($L346)=0,0,MEDIAN(0,100,50+50*LN($S346)/LN(Settings!$C$40))))))</f>
        <v/>
      </c>
      <c r="AP346" s="29">
        <f>IF($AA346="",50,MEDIAN(0,100,50+$AA346*100*Settings!$C$41))</f>
        <v>50</v>
      </c>
      <c r="AQ346" s="29">
        <f>IF($H346="",50,MEDIAN(0,100,50+$H346*100*Settings!$C$42))</f>
        <v>50</v>
      </c>
      <c r="AR346" s="29">
        <f>IF(OR($AC346="",$H346=""),50,MEDIAN(0,100,50+SIGN($H346)*50*MEDIAN(0,1,($AC346-1)/Settings!$C$43)))</f>
        <v>50</v>
      </c>
      <c r="AS346" s="29">
        <f>IF(OR($V346="",$W346=""),50,MEDIAN(0,100,50+50*($V346-$W346)/Settings!$C$44))</f>
        <v>50</v>
      </c>
      <c r="AT346" s="29">
        <f t="shared" si="100"/>
        <v>50</v>
      </c>
      <c r="AU346" s="30" t="str">
        <f t="shared" si="101"/>
        <v/>
      </c>
      <c r="AV346" s="87" t="str">
        <f>IF($A346="","",IF(COUNTIFS($A$4:$A346,$A346)=1,1,0))</f>
        <v/>
      </c>
    </row>
    <row r="347" spans="1:48" x14ac:dyDescent="0.3">
      <c r="A347" s="270"/>
      <c r="B347" s="271"/>
      <c r="C347" s="272"/>
      <c r="D347" s="272"/>
      <c r="E347" s="272"/>
      <c r="F347" s="272"/>
      <c r="G347" s="272"/>
      <c r="H347" s="268" t="str">
        <f t="shared" si="85"/>
        <v/>
      </c>
      <c r="I347" s="273"/>
      <c r="J347" s="273"/>
      <c r="K347" s="273"/>
      <c r="L347" s="273"/>
      <c r="M347" s="273"/>
      <c r="N347" s="273"/>
      <c r="O347" s="271"/>
      <c r="P347" s="270"/>
      <c r="Q347" s="271"/>
      <c r="R347" s="23" t="str" cm="1">
        <f t="array" ref="R347">IF($B347="","",IFERROR(IF(INDEX('Data Quality'!$U$4:$U$503,ROW()-3)=0,"PENDING",INDEX('Data Quality'!$U$4:$U$503,ROW()-3)),"PENDING"))</f>
        <v/>
      </c>
      <c r="S347" s="24" t="str">
        <f t="shared" si="86"/>
        <v/>
      </c>
      <c r="T347" s="25" t="str">
        <f t="shared" si="87"/>
        <v/>
      </c>
      <c r="U347" s="25" t="str">
        <f t="shared" si="88"/>
        <v/>
      </c>
      <c r="V347" s="26" t="str">
        <f t="shared" si="89"/>
        <v/>
      </c>
      <c r="W347" s="26" t="str">
        <f t="shared" si="90"/>
        <v/>
      </c>
      <c r="X347" s="25" t="str">
        <f t="shared" si="91"/>
        <v/>
      </c>
      <c r="Y347" s="25" t="str">
        <f t="shared" si="92"/>
        <v/>
      </c>
      <c r="Z347" s="27" t="str">
        <f>IF($B347="","",IF($AK347&lt;=Settings!$C$21,"",IFERROR(AVERAGEIFS($S$4:$S$503,$B$4:$B$503,$B347,$AK$4:$AK$503,"&gt;="&amp;$AK347-Settings!$C$21,$AK$4:$AK$503,"&lt;="&amp;$AK347-1),"")))</f>
        <v/>
      </c>
      <c r="AA347" s="28" t="str">
        <f t="shared" si="93"/>
        <v/>
      </c>
      <c r="AB347" s="25" t="str">
        <f>IF($B347="","",IF($AK347&lt;=Settings!$C$22,"",IFERROR(AVERAGEIFS($K$4:$K$503,$B$4:$B$503,$B347,$AK$4:$AK$503,"&gt;="&amp;$AK347-Settings!$C$22,$AK$4:$AK$503,"&lt;="&amp;$AK347-1),"")))</f>
        <v/>
      </c>
      <c r="AC347" s="27" t="str">
        <f t="shared" si="94"/>
        <v/>
      </c>
      <c r="AD347" s="28" t="str">
        <f>IF($B347="","",IF($AK347&lt;=Settings!$C$23,"",IFERROR($E347/SUMIFS($E$4:$E$503,$B$4:$B$503,$B347,$AK$4:$AK$503,$AK347-Settings!$C$23)-1,"")))</f>
        <v/>
      </c>
      <c r="AE347" s="28" t="str">
        <f>IF($B347="","",IF($AK347&lt;=Settings!$C$22,"",IFERROR($E347/SUMIFS($E$4:$E$503,$B$4:$B$503,$B347,$AK$4:$AK$503,$AK347-Settings!$C$22)-1,"")))</f>
        <v/>
      </c>
      <c r="AF347" s="28" t="str">
        <f t="shared" si="95"/>
        <v/>
      </c>
      <c r="AG347" s="29" t="str">
        <f>IF($B347="","",ROUND((MIN(100,100*N($I347)/Settings!$C$27)+MIN(100,100*N($K347)/Settings!$C$28)+MIN(100,100*N($J347)/Settings!$C$29))/3,1))</f>
        <v/>
      </c>
      <c r="AH347" s="29" t="str">
        <f>IF($B347="","",IF(SUM(Settings!$C$32:$C$37)=0,"",ROUND((Settings!$C$32*$AO347+Settings!$C$33*$AP347+Settings!$C$34*$AQ347+Settings!$C$35*$AR347+Settings!$C$36*$AS347+Settings!$C$37*$AT347)/SUM(Settings!$C$32:$C$37),1)))</f>
        <v/>
      </c>
      <c r="AI347" s="29" t="str">
        <f>IF($B347="","",MAX(0,100-IF(N($N347)&gt;0,0,20)-IF(AND(N($L347)=0,N($M347)=0),15,0)-IF(N($J347)&gt;0,0,10)-IF(N($K347)&gt;0,0,10)-IF($Z347&lt;&gt;"",0,15)-IF($AB347&lt;&gt;"",0,10)-IF($R347="ERROR",20,IF($R347="WARNING",10,0))))</f>
        <v/>
      </c>
      <c r="AJ347" s="30" t="str">
        <f>IF($AH347="","",IF($AH347&lt;Settings!$C$46,"Extreme Sell Pressure",IF($AH347&lt;Settings!$C$47,"Sell Pressure",IF($AH347&lt;=Settings!$C$48,"Neutral",IF($AH347&lt;=Settings!$C$49,"Buy Pressure","Extreme Buy Pressure")))))</f>
        <v/>
      </c>
      <c r="AK347" s="30" t="str">
        <f t="shared" si="96"/>
        <v/>
      </c>
      <c r="AL347" s="30" t="str">
        <f t="shared" si="97"/>
        <v/>
      </c>
      <c r="AM347" s="30" t="str">
        <f t="shared" si="98"/>
        <v/>
      </c>
      <c r="AN347" s="30" t="str">
        <f t="shared" si="99"/>
        <v/>
      </c>
      <c r="AO347" s="29" t="str">
        <f>IF($B347="","",IF(AND(N($L347)=0,N($M347)=0),50,IF(N($M347)=0,100,IF(N($L347)=0,0,MEDIAN(0,100,50+50*LN($S347)/LN(Settings!$C$40))))))</f>
        <v/>
      </c>
      <c r="AP347" s="29">
        <f>IF($AA347="",50,MEDIAN(0,100,50+$AA347*100*Settings!$C$41))</f>
        <v>50</v>
      </c>
      <c r="AQ347" s="29">
        <f>IF($H347="",50,MEDIAN(0,100,50+$H347*100*Settings!$C$42))</f>
        <v>50</v>
      </c>
      <c r="AR347" s="29">
        <f>IF(OR($AC347="",$H347=""),50,MEDIAN(0,100,50+SIGN($H347)*50*MEDIAN(0,1,($AC347-1)/Settings!$C$43)))</f>
        <v>50</v>
      </c>
      <c r="AS347" s="29">
        <f>IF(OR($V347="",$W347=""),50,MEDIAN(0,100,50+50*($V347-$W347)/Settings!$C$44))</f>
        <v>50</v>
      </c>
      <c r="AT347" s="29">
        <f t="shared" si="100"/>
        <v>50</v>
      </c>
      <c r="AU347" s="30" t="str">
        <f t="shared" si="101"/>
        <v/>
      </c>
      <c r="AV347" s="87" t="str">
        <f>IF($A347="","",IF(COUNTIFS($A$4:$A347,$A347)=1,1,0))</f>
        <v/>
      </c>
    </row>
    <row r="348" spans="1:48" x14ac:dyDescent="0.3">
      <c r="A348" s="270"/>
      <c r="B348" s="271"/>
      <c r="C348" s="272"/>
      <c r="D348" s="272"/>
      <c r="E348" s="272"/>
      <c r="F348" s="272"/>
      <c r="G348" s="272"/>
      <c r="H348" s="268" t="str">
        <f t="shared" si="85"/>
        <v/>
      </c>
      <c r="I348" s="273"/>
      <c r="J348" s="273"/>
      <c r="K348" s="273"/>
      <c r="L348" s="273"/>
      <c r="M348" s="273"/>
      <c r="N348" s="273"/>
      <c r="O348" s="271"/>
      <c r="P348" s="270"/>
      <c r="Q348" s="271"/>
      <c r="R348" s="23" t="str" cm="1">
        <f t="array" ref="R348">IF($B348="","",IFERROR(IF(INDEX('Data Quality'!$U$4:$U$503,ROW()-3)=0,"PENDING",INDEX('Data Quality'!$U$4:$U$503,ROW()-3)),"PENDING"))</f>
        <v/>
      </c>
      <c r="S348" s="24" t="str">
        <f t="shared" si="86"/>
        <v/>
      </c>
      <c r="T348" s="25" t="str">
        <f t="shared" si="87"/>
        <v/>
      </c>
      <c r="U348" s="25" t="str">
        <f t="shared" si="88"/>
        <v/>
      </c>
      <c r="V348" s="26" t="str">
        <f t="shared" si="89"/>
        <v/>
      </c>
      <c r="W348" s="26" t="str">
        <f t="shared" si="90"/>
        <v/>
      </c>
      <c r="X348" s="25" t="str">
        <f t="shared" si="91"/>
        <v/>
      </c>
      <c r="Y348" s="25" t="str">
        <f t="shared" si="92"/>
        <v/>
      </c>
      <c r="Z348" s="27" t="str">
        <f>IF($B348="","",IF($AK348&lt;=Settings!$C$21,"",IFERROR(AVERAGEIFS($S$4:$S$503,$B$4:$B$503,$B348,$AK$4:$AK$503,"&gt;="&amp;$AK348-Settings!$C$21,$AK$4:$AK$503,"&lt;="&amp;$AK348-1),"")))</f>
        <v/>
      </c>
      <c r="AA348" s="28" t="str">
        <f t="shared" si="93"/>
        <v/>
      </c>
      <c r="AB348" s="25" t="str">
        <f>IF($B348="","",IF($AK348&lt;=Settings!$C$22,"",IFERROR(AVERAGEIFS($K$4:$K$503,$B$4:$B$503,$B348,$AK$4:$AK$503,"&gt;="&amp;$AK348-Settings!$C$22,$AK$4:$AK$503,"&lt;="&amp;$AK348-1),"")))</f>
        <v/>
      </c>
      <c r="AC348" s="27" t="str">
        <f t="shared" si="94"/>
        <v/>
      </c>
      <c r="AD348" s="28" t="str">
        <f>IF($B348="","",IF($AK348&lt;=Settings!$C$23,"",IFERROR($E348/SUMIFS($E$4:$E$503,$B$4:$B$503,$B348,$AK$4:$AK$503,$AK348-Settings!$C$23)-1,"")))</f>
        <v/>
      </c>
      <c r="AE348" s="28" t="str">
        <f>IF($B348="","",IF($AK348&lt;=Settings!$C$22,"",IFERROR($E348/SUMIFS($E$4:$E$503,$B$4:$B$503,$B348,$AK$4:$AK$503,$AK348-Settings!$C$22)-1,"")))</f>
        <v/>
      </c>
      <c r="AF348" s="28" t="str">
        <f t="shared" si="95"/>
        <v/>
      </c>
      <c r="AG348" s="29" t="str">
        <f>IF($B348="","",ROUND((MIN(100,100*N($I348)/Settings!$C$27)+MIN(100,100*N($K348)/Settings!$C$28)+MIN(100,100*N($J348)/Settings!$C$29))/3,1))</f>
        <v/>
      </c>
      <c r="AH348" s="29" t="str">
        <f>IF($B348="","",IF(SUM(Settings!$C$32:$C$37)=0,"",ROUND((Settings!$C$32*$AO348+Settings!$C$33*$AP348+Settings!$C$34*$AQ348+Settings!$C$35*$AR348+Settings!$C$36*$AS348+Settings!$C$37*$AT348)/SUM(Settings!$C$32:$C$37),1)))</f>
        <v/>
      </c>
      <c r="AI348" s="29" t="str">
        <f>IF($B348="","",MAX(0,100-IF(N($N348)&gt;0,0,20)-IF(AND(N($L348)=0,N($M348)=0),15,0)-IF(N($J348)&gt;0,0,10)-IF(N($K348)&gt;0,0,10)-IF($Z348&lt;&gt;"",0,15)-IF($AB348&lt;&gt;"",0,10)-IF($R348="ERROR",20,IF($R348="WARNING",10,0))))</f>
        <v/>
      </c>
      <c r="AJ348" s="30" t="str">
        <f>IF($AH348="","",IF($AH348&lt;Settings!$C$46,"Extreme Sell Pressure",IF($AH348&lt;Settings!$C$47,"Sell Pressure",IF($AH348&lt;=Settings!$C$48,"Neutral",IF($AH348&lt;=Settings!$C$49,"Buy Pressure","Extreme Buy Pressure")))))</f>
        <v/>
      </c>
      <c r="AK348" s="30" t="str">
        <f t="shared" si="96"/>
        <v/>
      </c>
      <c r="AL348" s="30" t="str">
        <f t="shared" si="97"/>
        <v/>
      </c>
      <c r="AM348" s="30" t="str">
        <f t="shared" si="98"/>
        <v/>
      </c>
      <c r="AN348" s="30" t="str">
        <f t="shared" si="99"/>
        <v/>
      </c>
      <c r="AO348" s="29" t="str">
        <f>IF($B348="","",IF(AND(N($L348)=0,N($M348)=0),50,IF(N($M348)=0,100,IF(N($L348)=0,0,MEDIAN(0,100,50+50*LN($S348)/LN(Settings!$C$40))))))</f>
        <v/>
      </c>
      <c r="AP348" s="29">
        <f>IF($AA348="",50,MEDIAN(0,100,50+$AA348*100*Settings!$C$41))</f>
        <v>50</v>
      </c>
      <c r="AQ348" s="29">
        <f>IF($H348="",50,MEDIAN(0,100,50+$H348*100*Settings!$C$42))</f>
        <v>50</v>
      </c>
      <c r="AR348" s="29">
        <f>IF(OR($AC348="",$H348=""),50,MEDIAN(0,100,50+SIGN($H348)*50*MEDIAN(0,1,($AC348-1)/Settings!$C$43)))</f>
        <v>50</v>
      </c>
      <c r="AS348" s="29">
        <f>IF(OR($V348="",$W348=""),50,MEDIAN(0,100,50+50*($V348-$W348)/Settings!$C$44))</f>
        <v>50</v>
      </c>
      <c r="AT348" s="29">
        <f t="shared" si="100"/>
        <v>50</v>
      </c>
      <c r="AU348" s="30" t="str">
        <f t="shared" si="101"/>
        <v/>
      </c>
      <c r="AV348" s="87" t="str">
        <f>IF($A348="","",IF(COUNTIFS($A$4:$A348,$A348)=1,1,0))</f>
        <v/>
      </c>
    </row>
    <row r="349" spans="1:48" x14ac:dyDescent="0.3">
      <c r="A349" s="270"/>
      <c r="B349" s="271"/>
      <c r="C349" s="272"/>
      <c r="D349" s="272"/>
      <c r="E349" s="272"/>
      <c r="F349" s="272"/>
      <c r="G349" s="272"/>
      <c r="H349" s="268" t="str">
        <f t="shared" si="85"/>
        <v/>
      </c>
      <c r="I349" s="273"/>
      <c r="J349" s="273"/>
      <c r="K349" s="273"/>
      <c r="L349" s="273"/>
      <c r="M349" s="273"/>
      <c r="N349" s="273"/>
      <c r="O349" s="271"/>
      <c r="P349" s="270"/>
      <c r="Q349" s="271"/>
      <c r="R349" s="23" t="str" cm="1">
        <f t="array" ref="R349">IF($B349="","",IFERROR(IF(INDEX('Data Quality'!$U$4:$U$503,ROW()-3)=0,"PENDING",INDEX('Data Quality'!$U$4:$U$503,ROW()-3)),"PENDING"))</f>
        <v/>
      </c>
      <c r="S349" s="24" t="str">
        <f t="shared" si="86"/>
        <v/>
      </c>
      <c r="T349" s="25" t="str">
        <f t="shared" si="87"/>
        <v/>
      </c>
      <c r="U349" s="25" t="str">
        <f t="shared" si="88"/>
        <v/>
      </c>
      <c r="V349" s="26" t="str">
        <f t="shared" si="89"/>
        <v/>
      </c>
      <c r="W349" s="26" t="str">
        <f t="shared" si="90"/>
        <v/>
      </c>
      <c r="X349" s="25" t="str">
        <f t="shared" si="91"/>
        <v/>
      </c>
      <c r="Y349" s="25" t="str">
        <f t="shared" si="92"/>
        <v/>
      </c>
      <c r="Z349" s="27" t="str">
        <f>IF($B349="","",IF($AK349&lt;=Settings!$C$21,"",IFERROR(AVERAGEIFS($S$4:$S$503,$B$4:$B$503,$B349,$AK$4:$AK$503,"&gt;="&amp;$AK349-Settings!$C$21,$AK$4:$AK$503,"&lt;="&amp;$AK349-1),"")))</f>
        <v/>
      </c>
      <c r="AA349" s="28" t="str">
        <f t="shared" si="93"/>
        <v/>
      </c>
      <c r="AB349" s="25" t="str">
        <f>IF($B349="","",IF($AK349&lt;=Settings!$C$22,"",IFERROR(AVERAGEIFS($K$4:$K$503,$B$4:$B$503,$B349,$AK$4:$AK$503,"&gt;="&amp;$AK349-Settings!$C$22,$AK$4:$AK$503,"&lt;="&amp;$AK349-1),"")))</f>
        <v/>
      </c>
      <c r="AC349" s="27" t="str">
        <f t="shared" si="94"/>
        <v/>
      </c>
      <c r="AD349" s="28" t="str">
        <f>IF($B349="","",IF($AK349&lt;=Settings!$C$23,"",IFERROR($E349/SUMIFS($E$4:$E$503,$B$4:$B$503,$B349,$AK$4:$AK$503,$AK349-Settings!$C$23)-1,"")))</f>
        <v/>
      </c>
      <c r="AE349" s="28" t="str">
        <f>IF($B349="","",IF($AK349&lt;=Settings!$C$22,"",IFERROR($E349/SUMIFS($E$4:$E$503,$B$4:$B$503,$B349,$AK$4:$AK$503,$AK349-Settings!$C$22)-1,"")))</f>
        <v/>
      </c>
      <c r="AF349" s="28" t="str">
        <f t="shared" si="95"/>
        <v/>
      </c>
      <c r="AG349" s="29" t="str">
        <f>IF($B349="","",ROUND((MIN(100,100*N($I349)/Settings!$C$27)+MIN(100,100*N($K349)/Settings!$C$28)+MIN(100,100*N($J349)/Settings!$C$29))/3,1))</f>
        <v/>
      </c>
      <c r="AH349" s="29" t="str">
        <f>IF($B349="","",IF(SUM(Settings!$C$32:$C$37)=0,"",ROUND((Settings!$C$32*$AO349+Settings!$C$33*$AP349+Settings!$C$34*$AQ349+Settings!$C$35*$AR349+Settings!$C$36*$AS349+Settings!$C$37*$AT349)/SUM(Settings!$C$32:$C$37),1)))</f>
        <v/>
      </c>
      <c r="AI349" s="29" t="str">
        <f>IF($B349="","",MAX(0,100-IF(N($N349)&gt;0,0,20)-IF(AND(N($L349)=0,N($M349)=0),15,0)-IF(N($J349)&gt;0,0,10)-IF(N($K349)&gt;0,0,10)-IF($Z349&lt;&gt;"",0,15)-IF($AB349&lt;&gt;"",0,10)-IF($R349="ERROR",20,IF($R349="WARNING",10,0))))</f>
        <v/>
      </c>
      <c r="AJ349" s="30" t="str">
        <f>IF($AH349="","",IF($AH349&lt;Settings!$C$46,"Extreme Sell Pressure",IF($AH349&lt;Settings!$C$47,"Sell Pressure",IF($AH349&lt;=Settings!$C$48,"Neutral",IF($AH349&lt;=Settings!$C$49,"Buy Pressure","Extreme Buy Pressure")))))</f>
        <v/>
      </c>
      <c r="AK349" s="30" t="str">
        <f t="shared" si="96"/>
        <v/>
      </c>
      <c r="AL349" s="30" t="str">
        <f t="shared" si="97"/>
        <v/>
      </c>
      <c r="AM349" s="30" t="str">
        <f t="shared" si="98"/>
        <v/>
      </c>
      <c r="AN349" s="30" t="str">
        <f t="shared" si="99"/>
        <v/>
      </c>
      <c r="AO349" s="29" t="str">
        <f>IF($B349="","",IF(AND(N($L349)=0,N($M349)=0),50,IF(N($M349)=0,100,IF(N($L349)=0,0,MEDIAN(0,100,50+50*LN($S349)/LN(Settings!$C$40))))))</f>
        <v/>
      </c>
      <c r="AP349" s="29">
        <f>IF($AA349="",50,MEDIAN(0,100,50+$AA349*100*Settings!$C$41))</f>
        <v>50</v>
      </c>
      <c r="AQ349" s="29">
        <f>IF($H349="",50,MEDIAN(0,100,50+$H349*100*Settings!$C$42))</f>
        <v>50</v>
      </c>
      <c r="AR349" s="29">
        <f>IF(OR($AC349="",$H349=""),50,MEDIAN(0,100,50+SIGN($H349)*50*MEDIAN(0,1,($AC349-1)/Settings!$C$43)))</f>
        <v>50</v>
      </c>
      <c r="AS349" s="29">
        <f>IF(OR($V349="",$W349=""),50,MEDIAN(0,100,50+50*($V349-$W349)/Settings!$C$44))</f>
        <v>50</v>
      </c>
      <c r="AT349" s="29">
        <f t="shared" si="100"/>
        <v>50</v>
      </c>
      <c r="AU349" s="30" t="str">
        <f t="shared" si="101"/>
        <v/>
      </c>
      <c r="AV349" s="87" t="str">
        <f>IF($A349="","",IF(COUNTIFS($A$4:$A349,$A349)=1,1,0))</f>
        <v/>
      </c>
    </row>
    <row r="350" spans="1:48" x14ac:dyDescent="0.3">
      <c r="A350" s="270"/>
      <c r="B350" s="271"/>
      <c r="C350" s="272"/>
      <c r="D350" s="272"/>
      <c r="E350" s="272"/>
      <c r="F350" s="272"/>
      <c r="G350" s="272"/>
      <c r="H350" s="268" t="str">
        <f t="shared" si="85"/>
        <v/>
      </c>
      <c r="I350" s="273"/>
      <c r="J350" s="273"/>
      <c r="K350" s="273"/>
      <c r="L350" s="273"/>
      <c r="M350" s="273"/>
      <c r="N350" s="273"/>
      <c r="O350" s="271"/>
      <c r="P350" s="270"/>
      <c r="Q350" s="271"/>
      <c r="R350" s="23" t="str" cm="1">
        <f t="array" ref="R350">IF($B350="","",IFERROR(IF(INDEX('Data Quality'!$U$4:$U$503,ROW()-3)=0,"PENDING",INDEX('Data Quality'!$U$4:$U$503,ROW()-3)),"PENDING"))</f>
        <v/>
      </c>
      <c r="S350" s="24" t="str">
        <f t="shared" si="86"/>
        <v/>
      </c>
      <c r="T350" s="25" t="str">
        <f t="shared" si="87"/>
        <v/>
      </c>
      <c r="U350" s="25" t="str">
        <f t="shared" si="88"/>
        <v/>
      </c>
      <c r="V350" s="26" t="str">
        <f t="shared" si="89"/>
        <v/>
      </c>
      <c r="W350" s="26" t="str">
        <f t="shared" si="90"/>
        <v/>
      </c>
      <c r="X350" s="25" t="str">
        <f t="shared" si="91"/>
        <v/>
      </c>
      <c r="Y350" s="25" t="str">
        <f t="shared" si="92"/>
        <v/>
      </c>
      <c r="Z350" s="27" t="str">
        <f>IF($B350="","",IF($AK350&lt;=Settings!$C$21,"",IFERROR(AVERAGEIFS($S$4:$S$503,$B$4:$B$503,$B350,$AK$4:$AK$503,"&gt;="&amp;$AK350-Settings!$C$21,$AK$4:$AK$503,"&lt;="&amp;$AK350-1),"")))</f>
        <v/>
      </c>
      <c r="AA350" s="28" t="str">
        <f t="shared" si="93"/>
        <v/>
      </c>
      <c r="AB350" s="25" t="str">
        <f>IF($B350="","",IF($AK350&lt;=Settings!$C$22,"",IFERROR(AVERAGEIFS($K$4:$K$503,$B$4:$B$503,$B350,$AK$4:$AK$503,"&gt;="&amp;$AK350-Settings!$C$22,$AK$4:$AK$503,"&lt;="&amp;$AK350-1),"")))</f>
        <v/>
      </c>
      <c r="AC350" s="27" t="str">
        <f t="shared" si="94"/>
        <v/>
      </c>
      <c r="AD350" s="28" t="str">
        <f>IF($B350="","",IF($AK350&lt;=Settings!$C$23,"",IFERROR($E350/SUMIFS($E$4:$E$503,$B$4:$B$503,$B350,$AK$4:$AK$503,$AK350-Settings!$C$23)-1,"")))</f>
        <v/>
      </c>
      <c r="AE350" s="28" t="str">
        <f>IF($B350="","",IF($AK350&lt;=Settings!$C$22,"",IFERROR($E350/SUMIFS($E$4:$E$503,$B$4:$B$503,$B350,$AK$4:$AK$503,$AK350-Settings!$C$22)-1,"")))</f>
        <v/>
      </c>
      <c r="AF350" s="28" t="str">
        <f t="shared" si="95"/>
        <v/>
      </c>
      <c r="AG350" s="29" t="str">
        <f>IF($B350="","",ROUND((MIN(100,100*N($I350)/Settings!$C$27)+MIN(100,100*N($K350)/Settings!$C$28)+MIN(100,100*N($J350)/Settings!$C$29))/3,1))</f>
        <v/>
      </c>
      <c r="AH350" s="29" t="str">
        <f>IF($B350="","",IF(SUM(Settings!$C$32:$C$37)=0,"",ROUND((Settings!$C$32*$AO350+Settings!$C$33*$AP350+Settings!$C$34*$AQ350+Settings!$C$35*$AR350+Settings!$C$36*$AS350+Settings!$C$37*$AT350)/SUM(Settings!$C$32:$C$37),1)))</f>
        <v/>
      </c>
      <c r="AI350" s="29" t="str">
        <f>IF($B350="","",MAX(0,100-IF(N($N350)&gt;0,0,20)-IF(AND(N($L350)=0,N($M350)=0),15,0)-IF(N($J350)&gt;0,0,10)-IF(N($K350)&gt;0,0,10)-IF($Z350&lt;&gt;"",0,15)-IF($AB350&lt;&gt;"",0,10)-IF($R350="ERROR",20,IF($R350="WARNING",10,0))))</f>
        <v/>
      </c>
      <c r="AJ350" s="30" t="str">
        <f>IF($AH350="","",IF($AH350&lt;Settings!$C$46,"Extreme Sell Pressure",IF($AH350&lt;Settings!$C$47,"Sell Pressure",IF($AH350&lt;=Settings!$C$48,"Neutral",IF($AH350&lt;=Settings!$C$49,"Buy Pressure","Extreme Buy Pressure")))))</f>
        <v/>
      </c>
      <c r="AK350" s="30" t="str">
        <f t="shared" si="96"/>
        <v/>
      </c>
      <c r="AL350" s="30" t="str">
        <f t="shared" si="97"/>
        <v/>
      </c>
      <c r="AM350" s="30" t="str">
        <f t="shared" si="98"/>
        <v/>
      </c>
      <c r="AN350" s="30" t="str">
        <f t="shared" si="99"/>
        <v/>
      </c>
      <c r="AO350" s="29" t="str">
        <f>IF($B350="","",IF(AND(N($L350)=0,N($M350)=0),50,IF(N($M350)=0,100,IF(N($L350)=0,0,MEDIAN(0,100,50+50*LN($S350)/LN(Settings!$C$40))))))</f>
        <v/>
      </c>
      <c r="AP350" s="29">
        <f>IF($AA350="",50,MEDIAN(0,100,50+$AA350*100*Settings!$C$41))</f>
        <v>50</v>
      </c>
      <c r="AQ350" s="29">
        <f>IF($H350="",50,MEDIAN(0,100,50+$H350*100*Settings!$C$42))</f>
        <v>50</v>
      </c>
      <c r="AR350" s="29">
        <f>IF(OR($AC350="",$H350=""),50,MEDIAN(0,100,50+SIGN($H350)*50*MEDIAN(0,1,($AC350-1)/Settings!$C$43)))</f>
        <v>50</v>
      </c>
      <c r="AS350" s="29">
        <f>IF(OR($V350="",$W350=""),50,MEDIAN(0,100,50+50*($V350-$W350)/Settings!$C$44))</f>
        <v>50</v>
      </c>
      <c r="AT350" s="29">
        <f t="shared" si="100"/>
        <v>50</v>
      </c>
      <c r="AU350" s="30" t="str">
        <f t="shared" si="101"/>
        <v/>
      </c>
      <c r="AV350" s="87" t="str">
        <f>IF($A350="","",IF(COUNTIFS($A$4:$A350,$A350)=1,1,0))</f>
        <v/>
      </c>
    </row>
    <row r="351" spans="1:48" x14ac:dyDescent="0.3">
      <c r="A351" s="270"/>
      <c r="B351" s="271"/>
      <c r="C351" s="272"/>
      <c r="D351" s="272"/>
      <c r="E351" s="272"/>
      <c r="F351" s="272"/>
      <c r="G351" s="272"/>
      <c r="H351" s="268" t="str">
        <f t="shared" si="85"/>
        <v/>
      </c>
      <c r="I351" s="273"/>
      <c r="J351" s="273"/>
      <c r="K351" s="273"/>
      <c r="L351" s="273"/>
      <c r="M351" s="273"/>
      <c r="N351" s="273"/>
      <c r="O351" s="271"/>
      <c r="P351" s="270"/>
      <c r="Q351" s="271"/>
      <c r="R351" s="23" t="str" cm="1">
        <f t="array" ref="R351">IF($B351="","",IFERROR(IF(INDEX('Data Quality'!$U$4:$U$503,ROW()-3)=0,"PENDING",INDEX('Data Quality'!$U$4:$U$503,ROW()-3)),"PENDING"))</f>
        <v/>
      </c>
      <c r="S351" s="24" t="str">
        <f t="shared" si="86"/>
        <v/>
      </c>
      <c r="T351" s="25" t="str">
        <f t="shared" si="87"/>
        <v/>
      </c>
      <c r="U351" s="25" t="str">
        <f t="shared" si="88"/>
        <v/>
      </c>
      <c r="V351" s="26" t="str">
        <f t="shared" si="89"/>
        <v/>
      </c>
      <c r="W351" s="26" t="str">
        <f t="shared" si="90"/>
        <v/>
      </c>
      <c r="X351" s="25" t="str">
        <f t="shared" si="91"/>
        <v/>
      </c>
      <c r="Y351" s="25" t="str">
        <f t="shared" si="92"/>
        <v/>
      </c>
      <c r="Z351" s="27" t="str">
        <f>IF($B351="","",IF($AK351&lt;=Settings!$C$21,"",IFERROR(AVERAGEIFS($S$4:$S$503,$B$4:$B$503,$B351,$AK$4:$AK$503,"&gt;="&amp;$AK351-Settings!$C$21,$AK$4:$AK$503,"&lt;="&amp;$AK351-1),"")))</f>
        <v/>
      </c>
      <c r="AA351" s="28" t="str">
        <f t="shared" si="93"/>
        <v/>
      </c>
      <c r="AB351" s="25" t="str">
        <f>IF($B351="","",IF($AK351&lt;=Settings!$C$22,"",IFERROR(AVERAGEIFS($K$4:$K$503,$B$4:$B$503,$B351,$AK$4:$AK$503,"&gt;="&amp;$AK351-Settings!$C$22,$AK$4:$AK$503,"&lt;="&amp;$AK351-1),"")))</f>
        <v/>
      </c>
      <c r="AC351" s="27" t="str">
        <f t="shared" si="94"/>
        <v/>
      </c>
      <c r="AD351" s="28" t="str">
        <f>IF($B351="","",IF($AK351&lt;=Settings!$C$23,"",IFERROR($E351/SUMIFS($E$4:$E$503,$B$4:$B$503,$B351,$AK$4:$AK$503,$AK351-Settings!$C$23)-1,"")))</f>
        <v/>
      </c>
      <c r="AE351" s="28" t="str">
        <f>IF($B351="","",IF($AK351&lt;=Settings!$C$22,"",IFERROR($E351/SUMIFS($E$4:$E$503,$B$4:$B$503,$B351,$AK$4:$AK$503,$AK351-Settings!$C$22)-1,"")))</f>
        <v/>
      </c>
      <c r="AF351" s="28" t="str">
        <f t="shared" si="95"/>
        <v/>
      </c>
      <c r="AG351" s="29" t="str">
        <f>IF($B351="","",ROUND((MIN(100,100*N($I351)/Settings!$C$27)+MIN(100,100*N($K351)/Settings!$C$28)+MIN(100,100*N($J351)/Settings!$C$29))/3,1))</f>
        <v/>
      </c>
      <c r="AH351" s="29" t="str">
        <f>IF($B351="","",IF(SUM(Settings!$C$32:$C$37)=0,"",ROUND((Settings!$C$32*$AO351+Settings!$C$33*$AP351+Settings!$C$34*$AQ351+Settings!$C$35*$AR351+Settings!$C$36*$AS351+Settings!$C$37*$AT351)/SUM(Settings!$C$32:$C$37),1)))</f>
        <v/>
      </c>
      <c r="AI351" s="29" t="str">
        <f>IF($B351="","",MAX(0,100-IF(N($N351)&gt;0,0,20)-IF(AND(N($L351)=0,N($M351)=0),15,0)-IF(N($J351)&gt;0,0,10)-IF(N($K351)&gt;0,0,10)-IF($Z351&lt;&gt;"",0,15)-IF($AB351&lt;&gt;"",0,10)-IF($R351="ERROR",20,IF($R351="WARNING",10,0))))</f>
        <v/>
      </c>
      <c r="AJ351" s="30" t="str">
        <f>IF($AH351="","",IF($AH351&lt;Settings!$C$46,"Extreme Sell Pressure",IF($AH351&lt;Settings!$C$47,"Sell Pressure",IF($AH351&lt;=Settings!$C$48,"Neutral",IF($AH351&lt;=Settings!$C$49,"Buy Pressure","Extreme Buy Pressure")))))</f>
        <v/>
      </c>
      <c r="AK351" s="30" t="str">
        <f t="shared" si="96"/>
        <v/>
      </c>
      <c r="AL351" s="30" t="str">
        <f t="shared" si="97"/>
        <v/>
      </c>
      <c r="AM351" s="30" t="str">
        <f t="shared" si="98"/>
        <v/>
      </c>
      <c r="AN351" s="30" t="str">
        <f t="shared" si="99"/>
        <v/>
      </c>
      <c r="AO351" s="29" t="str">
        <f>IF($B351="","",IF(AND(N($L351)=0,N($M351)=0),50,IF(N($M351)=0,100,IF(N($L351)=0,0,MEDIAN(0,100,50+50*LN($S351)/LN(Settings!$C$40))))))</f>
        <v/>
      </c>
      <c r="AP351" s="29">
        <f>IF($AA351="",50,MEDIAN(0,100,50+$AA351*100*Settings!$C$41))</f>
        <v>50</v>
      </c>
      <c r="AQ351" s="29">
        <f>IF($H351="",50,MEDIAN(0,100,50+$H351*100*Settings!$C$42))</f>
        <v>50</v>
      </c>
      <c r="AR351" s="29">
        <f>IF(OR($AC351="",$H351=""),50,MEDIAN(0,100,50+SIGN($H351)*50*MEDIAN(0,1,($AC351-1)/Settings!$C$43)))</f>
        <v>50</v>
      </c>
      <c r="AS351" s="29">
        <f>IF(OR($V351="",$W351=""),50,MEDIAN(0,100,50+50*($V351-$W351)/Settings!$C$44))</f>
        <v>50</v>
      </c>
      <c r="AT351" s="29">
        <f t="shared" si="100"/>
        <v>50</v>
      </c>
      <c r="AU351" s="30" t="str">
        <f t="shared" si="101"/>
        <v/>
      </c>
      <c r="AV351" s="87" t="str">
        <f>IF($A351="","",IF(COUNTIFS($A$4:$A351,$A351)=1,1,0))</f>
        <v/>
      </c>
    </row>
    <row r="352" spans="1:48" x14ac:dyDescent="0.3">
      <c r="A352" s="270"/>
      <c r="B352" s="271"/>
      <c r="C352" s="272"/>
      <c r="D352" s="272"/>
      <c r="E352" s="272"/>
      <c r="F352" s="272"/>
      <c r="G352" s="272"/>
      <c r="H352" s="268" t="str">
        <f t="shared" si="85"/>
        <v/>
      </c>
      <c r="I352" s="273"/>
      <c r="J352" s="273"/>
      <c r="K352" s="273"/>
      <c r="L352" s="273"/>
      <c r="M352" s="273"/>
      <c r="N352" s="273"/>
      <c r="O352" s="271"/>
      <c r="P352" s="270"/>
      <c r="Q352" s="271"/>
      <c r="R352" s="23" t="str" cm="1">
        <f t="array" ref="R352">IF($B352="","",IFERROR(IF(INDEX('Data Quality'!$U$4:$U$503,ROW()-3)=0,"PENDING",INDEX('Data Quality'!$U$4:$U$503,ROW()-3)),"PENDING"))</f>
        <v/>
      </c>
      <c r="S352" s="24" t="str">
        <f t="shared" si="86"/>
        <v/>
      </c>
      <c r="T352" s="25" t="str">
        <f t="shared" si="87"/>
        <v/>
      </c>
      <c r="U352" s="25" t="str">
        <f t="shared" si="88"/>
        <v/>
      </c>
      <c r="V352" s="26" t="str">
        <f t="shared" si="89"/>
        <v/>
      </c>
      <c r="W352" s="26" t="str">
        <f t="shared" si="90"/>
        <v/>
      </c>
      <c r="X352" s="25" t="str">
        <f t="shared" si="91"/>
        <v/>
      </c>
      <c r="Y352" s="25" t="str">
        <f t="shared" si="92"/>
        <v/>
      </c>
      <c r="Z352" s="27" t="str">
        <f>IF($B352="","",IF($AK352&lt;=Settings!$C$21,"",IFERROR(AVERAGEIFS($S$4:$S$503,$B$4:$B$503,$B352,$AK$4:$AK$503,"&gt;="&amp;$AK352-Settings!$C$21,$AK$4:$AK$503,"&lt;="&amp;$AK352-1),"")))</f>
        <v/>
      </c>
      <c r="AA352" s="28" t="str">
        <f t="shared" si="93"/>
        <v/>
      </c>
      <c r="AB352" s="25" t="str">
        <f>IF($B352="","",IF($AK352&lt;=Settings!$C$22,"",IFERROR(AVERAGEIFS($K$4:$K$503,$B$4:$B$503,$B352,$AK$4:$AK$503,"&gt;="&amp;$AK352-Settings!$C$22,$AK$4:$AK$503,"&lt;="&amp;$AK352-1),"")))</f>
        <v/>
      </c>
      <c r="AC352" s="27" t="str">
        <f t="shared" si="94"/>
        <v/>
      </c>
      <c r="AD352" s="28" t="str">
        <f>IF($B352="","",IF($AK352&lt;=Settings!$C$23,"",IFERROR($E352/SUMIFS($E$4:$E$503,$B$4:$B$503,$B352,$AK$4:$AK$503,$AK352-Settings!$C$23)-1,"")))</f>
        <v/>
      </c>
      <c r="AE352" s="28" t="str">
        <f>IF($B352="","",IF($AK352&lt;=Settings!$C$22,"",IFERROR($E352/SUMIFS($E$4:$E$503,$B$4:$B$503,$B352,$AK$4:$AK$503,$AK352-Settings!$C$22)-1,"")))</f>
        <v/>
      </c>
      <c r="AF352" s="28" t="str">
        <f t="shared" si="95"/>
        <v/>
      </c>
      <c r="AG352" s="29" t="str">
        <f>IF($B352="","",ROUND((MIN(100,100*N($I352)/Settings!$C$27)+MIN(100,100*N($K352)/Settings!$C$28)+MIN(100,100*N($J352)/Settings!$C$29))/3,1))</f>
        <v/>
      </c>
      <c r="AH352" s="29" t="str">
        <f>IF($B352="","",IF(SUM(Settings!$C$32:$C$37)=0,"",ROUND((Settings!$C$32*$AO352+Settings!$C$33*$AP352+Settings!$C$34*$AQ352+Settings!$C$35*$AR352+Settings!$C$36*$AS352+Settings!$C$37*$AT352)/SUM(Settings!$C$32:$C$37),1)))</f>
        <v/>
      </c>
      <c r="AI352" s="29" t="str">
        <f>IF($B352="","",MAX(0,100-IF(N($N352)&gt;0,0,20)-IF(AND(N($L352)=0,N($M352)=0),15,0)-IF(N($J352)&gt;0,0,10)-IF(N($K352)&gt;0,0,10)-IF($Z352&lt;&gt;"",0,15)-IF($AB352&lt;&gt;"",0,10)-IF($R352="ERROR",20,IF($R352="WARNING",10,0))))</f>
        <v/>
      </c>
      <c r="AJ352" s="30" t="str">
        <f>IF($AH352="","",IF($AH352&lt;Settings!$C$46,"Extreme Sell Pressure",IF($AH352&lt;Settings!$C$47,"Sell Pressure",IF($AH352&lt;=Settings!$C$48,"Neutral",IF($AH352&lt;=Settings!$C$49,"Buy Pressure","Extreme Buy Pressure")))))</f>
        <v/>
      </c>
      <c r="AK352" s="30" t="str">
        <f t="shared" si="96"/>
        <v/>
      </c>
      <c r="AL352" s="30" t="str">
        <f t="shared" si="97"/>
        <v/>
      </c>
      <c r="AM352" s="30" t="str">
        <f t="shared" si="98"/>
        <v/>
      </c>
      <c r="AN352" s="30" t="str">
        <f t="shared" si="99"/>
        <v/>
      </c>
      <c r="AO352" s="29" t="str">
        <f>IF($B352="","",IF(AND(N($L352)=0,N($M352)=0),50,IF(N($M352)=0,100,IF(N($L352)=0,0,MEDIAN(0,100,50+50*LN($S352)/LN(Settings!$C$40))))))</f>
        <v/>
      </c>
      <c r="AP352" s="29">
        <f>IF($AA352="",50,MEDIAN(0,100,50+$AA352*100*Settings!$C$41))</f>
        <v>50</v>
      </c>
      <c r="AQ352" s="29">
        <f>IF($H352="",50,MEDIAN(0,100,50+$H352*100*Settings!$C$42))</f>
        <v>50</v>
      </c>
      <c r="AR352" s="29">
        <f>IF(OR($AC352="",$H352=""),50,MEDIAN(0,100,50+SIGN($H352)*50*MEDIAN(0,1,($AC352-1)/Settings!$C$43)))</f>
        <v>50</v>
      </c>
      <c r="AS352" s="29">
        <f>IF(OR($V352="",$W352=""),50,MEDIAN(0,100,50+50*($V352-$W352)/Settings!$C$44))</f>
        <v>50</v>
      </c>
      <c r="AT352" s="29">
        <f t="shared" si="100"/>
        <v>50</v>
      </c>
      <c r="AU352" s="30" t="str">
        <f t="shared" si="101"/>
        <v/>
      </c>
      <c r="AV352" s="87" t="str">
        <f>IF($A352="","",IF(COUNTIFS($A$4:$A352,$A352)=1,1,0))</f>
        <v/>
      </c>
    </row>
    <row r="353" spans="1:48" x14ac:dyDescent="0.3">
      <c r="A353" s="270"/>
      <c r="B353" s="271"/>
      <c r="C353" s="272"/>
      <c r="D353" s="272"/>
      <c r="E353" s="272"/>
      <c r="F353" s="272"/>
      <c r="G353" s="272"/>
      <c r="H353" s="268" t="str">
        <f t="shared" si="85"/>
        <v/>
      </c>
      <c r="I353" s="273"/>
      <c r="J353" s="273"/>
      <c r="K353" s="273"/>
      <c r="L353" s="273"/>
      <c r="M353" s="273"/>
      <c r="N353" s="273"/>
      <c r="O353" s="271"/>
      <c r="P353" s="270"/>
      <c r="Q353" s="271"/>
      <c r="R353" s="23" t="str" cm="1">
        <f t="array" ref="R353">IF($B353="","",IFERROR(IF(INDEX('Data Quality'!$U$4:$U$503,ROW()-3)=0,"PENDING",INDEX('Data Quality'!$U$4:$U$503,ROW()-3)),"PENDING"))</f>
        <v/>
      </c>
      <c r="S353" s="24" t="str">
        <f t="shared" si="86"/>
        <v/>
      </c>
      <c r="T353" s="25" t="str">
        <f t="shared" si="87"/>
        <v/>
      </c>
      <c r="U353" s="25" t="str">
        <f t="shared" si="88"/>
        <v/>
      </c>
      <c r="V353" s="26" t="str">
        <f t="shared" si="89"/>
        <v/>
      </c>
      <c r="W353" s="26" t="str">
        <f t="shared" si="90"/>
        <v/>
      </c>
      <c r="X353" s="25" t="str">
        <f t="shared" si="91"/>
        <v/>
      </c>
      <c r="Y353" s="25" t="str">
        <f t="shared" si="92"/>
        <v/>
      </c>
      <c r="Z353" s="27" t="str">
        <f>IF($B353="","",IF($AK353&lt;=Settings!$C$21,"",IFERROR(AVERAGEIFS($S$4:$S$503,$B$4:$B$503,$B353,$AK$4:$AK$503,"&gt;="&amp;$AK353-Settings!$C$21,$AK$4:$AK$503,"&lt;="&amp;$AK353-1),"")))</f>
        <v/>
      </c>
      <c r="AA353" s="28" t="str">
        <f t="shared" si="93"/>
        <v/>
      </c>
      <c r="AB353" s="25" t="str">
        <f>IF($B353="","",IF($AK353&lt;=Settings!$C$22,"",IFERROR(AVERAGEIFS($K$4:$K$503,$B$4:$B$503,$B353,$AK$4:$AK$503,"&gt;="&amp;$AK353-Settings!$C$22,$AK$4:$AK$503,"&lt;="&amp;$AK353-1),"")))</f>
        <v/>
      </c>
      <c r="AC353" s="27" t="str">
        <f t="shared" si="94"/>
        <v/>
      </c>
      <c r="AD353" s="28" t="str">
        <f>IF($B353="","",IF($AK353&lt;=Settings!$C$23,"",IFERROR($E353/SUMIFS($E$4:$E$503,$B$4:$B$503,$B353,$AK$4:$AK$503,$AK353-Settings!$C$23)-1,"")))</f>
        <v/>
      </c>
      <c r="AE353" s="28" t="str">
        <f>IF($B353="","",IF($AK353&lt;=Settings!$C$22,"",IFERROR($E353/SUMIFS($E$4:$E$503,$B$4:$B$503,$B353,$AK$4:$AK$503,$AK353-Settings!$C$22)-1,"")))</f>
        <v/>
      </c>
      <c r="AF353" s="28" t="str">
        <f t="shared" si="95"/>
        <v/>
      </c>
      <c r="AG353" s="29" t="str">
        <f>IF($B353="","",ROUND((MIN(100,100*N($I353)/Settings!$C$27)+MIN(100,100*N($K353)/Settings!$C$28)+MIN(100,100*N($J353)/Settings!$C$29))/3,1))</f>
        <v/>
      </c>
      <c r="AH353" s="29" t="str">
        <f>IF($B353="","",IF(SUM(Settings!$C$32:$C$37)=0,"",ROUND((Settings!$C$32*$AO353+Settings!$C$33*$AP353+Settings!$C$34*$AQ353+Settings!$C$35*$AR353+Settings!$C$36*$AS353+Settings!$C$37*$AT353)/SUM(Settings!$C$32:$C$37),1)))</f>
        <v/>
      </c>
      <c r="AI353" s="29" t="str">
        <f>IF($B353="","",MAX(0,100-IF(N($N353)&gt;0,0,20)-IF(AND(N($L353)=0,N($M353)=0),15,0)-IF(N($J353)&gt;0,0,10)-IF(N($K353)&gt;0,0,10)-IF($Z353&lt;&gt;"",0,15)-IF($AB353&lt;&gt;"",0,10)-IF($R353="ERROR",20,IF($R353="WARNING",10,0))))</f>
        <v/>
      </c>
      <c r="AJ353" s="30" t="str">
        <f>IF($AH353="","",IF($AH353&lt;Settings!$C$46,"Extreme Sell Pressure",IF($AH353&lt;Settings!$C$47,"Sell Pressure",IF($AH353&lt;=Settings!$C$48,"Neutral",IF($AH353&lt;=Settings!$C$49,"Buy Pressure","Extreme Buy Pressure")))))</f>
        <v/>
      </c>
      <c r="AK353" s="30" t="str">
        <f t="shared" si="96"/>
        <v/>
      </c>
      <c r="AL353" s="30" t="str">
        <f t="shared" si="97"/>
        <v/>
      </c>
      <c r="AM353" s="30" t="str">
        <f t="shared" si="98"/>
        <v/>
      </c>
      <c r="AN353" s="30" t="str">
        <f t="shared" si="99"/>
        <v/>
      </c>
      <c r="AO353" s="29" t="str">
        <f>IF($B353="","",IF(AND(N($L353)=0,N($M353)=0),50,IF(N($M353)=0,100,IF(N($L353)=0,0,MEDIAN(0,100,50+50*LN($S353)/LN(Settings!$C$40))))))</f>
        <v/>
      </c>
      <c r="AP353" s="29">
        <f>IF($AA353="",50,MEDIAN(0,100,50+$AA353*100*Settings!$C$41))</f>
        <v>50</v>
      </c>
      <c r="AQ353" s="29">
        <f>IF($H353="",50,MEDIAN(0,100,50+$H353*100*Settings!$C$42))</f>
        <v>50</v>
      </c>
      <c r="AR353" s="29">
        <f>IF(OR($AC353="",$H353=""),50,MEDIAN(0,100,50+SIGN($H353)*50*MEDIAN(0,1,($AC353-1)/Settings!$C$43)))</f>
        <v>50</v>
      </c>
      <c r="AS353" s="29">
        <f>IF(OR($V353="",$W353=""),50,MEDIAN(0,100,50+50*($V353-$W353)/Settings!$C$44))</f>
        <v>50</v>
      </c>
      <c r="AT353" s="29">
        <f t="shared" si="100"/>
        <v>50</v>
      </c>
      <c r="AU353" s="30" t="str">
        <f t="shared" si="101"/>
        <v/>
      </c>
      <c r="AV353" s="87" t="str">
        <f>IF($A353="","",IF(COUNTIFS($A$4:$A353,$A353)=1,1,0))</f>
        <v/>
      </c>
    </row>
    <row r="354" spans="1:48" x14ac:dyDescent="0.3">
      <c r="A354" s="270"/>
      <c r="B354" s="271"/>
      <c r="C354" s="272"/>
      <c r="D354" s="272"/>
      <c r="E354" s="272"/>
      <c r="F354" s="272"/>
      <c r="G354" s="272"/>
      <c r="H354" s="268" t="str">
        <f t="shared" si="85"/>
        <v/>
      </c>
      <c r="I354" s="273"/>
      <c r="J354" s="273"/>
      <c r="K354" s="273"/>
      <c r="L354" s="273"/>
      <c r="M354" s="273"/>
      <c r="N354" s="273"/>
      <c r="O354" s="271"/>
      <c r="P354" s="270"/>
      <c r="Q354" s="271"/>
      <c r="R354" s="23" t="str" cm="1">
        <f t="array" ref="R354">IF($B354="","",IFERROR(IF(INDEX('Data Quality'!$U$4:$U$503,ROW()-3)=0,"PENDING",INDEX('Data Quality'!$U$4:$U$503,ROW()-3)),"PENDING"))</f>
        <v/>
      </c>
      <c r="S354" s="24" t="str">
        <f t="shared" si="86"/>
        <v/>
      </c>
      <c r="T354" s="25" t="str">
        <f t="shared" si="87"/>
        <v/>
      </c>
      <c r="U354" s="25" t="str">
        <f t="shared" si="88"/>
        <v/>
      </c>
      <c r="V354" s="26" t="str">
        <f t="shared" si="89"/>
        <v/>
      </c>
      <c r="W354" s="26" t="str">
        <f t="shared" si="90"/>
        <v/>
      </c>
      <c r="X354" s="25" t="str">
        <f t="shared" si="91"/>
        <v/>
      </c>
      <c r="Y354" s="25" t="str">
        <f t="shared" si="92"/>
        <v/>
      </c>
      <c r="Z354" s="27" t="str">
        <f>IF($B354="","",IF($AK354&lt;=Settings!$C$21,"",IFERROR(AVERAGEIFS($S$4:$S$503,$B$4:$B$503,$B354,$AK$4:$AK$503,"&gt;="&amp;$AK354-Settings!$C$21,$AK$4:$AK$503,"&lt;="&amp;$AK354-1),"")))</f>
        <v/>
      </c>
      <c r="AA354" s="28" t="str">
        <f t="shared" si="93"/>
        <v/>
      </c>
      <c r="AB354" s="25" t="str">
        <f>IF($B354="","",IF($AK354&lt;=Settings!$C$22,"",IFERROR(AVERAGEIFS($K$4:$K$503,$B$4:$B$503,$B354,$AK$4:$AK$503,"&gt;="&amp;$AK354-Settings!$C$22,$AK$4:$AK$503,"&lt;="&amp;$AK354-1),"")))</f>
        <v/>
      </c>
      <c r="AC354" s="27" t="str">
        <f t="shared" si="94"/>
        <v/>
      </c>
      <c r="AD354" s="28" t="str">
        <f>IF($B354="","",IF($AK354&lt;=Settings!$C$23,"",IFERROR($E354/SUMIFS($E$4:$E$503,$B$4:$B$503,$B354,$AK$4:$AK$503,$AK354-Settings!$C$23)-1,"")))</f>
        <v/>
      </c>
      <c r="AE354" s="28" t="str">
        <f>IF($B354="","",IF($AK354&lt;=Settings!$C$22,"",IFERROR($E354/SUMIFS($E$4:$E$503,$B$4:$B$503,$B354,$AK$4:$AK$503,$AK354-Settings!$C$22)-1,"")))</f>
        <v/>
      </c>
      <c r="AF354" s="28" t="str">
        <f t="shared" si="95"/>
        <v/>
      </c>
      <c r="AG354" s="29" t="str">
        <f>IF($B354="","",ROUND((MIN(100,100*N($I354)/Settings!$C$27)+MIN(100,100*N($K354)/Settings!$C$28)+MIN(100,100*N($J354)/Settings!$C$29))/3,1))</f>
        <v/>
      </c>
      <c r="AH354" s="29" t="str">
        <f>IF($B354="","",IF(SUM(Settings!$C$32:$C$37)=0,"",ROUND((Settings!$C$32*$AO354+Settings!$C$33*$AP354+Settings!$C$34*$AQ354+Settings!$C$35*$AR354+Settings!$C$36*$AS354+Settings!$C$37*$AT354)/SUM(Settings!$C$32:$C$37),1)))</f>
        <v/>
      </c>
      <c r="AI354" s="29" t="str">
        <f>IF($B354="","",MAX(0,100-IF(N($N354)&gt;0,0,20)-IF(AND(N($L354)=0,N($M354)=0),15,0)-IF(N($J354)&gt;0,0,10)-IF(N($K354)&gt;0,0,10)-IF($Z354&lt;&gt;"",0,15)-IF($AB354&lt;&gt;"",0,10)-IF($R354="ERROR",20,IF($R354="WARNING",10,0))))</f>
        <v/>
      </c>
      <c r="AJ354" s="30" t="str">
        <f>IF($AH354="","",IF($AH354&lt;Settings!$C$46,"Extreme Sell Pressure",IF($AH354&lt;Settings!$C$47,"Sell Pressure",IF($AH354&lt;=Settings!$C$48,"Neutral",IF($AH354&lt;=Settings!$C$49,"Buy Pressure","Extreme Buy Pressure")))))</f>
        <v/>
      </c>
      <c r="AK354" s="30" t="str">
        <f t="shared" si="96"/>
        <v/>
      </c>
      <c r="AL354" s="30" t="str">
        <f t="shared" si="97"/>
        <v/>
      </c>
      <c r="AM354" s="30" t="str">
        <f t="shared" si="98"/>
        <v/>
      </c>
      <c r="AN354" s="30" t="str">
        <f t="shared" si="99"/>
        <v/>
      </c>
      <c r="AO354" s="29" t="str">
        <f>IF($B354="","",IF(AND(N($L354)=0,N($M354)=0),50,IF(N($M354)=0,100,IF(N($L354)=0,0,MEDIAN(0,100,50+50*LN($S354)/LN(Settings!$C$40))))))</f>
        <v/>
      </c>
      <c r="AP354" s="29">
        <f>IF($AA354="",50,MEDIAN(0,100,50+$AA354*100*Settings!$C$41))</f>
        <v>50</v>
      </c>
      <c r="AQ354" s="29">
        <f>IF($H354="",50,MEDIAN(0,100,50+$H354*100*Settings!$C$42))</f>
        <v>50</v>
      </c>
      <c r="AR354" s="29">
        <f>IF(OR($AC354="",$H354=""),50,MEDIAN(0,100,50+SIGN($H354)*50*MEDIAN(0,1,($AC354-1)/Settings!$C$43)))</f>
        <v>50</v>
      </c>
      <c r="AS354" s="29">
        <f>IF(OR($V354="",$W354=""),50,MEDIAN(0,100,50+50*($V354-$W354)/Settings!$C$44))</f>
        <v>50</v>
      </c>
      <c r="AT354" s="29">
        <f t="shared" si="100"/>
        <v>50</v>
      </c>
      <c r="AU354" s="30" t="str">
        <f t="shared" si="101"/>
        <v/>
      </c>
      <c r="AV354" s="87" t="str">
        <f>IF($A354="","",IF(COUNTIFS($A$4:$A354,$A354)=1,1,0))</f>
        <v/>
      </c>
    </row>
    <row r="355" spans="1:48" x14ac:dyDescent="0.3">
      <c r="A355" s="270"/>
      <c r="B355" s="271"/>
      <c r="C355" s="272"/>
      <c r="D355" s="272"/>
      <c r="E355" s="272"/>
      <c r="F355" s="272"/>
      <c r="G355" s="272"/>
      <c r="H355" s="268" t="str">
        <f t="shared" si="85"/>
        <v/>
      </c>
      <c r="I355" s="273"/>
      <c r="J355" s="273"/>
      <c r="K355" s="273"/>
      <c r="L355" s="273"/>
      <c r="M355" s="273"/>
      <c r="N355" s="273"/>
      <c r="O355" s="271"/>
      <c r="P355" s="270"/>
      <c r="Q355" s="271"/>
      <c r="R355" s="23" t="str" cm="1">
        <f t="array" ref="R355">IF($B355="","",IFERROR(IF(INDEX('Data Quality'!$U$4:$U$503,ROW()-3)=0,"PENDING",INDEX('Data Quality'!$U$4:$U$503,ROW()-3)),"PENDING"))</f>
        <v/>
      </c>
      <c r="S355" s="24" t="str">
        <f t="shared" si="86"/>
        <v/>
      </c>
      <c r="T355" s="25" t="str">
        <f t="shared" si="87"/>
        <v/>
      </c>
      <c r="U355" s="25" t="str">
        <f t="shared" si="88"/>
        <v/>
      </c>
      <c r="V355" s="26" t="str">
        <f t="shared" si="89"/>
        <v/>
      </c>
      <c r="W355" s="26" t="str">
        <f t="shared" si="90"/>
        <v/>
      </c>
      <c r="X355" s="25" t="str">
        <f t="shared" si="91"/>
        <v/>
      </c>
      <c r="Y355" s="25" t="str">
        <f t="shared" si="92"/>
        <v/>
      </c>
      <c r="Z355" s="27" t="str">
        <f>IF($B355="","",IF($AK355&lt;=Settings!$C$21,"",IFERROR(AVERAGEIFS($S$4:$S$503,$B$4:$B$503,$B355,$AK$4:$AK$503,"&gt;="&amp;$AK355-Settings!$C$21,$AK$4:$AK$503,"&lt;="&amp;$AK355-1),"")))</f>
        <v/>
      </c>
      <c r="AA355" s="28" t="str">
        <f t="shared" si="93"/>
        <v/>
      </c>
      <c r="AB355" s="25" t="str">
        <f>IF($B355="","",IF($AK355&lt;=Settings!$C$22,"",IFERROR(AVERAGEIFS($K$4:$K$503,$B$4:$B$503,$B355,$AK$4:$AK$503,"&gt;="&amp;$AK355-Settings!$C$22,$AK$4:$AK$503,"&lt;="&amp;$AK355-1),"")))</f>
        <v/>
      </c>
      <c r="AC355" s="27" t="str">
        <f t="shared" si="94"/>
        <v/>
      </c>
      <c r="AD355" s="28" t="str">
        <f>IF($B355="","",IF($AK355&lt;=Settings!$C$23,"",IFERROR($E355/SUMIFS($E$4:$E$503,$B$4:$B$503,$B355,$AK$4:$AK$503,$AK355-Settings!$C$23)-1,"")))</f>
        <v/>
      </c>
      <c r="AE355" s="28" t="str">
        <f>IF($B355="","",IF($AK355&lt;=Settings!$C$22,"",IFERROR($E355/SUMIFS($E$4:$E$503,$B$4:$B$503,$B355,$AK$4:$AK$503,$AK355-Settings!$C$22)-1,"")))</f>
        <v/>
      </c>
      <c r="AF355" s="28" t="str">
        <f t="shared" si="95"/>
        <v/>
      </c>
      <c r="AG355" s="29" t="str">
        <f>IF($B355="","",ROUND((MIN(100,100*N($I355)/Settings!$C$27)+MIN(100,100*N($K355)/Settings!$C$28)+MIN(100,100*N($J355)/Settings!$C$29))/3,1))</f>
        <v/>
      </c>
      <c r="AH355" s="29" t="str">
        <f>IF($B355="","",IF(SUM(Settings!$C$32:$C$37)=0,"",ROUND((Settings!$C$32*$AO355+Settings!$C$33*$AP355+Settings!$C$34*$AQ355+Settings!$C$35*$AR355+Settings!$C$36*$AS355+Settings!$C$37*$AT355)/SUM(Settings!$C$32:$C$37),1)))</f>
        <v/>
      </c>
      <c r="AI355" s="29" t="str">
        <f>IF($B355="","",MAX(0,100-IF(N($N355)&gt;0,0,20)-IF(AND(N($L355)=0,N($M355)=0),15,0)-IF(N($J355)&gt;0,0,10)-IF(N($K355)&gt;0,0,10)-IF($Z355&lt;&gt;"",0,15)-IF($AB355&lt;&gt;"",0,10)-IF($R355="ERROR",20,IF($R355="WARNING",10,0))))</f>
        <v/>
      </c>
      <c r="AJ355" s="30" t="str">
        <f>IF($AH355="","",IF($AH355&lt;Settings!$C$46,"Extreme Sell Pressure",IF($AH355&lt;Settings!$C$47,"Sell Pressure",IF($AH355&lt;=Settings!$C$48,"Neutral",IF($AH355&lt;=Settings!$C$49,"Buy Pressure","Extreme Buy Pressure")))))</f>
        <v/>
      </c>
      <c r="AK355" s="30" t="str">
        <f t="shared" si="96"/>
        <v/>
      </c>
      <c r="AL355" s="30" t="str">
        <f t="shared" si="97"/>
        <v/>
      </c>
      <c r="AM355" s="30" t="str">
        <f t="shared" si="98"/>
        <v/>
      </c>
      <c r="AN355" s="30" t="str">
        <f t="shared" si="99"/>
        <v/>
      </c>
      <c r="AO355" s="29" t="str">
        <f>IF($B355="","",IF(AND(N($L355)=0,N($M355)=0),50,IF(N($M355)=0,100,IF(N($L355)=0,0,MEDIAN(0,100,50+50*LN($S355)/LN(Settings!$C$40))))))</f>
        <v/>
      </c>
      <c r="AP355" s="29">
        <f>IF($AA355="",50,MEDIAN(0,100,50+$AA355*100*Settings!$C$41))</f>
        <v>50</v>
      </c>
      <c r="AQ355" s="29">
        <f>IF($H355="",50,MEDIAN(0,100,50+$H355*100*Settings!$C$42))</f>
        <v>50</v>
      </c>
      <c r="AR355" s="29">
        <f>IF(OR($AC355="",$H355=""),50,MEDIAN(0,100,50+SIGN($H355)*50*MEDIAN(0,1,($AC355-1)/Settings!$C$43)))</f>
        <v>50</v>
      </c>
      <c r="AS355" s="29">
        <f>IF(OR($V355="",$W355=""),50,MEDIAN(0,100,50+50*($V355-$W355)/Settings!$C$44))</f>
        <v>50</v>
      </c>
      <c r="AT355" s="29">
        <f t="shared" si="100"/>
        <v>50</v>
      </c>
      <c r="AU355" s="30" t="str">
        <f t="shared" si="101"/>
        <v/>
      </c>
      <c r="AV355" s="87" t="str">
        <f>IF($A355="","",IF(COUNTIFS($A$4:$A355,$A355)=1,1,0))</f>
        <v/>
      </c>
    </row>
    <row r="356" spans="1:48" x14ac:dyDescent="0.3">
      <c r="A356" s="270"/>
      <c r="B356" s="271"/>
      <c r="C356" s="272"/>
      <c r="D356" s="272"/>
      <c r="E356" s="272"/>
      <c r="F356" s="272"/>
      <c r="G356" s="272"/>
      <c r="H356" s="268" t="str">
        <f t="shared" si="85"/>
        <v/>
      </c>
      <c r="I356" s="273"/>
      <c r="J356" s="273"/>
      <c r="K356" s="273"/>
      <c r="L356" s="273"/>
      <c r="M356" s="273"/>
      <c r="N356" s="273"/>
      <c r="O356" s="271"/>
      <c r="P356" s="270"/>
      <c r="Q356" s="271"/>
      <c r="R356" s="23" t="str" cm="1">
        <f t="array" ref="R356">IF($B356="","",IFERROR(IF(INDEX('Data Quality'!$U$4:$U$503,ROW()-3)=0,"PENDING",INDEX('Data Quality'!$U$4:$U$503,ROW()-3)),"PENDING"))</f>
        <v/>
      </c>
      <c r="S356" s="24" t="str">
        <f t="shared" si="86"/>
        <v/>
      </c>
      <c r="T356" s="25" t="str">
        <f t="shared" si="87"/>
        <v/>
      </c>
      <c r="U356" s="25" t="str">
        <f t="shared" si="88"/>
        <v/>
      </c>
      <c r="V356" s="26" t="str">
        <f t="shared" si="89"/>
        <v/>
      </c>
      <c r="W356" s="26" t="str">
        <f t="shared" si="90"/>
        <v/>
      </c>
      <c r="X356" s="25" t="str">
        <f t="shared" si="91"/>
        <v/>
      </c>
      <c r="Y356" s="25" t="str">
        <f t="shared" si="92"/>
        <v/>
      </c>
      <c r="Z356" s="27" t="str">
        <f>IF($B356="","",IF($AK356&lt;=Settings!$C$21,"",IFERROR(AVERAGEIFS($S$4:$S$503,$B$4:$B$503,$B356,$AK$4:$AK$503,"&gt;="&amp;$AK356-Settings!$C$21,$AK$4:$AK$503,"&lt;="&amp;$AK356-1),"")))</f>
        <v/>
      </c>
      <c r="AA356" s="28" t="str">
        <f t="shared" si="93"/>
        <v/>
      </c>
      <c r="AB356" s="25" t="str">
        <f>IF($B356="","",IF($AK356&lt;=Settings!$C$22,"",IFERROR(AVERAGEIFS($K$4:$K$503,$B$4:$B$503,$B356,$AK$4:$AK$503,"&gt;="&amp;$AK356-Settings!$C$22,$AK$4:$AK$503,"&lt;="&amp;$AK356-1),"")))</f>
        <v/>
      </c>
      <c r="AC356" s="27" t="str">
        <f t="shared" si="94"/>
        <v/>
      </c>
      <c r="AD356" s="28" t="str">
        <f>IF($B356="","",IF($AK356&lt;=Settings!$C$23,"",IFERROR($E356/SUMIFS($E$4:$E$503,$B$4:$B$503,$B356,$AK$4:$AK$503,$AK356-Settings!$C$23)-1,"")))</f>
        <v/>
      </c>
      <c r="AE356" s="28" t="str">
        <f>IF($B356="","",IF($AK356&lt;=Settings!$C$22,"",IFERROR($E356/SUMIFS($E$4:$E$503,$B$4:$B$503,$B356,$AK$4:$AK$503,$AK356-Settings!$C$22)-1,"")))</f>
        <v/>
      </c>
      <c r="AF356" s="28" t="str">
        <f t="shared" si="95"/>
        <v/>
      </c>
      <c r="AG356" s="29" t="str">
        <f>IF($B356="","",ROUND((MIN(100,100*N($I356)/Settings!$C$27)+MIN(100,100*N($K356)/Settings!$C$28)+MIN(100,100*N($J356)/Settings!$C$29))/3,1))</f>
        <v/>
      </c>
      <c r="AH356" s="29" t="str">
        <f>IF($B356="","",IF(SUM(Settings!$C$32:$C$37)=0,"",ROUND((Settings!$C$32*$AO356+Settings!$C$33*$AP356+Settings!$C$34*$AQ356+Settings!$C$35*$AR356+Settings!$C$36*$AS356+Settings!$C$37*$AT356)/SUM(Settings!$C$32:$C$37),1)))</f>
        <v/>
      </c>
      <c r="AI356" s="29" t="str">
        <f>IF($B356="","",MAX(0,100-IF(N($N356)&gt;0,0,20)-IF(AND(N($L356)=0,N($M356)=0),15,0)-IF(N($J356)&gt;0,0,10)-IF(N($K356)&gt;0,0,10)-IF($Z356&lt;&gt;"",0,15)-IF($AB356&lt;&gt;"",0,10)-IF($R356="ERROR",20,IF($R356="WARNING",10,0))))</f>
        <v/>
      </c>
      <c r="AJ356" s="30" t="str">
        <f>IF($AH356="","",IF($AH356&lt;Settings!$C$46,"Extreme Sell Pressure",IF($AH356&lt;Settings!$C$47,"Sell Pressure",IF($AH356&lt;=Settings!$C$48,"Neutral",IF($AH356&lt;=Settings!$C$49,"Buy Pressure","Extreme Buy Pressure")))))</f>
        <v/>
      </c>
      <c r="AK356" s="30" t="str">
        <f t="shared" si="96"/>
        <v/>
      </c>
      <c r="AL356" s="30" t="str">
        <f t="shared" si="97"/>
        <v/>
      </c>
      <c r="AM356" s="30" t="str">
        <f t="shared" si="98"/>
        <v/>
      </c>
      <c r="AN356" s="30" t="str">
        <f t="shared" si="99"/>
        <v/>
      </c>
      <c r="AO356" s="29" t="str">
        <f>IF($B356="","",IF(AND(N($L356)=0,N($M356)=0),50,IF(N($M356)=0,100,IF(N($L356)=0,0,MEDIAN(0,100,50+50*LN($S356)/LN(Settings!$C$40))))))</f>
        <v/>
      </c>
      <c r="AP356" s="29">
        <f>IF($AA356="",50,MEDIAN(0,100,50+$AA356*100*Settings!$C$41))</f>
        <v>50</v>
      </c>
      <c r="AQ356" s="29">
        <f>IF($H356="",50,MEDIAN(0,100,50+$H356*100*Settings!$C$42))</f>
        <v>50</v>
      </c>
      <c r="AR356" s="29">
        <f>IF(OR($AC356="",$H356=""),50,MEDIAN(0,100,50+SIGN($H356)*50*MEDIAN(0,1,($AC356-1)/Settings!$C$43)))</f>
        <v>50</v>
      </c>
      <c r="AS356" s="29">
        <f>IF(OR($V356="",$W356=""),50,MEDIAN(0,100,50+50*($V356-$W356)/Settings!$C$44))</f>
        <v>50</v>
      </c>
      <c r="AT356" s="29">
        <f t="shared" si="100"/>
        <v>50</v>
      </c>
      <c r="AU356" s="30" t="str">
        <f t="shared" si="101"/>
        <v/>
      </c>
      <c r="AV356" s="87" t="str">
        <f>IF($A356="","",IF(COUNTIFS($A$4:$A356,$A356)=1,1,0))</f>
        <v/>
      </c>
    </row>
    <row r="357" spans="1:48" x14ac:dyDescent="0.3">
      <c r="A357" s="270"/>
      <c r="B357" s="271"/>
      <c r="C357" s="272"/>
      <c r="D357" s="272"/>
      <c r="E357" s="272"/>
      <c r="F357" s="272"/>
      <c r="G357" s="272"/>
      <c r="H357" s="268" t="str">
        <f t="shared" si="85"/>
        <v/>
      </c>
      <c r="I357" s="273"/>
      <c r="J357" s="273"/>
      <c r="K357" s="273"/>
      <c r="L357" s="273"/>
      <c r="M357" s="273"/>
      <c r="N357" s="273"/>
      <c r="O357" s="271"/>
      <c r="P357" s="270"/>
      <c r="Q357" s="271"/>
      <c r="R357" s="23" t="str" cm="1">
        <f t="array" ref="R357">IF($B357="","",IFERROR(IF(INDEX('Data Quality'!$U$4:$U$503,ROW()-3)=0,"PENDING",INDEX('Data Quality'!$U$4:$U$503,ROW()-3)),"PENDING"))</f>
        <v/>
      </c>
      <c r="S357" s="24" t="str">
        <f t="shared" si="86"/>
        <v/>
      </c>
      <c r="T357" s="25" t="str">
        <f t="shared" si="87"/>
        <v/>
      </c>
      <c r="U357" s="25" t="str">
        <f t="shared" si="88"/>
        <v/>
      </c>
      <c r="V357" s="26" t="str">
        <f t="shared" si="89"/>
        <v/>
      </c>
      <c r="W357" s="26" t="str">
        <f t="shared" si="90"/>
        <v/>
      </c>
      <c r="X357" s="25" t="str">
        <f t="shared" si="91"/>
        <v/>
      </c>
      <c r="Y357" s="25" t="str">
        <f t="shared" si="92"/>
        <v/>
      </c>
      <c r="Z357" s="27" t="str">
        <f>IF($B357="","",IF($AK357&lt;=Settings!$C$21,"",IFERROR(AVERAGEIFS($S$4:$S$503,$B$4:$B$503,$B357,$AK$4:$AK$503,"&gt;="&amp;$AK357-Settings!$C$21,$AK$4:$AK$503,"&lt;="&amp;$AK357-1),"")))</f>
        <v/>
      </c>
      <c r="AA357" s="28" t="str">
        <f t="shared" si="93"/>
        <v/>
      </c>
      <c r="AB357" s="25" t="str">
        <f>IF($B357="","",IF($AK357&lt;=Settings!$C$22,"",IFERROR(AVERAGEIFS($K$4:$K$503,$B$4:$B$503,$B357,$AK$4:$AK$503,"&gt;="&amp;$AK357-Settings!$C$22,$AK$4:$AK$503,"&lt;="&amp;$AK357-1),"")))</f>
        <v/>
      </c>
      <c r="AC357" s="27" t="str">
        <f t="shared" si="94"/>
        <v/>
      </c>
      <c r="AD357" s="28" t="str">
        <f>IF($B357="","",IF($AK357&lt;=Settings!$C$23,"",IFERROR($E357/SUMIFS($E$4:$E$503,$B$4:$B$503,$B357,$AK$4:$AK$503,$AK357-Settings!$C$23)-1,"")))</f>
        <v/>
      </c>
      <c r="AE357" s="28" t="str">
        <f>IF($B357="","",IF($AK357&lt;=Settings!$C$22,"",IFERROR($E357/SUMIFS($E$4:$E$503,$B$4:$B$503,$B357,$AK$4:$AK$503,$AK357-Settings!$C$22)-1,"")))</f>
        <v/>
      </c>
      <c r="AF357" s="28" t="str">
        <f t="shared" si="95"/>
        <v/>
      </c>
      <c r="AG357" s="29" t="str">
        <f>IF($B357="","",ROUND((MIN(100,100*N($I357)/Settings!$C$27)+MIN(100,100*N($K357)/Settings!$C$28)+MIN(100,100*N($J357)/Settings!$C$29))/3,1))</f>
        <v/>
      </c>
      <c r="AH357" s="29" t="str">
        <f>IF($B357="","",IF(SUM(Settings!$C$32:$C$37)=0,"",ROUND((Settings!$C$32*$AO357+Settings!$C$33*$AP357+Settings!$C$34*$AQ357+Settings!$C$35*$AR357+Settings!$C$36*$AS357+Settings!$C$37*$AT357)/SUM(Settings!$C$32:$C$37),1)))</f>
        <v/>
      </c>
      <c r="AI357" s="29" t="str">
        <f>IF($B357="","",MAX(0,100-IF(N($N357)&gt;0,0,20)-IF(AND(N($L357)=0,N($M357)=0),15,0)-IF(N($J357)&gt;0,0,10)-IF(N($K357)&gt;0,0,10)-IF($Z357&lt;&gt;"",0,15)-IF($AB357&lt;&gt;"",0,10)-IF($R357="ERROR",20,IF($R357="WARNING",10,0))))</f>
        <v/>
      </c>
      <c r="AJ357" s="30" t="str">
        <f>IF($AH357="","",IF($AH357&lt;Settings!$C$46,"Extreme Sell Pressure",IF($AH357&lt;Settings!$C$47,"Sell Pressure",IF($AH357&lt;=Settings!$C$48,"Neutral",IF($AH357&lt;=Settings!$C$49,"Buy Pressure","Extreme Buy Pressure")))))</f>
        <v/>
      </c>
      <c r="AK357" s="30" t="str">
        <f t="shared" si="96"/>
        <v/>
      </c>
      <c r="AL357" s="30" t="str">
        <f t="shared" si="97"/>
        <v/>
      </c>
      <c r="AM357" s="30" t="str">
        <f t="shared" si="98"/>
        <v/>
      </c>
      <c r="AN357" s="30" t="str">
        <f t="shared" si="99"/>
        <v/>
      </c>
      <c r="AO357" s="29" t="str">
        <f>IF($B357="","",IF(AND(N($L357)=0,N($M357)=0),50,IF(N($M357)=0,100,IF(N($L357)=0,0,MEDIAN(0,100,50+50*LN($S357)/LN(Settings!$C$40))))))</f>
        <v/>
      </c>
      <c r="AP357" s="29">
        <f>IF($AA357="",50,MEDIAN(0,100,50+$AA357*100*Settings!$C$41))</f>
        <v>50</v>
      </c>
      <c r="AQ357" s="29">
        <f>IF($H357="",50,MEDIAN(0,100,50+$H357*100*Settings!$C$42))</f>
        <v>50</v>
      </c>
      <c r="AR357" s="29">
        <f>IF(OR($AC357="",$H357=""),50,MEDIAN(0,100,50+SIGN($H357)*50*MEDIAN(0,1,($AC357-1)/Settings!$C$43)))</f>
        <v>50</v>
      </c>
      <c r="AS357" s="29">
        <f>IF(OR($V357="",$W357=""),50,MEDIAN(0,100,50+50*($V357-$W357)/Settings!$C$44))</f>
        <v>50</v>
      </c>
      <c r="AT357" s="29">
        <f t="shared" si="100"/>
        <v>50</v>
      </c>
      <c r="AU357" s="30" t="str">
        <f t="shared" si="101"/>
        <v/>
      </c>
      <c r="AV357" s="87" t="str">
        <f>IF($A357="","",IF(COUNTIFS($A$4:$A357,$A357)=1,1,0))</f>
        <v/>
      </c>
    </row>
    <row r="358" spans="1:48" x14ac:dyDescent="0.3">
      <c r="A358" s="270"/>
      <c r="B358" s="271"/>
      <c r="C358" s="272"/>
      <c r="D358" s="272"/>
      <c r="E358" s="272"/>
      <c r="F358" s="272"/>
      <c r="G358" s="272"/>
      <c r="H358" s="268" t="str">
        <f t="shared" si="85"/>
        <v/>
      </c>
      <c r="I358" s="273"/>
      <c r="J358" s="273"/>
      <c r="K358" s="273"/>
      <c r="L358" s="273"/>
      <c r="M358" s="273"/>
      <c r="N358" s="273"/>
      <c r="O358" s="271"/>
      <c r="P358" s="270"/>
      <c r="Q358" s="271"/>
      <c r="R358" s="23" t="str" cm="1">
        <f t="array" ref="R358">IF($B358="","",IFERROR(IF(INDEX('Data Quality'!$U$4:$U$503,ROW()-3)=0,"PENDING",INDEX('Data Quality'!$U$4:$U$503,ROW()-3)),"PENDING"))</f>
        <v/>
      </c>
      <c r="S358" s="24" t="str">
        <f t="shared" si="86"/>
        <v/>
      </c>
      <c r="T358" s="25" t="str">
        <f t="shared" si="87"/>
        <v/>
      </c>
      <c r="U358" s="25" t="str">
        <f t="shared" si="88"/>
        <v/>
      </c>
      <c r="V358" s="26" t="str">
        <f t="shared" si="89"/>
        <v/>
      </c>
      <c r="W358" s="26" t="str">
        <f t="shared" si="90"/>
        <v/>
      </c>
      <c r="X358" s="25" t="str">
        <f t="shared" si="91"/>
        <v/>
      </c>
      <c r="Y358" s="25" t="str">
        <f t="shared" si="92"/>
        <v/>
      </c>
      <c r="Z358" s="27" t="str">
        <f>IF($B358="","",IF($AK358&lt;=Settings!$C$21,"",IFERROR(AVERAGEIFS($S$4:$S$503,$B$4:$B$503,$B358,$AK$4:$AK$503,"&gt;="&amp;$AK358-Settings!$C$21,$AK$4:$AK$503,"&lt;="&amp;$AK358-1),"")))</f>
        <v/>
      </c>
      <c r="AA358" s="28" t="str">
        <f t="shared" si="93"/>
        <v/>
      </c>
      <c r="AB358" s="25" t="str">
        <f>IF($B358="","",IF($AK358&lt;=Settings!$C$22,"",IFERROR(AVERAGEIFS($K$4:$K$503,$B$4:$B$503,$B358,$AK$4:$AK$503,"&gt;="&amp;$AK358-Settings!$C$22,$AK$4:$AK$503,"&lt;="&amp;$AK358-1),"")))</f>
        <v/>
      </c>
      <c r="AC358" s="27" t="str">
        <f t="shared" si="94"/>
        <v/>
      </c>
      <c r="AD358" s="28" t="str">
        <f>IF($B358="","",IF($AK358&lt;=Settings!$C$23,"",IFERROR($E358/SUMIFS($E$4:$E$503,$B$4:$B$503,$B358,$AK$4:$AK$503,$AK358-Settings!$C$23)-1,"")))</f>
        <v/>
      </c>
      <c r="AE358" s="28" t="str">
        <f>IF($B358="","",IF($AK358&lt;=Settings!$C$22,"",IFERROR($E358/SUMIFS($E$4:$E$503,$B$4:$B$503,$B358,$AK$4:$AK$503,$AK358-Settings!$C$22)-1,"")))</f>
        <v/>
      </c>
      <c r="AF358" s="28" t="str">
        <f t="shared" si="95"/>
        <v/>
      </c>
      <c r="AG358" s="29" t="str">
        <f>IF($B358="","",ROUND((MIN(100,100*N($I358)/Settings!$C$27)+MIN(100,100*N($K358)/Settings!$C$28)+MIN(100,100*N($J358)/Settings!$C$29))/3,1))</f>
        <v/>
      </c>
      <c r="AH358" s="29" t="str">
        <f>IF($B358="","",IF(SUM(Settings!$C$32:$C$37)=0,"",ROUND((Settings!$C$32*$AO358+Settings!$C$33*$AP358+Settings!$C$34*$AQ358+Settings!$C$35*$AR358+Settings!$C$36*$AS358+Settings!$C$37*$AT358)/SUM(Settings!$C$32:$C$37),1)))</f>
        <v/>
      </c>
      <c r="AI358" s="29" t="str">
        <f>IF($B358="","",MAX(0,100-IF(N($N358)&gt;0,0,20)-IF(AND(N($L358)=0,N($M358)=0),15,0)-IF(N($J358)&gt;0,0,10)-IF(N($K358)&gt;0,0,10)-IF($Z358&lt;&gt;"",0,15)-IF($AB358&lt;&gt;"",0,10)-IF($R358="ERROR",20,IF($R358="WARNING",10,0))))</f>
        <v/>
      </c>
      <c r="AJ358" s="30" t="str">
        <f>IF($AH358="","",IF($AH358&lt;Settings!$C$46,"Extreme Sell Pressure",IF($AH358&lt;Settings!$C$47,"Sell Pressure",IF($AH358&lt;=Settings!$C$48,"Neutral",IF($AH358&lt;=Settings!$C$49,"Buy Pressure","Extreme Buy Pressure")))))</f>
        <v/>
      </c>
      <c r="AK358" s="30" t="str">
        <f t="shared" si="96"/>
        <v/>
      </c>
      <c r="AL358" s="30" t="str">
        <f t="shared" si="97"/>
        <v/>
      </c>
      <c r="AM358" s="30" t="str">
        <f t="shared" si="98"/>
        <v/>
      </c>
      <c r="AN358" s="30" t="str">
        <f t="shared" si="99"/>
        <v/>
      </c>
      <c r="AO358" s="29" t="str">
        <f>IF($B358="","",IF(AND(N($L358)=0,N($M358)=0),50,IF(N($M358)=0,100,IF(N($L358)=0,0,MEDIAN(0,100,50+50*LN($S358)/LN(Settings!$C$40))))))</f>
        <v/>
      </c>
      <c r="AP358" s="29">
        <f>IF($AA358="",50,MEDIAN(0,100,50+$AA358*100*Settings!$C$41))</f>
        <v>50</v>
      </c>
      <c r="AQ358" s="29">
        <f>IF($H358="",50,MEDIAN(0,100,50+$H358*100*Settings!$C$42))</f>
        <v>50</v>
      </c>
      <c r="AR358" s="29">
        <f>IF(OR($AC358="",$H358=""),50,MEDIAN(0,100,50+SIGN($H358)*50*MEDIAN(0,1,($AC358-1)/Settings!$C$43)))</f>
        <v>50</v>
      </c>
      <c r="AS358" s="29">
        <f>IF(OR($V358="",$W358=""),50,MEDIAN(0,100,50+50*($V358-$W358)/Settings!$C$44))</f>
        <v>50</v>
      </c>
      <c r="AT358" s="29">
        <f t="shared" si="100"/>
        <v>50</v>
      </c>
      <c r="AU358" s="30" t="str">
        <f t="shared" si="101"/>
        <v/>
      </c>
      <c r="AV358" s="87" t="str">
        <f>IF($A358="","",IF(COUNTIFS($A$4:$A358,$A358)=1,1,0))</f>
        <v/>
      </c>
    </row>
    <row r="359" spans="1:48" x14ac:dyDescent="0.3">
      <c r="A359" s="270"/>
      <c r="B359" s="271"/>
      <c r="C359" s="272"/>
      <c r="D359" s="272"/>
      <c r="E359" s="272"/>
      <c r="F359" s="272"/>
      <c r="G359" s="272"/>
      <c r="H359" s="268" t="str">
        <f t="shared" si="85"/>
        <v/>
      </c>
      <c r="I359" s="273"/>
      <c r="J359" s="273"/>
      <c r="K359" s="273"/>
      <c r="L359" s="273"/>
      <c r="M359" s="273"/>
      <c r="N359" s="273"/>
      <c r="O359" s="271"/>
      <c r="P359" s="270"/>
      <c r="Q359" s="271"/>
      <c r="R359" s="23" t="str" cm="1">
        <f t="array" ref="R359">IF($B359="","",IFERROR(IF(INDEX('Data Quality'!$U$4:$U$503,ROW()-3)=0,"PENDING",INDEX('Data Quality'!$U$4:$U$503,ROW()-3)),"PENDING"))</f>
        <v/>
      </c>
      <c r="S359" s="24" t="str">
        <f t="shared" si="86"/>
        <v/>
      </c>
      <c r="T359" s="25" t="str">
        <f t="shared" si="87"/>
        <v/>
      </c>
      <c r="U359" s="25" t="str">
        <f t="shared" si="88"/>
        <v/>
      </c>
      <c r="V359" s="26" t="str">
        <f t="shared" si="89"/>
        <v/>
      </c>
      <c r="W359" s="26" t="str">
        <f t="shared" si="90"/>
        <v/>
      </c>
      <c r="X359" s="25" t="str">
        <f t="shared" si="91"/>
        <v/>
      </c>
      <c r="Y359" s="25" t="str">
        <f t="shared" si="92"/>
        <v/>
      </c>
      <c r="Z359" s="27" t="str">
        <f>IF($B359="","",IF($AK359&lt;=Settings!$C$21,"",IFERROR(AVERAGEIFS($S$4:$S$503,$B$4:$B$503,$B359,$AK$4:$AK$503,"&gt;="&amp;$AK359-Settings!$C$21,$AK$4:$AK$503,"&lt;="&amp;$AK359-1),"")))</f>
        <v/>
      </c>
      <c r="AA359" s="28" t="str">
        <f t="shared" si="93"/>
        <v/>
      </c>
      <c r="AB359" s="25" t="str">
        <f>IF($B359="","",IF($AK359&lt;=Settings!$C$22,"",IFERROR(AVERAGEIFS($K$4:$K$503,$B$4:$B$503,$B359,$AK$4:$AK$503,"&gt;="&amp;$AK359-Settings!$C$22,$AK$4:$AK$503,"&lt;="&amp;$AK359-1),"")))</f>
        <v/>
      </c>
      <c r="AC359" s="27" t="str">
        <f t="shared" si="94"/>
        <v/>
      </c>
      <c r="AD359" s="28" t="str">
        <f>IF($B359="","",IF($AK359&lt;=Settings!$C$23,"",IFERROR($E359/SUMIFS($E$4:$E$503,$B$4:$B$503,$B359,$AK$4:$AK$503,$AK359-Settings!$C$23)-1,"")))</f>
        <v/>
      </c>
      <c r="AE359" s="28" t="str">
        <f>IF($B359="","",IF($AK359&lt;=Settings!$C$22,"",IFERROR($E359/SUMIFS($E$4:$E$503,$B$4:$B$503,$B359,$AK$4:$AK$503,$AK359-Settings!$C$22)-1,"")))</f>
        <v/>
      </c>
      <c r="AF359" s="28" t="str">
        <f t="shared" si="95"/>
        <v/>
      </c>
      <c r="AG359" s="29" t="str">
        <f>IF($B359="","",ROUND((MIN(100,100*N($I359)/Settings!$C$27)+MIN(100,100*N($K359)/Settings!$C$28)+MIN(100,100*N($J359)/Settings!$C$29))/3,1))</f>
        <v/>
      </c>
      <c r="AH359" s="29" t="str">
        <f>IF($B359="","",IF(SUM(Settings!$C$32:$C$37)=0,"",ROUND((Settings!$C$32*$AO359+Settings!$C$33*$AP359+Settings!$C$34*$AQ359+Settings!$C$35*$AR359+Settings!$C$36*$AS359+Settings!$C$37*$AT359)/SUM(Settings!$C$32:$C$37),1)))</f>
        <v/>
      </c>
      <c r="AI359" s="29" t="str">
        <f>IF($B359="","",MAX(0,100-IF(N($N359)&gt;0,0,20)-IF(AND(N($L359)=0,N($M359)=0),15,0)-IF(N($J359)&gt;0,0,10)-IF(N($K359)&gt;0,0,10)-IF($Z359&lt;&gt;"",0,15)-IF($AB359&lt;&gt;"",0,10)-IF($R359="ERROR",20,IF($R359="WARNING",10,0))))</f>
        <v/>
      </c>
      <c r="AJ359" s="30" t="str">
        <f>IF($AH359="","",IF($AH359&lt;Settings!$C$46,"Extreme Sell Pressure",IF($AH359&lt;Settings!$C$47,"Sell Pressure",IF($AH359&lt;=Settings!$C$48,"Neutral",IF($AH359&lt;=Settings!$C$49,"Buy Pressure","Extreme Buy Pressure")))))</f>
        <v/>
      </c>
      <c r="AK359" s="30" t="str">
        <f t="shared" si="96"/>
        <v/>
      </c>
      <c r="AL359" s="30" t="str">
        <f t="shared" si="97"/>
        <v/>
      </c>
      <c r="AM359" s="30" t="str">
        <f t="shared" si="98"/>
        <v/>
      </c>
      <c r="AN359" s="30" t="str">
        <f t="shared" si="99"/>
        <v/>
      </c>
      <c r="AO359" s="29" t="str">
        <f>IF($B359="","",IF(AND(N($L359)=0,N($M359)=0),50,IF(N($M359)=0,100,IF(N($L359)=0,0,MEDIAN(0,100,50+50*LN($S359)/LN(Settings!$C$40))))))</f>
        <v/>
      </c>
      <c r="AP359" s="29">
        <f>IF($AA359="",50,MEDIAN(0,100,50+$AA359*100*Settings!$C$41))</f>
        <v>50</v>
      </c>
      <c r="AQ359" s="29">
        <f>IF($H359="",50,MEDIAN(0,100,50+$H359*100*Settings!$C$42))</f>
        <v>50</v>
      </c>
      <c r="AR359" s="29">
        <f>IF(OR($AC359="",$H359=""),50,MEDIAN(0,100,50+SIGN($H359)*50*MEDIAN(0,1,($AC359-1)/Settings!$C$43)))</f>
        <v>50</v>
      </c>
      <c r="AS359" s="29">
        <f>IF(OR($V359="",$W359=""),50,MEDIAN(0,100,50+50*($V359-$W359)/Settings!$C$44))</f>
        <v>50</v>
      </c>
      <c r="AT359" s="29">
        <f t="shared" si="100"/>
        <v>50</v>
      </c>
      <c r="AU359" s="30" t="str">
        <f t="shared" si="101"/>
        <v/>
      </c>
      <c r="AV359" s="87" t="str">
        <f>IF($A359="","",IF(COUNTIFS($A$4:$A359,$A359)=1,1,0))</f>
        <v/>
      </c>
    </row>
    <row r="360" spans="1:48" x14ac:dyDescent="0.3">
      <c r="A360" s="270"/>
      <c r="B360" s="271"/>
      <c r="C360" s="272"/>
      <c r="D360" s="272"/>
      <c r="E360" s="272"/>
      <c r="F360" s="272"/>
      <c r="G360" s="272"/>
      <c r="H360" s="268" t="str">
        <f t="shared" si="85"/>
        <v/>
      </c>
      <c r="I360" s="273"/>
      <c r="J360" s="273"/>
      <c r="K360" s="273"/>
      <c r="L360" s="273"/>
      <c r="M360" s="273"/>
      <c r="N360" s="273"/>
      <c r="O360" s="271"/>
      <c r="P360" s="270"/>
      <c r="Q360" s="271"/>
      <c r="R360" s="23" t="str" cm="1">
        <f t="array" ref="R360">IF($B360="","",IFERROR(IF(INDEX('Data Quality'!$U$4:$U$503,ROW()-3)=0,"PENDING",INDEX('Data Quality'!$U$4:$U$503,ROW()-3)),"PENDING"))</f>
        <v/>
      </c>
      <c r="S360" s="24" t="str">
        <f t="shared" si="86"/>
        <v/>
      </c>
      <c r="T360" s="25" t="str">
        <f t="shared" si="87"/>
        <v/>
      </c>
      <c r="U360" s="25" t="str">
        <f t="shared" si="88"/>
        <v/>
      </c>
      <c r="V360" s="26" t="str">
        <f t="shared" si="89"/>
        <v/>
      </c>
      <c r="W360" s="26" t="str">
        <f t="shared" si="90"/>
        <v/>
      </c>
      <c r="X360" s="25" t="str">
        <f t="shared" si="91"/>
        <v/>
      </c>
      <c r="Y360" s="25" t="str">
        <f t="shared" si="92"/>
        <v/>
      </c>
      <c r="Z360" s="27" t="str">
        <f>IF($B360="","",IF($AK360&lt;=Settings!$C$21,"",IFERROR(AVERAGEIFS($S$4:$S$503,$B$4:$B$503,$B360,$AK$4:$AK$503,"&gt;="&amp;$AK360-Settings!$C$21,$AK$4:$AK$503,"&lt;="&amp;$AK360-1),"")))</f>
        <v/>
      </c>
      <c r="AA360" s="28" t="str">
        <f t="shared" si="93"/>
        <v/>
      </c>
      <c r="AB360" s="25" t="str">
        <f>IF($B360="","",IF($AK360&lt;=Settings!$C$22,"",IFERROR(AVERAGEIFS($K$4:$K$503,$B$4:$B$503,$B360,$AK$4:$AK$503,"&gt;="&amp;$AK360-Settings!$C$22,$AK$4:$AK$503,"&lt;="&amp;$AK360-1),"")))</f>
        <v/>
      </c>
      <c r="AC360" s="27" t="str">
        <f t="shared" si="94"/>
        <v/>
      </c>
      <c r="AD360" s="28" t="str">
        <f>IF($B360="","",IF($AK360&lt;=Settings!$C$23,"",IFERROR($E360/SUMIFS($E$4:$E$503,$B$4:$B$503,$B360,$AK$4:$AK$503,$AK360-Settings!$C$23)-1,"")))</f>
        <v/>
      </c>
      <c r="AE360" s="28" t="str">
        <f>IF($B360="","",IF($AK360&lt;=Settings!$C$22,"",IFERROR($E360/SUMIFS($E$4:$E$503,$B$4:$B$503,$B360,$AK$4:$AK$503,$AK360-Settings!$C$22)-1,"")))</f>
        <v/>
      </c>
      <c r="AF360" s="28" t="str">
        <f t="shared" si="95"/>
        <v/>
      </c>
      <c r="AG360" s="29" t="str">
        <f>IF($B360="","",ROUND((MIN(100,100*N($I360)/Settings!$C$27)+MIN(100,100*N($K360)/Settings!$C$28)+MIN(100,100*N($J360)/Settings!$C$29))/3,1))</f>
        <v/>
      </c>
      <c r="AH360" s="29" t="str">
        <f>IF($B360="","",IF(SUM(Settings!$C$32:$C$37)=0,"",ROUND((Settings!$C$32*$AO360+Settings!$C$33*$AP360+Settings!$C$34*$AQ360+Settings!$C$35*$AR360+Settings!$C$36*$AS360+Settings!$C$37*$AT360)/SUM(Settings!$C$32:$C$37),1)))</f>
        <v/>
      </c>
      <c r="AI360" s="29" t="str">
        <f>IF($B360="","",MAX(0,100-IF(N($N360)&gt;0,0,20)-IF(AND(N($L360)=0,N($M360)=0),15,0)-IF(N($J360)&gt;0,0,10)-IF(N($K360)&gt;0,0,10)-IF($Z360&lt;&gt;"",0,15)-IF($AB360&lt;&gt;"",0,10)-IF($R360="ERROR",20,IF($R360="WARNING",10,0))))</f>
        <v/>
      </c>
      <c r="AJ360" s="30" t="str">
        <f>IF($AH360="","",IF($AH360&lt;Settings!$C$46,"Extreme Sell Pressure",IF($AH360&lt;Settings!$C$47,"Sell Pressure",IF($AH360&lt;=Settings!$C$48,"Neutral",IF($AH360&lt;=Settings!$C$49,"Buy Pressure","Extreme Buy Pressure")))))</f>
        <v/>
      </c>
      <c r="AK360" s="30" t="str">
        <f t="shared" si="96"/>
        <v/>
      </c>
      <c r="AL360" s="30" t="str">
        <f t="shared" si="97"/>
        <v/>
      </c>
      <c r="AM360" s="30" t="str">
        <f t="shared" si="98"/>
        <v/>
      </c>
      <c r="AN360" s="30" t="str">
        <f t="shared" si="99"/>
        <v/>
      </c>
      <c r="AO360" s="29" t="str">
        <f>IF($B360="","",IF(AND(N($L360)=0,N($M360)=0),50,IF(N($M360)=0,100,IF(N($L360)=0,0,MEDIAN(0,100,50+50*LN($S360)/LN(Settings!$C$40))))))</f>
        <v/>
      </c>
      <c r="AP360" s="29">
        <f>IF($AA360="",50,MEDIAN(0,100,50+$AA360*100*Settings!$C$41))</f>
        <v>50</v>
      </c>
      <c r="AQ360" s="29">
        <f>IF($H360="",50,MEDIAN(0,100,50+$H360*100*Settings!$C$42))</f>
        <v>50</v>
      </c>
      <c r="AR360" s="29">
        <f>IF(OR($AC360="",$H360=""),50,MEDIAN(0,100,50+SIGN($H360)*50*MEDIAN(0,1,($AC360-1)/Settings!$C$43)))</f>
        <v>50</v>
      </c>
      <c r="AS360" s="29">
        <f>IF(OR($V360="",$W360=""),50,MEDIAN(0,100,50+50*($V360-$W360)/Settings!$C$44))</f>
        <v>50</v>
      </c>
      <c r="AT360" s="29">
        <f t="shared" si="100"/>
        <v>50</v>
      </c>
      <c r="AU360" s="30" t="str">
        <f t="shared" si="101"/>
        <v/>
      </c>
      <c r="AV360" s="87" t="str">
        <f>IF($A360="","",IF(COUNTIFS($A$4:$A360,$A360)=1,1,0))</f>
        <v/>
      </c>
    </row>
    <row r="361" spans="1:48" x14ac:dyDescent="0.3">
      <c r="A361" s="270"/>
      <c r="B361" s="271"/>
      <c r="C361" s="272"/>
      <c r="D361" s="272"/>
      <c r="E361" s="272"/>
      <c r="F361" s="272"/>
      <c r="G361" s="272"/>
      <c r="H361" s="268" t="str">
        <f t="shared" si="85"/>
        <v/>
      </c>
      <c r="I361" s="273"/>
      <c r="J361" s="273"/>
      <c r="K361" s="273"/>
      <c r="L361" s="273"/>
      <c r="M361" s="273"/>
      <c r="N361" s="273"/>
      <c r="O361" s="271"/>
      <c r="P361" s="270"/>
      <c r="Q361" s="271"/>
      <c r="R361" s="23" t="str" cm="1">
        <f t="array" ref="R361">IF($B361="","",IFERROR(IF(INDEX('Data Quality'!$U$4:$U$503,ROW()-3)=0,"PENDING",INDEX('Data Quality'!$U$4:$U$503,ROW()-3)),"PENDING"))</f>
        <v/>
      </c>
      <c r="S361" s="24" t="str">
        <f t="shared" si="86"/>
        <v/>
      </c>
      <c r="T361" s="25" t="str">
        <f t="shared" si="87"/>
        <v/>
      </c>
      <c r="U361" s="25" t="str">
        <f t="shared" si="88"/>
        <v/>
      </c>
      <c r="V361" s="26" t="str">
        <f t="shared" si="89"/>
        <v/>
      </c>
      <c r="W361" s="26" t="str">
        <f t="shared" si="90"/>
        <v/>
      </c>
      <c r="X361" s="25" t="str">
        <f t="shared" si="91"/>
        <v/>
      </c>
      <c r="Y361" s="25" t="str">
        <f t="shared" si="92"/>
        <v/>
      </c>
      <c r="Z361" s="27" t="str">
        <f>IF($B361="","",IF($AK361&lt;=Settings!$C$21,"",IFERROR(AVERAGEIFS($S$4:$S$503,$B$4:$B$503,$B361,$AK$4:$AK$503,"&gt;="&amp;$AK361-Settings!$C$21,$AK$4:$AK$503,"&lt;="&amp;$AK361-1),"")))</f>
        <v/>
      </c>
      <c r="AA361" s="28" t="str">
        <f t="shared" si="93"/>
        <v/>
      </c>
      <c r="AB361" s="25" t="str">
        <f>IF($B361="","",IF($AK361&lt;=Settings!$C$22,"",IFERROR(AVERAGEIFS($K$4:$K$503,$B$4:$B$503,$B361,$AK$4:$AK$503,"&gt;="&amp;$AK361-Settings!$C$22,$AK$4:$AK$503,"&lt;="&amp;$AK361-1),"")))</f>
        <v/>
      </c>
      <c r="AC361" s="27" t="str">
        <f t="shared" si="94"/>
        <v/>
      </c>
      <c r="AD361" s="28" t="str">
        <f>IF($B361="","",IF($AK361&lt;=Settings!$C$23,"",IFERROR($E361/SUMIFS($E$4:$E$503,$B$4:$B$503,$B361,$AK$4:$AK$503,$AK361-Settings!$C$23)-1,"")))</f>
        <v/>
      </c>
      <c r="AE361" s="28" t="str">
        <f>IF($B361="","",IF($AK361&lt;=Settings!$C$22,"",IFERROR($E361/SUMIFS($E$4:$E$503,$B$4:$B$503,$B361,$AK$4:$AK$503,$AK361-Settings!$C$22)-1,"")))</f>
        <v/>
      </c>
      <c r="AF361" s="28" t="str">
        <f t="shared" si="95"/>
        <v/>
      </c>
      <c r="AG361" s="29" t="str">
        <f>IF($B361="","",ROUND((MIN(100,100*N($I361)/Settings!$C$27)+MIN(100,100*N($K361)/Settings!$C$28)+MIN(100,100*N($J361)/Settings!$C$29))/3,1))</f>
        <v/>
      </c>
      <c r="AH361" s="29" t="str">
        <f>IF($B361="","",IF(SUM(Settings!$C$32:$C$37)=0,"",ROUND((Settings!$C$32*$AO361+Settings!$C$33*$AP361+Settings!$C$34*$AQ361+Settings!$C$35*$AR361+Settings!$C$36*$AS361+Settings!$C$37*$AT361)/SUM(Settings!$C$32:$C$37),1)))</f>
        <v/>
      </c>
      <c r="AI361" s="29" t="str">
        <f>IF($B361="","",MAX(0,100-IF(N($N361)&gt;0,0,20)-IF(AND(N($L361)=0,N($M361)=0),15,0)-IF(N($J361)&gt;0,0,10)-IF(N($K361)&gt;0,0,10)-IF($Z361&lt;&gt;"",0,15)-IF($AB361&lt;&gt;"",0,10)-IF($R361="ERROR",20,IF($R361="WARNING",10,0))))</f>
        <v/>
      </c>
      <c r="AJ361" s="30" t="str">
        <f>IF($AH361="","",IF($AH361&lt;Settings!$C$46,"Extreme Sell Pressure",IF($AH361&lt;Settings!$C$47,"Sell Pressure",IF($AH361&lt;=Settings!$C$48,"Neutral",IF($AH361&lt;=Settings!$C$49,"Buy Pressure","Extreme Buy Pressure")))))</f>
        <v/>
      </c>
      <c r="AK361" s="30" t="str">
        <f t="shared" si="96"/>
        <v/>
      </c>
      <c r="AL361" s="30" t="str">
        <f t="shared" si="97"/>
        <v/>
      </c>
      <c r="AM361" s="30" t="str">
        <f t="shared" si="98"/>
        <v/>
      </c>
      <c r="AN361" s="30" t="str">
        <f t="shared" si="99"/>
        <v/>
      </c>
      <c r="AO361" s="29" t="str">
        <f>IF($B361="","",IF(AND(N($L361)=0,N($M361)=0),50,IF(N($M361)=0,100,IF(N($L361)=0,0,MEDIAN(0,100,50+50*LN($S361)/LN(Settings!$C$40))))))</f>
        <v/>
      </c>
      <c r="AP361" s="29">
        <f>IF($AA361="",50,MEDIAN(0,100,50+$AA361*100*Settings!$C$41))</f>
        <v>50</v>
      </c>
      <c r="AQ361" s="29">
        <f>IF($H361="",50,MEDIAN(0,100,50+$H361*100*Settings!$C$42))</f>
        <v>50</v>
      </c>
      <c r="AR361" s="29">
        <f>IF(OR($AC361="",$H361=""),50,MEDIAN(0,100,50+SIGN($H361)*50*MEDIAN(0,1,($AC361-1)/Settings!$C$43)))</f>
        <v>50</v>
      </c>
      <c r="AS361" s="29">
        <f>IF(OR($V361="",$W361=""),50,MEDIAN(0,100,50+50*($V361-$W361)/Settings!$C$44))</f>
        <v>50</v>
      </c>
      <c r="AT361" s="29">
        <f t="shared" si="100"/>
        <v>50</v>
      </c>
      <c r="AU361" s="30" t="str">
        <f t="shared" si="101"/>
        <v/>
      </c>
      <c r="AV361" s="87" t="str">
        <f>IF($A361="","",IF(COUNTIFS($A$4:$A361,$A361)=1,1,0))</f>
        <v/>
      </c>
    </row>
    <row r="362" spans="1:48" x14ac:dyDescent="0.3">
      <c r="A362" s="270"/>
      <c r="B362" s="271"/>
      <c r="C362" s="272"/>
      <c r="D362" s="272"/>
      <c r="E362" s="272"/>
      <c r="F362" s="272"/>
      <c r="G362" s="272"/>
      <c r="H362" s="268" t="str">
        <f t="shared" si="85"/>
        <v/>
      </c>
      <c r="I362" s="273"/>
      <c r="J362" s="273"/>
      <c r="K362" s="273"/>
      <c r="L362" s="273"/>
      <c r="M362" s="273"/>
      <c r="N362" s="273"/>
      <c r="O362" s="271"/>
      <c r="P362" s="270"/>
      <c r="Q362" s="271"/>
      <c r="R362" s="23" t="str" cm="1">
        <f t="array" ref="R362">IF($B362="","",IFERROR(IF(INDEX('Data Quality'!$U$4:$U$503,ROW()-3)=0,"PENDING",INDEX('Data Quality'!$U$4:$U$503,ROW()-3)),"PENDING"))</f>
        <v/>
      </c>
      <c r="S362" s="24" t="str">
        <f t="shared" si="86"/>
        <v/>
      </c>
      <c r="T362" s="25" t="str">
        <f t="shared" si="87"/>
        <v/>
      </c>
      <c r="U362" s="25" t="str">
        <f t="shared" si="88"/>
        <v/>
      </c>
      <c r="V362" s="26" t="str">
        <f t="shared" si="89"/>
        <v/>
      </c>
      <c r="W362" s="26" t="str">
        <f t="shared" si="90"/>
        <v/>
      </c>
      <c r="X362" s="25" t="str">
        <f t="shared" si="91"/>
        <v/>
      </c>
      <c r="Y362" s="25" t="str">
        <f t="shared" si="92"/>
        <v/>
      </c>
      <c r="Z362" s="27" t="str">
        <f>IF($B362="","",IF($AK362&lt;=Settings!$C$21,"",IFERROR(AVERAGEIFS($S$4:$S$503,$B$4:$B$503,$B362,$AK$4:$AK$503,"&gt;="&amp;$AK362-Settings!$C$21,$AK$4:$AK$503,"&lt;="&amp;$AK362-1),"")))</f>
        <v/>
      </c>
      <c r="AA362" s="28" t="str">
        <f t="shared" si="93"/>
        <v/>
      </c>
      <c r="AB362" s="25" t="str">
        <f>IF($B362="","",IF($AK362&lt;=Settings!$C$22,"",IFERROR(AVERAGEIFS($K$4:$K$503,$B$4:$B$503,$B362,$AK$4:$AK$503,"&gt;="&amp;$AK362-Settings!$C$22,$AK$4:$AK$503,"&lt;="&amp;$AK362-1),"")))</f>
        <v/>
      </c>
      <c r="AC362" s="27" t="str">
        <f t="shared" si="94"/>
        <v/>
      </c>
      <c r="AD362" s="28" t="str">
        <f>IF($B362="","",IF($AK362&lt;=Settings!$C$23,"",IFERROR($E362/SUMIFS($E$4:$E$503,$B$4:$B$503,$B362,$AK$4:$AK$503,$AK362-Settings!$C$23)-1,"")))</f>
        <v/>
      </c>
      <c r="AE362" s="28" t="str">
        <f>IF($B362="","",IF($AK362&lt;=Settings!$C$22,"",IFERROR($E362/SUMIFS($E$4:$E$503,$B$4:$B$503,$B362,$AK$4:$AK$503,$AK362-Settings!$C$22)-1,"")))</f>
        <v/>
      </c>
      <c r="AF362" s="28" t="str">
        <f t="shared" si="95"/>
        <v/>
      </c>
      <c r="AG362" s="29" t="str">
        <f>IF($B362="","",ROUND((MIN(100,100*N($I362)/Settings!$C$27)+MIN(100,100*N($K362)/Settings!$C$28)+MIN(100,100*N($J362)/Settings!$C$29))/3,1))</f>
        <v/>
      </c>
      <c r="AH362" s="29" t="str">
        <f>IF($B362="","",IF(SUM(Settings!$C$32:$C$37)=0,"",ROUND((Settings!$C$32*$AO362+Settings!$C$33*$AP362+Settings!$C$34*$AQ362+Settings!$C$35*$AR362+Settings!$C$36*$AS362+Settings!$C$37*$AT362)/SUM(Settings!$C$32:$C$37),1)))</f>
        <v/>
      </c>
      <c r="AI362" s="29" t="str">
        <f>IF($B362="","",MAX(0,100-IF(N($N362)&gt;0,0,20)-IF(AND(N($L362)=0,N($M362)=0),15,0)-IF(N($J362)&gt;0,0,10)-IF(N($K362)&gt;0,0,10)-IF($Z362&lt;&gt;"",0,15)-IF($AB362&lt;&gt;"",0,10)-IF($R362="ERROR",20,IF($R362="WARNING",10,0))))</f>
        <v/>
      </c>
      <c r="AJ362" s="30" t="str">
        <f>IF($AH362="","",IF($AH362&lt;Settings!$C$46,"Extreme Sell Pressure",IF($AH362&lt;Settings!$C$47,"Sell Pressure",IF($AH362&lt;=Settings!$C$48,"Neutral",IF($AH362&lt;=Settings!$C$49,"Buy Pressure","Extreme Buy Pressure")))))</f>
        <v/>
      </c>
      <c r="AK362" s="30" t="str">
        <f t="shared" si="96"/>
        <v/>
      </c>
      <c r="AL362" s="30" t="str">
        <f t="shared" si="97"/>
        <v/>
      </c>
      <c r="AM362" s="30" t="str">
        <f t="shared" si="98"/>
        <v/>
      </c>
      <c r="AN362" s="30" t="str">
        <f t="shared" si="99"/>
        <v/>
      </c>
      <c r="AO362" s="29" t="str">
        <f>IF($B362="","",IF(AND(N($L362)=0,N($M362)=0),50,IF(N($M362)=0,100,IF(N($L362)=0,0,MEDIAN(0,100,50+50*LN($S362)/LN(Settings!$C$40))))))</f>
        <v/>
      </c>
      <c r="AP362" s="29">
        <f>IF($AA362="",50,MEDIAN(0,100,50+$AA362*100*Settings!$C$41))</f>
        <v>50</v>
      </c>
      <c r="AQ362" s="29">
        <f>IF($H362="",50,MEDIAN(0,100,50+$H362*100*Settings!$C$42))</f>
        <v>50</v>
      </c>
      <c r="AR362" s="29">
        <f>IF(OR($AC362="",$H362=""),50,MEDIAN(0,100,50+SIGN($H362)*50*MEDIAN(0,1,($AC362-1)/Settings!$C$43)))</f>
        <v>50</v>
      </c>
      <c r="AS362" s="29">
        <f>IF(OR($V362="",$W362=""),50,MEDIAN(0,100,50+50*($V362-$W362)/Settings!$C$44))</f>
        <v>50</v>
      </c>
      <c r="AT362" s="29">
        <f t="shared" si="100"/>
        <v>50</v>
      </c>
      <c r="AU362" s="30" t="str">
        <f t="shared" si="101"/>
        <v/>
      </c>
      <c r="AV362" s="87" t="str">
        <f>IF($A362="","",IF(COUNTIFS($A$4:$A362,$A362)=1,1,0))</f>
        <v/>
      </c>
    </row>
    <row r="363" spans="1:48" x14ac:dyDescent="0.3">
      <c r="A363" s="270"/>
      <c r="B363" s="271"/>
      <c r="C363" s="272"/>
      <c r="D363" s="272"/>
      <c r="E363" s="272"/>
      <c r="F363" s="272"/>
      <c r="G363" s="272"/>
      <c r="H363" s="268" t="str">
        <f t="shared" si="85"/>
        <v/>
      </c>
      <c r="I363" s="273"/>
      <c r="J363" s="273"/>
      <c r="K363" s="273"/>
      <c r="L363" s="273"/>
      <c r="M363" s="273"/>
      <c r="N363" s="273"/>
      <c r="O363" s="271"/>
      <c r="P363" s="270"/>
      <c r="Q363" s="271"/>
      <c r="R363" s="23" t="str" cm="1">
        <f t="array" ref="R363">IF($B363="","",IFERROR(IF(INDEX('Data Quality'!$U$4:$U$503,ROW()-3)=0,"PENDING",INDEX('Data Quality'!$U$4:$U$503,ROW()-3)),"PENDING"))</f>
        <v/>
      </c>
      <c r="S363" s="24" t="str">
        <f t="shared" si="86"/>
        <v/>
      </c>
      <c r="T363" s="25" t="str">
        <f t="shared" si="87"/>
        <v/>
      </c>
      <c r="U363" s="25" t="str">
        <f t="shared" si="88"/>
        <v/>
      </c>
      <c r="V363" s="26" t="str">
        <f t="shared" si="89"/>
        <v/>
      </c>
      <c r="W363" s="26" t="str">
        <f t="shared" si="90"/>
        <v/>
      </c>
      <c r="X363" s="25" t="str">
        <f t="shared" si="91"/>
        <v/>
      </c>
      <c r="Y363" s="25" t="str">
        <f t="shared" si="92"/>
        <v/>
      </c>
      <c r="Z363" s="27" t="str">
        <f>IF($B363="","",IF($AK363&lt;=Settings!$C$21,"",IFERROR(AVERAGEIFS($S$4:$S$503,$B$4:$B$503,$B363,$AK$4:$AK$503,"&gt;="&amp;$AK363-Settings!$C$21,$AK$4:$AK$503,"&lt;="&amp;$AK363-1),"")))</f>
        <v/>
      </c>
      <c r="AA363" s="28" t="str">
        <f t="shared" si="93"/>
        <v/>
      </c>
      <c r="AB363" s="25" t="str">
        <f>IF($B363="","",IF($AK363&lt;=Settings!$C$22,"",IFERROR(AVERAGEIFS($K$4:$K$503,$B$4:$B$503,$B363,$AK$4:$AK$503,"&gt;="&amp;$AK363-Settings!$C$22,$AK$4:$AK$503,"&lt;="&amp;$AK363-1),"")))</f>
        <v/>
      </c>
      <c r="AC363" s="27" t="str">
        <f t="shared" si="94"/>
        <v/>
      </c>
      <c r="AD363" s="28" t="str">
        <f>IF($B363="","",IF($AK363&lt;=Settings!$C$23,"",IFERROR($E363/SUMIFS($E$4:$E$503,$B$4:$B$503,$B363,$AK$4:$AK$503,$AK363-Settings!$C$23)-1,"")))</f>
        <v/>
      </c>
      <c r="AE363" s="28" t="str">
        <f>IF($B363="","",IF($AK363&lt;=Settings!$C$22,"",IFERROR($E363/SUMIFS($E$4:$E$503,$B$4:$B$503,$B363,$AK$4:$AK$503,$AK363-Settings!$C$22)-1,"")))</f>
        <v/>
      </c>
      <c r="AF363" s="28" t="str">
        <f t="shared" si="95"/>
        <v/>
      </c>
      <c r="AG363" s="29" t="str">
        <f>IF($B363="","",ROUND((MIN(100,100*N($I363)/Settings!$C$27)+MIN(100,100*N($K363)/Settings!$C$28)+MIN(100,100*N($J363)/Settings!$C$29))/3,1))</f>
        <v/>
      </c>
      <c r="AH363" s="29" t="str">
        <f>IF($B363="","",IF(SUM(Settings!$C$32:$C$37)=0,"",ROUND((Settings!$C$32*$AO363+Settings!$C$33*$AP363+Settings!$C$34*$AQ363+Settings!$C$35*$AR363+Settings!$C$36*$AS363+Settings!$C$37*$AT363)/SUM(Settings!$C$32:$C$37),1)))</f>
        <v/>
      </c>
      <c r="AI363" s="29" t="str">
        <f>IF($B363="","",MAX(0,100-IF(N($N363)&gt;0,0,20)-IF(AND(N($L363)=0,N($M363)=0),15,0)-IF(N($J363)&gt;0,0,10)-IF(N($K363)&gt;0,0,10)-IF($Z363&lt;&gt;"",0,15)-IF($AB363&lt;&gt;"",0,10)-IF($R363="ERROR",20,IF($R363="WARNING",10,0))))</f>
        <v/>
      </c>
      <c r="AJ363" s="30" t="str">
        <f>IF($AH363="","",IF($AH363&lt;Settings!$C$46,"Extreme Sell Pressure",IF($AH363&lt;Settings!$C$47,"Sell Pressure",IF($AH363&lt;=Settings!$C$48,"Neutral",IF($AH363&lt;=Settings!$C$49,"Buy Pressure","Extreme Buy Pressure")))))</f>
        <v/>
      </c>
      <c r="AK363" s="30" t="str">
        <f t="shared" si="96"/>
        <v/>
      </c>
      <c r="AL363" s="30" t="str">
        <f t="shared" si="97"/>
        <v/>
      </c>
      <c r="AM363" s="30" t="str">
        <f t="shared" si="98"/>
        <v/>
      </c>
      <c r="AN363" s="30" t="str">
        <f t="shared" si="99"/>
        <v/>
      </c>
      <c r="AO363" s="29" t="str">
        <f>IF($B363="","",IF(AND(N($L363)=0,N($M363)=0),50,IF(N($M363)=0,100,IF(N($L363)=0,0,MEDIAN(0,100,50+50*LN($S363)/LN(Settings!$C$40))))))</f>
        <v/>
      </c>
      <c r="AP363" s="29">
        <f>IF($AA363="",50,MEDIAN(0,100,50+$AA363*100*Settings!$C$41))</f>
        <v>50</v>
      </c>
      <c r="AQ363" s="29">
        <f>IF($H363="",50,MEDIAN(0,100,50+$H363*100*Settings!$C$42))</f>
        <v>50</v>
      </c>
      <c r="AR363" s="29">
        <f>IF(OR($AC363="",$H363=""),50,MEDIAN(0,100,50+SIGN($H363)*50*MEDIAN(0,1,($AC363-1)/Settings!$C$43)))</f>
        <v>50</v>
      </c>
      <c r="AS363" s="29">
        <f>IF(OR($V363="",$W363=""),50,MEDIAN(0,100,50+50*($V363-$W363)/Settings!$C$44))</f>
        <v>50</v>
      </c>
      <c r="AT363" s="29">
        <f t="shared" si="100"/>
        <v>50</v>
      </c>
      <c r="AU363" s="30" t="str">
        <f t="shared" si="101"/>
        <v/>
      </c>
      <c r="AV363" s="87" t="str">
        <f>IF($A363="","",IF(COUNTIFS($A$4:$A363,$A363)=1,1,0))</f>
        <v/>
      </c>
    </row>
    <row r="364" spans="1:48" x14ac:dyDescent="0.3">
      <c r="A364" s="270"/>
      <c r="B364" s="271"/>
      <c r="C364" s="272"/>
      <c r="D364" s="272"/>
      <c r="E364" s="272"/>
      <c r="F364" s="272"/>
      <c r="G364" s="272"/>
      <c r="H364" s="268" t="str">
        <f t="shared" si="85"/>
        <v/>
      </c>
      <c r="I364" s="273"/>
      <c r="J364" s="273"/>
      <c r="K364" s="273"/>
      <c r="L364" s="273"/>
      <c r="M364" s="273"/>
      <c r="N364" s="273"/>
      <c r="O364" s="271"/>
      <c r="P364" s="270"/>
      <c r="Q364" s="271"/>
      <c r="R364" s="23" t="str" cm="1">
        <f t="array" ref="R364">IF($B364="","",IFERROR(IF(INDEX('Data Quality'!$U$4:$U$503,ROW()-3)=0,"PENDING",INDEX('Data Quality'!$U$4:$U$503,ROW()-3)),"PENDING"))</f>
        <v/>
      </c>
      <c r="S364" s="24" t="str">
        <f t="shared" si="86"/>
        <v/>
      </c>
      <c r="T364" s="25" t="str">
        <f t="shared" si="87"/>
        <v/>
      </c>
      <c r="U364" s="25" t="str">
        <f t="shared" si="88"/>
        <v/>
      </c>
      <c r="V364" s="26" t="str">
        <f t="shared" si="89"/>
        <v/>
      </c>
      <c r="W364" s="26" t="str">
        <f t="shared" si="90"/>
        <v/>
      </c>
      <c r="X364" s="25" t="str">
        <f t="shared" si="91"/>
        <v/>
      </c>
      <c r="Y364" s="25" t="str">
        <f t="shared" si="92"/>
        <v/>
      </c>
      <c r="Z364" s="27" t="str">
        <f>IF($B364="","",IF($AK364&lt;=Settings!$C$21,"",IFERROR(AVERAGEIFS($S$4:$S$503,$B$4:$B$503,$B364,$AK$4:$AK$503,"&gt;="&amp;$AK364-Settings!$C$21,$AK$4:$AK$503,"&lt;="&amp;$AK364-1),"")))</f>
        <v/>
      </c>
      <c r="AA364" s="28" t="str">
        <f t="shared" si="93"/>
        <v/>
      </c>
      <c r="AB364" s="25" t="str">
        <f>IF($B364="","",IF($AK364&lt;=Settings!$C$22,"",IFERROR(AVERAGEIFS($K$4:$K$503,$B$4:$B$503,$B364,$AK$4:$AK$503,"&gt;="&amp;$AK364-Settings!$C$22,$AK$4:$AK$503,"&lt;="&amp;$AK364-1),"")))</f>
        <v/>
      </c>
      <c r="AC364" s="27" t="str">
        <f t="shared" si="94"/>
        <v/>
      </c>
      <c r="AD364" s="28" t="str">
        <f>IF($B364="","",IF($AK364&lt;=Settings!$C$23,"",IFERROR($E364/SUMIFS($E$4:$E$503,$B$4:$B$503,$B364,$AK$4:$AK$503,$AK364-Settings!$C$23)-1,"")))</f>
        <v/>
      </c>
      <c r="AE364" s="28" t="str">
        <f>IF($B364="","",IF($AK364&lt;=Settings!$C$22,"",IFERROR($E364/SUMIFS($E$4:$E$503,$B$4:$B$503,$B364,$AK$4:$AK$503,$AK364-Settings!$C$22)-1,"")))</f>
        <v/>
      </c>
      <c r="AF364" s="28" t="str">
        <f t="shared" si="95"/>
        <v/>
      </c>
      <c r="AG364" s="29" t="str">
        <f>IF($B364="","",ROUND((MIN(100,100*N($I364)/Settings!$C$27)+MIN(100,100*N($K364)/Settings!$C$28)+MIN(100,100*N($J364)/Settings!$C$29))/3,1))</f>
        <v/>
      </c>
      <c r="AH364" s="29" t="str">
        <f>IF($B364="","",IF(SUM(Settings!$C$32:$C$37)=0,"",ROUND((Settings!$C$32*$AO364+Settings!$C$33*$AP364+Settings!$C$34*$AQ364+Settings!$C$35*$AR364+Settings!$C$36*$AS364+Settings!$C$37*$AT364)/SUM(Settings!$C$32:$C$37),1)))</f>
        <v/>
      </c>
      <c r="AI364" s="29" t="str">
        <f>IF($B364="","",MAX(0,100-IF(N($N364)&gt;0,0,20)-IF(AND(N($L364)=0,N($M364)=0),15,0)-IF(N($J364)&gt;0,0,10)-IF(N($K364)&gt;0,0,10)-IF($Z364&lt;&gt;"",0,15)-IF($AB364&lt;&gt;"",0,10)-IF($R364="ERROR",20,IF($R364="WARNING",10,0))))</f>
        <v/>
      </c>
      <c r="AJ364" s="30" t="str">
        <f>IF($AH364="","",IF($AH364&lt;Settings!$C$46,"Extreme Sell Pressure",IF($AH364&lt;Settings!$C$47,"Sell Pressure",IF($AH364&lt;=Settings!$C$48,"Neutral",IF($AH364&lt;=Settings!$C$49,"Buy Pressure","Extreme Buy Pressure")))))</f>
        <v/>
      </c>
      <c r="AK364" s="30" t="str">
        <f t="shared" si="96"/>
        <v/>
      </c>
      <c r="AL364" s="30" t="str">
        <f t="shared" si="97"/>
        <v/>
      </c>
      <c r="AM364" s="30" t="str">
        <f t="shared" si="98"/>
        <v/>
      </c>
      <c r="AN364" s="30" t="str">
        <f t="shared" si="99"/>
        <v/>
      </c>
      <c r="AO364" s="29" t="str">
        <f>IF($B364="","",IF(AND(N($L364)=0,N($M364)=0),50,IF(N($M364)=0,100,IF(N($L364)=0,0,MEDIAN(0,100,50+50*LN($S364)/LN(Settings!$C$40))))))</f>
        <v/>
      </c>
      <c r="AP364" s="29">
        <f>IF($AA364="",50,MEDIAN(0,100,50+$AA364*100*Settings!$C$41))</f>
        <v>50</v>
      </c>
      <c r="AQ364" s="29">
        <f>IF($H364="",50,MEDIAN(0,100,50+$H364*100*Settings!$C$42))</f>
        <v>50</v>
      </c>
      <c r="AR364" s="29">
        <f>IF(OR($AC364="",$H364=""),50,MEDIAN(0,100,50+SIGN($H364)*50*MEDIAN(0,1,($AC364-1)/Settings!$C$43)))</f>
        <v>50</v>
      </c>
      <c r="AS364" s="29">
        <f>IF(OR($V364="",$W364=""),50,MEDIAN(0,100,50+50*($V364-$W364)/Settings!$C$44))</f>
        <v>50</v>
      </c>
      <c r="AT364" s="29">
        <f t="shared" si="100"/>
        <v>50</v>
      </c>
      <c r="AU364" s="30" t="str">
        <f t="shared" si="101"/>
        <v/>
      </c>
      <c r="AV364" s="87" t="str">
        <f>IF($A364="","",IF(COUNTIFS($A$4:$A364,$A364)=1,1,0))</f>
        <v/>
      </c>
    </row>
    <row r="365" spans="1:48" x14ac:dyDescent="0.3">
      <c r="A365" s="270"/>
      <c r="B365" s="271"/>
      <c r="C365" s="272"/>
      <c r="D365" s="272"/>
      <c r="E365" s="272"/>
      <c r="F365" s="272"/>
      <c r="G365" s="272"/>
      <c r="H365" s="268" t="str">
        <f t="shared" si="85"/>
        <v/>
      </c>
      <c r="I365" s="273"/>
      <c r="J365" s="273"/>
      <c r="K365" s="273"/>
      <c r="L365" s="273"/>
      <c r="M365" s="273"/>
      <c r="N365" s="273"/>
      <c r="O365" s="271"/>
      <c r="P365" s="270"/>
      <c r="Q365" s="271"/>
      <c r="R365" s="23" t="str" cm="1">
        <f t="array" ref="R365">IF($B365="","",IFERROR(IF(INDEX('Data Quality'!$U$4:$U$503,ROW()-3)=0,"PENDING",INDEX('Data Quality'!$U$4:$U$503,ROW()-3)),"PENDING"))</f>
        <v/>
      </c>
      <c r="S365" s="24" t="str">
        <f t="shared" si="86"/>
        <v/>
      </c>
      <c r="T365" s="25" t="str">
        <f t="shared" si="87"/>
        <v/>
      </c>
      <c r="U365" s="25" t="str">
        <f t="shared" si="88"/>
        <v/>
      </c>
      <c r="V365" s="26" t="str">
        <f t="shared" si="89"/>
        <v/>
      </c>
      <c r="W365" s="26" t="str">
        <f t="shared" si="90"/>
        <v/>
      </c>
      <c r="X365" s="25" t="str">
        <f t="shared" si="91"/>
        <v/>
      </c>
      <c r="Y365" s="25" t="str">
        <f t="shared" si="92"/>
        <v/>
      </c>
      <c r="Z365" s="27" t="str">
        <f>IF($B365="","",IF($AK365&lt;=Settings!$C$21,"",IFERROR(AVERAGEIFS($S$4:$S$503,$B$4:$B$503,$B365,$AK$4:$AK$503,"&gt;="&amp;$AK365-Settings!$C$21,$AK$4:$AK$503,"&lt;="&amp;$AK365-1),"")))</f>
        <v/>
      </c>
      <c r="AA365" s="28" t="str">
        <f t="shared" si="93"/>
        <v/>
      </c>
      <c r="AB365" s="25" t="str">
        <f>IF($B365="","",IF($AK365&lt;=Settings!$C$22,"",IFERROR(AVERAGEIFS($K$4:$K$503,$B$4:$B$503,$B365,$AK$4:$AK$503,"&gt;="&amp;$AK365-Settings!$C$22,$AK$4:$AK$503,"&lt;="&amp;$AK365-1),"")))</f>
        <v/>
      </c>
      <c r="AC365" s="27" t="str">
        <f t="shared" si="94"/>
        <v/>
      </c>
      <c r="AD365" s="28" t="str">
        <f>IF($B365="","",IF($AK365&lt;=Settings!$C$23,"",IFERROR($E365/SUMIFS($E$4:$E$503,$B$4:$B$503,$B365,$AK$4:$AK$503,$AK365-Settings!$C$23)-1,"")))</f>
        <v/>
      </c>
      <c r="AE365" s="28" t="str">
        <f>IF($B365="","",IF($AK365&lt;=Settings!$C$22,"",IFERROR($E365/SUMIFS($E$4:$E$503,$B$4:$B$503,$B365,$AK$4:$AK$503,$AK365-Settings!$C$22)-1,"")))</f>
        <v/>
      </c>
      <c r="AF365" s="28" t="str">
        <f t="shared" si="95"/>
        <v/>
      </c>
      <c r="AG365" s="29" t="str">
        <f>IF($B365="","",ROUND((MIN(100,100*N($I365)/Settings!$C$27)+MIN(100,100*N($K365)/Settings!$C$28)+MIN(100,100*N($J365)/Settings!$C$29))/3,1))</f>
        <v/>
      </c>
      <c r="AH365" s="29" t="str">
        <f>IF($B365="","",IF(SUM(Settings!$C$32:$C$37)=0,"",ROUND((Settings!$C$32*$AO365+Settings!$C$33*$AP365+Settings!$C$34*$AQ365+Settings!$C$35*$AR365+Settings!$C$36*$AS365+Settings!$C$37*$AT365)/SUM(Settings!$C$32:$C$37),1)))</f>
        <v/>
      </c>
      <c r="AI365" s="29" t="str">
        <f>IF($B365="","",MAX(0,100-IF(N($N365)&gt;0,0,20)-IF(AND(N($L365)=0,N($M365)=0),15,0)-IF(N($J365)&gt;0,0,10)-IF(N($K365)&gt;0,0,10)-IF($Z365&lt;&gt;"",0,15)-IF($AB365&lt;&gt;"",0,10)-IF($R365="ERROR",20,IF($R365="WARNING",10,0))))</f>
        <v/>
      </c>
      <c r="AJ365" s="30" t="str">
        <f>IF($AH365="","",IF($AH365&lt;Settings!$C$46,"Extreme Sell Pressure",IF($AH365&lt;Settings!$C$47,"Sell Pressure",IF($AH365&lt;=Settings!$C$48,"Neutral",IF($AH365&lt;=Settings!$C$49,"Buy Pressure","Extreme Buy Pressure")))))</f>
        <v/>
      </c>
      <c r="AK365" s="30" t="str">
        <f t="shared" si="96"/>
        <v/>
      </c>
      <c r="AL365" s="30" t="str">
        <f t="shared" si="97"/>
        <v/>
      </c>
      <c r="AM365" s="30" t="str">
        <f t="shared" si="98"/>
        <v/>
      </c>
      <c r="AN365" s="30" t="str">
        <f t="shared" si="99"/>
        <v/>
      </c>
      <c r="AO365" s="29" t="str">
        <f>IF($B365="","",IF(AND(N($L365)=0,N($M365)=0),50,IF(N($M365)=0,100,IF(N($L365)=0,0,MEDIAN(0,100,50+50*LN($S365)/LN(Settings!$C$40))))))</f>
        <v/>
      </c>
      <c r="AP365" s="29">
        <f>IF($AA365="",50,MEDIAN(0,100,50+$AA365*100*Settings!$C$41))</f>
        <v>50</v>
      </c>
      <c r="AQ365" s="29">
        <f>IF($H365="",50,MEDIAN(0,100,50+$H365*100*Settings!$C$42))</f>
        <v>50</v>
      </c>
      <c r="AR365" s="29">
        <f>IF(OR($AC365="",$H365=""),50,MEDIAN(0,100,50+SIGN($H365)*50*MEDIAN(0,1,($AC365-1)/Settings!$C$43)))</f>
        <v>50</v>
      </c>
      <c r="AS365" s="29">
        <f>IF(OR($V365="",$W365=""),50,MEDIAN(0,100,50+50*($V365-$W365)/Settings!$C$44))</f>
        <v>50</v>
      </c>
      <c r="AT365" s="29">
        <f t="shared" si="100"/>
        <v>50</v>
      </c>
      <c r="AU365" s="30" t="str">
        <f t="shared" si="101"/>
        <v/>
      </c>
      <c r="AV365" s="87" t="str">
        <f>IF($A365="","",IF(COUNTIFS($A$4:$A365,$A365)=1,1,0))</f>
        <v/>
      </c>
    </row>
    <row r="366" spans="1:48" x14ac:dyDescent="0.3">
      <c r="A366" s="270"/>
      <c r="B366" s="271"/>
      <c r="C366" s="272"/>
      <c r="D366" s="272"/>
      <c r="E366" s="272"/>
      <c r="F366" s="272"/>
      <c r="G366" s="272"/>
      <c r="H366" s="268" t="str">
        <f t="shared" si="85"/>
        <v/>
      </c>
      <c r="I366" s="273"/>
      <c r="J366" s="273"/>
      <c r="K366" s="273"/>
      <c r="L366" s="273"/>
      <c r="M366" s="273"/>
      <c r="N366" s="273"/>
      <c r="O366" s="271"/>
      <c r="P366" s="270"/>
      <c r="Q366" s="271"/>
      <c r="R366" s="23" t="str" cm="1">
        <f t="array" ref="R366">IF($B366="","",IFERROR(IF(INDEX('Data Quality'!$U$4:$U$503,ROW()-3)=0,"PENDING",INDEX('Data Quality'!$U$4:$U$503,ROW()-3)),"PENDING"))</f>
        <v/>
      </c>
      <c r="S366" s="24" t="str">
        <f t="shared" si="86"/>
        <v/>
      </c>
      <c r="T366" s="25" t="str">
        <f t="shared" si="87"/>
        <v/>
      </c>
      <c r="U366" s="25" t="str">
        <f t="shared" si="88"/>
        <v/>
      </c>
      <c r="V366" s="26" t="str">
        <f t="shared" si="89"/>
        <v/>
      </c>
      <c r="W366" s="26" t="str">
        <f t="shared" si="90"/>
        <v/>
      </c>
      <c r="X366" s="25" t="str">
        <f t="shared" si="91"/>
        <v/>
      </c>
      <c r="Y366" s="25" t="str">
        <f t="shared" si="92"/>
        <v/>
      </c>
      <c r="Z366" s="27" t="str">
        <f>IF($B366="","",IF($AK366&lt;=Settings!$C$21,"",IFERROR(AVERAGEIFS($S$4:$S$503,$B$4:$B$503,$B366,$AK$4:$AK$503,"&gt;="&amp;$AK366-Settings!$C$21,$AK$4:$AK$503,"&lt;="&amp;$AK366-1),"")))</f>
        <v/>
      </c>
      <c r="AA366" s="28" t="str">
        <f t="shared" si="93"/>
        <v/>
      </c>
      <c r="AB366" s="25" t="str">
        <f>IF($B366="","",IF($AK366&lt;=Settings!$C$22,"",IFERROR(AVERAGEIFS($K$4:$K$503,$B$4:$B$503,$B366,$AK$4:$AK$503,"&gt;="&amp;$AK366-Settings!$C$22,$AK$4:$AK$503,"&lt;="&amp;$AK366-1),"")))</f>
        <v/>
      </c>
      <c r="AC366" s="27" t="str">
        <f t="shared" si="94"/>
        <v/>
      </c>
      <c r="AD366" s="28" t="str">
        <f>IF($B366="","",IF($AK366&lt;=Settings!$C$23,"",IFERROR($E366/SUMIFS($E$4:$E$503,$B$4:$B$503,$B366,$AK$4:$AK$503,$AK366-Settings!$C$23)-1,"")))</f>
        <v/>
      </c>
      <c r="AE366" s="28" t="str">
        <f>IF($B366="","",IF($AK366&lt;=Settings!$C$22,"",IFERROR($E366/SUMIFS($E$4:$E$503,$B$4:$B$503,$B366,$AK$4:$AK$503,$AK366-Settings!$C$22)-1,"")))</f>
        <v/>
      </c>
      <c r="AF366" s="28" t="str">
        <f t="shared" si="95"/>
        <v/>
      </c>
      <c r="AG366" s="29" t="str">
        <f>IF($B366="","",ROUND((MIN(100,100*N($I366)/Settings!$C$27)+MIN(100,100*N($K366)/Settings!$C$28)+MIN(100,100*N($J366)/Settings!$C$29))/3,1))</f>
        <v/>
      </c>
      <c r="AH366" s="29" t="str">
        <f>IF($B366="","",IF(SUM(Settings!$C$32:$C$37)=0,"",ROUND((Settings!$C$32*$AO366+Settings!$C$33*$AP366+Settings!$C$34*$AQ366+Settings!$C$35*$AR366+Settings!$C$36*$AS366+Settings!$C$37*$AT366)/SUM(Settings!$C$32:$C$37),1)))</f>
        <v/>
      </c>
      <c r="AI366" s="29" t="str">
        <f>IF($B366="","",MAX(0,100-IF(N($N366)&gt;0,0,20)-IF(AND(N($L366)=0,N($M366)=0),15,0)-IF(N($J366)&gt;0,0,10)-IF(N($K366)&gt;0,0,10)-IF($Z366&lt;&gt;"",0,15)-IF($AB366&lt;&gt;"",0,10)-IF($R366="ERROR",20,IF($R366="WARNING",10,0))))</f>
        <v/>
      </c>
      <c r="AJ366" s="30" t="str">
        <f>IF($AH366="","",IF($AH366&lt;Settings!$C$46,"Extreme Sell Pressure",IF($AH366&lt;Settings!$C$47,"Sell Pressure",IF($AH366&lt;=Settings!$C$48,"Neutral",IF($AH366&lt;=Settings!$C$49,"Buy Pressure","Extreme Buy Pressure")))))</f>
        <v/>
      </c>
      <c r="AK366" s="30" t="str">
        <f t="shared" si="96"/>
        <v/>
      </c>
      <c r="AL366" s="30" t="str">
        <f t="shared" si="97"/>
        <v/>
      </c>
      <c r="AM366" s="30" t="str">
        <f t="shared" si="98"/>
        <v/>
      </c>
      <c r="AN366" s="30" t="str">
        <f t="shared" si="99"/>
        <v/>
      </c>
      <c r="AO366" s="29" t="str">
        <f>IF($B366="","",IF(AND(N($L366)=0,N($M366)=0),50,IF(N($M366)=0,100,IF(N($L366)=0,0,MEDIAN(0,100,50+50*LN($S366)/LN(Settings!$C$40))))))</f>
        <v/>
      </c>
      <c r="AP366" s="29">
        <f>IF($AA366="",50,MEDIAN(0,100,50+$AA366*100*Settings!$C$41))</f>
        <v>50</v>
      </c>
      <c r="AQ366" s="29">
        <f>IF($H366="",50,MEDIAN(0,100,50+$H366*100*Settings!$C$42))</f>
        <v>50</v>
      </c>
      <c r="AR366" s="29">
        <f>IF(OR($AC366="",$H366=""),50,MEDIAN(0,100,50+SIGN($H366)*50*MEDIAN(0,1,($AC366-1)/Settings!$C$43)))</f>
        <v>50</v>
      </c>
      <c r="AS366" s="29">
        <f>IF(OR($V366="",$W366=""),50,MEDIAN(0,100,50+50*($V366-$W366)/Settings!$C$44))</f>
        <v>50</v>
      </c>
      <c r="AT366" s="29">
        <f t="shared" si="100"/>
        <v>50</v>
      </c>
      <c r="AU366" s="30" t="str">
        <f t="shared" si="101"/>
        <v/>
      </c>
      <c r="AV366" s="87" t="str">
        <f>IF($A366="","",IF(COUNTIFS($A$4:$A366,$A366)=1,1,0))</f>
        <v/>
      </c>
    </row>
    <row r="367" spans="1:48" x14ac:dyDescent="0.3">
      <c r="A367" s="270"/>
      <c r="B367" s="271"/>
      <c r="C367" s="272"/>
      <c r="D367" s="272"/>
      <c r="E367" s="272"/>
      <c r="F367" s="272"/>
      <c r="G367" s="272"/>
      <c r="H367" s="268" t="str">
        <f t="shared" si="85"/>
        <v/>
      </c>
      <c r="I367" s="273"/>
      <c r="J367" s="273"/>
      <c r="K367" s="273"/>
      <c r="L367" s="273"/>
      <c r="M367" s="273"/>
      <c r="N367" s="273"/>
      <c r="O367" s="271"/>
      <c r="P367" s="270"/>
      <c r="Q367" s="271"/>
      <c r="R367" s="23" t="str" cm="1">
        <f t="array" ref="R367">IF($B367="","",IFERROR(IF(INDEX('Data Quality'!$U$4:$U$503,ROW()-3)=0,"PENDING",INDEX('Data Quality'!$U$4:$U$503,ROW()-3)),"PENDING"))</f>
        <v/>
      </c>
      <c r="S367" s="24" t="str">
        <f t="shared" si="86"/>
        <v/>
      </c>
      <c r="T367" s="25" t="str">
        <f t="shared" si="87"/>
        <v/>
      </c>
      <c r="U367" s="25" t="str">
        <f t="shared" si="88"/>
        <v/>
      </c>
      <c r="V367" s="26" t="str">
        <f t="shared" si="89"/>
        <v/>
      </c>
      <c r="W367" s="26" t="str">
        <f t="shared" si="90"/>
        <v/>
      </c>
      <c r="X367" s="25" t="str">
        <f t="shared" si="91"/>
        <v/>
      </c>
      <c r="Y367" s="25" t="str">
        <f t="shared" si="92"/>
        <v/>
      </c>
      <c r="Z367" s="27" t="str">
        <f>IF($B367="","",IF($AK367&lt;=Settings!$C$21,"",IFERROR(AVERAGEIFS($S$4:$S$503,$B$4:$B$503,$B367,$AK$4:$AK$503,"&gt;="&amp;$AK367-Settings!$C$21,$AK$4:$AK$503,"&lt;="&amp;$AK367-1),"")))</f>
        <v/>
      </c>
      <c r="AA367" s="28" t="str">
        <f t="shared" si="93"/>
        <v/>
      </c>
      <c r="AB367" s="25" t="str">
        <f>IF($B367="","",IF($AK367&lt;=Settings!$C$22,"",IFERROR(AVERAGEIFS($K$4:$K$503,$B$4:$B$503,$B367,$AK$4:$AK$503,"&gt;="&amp;$AK367-Settings!$C$22,$AK$4:$AK$503,"&lt;="&amp;$AK367-1),"")))</f>
        <v/>
      </c>
      <c r="AC367" s="27" t="str">
        <f t="shared" si="94"/>
        <v/>
      </c>
      <c r="AD367" s="28" t="str">
        <f>IF($B367="","",IF($AK367&lt;=Settings!$C$23,"",IFERROR($E367/SUMIFS($E$4:$E$503,$B$4:$B$503,$B367,$AK$4:$AK$503,$AK367-Settings!$C$23)-1,"")))</f>
        <v/>
      </c>
      <c r="AE367" s="28" t="str">
        <f>IF($B367="","",IF($AK367&lt;=Settings!$C$22,"",IFERROR($E367/SUMIFS($E$4:$E$503,$B$4:$B$503,$B367,$AK$4:$AK$503,$AK367-Settings!$C$22)-1,"")))</f>
        <v/>
      </c>
      <c r="AF367" s="28" t="str">
        <f t="shared" si="95"/>
        <v/>
      </c>
      <c r="AG367" s="29" t="str">
        <f>IF($B367="","",ROUND((MIN(100,100*N($I367)/Settings!$C$27)+MIN(100,100*N($K367)/Settings!$C$28)+MIN(100,100*N($J367)/Settings!$C$29))/3,1))</f>
        <v/>
      </c>
      <c r="AH367" s="29" t="str">
        <f>IF($B367="","",IF(SUM(Settings!$C$32:$C$37)=0,"",ROUND((Settings!$C$32*$AO367+Settings!$C$33*$AP367+Settings!$C$34*$AQ367+Settings!$C$35*$AR367+Settings!$C$36*$AS367+Settings!$C$37*$AT367)/SUM(Settings!$C$32:$C$37),1)))</f>
        <v/>
      </c>
      <c r="AI367" s="29" t="str">
        <f>IF($B367="","",MAX(0,100-IF(N($N367)&gt;0,0,20)-IF(AND(N($L367)=0,N($M367)=0),15,0)-IF(N($J367)&gt;0,0,10)-IF(N($K367)&gt;0,0,10)-IF($Z367&lt;&gt;"",0,15)-IF($AB367&lt;&gt;"",0,10)-IF($R367="ERROR",20,IF($R367="WARNING",10,0))))</f>
        <v/>
      </c>
      <c r="AJ367" s="30" t="str">
        <f>IF($AH367="","",IF($AH367&lt;Settings!$C$46,"Extreme Sell Pressure",IF($AH367&lt;Settings!$C$47,"Sell Pressure",IF($AH367&lt;=Settings!$C$48,"Neutral",IF($AH367&lt;=Settings!$C$49,"Buy Pressure","Extreme Buy Pressure")))))</f>
        <v/>
      </c>
      <c r="AK367" s="30" t="str">
        <f t="shared" si="96"/>
        <v/>
      </c>
      <c r="AL367" s="30" t="str">
        <f t="shared" si="97"/>
        <v/>
      </c>
      <c r="AM367" s="30" t="str">
        <f t="shared" si="98"/>
        <v/>
      </c>
      <c r="AN367" s="30" t="str">
        <f t="shared" si="99"/>
        <v/>
      </c>
      <c r="AO367" s="29" t="str">
        <f>IF($B367="","",IF(AND(N($L367)=0,N($M367)=0),50,IF(N($M367)=0,100,IF(N($L367)=0,0,MEDIAN(0,100,50+50*LN($S367)/LN(Settings!$C$40))))))</f>
        <v/>
      </c>
      <c r="AP367" s="29">
        <f>IF($AA367="",50,MEDIAN(0,100,50+$AA367*100*Settings!$C$41))</f>
        <v>50</v>
      </c>
      <c r="AQ367" s="29">
        <f>IF($H367="",50,MEDIAN(0,100,50+$H367*100*Settings!$C$42))</f>
        <v>50</v>
      </c>
      <c r="AR367" s="29">
        <f>IF(OR($AC367="",$H367=""),50,MEDIAN(0,100,50+SIGN($H367)*50*MEDIAN(0,1,($AC367-1)/Settings!$C$43)))</f>
        <v>50</v>
      </c>
      <c r="AS367" s="29">
        <f>IF(OR($V367="",$W367=""),50,MEDIAN(0,100,50+50*($V367-$W367)/Settings!$C$44))</f>
        <v>50</v>
      </c>
      <c r="AT367" s="29">
        <f t="shared" si="100"/>
        <v>50</v>
      </c>
      <c r="AU367" s="30" t="str">
        <f t="shared" si="101"/>
        <v/>
      </c>
      <c r="AV367" s="87" t="str">
        <f>IF($A367="","",IF(COUNTIFS($A$4:$A367,$A367)=1,1,0))</f>
        <v/>
      </c>
    </row>
    <row r="368" spans="1:48" x14ac:dyDescent="0.3">
      <c r="A368" s="270"/>
      <c r="B368" s="271"/>
      <c r="C368" s="272"/>
      <c r="D368" s="272"/>
      <c r="E368" s="272"/>
      <c r="F368" s="272"/>
      <c r="G368" s="272"/>
      <c r="H368" s="268" t="str">
        <f t="shared" si="85"/>
        <v/>
      </c>
      <c r="I368" s="273"/>
      <c r="J368" s="273"/>
      <c r="K368" s="273"/>
      <c r="L368" s="273"/>
      <c r="M368" s="273"/>
      <c r="N368" s="273"/>
      <c r="O368" s="271"/>
      <c r="P368" s="270"/>
      <c r="Q368" s="271"/>
      <c r="R368" s="23" t="str" cm="1">
        <f t="array" ref="R368">IF($B368="","",IFERROR(IF(INDEX('Data Quality'!$U$4:$U$503,ROW()-3)=0,"PENDING",INDEX('Data Quality'!$U$4:$U$503,ROW()-3)),"PENDING"))</f>
        <v/>
      </c>
      <c r="S368" s="24" t="str">
        <f t="shared" si="86"/>
        <v/>
      </c>
      <c r="T368" s="25" t="str">
        <f t="shared" si="87"/>
        <v/>
      </c>
      <c r="U368" s="25" t="str">
        <f t="shared" si="88"/>
        <v/>
      </c>
      <c r="V368" s="26" t="str">
        <f t="shared" si="89"/>
        <v/>
      </c>
      <c r="W368" s="26" t="str">
        <f t="shared" si="90"/>
        <v/>
      </c>
      <c r="X368" s="25" t="str">
        <f t="shared" si="91"/>
        <v/>
      </c>
      <c r="Y368" s="25" t="str">
        <f t="shared" si="92"/>
        <v/>
      </c>
      <c r="Z368" s="27" t="str">
        <f>IF($B368="","",IF($AK368&lt;=Settings!$C$21,"",IFERROR(AVERAGEIFS($S$4:$S$503,$B$4:$B$503,$B368,$AK$4:$AK$503,"&gt;="&amp;$AK368-Settings!$C$21,$AK$4:$AK$503,"&lt;="&amp;$AK368-1),"")))</f>
        <v/>
      </c>
      <c r="AA368" s="28" t="str">
        <f t="shared" si="93"/>
        <v/>
      </c>
      <c r="AB368" s="25" t="str">
        <f>IF($B368="","",IF($AK368&lt;=Settings!$C$22,"",IFERROR(AVERAGEIFS($K$4:$K$503,$B$4:$B$503,$B368,$AK$4:$AK$503,"&gt;="&amp;$AK368-Settings!$C$22,$AK$4:$AK$503,"&lt;="&amp;$AK368-1),"")))</f>
        <v/>
      </c>
      <c r="AC368" s="27" t="str">
        <f t="shared" si="94"/>
        <v/>
      </c>
      <c r="AD368" s="28" t="str">
        <f>IF($B368="","",IF($AK368&lt;=Settings!$C$23,"",IFERROR($E368/SUMIFS($E$4:$E$503,$B$4:$B$503,$B368,$AK$4:$AK$503,$AK368-Settings!$C$23)-1,"")))</f>
        <v/>
      </c>
      <c r="AE368" s="28" t="str">
        <f>IF($B368="","",IF($AK368&lt;=Settings!$C$22,"",IFERROR($E368/SUMIFS($E$4:$E$503,$B$4:$B$503,$B368,$AK$4:$AK$503,$AK368-Settings!$C$22)-1,"")))</f>
        <v/>
      </c>
      <c r="AF368" s="28" t="str">
        <f t="shared" si="95"/>
        <v/>
      </c>
      <c r="AG368" s="29" t="str">
        <f>IF($B368="","",ROUND((MIN(100,100*N($I368)/Settings!$C$27)+MIN(100,100*N($K368)/Settings!$C$28)+MIN(100,100*N($J368)/Settings!$C$29))/3,1))</f>
        <v/>
      </c>
      <c r="AH368" s="29" t="str">
        <f>IF($B368="","",IF(SUM(Settings!$C$32:$C$37)=0,"",ROUND((Settings!$C$32*$AO368+Settings!$C$33*$AP368+Settings!$C$34*$AQ368+Settings!$C$35*$AR368+Settings!$C$36*$AS368+Settings!$C$37*$AT368)/SUM(Settings!$C$32:$C$37),1)))</f>
        <v/>
      </c>
      <c r="AI368" s="29" t="str">
        <f>IF($B368="","",MAX(0,100-IF(N($N368)&gt;0,0,20)-IF(AND(N($L368)=0,N($M368)=0),15,0)-IF(N($J368)&gt;0,0,10)-IF(N($K368)&gt;0,0,10)-IF($Z368&lt;&gt;"",0,15)-IF($AB368&lt;&gt;"",0,10)-IF($R368="ERROR",20,IF($R368="WARNING",10,0))))</f>
        <v/>
      </c>
      <c r="AJ368" s="30" t="str">
        <f>IF($AH368="","",IF($AH368&lt;Settings!$C$46,"Extreme Sell Pressure",IF($AH368&lt;Settings!$C$47,"Sell Pressure",IF($AH368&lt;=Settings!$C$48,"Neutral",IF($AH368&lt;=Settings!$C$49,"Buy Pressure","Extreme Buy Pressure")))))</f>
        <v/>
      </c>
      <c r="AK368" s="30" t="str">
        <f t="shared" si="96"/>
        <v/>
      </c>
      <c r="AL368" s="30" t="str">
        <f t="shared" si="97"/>
        <v/>
      </c>
      <c r="AM368" s="30" t="str">
        <f t="shared" si="98"/>
        <v/>
      </c>
      <c r="AN368" s="30" t="str">
        <f t="shared" si="99"/>
        <v/>
      </c>
      <c r="AO368" s="29" t="str">
        <f>IF($B368="","",IF(AND(N($L368)=0,N($M368)=0),50,IF(N($M368)=0,100,IF(N($L368)=0,0,MEDIAN(0,100,50+50*LN($S368)/LN(Settings!$C$40))))))</f>
        <v/>
      </c>
      <c r="AP368" s="29">
        <f>IF($AA368="",50,MEDIAN(0,100,50+$AA368*100*Settings!$C$41))</f>
        <v>50</v>
      </c>
      <c r="AQ368" s="29">
        <f>IF($H368="",50,MEDIAN(0,100,50+$H368*100*Settings!$C$42))</f>
        <v>50</v>
      </c>
      <c r="AR368" s="29">
        <f>IF(OR($AC368="",$H368=""),50,MEDIAN(0,100,50+SIGN($H368)*50*MEDIAN(0,1,($AC368-1)/Settings!$C$43)))</f>
        <v>50</v>
      </c>
      <c r="AS368" s="29">
        <f>IF(OR($V368="",$W368=""),50,MEDIAN(0,100,50+50*($V368-$W368)/Settings!$C$44))</f>
        <v>50</v>
      </c>
      <c r="AT368" s="29">
        <f t="shared" si="100"/>
        <v>50</v>
      </c>
      <c r="AU368" s="30" t="str">
        <f t="shared" si="101"/>
        <v/>
      </c>
      <c r="AV368" s="87" t="str">
        <f>IF($A368="","",IF(COUNTIFS($A$4:$A368,$A368)=1,1,0))</f>
        <v/>
      </c>
    </row>
    <row r="369" spans="1:48" x14ac:dyDescent="0.3">
      <c r="A369" s="270"/>
      <c r="B369" s="271"/>
      <c r="C369" s="272"/>
      <c r="D369" s="272"/>
      <c r="E369" s="272"/>
      <c r="F369" s="272"/>
      <c r="G369" s="272"/>
      <c r="H369" s="268" t="str">
        <f t="shared" si="85"/>
        <v/>
      </c>
      <c r="I369" s="273"/>
      <c r="J369" s="273"/>
      <c r="K369" s="273"/>
      <c r="L369" s="273"/>
      <c r="M369" s="273"/>
      <c r="N369" s="273"/>
      <c r="O369" s="271"/>
      <c r="P369" s="270"/>
      <c r="Q369" s="271"/>
      <c r="R369" s="23" t="str" cm="1">
        <f t="array" ref="R369">IF($B369="","",IFERROR(IF(INDEX('Data Quality'!$U$4:$U$503,ROW()-3)=0,"PENDING",INDEX('Data Quality'!$U$4:$U$503,ROW()-3)),"PENDING"))</f>
        <v/>
      </c>
      <c r="S369" s="24" t="str">
        <f t="shared" si="86"/>
        <v/>
      </c>
      <c r="T369" s="25" t="str">
        <f t="shared" si="87"/>
        <v/>
      </c>
      <c r="U369" s="25" t="str">
        <f t="shared" si="88"/>
        <v/>
      </c>
      <c r="V369" s="26" t="str">
        <f t="shared" si="89"/>
        <v/>
      </c>
      <c r="W369" s="26" t="str">
        <f t="shared" si="90"/>
        <v/>
      </c>
      <c r="X369" s="25" t="str">
        <f t="shared" si="91"/>
        <v/>
      </c>
      <c r="Y369" s="25" t="str">
        <f t="shared" si="92"/>
        <v/>
      </c>
      <c r="Z369" s="27" t="str">
        <f>IF($B369="","",IF($AK369&lt;=Settings!$C$21,"",IFERROR(AVERAGEIFS($S$4:$S$503,$B$4:$B$503,$B369,$AK$4:$AK$503,"&gt;="&amp;$AK369-Settings!$C$21,$AK$4:$AK$503,"&lt;="&amp;$AK369-1),"")))</f>
        <v/>
      </c>
      <c r="AA369" s="28" t="str">
        <f t="shared" si="93"/>
        <v/>
      </c>
      <c r="AB369" s="25" t="str">
        <f>IF($B369="","",IF($AK369&lt;=Settings!$C$22,"",IFERROR(AVERAGEIFS($K$4:$K$503,$B$4:$B$503,$B369,$AK$4:$AK$503,"&gt;="&amp;$AK369-Settings!$C$22,$AK$4:$AK$503,"&lt;="&amp;$AK369-1),"")))</f>
        <v/>
      </c>
      <c r="AC369" s="27" t="str">
        <f t="shared" si="94"/>
        <v/>
      </c>
      <c r="AD369" s="28" t="str">
        <f>IF($B369="","",IF($AK369&lt;=Settings!$C$23,"",IFERROR($E369/SUMIFS($E$4:$E$503,$B$4:$B$503,$B369,$AK$4:$AK$503,$AK369-Settings!$C$23)-1,"")))</f>
        <v/>
      </c>
      <c r="AE369" s="28" t="str">
        <f>IF($B369="","",IF($AK369&lt;=Settings!$C$22,"",IFERROR($E369/SUMIFS($E$4:$E$503,$B$4:$B$503,$B369,$AK$4:$AK$503,$AK369-Settings!$C$22)-1,"")))</f>
        <v/>
      </c>
      <c r="AF369" s="28" t="str">
        <f t="shared" si="95"/>
        <v/>
      </c>
      <c r="AG369" s="29" t="str">
        <f>IF($B369="","",ROUND((MIN(100,100*N($I369)/Settings!$C$27)+MIN(100,100*N($K369)/Settings!$C$28)+MIN(100,100*N($J369)/Settings!$C$29))/3,1))</f>
        <v/>
      </c>
      <c r="AH369" s="29" t="str">
        <f>IF($B369="","",IF(SUM(Settings!$C$32:$C$37)=0,"",ROUND((Settings!$C$32*$AO369+Settings!$C$33*$AP369+Settings!$C$34*$AQ369+Settings!$C$35*$AR369+Settings!$C$36*$AS369+Settings!$C$37*$AT369)/SUM(Settings!$C$32:$C$37),1)))</f>
        <v/>
      </c>
      <c r="AI369" s="29" t="str">
        <f>IF($B369="","",MAX(0,100-IF(N($N369)&gt;0,0,20)-IF(AND(N($L369)=0,N($M369)=0),15,0)-IF(N($J369)&gt;0,0,10)-IF(N($K369)&gt;0,0,10)-IF($Z369&lt;&gt;"",0,15)-IF($AB369&lt;&gt;"",0,10)-IF($R369="ERROR",20,IF($R369="WARNING",10,0))))</f>
        <v/>
      </c>
      <c r="AJ369" s="30" t="str">
        <f>IF($AH369="","",IF($AH369&lt;Settings!$C$46,"Extreme Sell Pressure",IF($AH369&lt;Settings!$C$47,"Sell Pressure",IF($AH369&lt;=Settings!$C$48,"Neutral",IF($AH369&lt;=Settings!$C$49,"Buy Pressure","Extreme Buy Pressure")))))</f>
        <v/>
      </c>
      <c r="AK369" s="30" t="str">
        <f t="shared" si="96"/>
        <v/>
      </c>
      <c r="AL369" s="30" t="str">
        <f t="shared" si="97"/>
        <v/>
      </c>
      <c r="AM369" s="30" t="str">
        <f t="shared" si="98"/>
        <v/>
      </c>
      <c r="AN369" s="30" t="str">
        <f t="shared" si="99"/>
        <v/>
      </c>
      <c r="AO369" s="29" t="str">
        <f>IF($B369="","",IF(AND(N($L369)=0,N($M369)=0),50,IF(N($M369)=0,100,IF(N($L369)=0,0,MEDIAN(0,100,50+50*LN($S369)/LN(Settings!$C$40))))))</f>
        <v/>
      </c>
      <c r="AP369" s="29">
        <f>IF($AA369="",50,MEDIAN(0,100,50+$AA369*100*Settings!$C$41))</f>
        <v>50</v>
      </c>
      <c r="AQ369" s="29">
        <f>IF($H369="",50,MEDIAN(0,100,50+$H369*100*Settings!$C$42))</f>
        <v>50</v>
      </c>
      <c r="AR369" s="29">
        <f>IF(OR($AC369="",$H369=""),50,MEDIAN(0,100,50+SIGN($H369)*50*MEDIAN(0,1,($AC369-1)/Settings!$C$43)))</f>
        <v>50</v>
      </c>
      <c r="AS369" s="29">
        <f>IF(OR($V369="",$W369=""),50,MEDIAN(0,100,50+50*($V369-$W369)/Settings!$C$44))</f>
        <v>50</v>
      </c>
      <c r="AT369" s="29">
        <f t="shared" si="100"/>
        <v>50</v>
      </c>
      <c r="AU369" s="30" t="str">
        <f t="shared" si="101"/>
        <v/>
      </c>
      <c r="AV369" s="87" t="str">
        <f>IF($A369="","",IF(COUNTIFS($A$4:$A369,$A369)=1,1,0))</f>
        <v/>
      </c>
    </row>
    <row r="370" spans="1:48" x14ac:dyDescent="0.3">
      <c r="A370" s="270"/>
      <c r="B370" s="271"/>
      <c r="C370" s="272"/>
      <c r="D370" s="272"/>
      <c r="E370" s="272"/>
      <c r="F370" s="272"/>
      <c r="G370" s="272"/>
      <c r="H370" s="268" t="str">
        <f t="shared" si="85"/>
        <v/>
      </c>
      <c r="I370" s="273"/>
      <c r="J370" s="273"/>
      <c r="K370" s="273"/>
      <c r="L370" s="273"/>
      <c r="M370" s="273"/>
      <c r="N370" s="273"/>
      <c r="O370" s="271"/>
      <c r="P370" s="270"/>
      <c r="Q370" s="271"/>
      <c r="R370" s="23" t="str" cm="1">
        <f t="array" ref="R370">IF($B370="","",IFERROR(IF(INDEX('Data Quality'!$U$4:$U$503,ROW()-3)=0,"PENDING",INDEX('Data Quality'!$U$4:$U$503,ROW()-3)),"PENDING"))</f>
        <v/>
      </c>
      <c r="S370" s="24" t="str">
        <f t="shared" si="86"/>
        <v/>
      </c>
      <c r="T370" s="25" t="str">
        <f t="shared" si="87"/>
        <v/>
      </c>
      <c r="U370" s="25" t="str">
        <f t="shared" si="88"/>
        <v/>
      </c>
      <c r="V370" s="26" t="str">
        <f t="shared" si="89"/>
        <v/>
      </c>
      <c r="W370" s="26" t="str">
        <f t="shared" si="90"/>
        <v/>
      </c>
      <c r="X370" s="25" t="str">
        <f t="shared" si="91"/>
        <v/>
      </c>
      <c r="Y370" s="25" t="str">
        <f t="shared" si="92"/>
        <v/>
      </c>
      <c r="Z370" s="27" t="str">
        <f>IF($B370="","",IF($AK370&lt;=Settings!$C$21,"",IFERROR(AVERAGEIFS($S$4:$S$503,$B$4:$B$503,$B370,$AK$4:$AK$503,"&gt;="&amp;$AK370-Settings!$C$21,$AK$4:$AK$503,"&lt;="&amp;$AK370-1),"")))</f>
        <v/>
      </c>
      <c r="AA370" s="28" t="str">
        <f t="shared" si="93"/>
        <v/>
      </c>
      <c r="AB370" s="25" t="str">
        <f>IF($B370="","",IF($AK370&lt;=Settings!$C$22,"",IFERROR(AVERAGEIFS($K$4:$K$503,$B$4:$B$503,$B370,$AK$4:$AK$503,"&gt;="&amp;$AK370-Settings!$C$22,$AK$4:$AK$503,"&lt;="&amp;$AK370-1),"")))</f>
        <v/>
      </c>
      <c r="AC370" s="27" t="str">
        <f t="shared" si="94"/>
        <v/>
      </c>
      <c r="AD370" s="28" t="str">
        <f>IF($B370="","",IF($AK370&lt;=Settings!$C$23,"",IFERROR($E370/SUMIFS($E$4:$E$503,$B$4:$B$503,$B370,$AK$4:$AK$503,$AK370-Settings!$C$23)-1,"")))</f>
        <v/>
      </c>
      <c r="AE370" s="28" t="str">
        <f>IF($B370="","",IF($AK370&lt;=Settings!$C$22,"",IFERROR($E370/SUMIFS($E$4:$E$503,$B$4:$B$503,$B370,$AK$4:$AK$503,$AK370-Settings!$C$22)-1,"")))</f>
        <v/>
      </c>
      <c r="AF370" s="28" t="str">
        <f t="shared" si="95"/>
        <v/>
      </c>
      <c r="AG370" s="29" t="str">
        <f>IF($B370="","",ROUND((MIN(100,100*N($I370)/Settings!$C$27)+MIN(100,100*N($K370)/Settings!$C$28)+MIN(100,100*N($J370)/Settings!$C$29))/3,1))</f>
        <v/>
      </c>
      <c r="AH370" s="29" t="str">
        <f>IF($B370="","",IF(SUM(Settings!$C$32:$C$37)=0,"",ROUND((Settings!$C$32*$AO370+Settings!$C$33*$AP370+Settings!$C$34*$AQ370+Settings!$C$35*$AR370+Settings!$C$36*$AS370+Settings!$C$37*$AT370)/SUM(Settings!$C$32:$C$37),1)))</f>
        <v/>
      </c>
      <c r="AI370" s="29" t="str">
        <f>IF($B370="","",MAX(0,100-IF(N($N370)&gt;0,0,20)-IF(AND(N($L370)=0,N($M370)=0),15,0)-IF(N($J370)&gt;0,0,10)-IF(N($K370)&gt;0,0,10)-IF($Z370&lt;&gt;"",0,15)-IF($AB370&lt;&gt;"",0,10)-IF($R370="ERROR",20,IF($R370="WARNING",10,0))))</f>
        <v/>
      </c>
      <c r="AJ370" s="30" t="str">
        <f>IF($AH370="","",IF($AH370&lt;Settings!$C$46,"Extreme Sell Pressure",IF($AH370&lt;Settings!$C$47,"Sell Pressure",IF($AH370&lt;=Settings!$C$48,"Neutral",IF($AH370&lt;=Settings!$C$49,"Buy Pressure","Extreme Buy Pressure")))))</f>
        <v/>
      </c>
      <c r="AK370" s="30" t="str">
        <f t="shared" si="96"/>
        <v/>
      </c>
      <c r="AL370" s="30" t="str">
        <f t="shared" si="97"/>
        <v/>
      </c>
      <c r="AM370" s="30" t="str">
        <f t="shared" si="98"/>
        <v/>
      </c>
      <c r="AN370" s="30" t="str">
        <f t="shared" si="99"/>
        <v/>
      </c>
      <c r="AO370" s="29" t="str">
        <f>IF($B370="","",IF(AND(N($L370)=0,N($M370)=0),50,IF(N($M370)=0,100,IF(N($L370)=0,0,MEDIAN(0,100,50+50*LN($S370)/LN(Settings!$C$40))))))</f>
        <v/>
      </c>
      <c r="AP370" s="29">
        <f>IF($AA370="",50,MEDIAN(0,100,50+$AA370*100*Settings!$C$41))</f>
        <v>50</v>
      </c>
      <c r="AQ370" s="29">
        <f>IF($H370="",50,MEDIAN(0,100,50+$H370*100*Settings!$C$42))</f>
        <v>50</v>
      </c>
      <c r="AR370" s="29">
        <f>IF(OR($AC370="",$H370=""),50,MEDIAN(0,100,50+SIGN($H370)*50*MEDIAN(0,1,($AC370-1)/Settings!$C$43)))</f>
        <v>50</v>
      </c>
      <c r="AS370" s="29">
        <f>IF(OR($V370="",$W370=""),50,MEDIAN(0,100,50+50*($V370-$W370)/Settings!$C$44))</f>
        <v>50</v>
      </c>
      <c r="AT370" s="29">
        <f t="shared" si="100"/>
        <v>50</v>
      </c>
      <c r="AU370" s="30" t="str">
        <f t="shared" si="101"/>
        <v/>
      </c>
      <c r="AV370" s="87" t="str">
        <f>IF($A370="","",IF(COUNTIFS($A$4:$A370,$A370)=1,1,0))</f>
        <v/>
      </c>
    </row>
    <row r="371" spans="1:48" x14ac:dyDescent="0.3">
      <c r="A371" s="270"/>
      <c r="B371" s="271"/>
      <c r="C371" s="272"/>
      <c r="D371" s="272"/>
      <c r="E371" s="272"/>
      <c r="F371" s="272"/>
      <c r="G371" s="272"/>
      <c r="H371" s="268" t="str">
        <f t="shared" si="85"/>
        <v/>
      </c>
      <c r="I371" s="273"/>
      <c r="J371" s="273"/>
      <c r="K371" s="273"/>
      <c r="L371" s="273"/>
      <c r="M371" s="273"/>
      <c r="N371" s="273"/>
      <c r="O371" s="271"/>
      <c r="P371" s="270"/>
      <c r="Q371" s="271"/>
      <c r="R371" s="23" t="str" cm="1">
        <f t="array" ref="R371">IF($B371="","",IFERROR(IF(INDEX('Data Quality'!$U$4:$U$503,ROW()-3)=0,"PENDING",INDEX('Data Quality'!$U$4:$U$503,ROW()-3)),"PENDING"))</f>
        <v/>
      </c>
      <c r="S371" s="24" t="str">
        <f t="shared" si="86"/>
        <v/>
      </c>
      <c r="T371" s="25" t="str">
        <f t="shared" si="87"/>
        <v/>
      </c>
      <c r="U371" s="25" t="str">
        <f t="shared" si="88"/>
        <v/>
      </c>
      <c r="V371" s="26" t="str">
        <f t="shared" si="89"/>
        <v/>
      </c>
      <c r="W371" s="26" t="str">
        <f t="shared" si="90"/>
        <v/>
      </c>
      <c r="X371" s="25" t="str">
        <f t="shared" si="91"/>
        <v/>
      </c>
      <c r="Y371" s="25" t="str">
        <f t="shared" si="92"/>
        <v/>
      </c>
      <c r="Z371" s="27" t="str">
        <f>IF($B371="","",IF($AK371&lt;=Settings!$C$21,"",IFERROR(AVERAGEIFS($S$4:$S$503,$B$4:$B$503,$B371,$AK$4:$AK$503,"&gt;="&amp;$AK371-Settings!$C$21,$AK$4:$AK$503,"&lt;="&amp;$AK371-1),"")))</f>
        <v/>
      </c>
      <c r="AA371" s="28" t="str">
        <f t="shared" si="93"/>
        <v/>
      </c>
      <c r="AB371" s="25" t="str">
        <f>IF($B371="","",IF($AK371&lt;=Settings!$C$22,"",IFERROR(AVERAGEIFS($K$4:$K$503,$B$4:$B$503,$B371,$AK$4:$AK$503,"&gt;="&amp;$AK371-Settings!$C$22,$AK$4:$AK$503,"&lt;="&amp;$AK371-1),"")))</f>
        <v/>
      </c>
      <c r="AC371" s="27" t="str">
        <f t="shared" si="94"/>
        <v/>
      </c>
      <c r="AD371" s="28" t="str">
        <f>IF($B371="","",IF($AK371&lt;=Settings!$C$23,"",IFERROR($E371/SUMIFS($E$4:$E$503,$B$4:$B$503,$B371,$AK$4:$AK$503,$AK371-Settings!$C$23)-1,"")))</f>
        <v/>
      </c>
      <c r="AE371" s="28" t="str">
        <f>IF($B371="","",IF($AK371&lt;=Settings!$C$22,"",IFERROR($E371/SUMIFS($E$4:$E$503,$B$4:$B$503,$B371,$AK$4:$AK$503,$AK371-Settings!$C$22)-1,"")))</f>
        <v/>
      </c>
      <c r="AF371" s="28" t="str">
        <f t="shared" si="95"/>
        <v/>
      </c>
      <c r="AG371" s="29" t="str">
        <f>IF($B371="","",ROUND((MIN(100,100*N($I371)/Settings!$C$27)+MIN(100,100*N($K371)/Settings!$C$28)+MIN(100,100*N($J371)/Settings!$C$29))/3,1))</f>
        <v/>
      </c>
      <c r="AH371" s="29" t="str">
        <f>IF($B371="","",IF(SUM(Settings!$C$32:$C$37)=0,"",ROUND((Settings!$C$32*$AO371+Settings!$C$33*$AP371+Settings!$C$34*$AQ371+Settings!$C$35*$AR371+Settings!$C$36*$AS371+Settings!$C$37*$AT371)/SUM(Settings!$C$32:$C$37),1)))</f>
        <v/>
      </c>
      <c r="AI371" s="29" t="str">
        <f>IF($B371="","",MAX(0,100-IF(N($N371)&gt;0,0,20)-IF(AND(N($L371)=0,N($M371)=0),15,0)-IF(N($J371)&gt;0,0,10)-IF(N($K371)&gt;0,0,10)-IF($Z371&lt;&gt;"",0,15)-IF($AB371&lt;&gt;"",0,10)-IF($R371="ERROR",20,IF($R371="WARNING",10,0))))</f>
        <v/>
      </c>
      <c r="AJ371" s="30" t="str">
        <f>IF($AH371="","",IF($AH371&lt;Settings!$C$46,"Extreme Sell Pressure",IF($AH371&lt;Settings!$C$47,"Sell Pressure",IF($AH371&lt;=Settings!$C$48,"Neutral",IF($AH371&lt;=Settings!$C$49,"Buy Pressure","Extreme Buy Pressure")))))</f>
        <v/>
      </c>
      <c r="AK371" s="30" t="str">
        <f t="shared" si="96"/>
        <v/>
      </c>
      <c r="AL371" s="30" t="str">
        <f t="shared" si="97"/>
        <v/>
      </c>
      <c r="AM371" s="30" t="str">
        <f t="shared" si="98"/>
        <v/>
      </c>
      <c r="AN371" s="30" t="str">
        <f t="shared" si="99"/>
        <v/>
      </c>
      <c r="AO371" s="29" t="str">
        <f>IF($B371="","",IF(AND(N($L371)=0,N($M371)=0),50,IF(N($M371)=0,100,IF(N($L371)=0,0,MEDIAN(0,100,50+50*LN($S371)/LN(Settings!$C$40))))))</f>
        <v/>
      </c>
      <c r="AP371" s="29">
        <f>IF($AA371="",50,MEDIAN(0,100,50+$AA371*100*Settings!$C$41))</f>
        <v>50</v>
      </c>
      <c r="AQ371" s="29">
        <f>IF($H371="",50,MEDIAN(0,100,50+$H371*100*Settings!$C$42))</f>
        <v>50</v>
      </c>
      <c r="AR371" s="29">
        <f>IF(OR($AC371="",$H371=""),50,MEDIAN(0,100,50+SIGN($H371)*50*MEDIAN(0,1,($AC371-1)/Settings!$C$43)))</f>
        <v>50</v>
      </c>
      <c r="AS371" s="29">
        <f>IF(OR($V371="",$W371=""),50,MEDIAN(0,100,50+50*($V371-$W371)/Settings!$C$44))</f>
        <v>50</v>
      </c>
      <c r="AT371" s="29">
        <f t="shared" si="100"/>
        <v>50</v>
      </c>
      <c r="AU371" s="30" t="str">
        <f t="shared" si="101"/>
        <v/>
      </c>
      <c r="AV371" s="87" t="str">
        <f>IF($A371="","",IF(COUNTIFS($A$4:$A371,$A371)=1,1,0))</f>
        <v/>
      </c>
    </row>
    <row r="372" spans="1:48" x14ac:dyDescent="0.3">
      <c r="A372" s="270"/>
      <c r="B372" s="271"/>
      <c r="C372" s="272"/>
      <c r="D372" s="272"/>
      <c r="E372" s="272"/>
      <c r="F372" s="272"/>
      <c r="G372" s="272"/>
      <c r="H372" s="268" t="str">
        <f t="shared" si="85"/>
        <v/>
      </c>
      <c r="I372" s="273"/>
      <c r="J372" s="273"/>
      <c r="K372" s="273"/>
      <c r="L372" s="273"/>
      <c r="M372" s="273"/>
      <c r="N372" s="273"/>
      <c r="O372" s="271"/>
      <c r="P372" s="270"/>
      <c r="Q372" s="271"/>
      <c r="R372" s="23" t="str" cm="1">
        <f t="array" ref="R372">IF($B372="","",IFERROR(IF(INDEX('Data Quality'!$U$4:$U$503,ROW()-3)=0,"PENDING",INDEX('Data Quality'!$U$4:$U$503,ROW()-3)),"PENDING"))</f>
        <v/>
      </c>
      <c r="S372" s="24" t="str">
        <f t="shared" si="86"/>
        <v/>
      </c>
      <c r="T372" s="25" t="str">
        <f t="shared" si="87"/>
        <v/>
      </c>
      <c r="U372" s="25" t="str">
        <f t="shared" si="88"/>
        <v/>
      </c>
      <c r="V372" s="26" t="str">
        <f t="shared" si="89"/>
        <v/>
      </c>
      <c r="W372" s="26" t="str">
        <f t="shared" si="90"/>
        <v/>
      </c>
      <c r="X372" s="25" t="str">
        <f t="shared" si="91"/>
        <v/>
      </c>
      <c r="Y372" s="25" t="str">
        <f t="shared" si="92"/>
        <v/>
      </c>
      <c r="Z372" s="27" t="str">
        <f>IF($B372="","",IF($AK372&lt;=Settings!$C$21,"",IFERROR(AVERAGEIFS($S$4:$S$503,$B$4:$B$503,$B372,$AK$4:$AK$503,"&gt;="&amp;$AK372-Settings!$C$21,$AK$4:$AK$503,"&lt;="&amp;$AK372-1),"")))</f>
        <v/>
      </c>
      <c r="AA372" s="28" t="str">
        <f t="shared" si="93"/>
        <v/>
      </c>
      <c r="AB372" s="25" t="str">
        <f>IF($B372="","",IF($AK372&lt;=Settings!$C$22,"",IFERROR(AVERAGEIFS($K$4:$K$503,$B$4:$B$503,$B372,$AK$4:$AK$503,"&gt;="&amp;$AK372-Settings!$C$22,$AK$4:$AK$503,"&lt;="&amp;$AK372-1),"")))</f>
        <v/>
      </c>
      <c r="AC372" s="27" t="str">
        <f t="shared" si="94"/>
        <v/>
      </c>
      <c r="AD372" s="28" t="str">
        <f>IF($B372="","",IF($AK372&lt;=Settings!$C$23,"",IFERROR($E372/SUMIFS($E$4:$E$503,$B$4:$B$503,$B372,$AK$4:$AK$503,$AK372-Settings!$C$23)-1,"")))</f>
        <v/>
      </c>
      <c r="AE372" s="28" t="str">
        <f>IF($B372="","",IF($AK372&lt;=Settings!$C$22,"",IFERROR($E372/SUMIFS($E$4:$E$503,$B$4:$B$503,$B372,$AK$4:$AK$503,$AK372-Settings!$C$22)-1,"")))</f>
        <v/>
      </c>
      <c r="AF372" s="28" t="str">
        <f t="shared" si="95"/>
        <v/>
      </c>
      <c r="AG372" s="29" t="str">
        <f>IF($B372="","",ROUND((MIN(100,100*N($I372)/Settings!$C$27)+MIN(100,100*N($K372)/Settings!$C$28)+MIN(100,100*N($J372)/Settings!$C$29))/3,1))</f>
        <v/>
      </c>
      <c r="AH372" s="29" t="str">
        <f>IF($B372="","",IF(SUM(Settings!$C$32:$C$37)=0,"",ROUND((Settings!$C$32*$AO372+Settings!$C$33*$AP372+Settings!$C$34*$AQ372+Settings!$C$35*$AR372+Settings!$C$36*$AS372+Settings!$C$37*$AT372)/SUM(Settings!$C$32:$C$37),1)))</f>
        <v/>
      </c>
      <c r="AI372" s="29" t="str">
        <f>IF($B372="","",MAX(0,100-IF(N($N372)&gt;0,0,20)-IF(AND(N($L372)=0,N($M372)=0),15,0)-IF(N($J372)&gt;0,0,10)-IF(N($K372)&gt;0,0,10)-IF($Z372&lt;&gt;"",0,15)-IF($AB372&lt;&gt;"",0,10)-IF($R372="ERROR",20,IF($R372="WARNING",10,0))))</f>
        <v/>
      </c>
      <c r="AJ372" s="30" t="str">
        <f>IF($AH372="","",IF($AH372&lt;Settings!$C$46,"Extreme Sell Pressure",IF($AH372&lt;Settings!$C$47,"Sell Pressure",IF($AH372&lt;=Settings!$C$48,"Neutral",IF($AH372&lt;=Settings!$C$49,"Buy Pressure","Extreme Buy Pressure")))))</f>
        <v/>
      </c>
      <c r="AK372" s="30" t="str">
        <f t="shared" si="96"/>
        <v/>
      </c>
      <c r="AL372" s="30" t="str">
        <f t="shared" si="97"/>
        <v/>
      </c>
      <c r="AM372" s="30" t="str">
        <f t="shared" si="98"/>
        <v/>
      </c>
      <c r="AN372" s="30" t="str">
        <f t="shared" si="99"/>
        <v/>
      </c>
      <c r="AO372" s="29" t="str">
        <f>IF($B372="","",IF(AND(N($L372)=0,N($M372)=0),50,IF(N($M372)=0,100,IF(N($L372)=0,0,MEDIAN(0,100,50+50*LN($S372)/LN(Settings!$C$40))))))</f>
        <v/>
      </c>
      <c r="AP372" s="29">
        <f>IF($AA372="",50,MEDIAN(0,100,50+$AA372*100*Settings!$C$41))</f>
        <v>50</v>
      </c>
      <c r="AQ372" s="29">
        <f>IF($H372="",50,MEDIAN(0,100,50+$H372*100*Settings!$C$42))</f>
        <v>50</v>
      </c>
      <c r="AR372" s="29">
        <f>IF(OR($AC372="",$H372=""),50,MEDIAN(0,100,50+SIGN($H372)*50*MEDIAN(0,1,($AC372-1)/Settings!$C$43)))</f>
        <v>50</v>
      </c>
      <c r="AS372" s="29">
        <f>IF(OR($V372="",$W372=""),50,MEDIAN(0,100,50+50*($V372-$W372)/Settings!$C$44))</f>
        <v>50</v>
      </c>
      <c r="AT372" s="29">
        <f t="shared" si="100"/>
        <v>50</v>
      </c>
      <c r="AU372" s="30" t="str">
        <f t="shared" si="101"/>
        <v/>
      </c>
      <c r="AV372" s="87" t="str">
        <f>IF($A372="","",IF(COUNTIFS($A$4:$A372,$A372)=1,1,0))</f>
        <v/>
      </c>
    </row>
    <row r="373" spans="1:48" x14ac:dyDescent="0.3">
      <c r="A373" s="270"/>
      <c r="B373" s="271"/>
      <c r="C373" s="272"/>
      <c r="D373" s="272"/>
      <c r="E373" s="272"/>
      <c r="F373" s="272"/>
      <c r="G373" s="272"/>
      <c r="H373" s="268" t="str">
        <f t="shared" si="85"/>
        <v/>
      </c>
      <c r="I373" s="273"/>
      <c r="J373" s="273"/>
      <c r="K373" s="273"/>
      <c r="L373" s="273"/>
      <c r="M373" s="273"/>
      <c r="N373" s="273"/>
      <c r="O373" s="271"/>
      <c r="P373" s="270"/>
      <c r="Q373" s="271"/>
      <c r="R373" s="23" t="str" cm="1">
        <f t="array" ref="R373">IF($B373="","",IFERROR(IF(INDEX('Data Quality'!$U$4:$U$503,ROW()-3)=0,"PENDING",INDEX('Data Quality'!$U$4:$U$503,ROW()-3)),"PENDING"))</f>
        <v/>
      </c>
      <c r="S373" s="24" t="str">
        <f t="shared" si="86"/>
        <v/>
      </c>
      <c r="T373" s="25" t="str">
        <f t="shared" si="87"/>
        <v/>
      </c>
      <c r="U373" s="25" t="str">
        <f t="shared" si="88"/>
        <v/>
      </c>
      <c r="V373" s="26" t="str">
        <f t="shared" si="89"/>
        <v/>
      </c>
      <c r="W373" s="26" t="str">
        <f t="shared" si="90"/>
        <v/>
      </c>
      <c r="X373" s="25" t="str">
        <f t="shared" si="91"/>
        <v/>
      </c>
      <c r="Y373" s="25" t="str">
        <f t="shared" si="92"/>
        <v/>
      </c>
      <c r="Z373" s="27" t="str">
        <f>IF($B373="","",IF($AK373&lt;=Settings!$C$21,"",IFERROR(AVERAGEIFS($S$4:$S$503,$B$4:$B$503,$B373,$AK$4:$AK$503,"&gt;="&amp;$AK373-Settings!$C$21,$AK$4:$AK$503,"&lt;="&amp;$AK373-1),"")))</f>
        <v/>
      </c>
      <c r="AA373" s="28" t="str">
        <f t="shared" si="93"/>
        <v/>
      </c>
      <c r="AB373" s="25" t="str">
        <f>IF($B373="","",IF($AK373&lt;=Settings!$C$22,"",IFERROR(AVERAGEIFS($K$4:$K$503,$B$4:$B$503,$B373,$AK$4:$AK$503,"&gt;="&amp;$AK373-Settings!$C$22,$AK$4:$AK$503,"&lt;="&amp;$AK373-1),"")))</f>
        <v/>
      </c>
      <c r="AC373" s="27" t="str">
        <f t="shared" si="94"/>
        <v/>
      </c>
      <c r="AD373" s="28" t="str">
        <f>IF($B373="","",IF($AK373&lt;=Settings!$C$23,"",IFERROR($E373/SUMIFS($E$4:$E$503,$B$4:$B$503,$B373,$AK$4:$AK$503,$AK373-Settings!$C$23)-1,"")))</f>
        <v/>
      </c>
      <c r="AE373" s="28" t="str">
        <f>IF($B373="","",IF($AK373&lt;=Settings!$C$22,"",IFERROR($E373/SUMIFS($E$4:$E$503,$B$4:$B$503,$B373,$AK$4:$AK$503,$AK373-Settings!$C$22)-1,"")))</f>
        <v/>
      </c>
      <c r="AF373" s="28" t="str">
        <f t="shared" si="95"/>
        <v/>
      </c>
      <c r="AG373" s="29" t="str">
        <f>IF($B373="","",ROUND((MIN(100,100*N($I373)/Settings!$C$27)+MIN(100,100*N($K373)/Settings!$C$28)+MIN(100,100*N($J373)/Settings!$C$29))/3,1))</f>
        <v/>
      </c>
      <c r="AH373" s="29" t="str">
        <f>IF($B373="","",IF(SUM(Settings!$C$32:$C$37)=0,"",ROUND((Settings!$C$32*$AO373+Settings!$C$33*$AP373+Settings!$C$34*$AQ373+Settings!$C$35*$AR373+Settings!$C$36*$AS373+Settings!$C$37*$AT373)/SUM(Settings!$C$32:$C$37),1)))</f>
        <v/>
      </c>
      <c r="AI373" s="29" t="str">
        <f>IF($B373="","",MAX(0,100-IF(N($N373)&gt;0,0,20)-IF(AND(N($L373)=0,N($M373)=0),15,0)-IF(N($J373)&gt;0,0,10)-IF(N($K373)&gt;0,0,10)-IF($Z373&lt;&gt;"",0,15)-IF($AB373&lt;&gt;"",0,10)-IF($R373="ERROR",20,IF($R373="WARNING",10,0))))</f>
        <v/>
      </c>
      <c r="AJ373" s="30" t="str">
        <f>IF($AH373="","",IF($AH373&lt;Settings!$C$46,"Extreme Sell Pressure",IF($AH373&lt;Settings!$C$47,"Sell Pressure",IF($AH373&lt;=Settings!$C$48,"Neutral",IF($AH373&lt;=Settings!$C$49,"Buy Pressure","Extreme Buy Pressure")))))</f>
        <v/>
      </c>
      <c r="AK373" s="30" t="str">
        <f t="shared" si="96"/>
        <v/>
      </c>
      <c r="AL373" s="30" t="str">
        <f t="shared" si="97"/>
        <v/>
      </c>
      <c r="AM373" s="30" t="str">
        <f t="shared" si="98"/>
        <v/>
      </c>
      <c r="AN373" s="30" t="str">
        <f t="shared" si="99"/>
        <v/>
      </c>
      <c r="AO373" s="29" t="str">
        <f>IF($B373="","",IF(AND(N($L373)=0,N($M373)=0),50,IF(N($M373)=0,100,IF(N($L373)=0,0,MEDIAN(0,100,50+50*LN($S373)/LN(Settings!$C$40))))))</f>
        <v/>
      </c>
      <c r="AP373" s="29">
        <f>IF($AA373="",50,MEDIAN(0,100,50+$AA373*100*Settings!$C$41))</f>
        <v>50</v>
      </c>
      <c r="AQ373" s="29">
        <f>IF($H373="",50,MEDIAN(0,100,50+$H373*100*Settings!$C$42))</f>
        <v>50</v>
      </c>
      <c r="AR373" s="29">
        <f>IF(OR($AC373="",$H373=""),50,MEDIAN(0,100,50+SIGN($H373)*50*MEDIAN(0,1,($AC373-1)/Settings!$C$43)))</f>
        <v>50</v>
      </c>
      <c r="AS373" s="29">
        <f>IF(OR($V373="",$W373=""),50,MEDIAN(0,100,50+50*($V373-$W373)/Settings!$C$44))</f>
        <v>50</v>
      </c>
      <c r="AT373" s="29">
        <f t="shared" si="100"/>
        <v>50</v>
      </c>
      <c r="AU373" s="30" t="str">
        <f t="shared" si="101"/>
        <v/>
      </c>
      <c r="AV373" s="87" t="str">
        <f>IF($A373="","",IF(COUNTIFS($A$4:$A373,$A373)=1,1,0))</f>
        <v/>
      </c>
    </row>
    <row r="374" spans="1:48" x14ac:dyDescent="0.3">
      <c r="A374" s="270"/>
      <c r="B374" s="271"/>
      <c r="C374" s="272"/>
      <c r="D374" s="272"/>
      <c r="E374" s="272"/>
      <c r="F374" s="272"/>
      <c r="G374" s="272"/>
      <c r="H374" s="268" t="str">
        <f t="shared" si="85"/>
        <v/>
      </c>
      <c r="I374" s="273"/>
      <c r="J374" s="273"/>
      <c r="K374" s="273"/>
      <c r="L374" s="273"/>
      <c r="M374" s="273"/>
      <c r="N374" s="273"/>
      <c r="O374" s="271"/>
      <c r="P374" s="270"/>
      <c r="Q374" s="271"/>
      <c r="R374" s="23" t="str" cm="1">
        <f t="array" ref="R374">IF($B374="","",IFERROR(IF(INDEX('Data Quality'!$U$4:$U$503,ROW()-3)=0,"PENDING",INDEX('Data Quality'!$U$4:$U$503,ROW()-3)),"PENDING"))</f>
        <v/>
      </c>
      <c r="S374" s="24" t="str">
        <f t="shared" si="86"/>
        <v/>
      </c>
      <c r="T374" s="25" t="str">
        <f t="shared" si="87"/>
        <v/>
      </c>
      <c r="U374" s="25" t="str">
        <f t="shared" si="88"/>
        <v/>
      </c>
      <c r="V374" s="26" t="str">
        <f t="shared" si="89"/>
        <v/>
      </c>
      <c r="W374" s="26" t="str">
        <f t="shared" si="90"/>
        <v/>
      </c>
      <c r="X374" s="25" t="str">
        <f t="shared" si="91"/>
        <v/>
      </c>
      <c r="Y374" s="25" t="str">
        <f t="shared" si="92"/>
        <v/>
      </c>
      <c r="Z374" s="27" t="str">
        <f>IF($B374="","",IF($AK374&lt;=Settings!$C$21,"",IFERROR(AVERAGEIFS($S$4:$S$503,$B$4:$B$503,$B374,$AK$4:$AK$503,"&gt;="&amp;$AK374-Settings!$C$21,$AK$4:$AK$503,"&lt;="&amp;$AK374-1),"")))</f>
        <v/>
      </c>
      <c r="AA374" s="28" t="str">
        <f t="shared" si="93"/>
        <v/>
      </c>
      <c r="AB374" s="25" t="str">
        <f>IF($B374="","",IF($AK374&lt;=Settings!$C$22,"",IFERROR(AVERAGEIFS($K$4:$K$503,$B$4:$B$503,$B374,$AK$4:$AK$503,"&gt;="&amp;$AK374-Settings!$C$22,$AK$4:$AK$503,"&lt;="&amp;$AK374-1),"")))</f>
        <v/>
      </c>
      <c r="AC374" s="27" t="str">
        <f t="shared" si="94"/>
        <v/>
      </c>
      <c r="AD374" s="28" t="str">
        <f>IF($B374="","",IF($AK374&lt;=Settings!$C$23,"",IFERROR($E374/SUMIFS($E$4:$E$503,$B$4:$B$503,$B374,$AK$4:$AK$503,$AK374-Settings!$C$23)-1,"")))</f>
        <v/>
      </c>
      <c r="AE374" s="28" t="str">
        <f>IF($B374="","",IF($AK374&lt;=Settings!$C$22,"",IFERROR($E374/SUMIFS($E$4:$E$503,$B$4:$B$503,$B374,$AK$4:$AK$503,$AK374-Settings!$C$22)-1,"")))</f>
        <v/>
      </c>
      <c r="AF374" s="28" t="str">
        <f t="shared" si="95"/>
        <v/>
      </c>
      <c r="AG374" s="29" t="str">
        <f>IF($B374="","",ROUND((MIN(100,100*N($I374)/Settings!$C$27)+MIN(100,100*N($K374)/Settings!$C$28)+MIN(100,100*N($J374)/Settings!$C$29))/3,1))</f>
        <v/>
      </c>
      <c r="AH374" s="29" t="str">
        <f>IF($B374="","",IF(SUM(Settings!$C$32:$C$37)=0,"",ROUND((Settings!$C$32*$AO374+Settings!$C$33*$AP374+Settings!$C$34*$AQ374+Settings!$C$35*$AR374+Settings!$C$36*$AS374+Settings!$C$37*$AT374)/SUM(Settings!$C$32:$C$37),1)))</f>
        <v/>
      </c>
      <c r="AI374" s="29" t="str">
        <f>IF($B374="","",MAX(0,100-IF(N($N374)&gt;0,0,20)-IF(AND(N($L374)=0,N($M374)=0),15,0)-IF(N($J374)&gt;0,0,10)-IF(N($K374)&gt;0,0,10)-IF($Z374&lt;&gt;"",0,15)-IF($AB374&lt;&gt;"",0,10)-IF($R374="ERROR",20,IF($R374="WARNING",10,0))))</f>
        <v/>
      </c>
      <c r="AJ374" s="30" t="str">
        <f>IF($AH374="","",IF($AH374&lt;Settings!$C$46,"Extreme Sell Pressure",IF($AH374&lt;Settings!$C$47,"Sell Pressure",IF($AH374&lt;=Settings!$C$48,"Neutral",IF($AH374&lt;=Settings!$C$49,"Buy Pressure","Extreme Buy Pressure")))))</f>
        <v/>
      </c>
      <c r="AK374" s="30" t="str">
        <f t="shared" si="96"/>
        <v/>
      </c>
      <c r="AL374" s="30" t="str">
        <f t="shared" si="97"/>
        <v/>
      </c>
      <c r="AM374" s="30" t="str">
        <f t="shared" si="98"/>
        <v/>
      </c>
      <c r="AN374" s="30" t="str">
        <f t="shared" si="99"/>
        <v/>
      </c>
      <c r="AO374" s="29" t="str">
        <f>IF($B374="","",IF(AND(N($L374)=0,N($M374)=0),50,IF(N($M374)=0,100,IF(N($L374)=0,0,MEDIAN(0,100,50+50*LN($S374)/LN(Settings!$C$40))))))</f>
        <v/>
      </c>
      <c r="AP374" s="29">
        <f>IF($AA374="",50,MEDIAN(0,100,50+$AA374*100*Settings!$C$41))</f>
        <v>50</v>
      </c>
      <c r="AQ374" s="29">
        <f>IF($H374="",50,MEDIAN(0,100,50+$H374*100*Settings!$C$42))</f>
        <v>50</v>
      </c>
      <c r="AR374" s="29">
        <f>IF(OR($AC374="",$H374=""),50,MEDIAN(0,100,50+SIGN($H374)*50*MEDIAN(0,1,($AC374-1)/Settings!$C$43)))</f>
        <v>50</v>
      </c>
      <c r="AS374" s="29">
        <f>IF(OR($V374="",$W374=""),50,MEDIAN(0,100,50+50*($V374-$W374)/Settings!$C$44))</f>
        <v>50</v>
      </c>
      <c r="AT374" s="29">
        <f t="shared" si="100"/>
        <v>50</v>
      </c>
      <c r="AU374" s="30" t="str">
        <f t="shared" si="101"/>
        <v/>
      </c>
      <c r="AV374" s="87" t="str">
        <f>IF($A374="","",IF(COUNTIFS($A$4:$A374,$A374)=1,1,0))</f>
        <v/>
      </c>
    </row>
    <row r="375" spans="1:48" x14ac:dyDescent="0.3">
      <c r="A375" s="270"/>
      <c r="B375" s="271"/>
      <c r="C375" s="272"/>
      <c r="D375" s="272"/>
      <c r="E375" s="272"/>
      <c r="F375" s="272"/>
      <c r="G375" s="272"/>
      <c r="H375" s="268" t="str">
        <f t="shared" si="85"/>
        <v/>
      </c>
      <c r="I375" s="273"/>
      <c r="J375" s="273"/>
      <c r="K375" s="273"/>
      <c r="L375" s="273"/>
      <c r="M375" s="273"/>
      <c r="N375" s="273"/>
      <c r="O375" s="271"/>
      <c r="P375" s="270"/>
      <c r="Q375" s="271"/>
      <c r="R375" s="23" t="str" cm="1">
        <f t="array" ref="R375">IF($B375="","",IFERROR(IF(INDEX('Data Quality'!$U$4:$U$503,ROW()-3)=0,"PENDING",INDEX('Data Quality'!$U$4:$U$503,ROW()-3)),"PENDING"))</f>
        <v/>
      </c>
      <c r="S375" s="24" t="str">
        <f t="shared" si="86"/>
        <v/>
      </c>
      <c r="T375" s="25" t="str">
        <f t="shared" si="87"/>
        <v/>
      </c>
      <c r="U375" s="25" t="str">
        <f t="shared" si="88"/>
        <v/>
      </c>
      <c r="V375" s="26" t="str">
        <f t="shared" si="89"/>
        <v/>
      </c>
      <c r="W375" s="26" t="str">
        <f t="shared" si="90"/>
        <v/>
      </c>
      <c r="X375" s="25" t="str">
        <f t="shared" si="91"/>
        <v/>
      </c>
      <c r="Y375" s="25" t="str">
        <f t="shared" si="92"/>
        <v/>
      </c>
      <c r="Z375" s="27" t="str">
        <f>IF($B375="","",IF($AK375&lt;=Settings!$C$21,"",IFERROR(AVERAGEIFS($S$4:$S$503,$B$4:$B$503,$B375,$AK$4:$AK$503,"&gt;="&amp;$AK375-Settings!$C$21,$AK$4:$AK$503,"&lt;="&amp;$AK375-1),"")))</f>
        <v/>
      </c>
      <c r="AA375" s="28" t="str">
        <f t="shared" si="93"/>
        <v/>
      </c>
      <c r="AB375" s="25" t="str">
        <f>IF($B375="","",IF($AK375&lt;=Settings!$C$22,"",IFERROR(AVERAGEIFS($K$4:$K$503,$B$4:$B$503,$B375,$AK$4:$AK$503,"&gt;="&amp;$AK375-Settings!$C$22,$AK$4:$AK$503,"&lt;="&amp;$AK375-1),"")))</f>
        <v/>
      </c>
      <c r="AC375" s="27" t="str">
        <f t="shared" si="94"/>
        <v/>
      </c>
      <c r="AD375" s="28" t="str">
        <f>IF($B375="","",IF($AK375&lt;=Settings!$C$23,"",IFERROR($E375/SUMIFS($E$4:$E$503,$B$4:$B$503,$B375,$AK$4:$AK$503,$AK375-Settings!$C$23)-1,"")))</f>
        <v/>
      </c>
      <c r="AE375" s="28" t="str">
        <f>IF($B375="","",IF($AK375&lt;=Settings!$C$22,"",IFERROR($E375/SUMIFS($E$4:$E$503,$B$4:$B$503,$B375,$AK$4:$AK$503,$AK375-Settings!$C$22)-1,"")))</f>
        <v/>
      </c>
      <c r="AF375" s="28" t="str">
        <f t="shared" si="95"/>
        <v/>
      </c>
      <c r="AG375" s="29" t="str">
        <f>IF($B375="","",ROUND((MIN(100,100*N($I375)/Settings!$C$27)+MIN(100,100*N($K375)/Settings!$C$28)+MIN(100,100*N($J375)/Settings!$C$29))/3,1))</f>
        <v/>
      </c>
      <c r="AH375" s="29" t="str">
        <f>IF($B375="","",IF(SUM(Settings!$C$32:$C$37)=0,"",ROUND((Settings!$C$32*$AO375+Settings!$C$33*$AP375+Settings!$C$34*$AQ375+Settings!$C$35*$AR375+Settings!$C$36*$AS375+Settings!$C$37*$AT375)/SUM(Settings!$C$32:$C$37),1)))</f>
        <v/>
      </c>
      <c r="AI375" s="29" t="str">
        <f>IF($B375="","",MAX(0,100-IF(N($N375)&gt;0,0,20)-IF(AND(N($L375)=0,N($M375)=0),15,0)-IF(N($J375)&gt;0,0,10)-IF(N($K375)&gt;0,0,10)-IF($Z375&lt;&gt;"",0,15)-IF($AB375&lt;&gt;"",0,10)-IF($R375="ERROR",20,IF($R375="WARNING",10,0))))</f>
        <v/>
      </c>
      <c r="AJ375" s="30" t="str">
        <f>IF($AH375="","",IF($AH375&lt;Settings!$C$46,"Extreme Sell Pressure",IF($AH375&lt;Settings!$C$47,"Sell Pressure",IF($AH375&lt;=Settings!$C$48,"Neutral",IF($AH375&lt;=Settings!$C$49,"Buy Pressure","Extreme Buy Pressure")))))</f>
        <v/>
      </c>
      <c r="AK375" s="30" t="str">
        <f t="shared" si="96"/>
        <v/>
      </c>
      <c r="AL375" s="30" t="str">
        <f t="shared" si="97"/>
        <v/>
      </c>
      <c r="AM375" s="30" t="str">
        <f t="shared" si="98"/>
        <v/>
      </c>
      <c r="AN375" s="30" t="str">
        <f t="shared" si="99"/>
        <v/>
      </c>
      <c r="AO375" s="29" t="str">
        <f>IF($B375="","",IF(AND(N($L375)=0,N($M375)=0),50,IF(N($M375)=0,100,IF(N($L375)=0,0,MEDIAN(0,100,50+50*LN($S375)/LN(Settings!$C$40))))))</f>
        <v/>
      </c>
      <c r="AP375" s="29">
        <f>IF($AA375="",50,MEDIAN(0,100,50+$AA375*100*Settings!$C$41))</f>
        <v>50</v>
      </c>
      <c r="AQ375" s="29">
        <f>IF($H375="",50,MEDIAN(0,100,50+$H375*100*Settings!$C$42))</f>
        <v>50</v>
      </c>
      <c r="AR375" s="29">
        <f>IF(OR($AC375="",$H375=""),50,MEDIAN(0,100,50+SIGN($H375)*50*MEDIAN(0,1,($AC375-1)/Settings!$C$43)))</f>
        <v>50</v>
      </c>
      <c r="AS375" s="29">
        <f>IF(OR($V375="",$W375=""),50,MEDIAN(0,100,50+50*($V375-$W375)/Settings!$C$44))</f>
        <v>50</v>
      </c>
      <c r="AT375" s="29">
        <f t="shared" si="100"/>
        <v>50</v>
      </c>
      <c r="AU375" s="30" t="str">
        <f t="shared" si="101"/>
        <v/>
      </c>
      <c r="AV375" s="87" t="str">
        <f>IF($A375="","",IF(COUNTIFS($A$4:$A375,$A375)=1,1,0))</f>
        <v/>
      </c>
    </row>
    <row r="376" spans="1:48" x14ac:dyDescent="0.3">
      <c r="A376" s="270"/>
      <c r="B376" s="271"/>
      <c r="C376" s="272"/>
      <c r="D376" s="272"/>
      <c r="E376" s="272"/>
      <c r="F376" s="272"/>
      <c r="G376" s="272"/>
      <c r="H376" s="268" t="str">
        <f t="shared" si="85"/>
        <v/>
      </c>
      <c r="I376" s="273"/>
      <c r="J376" s="273"/>
      <c r="K376" s="273"/>
      <c r="L376" s="273"/>
      <c r="M376" s="273"/>
      <c r="N376" s="273"/>
      <c r="O376" s="271"/>
      <c r="P376" s="270"/>
      <c r="Q376" s="271"/>
      <c r="R376" s="23" t="str" cm="1">
        <f t="array" ref="R376">IF($B376="","",IFERROR(IF(INDEX('Data Quality'!$U$4:$U$503,ROW()-3)=0,"PENDING",INDEX('Data Quality'!$U$4:$U$503,ROW()-3)),"PENDING"))</f>
        <v/>
      </c>
      <c r="S376" s="24" t="str">
        <f t="shared" si="86"/>
        <v/>
      </c>
      <c r="T376" s="25" t="str">
        <f t="shared" si="87"/>
        <v/>
      </c>
      <c r="U376" s="25" t="str">
        <f t="shared" si="88"/>
        <v/>
      </c>
      <c r="V376" s="26" t="str">
        <f t="shared" si="89"/>
        <v/>
      </c>
      <c r="W376" s="26" t="str">
        <f t="shared" si="90"/>
        <v/>
      </c>
      <c r="X376" s="25" t="str">
        <f t="shared" si="91"/>
        <v/>
      </c>
      <c r="Y376" s="25" t="str">
        <f t="shared" si="92"/>
        <v/>
      </c>
      <c r="Z376" s="27" t="str">
        <f>IF($B376="","",IF($AK376&lt;=Settings!$C$21,"",IFERROR(AVERAGEIFS($S$4:$S$503,$B$4:$B$503,$B376,$AK$4:$AK$503,"&gt;="&amp;$AK376-Settings!$C$21,$AK$4:$AK$503,"&lt;="&amp;$AK376-1),"")))</f>
        <v/>
      </c>
      <c r="AA376" s="28" t="str">
        <f t="shared" si="93"/>
        <v/>
      </c>
      <c r="AB376" s="25" t="str">
        <f>IF($B376="","",IF($AK376&lt;=Settings!$C$22,"",IFERROR(AVERAGEIFS($K$4:$K$503,$B$4:$B$503,$B376,$AK$4:$AK$503,"&gt;="&amp;$AK376-Settings!$C$22,$AK$4:$AK$503,"&lt;="&amp;$AK376-1),"")))</f>
        <v/>
      </c>
      <c r="AC376" s="27" t="str">
        <f t="shared" si="94"/>
        <v/>
      </c>
      <c r="AD376" s="28" t="str">
        <f>IF($B376="","",IF($AK376&lt;=Settings!$C$23,"",IFERROR($E376/SUMIFS($E$4:$E$503,$B$4:$B$503,$B376,$AK$4:$AK$503,$AK376-Settings!$C$23)-1,"")))</f>
        <v/>
      </c>
      <c r="AE376" s="28" t="str">
        <f>IF($B376="","",IF($AK376&lt;=Settings!$C$22,"",IFERROR($E376/SUMIFS($E$4:$E$503,$B$4:$B$503,$B376,$AK$4:$AK$503,$AK376-Settings!$C$22)-1,"")))</f>
        <v/>
      </c>
      <c r="AF376" s="28" t="str">
        <f t="shared" si="95"/>
        <v/>
      </c>
      <c r="AG376" s="29" t="str">
        <f>IF($B376="","",ROUND((MIN(100,100*N($I376)/Settings!$C$27)+MIN(100,100*N($K376)/Settings!$C$28)+MIN(100,100*N($J376)/Settings!$C$29))/3,1))</f>
        <v/>
      </c>
      <c r="AH376" s="29" t="str">
        <f>IF($B376="","",IF(SUM(Settings!$C$32:$C$37)=0,"",ROUND((Settings!$C$32*$AO376+Settings!$C$33*$AP376+Settings!$C$34*$AQ376+Settings!$C$35*$AR376+Settings!$C$36*$AS376+Settings!$C$37*$AT376)/SUM(Settings!$C$32:$C$37),1)))</f>
        <v/>
      </c>
      <c r="AI376" s="29" t="str">
        <f>IF($B376="","",MAX(0,100-IF(N($N376)&gt;0,0,20)-IF(AND(N($L376)=0,N($M376)=0),15,0)-IF(N($J376)&gt;0,0,10)-IF(N($K376)&gt;0,0,10)-IF($Z376&lt;&gt;"",0,15)-IF($AB376&lt;&gt;"",0,10)-IF($R376="ERROR",20,IF($R376="WARNING",10,0))))</f>
        <v/>
      </c>
      <c r="AJ376" s="30" t="str">
        <f>IF($AH376="","",IF($AH376&lt;Settings!$C$46,"Extreme Sell Pressure",IF($AH376&lt;Settings!$C$47,"Sell Pressure",IF($AH376&lt;=Settings!$C$48,"Neutral",IF($AH376&lt;=Settings!$C$49,"Buy Pressure","Extreme Buy Pressure")))))</f>
        <v/>
      </c>
      <c r="AK376" s="30" t="str">
        <f t="shared" si="96"/>
        <v/>
      </c>
      <c r="AL376" s="30" t="str">
        <f t="shared" si="97"/>
        <v/>
      </c>
      <c r="AM376" s="30" t="str">
        <f t="shared" si="98"/>
        <v/>
      </c>
      <c r="AN376" s="30" t="str">
        <f t="shared" si="99"/>
        <v/>
      </c>
      <c r="AO376" s="29" t="str">
        <f>IF($B376="","",IF(AND(N($L376)=0,N($M376)=0),50,IF(N($M376)=0,100,IF(N($L376)=0,0,MEDIAN(0,100,50+50*LN($S376)/LN(Settings!$C$40))))))</f>
        <v/>
      </c>
      <c r="AP376" s="29">
        <f>IF($AA376="",50,MEDIAN(0,100,50+$AA376*100*Settings!$C$41))</f>
        <v>50</v>
      </c>
      <c r="AQ376" s="29">
        <f>IF($H376="",50,MEDIAN(0,100,50+$H376*100*Settings!$C$42))</f>
        <v>50</v>
      </c>
      <c r="AR376" s="29">
        <f>IF(OR($AC376="",$H376=""),50,MEDIAN(0,100,50+SIGN($H376)*50*MEDIAN(0,1,($AC376-1)/Settings!$C$43)))</f>
        <v>50</v>
      </c>
      <c r="AS376" s="29">
        <f>IF(OR($V376="",$W376=""),50,MEDIAN(0,100,50+50*($V376-$W376)/Settings!$C$44))</f>
        <v>50</v>
      </c>
      <c r="AT376" s="29">
        <f t="shared" si="100"/>
        <v>50</v>
      </c>
      <c r="AU376" s="30" t="str">
        <f t="shared" si="101"/>
        <v/>
      </c>
      <c r="AV376" s="87" t="str">
        <f>IF($A376="","",IF(COUNTIFS($A$4:$A376,$A376)=1,1,0))</f>
        <v/>
      </c>
    </row>
    <row r="377" spans="1:48" x14ac:dyDescent="0.3">
      <c r="A377" s="270"/>
      <c r="B377" s="271"/>
      <c r="C377" s="272"/>
      <c r="D377" s="272"/>
      <c r="E377" s="272"/>
      <c r="F377" s="272"/>
      <c r="G377" s="272"/>
      <c r="H377" s="268" t="str">
        <f t="shared" si="85"/>
        <v/>
      </c>
      <c r="I377" s="273"/>
      <c r="J377" s="273"/>
      <c r="K377" s="273"/>
      <c r="L377" s="273"/>
      <c r="M377" s="273"/>
      <c r="N377" s="273"/>
      <c r="O377" s="271"/>
      <c r="P377" s="270"/>
      <c r="Q377" s="271"/>
      <c r="R377" s="23" t="str" cm="1">
        <f t="array" ref="R377">IF($B377="","",IFERROR(IF(INDEX('Data Quality'!$U$4:$U$503,ROW()-3)=0,"PENDING",INDEX('Data Quality'!$U$4:$U$503,ROW()-3)),"PENDING"))</f>
        <v/>
      </c>
      <c r="S377" s="24" t="str">
        <f t="shared" si="86"/>
        <v/>
      </c>
      <c r="T377" s="25" t="str">
        <f t="shared" si="87"/>
        <v/>
      </c>
      <c r="U377" s="25" t="str">
        <f t="shared" si="88"/>
        <v/>
      </c>
      <c r="V377" s="26" t="str">
        <f t="shared" si="89"/>
        <v/>
      </c>
      <c r="W377" s="26" t="str">
        <f t="shared" si="90"/>
        <v/>
      </c>
      <c r="X377" s="25" t="str">
        <f t="shared" si="91"/>
        <v/>
      </c>
      <c r="Y377" s="25" t="str">
        <f t="shared" si="92"/>
        <v/>
      </c>
      <c r="Z377" s="27" t="str">
        <f>IF($B377="","",IF($AK377&lt;=Settings!$C$21,"",IFERROR(AVERAGEIFS($S$4:$S$503,$B$4:$B$503,$B377,$AK$4:$AK$503,"&gt;="&amp;$AK377-Settings!$C$21,$AK$4:$AK$503,"&lt;="&amp;$AK377-1),"")))</f>
        <v/>
      </c>
      <c r="AA377" s="28" t="str">
        <f t="shared" si="93"/>
        <v/>
      </c>
      <c r="AB377" s="25" t="str">
        <f>IF($B377="","",IF($AK377&lt;=Settings!$C$22,"",IFERROR(AVERAGEIFS($K$4:$K$503,$B$4:$B$503,$B377,$AK$4:$AK$503,"&gt;="&amp;$AK377-Settings!$C$22,$AK$4:$AK$503,"&lt;="&amp;$AK377-1),"")))</f>
        <v/>
      </c>
      <c r="AC377" s="27" t="str">
        <f t="shared" si="94"/>
        <v/>
      </c>
      <c r="AD377" s="28" t="str">
        <f>IF($B377="","",IF($AK377&lt;=Settings!$C$23,"",IFERROR($E377/SUMIFS($E$4:$E$503,$B$4:$B$503,$B377,$AK$4:$AK$503,$AK377-Settings!$C$23)-1,"")))</f>
        <v/>
      </c>
      <c r="AE377" s="28" t="str">
        <f>IF($B377="","",IF($AK377&lt;=Settings!$C$22,"",IFERROR($E377/SUMIFS($E$4:$E$503,$B$4:$B$503,$B377,$AK$4:$AK$503,$AK377-Settings!$C$22)-1,"")))</f>
        <v/>
      </c>
      <c r="AF377" s="28" t="str">
        <f t="shared" si="95"/>
        <v/>
      </c>
      <c r="AG377" s="29" t="str">
        <f>IF($B377="","",ROUND((MIN(100,100*N($I377)/Settings!$C$27)+MIN(100,100*N($K377)/Settings!$C$28)+MIN(100,100*N($J377)/Settings!$C$29))/3,1))</f>
        <v/>
      </c>
      <c r="AH377" s="29" t="str">
        <f>IF($B377="","",IF(SUM(Settings!$C$32:$C$37)=0,"",ROUND((Settings!$C$32*$AO377+Settings!$C$33*$AP377+Settings!$C$34*$AQ377+Settings!$C$35*$AR377+Settings!$C$36*$AS377+Settings!$C$37*$AT377)/SUM(Settings!$C$32:$C$37),1)))</f>
        <v/>
      </c>
      <c r="AI377" s="29" t="str">
        <f>IF($B377="","",MAX(0,100-IF(N($N377)&gt;0,0,20)-IF(AND(N($L377)=0,N($M377)=0),15,0)-IF(N($J377)&gt;0,0,10)-IF(N($K377)&gt;0,0,10)-IF($Z377&lt;&gt;"",0,15)-IF($AB377&lt;&gt;"",0,10)-IF($R377="ERROR",20,IF($R377="WARNING",10,0))))</f>
        <v/>
      </c>
      <c r="AJ377" s="30" t="str">
        <f>IF($AH377="","",IF($AH377&lt;Settings!$C$46,"Extreme Sell Pressure",IF($AH377&lt;Settings!$C$47,"Sell Pressure",IF($AH377&lt;=Settings!$C$48,"Neutral",IF($AH377&lt;=Settings!$C$49,"Buy Pressure","Extreme Buy Pressure")))))</f>
        <v/>
      </c>
      <c r="AK377" s="30" t="str">
        <f t="shared" si="96"/>
        <v/>
      </c>
      <c r="AL377" s="30" t="str">
        <f t="shared" si="97"/>
        <v/>
      </c>
      <c r="AM377" s="30" t="str">
        <f t="shared" si="98"/>
        <v/>
      </c>
      <c r="AN377" s="30" t="str">
        <f t="shared" si="99"/>
        <v/>
      </c>
      <c r="AO377" s="29" t="str">
        <f>IF($B377="","",IF(AND(N($L377)=0,N($M377)=0),50,IF(N($M377)=0,100,IF(N($L377)=0,0,MEDIAN(0,100,50+50*LN($S377)/LN(Settings!$C$40))))))</f>
        <v/>
      </c>
      <c r="AP377" s="29">
        <f>IF($AA377="",50,MEDIAN(0,100,50+$AA377*100*Settings!$C$41))</f>
        <v>50</v>
      </c>
      <c r="AQ377" s="29">
        <f>IF($H377="",50,MEDIAN(0,100,50+$H377*100*Settings!$C$42))</f>
        <v>50</v>
      </c>
      <c r="AR377" s="29">
        <f>IF(OR($AC377="",$H377=""),50,MEDIAN(0,100,50+SIGN($H377)*50*MEDIAN(0,1,($AC377-1)/Settings!$C$43)))</f>
        <v>50</v>
      </c>
      <c r="AS377" s="29">
        <f>IF(OR($V377="",$W377=""),50,MEDIAN(0,100,50+50*($V377-$W377)/Settings!$C$44))</f>
        <v>50</v>
      </c>
      <c r="AT377" s="29">
        <f t="shared" si="100"/>
        <v>50</v>
      </c>
      <c r="AU377" s="30" t="str">
        <f t="shared" si="101"/>
        <v/>
      </c>
      <c r="AV377" s="87" t="str">
        <f>IF($A377="","",IF(COUNTIFS($A$4:$A377,$A377)=1,1,0))</f>
        <v/>
      </c>
    </row>
    <row r="378" spans="1:48" x14ac:dyDescent="0.3">
      <c r="A378" s="270"/>
      <c r="B378" s="271"/>
      <c r="C378" s="272"/>
      <c r="D378" s="272"/>
      <c r="E378" s="272"/>
      <c r="F378" s="272"/>
      <c r="G378" s="272"/>
      <c r="H378" s="268" t="str">
        <f t="shared" si="85"/>
        <v/>
      </c>
      <c r="I378" s="273"/>
      <c r="J378" s="273"/>
      <c r="K378" s="273"/>
      <c r="L378" s="273"/>
      <c r="M378" s="273"/>
      <c r="N378" s="273"/>
      <c r="O378" s="271"/>
      <c r="P378" s="270"/>
      <c r="Q378" s="271"/>
      <c r="R378" s="23" t="str" cm="1">
        <f t="array" ref="R378">IF($B378="","",IFERROR(IF(INDEX('Data Quality'!$U$4:$U$503,ROW()-3)=0,"PENDING",INDEX('Data Quality'!$U$4:$U$503,ROW()-3)),"PENDING"))</f>
        <v/>
      </c>
      <c r="S378" s="24" t="str">
        <f t="shared" si="86"/>
        <v/>
      </c>
      <c r="T378" s="25" t="str">
        <f t="shared" si="87"/>
        <v/>
      </c>
      <c r="U378" s="25" t="str">
        <f t="shared" si="88"/>
        <v/>
      </c>
      <c r="V378" s="26" t="str">
        <f t="shared" si="89"/>
        <v/>
      </c>
      <c r="W378" s="26" t="str">
        <f t="shared" si="90"/>
        <v/>
      </c>
      <c r="X378" s="25" t="str">
        <f t="shared" si="91"/>
        <v/>
      </c>
      <c r="Y378" s="25" t="str">
        <f t="shared" si="92"/>
        <v/>
      </c>
      <c r="Z378" s="27" t="str">
        <f>IF($B378="","",IF($AK378&lt;=Settings!$C$21,"",IFERROR(AVERAGEIFS($S$4:$S$503,$B$4:$B$503,$B378,$AK$4:$AK$503,"&gt;="&amp;$AK378-Settings!$C$21,$AK$4:$AK$503,"&lt;="&amp;$AK378-1),"")))</f>
        <v/>
      </c>
      <c r="AA378" s="28" t="str">
        <f t="shared" si="93"/>
        <v/>
      </c>
      <c r="AB378" s="25" t="str">
        <f>IF($B378="","",IF($AK378&lt;=Settings!$C$22,"",IFERROR(AVERAGEIFS($K$4:$K$503,$B$4:$B$503,$B378,$AK$4:$AK$503,"&gt;="&amp;$AK378-Settings!$C$22,$AK$4:$AK$503,"&lt;="&amp;$AK378-1),"")))</f>
        <v/>
      </c>
      <c r="AC378" s="27" t="str">
        <f t="shared" si="94"/>
        <v/>
      </c>
      <c r="AD378" s="28" t="str">
        <f>IF($B378="","",IF($AK378&lt;=Settings!$C$23,"",IFERROR($E378/SUMIFS($E$4:$E$503,$B$4:$B$503,$B378,$AK$4:$AK$503,$AK378-Settings!$C$23)-1,"")))</f>
        <v/>
      </c>
      <c r="AE378" s="28" t="str">
        <f>IF($B378="","",IF($AK378&lt;=Settings!$C$22,"",IFERROR($E378/SUMIFS($E$4:$E$503,$B$4:$B$503,$B378,$AK$4:$AK$503,$AK378-Settings!$C$22)-1,"")))</f>
        <v/>
      </c>
      <c r="AF378" s="28" t="str">
        <f t="shared" si="95"/>
        <v/>
      </c>
      <c r="AG378" s="29" t="str">
        <f>IF($B378="","",ROUND((MIN(100,100*N($I378)/Settings!$C$27)+MIN(100,100*N($K378)/Settings!$C$28)+MIN(100,100*N($J378)/Settings!$C$29))/3,1))</f>
        <v/>
      </c>
      <c r="AH378" s="29" t="str">
        <f>IF($B378="","",IF(SUM(Settings!$C$32:$C$37)=0,"",ROUND((Settings!$C$32*$AO378+Settings!$C$33*$AP378+Settings!$C$34*$AQ378+Settings!$C$35*$AR378+Settings!$C$36*$AS378+Settings!$C$37*$AT378)/SUM(Settings!$C$32:$C$37),1)))</f>
        <v/>
      </c>
      <c r="AI378" s="29" t="str">
        <f>IF($B378="","",MAX(0,100-IF(N($N378)&gt;0,0,20)-IF(AND(N($L378)=0,N($M378)=0),15,0)-IF(N($J378)&gt;0,0,10)-IF(N($K378)&gt;0,0,10)-IF($Z378&lt;&gt;"",0,15)-IF($AB378&lt;&gt;"",0,10)-IF($R378="ERROR",20,IF($R378="WARNING",10,0))))</f>
        <v/>
      </c>
      <c r="AJ378" s="30" t="str">
        <f>IF($AH378="","",IF($AH378&lt;Settings!$C$46,"Extreme Sell Pressure",IF($AH378&lt;Settings!$C$47,"Sell Pressure",IF($AH378&lt;=Settings!$C$48,"Neutral",IF($AH378&lt;=Settings!$C$49,"Buy Pressure","Extreme Buy Pressure")))))</f>
        <v/>
      </c>
      <c r="AK378" s="30" t="str">
        <f t="shared" si="96"/>
        <v/>
      </c>
      <c r="AL378" s="30" t="str">
        <f t="shared" si="97"/>
        <v/>
      </c>
      <c r="AM378" s="30" t="str">
        <f t="shared" si="98"/>
        <v/>
      </c>
      <c r="AN378" s="30" t="str">
        <f t="shared" si="99"/>
        <v/>
      </c>
      <c r="AO378" s="29" t="str">
        <f>IF($B378="","",IF(AND(N($L378)=0,N($M378)=0),50,IF(N($M378)=0,100,IF(N($L378)=0,0,MEDIAN(0,100,50+50*LN($S378)/LN(Settings!$C$40))))))</f>
        <v/>
      </c>
      <c r="AP378" s="29">
        <f>IF($AA378="",50,MEDIAN(0,100,50+$AA378*100*Settings!$C$41))</f>
        <v>50</v>
      </c>
      <c r="AQ378" s="29">
        <f>IF($H378="",50,MEDIAN(0,100,50+$H378*100*Settings!$C$42))</f>
        <v>50</v>
      </c>
      <c r="AR378" s="29">
        <f>IF(OR($AC378="",$H378=""),50,MEDIAN(0,100,50+SIGN($H378)*50*MEDIAN(0,1,($AC378-1)/Settings!$C$43)))</f>
        <v>50</v>
      </c>
      <c r="AS378" s="29">
        <f>IF(OR($V378="",$W378=""),50,MEDIAN(0,100,50+50*($V378-$W378)/Settings!$C$44))</f>
        <v>50</v>
      </c>
      <c r="AT378" s="29">
        <f t="shared" si="100"/>
        <v>50</v>
      </c>
      <c r="AU378" s="30" t="str">
        <f t="shared" si="101"/>
        <v/>
      </c>
      <c r="AV378" s="87" t="str">
        <f>IF($A378="","",IF(COUNTIFS($A$4:$A378,$A378)=1,1,0))</f>
        <v/>
      </c>
    </row>
    <row r="379" spans="1:48" x14ac:dyDescent="0.3">
      <c r="A379" s="270"/>
      <c r="B379" s="271"/>
      <c r="C379" s="272"/>
      <c r="D379" s="272"/>
      <c r="E379" s="272"/>
      <c r="F379" s="272"/>
      <c r="G379" s="272"/>
      <c r="H379" s="268" t="str">
        <f t="shared" si="85"/>
        <v/>
      </c>
      <c r="I379" s="273"/>
      <c r="J379" s="273"/>
      <c r="K379" s="273"/>
      <c r="L379" s="273"/>
      <c r="M379" s="273"/>
      <c r="N379" s="273"/>
      <c r="O379" s="271"/>
      <c r="P379" s="270"/>
      <c r="Q379" s="271"/>
      <c r="R379" s="23" t="str" cm="1">
        <f t="array" ref="R379">IF($B379="","",IFERROR(IF(INDEX('Data Quality'!$U$4:$U$503,ROW()-3)=0,"PENDING",INDEX('Data Quality'!$U$4:$U$503,ROW()-3)),"PENDING"))</f>
        <v/>
      </c>
      <c r="S379" s="24" t="str">
        <f t="shared" si="86"/>
        <v/>
      </c>
      <c r="T379" s="25" t="str">
        <f t="shared" si="87"/>
        <v/>
      </c>
      <c r="U379" s="25" t="str">
        <f t="shared" si="88"/>
        <v/>
      </c>
      <c r="V379" s="26" t="str">
        <f t="shared" si="89"/>
        <v/>
      </c>
      <c r="W379" s="26" t="str">
        <f t="shared" si="90"/>
        <v/>
      </c>
      <c r="X379" s="25" t="str">
        <f t="shared" si="91"/>
        <v/>
      </c>
      <c r="Y379" s="25" t="str">
        <f t="shared" si="92"/>
        <v/>
      </c>
      <c r="Z379" s="27" t="str">
        <f>IF($B379="","",IF($AK379&lt;=Settings!$C$21,"",IFERROR(AVERAGEIFS($S$4:$S$503,$B$4:$B$503,$B379,$AK$4:$AK$503,"&gt;="&amp;$AK379-Settings!$C$21,$AK$4:$AK$503,"&lt;="&amp;$AK379-1),"")))</f>
        <v/>
      </c>
      <c r="AA379" s="28" t="str">
        <f t="shared" si="93"/>
        <v/>
      </c>
      <c r="AB379" s="25" t="str">
        <f>IF($B379="","",IF($AK379&lt;=Settings!$C$22,"",IFERROR(AVERAGEIFS($K$4:$K$503,$B$4:$B$503,$B379,$AK$4:$AK$503,"&gt;="&amp;$AK379-Settings!$C$22,$AK$4:$AK$503,"&lt;="&amp;$AK379-1),"")))</f>
        <v/>
      </c>
      <c r="AC379" s="27" t="str">
        <f t="shared" si="94"/>
        <v/>
      </c>
      <c r="AD379" s="28" t="str">
        <f>IF($B379="","",IF($AK379&lt;=Settings!$C$23,"",IFERROR($E379/SUMIFS($E$4:$E$503,$B$4:$B$503,$B379,$AK$4:$AK$503,$AK379-Settings!$C$23)-1,"")))</f>
        <v/>
      </c>
      <c r="AE379" s="28" t="str">
        <f>IF($B379="","",IF($AK379&lt;=Settings!$C$22,"",IFERROR($E379/SUMIFS($E$4:$E$503,$B$4:$B$503,$B379,$AK$4:$AK$503,$AK379-Settings!$C$22)-1,"")))</f>
        <v/>
      </c>
      <c r="AF379" s="28" t="str">
        <f t="shared" si="95"/>
        <v/>
      </c>
      <c r="AG379" s="29" t="str">
        <f>IF($B379="","",ROUND((MIN(100,100*N($I379)/Settings!$C$27)+MIN(100,100*N($K379)/Settings!$C$28)+MIN(100,100*N($J379)/Settings!$C$29))/3,1))</f>
        <v/>
      </c>
      <c r="AH379" s="29" t="str">
        <f>IF($B379="","",IF(SUM(Settings!$C$32:$C$37)=0,"",ROUND((Settings!$C$32*$AO379+Settings!$C$33*$AP379+Settings!$C$34*$AQ379+Settings!$C$35*$AR379+Settings!$C$36*$AS379+Settings!$C$37*$AT379)/SUM(Settings!$C$32:$C$37),1)))</f>
        <v/>
      </c>
      <c r="AI379" s="29" t="str">
        <f>IF($B379="","",MAX(0,100-IF(N($N379)&gt;0,0,20)-IF(AND(N($L379)=0,N($M379)=0),15,0)-IF(N($J379)&gt;0,0,10)-IF(N($K379)&gt;0,0,10)-IF($Z379&lt;&gt;"",0,15)-IF($AB379&lt;&gt;"",0,10)-IF($R379="ERROR",20,IF($R379="WARNING",10,0))))</f>
        <v/>
      </c>
      <c r="AJ379" s="30" t="str">
        <f>IF($AH379="","",IF($AH379&lt;Settings!$C$46,"Extreme Sell Pressure",IF($AH379&lt;Settings!$C$47,"Sell Pressure",IF($AH379&lt;=Settings!$C$48,"Neutral",IF($AH379&lt;=Settings!$C$49,"Buy Pressure","Extreme Buy Pressure")))))</f>
        <v/>
      </c>
      <c r="AK379" s="30" t="str">
        <f t="shared" si="96"/>
        <v/>
      </c>
      <c r="AL379" s="30" t="str">
        <f t="shared" si="97"/>
        <v/>
      </c>
      <c r="AM379" s="30" t="str">
        <f t="shared" si="98"/>
        <v/>
      </c>
      <c r="AN379" s="30" t="str">
        <f t="shared" si="99"/>
        <v/>
      </c>
      <c r="AO379" s="29" t="str">
        <f>IF($B379="","",IF(AND(N($L379)=0,N($M379)=0),50,IF(N($M379)=0,100,IF(N($L379)=0,0,MEDIAN(0,100,50+50*LN($S379)/LN(Settings!$C$40))))))</f>
        <v/>
      </c>
      <c r="AP379" s="29">
        <f>IF($AA379="",50,MEDIAN(0,100,50+$AA379*100*Settings!$C$41))</f>
        <v>50</v>
      </c>
      <c r="AQ379" s="29">
        <f>IF($H379="",50,MEDIAN(0,100,50+$H379*100*Settings!$C$42))</f>
        <v>50</v>
      </c>
      <c r="AR379" s="29">
        <f>IF(OR($AC379="",$H379=""),50,MEDIAN(0,100,50+SIGN($H379)*50*MEDIAN(0,1,($AC379-1)/Settings!$C$43)))</f>
        <v>50</v>
      </c>
      <c r="AS379" s="29">
        <f>IF(OR($V379="",$W379=""),50,MEDIAN(0,100,50+50*($V379-$W379)/Settings!$C$44))</f>
        <v>50</v>
      </c>
      <c r="AT379" s="29">
        <f t="shared" si="100"/>
        <v>50</v>
      </c>
      <c r="AU379" s="30" t="str">
        <f t="shared" si="101"/>
        <v/>
      </c>
      <c r="AV379" s="87" t="str">
        <f>IF($A379="","",IF(COUNTIFS($A$4:$A379,$A379)=1,1,0))</f>
        <v/>
      </c>
    </row>
    <row r="380" spans="1:48" x14ac:dyDescent="0.3">
      <c r="A380" s="270"/>
      <c r="B380" s="271"/>
      <c r="C380" s="272"/>
      <c r="D380" s="272"/>
      <c r="E380" s="272"/>
      <c r="F380" s="272"/>
      <c r="G380" s="272"/>
      <c r="H380" s="268" t="str">
        <f t="shared" si="85"/>
        <v/>
      </c>
      <c r="I380" s="273"/>
      <c r="J380" s="273"/>
      <c r="K380" s="273"/>
      <c r="L380" s="273"/>
      <c r="M380" s="273"/>
      <c r="N380" s="273"/>
      <c r="O380" s="271"/>
      <c r="P380" s="270"/>
      <c r="Q380" s="271"/>
      <c r="R380" s="23" t="str" cm="1">
        <f t="array" ref="R380">IF($B380="","",IFERROR(IF(INDEX('Data Quality'!$U$4:$U$503,ROW()-3)=0,"PENDING",INDEX('Data Quality'!$U$4:$U$503,ROW()-3)),"PENDING"))</f>
        <v/>
      </c>
      <c r="S380" s="24" t="str">
        <f t="shared" si="86"/>
        <v/>
      </c>
      <c r="T380" s="25" t="str">
        <f t="shared" si="87"/>
        <v/>
      </c>
      <c r="U380" s="25" t="str">
        <f t="shared" si="88"/>
        <v/>
      </c>
      <c r="V380" s="26" t="str">
        <f t="shared" si="89"/>
        <v/>
      </c>
      <c r="W380" s="26" t="str">
        <f t="shared" si="90"/>
        <v/>
      </c>
      <c r="X380" s="25" t="str">
        <f t="shared" si="91"/>
        <v/>
      </c>
      <c r="Y380" s="25" t="str">
        <f t="shared" si="92"/>
        <v/>
      </c>
      <c r="Z380" s="27" t="str">
        <f>IF($B380="","",IF($AK380&lt;=Settings!$C$21,"",IFERROR(AVERAGEIFS($S$4:$S$503,$B$4:$B$503,$B380,$AK$4:$AK$503,"&gt;="&amp;$AK380-Settings!$C$21,$AK$4:$AK$503,"&lt;="&amp;$AK380-1),"")))</f>
        <v/>
      </c>
      <c r="AA380" s="28" t="str">
        <f t="shared" si="93"/>
        <v/>
      </c>
      <c r="AB380" s="25" t="str">
        <f>IF($B380="","",IF($AK380&lt;=Settings!$C$22,"",IFERROR(AVERAGEIFS($K$4:$K$503,$B$4:$B$503,$B380,$AK$4:$AK$503,"&gt;="&amp;$AK380-Settings!$C$22,$AK$4:$AK$503,"&lt;="&amp;$AK380-1),"")))</f>
        <v/>
      </c>
      <c r="AC380" s="27" t="str">
        <f t="shared" si="94"/>
        <v/>
      </c>
      <c r="AD380" s="28" t="str">
        <f>IF($B380="","",IF($AK380&lt;=Settings!$C$23,"",IFERROR($E380/SUMIFS($E$4:$E$503,$B$4:$B$503,$B380,$AK$4:$AK$503,$AK380-Settings!$C$23)-1,"")))</f>
        <v/>
      </c>
      <c r="AE380" s="28" t="str">
        <f>IF($B380="","",IF($AK380&lt;=Settings!$C$22,"",IFERROR($E380/SUMIFS($E$4:$E$503,$B$4:$B$503,$B380,$AK$4:$AK$503,$AK380-Settings!$C$22)-1,"")))</f>
        <v/>
      </c>
      <c r="AF380" s="28" t="str">
        <f t="shared" si="95"/>
        <v/>
      </c>
      <c r="AG380" s="29" t="str">
        <f>IF($B380="","",ROUND((MIN(100,100*N($I380)/Settings!$C$27)+MIN(100,100*N($K380)/Settings!$C$28)+MIN(100,100*N($J380)/Settings!$C$29))/3,1))</f>
        <v/>
      </c>
      <c r="AH380" s="29" t="str">
        <f>IF($B380="","",IF(SUM(Settings!$C$32:$C$37)=0,"",ROUND((Settings!$C$32*$AO380+Settings!$C$33*$AP380+Settings!$C$34*$AQ380+Settings!$C$35*$AR380+Settings!$C$36*$AS380+Settings!$C$37*$AT380)/SUM(Settings!$C$32:$C$37),1)))</f>
        <v/>
      </c>
      <c r="AI380" s="29" t="str">
        <f>IF($B380="","",MAX(0,100-IF(N($N380)&gt;0,0,20)-IF(AND(N($L380)=0,N($M380)=0),15,0)-IF(N($J380)&gt;0,0,10)-IF(N($K380)&gt;0,0,10)-IF($Z380&lt;&gt;"",0,15)-IF($AB380&lt;&gt;"",0,10)-IF($R380="ERROR",20,IF($R380="WARNING",10,0))))</f>
        <v/>
      </c>
      <c r="AJ380" s="30" t="str">
        <f>IF($AH380="","",IF($AH380&lt;Settings!$C$46,"Extreme Sell Pressure",IF($AH380&lt;Settings!$C$47,"Sell Pressure",IF($AH380&lt;=Settings!$C$48,"Neutral",IF($AH380&lt;=Settings!$C$49,"Buy Pressure","Extreme Buy Pressure")))))</f>
        <v/>
      </c>
      <c r="AK380" s="30" t="str">
        <f t="shared" si="96"/>
        <v/>
      </c>
      <c r="AL380" s="30" t="str">
        <f t="shared" si="97"/>
        <v/>
      </c>
      <c r="AM380" s="30" t="str">
        <f t="shared" si="98"/>
        <v/>
      </c>
      <c r="AN380" s="30" t="str">
        <f t="shared" si="99"/>
        <v/>
      </c>
      <c r="AO380" s="29" t="str">
        <f>IF($B380="","",IF(AND(N($L380)=0,N($M380)=0),50,IF(N($M380)=0,100,IF(N($L380)=0,0,MEDIAN(0,100,50+50*LN($S380)/LN(Settings!$C$40))))))</f>
        <v/>
      </c>
      <c r="AP380" s="29">
        <f>IF($AA380="",50,MEDIAN(0,100,50+$AA380*100*Settings!$C$41))</f>
        <v>50</v>
      </c>
      <c r="AQ380" s="29">
        <f>IF($H380="",50,MEDIAN(0,100,50+$H380*100*Settings!$C$42))</f>
        <v>50</v>
      </c>
      <c r="AR380" s="29">
        <f>IF(OR($AC380="",$H380=""),50,MEDIAN(0,100,50+SIGN($H380)*50*MEDIAN(0,1,($AC380-1)/Settings!$C$43)))</f>
        <v>50</v>
      </c>
      <c r="AS380" s="29">
        <f>IF(OR($V380="",$W380=""),50,MEDIAN(0,100,50+50*($V380-$W380)/Settings!$C$44))</f>
        <v>50</v>
      </c>
      <c r="AT380" s="29">
        <f t="shared" si="100"/>
        <v>50</v>
      </c>
      <c r="AU380" s="30" t="str">
        <f t="shared" si="101"/>
        <v/>
      </c>
      <c r="AV380" s="87" t="str">
        <f>IF($A380="","",IF(COUNTIFS($A$4:$A380,$A380)=1,1,0))</f>
        <v/>
      </c>
    </row>
    <row r="381" spans="1:48" x14ac:dyDescent="0.3">
      <c r="A381" s="270"/>
      <c r="B381" s="271"/>
      <c r="C381" s="272"/>
      <c r="D381" s="272"/>
      <c r="E381" s="272"/>
      <c r="F381" s="272"/>
      <c r="G381" s="272"/>
      <c r="H381" s="268" t="str">
        <f t="shared" si="85"/>
        <v/>
      </c>
      <c r="I381" s="273"/>
      <c r="J381" s="273"/>
      <c r="K381" s="273"/>
      <c r="L381" s="273"/>
      <c r="M381" s="273"/>
      <c r="N381" s="273"/>
      <c r="O381" s="271"/>
      <c r="P381" s="270"/>
      <c r="Q381" s="271"/>
      <c r="R381" s="23" t="str" cm="1">
        <f t="array" ref="R381">IF($B381="","",IFERROR(IF(INDEX('Data Quality'!$U$4:$U$503,ROW()-3)=0,"PENDING",INDEX('Data Quality'!$U$4:$U$503,ROW()-3)),"PENDING"))</f>
        <v/>
      </c>
      <c r="S381" s="24" t="str">
        <f t="shared" si="86"/>
        <v/>
      </c>
      <c r="T381" s="25" t="str">
        <f t="shared" si="87"/>
        <v/>
      </c>
      <c r="U381" s="25" t="str">
        <f t="shared" si="88"/>
        <v/>
      </c>
      <c r="V381" s="26" t="str">
        <f t="shared" si="89"/>
        <v/>
      </c>
      <c r="W381" s="26" t="str">
        <f t="shared" si="90"/>
        <v/>
      </c>
      <c r="X381" s="25" t="str">
        <f t="shared" si="91"/>
        <v/>
      </c>
      <c r="Y381" s="25" t="str">
        <f t="shared" si="92"/>
        <v/>
      </c>
      <c r="Z381" s="27" t="str">
        <f>IF($B381="","",IF($AK381&lt;=Settings!$C$21,"",IFERROR(AVERAGEIFS($S$4:$S$503,$B$4:$B$503,$B381,$AK$4:$AK$503,"&gt;="&amp;$AK381-Settings!$C$21,$AK$4:$AK$503,"&lt;="&amp;$AK381-1),"")))</f>
        <v/>
      </c>
      <c r="AA381" s="28" t="str">
        <f t="shared" si="93"/>
        <v/>
      </c>
      <c r="AB381" s="25" t="str">
        <f>IF($B381="","",IF($AK381&lt;=Settings!$C$22,"",IFERROR(AVERAGEIFS($K$4:$K$503,$B$4:$B$503,$B381,$AK$4:$AK$503,"&gt;="&amp;$AK381-Settings!$C$22,$AK$4:$AK$503,"&lt;="&amp;$AK381-1),"")))</f>
        <v/>
      </c>
      <c r="AC381" s="27" t="str">
        <f t="shared" si="94"/>
        <v/>
      </c>
      <c r="AD381" s="28" t="str">
        <f>IF($B381="","",IF($AK381&lt;=Settings!$C$23,"",IFERROR($E381/SUMIFS($E$4:$E$503,$B$4:$B$503,$B381,$AK$4:$AK$503,$AK381-Settings!$C$23)-1,"")))</f>
        <v/>
      </c>
      <c r="AE381" s="28" t="str">
        <f>IF($B381="","",IF($AK381&lt;=Settings!$C$22,"",IFERROR($E381/SUMIFS($E$4:$E$503,$B$4:$B$503,$B381,$AK$4:$AK$503,$AK381-Settings!$C$22)-1,"")))</f>
        <v/>
      </c>
      <c r="AF381" s="28" t="str">
        <f t="shared" si="95"/>
        <v/>
      </c>
      <c r="AG381" s="29" t="str">
        <f>IF($B381="","",ROUND((MIN(100,100*N($I381)/Settings!$C$27)+MIN(100,100*N($K381)/Settings!$C$28)+MIN(100,100*N($J381)/Settings!$C$29))/3,1))</f>
        <v/>
      </c>
      <c r="AH381" s="29" t="str">
        <f>IF($B381="","",IF(SUM(Settings!$C$32:$C$37)=0,"",ROUND((Settings!$C$32*$AO381+Settings!$C$33*$AP381+Settings!$C$34*$AQ381+Settings!$C$35*$AR381+Settings!$C$36*$AS381+Settings!$C$37*$AT381)/SUM(Settings!$C$32:$C$37),1)))</f>
        <v/>
      </c>
      <c r="AI381" s="29" t="str">
        <f>IF($B381="","",MAX(0,100-IF(N($N381)&gt;0,0,20)-IF(AND(N($L381)=0,N($M381)=0),15,0)-IF(N($J381)&gt;0,0,10)-IF(N($K381)&gt;0,0,10)-IF($Z381&lt;&gt;"",0,15)-IF($AB381&lt;&gt;"",0,10)-IF($R381="ERROR",20,IF($R381="WARNING",10,0))))</f>
        <v/>
      </c>
      <c r="AJ381" s="30" t="str">
        <f>IF($AH381="","",IF($AH381&lt;Settings!$C$46,"Extreme Sell Pressure",IF($AH381&lt;Settings!$C$47,"Sell Pressure",IF($AH381&lt;=Settings!$C$48,"Neutral",IF($AH381&lt;=Settings!$C$49,"Buy Pressure","Extreme Buy Pressure")))))</f>
        <v/>
      </c>
      <c r="AK381" s="30" t="str">
        <f t="shared" si="96"/>
        <v/>
      </c>
      <c r="AL381" s="30" t="str">
        <f t="shared" si="97"/>
        <v/>
      </c>
      <c r="AM381" s="30" t="str">
        <f t="shared" si="98"/>
        <v/>
      </c>
      <c r="AN381" s="30" t="str">
        <f t="shared" si="99"/>
        <v/>
      </c>
      <c r="AO381" s="29" t="str">
        <f>IF($B381="","",IF(AND(N($L381)=0,N($M381)=0),50,IF(N($M381)=0,100,IF(N($L381)=0,0,MEDIAN(0,100,50+50*LN($S381)/LN(Settings!$C$40))))))</f>
        <v/>
      </c>
      <c r="AP381" s="29">
        <f>IF($AA381="",50,MEDIAN(0,100,50+$AA381*100*Settings!$C$41))</f>
        <v>50</v>
      </c>
      <c r="AQ381" s="29">
        <f>IF($H381="",50,MEDIAN(0,100,50+$H381*100*Settings!$C$42))</f>
        <v>50</v>
      </c>
      <c r="AR381" s="29">
        <f>IF(OR($AC381="",$H381=""),50,MEDIAN(0,100,50+SIGN($H381)*50*MEDIAN(0,1,($AC381-1)/Settings!$C$43)))</f>
        <v>50</v>
      </c>
      <c r="AS381" s="29">
        <f>IF(OR($V381="",$W381=""),50,MEDIAN(0,100,50+50*($V381-$W381)/Settings!$C$44))</f>
        <v>50</v>
      </c>
      <c r="AT381" s="29">
        <f t="shared" si="100"/>
        <v>50</v>
      </c>
      <c r="AU381" s="30" t="str">
        <f t="shared" si="101"/>
        <v/>
      </c>
      <c r="AV381" s="87" t="str">
        <f>IF($A381="","",IF(COUNTIFS($A$4:$A381,$A381)=1,1,0))</f>
        <v/>
      </c>
    </row>
    <row r="382" spans="1:48" x14ac:dyDescent="0.3">
      <c r="A382" s="270"/>
      <c r="B382" s="271"/>
      <c r="C382" s="272"/>
      <c r="D382" s="272"/>
      <c r="E382" s="272"/>
      <c r="F382" s="272"/>
      <c r="G382" s="272"/>
      <c r="H382" s="268" t="str">
        <f t="shared" si="85"/>
        <v/>
      </c>
      <c r="I382" s="273"/>
      <c r="J382" s="273"/>
      <c r="K382" s="273"/>
      <c r="L382" s="273"/>
      <c r="M382" s="273"/>
      <c r="N382" s="273"/>
      <c r="O382" s="271"/>
      <c r="P382" s="270"/>
      <c r="Q382" s="271"/>
      <c r="R382" s="23" t="str" cm="1">
        <f t="array" ref="R382">IF($B382="","",IFERROR(IF(INDEX('Data Quality'!$U$4:$U$503,ROW()-3)=0,"PENDING",INDEX('Data Quality'!$U$4:$U$503,ROW()-3)),"PENDING"))</f>
        <v/>
      </c>
      <c r="S382" s="24" t="str">
        <f t="shared" si="86"/>
        <v/>
      </c>
      <c r="T382" s="25" t="str">
        <f t="shared" si="87"/>
        <v/>
      </c>
      <c r="U382" s="25" t="str">
        <f t="shared" si="88"/>
        <v/>
      </c>
      <c r="V382" s="26" t="str">
        <f t="shared" si="89"/>
        <v/>
      </c>
      <c r="W382" s="26" t="str">
        <f t="shared" si="90"/>
        <v/>
      </c>
      <c r="X382" s="25" t="str">
        <f t="shared" si="91"/>
        <v/>
      </c>
      <c r="Y382" s="25" t="str">
        <f t="shared" si="92"/>
        <v/>
      </c>
      <c r="Z382" s="27" t="str">
        <f>IF($B382="","",IF($AK382&lt;=Settings!$C$21,"",IFERROR(AVERAGEIFS($S$4:$S$503,$B$4:$B$503,$B382,$AK$4:$AK$503,"&gt;="&amp;$AK382-Settings!$C$21,$AK$4:$AK$503,"&lt;="&amp;$AK382-1),"")))</f>
        <v/>
      </c>
      <c r="AA382" s="28" t="str">
        <f t="shared" si="93"/>
        <v/>
      </c>
      <c r="AB382" s="25" t="str">
        <f>IF($B382="","",IF($AK382&lt;=Settings!$C$22,"",IFERROR(AVERAGEIFS($K$4:$K$503,$B$4:$B$503,$B382,$AK$4:$AK$503,"&gt;="&amp;$AK382-Settings!$C$22,$AK$4:$AK$503,"&lt;="&amp;$AK382-1),"")))</f>
        <v/>
      </c>
      <c r="AC382" s="27" t="str">
        <f t="shared" si="94"/>
        <v/>
      </c>
      <c r="AD382" s="28" t="str">
        <f>IF($B382="","",IF($AK382&lt;=Settings!$C$23,"",IFERROR($E382/SUMIFS($E$4:$E$503,$B$4:$B$503,$B382,$AK$4:$AK$503,$AK382-Settings!$C$23)-1,"")))</f>
        <v/>
      </c>
      <c r="AE382" s="28" t="str">
        <f>IF($B382="","",IF($AK382&lt;=Settings!$C$22,"",IFERROR($E382/SUMIFS($E$4:$E$503,$B$4:$B$503,$B382,$AK$4:$AK$503,$AK382-Settings!$C$22)-1,"")))</f>
        <v/>
      </c>
      <c r="AF382" s="28" t="str">
        <f t="shared" si="95"/>
        <v/>
      </c>
      <c r="AG382" s="29" t="str">
        <f>IF($B382="","",ROUND((MIN(100,100*N($I382)/Settings!$C$27)+MIN(100,100*N($K382)/Settings!$C$28)+MIN(100,100*N($J382)/Settings!$C$29))/3,1))</f>
        <v/>
      </c>
      <c r="AH382" s="29" t="str">
        <f>IF($B382="","",IF(SUM(Settings!$C$32:$C$37)=0,"",ROUND((Settings!$C$32*$AO382+Settings!$C$33*$AP382+Settings!$C$34*$AQ382+Settings!$C$35*$AR382+Settings!$C$36*$AS382+Settings!$C$37*$AT382)/SUM(Settings!$C$32:$C$37),1)))</f>
        <v/>
      </c>
      <c r="AI382" s="29" t="str">
        <f>IF($B382="","",MAX(0,100-IF(N($N382)&gt;0,0,20)-IF(AND(N($L382)=0,N($M382)=0),15,0)-IF(N($J382)&gt;0,0,10)-IF(N($K382)&gt;0,0,10)-IF($Z382&lt;&gt;"",0,15)-IF($AB382&lt;&gt;"",0,10)-IF($R382="ERROR",20,IF($R382="WARNING",10,0))))</f>
        <v/>
      </c>
      <c r="AJ382" s="30" t="str">
        <f>IF($AH382="","",IF($AH382&lt;Settings!$C$46,"Extreme Sell Pressure",IF($AH382&lt;Settings!$C$47,"Sell Pressure",IF($AH382&lt;=Settings!$C$48,"Neutral",IF($AH382&lt;=Settings!$C$49,"Buy Pressure","Extreme Buy Pressure")))))</f>
        <v/>
      </c>
      <c r="AK382" s="30" t="str">
        <f t="shared" si="96"/>
        <v/>
      </c>
      <c r="AL382" s="30" t="str">
        <f t="shared" si="97"/>
        <v/>
      </c>
      <c r="AM382" s="30" t="str">
        <f t="shared" si="98"/>
        <v/>
      </c>
      <c r="AN382" s="30" t="str">
        <f t="shared" si="99"/>
        <v/>
      </c>
      <c r="AO382" s="29" t="str">
        <f>IF($B382="","",IF(AND(N($L382)=0,N($M382)=0),50,IF(N($M382)=0,100,IF(N($L382)=0,0,MEDIAN(0,100,50+50*LN($S382)/LN(Settings!$C$40))))))</f>
        <v/>
      </c>
      <c r="AP382" s="29">
        <f>IF($AA382="",50,MEDIAN(0,100,50+$AA382*100*Settings!$C$41))</f>
        <v>50</v>
      </c>
      <c r="AQ382" s="29">
        <f>IF($H382="",50,MEDIAN(0,100,50+$H382*100*Settings!$C$42))</f>
        <v>50</v>
      </c>
      <c r="AR382" s="29">
        <f>IF(OR($AC382="",$H382=""),50,MEDIAN(0,100,50+SIGN($H382)*50*MEDIAN(0,1,($AC382-1)/Settings!$C$43)))</f>
        <v>50</v>
      </c>
      <c r="AS382" s="29">
        <f>IF(OR($V382="",$W382=""),50,MEDIAN(0,100,50+50*($V382-$W382)/Settings!$C$44))</f>
        <v>50</v>
      </c>
      <c r="AT382" s="29">
        <f t="shared" si="100"/>
        <v>50</v>
      </c>
      <c r="AU382" s="30" t="str">
        <f t="shared" si="101"/>
        <v/>
      </c>
      <c r="AV382" s="87" t="str">
        <f>IF($A382="","",IF(COUNTIFS($A$4:$A382,$A382)=1,1,0))</f>
        <v/>
      </c>
    </row>
    <row r="383" spans="1:48" x14ac:dyDescent="0.3">
      <c r="A383" s="270"/>
      <c r="B383" s="271"/>
      <c r="C383" s="272"/>
      <c r="D383" s="272"/>
      <c r="E383" s="272"/>
      <c r="F383" s="272"/>
      <c r="G383" s="272"/>
      <c r="H383" s="268" t="str">
        <f t="shared" si="85"/>
        <v/>
      </c>
      <c r="I383" s="273"/>
      <c r="J383" s="273"/>
      <c r="K383" s="273"/>
      <c r="L383" s="273"/>
      <c r="M383" s="273"/>
      <c r="N383" s="273"/>
      <c r="O383" s="271"/>
      <c r="P383" s="270"/>
      <c r="Q383" s="271"/>
      <c r="R383" s="23" t="str" cm="1">
        <f t="array" ref="R383">IF($B383="","",IFERROR(IF(INDEX('Data Quality'!$U$4:$U$503,ROW()-3)=0,"PENDING",INDEX('Data Quality'!$U$4:$U$503,ROW()-3)),"PENDING"))</f>
        <v/>
      </c>
      <c r="S383" s="24" t="str">
        <f t="shared" si="86"/>
        <v/>
      </c>
      <c r="T383" s="25" t="str">
        <f t="shared" si="87"/>
        <v/>
      </c>
      <c r="U383" s="25" t="str">
        <f t="shared" si="88"/>
        <v/>
      </c>
      <c r="V383" s="26" t="str">
        <f t="shared" si="89"/>
        <v/>
      </c>
      <c r="W383" s="26" t="str">
        <f t="shared" si="90"/>
        <v/>
      </c>
      <c r="X383" s="25" t="str">
        <f t="shared" si="91"/>
        <v/>
      </c>
      <c r="Y383" s="25" t="str">
        <f t="shared" si="92"/>
        <v/>
      </c>
      <c r="Z383" s="27" t="str">
        <f>IF($B383="","",IF($AK383&lt;=Settings!$C$21,"",IFERROR(AVERAGEIFS($S$4:$S$503,$B$4:$B$503,$B383,$AK$4:$AK$503,"&gt;="&amp;$AK383-Settings!$C$21,$AK$4:$AK$503,"&lt;="&amp;$AK383-1),"")))</f>
        <v/>
      </c>
      <c r="AA383" s="28" t="str">
        <f t="shared" si="93"/>
        <v/>
      </c>
      <c r="AB383" s="25" t="str">
        <f>IF($B383="","",IF($AK383&lt;=Settings!$C$22,"",IFERROR(AVERAGEIFS($K$4:$K$503,$B$4:$B$503,$B383,$AK$4:$AK$503,"&gt;="&amp;$AK383-Settings!$C$22,$AK$4:$AK$503,"&lt;="&amp;$AK383-1),"")))</f>
        <v/>
      </c>
      <c r="AC383" s="27" t="str">
        <f t="shared" si="94"/>
        <v/>
      </c>
      <c r="AD383" s="28" t="str">
        <f>IF($B383="","",IF($AK383&lt;=Settings!$C$23,"",IFERROR($E383/SUMIFS($E$4:$E$503,$B$4:$B$503,$B383,$AK$4:$AK$503,$AK383-Settings!$C$23)-1,"")))</f>
        <v/>
      </c>
      <c r="AE383" s="28" t="str">
        <f>IF($B383="","",IF($AK383&lt;=Settings!$C$22,"",IFERROR($E383/SUMIFS($E$4:$E$503,$B$4:$B$503,$B383,$AK$4:$AK$503,$AK383-Settings!$C$22)-1,"")))</f>
        <v/>
      </c>
      <c r="AF383" s="28" t="str">
        <f t="shared" si="95"/>
        <v/>
      </c>
      <c r="AG383" s="29" t="str">
        <f>IF($B383="","",ROUND((MIN(100,100*N($I383)/Settings!$C$27)+MIN(100,100*N($K383)/Settings!$C$28)+MIN(100,100*N($J383)/Settings!$C$29))/3,1))</f>
        <v/>
      </c>
      <c r="AH383" s="29" t="str">
        <f>IF($B383="","",IF(SUM(Settings!$C$32:$C$37)=0,"",ROUND((Settings!$C$32*$AO383+Settings!$C$33*$AP383+Settings!$C$34*$AQ383+Settings!$C$35*$AR383+Settings!$C$36*$AS383+Settings!$C$37*$AT383)/SUM(Settings!$C$32:$C$37),1)))</f>
        <v/>
      </c>
      <c r="AI383" s="29" t="str">
        <f>IF($B383="","",MAX(0,100-IF(N($N383)&gt;0,0,20)-IF(AND(N($L383)=0,N($M383)=0),15,0)-IF(N($J383)&gt;0,0,10)-IF(N($K383)&gt;0,0,10)-IF($Z383&lt;&gt;"",0,15)-IF($AB383&lt;&gt;"",0,10)-IF($R383="ERROR",20,IF($R383="WARNING",10,0))))</f>
        <v/>
      </c>
      <c r="AJ383" s="30" t="str">
        <f>IF($AH383="","",IF($AH383&lt;Settings!$C$46,"Extreme Sell Pressure",IF($AH383&lt;Settings!$C$47,"Sell Pressure",IF($AH383&lt;=Settings!$C$48,"Neutral",IF($AH383&lt;=Settings!$C$49,"Buy Pressure","Extreme Buy Pressure")))))</f>
        <v/>
      </c>
      <c r="AK383" s="30" t="str">
        <f t="shared" si="96"/>
        <v/>
      </c>
      <c r="AL383" s="30" t="str">
        <f t="shared" si="97"/>
        <v/>
      </c>
      <c r="AM383" s="30" t="str">
        <f t="shared" si="98"/>
        <v/>
      </c>
      <c r="AN383" s="30" t="str">
        <f t="shared" si="99"/>
        <v/>
      </c>
      <c r="AO383" s="29" t="str">
        <f>IF($B383="","",IF(AND(N($L383)=0,N($M383)=0),50,IF(N($M383)=0,100,IF(N($L383)=0,0,MEDIAN(0,100,50+50*LN($S383)/LN(Settings!$C$40))))))</f>
        <v/>
      </c>
      <c r="AP383" s="29">
        <f>IF($AA383="",50,MEDIAN(0,100,50+$AA383*100*Settings!$C$41))</f>
        <v>50</v>
      </c>
      <c r="AQ383" s="29">
        <f>IF($H383="",50,MEDIAN(0,100,50+$H383*100*Settings!$C$42))</f>
        <v>50</v>
      </c>
      <c r="AR383" s="29">
        <f>IF(OR($AC383="",$H383=""),50,MEDIAN(0,100,50+SIGN($H383)*50*MEDIAN(0,1,($AC383-1)/Settings!$C$43)))</f>
        <v>50</v>
      </c>
      <c r="AS383" s="29">
        <f>IF(OR($V383="",$W383=""),50,MEDIAN(0,100,50+50*($V383-$W383)/Settings!$C$44))</f>
        <v>50</v>
      </c>
      <c r="AT383" s="29">
        <f t="shared" si="100"/>
        <v>50</v>
      </c>
      <c r="AU383" s="30" t="str">
        <f t="shared" si="101"/>
        <v/>
      </c>
      <c r="AV383" s="87" t="str">
        <f>IF($A383="","",IF(COUNTIFS($A$4:$A383,$A383)=1,1,0))</f>
        <v/>
      </c>
    </row>
    <row r="384" spans="1:48" x14ac:dyDescent="0.3">
      <c r="A384" s="270"/>
      <c r="B384" s="271"/>
      <c r="C384" s="272"/>
      <c r="D384" s="272"/>
      <c r="E384" s="272"/>
      <c r="F384" s="272"/>
      <c r="G384" s="272"/>
      <c r="H384" s="268" t="str">
        <f t="shared" si="85"/>
        <v/>
      </c>
      <c r="I384" s="273"/>
      <c r="J384" s="273"/>
      <c r="K384" s="273"/>
      <c r="L384" s="273"/>
      <c r="M384" s="273"/>
      <c r="N384" s="273"/>
      <c r="O384" s="271"/>
      <c r="P384" s="270"/>
      <c r="Q384" s="271"/>
      <c r="R384" s="23" t="str" cm="1">
        <f t="array" ref="R384">IF($B384="","",IFERROR(IF(INDEX('Data Quality'!$U$4:$U$503,ROW()-3)=0,"PENDING",INDEX('Data Quality'!$U$4:$U$503,ROW()-3)),"PENDING"))</f>
        <v/>
      </c>
      <c r="S384" s="24" t="str">
        <f t="shared" si="86"/>
        <v/>
      </c>
      <c r="T384" s="25" t="str">
        <f t="shared" si="87"/>
        <v/>
      </c>
      <c r="U384" s="25" t="str">
        <f t="shared" si="88"/>
        <v/>
      </c>
      <c r="V384" s="26" t="str">
        <f t="shared" si="89"/>
        <v/>
      </c>
      <c r="W384" s="26" t="str">
        <f t="shared" si="90"/>
        <v/>
      </c>
      <c r="X384" s="25" t="str">
        <f t="shared" si="91"/>
        <v/>
      </c>
      <c r="Y384" s="25" t="str">
        <f t="shared" si="92"/>
        <v/>
      </c>
      <c r="Z384" s="27" t="str">
        <f>IF($B384="","",IF($AK384&lt;=Settings!$C$21,"",IFERROR(AVERAGEIFS($S$4:$S$503,$B$4:$B$503,$B384,$AK$4:$AK$503,"&gt;="&amp;$AK384-Settings!$C$21,$AK$4:$AK$503,"&lt;="&amp;$AK384-1),"")))</f>
        <v/>
      </c>
      <c r="AA384" s="28" t="str">
        <f t="shared" si="93"/>
        <v/>
      </c>
      <c r="AB384" s="25" t="str">
        <f>IF($B384="","",IF($AK384&lt;=Settings!$C$22,"",IFERROR(AVERAGEIFS($K$4:$K$503,$B$4:$B$503,$B384,$AK$4:$AK$503,"&gt;="&amp;$AK384-Settings!$C$22,$AK$4:$AK$503,"&lt;="&amp;$AK384-1),"")))</f>
        <v/>
      </c>
      <c r="AC384" s="27" t="str">
        <f t="shared" si="94"/>
        <v/>
      </c>
      <c r="AD384" s="28" t="str">
        <f>IF($B384="","",IF($AK384&lt;=Settings!$C$23,"",IFERROR($E384/SUMIFS($E$4:$E$503,$B$4:$B$503,$B384,$AK$4:$AK$503,$AK384-Settings!$C$23)-1,"")))</f>
        <v/>
      </c>
      <c r="AE384" s="28" t="str">
        <f>IF($B384="","",IF($AK384&lt;=Settings!$C$22,"",IFERROR($E384/SUMIFS($E$4:$E$503,$B$4:$B$503,$B384,$AK$4:$AK$503,$AK384-Settings!$C$22)-1,"")))</f>
        <v/>
      </c>
      <c r="AF384" s="28" t="str">
        <f t="shared" si="95"/>
        <v/>
      </c>
      <c r="AG384" s="29" t="str">
        <f>IF($B384="","",ROUND((MIN(100,100*N($I384)/Settings!$C$27)+MIN(100,100*N($K384)/Settings!$C$28)+MIN(100,100*N($J384)/Settings!$C$29))/3,1))</f>
        <v/>
      </c>
      <c r="AH384" s="29" t="str">
        <f>IF($B384="","",IF(SUM(Settings!$C$32:$C$37)=0,"",ROUND((Settings!$C$32*$AO384+Settings!$C$33*$AP384+Settings!$C$34*$AQ384+Settings!$C$35*$AR384+Settings!$C$36*$AS384+Settings!$C$37*$AT384)/SUM(Settings!$C$32:$C$37),1)))</f>
        <v/>
      </c>
      <c r="AI384" s="29" t="str">
        <f>IF($B384="","",MAX(0,100-IF(N($N384)&gt;0,0,20)-IF(AND(N($L384)=0,N($M384)=0),15,0)-IF(N($J384)&gt;0,0,10)-IF(N($K384)&gt;0,0,10)-IF($Z384&lt;&gt;"",0,15)-IF($AB384&lt;&gt;"",0,10)-IF($R384="ERROR",20,IF($R384="WARNING",10,0))))</f>
        <v/>
      </c>
      <c r="AJ384" s="30" t="str">
        <f>IF($AH384="","",IF($AH384&lt;Settings!$C$46,"Extreme Sell Pressure",IF($AH384&lt;Settings!$C$47,"Sell Pressure",IF($AH384&lt;=Settings!$C$48,"Neutral",IF($AH384&lt;=Settings!$C$49,"Buy Pressure","Extreme Buy Pressure")))))</f>
        <v/>
      </c>
      <c r="AK384" s="30" t="str">
        <f t="shared" si="96"/>
        <v/>
      </c>
      <c r="AL384" s="30" t="str">
        <f t="shared" si="97"/>
        <v/>
      </c>
      <c r="AM384" s="30" t="str">
        <f t="shared" si="98"/>
        <v/>
      </c>
      <c r="AN384" s="30" t="str">
        <f t="shared" si="99"/>
        <v/>
      </c>
      <c r="AO384" s="29" t="str">
        <f>IF($B384="","",IF(AND(N($L384)=0,N($M384)=0),50,IF(N($M384)=0,100,IF(N($L384)=0,0,MEDIAN(0,100,50+50*LN($S384)/LN(Settings!$C$40))))))</f>
        <v/>
      </c>
      <c r="AP384" s="29">
        <f>IF($AA384="",50,MEDIAN(0,100,50+$AA384*100*Settings!$C$41))</f>
        <v>50</v>
      </c>
      <c r="AQ384" s="29">
        <f>IF($H384="",50,MEDIAN(0,100,50+$H384*100*Settings!$C$42))</f>
        <v>50</v>
      </c>
      <c r="AR384" s="29">
        <f>IF(OR($AC384="",$H384=""),50,MEDIAN(0,100,50+SIGN($H384)*50*MEDIAN(0,1,($AC384-1)/Settings!$C$43)))</f>
        <v>50</v>
      </c>
      <c r="AS384" s="29">
        <f>IF(OR($V384="",$W384=""),50,MEDIAN(0,100,50+50*($V384-$W384)/Settings!$C$44))</f>
        <v>50</v>
      </c>
      <c r="AT384" s="29">
        <f t="shared" si="100"/>
        <v>50</v>
      </c>
      <c r="AU384" s="30" t="str">
        <f t="shared" si="101"/>
        <v/>
      </c>
      <c r="AV384" s="87" t="str">
        <f>IF($A384="","",IF(COUNTIFS($A$4:$A384,$A384)=1,1,0))</f>
        <v/>
      </c>
    </row>
    <row r="385" spans="1:48" x14ac:dyDescent="0.3">
      <c r="A385" s="270"/>
      <c r="B385" s="271"/>
      <c r="C385" s="272"/>
      <c r="D385" s="272"/>
      <c r="E385" s="272"/>
      <c r="F385" s="272"/>
      <c r="G385" s="272"/>
      <c r="H385" s="268" t="str">
        <f t="shared" si="85"/>
        <v/>
      </c>
      <c r="I385" s="273"/>
      <c r="J385" s="273"/>
      <c r="K385" s="273"/>
      <c r="L385" s="273"/>
      <c r="M385" s="273"/>
      <c r="N385" s="273"/>
      <c r="O385" s="271"/>
      <c r="P385" s="270"/>
      <c r="Q385" s="271"/>
      <c r="R385" s="23" t="str" cm="1">
        <f t="array" ref="R385">IF($B385="","",IFERROR(IF(INDEX('Data Quality'!$U$4:$U$503,ROW()-3)=0,"PENDING",INDEX('Data Quality'!$U$4:$U$503,ROW()-3)),"PENDING"))</f>
        <v/>
      </c>
      <c r="S385" s="24" t="str">
        <f t="shared" si="86"/>
        <v/>
      </c>
      <c r="T385" s="25" t="str">
        <f t="shared" si="87"/>
        <v/>
      </c>
      <c r="U385" s="25" t="str">
        <f t="shared" si="88"/>
        <v/>
      </c>
      <c r="V385" s="26" t="str">
        <f t="shared" si="89"/>
        <v/>
      </c>
      <c r="W385" s="26" t="str">
        <f t="shared" si="90"/>
        <v/>
      </c>
      <c r="X385" s="25" t="str">
        <f t="shared" si="91"/>
        <v/>
      </c>
      <c r="Y385" s="25" t="str">
        <f t="shared" si="92"/>
        <v/>
      </c>
      <c r="Z385" s="27" t="str">
        <f>IF($B385="","",IF($AK385&lt;=Settings!$C$21,"",IFERROR(AVERAGEIFS($S$4:$S$503,$B$4:$B$503,$B385,$AK$4:$AK$503,"&gt;="&amp;$AK385-Settings!$C$21,$AK$4:$AK$503,"&lt;="&amp;$AK385-1),"")))</f>
        <v/>
      </c>
      <c r="AA385" s="28" t="str">
        <f t="shared" si="93"/>
        <v/>
      </c>
      <c r="AB385" s="25" t="str">
        <f>IF($B385="","",IF($AK385&lt;=Settings!$C$22,"",IFERROR(AVERAGEIFS($K$4:$K$503,$B$4:$B$503,$B385,$AK$4:$AK$503,"&gt;="&amp;$AK385-Settings!$C$22,$AK$4:$AK$503,"&lt;="&amp;$AK385-1),"")))</f>
        <v/>
      </c>
      <c r="AC385" s="27" t="str">
        <f t="shared" si="94"/>
        <v/>
      </c>
      <c r="AD385" s="28" t="str">
        <f>IF($B385="","",IF($AK385&lt;=Settings!$C$23,"",IFERROR($E385/SUMIFS($E$4:$E$503,$B$4:$B$503,$B385,$AK$4:$AK$503,$AK385-Settings!$C$23)-1,"")))</f>
        <v/>
      </c>
      <c r="AE385" s="28" t="str">
        <f>IF($B385="","",IF($AK385&lt;=Settings!$C$22,"",IFERROR($E385/SUMIFS($E$4:$E$503,$B$4:$B$503,$B385,$AK$4:$AK$503,$AK385-Settings!$C$22)-1,"")))</f>
        <v/>
      </c>
      <c r="AF385" s="28" t="str">
        <f t="shared" si="95"/>
        <v/>
      </c>
      <c r="AG385" s="29" t="str">
        <f>IF($B385="","",ROUND((MIN(100,100*N($I385)/Settings!$C$27)+MIN(100,100*N($K385)/Settings!$C$28)+MIN(100,100*N($J385)/Settings!$C$29))/3,1))</f>
        <v/>
      </c>
      <c r="AH385" s="29" t="str">
        <f>IF($B385="","",IF(SUM(Settings!$C$32:$C$37)=0,"",ROUND((Settings!$C$32*$AO385+Settings!$C$33*$AP385+Settings!$C$34*$AQ385+Settings!$C$35*$AR385+Settings!$C$36*$AS385+Settings!$C$37*$AT385)/SUM(Settings!$C$32:$C$37),1)))</f>
        <v/>
      </c>
      <c r="AI385" s="29" t="str">
        <f>IF($B385="","",MAX(0,100-IF(N($N385)&gt;0,0,20)-IF(AND(N($L385)=0,N($M385)=0),15,0)-IF(N($J385)&gt;0,0,10)-IF(N($K385)&gt;0,0,10)-IF($Z385&lt;&gt;"",0,15)-IF($AB385&lt;&gt;"",0,10)-IF($R385="ERROR",20,IF($R385="WARNING",10,0))))</f>
        <v/>
      </c>
      <c r="AJ385" s="30" t="str">
        <f>IF($AH385="","",IF($AH385&lt;Settings!$C$46,"Extreme Sell Pressure",IF($AH385&lt;Settings!$C$47,"Sell Pressure",IF($AH385&lt;=Settings!$C$48,"Neutral",IF($AH385&lt;=Settings!$C$49,"Buy Pressure","Extreme Buy Pressure")))))</f>
        <v/>
      </c>
      <c r="AK385" s="30" t="str">
        <f t="shared" si="96"/>
        <v/>
      </c>
      <c r="AL385" s="30" t="str">
        <f t="shared" si="97"/>
        <v/>
      </c>
      <c r="AM385" s="30" t="str">
        <f t="shared" si="98"/>
        <v/>
      </c>
      <c r="AN385" s="30" t="str">
        <f t="shared" si="99"/>
        <v/>
      </c>
      <c r="AO385" s="29" t="str">
        <f>IF($B385="","",IF(AND(N($L385)=0,N($M385)=0),50,IF(N($M385)=0,100,IF(N($L385)=0,0,MEDIAN(0,100,50+50*LN($S385)/LN(Settings!$C$40))))))</f>
        <v/>
      </c>
      <c r="AP385" s="29">
        <f>IF($AA385="",50,MEDIAN(0,100,50+$AA385*100*Settings!$C$41))</f>
        <v>50</v>
      </c>
      <c r="AQ385" s="29">
        <f>IF($H385="",50,MEDIAN(0,100,50+$H385*100*Settings!$C$42))</f>
        <v>50</v>
      </c>
      <c r="AR385" s="29">
        <f>IF(OR($AC385="",$H385=""),50,MEDIAN(0,100,50+SIGN($H385)*50*MEDIAN(0,1,($AC385-1)/Settings!$C$43)))</f>
        <v>50</v>
      </c>
      <c r="AS385" s="29">
        <f>IF(OR($V385="",$W385=""),50,MEDIAN(0,100,50+50*($V385-$W385)/Settings!$C$44))</f>
        <v>50</v>
      </c>
      <c r="AT385" s="29">
        <f t="shared" si="100"/>
        <v>50</v>
      </c>
      <c r="AU385" s="30" t="str">
        <f t="shared" si="101"/>
        <v/>
      </c>
      <c r="AV385" s="87" t="str">
        <f>IF($A385="","",IF(COUNTIFS($A$4:$A385,$A385)=1,1,0))</f>
        <v/>
      </c>
    </row>
    <row r="386" spans="1:48" x14ac:dyDescent="0.3">
      <c r="A386" s="270"/>
      <c r="B386" s="271"/>
      <c r="C386" s="272"/>
      <c r="D386" s="272"/>
      <c r="E386" s="272"/>
      <c r="F386" s="272"/>
      <c r="G386" s="272"/>
      <c r="H386" s="268" t="str">
        <f t="shared" si="85"/>
        <v/>
      </c>
      <c r="I386" s="273"/>
      <c r="J386" s="273"/>
      <c r="K386" s="273"/>
      <c r="L386" s="273"/>
      <c r="M386" s="273"/>
      <c r="N386" s="273"/>
      <c r="O386" s="271"/>
      <c r="P386" s="270"/>
      <c r="Q386" s="271"/>
      <c r="R386" s="23" t="str" cm="1">
        <f t="array" ref="R386">IF($B386="","",IFERROR(IF(INDEX('Data Quality'!$U$4:$U$503,ROW()-3)=0,"PENDING",INDEX('Data Quality'!$U$4:$U$503,ROW()-3)),"PENDING"))</f>
        <v/>
      </c>
      <c r="S386" s="24" t="str">
        <f t="shared" si="86"/>
        <v/>
      </c>
      <c r="T386" s="25" t="str">
        <f t="shared" si="87"/>
        <v/>
      </c>
      <c r="U386" s="25" t="str">
        <f t="shared" si="88"/>
        <v/>
      </c>
      <c r="V386" s="26" t="str">
        <f t="shared" si="89"/>
        <v/>
      </c>
      <c r="W386" s="26" t="str">
        <f t="shared" si="90"/>
        <v/>
      </c>
      <c r="X386" s="25" t="str">
        <f t="shared" si="91"/>
        <v/>
      </c>
      <c r="Y386" s="25" t="str">
        <f t="shared" si="92"/>
        <v/>
      </c>
      <c r="Z386" s="27" t="str">
        <f>IF($B386="","",IF($AK386&lt;=Settings!$C$21,"",IFERROR(AVERAGEIFS($S$4:$S$503,$B$4:$B$503,$B386,$AK$4:$AK$503,"&gt;="&amp;$AK386-Settings!$C$21,$AK$4:$AK$503,"&lt;="&amp;$AK386-1),"")))</f>
        <v/>
      </c>
      <c r="AA386" s="28" t="str">
        <f t="shared" si="93"/>
        <v/>
      </c>
      <c r="AB386" s="25" t="str">
        <f>IF($B386="","",IF($AK386&lt;=Settings!$C$22,"",IFERROR(AVERAGEIFS($K$4:$K$503,$B$4:$B$503,$B386,$AK$4:$AK$503,"&gt;="&amp;$AK386-Settings!$C$22,$AK$4:$AK$503,"&lt;="&amp;$AK386-1),"")))</f>
        <v/>
      </c>
      <c r="AC386" s="27" t="str">
        <f t="shared" si="94"/>
        <v/>
      </c>
      <c r="AD386" s="28" t="str">
        <f>IF($B386="","",IF($AK386&lt;=Settings!$C$23,"",IFERROR($E386/SUMIFS($E$4:$E$503,$B$4:$B$503,$B386,$AK$4:$AK$503,$AK386-Settings!$C$23)-1,"")))</f>
        <v/>
      </c>
      <c r="AE386" s="28" t="str">
        <f>IF($B386="","",IF($AK386&lt;=Settings!$C$22,"",IFERROR($E386/SUMIFS($E$4:$E$503,$B$4:$B$503,$B386,$AK$4:$AK$503,$AK386-Settings!$C$22)-1,"")))</f>
        <v/>
      </c>
      <c r="AF386" s="28" t="str">
        <f t="shared" si="95"/>
        <v/>
      </c>
      <c r="AG386" s="29" t="str">
        <f>IF($B386="","",ROUND((MIN(100,100*N($I386)/Settings!$C$27)+MIN(100,100*N($K386)/Settings!$C$28)+MIN(100,100*N($J386)/Settings!$C$29))/3,1))</f>
        <v/>
      </c>
      <c r="AH386" s="29" t="str">
        <f>IF($B386="","",IF(SUM(Settings!$C$32:$C$37)=0,"",ROUND((Settings!$C$32*$AO386+Settings!$C$33*$AP386+Settings!$C$34*$AQ386+Settings!$C$35*$AR386+Settings!$C$36*$AS386+Settings!$C$37*$AT386)/SUM(Settings!$C$32:$C$37),1)))</f>
        <v/>
      </c>
      <c r="AI386" s="29" t="str">
        <f>IF($B386="","",MAX(0,100-IF(N($N386)&gt;0,0,20)-IF(AND(N($L386)=0,N($M386)=0),15,0)-IF(N($J386)&gt;0,0,10)-IF(N($K386)&gt;0,0,10)-IF($Z386&lt;&gt;"",0,15)-IF($AB386&lt;&gt;"",0,10)-IF($R386="ERROR",20,IF($R386="WARNING",10,0))))</f>
        <v/>
      </c>
      <c r="AJ386" s="30" t="str">
        <f>IF($AH386="","",IF($AH386&lt;Settings!$C$46,"Extreme Sell Pressure",IF($AH386&lt;Settings!$C$47,"Sell Pressure",IF($AH386&lt;=Settings!$C$48,"Neutral",IF($AH386&lt;=Settings!$C$49,"Buy Pressure","Extreme Buy Pressure")))))</f>
        <v/>
      </c>
      <c r="AK386" s="30" t="str">
        <f t="shared" si="96"/>
        <v/>
      </c>
      <c r="AL386" s="30" t="str">
        <f t="shared" si="97"/>
        <v/>
      </c>
      <c r="AM386" s="30" t="str">
        <f t="shared" si="98"/>
        <v/>
      </c>
      <c r="AN386" s="30" t="str">
        <f t="shared" si="99"/>
        <v/>
      </c>
      <c r="AO386" s="29" t="str">
        <f>IF($B386="","",IF(AND(N($L386)=0,N($M386)=0),50,IF(N($M386)=0,100,IF(N($L386)=0,0,MEDIAN(0,100,50+50*LN($S386)/LN(Settings!$C$40))))))</f>
        <v/>
      </c>
      <c r="AP386" s="29">
        <f>IF($AA386="",50,MEDIAN(0,100,50+$AA386*100*Settings!$C$41))</f>
        <v>50</v>
      </c>
      <c r="AQ386" s="29">
        <f>IF($H386="",50,MEDIAN(0,100,50+$H386*100*Settings!$C$42))</f>
        <v>50</v>
      </c>
      <c r="AR386" s="29">
        <f>IF(OR($AC386="",$H386=""),50,MEDIAN(0,100,50+SIGN($H386)*50*MEDIAN(0,1,($AC386-1)/Settings!$C$43)))</f>
        <v>50</v>
      </c>
      <c r="AS386" s="29">
        <f>IF(OR($V386="",$W386=""),50,MEDIAN(0,100,50+50*($V386-$W386)/Settings!$C$44))</f>
        <v>50</v>
      </c>
      <c r="AT386" s="29">
        <f t="shared" si="100"/>
        <v>50</v>
      </c>
      <c r="AU386" s="30" t="str">
        <f t="shared" si="101"/>
        <v/>
      </c>
      <c r="AV386" s="87" t="str">
        <f>IF($A386="","",IF(COUNTIFS($A$4:$A386,$A386)=1,1,0))</f>
        <v/>
      </c>
    </row>
    <row r="387" spans="1:48" x14ac:dyDescent="0.3">
      <c r="A387" s="270"/>
      <c r="B387" s="271"/>
      <c r="C387" s="272"/>
      <c r="D387" s="272"/>
      <c r="E387" s="272"/>
      <c r="F387" s="272"/>
      <c r="G387" s="272"/>
      <c r="H387" s="268" t="str">
        <f t="shared" si="85"/>
        <v/>
      </c>
      <c r="I387" s="273"/>
      <c r="J387" s="273"/>
      <c r="K387" s="273"/>
      <c r="L387" s="273"/>
      <c r="M387" s="273"/>
      <c r="N387" s="273"/>
      <c r="O387" s="271"/>
      <c r="P387" s="270"/>
      <c r="Q387" s="271"/>
      <c r="R387" s="23" t="str" cm="1">
        <f t="array" ref="R387">IF($B387="","",IFERROR(IF(INDEX('Data Quality'!$U$4:$U$503,ROW()-3)=0,"PENDING",INDEX('Data Quality'!$U$4:$U$503,ROW()-3)),"PENDING"))</f>
        <v/>
      </c>
      <c r="S387" s="24" t="str">
        <f t="shared" si="86"/>
        <v/>
      </c>
      <c r="T387" s="25" t="str">
        <f t="shared" si="87"/>
        <v/>
      </c>
      <c r="U387" s="25" t="str">
        <f t="shared" si="88"/>
        <v/>
      </c>
      <c r="V387" s="26" t="str">
        <f t="shared" si="89"/>
        <v/>
      </c>
      <c r="W387" s="26" t="str">
        <f t="shared" si="90"/>
        <v/>
      </c>
      <c r="X387" s="25" t="str">
        <f t="shared" si="91"/>
        <v/>
      </c>
      <c r="Y387" s="25" t="str">
        <f t="shared" si="92"/>
        <v/>
      </c>
      <c r="Z387" s="27" t="str">
        <f>IF($B387="","",IF($AK387&lt;=Settings!$C$21,"",IFERROR(AVERAGEIFS($S$4:$S$503,$B$4:$B$503,$B387,$AK$4:$AK$503,"&gt;="&amp;$AK387-Settings!$C$21,$AK$4:$AK$503,"&lt;="&amp;$AK387-1),"")))</f>
        <v/>
      </c>
      <c r="AA387" s="28" t="str">
        <f t="shared" si="93"/>
        <v/>
      </c>
      <c r="AB387" s="25" t="str">
        <f>IF($B387="","",IF($AK387&lt;=Settings!$C$22,"",IFERROR(AVERAGEIFS($K$4:$K$503,$B$4:$B$503,$B387,$AK$4:$AK$503,"&gt;="&amp;$AK387-Settings!$C$22,$AK$4:$AK$503,"&lt;="&amp;$AK387-1),"")))</f>
        <v/>
      </c>
      <c r="AC387" s="27" t="str">
        <f t="shared" si="94"/>
        <v/>
      </c>
      <c r="AD387" s="28" t="str">
        <f>IF($B387="","",IF($AK387&lt;=Settings!$C$23,"",IFERROR($E387/SUMIFS($E$4:$E$503,$B$4:$B$503,$B387,$AK$4:$AK$503,$AK387-Settings!$C$23)-1,"")))</f>
        <v/>
      </c>
      <c r="AE387" s="28" t="str">
        <f>IF($B387="","",IF($AK387&lt;=Settings!$C$22,"",IFERROR($E387/SUMIFS($E$4:$E$503,$B$4:$B$503,$B387,$AK$4:$AK$503,$AK387-Settings!$C$22)-1,"")))</f>
        <v/>
      </c>
      <c r="AF387" s="28" t="str">
        <f t="shared" si="95"/>
        <v/>
      </c>
      <c r="AG387" s="29" t="str">
        <f>IF($B387="","",ROUND((MIN(100,100*N($I387)/Settings!$C$27)+MIN(100,100*N($K387)/Settings!$C$28)+MIN(100,100*N($J387)/Settings!$C$29))/3,1))</f>
        <v/>
      </c>
      <c r="AH387" s="29" t="str">
        <f>IF($B387="","",IF(SUM(Settings!$C$32:$C$37)=0,"",ROUND((Settings!$C$32*$AO387+Settings!$C$33*$AP387+Settings!$C$34*$AQ387+Settings!$C$35*$AR387+Settings!$C$36*$AS387+Settings!$C$37*$AT387)/SUM(Settings!$C$32:$C$37),1)))</f>
        <v/>
      </c>
      <c r="AI387" s="29" t="str">
        <f>IF($B387="","",MAX(0,100-IF(N($N387)&gt;0,0,20)-IF(AND(N($L387)=0,N($M387)=0),15,0)-IF(N($J387)&gt;0,0,10)-IF(N($K387)&gt;0,0,10)-IF($Z387&lt;&gt;"",0,15)-IF($AB387&lt;&gt;"",0,10)-IF($R387="ERROR",20,IF($R387="WARNING",10,0))))</f>
        <v/>
      </c>
      <c r="AJ387" s="30" t="str">
        <f>IF($AH387="","",IF($AH387&lt;Settings!$C$46,"Extreme Sell Pressure",IF($AH387&lt;Settings!$C$47,"Sell Pressure",IF($AH387&lt;=Settings!$C$48,"Neutral",IF($AH387&lt;=Settings!$C$49,"Buy Pressure","Extreme Buy Pressure")))))</f>
        <v/>
      </c>
      <c r="AK387" s="30" t="str">
        <f t="shared" si="96"/>
        <v/>
      </c>
      <c r="AL387" s="30" t="str">
        <f t="shared" si="97"/>
        <v/>
      </c>
      <c r="AM387" s="30" t="str">
        <f t="shared" si="98"/>
        <v/>
      </c>
      <c r="AN387" s="30" t="str">
        <f t="shared" si="99"/>
        <v/>
      </c>
      <c r="AO387" s="29" t="str">
        <f>IF($B387="","",IF(AND(N($L387)=0,N($M387)=0),50,IF(N($M387)=0,100,IF(N($L387)=0,0,MEDIAN(0,100,50+50*LN($S387)/LN(Settings!$C$40))))))</f>
        <v/>
      </c>
      <c r="AP387" s="29">
        <f>IF($AA387="",50,MEDIAN(0,100,50+$AA387*100*Settings!$C$41))</f>
        <v>50</v>
      </c>
      <c r="AQ387" s="29">
        <f>IF($H387="",50,MEDIAN(0,100,50+$H387*100*Settings!$C$42))</f>
        <v>50</v>
      </c>
      <c r="AR387" s="29">
        <f>IF(OR($AC387="",$H387=""),50,MEDIAN(0,100,50+SIGN($H387)*50*MEDIAN(0,1,($AC387-1)/Settings!$C$43)))</f>
        <v>50</v>
      </c>
      <c r="AS387" s="29">
        <f>IF(OR($V387="",$W387=""),50,MEDIAN(0,100,50+50*($V387-$W387)/Settings!$C$44))</f>
        <v>50</v>
      </c>
      <c r="AT387" s="29">
        <f t="shared" si="100"/>
        <v>50</v>
      </c>
      <c r="AU387" s="30" t="str">
        <f t="shared" si="101"/>
        <v/>
      </c>
      <c r="AV387" s="87" t="str">
        <f>IF($A387="","",IF(COUNTIFS($A$4:$A387,$A387)=1,1,0))</f>
        <v/>
      </c>
    </row>
    <row r="388" spans="1:48" x14ac:dyDescent="0.3">
      <c r="A388" s="270"/>
      <c r="B388" s="271"/>
      <c r="C388" s="272"/>
      <c r="D388" s="272"/>
      <c r="E388" s="272"/>
      <c r="F388" s="272"/>
      <c r="G388" s="272"/>
      <c r="H388" s="268" t="str">
        <f t="shared" si="85"/>
        <v/>
      </c>
      <c r="I388" s="273"/>
      <c r="J388" s="273"/>
      <c r="K388" s="273"/>
      <c r="L388" s="273"/>
      <c r="M388" s="273"/>
      <c r="N388" s="273"/>
      <c r="O388" s="271"/>
      <c r="P388" s="270"/>
      <c r="Q388" s="271"/>
      <c r="R388" s="23" t="str" cm="1">
        <f t="array" ref="R388">IF($B388="","",IFERROR(IF(INDEX('Data Quality'!$U$4:$U$503,ROW()-3)=0,"PENDING",INDEX('Data Quality'!$U$4:$U$503,ROW()-3)),"PENDING"))</f>
        <v/>
      </c>
      <c r="S388" s="24" t="str">
        <f t="shared" si="86"/>
        <v/>
      </c>
      <c r="T388" s="25" t="str">
        <f t="shared" si="87"/>
        <v/>
      </c>
      <c r="U388" s="25" t="str">
        <f t="shared" si="88"/>
        <v/>
      </c>
      <c r="V388" s="26" t="str">
        <f t="shared" si="89"/>
        <v/>
      </c>
      <c r="W388" s="26" t="str">
        <f t="shared" si="90"/>
        <v/>
      </c>
      <c r="X388" s="25" t="str">
        <f t="shared" si="91"/>
        <v/>
      </c>
      <c r="Y388" s="25" t="str">
        <f t="shared" si="92"/>
        <v/>
      </c>
      <c r="Z388" s="27" t="str">
        <f>IF($B388="","",IF($AK388&lt;=Settings!$C$21,"",IFERROR(AVERAGEIFS($S$4:$S$503,$B$4:$B$503,$B388,$AK$4:$AK$503,"&gt;="&amp;$AK388-Settings!$C$21,$AK$4:$AK$503,"&lt;="&amp;$AK388-1),"")))</f>
        <v/>
      </c>
      <c r="AA388" s="28" t="str">
        <f t="shared" si="93"/>
        <v/>
      </c>
      <c r="AB388" s="25" t="str">
        <f>IF($B388="","",IF($AK388&lt;=Settings!$C$22,"",IFERROR(AVERAGEIFS($K$4:$K$503,$B$4:$B$503,$B388,$AK$4:$AK$503,"&gt;="&amp;$AK388-Settings!$C$22,$AK$4:$AK$503,"&lt;="&amp;$AK388-1),"")))</f>
        <v/>
      </c>
      <c r="AC388" s="27" t="str">
        <f t="shared" si="94"/>
        <v/>
      </c>
      <c r="AD388" s="28" t="str">
        <f>IF($B388="","",IF($AK388&lt;=Settings!$C$23,"",IFERROR($E388/SUMIFS($E$4:$E$503,$B$4:$B$503,$B388,$AK$4:$AK$503,$AK388-Settings!$C$23)-1,"")))</f>
        <v/>
      </c>
      <c r="AE388" s="28" t="str">
        <f>IF($B388="","",IF($AK388&lt;=Settings!$C$22,"",IFERROR($E388/SUMIFS($E$4:$E$503,$B$4:$B$503,$B388,$AK$4:$AK$503,$AK388-Settings!$C$22)-1,"")))</f>
        <v/>
      </c>
      <c r="AF388" s="28" t="str">
        <f t="shared" si="95"/>
        <v/>
      </c>
      <c r="AG388" s="29" t="str">
        <f>IF($B388="","",ROUND((MIN(100,100*N($I388)/Settings!$C$27)+MIN(100,100*N($K388)/Settings!$C$28)+MIN(100,100*N($J388)/Settings!$C$29))/3,1))</f>
        <v/>
      </c>
      <c r="AH388" s="29" t="str">
        <f>IF($B388="","",IF(SUM(Settings!$C$32:$C$37)=0,"",ROUND((Settings!$C$32*$AO388+Settings!$C$33*$AP388+Settings!$C$34*$AQ388+Settings!$C$35*$AR388+Settings!$C$36*$AS388+Settings!$C$37*$AT388)/SUM(Settings!$C$32:$C$37),1)))</f>
        <v/>
      </c>
      <c r="AI388" s="29" t="str">
        <f>IF($B388="","",MAX(0,100-IF(N($N388)&gt;0,0,20)-IF(AND(N($L388)=0,N($M388)=0),15,0)-IF(N($J388)&gt;0,0,10)-IF(N($K388)&gt;0,0,10)-IF($Z388&lt;&gt;"",0,15)-IF($AB388&lt;&gt;"",0,10)-IF($R388="ERROR",20,IF($R388="WARNING",10,0))))</f>
        <v/>
      </c>
      <c r="AJ388" s="30" t="str">
        <f>IF($AH388="","",IF($AH388&lt;Settings!$C$46,"Extreme Sell Pressure",IF($AH388&lt;Settings!$C$47,"Sell Pressure",IF($AH388&lt;=Settings!$C$48,"Neutral",IF($AH388&lt;=Settings!$C$49,"Buy Pressure","Extreme Buy Pressure")))))</f>
        <v/>
      </c>
      <c r="AK388" s="30" t="str">
        <f t="shared" si="96"/>
        <v/>
      </c>
      <c r="AL388" s="30" t="str">
        <f t="shared" si="97"/>
        <v/>
      </c>
      <c r="AM388" s="30" t="str">
        <f t="shared" si="98"/>
        <v/>
      </c>
      <c r="AN388" s="30" t="str">
        <f t="shared" si="99"/>
        <v/>
      </c>
      <c r="AO388" s="29" t="str">
        <f>IF($B388="","",IF(AND(N($L388)=0,N($M388)=0),50,IF(N($M388)=0,100,IF(N($L388)=0,0,MEDIAN(0,100,50+50*LN($S388)/LN(Settings!$C$40))))))</f>
        <v/>
      </c>
      <c r="AP388" s="29">
        <f>IF($AA388="",50,MEDIAN(0,100,50+$AA388*100*Settings!$C$41))</f>
        <v>50</v>
      </c>
      <c r="AQ388" s="29">
        <f>IF($H388="",50,MEDIAN(0,100,50+$H388*100*Settings!$C$42))</f>
        <v>50</v>
      </c>
      <c r="AR388" s="29">
        <f>IF(OR($AC388="",$H388=""),50,MEDIAN(0,100,50+SIGN($H388)*50*MEDIAN(0,1,($AC388-1)/Settings!$C$43)))</f>
        <v>50</v>
      </c>
      <c r="AS388" s="29">
        <f>IF(OR($V388="",$W388=""),50,MEDIAN(0,100,50+50*($V388-$W388)/Settings!$C$44))</f>
        <v>50</v>
      </c>
      <c r="AT388" s="29">
        <f t="shared" si="100"/>
        <v>50</v>
      </c>
      <c r="AU388" s="30" t="str">
        <f t="shared" si="101"/>
        <v/>
      </c>
      <c r="AV388" s="87" t="str">
        <f>IF($A388="","",IF(COUNTIFS($A$4:$A388,$A388)=1,1,0))</f>
        <v/>
      </c>
    </row>
    <row r="389" spans="1:48" x14ac:dyDescent="0.3">
      <c r="A389" s="270"/>
      <c r="B389" s="271"/>
      <c r="C389" s="272"/>
      <c r="D389" s="272"/>
      <c r="E389" s="272"/>
      <c r="F389" s="272"/>
      <c r="G389" s="272"/>
      <c r="H389" s="268" t="str">
        <f t="shared" ref="H389:H452" si="102">IF($B389="","",IFERROR($E389/$D389-1,""))</f>
        <v/>
      </c>
      <c r="I389" s="273"/>
      <c r="J389" s="273"/>
      <c r="K389" s="273"/>
      <c r="L389" s="273"/>
      <c r="M389" s="273"/>
      <c r="N389" s="273"/>
      <c r="O389" s="271"/>
      <c r="P389" s="270"/>
      <c r="Q389" s="271"/>
      <c r="R389" s="23" t="str" cm="1">
        <f t="array" ref="R389">IF($B389="","",IFERROR(IF(INDEX('Data Quality'!$U$4:$U$503,ROW()-3)=0,"PENDING",INDEX('Data Quality'!$U$4:$U$503,ROW()-3)),"PENDING"))</f>
        <v/>
      </c>
      <c r="S389" s="24" t="str">
        <f t="shared" ref="S389:S452" si="103">IF($B389="","",IF(N($M389)&gt;0,$L389/$M389,""))</f>
        <v/>
      </c>
      <c r="T389" s="25" t="str">
        <f t="shared" ref="T389:T452" si="104">IF($B389="","",$L389*$E389)</f>
        <v/>
      </c>
      <c r="U389" s="25" t="str">
        <f t="shared" ref="U389:U452" si="105">IF($B389="","",$M389*$E389)</f>
        <v/>
      </c>
      <c r="V389" s="26" t="str">
        <f t="shared" ref="V389:V452" si="106">IF($B389="","",IF(N($N389)&gt;0,$T389/$N389,""))</f>
        <v/>
      </c>
      <c r="W389" s="26" t="str">
        <f t="shared" ref="W389:W452" si="107">IF($B389="","",IF(N($N389)&gt;0,$U389/$N389,""))</f>
        <v/>
      </c>
      <c r="X389" s="25" t="str">
        <f t="shared" ref="X389:X452" si="108">IF($B389="","",IF(N($J389)&gt;0,$K389/$J389,""))</f>
        <v/>
      </c>
      <c r="Y389" s="25" t="str">
        <f t="shared" ref="Y389:Y452" si="109">IF($B389="","",IF(N($J389)&gt;0,$I389/$J389,""))</f>
        <v/>
      </c>
      <c r="Z389" s="27" t="str">
        <f>IF($B389="","",IF($AK389&lt;=Settings!$C$21,"",IFERROR(AVERAGEIFS($S$4:$S$503,$B$4:$B$503,$B389,$AK$4:$AK$503,"&gt;="&amp;$AK389-Settings!$C$21,$AK$4:$AK$503,"&lt;="&amp;$AK389-1),"")))</f>
        <v/>
      </c>
      <c r="AA389" s="28" t="str">
        <f t="shared" ref="AA389:AA452" si="110">IF(OR($S389="",$Z389="",N($Z389)=0),"",$S389/$Z389-1)</f>
        <v/>
      </c>
      <c r="AB389" s="25" t="str">
        <f>IF($B389="","",IF($AK389&lt;=Settings!$C$22,"",IFERROR(AVERAGEIFS($K$4:$K$503,$B$4:$B$503,$B389,$AK$4:$AK$503,"&gt;="&amp;$AK389-Settings!$C$22,$AK$4:$AK$503,"&lt;="&amp;$AK389-1),"")))</f>
        <v/>
      </c>
      <c r="AC389" s="27" t="str">
        <f t="shared" ref="AC389:AC452" si="111">IF(OR($AB389="",N($AB389)=0),"",$K389/$AB389)</f>
        <v/>
      </c>
      <c r="AD389" s="28" t="str">
        <f>IF($B389="","",IF($AK389&lt;=Settings!$C$23,"",IFERROR($E389/SUMIFS($E$4:$E$503,$B$4:$B$503,$B389,$AK$4:$AK$503,$AK389-Settings!$C$23)-1,"")))</f>
        <v/>
      </c>
      <c r="AE389" s="28" t="str">
        <f>IF($B389="","",IF($AK389&lt;=Settings!$C$22,"",IFERROR($E389/SUMIFS($E$4:$E$503,$B$4:$B$503,$B389,$AK$4:$AK$503,$AK389-Settings!$C$22)-1,"")))</f>
        <v/>
      </c>
      <c r="AF389" s="28" t="str">
        <f t="shared" ref="AF389:AF452" si="112">IF($B389="","",IF(N($E389)&gt;0,($F389-$G389)/$E389,""))</f>
        <v/>
      </c>
      <c r="AG389" s="29" t="str">
        <f>IF($B389="","",ROUND((MIN(100,100*N($I389)/Settings!$C$27)+MIN(100,100*N($K389)/Settings!$C$28)+MIN(100,100*N($J389)/Settings!$C$29))/3,1))</f>
        <v/>
      </c>
      <c r="AH389" s="29" t="str">
        <f>IF($B389="","",IF(SUM(Settings!$C$32:$C$37)=0,"",ROUND((Settings!$C$32*$AO389+Settings!$C$33*$AP389+Settings!$C$34*$AQ389+Settings!$C$35*$AR389+Settings!$C$36*$AS389+Settings!$C$37*$AT389)/SUM(Settings!$C$32:$C$37),1)))</f>
        <v/>
      </c>
      <c r="AI389" s="29" t="str">
        <f>IF($B389="","",MAX(0,100-IF(N($N389)&gt;0,0,20)-IF(AND(N($L389)=0,N($M389)=0),15,0)-IF(N($J389)&gt;0,0,10)-IF(N($K389)&gt;0,0,10)-IF($Z389&lt;&gt;"",0,15)-IF($AB389&lt;&gt;"",0,10)-IF($R389="ERROR",20,IF($R389="WARNING",10,0))))</f>
        <v/>
      </c>
      <c r="AJ389" s="30" t="str">
        <f>IF($AH389="","",IF($AH389&lt;Settings!$C$46,"Extreme Sell Pressure",IF($AH389&lt;Settings!$C$47,"Sell Pressure",IF($AH389&lt;=Settings!$C$48,"Neutral",IF($AH389&lt;=Settings!$C$49,"Buy Pressure","Extreme Buy Pressure")))))</f>
        <v/>
      </c>
      <c r="AK389" s="30" t="str">
        <f t="shared" ref="AK389:AK452" si="113">IF($B389="","",COUNTIFS($B$4:$B$503,$B389,$A$4:$A$503,"&lt;="&amp;$A389))</f>
        <v/>
      </c>
      <c r="AL389" s="30" t="str">
        <f t="shared" ref="AL389:AL452" si="114">IF($A389="","",YEAR($A389))</f>
        <v/>
      </c>
      <c r="AM389" s="30" t="str">
        <f t="shared" ref="AM389:AM452" si="115">IF($A389="","",_xlfn.ISOWEEKNUM($A389))</f>
        <v/>
      </c>
      <c r="AN389" s="30" t="str">
        <f t="shared" ref="AN389:AN452" si="116">IF($A389="","",MONTH($A389))</f>
        <v/>
      </c>
      <c r="AO389" s="29" t="str">
        <f>IF($B389="","",IF(AND(N($L389)=0,N($M389)=0),50,IF(N($M389)=0,100,IF(N($L389)=0,0,MEDIAN(0,100,50+50*LN($S389)/LN(Settings!$C$40))))))</f>
        <v/>
      </c>
      <c r="AP389" s="29">
        <f>IF($AA389="",50,MEDIAN(0,100,50+$AA389*100*Settings!$C$41))</f>
        <v>50</v>
      </c>
      <c r="AQ389" s="29">
        <f>IF($H389="",50,MEDIAN(0,100,50+$H389*100*Settings!$C$42))</f>
        <v>50</v>
      </c>
      <c r="AR389" s="29">
        <f>IF(OR($AC389="",$H389=""),50,MEDIAN(0,100,50+SIGN($H389)*50*MEDIAN(0,1,($AC389-1)/Settings!$C$43)))</f>
        <v>50</v>
      </c>
      <c r="AS389" s="29">
        <f>IF(OR($V389="",$W389=""),50,MEDIAN(0,100,50+50*($V389-$W389)/Settings!$C$44))</f>
        <v>50</v>
      </c>
      <c r="AT389" s="29">
        <f t="shared" ref="AT389:AT452" si="117">IF($AO389="",50,50+(N($AG389)/100)*($AO389-50))</f>
        <v>50</v>
      </c>
      <c r="AU389" s="30" t="str">
        <f t="shared" ref="AU389:AU452" si="118">IF($B389="","",$B389&amp;"|"&amp;TEXT($A389,"yyyy-mm-dd"))</f>
        <v/>
      </c>
      <c r="AV389" s="87" t="str">
        <f>IF($A389="","",IF(COUNTIFS($A$4:$A389,$A389)=1,1,0))</f>
        <v/>
      </c>
    </row>
    <row r="390" spans="1:48" x14ac:dyDescent="0.3">
      <c r="A390" s="270"/>
      <c r="B390" s="271"/>
      <c r="C390" s="272"/>
      <c r="D390" s="272"/>
      <c r="E390" s="272"/>
      <c r="F390" s="272"/>
      <c r="G390" s="272"/>
      <c r="H390" s="268" t="str">
        <f t="shared" si="102"/>
        <v/>
      </c>
      <c r="I390" s="273"/>
      <c r="J390" s="273"/>
      <c r="K390" s="273"/>
      <c r="L390" s="273"/>
      <c r="M390" s="273"/>
      <c r="N390" s="273"/>
      <c r="O390" s="271"/>
      <c r="P390" s="270"/>
      <c r="Q390" s="271"/>
      <c r="R390" s="23" t="str" cm="1">
        <f t="array" ref="R390">IF($B390="","",IFERROR(IF(INDEX('Data Quality'!$U$4:$U$503,ROW()-3)=0,"PENDING",INDEX('Data Quality'!$U$4:$U$503,ROW()-3)),"PENDING"))</f>
        <v/>
      </c>
      <c r="S390" s="24" t="str">
        <f t="shared" si="103"/>
        <v/>
      </c>
      <c r="T390" s="25" t="str">
        <f t="shared" si="104"/>
        <v/>
      </c>
      <c r="U390" s="25" t="str">
        <f t="shared" si="105"/>
        <v/>
      </c>
      <c r="V390" s="26" t="str">
        <f t="shared" si="106"/>
        <v/>
      </c>
      <c r="W390" s="26" t="str">
        <f t="shared" si="107"/>
        <v/>
      </c>
      <c r="X390" s="25" t="str">
        <f t="shared" si="108"/>
        <v/>
      </c>
      <c r="Y390" s="25" t="str">
        <f t="shared" si="109"/>
        <v/>
      </c>
      <c r="Z390" s="27" t="str">
        <f>IF($B390="","",IF($AK390&lt;=Settings!$C$21,"",IFERROR(AVERAGEIFS($S$4:$S$503,$B$4:$B$503,$B390,$AK$4:$AK$503,"&gt;="&amp;$AK390-Settings!$C$21,$AK$4:$AK$503,"&lt;="&amp;$AK390-1),"")))</f>
        <v/>
      </c>
      <c r="AA390" s="28" t="str">
        <f t="shared" si="110"/>
        <v/>
      </c>
      <c r="AB390" s="25" t="str">
        <f>IF($B390="","",IF($AK390&lt;=Settings!$C$22,"",IFERROR(AVERAGEIFS($K$4:$K$503,$B$4:$B$503,$B390,$AK$4:$AK$503,"&gt;="&amp;$AK390-Settings!$C$22,$AK$4:$AK$503,"&lt;="&amp;$AK390-1),"")))</f>
        <v/>
      </c>
      <c r="AC390" s="27" t="str">
        <f t="shared" si="111"/>
        <v/>
      </c>
      <c r="AD390" s="28" t="str">
        <f>IF($B390="","",IF($AK390&lt;=Settings!$C$23,"",IFERROR($E390/SUMIFS($E$4:$E$503,$B$4:$B$503,$B390,$AK$4:$AK$503,$AK390-Settings!$C$23)-1,"")))</f>
        <v/>
      </c>
      <c r="AE390" s="28" t="str">
        <f>IF($B390="","",IF($AK390&lt;=Settings!$C$22,"",IFERROR($E390/SUMIFS($E$4:$E$503,$B$4:$B$503,$B390,$AK$4:$AK$503,$AK390-Settings!$C$22)-1,"")))</f>
        <v/>
      </c>
      <c r="AF390" s="28" t="str">
        <f t="shared" si="112"/>
        <v/>
      </c>
      <c r="AG390" s="29" t="str">
        <f>IF($B390="","",ROUND((MIN(100,100*N($I390)/Settings!$C$27)+MIN(100,100*N($K390)/Settings!$C$28)+MIN(100,100*N($J390)/Settings!$C$29))/3,1))</f>
        <v/>
      </c>
      <c r="AH390" s="29" t="str">
        <f>IF($B390="","",IF(SUM(Settings!$C$32:$C$37)=0,"",ROUND((Settings!$C$32*$AO390+Settings!$C$33*$AP390+Settings!$C$34*$AQ390+Settings!$C$35*$AR390+Settings!$C$36*$AS390+Settings!$C$37*$AT390)/SUM(Settings!$C$32:$C$37),1)))</f>
        <v/>
      </c>
      <c r="AI390" s="29" t="str">
        <f>IF($B390="","",MAX(0,100-IF(N($N390)&gt;0,0,20)-IF(AND(N($L390)=0,N($M390)=0),15,0)-IF(N($J390)&gt;0,0,10)-IF(N($K390)&gt;0,0,10)-IF($Z390&lt;&gt;"",0,15)-IF($AB390&lt;&gt;"",0,10)-IF($R390="ERROR",20,IF($R390="WARNING",10,0))))</f>
        <v/>
      </c>
      <c r="AJ390" s="30" t="str">
        <f>IF($AH390="","",IF($AH390&lt;Settings!$C$46,"Extreme Sell Pressure",IF($AH390&lt;Settings!$C$47,"Sell Pressure",IF($AH390&lt;=Settings!$C$48,"Neutral",IF($AH390&lt;=Settings!$C$49,"Buy Pressure","Extreme Buy Pressure")))))</f>
        <v/>
      </c>
      <c r="AK390" s="30" t="str">
        <f t="shared" si="113"/>
        <v/>
      </c>
      <c r="AL390" s="30" t="str">
        <f t="shared" si="114"/>
        <v/>
      </c>
      <c r="AM390" s="30" t="str">
        <f t="shared" si="115"/>
        <v/>
      </c>
      <c r="AN390" s="30" t="str">
        <f t="shared" si="116"/>
        <v/>
      </c>
      <c r="AO390" s="29" t="str">
        <f>IF($B390="","",IF(AND(N($L390)=0,N($M390)=0),50,IF(N($M390)=0,100,IF(N($L390)=0,0,MEDIAN(0,100,50+50*LN($S390)/LN(Settings!$C$40))))))</f>
        <v/>
      </c>
      <c r="AP390" s="29">
        <f>IF($AA390="",50,MEDIAN(0,100,50+$AA390*100*Settings!$C$41))</f>
        <v>50</v>
      </c>
      <c r="AQ390" s="29">
        <f>IF($H390="",50,MEDIAN(0,100,50+$H390*100*Settings!$C$42))</f>
        <v>50</v>
      </c>
      <c r="AR390" s="29">
        <f>IF(OR($AC390="",$H390=""),50,MEDIAN(0,100,50+SIGN($H390)*50*MEDIAN(0,1,($AC390-1)/Settings!$C$43)))</f>
        <v>50</v>
      </c>
      <c r="AS390" s="29">
        <f>IF(OR($V390="",$W390=""),50,MEDIAN(0,100,50+50*($V390-$W390)/Settings!$C$44))</f>
        <v>50</v>
      </c>
      <c r="AT390" s="29">
        <f t="shared" si="117"/>
        <v>50</v>
      </c>
      <c r="AU390" s="30" t="str">
        <f t="shared" si="118"/>
        <v/>
      </c>
      <c r="AV390" s="87" t="str">
        <f>IF($A390="","",IF(COUNTIFS($A$4:$A390,$A390)=1,1,0))</f>
        <v/>
      </c>
    </row>
    <row r="391" spans="1:48" x14ac:dyDescent="0.3">
      <c r="A391" s="270"/>
      <c r="B391" s="271"/>
      <c r="C391" s="272"/>
      <c r="D391" s="272"/>
      <c r="E391" s="272"/>
      <c r="F391" s="272"/>
      <c r="G391" s="272"/>
      <c r="H391" s="268" t="str">
        <f t="shared" si="102"/>
        <v/>
      </c>
      <c r="I391" s="273"/>
      <c r="J391" s="273"/>
      <c r="K391" s="273"/>
      <c r="L391" s="273"/>
      <c r="M391" s="273"/>
      <c r="N391" s="273"/>
      <c r="O391" s="271"/>
      <c r="P391" s="270"/>
      <c r="Q391" s="271"/>
      <c r="R391" s="23" t="str" cm="1">
        <f t="array" ref="R391">IF($B391="","",IFERROR(IF(INDEX('Data Quality'!$U$4:$U$503,ROW()-3)=0,"PENDING",INDEX('Data Quality'!$U$4:$U$503,ROW()-3)),"PENDING"))</f>
        <v/>
      </c>
      <c r="S391" s="24" t="str">
        <f t="shared" si="103"/>
        <v/>
      </c>
      <c r="T391" s="25" t="str">
        <f t="shared" si="104"/>
        <v/>
      </c>
      <c r="U391" s="25" t="str">
        <f t="shared" si="105"/>
        <v/>
      </c>
      <c r="V391" s="26" t="str">
        <f t="shared" si="106"/>
        <v/>
      </c>
      <c r="W391" s="26" t="str">
        <f t="shared" si="107"/>
        <v/>
      </c>
      <c r="X391" s="25" t="str">
        <f t="shared" si="108"/>
        <v/>
      </c>
      <c r="Y391" s="25" t="str">
        <f t="shared" si="109"/>
        <v/>
      </c>
      <c r="Z391" s="27" t="str">
        <f>IF($B391="","",IF($AK391&lt;=Settings!$C$21,"",IFERROR(AVERAGEIFS($S$4:$S$503,$B$4:$B$503,$B391,$AK$4:$AK$503,"&gt;="&amp;$AK391-Settings!$C$21,$AK$4:$AK$503,"&lt;="&amp;$AK391-1),"")))</f>
        <v/>
      </c>
      <c r="AA391" s="28" t="str">
        <f t="shared" si="110"/>
        <v/>
      </c>
      <c r="AB391" s="25" t="str">
        <f>IF($B391="","",IF($AK391&lt;=Settings!$C$22,"",IFERROR(AVERAGEIFS($K$4:$K$503,$B$4:$B$503,$B391,$AK$4:$AK$503,"&gt;="&amp;$AK391-Settings!$C$22,$AK$4:$AK$503,"&lt;="&amp;$AK391-1),"")))</f>
        <v/>
      </c>
      <c r="AC391" s="27" t="str">
        <f t="shared" si="111"/>
        <v/>
      </c>
      <c r="AD391" s="28" t="str">
        <f>IF($B391="","",IF($AK391&lt;=Settings!$C$23,"",IFERROR($E391/SUMIFS($E$4:$E$503,$B$4:$B$503,$B391,$AK$4:$AK$503,$AK391-Settings!$C$23)-1,"")))</f>
        <v/>
      </c>
      <c r="AE391" s="28" t="str">
        <f>IF($B391="","",IF($AK391&lt;=Settings!$C$22,"",IFERROR($E391/SUMIFS($E$4:$E$503,$B$4:$B$503,$B391,$AK$4:$AK$503,$AK391-Settings!$C$22)-1,"")))</f>
        <v/>
      </c>
      <c r="AF391" s="28" t="str">
        <f t="shared" si="112"/>
        <v/>
      </c>
      <c r="AG391" s="29" t="str">
        <f>IF($B391="","",ROUND((MIN(100,100*N($I391)/Settings!$C$27)+MIN(100,100*N($K391)/Settings!$C$28)+MIN(100,100*N($J391)/Settings!$C$29))/3,1))</f>
        <v/>
      </c>
      <c r="AH391" s="29" t="str">
        <f>IF($B391="","",IF(SUM(Settings!$C$32:$C$37)=0,"",ROUND((Settings!$C$32*$AO391+Settings!$C$33*$AP391+Settings!$C$34*$AQ391+Settings!$C$35*$AR391+Settings!$C$36*$AS391+Settings!$C$37*$AT391)/SUM(Settings!$C$32:$C$37),1)))</f>
        <v/>
      </c>
      <c r="AI391" s="29" t="str">
        <f>IF($B391="","",MAX(0,100-IF(N($N391)&gt;0,0,20)-IF(AND(N($L391)=0,N($M391)=0),15,0)-IF(N($J391)&gt;0,0,10)-IF(N($K391)&gt;0,0,10)-IF($Z391&lt;&gt;"",0,15)-IF($AB391&lt;&gt;"",0,10)-IF($R391="ERROR",20,IF($R391="WARNING",10,0))))</f>
        <v/>
      </c>
      <c r="AJ391" s="30" t="str">
        <f>IF($AH391="","",IF($AH391&lt;Settings!$C$46,"Extreme Sell Pressure",IF($AH391&lt;Settings!$C$47,"Sell Pressure",IF($AH391&lt;=Settings!$C$48,"Neutral",IF($AH391&lt;=Settings!$C$49,"Buy Pressure","Extreme Buy Pressure")))))</f>
        <v/>
      </c>
      <c r="AK391" s="30" t="str">
        <f t="shared" si="113"/>
        <v/>
      </c>
      <c r="AL391" s="30" t="str">
        <f t="shared" si="114"/>
        <v/>
      </c>
      <c r="AM391" s="30" t="str">
        <f t="shared" si="115"/>
        <v/>
      </c>
      <c r="AN391" s="30" t="str">
        <f t="shared" si="116"/>
        <v/>
      </c>
      <c r="AO391" s="29" t="str">
        <f>IF($B391="","",IF(AND(N($L391)=0,N($M391)=0),50,IF(N($M391)=0,100,IF(N($L391)=0,0,MEDIAN(0,100,50+50*LN($S391)/LN(Settings!$C$40))))))</f>
        <v/>
      </c>
      <c r="AP391" s="29">
        <f>IF($AA391="",50,MEDIAN(0,100,50+$AA391*100*Settings!$C$41))</f>
        <v>50</v>
      </c>
      <c r="AQ391" s="29">
        <f>IF($H391="",50,MEDIAN(0,100,50+$H391*100*Settings!$C$42))</f>
        <v>50</v>
      </c>
      <c r="AR391" s="29">
        <f>IF(OR($AC391="",$H391=""),50,MEDIAN(0,100,50+SIGN($H391)*50*MEDIAN(0,1,($AC391-1)/Settings!$C$43)))</f>
        <v>50</v>
      </c>
      <c r="AS391" s="29">
        <f>IF(OR($V391="",$W391=""),50,MEDIAN(0,100,50+50*($V391-$W391)/Settings!$C$44))</f>
        <v>50</v>
      </c>
      <c r="AT391" s="29">
        <f t="shared" si="117"/>
        <v>50</v>
      </c>
      <c r="AU391" s="30" t="str">
        <f t="shared" si="118"/>
        <v/>
      </c>
      <c r="AV391" s="87" t="str">
        <f>IF($A391="","",IF(COUNTIFS($A$4:$A391,$A391)=1,1,0))</f>
        <v/>
      </c>
    </row>
    <row r="392" spans="1:48" x14ac:dyDescent="0.3">
      <c r="A392" s="270"/>
      <c r="B392" s="271"/>
      <c r="C392" s="272"/>
      <c r="D392" s="272"/>
      <c r="E392" s="272"/>
      <c r="F392" s="272"/>
      <c r="G392" s="272"/>
      <c r="H392" s="268" t="str">
        <f t="shared" si="102"/>
        <v/>
      </c>
      <c r="I392" s="273"/>
      <c r="J392" s="273"/>
      <c r="K392" s="273"/>
      <c r="L392" s="273"/>
      <c r="M392" s="273"/>
      <c r="N392" s="273"/>
      <c r="O392" s="271"/>
      <c r="P392" s="270"/>
      <c r="Q392" s="271"/>
      <c r="R392" s="23" t="str" cm="1">
        <f t="array" ref="R392">IF($B392="","",IFERROR(IF(INDEX('Data Quality'!$U$4:$U$503,ROW()-3)=0,"PENDING",INDEX('Data Quality'!$U$4:$U$503,ROW()-3)),"PENDING"))</f>
        <v/>
      </c>
      <c r="S392" s="24" t="str">
        <f t="shared" si="103"/>
        <v/>
      </c>
      <c r="T392" s="25" t="str">
        <f t="shared" si="104"/>
        <v/>
      </c>
      <c r="U392" s="25" t="str">
        <f t="shared" si="105"/>
        <v/>
      </c>
      <c r="V392" s="26" t="str">
        <f t="shared" si="106"/>
        <v/>
      </c>
      <c r="W392" s="26" t="str">
        <f t="shared" si="107"/>
        <v/>
      </c>
      <c r="X392" s="25" t="str">
        <f t="shared" si="108"/>
        <v/>
      </c>
      <c r="Y392" s="25" t="str">
        <f t="shared" si="109"/>
        <v/>
      </c>
      <c r="Z392" s="27" t="str">
        <f>IF($B392="","",IF($AK392&lt;=Settings!$C$21,"",IFERROR(AVERAGEIFS($S$4:$S$503,$B$4:$B$503,$B392,$AK$4:$AK$503,"&gt;="&amp;$AK392-Settings!$C$21,$AK$4:$AK$503,"&lt;="&amp;$AK392-1),"")))</f>
        <v/>
      </c>
      <c r="AA392" s="28" t="str">
        <f t="shared" si="110"/>
        <v/>
      </c>
      <c r="AB392" s="25" t="str">
        <f>IF($B392="","",IF($AK392&lt;=Settings!$C$22,"",IFERROR(AVERAGEIFS($K$4:$K$503,$B$4:$B$503,$B392,$AK$4:$AK$503,"&gt;="&amp;$AK392-Settings!$C$22,$AK$4:$AK$503,"&lt;="&amp;$AK392-1),"")))</f>
        <v/>
      </c>
      <c r="AC392" s="27" t="str">
        <f t="shared" si="111"/>
        <v/>
      </c>
      <c r="AD392" s="28" t="str">
        <f>IF($B392="","",IF($AK392&lt;=Settings!$C$23,"",IFERROR($E392/SUMIFS($E$4:$E$503,$B$4:$B$503,$B392,$AK$4:$AK$503,$AK392-Settings!$C$23)-1,"")))</f>
        <v/>
      </c>
      <c r="AE392" s="28" t="str">
        <f>IF($B392="","",IF($AK392&lt;=Settings!$C$22,"",IFERROR($E392/SUMIFS($E$4:$E$503,$B$4:$B$503,$B392,$AK$4:$AK$503,$AK392-Settings!$C$22)-1,"")))</f>
        <v/>
      </c>
      <c r="AF392" s="28" t="str">
        <f t="shared" si="112"/>
        <v/>
      </c>
      <c r="AG392" s="29" t="str">
        <f>IF($B392="","",ROUND((MIN(100,100*N($I392)/Settings!$C$27)+MIN(100,100*N($K392)/Settings!$C$28)+MIN(100,100*N($J392)/Settings!$C$29))/3,1))</f>
        <v/>
      </c>
      <c r="AH392" s="29" t="str">
        <f>IF($B392="","",IF(SUM(Settings!$C$32:$C$37)=0,"",ROUND((Settings!$C$32*$AO392+Settings!$C$33*$AP392+Settings!$C$34*$AQ392+Settings!$C$35*$AR392+Settings!$C$36*$AS392+Settings!$C$37*$AT392)/SUM(Settings!$C$32:$C$37),1)))</f>
        <v/>
      </c>
      <c r="AI392" s="29" t="str">
        <f>IF($B392="","",MAX(0,100-IF(N($N392)&gt;0,0,20)-IF(AND(N($L392)=0,N($M392)=0),15,0)-IF(N($J392)&gt;0,0,10)-IF(N($K392)&gt;0,0,10)-IF($Z392&lt;&gt;"",0,15)-IF($AB392&lt;&gt;"",0,10)-IF($R392="ERROR",20,IF($R392="WARNING",10,0))))</f>
        <v/>
      </c>
      <c r="AJ392" s="30" t="str">
        <f>IF($AH392="","",IF($AH392&lt;Settings!$C$46,"Extreme Sell Pressure",IF($AH392&lt;Settings!$C$47,"Sell Pressure",IF($AH392&lt;=Settings!$C$48,"Neutral",IF($AH392&lt;=Settings!$C$49,"Buy Pressure","Extreme Buy Pressure")))))</f>
        <v/>
      </c>
      <c r="AK392" s="30" t="str">
        <f t="shared" si="113"/>
        <v/>
      </c>
      <c r="AL392" s="30" t="str">
        <f t="shared" si="114"/>
        <v/>
      </c>
      <c r="AM392" s="30" t="str">
        <f t="shared" si="115"/>
        <v/>
      </c>
      <c r="AN392" s="30" t="str">
        <f t="shared" si="116"/>
        <v/>
      </c>
      <c r="AO392" s="29" t="str">
        <f>IF($B392="","",IF(AND(N($L392)=0,N($M392)=0),50,IF(N($M392)=0,100,IF(N($L392)=0,0,MEDIAN(0,100,50+50*LN($S392)/LN(Settings!$C$40))))))</f>
        <v/>
      </c>
      <c r="AP392" s="29">
        <f>IF($AA392="",50,MEDIAN(0,100,50+$AA392*100*Settings!$C$41))</f>
        <v>50</v>
      </c>
      <c r="AQ392" s="29">
        <f>IF($H392="",50,MEDIAN(0,100,50+$H392*100*Settings!$C$42))</f>
        <v>50</v>
      </c>
      <c r="AR392" s="29">
        <f>IF(OR($AC392="",$H392=""),50,MEDIAN(0,100,50+SIGN($H392)*50*MEDIAN(0,1,($AC392-1)/Settings!$C$43)))</f>
        <v>50</v>
      </c>
      <c r="AS392" s="29">
        <f>IF(OR($V392="",$W392=""),50,MEDIAN(0,100,50+50*($V392-$W392)/Settings!$C$44))</f>
        <v>50</v>
      </c>
      <c r="AT392" s="29">
        <f t="shared" si="117"/>
        <v>50</v>
      </c>
      <c r="AU392" s="30" t="str">
        <f t="shared" si="118"/>
        <v/>
      </c>
      <c r="AV392" s="87" t="str">
        <f>IF($A392="","",IF(COUNTIFS($A$4:$A392,$A392)=1,1,0))</f>
        <v/>
      </c>
    </row>
    <row r="393" spans="1:48" x14ac:dyDescent="0.3">
      <c r="A393" s="270"/>
      <c r="B393" s="271"/>
      <c r="C393" s="272"/>
      <c r="D393" s="272"/>
      <c r="E393" s="272"/>
      <c r="F393" s="272"/>
      <c r="G393" s="272"/>
      <c r="H393" s="268" t="str">
        <f t="shared" si="102"/>
        <v/>
      </c>
      <c r="I393" s="273"/>
      <c r="J393" s="273"/>
      <c r="K393" s="273"/>
      <c r="L393" s="273"/>
      <c r="M393" s="273"/>
      <c r="N393" s="273"/>
      <c r="O393" s="271"/>
      <c r="P393" s="270"/>
      <c r="Q393" s="271"/>
      <c r="R393" s="23" t="str" cm="1">
        <f t="array" ref="R393">IF($B393="","",IFERROR(IF(INDEX('Data Quality'!$U$4:$U$503,ROW()-3)=0,"PENDING",INDEX('Data Quality'!$U$4:$U$503,ROW()-3)),"PENDING"))</f>
        <v/>
      </c>
      <c r="S393" s="24" t="str">
        <f t="shared" si="103"/>
        <v/>
      </c>
      <c r="T393" s="25" t="str">
        <f t="shared" si="104"/>
        <v/>
      </c>
      <c r="U393" s="25" t="str">
        <f t="shared" si="105"/>
        <v/>
      </c>
      <c r="V393" s="26" t="str">
        <f t="shared" si="106"/>
        <v/>
      </c>
      <c r="W393" s="26" t="str">
        <f t="shared" si="107"/>
        <v/>
      </c>
      <c r="X393" s="25" t="str">
        <f t="shared" si="108"/>
        <v/>
      </c>
      <c r="Y393" s="25" t="str">
        <f t="shared" si="109"/>
        <v/>
      </c>
      <c r="Z393" s="27" t="str">
        <f>IF($B393="","",IF($AK393&lt;=Settings!$C$21,"",IFERROR(AVERAGEIFS($S$4:$S$503,$B$4:$B$503,$B393,$AK$4:$AK$503,"&gt;="&amp;$AK393-Settings!$C$21,$AK$4:$AK$503,"&lt;="&amp;$AK393-1),"")))</f>
        <v/>
      </c>
      <c r="AA393" s="28" t="str">
        <f t="shared" si="110"/>
        <v/>
      </c>
      <c r="AB393" s="25" t="str">
        <f>IF($B393="","",IF($AK393&lt;=Settings!$C$22,"",IFERROR(AVERAGEIFS($K$4:$K$503,$B$4:$B$503,$B393,$AK$4:$AK$503,"&gt;="&amp;$AK393-Settings!$C$22,$AK$4:$AK$503,"&lt;="&amp;$AK393-1),"")))</f>
        <v/>
      </c>
      <c r="AC393" s="27" t="str">
        <f t="shared" si="111"/>
        <v/>
      </c>
      <c r="AD393" s="28" t="str">
        <f>IF($B393="","",IF($AK393&lt;=Settings!$C$23,"",IFERROR($E393/SUMIFS($E$4:$E$503,$B$4:$B$503,$B393,$AK$4:$AK$503,$AK393-Settings!$C$23)-1,"")))</f>
        <v/>
      </c>
      <c r="AE393" s="28" t="str">
        <f>IF($B393="","",IF($AK393&lt;=Settings!$C$22,"",IFERROR($E393/SUMIFS($E$4:$E$503,$B$4:$B$503,$B393,$AK$4:$AK$503,$AK393-Settings!$C$22)-1,"")))</f>
        <v/>
      </c>
      <c r="AF393" s="28" t="str">
        <f t="shared" si="112"/>
        <v/>
      </c>
      <c r="AG393" s="29" t="str">
        <f>IF($B393="","",ROUND((MIN(100,100*N($I393)/Settings!$C$27)+MIN(100,100*N($K393)/Settings!$C$28)+MIN(100,100*N($J393)/Settings!$C$29))/3,1))</f>
        <v/>
      </c>
      <c r="AH393" s="29" t="str">
        <f>IF($B393="","",IF(SUM(Settings!$C$32:$C$37)=0,"",ROUND((Settings!$C$32*$AO393+Settings!$C$33*$AP393+Settings!$C$34*$AQ393+Settings!$C$35*$AR393+Settings!$C$36*$AS393+Settings!$C$37*$AT393)/SUM(Settings!$C$32:$C$37),1)))</f>
        <v/>
      </c>
      <c r="AI393" s="29" t="str">
        <f>IF($B393="","",MAX(0,100-IF(N($N393)&gt;0,0,20)-IF(AND(N($L393)=0,N($M393)=0),15,0)-IF(N($J393)&gt;0,0,10)-IF(N($K393)&gt;0,0,10)-IF($Z393&lt;&gt;"",0,15)-IF($AB393&lt;&gt;"",0,10)-IF($R393="ERROR",20,IF($R393="WARNING",10,0))))</f>
        <v/>
      </c>
      <c r="AJ393" s="30" t="str">
        <f>IF($AH393="","",IF($AH393&lt;Settings!$C$46,"Extreme Sell Pressure",IF($AH393&lt;Settings!$C$47,"Sell Pressure",IF($AH393&lt;=Settings!$C$48,"Neutral",IF($AH393&lt;=Settings!$C$49,"Buy Pressure","Extreme Buy Pressure")))))</f>
        <v/>
      </c>
      <c r="AK393" s="30" t="str">
        <f t="shared" si="113"/>
        <v/>
      </c>
      <c r="AL393" s="30" t="str">
        <f t="shared" si="114"/>
        <v/>
      </c>
      <c r="AM393" s="30" t="str">
        <f t="shared" si="115"/>
        <v/>
      </c>
      <c r="AN393" s="30" t="str">
        <f t="shared" si="116"/>
        <v/>
      </c>
      <c r="AO393" s="29" t="str">
        <f>IF($B393="","",IF(AND(N($L393)=0,N($M393)=0),50,IF(N($M393)=0,100,IF(N($L393)=0,0,MEDIAN(0,100,50+50*LN($S393)/LN(Settings!$C$40))))))</f>
        <v/>
      </c>
      <c r="AP393" s="29">
        <f>IF($AA393="",50,MEDIAN(0,100,50+$AA393*100*Settings!$C$41))</f>
        <v>50</v>
      </c>
      <c r="AQ393" s="29">
        <f>IF($H393="",50,MEDIAN(0,100,50+$H393*100*Settings!$C$42))</f>
        <v>50</v>
      </c>
      <c r="AR393" s="29">
        <f>IF(OR($AC393="",$H393=""),50,MEDIAN(0,100,50+SIGN($H393)*50*MEDIAN(0,1,($AC393-1)/Settings!$C$43)))</f>
        <v>50</v>
      </c>
      <c r="AS393" s="29">
        <f>IF(OR($V393="",$W393=""),50,MEDIAN(0,100,50+50*($V393-$W393)/Settings!$C$44))</f>
        <v>50</v>
      </c>
      <c r="AT393" s="29">
        <f t="shared" si="117"/>
        <v>50</v>
      </c>
      <c r="AU393" s="30" t="str">
        <f t="shared" si="118"/>
        <v/>
      </c>
      <c r="AV393" s="87" t="str">
        <f>IF($A393="","",IF(COUNTIFS($A$4:$A393,$A393)=1,1,0))</f>
        <v/>
      </c>
    </row>
    <row r="394" spans="1:48" x14ac:dyDescent="0.3">
      <c r="A394" s="270"/>
      <c r="B394" s="271"/>
      <c r="C394" s="272"/>
      <c r="D394" s="272"/>
      <c r="E394" s="272"/>
      <c r="F394" s="272"/>
      <c r="G394" s="272"/>
      <c r="H394" s="268" t="str">
        <f t="shared" si="102"/>
        <v/>
      </c>
      <c r="I394" s="273"/>
      <c r="J394" s="273"/>
      <c r="K394" s="273"/>
      <c r="L394" s="273"/>
      <c r="M394" s="273"/>
      <c r="N394" s="273"/>
      <c r="O394" s="271"/>
      <c r="P394" s="270"/>
      <c r="Q394" s="271"/>
      <c r="R394" s="23" t="str" cm="1">
        <f t="array" ref="R394">IF($B394="","",IFERROR(IF(INDEX('Data Quality'!$U$4:$U$503,ROW()-3)=0,"PENDING",INDEX('Data Quality'!$U$4:$U$503,ROW()-3)),"PENDING"))</f>
        <v/>
      </c>
      <c r="S394" s="24" t="str">
        <f t="shared" si="103"/>
        <v/>
      </c>
      <c r="T394" s="25" t="str">
        <f t="shared" si="104"/>
        <v/>
      </c>
      <c r="U394" s="25" t="str">
        <f t="shared" si="105"/>
        <v/>
      </c>
      <c r="V394" s="26" t="str">
        <f t="shared" si="106"/>
        <v/>
      </c>
      <c r="W394" s="26" t="str">
        <f t="shared" si="107"/>
        <v/>
      </c>
      <c r="X394" s="25" t="str">
        <f t="shared" si="108"/>
        <v/>
      </c>
      <c r="Y394" s="25" t="str">
        <f t="shared" si="109"/>
        <v/>
      </c>
      <c r="Z394" s="27" t="str">
        <f>IF($B394="","",IF($AK394&lt;=Settings!$C$21,"",IFERROR(AVERAGEIFS($S$4:$S$503,$B$4:$B$503,$B394,$AK$4:$AK$503,"&gt;="&amp;$AK394-Settings!$C$21,$AK$4:$AK$503,"&lt;="&amp;$AK394-1),"")))</f>
        <v/>
      </c>
      <c r="AA394" s="28" t="str">
        <f t="shared" si="110"/>
        <v/>
      </c>
      <c r="AB394" s="25" t="str">
        <f>IF($B394="","",IF($AK394&lt;=Settings!$C$22,"",IFERROR(AVERAGEIFS($K$4:$K$503,$B$4:$B$503,$B394,$AK$4:$AK$503,"&gt;="&amp;$AK394-Settings!$C$22,$AK$4:$AK$503,"&lt;="&amp;$AK394-1),"")))</f>
        <v/>
      </c>
      <c r="AC394" s="27" t="str">
        <f t="shared" si="111"/>
        <v/>
      </c>
      <c r="AD394" s="28" t="str">
        <f>IF($B394="","",IF($AK394&lt;=Settings!$C$23,"",IFERROR($E394/SUMIFS($E$4:$E$503,$B$4:$B$503,$B394,$AK$4:$AK$503,$AK394-Settings!$C$23)-1,"")))</f>
        <v/>
      </c>
      <c r="AE394" s="28" t="str">
        <f>IF($B394="","",IF($AK394&lt;=Settings!$C$22,"",IFERROR($E394/SUMIFS($E$4:$E$503,$B$4:$B$503,$B394,$AK$4:$AK$503,$AK394-Settings!$C$22)-1,"")))</f>
        <v/>
      </c>
      <c r="AF394" s="28" t="str">
        <f t="shared" si="112"/>
        <v/>
      </c>
      <c r="AG394" s="29" t="str">
        <f>IF($B394="","",ROUND((MIN(100,100*N($I394)/Settings!$C$27)+MIN(100,100*N($K394)/Settings!$C$28)+MIN(100,100*N($J394)/Settings!$C$29))/3,1))</f>
        <v/>
      </c>
      <c r="AH394" s="29" t="str">
        <f>IF($B394="","",IF(SUM(Settings!$C$32:$C$37)=0,"",ROUND((Settings!$C$32*$AO394+Settings!$C$33*$AP394+Settings!$C$34*$AQ394+Settings!$C$35*$AR394+Settings!$C$36*$AS394+Settings!$C$37*$AT394)/SUM(Settings!$C$32:$C$37),1)))</f>
        <v/>
      </c>
      <c r="AI394" s="29" t="str">
        <f>IF($B394="","",MAX(0,100-IF(N($N394)&gt;0,0,20)-IF(AND(N($L394)=0,N($M394)=0),15,0)-IF(N($J394)&gt;0,0,10)-IF(N($K394)&gt;0,0,10)-IF($Z394&lt;&gt;"",0,15)-IF($AB394&lt;&gt;"",0,10)-IF($R394="ERROR",20,IF($R394="WARNING",10,0))))</f>
        <v/>
      </c>
      <c r="AJ394" s="30" t="str">
        <f>IF($AH394="","",IF($AH394&lt;Settings!$C$46,"Extreme Sell Pressure",IF($AH394&lt;Settings!$C$47,"Sell Pressure",IF($AH394&lt;=Settings!$C$48,"Neutral",IF($AH394&lt;=Settings!$C$49,"Buy Pressure","Extreme Buy Pressure")))))</f>
        <v/>
      </c>
      <c r="AK394" s="30" t="str">
        <f t="shared" si="113"/>
        <v/>
      </c>
      <c r="AL394" s="30" t="str">
        <f t="shared" si="114"/>
        <v/>
      </c>
      <c r="AM394" s="30" t="str">
        <f t="shared" si="115"/>
        <v/>
      </c>
      <c r="AN394" s="30" t="str">
        <f t="shared" si="116"/>
        <v/>
      </c>
      <c r="AO394" s="29" t="str">
        <f>IF($B394="","",IF(AND(N($L394)=0,N($M394)=0),50,IF(N($M394)=0,100,IF(N($L394)=0,0,MEDIAN(0,100,50+50*LN($S394)/LN(Settings!$C$40))))))</f>
        <v/>
      </c>
      <c r="AP394" s="29">
        <f>IF($AA394="",50,MEDIAN(0,100,50+$AA394*100*Settings!$C$41))</f>
        <v>50</v>
      </c>
      <c r="AQ394" s="29">
        <f>IF($H394="",50,MEDIAN(0,100,50+$H394*100*Settings!$C$42))</f>
        <v>50</v>
      </c>
      <c r="AR394" s="29">
        <f>IF(OR($AC394="",$H394=""),50,MEDIAN(0,100,50+SIGN($H394)*50*MEDIAN(0,1,($AC394-1)/Settings!$C$43)))</f>
        <v>50</v>
      </c>
      <c r="AS394" s="29">
        <f>IF(OR($V394="",$W394=""),50,MEDIAN(0,100,50+50*($V394-$W394)/Settings!$C$44))</f>
        <v>50</v>
      </c>
      <c r="AT394" s="29">
        <f t="shared" si="117"/>
        <v>50</v>
      </c>
      <c r="AU394" s="30" t="str">
        <f t="shared" si="118"/>
        <v/>
      </c>
      <c r="AV394" s="87" t="str">
        <f>IF($A394="","",IF(COUNTIFS($A$4:$A394,$A394)=1,1,0))</f>
        <v/>
      </c>
    </row>
    <row r="395" spans="1:48" x14ac:dyDescent="0.3">
      <c r="A395" s="270"/>
      <c r="B395" s="271"/>
      <c r="C395" s="272"/>
      <c r="D395" s="272"/>
      <c r="E395" s="272"/>
      <c r="F395" s="272"/>
      <c r="G395" s="272"/>
      <c r="H395" s="268" t="str">
        <f t="shared" si="102"/>
        <v/>
      </c>
      <c r="I395" s="273"/>
      <c r="J395" s="273"/>
      <c r="K395" s="273"/>
      <c r="L395" s="273"/>
      <c r="M395" s="273"/>
      <c r="N395" s="273"/>
      <c r="O395" s="271"/>
      <c r="P395" s="270"/>
      <c r="Q395" s="271"/>
      <c r="R395" s="23" t="str" cm="1">
        <f t="array" ref="R395">IF($B395="","",IFERROR(IF(INDEX('Data Quality'!$U$4:$U$503,ROW()-3)=0,"PENDING",INDEX('Data Quality'!$U$4:$U$503,ROW()-3)),"PENDING"))</f>
        <v/>
      </c>
      <c r="S395" s="24" t="str">
        <f t="shared" si="103"/>
        <v/>
      </c>
      <c r="T395" s="25" t="str">
        <f t="shared" si="104"/>
        <v/>
      </c>
      <c r="U395" s="25" t="str">
        <f t="shared" si="105"/>
        <v/>
      </c>
      <c r="V395" s="26" t="str">
        <f t="shared" si="106"/>
        <v/>
      </c>
      <c r="W395" s="26" t="str">
        <f t="shared" si="107"/>
        <v/>
      </c>
      <c r="X395" s="25" t="str">
        <f t="shared" si="108"/>
        <v/>
      </c>
      <c r="Y395" s="25" t="str">
        <f t="shared" si="109"/>
        <v/>
      </c>
      <c r="Z395" s="27" t="str">
        <f>IF($B395="","",IF($AK395&lt;=Settings!$C$21,"",IFERROR(AVERAGEIFS($S$4:$S$503,$B$4:$B$503,$B395,$AK$4:$AK$503,"&gt;="&amp;$AK395-Settings!$C$21,$AK$4:$AK$503,"&lt;="&amp;$AK395-1),"")))</f>
        <v/>
      </c>
      <c r="AA395" s="28" t="str">
        <f t="shared" si="110"/>
        <v/>
      </c>
      <c r="AB395" s="25" t="str">
        <f>IF($B395="","",IF($AK395&lt;=Settings!$C$22,"",IFERROR(AVERAGEIFS($K$4:$K$503,$B$4:$B$503,$B395,$AK$4:$AK$503,"&gt;="&amp;$AK395-Settings!$C$22,$AK$4:$AK$503,"&lt;="&amp;$AK395-1),"")))</f>
        <v/>
      </c>
      <c r="AC395" s="27" t="str">
        <f t="shared" si="111"/>
        <v/>
      </c>
      <c r="AD395" s="28" t="str">
        <f>IF($B395="","",IF($AK395&lt;=Settings!$C$23,"",IFERROR($E395/SUMIFS($E$4:$E$503,$B$4:$B$503,$B395,$AK$4:$AK$503,$AK395-Settings!$C$23)-1,"")))</f>
        <v/>
      </c>
      <c r="AE395" s="28" t="str">
        <f>IF($B395="","",IF($AK395&lt;=Settings!$C$22,"",IFERROR($E395/SUMIFS($E$4:$E$503,$B$4:$B$503,$B395,$AK$4:$AK$503,$AK395-Settings!$C$22)-1,"")))</f>
        <v/>
      </c>
      <c r="AF395" s="28" t="str">
        <f t="shared" si="112"/>
        <v/>
      </c>
      <c r="AG395" s="29" t="str">
        <f>IF($B395="","",ROUND((MIN(100,100*N($I395)/Settings!$C$27)+MIN(100,100*N($K395)/Settings!$C$28)+MIN(100,100*N($J395)/Settings!$C$29))/3,1))</f>
        <v/>
      </c>
      <c r="AH395" s="29" t="str">
        <f>IF($B395="","",IF(SUM(Settings!$C$32:$C$37)=0,"",ROUND((Settings!$C$32*$AO395+Settings!$C$33*$AP395+Settings!$C$34*$AQ395+Settings!$C$35*$AR395+Settings!$C$36*$AS395+Settings!$C$37*$AT395)/SUM(Settings!$C$32:$C$37),1)))</f>
        <v/>
      </c>
      <c r="AI395" s="29" t="str">
        <f>IF($B395="","",MAX(0,100-IF(N($N395)&gt;0,0,20)-IF(AND(N($L395)=0,N($M395)=0),15,0)-IF(N($J395)&gt;0,0,10)-IF(N($K395)&gt;0,0,10)-IF($Z395&lt;&gt;"",0,15)-IF($AB395&lt;&gt;"",0,10)-IF($R395="ERROR",20,IF($R395="WARNING",10,0))))</f>
        <v/>
      </c>
      <c r="AJ395" s="30" t="str">
        <f>IF($AH395="","",IF($AH395&lt;Settings!$C$46,"Extreme Sell Pressure",IF($AH395&lt;Settings!$C$47,"Sell Pressure",IF($AH395&lt;=Settings!$C$48,"Neutral",IF($AH395&lt;=Settings!$C$49,"Buy Pressure","Extreme Buy Pressure")))))</f>
        <v/>
      </c>
      <c r="AK395" s="30" t="str">
        <f t="shared" si="113"/>
        <v/>
      </c>
      <c r="AL395" s="30" t="str">
        <f t="shared" si="114"/>
        <v/>
      </c>
      <c r="AM395" s="30" t="str">
        <f t="shared" si="115"/>
        <v/>
      </c>
      <c r="AN395" s="30" t="str">
        <f t="shared" si="116"/>
        <v/>
      </c>
      <c r="AO395" s="29" t="str">
        <f>IF($B395="","",IF(AND(N($L395)=0,N($M395)=0),50,IF(N($M395)=0,100,IF(N($L395)=0,0,MEDIAN(0,100,50+50*LN($S395)/LN(Settings!$C$40))))))</f>
        <v/>
      </c>
      <c r="AP395" s="29">
        <f>IF($AA395="",50,MEDIAN(0,100,50+$AA395*100*Settings!$C$41))</f>
        <v>50</v>
      </c>
      <c r="AQ395" s="29">
        <f>IF($H395="",50,MEDIAN(0,100,50+$H395*100*Settings!$C$42))</f>
        <v>50</v>
      </c>
      <c r="AR395" s="29">
        <f>IF(OR($AC395="",$H395=""),50,MEDIAN(0,100,50+SIGN($H395)*50*MEDIAN(0,1,($AC395-1)/Settings!$C$43)))</f>
        <v>50</v>
      </c>
      <c r="AS395" s="29">
        <f>IF(OR($V395="",$W395=""),50,MEDIAN(0,100,50+50*($V395-$W395)/Settings!$C$44))</f>
        <v>50</v>
      </c>
      <c r="AT395" s="29">
        <f t="shared" si="117"/>
        <v>50</v>
      </c>
      <c r="AU395" s="30" t="str">
        <f t="shared" si="118"/>
        <v/>
      </c>
      <c r="AV395" s="87" t="str">
        <f>IF($A395="","",IF(COUNTIFS($A$4:$A395,$A395)=1,1,0))</f>
        <v/>
      </c>
    </row>
    <row r="396" spans="1:48" x14ac:dyDescent="0.3">
      <c r="A396" s="270"/>
      <c r="B396" s="271"/>
      <c r="C396" s="272"/>
      <c r="D396" s="272"/>
      <c r="E396" s="272"/>
      <c r="F396" s="272"/>
      <c r="G396" s="272"/>
      <c r="H396" s="268" t="str">
        <f t="shared" si="102"/>
        <v/>
      </c>
      <c r="I396" s="273"/>
      <c r="J396" s="273"/>
      <c r="K396" s="273"/>
      <c r="L396" s="273"/>
      <c r="M396" s="273"/>
      <c r="N396" s="273"/>
      <c r="O396" s="271"/>
      <c r="P396" s="270"/>
      <c r="Q396" s="271"/>
      <c r="R396" s="23" t="str" cm="1">
        <f t="array" ref="R396">IF($B396="","",IFERROR(IF(INDEX('Data Quality'!$U$4:$U$503,ROW()-3)=0,"PENDING",INDEX('Data Quality'!$U$4:$U$503,ROW()-3)),"PENDING"))</f>
        <v/>
      </c>
      <c r="S396" s="24" t="str">
        <f t="shared" si="103"/>
        <v/>
      </c>
      <c r="T396" s="25" t="str">
        <f t="shared" si="104"/>
        <v/>
      </c>
      <c r="U396" s="25" t="str">
        <f t="shared" si="105"/>
        <v/>
      </c>
      <c r="V396" s="26" t="str">
        <f t="shared" si="106"/>
        <v/>
      </c>
      <c r="W396" s="26" t="str">
        <f t="shared" si="107"/>
        <v/>
      </c>
      <c r="X396" s="25" t="str">
        <f t="shared" si="108"/>
        <v/>
      </c>
      <c r="Y396" s="25" t="str">
        <f t="shared" si="109"/>
        <v/>
      </c>
      <c r="Z396" s="27" t="str">
        <f>IF($B396="","",IF($AK396&lt;=Settings!$C$21,"",IFERROR(AVERAGEIFS($S$4:$S$503,$B$4:$B$503,$B396,$AK$4:$AK$503,"&gt;="&amp;$AK396-Settings!$C$21,$AK$4:$AK$503,"&lt;="&amp;$AK396-1),"")))</f>
        <v/>
      </c>
      <c r="AA396" s="28" t="str">
        <f t="shared" si="110"/>
        <v/>
      </c>
      <c r="AB396" s="25" t="str">
        <f>IF($B396="","",IF($AK396&lt;=Settings!$C$22,"",IFERROR(AVERAGEIFS($K$4:$K$503,$B$4:$B$503,$B396,$AK$4:$AK$503,"&gt;="&amp;$AK396-Settings!$C$22,$AK$4:$AK$503,"&lt;="&amp;$AK396-1),"")))</f>
        <v/>
      </c>
      <c r="AC396" s="27" t="str">
        <f t="shared" si="111"/>
        <v/>
      </c>
      <c r="AD396" s="28" t="str">
        <f>IF($B396="","",IF($AK396&lt;=Settings!$C$23,"",IFERROR($E396/SUMIFS($E$4:$E$503,$B$4:$B$503,$B396,$AK$4:$AK$503,$AK396-Settings!$C$23)-1,"")))</f>
        <v/>
      </c>
      <c r="AE396" s="28" t="str">
        <f>IF($B396="","",IF($AK396&lt;=Settings!$C$22,"",IFERROR($E396/SUMIFS($E$4:$E$503,$B$4:$B$503,$B396,$AK$4:$AK$503,$AK396-Settings!$C$22)-1,"")))</f>
        <v/>
      </c>
      <c r="AF396" s="28" t="str">
        <f t="shared" si="112"/>
        <v/>
      </c>
      <c r="AG396" s="29" t="str">
        <f>IF($B396="","",ROUND((MIN(100,100*N($I396)/Settings!$C$27)+MIN(100,100*N($K396)/Settings!$C$28)+MIN(100,100*N($J396)/Settings!$C$29))/3,1))</f>
        <v/>
      </c>
      <c r="AH396" s="29" t="str">
        <f>IF($B396="","",IF(SUM(Settings!$C$32:$C$37)=0,"",ROUND((Settings!$C$32*$AO396+Settings!$C$33*$AP396+Settings!$C$34*$AQ396+Settings!$C$35*$AR396+Settings!$C$36*$AS396+Settings!$C$37*$AT396)/SUM(Settings!$C$32:$C$37),1)))</f>
        <v/>
      </c>
      <c r="AI396" s="29" t="str">
        <f>IF($B396="","",MAX(0,100-IF(N($N396)&gt;0,0,20)-IF(AND(N($L396)=0,N($M396)=0),15,0)-IF(N($J396)&gt;0,0,10)-IF(N($K396)&gt;0,0,10)-IF($Z396&lt;&gt;"",0,15)-IF($AB396&lt;&gt;"",0,10)-IF($R396="ERROR",20,IF($R396="WARNING",10,0))))</f>
        <v/>
      </c>
      <c r="AJ396" s="30" t="str">
        <f>IF($AH396="","",IF($AH396&lt;Settings!$C$46,"Extreme Sell Pressure",IF($AH396&lt;Settings!$C$47,"Sell Pressure",IF($AH396&lt;=Settings!$C$48,"Neutral",IF($AH396&lt;=Settings!$C$49,"Buy Pressure","Extreme Buy Pressure")))))</f>
        <v/>
      </c>
      <c r="AK396" s="30" t="str">
        <f t="shared" si="113"/>
        <v/>
      </c>
      <c r="AL396" s="30" t="str">
        <f t="shared" si="114"/>
        <v/>
      </c>
      <c r="AM396" s="30" t="str">
        <f t="shared" si="115"/>
        <v/>
      </c>
      <c r="AN396" s="30" t="str">
        <f t="shared" si="116"/>
        <v/>
      </c>
      <c r="AO396" s="29" t="str">
        <f>IF($B396="","",IF(AND(N($L396)=0,N($M396)=0),50,IF(N($M396)=0,100,IF(N($L396)=0,0,MEDIAN(0,100,50+50*LN($S396)/LN(Settings!$C$40))))))</f>
        <v/>
      </c>
      <c r="AP396" s="29">
        <f>IF($AA396="",50,MEDIAN(0,100,50+$AA396*100*Settings!$C$41))</f>
        <v>50</v>
      </c>
      <c r="AQ396" s="29">
        <f>IF($H396="",50,MEDIAN(0,100,50+$H396*100*Settings!$C$42))</f>
        <v>50</v>
      </c>
      <c r="AR396" s="29">
        <f>IF(OR($AC396="",$H396=""),50,MEDIAN(0,100,50+SIGN($H396)*50*MEDIAN(0,1,($AC396-1)/Settings!$C$43)))</f>
        <v>50</v>
      </c>
      <c r="AS396" s="29">
        <f>IF(OR($V396="",$W396=""),50,MEDIAN(0,100,50+50*($V396-$W396)/Settings!$C$44))</f>
        <v>50</v>
      </c>
      <c r="AT396" s="29">
        <f t="shared" si="117"/>
        <v>50</v>
      </c>
      <c r="AU396" s="30" t="str">
        <f t="shared" si="118"/>
        <v/>
      </c>
      <c r="AV396" s="87" t="str">
        <f>IF($A396="","",IF(COUNTIFS($A$4:$A396,$A396)=1,1,0))</f>
        <v/>
      </c>
    </row>
    <row r="397" spans="1:48" x14ac:dyDescent="0.3">
      <c r="A397" s="270"/>
      <c r="B397" s="271"/>
      <c r="C397" s="272"/>
      <c r="D397" s="272"/>
      <c r="E397" s="272"/>
      <c r="F397" s="272"/>
      <c r="G397" s="272"/>
      <c r="H397" s="268" t="str">
        <f t="shared" si="102"/>
        <v/>
      </c>
      <c r="I397" s="273"/>
      <c r="J397" s="273"/>
      <c r="K397" s="273"/>
      <c r="L397" s="273"/>
      <c r="M397" s="273"/>
      <c r="N397" s="273"/>
      <c r="O397" s="271"/>
      <c r="P397" s="270"/>
      <c r="Q397" s="271"/>
      <c r="R397" s="23" t="str" cm="1">
        <f t="array" ref="R397">IF($B397="","",IFERROR(IF(INDEX('Data Quality'!$U$4:$U$503,ROW()-3)=0,"PENDING",INDEX('Data Quality'!$U$4:$U$503,ROW()-3)),"PENDING"))</f>
        <v/>
      </c>
      <c r="S397" s="24" t="str">
        <f t="shared" si="103"/>
        <v/>
      </c>
      <c r="T397" s="25" t="str">
        <f t="shared" si="104"/>
        <v/>
      </c>
      <c r="U397" s="25" t="str">
        <f t="shared" si="105"/>
        <v/>
      </c>
      <c r="V397" s="26" t="str">
        <f t="shared" si="106"/>
        <v/>
      </c>
      <c r="W397" s="26" t="str">
        <f t="shared" si="107"/>
        <v/>
      </c>
      <c r="X397" s="25" t="str">
        <f t="shared" si="108"/>
        <v/>
      </c>
      <c r="Y397" s="25" t="str">
        <f t="shared" si="109"/>
        <v/>
      </c>
      <c r="Z397" s="27" t="str">
        <f>IF($B397="","",IF($AK397&lt;=Settings!$C$21,"",IFERROR(AVERAGEIFS($S$4:$S$503,$B$4:$B$503,$B397,$AK$4:$AK$503,"&gt;="&amp;$AK397-Settings!$C$21,$AK$4:$AK$503,"&lt;="&amp;$AK397-1),"")))</f>
        <v/>
      </c>
      <c r="AA397" s="28" t="str">
        <f t="shared" si="110"/>
        <v/>
      </c>
      <c r="AB397" s="25" t="str">
        <f>IF($B397="","",IF($AK397&lt;=Settings!$C$22,"",IFERROR(AVERAGEIFS($K$4:$K$503,$B$4:$B$503,$B397,$AK$4:$AK$503,"&gt;="&amp;$AK397-Settings!$C$22,$AK$4:$AK$503,"&lt;="&amp;$AK397-1),"")))</f>
        <v/>
      </c>
      <c r="AC397" s="27" t="str">
        <f t="shared" si="111"/>
        <v/>
      </c>
      <c r="AD397" s="28" t="str">
        <f>IF($B397="","",IF($AK397&lt;=Settings!$C$23,"",IFERROR($E397/SUMIFS($E$4:$E$503,$B$4:$B$503,$B397,$AK$4:$AK$503,$AK397-Settings!$C$23)-1,"")))</f>
        <v/>
      </c>
      <c r="AE397" s="28" t="str">
        <f>IF($B397="","",IF($AK397&lt;=Settings!$C$22,"",IFERROR($E397/SUMIFS($E$4:$E$503,$B$4:$B$503,$B397,$AK$4:$AK$503,$AK397-Settings!$C$22)-1,"")))</f>
        <v/>
      </c>
      <c r="AF397" s="28" t="str">
        <f t="shared" si="112"/>
        <v/>
      </c>
      <c r="AG397" s="29" t="str">
        <f>IF($B397="","",ROUND((MIN(100,100*N($I397)/Settings!$C$27)+MIN(100,100*N($K397)/Settings!$C$28)+MIN(100,100*N($J397)/Settings!$C$29))/3,1))</f>
        <v/>
      </c>
      <c r="AH397" s="29" t="str">
        <f>IF($B397="","",IF(SUM(Settings!$C$32:$C$37)=0,"",ROUND((Settings!$C$32*$AO397+Settings!$C$33*$AP397+Settings!$C$34*$AQ397+Settings!$C$35*$AR397+Settings!$C$36*$AS397+Settings!$C$37*$AT397)/SUM(Settings!$C$32:$C$37),1)))</f>
        <v/>
      </c>
      <c r="AI397" s="29" t="str">
        <f>IF($B397="","",MAX(0,100-IF(N($N397)&gt;0,0,20)-IF(AND(N($L397)=0,N($M397)=0),15,0)-IF(N($J397)&gt;0,0,10)-IF(N($K397)&gt;0,0,10)-IF($Z397&lt;&gt;"",0,15)-IF($AB397&lt;&gt;"",0,10)-IF($R397="ERROR",20,IF($R397="WARNING",10,0))))</f>
        <v/>
      </c>
      <c r="AJ397" s="30" t="str">
        <f>IF($AH397="","",IF($AH397&lt;Settings!$C$46,"Extreme Sell Pressure",IF($AH397&lt;Settings!$C$47,"Sell Pressure",IF($AH397&lt;=Settings!$C$48,"Neutral",IF($AH397&lt;=Settings!$C$49,"Buy Pressure","Extreme Buy Pressure")))))</f>
        <v/>
      </c>
      <c r="AK397" s="30" t="str">
        <f t="shared" si="113"/>
        <v/>
      </c>
      <c r="AL397" s="30" t="str">
        <f t="shared" si="114"/>
        <v/>
      </c>
      <c r="AM397" s="30" t="str">
        <f t="shared" si="115"/>
        <v/>
      </c>
      <c r="AN397" s="30" t="str">
        <f t="shared" si="116"/>
        <v/>
      </c>
      <c r="AO397" s="29" t="str">
        <f>IF($B397="","",IF(AND(N($L397)=0,N($M397)=0),50,IF(N($M397)=0,100,IF(N($L397)=0,0,MEDIAN(0,100,50+50*LN($S397)/LN(Settings!$C$40))))))</f>
        <v/>
      </c>
      <c r="AP397" s="29">
        <f>IF($AA397="",50,MEDIAN(0,100,50+$AA397*100*Settings!$C$41))</f>
        <v>50</v>
      </c>
      <c r="AQ397" s="29">
        <f>IF($H397="",50,MEDIAN(0,100,50+$H397*100*Settings!$C$42))</f>
        <v>50</v>
      </c>
      <c r="AR397" s="29">
        <f>IF(OR($AC397="",$H397=""),50,MEDIAN(0,100,50+SIGN($H397)*50*MEDIAN(0,1,($AC397-1)/Settings!$C$43)))</f>
        <v>50</v>
      </c>
      <c r="AS397" s="29">
        <f>IF(OR($V397="",$W397=""),50,MEDIAN(0,100,50+50*($V397-$W397)/Settings!$C$44))</f>
        <v>50</v>
      </c>
      <c r="AT397" s="29">
        <f t="shared" si="117"/>
        <v>50</v>
      </c>
      <c r="AU397" s="30" t="str">
        <f t="shared" si="118"/>
        <v/>
      </c>
      <c r="AV397" s="87" t="str">
        <f>IF($A397="","",IF(COUNTIFS($A$4:$A397,$A397)=1,1,0))</f>
        <v/>
      </c>
    </row>
    <row r="398" spans="1:48" x14ac:dyDescent="0.3">
      <c r="A398" s="270"/>
      <c r="B398" s="271"/>
      <c r="C398" s="272"/>
      <c r="D398" s="272"/>
      <c r="E398" s="272"/>
      <c r="F398" s="272"/>
      <c r="G398" s="272"/>
      <c r="H398" s="268" t="str">
        <f t="shared" si="102"/>
        <v/>
      </c>
      <c r="I398" s="273"/>
      <c r="J398" s="273"/>
      <c r="K398" s="273"/>
      <c r="L398" s="273"/>
      <c r="M398" s="273"/>
      <c r="N398" s="273"/>
      <c r="O398" s="271"/>
      <c r="P398" s="270"/>
      <c r="Q398" s="271"/>
      <c r="R398" s="23" t="str" cm="1">
        <f t="array" ref="R398">IF($B398="","",IFERROR(IF(INDEX('Data Quality'!$U$4:$U$503,ROW()-3)=0,"PENDING",INDEX('Data Quality'!$U$4:$U$503,ROW()-3)),"PENDING"))</f>
        <v/>
      </c>
      <c r="S398" s="24" t="str">
        <f t="shared" si="103"/>
        <v/>
      </c>
      <c r="T398" s="25" t="str">
        <f t="shared" si="104"/>
        <v/>
      </c>
      <c r="U398" s="25" t="str">
        <f t="shared" si="105"/>
        <v/>
      </c>
      <c r="V398" s="26" t="str">
        <f t="shared" si="106"/>
        <v/>
      </c>
      <c r="W398" s="26" t="str">
        <f t="shared" si="107"/>
        <v/>
      </c>
      <c r="X398" s="25" t="str">
        <f t="shared" si="108"/>
        <v/>
      </c>
      <c r="Y398" s="25" t="str">
        <f t="shared" si="109"/>
        <v/>
      </c>
      <c r="Z398" s="27" t="str">
        <f>IF($B398="","",IF($AK398&lt;=Settings!$C$21,"",IFERROR(AVERAGEIFS($S$4:$S$503,$B$4:$B$503,$B398,$AK$4:$AK$503,"&gt;="&amp;$AK398-Settings!$C$21,$AK$4:$AK$503,"&lt;="&amp;$AK398-1),"")))</f>
        <v/>
      </c>
      <c r="AA398" s="28" t="str">
        <f t="shared" si="110"/>
        <v/>
      </c>
      <c r="AB398" s="25" t="str">
        <f>IF($B398="","",IF($AK398&lt;=Settings!$C$22,"",IFERROR(AVERAGEIFS($K$4:$K$503,$B$4:$B$503,$B398,$AK$4:$AK$503,"&gt;="&amp;$AK398-Settings!$C$22,$AK$4:$AK$503,"&lt;="&amp;$AK398-1),"")))</f>
        <v/>
      </c>
      <c r="AC398" s="27" t="str">
        <f t="shared" si="111"/>
        <v/>
      </c>
      <c r="AD398" s="28" t="str">
        <f>IF($B398="","",IF($AK398&lt;=Settings!$C$23,"",IFERROR($E398/SUMIFS($E$4:$E$503,$B$4:$B$503,$B398,$AK$4:$AK$503,$AK398-Settings!$C$23)-1,"")))</f>
        <v/>
      </c>
      <c r="AE398" s="28" t="str">
        <f>IF($B398="","",IF($AK398&lt;=Settings!$C$22,"",IFERROR($E398/SUMIFS($E$4:$E$503,$B$4:$B$503,$B398,$AK$4:$AK$503,$AK398-Settings!$C$22)-1,"")))</f>
        <v/>
      </c>
      <c r="AF398" s="28" t="str">
        <f t="shared" si="112"/>
        <v/>
      </c>
      <c r="AG398" s="29" t="str">
        <f>IF($B398="","",ROUND((MIN(100,100*N($I398)/Settings!$C$27)+MIN(100,100*N($K398)/Settings!$C$28)+MIN(100,100*N($J398)/Settings!$C$29))/3,1))</f>
        <v/>
      </c>
      <c r="AH398" s="29" t="str">
        <f>IF($B398="","",IF(SUM(Settings!$C$32:$C$37)=0,"",ROUND((Settings!$C$32*$AO398+Settings!$C$33*$AP398+Settings!$C$34*$AQ398+Settings!$C$35*$AR398+Settings!$C$36*$AS398+Settings!$C$37*$AT398)/SUM(Settings!$C$32:$C$37),1)))</f>
        <v/>
      </c>
      <c r="AI398" s="29" t="str">
        <f>IF($B398="","",MAX(0,100-IF(N($N398)&gt;0,0,20)-IF(AND(N($L398)=0,N($M398)=0),15,0)-IF(N($J398)&gt;0,0,10)-IF(N($K398)&gt;0,0,10)-IF($Z398&lt;&gt;"",0,15)-IF($AB398&lt;&gt;"",0,10)-IF($R398="ERROR",20,IF($R398="WARNING",10,0))))</f>
        <v/>
      </c>
      <c r="AJ398" s="30" t="str">
        <f>IF($AH398="","",IF($AH398&lt;Settings!$C$46,"Extreme Sell Pressure",IF($AH398&lt;Settings!$C$47,"Sell Pressure",IF($AH398&lt;=Settings!$C$48,"Neutral",IF($AH398&lt;=Settings!$C$49,"Buy Pressure","Extreme Buy Pressure")))))</f>
        <v/>
      </c>
      <c r="AK398" s="30" t="str">
        <f t="shared" si="113"/>
        <v/>
      </c>
      <c r="AL398" s="30" t="str">
        <f t="shared" si="114"/>
        <v/>
      </c>
      <c r="AM398" s="30" t="str">
        <f t="shared" si="115"/>
        <v/>
      </c>
      <c r="AN398" s="30" t="str">
        <f t="shared" si="116"/>
        <v/>
      </c>
      <c r="AO398" s="29" t="str">
        <f>IF($B398="","",IF(AND(N($L398)=0,N($M398)=0),50,IF(N($M398)=0,100,IF(N($L398)=0,0,MEDIAN(0,100,50+50*LN($S398)/LN(Settings!$C$40))))))</f>
        <v/>
      </c>
      <c r="AP398" s="29">
        <f>IF($AA398="",50,MEDIAN(0,100,50+$AA398*100*Settings!$C$41))</f>
        <v>50</v>
      </c>
      <c r="AQ398" s="29">
        <f>IF($H398="",50,MEDIAN(0,100,50+$H398*100*Settings!$C$42))</f>
        <v>50</v>
      </c>
      <c r="AR398" s="29">
        <f>IF(OR($AC398="",$H398=""),50,MEDIAN(0,100,50+SIGN($H398)*50*MEDIAN(0,1,($AC398-1)/Settings!$C$43)))</f>
        <v>50</v>
      </c>
      <c r="AS398" s="29">
        <f>IF(OR($V398="",$W398=""),50,MEDIAN(0,100,50+50*($V398-$W398)/Settings!$C$44))</f>
        <v>50</v>
      </c>
      <c r="AT398" s="29">
        <f t="shared" si="117"/>
        <v>50</v>
      </c>
      <c r="AU398" s="30" t="str">
        <f t="shared" si="118"/>
        <v/>
      </c>
      <c r="AV398" s="87" t="str">
        <f>IF($A398="","",IF(COUNTIFS($A$4:$A398,$A398)=1,1,0))</f>
        <v/>
      </c>
    </row>
    <row r="399" spans="1:48" x14ac:dyDescent="0.3">
      <c r="A399" s="270"/>
      <c r="B399" s="271"/>
      <c r="C399" s="272"/>
      <c r="D399" s="272"/>
      <c r="E399" s="272"/>
      <c r="F399" s="272"/>
      <c r="G399" s="272"/>
      <c r="H399" s="268" t="str">
        <f t="shared" si="102"/>
        <v/>
      </c>
      <c r="I399" s="273"/>
      <c r="J399" s="273"/>
      <c r="K399" s="273"/>
      <c r="L399" s="273"/>
      <c r="M399" s="273"/>
      <c r="N399" s="273"/>
      <c r="O399" s="271"/>
      <c r="P399" s="270"/>
      <c r="Q399" s="271"/>
      <c r="R399" s="23" t="str" cm="1">
        <f t="array" ref="R399">IF($B399="","",IFERROR(IF(INDEX('Data Quality'!$U$4:$U$503,ROW()-3)=0,"PENDING",INDEX('Data Quality'!$U$4:$U$503,ROW()-3)),"PENDING"))</f>
        <v/>
      </c>
      <c r="S399" s="24" t="str">
        <f t="shared" si="103"/>
        <v/>
      </c>
      <c r="T399" s="25" t="str">
        <f t="shared" si="104"/>
        <v/>
      </c>
      <c r="U399" s="25" t="str">
        <f t="shared" si="105"/>
        <v/>
      </c>
      <c r="V399" s="26" t="str">
        <f t="shared" si="106"/>
        <v/>
      </c>
      <c r="W399" s="26" t="str">
        <f t="shared" si="107"/>
        <v/>
      </c>
      <c r="X399" s="25" t="str">
        <f t="shared" si="108"/>
        <v/>
      </c>
      <c r="Y399" s="25" t="str">
        <f t="shared" si="109"/>
        <v/>
      </c>
      <c r="Z399" s="27" t="str">
        <f>IF($B399="","",IF($AK399&lt;=Settings!$C$21,"",IFERROR(AVERAGEIFS($S$4:$S$503,$B$4:$B$503,$B399,$AK$4:$AK$503,"&gt;="&amp;$AK399-Settings!$C$21,$AK$4:$AK$503,"&lt;="&amp;$AK399-1),"")))</f>
        <v/>
      </c>
      <c r="AA399" s="28" t="str">
        <f t="shared" si="110"/>
        <v/>
      </c>
      <c r="AB399" s="25" t="str">
        <f>IF($B399="","",IF($AK399&lt;=Settings!$C$22,"",IFERROR(AVERAGEIFS($K$4:$K$503,$B$4:$B$503,$B399,$AK$4:$AK$503,"&gt;="&amp;$AK399-Settings!$C$22,$AK$4:$AK$503,"&lt;="&amp;$AK399-1),"")))</f>
        <v/>
      </c>
      <c r="AC399" s="27" t="str">
        <f t="shared" si="111"/>
        <v/>
      </c>
      <c r="AD399" s="28" t="str">
        <f>IF($B399="","",IF($AK399&lt;=Settings!$C$23,"",IFERROR($E399/SUMIFS($E$4:$E$503,$B$4:$B$503,$B399,$AK$4:$AK$503,$AK399-Settings!$C$23)-1,"")))</f>
        <v/>
      </c>
      <c r="AE399" s="28" t="str">
        <f>IF($B399="","",IF($AK399&lt;=Settings!$C$22,"",IFERROR($E399/SUMIFS($E$4:$E$503,$B$4:$B$503,$B399,$AK$4:$AK$503,$AK399-Settings!$C$22)-1,"")))</f>
        <v/>
      </c>
      <c r="AF399" s="28" t="str">
        <f t="shared" si="112"/>
        <v/>
      </c>
      <c r="AG399" s="29" t="str">
        <f>IF($B399="","",ROUND((MIN(100,100*N($I399)/Settings!$C$27)+MIN(100,100*N($K399)/Settings!$C$28)+MIN(100,100*N($J399)/Settings!$C$29))/3,1))</f>
        <v/>
      </c>
      <c r="AH399" s="29" t="str">
        <f>IF($B399="","",IF(SUM(Settings!$C$32:$C$37)=0,"",ROUND((Settings!$C$32*$AO399+Settings!$C$33*$AP399+Settings!$C$34*$AQ399+Settings!$C$35*$AR399+Settings!$C$36*$AS399+Settings!$C$37*$AT399)/SUM(Settings!$C$32:$C$37),1)))</f>
        <v/>
      </c>
      <c r="AI399" s="29" t="str">
        <f>IF($B399="","",MAX(0,100-IF(N($N399)&gt;0,0,20)-IF(AND(N($L399)=0,N($M399)=0),15,0)-IF(N($J399)&gt;0,0,10)-IF(N($K399)&gt;0,0,10)-IF($Z399&lt;&gt;"",0,15)-IF($AB399&lt;&gt;"",0,10)-IF($R399="ERROR",20,IF($R399="WARNING",10,0))))</f>
        <v/>
      </c>
      <c r="AJ399" s="30" t="str">
        <f>IF($AH399="","",IF($AH399&lt;Settings!$C$46,"Extreme Sell Pressure",IF($AH399&lt;Settings!$C$47,"Sell Pressure",IF($AH399&lt;=Settings!$C$48,"Neutral",IF($AH399&lt;=Settings!$C$49,"Buy Pressure","Extreme Buy Pressure")))))</f>
        <v/>
      </c>
      <c r="AK399" s="30" t="str">
        <f t="shared" si="113"/>
        <v/>
      </c>
      <c r="AL399" s="30" t="str">
        <f t="shared" si="114"/>
        <v/>
      </c>
      <c r="AM399" s="30" t="str">
        <f t="shared" si="115"/>
        <v/>
      </c>
      <c r="AN399" s="30" t="str">
        <f t="shared" si="116"/>
        <v/>
      </c>
      <c r="AO399" s="29" t="str">
        <f>IF($B399="","",IF(AND(N($L399)=0,N($M399)=0),50,IF(N($M399)=0,100,IF(N($L399)=0,0,MEDIAN(0,100,50+50*LN($S399)/LN(Settings!$C$40))))))</f>
        <v/>
      </c>
      <c r="AP399" s="29">
        <f>IF($AA399="",50,MEDIAN(0,100,50+$AA399*100*Settings!$C$41))</f>
        <v>50</v>
      </c>
      <c r="AQ399" s="29">
        <f>IF($H399="",50,MEDIAN(0,100,50+$H399*100*Settings!$C$42))</f>
        <v>50</v>
      </c>
      <c r="AR399" s="29">
        <f>IF(OR($AC399="",$H399=""),50,MEDIAN(0,100,50+SIGN($H399)*50*MEDIAN(0,1,($AC399-1)/Settings!$C$43)))</f>
        <v>50</v>
      </c>
      <c r="AS399" s="29">
        <f>IF(OR($V399="",$W399=""),50,MEDIAN(0,100,50+50*($V399-$W399)/Settings!$C$44))</f>
        <v>50</v>
      </c>
      <c r="AT399" s="29">
        <f t="shared" si="117"/>
        <v>50</v>
      </c>
      <c r="AU399" s="30" t="str">
        <f t="shared" si="118"/>
        <v/>
      </c>
      <c r="AV399" s="87" t="str">
        <f>IF($A399="","",IF(COUNTIFS($A$4:$A399,$A399)=1,1,0))</f>
        <v/>
      </c>
    </row>
    <row r="400" spans="1:48" x14ac:dyDescent="0.3">
      <c r="A400" s="270"/>
      <c r="B400" s="271"/>
      <c r="C400" s="272"/>
      <c r="D400" s="272"/>
      <c r="E400" s="272"/>
      <c r="F400" s="272"/>
      <c r="G400" s="272"/>
      <c r="H400" s="268" t="str">
        <f t="shared" si="102"/>
        <v/>
      </c>
      <c r="I400" s="273"/>
      <c r="J400" s="273"/>
      <c r="K400" s="273"/>
      <c r="L400" s="273"/>
      <c r="M400" s="273"/>
      <c r="N400" s="273"/>
      <c r="O400" s="271"/>
      <c r="P400" s="270"/>
      <c r="Q400" s="271"/>
      <c r="R400" s="23" t="str" cm="1">
        <f t="array" ref="R400">IF($B400="","",IFERROR(IF(INDEX('Data Quality'!$U$4:$U$503,ROW()-3)=0,"PENDING",INDEX('Data Quality'!$U$4:$U$503,ROW()-3)),"PENDING"))</f>
        <v/>
      </c>
      <c r="S400" s="24" t="str">
        <f t="shared" si="103"/>
        <v/>
      </c>
      <c r="T400" s="25" t="str">
        <f t="shared" si="104"/>
        <v/>
      </c>
      <c r="U400" s="25" t="str">
        <f t="shared" si="105"/>
        <v/>
      </c>
      <c r="V400" s="26" t="str">
        <f t="shared" si="106"/>
        <v/>
      </c>
      <c r="W400" s="26" t="str">
        <f t="shared" si="107"/>
        <v/>
      </c>
      <c r="X400" s="25" t="str">
        <f t="shared" si="108"/>
        <v/>
      </c>
      <c r="Y400" s="25" t="str">
        <f t="shared" si="109"/>
        <v/>
      </c>
      <c r="Z400" s="27" t="str">
        <f>IF($B400="","",IF($AK400&lt;=Settings!$C$21,"",IFERROR(AVERAGEIFS($S$4:$S$503,$B$4:$B$503,$B400,$AK$4:$AK$503,"&gt;="&amp;$AK400-Settings!$C$21,$AK$4:$AK$503,"&lt;="&amp;$AK400-1),"")))</f>
        <v/>
      </c>
      <c r="AA400" s="28" t="str">
        <f t="shared" si="110"/>
        <v/>
      </c>
      <c r="AB400" s="25" t="str">
        <f>IF($B400="","",IF($AK400&lt;=Settings!$C$22,"",IFERROR(AVERAGEIFS($K$4:$K$503,$B$4:$B$503,$B400,$AK$4:$AK$503,"&gt;="&amp;$AK400-Settings!$C$22,$AK$4:$AK$503,"&lt;="&amp;$AK400-1),"")))</f>
        <v/>
      </c>
      <c r="AC400" s="27" t="str">
        <f t="shared" si="111"/>
        <v/>
      </c>
      <c r="AD400" s="28" t="str">
        <f>IF($B400="","",IF($AK400&lt;=Settings!$C$23,"",IFERROR($E400/SUMIFS($E$4:$E$503,$B$4:$B$503,$B400,$AK$4:$AK$503,$AK400-Settings!$C$23)-1,"")))</f>
        <v/>
      </c>
      <c r="AE400" s="28" t="str">
        <f>IF($B400="","",IF($AK400&lt;=Settings!$C$22,"",IFERROR($E400/SUMIFS($E$4:$E$503,$B$4:$B$503,$B400,$AK$4:$AK$503,$AK400-Settings!$C$22)-1,"")))</f>
        <v/>
      </c>
      <c r="AF400" s="28" t="str">
        <f t="shared" si="112"/>
        <v/>
      </c>
      <c r="AG400" s="29" t="str">
        <f>IF($B400="","",ROUND((MIN(100,100*N($I400)/Settings!$C$27)+MIN(100,100*N($K400)/Settings!$C$28)+MIN(100,100*N($J400)/Settings!$C$29))/3,1))</f>
        <v/>
      </c>
      <c r="AH400" s="29" t="str">
        <f>IF($B400="","",IF(SUM(Settings!$C$32:$C$37)=0,"",ROUND((Settings!$C$32*$AO400+Settings!$C$33*$AP400+Settings!$C$34*$AQ400+Settings!$C$35*$AR400+Settings!$C$36*$AS400+Settings!$C$37*$AT400)/SUM(Settings!$C$32:$C$37),1)))</f>
        <v/>
      </c>
      <c r="AI400" s="29" t="str">
        <f>IF($B400="","",MAX(0,100-IF(N($N400)&gt;0,0,20)-IF(AND(N($L400)=0,N($M400)=0),15,0)-IF(N($J400)&gt;0,0,10)-IF(N($K400)&gt;0,0,10)-IF($Z400&lt;&gt;"",0,15)-IF($AB400&lt;&gt;"",0,10)-IF($R400="ERROR",20,IF($R400="WARNING",10,0))))</f>
        <v/>
      </c>
      <c r="AJ400" s="30" t="str">
        <f>IF($AH400="","",IF($AH400&lt;Settings!$C$46,"Extreme Sell Pressure",IF($AH400&lt;Settings!$C$47,"Sell Pressure",IF($AH400&lt;=Settings!$C$48,"Neutral",IF($AH400&lt;=Settings!$C$49,"Buy Pressure","Extreme Buy Pressure")))))</f>
        <v/>
      </c>
      <c r="AK400" s="30" t="str">
        <f t="shared" si="113"/>
        <v/>
      </c>
      <c r="AL400" s="30" t="str">
        <f t="shared" si="114"/>
        <v/>
      </c>
      <c r="AM400" s="30" t="str">
        <f t="shared" si="115"/>
        <v/>
      </c>
      <c r="AN400" s="30" t="str">
        <f t="shared" si="116"/>
        <v/>
      </c>
      <c r="AO400" s="29" t="str">
        <f>IF($B400="","",IF(AND(N($L400)=0,N($M400)=0),50,IF(N($M400)=0,100,IF(N($L400)=0,0,MEDIAN(0,100,50+50*LN($S400)/LN(Settings!$C$40))))))</f>
        <v/>
      </c>
      <c r="AP400" s="29">
        <f>IF($AA400="",50,MEDIAN(0,100,50+$AA400*100*Settings!$C$41))</f>
        <v>50</v>
      </c>
      <c r="AQ400" s="29">
        <f>IF($H400="",50,MEDIAN(0,100,50+$H400*100*Settings!$C$42))</f>
        <v>50</v>
      </c>
      <c r="AR400" s="29">
        <f>IF(OR($AC400="",$H400=""),50,MEDIAN(0,100,50+SIGN($H400)*50*MEDIAN(0,1,($AC400-1)/Settings!$C$43)))</f>
        <v>50</v>
      </c>
      <c r="AS400" s="29">
        <f>IF(OR($V400="",$W400=""),50,MEDIAN(0,100,50+50*($V400-$W400)/Settings!$C$44))</f>
        <v>50</v>
      </c>
      <c r="AT400" s="29">
        <f t="shared" si="117"/>
        <v>50</v>
      </c>
      <c r="AU400" s="30" t="str">
        <f t="shared" si="118"/>
        <v/>
      </c>
      <c r="AV400" s="87" t="str">
        <f>IF($A400="","",IF(COUNTIFS($A$4:$A400,$A400)=1,1,0))</f>
        <v/>
      </c>
    </row>
    <row r="401" spans="1:48" x14ac:dyDescent="0.3">
      <c r="A401" s="270"/>
      <c r="B401" s="271"/>
      <c r="C401" s="272"/>
      <c r="D401" s="272"/>
      <c r="E401" s="272"/>
      <c r="F401" s="272"/>
      <c r="G401" s="272"/>
      <c r="H401" s="268" t="str">
        <f t="shared" si="102"/>
        <v/>
      </c>
      <c r="I401" s="273"/>
      <c r="J401" s="273"/>
      <c r="K401" s="273"/>
      <c r="L401" s="273"/>
      <c r="M401" s="273"/>
      <c r="N401" s="273"/>
      <c r="O401" s="271"/>
      <c r="P401" s="270"/>
      <c r="Q401" s="271"/>
      <c r="R401" s="23" t="str" cm="1">
        <f t="array" ref="R401">IF($B401="","",IFERROR(IF(INDEX('Data Quality'!$U$4:$U$503,ROW()-3)=0,"PENDING",INDEX('Data Quality'!$U$4:$U$503,ROW()-3)),"PENDING"))</f>
        <v/>
      </c>
      <c r="S401" s="24" t="str">
        <f t="shared" si="103"/>
        <v/>
      </c>
      <c r="T401" s="25" t="str">
        <f t="shared" si="104"/>
        <v/>
      </c>
      <c r="U401" s="25" t="str">
        <f t="shared" si="105"/>
        <v/>
      </c>
      <c r="V401" s="26" t="str">
        <f t="shared" si="106"/>
        <v/>
      </c>
      <c r="W401" s="26" t="str">
        <f t="shared" si="107"/>
        <v/>
      </c>
      <c r="X401" s="25" t="str">
        <f t="shared" si="108"/>
        <v/>
      </c>
      <c r="Y401" s="25" t="str">
        <f t="shared" si="109"/>
        <v/>
      </c>
      <c r="Z401" s="27" t="str">
        <f>IF($B401="","",IF($AK401&lt;=Settings!$C$21,"",IFERROR(AVERAGEIFS($S$4:$S$503,$B$4:$B$503,$B401,$AK$4:$AK$503,"&gt;="&amp;$AK401-Settings!$C$21,$AK$4:$AK$503,"&lt;="&amp;$AK401-1),"")))</f>
        <v/>
      </c>
      <c r="AA401" s="28" t="str">
        <f t="shared" si="110"/>
        <v/>
      </c>
      <c r="AB401" s="25" t="str">
        <f>IF($B401="","",IF($AK401&lt;=Settings!$C$22,"",IFERROR(AVERAGEIFS($K$4:$K$503,$B$4:$B$503,$B401,$AK$4:$AK$503,"&gt;="&amp;$AK401-Settings!$C$22,$AK$4:$AK$503,"&lt;="&amp;$AK401-1),"")))</f>
        <v/>
      </c>
      <c r="AC401" s="27" t="str">
        <f t="shared" si="111"/>
        <v/>
      </c>
      <c r="AD401" s="28" t="str">
        <f>IF($B401="","",IF($AK401&lt;=Settings!$C$23,"",IFERROR($E401/SUMIFS($E$4:$E$503,$B$4:$B$503,$B401,$AK$4:$AK$503,$AK401-Settings!$C$23)-1,"")))</f>
        <v/>
      </c>
      <c r="AE401" s="28" t="str">
        <f>IF($B401="","",IF($AK401&lt;=Settings!$C$22,"",IFERROR($E401/SUMIFS($E$4:$E$503,$B$4:$B$503,$B401,$AK$4:$AK$503,$AK401-Settings!$C$22)-1,"")))</f>
        <v/>
      </c>
      <c r="AF401" s="28" t="str">
        <f t="shared" si="112"/>
        <v/>
      </c>
      <c r="AG401" s="29" t="str">
        <f>IF($B401="","",ROUND((MIN(100,100*N($I401)/Settings!$C$27)+MIN(100,100*N($K401)/Settings!$C$28)+MIN(100,100*N($J401)/Settings!$C$29))/3,1))</f>
        <v/>
      </c>
      <c r="AH401" s="29" t="str">
        <f>IF($B401="","",IF(SUM(Settings!$C$32:$C$37)=0,"",ROUND((Settings!$C$32*$AO401+Settings!$C$33*$AP401+Settings!$C$34*$AQ401+Settings!$C$35*$AR401+Settings!$C$36*$AS401+Settings!$C$37*$AT401)/SUM(Settings!$C$32:$C$37),1)))</f>
        <v/>
      </c>
      <c r="AI401" s="29" t="str">
        <f>IF($B401="","",MAX(0,100-IF(N($N401)&gt;0,0,20)-IF(AND(N($L401)=0,N($M401)=0),15,0)-IF(N($J401)&gt;0,0,10)-IF(N($K401)&gt;0,0,10)-IF($Z401&lt;&gt;"",0,15)-IF($AB401&lt;&gt;"",0,10)-IF($R401="ERROR",20,IF($R401="WARNING",10,0))))</f>
        <v/>
      </c>
      <c r="AJ401" s="30" t="str">
        <f>IF($AH401="","",IF($AH401&lt;Settings!$C$46,"Extreme Sell Pressure",IF($AH401&lt;Settings!$C$47,"Sell Pressure",IF($AH401&lt;=Settings!$C$48,"Neutral",IF($AH401&lt;=Settings!$C$49,"Buy Pressure","Extreme Buy Pressure")))))</f>
        <v/>
      </c>
      <c r="AK401" s="30" t="str">
        <f t="shared" si="113"/>
        <v/>
      </c>
      <c r="AL401" s="30" t="str">
        <f t="shared" si="114"/>
        <v/>
      </c>
      <c r="AM401" s="30" t="str">
        <f t="shared" si="115"/>
        <v/>
      </c>
      <c r="AN401" s="30" t="str">
        <f t="shared" si="116"/>
        <v/>
      </c>
      <c r="AO401" s="29" t="str">
        <f>IF($B401="","",IF(AND(N($L401)=0,N($M401)=0),50,IF(N($M401)=0,100,IF(N($L401)=0,0,MEDIAN(0,100,50+50*LN($S401)/LN(Settings!$C$40))))))</f>
        <v/>
      </c>
      <c r="AP401" s="29">
        <f>IF($AA401="",50,MEDIAN(0,100,50+$AA401*100*Settings!$C$41))</f>
        <v>50</v>
      </c>
      <c r="AQ401" s="29">
        <f>IF($H401="",50,MEDIAN(0,100,50+$H401*100*Settings!$C$42))</f>
        <v>50</v>
      </c>
      <c r="AR401" s="29">
        <f>IF(OR($AC401="",$H401=""),50,MEDIAN(0,100,50+SIGN($H401)*50*MEDIAN(0,1,($AC401-1)/Settings!$C$43)))</f>
        <v>50</v>
      </c>
      <c r="AS401" s="29">
        <f>IF(OR($V401="",$W401=""),50,MEDIAN(0,100,50+50*($V401-$W401)/Settings!$C$44))</f>
        <v>50</v>
      </c>
      <c r="AT401" s="29">
        <f t="shared" si="117"/>
        <v>50</v>
      </c>
      <c r="AU401" s="30" t="str">
        <f t="shared" si="118"/>
        <v/>
      </c>
      <c r="AV401" s="87" t="str">
        <f>IF($A401="","",IF(COUNTIFS($A$4:$A401,$A401)=1,1,0))</f>
        <v/>
      </c>
    </row>
    <row r="402" spans="1:48" x14ac:dyDescent="0.3">
      <c r="A402" s="270"/>
      <c r="B402" s="271"/>
      <c r="C402" s="272"/>
      <c r="D402" s="272"/>
      <c r="E402" s="272"/>
      <c r="F402" s="272"/>
      <c r="G402" s="272"/>
      <c r="H402" s="268" t="str">
        <f t="shared" si="102"/>
        <v/>
      </c>
      <c r="I402" s="273"/>
      <c r="J402" s="273"/>
      <c r="K402" s="273"/>
      <c r="L402" s="273"/>
      <c r="M402" s="273"/>
      <c r="N402" s="273"/>
      <c r="O402" s="271"/>
      <c r="P402" s="270"/>
      <c r="Q402" s="271"/>
      <c r="R402" s="23" t="str" cm="1">
        <f t="array" ref="R402">IF($B402="","",IFERROR(IF(INDEX('Data Quality'!$U$4:$U$503,ROW()-3)=0,"PENDING",INDEX('Data Quality'!$U$4:$U$503,ROW()-3)),"PENDING"))</f>
        <v/>
      </c>
      <c r="S402" s="24" t="str">
        <f t="shared" si="103"/>
        <v/>
      </c>
      <c r="T402" s="25" t="str">
        <f t="shared" si="104"/>
        <v/>
      </c>
      <c r="U402" s="25" t="str">
        <f t="shared" si="105"/>
        <v/>
      </c>
      <c r="V402" s="26" t="str">
        <f t="shared" si="106"/>
        <v/>
      </c>
      <c r="W402" s="26" t="str">
        <f t="shared" si="107"/>
        <v/>
      </c>
      <c r="X402" s="25" t="str">
        <f t="shared" si="108"/>
        <v/>
      </c>
      <c r="Y402" s="25" t="str">
        <f t="shared" si="109"/>
        <v/>
      </c>
      <c r="Z402" s="27" t="str">
        <f>IF($B402="","",IF($AK402&lt;=Settings!$C$21,"",IFERROR(AVERAGEIFS($S$4:$S$503,$B$4:$B$503,$B402,$AK$4:$AK$503,"&gt;="&amp;$AK402-Settings!$C$21,$AK$4:$AK$503,"&lt;="&amp;$AK402-1),"")))</f>
        <v/>
      </c>
      <c r="AA402" s="28" t="str">
        <f t="shared" si="110"/>
        <v/>
      </c>
      <c r="AB402" s="25" t="str">
        <f>IF($B402="","",IF($AK402&lt;=Settings!$C$22,"",IFERROR(AVERAGEIFS($K$4:$K$503,$B$4:$B$503,$B402,$AK$4:$AK$503,"&gt;="&amp;$AK402-Settings!$C$22,$AK$4:$AK$503,"&lt;="&amp;$AK402-1),"")))</f>
        <v/>
      </c>
      <c r="AC402" s="27" t="str">
        <f t="shared" si="111"/>
        <v/>
      </c>
      <c r="AD402" s="28" t="str">
        <f>IF($B402="","",IF($AK402&lt;=Settings!$C$23,"",IFERROR($E402/SUMIFS($E$4:$E$503,$B$4:$B$503,$B402,$AK$4:$AK$503,$AK402-Settings!$C$23)-1,"")))</f>
        <v/>
      </c>
      <c r="AE402" s="28" t="str">
        <f>IF($B402="","",IF($AK402&lt;=Settings!$C$22,"",IFERROR($E402/SUMIFS($E$4:$E$503,$B$4:$B$503,$B402,$AK$4:$AK$503,$AK402-Settings!$C$22)-1,"")))</f>
        <v/>
      </c>
      <c r="AF402" s="28" t="str">
        <f t="shared" si="112"/>
        <v/>
      </c>
      <c r="AG402" s="29" t="str">
        <f>IF($B402="","",ROUND((MIN(100,100*N($I402)/Settings!$C$27)+MIN(100,100*N($K402)/Settings!$C$28)+MIN(100,100*N($J402)/Settings!$C$29))/3,1))</f>
        <v/>
      </c>
      <c r="AH402" s="29" t="str">
        <f>IF($B402="","",IF(SUM(Settings!$C$32:$C$37)=0,"",ROUND((Settings!$C$32*$AO402+Settings!$C$33*$AP402+Settings!$C$34*$AQ402+Settings!$C$35*$AR402+Settings!$C$36*$AS402+Settings!$C$37*$AT402)/SUM(Settings!$C$32:$C$37),1)))</f>
        <v/>
      </c>
      <c r="AI402" s="29" t="str">
        <f>IF($B402="","",MAX(0,100-IF(N($N402)&gt;0,0,20)-IF(AND(N($L402)=0,N($M402)=0),15,0)-IF(N($J402)&gt;0,0,10)-IF(N($K402)&gt;0,0,10)-IF($Z402&lt;&gt;"",0,15)-IF($AB402&lt;&gt;"",0,10)-IF($R402="ERROR",20,IF($R402="WARNING",10,0))))</f>
        <v/>
      </c>
      <c r="AJ402" s="30" t="str">
        <f>IF($AH402="","",IF($AH402&lt;Settings!$C$46,"Extreme Sell Pressure",IF($AH402&lt;Settings!$C$47,"Sell Pressure",IF($AH402&lt;=Settings!$C$48,"Neutral",IF($AH402&lt;=Settings!$C$49,"Buy Pressure","Extreme Buy Pressure")))))</f>
        <v/>
      </c>
      <c r="AK402" s="30" t="str">
        <f t="shared" si="113"/>
        <v/>
      </c>
      <c r="AL402" s="30" t="str">
        <f t="shared" si="114"/>
        <v/>
      </c>
      <c r="AM402" s="30" t="str">
        <f t="shared" si="115"/>
        <v/>
      </c>
      <c r="AN402" s="30" t="str">
        <f t="shared" si="116"/>
        <v/>
      </c>
      <c r="AO402" s="29" t="str">
        <f>IF($B402="","",IF(AND(N($L402)=0,N($M402)=0),50,IF(N($M402)=0,100,IF(N($L402)=0,0,MEDIAN(0,100,50+50*LN($S402)/LN(Settings!$C$40))))))</f>
        <v/>
      </c>
      <c r="AP402" s="29">
        <f>IF($AA402="",50,MEDIAN(0,100,50+$AA402*100*Settings!$C$41))</f>
        <v>50</v>
      </c>
      <c r="AQ402" s="29">
        <f>IF($H402="",50,MEDIAN(0,100,50+$H402*100*Settings!$C$42))</f>
        <v>50</v>
      </c>
      <c r="AR402" s="29">
        <f>IF(OR($AC402="",$H402=""),50,MEDIAN(0,100,50+SIGN($H402)*50*MEDIAN(0,1,($AC402-1)/Settings!$C$43)))</f>
        <v>50</v>
      </c>
      <c r="AS402" s="29">
        <f>IF(OR($V402="",$W402=""),50,MEDIAN(0,100,50+50*($V402-$W402)/Settings!$C$44))</f>
        <v>50</v>
      </c>
      <c r="AT402" s="29">
        <f t="shared" si="117"/>
        <v>50</v>
      </c>
      <c r="AU402" s="30" t="str">
        <f t="shared" si="118"/>
        <v/>
      </c>
      <c r="AV402" s="87" t="str">
        <f>IF($A402="","",IF(COUNTIFS($A$4:$A402,$A402)=1,1,0))</f>
        <v/>
      </c>
    </row>
    <row r="403" spans="1:48" x14ac:dyDescent="0.3">
      <c r="A403" s="270"/>
      <c r="B403" s="271"/>
      <c r="C403" s="272"/>
      <c r="D403" s="272"/>
      <c r="E403" s="272"/>
      <c r="F403" s="272"/>
      <c r="G403" s="272"/>
      <c r="H403" s="268" t="str">
        <f t="shared" si="102"/>
        <v/>
      </c>
      <c r="I403" s="273"/>
      <c r="J403" s="273"/>
      <c r="K403" s="273"/>
      <c r="L403" s="273"/>
      <c r="M403" s="273"/>
      <c r="N403" s="273"/>
      <c r="O403" s="271"/>
      <c r="P403" s="270"/>
      <c r="Q403" s="271"/>
      <c r="R403" s="23" t="str" cm="1">
        <f t="array" ref="R403">IF($B403="","",IFERROR(IF(INDEX('Data Quality'!$U$4:$U$503,ROW()-3)=0,"PENDING",INDEX('Data Quality'!$U$4:$U$503,ROW()-3)),"PENDING"))</f>
        <v/>
      </c>
      <c r="S403" s="24" t="str">
        <f t="shared" si="103"/>
        <v/>
      </c>
      <c r="T403" s="25" t="str">
        <f t="shared" si="104"/>
        <v/>
      </c>
      <c r="U403" s="25" t="str">
        <f t="shared" si="105"/>
        <v/>
      </c>
      <c r="V403" s="26" t="str">
        <f t="shared" si="106"/>
        <v/>
      </c>
      <c r="W403" s="26" t="str">
        <f t="shared" si="107"/>
        <v/>
      </c>
      <c r="X403" s="25" t="str">
        <f t="shared" si="108"/>
        <v/>
      </c>
      <c r="Y403" s="25" t="str">
        <f t="shared" si="109"/>
        <v/>
      </c>
      <c r="Z403" s="27" t="str">
        <f>IF($B403="","",IF($AK403&lt;=Settings!$C$21,"",IFERROR(AVERAGEIFS($S$4:$S$503,$B$4:$B$503,$B403,$AK$4:$AK$503,"&gt;="&amp;$AK403-Settings!$C$21,$AK$4:$AK$503,"&lt;="&amp;$AK403-1),"")))</f>
        <v/>
      </c>
      <c r="AA403" s="28" t="str">
        <f t="shared" si="110"/>
        <v/>
      </c>
      <c r="AB403" s="25" t="str">
        <f>IF($B403="","",IF($AK403&lt;=Settings!$C$22,"",IFERROR(AVERAGEIFS($K$4:$K$503,$B$4:$B$503,$B403,$AK$4:$AK$503,"&gt;="&amp;$AK403-Settings!$C$22,$AK$4:$AK$503,"&lt;="&amp;$AK403-1),"")))</f>
        <v/>
      </c>
      <c r="AC403" s="27" t="str">
        <f t="shared" si="111"/>
        <v/>
      </c>
      <c r="AD403" s="28" t="str">
        <f>IF($B403="","",IF($AK403&lt;=Settings!$C$23,"",IFERROR($E403/SUMIFS($E$4:$E$503,$B$4:$B$503,$B403,$AK$4:$AK$503,$AK403-Settings!$C$23)-1,"")))</f>
        <v/>
      </c>
      <c r="AE403" s="28" t="str">
        <f>IF($B403="","",IF($AK403&lt;=Settings!$C$22,"",IFERROR($E403/SUMIFS($E$4:$E$503,$B$4:$B$503,$B403,$AK$4:$AK$503,$AK403-Settings!$C$22)-1,"")))</f>
        <v/>
      </c>
      <c r="AF403" s="28" t="str">
        <f t="shared" si="112"/>
        <v/>
      </c>
      <c r="AG403" s="29" t="str">
        <f>IF($B403="","",ROUND((MIN(100,100*N($I403)/Settings!$C$27)+MIN(100,100*N($K403)/Settings!$C$28)+MIN(100,100*N($J403)/Settings!$C$29))/3,1))</f>
        <v/>
      </c>
      <c r="AH403" s="29" t="str">
        <f>IF($B403="","",IF(SUM(Settings!$C$32:$C$37)=0,"",ROUND((Settings!$C$32*$AO403+Settings!$C$33*$AP403+Settings!$C$34*$AQ403+Settings!$C$35*$AR403+Settings!$C$36*$AS403+Settings!$C$37*$AT403)/SUM(Settings!$C$32:$C$37),1)))</f>
        <v/>
      </c>
      <c r="AI403" s="29" t="str">
        <f>IF($B403="","",MAX(0,100-IF(N($N403)&gt;0,0,20)-IF(AND(N($L403)=0,N($M403)=0),15,0)-IF(N($J403)&gt;0,0,10)-IF(N($K403)&gt;0,0,10)-IF($Z403&lt;&gt;"",0,15)-IF($AB403&lt;&gt;"",0,10)-IF($R403="ERROR",20,IF($R403="WARNING",10,0))))</f>
        <v/>
      </c>
      <c r="AJ403" s="30" t="str">
        <f>IF($AH403="","",IF($AH403&lt;Settings!$C$46,"Extreme Sell Pressure",IF($AH403&lt;Settings!$C$47,"Sell Pressure",IF($AH403&lt;=Settings!$C$48,"Neutral",IF($AH403&lt;=Settings!$C$49,"Buy Pressure","Extreme Buy Pressure")))))</f>
        <v/>
      </c>
      <c r="AK403" s="30" t="str">
        <f t="shared" si="113"/>
        <v/>
      </c>
      <c r="AL403" s="30" t="str">
        <f t="shared" si="114"/>
        <v/>
      </c>
      <c r="AM403" s="30" t="str">
        <f t="shared" si="115"/>
        <v/>
      </c>
      <c r="AN403" s="30" t="str">
        <f t="shared" si="116"/>
        <v/>
      </c>
      <c r="AO403" s="29" t="str">
        <f>IF($B403="","",IF(AND(N($L403)=0,N($M403)=0),50,IF(N($M403)=0,100,IF(N($L403)=0,0,MEDIAN(0,100,50+50*LN($S403)/LN(Settings!$C$40))))))</f>
        <v/>
      </c>
      <c r="AP403" s="29">
        <f>IF($AA403="",50,MEDIAN(0,100,50+$AA403*100*Settings!$C$41))</f>
        <v>50</v>
      </c>
      <c r="AQ403" s="29">
        <f>IF($H403="",50,MEDIAN(0,100,50+$H403*100*Settings!$C$42))</f>
        <v>50</v>
      </c>
      <c r="AR403" s="29">
        <f>IF(OR($AC403="",$H403=""),50,MEDIAN(0,100,50+SIGN($H403)*50*MEDIAN(0,1,($AC403-1)/Settings!$C$43)))</f>
        <v>50</v>
      </c>
      <c r="AS403" s="29">
        <f>IF(OR($V403="",$W403=""),50,MEDIAN(0,100,50+50*($V403-$W403)/Settings!$C$44))</f>
        <v>50</v>
      </c>
      <c r="AT403" s="29">
        <f t="shared" si="117"/>
        <v>50</v>
      </c>
      <c r="AU403" s="30" t="str">
        <f t="shared" si="118"/>
        <v/>
      </c>
      <c r="AV403" s="87" t="str">
        <f>IF($A403="","",IF(COUNTIFS($A$4:$A403,$A403)=1,1,0))</f>
        <v/>
      </c>
    </row>
    <row r="404" spans="1:48" x14ac:dyDescent="0.3">
      <c r="A404" s="270"/>
      <c r="B404" s="271"/>
      <c r="C404" s="272"/>
      <c r="D404" s="272"/>
      <c r="E404" s="272"/>
      <c r="F404" s="272"/>
      <c r="G404" s="272"/>
      <c r="H404" s="268" t="str">
        <f t="shared" si="102"/>
        <v/>
      </c>
      <c r="I404" s="273"/>
      <c r="J404" s="273"/>
      <c r="K404" s="273"/>
      <c r="L404" s="273"/>
      <c r="M404" s="273"/>
      <c r="N404" s="273"/>
      <c r="O404" s="271"/>
      <c r="P404" s="270"/>
      <c r="Q404" s="271"/>
      <c r="R404" s="23" t="str" cm="1">
        <f t="array" ref="R404">IF($B404="","",IFERROR(IF(INDEX('Data Quality'!$U$4:$U$503,ROW()-3)=0,"PENDING",INDEX('Data Quality'!$U$4:$U$503,ROW()-3)),"PENDING"))</f>
        <v/>
      </c>
      <c r="S404" s="24" t="str">
        <f t="shared" si="103"/>
        <v/>
      </c>
      <c r="T404" s="25" t="str">
        <f t="shared" si="104"/>
        <v/>
      </c>
      <c r="U404" s="25" t="str">
        <f t="shared" si="105"/>
        <v/>
      </c>
      <c r="V404" s="26" t="str">
        <f t="shared" si="106"/>
        <v/>
      </c>
      <c r="W404" s="26" t="str">
        <f t="shared" si="107"/>
        <v/>
      </c>
      <c r="X404" s="25" t="str">
        <f t="shared" si="108"/>
        <v/>
      </c>
      <c r="Y404" s="25" t="str">
        <f t="shared" si="109"/>
        <v/>
      </c>
      <c r="Z404" s="27" t="str">
        <f>IF($B404="","",IF($AK404&lt;=Settings!$C$21,"",IFERROR(AVERAGEIFS($S$4:$S$503,$B$4:$B$503,$B404,$AK$4:$AK$503,"&gt;="&amp;$AK404-Settings!$C$21,$AK$4:$AK$503,"&lt;="&amp;$AK404-1),"")))</f>
        <v/>
      </c>
      <c r="AA404" s="28" t="str">
        <f t="shared" si="110"/>
        <v/>
      </c>
      <c r="AB404" s="25" t="str">
        <f>IF($B404="","",IF($AK404&lt;=Settings!$C$22,"",IFERROR(AVERAGEIFS($K$4:$K$503,$B$4:$B$503,$B404,$AK$4:$AK$503,"&gt;="&amp;$AK404-Settings!$C$22,$AK$4:$AK$503,"&lt;="&amp;$AK404-1),"")))</f>
        <v/>
      </c>
      <c r="AC404" s="27" t="str">
        <f t="shared" si="111"/>
        <v/>
      </c>
      <c r="AD404" s="28" t="str">
        <f>IF($B404="","",IF($AK404&lt;=Settings!$C$23,"",IFERROR($E404/SUMIFS($E$4:$E$503,$B$4:$B$503,$B404,$AK$4:$AK$503,$AK404-Settings!$C$23)-1,"")))</f>
        <v/>
      </c>
      <c r="AE404" s="28" t="str">
        <f>IF($B404="","",IF($AK404&lt;=Settings!$C$22,"",IFERROR($E404/SUMIFS($E$4:$E$503,$B$4:$B$503,$B404,$AK$4:$AK$503,$AK404-Settings!$C$22)-1,"")))</f>
        <v/>
      </c>
      <c r="AF404" s="28" t="str">
        <f t="shared" si="112"/>
        <v/>
      </c>
      <c r="AG404" s="29" t="str">
        <f>IF($B404="","",ROUND((MIN(100,100*N($I404)/Settings!$C$27)+MIN(100,100*N($K404)/Settings!$C$28)+MIN(100,100*N($J404)/Settings!$C$29))/3,1))</f>
        <v/>
      </c>
      <c r="AH404" s="29" t="str">
        <f>IF($B404="","",IF(SUM(Settings!$C$32:$C$37)=0,"",ROUND((Settings!$C$32*$AO404+Settings!$C$33*$AP404+Settings!$C$34*$AQ404+Settings!$C$35*$AR404+Settings!$C$36*$AS404+Settings!$C$37*$AT404)/SUM(Settings!$C$32:$C$37),1)))</f>
        <v/>
      </c>
      <c r="AI404" s="29" t="str">
        <f>IF($B404="","",MAX(0,100-IF(N($N404)&gt;0,0,20)-IF(AND(N($L404)=0,N($M404)=0),15,0)-IF(N($J404)&gt;0,0,10)-IF(N($K404)&gt;0,0,10)-IF($Z404&lt;&gt;"",0,15)-IF($AB404&lt;&gt;"",0,10)-IF($R404="ERROR",20,IF($R404="WARNING",10,0))))</f>
        <v/>
      </c>
      <c r="AJ404" s="30" t="str">
        <f>IF($AH404="","",IF($AH404&lt;Settings!$C$46,"Extreme Sell Pressure",IF($AH404&lt;Settings!$C$47,"Sell Pressure",IF($AH404&lt;=Settings!$C$48,"Neutral",IF($AH404&lt;=Settings!$C$49,"Buy Pressure","Extreme Buy Pressure")))))</f>
        <v/>
      </c>
      <c r="AK404" s="30" t="str">
        <f t="shared" si="113"/>
        <v/>
      </c>
      <c r="AL404" s="30" t="str">
        <f t="shared" si="114"/>
        <v/>
      </c>
      <c r="AM404" s="30" t="str">
        <f t="shared" si="115"/>
        <v/>
      </c>
      <c r="AN404" s="30" t="str">
        <f t="shared" si="116"/>
        <v/>
      </c>
      <c r="AO404" s="29" t="str">
        <f>IF($B404="","",IF(AND(N($L404)=0,N($M404)=0),50,IF(N($M404)=0,100,IF(N($L404)=0,0,MEDIAN(0,100,50+50*LN($S404)/LN(Settings!$C$40))))))</f>
        <v/>
      </c>
      <c r="AP404" s="29">
        <f>IF($AA404="",50,MEDIAN(0,100,50+$AA404*100*Settings!$C$41))</f>
        <v>50</v>
      </c>
      <c r="AQ404" s="29">
        <f>IF($H404="",50,MEDIAN(0,100,50+$H404*100*Settings!$C$42))</f>
        <v>50</v>
      </c>
      <c r="AR404" s="29">
        <f>IF(OR($AC404="",$H404=""),50,MEDIAN(0,100,50+SIGN($H404)*50*MEDIAN(0,1,($AC404-1)/Settings!$C$43)))</f>
        <v>50</v>
      </c>
      <c r="AS404" s="29">
        <f>IF(OR($V404="",$W404=""),50,MEDIAN(0,100,50+50*($V404-$W404)/Settings!$C$44))</f>
        <v>50</v>
      </c>
      <c r="AT404" s="29">
        <f t="shared" si="117"/>
        <v>50</v>
      </c>
      <c r="AU404" s="30" t="str">
        <f t="shared" si="118"/>
        <v/>
      </c>
      <c r="AV404" s="87" t="str">
        <f>IF($A404="","",IF(COUNTIFS($A$4:$A404,$A404)=1,1,0))</f>
        <v/>
      </c>
    </row>
    <row r="405" spans="1:48" x14ac:dyDescent="0.3">
      <c r="A405" s="270"/>
      <c r="B405" s="271"/>
      <c r="C405" s="272"/>
      <c r="D405" s="272"/>
      <c r="E405" s="272"/>
      <c r="F405" s="272"/>
      <c r="G405" s="272"/>
      <c r="H405" s="268" t="str">
        <f t="shared" si="102"/>
        <v/>
      </c>
      <c r="I405" s="273"/>
      <c r="J405" s="273"/>
      <c r="K405" s="273"/>
      <c r="L405" s="273"/>
      <c r="M405" s="273"/>
      <c r="N405" s="273"/>
      <c r="O405" s="271"/>
      <c r="P405" s="270"/>
      <c r="Q405" s="271"/>
      <c r="R405" s="23" t="str" cm="1">
        <f t="array" ref="R405">IF($B405="","",IFERROR(IF(INDEX('Data Quality'!$U$4:$U$503,ROW()-3)=0,"PENDING",INDEX('Data Quality'!$U$4:$U$503,ROW()-3)),"PENDING"))</f>
        <v/>
      </c>
      <c r="S405" s="24" t="str">
        <f t="shared" si="103"/>
        <v/>
      </c>
      <c r="T405" s="25" t="str">
        <f t="shared" si="104"/>
        <v/>
      </c>
      <c r="U405" s="25" t="str">
        <f t="shared" si="105"/>
        <v/>
      </c>
      <c r="V405" s="26" t="str">
        <f t="shared" si="106"/>
        <v/>
      </c>
      <c r="W405" s="26" t="str">
        <f t="shared" si="107"/>
        <v/>
      </c>
      <c r="X405" s="25" t="str">
        <f t="shared" si="108"/>
        <v/>
      </c>
      <c r="Y405" s="25" t="str">
        <f t="shared" si="109"/>
        <v/>
      </c>
      <c r="Z405" s="27" t="str">
        <f>IF($B405="","",IF($AK405&lt;=Settings!$C$21,"",IFERROR(AVERAGEIFS($S$4:$S$503,$B$4:$B$503,$B405,$AK$4:$AK$503,"&gt;="&amp;$AK405-Settings!$C$21,$AK$4:$AK$503,"&lt;="&amp;$AK405-1),"")))</f>
        <v/>
      </c>
      <c r="AA405" s="28" t="str">
        <f t="shared" si="110"/>
        <v/>
      </c>
      <c r="AB405" s="25" t="str">
        <f>IF($B405="","",IF($AK405&lt;=Settings!$C$22,"",IFERROR(AVERAGEIFS($K$4:$K$503,$B$4:$B$503,$B405,$AK$4:$AK$503,"&gt;="&amp;$AK405-Settings!$C$22,$AK$4:$AK$503,"&lt;="&amp;$AK405-1),"")))</f>
        <v/>
      </c>
      <c r="AC405" s="27" t="str">
        <f t="shared" si="111"/>
        <v/>
      </c>
      <c r="AD405" s="28" t="str">
        <f>IF($B405="","",IF($AK405&lt;=Settings!$C$23,"",IFERROR($E405/SUMIFS($E$4:$E$503,$B$4:$B$503,$B405,$AK$4:$AK$503,$AK405-Settings!$C$23)-1,"")))</f>
        <v/>
      </c>
      <c r="AE405" s="28" t="str">
        <f>IF($B405="","",IF($AK405&lt;=Settings!$C$22,"",IFERROR($E405/SUMIFS($E$4:$E$503,$B$4:$B$503,$B405,$AK$4:$AK$503,$AK405-Settings!$C$22)-1,"")))</f>
        <v/>
      </c>
      <c r="AF405" s="28" t="str">
        <f t="shared" si="112"/>
        <v/>
      </c>
      <c r="AG405" s="29" t="str">
        <f>IF($B405="","",ROUND((MIN(100,100*N($I405)/Settings!$C$27)+MIN(100,100*N($K405)/Settings!$C$28)+MIN(100,100*N($J405)/Settings!$C$29))/3,1))</f>
        <v/>
      </c>
      <c r="AH405" s="29" t="str">
        <f>IF($B405="","",IF(SUM(Settings!$C$32:$C$37)=0,"",ROUND((Settings!$C$32*$AO405+Settings!$C$33*$AP405+Settings!$C$34*$AQ405+Settings!$C$35*$AR405+Settings!$C$36*$AS405+Settings!$C$37*$AT405)/SUM(Settings!$C$32:$C$37),1)))</f>
        <v/>
      </c>
      <c r="AI405" s="29" t="str">
        <f>IF($B405="","",MAX(0,100-IF(N($N405)&gt;0,0,20)-IF(AND(N($L405)=0,N($M405)=0),15,0)-IF(N($J405)&gt;0,0,10)-IF(N($K405)&gt;0,0,10)-IF($Z405&lt;&gt;"",0,15)-IF($AB405&lt;&gt;"",0,10)-IF($R405="ERROR",20,IF($R405="WARNING",10,0))))</f>
        <v/>
      </c>
      <c r="AJ405" s="30" t="str">
        <f>IF($AH405="","",IF($AH405&lt;Settings!$C$46,"Extreme Sell Pressure",IF($AH405&lt;Settings!$C$47,"Sell Pressure",IF($AH405&lt;=Settings!$C$48,"Neutral",IF($AH405&lt;=Settings!$C$49,"Buy Pressure","Extreme Buy Pressure")))))</f>
        <v/>
      </c>
      <c r="AK405" s="30" t="str">
        <f t="shared" si="113"/>
        <v/>
      </c>
      <c r="AL405" s="30" t="str">
        <f t="shared" si="114"/>
        <v/>
      </c>
      <c r="AM405" s="30" t="str">
        <f t="shared" si="115"/>
        <v/>
      </c>
      <c r="AN405" s="30" t="str">
        <f t="shared" si="116"/>
        <v/>
      </c>
      <c r="AO405" s="29" t="str">
        <f>IF($B405="","",IF(AND(N($L405)=0,N($M405)=0),50,IF(N($M405)=0,100,IF(N($L405)=0,0,MEDIAN(0,100,50+50*LN($S405)/LN(Settings!$C$40))))))</f>
        <v/>
      </c>
      <c r="AP405" s="29">
        <f>IF($AA405="",50,MEDIAN(0,100,50+$AA405*100*Settings!$C$41))</f>
        <v>50</v>
      </c>
      <c r="AQ405" s="29">
        <f>IF($H405="",50,MEDIAN(0,100,50+$H405*100*Settings!$C$42))</f>
        <v>50</v>
      </c>
      <c r="AR405" s="29">
        <f>IF(OR($AC405="",$H405=""),50,MEDIAN(0,100,50+SIGN($H405)*50*MEDIAN(0,1,($AC405-1)/Settings!$C$43)))</f>
        <v>50</v>
      </c>
      <c r="AS405" s="29">
        <f>IF(OR($V405="",$W405=""),50,MEDIAN(0,100,50+50*($V405-$W405)/Settings!$C$44))</f>
        <v>50</v>
      </c>
      <c r="AT405" s="29">
        <f t="shared" si="117"/>
        <v>50</v>
      </c>
      <c r="AU405" s="30" t="str">
        <f t="shared" si="118"/>
        <v/>
      </c>
      <c r="AV405" s="87" t="str">
        <f>IF($A405="","",IF(COUNTIFS($A$4:$A405,$A405)=1,1,0))</f>
        <v/>
      </c>
    </row>
    <row r="406" spans="1:48" x14ac:dyDescent="0.3">
      <c r="A406" s="270"/>
      <c r="B406" s="271"/>
      <c r="C406" s="272"/>
      <c r="D406" s="272"/>
      <c r="E406" s="272"/>
      <c r="F406" s="272"/>
      <c r="G406" s="272"/>
      <c r="H406" s="268" t="str">
        <f t="shared" si="102"/>
        <v/>
      </c>
      <c r="I406" s="273"/>
      <c r="J406" s="273"/>
      <c r="K406" s="273"/>
      <c r="L406" s="273"/>
      <c r="M406" s="273"/>
      <c r="N406" s="273"/>
      <c r="O406" s="271"/>
      <c r="P406" s="270"/>
      <c r="Q406" s="271"/>
      <c r="R406" s="23" t="str" cm="1">
        <f t="array" ref="R406">IF($B406="","",IFERROR(IF(INDEX('Data Quality'!$U$4:$U$503,ROW()-3)=0,"PENDING",INDEX('Data Quality'!$U$4:$U$503,ROW()-3)),"PENDING"))</f>
        <v/>
      </c>
      <c r="S406" s="24" t="str">
        <f t="shared" si="103"/>
        <v/>
      </c>
      <c r="T406" s="25" t="str">
        <f t="shared" si="104"/>
        <v/>
      </c>
      <c r="U406" s="25" t="str">
        <f t="shared" si="105"/>
        <v/>
      </c>
      <c r="V406" s="26" t="str">
        <f t="shared" si="106"/>
        <v/>
      </c>
      <c r="W406" s="26" t="str">
        <f t="shared" si="107"/>
        <v/>
      </c>
      <c r="X406" s="25" t="str">
        <f t="shared" si="108"/>
        <v/>
      </c>
      <c r="Y406" s="25" t="str">
        <f t="shared" si="109"/>
        <v/>
      </c>
      <c r="Z406" s="27" t="str">
        <f>IF($B406="","",IF($AK406&lt;=Settings!$C$21,"",IFERROR(AVERAGEIFS($S$4:$S$503,$B$4:$B$503,$B406,$AK$4:$AK$503,"&gt;="&amp;$AK406-Settings!$C$21,$AK$4:$AK$503,"&lt;="&amp;$AK406-1),"")))</f>
        <v/>
      </c>
      <c r="AA406" s="28" t="str">
        <f t="shared" si="110"/>
        <v/>
      </c>
      <c r="AB406" s="25" t="str">
        <f>IF($B406="","",IF($AK406&lt;=Settings!$C$22,"",IFERROR(AVERAGEIFS($K$4:$K$503,$B$4:$B$503,$B406,$AK$4:$AK$503,"&gt;="&amp;$AK406-Settings!$C$22,$AK$4:$AK$503,"&lt;="&amp;$AK406-1),"")))</f>
        <v/>
      </c>
      <c r="AC406" s="27" t="str">
        <f t="shared" si="111"/>
        <v/>
      </c>
      <c r="AD406" s="28" t="str">
        <f>IF($B406="","",IF($AK406&lt;=Settings!$C$23,"",IFERROR($E406/SUMIFS($E$4:$E$503,$B$4:$B$503,$B406,$AK$4:$AK$503,$AK406-Settings!$C$23)-1,"")))</f>
        <v/>
      </c>
      <c r="AE406" s="28" t="str">
        <f>IF($B406="","",IF($AK406&lt;=Settings!$C$22,"",IFERROR($E406/SUMIFS($E$4:$E$503,$B$4:$B$503,$B406,$AK$4:$AK$503,$AK406-Settings!$C$22)-1,"")))</f>
        <v/>
      </c>
      <c r="AF406" s="28" t="str">
        <f t="shared" si="112"/>
        <v/>
      </c>
      <c r="AG406" s="29" t="str">
        <f>IF($B406="","",ROUND((MIN(100,100*N($I406)/Settings!$C$27)+MIN(100,100*N($K406)/Settings!$C$28)+MIN(100,100*N($J406)/Settings!$C$29))/3,1))</f>
        <v/>
      </c>
      <c r="AH406" s="29" t="str">
        <f>IF($B406="","",IF(SUM(Settings!$C$32:$C$37)=0,"",ROUND((Settings!$C$32*$AO406+Settings!$C$33*$AP406+Settings!$C$34*$AQ406+Settings!$C$35*$AR406+Settings!$C$36*$AS406+Settings!$C$37*$AT406)/SUM(Settings!$C$32:$C$37),1)))</f>
        <v/>
      </c>
      <c r="AI406" s="29" t="str">
        <f>IF($B406="","",MAX(0,100-IF(N($N406)&gt;0,0,20)-IF(AND(N($L406)=0,N($M406)=0),15,0)-IF(N($J406)&gt;0,0,10)-IF(N($K406)&gt;0,0,10)-IF($Z406&lt;&gt;"",0,15)-IF($AB406&lt;&gt;"",0,10)-IF($R406="ERROR",20,IF($R406="WARNING",10,0))))</f>
        <v/>
      </c>
      <c r="AJ406" s="30" t="str">
        <f>IF($AH406="","",IF($AH406&lt;Settings!$C$46,"Extreme Sell Pressure",IF($AH406&lt;Settings!$C$47,"Sell Pressure",IF($AH406&lt;=Settings!$C$48,"Neutral",IF($AH406&lt;=Settings!$C$49,"Buy Pressure","Extreme Buy Pressure")))))</f>
        <v/>
      </c>
      <c r="AK406" s="30" t="str">
        <f t="shared" si="113"/>
        <v/>
      </c>
      <c r="AL406" s="30" t="str">
        <f t="shared" si="114"/>
        <v/>
      </c>
      <c r="AM406" s="30" t="str">
        <f t="shared" si="115"/>
        <v/>
      </c>
      <c r="AN406" s="30" t="str">
        <f t="shared" si="116"/>
        <v/>
      </c>
      <c r="AO406" s="29" t="str">
        <f>IF($B406="","",IF(AND(N($L406)=0,N($M406)=0),50,IF(N($M406)=0,100,IF(N($L406)=0,0,MEDIAN(0,100,50+50*LN($S406)/LN(Settings!$C$40))))))</f>
        <v/>
      </c>
      <c r="AP406" s="29">
        <f>IF($AA406="",50,MEDIAN(0,100,50+$AA406*100*Settings!$C$41))</f>
        <v>50</v>
      </c>
      <c r="AQ406" s="29">
        <f>IF($H406="",50,MEDIAN(0,100,50+$H406*100*Settings!$C$42))</f>
        <v>50</v>
      </c>
      <c r="AR406" s="29">
        <f>IF(OR($AC406="",$H406=""),50,MEDIAN(0,100,50+SIGN($H406)*50*MEDIAN(0,1,($AC406-1)/Settings!$C$43)))</f>
        <v>50</v>
      </c>
      <c r="AS406" s="29">
        <f>IF(OR($V406="",$W406=""),50,MEDIAN(0,100,50+50*($V406-$W406)/Settings!$C$44))</f>
        <v>50</v>
      </c>
      <c r="AT406" s="29">
        <f t="shared" si="117"/>
        <v>50</v>
      </c>
      <c r="AU406" s="30" t="str">
        <f t="shared" si="118"/>
        <v/>
      </c>
      <c r="AV406" s="87" t="str">
        <f>IF($A406="","",IF(COUNTIFS($A$4:$A406,$A406)=1,1,0))</f>
        <v/>
      </c>
    </row>
    <row r="407" spans="1:48" x14ac:dyDescent="0.3">
      <c r="A407" s="270"/>
      <c r="B407" s="271"/>
      <c r="C407" s="272"/>
      <c r="D407" s="272"/>
      <c r="E407" s="272"/>
      <c r="F407" s="272"/>
      <c r="G407" s="272"/>
      <c r="H407" s="268" t="str">
        <f t="shared" si="102"/>
        <v/>
      </c>
      <c r="I407" s="273"/>
      <c r="J407" s="273"/>
      <c r="K407" s="273"/>
      <c r="L407" s="273"/>
      <c r="M407" s="273"/>
      <c r="N407" s="273"/>
      <c r="O407" s="271"/>
      <c r="P407" s="270"/>
      <c r="Q407" s="271"/>
      <c r="R407" s="23" t="str" cm="1">
        <f t="array" ref="R407">IF($B407="","",IFERROR(IF(INDEX('Data Quality'!$U$4:$U$503,ROW()-3)=0,"PENDING",INDEX('Data Quality'!$U$4:$U$503,ROW()-3)),"PENDING"))</f>
        <v/>
      </c>
      <c r="S407" s="24" t="str">
        <f t="shared" si="103"/>
        <v/>
      </c>
      <c r="T407" s="25" t="str">
        <f t="shared" si="104"/>
        <v/>
      </c>
      <c r="U407" s="25" t="str">
        <f t="shared" si="105"/>
        <v/>
      </c>
      <c r="V407" s="26" t="str">
        <f t="shared" si="106"/>
        <v/>
      </c>
      <c r="W407" s="26" t="str">
        <f t="shared" si="107"/>
        <v/>
      </c>
      <c r="X407" s="25" t="str">
        <f t="shared" si="108"/>
        <v/>
      </c>
      <c r="Y407" s="25" t="str">
        <f t="shared" si="109"/>
        <v/>
      </c>
      <c r="Z407" s="27" t="str">
        <f>IF($B407="","",IF($AK407&lt;=Settings!$C$21,"",IFERROR(AVERAGEIFS($S$4:$S$503,$B$4:$B$503,$B407,$AK$4:$AK$503,"&gt;="&amp;$AK407-Settings!$C$21,$AK$4:$AK$503,"&lt;="&amp;$AK407-1),"")))</f>
        <v/>
      </c>
      <c r="AA407" s="28" t="str">
        <f t="shared" si="110"/>
        <v/>
      </c>
      <c r="AB407" s="25" t="str">
        <f>IF($B407="","",IF($AK407&lt;=Settings!$C$22,"",IFERROR(AVERAGEIFS($K$4:$K$503,$B$4:$B$503,$B407,$AK$4:$AK$503,"&gt;="&amp;$AK407-Settings!$C$22,$AK$4:$AK$503,"&lt;="&amp;$AK407-1),"")))</f>
        <v/>
      </c>
      <c r="AC407" s="27" t="str">
        <f t="shared" si="111"/>
        <v/>
      </c>
      <c r="AD407" s="28" t="str">
        <f>IF($B407="","",IF($AK407&lt;=Settings!$C$23,"",IFERROR($E407/SUMIFS($E$4:$E$503,$B$4:$B$503,$B407,$AK$4:$AK$503,$AK407-Settings!$C$23)-1,"")))</f>
        <v/>
      </c>
      <c r="AE407" s="28" t="str">
        <f>IF($B407="","",IF($AK407&lt;=Settings!$C$22,"",IFERROR($E407/SUMIFS($E$4:$E$503,$B$4:$B$503,$B407,$AK$4:$AK$503,$AK407-Settings!$C$22)-1,"")))</f>
        <v/>
      </c>
      <c r="AF407" s="28" t="str">
        <f t="shared" si="112"/>
        <v/>
      </c>
      <c r="AG407" s="29" t="str">
        <f>IF($B407="","",ROUND((MIN(100,100*N($I407)/Settings!$C$27)+MIN(100,100*N($K407)/Settings!$C$28)+MIN(100,100*N($J407)/Settings!$C$29))/3,1))</f>
        <v/>
      </c>
      <c r="AH407" s="29" t="str">
        <f>IF($B407="","",IF(SUM(Settings!$C$32:$C$37)=0,"",ROUND((Settings!$C$32*$AO407+Settings!$C$33*$AP407+Settings!$C$34*$AQ407+Settings!$C$35*$AR407+Settings!$C$36*$AS407+Settings!$C$37*$AT407)/SUM(Settings!$C$32:$C$37),1)))</f>
        <v/>
      </c>
      <c r="AI407" s="29" t="str">
        <f>IF($B407="","",MAX(0,100-IF(N($N407)&gt;0,0,20)-IF(AND(N($L407)=0,N($M407)=0),15,0)-IF(N($J407)&gt;0,0,10)-IF(N($K407)&gt;0,0,10)-IF($Z407&lt;&gt;"",0,15)-IF($AB407&lt;&gt;"",0,10)-IF($R407="ERROR",20,IF($R407="WARNING",10,0))))</f>
        <v/>
      </c>
      <c r="AJ407" s="30" t="str">
        <f>IF($AH407="","",IF($AH407&lt;Settings!$C$46,"Extreme Sell Pressure",IF($AH407&lt;Settings!$C$47,"Sell Pressure",IF($AH407&lt;=Settings!$C$48,"Neutral",IF($AH407&lt;=Settings!$C$49,"Buy Pressure","Extreme Buy Pressure")))))</f>
        <v/>
      </c>
      <c r="AK407" s="30" t="str">
        <f t="shared" si="113"/>
        <v/>
      </c>
      <c r="AL407" s="30" t="str">
        <f t="shared" si="114"/>
        <v/>
      </c>
      <c r="AM407" s="30" t="str">
        <f t="shared" si="115"/>
        <v/>
      </c>
      <c r="AN407" s="30" t="str">
        <f t="shared" si="116"/>
        <v/>
      </c>
      <c r="AO407" s="29" t="str">
        <f>IF($B407="","",IF(AND(N($L407)=0,N($M407)=0),50,IF(N($M407)=0,100,IF(N($L407)=0,0,MEDIAN(0,100,50+50*LN($S407)/LN(Settings!$C$40))))))</f>
        <v/>
      </c>
      <c r="AP407" s="29">
        <f>IF($AA407="",50,MEDIAN(0,100,50+$AA407*100*Settings!$C$41))</f>
        <v>50</v>
      </c>
      <c r="AQ407" s="29">
        <f>IF($H407="",50,MEDIAN(0,100,50+$H407*100*Settings!$C$42))</f>
        <v>50</v>
      </c>
      <c r="AR407" s="29">
        <f>IF(OR($AC407="",$H407=""),50,MEDIAN(0,100,50+SIGN($H407)*50*MEDIAN(0,1,($AC407-1)/Settings!$C$43)))</f>
        <v>50</v>
      </c>
      <c r="AS407" s="29">
        <f>IF(OR($V407="",$W407=""),50,MEDIAN(0,100,50+50*($V407-$W407)/Settings!$C$44))</f>
        <v>50</v>
      </c>
      <c r="AT407" s="29">
        <f t="shared" si="117"/>
        <v>50</v>
      </c>
      <c r="AU407" s="30" t="str">
        <f t="shared" si="118"/>
        <v/>
      </c>
      <c r="AV407" s="87" t="str">
        <f>IF($A407="","",IF(COUNTIFS($A$4:$A407,$A407)=1,1,0))</f>
        <v/>
      </c>
    </row>
    <row r="408" spans="1:48" x14ac:dyDescent="0.3">
      <c r="A408" s="270"/>
      <c r="B408" s="271"/>
      <c r="C408" s="272"/>
      <c r="D408" s="272"/>
      <c r="E408" s="272"/>
      <c r="F408" s="272"/>
      <c r="G408" s="272"/>
      <c r="H408" s="268" t="str">
        <f t="shared" si="102"/>
        <v/>
      </c>
      <c r="I408" s="273"/>
      <c r="J408" s="273"/>
      <c r="K408" s="273"/>
      <c r="L408" s="273"/>
      <c r="M408" s="273"/>
      <c r="N408" s="273"/>
      <c r="O408" s="271"/>
      <c r="P408" s="270"/>
      <c r="Q408" s="271"/>
      <c r="R408" s="23" t="str" cm="1">
        <f t="array" ref="R408">IF($B408="","",IFERROR(IF(INDEX('Data Quality'!$U$4:$U$503,ROW()-3)=0,"PENDING",INDEX('Data Quality'!$U$4:$U$503,ROW()-3)),"PENDING"))</f>
        <v/>
      </c>
      <c r="S408" s="24" t="str">
        <f t="shared" si="103"/>
        <v/>
      </c>
      <c r="T408" s="25" t="str">
        <f t="shared" si="104"/>
        <v/>
      </c>
      <c r="U408" s="25" t="str">
        <f t="shared" si="105"/>
        <v/>
      </c>
      <c r="V408" s="26" t="str">
        <f t="shared" si="106"/>
        <v/>
      </c>
      <c r="W408" s="26" t="str">
        <f t="shared" si="107"/>
        <v/>
      </c>
      <c r="X408" s="25" t="str">
        <f t="shared" si="108"/>
        <v/>
      </c>
      <c r="Y408" s="25" t="str">
        <f t="shared" si="109"/>
        <v/>
      </c>
      <c r="Z408" s="27" t="str">
        <f>IF($B408="","",IF($AK408&lt;=Settings!$C$21,"",IFERROR(AVERAGEIFS($S$4:$S$503,$B$4:$B$503,$B408,$AK$4:$AK$503,"&gt;="&amp;$AK408-Settings!$C$21,$AK$4:$AK$503,"&lt;="&amp;$AK408-1),"")))</f>
        <v/>
      </c>
      <c r="AA408" s="28" t="str">
        <f t="shared" si="110"/>
        <v/>
      </c>
      <c r="AB408" s="25" t="str">
        <f>IF($B408="","",IF($AK408&lt;=Settings!$C$22,"",IFERROR(AVERAGEIFS($K$4:$K$503,$B$4:$B$503,$B408,$AK$4:$AK$503,"&gt;="&amp;$AK408-Settings!$C$22,$AK$4:$AK$503,"&lt;="&amp;$AK408-1),"")))</f>
        <v/>
      </c>
      <c r="AC408" s="27" t="str">
        <f t="shared" si="111"/>
        <v/>
      </c>
      <c r="AD408" s="28" t="str">
        <f>IF($B408="","",IF($AK408&lt;=Settings!$C$23,"",IFERROR($E408/SUMIFS($E$4:$E$503,$B$4:$B$503,$B408,$AK$4:$AK$503,$AK408-Settings!$C$23)-1,"")))</f>
        <v/>
      </c>
      <c r="AE408" s="28" t="str">
        <f>IF($B408="","",IF($AK408&lt;=Settings!$C$22,"",IFERROR($E408/SUMIFS($E$4:$E$503,$B$4:$B$503,$B408,$AK$4:$AK$503,$AK408-Settings!$C$22)-1,"")))</f>
        <v/>
      </c>
      <c r="AF408" s="28" t="str">
        <f t="shared" si="112"/>
        <v/>
      </c>
      <c r="AG408" s="29" t="str">
        <f>IF($B408="","",ROUND((MIN(100,100*N($I408)/Settings!$C$27)+MIN(100,100*N($K408)/Settings!$C$28)+MIN(100,100*N($J408)/Settings!$C$29))/3,1))</f>
        <v/>
      </c>
      <c r="AH408" s="29" t="str">
        <f>IF($B408="","",IF(SUM(Settings!$C$32:$C$37)=0,"",ROUND((Settings!$C$32*$AO408+Settings!$C$33*$AP408+Settings!$C$34*$AQ408+Settings!$C$35*$AR408+Settings!$C$36*$AS408+Settings!$C$37*$AT408)/SUM(Settings!$C$32:$C$37),1)))</f>
        <v/>
      </c>
      <c r="AI408" s="29" t="str">
        <f>IF($B408="","",MAX(0,100-IF(N($N408)&gt;0,0,20)-IF(AND(N($L408)=0,N($M408)=0),15,0)-IF(N($J408)&gt;0,0,10)-IF(N($K408)&gt;0,0,10)-IF($Z408&lt;&gt;"",0,15)-IF($AB408&lt;&gt;"",0,10)-IF($R408="ERROR",20,IF($R408="WARNING",10,0))))</f>
        <v/>
      </c>
      <c r="AJ408" s="30" t="str">
        <f>IF($AH408="","",IF($AH408&lt;Settings!$C$46,"Extreme Sell Pressure",IF($AH408&lt;Settings!$C$47,"Sell Pressure",IF($AH408&lt;=Settings!$C$48,"Neutral",IF($AH408&lt;=Settings!$C$49,"Buy Pressure","Extreme Buy Pressure")))))</f>
        <v/>
      </c>
      <c r="AK408" s="30" t="str">
        <f t="shared" si="113"/>
        <v/>
      </c>
      <c r="AL408" s="30" t="str">
        <f t="shared" si="114"/>
        <v/>
      </c>
      <c r="AM408" s="30" t="str">
        <f t="shared" si="115"/>
        <v/>
      </c>
      <c r="AN408" s="30" t="str">
        <f t="shared" si="116"/>
        <v/>
      </c>
      <c r="AO408" s="29" t="str">
        <f>IF($B408="","",IF(AND(N($L408)=0,N($M408)=0),50,IF(N($M408)=0,100,IF(N($L408)=0,0,MEDIAN(0,100,50+50*LN($S408)/LN(Settings!$C$40))))))</f>
        <v/>
      </c>
      <c r="AP408" s="29">
        <f>IF($AA408="",50,MEDIAN(0,100,50+$AA408*100*Settings!$C$41))</f>
        <v>50</v>
      </c>
      <c r="AQ408" s="29">
        <f>IF($H408="",50,MEDIAN(0,100,50+$H408*100*Settings!$C$42))</f>
        <v>50</v>
      </c>
      <c r="AR408" s="29">
        <f>IF(OR($AC408="",$H408=""),50,MEDIAN(0,100,50+SIGN($H408)*50*MEDIAN(0,1,($AC408-1)/Settings!$C$43)))</f>
        <v>50</v>
      </c>
      <c r="AS408" s="29">
        <f>IF(OR($V408="",$W408=""),50,MEDIAN(0,100,50+50*($V408-$W408)/Settings!$C$44))</f>
        <v>50</v>
      </c>
      <c r="AT408" s="29">
        <f t="shared" si="117"/>
        <v>50</v>
      </c>
      <c r="AU408" s="30" t="str">
        <f t="shared" si="118"/>
        <v/>
      </c>
      <c r="AV408" s="87" t="str">
        <f>IF($A408="","",IF(COUNTIFS($A$4:$A408,$A408)=1,1,0))</f>
        <v/>
      </c>
    </row>
    <row r="409" spans="1:48" x14ac:dyDescent="0.3">
      <c r="A409" s="270"/>
      <c r="B409" s="271"/>
      <c r="C409" s="272"/>
      <c r="D409" s="272"/>
      <c r="E409" s="272"/>
      <c r="F409" s="272"/>
      <c r="G409" s="272"/>
      <c r="H409" s="268" t="str">
        <f t="shared" si="102"/>
        <v/>
      </c>
      <c r="I409" s="273"/>
      <c r="J409" s="273"/>
      <c r="K409" s="273"/>
      <c r="L409" s="273"/>
      <c r="M409" s="273"/>
      <c r="N409" s="273"/>
      <c r="O409" s="271"/>
      <c r="P409" s="270"/>
      <c r="Q409" s="271"/>
      <c r="R409" s="23" t="str" cm="1">
        <f t="array" ref="R409">IF($B409="","",IFERROR(IF(INDEX('Data Quality'!$U$4:$U$503,ROW()-3)=0,"PENDING",INDEX('Data Quality'!$U$4:$U$503,ROW()-3)),"PENDING"))</f>
        <v/>
      </c>
      <c r="S409" s="24" t="str">
        <f t="shared" si="103"/>
        <v/>
      </c>
      <c r="T409" s="25" t="str">
        <f t="shared" si="104"/>
        <v/>
      </c>
      <c r="U409" s="25" t="str">
        <f t="shared" si="105"/>
        <v/>
      </c>
      <c r="V409" s="26" t="str">
        <f t="shared" si="106"/>
        <v/>
      </c>
      <c r="W409" s="26" t="str">
        <f t="shared" si="107"/>
        <v/>
      </c>
      <c r="X409" s="25" t="str">
        <f t="shared" si="108"/>
        <v/>
      </c>
      <c r="Y409" s="25" t="str">
        <f t="shared" si="109"/>
        <v/>
      </c>
      <c r="Z409" s="27" t="str">
        <f>IF($B409="","",IF($AK409&lt;=Settings!$C$21,"",IFERROR(AVERAGEIFS($S$4:$S$503,$B$4:$B$503,$B409,$AK$4:$AK$503,"&gt;="&amp;$AK409-Settings!$C$21,$AK$4:$AK$503,"&lt;="&amp;$AK409-1),"")))</f>
        <v/>
      </c>
      <c r="AA409" s="28" t="str">
        <f t="shared" si="110"/>
        <v/>
      </c>
      <c r="AB409" s="25" t="str">
        <f>IF($B409="","",IF($AK409&lt;=Settings!$C$22,"",IFERROR(AVERAGEIFS($K$4:$K$503,$B$4:$B$503,$B409,$AK$4:$AK$503,"&gt;="&amp;$AK409-Settings!$C$22,$AK$4:$AK$503,"&lt;="&amp;$AK409-1),"")))</f>
        <v/>
      </c>
      <c r="AC409" s="27" t="str">
        <f t="shared" si="111"/>
        <v/>
      </c>
      <c r="AD409" s="28" t="str">
        <f>IF($B409="","",IF($AK409&lt;=Settings!$C$23,"",IFERROR($E409/SUMIFS($E$4:$E$503,$B$4:$B$503,$B409,$AK$4:$AK$503,$AK409-Settings!$C$23)-1,"")))</f>
        <v/>
      </c>
      <c r="AE409" s="28" t="str">
        <f>IF($B409="","",IF($AK409&lt;=Settings!$C$22,"",IFERROR($E409/SUMIFS($E$4:$E$503,$B$4:$B$503,$B409,$AK$4:$AK$503,$AK409-Settings!$C$22)-1,"")))</f>
        <v/>
      </c>
      <c r="AF409" s="28" t="str">
        <f t="shared" si="112"/>
        <v/>
      </c>
      <c r="AG409" s="29" t="str">
        <f>IF($B409="","",ROUND((MIN(100,100*N($I409)/Settings!$C$27)+MIN(100,100*N($K409)/Settings!$C$28)+MIN(100,100*N($J409)/Settings!$C$29))/3,1))</f>
        <v/>
      </c>
      <c r="AH409" s="29" t="str">
        <f>IF($B409="","",IF(SUM(Settings!$C$32:$C$37)=0,"",ROUND((Settings!$C$32*$AO409+Settings!$C$33*$AP409+Settings!$C$34*$AQ409+Settings!$C$35*$AR409+Settings!$C$36*$AS409+Settings!$C$37*$AT409)/SUM(Settings!$C$32:$C$37),1)))</f>
        <v/>
      </c>
      <c r="AI409" s="29" t="str">
        <f>IF($B409="","",MAX(0,100-IF(N($N409)&gt;0,0,20)-IF(AND(N($L409)=0,N($M409)=0),15,0)-IF(N($J409)&gt;0,0,10)-IF(N($K409)&gt;0,0,10)-IF($Z409&lt;&gt;"",0,15)-IF($AB409&lt;&gt;"",0,10)-IF($R409="ERROR",20,IF($R409="WARNING",10,0))))</f>
        <v/>
      </c>
      <c r="AJ409" s="30" t="str">
        <f>IF($AH409="","",IF($AH409&lt;Settings!$C$46,"Extreme Sell Pressure",IF($AH409&lt;Settings!$C$47,"Sell Pressure",IF($AH409&lt;=Settings!$C$48,"Neutral",IF($AH409&lt;=Settings!$C$49,"Buy Pressure","Extreme Buy Pressure")))))</f>
        <v/>
      </c>
      <c r="AK409" s="30" t="str">
        <f t="shared" si="113"/>
        <v/>
      </c>
      <c r="AL409" s="30" t="str">
        <f t="shared" si="114"/>
        <v/>
      </c>
      <c r="AM409" s="30" t="str">
        <f t="shared" si="115"/>
        <v/>
      </c>
      <c r="AN409" s="30" t="str">
        <f t="shared" si="116"/>
        <v/>
      </c>
      <c r="AO409" s="29" t="str">
        <f>IF($B409="","",IF(AND(N($L409)=0,N($M409)=0),50,IF(N($M409)=0,100,IF(N($L409)=0,0,MEDIAN(0,100,50+50*LN($S409)/LN(Settings!$C$40))))))</f>
        <v/>
      </c>
      <c r="AP409" s="29">
        <f>IF($AA409="",50,MEDIAN(0,100,50+$AA409*100*Settings!$C$41))</f>
        <v>50</v>
      </c>
      <c r="AQ409" s="29">
        <f>IF($H409="",50,MEDIAN(0,100,50+$H409*100*Settings!$C$42))</f>
        <v>50</v>
      </c>
      <c r="AR409" s="29">
        <f>IF(OR($AC409="",$H409=""),50,MEDIAN(0,100,50+SIGN($H409)*50*MEDIAN(0,1,($AC409-1)/Settings!$C$43)))</f>
        <v>50</v>
      </c>
      <c r="AS409" s="29">
        <f>IF(OR($V409="",$W409=""),50,MEDIAN(0,100,50+50*($V409-$W409)/Settings!$C$44))</f>
        <v>50</v>
      </c>
      <c r="AT409" s="29">
        <f t="shared" si="117"/>
        <v>50</v>
      </c>
      <c r="AU409" s="30" t="str">
        <f t="shared" si="118"/>
        <v/>
      </c>
      <c r="AV409" s="87" t="str">
        <f>IF($A409="","",IF(COUNTIFS($A$4:$A409,$A409)=1,1,0))</f>
        <v/>
      </c>
    </row>
    <row r="410" spans="1:48" x14ac:dyDescent="0.3">
      <c r="A410" s="270"/>
      <c r="B410" s="271"/>
      <c r="C410" s="272"/>
      <c r="D410" s="272"/>
      <c r="E410" s="272"/>
      <c r="F410" s="272"/>
      <c r="G410" s="272"/>
      <c r="H410" s="268" t="str">
        <f t="shared" si="102"/>
        <v/>
      </c>
      <c r="I410" s="273"/>
      <c r="J410" s="273"/>
      <c r="K410" s="273"/>
      <c r="L410" s="273"/>
      <c r="M410" s="273"/>
      <c r="N410" s="273"/>
      <c r="O410" s="271"/>
      <c r="P410" s="270"/>
      <c r="Q410" s="271"/>
      <c r="R410" s="23" t="str" cm="1">
        <f t="array" ref="R410">IF($B410="","",IFERROR(IF(INDEX('Data Quality'!$U$4:$U$503,ROW()-3)=0,"PENDING",INDEX('Data Quality'!$U$4:$U$503,ROW()-3)),"PENDING"))</f>
        <v/>
      </c>
      <c r="S410" s="24" t="str">
        <f t="shared" si="103"/>
        <v/>
      </c>
      <c r="T410" s="25" t="str">
        <f t="shared" si="104"/>
        <v/>
      </c>
      <c r="U410" s="25" t="str">
        <f t="shared" si="105"/>
        <v/>
      </c>
      <c r="V410" s="26" t="str">
        <f t="shared" si="106"/>
        <v/>
      </c>
      <c r="W410" s="26" t="str">
        <f t="shared" si="107"/>
        <v/>
      </c>
      <c r="X410" s="25" t="str">
        <f t="shared" si="108"/>
        <v/>
      </c>
      <c r="Y410" s="25" t="str">
        <f t="shared" si="109"/>
        <v/>
      </c>
      <c r="Z410" s="27" t="str">
        <f>IF($B410="","",IF($AK410&lt;=Settings!$C$21,"",IFERROR(AVERAGEIFS($S$4:$S$503,$B$4:$B$503,$B410,$AK$4:$AK$503,"&gt;="&amp;$AK410-Settings!$C$21,$AK$4:$AK$503,"&lt;="&amp;$AK410-1),"")))</f>
        <v/>
      </c>
      <c r="AA410" s="28" t="str">
        <f t="shared" si="110"/>
        <v/>
      </c>
      <c r="AB410" s="25" t="str">
        <f>IF($B410="","",IF($AK410&lt;=Settings!$C$22,"",IFERROR(AVERAGEIFS($K$4:$K$503,$B$4:$B$503,$B410,$AK$4:$AK$503,"&gt;="&amp;$AK410-Settings!$C$22,$AK$4:$AK$503,"&lt;="&amp;$AK410-1),"")))</f>
        <v/>
      </c>
      <c r="AC410" s="27" t="str">
        <f t="shared" si="111"/>
        <v/>
      </c>
      <c r="AD410" s="28" t="str">
        <f>IF($B410="","",IF($AK410&lt;=Settings!$C$23,"",IFERROR($E410/SUMIFS($E$4:$E$503,$B$4:$B$503,$B410,$AK$4:$AK$503,$AK410-Settings!$C$23)-1,"")))</f>
        <v/>
      </c>
      <c r="AE410" s="28" t="str">
        <f>IF($B410="","",IF($AK410&lt;=Settings!$C$22,"",IFERROR($E410/SUMIFS($E$4:$E$503,$B$4:$B$503,$B410,$AK$4:$AK$503,$AK410-Settings!$C$22)-1,"")))</f>
        <v/>
      </c>
      <c r="AF410" s="28" t="str">
        <f t="shared" si="112"/>
        <v/>
      </c>
      <c r="AG410" s="29" t="str">
        <f>IF($B410="","",ROUND((MIN(100,100*N($I410)/Settings!$C$27)+MIN(100,100*N($K410)/Settings!$C$28)+MIN(100,100*N($J410)/Settings!$C$29))/3,1))</f>
        <v/>
      </c>
      <c r="AH410" s="29" t="str">
        <f>IF($B410="","",IF(SUM(Settings!$C$32:$C$37)=0,"",ROUND((Settings!$C$32*$AO410+Settings!$C$33*$AP410+Settings!$C$34*$AQ410+Settings!$C$35*$AR410+Settings!$C$36*$AS410+Settings!$C$37*$AT410)/SUM(Settings!$C$32:$C$37),1)))</f>
        <v/>
      </c>
      <c r="AI410" s="29" t="str">
        <f>IF($B410="","",MAX(0,100-IF(N($N410)&gt;0,0,20)-IF(AND(N($L410)=0,N($M410)=0),15,0)-IF(N($J410)&gt;0,0,10)-IF(N($K410)&gt;0,0,10)-IF($Z410&lt;&gt;"",0,15)-IF($AB410&lt;&gt;"",0,10)-IF($R410="ERROR",20,IF($R410="WARNING",10,0))))</f>
        <v/>
      </c>
      <c r="AJ410" s="30" t="str">
        <f>IF($AH410="","",IF($AH410&lt;Settings!$C$46,"Extreme Sell Pressure",IF($AH410&lt;Settings!$C$47,"Sell Pressure",IF($AH410&lt;=Settings!$C$48,"Neutral",IF($AH410&lt;=Settings!$C$49,"Buy Pressure","Extreme Buy Pressure")))))</f>
        <v/>
      </c>
      <c r="AK410" s="30" t="str">
        <f t="shared" si="113"/>
        <v/>
      </c>
      <c r="AL410" s="30" t="str">
        <f t="shared" si="114"/>
        <v/>
      </c>
      <c r="AM410" s="30" t="str">
        <f t="shared" si="115"/>
        <v/>
      </c>
      <c r="AN410" s="30" t="str">
        <f t="shared" si="116"/>
        <v/>
      </c>
      <c r="AO410" s="29" t="str">
        <f>IF($B410="","",IF(AND(N($L410)=0,N($M410)=0),50,IF(N($M410)=0,100,IF(N($L410)=0,0,MEDIAN(0,100,50+50*LN($S410)/LN(Settings!$C$40))))))</f>
        <v/>
      </c>
      <c r="AP410" s="29">
        <f>IF($AA410="",50,MEDIAN(0,100,50+$AA410*100*Settings!$C$41))</f>
        <v>50</v>
      </c>
      <c r="AQ410" s="29">
        <f>IF($H410="",50,MEDIAN(0,100,50+$H410*100*Settings!$C$42))</f>
        <v>50</v>
      </c>
      <c r="AR410" s="29">
        <f>IF(OR($AC410="",$H410=""),50,MEDIAN(0,100,50+SIGN($H410)*50*MEDIAN(0,1,($AC410-1)/Settings!$C$43)))</f>
        <v>50</v>
      </c>
      <c r="AS410" s="29">
        <f>IF(OR($V410="",$W410=""),50,MEDIAN(0,100,50+50*($V410-$W410)/Settings!$C$44))</f>
        <v>50</v>
      </c>
      <c r="AT410" s="29">
        <f t="shared" si="117"/>
        <v>50</v>
      </c>
      <c r="AU410" s="30" t="str">
        <f t="shared" si="118"/>
        <v/>
      </c>
      <c r="AV410" s="87" t="str">
        <f>IF($A410="","",IF(COUNTIFS($A$4:$A410,$A410)=1,1,0))</f>
        <v/>
      </c>
    </row>
    <row r="411" spans="1:48" x14ac:dyDescent="0.3">
      <c r="A411" s="270"/>
      <c r="B411" s="271"/>
      <c r="C411" s="272"/>
      <c r="D411" s="272"/>
      <c r="E411" s="272"/>
      <c r="F411" s="272"/>
      <c r="G411" s="272"/>
      <c r="H411" s="268" t="str">
        <f t="shared" si="102"/>
        <v/>
      </c>
      <c r="I411" s="273"/>
      <c r="J411" s="273"/>
      <c r="K411" s="273"/>
      <c r="L411" s="273"/>
      <c r="M411" s="273"/>
      <c r="N411" s="273"/>
      <c r="O411" s="271"/>
      <c r="P411" s="270"/>
      <c r="Q411" s="271"/>
      <c r="R411" s="23" t="str" cm="1">
        <f t="array" ref="R411">IF($B411="","",IFERROR(IF(INDEX('Data Quality'!$U$4:$U$503,ROW()-3)=0,"PENDING",INDEX('Data Quality'!$U$4:$U$503,ROW()-3)),"PENDING"))</f>
        <v/>
      </c>
      <c r="S411" s="24" t="str">
        <f t="shared" si="103"/>
        <v/>
      </c>
      <c r="T411" s="25" t="str">
        <f t="shared" si="104"/>
        <v/>
      </c>
      <c r="U411" s="25" t="str">
        <f t="shared" si="105"/>
        <v/>
      </c>
      <c r="V411" s="26" t="str">
        <f t="shared" si="106"/>
        <v/>
      </c>
      <c r="W411" s="26" t="str">
        <f t="shared" si="107"/>
        <v/>
      </c>
      <c r="X411" s="25" t="str">
        <f t="shared" si="108"/>
        <v/>
      </c>
      <c r="Y411" s="25" t="str">
        <f t="shared" si="109"/>
        <v/>
      </c>
      <c r="Z411" s="27" t="str">
        <f>IF($B411="","",IF($AK411&lt;=Settings!$C$21,"",IFERROR(AVERAGEIFS($S$4:$S$503,$B$4:$B$503,$B411,$AK$4:$AK$503,"&gt;="&amp;$AK411-Settings!$C$21,$AK$4:$AK$503,"&lt;="&amp;$AK411-1),"")))</f>
        <v/>
      </c>
      <c r="AA411" s="28" t="str">
        <f t="shared" si="110"/>
        <v/>
      </c>
      <c r="AB411" s="25" t="str">
        <f>IF($B411="","",IF($AK411&lt;=Settings!$C$22,"",IFERROR(AVERAGEIFS($K$4:$K$503,$B$4:$B$503,$B411,$AK$4:$AK$503,"&gt;="&amp;$AK411-Settings!$C$22,$AK$4:$AK$503,"&lt;="&amp;$AK411-1),"")))</f>
        <v/>
      </c>
      <c r="AC411" s="27" t="str">
        <f t="shared" si="111"/>
        <v/>
      </c>
      <c r="AD411" s="28" t="str">
        <f>IF($B411="","",IF($AK411&lt;=Settings!$C$23,"",IFERROR($E411/SUMIFS($E$4:$E$503,$B$4:$B$503,$B411,$AK$4:$AK$503,$AK411-Settings!$C$23)-1,"")))</f>
        <v/>
      </c>
      <c r="AE411" s="28" t="str">
        <f>IF($B411="","",IF($AK411&lt;=Settings!$C$22,"",IFERROR($E411/SUMIFS($E$4:$E$503,$B$4:$B$503,$B411,$AK$4:$AK$503,$AK411-Settings!$C$22)-1,"")))</f>
        <v/>
      </c>
      <c r="AF411" s="28" t="str">
        <f t="shared" si="112"/>
        <v/>
      </c>
      <c r="AG411" s="29" t="str">
        <f>IF($B411="","",ROUND((MIN(100,100*N($I411)/Settings!$C$27)+MIN(100,100*N($K411)/Settings!$C$28)+MIN(100,100*N($J411)/Settings!$C$29))/3,1))</f>
        <v/>
      </c>
      <c r="AH411" s="29" t="str">
        <f>IF($B411="","",IF(SUM(Settings!$C$32:$C$37)=0,"",ROUND((Settings!$C$32*$AO411+Settings!$C$33*$AP411+Settings!$C$34*$AQ411+Settings!$C$35*$AR411+Settings!$C$36*$AS411+Settings!$C$37*$AT411)/SUM(Settings!$C$32:$C$37),1)))</f>
        <v/>
      </c>
      <c r="AI411" s="29" t="str">
        <f>IF($B411="","",MAX(0,100-IF(N($N411)&gt;0,0,20)-IF(AND(N($L411)=0,N($M411)=0),15,0)-IF(N($J411)&gt;0,0,10)-IF(N($K411)&gt;0,0,10)-IF($Z411&lt;&gt;"",0,15)-IF($AB411&lt;&gt;"",0,10)-IF($R411="ERROR",20,IF($R411="WARNING",10,0))))</f>
        <v/>
      </c>
      <c r="AJ411" s="30" t="str">
        <f>IF($AH411="","",IF($AH411&lt;Settings!$C$46,"Extreme Sell Pressure",IF($AH411&lt;Settings!$C$47,"Sell Pressure",IF($AH411&lt;=Settings!$C$48,"Neutral",IF($AH411&lt;=Settings!$C$49,"Buy Pressure","Extreme Buy Pressure")))))</f>
        <v/>
      </c>
      <c r="AK411" s="30" t="str">
        <f t="shared" si="113"/>
        <v/>
      </c>
      <c r="AL411" s="30" t="str">
        <f t="shared" si="114"/>
        <v/>
      </c>
      <c r="AM411" s="30" t="str">
        <f t="shared" si="115"/>
        <v/>
      </c>
      <c r="AN411" s="30" t="str">
        <f t="shared" si="116"/>
        <v/>
      </c>
      <c r="AO411" s="29" t="str">
        <f>IF($B411="","",IF(AND(N($L411)=0,N($M411)=0),50,IF(N($M411)=0,100,IF(N($L411)=0,0,MEDIAN(0,100,50+50*LN($S411)/LN(Settings!$C$40))))))</f>
        <v/>
      </c>
      <c r="AP411" s="29">
        <f>IF($AA411="",50,MEDIAN(0,100,50+$AA411*100*Settings!$C$41))</f>
        <v>50</v>
      </c>
      <c r="AQ411" s="29">
        <f>IF($H411="",50,MEDIAN(0,100,50+$H411*100*Settings!$C$42))</f>
        <v>50</v>
      </c>
      <c r="AR411" s="29">
        <f>IF(OR($AC411="",$H411=""),50,MEDIAN(0,100,50+SIGN($H411)*50*MEDIAN(0,1,($AC411-1)/Settings!$C$43)))</f>
        <v>50</v>
      </c>
      <c r="AS411" s="29">
        <f>IF(OR($V411="",$W411=""),50,MEDIAN(0,100,50+50*($V411-$W411)/Settings!$C$44))</f>
        <v>50</v>
      </c>
      <c r="AT411" s="29">
        <f t="shared" si="117"/>
        <v>50</v>
      </c>
      <c r="AU411" s="30" t="str">
        <f t="shared" si="118"/>
        <v/>
      </c>
      <c r="AV411" s="87" t="str">
        <f>IF($A411="","",IF(COUNTIFS($A$4:$A411,$A411)=1,1,0))</f>
        <v/>
      </c>
    </row>
    <row r="412" spans="1:48" x14ac:dyDescent="0.3">
      <c r="A412" s="270"/>
      <c r="B412" s="271"/>
      <c r="C412" s="272"/>
      <c r="D412" s="272"/>
      <c r="E412" s="272"/>
      <c r="F412" s="272"/>
      <c r="G412" s="272"/>
      <c r="H412" s="268" t="str">
        <f t="shared" si="102"/>
        <v/>
      </c>
      <c r="I412" s="273"/>
      <c r="J412" s="273"/>
      <c r="K412" s="273"/>
      <c r="L412" s="273"/>
      <c r="M412" s="273"/>
      <c r="N412" s="273"/>
      <c r="O412" s="271"/>
      <c r="P412" s="270"/>
      <c r="Q412" s="271"/>
      <c r="R412" s="23" t="str" cm="1">
        <f t="array" ref="R412">IF($B412="","",IFERROR(IF(INDEX('Data Quality'!$U$4:$U$503,ROW()-3)=0,"PENDING",INDEX('Data Quality'!$U$4:$U$503,ROW()-3)),"PENDING"))</f>
        <v/>
      </c>
      <c r="S412" s="24" t="str">
        <f t="shared" si="103"/>
        <v/>
      </c>
      <c r="T412" s="25" t="str">
        <f t="shared" si="104"/>
        <v/>
      </c>
      <c r="U412" s="25" t="str">
        <f t="shared" si="105"/>
        <v/>
      </c>
      <c r="V412" s="26" t="str">
        <f t="shared" si="106"/>
        <v/>
      </c>
      <c r="W412" s="26" t="str">
        <f t="shared" si="107"/>
        <v/>
      </c>
      <c r="X412" s="25" t="str">
        <f t="shared" si="108"/>
        <v/>
      </c>
      <c r="Y412" s="25" t="str">
        <f t="shared" si="109"/>
        <v/>
      </c>
      <c r="Z412" s="27" t="str">
        <f>IF($B412="","",IF($AK412&lt;=Settings!$C$21,"",IFERROR(AVERAGEIFS($S$4:$S$503,$B$4:$B$503,$B412,$AK$4:$AK$503,"&gt;="&amp;$AK412-Settings!$C$21,$AK$4:$AK$503,"&lt;="&amp;$AK412-1),"")))</f>
        <v/>
      </c>
      <c r="AA412" s="28" t="str">
        <f t="shared" si="110"/>
        <v/>
      </c>
      <c r="AB412" s="25" t="str">
        <f>IF($B412="","",IF($AK412&lt;=Settings!$C$22,"",IFERROR(AVERAGEIFS($K$4:$K$503,$B$4:$B$503,$B412,$AK$4:$AK$503,"&gt;="&amp;$AK412-Settings!$C$22,$AK$4:$AK$503,"&lt;="&amp;$AK412-1),"")))</f>
        <v/>
      </c>
      <c r="AC412" s="27" t="str">
        <f t="shared" si="111"/>
        <v/>
      </c>
      <c r="AD412" s="28" t="str">
        <f>IF($B412="","",IF($AK412&lt;=Settings!$C$23,"",IFERROR($E412/SUMIFS($E$4:$E$503,$B$4:$B$503,$B412,$AK$4:$AK$503,$AK412-Settings!$C$23)-1,"")))</f>
        <v/>
      </c>
      <c r="AE412" s="28" t="str">
        <f>IF($B412="","",IF($AK412&lt;=Settings!$C$22,"",IFERROR($E412/SUMIFS($E$4:$E$503,$B$4:$B$503,$B412,$AK$4:$AK$503,$AK412-Settings!$C$22)-1,"")))</f>
        <v/>
      </c>
      <c r="AF412" s="28" t="str">
        <f t="shared" si="112"/>
        <v/>
      </c>
      <c r="AG412" s="29" t="str">
        <f>IF($B412="","",ROUND((MIN(100,100*N($I412)/Settings!$C$27)+MIN(100,100*N($K412)/Settings!$C$28)+MIN(100,100*N($J412)/Settings!$C$29))/3,1))</f>
        <v/>
      </c>
      <c r="AH412" s="29" t="str">
        <f>IF($B412="","",IF(SUM(Settings!$C$32:$C$37)=0,"",ROUND((Settings!$C$32*$AO412+Settings!$C$33*$AP412+Settings!$C$34*$AQ412+Settings!$C$35*$AR412+Settings!$C$36*$AS412+Settings!$C$37*$AT412)/SUM(Settings!$C$32:$C$37),1)))</f>
        <v/>
      </c>
      <c r="AI412" s="29" t="str">
        <f>IF($B412="","",MAX(0,100-IF(N($N412)&gt;0,0,20)-IF(AND(N($L412)=0,N($M412)=0),15,0)-IF(N($J412)&gt;0,0,10)-IF(N($K412)&gt;0,0,10)-IF($Z412&lt;&gt;"",0,15)-IF($AB412&lt;&gt;"",0,10)-IF($R412="ERROR",20,IF($R412="WARNING",10,0))))</f>
        <v/>
      </c>
      <c r="AJ412" s="30" t="str">
        <f>IF($AH412="","",IF($AH412&lt;Settings!$C$46,"Extreme Sell Pressure",IF($AH412&lt;Settings!$C$47,"Sell Pressure",IF($AH412&lt;=Settings!$C$48,"Neutral",IF($AH412&lt;=Settings!$C$49,"Buy Pressure","Extreme Buy Pressure")))))</f>
        <v/>
      </c>
      <c r="AK412" s="30" t="str">
        <f t="shared" si="113"/>
        <v/>
      </c>
      <c r="AL412" s="30" t="str">
        <f t="shared" si="114"/>
        <v/>
      </c>
      <c r="AM412" s="30" t="str">
        <f t="shared" si="115"/>
        <v/>
      </c>
      <c r="AN412" s="30" t="str">
        <f t="shared" si="116"/>
        <v/>
      </c>
      <c r="AO412" s="29" t="str">
        <f>IF($B412="","",IF(AND(N($L412)=0,N($M412)=0),50,IF(N($M412)=0,100,IF(N($L412)=0,0,MEDIAN(0,100,50+50*LN($S412)/LN(Settings!$C$40))))))</f>
        <v/>
      </c>
      <c r="AP412" s="29">
        <f>IF($AA412="",50,MEDIAN(0,100,50+$AA412*100*Settings!$C$41))</f>
        <v>50</v>
      </c>
      <c r="AQ412" s="29">
        <f>IF($H412="",50,MEDIAN(0,100,50+$H412*100*Settings!$C$42))</f>
        <v>50</v>
      </c>
      <c r="AR412" s="29">
        <f>IF(OR($AC412="",$H412=""),50,MEDIAN(0,100,50+SIGN($H412)*50*MEDIAN(0,1,($AC412-1)/Settings!$C$43)))</f>
        <v>50</v>
      </c>
      <c r="AS412" s="29">
        <f>IF(OR($V412="",$W412=""),50,MEDIAN(0,100,50+50*($V412-$W412)/Settings!$C$44))</f>
        <v>50</v>
      </c>
      <c r="AT412" s="29">
        <f t="shared" si="117"/>
        <v>50</v>
      </c>
      <c r="AU412" s="30" t="str">
        <f t="shared" si="118"/>
        <v/>
      </c>
      <c r="AV412" s="87" t="str">
        <f>IF($A412="","",IF(COUNTIFS($A$4:$A412,$A412)=1,1,0))</f>
        <v/>
      </c>
    </row>
    <row r="413" spans="1:48" x14ac:dyDescent="0.3">
      <c r="A413" s="270"/>
      <c r="B413" s="271"/>
      <c r="C413" s="272"/>
      <c r="D413" s="272"/>
      <c r="E413" s="272"/>
      <c r="F413" s="272"/>
      <c r="G413" s="272"/>
      <c r="H413" s="268" t="str">
        <f t="shared" si="102"/>
        <v/>
      </c>
      <c r="I413" s="273"/>
      <c r="J413" s="273"/>
      <c r="K413" s="273"/>
      <c r="L413" s="273"/>
      <c r="M413" s="273"/>
      <c r="N413" s="273"/>
      <c r="O413" s="271"/>
      <c r="P413" s="270"/>
      <c r="Q413" s="271"/>
      <c r="R413" s="23" t="str" cm="1">
        <f t="array" ref="R413">IF($B413="","",IFERROR(IF(INDEX('Data Quality'!$U$4:$U$503,ROW()-3)=0,"PENDING",INDEX('Data Quality'!$U$4:$U$503,ROW()-3)),"PENDING"))</f>
        <v/>
      </c>
      <c r="S413" s="24" t="str">
        <f t="shared" si="103"/>
        <v/>
      </c>
      <c r="T413" s="25" t="str">
        <f t="shared" si="104"/>
        <v/>
      </c>
      <c r="U413" s="25" t="str">
        <f t="shared" si="105"/>
        <v/>
      </c>
      <c r="V413" s="26" t="str">
        <f t="shared" si="106"/>
        <v/>
      </c>
      <c r="W413" s="26" t="str">
        <f t="shared" si="107"/>
        <v/>
      </c>
      <c r="X413" s="25" t="str">
        <f t="shared" si="108"/>
        <v/>
      </c>
      <c r="Y413" s="25" t="str">
        <f t="shared" si="109"/>
        <v/>
      </c>
      <c r="Z413" s="27" t="str">
        <f>IF($B413="","",IF($AK413&lt;=Settings!$C$21,"",IFERROR(AVERAGEIFS($S$4:$S$503,$B$4:$B$503,$B413,$AK$4:$AK$503,"&gt;="&amp;$AK413-Settings!$C$21,$AK$4:$AK$503,"&lt;="&amp;$AK413-1),"")))</f>
        <v/>
      </c>
      <c r="AA413" s="28" t="str">
        <f t="shared" si="110"/>
        <v/>
      </c>
      <c r="AB413" s="25" t="str">
        <f>IF($B413="","",IF($AK413&lt;=Settings!$C$22,"",IFERROR(AVERAGEIFS($K$4:$K$503,$B$4:$B$503,$B413,$AK$4:$AK$503,"&gt;="&amp;$AK413-Settings!$C$22,$AK$4:$AK$503,"&lt;="&amp;$AK413-1),"")))</f>
        <v/>
      </c>
      <c r="AC413" s="27" t="str">
        <f t="shared" si="111"/>
        <v/>
      </c>
      <c r="AD413" s="28" t="str">
        <f>IF($B413="","",IF($AK413&lt;=Settings!$C$23,"",IFERROR($E413/SUMIFS($E$4:$E$503,$B$4:$B$503,$B413,$AK$4:$AK$503,$AK413-Settings!$C$23)-1,"")))</f>
        <v/>
      </c>
      <c r="AE413" s="28" t="str">
        <f>IF($B413="","",IF($AK413&lt;=Settings!$C$22,"",IFERROR($E413/SUMIFS($E$4:$E$503,$B$4:$B$503,$B413,$AK$4:$AK$503,$AK413-Settings!$C$22)-1,"")))</f>
        <v/>
      </c>
      <c r="AF413" s="28" t="str">
        <f t="shared" si="112"/>
        <v/>
      </c>
      <c r="AG413" s="29" t="str">
        <f>IF($B413="","",ROUND((MIN(100,100*N($I413)/Settings!$C$27)+MIN(100,100*N($K413)/Settings!$C$28)+MIN(100,100*N($J413)/Settings!$C$29))/3,1))</f>
        <v/>
      </c>
      <c r="AH413" s="29" t="str">
        <f>IF($B413="","",IF(SUM(Settings!$C$32:$C$37)=0,"",ROUND((Settings!$C$32*$AO413+Settings!$C$33*$AP413+Settings!$C$34*$AQ413+Settings!$C$35*$AR413+Settings!$C$36*$AS413+Settings!$C$37*$AT413)/SUM(Settings!$C$32:$C$37),1)))</f>
        <v/>
      </c>
      <c r="AI413" s="29" t="str">
        <f>IF($B413="","",MAX(0,100-IF(N($N413)&gt;0,0,20)-IF(AND(N($L413)=0,N($M413)=0),15,0)-IF(N($J413)&gt;0,0,10)-IF(N($K413)&gt;0,0,10)-IF($Z413&lt;&gt;"",0,15)-IF($AB413&lt;&gt;"",0,10)-IF($R413="ERROR",20,IF($R413="WARNING",10,0))))</f>
        <v/>
      </c>
      <c r="AJ413" s="30" t="str">
        <f>IF($AH413="","",IF($AH413&lt;Settings!$C$46,"Extreme Sell Pressure",IF($AH413&lt;Settings!$C$47,"Sell Pressure",IF($AH413&lt;=Settings!$C$48,"Neutral",IF($AH413&lt;=Settings!$C$49,"Buy Pressure","Extreme Buy Pressure")))))</f>
        <v/>
      </c>
      <c r="AK413" s="30" t="str">
        <f t="shared" si="113"/>
        <v/>
      </c>
      <c r="AL413" s="30" t="str">
        <f t="shared" si="114"/>
        <v/>
      </c>
      <c r="AM413" s="30" t="str">
        <f t="shared" si="115"/>
        <v/>
      </c>
      <c r="AN413" s="30" t="str">
        <f t="shared" si="116"/>
        <v/>
      </c>
      <c r="AO413" s="29" t="str">
        <f>IF($B413="","",IF(AND(N($L413)=0,N($M413)=0),50,IF(N($M413)=0,100,IF(N($L413)=0,0,MEDIAN(0,100,50+50*LN($S413)/LN(Settings!$C$40))))))</f>
        <v/>
      </c>
      <c r="AP413" s="29">
        <f>IF($AA413="",50,MEDIAN(0,100,50+$AA413*100*Settings!$C$41))</f>
        <v>50</v>
      </c>
      <c r="AQ413" s="29">
        <f>IF($H413="",50,MEDIAN(0,100,50+$H413*100*Settings!$C$42))</f>
        <v>50</v>
      </c>
      <c r="AR413" s="29">
        <f>IF(OR($AC413="",$H413=""),50,MEDIAN(0,100,50+SIGN($H413)*50*MEDIAN(0,1,($AC413-1)/Settings!$C$43)))</f>
        <v>50</v>
      </c>
      <c r="AS413" s="29">
        <f>IF(OR($V413="",$W413=""),50,MEDIAN(0,100,50+50*($V413-$W413)/Settings!$C$44))</f>
        <v>50</v>
      </c>
      <c r="AT413" s="29">
        <f t="shared" si="117"/>
        <v>50</v>
      </c>
      <c r="AU413" s="30" t="str">
        <f t="shared" si="118"/>
        <v/>
      </c>
      <c r="AV413" s="87" t="str">
        <f>IF($A413="","",IF(COUNTIFS($A$4:$A413,$A413)=1,1,0))</f>
        <v/>
      </c>
    </row>
    <row r="414" spans="1:48" x14ac:dyDescent="0.3">
      <c r="A414" s="270"/>
      <c r="B414" s="271"/>
      <c r="C414" s="272"/>
      <c r="D414" s="272"/>
      <c r="E414" s="272"/>
      <c r="F414" s="272"/>
      <c r="G414" s="272"/>
      <c r="H414" s="268" t="str">
        <f t="shared" si="102"/>
        <v/>
      </c>
      <c r="I414" s="273"/>
      <c r="J414" s="273"/>
      <c r="K414" s="273"/>
      <c r="L414" s="273"/>
      <c r="M414" s="273"/>
      <c r="N414" s="273"/>
      <c r="O414" s="271"/>
      <c r="P414" s="270"/>
      <c r="Q414" s="271"/>
      <c r="R414" s="23" t="str" cm="1">
        <f t="array" ref="R414">IF($B414="","",IFERROR(IF(INDEX('Data Quality'!$U$4:$U$503,ROW()-3)=0,"PENDING",INDEX('Data Quality'!$U$4:$U$503,ROW()-3)),"PENDING"))</f>
        <v/>
      </c>
      <c r="S414" s="24" t="str">
        <f t="shared" si="103"/>
        <v/>
      </c>
      <c r="T414" s="25" t="str">
        <f t="shared" si="104"/>
        <v/>
      </c>
      <c r="U414" s="25" t="str">
        <f t="shared" si="105"/>
        <v/>
      </c>
      <c r="V414" s="26" t="str">
        <f t="shared" si="106"/>
        <v/>
      </c>
      <c r="W414" s="26" t="str">
        <f t="shared" si="107"/>
        <v/>
      </c>
      <c r="X414" s="25" t="str">
        <f t="shared" si="108"/>
        <v/>
      </c>
      <c r="Y414" s="25" t="str">
        <f t="shared" si="109"/>
        <v/>
      </c>
      <c r="Z414" s="27" t="str">
        <f>IF($B414="","",IF($AK414&lt;=Settings!$C$21,"",IFERROR(AVERAGEIFS($S$4:$S$503,$B$4:$B$503,$B414,$AK$4:$AK$503,"&gt;="&amp;$AK414-Settings!$C$21,$AK$4:$AK$503,"&lt;="&amp;$AK414-1),"")))</f>
        <v/>
      </c>
      <c r="AA414" s="28" t="str">
        <f t="shared" si="110"/>
        <v/>
      </c>
      <c r="AB414" s="25" t="str">
        <f>IF($B414="","",IF($AK414&lt;=Settings!$C$22,"",IFERROR(AVERAGEIFS($K$4:$K$503,$B$4:$B$503,$B414,$AK$4:$AK$503,"&gt;="&amp;$AK414-Settings!$C$22,$AK$4:$AK$503,"&lt;="&amp;$AK414-1),"")))</f>
        <v/>
      </c>
      <c r="AC414" s="27" t="str">
        <f t="shared" si="111"/>
        <v/>
      </c>
      <c r="AD414" s="28" t="str">
        <f>IF($B414="","",IF($AK414&lt;=Settings!$C$23,"",IFERROR($E414/SUMIFS($E$4:$E$503,$B$4:$B$503,$B414,$AK$4:$AK$503,$AK414-Settings!$C$23)-1,"")))</f>
        <v/>
      </c>
      <c r="AE414" s="28" t="str">
        <f>IF($B414="","",IF($AK414&lt;=Settings!$C$22,"",IFERROR($E414/SUMIFS($E$4:$E$503,$B$4:$B$503,$B414,$AK$4:$AK$503,$AK414-Settings!$C$22)-1,"")))</f>
        <v/>
      </c>
      <c r="AF414" s="28" t="str">
        <f t="shared" si="112"/>
        <v/>
      </c>
      <c r="AG414" s="29" t="str">
        <f>IF($B414="","",ROUND((MIN(100,100*N($I414)/Settings!$C$27)+MIN(100,100*N($K414)/Settings!$C$28)+MIN(100,100*N($J414)/Settings!$C$29))/3,1))</f>
        <v/>
      </c>
      <c r="AH414" s="29" t="str">
        <f>IF($B414="","",IF(SUM(Settings!$C$32:$C$37)=0,"",ROUND((Settings!$C$32*$AO414+Settings!$C$33*$AP414+Settings!$C$34*$AQ414+Settings!$C$35*$AR414+Settings!$C$36*$AS414+Settings!$C$37*$AT414)/SUM(Settings!$C$32:$C$37),1)))</f>
        <v/>
      </c>
      <c r="AI414" s="29" t="str">
        <f>IF($B414="","",MAX(0,100-IF(N($N414)&gt;0,0,20)-IF(AND(N($L414)=0,N($M414)=0),15,0)-IF(N($J414)&gt;0,0,10)-IF(N($K414)&gt;0,0,10)-IF($Z414&lt;&gt;"",0,15)-IF($AB414&lt;&gt;"",0,10)-IF($R414="ERROR",20,IF($R414="WARNING",10,0))))</f>
        <v/>
      </c>
      <c r="AJ414" s="30" t="str">
        <f>IF($AH414="","",IF($AH414&lt;Settings!$C$46,"Extreme Sell Pressure",IF($AH414&lt;Settings!$C$47,"Sell Pressure",IF($AH414&lt;=Settings!$C$48,"Neutral",IF($AH414&lt;=Settings!$C$49,"Buy Pressure","Extreme Buy Pressure")))))</f>
        <v/>
      </c>
      <c r="AK414" s="30" t="str">
        <f t="shared" si="113"/>
        <v/>
      </c>
      <c r="AL414" s="30" t="str">
        <f t="shared" si="114"/>
        <v/>
      </c>
      <c r="AM414" s="30" t="str">
        <f t="shared" si="115"/>
        <v/>
      </c>
      <c r="AN414" s="30" t="str">
        <f t="shared" si="116"/>
        <v/>
      </c>
      <c r="AO414" s="29" t="str">
        <f>IF($B414="","",IF(AND(N($L414)=0,N($M414)=0),50,IF(N($M414)=0,100,IF(N($L414)=0,0,MEDIAN(0,100,50+50*LN($S414)/LN(Settings!$C$40))))))</f>
        <v/>
      </c>
      <c r="AP414" s="29">
        <f>IF($AA414="",50,MEDIAN(0,100,50+$AA414*100*Settings!$C$41))</f>
        <v>50</v>
      </c>
      <c r="AQ414" s="29">
        <f>IF($H414="",50,MEDIAN(0,100,50+$H414*100*Settings!$C$42))</f>
        <v>50</v>
      </c>
      <c r="AR414" s="29">
        <f>IF(OR($AC414="",$H414=""),50,MEDIAN(0,100,50+SIGN($H414)*50*MEDIAN(0,1,($AC414-1)/Settings!$C$43)))</f>
        <v>50</v>
      </c>
      <c r="AS414" s="29">
        <f>IF(OR($V414="",$W414=""),50,MEDIAN(0,100,50+50*($V414-$W414)/Settings!$C$44))</f>
        <v>50</v>
      </c>
      <c r="AT414" s="29">
        <f t="shared" si="117"/>
        <v>50</v>
      </c>
      <c r="AU414" s="30" t="str">
        <f t="shared" si="118"/>
        <v/>
      </c>
      <c r="AV414" s="87" t="str">
        <f>IF($A414="","",IF(COUNTIFS($A$4:$A414,$A414)=1,1,0))</f>
        <v/>
      </c>
    </row>
    <row r="415" spans="1:48" x14ac:dyDescent="0.3">
      <c r="A415" s="270"/>
      <c r="B415" s="271"/>
      <c r="C415" s="272"/>
      <c r="D415" s="272"/>
      <c r="E415" s="272"/>
      <c r="F415" s="272"/>
      <c r="G415" s="272"/>
      <c r="H415" s="268" t="str">
        <f t="shared" si="102"/>
        <v/>
      </c>
      <c r="I415" s="273"/>
      <c r="J415" s="273"/>
      <c r="K415" s="273"/>
      <c r="L415" s="273"/>
      <c r="M415" s="273"/>
      <c r="N415" s="273"/>
      <c r="O415" s="271"/>
      <c r="P415" s="270"/>
      <c r="Q415" s="271"/>
      <c r="R415" s="23" t="str" cm="1">
        <f t="array" ref="R415">IF($B415="","",IFERROR(IF(INDEX('Data Quality'!$U$4:$U$503,ROW()-3)=0,"PENDING",INDEX('Data Quality'!$U$4:$U$503,ROW()-3)),"PENDING"))</f>
        <v/>
      </c>
      <c r="S415" s="24" t="str">
        <f t="shared" si="103"/>
        <v/>
      </c>
      <c r="T415" s="25" t="str">
        <f t="shared" si="104"/>
        <v/>
      </c>
      <c r="U415" s="25" t="str">
        <f t="shared" si="105"/>
        <v/>
      </c>
      <c r="V415" s="26" t="str">
        <f t="shared" si="106"/>
        <v/>
      </c>
      <c r="W415" s="26" t="str">
        <f t="shared" si="107"/>
        <v/>
      </c>
      <c r="X415" s="25" t="str">
        <f t="shared" si="108"/>
        <v/>
      </c>
      <c r="Y415" s="25" t="str">
        <f t="shared" si="109"/>
        <v/>
      </c>
      <c r="Z415" s="27" t="str">
        <f>IF($B415="","",IF($AK415&lt;=Settings!$C$21,"",IFERROR(AVERAGEIFS($S$4:$S$503,$B$4:$B$503,$B415,$AK$4:$AK$503,"&gt;="&amp;$AK415-Settings!$C$21,$AK$4:$AK$503,"&lt;="&amp;$AK415-1),"")))</f>
        <v/>
      </c>
      <c r="AA415" s="28" t="str">
        <f t="shared" si="110"/>
        <v/>
      </c>
      <c r="AB415" s="25" t="str">
        <f>IF($B415="","",IF($AK415&lt;=Settings!$C$22,"",IFERROR(AVERAGEIFS($K$4:$K$503,$B$4:$B$503,$B415,$AK$4:$AK$503,"&gt;="&amp;$AK415-Settings!$C$22,$AK$4:$AK$503,"&lt;="&amp;$AK415-1),"")))</f>
        <v/>
      </c>
      <c r="AC415" s="27" t="str">
        <f t="shared" si="111"/>
        <v/>
      </c>
      <c r="AD415" s="28" t="str">
        <f>IF($B415="","",IF($AK415&lt;=Settings!$C$23,"",IFERROR($E415/SUMIFS($E$4:$E$503,$B$4:$B$503,$B415,$AK$4:$AK$503,$AK415-Settings!$C$23)-1,"")))</f>
        <v/>
      </c>
      <c r="AE415" s="28" t="str">
        <f>IF($B415="","",IF($AK415&lt;=Settings!$C$22,"",IFERROR($E415/SUMIFS($E$4:$E$503,$B$4:$B$503,$B415,$AK$4:$AK$503,$AK415-Settings!$C$22)-1,"")))</f>
        <v/>
      </c>
      <c r="AF415" s="28" t="str">
        <f t="shared" si="112"/>
        <v/>
      </c>
      <c r="AG415" s="29" t="str">
        <f>IF($B415="","",ROUND((MIN(100,100*N($I415)/Settings!$C$27)+MIN(100,100*N($K415)/Settings!$C$28)+MIN(100,100*N($J415)/Settings!$C$29))/3,1))</f>
        <v/>
      </c>
      <c r="AH415" s="29" t="str">
        <f>IF($B415="","",IF(SUM(Settings!$C$32:$C$37)=0,"",ROUND((Settings!$C$32*$AO415+Settings!$C$33*$AP415+Settings!$C$34*$AQ415+Settings!$C$35*$AR415+Settings!$C$36*$AS415+Settings!$C$37*$AT415)/SUM(Settings!$C$32:$C$37),1)))</f>
        <v/>
      </c>
      <c r="AI415" s="29" t="str">
        <f>IF($B415="","",MAX(0,100-IF(N($N415)&gt;0,0,20)-IF(AND(N($L415)=0,N($M415)=0),15,0)-IF(N($J415)&gt;0,0,10)-IF(N($K415)&gt;0,0,10)-IF($Z415&lt;&gt;"",0,15)-IF($AB415&lt;&gt;"",0,10)-IF($R415="ERROR",20,IF($R415="WARNING",10,0))))</f>
        <v/>
      </c>
      <c r="AJ415" s="30" t="str">
        <f>IF($AH415="","",IF($AH415&lt;Settings!$C$46,"Extreme Sell Pressure",IF($AH415&lt;Settings!$C$47,"Sell Pressure",IF($AH415&lt;=Settings!$C$48,"Neutral",IF($AH415&lt;=Settings!$C$49,"Buy Pressure","Extreme Buy Pressure")))))</f>
        <v/>
      </c>
      <c r="AK415" s="30" t="str">
        <f t="shared" si="113"/>
        <v/>
      </c>
      <c r="AL415" s="30" t="str">
        <f t="shared" si="114"/>
        <v/>
      </c>
      <c r="AM415" s="30" t="str">
        <f t="shared" si="115"/>
        <v/>
      </c>
      <c r="AN415" s="30" t="str">
        <f t="shared" si="116"/>
        <v/>
      </c>
      <c r="AO415" s="29" t="str">
        <f>IF($B415="","",IF(AND(N($L415)=0,N($M415)=0),50,IF(N($M415)=0,100,IF(N($L415)=0,0,MEDIAN(0,100,50+50*LN($S415)/LN(Settings!$C$40))))))</f>
        <v/>
      </c>
      <c r="AP415" s="29">
        <f>IF($AA415="",50,MEDIAN(0,100,50+$AA415*100*Settings!$C$41))</f>
        <v>50</v>
      </c>
      <c r="AQ415" s="29">
        <f>IF($H415="",50,MEDIAN(0,100,50+$H415*100*Settings!$C$42))</f>
        <v>50</v>
      </c>
      <c r="AR415" s="29">
        <f>IF(OR($AC415="",$H415=""),50,MEDIAN(0,100,50+SIGN($H415)*50*MEDIAN(0,1,($AC415-1)/Settings!$C$43)))</f>
        <v>50</v>
      </c>
      <c r="AS415" s="29">
        <f>IF(OR($V415="",$W415=""),50,MEDIAN(0,100,50+50*($V415-$W415)/Settings!$C$44))</f>
        <v>50</v>
      </c>
      <c r="AT415" s="29">
        <f t="shared" si="117"/>
        <v>50</v>
      </c>
      <c r="AU415" s="30" t="str">
        <f t="shared" si="118"/>
        <v/>
      </c>
      <c r="AV415" s="87" t="str">
        <f>IF($A415="","",IF(COUNTIFS($A$4:$A415,$A415)=1,1,0))</f>
        <v/>
      </c>
    </row>
    <row r="416" spans="1:48" x14ac:dyDescent="0.3">
      <c r="A416" s="270"/>
      <c r="B416" s="271"/>
      <c r="C416" s="272"/>
      <c r="D416" s="272"/>
      <c r="E416" s="272"/>
      <c r="F416" s="272"/>
      <c r="G416" s="272"/>
      <c r="H416" s="268" t="str">
        <f t="shared" si="102"/>
        <v/>
      </c>
      <c r="I416" s="273"/>
      <c r="J416" s="273"/>
      <c r="K416" s="273"/>
      <c r="L416" s="273"/>
      <c r="M416" s="273"/>
      <c r="N416" s="273"/>
      <c r="O416" s="271"/>
      <c r="P416" s="270"/>
      <c r="Q416" s="271"/>
      <c r="R416" s="23" t="str" cm="1">
        <f t="array" ref="R416">IF($B416="","",IFERROR(IF(INDEX('Data Quality'!$U$4:$U$503,ROW()-3)=0,"PENDING",INDEX('Data Quality'!$U$4:$U$503,ROW()-3)),"PENDING"))</f>
        <v/>
      </c>
      <c r="S416" s="24" t="str">
        <f t="shared" si="103"/>
        <v/>
      </c>
      <c r="T416" s="25" t="str">
        <f t="shared" si="104"/>
        <v/>
      </c>
      <c r="U416" s="25" t="str">
        <f t="shared" si="105"/>
        <v/>
      </c>
      <c r="V416" s="26" t="str">
        <f t="shared" si="106"/>
        <v/>
      </c>
      <c r="W416" s="26" t="str">
        <f t="shared" si="107"/>
        <v/>
      </c>
      <c r="X416" s="25" t="str">
        <f t="shared" si="108"/>
        <v/>
      </c>
      <c r="Y416" s="25" t="str">
        <f t="shared" si="109"/>
        <v/>
      </c>
      <c r="Z416" s="27" t="str">
        <f>IF($B416="","",IF($AK416&lt;=Settings!$C$21,"",IFERROR(AVERAGEIFS($S$4:$S$503,$B$4:$B$503,$B416,$AK$4:$AK$503,"&gt;="&amp;$AK416-Settings!$C$21,$AK$4:$AK$503,"&lt;="&amp;$AK416-1),"")))</f>
        <v/>
      </c>
      <c r="AA416" s="28" t="str">
        <f t="shared" si="110"/>
        <v/>
      </c>
      <c r="AB416" s="25" t="str">
        <f>IF($B416="","",IF($AK416&lt;=Settings!$C$22,"",IFERROR(AVERAGEIFS($K$4:$K$503,$B$4:$B$503,$B416,$AK$4:$AK$503,"&gt;="&amp;$AK416-Settings!$C$22,$AK$4:$AK$503,"&lt;="&amp;$AK416-1),"")))</f>
        <v/>
      </c>
      <c r="AC416" s="27" t="str">
        <f t="shared" si="111"/>
        <v/>
      </c>
      <c r="AD416" s="28" t="str">
        <f>IF($B416="","",IF($AK416&lt;=Settings!$C$23,"",IFERROR($E416/SUMIFS($E$4:$E$503,$B$4:$B$503,$B416,$AK$4:$AK$503,$AK416-Settings!$C$23)-1,"")))</f>
        <v/>
      </c>
      <c r="AE416" s="28" t="str">
        <f>IF($B416="","",IF($AK416&lt;=Settings!$C$22,"",IFERROR($E416/SUMIFS($E$4:$E$503,$B$4:$B$503,$B416,$AK$4:$AK$503,$AK416-Settings!$C$22)-1,"")))</f>
        <v/>
      </c>
      <c r="AF416" s="28" t="str">
        <f t="shared" si="112"/>
        <v/>
      </c>
      <c r="AG416" s="29" t="str">
        <f>IF($B416="","",ROUND((MIN(100,100*N($I416)/Settings!$C$27)+MIN(100,100*N($K416)/Settings!$C$28)+MIN(100,100*N($J416)/Settings!$C$29))/3,1))</f>
        <v/>
      </c>
      <c r="AH416" s="29" t="str">
        <f>IF($B416="","",IF(SUM(Settings!$C$32:$C$37)=0,"",ROUND((Settings!$C$32*$AO416+Settings!$C$33*$AP416+Settings!$C$34*$AQ416+Settings!$C$35*$AR416+Settings!$C$36*$AS416+Settings!$C$37*$AT416)/SUM(Settings!$C$32:$C$37),1)))</f>
        <v/>
      </c>
      <c r="AI416" s="29" t="str">
        <f>IF($B416="","",MAX(0,100-IF(N($N416)&gt;0,0,20)-IF(AND(N($L416)=0,N($M416)=0),15,0)-IF(N($J416)&gt;0,0,10)-IF(N($K416)&gt;0,0,10)-IF($Z416&lt;&gt;"",0,15)-IF($AB416&lt;&gt;"",0,10)-IF($R416="ERROR",20,IF($R416="WARNING",10,0))))</f>
        <v/>
      </c>
      <c r="AJ416" s="30" t="str">
        <f>IF($AH416="","",IF($AH416&lt;Settings!$C$46,"Extreme Sell Pressure",IF($AH416&lt;Settings!$C$47,"Sell Pressure",IF($AH416&lt;=Settings!$C$48,"Neutral",IF($AH416&lt;=Settings!$C$49,"Buy Pressure","Extreme Buy Pressure")))))</f>
        <v/>
      </c>
      <c r="AK416" s="30" t="str">
        <f t="shared" si="113"/>
        <v/>
      </c>
      <c r="AL416" s="30" t="str">
        <f t="shared" si="114"/>
        <v/>
      </c>
      <c r="AM416" s="30" t="str">
        <f t="shared" si="115"/>
        <v/>
      </c>
      <c r="AN416" s="30" t="str">
        <f t="shared" si="116"/>
        <v/>
      </c>
      <c r="AO416" s="29" t="str">
        <f>IF($B416="","",IF(AND(N($L416)=0,N($M416)=0),50,IF(N($M416)=0,100,IF(N($L416)=0,0,MEDIAN(0,100,50+50*LN($S416)/LN(Settings!$C$40))))))</f>
        <v/>
      </c>
      <c r="AP416" s="29">
        <f>IF($AA416="",50,MEDIAN(0,100,50+$AA416*100*Settings!$C$41))</f>
        <v>50</v>
      </c>
      <c r="AQ416" s="29">
        <f>IF($H416="",50,MEDIAN(0,100,50+$H416*100*Settings!$C$42))</f>
        <v>50</v>
      </c>
      <c r="AR416" s="29">
        <f>IF(OR($AC416="",$H416=""),50,MEDIAN(0,100,50+SIGN($H416)*50*MEDIAN(0,1,($AC416-1)/Settings!$C$43)))</f>
        <v>50</v>
      </c>
      <c r="AS416" s="29">
        <f>IF(OR($V416="",$W416=""),50,MEDIAN(0,100,50+50*($V416-$W416)/Settings!$C$44))</f>
        <v>50</v>
      </c>
      <c r="AT416" s="29">
        <f t="shared" si="117"/>
        <v>50</v>
      </c>
      <c r="AU416" s="30" t="str">
        <f t="shared" si="118"/>
        <v/>
      </c>
      <c r="AV416" s="87" t="str">
        <f>IF($A416="","",IF(COUNTIFS($A$4:$A416,$A416)=1,1,0))</f>
        <v/>
      </c>
    </row>
    <row r="417" spans="1:48" x14ac:dyDescent="0.3">
      <c r="A417" s="270"/>
      <c r="B417" s="271"/>
      <c r="C417" s="272"/>
      <c r="D417" s="272"/>
      <c r="E417" s="272"/>
      <c r="F417" s="272"/>
      <c r="G417" s="272"/>
      <c r="H417" s="268" t="str">
        <f t="shared" si="102"/>
        <v/>
      </c>
      <c r="I417" s="273"/>
      <c r="J417" s="273"/>
      <c r="K417" s="273"/>
      <c r="L417" s="273"/>
      <c r="M417" s="273"/>
      <c r="N417" s="273"/>
      <c r="O417" s="271"/>
      <c r="P417" s="270"/>
      <c r="Q417" s="271"/>
      <c r="R417" s="23" t="str" cm="1">
        <f t="array" ref="R417">IF($B417="","",IFERROR(IF(INDEX('Data Quality'!$U$4:$U$503,ROW()-3)=0,"PENDING",INDEX('Data Quality'!$U$4:$U$503,ROW()-3)),"PENDING"))</f>
        <v/>
      </c>
      <c r="S417" s="24" t="str">
        <f t="shared" si="103"/>
        <v/>
      </c>
      <c r="T417" s="25" t="str">
        <f t="shared" si="104"/>
        <v/>
      </c>
      <c r="U417" s="25" t="str">
        <f t="shared" si="105"/>
        <v/>
      </c>
      <c r="V417" s="26" t="str">
        <f t="shared" si="106"/>
        <v/>
      </c>
      <c r="W417" s="26" t="str">
        <f t="shared" si="107"/>
        <v/>
      </c>
      <c r="X417" s="25" t="str">
        <f t="shared" si="108"/>
        <v/>
      </c>
      <c r="Y417" s="25" t="str">
        <f t="shared" si="109"/>
        <v/>
      </c>
      <c r="Z417" s="27" t="str">
        <f>IF($B417="","",IF($AK417&lt;=Settings!$C$21,"",IFERROR(AVERAGEIFS($S$4:$S$503,$B$4:$B$503,$B417,$AK$4:$AK$503,"&gt;="&amp;$AK417-Settings!$C$21,$AK$4:$AK$503,"&lt;="&amp;$AK417-1),"")))</f>
        <v/>
      </c>
      <c r="AA417" s="28" t="str">
        <f t="shared" si="110"/>
        <v/>
      </c>
      <c r="AB417" s="25" t="str">
        <f>IF($B417="","",IF($AK417&lt;=Settings!$C$22,"",IFERROR(AVERAGEIFS($K$4:$K$503,$B$4:$B$503,$B417,$AK$4:$AK$503,"&gt;="&amp;$AK417-Settings!$C$22,$AK$4:$AK$503,"&lt;="&amp;$AK417-1),"")))</f>
        <v/>
      </c>
      <c r="AC417" s="27" t="str">
        <f t="shared" si="111"/>
        <v/>
      </c>
      <c r="AD417" s="28" t="str">
        <f>IF($B417="","",IF($AK417&lt;=Settings!$C$23,"",IFERROR($E417/SUMIFS($E$4:$E$503,$B$4:$B$503,$B417,$AK$4:$AK$503,$AK417-Settings!$C$23)-1,"")))</f>
        <v/>
      </c>
      <c r="AE417" s="28" t="str">
        <f>IF($B417="","",IF($AK417&lt;=Settings!$C$22,"",IFERROR($E417/SUMIFS($E$4:$E$503,$B$4:$B$503,$B417,$AK$4:$AK$503,$AK417-Settings!$C$22)-1,"")))</f>
        <v/>
      </c>
      <c r="AF417" s="28" t="str">
        <f t="shared" si="112"/>
        <v/>
      </c>
      <c r="AG417" s="29" t="str">
        <f>IF($B417="","",ROUND((MIN(100,100*N($I417)/Settings!$C$27)+MIN(100,100*N($K417)/Settings!$C$28)+MIN(100,100*N($J417)/Settings!$C$29))/3,1))</f>
        <v/>
      </c>
      <c r="AH417" s="29" t="str">
        <f>IF($B417="","",IF(SUM(Settings!$C$32:$C$37)=0,"",ROUND((Settings!$C$32*$AO417+Settings!$C$33*$AP417+Settings!$C$34*$AQ417+Settings!$C$35*$AR417+Settings!$C$36*$AS417+Settings!$C$37*$AT417)/SUM(Settings!$C$32:$C$37),1)))</f>
        <v/>
      </c>
      <c r="AI417" s="29" t="str">
        <f>IF($B417="","",MAX(0,100-IF(N($N417)&gt;0,0,20)-IF(AND(N($L417)=0,N($M417)=0),15,0)-IF(N($J417)&gt;0,0,10)-IF(N($K417)&gt;0,0,10)-IF($Z417&lt;&gt;"",0,15)-IF($AB417&lt;&gt;"",0,10)-IF($R417="ERROR",20,IF($R417="WARNING",10,0))))</f>
        <v/>
      </c>
      <c r="AJ417" s="30" t="str">
        <f>IF($AH417="","",IF($AH417&lt;Settings!$C$46,"Extreme Sell Pressure",IF($AH417&lt;Settings!$C$47,"Sell Pressure",IF($AH417&lt;=Settings!$C$48,"Neutral",IF($AH417&lt;=Settings!$C$49,"Buy Pressure","Extreme Buy Pressure")))))</f>
        <v/>
      </c>
      <c r="AK417" s="30" t="str">
        <f t="shared" si="113"/>
        <v/>
      </c>
      <c r="AL417" s="30" t="str">
        <f t="shared" si="114"/>
        <v/>
      </c>
      <c r="AM417" s="30" t="str">
        <f t="shared" si="115"/>
        <v/>
      </c>
      <c r="AN417" s="30" t="str">
        <f t="shared" si="116"/>
        <v/>
      </c>
      <c r="AO417" s="29" t="str">
        <f>IF($B417="","",IF(AND(N($L417)=0,N($M417)=0),50,IF(N($M417)=0,100,IF(N($L417)=0,0,MEDIAN(0,100,50+50*LN($S417)/LN(Settings!$C$40))))))</f>
        <v/>
      </c>
      <c r="AP417" s="29">
        <f>IF($AA417="",50,MEDIAN(0,100,50+$AA417*100*Settings!$C$41))</f>
        <v>50</v>
      </c>
      <c r="AQ417" s="29">
        <f>IF($H417="",50,MEDIAN(0,100,50+$H417*100*Settings!$C$42))</f>
        <v>50</v>
      </c>
      <c r="AR417" s="29">
        <f>IF(OR($AC417="",$H417=""),50,MEDIAN(0,100,50+SIGN($H417)*50*MEDIAN(0,1,($AC417-1)/Settings!$C$43)))</f>
        <v>50</v>
      </c>
      <c r="AS417" s="29">
        <f>IF(OR($V417="",$W417=""),50,MEDIAN(0,100,50+50*($V417-$W417)/Settings!$C$44))</f>
        <v>50</v>
      </c>
      <c r="AT417" s="29">
        <f t="shared" si="117"/>
        <v>50</v>
      </c>
      <c r="AU417" s="30" t="str">
        <f t="shared" si="118"/>
        <v/>
      </c>
      <c r="AV417" s="87" t="str">
        <f>IF($A417="","",IF(COUNTIFS($A$4:$A417,$A417)=1,1,0))</f>
        <v/>
      </c>
    </row>
    <row r="418" spans="1:48" x14ac:dyDescent="0.3">
      <c r="A418" s="270"/>
      <c r="B418" s="271"/>
      <c r="C418" s="272"/>
      <c r="D418" s="272"/>
      <c r="E418" s="272"/>
      <c r="F418" s="272"/>
      <c r="G418" s="272"/>
      <c r="H418" s="268" t="str">
        <f t="shared" si="102"/>
        <v/>
      </c>
      <c r="I418" s="273"/>
      <c r="J418" s="273"/>
      <c r="K418" s="273"/>
      <c r="L418" s="273"/>
      <c r="M418" s="273"/>
      <c r="N418" s="273"/>
      <c r="O418" s="271"/>
      <c r="P418" s="270"/>
      <c r="Q418" s="271"/>
      <c r="R418" s="23" t="str" cm="1">
        <f t="array" ref="R418">IF($B418="","",IFERROR(IF(INDEX('Data Quality'!$U$4:$U$503,ROW()-3)=0,"PENDING",INDEX('Data Quality'!$U$4:$U$503,ROW()-3)),"PENDING"))</f>
        <v/>
      </c>
      <c r="S418" s="24" t="str">
        <f t="shared" si="103"/>
        <v/>
      </c>
      <c r="T418" s="25" t="str">
        <f t="shared" si="104"/>
        <v/>
      </c>
      <c r="U418" s="25" t="str">
        <f t="shared" si="105"/>
        <v/>
      </c>
      <c r="V418" s="26" t="str">
        <f t="shared" si="106"/>
        <v/>
      </c>
      <c r="W418" s="26" t="str">
        <f t="shared" si="107"/>
        <v/>
      </c>
      <c r="X418" s="25" t="str">
        <f t="shared" si="108"/>
        <v/>
      </c>
      <c r="Y418" s="25" t="str">
        <f t="shared" si="109"/>
        <v/>
      </c>
      <c r="Z418" s="27" t="str">
        <f>IF($B418="","",IF($AK418&lt;=Settings!$C$21,"",IFERROR(AVERAGEIFS($S$4:$S$503,$B$4:$B$503,$B418,$AK$4:$AK$503,"&gt;="&amp;$AK418-Settings!$C$21,$AK$4:$AK$503,"&lt;="&amp;$AK418-1),"")))</f>
        <v/>
      </c>
      <c r="AA418" s="28" t="str">
        <f t="shared" si="110"/>
        <v/>
      </c>
      <c r="AB418" s="25" t="str">
        <f>IF($B418="","",IF($AK418&lt;=Settings!$C$22,"",IFERROR(AVERAGEIFS($K$4:$K$503,$B$4:$B$503,$B418,$AK$4:$AK$503,"&gt;="&amp;$AK418-Settings!$C$22,$AK$4:$AK$503,"&lt;="&amp;$AK418-1),"")))</f>
        <v/>
      </c>
      <c r="AC418" s="27" t="str">
        <f t="shared" si="111"/>
        <v/>
      </c>
      <c r="AD418" s="28" t="str">
        <f>IF($B418="","",IF($AK418&lt;=Settings!$C$23,"",IFERROR($E418/SUMIFS($E$4:$E$503,$B$4:$B$503,$B418,$AK$4:$AK$503,$AK418-Settings!$C$23)-1,"")))</f>
        <v/>
      </c>
      <c r="AE418" s="28" t="str">
        <f>IF($B418="","",IF($AK418&lt;=Settings!$C$22,"",IFERROR($E418/SUMIFS($E$4:$E$503,$B$4:$B$503,$B418,$AK$4:$AK$503,$AK418-Settings!$C$22)-1,"")))</f>
        <v/>
      </c>
      <c r="AF418" s="28" t="str">
        <f t="shared" si="112"/>
        <v/>
      </c>
      <c r="AG418" s="29" t="str">
        <f>IF($B418="","",ROUND((MIN(100,100*N($I418)/Settings!$C$27)+MIN(100,100*N($K418)/Settings!$C$28)+MIN(100,100*N($J418)/Settings!$C$29))/3,1))</f>
        <v/>
      </c>
      <c r="AH418" s="29" t="str">
        <f>IF($B418="","",IF(SUM(Settings!$C$32:$C$37)=0,"",ROUND((Settings!$C$32*$AO418+Settings!$C$33*$AP418+Settings!$C$34*$AQ418+Settings!$C$35*$AR418+Settings!$C$36*$AS418+Settings!$C$37*$AT418)/SUM(Settings!$C$32:$C$37),1)))</f>
        <v/>
      </c>
      <c r="AI418" s="29" t="str">
        <f>IF($B418="","",MAX(0,100-IF(N($N418)&gt;0,0,20)-IF(AND(N($L418)=0,N($M418)=0),15,0)-IF(N($J418)&gt;0,0,10)-IF(N($K418)&gt;0,0,10)-IF($Z418&lt;&gt;"",0,15)-IF($AB418&lt;&gt;"",0,10)-IF($R418="ERROR",20,IF($R418="WARNING",10,0))))</f>
        <v/>
      </c>
      <c r="AJ418" s="30" t="str">
        <f>IF($AH418="","",IF($AH418&lt;Settings!$C$46,"Extreme Sell Pressure",IF($AH418&lt;Settings!$C$47,"Sell Pressure",IF($AH418&lt;=Settings!$C$48,"Neutral",IF($AH418&lt;=Settings!$C$49,"Buy Pressure","Extreme Buy Pressure")))))</f>
        <v/>
      </c>
      <c r="AK418" s="30" t="str">
        <f t="shared" si="113"/>
        <v/>
      </c>
      <c r="AL418" s="30" t="str">
        <f t="shared" si="114"/>
        <v/>
      </c>
      <c r="AM418" s="30" t="str">
        <f t="shared" si="115"/>
        <v/>
      </c>
      <c r="AN418" s="30" t="str">
        <f t="shared" si="116"/>
        <v/>
      </c>
      <c r="AO418" s="29" t="str">
        <f>IF($B418="","",IF(AND(N($L418)=0,N($M418)=0),50,IF(N($M418)=0,100,IF(N($L418)=0,0,MEDIAN(0,100,50+50*LN($S418)/LN(Settings!$C$40))))))</f>
        <v/>
      </c>
      <c r="AP418" s="29">
        <f>IF($AA418="",50,MEDIAN(0,100,50+$AA418*100*Settings!$C$41))</f>
        <v>50</v>
      </c>
      <c r="AQ418" s="29">
        <f>IF($H418="",50,MEDIAN(0,100,50+$H418*100*Settings!$C$42))</f>
        <v>50</v>
      </c>
      <c r="AR418" s="29">
        <f>IF(OR($AC418="",$H418=""),50,MEDIAN(0,100,50+SIGN($H418)*50*MEDIAN(0,1,($AC418-1)/Settings!$C$43)))</f>
        <v>50</v>
      </c>
      <c r="AS418" s="29">
        <f>IF(OR($V418="",$W418=""),50,MEDIAN(0,100,50+50*($V418-$W418)/Settings!$C$44))</f>
        <v>50</v>
      </c>
      <c r="AT418" s="29">
        <f t="shared" si="117"/>
        <v>50</v>
      </c>
      <c r="AU418" s="30" t="str">
        <f t="shared" si="118"/>
        <v/>
      </c>
      <c r="AV418" s="87" t="str">
        <f>IF($A418="","",IF(COUNTIFS($A$4:$A418,$A418)=1,1,0))</f>
        <v/>
      </c>
    </row>
    <row r="419" spans="1:48" x14ac:dyDescent="0.3">
      <c r="A419" s="270"/>
      <c r="B419" s="271"/>
      <c r="C419" s="272"/>
      <c r="D419" s="272"/>
      <c r="E419" s="272"/>
      <c r="F419" s="272"/>
      <c r="G419" s="272"/>
      <c r="H419" s="268" t="str">
        <f t="shared" si="102"/>
        <v/>
      </c>
      <c r="I419" s="273"/>
      <c r="J419" s="273"/>
      <c r="K419" s="273"/>
      <c r="L419" s="273"/>
      <c r="M419" s="273"/>
      <c r="N419" s="273"/>
      <c r="O419" s="271"/>
      <c r="P419" s="270"/>
      <c r="Q419" s="271"/>
      <c r="R419" s="23" t="str" cm="1">
        <f t="array" ref="R419">IF($B419="","",IFERROR(IF(INDEX('Data Quality'!$U$4:$U$503,ROW()-3)=0,"PENDING",INDEX('Data Quality'!$U$4:$U$503,ROW()-3)),"PENDING"))</f>
        <v/>
      </c>
      <c r="S419" s="24" t="str">
        <f t="shared" si="103"/>
        <v/>
      </c>
      <c r="T419" s="25" t="str">
        <f t="shared" si="104"/>
        <v/>
      </c>
      <c r="U419" s="25" t="str">
        <f t="shared" si="105"/>
        <v/>
      </c>
      <c r="V419" s="26" t="str">
        <f t="shared" si="106"/>
        <v/>
      </c>
      <c r="W419" s="26" t="str">
        <f t="shared" si="107"/>
        <v/>
      </c>
      <c r="X419" s="25" t="str">
        <f t="shared" si="108"/>
        <v/>
      </c>
      <c r="Y419" s="25" t="str">
        <f t="shared" si="109"/>
        <v/>
      </c>
      <c r="Z419" s="27" t="str">
        <f>IF($B419="","",IF($AK419&lt;=Settings!$C$21,"",IFERROR(AVERAGEIFS($S$4:$S$503,$B$4:$B$503,$B419,$AK$4:$AK$503,"&gt;="&amp;$AK419-Settings!$C$21,$AK$4:$AK$503,"&lt;="&amp;$AK419-1),"")))</f>
        <v/>
      </c>
      <c r="AA419" s="28" t="str">
        <f t="shared" si="110"/>
        <v/>
      </c>
      <c r="AB419" s="25" t="str">
        <f>IF($B419="","",IF($AK419&lt;=Settings!$C$22,"",IFERROR(AVERAGEIFS($K$4:$K$503,$B$4:$B$503,$B419,$AK$4:$AK$503,"&gt;="&amp;$AK419-Settings!$C$22,$AK$4:$AK$503,"&lt;="&amp;$AK419-1),"")))</f>
        <v/>
      </c>
      <c r="AC419" s="27" t="str">
        <f t="shared" si="111"/>
        <v/>
      </c>
      <c r="AD419" s="28" t="str">
        <f>IF($B419="","",IF($AK419&lt;=Settings!$C$23,"",IFERROR($E419/SUMIFS($E$4:$E$503,$B$4:$B$503,$B419,$AK$4:$AK$503,$AK419-Settings!$C$23)-1,"")))</f>
        <v/>
      </c>
      <c r="AE419" s="28" t="str">
        <f>IF($B419="","",IF($AK419&lt;=Settings!$C$22,"",IFERROR($E419/SUMIFS($E$4:$E$503,$B$4:$B$503,$B419,$AK$4:$AK$503,$AK419-Settings!$C$22)-1,"")))</f>
        <v/>
      </c>
      <c r="AF419" s="28" t="str">
        <f t="shared" si="112"/>
        <v/>
      </c>
      <c r="AG419" s="29" t="str">
        <f>IF($B419="","",ROUND((MIN(100,100*N($I419)/Settings!$C$27)+MIN(100,100*N($K419)/Settings!$C$28)+MIN(100,100*N($J419)/Settings!$C$29))/3,1))</f>
        <v/>
      </c>
      <c r="AH419" s="29" t="str">
        <f>IF($B419="","",IF(SUM(Settings!$C$32:$C$37)=0,"",ROUND((Settings!$C$32*$AO419+Settings!$C$33*$AP419+Settings!$C$34*$AQ419+Settings!$C$35*$AR419+Settings!$C$36*$AS419+Settings!$C$37*$AT419)/SUM(Settings!$C$32:$C$37),1)))</f>
        <v/>
      </c>
      <c r="AI419" s="29" t="str">
        <f>IF($B419="","",MAX(0,100-IF(N($N419)&gt;0,0,20)-IF(AND(N($L419)=0,N($M419)=0),15,0)-IF(N($J419)&gt;0,0,10)-IF(N($K419)&gt;0,0,10)-IF($Z419&lt;&gt;"",0,15)-IF($AB419&lt;&gt;"",0,10)-IF($R419="ERROR",20,IF($R419="WARNING",10,0))))</f>
        <v/>
      </c>
      <c r="AJ419" s="30" t="str">
        <f>IF($AH419="","",IF($AH419&lt;Settings!$C$46,"Extreme Sell Pressure",IF($AH419&lt;Settings!$C$47,"Sell Pressure",IF($AH419&lt;=Settings!$C$48,"Neutral",IF($AH419&lt;=Settings!$C$49,"Buy Pressure","Extreme Buy Pressure")))))</f>
        <v/>
      </c>
      <c r="AK419" s="30" t="str">
        <f t="shared" si="113"/>
        <v/>
      </c>
      <c r="AL419" s="30" t="str">
        <f t="shared" si="114"/>
        <v/>
      </c>
      <c r="AM419" s="30" t="str">
        <f t="shared" si="115"/>
        <v/>
      </c>
      <c r="AN419" s="30" t="str">
        <f t="shared" si="116"/>
        <v/>
      </c>
      <c r="AO419" s="29" t="str">
        <f>IF($B419="","",IF(AND(N($L419)=0,N($M419)=0),50,IF(N($M419)=0,100,IF(N($L419)=0,0,MEDIAN(0,100,50+50*LN($S419)/LN(Settings!$C$40))))))</f>
        <v/>
      </c>
      <c r="AP419" s="29">
        <f>IF($AA419="",50,MEDIAN(0,100,50+$AA419*100*Settings!$C$41))</f>
        <v>50</v>
      </c>
      <c r="AQ419" s="29">
        <f>IF($H419="",50,MEDIAN(0,100,50+$H419*100*Settings!$C$42))</f>
        <v>50</v>
      </c>
      <c r="AR419" s="29">
        <f>IF(OR($AC419="",$H419=""),50,MEDIAN(0,100,50+SIGN($H419)*50*MEDIAN(0,1,($AC419-1)/Settings!$C$43)))</f>
        <v>50</v>
      </c>
      <c r="AS419" s="29">
        <f>IF(OR($V419="",$W419=""),50,MEDIAN(0,100,50+50*($V419-$W419)/Settings!$C$44))</f>
        <v>50</v>
      </c>
      <c r="AT419" s="29">
        <f t="shared" si="117"/>
        <v>50</v>
      </c>
      <c r="AU419" s="30" t="str">
        <f t="shared" si="118"/>
        <v/>
      </c>
      <c r="AV419" s="87" t="str">
        <f>IF($A419="","",IF(COUNTIFS($A$4:$A419,$A419)=1,1,0))</f>
        <v/>
      </c>
    </row>
    <row r="420" spans="1:48" x14ac:dyDescent="0.3">
      <c r="A420" s="270"/>
      <c r="B420" s="271"/>
      <c r="C420" s="272"/>
      <c r="D420" s="272"/>
      <c r="E420" s="272"/>
      <c r="F420" s="272"/>
      <c r="G420" s="272"/>
      <c r="H420" s="268" t="str">
        <f t="shared" si="102"/>
        <v/>
      </c>
      <c r="I420" s="273"/>
      <c r="J420" s="273"/>
      <c r="K420" s="273"/>
      <c r="L420" s="273"/>
      <c r="M420" s="273"/>
      <c r="N420" s="273"/>
      <c r="O420" s="271"/>
      <c r="P420" s="270"/>
      <c r="Q420" s="271"/>
      <c r="R420" s="23" t="str" cm="1">
        <f t="array" ref="R420">IF($B420="","",IFERROR(IF(INDEX('Data Quality'!$U$4:$U$503,ROW()-3)=0,"PENDING",INDEX('Data Quality'!$U$4:$U$503,ROW()-3)),"PENDING"))</f>
        <v/>
      </c>
      <c r="S420" s="24" t="str">
        <f t="shared" si="103"/>
        <v/>
      </c>
      <c r="T420" s="25" t="str">
        <f t="shared" si="104"/>
        <v/>
      </c>
      <c r="U420" s="25" t="str">
        <f t="shared" si="105"/>
        <v/>
      </c>
      <c r="V420" s="26" t="str">
        <f t="shared" si="106"/>
        <v/>
      </c>
      <c r="W420" s="26" t="str">
        <f t="shared" si="107"/>
        <v/>
      </c>
      <c r="X420" s="25" t="str">
        <f t="shared" si="108"/>
        <v/>
      </c>
      <c r="Y420" s="25" t="str">
        <f t="shared" si="109"/>
        <v/>
      </c>
      <c r="Z420" s="27" t="str">
        <f>IF($B420="","",IF($AK420&lt;=Settings!$C$21,"",IFERROR(AVERAGEIFS($S$4:$S$503,$B$4:$B$503,$B420,$AK$4:$AK$503,"&gt;="&amp;$AK420-Settings!$C$21,$AK$4:$AK$503,"&lt;="&amp;$AK420-1),"")))</f>
        <v/>
      </c>
      <c r="AA420" s="28" t="str">
        <f t="shared" si="110"/>
        <v/>
      </c>
      <c r="AB420" s="25" t="str">
        <f>IF($B420="","",IF($AK420&lt;=Settings!$C$22,"",IFERROR(AVERAGEIFS($K$4:$K$503,$B$4:$B$503,$B420,$AK$4:$AK$503,"&gt;="&amp;$AK420-Settings!$C$22,$AK$4:$AK$503,"&lt;="&amp;$AK420-1),"")))</f>
        <v/>
      </c>
      <c r="AC420" s="27" t="str">
        <f t="shared" si="111"/>
        <v/>
      </c>
      <c r="AD420" s="28" t="str">
        <f>IF($B420="","",IF($AK420&lt;=Settings!$C$23,"",IFERROR($E420/SUMIFS($E$4:$E$503,$B$4:$B$503,$B420,$AK$4:$AK$503,$AK420-Settings!$C$23)-1,"")))</f>
        <v/>
      </c>
      <c r="AE420" s="28" t="str">
        <f>IF($B420="","",IF($AK420&lt;=Settings!$C$22,"",IFERROR($E420/SUMIFS($E$4:$E$503,$B$4:$B$503,$B420,$AK$4:$AK$503,$AK420-Settings!$C$22)-1,"")))</f>
        <v/>
      </c>
      <c r="AF420" s="28" t="str">
        <f t="shared" si="112"/>
        <v/>
      </c>
      <c r="AG420" s="29" t="str">
        <f>IF($B420="","",ROUND((MIN(100,100*N($I420)/Settings!$C$27)+MIN(100,100*N($K420)/Settings!$C$28)+MIN(100,100*N($J420)/Settings!$C$29))/3,1))</f>
        <v/>
      </c>
      <c r="AH420" s="29" t="str">
        <f>IF($B420="","",IF(SUM(Settings!$C$32:$C$37)=0,"",ROUND((Settings!$C$32*$AO420+Settings!$C$33*$AP420+Settings!$C$34*$AQ420+Settings!$C$35*$AR420+Settings!$C$36*$AS420+Settings!$C$37*$AT420)/SUM(Settings!$C$32:$C$37),1)))</f>
        <v/>
      </c>
      <c r="AI420" s="29" t="str">
        <f>IF($B420="","",MAX(0,100-IF(N($N420)&gt;0,0,20)-IF(AND(N($L420)=0,N($M420)=0),15,0)-IF(N($J420)&gt;0,0,10)-IF(N($K420)&gt;0,0,10)-IF($Z420&lt;&gt;"",0,15)-IF($AB420&lt;&gt;"",0,10)-IF($R420="ERROR",20,IF($R420="WARNING",10,0))))</f>
        <v/>
      </c>
      <c r="AJ420" s="30" t="str">
        <f>IF($AH420="","",IF($AH420&lt;Settings!$C$46,"Extreme Sell Pressure",IF($AH420&lt;Settings!$C$47,"Sell Pressure",IF($AH420&lt;=Settings!$C$48,"Neutral",IF($AH420&lt;=Settings!$C$49,"Buy Pressure","Extreme Buy Pressure")))))</f>
        <v/>
      </c>
      <c r="AK420" s="30" t="str">
        <f t="shared" si="113"/>
        <v/>
      </c>
      <c r="AL420" s="30" t="str">
        <f t="shared" si="114"/>
        <v/>
      </c>
      <c r="AM420" s="30" t="str">
        <f t="shared" si="115"/>
        <v/>
      </c>
      <c r="AN420" s="30" t="str">
        <f t="shared" si="116"/>
        <v/>
      </c>
      <c r="AO420" s="29" t="str">
        <f>IF($B420="","",IF(AND(N($L420)=0,N($M420)=0),50,IF(N($M420)=0,100,IF(N($L420)=0,0,MEDIAN(0,100,50+50*LN($S420)/LN(Settings!$C$40))))))</f>
        <v/>
      </c>
      <c r="AP420" s="29">
        <f>IF($AA420="",50,MEDIAN(0,100,50+$AA420*100*Settings!$C$41))</f>
        <v>50</v>
      </c>
      <c r="AQ420" s="29">
        <f>IF($H420="",50,MEDIAN(0,100,50+$H420*100*Settings!$C$42))</f>
        <v>50</v>
      </c>
      <c r="AR420" s="29">
        <f>IF(OR($AC420="",$H420=""),50,MEDIAN(0,100,50+SIGN($H420)*50*MEDIAN(0,1,($AC420-1)/Settings!$C$43)))</f>
        <v>50</v>
      </c>
      <c r="AS420" s="29">
        <f>IF(OR($V420="",$W420=""),50,MEDIAN(0,100,50+50*($V420-$W420)/Settings!$C$44))</f>
        <v>50</v>
      </c>
      <c r="AT420" s="29">
        <f t="shared" si="117"/>
        <v>50</v>
      </c>
      <c r="AU420" s="30" t="str">
        <f t="shared" si="118"/>
        <v/>
      </c>
      <c r="AV420" s="87" t="str">
        <f>IF($A420="","",IF(COUNTIFS($A$4:$A420,$A420)=1,1,0))</f>
        <v/>
      </c>
    </row>
    <row r="421" spans="1:48" x14ac:dyDescent="0.3">
      <c r="A421" s="270"/>
      <c r="B421" s="271"/>
      <c r="C421" s="272"/>
      <c r="D421" s="272"/>
      <c r="E421" s="272"/>
      <c r="F421" s="272"/>
      <c r="G421" s="272"/>
      <c r="H421" s="268" t="str">
        <f t="shared" si="102"/>
        <v/>
      </c>
      <c r="I421" s="273"/>
      <c r="J421" s="273"/>
      <c r="K421" s="273"/>
      <c r="L421" s="273"/>
      <c r="M421" s="273"/>
      <c r="N421" s="273"/>
      <c r="O421" s="271"/>
      <c r="P421" s="270"/>
      <c r="Q421" s="271"/>
      <c r="R421" s="23" t="str" cm="1">
        <f t="array" ref="R421">IF($B421="","",IFERROR(IF(INDEX('Data Quality'!$U$4:$U$503,ROW()-3)=0,"PENDING",INDEX('Data Quality'!$U$4:$U$503,ROW()-3)),"PENDING"))</f>
        <v/>
      </c>
      <c r="S421" s="24" t="str">
        <f t="shared" si="103"/>
        <v/>
      </c>
      <c r="T421" s="25" t="str">
        <f t="shared" si="104"/>
        <v/>
      </c>
      <c r="U421" s="25" t="str">
        <f t="shared" si="105"/>
        <v/>
      </c>
      <c r="V421" s="26" t="str">
        <f t="shared" si="106"/>
        <v/>
      </c>
      <c r="W421" s="26" t="str">
        <f t="shared" si="107"/>
        <v/>
      </c>
      <c r="X421" s="25" t="str">
        <f t="shared" si="108"/>
        <v/>
      </c>
      <c r="Y421" s="25" t="str">
        <f t="shared" si="109"/>
        <v/>
      </c>
      <c r="Z421" s="27" t="str">
        <f>IF($B421="","",IF($AK421&lt;=Settings!$C$21,"",IFERROR(AVERAGEIFS($S$4:$S$503,$B$4:$B$503,$B421,$AK$4:$AK$503,"&gt;="&amp;$AK421-Settings!$C$21,$AK$4:$AK$503,"&lt;="&amp;$AK421-1),"")))</f>
        <v/>
      </c>
      <c r="AA421" s="28" t="str">
        <f t="shared" si="110"/>
        <v/>
      </c>
      <c r="AB421" s="25" t="str">
        <f>IF($B421="","",IF($AK421&lt;=Settings!$C$22,"",IFERROR(AVERAGEIFS($K$4:$K$503,$B$4:$B$503,$B421,$AK$4:$AK$503,"&gt;="&amp;$AK421-Settings!$C$22,$AK$4:$AK$503,"&lt;="&amp;$AK421-1),"")))</f>
        <v/>
      </c>
      <c r="AC421" s="27" t="str">
        <f t="shared" si="111"/>
        <v/>
      </c>
      <c r="AD421" s="28" t="str">
        <f>IF($B421="","",IF($AK421&lt;=Settings!$C$23,"",IFERROR($E421/SUMIFS($E$4:$E$503,$B$4:$B$503,$B421,$AK$4:$AK$503,$AK421-Settings!$C$23)-1,"")))</f>
        <v/>
      </c>
      <c r="AE421" s="28" t="str">
        <f>IF($B421="","",IF($AK421&lt;=Settings!$C$22,"",IFERROR($E421/SUMIFS($E$4:$E$503,$B$4:$B$503,$B421,$AK$4:$AK$503,$AK421-Settings!$C$22)-1,"")))</f>
        <v/>
      </c>
      <c r="AF421" s="28" t="str">
        <f t="shared" si="112"/>
        <v/>
      </c>
      <c r="AG421" s="29" t="str">
        <f>IF($B421="","",ROUND((MIN(100,100*N($I421)/Settings!$C$27)+MIN(100,100*N($K421)/Settings!$C$28)+MIN(100,100*N($J421)/Settings!$C$29))/3,1))</f>
        <v/>
      </c>
      <c r="AH421" s="29" t="str">
        <f>IF($B421="","",IF(SUM(Settings!$C$32:$C$37)=0,"",ROUND((Settings!$C$32*$AO421+Settings!$C$33*$AP421+Settings!$C$34*$AQ421+Settings!$C$35*$AR421+Settings!$C$36*$AS421+Settings!$C$37*$AT421)/SUM(Settings!$C$32:$C$37),1)))</f>
        <v/>
      </c>
      <c r="AI421" s="29" t="str">
        <f>IF($B421="","",MAX(0,100-IF(N($N421)&gt;0,0,20)-IF(AND(N($L421)=0,N($M421)=0),15,0)-IF(N($J421)&gt;0,0,10)-IF(N($K421)&gt;0,0,10)-IF($Z421&lt;&gt;"",0,15)-IF($AB421&lt;&gt;"",0,10)-IF($R421="ERROR",20,IF($R421="WARNING",10,0))))</f>
        <v/>
      </c>
      <c r="AJ421" s="30" t="str">
        <f>IF($AH421="","",IF($AH421&lt;Settings!$C$46,"Extreme Sell Pressure",IF($AH421&lt;Settings!$C$47,"Sell Pressure",IF($AH421&lt;=Settings!$C$48,"Neutral",IF($AH421&lt;=Settings!$C$49,"Buy Pressure","Extreme Buy Pressure")))))</f>
        <v/>
      </c>
      <c r="AK421" s="30" t="str">
        <f t="shared" si="113"/>
        <v/>
      </c>
      <c r="AL421" s="30" t="str">
        <f t="shared" si="114"/>
        <v/>
      </c>
      <c r="AM421" s="30" t="str">
        <f t="shared" si="115"/>
        <v/>
      </c>
      <c r="AN421" s="30" t="str">
        <f t="shared" si="116"/>
        <v/>
      </c>
      <c r="AO421" s="29" t="str">
        <f>IF($B421="","",IF(AND(N($L421)=0,N($M421)=0),50,IF(N($M421)=0,100,IF(N($L421)=0,0,MEDIAN(0,100,50+50*LN($S421)/LN(Settings!$C$40))))))</f>
        <v/>
      </c>
      <c r="AP421" s="29">
        <f>IF($AA421="",50,MEDIAN(0,100,50+$AA421*100*Settings!$C$41))</f>
        <v>50</v>
      </c>
      <c r="AQ421" s="29">
        <f>IF($H421="",50,MEDIAN(0,100,50+$H421*100*Settings!$C$42))</f>
        <v>50</v>
      </c>
      <c r="AR421" s="29">
        <f>IF(OR($AC421="",$H421=""),50,MEDIAN(0,100,50+SIGN($H421)*50*MEDIAN(0,1,($AC421-1)/Settings!$C$43)))</f>
        <v>50</v>
      </c>
      <c r="AS421" s="29">
        <f>IF(OR($V421="",$W421=""),50,MEDIAN(0,100,50+50*($V421-$W421)/Settings!$C$44))</f>
        <v>50</v>
      </c>
      <c r="AT421" s="29">
        <f t="shared" si="117"/>
        <v>50</v>
      </c>
      <c r="AU421" s="30" t="str">
        <f t="shared" si="118"/>
        <v/>
      </c>
      <c r="AV421" s="87" t="str">
        <f>IF($A421="","",IF(COUNTIFS($A$4:$A421,$A421)=1,1,0))</f>
        <v/>
      </c>
    </row>
    <row r="422" spans="1:48" x14ac:dyDescent="0.3">
      <c r="A422" s="270"/>
      <c r="B422" s="271"/>
      <c r="C422" s="272"/>
      <c r="D422" s="272"/>
      <c r="E422" s="272"/>
      <c r="F422" s="272"/>
      <c r="G422" s="272"/>
      <c r="H422" s="268" t="str">
        <f t="shared" si="102"/>
        <v/>
      </c>
      <c r="I422" s="273"/>
      <c r="J422" s="273"/>
      <c r="K422" s="273"/>
      <c r="L422" s="273"/>
      <c r="M422" s="273"/>
      <c r="N422" s="273"/>
      <c r="O422" s="271"/>
      <c r="P422" s="270"/>
      <c r="Q422" s="271"/>
      <c r="R422" s="23" t="str" cm="1">
        <f t="array" ref="R422">IF($B422="","",IFERROR(IF(INDEX('Data Quality'!$U$4:$U$503,ROW()-3)=0,"PENDING",INDEX('Data Quality'!$U$4:$U$503,ROW()-3)),"PENDING"))</f>
        <v/>
      </c>
      <c r="S422" s="24" t="str">
        <f t="shared" si="103"/>
        <v/>
      </c>
      <c r="T422" s="25" t="str">
        <f t="shared" si="104"/>
        <v/>
      </c>
      <c r="U422" s="25" t="str">
        <f t="shared" si="105"/>
        <v/>
      </c>
      <c r="V422" s="26" t="str">
        <f t="shared" si="106"/>
        <v/>
      </c>
      <c r="W422" s="26" t="str">
        <f t="shared" si="107"/>
        <v/>
      </c>
      <c r="X422" s="25" t="str">
        <f t="shared" si="108"/>
        <v/>
      </c>
      <c r="Y422" s="25" t="str">
        <f t="shared" si="109"/>
        <v/>
      </c>
      <c r="Z422" s="27" t="str">
        <f>IF($B422="","",IF($AK422&lt;=Settings!$C$21,"",IFERROR(AVERAGEIFS($S$4:$S$503,$B$4:$B$503,$B422,$AK$4:$AK$503,"&gt;="&amp;$AK422-Settings!$C$21,$AK$4:$AK$503,"&lt;="&amp;$AK422-1),"")))</f>
        <v/>
      </c>
      <c r="AA422" s="28" t="str">
        <f t="shared" si="110"/>
        <v/>
      </c>
      <c r="AB422" s="25" t="str">
        <f>IF($B422="","",IF($AK422&lt;=Settings!$C$22,"",IFERROR(AVERAGEIFS($K$4:$K$503,$B$4:$B$503,$B422,$AK$4:$AK$503,"&gt;="&amp;$AK422-Settings!$C$22,$AK$4:$AK$503,"&lt;="&amp;$AK422-1),"")))</f>
        <v/>
      </c>
      <c r="AC422" s="27" t="str">
        <f t="shared" si="111"/>
        <v/>
      </c>
      <c r="AD422" s="28" t="str">
        <f>IF($B422="","",IF($AK422&lt;=Settings!$C$23,"",IFERROR($E422/SUMIFS($E$4:$E$503,$B$4:$B$503,$B422,$AK$4:$AK$503,$AK422-Settings!$C$23)-1,"")))</f>
        <v/>
      </c>
      <c r="AE422" s="28" t="str">
        <f>IF($B422="","",IF($AK422&lt;=Settings!$C$22,"",IFERROR($E422/SUMIFS($E$4:$E$503,$B$4:$B$503,$B422,$AK$4:$AK$503,$AK422-Settings!$C$22)-1,"")))</f>
        <v/>
      </c>
      <c r="AF422" s="28" t="str">
        <f t="shared" si="112"/>
        <v/>
      </c>
      <c r="AG422" s="29" t="str">
        <f>IF($B422="","",ROUND((MIN(100,100*N($I422)/Settings!$C$27)+MIN(100,100*N($K422)/Settings!$C$28)+MIN(100,100*N($J422)/Settings!$C$29))/3,1))</f>
        <v/>
      </c>
      <c r="AH422" s="29" t="str">
        <f>IF($B422="","",IF(SUM(Settings!$C$32:$C$37)=0,"",ROUND((Settings!$C$32*$AO422+Settings!$C$33*$AP422+Settings!$C$34*$AQ422+Settings!$C$35*$AR422+Settings!$C$36*$AS422+Settings!$C$37*$AT422)/SUM(Settings!$C$32:$C$37),1)))</f>
        <v/>
      </c>
      <c r="AI422" s="29" t="str">
        <f>IF($B422="","",MAX(0,100-IF(N($N422)&gt;0,0,20)-IF(AND(N($L422)=0,N($M422)=0),15,0)-IF(N($J422)&gt;0,0,10)-IF(N($K422)&gt;0,0,10)-IF($Z422&lt;&gt;"",0,15)-IF($AB422&lt;&gt;"",0,10)-IF($R422="ERROR",20,IF($R422="WARNING",10,0))))</f>
        <v/>
      </c>
      <c r="AJ422" s="30" t="str">
        <f>IF($AH422="","",IF($AH422&lt;Settings!$C$46,"Extreme Sell Pressure",IF($AH422&lt;Settings!$C$47,"Sell Pressure",IF($AH422&lt;=Settings!$C$48,"Neutral",IF($AH422&lt;=Settings!$C$49,"Buy Pressure","Extreme Buy Pressure")))))</f>
        <v/>
      </c>
      <c r="AK422" s="30" t="str">
        <f t="shared" si="113"/>
        <v/>
      </c>
      <c r="AL422" s="30" t="str">
        <f t="shared" si="114"/>
        <v/>
      </c>
      <c r="AM422" s="30" t="str">
        <f t="shared" si="115"/>
        <v/>
      </c>
      <c r="AN422" s="30" t="str">
        <f t="shared" si="116"/>
        <v/>
      </c>
      <c r="AO422" s="29" t="str">
        <f>IF($B422="","",IF(AND(N($L422)=0,N($M422)=0),50,IF(N($M422)=0,100,IF(N($L422)=0,0,MEDIAN(0,100,50+50*LN($S422)/LN(Settings!$C$40))))))</f>
        <v/>
      </c>
      <c r="AP422" s="29">
        <f>IF($AA422="",50,MEDIAN(0,100,50+$AA422*100*Settings!$C$41))</f>
        <v>50</v>
      </c>
      <c r="AQ422" s="29">
        <f>IF($H422="",50,MEDIAN(0,100,50+$H422*100*Settings!$C$42))</f>
        <v>50</v>
      </c>
      <c r="AR422" s="29">
        <f>IF(OR($AC422="",$H422=""),50,MEDIAN(0,100,50+SIGN($H422)*50*MEDIAN(0,1,($AC422-1)/Settings!$C$43)))</f>
        <v>50</v>
      </c>
      <c r="AS422" s="29">
        <f>IF(OR($V422="",$W422=""),50,MEDIAN(0,100,50+50*($V422-$W422)/Settings!$C$44))</f>
        <v>50</v>
      </c>
      <c r="AT422" s="29">
        <f t="shared" si="117"/>
        <v>50</v>
      </c>
      <c r="AU422" s="30" t="str">
        <f t="shared" si="118"/>
        <v/>
      </c>
      <c r="AV422" s="87" t="str">
        <f>IF($A422="","",IF(COUNTIFS($A$4:$A422,$A422)=1,1,0))</f>
        <v/>
      </c>
    </row>
    <row r="423" spans="1:48" x14ac:dyDescent="0.3">
      <c r="A423" s="270"/>
      <c r="B423" s="271"/>
      <c r="C423" s="272"/>
      <c r="D423" s="272"/>
      <c r="E423" s="272"/>
      <c r="F423" s="272"/>
      <c r="G423" s="272"/>
      <c r="H423" s="268" t="str">
        <f t="shared" si="102"/>
        <v/>
      </c>
      <c r="I423" s="273"/>
      <c r="J423" s="273"/>
      <c r="K423" s="273"/>
      <c r="L423" s="273"/>
      <c r="M423" s="273"/>
      <c r="N423" s="273"/>
      <c r="O423" s="271"/>
      <c r="P423" s="270"/>
      <c r="Q423" s="271"/>
      <c r="R423" s="23" t="str" cm="1">
        <f t="array" ref="R423">IF($B423="","",IFERROR(IF(INDEX('Data Quality'!$U$4:$U$503,ROW()-3)=0,"PENDING",INDEX('Data Quality'!$U$4:$U$503,ROW()-3)),"PENDING"))</f>
        <v/>
      </c>
      <c r="S423" s="24" t="str">
        <f t="shared" si="103"/>
        <v/>
      </c>
      <c r="T423" s="25" t="str">
        <f t="shared" si="104"/>
        <v/>
      </c>
      <c r="U423" s="25" t="str">
        <f t="shared" si="105"/>
        <v/>
      </c>
      <c r="V423" s="26" t="str">
        <f t="shared" si="106"/>
        <v/>
      </c>
      <c r="W423" s="26" t="str">
        <f t="shared" si="107"/>
        <v/>
      </c>
      <c r="X423" s="25" t="str">
        <f t="shared" si="108"/>
        <v/>
      </c>
      <c r="Y423" s="25" t="str">
        <f t="shared" si="109"/>
        <v/>
      </c>
      <c r="Z423" s="27" t="str">
        <f>IF($B423="","",IF($AK423&lt;=Settings!$C$21,"",IFERROR(AVERAGEIFS($S$4:$S$503,$B$4:$B$503,$B423,$AK$4:$AK$503,"&gt;="&amp;$AK423-Settings!$C$21,$AK$4:$AK$503,"&lt;="&amp;$AK423-1),"")))</f>
        <v/>
      </c>
      <c r="AA423" s="28" t="str">
        <f t="shared" si="110"/>
        <v/>
      </c>
      <c r="AB423" s="25" t="str">
        <f>IF($B423="","",IF($AK423&lt;=Settings!$C$22,"",IFERROR(AVERAGEIFS($K$4:$K$503,$B$4:$B$503,$B423,$AK$4:$AK$503,"&gt;="&amp;$AK423-Settings!$C$22,$AK$4:$AK$503,"&lt;="&amp;$AK423-1),"")))</f>
        <v/>
      </c>
      <c r="AC423" s="27" t="str">
        <f t="shared" si="111"/>
        <v/>
      </c>
      <c r="AD423" s="28" t="str">
        <f>IF($B423="","",IF($AK423&lt;=Settings!$C$23,"",IFERROR($E423/SUMIFS($E$4:$E$503,$B$4:$B$503,$B423,$AK$4:$AK$503,$AK423-Settings!$C$23)-1,"")))</f>
        <v/>
      </c>
      <c r="AE423" s="28" t="str">
        <f>IF($B423="","",IF($AK423&lt;=Settings!$C$22,"",IFERROR($E423/SUMIFS($E$4:$E$503,$B$4:$B$503,$B423,$AK$4:$AK$503,$AK423-Settings!$C$22)-1,"")))</f>
        <v/>
      </c>
      <c r="AF423" s="28" t="str">
        <f t="shared" si="112"/>
        <v/>
      </c>
      <c r="AG423" s="29" t="str">
        <f>IF($B423="","",ROUND((MIN(100,100*N($I423)/Settings!$C$27)+MIN(100,100*N($K423)/Settings!$C$28)+MIN(100,100*N($J423)/Settings!$C$29))/3,1))</f>
        <v/>
      </c>
      <c r="AH423" s="29" t="str">
        <f>IF($B423="","",IF(SUM(Settings!$C$32:$C$37)=0,"",ROUND((Settings!$C$32*$AO423+Settings!$C$33*$AP423+Settings!$C$34*$AQ423+Settings!$C$35*$AR423+Settings!$C$36*$AS423+Settings!$C$37*$AT423)/SUM(Settings!$C$32:$C$37),1)))</f>
        <v/>
      </c>
      <c r="AI423" s="29" t="str">
        <f>IF($B423="","",MAX(0,100-IF(N($N423)&gt;0,0,20)-IF(AND(N($L423)=0,N($M423)=0),15,0)-IF(N($J423)&gt;0,0,10)-IF(N($K423)&gt;0,0,10)-IF($Z423&lt;&gt;"",0,15)-IF($AB423&lt;&gt;"",0,10)-IF($R423="ERROR",20,IF($R423="WARNING",10,0))))</f>
        <v/>
      </c>
      <c r="AJ423" s="30" t="str">
        <f>IF($AH423="","",IF($AH423&lt;Settings!$C$46,"Extreme Sell Pressure",IF($AH423&lt;Settings!$C$47,"Sell Pressure",IF($AH423&lt;=Settings!$C$48,"Neutral",IF($AH423&lt;=Settings!$C$49,"Buy Pressure","Extreme Buy Pressure")))))</f>
        <v/>
      </c>
      <c r="AK423" s="30" t="str">
        <f t="shared" si="113"/>
        <v/>
      </c>
      <c r="AL423" s="30" t="str">
        <f t="shared" si="114"/>
        <v/>
      </c>
      <c r="AM423" s="30" t="str">
        <f t="shared" si="115"/>
        <v/>
      </c>
      <c r="AN423" s="30" t="str">
        <f t="shared" si="116"/>
        <v/>
      </c>
      <c r="AO423" s="29" t="str">
        <f>IF($B423="","",IF(AND(N($L423)=0,N($M423)=0),50,IF(N($M423)=0,100,IF(N($L423)=0,0,MEDIAN(0,100,50+50*LN($S423)/LN(Settings!$C$40))))))</f>
        <v/>
      </c>
      <c r="AP423" s="29">
        <f>IF($AA423="",50,MEDIAN(0,100,50+$AA423*100*Settings!$C$41))</f>
        <v>50</v>
      </c>
      <c r="AQ423" s="29">
        <f>IF($H423="",50,MEDIAN(0,100,50+$H423*100*Settings!$C$42))</f>
        <v>50</v>
      </c>
      <c r="AR423" s="29">
        <f>IF(OR($AC423="",$H423=""),50,MEDIAN(0,100,50+SIGN($H423)*50*MEDIAN(0,1,($AC423-1)/Settings!$C$43)))</f>
        <v>50</v>
      </c>
      <c r="AS423" s="29">
        <f>IF(OR($V423="",$W423=""),50,MEDIAN(0,100,50+50*($V423-$W423)/Settings!$C$44))</f>
        <v>50</v>
      </c>
      <c r="AT423" s="29">
        <f t="shared" si="117"/>
        <v>50</v>
      </c>
      <c r="AU423" s="30" t="str">
        <f t="shared" si="118"/>
        <v/>
      </c>
      <c r="AV423" s="87" t="str">
        <f>IF($A423="","",IF(COUNTIFS($A$4:$A423,$A423)=1,1,0))</f>
        <v/>
      </c>
    </row>
    <row r="424" spans="1:48" x14ac:dyDescent="0.3">
      <c r="A424" s="270"/>
      <c r="B424" s="271"/>
      <c r="C424" s="272"/>
      <c r="D424" s="272"/>
      <c r="E424" s="272"/>
      <c r="F424" s="272"/>
      <c r="G424" s="272"/>
      <c r="H424" s="268" t="str">
        <f t="shared" si="102"/>
        <v/>
      </c>
      <c r="I424" s="273"/>
      <c r="J424" s="273"/>
      <c r="K424" s="273"/>
      <c r="L424" s="273"/>
      <c r="M424" s="273"/>
      <c r="N424" s="273"/>
      <c r="O424" s="271"/>
      <c r="P424" s="270"/>
      <c r="Q424" s="271"/>
      <c r="R424" s="23" t="str" cm="1">
        <f t="array" ref="R424">IF($B424="","",IFERROR(IF(INDEX('Data Quality'!$U$4:$U$503,ROW()-3)=0,"PENDING",INDEX('Data Quality'!$U$4:$U$503,ROW()-3)),"PENDING"))</f>
        <v/>
      </c>
      <c r="S424" s="24" t="str">
        <f t="shared" si="103"/>
        <v/>
      </c>
      <c r="T424" s="25" t="str">
        <f t="shared" si="104"/>
        <v/>
      </c>
      <c r="U424" s="25" t="str">
        <f t="shared" si="105"/>
        <v/>
      </c>
      <c r="V424" s="26" t="str">
        <f t="shared" si="106"/>
        <v/>
      </c>
      <c r="W424" s="26" t="str">
        <f t="shared" si="107"/>
        <v/>
      </c>
      <c r="X424" s="25" t="str">
        <f t="shared" si="108"/>
        <v/>
      </c>
      <c r="Y424" s="25" t="str">
        <f t="shared" si="109"/>
        <v/>
      </c>
      <c r="Z424" s="27" t="str">
        <f>IF($B424="","",IF($AK424&lt;=Settings!$C$21,"",IFERROR(AVERAGEIFS($S$4:$S$503,$B$4:$B$503,$B424,$AK$4:$AK$503,"&gt;="&amp;$AK424-Settings!$C$21,$AK$4:$AK$503,"&lt;="&amp;$AK424-1),"")))</f>
        <v/>
      </c>
      <c r="AA424" s="28" t="str">
        <f t="shared" si="110"/>
        <v/>
      </c>
      <c r="AB424" s="25" t="str">
        <f>IF($B424="","",IF($AK424&lt;=Settings!$C$22,"",IFERROR(AVERAGEIFS($K$4:$K$503,$B$4:$B$503,$B424,$AK$4:$AK$503,"&gt;="&amp;$AK424-Settings!$C$22,$AK$4:$AK$503,"&lt;="&amp;$AK424-1),"")))</f>
        <v/>
      </c>
      <c r="AC424" s="27" t="str">
        <f t="shared" si="111"/>
        <v/>
      </c>
      <c r="AD424" s="28" t="str">
        <f>IF($B424="","",IF($AK424&lt;=Settings!$C$23,"",IFERROR($E424/SUMIFS($E$4:$E$503,$B$4:$B$503,$B424,$AK$4:$AK$503,$AK424-Settings!$C$23)-1,"")))</f>
        <v/>
      </c>
      <c r="AE424" s="28" t="str">
        <f>IF($B424="","",IF($AK424&lt;=Settings!$C$22,"",IFERROR($E424/SUMIFS($E$4:$E$503,$B$4:$B$503,$B424,$AK$4:$AK$503,$AK424-Settings!$C$22)-1,"")))</f>
        <v/>
      </c>
      <c r="AF424" s="28" t="str">
        <f t="shared" si="112"/>
        <v/>
      </c>
      <c r="AG424" s="29" t="str">
        <f>IF($B424="","",ROUND((MIN(100,100*N($I424)/Settings!$C$27)+MIN(100,100*N($K424)/Settings!$C$28)+MIN(100,100*N($J424)/Settings!$C$29))/3,1))</f>
        <v/>
      </c>
      <c r="AH424" s="29" t="str">
        <f>IF($B424="","",IF(SUM(Settings!$C$32:$C$37)=0,"",ROUND((Settings!$C$32*$AO424+Settings!$C$33*$AP424+Settings!$C$34*$AQ424+Settings!$C$35*$AR424+Settings!$C$36*$AS424+Settings!$C$37*$AT424)/SUM(Settings!$C$32:$C$37),1)))</f>
        <v/>
      </c>
      <c r="AI424" s="29" t="str">
        <f>IF($B424="","",MAX(0,100-IF(N($N424)&gt;0,0,20)-IF(AND(N($L424)=0,N($M424)=0),15,0)-IF(N($J424)&gt;0,0,10)-IF(N($K424)&gt;0,0,10)-IF($Z424&lt;&gt;"",0,15)-IF($AB424&lt;&gt;"",0,10)-IF($R424="ERROR",20,IF($R424="WARNING",10,0))))</f>
        <v/>
      </c>
      <c r="AJ424" s="30" t="str">
        <f>IF($AH424="","",IF($AH424&lt;Settings!$C$46,"Extreme Sell Pressure",IF($AH424&lt;Settings!$C$47,"Sell Pressure",IF($AH424&lt;=Settings!$C$48,"Neutral",IF($AH424&lt;=Settings!$C$49,"Buy Pressure","Extreme Buy Pressure")))))</f>
        <v/>
      </c>
      <c r="AK424" s="30" t="str">
        <f t="shared" si="113"/>
        <v/>
      </c>
      <c r="AL424" s="30" t="str">
        <f t="shared" si="114"/>
        <v/>
      </c>
      <c r="AM424" s="30" t="str">
        <f t="shared" si="115"/>
        <v/>
      </c>
      <c r="AN424" s="30" t="str">
        <f t="shared" si="116"/>
        <v/>
      </c>
      <c r="AO424" s="29" t="str">
        <f>IF($B424="","",IF(AND(N($L424)=0,N($M424)=0),50,IF(N($M424)=0,100,IF(N($L424)=0,0,MEDIAN(0,100,50+50*LN($S424)/LN(Settings!$C$40))))))</f>
        <v/>
      </c>
      <c r="AP424" s="29">
        <f>IF($AA424="",50,MEDIAN(0,100,50+$AA424*100*Settings!$C$41))</f>
        <v>50</v>
      </c>
      <c r="AQ424" s="29">
        <f>IF($H424="",50,MEDIAN(0,100,50+$H424*100*Settings!$C$42))</f>
        <v>50</v>
      </c>
      <c r="AR424" s="29">
        <f>IF(OR($AC424="",$H424=""),50,MEDIAN(0,100,50+SIGN($H424)*50*MEDIAN(0,1,($AC424-1)/Settings!$C$43)))</f>
        <v>50</v>
      </c>
      <c r="AS424" s="29">
        <f>IF(OR($V424="",$W424=""),50,MEDIAN(0,100,50+50*($V424-$W424)/Settings!$C$44))</f>
        <v>50</v>
      </c>
      <c r="AT424" s="29">
        <f t="shared" si="117"/>
        <v>50</v>
      </c>
      <c r="AU424" s="30" t="str">
        <f t="shared" si="118"/>
        <v/>
      </c>
      <c r="AV424" s="87" t="str">
        <f>IF($A424="","",IF(COUNTIFS($A$4:$A424,$A424)=1,1,0))</f>
        <v/>
      </c>
    </row>
    <row r="425" spans="1:48" x14ac:dyDescent="0.3">
      <c r="A425" s="270"/>
      <c r="B425" s="271"/>
      <c r="C425" s="272"/>
      <c r="D425" s="272"/>
      <c r="E425" s="272"/>
      <c r="F425" s="272"/>
      <c r="G425" s="272"/>
      <c r="H425" s="268" t="str">
        <f t="shared" si="102"/>
        <v/>
      </c>
      <c r="I425" s="273"/>
      <c r="J425" s="273"/>
      <c r="K425" s="273"/>
      <c r="L425" s="273"/>
      <c r="M425" s="273"/>
      <c r="N425" s="273"/>
      <c r="O425" s="271"/>
      <c r="P425" s="270"/>
      <c r="Q425" s="271"/>
      <c r="R425" s="23" t="str" cm="1">
        <f t="array" ref="R425">IF($B425="","",IFERROR(IF(INDEX('Data Quality'!$U$4:$U$503,ROW()-3)=0,"PENDING",INDEX('Data Quality'!$U$4:$U$503,ROW()-3)),"PENDING"))</f>
        <v/>
      </c>
      <c r="S425" s="24" t="str">
        <f t="shared" si="103"/>
        <v/>
      </c>
      <c r="T425" s="25" t="str">
        <f t="shared" si="104"/>
        <v/>
      </c>
      <c r="U425" s="25" t="str">
        <f t="shared" si="105"/>
        <v/>
      </c>
      <c r="V425" s="26" t="str">
        <f t="shared" si="106"/>
        <v/>
      </c>
      <c r="W425" s="26" t="str">
        <f t="shared" si="107"/>
        <v/>
      </c>
      <c r="X425" s="25" t="str">
        <f t="shared" si="108"/>
        <v/>
      </c>
      <c r="Y425" s="25" t="str">
        <f t="shared" si="109"/>
        <v/>
      </c>
      <c r="Z425" s="27" t="str">
        <f>IF($B425="","",IF($AK425&lt;=Settings!$C$21,"",IFERROR(AVERAGEIFS($S$4:$S$503,$B$4:$B$503,$B425,$AK$4:$AK$503,"&gt;="&amp;$AK425-Settings!$C$21,$AK$4:$AK$503,"&lt;="&amp;$AK425-1),"")))</f>
        <v/>
      </c>
      <c r="AA425" s="28" t="str">
        <f t="shared" si="110"/>
        <v/>
      </c>
      <c r="AB425" s="25" t="str">
        <f>IF($B425="","",IF($AK425&lt;=Settings!$C$22,"",IFERROR(AVERAGEIFS($K$4:$K$503,$B$4:$B$503,$B425,$AK$4:$AK$503,"&gt;="&amp;$AK425-Settings!$C$22,$AK$4:$AK$503,"&lt;="&amp;$AK425-1),"")))</f>
        <v/>
      </c>
      <c r="AC425" s="27" t="str">
        <f t="shared" si="111"/>
        <v/>
      </c>
      <c r="AD425" s="28" t="str">
        <f>IF($B425="","",IF($AK425&lt;=Settings!$C$23,"",IFERROR($E425/SUMIFS($E$4:$E$503,$B$4:$B$503,$B425,$AK$4:$AK$503,$AK425-Settings!$C$23)-1,"")))</f>
        <v/>
      </c>
      <c r="AE425" s="28" t="str">
        <f>IF($B425="","",IF($AK425&lt;=Settings!$C$22,"",IFERROR($E425/SUMIFS($E$4:$E$503,$B$4:$B$503,$B425,$AK$4:$AK$503,$AK425-Settings!$C$22)-1,"")))</f>
        <v/>
      </c>
      <c r="AF425" s="28" t="str">
        <f t="shared" si="112"/>
        <v/>
      </c>
      <c r="AG425" s="29" t="str">
        <f>IF($B425="","",ROUND((MIN(100,100*N($I425)/Settings!$C$27)+MIN(100,100*N($K425)/Settings!$C$28)+MIN(100,100*N($J425)/Settings!$C$29))/3,1))</f>
        <v/>
      </c>
      <c r="AH425" s="29" t="str">
        <f>IF($B425="","",IF(SUM(Settings!$C$32:$C$37)=0,"",ROUND((Settings!$C$32*$AO425+Settings!$C$33*$AP425+Settings!$C$34*$AQ425+Settings!$C$35*$AR425+Settings!$C$36*$AS425+Settings!$C$37*$AT425)/SUM(Settings!$C$32:$C$37),1)))</f>
        <v/>
      </c>
      <c r="AI425" s="29" t="str">
        <f>IF($B425="","",MAX(0,100-IF(N($N425)&gt;0,0,20)-IF(AND(N($L425)=0,N($M425)=0),15,0)-IF(N($J425)&gt;0,0,10)-IF(N($K425)&gt;0,0,10)-IF($Z425&lt;&gt;"",0,15)-IF($AB425&lt;&gt;"",0,10)-IF($R425="ERROR",20,IF($R425="WARNING",10,0))))</f>
        <v/>
      </c>
      <c r="AJ425" s="30" t="str">
        <f>IF($AH425="","",IF($AH425&lt;Settings!$C$46,"Extreme Sell Pressure",IF($AH425&lt;Settings!$C$47,"Sell Pressure",IF($AH425&lt;=Settings!$C$48,"Neutral",IF($AH425&lt;=Settings!$C$49,"Buy Pressure","Extreme Buy Pressure")))))</f>
        <v/>
      </c>
      <c r="AK425" s="30" t="str">
        <f t="shared" si="113"/>
        <v/>
      </c>
      <c r="AL425" s="30" t="str">
        <f t="shared" si="114"/>
        <v/>
      </c>
      <c r="AM425" s="30" t="str">
        <f t="shared" si="115"/>
        <v/>
      </c>
      <c r="AN425" s="30" t="str">
        <f t="shared" si="116"/>
        <v/>
      </c>
      <c r="AO425" s="29" t="str">
        <f>IF($B425="","",IF(AND(N($L425)=0,N($M425)=0),50,IF(N($M425)=0,100,IF(N($L425)=0,0,MEDIAN(0,100,50+50*LN($S425)/LN(Settings!$C$40))))))</f>
        <v/>
      </c>
      <c r="AP425" s="29">
        <f>IF($AA425="",50,MEDIAN(0,100,50+$AA425*100*Settings!$C$41))</f>
        <v>50</v>
      </c>
      <c r="AQ425" s="29">
        <f>IF($H425="",50,MEDIAN(0,100,50+$H425*100*Settings!$C$42))</f>
        <v>50</v>
      </c>
      <c r="AR425" s="29">
        <f>IF(OR($AC425="",$H425=""),50,MEDIAN(0,100,50+SIGN($H425)*50*MEDIAN(0,1,($AC425-1)/Settings!$C$43)))</f>
        <v>50</v>
      </c>
      <c r="AS425" s="29">
        <f>IF(OR($V425="",$W425=""),50,MEDIAN(0,100,50+50*($V425-$W425)/Settings!$C$44))</f>
        <v>50</v>
      </c>
      <c r="AT425" s="29">
        <f t="shared" si="117"/>
        <v>50</v>
      </c>
      <c r="AU425" s="30" t="str">
        <f t="shared" si="118"/>
        <v/>
      </c>
      <c r="AV425" s="87" t="str">
        <f>IF($A425="","",IF(COUNTIFS($A$4:$A425,$A425)=1,1,0))</f>
        <v/>
      </c>
    </row>
    <row r="426" spans="1:48" x14ac:dyDescent="0.3">
      <c r="A426" s="270"/>
      <c r="B426" s="271"/>
      <c r="C426" s="272"/>
      <c r="D426" s="272"/>
      <c r="E426" s="272"/>
      <c r="F426" s="272"/>
      <c r="G426" s="272"/>
      <c r="H426" s="268" t="str">
        <f t="shared" si="102"/>
        <v/>
      </c>
      <c r="I426" s="273"/>
      <c r="J426" s="273"/>
      <c r="K426" s="273"/>
      <c r="L426" s="273"/>
      <c r="M426" s="273"/>
      <c r="N426" s="273"/>
      <c r="O426" s="271"/>
      <c r="P426" s="270"/>
      <c r="Q426" s="271"/>
      <c r="R426" s="23" t="str" cm="1">
        <f t="array" ref="R426">IF($B426="","",IFERROR(IF(INDEX('Data Quality'!$U$4:$U$503,ROW()-3)=0,"PENDING",INDEX('Data Quality'!$U$4:$U$503,ROW()-3)),"PENDING"))</f>
        <v/>
      </c>
      <c r="S426" s="24" t="str">
        <f t="shared" si="103"/>
        <v/>
      </c>
      <c r="T426" s="25" t="str">
        <f t="shared" si="104"/>
        <v/>
      </c>
      <c r="U426" s="25" t="str">
        <f t="shared" si="105"/>
        <v/>
      </c>
      <c r="V426" s="26" t="str">
        <f t="shared" si="106"/>
        <v/>
      </c>
      <c r="W426" s="26" t="str">
        <f t="shared" si="107"/>
        <v/>
      </c>
      <c r="X426" s="25" t="str">
        <f t="shared" si="108"/>
        <v/>
      </c>
      <c r="Y426" s="25" t="str">
        <f t="shared" si="109"/>
        <v/>
      </c>
      <c r="Z426" s="27" t="str">
        <f>IF($B426="","",IF($AK426&lt;=Settings!$C$21,"",IFERROR(AVERAGEIFS($S$4:$S$503,$B$4:$B$503,$B426,$AK$4:$AK$503,"&gt;="&amp;$AK426-Settings!$C$21,$AK$4:$AK$503,"&lt;="&amp;$AK426-1),"")))</f>
        <v/>
      </c>
      <c r="AA426" s="28" t="str">
        <f t="shared" si="110"/>
        <v/>
      </c>
      <c r="AB426" s="25" t="str">
        <f>IF($B426="","",IF($AK426&lt;=Settings!$C$22,"",IFERROR(AVERAGEIFS($K$4:$K$503,$B$4:$B$503,$B426,$AK$4:$AK$503,"&gt;="&amp;$AK426-Settings!$C$22,$AK$4:$AK$503,"&lt;="&amp;$AK426-1),"")))</f>
        <v/>
      </c>
      <c r="AC426" s="27" t="str">
        <f t="shared" si="111"/>
        <v/>
      </c>
      <c r="AD426" s="28" t="str">
        <f>IF($B426="","",IF($AK426&lt;=Settings!$C$23,"",IFERROR($E426/SUMIFS($E$4:$E$503,$B$4:$B$503,$B426,$AK$4:$AK$503,$AK426-Settings!$C$23)-1,"")))</f>
        <v/>
      </c>
      <c r="AE426" s="28" t="str">
        <f>IF($B426="","",IF($AK426&lt;=Settings!$C$22,"",IFERROR($E426/SUMIFS($E$4:$E$503,$B$4:$B$503,$B426,$AK$4:$AK$503,$AK426-Settings!$C$22)-1,"")))</f>
        <v/>
      </c>
      <c r="AF426" s="28" t="str">
        <f t="shared" si="112"/>
        <v/>
      </c>
      <c r="AG426" s="29" t="str">
        <f>IF($B426="","",ROUND((MIN(100,100*N($I426)/Settings!$C$27)+MIN(100,100*N($K426)/Settings!$C$28)+MIN(100,100*N($J426)/Settings!$C$29))/3,1))</f>
        <v/>
      </c>
      <c r="AH426" s="29" t="str">
        <f>IF($B426="","",IF(SUM(Settings!$C$32:$C$37)=0,"",ROUND((Settings!$C$32*$AO426+Settings!$C$33*$AP426+Settings!$C$34*$AQ426+Settings!$C$35*$AR426+Settings!$C$36*$AS426+Settings!$C$37*$AT426)/SUM(Settings!$C$32:$C$37),1)))</f>
        <v/>
      </c>
      <c r="AI426" s="29" t="str">
        <f>IF($B426="","",MAX(0,100-IF(N($N426)&gt;0,0,20)-IF(AND(N($L426)=0,N($M426)=0),15,0)-IF(N($J426)&gt;0,0,10)-IF(N($K426)&gt;0,0,10)-IF($Z426&lt;&gt;"",0,15)-IF($AB426&lt;&gt;"",0,10)-IF($R426="ERROR",20,IF($R426="WARNING",10,0))))</f>
        <v/>
      </c>
      <c r="AJ426" s="30" t="str">
        <f>IF($AH426="","",IF($AH426&lt;Settings!$C$46,"Extreme Sell Pressure",IF($AH426&lt;Settings!$C$47,"Sell Pressure",IF($AH426&lt;=Settings!$C$48,"Neutral",IF($AH426&lt;=Settings!$C$49,"Buy Pressure","Extreme Buy Pressure")))))</f>
        <v/>
      </c>
      <c r="AK426" s="30" t="str">
        <f t="shared" si="113"/>
        <v/>
      </c>
      <c r="AL426" s="30" t="str">
        <f t="shared" si="114"/>
        <v/>
      </c>
      <c r="AM426" s="30" t="str">
        <f t="shared" si="115"/>
        <v/>
      </c>
      <c r="AN426" s="30" t="str">
        <f t="shared" si="116"/>
        <v/>
      </c>
      <c r="AO426" s="29" t="str">
        <f>IF($B426="","",IF(AND(N($L426)=0,N($M426)=0),50,IF(N($M426)=0,100,IF(N($L426)=0,0,MEDIAN(0,100,50+50*LN($S426)/LN(Settings!$C$40))))))</f>
        <v/>
      </c>
      <c r="AP426" s="29">
        <f>IF($AA426="",50,MEDIAN(0,100,50+$AA426*100*Settings!$C$41))</f>
        <v>50</v>
      </c>
      <c r="AQ426" s="29">
        <f>IF($H426="",50,MEDIAN(0,100,50+$H426*100*Settings!$C$42))</f>
        <v>50</v>
      </c>
      <c r="AR426" s="29">
        <f>IF(OR($AC426="",$H426=""),50,MEDIAN(0,100,50+SIGN($H426)*50*MEDIAN(0,1,($AC426-1)/Settings!$C$43)))</f>
        <v>50</v>
      </c>
      <c r="AS426" s="29">
        <f>IF(OR($V426="",$W426=""),50,MEDIAN(0,100,50+50*($V426-$W426)/Settings!$C$44))</f>
        <v>50</v>
      </c>
      <c r="AT426" s="29">
        <f t="shared" si="117"/>
        <v>50</v>
      </c>
      <c r="AU426" s="30" t="str">
        <f t="shared" si="118"/>
        <v/>
      </c>
      <c r="AV426" s="87" t="str">
        <f>IF($A426="","",IF(COUNTIFS($A$4:$A426,$A426)=1,1,0))</f>
        <v/>
      </c>
    </row>
    <row r="427" spans="1:48" x14ac:dyDescent="0.3">
      <c r="A427" s="270"/>
      <c r="B427" s="271"/>
      <c r="C427" s="272"/>
      <c r="D427" s="272"/>
      <c r="E427" s="272"/>
      <c r="F427" s="272"/>
      <c r="G427" s="272"/>
      <c r="H427" s="268" t="str">
        <f t="shared" si="102"/>
        <v/>
      </c>
      <c r="I427" s="273"/>
      <c r="J427" s="273"/>
      <c r="K427" s="273"/>
      <c r="L427" s="273"/>
      <c r="M427" s="273"/>
      <c r="N427" s="273"/>
      <c r="O427" s="271"/>
      <c r="P427" s="270"/>
      <c r="Q427" s="271"/>
      <c r="R427" s="23" t="str" cm="1">
        <f t="array" ref="R427">IF($B427="","",IFERROR(IF(INDEX('Data Quality'!$U$4:$U$503,ROW()-3)=0,"PENDING",INDEX('Data Quality'!$U$4:$U$503,ROW()-3)),"PENDING"))</f>
        <v/>
      </c>
      <c r="S427" s="24" t="str">
        <f t="shared" si="103"/>
        <v/>
      </c>
      <c r="T427" s="25" t="str">
        <f t="shared" si="104"/>
        <v/>
      </c>
      <c r="U427" s="25" t="str">
        <f t="shared" si="105"/>
        <v/>
      </c>
      <c r="V427" s="26" t="str">
        <f t="shared" si="106"/>
        <v/>
      </c>
      <c r="W427" s="26" t="str">
        <f t="shared" si="107"/>
        <v/>
      </c>
      <c r="X427" s="25" t="str">
        <f t="shared" si="108"/>
        <v/>
      </c>
      <c r="Y427" s="25" t="str">
        <f t="shared" si="109"/>
        <v/>
      </c>
      <c r="Z427" s="27" t="str">
        <f>IF($B427="","",IF($AK427&lt;=Settings!$C$21,"",IFERROR(AVERAGEIFS($S$4:$S$503,$B$4:$B$503,$B427,$AK$4:$AK$503,"&gt;="&amp;$AK427-Settings!$C$21,$AK$4:$AK$503,"&lt;="&amp;$AK427-1),"")))</f>
        <v/>
      </c>
      <c r="AA427" s="28" t="str">
        <f t="shared" si="110"/>
        <v/>
      </c>
      <c r="AB427" s="25" t="str">
        <f>IF($B427="","",IF($AK427&lt;=Settings!$C$22,"",IFERROR(AVERAGEIFS($K$4:$K$503,$B$4:$B$503,$B427,$AK$4:$AK$503,"&gt;="&amp;$AK427-Settings!$C$22,$AK$4:$AK$503,"&lt;="&amp;$AK427-1),"")))</f>
        <v/>
      </c>
      <c r="AC427" s="27" t="str">
        <f t="shared" si="111"/>
        <v/>
      </c>
      <c r="AD427" s="28" t="str">
        <f>IF($B427="","",IF($AK427&lt;=Settings!$C$23,"",IFERROR($E427/SUMIFS($E$4:$E$503,$B$4:$B$503,$B427,$AK$4:$AK$503,$AK427-Settings!$C$23)-1,"")))</f>
        <v/>
      </c>
      <c r="AE427" s="28" t="str">
        <f>IF($B427="","",IF($AK427&lt;=Settings!$C$22,"",IFERROR($E427/SUMIFS($E$4:$E$503,$B$4:$B$503,$B427,$AK$4:$AK$503,$AK427-Settings!$C$22)-1,"")))</f>
        <v/>
      </c>
      <c r="AF427" s="28" t="str">
        <f t="shared" si="112"/>
        <v/>
      </c>
      <c r="AG427" s="29" t="str">
        <f>IF($B427="","",ROUND((MIN(100,100*N($I427)/Settings!$C$27)+MIN(100,100*N($K427)/Settings!$C$28)+MIN(100,100*N($J427)/Settings!$C$29))/3,1))</f>
        <v/>
      </c>
      <c r="AH427" s="29" t="str">
        <f>IF($B427="","",IF(SUM(Settings!$C$32:$C$37)=0,"",ROUND((Settings!$C$32*$AO427+Settings!$C$33*$AP427+Settings!$C$34*$AQ427+Settings!$C$35*$AR427+Settings!$C$36*$AS427+Settings!$C$37*$AT427)/SUM(Settings!$C$32:$C$37),1)))</f>
        <v/>
      </c>
      <c r="AI427" s="29" t="str">
        <f>IF($B427="","",MAX(0,100-IF(N($N427)&gt;0,0,20)-IF(AND(N($L427)=0,N($M427)=0),15,0)-IF(N($J427)&gt;0,0,10)-IF(N($K427)&gt;0,0,10)-IF($Z427&lt;&gt;"",0,15)-IF($AB427&lt;&gt;"",0,10)-IF($R427="ERROR",20,IF($R427="WARNING",10,0))))</f>
        <v/>
      </c>
      <c r="AJ427" s="30" t="str">
        <f>IF($AH427="","",IF($AH427&lt;Settings!$C$46,"Extreme Sell Pressure",IF($AH427&lt;Settings!$C$47,"Sell Pressure",IF($AH427&lt;=Settings!$C$48,"Neutral",IF($AH427&lt;=Settings!$C$49,"Buy Pressure","Extreme Buy Pressure")))))</f>
        <v/>
      </c>
      <c r="AK427" s="30" t="str">
        <f t="shared" si="113"/>
        <v/>
      </c>
      <c r="AL427" s="30" t="str">
        <f t="shared" si="114"/>
        <v/>
      </c>
      <c r="AM427" s="30" t="str">
        <f t="shared" si="115"/>
        <v/>
      </c>
      <c r="AN427" s="30" t="str">
        <f t="shared" si="116"/>
        <v/>
      </c>
      <c r="AO427" s="29" t="str">
        <f>IF($B427="","",IF(AND(N($L427)=0,N($M427)=0),50,IF(N($M427)=0,100,IF(N($L427)=0,0,MEDIAN(0,100,50+50*LN($S427)/LN(Settings!$C$40))))))</f>
        <v/>
      </c>
      <c r="AP427" s="29">
        <f>IF($AA427="",50,MEDIAN(0,100,50+$AA427*100*Settings!$C$41))</f>
        <v>50</v>
      </c>
      <c r="AQ427" s="29">
        <f>IF($H427="",50,MEDIAN(0,100,50+$H427*100*Settings!$C$42))</f>
        <v>50</v>
      </c>
      <c r="AR427" s="29">
        <f>IF(OR($AC427="",$H427=""),50,MEDIAN(0,100,50+SIGN($H427)*50*MEDIAN(0,1,($AC427-1)/Settings!$C$43)))</f>
        <v>50</v>
      </c>
      <c r="AS427" s="29">
        <f>IF(OR($V427="",$W427=""),50,MEDIAN(0,100,50+50*($V427-$W427)/Settings!$C$44))</f>
        <v>50</v>
      </c>
      <c r="AT427" s="29">
        <f t="shared" si="117"/>
        <v>50</v>
      </c>
      <c r="AU427" s="30" t="str">
        <f t="shared" si="118"/>
        <v/>
      </c>
      <c r="AV427" s="87" t="str">
        <f>IF($A427="","",IF(COUNTIFS($A$4:$A427,$A427)=1,1,0))</f>
        <v/>
      </c>
    </row>
    <row r="428" spans="1:48" x14ac:dyDescent="0.3">
      <c r="A428" s="270"/>
      <c r="B428" s="271"/>
      <c r="C428" s="272"/>
      <c r="D428" s="272"/>
      <c r="E428" s="272"/>
      <c r="F428" s="272"/>
      <c r="G428" s="272"/>
      <c r="H428" s="268" t="str">
        <f t="shared" si="102"/>
        <v/>
      </c>
      <c r="I428" s="273"/>
      <c r="J428" s="273"/>
      <c r="K428" s="273"/>
      <c r="L428" s="273"/>
      <c r="M428" s="273"/>
      <c r="N428" s="273"/>
      <c r="O428" s="271"/>
      <c r="P428" s="270"/>
      <c r="Q428" s="271"/>
      <c r="R428" s="23" t="str" cm="1">
        <f t="array" ref="R428">IF($B428="","",IFERROR(IF(INDEX('Data Quality'!$U$4:$U$503,ROW()-3)=0,"PENDING",INDEX('Data Quality'!$U$4:$U$503,ROW()-3)),"PENDING"))</f>
        <v/>
      </c>
      <c r="S428" s="24" t="str">
        <f t="shared" si="103"/>
        <v/>
      </c>
      <c r="T428" s="25" t="str">
        <f t="shared" si="104"/>
        <v/>
      </c>
      <c r="U428" s="25" t="str">
        <f t="shared" si="105"/>
        <v/>
      </c>
      <c r="V428" s="26" t="str">
        <f t="shared" si="106"/>
        <v/>
      </c>
      <c r="W428" s="26" t="str">
        <f t="shared" si="107"/>
        <v/>
      </c>
      <c r="X428" s="25" t="str">
        <f t="shared" si="108"/>
        <v/>
      </c>
      <c r="Y428" s="25" t="str">
        <f t="shared" si="109"/>
        <v/>
      </c>
      <c r="Z428" s="27" t="str">
        <f>IF($B428="","",IF($AK428&lt;=Settings!$C$21,"",IFERROR(AVERAGEIFS($S$4:$S$503,$B$4:$B$503,$B428,$AK$4:$AK$503,"&gt;="&amp;$AK428-Settings!$C$21,$AK$4:$AK$503,"&lt;="&amp;$AK428-1),"")))</f>
        <v/>
      </c>
      <c r="AA428" s="28" t="str">
        <f t="shared" si="110"/>
        <v/>
      </c>
      <c r="AB428" s="25" t="str">
        <f>IF($B428="","",IF($AK428&lt;=Settings!$C$22,"",IFERROR(AVERAGEIFS($K$4:$K$503,$B$4:$B$503,$B428,$AK$4:$AK$503,"&gt;="&amp;$AK428-Settings!$C$22,$AK$4:$AK$503,"&lt;="&amp;$AK428-1),"")))</f>
        <v/>
      </c>
      <c r="AC428" s="27" t="str">
        <f t="shared" si="111"/>
        <v/>
      </c>
      <c r="AD428" s="28" t="str">
        <f>IF($B428="","",IF($AK428&lt;=Settings!$C$23,"",IFERROR($E428/SUMIFS($E$4:$E$503,$B$4:$B$503,$B428,$AK$4:$AK$503,$AK428-Settings!$C$23)-1,"")))</f>
        <v/>
      </c>
      <c r="AE428" s="28" t="str">
        <f>IF($B428="","",IF($AK428&lt;=Settings!$C$22,"",IFERROR($E428/SUMIFS($E$4:$E$503,$B$4:$B$503,$B428,$AK$4:$AK$503,$AK428-Settings!$C$22)-1,"")))</f>
        <v/>
      </c>
      <c r="AF428" s="28" t="str">
        <f t="shared" si="112"/>
        <v/>
      </c>
      <c r="AG428" s="29" t="str">
        <f>IF($B428="","",ROUND((MIN(100,100*N($I428)/Settings!$C$27)+MIN(100,100*N($K428)/Settings!$C$28)+MIN(100,100*N($J428)/Settings!$C$29))/3,1))</f>
        <v/>
      </c>
      <c r="AH428" s="29" t="str">
        <f>IF($B428="","",IF(SUM(Settings!$C$32:$C$37)=0,"",ROUND((Settings!$C$32*$AO428+Settings!$C$33*$AP428+Settings!$C$34*$AQ428+Settings!$C$35*$AR428+Settings!$C$36*$AS428+Settings!$C$37*$AT428)/SUM(Settings!$C$32:$C$37),1)))</f>
        <v/>
      </c>
      <c r="AI428" s="29" t="str">
        <f>IF($B428="","",MAX(0,100-IF(N($N428)&gt;0,0,20)-IF(AND(N($L428)=0,N($M428)=0),15,0)-IF(N($J428)&gt;0,0,10)-IF(N($K428)&gt;0,0,10)-IF($Z428&lt;&gt;"",0,15)-IF($AB428&lt;&gt;"",0,10)-IF($R428="ERROR",20,IF($R428="WARNING",10,0))))</f>
        <v/>
      </c>
      <c r="AJ428" s="30" t="str">
        <f>IF($AH428="","",IF($AH428&lt;Settings!$C$46,"Extreme Sell Pressure",IF($AH428&lt;Settings!$C$47,"Sell Pressure",IF($AH428&lt;=Settings!$C$48,"Neutral",IF($AH428&lt;=Settings!$C$49,"Buy Pressure","Extreme Buy Pressure")))))</f>
        <v/>
      </c>
      <c r="AK428" s="30" t="str">
        <f t="shared" si="113"/>
        <v/>
      </c>
      <c r="AL428" s="30" t="str">
        <f t="shared" si="114"/>
        <v/>
      </c>
      <c r="AM428" s="30" t="str">
        <f t="shared" si="115"/>
        <v/>
      </c>
      <c r="AN428" s="30" t="str">
        <f t="shared" si="116"/>
        <v/>
      </c>
      <c r="AO428" s="29" t="str">
        <f>IF($B428="","",IF(AND(N($L428)=0,N($M428)=0),50,IF(N($M428)=0,100,IF(N($L428)=0,0,MEDIAN(0,100,50+50*LN($S428)/LN(Settings!$C$40))))))</f>
        <v/>
      </c>
      <c r="AP428" s="29">
        <f>IF($AA428="",50,MEDIAN(0,100,50+$AA428*100*Settings!$C$41))</f>
        <v>50</v>
      </c>
      <c r="AQ428" s="29">
        <f>IF($H428="",50,MEDIAN(0,100,50+$H428*100*Settings!$C$42))</f>
        <v>50</v>
      </c>
      <c r="AR428" s="29">
        <f>IF(OR($AC428="",$H428=""),50,MEDIAN(0,100,50+SIGN($H428)*50*MEDIAN(0,1,($AC428-1)/Settings!$C$43)))</f>
        <v>50</v>
      </c>
      <c r="AS428" s="29">
        <f>IF(OR($V428="",$W428=""),50,MEDIAN(0,100,50+50*($V428-$W428)/Settings!$C$44))</f>
        <v>50</v>
      </c>
      <c r="AT428" s="29">
        <f t="shared" si="117"/>
        <v>50</v>
      </c>
      <c r="AU428" s="30" t="str">
        <f t="shared" si="118"/>
        <v/>
      </c>
      <c r="AV428" s="87" t="str">
        <f>IF($A428="","",IF(COUNTIFS($A$4:$A428,$A428)=1,1,0))</f>
        <v/>
      </c>
    </row>
    <row r="429" spans="1:48" x14ac:dyDescent="0.3">
      <c r="A429" s="270"/>
      <c r="B429" s="271"/>
      <c r="C429" s="272"/>
      <c r="D429" s="272"/>
      <c r="E429" s="272"/>
      <c r="F429" s="272"/>
      <c r="G429" s="272"/>
      <c r="H429" s="268" t="str">
        <f t="shared" si="102"/>
        <v/>
      </c>
      <c r="I429" s="273"/>
      <c r="J429" s="273"/>
      <c r="K429" s="273"/>
      <c r="L429" s="273"/>
      <c r="M429" s="273"/>
      <c r="N429" s="273"/>
      <c r="O429" s="271"/>
      <c r="P429" s="270"/>
      <c r="Q429" s="271"/>
      <c r="R429" s="23" t="str" cm="1">
        <f t="array" ref="R429">IF($B429="","",IFERROR(IF(INDEX('Data Quality'!$U$4:$U$503,ROW()-3)=0,"PENDING",INDEX('Data Quality'!$U$4:$U$503,ROW()-3)),"PENDING"))</f>
        <v/>
      </c>
      <c r="S429" s="24" t="str">
        <f t="shared" si="103"/>
        <v/>
      </c>
      <c r="T429" s="25" t="str">
        <f t="shared" si="104"/>
        <v/>
      </c>
      <c r="U429" s="25" t="str">
        <f t="shared" si="105"/>
        <v/>
      </c>
      <c r="V429" s="26" t="str">
        <f t="shared" si="106"/>
        <v/>
      </c>
      <c r="W429" s="26" t="str">
        <f t="shared" si="107"/>
        <v/>
      </c>
      <c r="X429" s="25" t="str">
        <f t="shared" si="108"/>
        <v/>
      </c>
      <c r="Y429" s="25" t="str">
        <f t="shared" si="109"/>
        <v/>
      </c>
      <c r="Z429" s="27" t="str">
        <f>IF($B429="","",IF($AK429&lt;=Settings!$C$21,"",IFERROR(AVERAGEIFS($S$4:$S$503,$B$4:$B$503,$B429,$AK$4:$AK$503,"&gt;="&amp;$AK429-Settings!$C$21,$AK$4:$AK$503,"&lt;="&amp;$AK429-1),"")))</f>
        <v/>
      </c>
      <c r="AA429" s="28" t="str">
        <f t="shared" si="110"/>
        <v/>
      </c>
      <c r="AB429" s="25" t="str">
        <f>IF($B429="","",IF($AK429&lt;=Settings!$C$22,"",IFERROR(AVERAGEIFS($K$4:$K$503,$B$4:$B$503,$B429,$AK$4:$AK$503,"&gt;="&amp;$AK429-Settings!$C$22,$AK$4:$AK$503,"&lt;="&amp;$AK429-1),"")))</f>
        <v/>
      </c>
      <c r="AC429" s="27" t="str">
        <f t="shared" si="111"/>
        <v/>
      </c>
      <c r="AD429" s="28" t="str">
        <f>IF($B429="","",IF($AK429&lt;=Settings!$C$23,"",IFERROR($E429/SUMIFS($E$4:$E$503,$B$4:$B$503,$B429,$AK$4:$AK$503,$AK429-Settings!$C$23)-1,"")))</f>
        <v/>
      </c>
      <c r="AE429" s="28" t="str">
        <f>IF($B429="","",IF($AK429&lt;=Settings!$C$22,"",IFERROR($E429/SUMIFS($E$4:$E$503,$B$4:$B$503,$B429,$AK$4:$AK$503,$AK429-Settings!$C$22)-1,"")))</f>
        <v/>
      </c>
      <c r="AF429" s="28" t="str">
        <f t="shared" si="112"/>
        <v/>
      </c>
      <c r="AG429" s="29" t="str">
        <f>IF($B429="","",ROUND((MIN(100,100*N($I429)/Settings!$C$27)+MIN(100,100*N($K429)/Settings!$C$28)+MIN(100,100*N($J429)/Settings!$C$29))/3,1))</f>
        <v/>
      </c>
      <c r="AH429" s="29" t="str">
        <f>IF($B429="","",IF(SUM(Settings!$C$32:$C$37)=0,"",ROUND((Settings!$C$32*$AO429+Settings!$C$33*$AP429+Settings!$C$34*$AQ429+Settings!$C$35*$AR429+Settings!$C$36*$AS429+Settings!$C$37*$AT429)/SUM(Settings!$C$32:$C$37),1)))</f>
        <v/>
      </c>
      <c r="AI429" s="29" t="str">
        <f>IF($B429="","",MAX(0,100-IF(N($N429)&gt;0,0,20)-IF(AND(N($L429)=0,N($M429)=0),15,0)-IF(N($J429)&gt;0,0,10)-IF(N($K429)&gt;0,0,10)-IF($Z429&lt;&gt;"",0,15)-IF($AB429&lt;&gt;"",0,10)-IF($R429="ERROR",20,IF($R429="WARNING",10,0))))</f>
        <v/>
      </c>
      <c r="AJ429" s="30" t="str">
        <f>IF($AH429="","",IF($AH429&lt;Settings!$C$46,"Extreme Sell Pressure",IF($AH429&lt;Settings!$C$47,"Sell Pressure",IF($AH429&lt;=Settings!$C$48,"Neutral",IF($AH429&lt;=Settings!$C$49,"Buy Pressure","Extreme Buy Pressure")))))</f>
        <v/>
      </c>
      <c r="AK429" s="30" t="str">
        <f t="shared" si="113"/>
        <v/>
      </c>
      <c r="AL429" s="30" t="str">
        <f t="shared" si="114"/>
        <v/>
      </c>
      <c r="AM429" s="30" t="str">
        <f t="shared" si="115"/>
        <v/>
      </c>
      <c r="AN429" s="30" t="str">
        <f t="shared" si="116"/>
        <v/>
      </c>
      <c r="AO429" s="29" t="str">
        <f>IF($B429="","",IF(AND(N($L429)=0,N($M429)=0),50,IF(N($M429)=0,100,IF(N($L429)=0,0,MEDIAN(0,100,50+50*LN($S429)/LN(Settings!$C$40))))))</f>
        <v/>
      </c>
      <c r="AP429" s="29">
        <f>IF($AA429="",50,MEDIAN(0,100,50+$AA429*100*Settings!$C$41))</f>
        <v>50</v>
      </c>
      <c r="AQ429" s="29">
        <f>IF($H429="",50,MEDIAN(0,100,50+$H429*100*Settings!$C$42))</f>
        <v>50</v>
      </c>
      <c r="AR429" s="29">
        <f>IF(OR($AC429="",$H429=""),50,MEDIAN(0,100,50+SIGN($H429)*50*MEDIAN(0,1,($AC429-1)/Settings!$C$43)))</f>
        <v>50</v>
      </c>
      <c r="AS429" s="29">
        <f>IF(OR($V429="",$W429=""),50,MEDIAN(0,100,50+50*($V429-$W429)/Settings!$C$44))</f>
        <v>50</v>
      </c>
      <c r="AT429" s="29">
        <f t="shared" si="117"/>
        <v>50</v>
      </c>
      <c r="AU429" s="30" t="str">
        <f t="shared" si="118"/>
        <v/>
      </c>
      <c r="AV429" s="87" t="str">
        <f>IF($A429="","",IF(COUNTIFS($A$4:$A429,$A429)=1,1,0))</f>
        <v/>
      </c>
    </row>
    <row r="430" spans="1:48" x14ac:dyDescent="0.3">
      <c r="A430" s="270"/>
      <c r="B430" s="271"/>
      <c r="C430" s="272"/>
      <c r="D430" s="272"/>
      <c r="E430" s="272"/>
      <c r="F430" s="272"/>
      <c r="G430" s="272"/>
      <c r="H430" s="268" t="str">
        <f t="shared" si="102"/>
        <v/>
      </c>
      <c r="I430" s="273"/>
      <c r="J430" s="273"/>
      <c r="K430" s="273"/>
      <c r="L430" s="273"/>
      <c r="M430" s="273"/>
      <c r="N430" s="273"/>
      <c r="O430" s="271"/>
      <c r="P430" s="270"/>
      <c r="Q430" s="271"/>
      <c r="R430" s="23" t="str" cm="1">
        <f t="array" ref="R430">IF($B430="","",IFERROR(IF(INDEX('Data Quality'!$U$4:$U$503,ROW()-3)=0,"PENDING",INDEX('Data Quality'!$U$4:$U$503,ROW()-3)),"PENDING"))</f>
        <v/>
      </c>
      <c r="S430" s="24" t="str">
        <f t="shared" si="103"/>
        <v/>
      </c>
      <c r="T430" s="25" t="str">
        <f t="shared" si="104"/>
        <v/>
      </c>
      <c r="U430" s="25" t="str">
        <f t="shared" si="105"/>
        <v/>
      </c>
      <c r="V430" s="26" t="str">
        <f t="shared" si="106"/>
        <v/>
      </c>
      <c r="W430" s="26" t="str">
        <f t="shared" si="107"/>
        <v/>
      </c>
      <c r="X430" s="25" t="str">
        <f t="shared" si="108"/>
        <v/>
      </c>
      <c r="Y430" s="25" t="str">
        <f t="shared" si="109"/>
        <v/>
      </c>
      <c r="Z430" s="27" t="str">
        <f>IF($B430="","",IF($AK430&lt;=Settings!$C$21,"",IFERROR(AVERAGEIFS($S$4:$S$503,$B$4:$B$503,$B430,$AK$4:$AK$503,"&gt;="&amp;$AK430-Settings!$C$21,$AK$4:$AK$503,"&lt;="&amp;$AK430-1),"")))</f>
        <v/>
      </c>
      <c r="AA430" s="28" t="str">
        <f t="shared" si="110"/>
        <v/>
      </c>
      <c r="AB430" s="25" t="str">
        <f>IF($B430="","",IF($AK430&lt;=Settings!$C$22,"",IFERROR(AVERAGEIFS($K$4:$K$503,$B$4:$B$503,$B430,$AK$4:$AK$503,"&gt;="&amp;$AK430-Settings!$C$22,$AK$4:$AK$503,"&lt;="&amp;$AK430-1),"")))</f>
        <v/>
      </c>
      <c r="AC430" s="27" t="str">
        <f t="shared" si="111"/>
        <v/>
      </c>
      <c r="AD430" s="28" t="str">
        <f>IF($B430="","",IF($AK430&lt;=Settings!$C$23,"",IFERROR($E430/SUMIFS($E$4:$E$503,$B$4:$B$503,$B430,$AK$4:$AK$503,$AK430-Settings!$C$23)-1,"")))</f>
        <v/>
      </c>
      <c r="AE430" s="28" t="str">
        <f>IF($B430="","",IF($AK430&lt;=Settings!$C$22,"",IFERROR($E430/SUMIFS($E$4:$E$503,$B$4:$B$503,$B430,$AK$4:$AK$503,$AK430-Settings!$C$22)-1,"")))</f>
        <v/>
      </c>
      <c r="AF430" s="28" t="str">
        <f t="shared" si="112"/>
        <v/>
      </c>
      <c r="AG430" s="29" t="str">
        <f>IF($B430="","",ROUND((MIN(100,100*N($I430)/Settings!$C$27)+MIN(100,100*N($K430)/Settings!$C$28)+MIN(100,100*N($J430)/Settings!$C$29))/3,1))</f>
        <v/>
      </c>
      <c r="AH430" s="29" t="str">
        <f>IF($B430="","",IF(SUM(Settings!$C$32:$C$37)=0,"",ROUND((Settings!$C$32*$AO430+Settings!$C$33*$AP430+Settings!$C$34*$AQ430+Settings!$C$35*$AR430+Settings!$C$36*$AS430+Settings!$C$37*$AT430)/SUM(Settings!$C$32:$C$37),1)))</f>
        <v/>
      </c>
      <c r="AI430" s="29" t="str">
        <f>IF($B430="","",MAX(0,100-IF(N($N430)&gt;0,0,20)-IF(AND(N($L430)=0,N($M430)=0),15,0)-IF(N($J430)&gt;0,0,10)-IF(N($K430)&gt;0,0,10)-IF($Z430&lt;&gt;"",0,15)-IF($AB430&lt;&gt;"",0,10)-IF($R430="ERROR",20,IF($R430="WARNING",10,0))))</f>
        <v/>
      </c>
      <c r="AJ430" s="30" t="str">
        <f>IF($AH430="","",IF($AH430&lt;Settings!$C$46,"Extreme Sell Pressure",IF($AH430&lt;Settings!$C$47,"Sell Pressure",IF($AH430&lt;=Settings!$C$48,"Neutral",IF($AH430&lt;=Settings!$C$49,"Buy Pressure","Extreme Buy Pressure")))))</f>
        <v/>
      </c>
      <c r="AK430" s="30" t="str">
        <f t="shared" si="113"/>
        <v/>
      </c>
      <c r="AL430" s="30" t="str">
        <f t="shared" si="114"/>
        <v/>
      </c>
      <c r="AM430" s="30" t="str">
        <f t="shared" si="115"/>
        <v/>
      </c>
      <c r="AN430" s="30" t="str">
        <f t="shared" si="116"/>
        <v/>
      </c>
      <c r="AO430" s="29" t="str">
        <f>IF($B430="","",IF(AND(N($L430)=0,N($M430)=0),50,IF(N($M430)=0,100,IF(N($L430)=0,0,MEDIAN(0,100,50+50*LN($S430)/LN(Settings!$C$40))))))</f>
        <v/>
      </c>
      <c r="AP430" s="29">
        <f>IF($AA430="",50,MEDIAN(0,100,50+$AA430*100*Settings!$C$41))</f>
        <v>50</v>
      </c>
      <c r="AQ430" s="29">
        <f>IF($H430="",50,MEDIAN(0,100,50+$H430*100*Settings!$C$42))</f>
        <v>50</v>
      </c>
      <c r="AR430" s="29">
        <f>IF(OR($AC430="",$H430=""),50,MEDIAN(0,100,50+SIGN($H430)*50*MEDIAN(0,1,($AC430-1)/Settings!$C$43)))</f>
        <v>50</v>
      </c>
      <c r="AS430" s="29">
        <f>IF(OR($V430="",$W430=""),50,MEDIAN(0,100,50+50*($V430-$W430)/Settings!$C$44))</f>
        <v>50</v>
      </c>
      <c r="AT430" s="29">
        <f t="shared" si="117"/>
        <v>50</v>
      </c>
      <c r="AU430" s="30" t="str">
        <f t="shared" si="118"/>
        <v/>
      </c>
      <c r="AV430" s="87" t="str">
        <f>IF($A430="","",IF(COUNTIFS($A$4:$A430,$A430)=1,1,0))</f>
        <v/>
      </c>
    </row>
    <row r="431" spans="1:48" x14ac:dyDescent="0.3">
      <c r="A431" s="270"/>
      <c r="B431" s="271"/>
      <c r="C431" s="272"/>
      <c r="D431" s="272"/>
      <c r="E431" s="272"/>
      <c r="F431" s="272"/>
      <c r="G431" s="272"/>
      <c r="H431" s="268" t="str">
        <f t="shared" si="102"/>
        <v/>
      </c>
      <c r="I431" s="273"/>
      <c r="J431" s="273"/>
      <c r="K431" s="273"/>
      <c r="L431" s="273"/>
      <c r="M431" s="273"/>
      <c r="N431" s="273"/>
      <c r="O431" s="271"/>
      <c r="P431" s="270"/>
      <c r="Q431" s="271"/>
      <c r="R431" s="23" t="str" cm="1">
        <f t="array" ref="R431">IF($B431="","",IFERROR(IF(INDEX('Data Quality'!$U$4:$U$503,ROW()-3)=0,"PENDING",INDEX('Data Quality'!$U$4:$U$503,ROW()-3)),"PENDING"))</f>
        <v/>
      </c>
      <c r="S431" s="24" t="str">
        <f t="shared" si="103"/>
        <v/>
      </c>
      <c r="T431" s="25" t="str">
        <f t="shared" si="104"/>
        <v/>
      </c>
      <c r="U431" s="25" t="str">
        <f t="shared" si="105"/>
        <v/>
      </c>
      <c r="V431" s="26" t="str">
        <f t="shared" si="106"/>
        <v/>
      </c>
      <c r="W431" s="26" t="str">
        <f t="shared" si="107"/>
        <v/>
      </c>
      <c r="X431" s="25" t="str">
        <f t="shared" si="108"/>
        <v/>
      </c>
      <c r="Y431" s="25" t="str">
        <f t="shared" si="109"/>
        <v/>
      </c>
      <c r="Z431" s="27" t="str">
        <f>IF($B431="","",IF($AK431&lt;=Settings!$C$21,"",IFERROR(AVERAGEIFS($S$4:$S$503,$B$4:$B$503,$B431,$AK$4:$AK$503,"&gt;="&amp;$AK431-Settings!$C$21,$AK$4:$AK$503,"&lt;="&amp;$AK431-1),"")))</f>
        <v/>
      </c>
      <c r="AA431" s="28" t="str">
        <f t="shared" si="110"/>
        <v/>
      </c>
      <c r="AB431" s="25" t="str">
        <f>IF($B431="","",IF($AK431&lt;=Settings!$C$22,"",IFERROR(AVERAGEIFS($K$4:$K$503,$B$4:$B$503,$B431,$AK$4:$AK$503,"&gt;="&amp;$AK431-Settings!$C$22,$AK$4:$AK$503,"&lt;="&amp;$AK431-1),"")))</f>
        <v/>
      </c>
      <c r="AC431" s="27" t="str">
        <f t="shared" si="111"/>
        <v/>
      </c>
      <c r="AD431" s="28" t="str">
        <f>IF($B431="","",IF($AK431&lt;=Settings!$C$23,"",IFERROR($E431/SUMIFS($E$4:$E$503,$B$4:$B$503,$B431,$AK$4:$AK$503,$AK431-Settings!$C$23)-1,"")))</f>
        <v/>
      </c>
      <c r="AE431" s="28" t="str">
        <f>IF($B431="","",IF($AK431&lt;=Settings!$C$22,"",IFERROR($E431/SUMIFS($E$4:$E$503,$B$4:$B$503,$B431,$AK$4:$AK$503,$AK431-Settings!$C$22)-1,"")))</f>
        <v/>
      </c>
      <c r="AF431" s="28" t="str">
        <f t="shared" si="112"/>
        <v/>
      </c>
      <c r="AG431" s="29" t="str">
        <f>IF($B431="","",ROUND((MIN(100,100*N($I431)/Settings!$C$27)+MIN(100,100*N($K431)/Settings!$C$28)+MIN(100,100*N($J431)/Settings!$C$29))/3,1))</f>
        <v/>
      </c>
      <c r="AH431" s="29" t="str">
        <f>IF($B431="","",IF(SUM(Settings!$C$32:$C$37)=0,"",ROUND((Settings!$C$32*$AO431+Settings!$C$33*$AP431+Settings!$C$34*$AQ431+Settings!$C$35*$AR431+Settings!$C$36*$AS431+Settings!$C$37*$AT431)/SUM(Settings!$C$32:$C$37),1)))</f>
        <v/>
      </c>
      <c r="AI431" s="29" t="str">
        <f>IF($B431="","",MAX(0,100-IF(N($N431)&gt;0,0,20)-IF(AND(N($L431)=0,N($M431)=0),15,0)-IF(N($J431)&gt;0,0,10)-IF(N($K431)&gt;0,0,10)-IF($Z431&lt;&gt;"",0,15)-IF($AB431&lt;&gt;"",0,10)-IF($R431="ERROR",20,IF($R431="WARNING",10,0))))</f>
        <v/>
      </c>
      <c r="AJ431" s="30" t="str">
        <f>IF($AH431="","",IF($AH431&lt;Settings!$C$46,"Extreme Sell Pressure",IF($AH431&lt;Settings!$C$47,"Sell Pressure",IF($AH431&lt;=Settings!$C$48,"Neutral",IF($AH431&lt;=Settings!$C$49,"Buy Pressure","Extreme Buy Pressure")))))</f>
        <v/>
      </c>
      <c r="AK431" s="30" t="str">
        <f t="shared" si="113"/>
        <v/>
      </c>
      <c r="AL431" s="30" t="str">
        <f t="shared" si="114"/>
        <v/>
      </c>
      <c r="AM431" s="30" t="str">
        <f t="shared" si="115"/>
        <v/>
      </c>
      <c r="AN431" s="30" t="str">
        <f t="shared" si="116"/>
        <v/>
      </c>
      <c r="AO431" s="29" t="str">
        <f>IF($B431="","",IF(AND(N($L431)=0,N($M431)=0),50,IF(N($M431)=0,100,IF(N($L431)=0,0,MEDIAN(0,100,50+50*LN($S431)/LN(Settings!$C$40))))))</f>
        <v/>
      </c>
      <c r="AP431" s="29">
        <f>IF($AA431="",50,MEDIAN(0,100,50+$AA431*100*Settings!$C$41))</f>
        <v>50</v>
      </c>
      <c r="AQ431" s="29">
        <f>IF($H431="",50,MEDIAN(0,100,50+$H431*100*Settings!$C$42))</f>
        <v>50</v>
      </c>
      <c r="AR431" s="29">
        <f>IF(OR($AC431="",$H431=""),50,MEDIAN(0,100,50+SIGN($H431)*50*MEDIAN(0,1,($AC431-1)/Settings!$C$43)))</f>
        <v>50</v>
      </c>
      <c r="AS431" s="29">
        <f>IF(OR($V431="",$W431=""),50,MEDIAN(0,100,50+50*($V431-$W431)/Settings!$C$44))</f>
        <v>50</v>
      </c>
      <c r="AT431" s="29">
        <f t="shared" si="117"/>
        <v>50</v>
      </c>
      <c r="AU431" s="30" t="str">
        <f t="shared" si="118"/>
        <v/>
      </c>
      <c r="AV431" s="87" t="str">
        <f>IF($A431="","",IF(COUNTIFS($A$4:$A431,$A431)=1,1,0))</f>
        <v/>
      </c>
    </row>
    <row r="432" spans="1:48" x14ac:dyDescent="0.3">
      <c r="A432" s="270"/>
      <c r="B432" s="271"/>
      <c r="C432" s="272"/>
      <c r="D432" s="272"/>
      <c r="E432" s="272"/>
      <c r="F432" s="272"/>
      <c r="G432" s="272"/>
      <c r="H432" s="268" t="str">
        <f t="shared" si="102"/>
        <v/>
      </c>
      <c r="I432" s="273"/>
      <c r="J432" s="273"/>
      <c r="K432" s="273"/>
      <c r="L432" s="273"/>
      <c r="M432" s="273"/>
      <c r="N432" s="273"/>
      <c r="O432" s="271"/>
      <c r="P432" s="270"/>
      <c r="Q432" s="271"/>
      <c r="R432" s="23" t="str" cm="1">
        <f t="array" ref="R432">IF($B432="","",IFERROR(IF(INDEX('Data Quality'!$U$4:$U$503,ROW()-3)=0,"PENDING",INDEX('Data Quality'!$U$4:$U$503,ROW()-3)),"PENDING"))</f>
        <v/>
      </c>
      <c r="S432" s="24" t="str">
        <f t="shared" si="103"/>
        <v/>
      </c>
      <c r="T432" s="25" t="str">
        <f t="shared" si="104"/>
        <v/>
      </c>
      <c r="U432" s="25" t="str">
        <f t="shared" si="105"/>
        <v/>
      </c>
      <c r="V432" s="26" t="str">
        <f t="shared" si="106"/>
        <v/>
      </c>
      <c r="W432" s="26" t="str">
        <f t="shared" si="107"/>
        <v/>
      </c>
      <c r="X432" s="25" t="str">
        <f t="shared" si="108"/>
        <v/>
      </c>
      <c r="Y432" s="25" t="str">
        <f t="shared" si="109"/>
        <v/>
      </c>
      <c r="Z432" s="27" t="str">
        <f>IF($B432="","",IF($AK432&lt;=Settings!$C$21,"",IFERROR(AVERAGEIFS($S$4:$S$503,$B$4:$B$503,$B432,$AK$4:$AK$503,"&gt;="&amp;$AK432-Settings!$C$21,$AK$4:$AK$503,"&lt;="&amp;$AK432-1),"")))</f>
        <v/>
      </c>
      <c r="AA432" s="28" t="str">
        <f t="shared" si="110"/>
        <v/>
      </c>
      <c r="AB432" s="25" t="str">
        <f>IF($B432="","",IF($AK432&lt;=Settings!$C$22,"",IFERROR(AVERAGEIFS($K$4:$K$503,$B$4:$B$503,$B432,$AK$4:$AK$503,"&gt;="&amp;$AK432-Settings!$C$22,$AK$4:$AK$503,"&lt;="&amp;$AK432-1),"")))</f>
        <v/>
      </c>
      <c r="AC432" s="27" t="str">
        <f t="shared" si="111"/>
        <v/>
      </c>
      <c r="AD432" s="28" t="str">
        <f>IF($B432="","",IF($AK432&lt;=Settings!$C$23,"",IFERROR($E432/SUMIFS($E$4:$E$503,$B$4:$B$503,$B432,$AK$4:$AK$503,$AK432-Settings!$C$23)-1,"")))</f>
        <v/>
      </c>
      <c r="AE432" s="28" t="str">
        <f>IF($B432="","",IF($AK432&lt;=Settings!$C$22,"",IFERROR($E432/SUMIFS($E$4:$E$503,$B$4:$B$503,$B432,$AK$4:$AK$503,$AK432-Settings!$C$22)-1,"")))</f>
        <v/>
      </c>
      <c r="AF432" s="28" t="str">
        <f t="shared" si="112"/>
        <v/>
      </c>
      <c r="AG432" s="29" t="str">
        <f>IF($B432="","",ROUND((MIN(100,100*N($I432)/Settings!$C$27)+MIN(100,100*N($K432)/Settings!$C$28)+MIN(100,100*N($J432)/Settings!$C$29))/3,1))</f>
        <v/>
      </c>
      <c r="AH432" s="29" t="str">
        <f>IF($B432="","",IF(SUM(Settings!$C$32:$C$37)=0,"",ROUND((Settings!$C$32*$AO432+Settings!$C$33*$AP432+Settings!$C$34*$AQ432+Settings!$C$35*$AR432+Settings!$C$36*$AS432+Settings!$C$37*$AT432)/SUM(Settings!$C$32:$C$37),1)))</f>
        <v/>
      </c>
      <c r="AI432" s="29" t="str">
        <f>IF($B432="","",MAX(0,100-IF(N($N432)&gt;0,0,20)-IF(AND(N($L432)=0,N($M432)=0),15,0)-IF(N($J432)&gt;0,0,10)-IF(N($K432)&gt;0,0,10)-IF($Z432&lt;&gt;"",0,15)-IF($AB432&lt;&gt;"",0,10)-IF($R432="ERROR",20,IF($R432="WARNING",10,0))))</f>
        <v/>
      </c>
      <c r="AJ432" s="30" t="str">
        <f>IF($AH432="","",IF($AH432&lt;Settings!$C$46,"Extreme Sell Pressure",IF($AH432&lt;Settings!$C$47,"Sell Pressure",IF($AH432&lt;=Settings!$C$48,"Neutral",IF($AH432&lt;=Settings!$C$49,"Buy Pressure","Extreme Buy Pressure")))))</f>
        <v/>
      </c>
      <c r="AK432" s="30" t="str">
        <f t="shared" si="113"/>
        <v/>
      </c>
      <c r="AL432" s="30" t="str">
        <f t="shared" si="114"/>
        <v/>
      </c>
      <c r="AM432" s="30" t="str">
        <f t="shared" si="115"/>
        <v/>
      </c>
      <c r="AN432" s="30" t="str">
        <f t="shared" si="116"/>
        <v/>
      </c>
      <c r="AO432" s="29" t="str">
        <f>IF($B432="","",IF(AND(N($L432)=0,N($M432)=0),50,IF(N($M432)=0,100,IF(N($L432)=0,0,MEDIAN(0,100,50+50*LN($S432)/LN(Settings!$C$40))))))</f>
        <v/>
      </c>
      <c r="AP432" s="29">
        <f>IF($AA432="",50,MEDIAN(0,100,50+$AA432*100*Settings!$C$41))</f>
        <v>50</v>
      </c>
      <c r="AQ432" s="29">
        <f>IF($H432="",50,MEDIAN(0,100,50+$H432*100*Settings!$C$42))</f>
        <v>50</v>
      </c>
      <c r="AR432" s="29">
        <f>IF(OR($AC432="",$H432=""),50,MEDIAN(0,100,50+SIGN($H432)*50*MEDIAN(0,1,($AC432-1)/Settings!$C$43)))</f>
        <v>50</v>
      </c>
      <c r="AS432" s="29">
        <f>IF(OR($V432="",$W432=""),50,MEDIAN(0,100,50+50*($V432-$W432)/Settings!$C$44))</f>
        <v>50</v>
      </c>
      <c r="AT432" s="29">
        <f t="shared" si="117"/>
        <v>50</v>
      </c>
      <c r="AU432" s="30" t="str">
        <f t="shared" si="118"/>
        <v/>
      </c>
      <c r="AV432" s="87" t="str">
        <f>IF($A432="","",IF(COUNTIFS($A$4:$A432,$A432)=1,1,0))</f>
        <v/>
      </c>
    </row>
    <row r="433" spans="1:48" x14ac:dyDescent="0.3">
      <c r="A433" s="270"/>
      <c r="B433" s="271"/>
      <c r="C433" s="272"/>
      <c r="D433" s="272"/>
      <c r="E433" s="272"/>
      <c r="F433" s="272"/>
      <c r="G433" s="272"/>
      <c r="H433" s="268" t="str">
        <f t="shared" si="102"/>
        <v/>
      </c>
      <c r="I433" s="273"/>
      <c r="J433" s="273"/>
      <c r="K433" s="273"/>
      <c r="L433" s="273"/>
      <c r="M433" s="273"/>
      <c r="N433" s="273"/>
      <c r="O433" s="271"/>
      <c r="P433" s="270"/>
      <c r="Q433" s="271"/>
      <c r="R433" s="23" t="str" cm="1">
        <f t="array" ref="R433">IF($B433="","",IFERROR(IF(INDEX('Data Quality'!$U$4:$U$503,ROW()-3)=0,"PENDING",INDEX('Data Quality'!$U$4:$U$503,ROW()-3)),"PENDING"))</f>
        <v/>
      </c>
      <c r="S433" s="24" t="str">
        <f t="shared" si="103"/>
        <v/>
      </c>
      <c r="T433" s="25" t="str">
        <f t="shared" si="104"/>
        <v/>
      </c>
      <c r="U433" s="25" t="str">
        <f t="shared" si="105"/>
        <v/>
      </c>
      <c r="V433" s="26" t="str">
        <f t="shared" si="106"/>
        <v/>
      </c>
      <c r="W433" s="26" t="str">
        <f t="shared" si="107"/>
        <v/>
      </c>
      <c r="X433" s="25" t="str">
        <f t="shared" si="108"/>
        <v/>
      </c>
      <c r="Y433" s="25" t="str">
        <f t="shared" si="109"/>
        <v/>
      </c>
      <c r="Z433" s="27" t="str">
        <f>IF($B433="","",IF($AK433&lt;=Settings!$C$21,"",IFERROR(AVERAGEIFS($S$4:$S$503,$B$4:$B$503,$B433,$AK$4:$AK$503,"&gt;="&amp;$AK433-Settings!$C$21,$AK$4:$AK$503,"&lt;="&amp;$AK433-1),"")))</f>
        <v/>
      </c>
      <c r="AA433" s="28" t="str">
        <f t="shared" si="110"/>
        <v/>
      </c>
      <c r="AB433" s="25" t="str">
        <f>IF($B433="","",IF($AK433&lt;=Settings!$C$22,"",IFERROR(AVERAGEIFS($K$4:$K$503,$B$4:$B$503,$B433,$AK$4:$AK$503,"&gt;="&amp;$AK433-Settings!$C$22,$AK$4:$AK$503,"&lt;="&amp;$AK433-1),"")))</f>
        <v/>
      </c>
      <c r="AC433" s="27" t="str">
        <f t="shared" si="111"/>
        <v/>
      </c>
      <c r="AD433" s="28" t="str">
        <f>IF($B433="","",IF($AK433&lt;=Settings!$C$23,"",IFERROR($E433/SUMIFS($E$4:$E$503,$B$4:$B$503,$B433,$AK$4:$AK$503,$AK433-Settings!$C$23)-1,"")))</f>
        <v/>
      </c>
      <c r="AE433" s="28" t="str">
        <f>IF($B433="","",IF($AK433&lt;=Settings!$C$22,"",IFERROR($E433/SUMIFS($E$4:$E$503,$B$4:$B$503,$B433,$AK$4:$AK$503,$AK433-Settings!$C$22)-1,"")))</f>
        <v/>
      </c>
      <c r="AF433" s="28" t="str">
        <f t="shared" si="112"/>
        <v/>
      </c>
      <c r="AG433" s="29" t="str">
        <f>IF($B433="","",ROUND((MIN(100,100*N($I433)/Settings!$C$27)+MIN(100,100*N($K433)/Settings!$C$28)+MIN(100,100*N($J433)/Settings!$C$29))/3,1))</f>
        <v/>
      </c>
      <c r="AH433" s="29" t="str">
        <f>IF($B433="","",IF(SUM(Settings!$C$32:$C$37)=0,"",ROUND((Settings!$C$32*$AO433+Settings!$C$33*$AP433+Settings!$C$34*$AQ433+Settings!$C$35*$AR433+Settings!$C$36*$AS433+Settings!$C$37*$AT433)/SUM(Settings!$C$32:$C$37),1)))</f>
        <v/>
      </c>
      <c r="AI433" s="29" t="str">
        <f>IF($B433="","",MAX(0,100-IF(N($N433)&gt;0,0,20)-IF(AND(N($L433)=0,N($M433)=0),15,0)-IF(N($J433)&gt;0,0,10)-IF(N($K433)&gt;0,0,10)-IF($Z433&lt;&gt;"",0,15)-IF($AB433&lt;&gt;"",0,10)-IF($R433="ERROR",20,IF($R433="WARNING",10,0))))</f>
        <v/>
      </c>
      <c r="AJ433" s="30" t="str">
        <f>IF($AH433="","",IF($AH433&lt;Settings!$C$46,"Extreme Sell Pressure",IF($AH433&lt;Settings!$C$47,"Sell Pressure",IF($AH433&lt;=Settings!$C$48,"Neutral",IF($AH433&lt;=Settings!$C$49,"Buy Pressure","Extreme Buy Pressure")))))</f>
        <v/>
      </c>
      <c r="AK433" s="30" t="str">
        <f t="shared" si="113"/>
        <v/>
      </c>
      <c r="AL433" s="30" t="str">
        <f t="shared" si="114"/>
        <v/>
      </c>
      <c r="AM433" s="30" t="str">
        <f t="shared" si="115"/>
        <v/>
      </c>
      <c r="AN433" s="30" t="str">
        <f t="shared" si="116"/>
        <v/>
      </c>
      <c r="AO433" s="29" t="str">
        <f>IF($B433="","",IF(AND(N($L433)=0,N($M433)=0),50,IF(N($M433)=0,100,IF(N($L433)=0,0,MEDIAN(0,100,50+50*LN($S433)/LN(Settings!$C$40))))))</f>
        <v/>
      </c>
      <c r="AP433" s="29">
        <f>IF($AA433="",50,MEDIAN(0,100,50+$AA433*100*Settings!$C$41))</f>
        <v>50</v>
      </c>
      <c r="AQ433" s="29">
        <f>IF($H433="",50,MEDIAN(0,100,50+$H433*100*Settings!$C$42))</f>
        <v>50</v>
      </c>
      <c r="AR433" s="29">
        <f>IF(OR($AC433="",$H433=""),50,MEDIAN(0,100,50+SIGN($H433)*50*MEDIAN(0,1,($AC433-1)/Settings!$C$43)))</f>
        <v>50</v>
      </c>
      <c r="AS433" s="29">
        <f>IF(OR($V433="",$W433=""),50,MEDIAN(0,100,50+50*($V433-$W433)/Settings!$C$44))</f>
        <v>50</v>
      </c>
      <c r="AT433" s="29">
        <f t="shared" si="117"/>
        <v>50</v>
      </c>
      <c r="AU433" s="30" t="str">
        <f t="shared" si="118"/>
        <v/>
      </c>
      <c r="AV433" s="87" t="str">
        <f>IF($A433="","",IF(COUNTIFS($A$4:$A433,$A433)=1,1,0))</f>
        <v/>
      </c>
    </row>
    <row r="434" spans="1:48" x14ac:dyDescent="0.3">
      <c r="A434" s="270"/>
      <c r="B434" s="271"/>
      <c r="C434" s="272"/>
      <c r="D434" s="272"/>
      <c r="E434" s="272"/>
      <c r="F434" s="272"/>
      <c r="G434" s="272"/>
      <c r="H434" s="268" t="str">
        <f t="shared" si="102"/>
        <v/>
      </c>
      <c r="I434" s="273"/>
      <c r="J434" s="273"/>
      <c r="K434" s="273"/>
      <c r="L434" s="273"/>
      <c r="M434" s="273"/>
      <c r="N434" s="273"/>
      <c r="O434" s="271"/>
      <c r="P434" s="270"/>
      <c r="Q434" s="271"/>
      <c r="R434" s="23" t="str" cm="1">
        <f t="array" ref="R434">IF($B434="","",IFERROR(IF(INDEX('Data Quality'!$U$4:$U$503,ROW()-3)=0,"PENDING",INDEX('Data Quality'!$U$4:$U$503,ROW()-3)),"PENDING"))</f>
        <v/>
      </c>
      <c r="S434" s="24" t="str">
        <f t="shared" si="103"/>
        <v/>
      </c>
      <c r="T434" s="25" t="str">
        <f t="shared" si="104"/>
        <v/>
      </c>
      <c r="U434" s="25" t="str">
        <f t="shared" si="105"/>
        <v/>
      </c>
      <c r="V434" s="26" t="str">
        <f t="shared" si="106"/>
        <v/>
      </c>
      <c r="W434" s="26" t="str">
        <f t="shared" si="107"/>
        <v/>
      </c>
      <c r="X434" s="25" t="str">
        <f t="shared" si="108"/>
        <v/>
      </c>
      <c r="Y434" s="25" t="str">
        <f t="shared" si="109"/>
        <v/>
      </c>
      <c r="Z434" s="27" t="str">
        <f>IF($B434="","",IF($AK434&lt;=Settings!$C$21,"",IFERROR(AVERAGEIFS($S$4:$S$503,$B$4:$B$503,$B434,$AK$4:$AK$503,"&gt;="&amp;$AK434-Settings!$C$21,$AK$4:$AK$503,"&lt;="&amp;$AK434-1),"")))</f>
        <v/>
      </c>
      <c r="AA434" s="28" t="str">
        <f t="shared" si="110"/>
        <v/>
      </c>
      <c r="AB434" s="25" t="str">
        <f>IF($B434="","",IF($AK434&lt;=Settings!$C$22,"",IFERROR(AVERAGEIFS($K$4:$K$503,$B$4:$B$503,$B434,$AK$4:$AK$503,"&gt;="&amp;$AK434-Settings!$C$22,$AK$4:$AK$503,"&lt;="&amp;$AK434-1),"")))</f>
        <v/>
      </c>
      <c r="AC434" s="27" t="str">
        <f t="shared" si="111"/>
        <v/>
      </c>
      <c r="AD434" s="28" t="str">
        <f>IF($B434="","",IF($AK434&lt;=Settings!$C$23,"",IFERROR($E434/SUMIFS($E$4:$E$503,$B$4:$B$503,$B434,$AK$4:$AK$503,$AK434-Settings!$C$23)-1,"")))</f>
        <v/>
      </c>
      <c r="AE434" s="28" t="str">
        <f>IF($B434="","",IF($AK434&lt;=Settings!$C$22,"",IFERROR($E434/SUMIFS($E$4:$E$503,$B$4:$B$503,$B434,$AK$4:$AK$503,$AK434-Settings!$C$22)-1,"")))</f>
        <v/>
      </c>
      <c r="AF434" s="28" t="str">
        <f t="shared" si="112"/>
        <v/>
      </c>
      <c r="AG434" s="29" t="str">
        <f>IF($B434="","",ROUND((MIN(100,100*N($I434)/Settings!$C$27)+MIN(100,100*N($K434)/Settings!$C$28)+MIN(100,100*N($J434)/Settings!$C$29))/3,1))</f>
        <v/>
      </c>
      <c r="AH434" s="29" t="str">
        <f>IF($B434="","",IF(SUM(Settings!$C$32:$C$37)=0,"",ROUND((Settings!$C$32*$AO434+Settings!$C$33*$AP434+Settings!$C$34*$AQ434+Settings!$C$35*$AR434+Settings!$C$36*$AS434+Settings!$C$37*$AT434)/SUM(Settings!$C$32:$C$37),1)))</f>
        <v/>
      </c>
      <c r="AI434" s="29" t="str">
        <f>IF($B434="","",MAX(0,100-IF(N($N434)&gt;0,0,20)-IF(AND(N($L434)=0,N($M434)=0),15,0)-IF(N($J434)&gt;0,0,10)-IF(N($K434)&gt;0,0,10)-IF($Z434&lt;&gt;"",0,15)-IF($AB434&lt;&gt;"",0,10)-IF($R434="ERROR",20,IF($R434="WARNING",10,0))))</f>
        <v/>
      </c>
      <c r="AJ434" s="30" t="str">
        <f>IF($AH434="","",IF($AH434&lt;Settings!$C$46,"Extreme Sell Pressure",IF($AH434&lt;Settings!$C$47,"Sell Pressure",IF($AH434&lt;=Settings!$C$48,"Neutral",IF($AH434&lt;=Settings!$C$49,"Buy Pressure","Extreme Buy Pressure")))))</f>
        <v/>
      </c>
      <c r="AK434" s="30" t="str">
        <f t="shared" si="113"/>
        <v/>
      </c>
      <c r="AL434" s="30" t="str">
        <f t="shared" si="114"/>
        <v/>
      </c>
      <c r="AM434" s="30" t="str">
        <f t="shared" si="115"/>
        <v/>
      </c>
      <c r="AN434" s="30" t="str">
        <f t="shared" si="116"/>
        <v/>
      </c>
      <c r="AO434" s="29" t="str">
        <f>IF($B434="","",IF(AND(N($L434)=0,N($M434)=0),50,IF(N($M434)=0,100,IF(N($L434)=0,0,MEDIAN(0,100,50+50*LN($S434)/LN(Settings!$C$40))))))</f>
        <v/>
      </c>
      <c r="AP434" s="29">
        <f>IF($AA434="",50,MEDIAN(0,100,50+$AA434*100*Settings!$C$41))</f>
        <v>50</v>
      </c>
      <c r="AQ434" s="29">
        <f>IF($H434="",50,MEDIAN(0,100,50+$H434*100*Settings!$C$42))</f>
        <v>50</v>
      </c>
      <c r="AR434" s="29">
        <f>IF(OR($AC434="",$H434=""),50,MEDIAN(0,100,50+SIGN($H434)*50*MEDIAN(0,1,($AC434-1)/Settings!$C$43)))</f>
        <v>50</v>
      </c>
      <c r="AS434" s="29">
        <f>IF(OR($V434="",$W434=""),50,MEDIAN(0,100,50+50*($V434-$W434)/Settings!$C$44))</f>
        <v>50</v>
      </c>
      <c r="AT434" s="29">
        <f t="shared" si="117"/>
        <v>50</v>
      </c>
      <c r="AU434" s="30" t="str">
        <f t="shared" si="118"/>
        <v/>
      </c>
      <c r="AV434" s="87" t="str">
        <f>IF($A434="","",IF(COUNTIFS($A$4:$A434,$A434)=1,1,0))</f>
        <v/>
      </c>
    </row>
    <row r="435" spans="1:48" x14ac:dyDescent="0.3">
      <c r="A435" s="270"/>
      <c r="B435" s="271"/>
      <c r="C435" s="272"/>
      <c r="D435" s="272"/>
      <c r="E435" s="272"/>
      <c r="F435" s="272"/>
      <c r="G435" s="272"/>
      <c r="H435" s="268" t="str">
        <f t="shared" si="102"/>
        <v/>
      </c>
      <c r="I435" s="273"/>
      <c r="J435" s="273"/>
      <c r="K435" s="273"/>
      <c r="L435" s="273"/>
      <c r="M435" s="273"/>
      <c r="N435" s="273"/>
      <c r="O435" s="271"/>
      <c r="P435" s="270"/>
      <c r="Q435" s="271"/>
      <c r="R435" s="23" t="str" cm="1">
        <f t="array" ref="R435">IF($B435="","",IFERROR(IF(INDEX('Data Quality'!$U$4:$U$503,ROW()-3)=0,"PENDING",INDEX('Data Quality'!$U$4:$U$503,ROW()-3)),"PENDING"))</f>
        <v/>
      </c>
      <c r="S435" s="24" t="str">
        <f t="shared" si="103"/>
        <v/>
      </c>
      <c r="T435" s="25" t="str">
        <f t="shared" si="104"/>
        <v/>
      </c>
      <c r="U435" s="25" t="str">
        <f t="shared" si="105"/>
        <v/>
      </c>
      <c r="V435" s="26" t="str">
        <f t="shared" si="106"/>
        <v/>
      </c>
      <c r="W435" s="26" t="str">
        <f t="shared" si="107"/>
        <v/>
      </c>
      <c r="X435" s="25" t="str">
        <f t="shared" si="108"/>
        <v/>
      </c>
      <c r="Y435" s="25" t="str">
        <f t="shared" si="109"/>
        <v/>
      </c>
      <c r="Z435" s="27" t="str">
        <f>IF($B435="","",IF($AK435&lt;=Settings!$C$21,"",IFERROR(AVERAGEIFS($S$4:$S$503,$B$4:$B$503,$B435,$AK$4:$AK$503,"&gt;="&amp;$AK435-Settings!$C$21,$AK$4:$AK$503,"&lt;="&amp;$AK435-1),"")))</f>
        <v/>
      </c>
      <c r="AA435" s="28" t="str">
        <f t="shared" si="110"/>
        <v/>
      </c>
      <c r="AB435" s="25" t="str">
        <f>IF($B435="","",IF($AK435&lt;=Settings!$C$22,"",IFERROR(AVERAGEIFS($K$4:$K$503,$B$4:$B$503,$B435,$AK$4:$AK$503,"&gt;="&amp;$AK435-Settings!$C$22,$AK$4:$AK$503,"&lt;="&amp;$AK435-1),"")))</f>
        <v/>
      </c>
      <c r="AC435" s="27" t="str">
        <f t="shared" si="111"/>
        <v/>
      </c>
      <c r="AD435" s="28" t="str">
        <f>IF($B435="","",IF($AK435&lt;=Settings!$C$23,"",IFERROR($E435/SUMIFS($E$4:$E$503,$B$4:$B$503,$B435,$AK$4:$AK$503,$AK435-Settings!$C$23)-1,"")))</f>
        <v/>
      </c>
      <c r="AE435" s="28" t="str">
        <f>IF($B435="","",IF($AK435&lt;=Settings!$C$22,"",IFERROR($E435/SUMIFS($E$4:$E$503,$B$4:$B$503,$B435,$AK$4:$AK$503,$AK435-Settings!$C$22)-1,"")))</f>
        <v/>
      </c>
      <c r="AF435" s="28" t="str">
        <f t="shared" si="112"/>
        <v/>
      </c>
      <c r="AG435" s="29" t="str">
        <f>IF($B435="","",ROUND((MIN(100,100*N($I435)/Settings!$C$27)+MIN(100,100*N($K435)/Settings!$C$28)+MIN(100,100*N($J435)/Settings!$C$29))/3,1))</f>
        <v/>
      </c>
      <c r="AH435" s="29" t="str">
        <f>IF($B435="","",IF(SUM(Settings!$C$32:$C$37)=0,"",ROUND((Settings!$C$32*$AO435+Settings!$C$33*$AP435+Settings!$C$34*$AQ435+Settings!$C$35*$AR435+Settings!$C$36*$AS435+Settings!$C$37*$AT435)/SUM(Settings!$C$32:$C$37),1)))</f>
        <v/>
      </c>
      <c r="AI435" s="29" t="str">
        <f>IF($B435="","",MAX(0,100-IF(N($N435)&gt;0,0,20)-IF(AND(N($L435)=0,N($M435)=0),15,0)-IF(N($J435)&gt;0,0,10)-IF(N($K435)&gt;0,0,10)-IF($Z435&lt;&gt;"",0,15)-IF($AB435&lt;&gt;"",0,10)-IF($R435="ERROR",20,IF($R435="WARNING",10,0))))</f>
        <v/>
      </c>
      <c r="AJ435" s="30" t="str">
        <f>IF($AH435="","",IF($AH435&lt;Settings!$C$46,"Extreme Sell Pressure",IF($AH435&lt;Settings!$C$47,"Sell Pressure",IF($AH435&lt;=Settings!$C$48,"Neutral",IF($AH435&lt;=Settings!$C$49,"Buy Pressure","Extreme Buy Pressure")))))</f>
        <v/>
      </c>
      <c r="AK435" s="30" t="str">
        <f t="shared" si="113"/>
        <v/>
      </c>
      <c r="AL435" s="30" t="str">
        <f t="shared" si="114"/>
        <v/>
      </c>
      <c r="AM435" s="30" t="str">
        <f t="shared" si="115"/>
        <v/>
      </c>
      <c r="AN435" s="30" t="str">
        <f t="shared" si="116"/>
        <v/>
      </c>
      <c r="AO435" s="29" t="str">
        <f>IF($B435="","",IF(AND(N($L435)=0,N($M435)=0),50,IF(N($M435)=0,100,IF(N($L435)=0,0,MEDIAN(0,100,50+50*LN($S435)/LN(Settings!$C$40))))))</f>
        <v/>
      </c>
      <c r="AP435" s="29">
        <f>IF($AA435="",50,MEDIAN(0,100,50+$AA435*100*Settings!$C$41))</f>
        <v>50</v>
      </c>
      <c r="AQ435" s="29">
        <f>IF($H435="",50,MEDIAN(0,100,50+$H435*100*Settings!$C$42))</f>
        <v>50</v>
      </c>
      <c r="AR435" s="29">
        <f>IF(OR($AC435="",$H435=""),50,MEDIAN(0,100,50+SIGN($H435)*50*MEDIAN(0,1,($AC435-1)/Settings!$C$43)))</f>
        <v>50</v>
      </c>
      <c r="AS435" s="29">
        <f>IF(OR($V435="",$W435=""),50,MEDIAN(0,100,50+50*($V435-$W435)/Settings!$C$44))</f>
        <v>50</v>
      </c>
      <c r="AT435" s="29">
        <f t="shared" si="117"/>
        <v>50</v>
      </c>
      <c r="AU435" s="30" t="str">
        <f t="shared" si="118"/>
        <v/>
      </c>
      <c r="AV435" s="87" t="str">
        <f>IF($A435="","",IF(COUNTIFS($A$4:$A435,$A435)=1,1,0))</f>
        <v/>
      </c>
    </row>
    <row r="436" spans="1:48" x14ac:dyDescent="0.3">
      <c r="A436" s="270"/>
      <c r="B436" s="271"/>
      <c r="C436" s="272"/>
      <c r="D436" s="272"/>
      <c r="E436" s="272"/>
      <c r="F436" s="272"/>
      <c r="G436" s="272"/>
      <c r="H436" s="268" t="str">
        <f t="shared" si="102"/>
        <v/>
      </c>
      <c r="I436" s="273"/>
      <c r="J436" s="273"/>
      <c r="K436" s="273"/>
      <c r="L436" s="273"/>
      <c r="M436" s="273"/>
      <c r="N436" s="273"/>
      <c r="O436" s="271"/>
      <c r="P436" s="270"/>
      <c r="Q436" s="271"/>
      <c r="R436" s="23" t="str" cm="1">
        <f t="array" ref="R436">IF($B436="","",IFERROR(IF(INDEX('Data Quality'!$U$4:$U$503,ROW()-3)=0,"PENDING",INDEX('Data Quality'!$U$4:$U$503,ROW()-3)),"PENDING"))</f>
        <v/>
      </c>
      <c r="S436" s="24" t="str">
        <f t="shared" si="103"/>
        <v/>
      </c>
      <c r="T436" s="25" t="str">
        <f t="shared" si="104"/>
        <v/>
      </c>
      <c r="U436" s="25" t="str">
        <f t="shared" si="105"/>
        <v/>
      </c>
      <c r="V436" s="26" t="str">
        <f t="shared" si="106"/>
        <v/>
      </c>
      <c r="W436" s="26" t="str">
        <f t="shared" si="107"/>
        <v/>
      </c>
      <c r="X436" s="25" t="str">
        <f t="shared" si="108"/>
        <v/>
      </c>
      <c r="Y436" s="25" t="str">
        <f t="shared" si="109"/>
        <v/>
      </c>
      <c r="Z436" s="27" t="str">
        <f>IF($B436="","",IF($AK436&lt;=Settings!$C$21,"",IFERROR(AVERAGEIFS($S$4:$S$503,$B$4:$B$503,$B436,$AK$4:$AK$503,"&gt;="&amp;$AK436-Settings!$C$21,$AK$4:$AK$503,"&lt;="&amp;$AK436-1),"")))</f>
        <v/>
      </c>
      <c r="AA436" s="28" t="str">
        <f t="shared" si="110"/>
        <v/>
      </c>
      <c r="AB436" s="25" t="str">
        <f>IF($B436="","",IF($AK436&lt;=Settings!$C$22,"",IFERROR(AVERAGEIFS($K$4:$K$503,$B$4:$B$503,$B436,$AK$4:$AK$503,"&gt;="&amp;$AK436-Settings!$C$22,$AK$4:$AK$503,"&lt;="&amp;$AK436-1),"")))</f>
        <v/>
      </c>
      <c r="AC436" s="27" t="str">
        <f t="shared" si="111"/>
        <v/>
      </c>
      <c r="AD436" s="28" t="str">
        <f>IF($B436="","",IF($AK436&lt;=Settings!$C$23,"",IFERROR($E436/SUMIFS($E$4:$E$503,$B$4:$B$503,$B436,$AK$4:$AK$503,$AK436-Settings!$C$23)-1,"")))</f>
        <v/>
      </c>
      <c r="AE436" s="28" t="str">
        <f>IF($B436="","",IF($AK436&lt;=Settings!$C$22,"",IFERROR($E436/SUMIFS($E$4:$E$503,$B$4:$B$503,$B436,$AK$4:$AK$503,$AK436-Settings!$C$22)-1,"")))</f>
        <v/>
      </c>
      <c r="AF436" s="28" t="str">
        <f t="shared" si="112"/>
        <v/>
      </c>
      <c r="AG436" s="29" t="str">
        <f>IF($B436="","",ROUND((MIN(100,100*N($I436)/Settings!$C$27)+MIN(100,100*N($K436)/Settings!$C$28)+MIN(100,100*N($J436)/Settings!$C$29))/3,1))</f>
        <v/>
      </c>
      <c r="AH436" s="29" t="str">
        <f>IF($B436="","",IF(SUM(Settings!$C$32:$C$37)=0,"",ROUND((Settings!$C$32*$AO436+Settings!$C$33*$AP436+Settings!$C$34*$AQ436+Settings!$C$35*$AR436+Settings!$C$36*$AS436+Settings!$C$37*$AT436)/SUM(Settings!$C$32:$C$37),1)))</f>
        <v/>
      </c>
      <c r="AI436" s="29" t="str">
        <f>IF($B436="","",MAX(0,100-IF(N($N436)&gt;0,0,20)-IF(AND(N($L436)=0,N($M436)=0),15,0)-IF(N($J436)&gt;0,0,10)-IF(N($K436)&gt;0,0,10)-IF($Z436&lt;&gt;"",0,15)-IF($AB436&lt;&gt;"",0,10)-IF($R436="ERROR",20,IF($R436="WARNING",10,0))))</f>
        <v/>
      </c>
      <c r="AJ436" s="30" t="str">
        <f>IF($AH436="","",IF($AH436&lt;Settings!$C$46,"Extreme Sell Pressure",IF($AH436&lt;Settings!$C$47,"Sell Pressure",IF($AH436&lt;=Settings!$C$48,"Neutral",IF($AH436&lt;=Settings!$C$49,"Buy Pressure","Extreme Buy Pressure")))))</f>
        <v/>
      </c>
      <c r="AK436" s="30" t="str">
        <f t="shared" si="113"/>
        <v/>
      </c>
      <c r="AL436" s="30" t="str">
        <f t="shared" si="114"/>
        <v/>
      </c>
      <c r="AM436" s="30" t="str">
        <f t="shared" si="115"/>
        <v/>
      </c>
      <c r="AN436" s="30" t="str">
        <f t="shared" si="116"/>
        <v/>
      </c>
      <c r="AO436" s="29" t="str">
        <f>IF($B436="","",IF(AND(N($L436)=0,N($M436)=0),50,IF(N($M436)=0,100,IF(N($L436)=0,0,MEDIAN(0,100,50+50*LN($S436)/LN(Settings!$C$40))))))</f>
        <v/>
      </c>
      <c r="AP436" s="29">
        <f>IF($AA436="",50,MEDIAN(0,100,50+$AA436*100*Settings!$C$41))</f>
        <v>50</v>
      </c>
      <c r="AQ436" s="29">
        <f>IF($H436="",50,MEDIAN(0,100,50+$H436*100*Settings!$C$42))</f>
        <v>50</v>
      </c>
      <c r="AR436" s="29">
        <f>IF(OR($AC436="",$H436=""),50,MEDIAN(0,100,50+SIGN($H436)*50*MEDIAN(0,1,($AC436-1)/Settings!$C$43)))</f>
        <v>50</v>
      </c>
      <c r="AS436" s="29">
        <f>IF(OR($V436="",$W436=""),50,MEDIAN(0,100,50+50*($V436-$W436)/Settings!$C$44))</f>
        <v>50</v>
      </c>
      <c r="AT436" s="29">
        <f t="shared" si="117"/>
        <v>50</v>
      </c>
      <c r="AU436" s="30" t="str">
        <f t="shared" si="118"/>
        <v/>
      </c>
      <c r="AV436" s="87" t="str">
        <f>IF($A436="","",IF(COUNTIFS($A$4:$A436,$A436)=1,1,0))</f>
        <v/>
      </c>
    </row>
    <row r="437" spans="1:48" x14ac:dyDescent="0.3">
      <c r="A437" s="270"/>
      <c r="B437" s="271"/>
      <c r="C437" s="272"/>
      <c r="D437" s="272"/>
      <c r="E437" s="272"/>
      <c r="F437" s="272"/>
      <c r="G437" s="272"/>
      <c r="H437" s="268" t="str">
        <f t="shared" si="102"/>
        <v/>
      </c>
      <c r="I437" s="273"/>
      <c r="J437" s="273"/>
      <c r="K437" s="273"/>
      <c r="L437" s="273"/>
      <c r="M437" s="273"/>
      <c r="N437" s="273"/>
      <c r="O437" s="271"/>
      <c r="P437" s="270"/>
      <c r="Q437" s="271"/>
      <c r="R437" s="23" t="str" cm="1">
        <f t="array" ref="R437">IF($B437="","",IFERROR(IF(INDEX('Data Quality'!$U$4:$U$503,ROW()-3)=0,"PENDING",INDEX('Data Quality'!$U$4:$U$503,ROW()-3)),"PENDING"))</f>
        <v/>
      </c>
      <c r="S437" s="24" t="str">
        <f t="shared" si="103"/>
        <v/>
      </c>
      <c r="T437" s="25" t="str">
        <f t="shared" si="104"/>
        <v/>
      </c>
      <c r="U437" s="25" t="str">
        <f t="shared" si="105"/>
        <v/>
      </c>
      <c r="V437" s="26" t="str">
        <f t="shared" si="106"/>
        <v/>
      </c>
      <c r="W437" s="26" t="str">
        <f t="shared" si="107"/>
        <v/>
      </c>
      <c r="X437" s="25" t="str">
        <f t="shared" si="108"/>
        <v/>
      </c>
      <c r="Y437" s="25" t="str">
        <f t="shared" si="109"/>
        <v/>
      </c>
      <c r="Z437" s="27" t="str">
        <f>IF($B437="","",IF($AK437&lt;=Settings!$C$21,"",IFERROR(AVERAGEIFS($S$4:$S$503,$B$4:$B$503,$B437,$AK$4:$AK$503,"&gt;="&amp;$AK437-Settings!$C$21,$AK$4:$AK$503,"&lt;="&amp;$AK437-1),"")))</f>
        <v/>
      </c>
      <c r="AA437" s="28" t="str">
        <f t="shared" si="110"/>
        <v/>
      </c>
      <c r="AB437" s="25" t="str">
        <f>IF($B437="","",IF($AK437&lt;=Settings!$C$22,"",IFERROR(AVERAGEIFS($K$4:$K$503,$B$4:$B$503,$B437,$AK$4:$AK$503,"&gt;="&amp;$AK437-Settings!$C$22,$AK$4:$AK$503,"&lt;="&amp;$AK437-1),"")))</f>
        <v/>
      </c>
      <c r="AC437" s="27" t="str">
        <f t="shared" si="111"/>
        <v/>
      </c>
      <c r="AD437" s="28" t="str">
        <f>IF($B437="","",IF($AK437&lt;=Settings!$C$23,"",IFERROR($E437/SUMIFS($E$4:$E$503,$B$4:$B$503,$B437,$AK$4:$AK$503,$AK437-Settings!$C$23)-1,"")))</f>
        <v/>
      </c>
      <c r="AE437" s="28" t="str">
        <f>IF($B437="","",IF($AK437&lt;=Settings!$C$22,"",IFERROR($E437/SUMIFS($E$4:$E$503,$B$4:$B$503,$B437,$AK$4:$AK$503,$AK437-Settings!$C$22)-1,"")))</f>
        <v/>
      </c>
      <c r="AF437" s="28" t="str">
        <f t="shared" si="112"/>
        <v/>
      </c>
      <c r="AG437" s="29" t="str">
        <f>IF($B437="","",ROUND((MIN(100,100*N($I437)/Settings!$C$27)+MIN(100,100*N($K437)/Settings!$C$28)+MIN(100,100*N($J437)/Settings!$C$29))/3,1))</f>
        <v/>
      </c>
      <c r="AH437" s="29" t="str">
        <f>IF($B437="","",IF(SUM(Settings!$C$32:$C$37)=0,"",ROUND((Settings!$C$32*$AO437+Settings!$C$33*$AP437+Settings!$C$34*$AQ437+Settings!$C$35*$AR437+Settings!$C$36*$AS437+Settings!$C$37*$AT437)/SUM(Settings!$C$32:$C$37),1)))</f>
        <v/>
      </c>
      <c r="AI437" s="29" t="str">
        <f>IF($B437="","",MAX(0,100-IF(N($N437)&gt;0,0,20)-IF(AND(N($L437)=0,N($M437)=0),15,0)-IF(N($J437)&gt;0,0,10)-IF(N($K437)&gt;0,0,10)-IF($Z437&lt;&gt;"",0,15)-IF($AB437&lt;&gt;"",0,10)-IF($R437="ERROR",20,IF($R437="WARNING",10,0))))</f>
        <v/>
      </c>
      <c r="AJ437" s="30" t="str">
        <f>IF($AH437="","",IF($AH437&lt;Settings!$C$46,"Extreme Sell Pressure",IF($AH437&lt;Settings!$C$47,"Sell Pressure",IF($AH437&lt;=Settings!$C$48,"Neutral",IF($AH437&lt;=Settings!$C$49,"Buy Pressure","Extreme Buy Pressure")))))</f>
        <v/>
      </c>
      <c r="AK437" s="30" t="str">
        <f t="shared" si="113"/>
        <v/>
      </c>
      <c r="AL437" s="30" t="str">
        <f t="shared" si="114"/>
        <v/>
      </c>
      <c r="AM437" s="30" t="str">
        <f t="shared" si="115"/>
        <v/>
      </c>
      <c r="AN437" s="30" t="str">
        <f t="shared" si="116"/>
        <v/>
      </c>
      <c r="AO437" s="29" t="str">
        <f>IF($B437="","",IF(AND(N($L437)=0,N($M437)=0),50,IF(N($M437)=0,100,IF(N($L437)=0,0,MEDIAN(0,100,50+50*LN($S437)/LN(Settings!$C$40))))))</f>
        <v/>
      </c>
      <c r="AP437" s="29">
        <f>IF($AA437="",50,MEDIAN(0,100,50+$AA437*100*Settings!$C$41))</f>
        <v>50</v>
      </c>
      <c r="AQ437" s="29">
        <f>IF($H437="",50,MEDIAN(0,100,50+$H437*100*Settings!$C$42))</f>
        <v>50</v>
      </c>
      <c r="AR437" s="29">
        <f>IF(OR($AC437="",$H437=""),50,MEDIAN(0,100,50+SIGN($H437)*50*MEDIAN(0,1,($AC437-1)/Settings!$C$43)))</f>
        <v>50</v>
      </c>
      <c r="AS437" s="29">
        <f>IF(OR($V437="",$W437=""),50,MEDIAN(0,100,50+50*($V437-$W437)/Settings!$C$44))</f>
        <v>50</v>
      </c>
      <c r="AT437" s="29">
        <f t="shared" si="117"/>
        <v>50</v>
      </c>
      <c r="AU437" s="30" t="str">
        <f t="shared" si="118"/>
        <v/>
      </c>
      <c r="AV437" s="87" t="str">
        <f>IF($A437="","",IF(COUNTIFS($A$4:$A437,$A437)=1,1,0))</f>
        <v/>
      </c>
    </row>
    <row r="438" spans="1:48" x14ac:dyDescent="0.3">
      <c r="A438" s="270"/>
      <c r="B438" s="271"/>
      <c r="C438" s="272"/>
      <c r="D438" s="272"/>
      <c r="E438" s="272"/>
      <c r="F438" s="272"/>
      <c r="G438" s="272"/>
      <c r="H438" s="268" t="str">
        <f t="shared" si="102"/>
        <v/>
      </c>
      <c r="I438" s="273"/>
      <c r="J438" s="273"/>
      <c r="K438" s="273"/>
      <c r="L438" s="273"/>
      <c r="M438" s="273"/>
      <c r="N438" s="273"/>
      <c r="O438" s="271"/>
      <c r="P438" s="270"/>
      <c r="Q438" s="271"/>
      <c r="R438" s="23" t="str" cm="1">
        <f t="array" ref="R438">IF($B438="","",IFERROR(IF(INDEX('Data Quality'!$U$4:$U$503,ROW()-3)=0,"PENDING",INDEX('Data Quality'!$U$4:$U$503,ROW()-3)),"PENDING"))</f>
        <v/>
      </c>
      <c r="S438" s="24" t="str">
        <f t="shared" si="103"/>
        <v/>
      </c>
      <c r="T438" s="25" t="str">
        <f t="shared" si="104"/>
        <v/>
      </c>
      <c r="U438" s="25" t="str">
        <f t="shared" si="105"/>
        <v/>
      </c>
      <c r="V438" s="26" t="str">
        <f t="shared" si="106"/>
        <v/>
      </c>
      <c r="W438" s="26" t="str">
        <f t="shared" si="107"/>
        <v/>
      </c>
      <c r="X438" s="25" t="str">
        <f t="shared" si="108"/>
        <v/>
      </c>
      <c r="Y438" s="25" t="str">
        <f t="shared" si="109"/>
        <v/>
      </c>
      <c r="Z438" s="27" t="str">
        <f>IF($B438="","",IF($AK438&lt;=Settings!$C$21,"",IFERROR(AVERAGEIFS($S$4:$S$503,$B$4:$B$503,$B438,$AK$4:$AK$503,"&gt;="&amp;$AK438-Settings!$C$21,$AK$4:$AK$503,"&lt;="&amp;$AK438-1),"")))</f>
        <v/>
      </c>
      <c r="AA438" s="28" t="str">
        <f t="shared" si="110"/>
        <v/>
      </c>
      <c r="AB438" s="25" t="str">
        <f>IF($B438="","",IF($AK438&lt;=Settings!$C$22,"",IFERROR(AVERAGEIFS($K$4:$K$503,$B$4:$B$503,$B438,$AK$4:$AK$503,"&gt;="&amp;$AK438-Settings!$C$22,$AK$4:$AK$503,"&lt;="&amp;$AK438-1),"")))</f>
        <v/>
      </c>
      <c r="AC438" s="27" t="str">
        <f t="shared" si="111"/>
        <v/>
      </c>
      <c r="AD438" s="28" t="str">
        <f>IF($B438="","",IF($AK438&lt;=Settings!$C$23,"",IFERROR($E438/SUMIFS($E$4:$E$503,$B$4:$B$503,$B438,$AK$4:$AK$503,$AK438-Settings!$C$23)-1,"")))</f>
        <v/>
      </c>
      <c r="AE438" s="28" t="str">
        <f>IF($B438="","",IF($AK438&lt;=Settings!$C$22,"",IFERROR($E438/SUMIFS($E$4:$E$503,$B$4:$B$503,$B438,$AK$4:$AK$503,$AK438-Settings!$C$22)-1,"")))</f>
        <v/>
      </c>
      <c r="AF438" s="28" t="str">
        <f t="shared" si="112"/>
        <v/>
      </c>
      <c r="AG438" s="29" t="str">
        <f>IF($B438="","",ROUND((MIN(100,100*N($I438)/Settings!$C$27)+MIN(100,100*N($K438)/Settings!$C$28)+MIN(100,100*N($J438)/Settings!$C$29))/3,1))</f>
        <v/>
      </c>
      <c r="AH438" s="29" t="str">
        <f>IF($B438="","",IF(SUM(Settings!$C$32:$C$37)=0,"",ROUND((Settings!$C$32*$AO438+Settings!$C$33*$AP438+Settings!$C$34*$AQ438+Settings!$C$35*$AR438+Settings!$C$36*$AS438+Settings!$C$37*$AT438)/SUM(Settings!$C$32:$C$37),1)))</f>
        <v/>
      </c>
      <c r="AI438" s="29" t="str">
        <f>IF($B438="","",MAX(0,100-IF(N($N438)&gt;0,0,20)-IF(AND(N($L438)=0,N($M438)=0),15,0)-IF(N($J438)&gt;0,0,10)-IF(N($K438)&gt;0,0,10)-IF($Z438&lt;&gt;"",0,15)-IF($AB438&lt;&gt;"",0,10)-IF($R438="ERROR",20,IF($R438="WARNING",10,0))))</f>
        <v/>
      </c>
      <c r="AJ438" s="30" t="str">
        <f>IF($AH438="","",IF($AH438&lt;Settings!$C$46,"Extreme Sell Pressure",IF($AH438&lt;Settings!$C$47,"Sell Pressure",IF($AH438&lt;=Settings!$C$48,"Neutral",IF($AH438&lt;=Settings!$C$49,"Buy Pressure","Extreme Buy Pressure")))))</f>
        <v/>
      </c>
      <c r="AK438" s="30" t="str">
        <f t="shared" si="113"/>
        <v/>
      </c>
      <c r="AL438" s="30" t="str">
        <f t="shared" si="114"/>
        <v/>
      </c>
      <c r="AM438" s="30" t="str">
        <f t="shared" si="115"/>
        <v/>
      </c>
      <c r="AN438" s="30" t="str">
        <f t="shared" si="116"/>
        <v/>
      </c>
      <c r="AO438" s="29" t="str">
        <f>IF($B438="","",IF(AND(N($L438)=0,N($M438)=0),50,IF(N($M438)=0,100,IF(N($L438)=0,0,MEDIAN(0,100,50+50*LN($S438)/LN(Settings!$C$40))))))</f>
        <v/>
      </c>
      <c r="AP438" s="29">
        <f>IF($AA438="",50,MEDIAN(0,100,50+$AA438*100*Settings!$C$41))</f>
        <v>50</v>
      </c>
      <c r="AQ438" s="29">
        <f>IF($H438="",50,MEDIAN(0,100,50+$H438*100*Settings!$C$42))</f>
        <v>50</v>
      </c>
      <c r="AR438" s="29">
        <f>IF(OR($AC438="",$H438=""),50,MEDIAN(0,100,50+SIGN($H438)*50*MEDIAN(0,1,($AC438-1)/Settings!$C$43)))</f>
        <v>50</v>
      </c>
      <c r="AS438" s="29">
        <f>IF(OR($V438="",$W438=""),50,MEDIAN(0,100,50+50*($V438-$W438)/Settings!$C$44))</f>
        <v>50</v>
      </c>
      <c r="AT438" s="29">
        <f t="shared" si="117"/>
        <v>50</v>
      </c>
      <c r="AU438" s="30" t="str">
        <f t="shared" si="118"/>
        <v/>
      </c>
      <c r="AV438" s="87" t="str">
        <f>IF($A438="","",IF(COUNTIFS($A$4:$A438,$A438)=1,1,0))</f>
        <v/>
      </c>
    </row>
    <row r="439" spans="1:48" x14ac:dyDescent="0.3">
      <c r="A439" s="270"/>
      <c r="B439" s="271"/>
      <c r="C439" s="272"/>
      <c r="D439" s="272"/>
      <c r="E439" s="272"/>
      <c r="F439" s="272"/>
      <c r="G439" s="272"/>
      <c r="H439" s="268" t="str">
        <f t="shared" si="102"/>
        <v/>
      </c>
      <c r="I439" s="273"/>
      <c r="J439" s="273"/>
      <c r="K439" s="273"/>
      <c r="L439" s="273"/>
      <c r="M439" s="273"/>
      <c r="N439" s="273"/>
      <c r="O439" s="271"/>
      <c r="P439" s="270"/>
      <c r="Q439" s="271"/>
      <c r="R439" s="23" t="str" cm="1">
        <f t="array" ref="R439">IF($B439="","",IFERROR(IF(INDEX('Data Quality'!$U$4:$U$503,ROW()-3)=0,"PENDING",INDEX('Data Quality'!$U$4:$U$503,ROW()-3)),"PENDING"))</f>
        <v/>
      </c>
      <c r="S439" s="24" t="str">
        <f t="shared" si="103"/>
        <v/>
      </c>
      <c r="T439" s="25" t="str">
        <f t="shared" si="104"/>
        <v/>
      </c>
      <c r="U439" s="25" t="str">
        <f t="shared" si="105"/>
        <v/>
      </c>
      <c r="V439" s="26" t="str">
        <f t="shared" si="106"/>
        <v/>
      </c>
      <c r="W439" s="26" t="str">
        <f t="shared" si="107"/>
        <v/>
      </c>
      <c r="X439" s="25" t="str">
        <f t="shared" si="108"/>
        <v/>
      </c>
      <c r="Y439" s="25" t="str">
        <f t="shared" si="109"/>
        <v/>
      </c>
      <c r="Z439" s="27" t="str">
        <f>IF($B439="","",IF($AK439&lt;=Settings!$C$21,"",IFERROR(AVERAGEIFS($S$4:$S$503,$B$4:$B$503,$B439,$AK$4:$AK$503,"&gt;="&amp;$AK439-Settings!$C$21,$AK$4:$AK$503,"&lt;="&amp;$AK439-1),"")))</f>
        <v/>
      </c>
      <c r="AA439" s="28" t="str">
        <f t="shared" si="110"/>
        <v/>
      </c>
      <c r="AB439" s="25" t="str">
        <f>IF($B439="","",IF($AK439&lt;=Settings!$C$22,"",IFERROR(AVERAGEIFS($K$4:$K$503,$B$4:$B$503,$B439,$AK$4:$AK$503,"&gt;="&amp;$AK439-Settings!$C$22,$AK$4:$AK$503,"&lt;="&amp;$AK439-1),"")))</f>
        <v/>
      </c>
      <c r="AC439" s="27" t="str">
        <f t="shared" si="111"/>
        <v/>
      </c>
      <c r="AD439" s="28" t="str">
        <f>IF($B439="","",IF($AK439&lt;=Settings!$C$23,"",IFERROR($E439/SUMIFS($E$4:$E$503,$B$4:$B$503,$B439,$AK$4:$AK$503,$AK439-Settings!$C$23)-1,"")))</f>
        <v/>
      </c>
      <c r="AE439" s="28" t="str">
        <f>IF($B439="","",IF($AK439&lt;=Settings!$C$22,"",IFERROR($E439/SUMIFS($E$4:$E$503,$B$4:$B$503,$B439,$AK$4:$AK$503,$AK439-Settings!$C$22)-1,"")))</f>
        <v/>
      </c>
      <c r="AF439" s="28" t="str">
        <f t="shared" si="112"/>
        <v/>
      </c>
      <c r="AG439" s="29" t="str">
        <f>IF($B439="","",ROUND((MIN(100,100*N($I439)/Settings!$C$27)+MIN(100,100*N($K439)/Settings!$C$28)+MIN(100,100*N($J439)/Settings!$C$29))/3,1))</f>
        <v/>
      </c>
      <c r="AH439" s="29" t="str">
        <f>IF($B439="","",IF(SUM(Settings!$C$32:$C$37)=0,"",ROUND((Settings!$C$32*$AO439+Settings!$C$33*$AP439+Settings!$C$34*$AQ439+Settings!$C$35*$AR439+Settings!$C$36*$AS439+Settings!$C$37*$AT439)/SUM(Settings!$C$32:$C$37),1)))</f>
        <v/>
      </c>
      <c r="AI439" s="29" t="str">
        <f>IF($B439="","",MAX(0,100-IF(N($N439)&gt;0,0,20)-IF(AND(N($L439)=0,N($M439)=0),15,0)-IF(N($J439)&gt;0,0,10)-IF(N($K439)&gt;0,0,10)-IF($Z439&lt;&gt;"",0,15)-IF($AB439&lt;&gt;"",0,10)-IF($R439="ERROR",20,IF($R439="WARNING",10,0))))</f>
        <v/>
      </c>
      <c r="AJ439" s="30" t="str">
        <f>IF($AH439="","",IF($AH439&lt;Settings!$C$46,"Extreme Sell Pressure",IF($AH439&lt;Settings!$C$47,"Sell Pressure",IF($AH439&lt;=Settings!$C$48,"Neutral",IF($AH439&lt;=Settings!$C$49,"Buy Pressure","Extreme Buy Pressure")))))</f>
        <v/>
      </c>
      <c r="AK439" s="30" t="str">
        <f t="shared" si="113"/>
        <v/>
      </c>
      <c r="AL439" s="30" t="str">
        <f t="shared" si="114"/>
        <v/>
      </c>
      <c r="AM439" s="30" t="str">
        <f t="shared" si="115"/>
        <v/>
      </c>
      <c r="AN439" s="30" t="str">
        <f t="shared" si="116"/>
        <v/>
      </c>
      <c r="AO439" s="29" t="str">
        <f>IF($B439="","",IF(AND(N($L439)=0,N($M439)=0),50,IF(N($M439)=0,100,IF(N($L439)=0,0,MEDIAN(0,100,50+50*LN($S439)/LN(Settings!$C$40))))))</f>
        <v/>
      </c>
      <c r="AP439" s="29">
        <f>IF($AA439="",50,MEDIAN(0,100,50+$AA439*100*Settings!$C$41))</f>
        <v>50</v>
      </c>
      <c r="AQ439" s="29">
        <f>IF($H439="",50,MEDIAN(0,100,50+$H439*100*Settings!$C$42))</f>
        <v>50</v>
      </c>
      <c r="AR439" s="29">
        <f>IF(OR($AC439="",$H439=""),50,MEDIAN(0,100,50+SIGN($H439)*50*MEDIAN(0,1,($AC439-1)/Settings!$C$43)))</f>
        <v>50</v>
      </c>
      <c r="AS439" s="29">
        <f>IF(OR($V439="",$W439=""),50,MEDIAN(0,100,50+50*($V439-$W439)/Settings!$C$44))</f>
        <v>50</v>
      </c>
      <c r="AT439" s="29">
        <f t="shared" si="117"/>
        <v>50</v>
      </c>
      <c r="AU439" s="30" t="str">
        <f t="shared" si="118"/>
        <v/>
      </c>
      <c r="AV439" s="87" t="str">
        <f>IF($A439="","",IF(COUNTIFS($A$4:$A439,$A439)=1,1,0))</f>
        <v/>
      </c>
    </row>
    <row r="440" spans="1:48" x14ac:dyDescent="0.3">
      <c r="A440" s="270"/>
      <c r="B440" s="271"/>
      <c r="C440" s="272"/>
      <c r="D440" s="272"/>
      <c r="E440" s="272"/>
      <c r="F440" s="272"/>
      <c r="G440" s="272"/>
      <c r="H440" s="268" t="str">
        <f t="shared" si="102"/>
        <v/>
      </c>
      <c r="I440" s="273"/>
      <c r="J440" s="273"/>
      <c r="K440" s="273"/>
      <c r="L440" s="273"/>
      <c r="M440" s="273"/>
      <c r="N440" s="273"/>
      <c r="O440" s="271"/>
      <c r="P440" s="270"/>
      <c r="Q440" s="271"/>
      <c r="R440" s="23" t="str" cm="1">
        <f t="array" ref="R440">IF($B440="","",IFERROR(IF(INDEX('Data Quality'!$U$4:$U$503,ROW()-3)=0,"PENDING",INDEX('Data Quality'!$U$4:$U$503,ROW()-3)),"PENDING"))</f>
        <v/>
      </c>
      <c r="S440" s="24" t="str">
        <f t="shared" si="103"/>
        <v/>
      </c>
      <c r="T440" s="25" t="str">
        <f t="shared" si="104"/>
        <v/>
      </c>
      <c r="U440" s="25" t="str">
        <f t="shared" si="105"/>
        <v/>
      </c>
      <c r="V440" s="26" t="str">
        <f t="shared" si="106"/>
        <v/>
      </c>
      <c r="W440" s="26" t="str">
        <f t="shared" si="107"/>
        <v/>
      </c>
      <c r="X440" s="25" t="str">
        <f t="shared" si="108"/>
        <v/>
      </c>
      <c r="Y440" s="25" t="str">
        <f t="shared" si="109"/>
        <v/>
      </c>
      <c r="Z440" s="27" t="str">
        <f>IF($B440="","",IF($AK440&lt;=Settings!$C$21,"",IFERROR(AVERAGEIFS($S$4:$S$503,$B$4:$B$503,$B440,$AK$4:$AK$503,"&gt;="&amp;$AK440-Settings!$C$21,$AK$4:$AK$503,"&lt;="&amp;$AK440-1),"")))</f>
        <v/>
      </c>
      <c r="AA440" s="28" t="str">
        <f t="shared" si="110"/>
        <v/>
      </c>
      <c r="AB440" s="25" t="str">
        <f>IF($B440="","",IF($AK440&lt;=Settings!$C$22,"",IFERROR(AVERAGEIFS($K$4:$K$503,$B$4:$B$503,$B440,$AK$4:$AK$503,"&gt;="&amp;$AK440-Settings!$C$22,$AK$4:$AK$503,"&lt;="&amp;$AK440-1),"")))</f>
        <v/>
      </c>
      <c r="AC440" s="27" t="str">
        <f t="shared" si="111"/>
        <v/>
      </c>
      <c r="AD440" s="28" t="str">
        <f>IF($B440="","",IF($AK440&lt;=Settings!$C$23,"",IFERROR($E440/SUMIFS($E$4:$E$503,$B$4:$B$503,$B440,$AK$4:$AK$503,$AK440-Settings!$C$23)-1,"")))</f>
        <v/>
      </c>
      <c r="AE440" s="28" t="str">
        <f>IF($B440="","",IF($AK440&lt;=Settings!$C$22,"",IFERROR($E440/SUMIFS($E$4:$E$503,$B$4:$B$503,$B440,$AK$4:$AK$503,$AK440-Settings!$C$22)-1,"")))</f>
        <v/>
      </c>
      <c r="AF440" s="28" t="str">
        <f t="shared" si="112"/>
        <v/>
      </c>
      <c r="AG440" s="29" t="str">
        <f>IF($B440="","",ROUND((MIN(100,100*N($I440)/Settings!$C$27)+MIN(100,100*N($K440)/Settings!$C$28)+MIN(100,100*N($J440)/Settings!$C$29))/3,1))</f>
        <v/>
      </c>
      <c r="AH440" s="29" t="str">
        <f>IF($B440="","",IF(SUM(Settings!$C$32:$C$37)=0,"",ROUND((Settings!$C$32*$AO440+Settings!$C$33*$AP440+Settings!$C$34*$AQ440+Settings!$C$35*$AR440+Settings!$C$36*$AS440+Settings!$C$37*$AT440)/SUM(Settings!$C$32:$C$37),1)))</f>
        <v/>
      </c>
      <c r="AI440" s="29" t="str">
        <f>IF($B440="","",MAX(0,100-IF(N($N440)&gt;0,0,20)-IF(AND(N($L440)=0,N($M440)=0),15,0)-IF(N($J440)&gt;0,0,10)-IF(N($K440)&gt;0,0,10)-IF($Z440&lt;&gt;"",0,15)-IF($AB440&lt;&gt;"",0,10)-IF($R440="ERROR",20,IF($R440="WARNING",10,0))))</f>
        <v/>
      </c>
      <c r="AJ440" s="30" t="str">
        <f>IF($AH440="","",IF($AH440&lt;Settings!$C$46,"Extreme Sell Pressure",IF($AH440&lt;Settings!$C$47,"Sell Pressure",IF($AH440&lt;=Settings!$C$48,"Neutral",IF($AH440&lt;=Settings!$C$49,"Buy Pressure","Extreme Buy Pressure")))))</f>
        <v/>
      </c>
      <c r="AK440" s="30" t="str">
        <f t="shared" si="113"/>
        <v/>
      </c>
      <c r="AL440" s="30" t="str">
        <f t="shared" si="114"/>
        <v/>
      </c>
      <c r="AM440" s="30" t="str">
        <f t="shared" si="115"/>
        <v/>
      </c>
      <c r="AN440" s="30" t="str">
        <f t="shared" si="116"/>
        <v/>
      </c>
      <c r="AO440" s="29" t="str">
        <f>IF($B440="","",IF(AND(N($L440)=0,N($M440)=0),50,IF(N($M440)=0,100,IF(N($L440)=0,0,MEDIAN(0,100,50+50*LN($S440)/LN(Settings!$C$40))))))</f>
        <v/>
      </c>
      <c r="AP440" s="29">
        <f>IF($AA440="",50,MEDIAN(0,100,50+$AA440*100*Settings!$C$41))</f>
        <v>50</v>
      </c>
      <c r="AQ440" s="29">
        <f>IF($H440="",50,MEDIAN(0,100,50+$H440*100*Settings!$C$42))</f>
        <v>50</v>
      </c>
      <c r="AR440" s="29">
        <f>IF(OR($AC440="",$H440=""),50,MEDIAN(0,100,50+SIGN($H440)*50*MEDIAN(0,1,($AC440-1)/Settings!$C$43)))</f>
        <v>50</v>
      </c>
      <c r="AS440" s="29">
        <f>IF(OR($V440="",$W440=""),50,MEDIAN(0,100,50+50*($V440-$W440)/Settings!$C$44))</f>
        <v>50</v>
      </c>
      <c r="AT440" s="29">
        <f t="shared" si="117"/>
        <v>50</v>
      </c>
      <c r="AU440" s="30" t="str">
        <f t="shared" si="118"/>
        <v/>
      </c>
      <c r="AV440" s="87" t="str">
        <f>IF($A440="","",IF(COUNTIFS($A$4:$A440,$A440)=1,1,0))</f>
        <v/>
      </c>
    </row>
    <row r="441" spans="1:48" x14ac:dyDescent="0.3">
      <c r="A441" s="270"/>
      <c r="B441" s="271"/>
      <c r="C441" s="272"/>
      <c r="D441" s="272"/>
      <c r="E441" s="272"/>
      <c r="F441" s="272"/>
      <c r="G441" s="272"/>
      <c r="H441" s="268" t="str">
        <f t="shared" si="102"/>
        <v/>
      </c>
      <c r="I441" s="273"/>
      <c r="J441" s="273"/>
      <c r="K441" s="273"/>
      <c r="L441" s="273"/>
      <c r="M441" s="273"/>
      <c r="N441" s="273"/>
      <c r="O441" s="271"/>
      <c r="P441" s="270"/>
      <c r="Q441" s="271"/>
      <c r="R441" s="23" t="str" cm="1">
        <f t="array" ref="R441">IF($B441="","",IFERROR(IF(INDEX('Data Quality'!$U$4:$U$503,ROW()-3)=0,"PENDING",INDEX('Data Quality'!$U$4:$U$503,ROW()-3)),"PENDING"))</f>
        <v/>
      </c>
      <c r="S441" s="24" t="str">
        <f t="shared" si="103"/>
        <v/>
      </c>
      <c r="T441" s="25" t="str">
        <f t="shared" si="104"/>
        <v/>
      </c>
      <c r="U441" s="25" t="str">
        <f t="shared" si="105"/>
        <v/>
      </c>
      <c r="V441" s="26" t="str">
        <f t="shared" si="106"/>
        <v/>
      </c>
      <c r="W441" s="26" t="str">
        <f t="shared" si="107"/>
        <v/>
      </c>
      <c r="X441" s="25" t="str">
        <f t="shared" si="108"/>
        <v/>
      </c>
      <c r="Y441" s="25" t="str">
        <f t="shared" si="109"/>
        <v/>
      </c>
      <c r="Z441" s="27" t="str">
        <f>IF($B441="","",IF($AK441&lt;=Settings!$C$21,"",IFERROR(AVERAGEIFS($S$4:$S$503,$B$4:$B$503,$B441,$AK$4:$AK$503,"&gt;="&amp;$AK441-Settings!$C$21,$AK$4:$AK$503,"&lt;="&amp;$AK441-1),"")))</f>
        <v/>
      </c>
      <c r="AA441" s="28" t="str">
        <f t="shared" si="110"/>
        <v/>
      </c>
      <c r="AB441" s="25" t="str">
        <f>IF($B441="","",IF($AK441&lt;=Settings!$C$22,"",IFERROR(AVERAGEIFS($K$4:$K$503,$B$4:$B$503,$B441,$AK$4:$AK$503,"&gt;="&amp;$AK441-Settings!$C$22,$AK$4:$AK$503,"&lt;="&amp;$AK441-1),"")))</f>
        <v/>
      </c>
      <c r="AC441" s="27" t="str">
        <f t="shared" si="111"/>
        <v/>
      </c>
      <c r="AD441" s="28" t="str">
        <f>IF($B441="","",IF($AK441&lt;=Settings!$C$23,"",IFERROR($E441/SUMIFS($E$4:$E$503,$B$4:$B$503,$B441,$AK$4:$AK$503,$AK441-Settings!$C$23)-1,"")))</f>
        <v/>
      </c>
      <c r="AE441" s="28" t="str">
        <f>IF($B441="","",IF($AK441&lt;=Settings!$C$22,"",IFERROR($E441/SUMIFS($E$4:$E$503,$B$4:$B$503,$B441,$AK$4:$AK$503,$AK441-Settings!$C$22)-1,"")))</f>
        <v/>
      </c>
      <c r="AF441" s="28" t="str">
        <f t="shared" si="112"/>
        <v/>
      </c>
      <c r="AG441" s="29" t="str">
        <f>IF($B441="","",ROUND((MIN(100,100*N($I441)/Settings!$C$27)+MIN(100,100*N($K441)/Settings!$C$28)+MIN(100,100*N($J441)/Settings!$C$29))/3,1))</f>
        <v/>
      </c>
      <c r="AH441" s="29" t="str">
        <f>IF($B441="","",IF(SUM(Settings!$C$32:$C$37)=0,"",ROUND((Settings!$C$32*$AO441+Settings!$C$33*$AP441+Settings!$C$34*$AQ441+Settings!$C$35*$AR441+Settings!$C$36*$AS441+Settings!$C$37*$AT441)/SUM(Settings!$C$32:$C$37),1)))</f>
        <v/>
      </c>
      <c r="AI441" s="29" t="str">
        <f>IF($B441="","",MAX(0,100-IF(N($N441)&gt;0,0,20)-IF(AND(N($L441)=0,N($M441)=0),15,0)-IF(N($J441)&gt;0,0,10)-IF(N($K441)&gt;0,0,10)-IF($Z441&lt;&gt;"",0,15)-IF($AB441&lt;&gt;"",0,10)-IF($R441="ERROR",20,IF($R441="WARNING",10,0))))</f>
        <v/>
      </c>
      <c r="AJ441" s="30" t="str">
        <f>IF($AH441="","",IF($AH441&lt;Settings!$C$46,"Extreme Sell Pressure",IF($AH441&lt;Settings!$C$47,"Sell Pressure",IF($AH441&lt;=Settings!$C$48,"Neutral",IF($AH441&lt;=Settings!$C$49,"Buy Pressure","Extreme Buy Pressure")))))</f>
        <v/>
      </c>
      <c r="AK441" s="30" t="str">
        <f t="shared" si="113"/>
        <v/>
      </c>
      <c r="AL441" s="30" t="str">
        <f t="shared" si="114"/>
        <v/>
      </c>
      <c r="AM441" s="30" t="str">
        <f t="shared" si="115"/>
        <v/>
      </c>
      <c r="AN441" s="30" t="str">
        <f t="shared" si="116"/>
        <v/>
      </c>
      <c r="AO441" s="29" t="str">
        <f>IF($B441="","",IF(AND(N($L441)=0,N($M441)=0),50,IF(N($M441)=0,100,IF(N($L441)=0,0,MEDIAN(0,100,50+50*LN($S441)/LN(Settings!$C$40))))))</f>
        <v/>
      </c>
      <c r="AP441" s="29">
        <f>IF($AA441="",50,MEDIAN(0,100,50+$AA441*100*Settings!$C$41))</f>
        <v>50</v>
      </c>
      <c r="AQ441" s="29">
        <f>IF($H441="",50,MEDIAN(0,100,50+$H441*100*Settings!$C$42))</f>
        <v>50</v>
      </c>
      <c r="AR441" s="29">
        <f>IF(OR($AC441="",$H441=""),50,MEDIAN(0,100,50+SIGN($H441)*50*MEDIAN(0,1,($AC441-1)/Settings!$C$43)))</f>
        <v>50</v>
      </c>
      <c r="AS441" s="29">
        <f>IF(OR($V441="",$W441=""),50,MEDIAN(0,100,50+50*($V441-$W441)/Settings!$C$44))</f>
        <v>50</v>
      </c>
      <c r="AT441" s="29">
        <f t="shared" si="117"/>
        <v>50</v>
      </c>
      <c r="AU441" s="30" t="str">
        <f t="shared" si="118"/>
        <v/>
      </c>
      <c r="AV441" s="87" t="str">
        <f>IF($A441="","",IF(COUNTIFS($A$4:$A441,$A441)=1,1,0))</f>
        <v/>
      </c>
    </row>
    <row r="442" spans="1:48" x14ac:dyDescent="0.3">
      <c r="A442" s="270"/>
      <c r="B442" s="271"/>
      <c r="C442" s="272"/>
      <c r="D442" s="272"/>
      <c r="E442" s="272"/>
      <c r="F442" s="272"/>
      <c r="G442" s="272"/>
      <c r="H442" s="268" t="str">
        <f t="shared" si="102"/>
        <v/>
      </c>
      <c r="I442" s="273"/>
      <c r="J442" s="273"/>
      <c r="K442" s="273"/>
      <c r="L442" s="273"/>
      <c r="M442" s="273"/>
      <c r="N442" s="273"/>
      <c r="O442" s="271"/>
      <c r="P442" s="270"/>
      <c r="Q442" s="271"/>
      <c r="R442" s="23" t="str" cm="1">
        <f t="array" ref="R442">IF($B442="","",IFERROR(IF(INDEX('Data Quality'!$U$4:$U$503,ROW()-3)=0,"PENDING",INDEX('Data Quality'!$U$4:$U$503,ROW()-3)),"PENDING"))</f>
        <v/>
      </c>
      <c r="S442" s="24" t="str">
        <f t="shared" si="103"/>
        <v/>
      </c>
      <c r="T442" s="25" t="str">
        <f t="shared" si="104"/>
        <v/>
      </c>
      <c r="U442" s="25" t="str">
        <f t="shared" si="105"/>
        <v/>
      </c>
      <c r="V442" s="26" t="str">
        <f t="shared" si="106"/>
        <v/>
      </c>
      <c r="W442" s="26" t="str">
        <f t="shared" si="107"/>
        <v/>
      </c>
      <c r="X442" s="25" t="str">
        <f t="shared" si="108"/>
        <v/>
      </c>
      <c r="Y442" s="25" t="str">
        <f t="shared" si="109"/>
        <v/>
      </c>
      <c r="Z442" s="27" t="str">
        <f>IF($B442="","",IF($AK442&lt;=Settings!$C$21,"",IFERROR(AVERAGEIFS($S$4:$S$503,$B$4:$B$503,$B442,$AK$4:$AK$503,"&gt;="&amp;$AK442-Settings!$C$21,$AK$4:$AK$503,"&lt;="&amp;$AK442-1),"")))</f>
        <v/>
      </c>
      <c r="AA442" s="28" t="str">
        <f t="shared" si="110"/>
        <v/>
      </c>
      <c r="AB442" s="25" t="str">
        <f>IF($B442="","",IF($AK442&lt;=Settings!$C$22,"",IFERROR(AVERAGEIFS($K$4:$K$503,$B$4:$B$503,$B442,$AK$4:$AK$503,"&gt;="&amp;$AK442-Settings!$C$22,$AK$4:$AK$503,"&lt;="&amp;$AK442-1),"")))</f>
        <v/>
      </c>
      <c r="AC442" s="27" t="str">
        <f t="shared" si="111"/>
        <v/>
      </c>
      <c r="AD442" s="28" t="str">
        <f>IF($B442="","",IF($AK442&lt;=Settings!$C$23,"",IFERROR($E442/SUMIFS($E$4:$E$503,$B$4:$B$503,$B442,$AK$4:$AK$503,$AK442-Settings!$C$23)-1,"")))</f>
        <v/>
      </c>
      <c r="AE442" s="28" t="str">
        <f>IF($B442="","",IF($AK442&lt;=Settings!$C$22,"",IFERROR($E442/SUMIFS($E$4:$E$503,$B$4:$B$503,$B442,$AK$4:$AK$503,$AK442-Settings!$C$22)-1,"")))</f>
        <v/>
      </c>
      <c r="AF442" s="28" t="str">
        <f t="shared" si="112"/>
        <v/>
      </c>
      <c r="AG442" s="29" t="str">
        <f>IF($B442="","",ROUND((MIN(100,100*N($I442)/Settings!$C$27)+MIN(100,100*N($K442)/Settings!$C$28)+MIN(100,100*N($J442)/Settings!$C$29))/3,1))</f>
        <v/>
      </c>
      <c r="AH442" s="29" t="str">
        <f>IF($B442="","",IF(SUM(Settings!$C$32:$C$37)=0,"",ROUND((Settings!$C$32*$AO442+Settings!$C$33*$AP442+Settings!$C$34*$AQ442+Settings!$C$35*$AR442+Settings!$C$36*$AS442+Settings!$C$37*$AT442)/SUM(Settings!$C$32:$C$37),1)))</f>
        <v/>
      </c>
      <c r="AI442" s="29" t="str">
        <f>IF($B442="","",MAX(0,100-IF(N($N442)&gt;0,0,20)-IF(AND(N($L442)=0,N($M442)=0),15,0)-IF(N($J442)&gt;0,0,10)-IF(N($K442)&gt;0,0,10)-IF($Z442&lt;&gt;"",0,15)-IF($AB442&lt;&gt;"",0,10)-IF($R442="ERROR",20,IF($R442="WARNING",10,0))))</f>
        <v/>
      </c>
      <c r="AJ442" s="30" t="str">
        <f>IF($AH442="","",IF($AH442&lt;Settings!$C$46,"Extreme Sell Pressure",IF($AH442&lt;Settings!$C$47,"Sell Pressure",IF($AH442&lt;=Settings!$C$48,"Neutral",IF($AH442&lt;=Settings!$C$49,"Buy Pressure","Extreme Buy Pressure")))))</f>
        <v/>
      </c>
      <c r="AK442" s="30" t="str">
        <f t="shared" si="113"/>
        <v/>
      </c>
      <c r="AL442" s="30" t="str">
        <f t="shared" si="114"/>
        <v/>
      </c>
      <c r="AM442" s="30" t="str">
        <f t="shared" si="115"/>
        <v/>
      </c>
      <c r="AN442" s="30" t="str">
        <f t="shared" si="116"/>
        <v/>
      </c>
      <c r="AO442" s="29" t="str">
        <f>IF($B442="","",IF(AND(N($L442)=0,N($M442)=0),50,IF(N($M442)=0,100,IF(N($L442)=0,0,MEDIAN(0,100,50+50*LN($S442)/LN(Settings!$C$40))))))</f>
        <v/>
      </c>
      <c r="AP442" s="29">
        <f>IF($AA442="",50,MEDIAN(0,100,50+$AA442*100*Settings!$C$41))</f>
        <v>50</v>
      </c>
      <c r="AQ442" s="29">
        <f>IF($H442="",50,MEDIAN(0,100,50+$H442*100*Settings!$C$42))</f>
        <v>50</v>
      </c>
      <c r="AR442" s="29">
        <f>IF(OR($AC442="",$H442=""),50,MEDIAN(0,100,50+SIGN($H442)*50*MEDIAN(0,1,($AC442-1)/Settings!$C$43)))</f>
        <v>50</v>
      </c>
      <c r="AS442" s="29">
        <f>IF(OR($V442="",$W442=""),50,MEDIAN(0,100,50+50*($V442-$W442)/Settings!$C$44))</f>
        <v>50</v>
      </c>
      <c r="AT442" s="29">
        <f t="shared" si="117"/>
        <v>50</v>
      </c>
      <c r="AU442" s="30" t="str">
        <f t="shared" si="118"/>
        <v/>
      </c>
      <c r="AV442" s="87" t="str">
        <f>IF($A442="","",IF(COUNTIFS($A$4:$A442,$A442)=1,1,0))</f>
        <v/>
      </c>
    </row>
    <row r="443" spans="1:48" x14ac:dyDescent="0.3">
      <c r="A443" s="270"/>
      <c r="B443" s="271"/>
      <c r="C443" s="272"/>
      <c r="D443" s="272"/>
      <c r="E443" s="272"/>
      <c r="F443" s="272"/>
      <c r="G443" s="272"/>
      <c r="H443" s="268" t="str">
        <f t="shared" si="102"/>
        <v/>
      </c>
      <c r="I443" s="273"/>
      <c r="J443" s="273"/>
      <c r="K443" s="273"/>
      <c r="L443" s="273"/>
      <c r="M443" s="273"/>
      <c r="N443" s="273"/>
      <c r="O443" s="271"/>
      <c r="P443" s="270"/>
      <c r="Q443" s="271"/>
      <c r="R443" s="23" t="str" cm="1">
        <f t="array" ref="R443">IF($B443="","",IFERROR(IF(INDEX('Data Quality'!$U$4:$U$503,ROW()-3)=0,"PENDING",INDEX('Data Quality'!$U$4:$U$503,ROW()-3)),"PENDING"))</f>
        <v/>
      </c>
      <c r="S443" s="24" t="str">
        <f t="shared" si="103"/>
        <v/>
      </c>
      <c r="T443" s="25" t="str">
        <f t="shared" si="104"/>
        <v/>
      </c>
      <c r="U443" s="25" t="str">
        <f t="shared" si="105"/>
        <v/>
      </c>
      <c r="V443" s="26" t="str">
        <f t="shared" si="106"/>
        <v/>
      </c>
      <c r="W443" s="26" t="str">
        <f t="shared" si="107"/>
        <v/>
      </c>
      <c r="X443" s="25" t="str">
        <f t="shared" si="108"/>
        <v/>
      </c>
      <c r="Y443" s="25" t="str">
        <f t="shared" si="109"/>
        <v/>
      </c>
      <c r="Z443" s="27" t="str">
        <f>IF($B443="","",IF($AK443&lt;=Settings!$C$21,"",IFERROR(AVERAGEIFS($S$4:$S$503,$B$4:$B$503,$B443,$AK$4:$AK$503,"&gt;="&amp;$AK443-Settings!$C$21,$AK$4:$AK$503,"&lt;="&amp;$AK443-1),"")))</f>
        <v/>
      </c>
      <c r="AA443" s="28" t="str">
        <f t="shared" si="110"/>
        <v/>
      </c>
      <c r="AB443" s="25" t="str">
        <f>IF($B443="","",IF($AK443&lt;=Settings!$C$22,"",IFERROR(AVERAGEIFS($K$4:$K$503,$B$4:$B$503,$B443,$AK$4:$AK$503,"&gt;="&amp;$AK443-Settings!$C$22,$AK$4:$AK$503,"&lt;="&amp;$AK443-1),"")))</f>
        <v/>
      </c>
      <c r="AC443" s="27" t="str">
        <f t="shared" si="111"/>
        <v/>
      </c>
      <c r="AD443" s="28" t="str">
        <f>IF($B443="","",IF($AK443&lt;=Settings!$C$23,"",IFERROR($E443/SUMIFS($E$4:$E$503,$B$4:$B$503,$B443,$AK$4:$AK$503,$AK443-Settings!$C$23)-1,"")))</f>
        <v/>
      </c>
      <c r="AE443" s="28" t="str">
        <f>IF($B443="","",IF($AK443&lt;=Settings!$C$22,"",IFERROR($E443/SUMIFS($E$4:$E$503,$B$4:$B$503,$B443,$AK$4:$AK$503,$AK443-Settings!$C$22)-1,"")))</f>
        <v/>
      </c>
      <c r="AF443" s="28" t="str">
        <f t="shared" si="112"/>
        <v/>
      </c>
      <c r="AG443" s="29" t="str">
        <f>IF($B443="","",ROUND((MIN(100,100*N($I443)/Settings!$C$27)+MIN(100,100*N($K443)/Settings!$C$28)+MIN(100,100*N($J443)/Settings!$C$29))/3,1))</f>
        <v/>
      </c>
      <c r="AH443" s="29" t="str">
        <f>IF($B443="","",IF(SUM(Settings!$C$32:$C$37)=0,"",ROUND((Settings!$C$32*$AO443+Settings!$C$33*$AP443+Settings!$C$34*$AQ443+Settings!$C$35*$AR443+Settings!$C$36*$AS443+Settings!$C$37*$AT443)/SUM(Settings!$C$32:$C$37),1)))</f>
        <v/>
      </c>
      <c r="AI443" s="29" t="str">
        <f>IF($B443="","",MAX(0,100-IF(N($N443)&gt;0,0,20)-IF(AND(N($L443)=0,N($M443)=0),15,0)-IF(N($J443)&gt;0,0,10)-IF(N($K443)&gt;0,0,10)-IF($Z443&lt;&gt;"",0,15)-IF($AB443&lt;&gt;"",0,10)-IF($R443="ERROR",20,IF($R443="WARNING",10,0))))</f>
        <v/>
      </c>
      <c r="AJ443" s="30" t="str">
        <f>IF($AH443="","",IF($AH443&lt;Settings!$C$46,"Extreme Sell Pressure",IF($AH443&lt;Settings!$C$47,"Sell Pressure",IF($AH443&lt;=Settings!$C$48,"Neutral",IF($AH443&lt;=Settings!$C$49,"Buy Pressure","Extreme Buy Pressure")))))</f>
        <v/>
      </c>
      <c r="AK443" s="30" t="str">
        <f t="shared" si="113"/>
        <v/>
      </c>
      <c r="AL443" s="30" t="str">
        <f t="shared" si="114"/>
        <v/>
      </c>
      <c r="AM443" s="30" t="str">
        <f t="shared" si="115"/>
        <v/>
      </c>
      <c r="AN443" s="30" t="str">
        <f t="shared" si="116"/>
        <v/>
      </c>
      <c r="AO443" s="29" t="str">
        <f>IF($B443="","",IF(AND(N($L443)=0,N($M443)=0),50,IF(N($M443)=0,100,IF(N($L443)=0,0,MEDIAN(0,100,50+50*LN($S443)/LN(Settings!$C$40))))))</f>
        <v/>
      </c>
      <c r="AP443" s="29">
        <f>IF($AA443="",50,MEDIAN(0,100,50+$AA443*100*Settings!$C$41))</f>
        <v>50</v>
      </c>
      <c r="AQ443" s="29">
        <f>IF($H443="",50,MEDIAN(0,100,50+$H443*100*Settings!$C$42))</f>
        <v>50</v>
      </c>
      <c r="AR443" s="29">
        <f>IF(OR($AC443="",$H443=""),50,MEDIAN(0,100,50+SIGN($H443)*50*MEDIAN(0,1,($AC443-1)/Settings!$C$43)))</f>
        <v>50</v>
      </c>
      <c r="AS443" s="29">
        <f>IF(OR($V443="",$W443=""),50,MEDIAN(0,100,50+50*($V443-$W443)/Settings!$C$44))</f>
        <v>50</v>
      </c>
      <c r="AT443" s="29">
        <f t="shared" si="117"/>
        <v>50</v>
      </c>
      <c r="AU443" s="30" t="str">
        <f t="shared" si="118"/>
        <v/>
      </c>
      <c r="AV443" s="87" t="str">
        <f>IF($A443="","",IF(COUNTIFS($A$4:$A443,$A443)=1,1,0))</f>
        <v/>
      </c>
    </row>
    <row r="444" spans="1:48" x14ac:dyDescent="0.3">
      <c r="A444" s="270"/>
      <c r="B444" s="271"/>
      <c r="C444" s="272"/>
      <c r="D444" s="272"/>
      <c r="E444" s="272"/>
      <c r="F444" s="272"/>
      <c r="G444" s="272"/>
      <c r="H444" s="268" t="str">
        <f t="shared" si="102"/>
        <v/>
      </c>
      <c r="I444" s="273"/>
      <c r="J444" s="273"/>
      <c r="K444" s="273"/>
      <c r="L444" s="273"/>
      <c r="M444" s="273"/>
      <c r="N444" s="273"/>
      <c r="O444" s="271"/>
      <c r="P444" s="270"/>
      <c r="Q444" s="271"/>
      <c r="R444" s="23" t="str" cm="1">
        <f t="array" ref="R444">IF($B444="","",IFERROR(IF(INDEX('Data Quality'!$U$4:$U$503,ROW()-3)=0,"PENDING",INDEX('Data Quality'!$U$4:$U$503,ROW()-3)),"PENDING"))</f>
        <v/>
      </c>
      <c r="S444" s="24" t="str">
        <f t="shared" si="103"/>
        <v/>
      </c>
      <c r="T444" s="25" t="str">
        <f t="shared" si="104"/>
        <v/>
      </c>
      <c r="U444" s="25" t="str">
        <f t="shared" si="105"/>
        <v/>
      </c>
      <c r="V444" s="26" t="str">
        <f t="shared" si="106"/>
        <v/>
      </c>
      <c r="W444" s="26" t="str">
        <f t="shared" si="107"/>
        <v/>
      </c>
      <c r="X444" s="25" t="str">
        <f t="shared" si="108"/>
        <v/>
      </c>
      <c r="Y444" s="25" t="str">
        <f t="shared" si="109"/>
        <v/>
      </c>
      <c r="Z444" s="27" t="str">
        <f>IF($B444="","",IF($AK444&lt;=Settings!$C$21,"",IFERROR(AVERAGEIFS($S$4:$S$503,$B$4:$B$503,$B444,$AK$4:$AK$503,"&gt;="&amp;$AK444-Settings!$C$21,$AK$4:$AK$503,"&lt;="&amp;$AK444-1),"")))</f>
        <v/>
      </c>
      <c r="AA444" s="28" t="str">
        <f t="shared" si="110"/>
        <v/>
      </c>
      <c r="AB444" s="25" t="str">
        <f>IF($B444="","",IF($AK444&lt;=Settings!$C$22,"",IFERROR(AVERAGEIFS($K$4:$K$503,$B$4:$B$503,$B444,$AK$4:$AK$503,"&gt;="&amp;$AK444-Settings!$C$22,$AK$4:$AK$503,"&lt;="&amp;$AK444-1),"")))</f>
        <v/>
      </c>
      <c r="AC444" s="27" t="str">
        <f t="shared" si="111"/>
        <v/>
      </c>
      <c r="AD444" s="28" t="str">
        <f>IF($B444="","",IF($AK444&lt;=Settings!$C$23,"",IFERROR($E444/SUMIFS($E$4:$E$503,$B$4:$B$503,$B444,$AK$4:$AK$503,$AK444-Settings!$C$23)-1,"")))</f>
        <v/>
      </c>
      <c r="AE444" s="28" t="str">
        <f>IF($B444="","",IF($AK444&lt;=Settings!$C$22,"",IFERROR($E444/SUMIFS($E$4:$E$503,$B$4:$B$503,$B444,$AK$4:$AK$503,$AK444-Settings!$C$22)-1,"")))</f>
        <v/>
      </c>
      <c r="AF444" s="28" t="str">
        <f t="shared" si="112"/>
        <v/>
      </c>
      <c r="AG444" s="29" t="str">
        <f>IF($B444="","",ROUND((MIN(100,100*N($I444)/Settings!$C$27)+MIN(100,100*N($K444)/Settings!$C$28)+MIN(100,100*N($J444)/Settings!$C$29))/3,1))</f>
        <v/>
      </c>
      <c r="AH444" s="29" t="str">
        <f>IF($B444="","",IF(SUM(Settings!$C$32:$C$37)=0,"",ROUND((Settings!$C$32*$AO444+Settings!$C$33*$AP444+Settings!$C$34*$AQ444+Settings!$C$35*$AR444+Settings!$C$36*$AS444+Settings!$C$37*$AT444)/SUM(Settings!$C$32:$C$37),1)))</f>
        <v/>
      </c>
      <c r="AI444" s="29" t="str">
        <f>IF($B444="","",MAX(0,100-IF(N($N444)&gt;0,0,20)-IF(AND(N($L444)=0,N($M444)=0),15,0)-IF(N($J444)&gt;0,0,10)-IF(N($K444)&gt;0,0,10)-IF($Z444&lt;&gt;"",0,15)-IF($AB444&lt;&gt;"",0,10)-IF($R444="ERROR",20,IF($R444="WARNING",10,0))))</f>
        <v/>
      </c>
      <c r="AJ444" s="30" t="str">
        <f>IF($AH444="","",IF($AH444&lt;Settings!$C$46,"Extreme Sell Pressure",IF($AH444&lt;Settings!$C$47,"Sell Pressure",IF($AH444&lt;=Settings!$C$48,"Neutral",IF($AH444&lt;=Settings!$C$49,"Buy Pressure","Extreme Buy Pressure")))))</f>
        <v/>
      </c>
      <c r="AK444" s="30" t="str">
        <f t="shared" si="113"/>
        <v/>
      </c>
      <c r="AL444" s="30" t="str">
        <f t="shared" si="114"/>
        <v/>
      </c>
      <c r="AM444" s="30" t="str">
        <f t="shared" si="115"/>
        <v/>
      </c>
      <c r="AN444" s="30" t="str">
        <f t="shared" si="116"/>
        <v/>
      </c>
      <c r="AO444" s="29" t="str">
        <f>IF($B444="","",IF(AND(N($L444)=0,N($M444)=0),50,IF(N($M444)=0,100,IF(N($L444)=0,0,MEDIAN(0,100,50+50*LN($S444)/LN(Settings!$C$40))))))</f>
        <v/>
      </c>
      <c r="AP444" s="29">
        <f>IF($AA444="",50,MEDIAN(0,100,50+$AA444*100*Settings!$C$41))</f>
        <v>50</v>
      </c>
      <c r="AQ444" s="29">
        <f>IF($H444="",50,MEDIAN(0,100,50+$H444*100*Settings!$C$42))</f>
        <v>50</v>
      </c>
      <c r="AR444" s="29">
        <f>IF(OR($AC444="",$H444=""),50,MEDIAN(0,100,50+SIGN($H444)*50*MEDIAN(0,1,($AC444-1)/Settings!$C$43)))</f>
        <v>50</v>
      </c>
      <c r="AS444" s="29">
        <f>IF(OR($V444="",$W444=""),50,MEDIAN(0,100,50+50*($V444-$W444)/Settings!$C$44))</f>
        <v>50</v>
      </c>
      <c r="AT444" s="29">
        <f t="shared" si="117"/>
        <v>50</v>
      </c>
      <c r="AU444" s="30" t="str">
        <f t="shared" si="118"/>
        <v/>
      </c>
      <c r="AV444" s="87" t="str">
        <f>IF($A444="","",IF(COUNTIFS($A$4:$A444,$A444)=1,1,0))</f>
        <v/>
      </c>
    </row>
    <row r="445" spans="1:48" x14ac:dyDescent="0.3">
      <c r="A445" s="270"/>
      <c r="B445" s="271"/>
      <c r="C445" s="272"/>
      <c r="D445" s="272"/>
      <c r="E445" s="272"/>
      <c r="F445" s="272"/>
      <c r="G445" s="272"/>
      <c r="H445" s="268" t="str">
        <f t="shared" si="102"/>
        <v/>
      </c>
      <c r="I445" s="273"/>
      <c r="J445" s="273"/>
      <c r="K445" s="273"/>
      <c r="L445" s="273"/>
      <c r="M445" s="273"/>
      <c r="N445" s="273"/>
      <c r="O445" s="271"/>
      <c r="P445" s="270"/>
      <c r="Q445" s="271"/>
      <c r="R445" s="23" t="str" cm="1">
        <f t="array" ref="R445">IF($B445="","",IFERROR(IF(INDEX('Data Quality'!$U$4:$U$503,ROW()-3)=0,"PENDING",INDEX('Data Quality'!$U$4:$U$503,ROW()-3)),"PENDING"))</f>
        <v/>
      </c>
      <c r="S445" s="24" t="str">
        <f t="shared" si="103"/>
        <v/>
      </c>
      <c r="T445" s="25" t="str">
        <f t="shared" si="104"/>
        <v/>
      </c>
      <c r="U445" s="25" t="str">
        <f t="shared" si="105"/>
        <v/>
      </c>
      <c r="V445" s="26" t="str">
        <f t="shared" si="106"/>
        <v/>
      </c>
      <c r="W445" s="26" t="str">
        <f t="shared" si="107"/>
        <v/>
      </c>
      <c r="X445" s="25" t="str">
        <f t="shared" si="108"/>
        <v/>
      </c>
      <c r="Y445" s="25" t="str">
        <f t="shared" si="109"/>
        <v/>
      </c>
      <c r="Z445" s="27" t="str">
        <f>IF($B445="","",IF($AK445&lt;=Settings!$C$21,"",IFERROR(AVERAGEIFS($S$4:$S$503,$B$4:$B$503,$B445,$AK$4:$AK$503,"&gt;="&amp;$AK445-Settings!$C$21,$AK$4:$AK$503,"&lt;="&amp;$AK445-1),"")))</f>
        <v/>
      </c>
      <c r="AA445" s="28" t="str">
        <f t="shared" si="110"/>
        <v/>
      </c>
      <c r="AB445" s="25" t="str">
        <f>IF($B445="","",IF($AK445&lt;=Settings!$C$22,"",IFERROR(AVERAGEIFS($K$4:$K$503,$B$4:$B$503,$B445,$AK$4:$AK$503,"&gt;="&amp;$AK445-Settings!$C$22,$AK$4:$AK$503,"&lt;="&amp;$AK445-1),"")))</f>
        <v/>
      </c>
      <c r="AC445" s="27" t="str">
        <f t="shared" si="111"/>
        <v/>
      </c>
      <c r="AD445" s="28" t="str">
        <f>IF($B445="","",IF($AK445&lt;=Settings!$C$23,"",IFERROR($E445/SUMIFS($E$4:$E$503,$B$4:$B$503,$B445,$AK$4:$AK$503,$AK445-Settings!$C$23)-1,"")))</f>
        <v/>
      </c>
      <c r="AE445" s="28" t="str">
        <f>IF($B445="","",IF($AK445&lt;=Settings!$C$22,"",IFERROR($E445/SUMIFS($E$4:$E$503,$B$4:$B$503,$B445,$AK$4:$AK$503,$AK445-Settings!$C$22)-1,"")))</f>
        <v/>
      </c>
      <c r="AF445" s="28" t="str">
        <f t="shared" si="112"/>
        <v/>
      </c>
      <c r="AG445" s="29" t="str">
        <f>IF($B445="","",ROUND((MIN(100,100*N($I445)/Settings!$C$27)+MIN(100,100*N($K445)/Settings!$C$28)+MIN(100,100*N($J445)/Settings!$C$29))/3,1))</f>
        <v/>
      </c>
      <c r="AH445" s="29" t="str">
        <f>IF($B445="","",IF(SUM(Settings!$C$32:$C$37)=0,"",ROUND((Settings!$C$32*$AO445+Settings!$C$33*$AP445+Settings!$C$34*$AQ445+Settings!$C$35*$AR445+Settings!$C$36*$AS445+Settings!$C$37*$AT445)/SUM(Settings!$C$32:$C$37),1)))</f>
        <v/>
      </c>
      <c r="AI445" s="29" t="str">
        <f>IF($B445="","",MAX(0,100-IF(N($N445)&gt;0,0,20)-IF(AND(N($L445)=0,N($M445)=0),15,0)-IF(N($J445)&gt;0,0,10)-IF(N($K445)&gt;0,0,10)-IF($Z445&lt;&gt;"",0,15)-IF($AB445&lt;&gt;"",0,10)-IF($R445="ERROR",20,IF($R445="WARNING",10,0))))</f>
        <v/>
      </c>
      <c r="AJ445" s="30" t="str">
        <f>IF($AH445="","",IF($AH445&lt;Settings!$C$46,"Extreme Sell Pressure",IF($AH445&lt;Settings!$C$47,"Sell Pressure",IF($AH445&lt;=Settings!$C$48,"Neutral",IF($AH445&lt;=Settings!$C$49,"Buy Pressure","Extreme Buy Pressure")))))</f>
        <v/>
      </c>
      <c r="AK445" s="30" t="str">
        <f t="shared" si="113"/>
        <v/>
      </c>
      <c r="AL445" s="30" t="str">
        <f t="shared" si="114"/>
        <v/>
      </c>
      <c r="AM445" s="30" t="str">
        <f t="shared" si="115"/>
        <v/>
      </c>
      <c r="AN445" s="30" t="str">
        <f t="shared" si="116"/>
        <v/>
      </c>
      <c r="AO445" s="29" t="str">
        <f>IF($B445="","",IF(AND(N($L445)=0,N($M445)=0),50,IF(N($M445)=0,100,IF(N($L445)=0,0,MEDIAN(0,100,50+50*LN($S445)/LN(Settings!$C$40))))))</f>
        <v/>
      </c>
      <c r="AP445" s="29">
        <f>IF($AA445="",50,MEDIAN(0,100,50+$AA445*100*Settings!$C$41))</f>
        <v>50</v>
      </c>
      <c r="AQ445" s="29">
        <f>IF($H445="",50,MEDIAN(0,100,50+$H445*100*Settings!$C$42))</f>
        <v>50</v>
      </c>
      <c r="AR445" s="29">
        <f>IF(OR($AC445="",$H445=""),50,MEDIAN(0,100,50+SIGN($H445)*50*MEDIAN(0,1,($AC445-1)/Settings!$C$43)))</f>
        <v>50</v>
      </c>
      <c r="AS445" s="29">
        <f>IF(OR($V445="",$W445=""),50,MEDIAN(0,100,50+50*($V445-$W445)/Settings!$C$44))</f>
        <v>50</v>
      </c>
      <c r="AT445" s="29">
        <f t="shared" si="117"/>
        <v>50</v>
      </c>
      <c r="AU445" s="30" t="str">
        <f t="shared" si="118"/>
        <v/>
      </c>
      <c r="AV445" s="87" t="str">
        <f>IF($A445="","",IF(COUNTIFS($A$4:$A445,$A445)=1,1,0))</f>
        <v/>
      </c>
    </row>
    <row r="446" spans="1:48" x14ac:dyDescent="0.3">
      <c r="A446" s="270"/>
      <c r="B446" s="271"/>
      <c r="C446" s="272"/>
      <c r="D446" s="272"/>
      <c r="E446" s="272"/>
      <c r="F446" s="272"/>
      <c r="G446" s="272"/>
      <c r="H446" s="268" t="str">
        <f t="shared" si="102"/>
        <v/>
      </c>
      <c r="I446" s="273"/>
      <c r="J446" s="273"/>
      <c r="K446" s="273"/>
      <c r="L446" s="273"/>
      <c r="M446" s="273"/>
      <c r="N446" s="273"/>
      <c r="O446" s="271"/>
      <c r="P446" s="270"/>
      <c r="Q446" s="271"/>
      <c r="R446" s="23" t="str" cm="1">
        <f t="array" ref="R446">IF($B446="","",IFERROR(IF(INDEX('Data Quality'!$U$4:$U$503,ROW()-3)=0,"PENDING",INDEX('Data Quality'!$U$4:$U$503,ROW()-3)),"PENDING"))</f>
        <v/>
      </c>
      <c r="S446" s="24" t="str">
        <f t="shared" si="103"/>
        <v/>
      </c>
      <c r="T446" s="25" t="str">
        <f t="shared" si="104"/>
        <v/>
      </c>
      <c r="U446" s="25" t="str">
        <f t="shared" si="105"/>
        <v/>
      </c>
      <c r="V446" s="26" t="str">
        <f t="shared" si="106"/>
        <v/>
      </c>
      <c r="W446" s="26" t="str">
        <f t="shared" si="107"/>
        <v/>
      </c>
      <c r="X446" s="25" t="str">
        <f t="shared" si="108"/>
        <v/>
      </c>
      <c r="Y446" s="25" t="str">
        <f t="shared" si="109"/>
        <v/>
      </c>
      <c r="Z446" s="27" t="str">
        <f>IF($B446="","",IF($AK446&lt;=Settings!$C$21,"",IFERROR(AVERAGEIFS($S$4:$S$503,$B$4:$B$503,$B446,$AK$4:$AK$503,"&gt;="&amp;$AK446-Settings!$C$21,$AK$4:$AK$503,"&lt;="&amp;$AK446-1),"")))</f>
        <v/>
      </c>
      <c r="AA446" s="28" t="str">
        <f t="shared" si="110"/>
        <v/>
      </c>
      <c r="AB446" s="25" t="str">
        <f>IF($B446="","",IF($AK446&lt;=Settings!$C$22,"",IFERROR(AVERAGEIFS($K$4:$K$503,$B$4:$B$503,$B446,$AK$4:$AK$503,"&gt;="&amp;$AK446-Settings!$C$22,$AK$4:$AK$503,"&lt;="&amp;$AK446-1),"")))</f>
        <v/>
      </c>
      <c r="AC446" s="27" t="str">
        <f t="shared" si="111"/>
        <v/>
      </c>
      <c r="AD446" s="28" t="str">
        <f>IF($B446="","",IF($AK446&lt;=Settings!$C$23,"",IFERROR($E446/SUMIFS($E$4:$E$503,$B$4:$B$503,$B446,$AK$4:$AK$503,$AK446-Settings!$C$23)-1,"")))</f>
        <v/>
      </c>
      <c r="AE446" s="28" t="str">
        <f>IF($B446="","",IF($AK446&lt;=Settings!$C$22,"",IFERROR($E446/SUMIFS($E$4:$E$503,$B$4:$B$503,$B446,$AK$4:$AK$503,$AK446-Settings!$C$22)-1,"")))</f>
        <v/>
      </c>
      <c r="AF446" s="28" t="str">
        <f t="shared" si="112"/>
        <v/>
      </c>
      <c r="AG446" s="29" t="str">
        <f>IF($B446="","",ROUND((MIN(100,100*N($I446)/Settings!$C$27)+MIN(100,100*N($K446)/Settings!$C$28)+MIN(100,100*N($J446)/Settings!$C$29))/3,1))</f>
        <v/>
      </c>
      <c r="AH446" s="29" t="str">
        <f>IF($B446="","",IF(SUM(Settings!$C$32:$C$37)=0,"",ROUND((Settings!$C$32*$AO446+Settings!$C$33*$AP446+Settings!$C$34*$AQ446+Settings!$C$35*$AR446+Settings!$C$36*$AS446+Settings!$C$37*$AT446)/SUM(Settings!$C$32:$C$37),1)))</f>
        <v/>
      </c>
      <c r="AI446" s="29" t="str">
        <f>IF($B446="","",MAX(0,100-IF(N($N446)&gt;0,0,20)-IF(AND(N($L446)=0,N($M446)=0),15,0)-IF(N($J446)&gt;0,0,10)-IF(N($K446)&gt;0,0,10)-IF($Z446&lt;&gt;"",0,15)-IF($AB446&lt;&gt;"",0,10)-IF($R446="ERROR",20,IF($R446="WARNING",10,0))))</f>
        <v/>
      </c>
      <c r="AJ446" s="30" t="str">
        <f>IF($AH446="","",IF($AH446&lt;Settings!$C$46,"Extreme Sell Pressure",IF($AH446&lt;Settings!$C$47,"Sell Pressure",IF($AH446&lt;=Settings!$C$48,"Neutral",IF($AH446&lt;=Settings!$C$49,"Buy Pressure","Extreme Buy Pressure")))))</f>
        <v/>
      </c>
      <c r="AK446" s="30" t="str">
        <f t="shared" si="113"/>
        <v/>
      </c>
      <c r="AL446" s="30" t="str">
        <f t="shared" si="114"/>
        <v/>
      </c>
      <c r="AM446" s="30" t="str">
        <f t="shared" si="115"/>
        <v/>
      </c>
      <c r="AN446" s="30" t="str">
        <f t="shared" si="116"/>
        <v/>
      </c>
      <c r="AO446" s="29" t="str">
        <f>IF($B446="","",IF(AND(N($L446)=0,N($M446)=0),50,IF(N($M446)=0,100,IF(N($L446)=0,0,MEDIAN(0,100,50+50*LN($S446)/LN(Settings!$C$40))))))</f>
        <v/>
      </c>
      <c r="AP446" s="29">
        <f>IF($AA446="",50,MEDIAN(0,100,50+$AA446*100*Settings!$C$41))</f>
        <v>50</v>
      </c>
      <c r="AQ446" s="29">
        <f>IF($H446="",50,MEDIAN(0,100,50+$H446*100*Settings!$C$42))</f>
        <v>50</v>
      </c>
      <c r="AR446" s="29">
        <f>IF(OR($AC446="",$H446=""),50,MEDIAN(0,100,50+SIGN($H446)*50*MEDIAN(0,1,($AC446-1)/Settings!$C$43)))</f>
        <v>50</v>
      </c>
      <c r="AS446" s="29">
        <f>IF(OR($V446="",$W446=""),50,MEDIAN(0,100,50+50*($V446-$W446)/Settings!$C$44))</f>
        <v>50</v>
      </c>
      <c r="AT446" s="29">
        <f t="shared" si="117"/>
        <v>50</v>
      </c>
      <c r="AU446" s="30" t="str">
        <f t="shared" si="118"/>
        <v/>
      </c>
      <c r="AV446" s="87" t="str">
        <f>IF($A446="","",IF(COUNTIFS($A$4:$A446,$A446)=1,1,0))</f>
        <v/>
      </c>
    </row>
    <row r="447" spans="1:48" x14ac:dyDescent="0.3">
      <c r="A447" s="270"/>
      <c r="B447" s="271"/>
      <c r="C447" s="272"/>
      <c r="D447" s="272"/>
      <c r="E447" s="272"/>
      <c r="F447" s="272"/>
      <c r="G447" s="272"/>
      <c r="H447" s="268" t="str">
        <f t="shared" si="102"/>
        <v/>
      </c>
      <c r="I447" s="273"/>
      <c r="J447" s="273"/>
      <c r="K447" s="273"/>
      <c r="L447" s="273"/>
      <c r="M447" s="273"/>
      <c r="N447" s="273"/>
      <c r="O447" s="271"/>
      <c r="P447" s="270"/>
      <c r="Q447" s="271"/>
      <c r="R447" s="23" t="str" cm="1">
        <f t="array" ref="R447">IF($B447="","",IFERROR(IF(INDEX('Data Quality'!$U$4:$U$503,ROW()-3)=0,"PENDING",INDEX('Data Quality'!$U$4:$U$503,ROW()-3)),"PENDING"))</f>
        <v/>
      </c>
      <c r="S447" s="24" t="str">
        <f t="shared" si="103"/>
        <v/>
      </c>
      <c r="T447" s="25" t="str">
        <f t="shared" si="104"/>
        <v/>
      </c>
      <c r="U447" s="25" t="str">
        <f t="shared" si="105"/>
        <v/>
      </c>
      <c r="V447" s="26" t="str">
        <f t="shared" si="106"/>
        <v/>
      </c>
      <c r="W447" s="26" t="str">
        <f t="shared" si="107"/>
        <v/>
      </c>
      <c r="X447" s="25" t="str">
        <f t="shared" si="108"/>
        <v/>
      </c>
      <c r="Y447" s="25" t="str">
        <f t="shared" si="109"/>
        <v/>
      </c>
      <c r="Z447" s="27" t="str">
        <f>IF($B447="","",IF($AK447&lt;=Settings!$C$21,"",IFERROR(AVERAGEIFS($S$4:$S$503,$B$4:$B$503,$B447,$AK$4:$AK$503,"&gt;="&amp;$AK447-Settings!$C$21,$AK$4:$AK$503,"&lt;="&amp;$AK447-1),"")))</f>
        <v/>
      </c>
      <c r="AA447" s="28" t="str">
        <f t="shared" si="110"/>
        <v/>
      </c>
      <c r="AB447" s="25" t="str">
        <f>IF($B447="","",IF($AK447&lt;=Settings!$C$22,"",IFERROR(AVERAGEIFS($K$4:$K$503,$B$4:$B$503,$B447,$AK$4:$AK$503,"&gt;="&amp;$AK447-Settings!$C$22,$AK$4:$AK$503,"&lt;="&amp;$AK447-1),"")))</f>
        <v/>
      </c>
      <c r="AC447" s="27" t="str">
        <f t="shared" si="111"/>
        <v/>
      </c>
      <c r="AD447" s="28" t="str">
        <f>IF($B447="","",IF($AK447&lt;=Settings!$C$23,"",IFERROR($E447/SUMIFS($E$4:$E$503,$B$4:$B$503,$B447,$AK$4:$AK$503,$AK447-Settings!$C$23)-1,"")))</f>
        <v/>
      </c>
      <c r="AE447" s="28" t="str">
        <f>IF($B447="","",IF($AK447&lt;=Settings!$C$22,"",IFERROR($E447/SUMIFS($E$4:$E$503,$B$4:$B$503,$B447,$AK$4:$AK$503,$AK447-Settings!$C$22)-1,"")))</f>
        <v/>
      </c>
      <c r="AF447" s="28" t="str">
        <f t="shared" si="112"/>
        <v/>
      </c>
      <c r="AG447" s="29" t="str">
        <f>IF($B447="","",ROUND((MIN(100,100*N($I447)/Settings!$C$27)+MIN(100,100*N($K447)/Settings!$C$28)+MIN(100,100*N($J447)/Settings!$C$29))/3,1))</f>
        <v/>
      </c>
      <c r="AH447" s="29" t="str">
        <f>IF($B447="","",IF(SUM(Settings!$C$32:$C$37)=0,"",ROUND((Settings!$C$32*$AO447+Settings!$C$33*$AP447+Settings!$C$34*$AQ447+Settings!$C$35*$AR447+Settings!$C$36*$AS447+Settings!$C$37*$AT447)/SUM(Settings!$C$32:$C$37),1)))</f>
        <v/>
      </c>
      <c r="AI447" s="29" t="str">
        <f>IF($B447="","",MAX(0,100-IF(N($N447)&gt;0,0,20)-IF(AND(N($L447)=0,N($M447)=0),15,0)-IF(N($J447)&gt;0,0,10)-IF(N($K447)&gt;0,0,10)-IF($Z447&lt;&gt;"",0,15)-IF($AB447&lt;&gt;"",0,10)-IF($R447="ERROR",20,IF($R447="WARNING",10,0))))</f>
        <v/>
      </c>
      <c r="AJ447" s="30" t="str">
        <f>IF($AH447="","",IF($AH447&lt;Settings!$C$46,"Extreme Sell Pressure",IF($AH447&lt;Settings!$C$47,"Sell Pressure",IF($AH447&lt;=Settings!$C$48,"Neutral",IF($AH447&lt;=Settings!$C$49,"Buy Pressure","Extreme Buy Pressure")))))</f>
        <v/>
      </c>
      <c r="AK447" s="30" t="str">
        <f t="shared" si="113"/>
        <v/>
      </c>
      <c r="AL447" s="30" t="str">
        <f t="shared" si="114"/>
        <v/>
      </c>
      <c r="AM447" s="30" t="str">
        <f t="shared" si="115"/>
        <v/>
      </c>
      <c r="AN447" s="30" t="str">
        <f t="shared" si="116"/>
        <v/>
      </c>
      <c r="AO447" s="29" t="str">
        <f>IF($B447="","",IF(AND(N($L447)=0,N($M447)=0),50,IF(N($M447)=0,100,IF(N($L447)=0,0,MEDIAN(0,100,50+50*LN($S447)/LN(Settings!$C$40))))))</f>
        <v/>
      </c>
      <c r="AP447" s="29">
        <f>IF($AA447="",50,MEDIAN(0,100,50+$AA447*100*Settings!$C$41))</f>
        <v>50</v>
      </c>
      <c r="AQ447" s="29">
        <f>IF($H447="",50,MEDIAN(0,100,50+$H447*100*Settings!$C$42))</f>
        <v>50</v>
      </c>
      <c r="AR447" s="29">
        <f>IF(OR($AC447="",$H447=""),50,MEDIAN(0,100,50+SIGN($H447)*50*MEDIAN(0,1,($AC447-1)/Settings!$C$43)))</f>
        <v>50</v>
      </c>
      <c r="AS447" s="29">
        <f>IF(OR($V447="",$W447=""),50,MEDIAN(0,100,50+50*($V447-$W447)/Settings!$C$44))</f>
        <v>50</v>
      </c>
      <c r="AT447" s="29">
        <f t="shared" si="117"/>
        <v>50</v>
      </c>
      <c r="AU447" s="30" t="str">
        <f t="shared" si="118"/>
        <v/>
      </c>
      <c r="AV447" s="87" t="str">
        <f>IF($A447="","",IF(COUNTIFS($A$4:$A447,$A447)=1,1,0))</f>
        <v/>
      </c>
    </row>
    <row r="448" spans="1:48" x14ac:dyDescent="0.3">
      <c r="A448" s="270"/>
      <c r="B448" s="271"/>
      <c r="C448" s="272"/>
      <c r="D448" s="272"/>
      <c r="E448" s="272"/>
      <c r="F448" s="272"/>
      <c r="G448" s="272"/>
      <c r="H448" s="268" t="str">
        <f t="shared" si="102"/>
        <v/>
      </c>
      <c r="I448" s="273"/>
      <c r="J448" s="273"/>
      <c r="K448" s="273"/>
      <c r="L448" s="273"/>
      <c r="M448" s="273"/>
      <c r="N448" s="273"/>
      <c r="O448" s="271"/>
      <c r="P448" s="270"/>
      <c r="Q448" s="271"/>
      <c r="R448" s="23" t="str" cm="1">
        <f t="array" ref="R448">IF($B448="","",IFERROR(IF(INDEX('Data Quality'!$U$4:$U$503,ROW()-3)=0,"PENDING",INDEX('Data Quality'!$U$4:$U$503,ROW()-3)),"PENDING"))</f>
        <v/>
      </c>
      <c r="S448" s="24" t="str">
        <f t="shared" si="103"/>
        <v/>
      </c>
      <c r="T448" s="25" t="str">
        <f t="shared" si="104"/>
        <v/>
      </c>
      <c r="U448" s="25" t="str">
        <f t="shared" si="105"/>
        <v/>
      </c>
      <c r="V448" s="26" t="str">
        <f t="shared" si="106"/>
        <v/>
      </c>
      <c r="W448" s="26" t="str">
        <f t="shared" si="107"/>
        <v/>
      </c>
      <c r="X448" s="25" t="str">
        <f t="shared" si="108"/>
        <v/>
      </c>
      <c r="Y448" s="25" t="str">
        <f t="shared" si="109"/>
        <v/>
      </c>
      <c r="Z448" s="27" t="str">
        <f>IF($B448="","",IF($AK448&lt;=Settings!$C$21,"",IFERROR(AVERAGEIFS($S$4:$S$503,$B$4:$B$503,$B448,$AK$4:$AK$503,"&gt;="&amp;$AK448-Settings!$C$21,$AK$4:$AK$503,"&lt;="&amp;$AK448-1),"")))</f>
        <v/>
      </c>
      <c r="AA448" s="28" t="str">
        <f t="shared" si="110"/>
        <v/>
      </c>
      <c r="AB448" s="25" t="str">
        <f>IF($B448="","",IF($AK448&lt;=Settings!$C$22,"",IFERROR(AVERAGEIFS($K$4:$K$503,$B$4:$B$503,$B448,$AK$4:$AK$503,"&gt;="&amp;$AK448-Settings!$C$22,$AK$4:$AK$503,"&lt;="&amp;$AK448-1),"")))</f>
        <v/>
      </c>
      <c r="AC448" s="27" t="str">
        <f t="shared" si="111"/>
        <v/>
      </c>
      <c r="AD448" s="28" t="str">
        <f>IF($B448="","",IF($AK448&lt;=Settings!$C$23,"",IFERROR($E448/SUMIFS($E$4:$E$503,$B$4:$B$503,$B448,$AK$4:$AK$503,$AK448-Settings!$C$23)-1,"")))</f>
        <v/>
      </c>
      <c r="AE448" s="28" t="str">
        <f>IF($B448="","",IF($AK448&lt;=Settings!$C$22,"",IFERROR($E448/SUMIFS($E$4:$E$503,$B$4:$B$503,$B448,$AK$4:$AK$503,$AK448-Settings!$C$22)-1,"")))</f>
        <v/>
      </c>
      <c r="AF448" s="28" t="str">
        <f t="shared" si="112"/>
        <v/>
      </c>
      <c r="AG448" s="29" t="str">
        <f>IF($B448="","",ROUND((MIN(100,100*N($I448)/Settings!$C$27)+MIN(100,100*N($K448)/Settings!$C$28)+MIN(100,100*N($J448)/Settings!$C$29))/3,1))</f>
        <v/>
      </c>
      <c r="AH448" s="29" t="str">
        <f>IF($B448="","",IF(SUM(Settings!$C$32:$C$37)=0,"",ROUND((Settings!$C$32*$AO448+Settings!$C$33*$AP448+Settings!$C$34*$AQ448+Settings!$C$35*$AR448+Settings!$C$36*$AS448+Settings!$C$37*$AT448)/SUM(Settings!$C$32:$C$37),1)))</f>
        <v/>
      </c>
      <c r="AI448" s="29" t="str">
        <f>IF($B448="","",MAX(0,100-IF(N($N448)&gt;0,0,20)-IF(AND(N($L448)=0,N($M448)=0),15,0)-IF(N($J448)&gt;0,0,10)-IF(N($K448)&gt;0,0,10)-IF($Z448&lt;&gt;"",0,15)-IF($AB448&lt;&gt;"",0,10)-IF($R448="ERROR",20,IF($R448="WARNING",10,0))))</f>
        <v/>
      </c>
      <c r="AJ448" s="30" t="str">
        <f>IF($AH448="","",IF($AH448&lt;Settings!$C$46,"Extreme Sell Pressure",IF($AH448&lt;Settings!$C$47,"Sell Pressure",IF($AH448&lt;=Settings!$C$48,"Neutral",IF($AH448&lt;=Settings!$C$49,"Buy Pressure","Extreme Buy Pressure")))))</f>
        <v/>
      </c>
      <c r="AK448" s="30" t="str">
        <f t="shared" si="113"/>
        <v/>
      </c>
      <c r="AL448" s="30" t="str">
        <f t="shared" si="114"/>
        <v/>
      </c>
      <c r="AM448" s="30" t="str">
        <f t="shared" si="115"/>
        <v/>
      </c>
      <c r="AN448" s="30" t="str">
        <f t="shared" si="116"/>
        <v/>
      </c>
      <c r="AO448" s="29" t="str">
        <f>IF($B448="","",IF(AND(N($L448)=0,N($M448)=0),50,IF(N($M448)=0,100,IF(N($L448)=0,0,MEDIAN(0,100,50+50*LN($S448)/LN(Settings!$C$40))))))</f>
        <v/>
      </c>
      <c r="AP448" s="29">
        <f>IF($AA448="",50,MEDIAN(0,100,50+$AA448*100*Settings!$C$41))</f>
        <v>50</v>
      </c>
      <c r="AQ448" s="29">
        <f>IF($H448="",50,MEDIAN(0,100,50+$H448*100*Settings!$C$42))</f>
        <v>50</v>
      </c>
      <c r="AR448" s="29">
        <f>IF(OR($AC448="",$H448=""),50,MEDIAN(0,100,50+SIGN($H448)*50*MEDIAN(0,1,($AC448-1)/Settings!$C$43)))</f>
        <v>50</v>
      </c>
      <c r="AS448" s="29">
        <f>IF(OR($V448="",$W448=""),50,MEDIAN(0,100,50+50*($V448-$W448)/Settings!$C$44))</f>
        <v>50</v>
      </c>
      <c r="AT448" s="29">
        <f t="shared" si="117"/>
        <v>50</v>
      </c>
      <c r="AU448" s="30" t="str">
        <f t="shared" si="118"/>
        <v/>
      </c>
      <c r="AV448" s="87" t="str">
        <f>IF($A448="","",IF(COUNTIFS($A$4:$A448,$A448)=1,1,0))</f>
        <v/>
      </c>
    </row>
    <row r="449" spans="1:48" x14ac:dyDescent="0.3">
      <c r="A449" s="270"/>
      <c r="B449" s="271"/>
      <c r="C449" s="272"/>
      <c r="D449" s="272"/>
      <c r="E449" s="272"/>
      <c r="F449" s="272"/>
      <c r="G449" s="272"/>
      <c r="H449" s="268" t="str">
        <f t="shared" si="102"/>
        <v/>
      </c>
      <c r="I449" s="273"/>
      <c r="J449" s="273"/>
      <c r="K449" s="273"/>
      <c r="L449" s="273"/>
      <c r="M449" s="273"/>
      <c r="N449" s="273"/>
      <c r="O449" s="271"/>
      <c r="P449" s="270"/>
      <c r="Q449" s="271"/>
      <c r="R449" s="23" t="str" cm="1">
        <f t="array" ref="R449">IF($B449="","",IFERROR(IF(INDEX('Data Quality'!$U$4:$U$503,ROW()-3)=0,"PENDING",INDEX('Data Quality'!$U$4:$U$503,ROW()-3)),"PENDING"))</f>
        <v/>
      </c>
      <c r="S449" s="24" t="str">
        <f t="shared" si="103"/>
        <v/>
      </c>
      <c r="T449" s="25" t="str">
        <f t="shared" si="104"/>
        <v/>
      </c>
      <c r="U449" s="25" t="str">
        <f t="shared" si="105"/>
        <v/>
      </c>
      <c r="V449" s="26" t="str">
        <f t="shared" si="106"/>
        <v/>
      </c>
      <c r="W449" s="26" t="str">
        <f t="shared" si="107"/>
        <v/>
      </c>
      <c r="X449" s="25" t="str">
        <f t="shared" si="108"/>
        <v/>
      </c>
      <c r="Y449" s="25" t="str">
        <f t="shared" si="109"/>
        <v/>
      </c>
      <c r="Z449" s="27" t="str">
        <f>IF($B449="","",IF($AK449&lt;=Settings!$C$21,"",IFERROR(AVERAGEIFS($S$4:$S$503,$B$4:$B$503,$B449,$AK$4:$AK$503,"&gt;="&amp;$AK449-Settings!$C$21,$AK$4:$AK$503,"&lt;="&amp;$AK449-1),"")))</f>
        <v/>
      </c>
      <c r="AA449" s="28" t="str">
        <f t="shared" si="110"/>
        <v/>
      </c>
      <c r="AB449" s="25" t="str">
        <f>IF($B449="","",IF($AK449&lt;=Settings!$C$22,"",IFERROR(AVERAGEIFS($K$4:$K$503,$B$4:$B$503,$B449,$AK$4:$AK$503,"&gt;="&amp;$AK449-Settings!$C$22,$AK$4:$AK$503,"&lt;="&amp;$AK449-1),"")))</f>
        <v/>
      </c>
      <c r="AC449" s="27" t="str">
        <f t="shared" si="111"/>
        <v/>
      </c>
      <c r="AD449" s="28" t="str">
        <f>IF($B449="","",IF($AK449&lt;=Settings!$C$23,"",IFERROR($E449/SUMIFS($E$4:$E$503,$B$4:$B$503,$B449,$AK$4:$AK$503,$AK449-Settings!$C$23)-1,"")))</f>
        <v/>
      </c>
      <c r="AE449" s="28" t="str">
        <f>IF($B449="","",IF($AK449&lt;=Settings!$C$22,"",IFERROR($E449/SUMIFS($E$4:$E$503,$B$4:$B$503,$B449,$AK$4:$AK$503,$AK449-Settings!$C$22)-1,"")))</f>
        <v/>
      </c>
      <c r="AF449" s="28" t="str">
        <f t="shared" si="112"/>
        <v/>
      </c>
      <c r="AG449" s="29" t="str">
        <f>IF($B449="","",ROUND((MIN(100,100*N($I449)/Settings!$C$27)+MIN(100,100*N($K449)/Settings!$C$28)+MIN(100,100*N($J449)/Settings!$C$29))/3,1))</f>
        <v/>
      </c>
      <c r="AH449" s="29" t="str">
        <f>IF($B449="","",IF(SUM(Settings!$C$32:$C$37)=0,"",ROUND((Settings!$C$32*$AO449+Settings!$C$33*$AP449+Settings!$C$34*$AQ449+Settings!$C$35*$AR449+Settings!$C$36*$AS449+Settings!$C$37*$AT449)/SUM(Settings!$C$32:$C$37),1)))</f>
        <v/>
      </c>
      <c r="AI449" s="29" t="str">
        <f>IF($B449="","",MAX(0,100-IF(N($N449)&gt;0,0,20)-IF(AND(N($L449)=0,N($M449)=0),15,0)-IF(N($J449)&gt;0,0,10)-IF(N($K449)&gt;0,0,10)-IF($Z449&lt;&gt;"",0,15)-IF($AB449&lt;&gt;"",0,10)-IF($R449="ERROR",20,IF($R449="WARNING",10,0))))</f>
        <v/>
      </c>
      <c r="AJ449" s="30" t="str">
        <f>IF($AH449="","",IF($AH449&lt;Settings!$C$46,"Extreme Sell Pressure",IF($AH449&lt;Settings!$C$47,"Sell Pressure",IF($AH449&lt;=Settings!$C$48,"Neutral",IF($AH449&lt;=Settings!$C$49,"Buy Pressure","Extreme Buy Pressure")))))</f>
        <v/>
      </c>
      <c r="AK449" s="30" t="str">
        <f t="shared" si="113"/>
        <v/>
      </c>
      <c r="AL449" s="30" t="str">
        <f t="shared" si="114"/>
        <v/>
      </c>
      <c r="AM449" s="30" t="str">
        <f t="shared" si="115"/>
        <v/>
      </c>
      <c r="AN449" s="30" t="str">
        <f t="shared" si="116"/>
        <v/>
      </c>
      <c r="AO449" s="29" t="str">
        <f>IF($B449="","",IF(AND(N($L449)=0,N($M449)=0),50,IF(N($M449)=0,100,IF(N($L449)=0,0,MEDIAN(0,100,50+50*LN($S449)/LN(Settings!$C$40))))))</f>
        <v/>
      </c>
      <c r="AP449" s="29">
        <f>IF($AA449="",50,MEDIAN(0,100,50+$AA449*100*Settings!$C$41))</f>
        <v>50</v>
      </c>
      <c r="AQ449" s="29">
        <f>IF($H449="",50,MEDIAN(0,100,50+$H449*100*Settings!$C$42))</f>
        <v>50</v>
      </c>
      <c r="AR449" s="29">
        <f>IF(OR($AC449="",$H449=""),50,MEDIAN(0,100,50+SIGN($H449)*50*MEDIAN(0,1,($AC449-1)/Settings!$C$43)))</f>
        <v>50</v>
      </c>
      <c r="AS449" s="29">
        <f>IF(OR($V449="",$W449=""),50,MEDIAN(0,100,50+50*($V449-$W449)/Settings!$C$44))</f>
        <v>50</v>
      </c>
      <c r="AT449" s="29">
        <f t="shared" si="117"/>
        <v>50</v>
      </c>
      <c r="AU449" s="30" t="str">
        <f t="shared" si="118"/>
        <v/>
      </c>
      <c r="AV449" s="87" t="str">
        <f>IF($A449="","",IF(COUNTIFS($A$4:$A449,$A449)=1,1,0))</f>
        <v/>
      </c>
    </row>
    <row r="450" spans="1:48" x14ac:dyDescent="0.3">
      <c r="A450" s="270"/>
      <c r="B450" s="271"/>
      <c r="C450" s="272"/>
      <c r="D450" s="272"/>
      <c r="E450" s="272"/>
      <c r="F450" s="272"/>
      <c r="G450" s="272"/>
      <c r="H450" s="268" t="str">
        <f t="shared" si="102"/>
        <v/>
      </c>
      <c r="I450" s="273"/>
      <c r="J450" s="273"/>
      <c r="K450" s="273"/>
      <c r="L450" s="273"/>
      <c r="M450" s="273"/>
      <c r="N450" s="273"/>
      <c r="O450" s="271"/>
      <c r="P450" s="270"/>
      <c r="Q450" s="271"/>
      <c r="R450" s="23" t="str" cm="1">
        <f t="array" ref="R450">IF($B450="","",IFERROR(IF(INDEX('Data Quality'!$U$4:$U$503,ROW()-3)=0,"PENDING",INDEX('Data Quality'!$U$4:$U$503,ROW()-3)),"PENDING"))</f>
        <v/>
      </c>
      <c r="S450" s="24" t="str">
        <f t="shared" si="103"/>
        <v/>
      </c>
      <c r="T450" s="25" t="str">
        <f t="shared" si="104"/>
        <v/>
      </c>
      <c r="U450" s="25" t="str">
        <f t="shared" si="105"/>
        <v/>
      </c>
      <c r="V450" s="26" t="str">
        <f t="shared" si="106"/>
        <v/>
      </c>
      <c r="W450" s="26" t="str">
        <f t="shared" si="107"/>
        <v/>
      </c>
      <c r="X450" s="25" t="str">
        <f t="shared" si="108"/>
        <v/>
      </c>
      <c r="Y450" s="25" t="str">
        <f t="shared" si="109"/>
        <v/>
      </c>
      <c r="Z450" s="27" t="str">
        <f>IF($B450="","",IF($AK450&lt;=Settings!$C$21,"",IFERROR(AVERAGEIFS($S$4:$S$503,$B$4:$B$503,$B450,$AK$4:$AK$503,"&gt;="&amp;$AK450-Settings!$C$21,$AK$4:$AK$503,"&lt;="&amp;$AK450-1),"")))</f>
        <v/>
      </c>
      <c r="AA450" s="28" t="str">
        <f t="shared" si="110"/>
        <v/>
      </c>
      <c r="AB450" s="25" t="str">
        <f>IF($B450="","",IF($AK450&lt;=Settings!$C$22,"",IFERROR(AVERAGEIFS($K$4:$K$503,$B$4:$B$503,$B450,$AK$4:$AK$503,"&gt;="&amp;$AK450-Settings!$C$22,$AK$4:$AK$503,"&lt;="&amp;$AK450-1),"")))</f>
        <v/>
      </c>
      <c r="AC450" s="27" t="str">
        <f t="shared" si="111"/>
        <v/>
      </c>
      <c r="AD450" s="28" t="str">
        <f>IF($B450="","",IF($AK450&lt;=Settings!$C$23,"",IFERROR($E450/SUMIFS($E$4:$E$503,$B$4:$B$503,$B450,$AK$4:$AK$503,$AK450-Settings!$C$23)-1,"")))</f>
        <v/>
      </c>
      <c r="AE450" s="28" t="str">
        <f>IF($B450="","",IF($AK450&lt;=Settings!$C$22,"",IFERROR($E450/SUMIFS($E$4:$E$503,$B$4:$B$503,$B450,$AK$4:$AK$503,$AK450-Settings!$C$22)-1,"")))</f>
        <v/>
      </c>
      <c r="AF450" s="28" t="str">
        <f t="shared" si="112"/>
        <v/>
      </c>
      <c r="AG450" s="29" t="str">
        <f>IF($B450="","",ROUND((MIN(100,100*N($I450)/Settings!$C$27)+MIN(100,100*N($K450)/Settings!$C$28)+MIN(100,100*N($J450)/Settings!$C$29))/3,1))</f>
        <v/>
      </c>
      <c r="AH450" s="29" t="str">
        <f>IF($B450="","",IF(SUM(Settings!$C$32:$C$37)=0,"",ROUND((Settings!$C$32*$AO450+Settings!$C$33*$AP450+Settings!$C$34*$AQ450+Settings!$C$35*$AR450+Settings!$C$36*$AS450+Settings!$C$37*$AT450)/SUM(Settings!$C$32:$C$37),1)))</f>
        <v/>
      </c>
      <c r="AI450" s="29" t="str">
        <f>IF($B450="","",MAX(0,100-IF(N($N450)&gt;0,0,20)-IF(AND(N($L450)=0,N($M450)=0),15,0)-IF(N($J450)&gt;0,0,10)-IF(N($K450)&gt;0,0,10)-IF($Z450&lt;&gt;"",0,15)-IF($AB450&lt;&gt;"",0,10)-IF($R450="ERROR",20,IF($R450="WARNING",10,0))))</f>
        <v/>
      </c>
      <c r="AJ450" s="30" t="str">
        <f>IF($AH450="","",IF($AH450&lt;Settings!$C$46,"Extreme Sell Pressure",IF($AH450&lt;Settings!$C$47,"Sell Pressure",IF($AH450&lt;=Settings!$C$48,"Neutral",IF($AH450&lt;=Settings!$C$49,"Buy Pressure","Extreme Buy Pressure")))))</f>
        <v/>
      </c>
      <c r="AK450" s="30" t="str">
        <f t="shared" si="113"/>
        <v/>
      </c>
      <c r="AL450" s="30" t="str">
        <f t="shared" si="114"/>
        <v/>
      </c>
      <c r="AM450" s="30" t="str">
        <f t="shared" si="115"/>
        <v/>
      </c>
      <c r="AN450" s="30" t="str">
        <f t="shared" si="116"/>
        <v/>
      </c>
      <c r="AO450" s="29" t="str">
        <f>IF($B450="","",IF(AND(N($L450)=0,N($M450)=0),50,IF(N($M450)=0,100,IF(N($L450)=0,0,MEDIAN(0,100,50+50*LN($S450)/LN(Settings!$C$40))))))</f>
        <v/>
      </c>
      <c r="AP450" s="29">
        <f>IF($AA450="",50,MEDIAN(0,100,50+$AA450*100*Settings!$C$41))</f>
        <v>50</v>
      </c>
      <c r="AQ450" s="29">
        <f>IF($H450="",50,MEDIAN(0,100,50+$H450*100*Settings!$C$42))</f>
        <v>50</v>
      </c>
      <c r="AR450" s="29">
        <f>IF(OR($AC450="",$H450=""),50,MEDIAN(0,100,50+SIGN($H450)*50*MEDIAN(0,1,($AC450-1)/Settings!$C$43)))</f>
        <v>50</v>
      </c>
      <c r="AS450" s="29">
        <f>IF(OR($V450="",$W450=""),50,MEDIAN(0,100,50+50*($V450-$W450)/Settings!$C$44))</f>
        <v>50</v>
      </c>
      <c r="AT450" s="29">
        <f t="shared" si="117"/>
        <v>50</v>
      </c>
      <c r="AU450" s="30" t="str">
        <f t="shared" si="118"/>
        <v/>
      </c>
      <c r="AV450" s="87" t="str">
        <f>IF($A450="","",IF(COUNTIFS($A$4:$A450,$A450)=1,1,0))</f>
        <v/>
      </c>
    </row>
    <row r="451" spans="1:48" x14ac:dyDescent="0.3">
      <c r="A451" s="270"/>
      <c r="B451" s="271"/>
      <c r="C451" s="272"/>
      <c r="D451" s="272"/>
      <c r="E451" s="272"/>
      <c r="F451" s="272"/>
      <c r="G451" s="272"/>
      <c r="H451" s="268" t="str">
        <f t="shared" si="102"/>
        <v/>
      </c>
      <c r="I451" s="273"/>
      <c r="J451" s="273"/>
      <c r="K451" s="273"/>
      <c r="L451" s="273"/>
      <c r="M451" s="273"/>
      <c r="N451" s="273"/>
      <c r="O451" s="271"/>
      <c r="P451" s="270"/>
      <c r="Q451" s="271"/>
      <c r="R451" s="23" t="str" cm="1">
        <f t="array" ref="R451">IF($B451="","",IFERROR(IF(INDEX('Data Quality'!$U$4:$U$503,ROW()-3)=0,"PENDING",INDEX('Data Quality'!$U$4:$U$503,ROW()-3)),"PENDING"))</f>
        <v/>
      </c>
      <c r="S451" s="24" t="str">
        <f t="shared" si="103"/>
        <v/>
      </c>
      <c r="T451" s="25" t="str">
        <f t="shared" si="104"/>
        <v/>
      </c>
      <c r="U451" s="25" t="str">
        <f t="shared" si="105"/>
        <v/>
      </c>
      <c r="V451" s="26" t="str">
        <f t="shared" si="106"/>
        <v/>
      </c>
      <c r="W451" s="26" t="str">
        <f t="shared" si="107"/>
        <v/>
      </c>
      <c r="X451" s="25" t="str">
        <f t="shared" si="108"/>
        <v/>
      </c>
      <c r="Y451" s="25" t="str">
        <f t="shared" si="109"/>
        <v/>
      </c>
      <c r="Z451" s="27" t="str">
        <f>IF($B451="","",IF($AK451&lt;=Settings!$C$21,"",IFERROR(AVERAGEIFS($S$4:$S$503,$B$4:$B$503,$B451,$AK$4:$AK$503,"&gt;="&amp;$AK451-Settings!$C$21,$AK$4:$AK$503,"&lt;="&amp;$AK451-1),"")))</f>
        <v/>
      </c>
      <c r="AA451" s="28" t="str">
        <f t="shared" si="110"/>
        <v/>
      </c>
      <c r="AB451" s="25" t="str">
        <f>IF($B451="","",IF($AK451&lt;=Settings!$C$22,"",IFERROR(AVERAGEIFS($K$4:$K$503,$B$4:$B$503,$B451,$AK$4:$AK$503,"&gt;="&amp;$AK451-Settings!$C$22,$AK$4:$AK$503,"&lt;="&amp;$AK451-1),"")))</f>
        <v/>
      </c>
      <c r="AC451" s="27" t="str">
        <f t="shared" si="111"/>
        <v/>
      </c>
      <c r="AD451" s="28" t="str">
        <f>IF($B451="","",IF($AK451&lt;=Settings!$C$23,"",IFERROR($E451/SUMIFS($E$4:$E$503,$B$4:$B$503,$B451,$AK$4:$AK$503,$AK451-Settings!$C$23)-1,"")))</f>
        <v/>
      </c>
      <c r="AE451" s="28" t="str">
        <f>IF($B451="","",IF($AK451&lt;=Settings!$C$22,"",IFERROR($E451/SUMIFS($E$4:$E$503,$B$4:$B$503,$B451,$AK$4:$AK$503,$AK451-Settings!$C$22)-1,"")))</f>
        <v/>
      </c>
      <c r="AF451" s="28" t="str">
        <f t="shared" si="112"/>
        <v/>
      </c>
      <c r="AG451" s="29" t="str">
        <f>IF($B451="","",ROUND((MIN(100,100*N($I451)/Settings!$C$27)+MIN(100,100*N($K451)/Settings!$C$28)+MIN(100,100*N($J451)/Settings!$C$29))/3,1))</f>
        <v/>
      </c>
      <c r="AH451" s="29" t="str">
        <f>IF($B451="","",IF(SUM(Settings!$C$32:$C$37)=0,"",ROUND((Settings!$C$32*$AO451+Settings!$C$33*$AP451+Settings!$C$34*$AQ451+Settings!$C$35*$AR451+Settings!$C$36*$AS451+Settings!$C$37*$AT451)/SUM(Settings!$C$32:$C$37),1)))</f>
        <v/>
      </c>
      <c r="AI451" s="29" t="str">
        <f>IF($B451="","",MAX(0,100-IF(N($N451)&gt;0,0,20)-IF(AND(N($L451)=0,N($M451)=0),15,0)-IF(N($J451)&gt;0,0,10)-IF(N($K451)&gt;0,0,10)-IF($Z451&lt;&gt;"",0,15)-IF($AB451&lt;&gt;"",0,10)-IF($R451="ERROR",20,IF($R451="WARNING",10,0))))</f>
        <v/>
      </c>
      <c r="AJ451" s="30" t="str">
        <f>IF($AH451="","",IF($AH451&lt;Settings!$C$46,"Extreme Sell Pressure",IF($AH451&lt;Settings!$C$47,"Sell Pressure",IF($AH451&lt;=Settings!$C$48,"Neutral",IF($AH451&lt;=Settings!$C$49,"Buy Pressure","Extreme Buy Pressure")))))</f>
        <v/>
      </c>
      <c r="AK451" s="30" t="str">
        <f t="shared" si="113"/>
        <v/>
      </c>
      <c r="AL451" s="30" t="str">
        <f t="shared" si="114"/>
        <v/>
      </c>
      <c r="AM451" s="30" t="str">
        <f t="shared" si="115"/>
        <v/>
      </c>
      <c r="AN451" s="30" t="str">
        <f t="shared" si="116"/>
        <v/>
      </c>
      <c r="AO451" s="29" t="str">
        <f>IF($B451="","",IF(AND(N($L451)=0,N($M451)=0),50,IF(N($M451)=0,100,IF(N($L451)=0,0,MEDIAN(0,100,50+50*LN($S451)/LN(Settings!$C$40))))))</f>
        <v/>
      </c>
      <c r="AP451" s="29">
        <f>IF($AA451="",50,MEDIAN(0,100,50+$AA451*100*Settings!$C$41))</f>
        <v>50</v>
      </c>
      <c r="AQ451" s="29">
        <f>IF($H451="",50,MEDIAN(0,100,50+$H451*100*Settings!$C$42))</f>
        <v>50</v>
      </c>
      <c r="AR451" s="29">
        <f>IF(OR($AC451="",$H451=""),50,MEDIAN(0,100,50+SIGN($H451)*50*MEDIAN(0,1,($AC451-1)/Settings!$C$43)))</f>
        <v>50</v>
      </c>
      <c r="AS451" s="29">
        <f>IF(OR($V451="",$W451=""),50,MEDIAN(0,100,50+50*($V451-$W451)/Settings!$C$44))</f>
        <v>50</v>
      </c>
      <c r="AT451" s="29">
        <f t="shared" si="117"/>
        <v>50</v>
      </c>
      <c r="AU451" s="30" t="str">
        <f t="shared" si="118"/>
        <v/>
      </c>
      <c r="AV451" s="87" t="str">
        <f>IF($A451="","",IF(COUNTIFS($A$4:$A451,$A451)=1,1,0))</f>
        <v/>
      </c>
    </row>
    <row r="452" spans="1:48" x14ac:dyDescent="0.3">
      <c r="A452" s="270"/>
      <c r="B452" s="271"/>
      <c r="C452" s="272"/>
      <c r="D452" s="272"/>
      <c r="E452" s="272"/>
      <c r="F452" s="272"/>
      <c r="G452" s="272"/>
      <c r="H452" s="268" t="str">
        <f t="shared" si="102"/>
        <v/>
      </c>
      <c r="I452" s="273"/>
      <c r="J452" s="273"/>
      <c r="K452" s="273"/>
      <c r="L452" s="273"/>
      <c r="M452" s="273"/>
      <c r="N452" s="273"/>
      <c r="O452" s="271"/>
      <c r="P452" s="270"/>
      <c r="Q452" s="271"/>
      <c r="R452" s="23" t="str" cm="1">
        <f t="array" ref="R452">IF($B452="","",IFERROR(IF(INDEX('Data Quality'!$U$4:$U$503,ROW()-3)=0,"PENDING",INDEX('Data Quality'!$U$4:$U$503,ROW()-3)),"PENDING"))</f>
        <v/>
      </c>
      <c r="S452" s="24" t="str">
        <f t="shared" si="103"/>
        <v/>
      </c>
      <c r="T452" s="25" t="str">
        <f t="shared" si="104"/>
        <v/>
      </c>
      <c r="U452" s="25" t="str">
        <f t="shared" si="105"/>
        <v/>
      </c>
      <c r="V452" s="26" t="str">
        <f t="shared" si="106"/>
        <v/>
      </c>
      <c r="W452" s="26" t="str">
        <f t="shared" si="107"/>
        <v/>
      </c>
      <c r="X452" s="25" t="str">
        <f t="shared" si="108"/>
        <v/>
      </c>
      <c r="Y452" s="25" t="str">
        <f t="shared" si="109"/>
        <v/>
      </c>
      <c r="Z452" s="27" t="str">
        <f>IF($B452="","",IF($AK452&lt;=Settings!$C$21,"",IFERROR(AVERAGEIFS($S$4:$S$503,$B$4:$B$503,$B452,$AK$4:$AK$503,"&gt;="&amp;$AK452-Settings!$C$21,$AK$4:$AK$503,"&lt;="&amp;$AK452-1),"")))</f>
        <v/>
      </c>
      <c r="AA452" s="28" t="str">
        <f t="shared" si="110"/>
        <v/>
      </c>
      <c r="AB452" s="25" t="str">
        <f>IF($B452="","",IF($AK452&lt;=Settings!$C$22,"",IFERROR(AVERAGEIFS($K$4:$K$503,$B$4:$B$503,$B452,$AK$4:$AK$503,"&gt;="&amp;$AK452-Settings!$C$22,$AK$4:$AK$503,"&lt;="&amp;$AK452-1),"")))</f>
        <v/>
      </c>
      <c r="AC452" s="27" t="str">
        <f t="shared" si="111"/>
        <v/>
      </c>
      <c r="AD452" s="28" t="str">
        <f>IF($B452="","",IF($AK452&lt;=Settings!$C$23,"",IFERROR($E452/SUMIFS($E$4:$E$503,$B$4:$B$503,$B452,$AK$4:$AK$503,$AK452-Settings!$C$23)-1,"")))</f>
        <v/>
      </c>
      <c r="AE452" s="28" t="str">
        <f>IF($B452="","",IF($AK452&lt;=Settings!$C$22,"",IFERROR($E452/SUMIFS($E$4:$E$503,$B$4:$B$503,$B452,$AK$4:$AK$503,$AK452-Settings!$C$22)-1,"")))</f>
        <v/>
      </c>
      <c r="AF452" s="28" t="str">
        <f t="shared" si="112"/>
        <v/>
      </c>
      <c r="AG452" s="29" t="str">
        <f>IF($B452="","",ROUND((MIN(100,100*N($I452)/Settings!$C$27)+MIN(100,100*N($K452)/Settings!$C$28)+MIN(100,100*N($J452)/Settings!$C$29))/3,1))</f>
        <v/>
      </c>
      <c r="AH452" s="29" t="str">
        <f>IF($B452="","",IF(SUM(Settings!$C$32:$C$37)=0,"",ROUND((Settings!$C$32*$AO452+Settings!$C$33*$AP452+Settings!$C$34*$AQ452+Settings!$C$35*$AR452+Settings!$C$36*$AS452+Settings!$C$37*$AT452)/SUM(Settings!$C$32:$C$37),1)))</f>
        <v/>
      </c>
      <c r="AI452" s="29" t="str">
        <f>IF($B452="","",MAX(0,100-IF(N($N452)&gt;0,0,20)-IF(AND(N($L452)=0,N($M452)=0),15,0)-IF(N($J452)&gt;0,0,10)-IF(N($K452)&gt;0,0,10)-IF($Z452&lt;&gt;"",0,15)-IF($AB452&lt;&gt;"",0,10)-IF($R452="ERROR",20,IF($R452="WARNING",10,0))))</f>
        <v/>
      </c>
      <c r="AJ452" s="30" t="str">
        <f>IF($AH452="","",IF($AH452&lt;Settings!$C$46,"Extreme Sell Pressure",IF($AH452&lt;Settings!$C$47,"Sell Pressure",IF($AH452&lt;=Settings!$C$48,"Neutral",IF($AH452&lt;=Settings!$C$49,"Buy Pressure","Extreme Buy Pressure")))))</f>
        <v/>
      </c>
      <c r="AK452" s="30" t="str">
        <f t="shared" si="113"/>
        <v/>
      </c>
      <c r="AL452" s="30" t="str">
        <f t="shared" si="114"/>
        <v/>
      </c>
      <c r="AM452" s="30" t="str">
        <f t="shared" si="115"/>
        <v/>
      </c>
      <c r="AN452" s="30" t="str">
        <f t="shared" si="116"/>
        <v/>
      </c>
      <c r="AO452" s="29" t="str">
        <f>IF($B452="","",IF(AND(N($L452)=0,N($M452)=0),50,IF(N($M452)=0,100,IF(N($L452)=0,0,MEDIAN(0,100,50+50*LN($S452)/LN(Settings!$C$40))))))</f>
        <v/>
      </c>
      <c r="AP452" s="29">
        <f>IF($AA452="",50,MEDIAN(0,100,50+$AA452*100*Settings!$C$41))</f>
        <v>50</v>
      </c>
      <c r="AQ452" s="29">
        <f>IF($H452="",50,MEDIAN(0,100,50+$H452*100*Settings!$C$42))</f>
        <v>50</v>
      </c>
      <c r="AR452" s="29">
        <f>IF(OR($AC452="",$H452=""),50,MEDIAN(0,100,50+SIGN($H452)*50*MEDIAN(0,1,($AC452-1)/Settings!$C$43)))</f>
        <v>50</v>
      </c>
      <c r="AS452" s="29">
        <f>IF(OR($V452="",$W452=""),50,MEDIAN(0,100,50+50*($V452-$W452)/Settings!$C$44))</f>
        <v>50</v>
      </c>
      <c r="AT452" s="29">
        <f t="shared" si="117"/>
        <v>50</v>
      </c>
      <c r="AU452" s="30" t="str">
        <f t="shared" si="118"/>
        <v/>
      </c>
      <c r="AV452" s="87" t="str">
        <f>IF($A452="","",IF(COUNTIFS($A$4:$A452,$A452)=1,1,0))</f>
        <v/>
      </c>
    </row>
    <row r="453" spans="1:48" x14ac:dyDescent="0.3">
      <c r="A453" s="270"/>
      <c r="B453" s="271"/>
      <c r="C453" s="272"/>
      <c r="D453" s="272"/>
      <c r="E453" s="272"/>
      <c r="F453" s="272"/>
      <c r="G453" s="272"/>
      <c r="H453" s="268" t="str">
        <f t="shared" ref="H453:H503" si="119">IF($B453="","",IFERROR($E453/$D453-1,""))</f>
        <v/>
      </c>
      <c r="I453" s="273"/>
      <c r="J453" s="273"/>
      <c r="K453" s="273"/>
      <c r="L453" s="273"/>
      <c r="M453" s="273"/>
      <c r="N453" s="273"/>
      <c r="O453" s="271"/>
      <c r="P453" s="270"/>
      <c r="Q453" s="271"/>
      <c r="R453" s="23" t="str" cm="1">
        <f t="array" ref="R453">IF($B453="","",IFERROR(IF(INDEX('Data Quality'!$U$4:$U$503,ROW()-3)=0,"PENDING",INDEX('Data Quality'!$U$4:$U$503,ROW()-3)),"PENDING"))</f>
        <v/>
      </c>
      <c r="S453" s="24" t="str">
        <f t="shared" ref="S453:S503" si="120">IF($B453="","",IF(N($M453)&gt;0,$L453/$M453,""))</f>
        <v/>
      </c>
      <c r="T453" s="25" t="str">
        <f t="shared" ref="T453:T503" si="121">IF($B453="","",$L453*$E453)</f>
        <v/>
      </c>
      <c r="U453" s="25" t="str">
        <f t="shared" ref="U453:U503" si="122">IF($B453="","",$M453*$E453)</f>
        <v/>
      </c>
      <c r="V453" s="26" t="str">
        <f t="shared" ref="V453:V503" si="123">IF($B453="","",IF(N($N453)&gt;0,$T453/$N453,""))</f>
        <v/>
      </c>
      <c r="W453" s="26" t="str">
        <f t="shared" ref="W453:W503" si="124">IF($B453="","",IF(N($N453)&gt;0,$U453/$N453,""))</f>
        <v/>
      </c>
      <c r="X453" s="25" t="str">
        <f t="shared" ref="X453:X503" si="125">IF($B453="","",IF(N($J453)&gt;0,$K453/$J453,""))</f>
        <v/>
      </c>
      <c r="Y453" s="25" t="str">
        <f t="shared" ref="Y453:Y503" si="126">IF($B453="","",IF(N($J453)&gt;0,$I453/$J453,""))</f>
        <v/>
      </c>
      <c r="Z453" s="27" t="str">
        <f>IF($B453="","",IF($AK453&lt;=Settings!$C$21,"",IFERROR(AVERAGEIFS($S$4:$S$503,$B$4:$B$503,$B453,$AK$4:$AK$503,"&gt;="&amp;$AK453-Settings!$C$21,$AK$4:$AK$503,"&lt;="&amp;$AK453-1),"")))</f>
        <v/>
      </c>
      <c r="AA453" s="28" t="str">
        <f t="shared" ref="AA453:AA503" si="127">IF(OR($S453="",$Z453="",N($Z453)=0),"",$S453/$Z453-1)</f>
        <v/>
      </c>
      <c r="AB453" s="25" t="str">
        <f>IF($B453="","",IF($AK453&lt;=Settings!$C$22,"",IFERROR(AVERAGEIFS($K$4:$K$503,$B$4:$B$503,$B453,$AK$4:$AK$503,"&gt;="&amp;$AK453-Settings!$C$22,$AK$4:$AK$503,"&lt;="&amp;$AK453-1),"")))</f>
        <v/>
      </c>
      <c r="AC453" s="27" t="str">
        <f t="shared" ref="AC453:AC503" si="128">IF(OR($AB453="",N($AB453)=0),"",$K453/$AB453)</f>
        <v/>
      </c>
      <c r="AD453" s="28" t="str">
        <f>IF($B453="","",IF($AK453&lt;=Settings!$C$23,"",IFERROR($E453/SUMIFS($E$4:$E$503,$B$4:$B$503,$B453,$AK$4:$AK$503,$AK453-Settings!$C$23)-1,"")))</f>
        <v/>
      </c>
      <c r="AE453" s="28" t="str">
        <f>IF($B453="","",IF($AK453&lt;=Settings!$C$22,"",IFERROR($E453/SUMIFS($E$4:$E$503,$B$4:$B$503,$B453,$AK$4:$AK$503,$AK453-Settings!$C$22)-1,"")))</f>
        <v/>
      </c>
      <c r="AF453" s="28" t="str">
        <f t="shared" ref="AF453:AF503" si="129">IF($B453="","",IF(N($E453)&gt;0,($F453-$G453)/$E453,""))</f>
        <v/>
      </c>
      <c r="AG453" s="29" t="str">
        <f>IF($B453="","",ROUND((MIN(100,100*N($I453)/Settings!$C$27)+MIN(100,100*N($K453)/Settings!$C$28)+MIN(100,100*N($J453)/Settings!$C$29))/3,1))</f>
        <v/>
      </c>
      <c r="AH453" s="29" t="str">
        <f>IF($B453="","",IF(SUM(Settings!$C$32:$C$37)=0,"",ROUND((Settings!$C$32*$AO453+Settings!$C$33*$AP453+Settings!$C$34*$AQ453+Settings!$C$35*$AR453+Settings!$C$36*$AS453+Settings!$C$37*$AT453)/SUM(Settings!$C$32:$C$37),1)))</f>
        <v/>
      </c>
      <c r="AI453" s="29" t="str">
        <f>IF($B453="","",MAX(0,100-IF(N($N453)&gt;0,0,20)-IF(AND(N($L453)=0,N($M453)=0),15,0)-IF(N($J453)&gt;0,0,10)-IF(N($K453)&gt;0,0,10)-IF($Z453&lt;&gt;"",0,15)-IF($AB453&lt;&gt;"",0,10)-IF($R453="ERROR",20,IF($R453="WARNING",10,0))))</f>
        <v/>
      </c>
      <c r="AJ453" s="30" t="str">
        <f>IF($AH453="","",IF($AH453&lt;Settings!$C$46,"Extreme Sell Pressure",IF($AH453&lt;Settings!$C$47,"Sell Pressure",IF($AH453&lt;=Settings!$C$48,"Neutral",IF($AH453&lt;=Settings!$C$49,"Buy Pressure","Extreme Buy Pressure")))))</f>
        <v/>
      </c>
      <c r="AK453" s="30" t="str">
        <f t="shared" ref="AK453:AK503" si="130">IF($B453="","",COUNTIFS($B$4:$B$503,$B453,$A$4:$A$503,"&lt;="&amp;$A453))</f>
        <v/>
      </c>
      <c r="AL453" s="30" t="str">
        <f t="shared" ref="AL453:AL503" si="131">IF($A453="","",YEAR($A453))</f>
        <v/>
      </c>
      <c r="AM453" s="30" t="str">
        <f t="shared" ref="AM453:AM503" si="132">IF($A453="","",_xlfn.ISOWEEKNUM($A453))</f>
        <v/>
      </c>
      <c r="AN453" s="30" t="str">
        <f t="shared" ref="AN453:AN503" si="133">IF($A453="","",MONTH($A453))</f>
        <v/>
      </c>
      <c r="AO453" s="29" t="str">
        <f>IF($B453="","",IF(AND(N($L453)=0,N($M453)=0),50,IF(N($M453)=0,100,IF(N($L453)=0,0,MEDIAN(0,100,50+50*LN($S453)/LN(Settings!$C$40))))))</f>
        <v/>
      </c>
      <c r="AP453" s="29">
        <f>IF($AA453="",50,MEDIAN(0,100,50+$AA453*100*Settings!$C$41))</f>
        <v>50</v>
      </c>
      <c r="AQ453" s="29">
        <f>IF($H453="",50,MEDIAN(0,100,50+$H453*100*Settings!$C$42))</f>
        <v>50</v>
      </c>
      <c r="AR453" s="29">
        <f>IF(OR($AC453="",$H453=""),50,MEDIAN(0,100,50+SIGN($H453)*50*MEDIAN(0,1,($AC453-1)/Settings!$C$43)))</f>
        <v>50</v>
      </c>
      <c r="AS453" s="29">
        <f>IF(OR($V453="",$W453=""),50,MEDIAN(0,100,50+50*($V453-$W453)/Settings!$C$44))</f>
        <v>50</v>
      </c>
      <c r="AT453" s="29">
        <f t="shared" ref="AT453:AT503" si="134">IF($AO453="",50,50+(N($AG453)/100)*($AO453-50))</f>
        <v>50</v>
      </c>
      <c r="AU453" s="30" t="str">
        <f t="shared" ref="AU453:AU503" si="135">IF($B453="","",$B453&amp;"|"&amp;TEXT($A453,"yyyy-mm-dd"))</f>
        <v/>
      </c>
      <c r="AV453" s="87" t="str">
        <f>IF($A453="","",IF(COUNTIFS($A$4:$A453,$A453)=1,1,0))</f>
        <v/>
      </c>
    </row>
    <row r="454" spans="1:48" x14ac:dyDescent="0.3">
      <c r="A454" s="270"/>
      <c r="B454" s="271"/>
      <c r="C454" s="272"/>
      <c r="D454" s="272"/>
      <c r="E454" s="272"/>
      <c r="F454" s="272"/>
      <c r="G454" s="272"/>
      <c r="H454" s="268" t="str">
        <f t="shared" si="119"/>
        <v/>
      </c>
      <c r="I454" s="273"/>
      <c r="J454" s="273"/>
      <c r="K454" s="273"/>
      <c r="L454" s="273"/>
      <c r="M454" s="273"/>
      <c r="N454" s="273"/>
      <c r="O454" s="271"/>
      <c r="P454" s="270"/>
      <c r="Q454" s="271"/>
      <c r="R454" s="23" t="str" cm="1">
        <f t="array" ref="R454">IF($B454="","",IFERROR(IF(INDEX('Data Quality'!$U$4:$U$503,ROW()-3)=0,"PENDING",INDEX('Data Quality'!$U$4:$U$503,ROW()-3)),"PENDING"))</f>
        <v/>
      </c>
      <c r="S454" s="24" t="str">
        <f t="shared" si="120"/>
        <v/>
      </c>
      <c r="T454" s="25" t="str">
        <f t="shared" si="121"/>
        <v/>
      </c>
      <c r="U454" s="25" t="str">
        <f t="shared" si="122"/>
        <v/>
      </c>
      <c r="V454" s="26" t="str">
        <f t="shared" si="123"/>
        <v/>
      </c>
      <c r="W454" s="26" t="str">
        <f t="shared" si="124"/>
        <v/>
      </c>
      <c r="X454" s="25" t="str">
        <f t="shared" si="125"/>
        <v/>
      </c>
      <c r="Y454" s="25" t="str">
        <f t="shared" si="126"/>
        <v/>
      </c>
      <c r="Z454" s="27" t="str">
        <f>IF($B454="","",IF($AK454&lt;=Settings!$C$21,"",IFERROR(AVERAGEIFS($S$4:$S$503,$B$4:$B$503,$B454,$AK$4:$AK$503,"&gt;="&amp;$AK454-Settings!$C$21,$AK$4:$AK$503,"&lt;="&amp;$AK454-1),"")))</f>
        <v/>
      </c>
      <c r="AA454" s="28" t="str">
        <f t="shared" si="127"/>
        <v/>
      </c>
      <c r="AB454" s="25" t="str">
        <f>IF($B454="","",IF($AK454&lt;=Settings!$C$22,"",IFERROR(AVERAGEIFS($K$4:$K$503,$B$4:$B$503,$B454,$AK$4:$AK$503,"&gt;="&amp;$AK454-Settings!$C$22,$AK$4:$AK$503,"&lt;="&amp;$AK454-1),"")))</f>
        <v/>
      </c>
      <c r="AC454" s="27" t="str">
        <f t="shared" si="128"/>
        <v/>
      </c>
      <c r="AD454" s="28" t="str">
        <f>IF($B454="","",IF($AK454&lt;=Settings!$C$23,"",IFERROR($E454/SUMIFS($E$4:$E$503,$B$4:$B$503,$B454,$AK$4:$AK$503,$AK454-Settings!$C$23)-1,"")))</f>
        <v/>
      </c>
      <c r="AE454" s="28" t="str">
        <f>IF($B454="","",IF($AK454&lt;=Settings!$C$22,"",IFERROR($E454/SUMIFS($E$4:$E$503,$B$4:$B$503,$B454,$AK$4:$AK$503,$AK454-Settings!$C$22)-1,"")))</f>
        <v/>
      </c>
      <c r="AF454" s="28" t="str">
        <f t="shared" si="129"/>
        <v/>
      </c>
      <c r="AG454" s="29" t="str">
        <f>IF($B454="","",ROUND((MIN(100,100*N($I454)/Settings!$C$27)+MIN(100,100*N($K454)/Settings!$C$28)+MIN(100,100*N($J454)/Settings!$C$29))/3,1))</f>
        <v/>
      </c>
      <c r="AH454" s="29" t="str">
        <f>IF($B454="","",IF(SUM(Settings!$C$32:$C$37)=0,"",ROUND((Settings!$C$32*$AO454+Settings!$C$33*$AP454+Settings!$C$34*$AQ454+Settings!$C$35*$AR454+Settings!$C$36*$AS454+Settings!$C$37*$AT454)/SUM(Settings!$C$32:$C$37),1)))</f>
        <v/>
      </c>
      <c r="AI454" s="29" t="str">
        <f>IF($B454="","",MAX(0,100-IF(N($N454)&gt;0,0,20)-IF(AND(N($L454)=0,N($M454)=0),15,0)-IF(N($J454)&gt;0,0,10)-IF(N($K454)&gt;0,0,10)-IF($Z454&lt;&gt;"",0,15)-IF($AB454&lt;&gt;"",0,10)-IF($R454="ERROR",20,IF($R454="WARNING",10,0))))</f>
        <v/>
      </c>
      <c r="AJ454" s="30" t="str">
        <f>IF($AH454="","",IF($AH454&lt;Settings!$C$46,"Extreme Sell Pressure",IF($AH454&lt;Settings!$C$47,"Sell Pressure",IF($AH454&lt;=Settings!$C$48,"Neutral",IF($AH454&lt;=Settings!$C$49,"Buy Pressure","Extreme Buy Pressure")))))</f>
        <v/>
      </c>
      <c r="AK454" s="30" t="str">
        <f t="shared" si="130"/>
        <v/>
      </c>
      <c r="AL454" s="30" t="str">
        <f t="shared" si="131"/>
        <v/>
      </c>
      <c r="AM454" s="30" t="str">
        <f t="shared" si="132"/>
        <v/>
      </c>
      <c r="AN454" s="30" t="str">
        <f t="shared" si="133"/>
        <v/>
      </c>
      <c r="AO454" s="29" t="str">
        <f>IF($B454="","",IF(AND(N($L454)=0,N($M454)=0),50,IF(N($M454)=0,100,IF(N($L454)=0,0,MEDIAN(0,100,50+50*LN($S454)/LN(Settings!$C$40))))))</f>
        <v/>
      </c>
      <c r="AP454" s="29">
        <f>IF($AA454="",50,MEDIAN(0,100,50+$AA454*100*Settings!$C$41))</f>
        <v>50</v>
      </c>
      <c r="AQ454" s="29">
        <f>IF($H454="",50,MEDIAN(0,100,50+$H454*100*Settings!$C$42))</f>
        <v>50</v>
      </c>
      <c r="AR454" s="29">
        <f>IF(OR($AC454="",$H454=""),50,MEDIAN(0,100,50+SIGN($H454)*50*MEDIAN(0,1,($AC454-1)/Settings!$C$43)))</f>
        <v>50</v>
      </c>
      <c r="AS454" s="29">
        <f>IF(OR($V454="",$W454=""),50,MEDIAN(0,100,50+50*($V454-$W454)/Settings!$C$44))</f>
        <v>50</v>
      </c>
      <c r="AT454" s="29">
        <f t="shared" si="134"/>
        <v>50</v>
      </c>
      <c r="AU454" s="30" t="str">
        <f t="shared" si="135"/>
        <v/>
      </c>
      <c r="AV454" s="87" t="str">
        <f>IF($A454="","",IF(COUNTIFS($A$4:$A454,$A454)=1,1,0))</f>
        <v/>
      </c>
    </row>
    <row r="455" spans="1:48" x14ac:dyDescent="0.3">
      <c r="A455" s="270"/>
      <c r="B455" s="271"/>
      <c r="C455" s="272"/>
      <c r="D455" s="272"/>
      <c r="E455" s="272"/>
      <c r="F455" s="272"/>
      <c r="G455" s="272"/>
      <c r="H455" s="268" t="str">
        <f t="shared" si="119"/>
        <v/>
      </c>
      <c r="I455" s="273"/>
      <c r="J455" s="273"/>
      <c r="K455" s="273"/>
      <c r="L455" s="273"/>
      <c r="M455" s="273"/>
      <c r="N455" s="273"/>
      <c r="O455" s="271"/>
      <c r="P455" s="270"/>
      <c r="Q455" s="271"/>
      <c r="R455" s="23" t="str" cm="1">
        <f t="array" ref="R455">IF($B455="","",IFERROR(IF(INDEX('Data Quality'!$U$4:$U$503,ROW()-3)=0,"PENDING",INDEX('Data Quality'!$U$4:$U$503,ROW()-3)),"PENDING"))</f>
        <v/>
      </c>
      <c r="S455" s="24" t="str">
        <f t="shared" si="120"/>
        <v/>
      </c>
      <c r="T455" s="25" t="str">
        <f t="shared" si="121"/>
        <v/>
      </c>
      <c r="U455" s="25" t="str">
        <f t="shared" si="122"/>
        <v/>
      </c>
      <c r="V455" s="26" t="str">
        <f t="shared" si="123"/>
        <v/>
      </c>
      <c r="W455" s="26" t="str">
        <f t="shared" si="124"/>
        <v/>
      </c>
      <c r="X455" s="25" t="str">
        <f t="shared" si="125"/>
        <v/>
      </c>
      <c r="Y455" s="25" t="str">
        <f t="shared" si="126"/>
        <v/>
      </c>
      <c r="Z455" s="27" t="str">
        <f>IF($B455="","",IF($AK455&lt;=Settings!$C$21,"",IFERROR(AVERAGEIFS($S$4:$S$503,$B$4:$B$503,$B455,$AK$4:$AK$503,"&gt;="&amp;$AK455-Settings!$C$21,$AK$4:$AK$503,"&lt;="&amp;$AK455-1),"")))</f>
        <v/>
      </c>
      <c r="AA455" s="28" t="str">
        <f t="shared" si="127"/>
        <v/>
      </c>
      <c r="AB455" s="25" t="str">
        <f>IF($B455="","",IF($AK455&lt;=Settings!$C$22,"",IFERROR(AVERAGEIFS($K$4:$K$503,$B$4:$B$503,$B455,$AK$4:$AK$503,"&gt;="&amp;$AK455-Settings!$C$22,$AK$4:$AK$503,"&lt;="&amp;$AK455-1),"")))</f>
        <v/>
      </c>
      <c r="AC455" s="27" t="str">
        <f t="shared" si="128"/>
        <v/>
      </c>
      <c r="AD455" s="28" t="str">
        <f>IF($B455="","",IF($AK455&lt;=Settings!$C$23,"",IFERROR($E455/SUMIFS($E$4:$E$503,$B$4:$B$503,$B455,$AK$4:$AK$503,$AK455-Settings!$C$23)-1,"")))</f>
        <v/>
      </c>
      <c r="AE455" s="28" t="str">
        <f>IF($B455="","",IF($AK455&lt;=Settings!$C$22,"",IFERROR($E455/SUMIFS($E$4:$E$503,$B$4:$B$503,$B455,$AK$4:$AK$503,$AK455-Settings!$C$22)-1,"")))</f>
        <v/>
      </c>
      <c r="AF455" s="28" t="str">
        <f t="shared" si="129"/>
        <v/>
      </c>
      <c r="AG455" s="29" t="str">
        <f>IF($B455="","",ROUND((MIN(100,100*N($I455)/Settings!$C$27)+MIN(100,100*N($K455)/Settings!$C$28)+MIN(100,100*N($J455)/Settings!$C$29))/3,1))</f>
        <v/>
      </c>
      <c r="AH455" s="29" t="str">
        <f>IF($B455="","",IF(SUM(Settings!$C$32:$C$37)=0,"",ROUND((Settings!$C$32*$AO455+Settings!$C$33*$AP455+Settings!$C$34*$AQ455+Settings!$C$35*$AR455+Settings!$C$36*$AS455+Settings!$C$37*$AT455)/SUM(Settings!$C$32:$C$37),1)))</f>
        <v/>
      </c>
      <c r="AI455" s="29" t="str">
        <f>IF($B455="","",MAX(0,100-IF(N($N455)&gt;0,0,20)-IF(AND(N($L455)=0,N($M455)=0),15,0)-IF(N($J455)&gt;0,0,10)-IF(N($K455)&gt;0,0,10)-IF($Z455&lt;&gt;"",0,15)-IF($AB455&lt;&gt;"",0,10)-IF($R455="ERROR",20,IF($R455="WARNING",10,0))))</f>
        <v/>
      </c>
      <c r="AJ455" s="30" t="str">
        <f>IF($AH455="","",IF($AH455&lt;Settings!$C$46,"Extreme Sell Pressure",IF($AH455&lt;Settings!$C$47,"Sell Pressure",IF($AH455&lt;=Settings!$C$48,"Neutral",IF($AH455&lt;=Settings!$C$49,"Buy Pressure","Extreme Buy Pressure")))))</f>
        <v/>
      </c>
      <c r="AK455" s="30" t="str">
        <f t="shared" si="130"/>
        <v/>
      </c>
      <c r="AL455" s="30" t="str">
        <f t="shared" si="131"/>
        <v/>
      </c>
      <c r="AM455" s="30" t="str">
        <f t="shared" si="132"/>
        <v/>
      </c>
      <c r="AN455" s="30" t="str">
        <f t="shared" si="133"/>
        <v/>
      </c>
      <c r="AO455" s="29" t="str">
        <f>IF($B455="","",IF(AND(N($L455)=0,N($M455)=0),50,IF(N($M455)=0,100,IF(N($L455)=0,0,MEDIAN(0,100,50+50*LN($S455)/LN(Settings!$C$40))))))</f>
        <v/>
      </c>
      <c r="AP455" s="29">
        <f>IF($AA455="",50,MEDIAN(0,100,50+$AA455*100*Settings!$C$41))</f>
        <v>50</v>
      </c>
      <c r="AQ455" s="29">
        <f>IF($H455="",50,MEDIAN(0,100,50+$H455*100*Settings!$C$42))</f>
        <v>50</v>
      </c>
      <c r="AR455" s="29">
        <f>IF(OR($AC455="",$H455=""),50,MEDIAN(0,100,50+SIGN($H455)*50*MEDIAN(0,1,($AC455-1)/Settings!$C$43)))</f>
        <v>50</v>
      </c>
      <c r="AS455" s="29">
        <f>IF(OR($V455="",$W455=""),50,MEDIAN(0,100,50+50*($V455-$W455)/Settings!$C$44))</f>
        <v>50</v>
      </c>
      <c r="AT455" s="29">
        <f t="shared" si="134"/>
        <v>50</v>
      </c>
      <c r="AU455" s="30" t="str">
        <f t="shared" si="135"/>
        <v/>
      </c>
      <c r="AV455" s="87" t="str">
        <f>IF($A455="","",IF(COUNTIFS($A$4:$A455,$A455)=1,1,0))</f>
        <v/>
      </c>
    </row>
    <row r="456" spans="1:48" x14ac:dyDescent="0.3">
      <c r="A456" s="270"/>
      <c r="B456" s="271"/>
      <c r="C456" s="272"/>
      <c r="D456" s="272"/>
      <c r="E456" s="272"/>
      <c r="F456" s="272"/>
      <c r="G456" s="272"/>
      <c r="H456" s="268" t="str">
        <f t="shared" si="119"/>
        <v/>
      </c>
      <c r="I456" s="273"/>
      <c r="J456" s="273"/>
      <c r="K456" s="273"/>
      <c r="L456" s="273"/>
      <c r="M456" s="273"/>
      <c r="N456" s="273"/>
      <c r="O456" s="271"/>
      <c r="P456" s="270"/>
      <c r="Q456" s="271"/>
      <c r="R456" s="23" t="str" cm="1">
        <f t="array" ref="R456">IF($B456="","",IFERROR(IF(INDEX('Data Quality'!$U$4:$U$503,ROW()-3)=0,"PENDING",INDEX('Data Quality'!$U$4:$U$503,ROW()-3)),"PENDING"))</f>
        <v/>
      </c>
      <c r="S456" s="24" t="str">
        <f t="shared" si="120"/>
        <v/>
      </c>
      <c r="T456" s="25" t="str">
        <f t="shared" si="121"/>
        <v/>
      </c>
      <c r="U456" s="25" t="str">
        <f t="shared" si="122"/>
        <v/>
      </c>
      <c r="V456" s="26" t="str">
        <f t="shared" si="123"/>
        <v/>
      </c>
      <c r="W456" s="26" t="str">
        <f t="shared" si="124"/>
        <v/>
      </c>
      <c r="X456" s="25" t="str">
        <f t="shared" si="125"/>
        <v/>
      </c>
      <c r="Y456" s="25" t="str">
        <f t="shared" si="126"/>
        <v/>
      </c>
      <c r="Z456" s="27" t="str">
        <f>IF($B456="","",IF($AK456&lt;=Settings!$C$21,"",IFERROR(AVERAGEIFS($S$4:$S$503,$B$4:$B$503,$B456,$AK$4:$AK$503,"&gt;="&amp;$AK456-Settings!$C$21,$AK$4:$AK$503,"&lt;="&amp;$AK456-1),"")))</f>
        <v/>
      </c>
      <c r="AA456" s="28" t="str">
        <f t="shared" si="127"/>
        <v/>
      </c>
      <c r="AB456" s="25" t="str">
        <f>IF($B456="","",IF($AK456&lt;=Settings!$C$22,"",IFERROR(AVERAGEIFS($K$4:$K$503,$B$4:$B$503,$B456,$AK$4:$AK$503,"&gt;="&amp;$AK456-Settings!$C$22,$AK$4:$AK$503,"&lt;="&amp;$AK456-1),"")))</f>
        <v/>
      </c>
      <c r="AC456" s="27" t="str">
        <f t="shared" si="128"/>
        <v/>
      </c>
      <c r="AD456" s="28" t="str">
        <f>IF($B456="","",IF($AK456&lt;=Settings!$C$23,"",IFERROR($E456/SUMIFS($E$4:$E$503,$B$4:$B$503,$B456,$AK$4:$AK$503,$AK456-Settings!$C$23)-1,"")))</f>
        <v/>
      </c>
      <c r="AE456" s="28" t="str">
        <f>IF($B456="","",IF($AK456&lt;=Settings!$C$22,"",IFERROR($E456/SUMIFS($E$4:$E$503,$B$4:$B$503,$B456,$AK$4:$AK$503,$AK456-Settings!$C$22)-1,"")))</f>
        <v/>
      </c>
      <c r="AF456" s="28" t="str">
        <f t="shared" si="129"/>
        <v/>
      </c>
      <c r="AG456" s="29" t="str">
        <f>IF($B456="","",ROUND((MIN(100,100*N($I456)/Settings!$C$27)+MIN(100,100*N($K456)/Settings!$C$28)+MIN(100,100*N($J456)/Settings!$C$29))/3,1))</f>
        <v/>
      </c>
      <c r="AH456" s="29" t="str">
        <f>IF($B456="","",IF(SUM(Settings!$C$32:$C$37)=0,"",ROUND((Settings!$C$32*$AO456+Settings!$C$33*$AP456+Settings!$C$34*$AQ456+Settings!$C$35*$AR456+Settings!$C$36*$AS456+Settings!$C$37*$AT456)/SUM(Settings!$C$32:$C$37),1)))</f>
        <v/>
      </c>
      <c r="AI456" s="29" t="str">
        <f>IF($B456="","",MAX(0,100-IF(N($N456)&gt;0,0,20)-IF(AND(N($L456)=0,N($M456)=0),15,0)-IF(N($J456)&gt;0,0,10)-IF(N($K456)&gt;0,0,10)-IF($Z456&lt;&gt;"",0,15)-IF($AB456&lt;&gt;"",0,10)-IF($R456="ERROR",20,IF($R456="WARNING",10,0))))</f>
        <v/>
      </c>
      <c r="AJ456" s="30" t="str">
        <f>IF($AH456="","",IF($AH456&lt;Settings!$C$46,"Extreme Sell Pressure",IF($AH456&lt;Settings!$C$47,"Sell Pressure",IF($AH456&lt;=Settings!$C$48,"Neutral",IF($AH456&lt;=Settings!$C$49,"Buy Pressure","Extreme Buy Pressure")))))</f>
        <v/>
      </c>
      <c r="AK456" s="30" t="str">
        <f t="shared" si="130"/>
        <v/>
      </c>
      <c r="AL456" s="30" t="str">
        <f t="shared" si="131"/>
        <v/>
      </c>
      <c r="AM456" s="30" t="str">
        <f t="shared" si="132"/>
        <v/>
      </c>
      <c r="AN456" s="30" t="str">
        <f t="shared" si="133"/>
        <v/>
      </c>
      <c r="AO456" s="29" t="str">
        <f>IF($B456="","",IF(AND(N($L456)=0,N($M456)=0),50,IF(N($M456)=0,100,IF(N($L456)=0,0,MEDIAN(0,100,50+50*LN($S456)/LN(Settings!$C$40))))))</f>
        <v/>
      </c>
      <c r="AP456" s="29">
        <f>IF($AA456="",50,MEDIAN(0,100,50+$AA456*100*Settings!$C$41))</f>
        <v>50</v>
      </c>
      <c r="AQ456" s="29">
        <f>IF($H456="",50,MEDIAN(0,100,50+$H456*100*Settings!$C$42))</f>
        <v>50</v>
      </c>
      <c r="AR456" s="29">
        <f>IF(OR($AC456="",$H456=""),50,MEDIAN(0,100,50+SIGN($H456)*50*MEDIAN(0,1,($AC456-1)/Settings!$C$43)))</f>
        <v>50</v>
      </c>
      <c r="AS456" s="29">
        <f>IF(OR($V456="",$W456=""),50,MEDIAN(0,100,50+50*($V456-$W456)/Settings!$C$44))</f>
        <v>50</v>
      </c>
      <c r="AT456" s="29">
        <f t="shared" si="134"/>
        <v>50</v>
      </c>
      <c r="AU456" s="30" t="str">
        <f t="shared" si="135"/>
        <v/>
      </c>
      <c r="AV456" s="87" t="str">
        <f>IF($A456="","",IF(COUNTIFS($A$4:$A456,$A456)=1,1,0))</f>
        <v/>
      </c>
    </row>
    <row r="457" spans="1:48" x14ac:dyDescent="0.3">
      <c r="A457" s="270"/>
      <c r="B457" s="271"/>
      <c r="C457" s="272"/>
      <c r="D457" s="272"/>
      <c r="E457" s="272"/>
      <c r="F457" s="272"/>
      <c r="G457" s="272"/>
      <c r="H457" s="268" t="str">
        <f t="shared" si="119"/>
        <v/>
      </c>
      <c r="I457" s="273"/>
      <c r="J457" s="273"/>
      <c r="K457" s="273"/>
      <c r="L457" s="273"/>
      <c r="M457" s="273"/>
      <c r="N457" s="273"/>
      <c r="O457" s="271"/>
      <c r="P457" s="270"/>
      <c r="Q457" s="271"/>
      <c r="R457" s="23" t="str" cm="1">
        <f t="array" ref="R457">IF($B457="","",IFERROR(IF(INDEX('Data Quality'!$U$4:$U$503,ROW()-3)=0,"PENDING",INDEX('Data Quality'!$U$4:$U$503,ROW()-3)),"PENDING"))</f>
        <v/>
      </c>
      <c r="S457" s="24" t="str">
        <f t="shared" si="120"/>
        <v/>
      </c>
      <c r="T457" s="25" t="str">
        <f t="shared" si="121"/>
        <v/>
      </c>
      <c r="U457" s="25" t="str">
        <f t="shared" si="122"/>
        <v/>
      </c>
      <c r="V457" s="26" t="str">
        <f t="shared" si="123"/>
        <v/>
      </c>
      <c r="W457" s="26" t="str">
        <f t="shared" si="124"/>
        <v/>
      </c>
      <c r="X457" s="25" t="str">
        <f t="shared" si="125"/>
        <v/>
      </c>
      <c r="Y457" s="25" t="str">
        <f t="shared" si="126"/>
        <v/>
      </c>
      <c r="Z457" s="27" t="str">
        <f>IF($B457="","",IF($AK457&lt;=Settings!$C$21,"",IFERROR(AVERAGEIFS($S$4:$S$503,$B$4:$B$503,$B457,$AK$4:$AK$503,"&gt;="&amp;$AK457-Settings!$C$21,$AK$4:$AK$503,"&lt;="&amp;$AK457-1),"")))</f>
        <v/>
      </c>
      <c r="AA457" s="28" t="str">
        <f t="shared" si="127"/>
        <v/>
      </c>
      <c r="AB457" s="25" t="str">
        <f>IF($B457="","",IF($AK457&lt;=Settings!$C$22,"",IFERROR(AVERAGEIFS($K$4:$K$503,$B$4:$B$503,$B457,$AK$4:$AK$503,"&gt;="&amp;$AK457-Settings!$C$22,$AK$4:$AK$503,"&lt;="&amp;$AK457-1),"")))</f>
        <v/>
      </c>
      <c r="AC457" s="27" t="str">
        <f t="shared" si="128"/>
        <v/>
      </c>
      <c r="AD457" s="28" t="str">
        <f>IF($B457="","",IF($AK457&lt;=Settings!$C$23,"",IFERROR($E457/SUMIFS($E$4:$E$503,$B$4:$B$503,$B457,$AK$4:$AK$503,$AK457-Settings!$C$23)-1,"")))</f>
        <v/>
      </c>
      <c r="AE457" s="28" t="str">
        <f>IF($B457="","",IF($AK457&lt;=Settings!$C$22,"",IFERROR($E457/SUMIFS($E$4:$E$503,$B$4:$B$503,$B457,$AK$4:$AK$503,$AK457-Settings!$C$22)-1,"")))</f>
        <v/>
      </c>
      <c r="AF457" s="28" t="str">
        <f t="shared" si="129"/>
        <v/>
      </c>
      <c r="AG457" s="29" t="str">
        <f>IF($B457="","",ROUND((MIN(100,100*N($I457)/Settings!$C$27)+MIN(100,100*N($K457)/Settings!$C$28)+MIN(100,100*N($J457)/Settings!$C$29))/3,1))</f>
        <v/>
      </c>
      <c r="AH457" s="29" t="str">
        <f>IF($B457="","",IF(SUM(Settings!$C$32:$C$37)=0,"",ROUND((Settings!$C$32*$AO457+Settings!$C$33*$AP457+Settings!$C$34*$AQ457+Settings!$C$35*$AR457+Settings!$C$36*$AS457+Settings!$C$37*$AT457)/SUM(Settings!$C$32:$C$37),1)))</f>
        <v/>
      </c>
      <c r="AI457" s="29" t="str">
        <f>IF($B457="","",MAX(0,100-IF(N($N457)&gt;0,0,20)-IF(AND(N($L457)=0,N($M457)=0),15,0)-IF(N($J457)&gt;0,0,10)-IF(N($K457)&gt;0,0,10)-IF($Z457&lt;&gt;"",0,15)-IF($AB457&lt;&gt;"",0,10)-IF($R457="ERROR",20,IF($R457="WARNING",10,0))))</f>
        <v/>
      </c>
      <c r="AJ457" s="30" t="str">
        <f>IF($AH457="","",IF($AH457&lt;Settings!$C$46,"Extreme Sell Pressure",IF($AH457&lt;Settings!$C$47,"Sell Pressure",IF($AH457&lt;=Settings!$C$48,"Neutral",IF($AH457&lt;=Settings!$C$49,"Buy Pressure","Extreme Buy Pressure")))))</f>
        <v/>
      </c>
      <c r="AK457" s="30" t="str">
        <f t="shared" si="130"/>
        <v/>
      </c>
      <c r="AL457" s="30" t="str">
        <f t="shared" si="131"/>
        <v/>
      </c>
      <c r="AM457" s="30" t="str">
        <f t="shared" si="132"/>
        <v/>
      </c>
      <c r="AN457" s="30" t="str">
        <f t="shared" si="133"/>
        <v/>
      </c>
      <c r="AO457" s="29" t="str">
        <f>IF($B457="","",IF(AND(N($L457)=0,N($M457)=0),50,IF(N($M457)=0,100,IF(N($L457)=0,0,MEDIAN(0,100,50+50*LN($S457)/LN(Settings!$C$40))))))</f>
        <v/>
      </c>
      <c r="AP457" s="29">
        <f>IF($AA457="",50,MEDIAN(0,100,50+$AA457*100*Settings!$C$41))</f>
        <v>50</v>
      </c>
      <c r="AQ457" s="29">
        <f>IF($H457="",50,MEDIAN(0,100,50+$H457*100*Settings!$C$42))</f>
        <v>50</v>
      </c>
      <c r="AR457" s="29">
        <f>IF(OR($AC457="",$H457=""),50,MEDIAN(0,100,50+SIGN($H457)*50*MEDIAN(0,1,($AC457-1)/Settings!$C$43)))</f>
        <v>50</v>
      </c>
      <c r="AS457" s="29">
        <f>IF(OR($V457="",$W457=""),50,MEDIAN(0,100,50+50*($V457-$W457)/Settings!$C$44))</f>
        <v>50</v>
      </c>
      <c r="AT457" s="29">
        <f t="shared" si="134"/>
        <v>50</v>
      </c>
      <c r="AU457" s="30" t="str">
        <f t="shared" si="135"/>
        <v/>
      </c>
      <c r="AV457" s="87" t="str">
        <f>IF($A457="","",IF(COUNTIFS($A$4:$A457,$A457)=1,1,0))</f>
        <v/>
      </c>
    </row>
    <row r="458" spans="1:48" x14ac:dyDescent="0.3">
      <c r="A458" s="270"/>
      <c r="B458" s="271"/>
      <c r="C458" s="272"/>
      <c r="D458" s="272"/>
      <c r="E458" s="272"/>
      <c r="F458" s="272"/>
      <c r="G458" s="272"/>
      <c r="H458" s="268" t="str">
        <f t="shared" si="119"/>
        <v/>
      </c>
      <c r="I458" s="273"/>
      <c r="J458" s="273"/>
      <c r="K458" s="273"/>
      <c r="L458" s="273"/>
      <c r="M458" s="273"/>
      <c r="N458" s="273"/>
      <c r="O458" s="271"/>
      <c r="P458" s="270"/>
      <c r="Q458" s="271"/>
      <c r="R458" s="23" t="str" cm="1">
        <f t="array" ref="R458">IF($B458="","",IFERROR(IF(INDEX('Data Quality'!$U$4:$U$503,ROW()-3)=0,"PENDING",INDEX('Data Quality'!$U$4:$U$503,ROW()-3)),"PENDING"))</f>
        <v/>
      </c>
      <c r="S458" s="24" t="str">
        <f t="shared" si="120"/>
        <v/>
      </c>
      <c r="T458" s="25" t="str">
        <f t="shared" si="121"/>
        <v/>
      </c>
      <c r="U458" s="25" t="str">
        <f t="shared" si="122"/>
        <v/>
      </c>
      <c r="V458" s="26" t="str">
        <f t="shared" si="123"/>
        <v/>
      </c>
      <c r="W458" s="26" t="str">
        <f t="shared" si="124"/>
        <v/>
      </c>
      <c r="X458" s="25" t="str">
        <f t="shared" si="125"/>
        <v/>
      </c>
      <c r="Y458" s="25" t="str">
        <f t="shared" si="126"/>
        <v/>
      </c>
      <c r="Z458" s="27" t="str">
        <f>IF($B458="","",IF($AK458&lt;=Settings!$C$21,"",IFERROR(AVERAGEIFS($S$4:$S$503,$B$4:$B$503,$B458,$AK$4:$AK$503,"&gt;="&amp;$AK458-Settings!$C$21,$AK$4:$AK$503,"&lt;="&amp;$AK458-1),"")))</f>
        <v/>
      </c>
      <c r="AA458" s="28" t="str">
        <f t="shared" si="127"/>
        <v/>
      </c>
      <c r="AB458" s="25" t="str">
        <f>IF($B458="","",IF($AK458&lt;=Settings!$C$22,"",IFERROR(AVERAGEIFS($K$4:$K$503,$B$4:$B$503,$B458,$AK$4:$AK$503,"&gt;="&amp;$AK458-Settings!$C$22,$AK$4:$AK$503,"&lt;="&amp;$AK458-1),"")))</f>
        <v/>
      </c>
      <c r="AC458" s="27" t="str">
        <f t="shared" si="128"/>
        <v/>
      </c>
      <c r="AD458" s="28" t="str">
        <f>IF($B458="","",IF($AK458&lt;=Settings!$C$23,"",IFERROR($E458/SUMIFS($E$4:$E$503,$B$4:$B$503,$B458,$AK$4:$AK$503,$AK458-Settings!$C$23)-1,"")))</f>
        <v/>
      </c>
      <c r="AE458" s="28" t="str">
        <f>IF($B458="","",IF($AK458&lt;=Settings!$C$22,"",IFERROR($E458/SUMIFS($E$4:$E$503,$B$4:$B$503,$B458,$AK$4:$AK$503,$AK458-Settings!$C$22)-1,"")))</f>
        <v/>
      </c>
      <c r="AF458" s="28" t="str">
        <f t="shared" si="129"/>
        <v/>
      </c>
      <c r="AG458" s="29" t="str">
        <f>IF($B458="","",ROUND((MIN(100,100*N($I458)/Settings!$C$27)+MIN(100,100*N($K458)/Settings!$C$28)+MIN(100,100*N($J458)/Settings!$C$29))/3,1))</f>
        <v/>
      </c>
      <c r="AH458" s="29" t="str">
        <f>IF($B458="","",IF(SUM(Settings!$C$32:$C$37)=0,"",ROUND((Settings!$C$32*$AO458+Settings!$C$33*$AP458+Settings!$C$34*$AQ458+Settings!$C$35*$AR458+Settings!$C$36*$AS458+Settings!$C$37*$AT458)/SUM(Settings!$C$32:$C$37),1)))</f>
        <v/>
      </c>
      <c r="AI458" s="29" t="str">
        <f>IF($B458="","",MAX(0,100-IF(N($N458)&gt;0,0,20)-IF(AND(N($L458)=0,N($M458)=0),15,0)-IF(N($J458)&gt;0,0,10)-IF(N($K458)&gt;0,0,10)-IF($Z458&lt;&gt;"",0,15)-IF($AB458&lt;&gt;"",0,10)-IF($R458="ERROR",20,IF($R458="WARNING",10,0))))</f>
        <v/>
      </c>
      <c r="AJ458" s="30" t="str">
        <f>IF($AH458="","",IF($AH458&lt;Settings!$C$46,"Extreme Sell Pressure",IF($AH458&lt;Settings!$C$47,"Sell Pressure",IF($AH458&lt;=Settings!$C$48,"Neutral",IF($AH458&lt;=Settings!$C$49,"Buy Pressure","Extreme Buy Pressure")))))</f>
        <v/>
      </c>
      <c r="AK458" s="30" t="str">
        <f t="shared" si="130"/>
        <v/>
      </c>
      <c r="AL458" s="30" t="str">
        <f t="shared" si="131"/>
        <v/>
      </c>
      <c r="AM458" s="30" t="str">
        <f t="shared" si="132"/>
        <v/>
      </c>
      <c r="AN458" s="30" t="str">
        <f t="shared" si="133"/>
        <v/>
      </c>
      <c r="AO458" s="29" t="str">
        <f>IF($B458="","",IF(AND(N($L458)=0,N($M458)=0),50,IF(N($M458)=0,100,IF(N($L458)=0,0,MEDIAN(0,100,50+50*LN($S458)/LN(Settings!$C$40))))))</f>
        <v/>
      </c>
      <c r="AP458" s="29">
        <f>IF($AA458="",50,MEDIAN(0,100,50+$AA458*100*Settings!$C$41))</f>
        <v>50</v>
      </c>
      <c r="AQ458" s="29">
        <f>IF($H458="",50,MEDIAN(0,100,50+$H458*100*Settings!$C$42))</f>
        <v>50</v>
      </c>
      <c r="AR458" s="29">
        <f>IF(OR($AC458="",$H458=""),50,MEDIAN(0,100,50+SIGN($H458)*50*MEDIAN(0,1,($AC458-1)/Settings!$C$43)))</f>
        <v>50</v>
      </c>
      <c r="AS458" s="29">
        <f>IF(OR($V458="",$W458=""),50,MEDIAN(0,100,50+50*($V458-$W458)/Settings!$C$44))</f>
        <v>50</v>
      </c>
      <c r="AT458" s="29">
        <f t="shared" si="134"/>
        <v>50</v>
      </c>
      <c r="AU458" s="30" t="str">
        <f t="shared" si="135"/>
        <v/>
      </c>
      <c r="AV458" s="87" t="str">
        <f>IF($A458="","",IF(COUNTIFS($A$4:$A458,$A458)=1,1,0))</f>
        <v/>
      </c>
    </row>
    <row r="459" spans="1:48" x14ac:dyDescent="0.3">
      <c r="A459" s="270"/>
      <c r="B459" s="271"/>
      <c r="C459" s="272"/>
      <c r="D459" s="272"/>
      <c r="E459" s="272"/>
      <c r="F459" s="272"/>
      <c r="G459" s="272"/>
      <c r="H459" s="268" t="str">
        <f t="shared" si="119"/>
        <v/>
      </c>
      <c r="I459" s="273"/>
      <c r="J459" s="273"/>
      <c r="K459" s="273"/>
      <c r="L459" s="273"/>
      <c r="M459" s="273"/>
      <c r="N459" s="273"/>
      <c r="O459" s="271"/>
      <c r="P459" s="270"/>
      <c r="Q459" s="271"/>
      <c r="R459" s="23" t="str" cm="1">
        <f t="array" ref="R459">IF($B459="","",IFERROR(IF(INDEX('Data Quality'!$U$4:$U$503,ROW()-3)=0,"PENDING",INDEX('Data Quality'!$U$4:$U$503,ROW()-3)),"PENDING"))</f>
        <v/>
      </c>
      <c r="S459" s="24" t="str">
        <f t="shared" si="120"/>
        <v/>
      </c>
      <c r="T459" s="25" t="str">
        <f t="shared" si="121"/>
        <v/>
      </c>
      <c r="U459" s="25" t="str">
        <f t="shared" si="122"/>
        <v/>
      </c>
      <c r="V459" s="26" t="str">
        <f t="shared" si="123"/>
        <v/>
      </c>
      <c r="W459" s="26" t="str">
        <f t="shared" si="124"/>
        <v/>
      </c>
      <c r="X459" s="25" t="str">
        <f t="shared" si="125"/>
        <v/>
      </c>
      <c r="Y459" s="25" t="str">
        <f t="shared" si="126"/>
        <v/>
      </c>
      <c r="Z459" s="27" t="str">
        <f>IF($B459="","",IF($AK459&lt;=Settings!$C$21,"",IFERROR(AVERAGEIFS($S$4:$S$503,$B$4:$B$503,$B459,$AK$4:$AK$503,"&gt;="&amp;$AK459-Settings!$C$21,$AK$4:$AK$503,"&lt;="&amp;$AK459-1),"")))</f>
        <v/>
      </c>
      <c r="AA459" s="28" t="str">
        <f t="shared" si="127"/>
        <v/>
      </c>
      <c r="AB459" s="25" t="str">
        <f>IF($B459="","",IF($AK459&lt;=Settings!$C$22,"",IFERROR(AVERAGEIFS($K$4:$K$503,$B$4:$B$503,$B459,$AK$4:$AK$503,"&gt;="&amp;$AK459-Settings!$C$22,$AK$4:$AK$503,"&lt;="&amp;$AK459-1),"")))</f>
        <v/>
      </c>
      <c r="AC459" s="27" t="str">
        <f t="shared" si="128"/>
        <v/>
      </c>
      <c r="AD459" s="28" t="str">
        <f>IF($B459="","",IF($AK459&lt;=Settings!$C$23,"",IFERROR($E459/SUMIFS($E$4:$E$503,$B$4:$B$503,$B459,$AK$4:$AK$503,$AK459-Settings!$C$23)-1,"")))</f>
        <v/>
      </c>
      <c r="AE459" s="28" t="str">
        <f>IF($B459="","",IF($AK459&lt;=Settings!$C$22,"",IFERROR($E459/SUMIFS($E$4:$E$503,$B$4:$B$503,$B459,$AK$4:$AK$503,$AK459-Settings!$C$22)-1,"")))</f>
        <v/>
      </c>
      <c r="AF459" s="28" t="str">
        <f t="shared" si="129"/>
        <v/>
      </c>
      <c r="AG459" s="29" t="str">
        <f>IF($B459="","",ROUND((MIN(100,100*N($I459)/Settings!$C$27)+MIN(100,100*N($K459)/Settings!$C$28)+MIN(100,100*N($J459)/Settings!$C$29))/3,1))</f>
        <v/>
      </c>
      <c r="AH459" s="29" t="str">
        <f>IF($B459="","",IF(SUM(Settings!$C$32:$C$37)=0,"",ROUND((Settings!$C$32*$AO459+Settings!$C$33*$AP459+Settings!$C$34*$AQ459+Settings!$C$35*$AR459+Settings!$C$36*$AS459+Settings!$C$37*$AT459)/SUM(Settings!$C$32:$C$37),1)))</f>
        <v/>
      </c>
      <c r="AI459" s="29" t="str">
        <f>IF($B459="","",MAX(0,100-IF(N($N459)&gt;0,0,20)-IF(AND(N($L459)=0,N($M459)=0),15,0)-IF(N($J459)&gt;0,0,10)-IF(N($K459)&gt;0,0,10)-IF($Z459&lt;&gt;"",0,15)-IF($AB459&lt;&gt;"",0,10)-IF($R459="ERROR",20,IF($R459="WARNING",10,0))))</f>
        <v/>
      </c>
      <c r="AJ459" s="30" t="str">
        <f>IF($AH459="","",IF($AH459&lt;Settings!$C$46,"Extreme Sell Pressure",IF($AH459&lt;Settings!$C$47,"Sell Pressure",IF($AH459&lt;=Settings!$C$48,"Neutral",IF($AH459&lt;=Settings!$C$49,"Buy Pressure","Extreme Buy Pressure")))))</f>
        <v/>
      </c>
      <c r="AK459" s="30" t="str">
        <f t="shared" si="130"/>
        <v/>
      </c>
      <c r="AL459" s="30" t="str">
        <f t="shared" si="131"/>
        <v/>
      </c>
      <c r="AM459" s="30" t="str">
        <f t="shared" si="132"/>
        <v/>
      </c>
      <c r="AN459" s="30" t="str">
        <f t="shared" si="133"/>
        <v/>
      </c>
      <c r="AO459" s="29" t="str">
        <f>IF($B459="","",IF(AND(N($L459)=0,N($M459)=0),50,IF(N($M459)=0,100,IF(N($L459)=0,0,MEDIAN(0,100,50+50*LN($S459)/LN(Settings!$C$40))))))</f>
        <v/>
      </c>
      <c r="AP459" s="29">
        <f>IF($AA459="",50,MEDIAN(0,100,50+$AA459*100*Settings!$C$41))</f>
        <v>50</v>
      </c>
      <c r="AQ459" s="29">
        <f>IF($H459="",50,MEDIAN(0,100,50+$H459*100*Settings!$C$42))</f>
        <v>50</v>
      </c>
      <c r="AR459" s="29">
        <f>IF(OR($AC459="",$H459=""),50,MEDIAN(0,100,50+SIGN($H459)*50*MEDIAN(0,1,($AC459-1)/Settings!$C$43)))</f>
        <v>50</v>
      </c>
      <c r="AS459" s="29">
        <f>IF(OR($V459="",$W459=""),50,MEDIAN(0,100,50+50*($V459-$W459)/Settings!$C$44))</f>
        <v>50</v>
      </c>
      <c r="AT459" s="29">
        <f t="shared" si="134"/>
        <v>50</v>
      </c>
      <c r="AU459" s="30" t="str">
        <f t="shared" si="135"/>
        <v/>
      </c>
      <c r="AV459" s="87" t="str">
        <f>IF($A459="","",IF(COUNTIFS($A$4:$A459,$A459)=1,1,0))</f>
        <v/>
      </c>
    </row>
    <row r="460" spans="1:48" x14ac:dyDescent="0.3">
      <c r="A460" s="270"/>
      <c r="B460" s="271"/>
      <c r="C460" s="272"/>
      <c r="D460" s="272"/>
      <c r="E460" s="272"/>
      <c r="F460" s="272"/>
      <c r="G460" s="272"/>
      <c r="H460" s="268" t="str">
        <f t="shared" si="119"/>
        <v/>
      </c>
      <c r="I460" s="273"/>
      <c r="J460" s="273"/>
      <c r="K460" s="273"/>
      <c r="L460" s="273"/>
      <c r="M460" s="273"/>
      <c r="N460" s="273"/>
      <c r="O460" s="271"/>
      <c r="P460" s="270"/>
      <c r="Q460" s="271"/>
      <c r="R460" s="23" t="str" cm="1">
        <f t="array" ref="R460">IF($B460="","",IFERROR(IF(INDEX('Data Quality'!$U$4:$U$503,ROW()-3)=0,"PENDING",INDEX('Data Quality'!$U$4:$U$503,ROW()-3)),"PENDING"))</f>
        <v/>
      </c>
      <c r="S460" s="24" t="str">
        <f t="shared" si="120"/>
        <v/>
      </c>
      <c r="T460" s="25" t="str">
        <f t="shared" si="121"/>
        <v/>
      </c>
      <c r="U460" s="25" t="str">
        <f t="shared" si="122"/>
        <v/>
      </c>
      <c r="V460" s="26" t="str">
        <f t="shared" si="123"/>
        <v/>
      </c>
      <c r="W460" s="26" t="str">
        <f t="shared" si="124"/>
        <v/>
      </c>
      <c r="X460" s="25" t="str">
        <f t="shared" si="125"/>
        <v/>
      </c>
      <c r="Y460" s="25" t="str">
        <f t="shared" si="126"/>
        <v/>
      </c>
      <c r="Z460" s="27" t="str">
        <f>IF($B460="","",IF($AK460&lt;=Settings!$C$21,"",IFERROR(AVERAGEIFS($S$4:$S$503,$B$4:$B$503,$B460,$AK$4:$AK$503,"&gt;="&amp;$AK460-Settings!$C$21,$AK$4:$AK$503,"&lt;="&amp;$AK460-1),"")))</f>
        <v/>
      </c>
      <c r="AA460" s="28" t="str">
        <f t="shared" si="127"/>
        <v/>
      </c>
      <c r="AB460" s="25" t="str">
        <f>IF($B460="","",IF($AK460&lt;=Settings!$C$22,"",IFERROR(AVERAGEIFS($K$4:$K$503,$B$4:$B$503,$B460,$AK$4:$AK$503,"&gt;="&amp;$AK460-Settings!$C$22,$AK$4:$AK$503,"&lt;="&amp;$AK460-1),"")))</f>
        <v/>
      </c>
      <c r="AC460" s="27" t="str">
        <f t="shared" si="128"/>
        <v/>
      </c>
      <c r="AD460" s="28" t="str">
        <f>IF($B460="","",IF($AK460&lt;=Settings!$C$23,"",IFERROR($E460/SUMIFS($E$4:$E$503,$B$4:$B$503,$B460,$AK$4:$AK$503,$AK460-Settings!$C$23)-1,"")))</f>
        <v/>
      </c>
      <c r="AE460" s="28" t="str">
        <f>IF($B460="","",IF($AK460&lt;=Settings!$C$22,"",IFERROR($E460/SUMIFS($E$4:$E$503,$B$4:$B$503,$B460,$AK$4:$AK$503,$AK460-Settings!$C$22)-1,"")))</f>
        <v/>
      </c>
      <c r="AF460" s="28" t="str">
        <f t="shared" si="129"/>
        <v/>
      </c>
      <c r="AG460" s="29" t="str">
        <f>IF($B460="","",ROUND((MIN(100,100*N($I460)/Settings!$C$27)+MIN(100,100*N($K460)/Settings!$C$28)+MIN(100,100*N($J460)/Settings!$C$29))/3,1))</f>
        <v/>
      </c>
      <c r="AH460" s="29" t="str">
        <f>IF($B460="","",IF(SUM(Settings!$C$32:$C$37)=0,"",ROUND((Settings!$C$32*$AO460+Settings!$C$33*$AP460+Settings!$C$34*$AQ460+Settings!$C$35*$AR460+Settings!$C$36*$AS460+Settings!$C$37*$AT460)/SUM(Settings!$C$32:$C$37),1)))</f>
        <v/>
      </c>
      <c r="AI460" s="29" t="str">
        <f>IF($B460="","",MAX(0,100-IF(N($N460)&gt;0,0,20)-IF(AND(N($L460)=0,N($M460)=0),15,0)-IF(N($J460)&gt;0,0,10)-IF(N($K460)&gt;0,0,10)-IF($Z460&lt;&gt;"",0,15)-IF($AB460&lt;&gt;"",0,10)-IF($R460="ERROR",20,IF($R460="WARNING",10,0))))</f>
        <v/>
      </c>
      <c r="AJ460" s="30" t="str">
        <f>IF($AH460="","",IF($AH460&lt;Settings!$C$46,"Extreme Sell Pressure",IF($AH460&lt;Settings!$C$47,"Sell Pressure",IF($AH460&lt;=Settings!$C$48,"Neutral",IF($AH460&lt;=Settings!$C$49,"Buy Pressure","Extreme Buy Pressure")))))</f>
        <v/>
      </c>
      <c r="AK460" s="30" t="str">
        <f t="shared" si="130"/>
        <v/>
      </c>
      <c r="AL460" s="30" t="str">
        <f t="shared" si="131"/>
        <v/>
      </c>
      <c r="AM460" s="30" t="str">
        <f t="shared" si="132"/>
        <v/>
      </c>
      <c r="AN460" s="30" t="str">
        <f t="shared" si="133"/>
        <v/>
      </c>
      <c r="AO460" s="29" t="str">
        <f>IF($B460="","",IF(AND(N($L460)=0,N($M460)=0),50,IF(N($M460)=0,100,IF(N($L460)=0,0,MEDIAN(0,100,50+50*LN($S460)/LN(Settings!$C$40))))))</f>
        <v/>
      </c>
      <c r="AP460" s="29">
        <f>IF($AA460="",50,MEDIAN(0,100,50+$AA460*100*Settings!$C$41))</f>
        <v>50</v>
      </c>
      <c r="AQ460" s="29">
        <f>IF($H460="",50,MEDIAN(0,100,50+$H460*100*Settings!$C$42))</f>
        <v>50</v>
      </c>
      <c r="AR460" s="29">
        <f>IF(OR($AC460="",$H460=""),50,MEDIAN(0,100,50+SIGN($H460)*50*MEDIAN(0,1,($AC460-1)/Settings!$C$43)))</f>
        <v>50</v>
      </c>
      <c r="AS460" s="29">
        <f>IF(OR($V460="",$W460=""),50,MEDIAN(0,100,50+50*($V460-$W460)/Settings!$C$44))</f>
        <v>50</v>
      </c>
      <c r="AT460" s="29">
        <f t="shared" si="134"/>
        <v>50</v>
      </c>
      <c r="AU460" s="30" t="str">
        <f t="shared" si="135"/>
        <v/>
      </c>
      <c r="AV460" s="87" t="str">
        <f>IF($A460="","",IF(COUNTIFS($A$4:$A460,$A460)=1,1,0))</f>
        <v/>
      </c>
    </row>
    <row r="461" spans="1:48" x14ac:dyDescent="0.3">
      <c r="A461" s="270"/>
      <c r="B461" s="271"/>
      <c r="C461" s="272"/>
      <c r="D461" s="272"/>
      <c r="E461" s="272"/>
      <c r="F461" s="272"/>
      <c r="G461" s="272"/>
      <c r="H461" s="268" t="str">
        <f t="shared" si="119"/>
        <v/>
      </c>
      <c r="I461" s="273"/>
      <c r="J461" s="273"/>
      <c r="K461" s="273"/>
      <c r="L461" s="273"/>
      <c r="M461" s="273"/>
      <c r="N461" s="273"/>
      <c r="O461" s="271"/>
      <c r="P461" s="270"/>
      <c r="Q461" s="271"/>
      <c r="R461" s="23" t="str" cm="1">
        <f t="array" ref="R461">IF($B461="","",IFERROR(IF(INDEX('Data Quality'!$U$4:$U$503,ROW()-3)=0,"PENDING",INDEX('Data Quality'!$U$4:$U$503,ROW()-3)),"PENDING"))</f>
        <v/>
      </c>
      <c r="S461" s="24" t="str">
        <f t="shared" si="120"/>
        <v/>
      </c>
      <c r="T461" s="25" t="str">
        <f t="shared" si="121"/>
        <v/>
      </c>
      <c r="U461" s="25" t="str">
        <f t="shared" si="122"/>
        <v/>
      </c>
      <c r="V461" s="26" t="str">
        <f t="shared" si="123"/>
        <v/>
      </c>
      <c r="W461" s="26" t="str">
        <f t="shared" si="124"/>
        <v/>
      </c>
      <c r="X461" s="25" t="str">
        <f t="shared" si="125"/>
        <v/>
      </c>
      <c r="Y461" s="25" t="str">
        <f t="shared" si="126"/>
        <v/>
      </c>
      <c r="Z461" s="27" t="str">
        <f>IF($B461="","",IF($AK461&lt;=Settings!$C$21,"",IFERROR(AVERAGEIFS($S$4:$S$503,$B$4:$B$503,$B461,$AK$4:$AK$503,"&gt;="&amp;$AK461-Settings!$C$21,$AK$4:$AK$503,"&lt;="&amp;$AK461-1),"")))</f>
        <v/>
      </c>
      <c r="AA461" s="28" t="str">
        <f t="shared" si="127"/>
        <v/>
      </c>
      <c r="AB461" s="25" t="str">
        <f>IF($B461="","",IF($AK461&lt;=Settings!$C$22,"",IFERROR(AVERAGEIFS($K$4:$K$503,$B$4:$B$503,$B461,$AK$4:$AK$503,"&gt;="&amp;$AK461-Settings!$C$22,$AK$4:$AK$503,"&lt;="&amp;$AK461-1),"")))</f>
        <v/>
      </c>
      <c r="AC461" s="27" t="str">
        <f t="shared" si="128"/>
        <v/>
      </c>
      <c r="AD461" s="28" t="str">
        <f>IF($B461="","",IF($AK461&lt;=Settings!$C$23,"",IFERROR($E461/SUMIFS($E$4:$E$503,$B$4:$B$503,$B461,$AK$4:$AK$503,$AK461-Settings!$C$23)-1,"")))</f>
        <v/>
      </c>
      <c r="AE461" s="28" t="str">
        <f>IF($B461="","",IF($AK461&lt;=Settings!$C$22,"",IFERROR($E461/SUMIFS($E$4:$E$503,$B$4:$B$503,$B461,$AK$4:$AK$503,$AK461-Settings!$C$22)-1,"")))</f>
        <v/>
      </c>
      <c r="AF461" s="28" t="str">
        <f t="shared" si="129"/>
        <v/>
      </c>
      <c r="AG461" s="29" t="str">
        <f>IF($B461="","",ROUND((MIN(100,100*N($I461)/Settings!$C$27)+MIN(100,100*N($K461)/Settings!$C$28)+MIN(100,100*N($J461)/Settings!$C$29))/3,1))</f>
        <v/>
      </c>
      <c r="AH461" s="29" t="str">
        <f>IF($B461="","",IF(SUM(Settings!$C$32:$C$37)=0,"",ROUND((Settings!$C$32*$AO461+Settings!$C$33*$AP461+Settings!$C$34*$AQ461+Settings!$C$35*$AR461+Settings!$C$36*$AS461+Settings!$C$37*$AT461)/SUM(Settings!$C$32:$C$37),1)))</f>
        <v/>
      </c>
      <c r="AI461" s="29" t="str">
        <f>IF($B461="","",MAX(0,100-IF(N($N461)&gt;0,0,20)-IF(AND(N($L461)=0,N($M461)=0),15,0)-IF(N($J461)&gt;0,0,10)-IF(N($K461)&gt;0,0,10)-IF($Z461&lt;&gt;"",0,15)-IF($AB461&lt;&gt;"",0,10)-IF($R461="ERROR",20,IF($R461="WARNING",10,0))))</f>
        <v/>
      </c>
      <c r="AJ461" s="30" t="str">
        <f>IF($AH461="","",IF($AH461&lt;Settings!$C$46,"Extreme Sell Pressure",IF($AH461&lt;Settings!$C$47,"Sell Pressure",IF($AH461&lt;=Settings!$C$48,"Neutral",IF($AH461&lt;=Settings!$C$49,"Buy Pressure","Extreme Buy Pressure")))))</f>
        <v/>
      </c>
      <c r="AK461" s="30" t="str">
        <f t="shared" si="130"/>
        <v/>
      </c>
      <c r="AL461" s="30" t="str">
        <f t="shared" si="131"/>
        <v/>
      </c>
      <c r="AM461" s="30" t="str">
        <f t="shared" si="132"/>
        <v/>
      </c>
      <c r="AN461" s="30" t="str">
        <f t="shared" si="133"/>
        <v/>
      </c>
      <c r="AO461" s="29" t="str">
        <f>IF($B461="","",IF(AND(N($L461)=0,N($M461)=0),50,IF(N($M461)=0,100,IF(N($L461)=0,0,MEDIAN(0,100,50+50*LN($S461)/LN(Settings!$C$40))))))</f>
        <v/>
      </c>
      <c r="AP461" s="29">
        <f>IF($AA461="",50,MEDIAN(0,100,50+$AA461*100*Settings!$C$41))</f>
        <v>50</v>
      </c>
      <c r="AQ461" s="29">
        <f>IF($H461="",50,MEDIAN(0,100,50+$H461*100*Settings!$C$42))</f>
        <v>50</v>
      </c>
      <c r="AR461" s="29">
        <f>IF(OR($AC461="",$H461=""),50,MEDIAN(0,100,50+SIGN($H461)*50*MEDIAN(0,1,($AC461-1)/Settings!$C$43)))</f>
        <v>50</v>
      </c>
      <c r="AS461" s="29">
        <f>IF(OR($V461="",$W461=""),50,MEDIAN(0,100,50+50*($V461-$W461)/Settings!$C$44))</f>
        <v>50</v>
      </c>
      <c r="AT461" s="29">
        <f t="shared" si="134"/>
        <v>50</v>
      </c>
      <c r="AU461" s="30" t="str">
        <f t="shared" si="135"/>
        <v/>
      </c>
      <c r="AV461" s="87" t="str">
        <f>IF($A461="","",IF(COUNTIFS($A$4:$A461,$A461)=1,1,0))</f>
        <v/>
      </c>
    </row>
    <row r="462" spans="1:48" x14ac:dyDescent="0.3">
      <c r="A462" s="270"/>
      <c r="B462" s="271"/>
      <c r="C462" s="272"/>
      <c r="D462" s="272"/>
      <c r="E462" s="272"/>
      <c r="F462" s="272"/>
      <c r="G462" s="272"/>
      <c r="H462" s="268" t="str">
        <f t="shared" si="119"/>
        <v/>
      </c>
      <c r="I462" s="273"/>
      <c r="J462" s="273"/>
      <c r="K462" s="273"/>
      <c r="L462" s="273"/>
      <c r="M462" s="273"/>
      <c r="N462" s="273"/>
      <c r="O462" s="271"/>
      <c r="P462" s="270"/>
      <c r="Q462" s="271"/>
      <c r="R462" s="23" t="str" cm="1">
        <f t="array" ref="R462">IF($B462="","",IFERROR(IF(INDEX('Data Quality'!$U$4:$U$503,ROW()-3)=0,"PENDING",INDEX('Data Quality'!$U$4:$U$503,ROW()-3)),"PENDING"))</f>
        <v/>
      </c>
      <c r="S462" s="24" t="str">
        <f t="shared" si="120"/>
        <v/>
      </c>
      <c r="T462" s="25" t="str">
        <f t="shared" si="121"/>
        <v/>
      </c>
      <c r="U462" s="25" t="str">
        <f t="shared" si="122"/>
        <v/>
      </c>
      <c r="V462" s="26" t="str">
        <f t="shared" si="123"/>
        <v/>
      </c>
      <c r="W462" s="26" t="str">
        <f t="shared" si="124"/>
        <v/>
      </c>
      <c r="X462" s="25" t="str">
        <f t="shared" si="125"/>
        <v/>
      </c>
      <c r="Y462" s="25" t="str">
        <f t="shared" si="126"/>
        <v/>
      </c>
      <c r="Z462" s="27" t="str">
        <f>IF($B462="","",IF($AK462&lt;=Settings!$C$21,"",IFERROR(AVERAGEIFS($S$4:$S$503,$B$4:$B$503,$B462,$AK$4:$AK$503,"&gt;="&amp;$AK462-Settings!$C$21,$AK$4:$AK$503,"&lt;="&amp;$AK462-1),"")))</f>
        <v/>
      </c>
      <c r="AA462" s="28" t="str">
        <f t="shared" si="127"/>
        <v/>
      </c>
      <c r="AB462" s="25" t="str">
        <f>IF($B462="","",IF($AK462&lt;=Settings!$C$22,"",IFERROR(AVERAGEIFS($K$4:$K$503,$B$4:$B$503,$B462,$AK$4:$AK$503,"&gt;="&amp;$AK462-Settings!$C$22,$AK$4:$AK$503,"&lt;="&amp;$AK462-1),"")))</f>
        <v/>
      </c>
      <c r="AC462" s="27" t="str">
        <f t="shared" si="128"/>
        <v/>
      </c>
      <c r="AD462" s="28" t="str">
        <f>IF($B462="","",IF($AK462&lt;=Settings!$C$23,"",IFERROR($E462/SUMIFS($E$4:$E$503,$B$4:$B$503,$B462,$AK$4:$AK$503,$AK462-Settings!$C$23)-1,"")))</f>
        <v/>
      </c>
      <c r="AE462" s="28" t="str">
        <f>IF($B462="","",IF($AK462&lt;=Settings!$C$22,"",IFERROR($E462/SUMIFS($E$4:$E$503,$B$4:$B$503,$B462,$AK$4:$AK$503,$AK462-Settings!$C$22)-1,"")))</f>
        <v/>
      </c>
      <c r="AF462" s="28" t="str">
        <f t="shared" si="129"/>
        <v/>
      </c>
      <c r="AG462" s="29" t="str">
        <f>IF($B462="","",ROUND((MIN(100,100*N($I462)/Settings!$C$27)+MIN(100,100*N($K462)/Settings!$C$28)+MIN(100,100*N($J462)/Settings!$C$29))/3,1))</f>
        <v/>
      </c>
      <c r="AH462" s="29" t="str">
        <f>IF($B462="","",IF(SUM(Settings!$C$32:$C$37)=0,"",ROUND((Settings!$C$32*$AO462+Settings!$C$33*$AP462+Settings!$C$34*$AQ462+Settings!$C$35*$AR462+Settings!$C$36*$AS462+Settings!$C$37*$AT462)/SUM(Settings!$C$32:$C$37),1)))</f>
        <v/>
      </c>
      <c r="AI462" s="29" t="str">
        <f>IF($B462="","",MAX(0,100-IF(N($N462)&gt;0,0,20)-IF(AND(N($L462)=0,N($M462)=0),15,0)-IF(N($J462)&gt;0,0,10)-IF(N($K462)&gt;0,0,10)-IF($Z462&lt;&gt;"",0,15)-IF($AB462&lt;&gt;"",0,10)-IF($R462="ERROR",20,IF($R462="WARNING",10,0))))</f>
        <v/>
      </c>
      <c r="AJ462" s="30" t="str">
        <f>IF($AH462="","",IF($AH462&lt;Settings!$C$46,"Extreme Sell Pressure",IF($AH462&lt;Settings!$C$47,"Sell Pressure",IF($AH462&lt;=Settings!$C$48,"Neutral",IF($AH462&lt;=Settings!$C$49,"Buy Pressure","Extreme Buy Pressure")))))</f>
        <v/>
      </c>
      <c r="AK462" s="30" t="str">
        <f t="shared" si="130"/>
        <v/>
      </c>
      <c r="AL462" s="30" t="str">
        <f t="shared" si="131"/>
        <v/>
      </c>
      <c r="AM462" s="30" t="str">
        <f t="shared" si="132"/>
        <v/>
      </c>
      <c r="AN462" s="30" t="str">
        <f t="shared" si="133"/>
        <v/>
      </c>
      <c r="AO462" s="29" t="str">
        <f>IF($B462="","",IF(AND(N($L462)=0,N($M462)=0),50,IF(N($M462)=0,100,IF(N($L462)=0,0,MEDIAN(0,100,50+50*LN($S462)/LN(Settings!$C$40))))))</f>
        <v/>
      </c>
      <c r="AP462" s="29">
        <f>IF($AA462="",50,MEDIAN(0,100,50+$AA462*100*Settings!$C$41))</f>
        <v>50</v>
      </c>
      <c r="AQ462" s="29">
        <f>IF($H462="",50,MEDIAN(0,100,50+$H462*100*Settings!$C$42))</f>
        <v>50</v>
      </c>
      <c r="AR462" s="29">
        <f>IF(OR($AC462="",$H462=""),50,MEDIAN(0,100,50+SIGN($H462)*50*MEDIAN(0,1,($AC462-1)/Settings!$C$43)))</f>
        <v>50</v>
      </c>
      <c r="AS462" s="29">
        <f>IF(OR($V462="",$W462=""),50,MEDIAN(0,100,50+50*($V462-$W462)/Settings!$C$44))</f>
        <v>50</v>
      </c>
      <c r="AT462" s="29">
        <f t="shared" si="134"/>
        <v>50</v>
      </c>
      <c r="AU462" s="30" t="str">
        <f t="shared" si="135"/>
        <v/>
      </c>
      <c r="AV462" s="87" t="str">
        <f>IF($A462="","",IF(COUNTIFS($A$4:$A462,$A462)=1,1,0))</f>
        <v/>
      </c>
    </row>
    <row r="463" spans="1:48" x14ac:dyDescent="0.3">
      <c r="A463" s="270"/>
      <c r="B463" s="271"/>
      <c r="C463" s="272"/>
      <c r="D463" s="272"/>
      <c r="E463" s="272"/>
      <c r="F463" s="272"/>
      <c r="G463" s="272"/>
      <c r="H463" s="268" t="str">
        <f t="shared" si="119"/>
        <v/>
      </c>
      <c r="I463" s="273"/>
      <c r="J463" s="273"/>
      <c r="K463" s="273"/>
      <c r="L463" s="273"/>
      <c r="M463" s="273"/>
      <c r="N463" s="273"/>
      <c r="O463" s="271"/>
      <c r="P463" s="270"/>
      <c r="Q463" s="271"/>
      <c r="R463" s="23" t="str" cm="1">
        <f t="array" ref="R463">IF($B463="","",IFERROR(IF(INDEX('Data Quality'!$U$4:$U$503,ROW()-3)=0,"PENDING",INDEX('Data Quality'!$U$4:$U$503,ROW()-3)),"PENDING"))</f>
        <v/>
      </c>
      <c r="S463" s="24" t="str">
        <f t="shared" si="120"/>
        <v/>
      </c>
      <c r="T463" s="25" t="str">
        <f t="shared" si="121"/>
        <v/>
      </c>
      <c r="U463" s="25" t="str">
        <f t="shared" si="122"/>
        <v/>
      </c>
      <c r="V463" s="26" t="str">
        <f t="shared" si="123"/>
        <v/>
      </c>
      <c r="W463" s="26" t="str">
        <f t="shared" si="124"/>
        <v/>
      </c>
      <c r="X463" s="25" t="str">
        <f t="shared" si="125"/>
        <v/>
      </c>
      <c r="Y463" s="25" t="str">
        <f t="shared" si="126"/>
        <v/>
      </c>
      <c r="Z463" s="27" t="str">
        <f>IF($B463="","",IF($AK463&lt;=Settings!$C$21,"",IFERROR(AVERAGEIFS($S$4:$S$503,$B$4:$B$503,$B463,$AK$4:$AK$503,"&gt;="&amp;$AK463-Settings!$C$21,$AK$4:$AK$503,"&lt;="&amp;$AK463-1),"")))</f>
        <v/>
      </c>
      <c r="AA463" s="28" t="str">
        <f t="shared" si="127"/>
        <v/>
      </c>
      <c r="AB463" s="25" t="str">
        <f>IF($B463="","",IF($AK463&lt;=Settings!$C$22,"",IFERROR(AVERAGEIFS($K$4:$K$503,$B$4:$B$503,$B463,$AK$4:$AK$503,"&gt;="&amp;$AK463-Settings!$C$22,$AK$4:$AK$503,"&lt;="&amp;$AK463-1),"")))</f>
        <v/>
      </c>
      <c r="AC463" s="27" t="str">
        <f t="shared" si="128"/>
        <v/>
      </c>
      <c r="AD463" s="28" t="str">
        <f>IF($B463="","",IF($AK463&lt;=Settings!$C$23,"",IFERROR($E463/SUMIFS($E$4:$E$503,$B$4:$B$503,$B463,$AK$4:$AK$503,$AK463-Settings!$C$23)-1,"")))</f>
        <v/>
      </c>
      <c r="AE463" s="28" t="str">
        <f>IF($B463="","",IF($AK463&lt;=Settings!$C$22,"",IFERROR($E463/SUMIFS($E$4:$E$503,$B$4:$B$503,$B463,$AK$4:$AK$503,$AK463-Settings!$C$22)-1,"")))</f>
        <v/>
      </c>
      <c r="AF463" s="28" t="str">
        <f t="shared" si="129"/>
        <v/>
      </c>
      <c r="AG463" s="29" t="str">
        <f>IF($B463="","",ROUND((MIN(100,100*N($I463)/Settings!$C$27)+MIN(100,100*N($K463)/Settings!$C$28)+MIN(100,100*N($J463)/Settings!$C$29))/3,1))</f>
        <v/>
      </c>
      <c r="AH463" s="29" t="str">
        <f>IF($B463="","",IF(SUM(Settings!$C$32:$C$37)=0,"",ROUND((Settings!$C$32*$AO463+Settings!$C$33*$AP463+Settings!$C$34*$AQ463+Settings!$C$35*$AR463+Settings!$C$36*$AS463+Settings!$C$37*$AT463)/SUM(Settings!$C$32:$C$37),1)))</f>
        <v/>
      </c>
      <c r="AI463" s="29" t="str">
        <f>IF($B463="","",MAX(0,100-IF(N($N463)&gt;0,0,20)-IF(AND(N($L463)=0,N($M463)=0),15,0)-IF(N($J463)&gt;0,0,10)-IF(N($K463)&gt;0,0,10)-IF($Z463&lt;&gt;"",0,15)-IF($AB463&lt;&gt;"",0,10)-IF($R463="ERROR",20,IF($R463="WARNING",10,0))))</f>
        <v/>
      </c>
      <c r="AJ463" s="30" t="str">
        <f>IF($AH463="","",IF($AH463&lt;Settings!$C$46,"Extreme Sell Pressure",IF($AH463&lt;Settings!$C$47,"Sell Pressure",IF($AH463&lt;=Settings!$C$48,"Neutral",IF($AH463&lt;=Settings!$C$49,"Buy Pressure","Extreme Buy Pressure")))))</f>
        <v/>
      </c>
      <c r="AK463" s="30" t="str">
        <f t="shared" si="130"/>
        <v/>
      </c>
      <c r="AL463" s="30" t="str">
        <f t="shared" si="131"/>
        <v/>
      </c>
      <c r="AM463" s="30" t="str">
        <f t="shared" si="132"/>
        <v/>
      </c>
      <c r="AN463" s="30" t="str">
        <f t="shared" si="133"/>
        <v/>
      </c>
      <c r="AO463" s="29" t="str">
        <f>IF($B463="","",IF(AND(N($L463)=0,N($M463)=0),50,IF(N($M463)=0,100,IF(N($L463)=0,0,MEDIAN(0,100,50+50*LN($S463)/LN(Settings!$C$40))))))</f>
        <v/>
      </c>
      <c r="AP463" s="29">
        <f>IF($AA463="",50,MEDIAN(0,100,50+$AA463*100*Settings!$C$41))</f>
        <v>50</v>
      </c>
      <c r="AQ463" s="29">
        <f>IF($H463="",50,MEDIAN(0,100,50+$H463*100*Settings!$C$42))</f>
        <v>50</v>
      </c>
      <c r="AR463" s="29">
        <f>IF(OR($AC463="",$H463=""),50,MEDIAN(0,100,50+SIGN($H463)*50*MEDIAN(0,1,($AC463-1)/Settings!$C$43)))</f>
        <v>50</v>
      </c>
      <c r="AS463" s="29">
        <f>IF(OR($V463="",$W463=""),50,MEDIAN(0,100,50+50*($V463-$W463)/Settings!$C$44))</f>
        <v>50</v>
      </c>
      <c r="AT463" s="29">
        <f t="shared" si="134"/>
        <v>50</v>
      </c>
      <c r="AU463" s="30" t="str">
        <f t="shared" si="135"/>
        <v/>
      </c>
      <c r="AV463" s="87" t="str">
        <f>IF($A463="","",IF(COUNTIFS($A$4:$A463,$A463)=1,1,0))</f>
        <v/>
      </c>
    </row>
    <row r="464" spans="1:48" x14ac:dyDescent="0.3">
      <c r="A464" s="270"/>
      <c r="B464" s="271"/>
      <c r="C464" s="272"/>
      <c r="D464" s="272"/>
      <c r="E464" s="272"/>
      <c r="F464" s="272"/>
      <c r="G464" s="272"/>
      <c r="H464" s="268" t="str">
        <f t="shared" si="119"/>
        <v/>
      </c>
      <c r="I464" s="273"/>
      <c r="J464" s="273"/>
      <c r="K464" s="273"/>
      <c r="L464" s="273"/>
      <c r="M464" s="273"/>
      <c r="N464" s="273"/>
      <c r="O464" s="271"/>
      <c r="P464" s="270"/>
      <c r="Q464" s="271"/>
      <c r="R464" s="23" t="str" cm="1">
        <f t="array" ref="R464">IF($B464="","",IFERROR(IF(INDEX('Data Quality'!$U$4:$U$503,ROW()-3)=0,"PENDING",INDEX('Data Quality'!$U$4:$U$503,ROW()-3)),"PENDING"))</f>
        <v/>
      </c>
      <c r="S464" s="24" t="str">
        <f t="shared" si="120"/>
        <v/>
      </c>
      <c r="T464" s="25" t="str">
        <f t="shared" si="121"/>
        <v/>
      </c>
      <c r="U464" s="25" t="str">
        <f t="shared" si="122"/>
        <v/>
      </c>
      <c r="V464" s="26" t="str">
        <f t="shared" si="123"/>
        <v/>
      </c>
      <c r="W464" s="26" t="str">
        <f t="shared" si="124"/>
        <v/>
      </c>
      <c r="X464" s="25" t="str">
        <f t="shared" si="125"/>
        <v/>
      </c>
      <c r="Y464" s="25" t="str">
        <f t="shared" si="126"/>
        <v/>
      </c>
      <c r="Z464" s="27" t="str">
        <f>IF($B464="","",IF($AK464&lt;=Settings!$C$21,"",IFERROR(AVERAGEIFS($S$4:$S$503,$B$4:$B$503,$B464,$AK$4:$AK$503,"&gt;="&amp;$AK464-Settings!$C$21,$AK$4:$AK$503,"&lt;="&amp;$AK464-1),"")))</f>
        <v/>
      </c>
      <c r="AA464" s="28" t="str">
        <f t="shared" si="127"/>
        <v/>
      </c>
      <c r="AB464" s="25" t="str">
        <f>IF($B464="","",IF($AK464&lt;=Settings!$C$22,"",IFERROR(AVERAGEIFS($K$4:$K$503,$B$4:$B$503,$B464,$AK$4:$AK$503,"&gt;="&amp;$AK464-Settings!$C$22,$AK$4:$AK$503,"&lt;="&amp;$AK464-1),"")))</f>
        <v/>
      </c>
      <c r="AC464" s="27" t="str">
        <f t="shared" si="128"/>
        <v/>
      </c>
      <c r="AD464" s="28" t="str">
        <f>IF($B464="","",IF($AK464&lt;=Settings!$C$23,"",IFERROR($E464/SUMIFS($E$4:$E$503,$B$4:$B$503,$B464,$AK$4:$AK$503,$AK464-Settings!$C$23)-1,"")))</f>
        <v/>
      </c>
      <c r="AE464" s="28" t="str">
        <f>IF($B464="","",IF($AK464&lt;=Settings!$C$22,"",IFERROR($E464/SUMIFS($E$4:$E$503,$B$4:$B$503,$B464,$AK$4:$AK$503,$AK464-Settings!$C$22)-1,"")))</f>
        <v/>
      </c>
      <c r="AF464" s="28" t="str">
        <f t="shared" si="129"/>
        <v/>
      </c>
      <c r="AG464" s="29" t="str">
        <f>IF($B464="","",ROUND((MIN(100,100*N($I464)/Settings!$C$27)+MIN(100,100*N($K464)/Settings!$C$28)+MIN(100,100*N($J464)/Settings!$C$29))/3,1))</f>
        <v/>
      </c>
      <c r="AH464" s="29" t="str">
        <f>IF($B464="","",IF(SUM(Settings!$C$32:$C$37)=0,"",ROUND((Settings!$C$32*$AO464+Settings!$C$33*$AP464+Settings!$C$34*$AQ464+Settings!$C$35*$AR464+Settings!$C$36*$AS464+Settings!$C$37*$AT464)/SUM(Settings!$C$32:$C$37),1)))</f>
        <v/>
      </c>
      <c r="AI464" s="29" t="str">
        <f>IF($B464="","",MAX(0,100-IF(N($N464)&gt;0,0,20)-IF(AND(N($L464)=0,N($M464)=0),15,0)-IF(N($J464)&gt;0,0,10)-IF(N($K464)&gt;0,0,10)-IF($Z464&lt;&gt;"",0,15)-IF($AB464&lt;&gt;"",0,10)-IF($R464="ERROR",20,IF($R464="WARNING",10,0))))</f>
        <v/>
      </c>
      <c r="AJ464" s="30" t="str">
        <f>IF($AH464="","",IF($AH464&lt;Settings!$C$46,"Extreme Sell Pressure",IF($AH464&lt;Settings!$C$47,"Sell Pressure",IF($AH464&lt;=Settings!$C$48,"Neutral",IF($AH464&lt;=Settings!$C$49,"Buy Pressure","Extreme Buy Pressure")))))</f>
        <v/>
      </c>
      <c r="AK464" s="30" t="str">
        <f t="shared" si="130"/>
        <v/>
      </c>
      <c r="AL464" s="30" t="str">
        <f t="shared" si="131"/>
        <v/>
      </c>
      <c r="AM464" s="30" t="str">
        <f t="shared" si="132"/>
        <v/>
      </c>
      <c r="AN464" s="30" t="str">
        <f t="shared" si="133"/>
        <v/>
      </c>
      <c r="AO464" s="29" t="str">
        <f>IF($B464="","",IF(AND(N($L464)=0,N($M464)=0),50,IF(N($M464)=0,100,IF(N($L464)=0,0,MEDIAN(0,100,50+50*LN($S464)/LN(Settings!$C$40))))))</f>
        <v/>
      </c>
      <c r="AP464" s="29">
        <f>IF($AA464="",50,MEDIAN(0,100,50+$AA464*100*Settings!$C$41))</f>
        <v>50</v>
      </c>
      <c r="AQ464" s="29">
        <f>IF($H464="",50,MEDIAN(0,100,50+$H464*100*Settings!$C$42))</f>
        <v>50</v>
      </c>
      <c r="AR464" s="29">
        <f>IF(OR($AC464="",$H464=""),50,MEDIAN(0,100,50+SIGN($H464)*50*MEDIAN(0,1,($AC464-1)/Settings!$C$43)))</f>
        <v>50</v>
      </c>
      <c r="AS464" s="29">
        <f>IF(OR($V464="",$W464=""),50,MEDIAN(0,100,50+50*($V464-$W464)/Settings!$C$44))</f>
        <v>50</v>
      </c>
      <c r="AT464" s="29">
        <f t="shared" si="134"/>
        <v>50</v>
      </c>
      <c r="AU464" s="30" t="str">
        <f t="shared" si="135"/>
        <v/>
      </c>
      <c r="AV464" s="87" t="str">
        <f>IF($A464="","",IF(COUNTIFS($A$4:$A464,$A464)=1,1,0))</f>
        <v/>
      </c>
    </row>
    <row r="465" spans="1:48" x14ac:dyDescent="0.3">
      <c r="A465" s="270"/>
      <c r="B465" s="271"/>
      <c r="C465" s="272"/>
      <c r="D465" s="272"/>
      <c r="E465" s="272"/>
      <c r="F465" s="272"/>
      <c r="G465" s="272"/>
      <c r="H465" s="268" t="str">
        <f t="shared" si="119"/>
        <v/>
      </c>
      <c r="I465" s="273"/>
      <c r="J465" s="273"/>
      <c r="K465" s="273"/>
      <c r="L465" s="273"/>
      <c r="M465" s="273"/>
      <c r="N465" s="273"/>
      <c r="O465" s="271"/>
      <c r="P465" s="270"/>
      <c r="Q465" s="271"/>
      <c r="R465" s="23" t="str" cm="1">
        <f t="array" ref="R465">IF($B465="","",IFERROR(IF(INDEX('Data Quality'!$U$4:$U$503,ROW()-3)=0,"PENDING",INDEX('Data Quality'!$U$4:$U$503,ROW()-3)),"PENDING"))</f>
        <v/>
      </c>
      <c r="S465" s="24" t="str">
        <f t="shared" si="120"/>
        <v/>
      </c>
      <c r="T465" s="25" t="str">
        <f t="shared" si="121"/>
        <v/>
      </c>
      <c r="U465" s="25" t="str">
        <f t="shared" si="122"/>
        <v/>
      </c>
      <c r="V465" s="26" t="str">
        <f t="shared" si="123"/>
        <v/>
      </c>
      <c r="W465" s="26" t="str">
        <f t="shared" si="124"/>
        <v/>
      </c>
      <c r="X465" s="25" t="str">
        <f t="shared" si="125"/>
        <v/>
      </c>
      <c r="Y465" s="25" t="str">
        <f t="shared" si="126"/>
        <v/>
      </c>
      <c r="Z465" s="27" t="str">
        <f>IF($B465="","",IF($AK465&lt;=Settings!$C$21,"",IFERROR(AVERAGEIFS($S$4:$S$503,$B$4:$B$503,$B465,$AK$4:$AK$503,"&gt;="&amp;$AK465-Settings!$C$21,$AK$4:$AK$503,"&lt;="&amp;$AK465-1),"")))</f>
        <v/>
      </c>
      <c r="AA465" s="28" t="str">
        <f t="shared" si="127"/>
        <v/>
      </c>
      <c r="AB465" s="25" t="str">
        <f>IF($B465="","",IF($AK465&lt;=Settings!$C$22,"",IFERROR(AVERAGEIFS($K$4:$K$503,$B$4:$B$503,$B465,$AK$4:$AK$503,"&gt;="&amp;$AK465-Settings!$C$22,$AK$4:$AK$503,"&lt;="&amp;$AK465-1),"")))</f>
        <v/>
      </c>
      <c r="AC465" s="27" t="str">
        <f t="shared" si="128"/>
        <v/>
      </c>
      <c r="AD465" s="28" t="str">
        <f>IF($B465="","",IF($AK465&lt;=Settings!$C$23,"",IFERROR($E465/SUMIFS($E$4:$E$503,$B$4:$B$503,$B465,$AK$4:$AK$503,$AK465-Settings!$C$23)-1,"")))</f>
        <v/>
      </c>
      <c r="AE465" s="28" t="str">
        <f>IF($B465="","",IF($AK465&lt;=Settings!$C$22,"",IFERROR($E465/SUMIFS($E$4:$E$503,$B$4:$B$503,$B465,$AK$4:$AK$503,$AK465-Settings!$C$22)-1,"")))</f>
        <v/>
      </c>
      <c r="AF465" s="28" t="str">
        <f t="shared" si="129"/>
        <v/>
      </c>
      <c r="AG465" s="29" t="str">
        <f>IF($B465="","",ROUND((MIN(100,100*N($I465)/Settings!$C$27)+MIN(100,100*N($K465)/Settings!$C$28)+MIN(100,100*N($J465)/Settings!$C$29))/3,1))</f>
        <v/>
      </c>
      <c r="AH465" s="29" t="str">
        <f>IF($B465="","",IF(SUM(Settings!$C$32:$C$37)=0,"",ROUND((Settings!$C$32*$AO465+Settings!$C$33*$AP465+Settings!$C$34*$AQ465+Settings!$C$35*$AR465+Settings!$C$36*$AS465+Settings!$C$37*$AT465)/SUM(Settings!$C$32:$C$37),1)))</f>
        <v/>
      </c>
      <c r="AI465" s="29" t="str">
        <f>IF($B465="","",MAX(0,100-IF(N($N465)&gt;0,0,20)-IF(AND(N($L465)=0,N($M465)=0),15,0)-IF(N($J465)&gt;0,0,10)-IF(N($K465)&gt;0,0,10)-IF($Z465&lt;&gt;"",0,15)-IF($AB465&lt;&gt;"",0,10)-IF($R465="ERROR",20,IF($R465="WARNING",10,0))))</f>
        <v/>
      </c>
      <c r="AJ465" s="30" t="str">
        <f>IF($AH465="","",IF($AH465&lt;Settings!$C$46,"Extreme Sell Pressure",IF($AH465&lt;Settings!$C$47,"Sell Pressure",IF($AH465&lt;=Settings!$C$48,"Neutral",IF($AH465&lt;=Settings!$C$49,"Buy Pressure","Extreme Buy Pressure")))))</f>
        <v/>
      </c>
      <c r="AK465" s="30" t="str">
        <f t="shared" si="130"/>
        <v/>
      </c>
      <c r="AL465" s="30" t="str">
        <f t="shared" si="131"/>
        <v/>
      </c>
      <c r="AM465" s="30" t="str">
        <f t="shared" si="132"/>
        <v/>
      </c>
      <c r="AN465" s="30" t="str">
        <f t="shared" si="133"/>
        <v/>
      </c>
      <c r="AO465" s="29" t="str">
        <f>IF($B465="","",IF(AND(N($L465)=0,N($M465)=0),50,IF(N($M465)=0,100,IF(N($L465)=0,0,MEDIAN(0,100,50+50*LN($S465)/LN(Settings!$C$40))))))</f>
        <v/>
      </c>
      <c r="AP465" s="29">
        <f>IF($AA465="",50,MEDIAN(0,100,50+$AA465*100*Settings!$C$41))</f>
        <v>50</v>
      </c>
      <c r="AQ465" s="29">
        <f>IF($H465="",50,MEDIAN(0,100,50+$H465*100*Settings!$C$42))</f>
        <v>50</v>
      </c>
      <c r="AR465" s="29">
        <f>IF(OR($AC465="",$H465=""),50,MEDIAN(0,100,50+SIGN($H465)*50*MEDIAN(0,1,($AC465-1)/Settings!$C$43)))</f>
        <v>50</v>
      </c>
      <c r="AS465" s="29">
        <f>IF(OR($V465="",$W465=""),50,MEDIAN(0,100,50+50*($V465-$W465)/Settings!$C$44))</f>
        <v>50</v>
      </c>
      <c r="AT465" s="29">
        <f t="shared" si="134"/>
        <v>50</v>
      </c>
      <c r="AU465" s="30" t="str">
        <f t="shared" si="135"/>
        <v/>
      </c>
      <c r="AV465" s="87" t="str">
        <f>IF($A465="","",IF(COUNTIFS($A$4:$A465,$A465)=1,1,0))</f>
        <v/>
      </c>
    </row>
    <row r="466" spans="1:48" x14ac:dyDescent="0.3">
      <c r="A466" s="270"/>
      <c r="B466" s="271"/>
      <c r="C466" s="272"/>
      <c r="D466" s="272"/>
      <c r="E466" s="272"/>
      <c r="F466" s="272"/>
      <c r="G466" s="272"/>
      <c r="H466" s="268" t="str">
        <f t="shared" si="119"/>
        <v/>
      </c>
      <c r="I466" s="273"/>
      <c r="J466" s="273"/>
      <c r="K466" s="273"/>
      <c r="L466" s="273"/>
      <c r="M466" s="273"/>
      <c r="N466" s="273"/>
      <c r="O466" s="271"/>
      <c r="P466" s="270"/>
      <c r="Q466" s="271"/>
      <c r="R466" s="23" t="str" cm="1">
        <f t="array" ref="R466">IF($B466="","",IFERROR(IF(INDEX('Data Quality'!$U$4:$U$503,ROW()-3)=0,"PENDING",INDEX('Data Quality'!$U$4:$U$503,ROW()-3)),"PENDING"))</f>
        <v/>
      </c>
      <c r="S466" s="24" t="str">
        <f t="shared" si="120"/>
        <v/>
      </c>
      <c r="T466" s="25" t="str">
        <f t="shared" si="121"/>
        <v/>
      </c>
      <c r="U466" s="25" t="str">
        <f t="shared" si="122"/>
        <v/>
      </c>
      <c r="V466" s="26" t="str">
        <f t="shared" si="123"/>
        <v/>
      </c>
      <c r="W466" s="26" t="str">
        <f t="shared" si="124"/>
        <v/>
      </c>
      <c r="X466" s="25" t="str">
        <f t="shared" si="125"/>
        <v/>
      </c>
      <c r="Y466" s="25" t="str">
        <f t="shared" si="126"/>
        <v/>
      </c>
      <c r="Z466" s="27" t="str">
        <f>IF($B466="","",IF($AK466&lt;=Settings!$C$21,"",IFERROR(AVERAGEIFS($S$4:$S$503,$B$4:$B$503,$B466,$AK$4:$AK$503,"&gt;="&amp;$AK466-Settings!$C$21,$AK$4:$AK$503,"&lt;="&amp;$AK466-1),"")))</f>
        <v/>
      </c>
      <c r="AA466" s="28" t="str">
        <f t="shared" si="127"/>
        <v/>
      </c>
      <c r="AB466" s="25" t="str">
        <f>IF($B466="","",IF($AK466&lt;=Settings!$C$22,"",IFERROR(AVERAGEIFS($K$4:$K$503,$B$4:$B$503,$B466,$AK$4:$AK$503,"&gt;="&amp;$AK466-Settings!$C$22,$AK$4:$AK$503,"&lt;="&amp;$AK466-1),"")))</f>
        <v/>
      </c>
      <c r="AC466" s="27" t="str">
        <f t="shared" si="128"/>
        <v/>
      </c>
      <c r="AD466" s="28" t="str">
        <f>IF($B466="","",IF($AK466&lt;=Settings!$C$23,"",IFERROR($E466/SUMIFS($E$4:$E$503,$B$4:$B$503,$B466,$AK$4:$AK$503,$AK466-Settings!$C$23)-1,"")))</f>
        <v/>
      </c>
      <c r="AE466" s="28" t="str">
        <f>IF($B466="","",IF($AK466&lt;=Settings!$C$22,"",IFERROR($E466/SUMIFS($E$4:$E$503,$B$4:$B$503,$B466,$AK$4:$AK$503,$AK466-Settings!$C$22)-1,"")))</f>
        <v/>
      </c>
      <c r="AF466" s="28" t="str">
        <f t="shared" si="129"/>
        <v/>
      </c>
      <c r="AG466" s="29" t="str">
        <f>IF($B466="","",ROUND((MIN(100,100*N($I466)/Settings!$C$27)+MIN(100,100*N($K466)/Settings!$C$28)+MIN(100,100*N($J466)/Settings!$C$29))/3,1))</f>
        <v/>
      </c>
      <c r="AH466" s="29" t="str">
        <f>IF($B466="","",IF(SUM(Settings!$C$32:$C$37)=0,"",ROUND((Settings!$C$32*$AO466+Settings!$C$33*$AP466+Settings!$C$34*$AQ466+Settings!$C$35*$AR466+Settings!$C$36*$AS466+Settings!$C$37*$AT466)/SUM(Settings!$C$32:$C$37),1)))</f>
        <v/>
      </c>
      <c r="AI466" s="29" t="str">
        <f>IF($B466="","",MAX(0,100-IF(N($N466)&gt;0,0,20)-IF(AND(N($L466)=0,N($M466)=0),15,0)-IF(N($J466)&gt;0,0,10)-IF(N($K466)&gt;0,0,10)-IF($Z466&lt;&gt;"",0,15)-IF($AB466&lt;&gt;"",0,10)-IF($R466="ERROR",20,IF($R466="WARNING",10,0))))</f>
        <v/>
      </c>
      <c r="AJ466" s="30" t="str">
        <f>IF($AH466="","",IF($AH466&lt;Settings!$C$46,"Extreme Sell Pressure",IF($AH466&lt;Settings!$C$47,"Sell Pressure",IF($AH466&lt;=Settings!$C$48,"Neutral",IF($AH466&lt;=Settings!$C$49,"Buy Pressure","Extreme Buy Pressure")))))</f>
        <v/>
      </c>
      <c r="AK466" s="30" t="str">
        <f t="shared" si="130"/>
        <v/>
      </c>
      <c r="AL466" s="30" t="str">
        <f t="shared" si="131"/>
        <v/>
      </c>
      <c r="AM466" s="30" t="str">
        <f t="shared" si="132"/>
        <v/>
      </c>
      <c r="AN466" s="30" t="str">
        <f t="shared" si="133"/>
        <v/>
      </c>
      <c r="AO466" s="29" t="str">
        <f>IF($B466="","",IF(AND(N($L466)=0,N($M466)=0),50,IF(N($M466)=0,100,IF(N($L466)=0,0,MEDIAN(0,100,50+50*LN($S466)/LN(Settings!$C$40))))))</f>
        <v/>
      </c>
      <c r="AP466" s="29">
        <f>IF($AA466="",50,MEDIAN(0,100,50+$AA466*100*Settings!$C$41))</f>
        <v>50</v>
      </c>
      <c r="AQ466" s="29">
        <f>IF($H466="",50,MEDIAN(0,100,50+$H466*100*Settings!$C$42))</f>
        <v>50</v>
      </c>
      <c r="AR466" s="29">
        <f>IF(OR($AC466="",$H466=""),50,MEDIAN(0,100,50+SIGN($H466)*50*MEDIAN(0,1,($AC466-1)/Settings!$C$43)))</f>
        <v>50</v>
      </c>
      <c r="AS466" s="29">
        <f>IF(OR($V466="",$W466=""),50,MEDIAN(0,100,50+50*($V466-$W466)/Settings!$C$44))</f>
        <v>50</v>
      </c>
      <c r="AT466" s="29">
        <f t="shared" si="134"/>
        <v>50</v>
      </c>
      <c r="AU466" s="30" t="str">
        <f t="shared" si="135"/>
        <v/>
      </c>
      <c r="AV466" s="87" t="str">
        <f>IF($A466="","",IF(COUNTIFS($A$4:$A466,$A466)=1,1,0))</f>
        <v/>
      </c>
    </row>
    <row r="467" spans="1:48" x14ac:dyDescent="0.3">
      <c r="A467" s="270"/>
      <c r="B467" s="271"/>
      <c r="C467" s="272"/>
      <c r="D467" s="272"/>
      <c r="E467" s="272"/>
      <c r="F467" s="272"/>
      <c r="G467" s="272"/>
      <c r="H467" s="268" t="str">
        <f t="shared" si="119"/>
        <v/>
      </c>
      <c r="I467" s="273"/>
      <c r="J467" s="273"/>
      <c r="K467" s="273"/>
      <c r="L467" s="273"/>
      <c r="M467" s="273"/>
      <c r="N467" s="273"/>
      <c r="O467" s="271"/>
      <c r="P467" s="270"/>
      <c r="Q467" s="271"/>
      <c r="R467" s="23" t="str" cm="1">
        <f t="array" ref="R467">IF($B467="","",IFERROR(IF(INDEX('Data Quality'!$U$4:$U$503,ROW()-3)=0,"PENDING",INDEX('Data Quality'!$U$4:$U$503,ROW()-3)),"PENDING"))</f>
        <v/>
      </c>
      <c r="S467" s="24" t="str">
        <f t="shared" si="120"/>
        <v/>
      </c>
      <c r="T467" s="25" t="str">
        <f t="shared" si="121"/>
        <v/>
      </c>
      <c r="U467" s="25" t="str">
        <f t="shared" si="122"/>
        <v/>
      </c>
      <c r="V467" s="26" t="str">
        <f t="shared" si="123"/>
        <v/>
      </c>
      <c r="W467" s="26" t="str">
        <f t="shared" si="124"/>
        <v/>
      </c>
      <c r="X467" s="25" t="str">
        <f t="shared" si="125"/>
        <v/>
      </c>
      <c r="Y467" s="25" t="str">
        <f t="shared" si="126"/>
        <v/>
      </c>
      <c r="Z467" s="27" t="str">
        <f>IF($B467="","",IF($AK467&lt;=Settings!$C$21,"",IFERROR(AVERAGEIFS($S$4:$S$503,$B$4:$B$503,$B467,$AK$4:$AK$503,"&gt;="&amp;$AK467-Settings!$C$21,$AK$4:$AK$503,"&lt;="&amp;$AK467-1),"")))</f>
        <v/>
      </c>
      <c r="AA467" s="28" t="str">
        <f t="shared" si="127"/>
        <v/>
      </c>
      <c r="AB467" s="25" t="str">
        <f>IF($B467="","",IF($AK467&lt;=Settings!$C$22,"",IFERROR(AVERAGEIFS($K$4:$K$503,$B$4:$B$503,$B467,$AK$4:$AK$503,"&gt;="&amp;$AK467-Settings!$C$22,$AK$4:$AK$503,"&lt;="&amp;$AK467-1),"")))</f>
        <v/>
      </c>
      <c r="AC467" s="27" t="str">
        <f t="shared" si="128"/>
        <v/>
      </c>
      <c r="AD467" s="28" t="str">
        <f>IF($B467="","",IF($AK467&lt;=Settings!$C$23,"",IFERROR($E467/SUMIFS($E$4:$E$503,$B$4:$B$503,$B467,$AK$4:$AK$503,$AK467-Settings!$C$23)-1,"")))</f>
        <v/>
      </c>
      <c r="AE467" s="28" t="str">
        <f>IF($B467="","",IF($AK467&lt;=Settings!$C$22,"",IFERROR($E467/SUMIFS($E$4:$E$503,$B$4:$B$503,$B467,$AK$4:$AK$503,$AK467-Settings!$C$22)-1,"")))</f>
        <v/>
      </c>
      <c r="AF467" s="28" t="str">
        <f t="shared" si="129"/>
        <v/>
      </c>
      <c r="AG467" s="29" t="str">
        <f>IF($B467="","",ROUND((MIN(100,100*N($I467)/Settings!$C$27)+MIN(100,100*N($K467)/Settings!$C$28)+MIN(100,100*N($J467)/Settings!$C$29))/3,1))</f>
        <v/>
      </c>
      <c r="AH467" s="29" t="str">
        <f>IF($B467="","",IF(SUM(Settings!$C$32:$C$37)=0,"",ROUND((Settings!$C$32*$AO467+Settings!$C$33*$AP467+Settings!$C$34*$AQ467+Settings!$C$35*$AR467+Settings!$C$36*$AS467+Settings!$C$37*$AT467)/SUM(Settings!$C$32:$C$37),1)))</f>
        <v/>
      </c>
      <c r="AI467" s="29" t="str">
        <f>IF($B467="","",MAX(0,100-IF(N($N467)&gt;0,0,20)-IF(AND(N($L467)=0,N($M467)=0),15,0)-IF(N($J467)&gt;0,0,10)-IF(N($K467)&gt;0,0,10)-IF($Z467&lt;&gt;"",0,15)-IF($AB467&lt;&gt;"",0,10)-IF($R467="ERROR",20,IF($R467="WARNING",10,0))))</f>
        <v/>
      </c>
      <c r="AJ467" s="30" t="str">
        <f>IF($AH467="","",IF($AH467&lt;Settings!$C$46,"Extreme Sell Pressure",IF($AH467&lt;Settings!$C$47,"Sell Pressure",IF($AH467&lt;=Settings!$C$48,"Neutral",IF($AH467&lt;=Settings!$C$49,"Buy Pressure","Extreme Buy Pressure")))))</f>
        <v/>
      </c>
      <c r="AK467" s="30" t="str">
        <f t="shared" si="130"/>
        <v/>
      </c>
      <c r="AL467" s="30" t="str">
        <f t="shared" si="131"/>
        <v/>
      </c>
      <c r="AM467" s="30" t="str">
        <f t="shared" si="132"/>
        <v/>
      </c>
      <c r="AN467" s="30" t="str">
        <f t="shared" si="133"/>
        <v/>
      </c>
      <c r="AO467" s="29" t="str">
        <f>IF($B467="","",IF(AND(N($L467)=0,N($M467)=0),50,IF(N($M467)=0,100,IF(N($L467)=0,0,MEDIAN(0,100,50+50*LN($S467)/LN(Settings!$C$40))))))</f>
        <v/>
      </c>
      <c r="AP467" s="29">
        <f>IF($AA467="",50,MEDIAN(0,100,50+$AA467*100*Settings!$C$41))</f>
        <v>50</v>
      </c>
      <c r="AQ467" s="29">
        <f>IF($H467="",50,MEDIAN(0,100,50+$H467*100*Settings!$C$42))</f>
        <v>50</v>
      </c>
      <c r="AR467" s="29">
        <f>IF(OR($AC467="",$H467=""),50,MEDIAN(0,100,50+SIGN($H467)*50*MEDIAN(0,1,($AC467-1)/Settings!$C$43)))</f>
        <v>50</v>
      </c>
      <c r="AS467" s="29">
        <f>IF(OR($V467="",$W467=""),50,MEDIAN(0,100,50+50*($V467-$W467)/Settings!$C$44))</f>
        <v>50</v>
      </c>
      <c r="AT467" s="29">
        <f t="shared" si="134"/>
        <v>50</v>
      </c>
      <c r="AU467" s="30" t="str">
        <f t="shared" si="135"/>
        <v/>
      </c>
      <c r="AV467" s="87" t="str">
        <f>IF($A467="","",IF(COUNTIFS($A$4:$A467,$A467)=1,1,0))</f>
        <v/>
      </c>
    </row>
    <row r="468" spans="1:48" x14ac:dyDescent="0.3">
      <c r="A468" s="270"/>
      <c r="B468" s="271"/>
      <c r="C468" s="272"/>
      <c r="D468" s="272"/>
      <c r="E468" s="272"/>
      <c r="F468" s="272"/>
      <c r="G468" s="272"/>
      <c r="H468" s="268" t="str">
        <f t="shared" si="119"/>
        <v/>
      </c>
      <c r="I468" s="273"/>
      <c r="J468" s="273"/>
      <c r="K468" s="273"/>
      <c r="L468" s="273"/>
      <c r="M468" s="273"/>
      <c r="N468" s="273"/>
      <c r="O468" s="271"/>
      <c r="P468" s="270"/>
      <c r="Q468" s="271"/>
      <c r="R468" s="23" t="str" cm="1">
        <f t="array" ref="R468">IF($B468="","",IFERROR(IF(INDEX('Data Quality'!$U$4:$U$503,ROW()-3)=0,"PENDING",INDEX('Data Quality'!$U$4:$U$503,ROW()-3)),"PENDING"))</f>
        <v/>
      </c>
      <c r="S468" s="24" t="str">
        <f t="shared" si="120"/>
        <v/>
      </c>
      <c r="T468" s="25" t="str">
        <f t="shared" si="121"/>
        <v/>
      </c>
      <c r="U468" s="25" t="str">
        <f t="shared" si="122"/>
        <v/>
      </c>
      <c r="V468" s="26" t="str">
        <f t="shared" si="123"/>
        <v/>
      </c>
      <c r="W468" s="26" t="str">
        <f t="shared" si="124"/>
        <v/>
      </c>
      <c r="X468" s="25" t="str">
        <f t="shared" si="125"/>
        <v/>
      </c>
      <c r="Y468" s="25" t="str">
        <f t="shared" si="126"/>
        <v/>
      </c>
      <c r="Z468" s="27" t="str">
        <f>IF($B468="","",IF($AK468&lt;=Settings!$C$21,"",IFERROR(AVERAGEIFS($S$4:$S$503,$B$4:$B$503,$B468,$AK$4:$AK$503,"&gt;="&amp;$AK468-Settings!$C$21,$AK$4:$AK$503,"&lt;="&amp;$AK468-1),"")))</f>
        <v/>
      </c>
      <c r="AA468" s="28" t="str">
        <f t="shared" si="127"/>
        <v/>
      </c>
      <c r="AB468" s="25" t="str">
        <f>IF($B468="","",IF($AK468&lt;=Settings!$C$22,"",IFERROR(AVERAGEIFS($K$4:$K$503,$B$4:$B$503,$B468,$AK$4:$AK$503,"&gt;="&amp;$AK468-Settings!$C$22,$AK$4:$AK$503,"&lt;="&amp;$AK468-1),"")))</f>
        <v/>
      </c>
      <c r="AC468" s="27" t="str">
        <f t="shared" si="128"/>
        <v/>
      </c>
      <c r="AD468" s="28" t="str">
        <f>IF($B468="","",IF($AK468&lt;=Settings!$C$23,"",IFERROR($E468/SUMIFS($E$4:$E$503,$B$4:$B$503,$B468,$AK$4:$AK$503,$AK468-Settings!$C$23)-1,"")))</f>
        <v/>
      </c>
      <c r="AE468" s="28" t="str">
        <f>IF($B468="","",IF($AK468&lt;=Settings!$C$22,"",IFERROR($E468/SUMIFS($E$4:$E$503,$B$4:$B$503,$B468,$AK$4:$AK$503,$AK468-Settings!$C$22)-1,"")))</f>
        <v/>
      </c>
      <c r="AF468" s="28" t="str">
        <f t="shared" si="129"/>
        <v/>
      </c>
      <c r="AG468" s="29" t="str">
        <f>IF($B468="","",ROUND((MIN(100,100*N($I468)/Settings!$C$27)+MIN(100,100*N($K468)/Settings!$C$28)+MIN(100,100*N($J468)/Settings!$C$29))/3,1))</f>
        <v/>
      </c>
      <c r="AH468" s="29" t="str">
        <f>IF($B468="","",IF(SUM(Settings!$C$32:$C$37)=0,"",ROUND((Settings!$C$32*$AO468+Settings!$C$33*$AP468+Settings!$C$34*$AQ468+Settings!$C$35*$AR468+Settings!$C$36*$AS468+Settings!$C$37*$AT468)/SUM(Settings!$C$32:$C$37),1)))</f>
        <v/>
      </c>
      <c r="AI468" s="29" t="str">
        <f>IF($B468="","",MAX(0,100-IF(N($N468)&gt;0,0,20)-IF(AND(N($L468)=0,N($M468)=0),15,0)-IF(N($J468)&gt;0,0,10)-IF(N($K468)&gt;0,0,10)-IF($Z468&lt;&gt;"",0,15)-IF($AB468&lt;&gt;"",0,10)-IF($R468="ERROR",20,IF($R468="WARNING",10,0))))</f>
        <v/>
      </c>
      <c r="AJ468" s="30" t="str">
        <f>IF($AH468="","",IF($AH468&lt;Settings!$C$46,"Extreme Sell Pressure",IF($AH468&lt;Settings!$C$47,"Sell Pressure",IF($AH468&lt;=Settings!$C$48,"Neutral",IF($AH468&lt;=Settings!$C$49,"Buy Pressure","Extreme Buy Pressure")))))</f>
        <v/>
      </c>
      <c r="AK468" s="30" t="str">
        <f t="shared" si="130"/>
        <v/>
      </c>
      <c r="AL468" s="30" t="str">
        <f t="shared" si="131"/>
        <v/>
      </c>
      <c r="AM468" s="30" t="str">
        <f t="shared" si="132"/>
        <v/>
      </c>
      <c r="AN468" s="30" t="str">
        <f t="shared" si="133"/>
        <v/>
      </c>
      <c r="AO468" s="29" t="str">
        <f>IF($B468="","",IF(AND(N($L468)=0,N($M468)=0),50,IF(N($M468)=0,100,IF(N($L468)=0,0,MEDIAN(0,100,50+50*LN($S468)/LN(Settings!$C$40))))))</f>
        <v/>
      </c>
      <c r="AP468" s="29">
        <f>IF($AA468="",50,MEDIAN(0,100,50+$AA468*100*Settings!$C$41))</f>
        <v>50</v>
      </c>
      <c r="AQ468" s="29">
        <f>IF($H468="",50,MEDIAN(0,100,50+$H468*100*Settings!$C$42))</f>
        <v>50</v>
      </c>
      <c r="AR468" s="29">
        <f>IF(OR($AC468="",$H468=""),50,MEDIAN(0,100,50+SIGN($H468)*50*MEDIAN(0,1,($AC468-1)/Settings!$C$43)))</f>
        <v>50</v>
      </c>
      <c r="AS468" s="29">
        <f>IF(OR($V468="",$W468=""),50,MEDIAN(0,100,50+50*($V468-$W468)/Settings!$C$44))</f>
        <v>50</v>
      </c>
      <c r="AT468" s="29">
        <f t="shared" si="134"/>
        <v>50</v>
      </c>
      <c r="AU468" s="30" t="str">
        <f t="shared" si="135"/>
        <v/>
      </c>
      <c r="AV468" s="87" t="str">
        <f>IF($A468="","",IF(COUNTIFS($A$4:$A468,$A468)=1,1,0))</f>
        <v/>
      </c>
    </row>
    <row r="469" spans="1:48" x14ac:dyDescent="0.3">
      <c r="A469" s="270"/>
      <c r="B469" s="271"/>
      <c r="C469" s="272"/>
      <c r="D469" s="272"/>
      <c r="E469" s="272"/>
      <c r="F469" s="272"/>
      <c r="G469" s="272"/>
      <c r="H469" s="268" t="str">
        <f t="shared" si="119"/>
        <v/>
      </c>
      <c r="I469" s="273"/>
      <c r="J469" s="273"/>
      <c r="K469" s="273"/>
      <c r="L469" s="273"/>
      <c r="M469" s="273"/>
      <c r="N469" s="273"/>
      <c r="O469" s="271"/>
      <c r="P469" s="270"/>
      <c r="Q469" s="271"/>
      <c r="R469" s="23" t="str" cm="1">
        <f t="array" ref="R469">IF($B469="","",IFERROR(IF(INDEX('Data Quality'!$U$4:$U$503,ROW()-3)=0,"PENDING",INDEX('Data Quality'!$U$4:$U$503,ROW()-3)),"PENDING"))</f>
        <v/>
      </c>
      <c r="S469" s="24" t="str">
        <f t="shared" si="120"/>
        <v/>
      </c>
      <c r="T469" s="25" t="str">
        <f t="shared" si="121"/>
        <v/>
      </c>
      <c r="U469" s="25" t="str">
        <f t="shared" si="122"/>
        <v/>
      </c>
      <c r="V469" s="26" t="str">
        <f t="shared" si="123"/>
        <v/>
      </c>
      <c r="W469" s="26" t="str">
        <f t="shared" si="124"/>
        <v/>
      </c>
      <c r="X469" s="25" t="str">
        <f t="shared" si="125"/>
        <v/>
      </c>
      <c r="Y469" s="25" t="str">
        <f t="shared" si="126"/>
        <v/>
      </c>
      <c r="Z469" s="27" t="str">
        <f>IF($B469="","",IF($AK469&lt;=Settings!$C$21,"",IFERROR(AVERAGEIFS($S$4:$S$503,$B$4:$B$503,$B469,$AK$4:$AK$503,"&gt;="&amp;$AK469-Settings!$C$21,$AK$4:$AK$503,"&lt;="&amp;$AK469-1),"")))</f>
        <v/>
      </c>
      <c r="AA469" s="28" t="str">
        <f t="shared" si="127"/>
        <v/>
      </c>
      <c r="AB469" s="25" t="str">
        <f>IF($B469="","",IF($AK469&lt;=Settings!$C$22,"",IFERROR(AVERAGEIFS($K$4:$K$503,$B$4:$B$503,$B469,$AK$4:$AK$503,"&gt;="&amp;$AK469-Settings!$C$22,$AK$4:$AK$503,"&lt;="&amp;$AK469-1),"")))</f>
        <v/>
      </c>
      <c r="AC469" s="27" t="str">
        <f t="shared" si="128"/>
        <v/>
      </c>
      <c r="AD469" s="28" t="str">
        <f>IF($B469="","",IF($AK469&lt;=Settings!$C$23,"",IFERROR($E469/SUMIFS($E$4:$E$503,$B$4:$B$503,$B469,$AK$4:$AK$503,$AK469-Settings!$C$23)-1,"")))</f>
        <v/>
      </c>
      <c r="AE469" s="28" t="str">
        <f>IF($B469="","",IF($AK469&lt;=Settings!$C$22,"",IFERROR($E469/SUMIFS($E$4:$E$503,$B$4:$B$503,$B469,$AK$4:$AK$503,$AK469-Settings!$C$22)-1,"")))</f>
        <v/>
      </c>
      <c r="AF469" s="28" t="str">
        <f t="shared" si="129"/>
        <v/>
      </c>
      <c r="AG469" s="29" t="str">
        <f>IF($B469="","",ROUND((MIN(100,100*N($I469)/Settings!$C$27)+MIN(100,100*N($K469)/Settings!$C$28)+MIN(100,100*N($J469)/Settings!$C$29))/3,1))</f>
        <v/>
      </c>
      <c r="AH469" s="29" t="str">
        <f>IF($B469="","",IF(SUM(Settings!$C$32:$C$37)=0,"",ROUND((Settings!$C$32*$AO469+Settings!$C$33*$AP469+Settings!$C$34*$AQ469+Settings!$C$35*$AR469+Settings!$C$36*$AS469+Settings!$C$37*$AT469)/SUM(Settings!$C$32:$C$37),1)))</f>
        <v/>
      </c>
      <c r="AI469" s="29" t="str">
        <f>IF($B469="","",MAX(0,100-IF(N($N469)&gt;0,0,20)-IF(AND(N($L469)=0,N($M469)=0),15,0)-IF(N($J469)&gt;0,0,10)-IF(N($K469)&gt;0,0,10)-IF($Z469&lt;&gt;"",0,15)-IF($AB469&lt;&gt;"",0,10)-IF($R469="ERROR",20,IF($R469="WARNING",10,0))))</f>
        <v/>
      </c>
      <c r="AJ469" s="30" t="str">
        <f>IF($AH469="","",IF($AH469&lt;Settings!$C$46,"Extreme Sell Pressure",IF($AH469&lt;Settings!$C$47,"Sell Pressure",IF($AH469&lt;=Settings!$C$48,"Neutral",IF($AH469&lt;=Settings!$C$49,"Buy Pressure","Extreme Buy Pressure")))))</f>
        <v/>
      </c>
      <c r="AK469" s="30" t="str">
        <f t="shared" si="130"/>
        <v/>
      </c>
      <c r="AL469" s="30" t="str">
        <f t="shared" si="131"/>
        <v/>
      </c>
      <c r="AM469" s="30" t="str">
        <f t="shared" si="132"/>
        <v/>
      </c>
      <c r="AN469" s="30" t="str">
        <f t="shared" si="133"/>
        <v/>
      </c>
      <c r="AO469" s="29" t="str">
        <f>IF($B469="","",IF(AND(N($L469)=0,N($M469)=0),50,IF(N($M469)=0,100,IF(N($L469)=0,0,MEDIAN(0,100,50+50*LN($S469)/LN(Settings!$C$40))))))</f>
        <v/>
      </c>
      <c r="AP469" s="29">
        <f>IF($AA469="",50,MEDIAN(0,100,50+$AA469*100*Settings!$C$41))</f>
        <v>50</v>
      </c>
      <c r="AQ469" s="29">
        <f>IF($H469="",50,MEDIAN(0,100,50+$H469*100*Settings!$C$42))</f>
        <v>50</v>
      </c>
      <c r="AR469" s="29">
        <f>IF(OR($AC469="",$H469=""),50,MEDIAN(0,100,50+SIGN($H469)*50*MEDIAN(0,1,($AC469-1)/Settings!$C$43)))</f>
        <v>50</v>
      </c>
      <c r="AS469" s="29">
        <f>IF(OR($V469="",$W469=""),50,MEDIAN(0,100,50+50*($V469-$W469)/Settings!$C$44))</f>
        <v>50</v>
      </c>
      <c r="AT469" s="29">
        <f t="shared" si="134"/>
        <v>50</v>
      </c>
      <c r="AU469" s="30" t="str">
        <f t="shared" si="135"/>
        <v/>
      </c>
      <c r="AV469" s="87" t="str">
        <f>IF($A469="","",IF(COUNTIFS($A$4:$A469,$A469)=1,1,0))</f>
        <v/>
      </c>
    </row>
    <row r="470" spans="1:48" x14ac:dyDescent="0.3">
      <c r="A470" s="270"/>
      <c r="B470" s="271"/>
      <c r="C470" s="272"/>
      <c r="D470" s="272"/>
      <c r="E470" s="272"/>
      <c r="F470" s="272"/>
      <c r="G470" s="272"/>
      <c r="H470" s="268" t="str">
        <f t="shared" si="119"/>
        <v/>
      </c>
      <c r="I470" s="273"/>
      <c r="J470" s="273"/>
      <c r="K470" s="273"/>
      <c r="L470" s="273"/>
      <c r="M470" s="273"/>
      <c r="N470" s="273"/>
      <c r="O470" s="271"/>
      <c r="P470" s="270"/>
      <c r="Q470" s="271"/>
      <c r="R470" s="23" t="str" cm="1">
        <f t="array" ref="R470">IF($B470="","",IFERROR(IF(INDEX('Data Quality'!$U$4:$U$503,ROW()-3)=0,"PENDING",INDEX('Data Quality'!$U$4:$U$503,ROW()-3)),"PENDING"))</f>
        <v/>
      </c>
      <c r="S470" s="24" t="str">
        <f t="shared" si="120"/>
        <v/>
      </c>
      <c r="T470" s="25" t="str">
        <f t="shared" si="121"/>
        <v/>
      </c>
      <c r="U470" s="25" t="str">
        <f t="shared" si="122"/>
        <v/>
      </c>
      <c r="V470" s="26" t="str">
        <f t="shared" si="123"/>
        <v/>
      </c>
      <c r="W470" s="26" t="str">
        <f t="shared" si="124"/>
        <v/>
      </c>
      <c r="X470" s="25" t="str">
        <f t="shared" si="125"/>
        <v/>
      </c>
      <c r="Y470" s="25" t="str">
        <f t="shared" si="126"/>
        <v/>
      </c>
      <c r="Z470" s="27" t="str">
        <f>IF($B470="","",IF($AK470&lt;=Settings!$C$21,"",IFERROR(AVERAGEIFS($S$4:$S$503,$B$4:$B$503,$B470,$AK$4:$AK$503,"&gt;="&amp;$AK470-Settings!$C$21,$AK$4:$AK$503,"&lt;="&amp;$AK470-1),"")))</f>
        <v/>
      </c>
      <c r="AA470" s="28" t="str">
        <f t="shared" si="127"/>
        <v/>
      </c>
      <c r="AB470" s="25" t="str">
        <f>IF($B470="","",IF($AK470&lt;=Settings!$C$22,"",IFERROR(AVERAGEIFS($K$4:$K$503,$B$4:$B$503,$B470,$AK$4:$AK$503,"&gt;="&amp;$AK470-Settings!$C$22,$AK$4:$AK$503,"&lt;="&amp;$AK470-1),"")))</f>
        <v/>
      </c>
      <c r="AC470" s="27" t="str">
        <f t="shared" si="128"/>
        <v/>
      </c>
      <c r="AD470" s="28" t="str">
        <f>IF($B470="","",IF($AK470&lt;=Settings!$C$23,"",IFERROR($E470/SUMIFS($E$4:$E$503,$B$4:$B$503,$B470,$AK$4:$AK$503,$AK470-Settings!$C$23)-1,"")))</f>
        <v/>
      </c>
      <c r="AE470" s="28" t="str">
        <f>IF($B470="","",IF($AK470&lt;=Settings!$C$22,"",IFERROR($E470/SUMIFS($E$4:$E$503,$B$4:$B$503,$B470,$AK$4:$AK$503,$AK470-Settings!$C$22)-1,"")))</f>
        <v/>
      </c>
      <c r="AF470" s="28" t="str">
        <f t="shared" si="129"/>
        <v/>
      </c>
      <c r="AG470" s="29" t="str">
        <f>IF($B470="","",ROUND((MIN(100,100*N($I470)/Settings!$C$27)+MIN(100,100*N($K470)/Settings!$C$28)+MIN(100,100*N($J470)/Settings!$C$29))/3,1))</f>
        <v/>
      </c>
      <c r="AH470" s="29" t="str">
        <f>IF($B470="","",IF(SUM(Settings!$C$32:$C$37)=0,"",ROUND((Settings!$C$32*$AO470+Settings!$C$33*$AP470+Settings!$C$34*$AQ470+Settings!$C$35*$AR470+Settings!$C$36*$AS470+Settings!$C$37*$AT470)/SUM(Settings!$C$32:$C$37),1)))</f>
        <v/>
      </c>
      <c r="AI470" s="29" t="str">
        <f>IF($B470="","",MAX(0,100-IF(N($N470)&gt;0,0,20)-IF(AND(N($L470)=0,N($M470)=0),15,0)-IF(N($J470)&gt;0,0,10)-IF(N($K470)&gt;0,0,10)-IF($Z470&lt;&gt;"",0,15)-IF($AB470&lt;&gt;"",0,10)-IF($R470="ERROR",20,IF($R470="WARNING",10,0))))</f>
        <v/>
      </c>
      <c r="AJ470" s="30" t="str">
        <f>IF($AH470="","",IF($AH470&lt;Settings!$C$46,"Extreme Sell Pressure",IF($AH470&lt;Settings!$C$47,"Sell Pressure",IF($AH470&lt;=Settings!$C$48,"Neutral",IF($AH470&lt;=Settings!$C$49,"Buy Pressure","Extreme Buy Pressure")))))</f>
        <v/>
      </c>
      <c r="AK470" s="30" t="str">
        <f t="shared" si="130"/>
        <v/>
      </c>
      <c r="AL470" s="30" t="str">
        <f t="shared" si="131"/>
        <v/>
      </c>
      <c r="AM470" s="30" t="str">
        <f t="shared" si="132"/>
        <v/>
      </c>
      <c r="AN470" s="30" t="str">
        <f t="shared" si="133"/>
        <v/>
      </c>
      <c r="AO470" s="29" t="str">
        <f>IF($B470="","",IF(AND(N($L470)=0,N($M470)=0),50,IF(N($M470)=0,100,IF(N($L470)=0,0,MEDIAN(0,100,50+50*LN($S470)/LN(Settings!$C$40))))))</f>
        <v/>
      </c>
      <c r="AP470" s="29">
        <f>IF($AA470="",50,MEDIAN(0,100,50+$AA470*100*Settings!$C$41))</f>
        <v>50</v>
      </c>
      <c r="AQ470" s="29">
        <f>IF($H470="",50,MEDIAN(0,100,50+$H470*100*Settings!$C$42))</f>
        <v>50</v>
      </c>
      <c r="AR470" s="29">
        <f>IF(OR($AC470="",$H470=""),50,MEDIAN(0,100,50+SIGN($H470)*50*MEDIAN(0,1,($AC470-1)/Settings!$C$43)))</f>
        <v>50</v>
      </c>
      <c r="AS470" s="29">
        <f>IF(OR($V470="",$W470=""),50,MEDIAN(0,100,50+50*($V470-$W470)/Settings!$C$44))</f>
        <v>50</v>
      </c>
      <c r="AT470" s="29">
        <f t="shared" si="134"/>
        <v>50</v>
      </c>
      <c r="AU470" s="30" t="str">
        <f t="shared" si="135"/>
        <v/>
      </c>
      <c r="AV470" s="87" t="str">
        <f>IF($A470="","",IF(COUNTIFS($A$4:$A470,$A470)=1,1,0))</f>
        <v/>
      </c>
    </row>
    <row r="471" spans="1:48" x14ac:dyDescent="0.3">
      <c r="A471" s="270"/>
      <c r="B471" s="271"/>
      <c r="C471" s="272"/>
      <c r="D471" s="272"/>
      <c r="E471" s="272"/>
      <c r="F471" s="272"/>
      <c r="G471" s="272"/>
      <c r="H471" s="268" t="str">
        <f t="shared" si="119"/>
        <v/>
      </c>
      <c r="I471" s="273"/>
      <c r="J471" s="273"/>
      <c r="K471" s="273"/>
      <c r="L471" s="273"/>
      <c r="M471" s="273"/>
      <c r="N471" s="273"/>
      <c r="O471" s="271"/>
      <c r="P471" s="270"/>
      <c r="Q471" s="271"/>
      <c r="R471" s="23" t="str" cm="1">
        <f t="array" ref="R471">IF($B471="","",IFERROR(IF(INDEX('Data Quality'!$U$4:$U$503,ROW()-3)=0,"PENDING",INDEX('Data Quality'!$U$4:$U$503,ROW()-3)),"PENDING"))</f>
        <v/>
      </c>
      <c r="S471" s="24" t="str">
        <f t="shared" si="120"/>
        <v/>
      </c>
      <c r="T471" s="25" t="str">
        <f t="shared" si="121"/>
        <v/>
      </c>
      <c r="U471" s="25" t="str">
        <f t="shared" si="122"/>
        <v/>
      </c>
      <c r="V471" s="26" t="str">
        <f t="shared" si="123"/>
        <v/>
      </c>
      <c r="W471" s="26" t="str">
        <f t="shared" si="124"/>
        <v/>
      </c>
      <c r="X471" s="25" t="str">
        <f t="shared" si="125"/>
        <v/>
      </c>
      <c r="Y471" s="25" t="str">
        <f t="shared" si="126"/>
        <v/>
      </c>
      <c r="Z471" s="27" t="str">
        <f>IF($B471="","",IF($AK471&lt;=Settings!$C$21,"",IFERROR(AVERAGEIFS($S$4:$S$503,$B$4:$B$503,$B471,$AK$4:$AK$503,"&gt;="&amp;$AK471-Settings!$C$21,$AK$4:$AK$503,"&lt;="&amp;$AK471-1),"")))</f>
        <v/>
      </c>
      <c r="AA471" s="28" t="str">
        <f t="shared" si="127"/>
        <v/>
      </c>
      <c r="AB471" s="25" t="str">
        <f>IF($B471="","",IF($AK471&lt;=Settings!$C$22,"",IFERROR(AVERAGEIFS($K$4:$K$503,$B$4:$B$503,$B471,$AK$4:$AK$503,"&gt;="&amp;$AK471-Settings!$C$22,$AK$4:$AK$503,"&lt;="&amp;$AK471-1),"")))</f>
        <v/>
      </c>
      <c r="AC471" s="27" t="str">
        <f t="shared" si="128"/>
        <v/>
      </c>
      <c r="AD471" s="28" t="str">
        <f>IF($B471="","",IF($AK471&lt;=Settings!$C$23,"",IFERROR($E471/SUMIFS($E$4:$E$503,$B$4:$B$503,$B471,$AK$4:$AK$503,$AK471-Settings!$C$23)-1,"")))</f>
        <v/>
      </c>
      <c r="AE471" s="28" t="str">
        <f>IF($B471="","",IF($AK471&lt;=Settings!$C$22,"",IFERROR($E471/SUMIFS($E$4:$E$503,$B$4:$B$503,$B471,$AK$4:$AK$503,$AK471-Settings!$C$22)-1,"")))</f>
        <v/>
      </c>
      <c r="AF471" s="28" t="str">
        <f t="shared" si="129"/>
        <v/>
      </c>
      <c r="AG471" s="29" t="str">
        <f>IF($B471="","",ROUND((MIN(100,100*N($I471)/Settings!$C$27)+MIN(100,100*N($K471)/Settings!$C$28)+MIN(100,100*N($J471)/Settings!$C$29))/3,1))</f>
        <v/>
      </c>
      <c r="AH471" s="29" t="str">
        <f>IF($B471="","",IF(SUM(Settings!$C$32:$C$37)=0,"",ROUND((Settings!$C$32*$AO471+Settings!$C$33*$AP471+Settings!$C$34*$AQ471+Settings!$C$35*$AR471+Settings!$C$36*$AS471+Settings!$C$37*$AT471)/SUM(Settings!$C$32:$C$37),1)))</f>
        <v/>
      </c>
      <c r="AI471" s="29" t="str">
        <f>IF($B471="","",MAX(0,100-IF(N($N471)&gt;0,0,20)-IF(AND(N($L471)=0,N($M471)=0),15,0)-IF(N($J471)&gt;0,0,10)-IF(N($K471)&gt;0,0,10)-IF($Z471&lt;&gt;"",0,15)-IF($AB471&lt;&gt;"",0,10)-IF($R471="ERROR",20,IF($R471="WARNING",10,0))))</f>
        <v/>
      </c>
      <c r="AJ471" s="30" t="str">
        <f>IF($AH471="","",IF($AH471&lt;Settings!$C$46,"Extreme Sell Pressure",IF($AH471&lt;Settings!$C$47,"Sell Pressure",IF($AH471&lt;=Settings!$C$48,"Neutral",IF($AH471&lt;=Settings!$C$49,"Buy Pressure","Extreme Buy Pressure")))))</f>
        <v/>
      </c>
      <c r="AK471" s="30" t="str">
        <f t="shared" si="130"/>
        <v/>
      </c>
      <c r="AL471" s="30" t="str">
        <f t="shared" si="131"/>
        <v/>
      </c>
      <c r="AM471" s="30" t="str">
        <f t="shared" si="132"/>
        <v/>
      </c>
      <c r="AN471" s="30" t="str">
        <f t="shared" si="133"/>
        <v/>
      </c>
      <c r="AO471" s="29" t="str">
        <f>IF($B471="","",IF(AND(N($L471)=0,N($M471)=0),50,IF(N($M471)=0,100,IF(N($L471)=0,0,MEDIAN(0,100,50+50*LN($S471)/LN(Settings!$C$40))))))</f>
        <v/>
      </c>
      <c r="AP471" s="29">
        <f>IF($AA471="",50,MEDIAN(0,100,50+$AA471*100*Settings!$C$41))</f>
        <v>50</v>
      </c>
      <c r="AQ471" s="29">
        <f>IF($H471="",50,MEDIAN(0,100,50+$H471*100*Settings!$C$42))</f>
        <v>50</v>
      </c>
      <c r="AR471" s="29">
        <f>IF(OR($AC471="",$H471=""),50,MEDIAN(0,100,50+SIGN($H471)*50*MEDIAN(0,1,($AC471-1)/Settings!$C$43)))</f>
        <v>50</v>
      </c>
      <c r="AS471" s="29">
        <f>IF(OR($V471="",$W471=""),50,MEDIAN(0,100,50+50*($V471-$W471)/Settings!$C$44))</f>
        <v>50</v>
      </c>
      <c r="AT471" s="29">
        <f t="shared" si="134"/>
        <v>50</v>
      </c>
      <c r="AU471" s="30" t="str">
        <f t="shared" si="135"/>
        <v/>
      </c>
      <c r="AV471" s="87" t="str">
        <f>IF($A471="","",IF(COUNTIFS($A$4:$A471,$A471)=1,1,0))</f>
        <v/>
      </c>
    </row>
    <row r="472" spans="1:48" x14ac:dyDescent="0.3">
      <c r="A472" s="270"/>
      <c r="B472" s="271"/>
      <c r="C472" s="272"/>
      <c r="D472" s="272"/>
      <c r="E472" s="272"/>
      <c r="F472" s="272"/>
      <c r="G472" s="272"/>
      <c r="H472" s="268" t="str">
        <f t="shared" si="119"/>
        <v/>
      </c>
      <c r="I472" s="273"/>
      <c r="J472" s="273"/>
      <c r="K472" s="273"/>
      <c r="L472" s="273"/>
      <c r="M472" s="273"/>
      <c r="N472" s="273"/>
      <c r="O472" s="271"/>
      <c r="P472" s="270"/>
      <c r="Q472" s="271"/>
      <c r="R472" s="23" t="str" cm="1">
        <f t="array" ref="R472">IF($B472="","",IFERROR(IF(INDEX('Data Quality'!$U$4:$U$503,ROW()-3)=0,"PENDING",INDEX('Data Quality'!$U$4:$U$503,ROW()-3)),"PENDING"))</f>
        <v/>
      </c>
      <c r="S472" s="24" t="str">
        <f t="shared" si="120"/>
        <v/>
      </c>
      <c r="T472" s="25" t="str">
        <f t="shared" si="121"/>
        <v/>
      </c>
      <c r="U472" s="25" t="str">
        <f t="shared" si="122"/>
        <v/>
      </c>
      <c r="V472" s="26" t="str">
        <f t="shared" si="123"/>
        <v/>
      </c>
      <c r="W472" s="26" t="str">
        <f t="shared" si="124"/>
        <v/>
      </c>
      <c r="X472" s="25" t="str">
        <f t="shared" si="125"/>
        <v/>
      </c>
      <c r="Y472" s="25" t="str">
        <f t="shared" si="126"/>
        <v/>
      </c>
      <c r="Z472" s="27" t="str">
        <f>IF($B472="","",IF($AK472&lt;=Settings!$C$21,"",IFERROR(AVERAGEIFS($S$4:$S$503,$B$4:$B$503,$B472,$AK$4:$AK$503,"&gt;="&amp;$AK472-Settings!$C$21,$AK$4:$AK$503,"&lt;="&amp;$AK472-1),"")))</f>
        <v/>
      </c>
      <c r="AA472" s="28" t="str">
        <f t="shared" si="127"/>
        <v/>
      </c>
      <c r="AB472" s="25" t="str">
        <f>IF($B472="","",IF($AK472&lt;=Settings!$C$22,"",IFERROR(AVERAGEIFS($K$4:$K$503,$B$4:$B$503,$B472,$AK$4:$AK$503,"&gt;="&amp;$AK472-Settings!$C$22,$AK$4:$AK$503,"&lt;="&amp;$AK472-1),"")))</f>
        <v/>
      </c>
      <c r="AC472" s="27" t="str">
        <f t="shared" si="128"/>
        <v/>
      </c>
      <c r="AD472" s="28" t="str">
        <f>IF($B472="","",IF($AK472&lt;=Settings!$C$23,"",IFERROR($E472/SUMIFS($E$4:$E$503,$B$4:$B$503,$B472,$AK$4:$AK$503,$AK472-Settings!$C$23)-1,"")))</f>
        <v/>
      </c>
      <c r="AE472" s="28" t="str">
        <f>IF($B472="","",IF($AK472&lt;=Settings!$C$22,"",IFERROR($E472/SUMIFS($E$4:$E$503,$B$4:$B$503,$B472,$AK$4:$AK$503,$AK472-Settings!$C$22)-1,"")))</f>
        <v/>
      </c>
      <c r="AF472" s="28" t="str">
        <f t="shared" si="129"/>
        <v/>
      </c>
      <c r="AG472" s="29" t="str">
        <f>IF($B472="","",ROUND((MIN(100,100*N($I472)/Settings!$C$27)+MIN(100,100*N($K472)/Settings!$C$28)+MIN(100,100*N($J472)/Settings!$C$29))/3,1))</f>
        <v/>
      </c>
      <c r="AH472" s="29" t="str">
        <f>IF($B472="","",IF(SUM(Settings!$C$32:$C$37)=0,"",ROUND((Settings!$C$32*$AO472+Settings!$C$33*$AP472+Settings!$C$34*$AQ472+Settings!$C$35*$AR472+Settings!$C$36*$AS472+Settings!$C$37*$AT472)/SUM(Settings!$C$32:$C$37),1)))</f>
        <v/>
      </c>
      <c r="AI472" s="29" t="str">
        <f>IF($B472="","",MAX(0,100-IF(N($N472)&gt;0,0,20)-IF(AND(N($L472)=0,N($M472)=0),15,0)-IF(N($J472)&gt;0,0,10)-IF(N($K472)&gt;0,0,10)-IF($Z472&lt;&gt;"",0,15)-IF($AB472&lt;&gt;"",0,10)-IF($R472="ERROR",20,IF($R472="WARNING",10,0))))</f>
        <v/>
      </c>
      <c r="AJ472" s="30" t="str">
        <f>IF($AH472="","",IF($AH472&lt;Settings!$C$46,"Extreme Sell Pressure",IF($AH472&lt;Settings!$C$47,"Sell Pressure",IF($AH472&lt;=Settings!$C$48,"Neutral",IF($AH472&lt;=Settings!$C$49,"Buy Pressure","Extreme Buy Pressure")))))</f>
        <v/>
      </c>
      <c r="AK472" s="30" t="str">
        <f t="shared" si="130"/>
        <v/>
      </c>
      <c r="AL472" s="30" t="str">
        <f t="shared" si="131"/>
        <v/>
      </c>
      <c r="AM472" s="30" t="str">
        <f t="shared" si="132"/>
        <v/>
      </c>
      <c r="AN472" s="30" t="str">
        <f t="shared" si="133"/>
        <v/>
      </c>
      <c r="AO472" s="29" t="str">
        <f>IF($B472="","",IF(AND(N($L472)=0,N($M472)=0),50,IF(N($M472)=0,100,IF(N($L472)=0,0,MEDIAN(0,100,50+50*LN($S472)/LN(Settings!$C$40))))))</f>
        <v/>
      </c>
      <c r="AP472" s="29">
        <f>IF($AA472="",50,MEDIAN(0,100,50+$AA472*100*Settings!$C$41))</f>
        <v>50</v>
      </c>
      <c r="AQ472" s="29">
        <f>IF($H472="",50,MEDIAN(0,100,50+$H472*100*Settings!$C$42))</f>
        <v>50</v>
      </c>
      <c r="AR472" s="29">
        <f>IF(OR($AC472="",$H472=""),50,MEDIAN(0,100,50+SIGN($H472)*50*MEDIAN(0,1,($AC472-1)/Settings!$C$43)))</f>
        <v>50</v>
      </c>
      <c r="AS472" s="29">
        <f>IF(OR($V472="",$W472=""),50,MEDIAN(0,100,50+50*($V472-$W472)/Settings!$C$44))</f>
        <v>50</v>
      </c>
      <c r="AT472" s="29">
        <f t="shared" si="134"/>
        <v>50</v>
      </c>
      <c r="AU472" s="30" t="str">
        <f t="shared" si="135"/>
        <v/>
      </c>
      <c r="AV472" s="87" t="str">
        <f>IF($A472="","",IF(COUNTIFS($A$4:$A472,$A472)=1,1,0))</f>
        <v/>
      </c>
    </row>
    <row r="473" spans="1:48" x14ac:dyDescent="0.3">
      <c r="A473" s="270"/>
      <c r="B473" s="271"/>
      <c r="C473" s="272"/>
      <c r="D473" s="272"/>
      <c r="E473" s="272"/>
      <c r="F473" s="272"/>
      <c r="G473" s="272"/>
      <c r="H473" s="268" t="str">
        <f t="shared" si="119"/>
        <v/>
      </c>
      <c r="I473" s="273"/>
      <c r="J473" s="273"/>
      <c r="K473" s="273"/>
      <c r="L473" s="273"/>
      <c r="M473" s="273"/>
      <c r="N473" s="273"/>
      <c r="O473" s="271"/>
      <c r="P473" s="270"/>
      <c r="Q473" s="271"/>
      <c r="R473" s="23" t="str" cm="1">
        <f t="array" ref="R473">IF($B473="","",IFERROR(IF(INDEX('Data Quality'!$U$4:$U$503,ROW()-3)=0,"PENDING",INDEX('Data Quality'!$U$4:$U$503,ROW()-3)),"PENDING"))</f>
        <v/>
      </c>
      <c r="S473" s="24" t="str">
        <f t="shared" si="120"/>
        <v/>
      </c>
      <c r="T473" s="25" t="str">
        <f t="shared" si="121"/>
        <v/>
      </c>
      <c r="U473" s="25" t="str">
        <f t="shared" si="122"/>
        <v/>
      </c>
      <c r="V473" s="26" t="str">
        <f t="shared" si="123"/>
        <v/>
      </c>
      <c r="W473" s="26" t="str">
        <f t="shared" si="124"/>
        <v/>
      </c>
      <c r="X473" s="25" t="str">
        <f t="shared" si="125"/>
        <v/>
      </c>
      <c r="Y473" s="25" t="str">
        <f t="shared" si="126"/>
        <v/>
      </c>
      <c r="Z473" s="27" t="str">
        <f>IF($B473="","",IF($AK473&lt;=Settings!$C$21,"",IFERROR(AVERAGEIFS($S$4:$S$503,$B$4:$B$503,$B473,$AK$4:$AK$503,"&gt;="&amp;$AK473-Settings!$C$21,$AK$4:$AK$503,"&lt;="&amp;$AK473-1),"")))</f>
        <v/>
      </c>
      <c r="AA473" s="28" t="str">
        <f t="shared" si="127"/>
        <v/>
      </c>
      <c r="AB473" s="25" t="str">
        <f>IF($B473="","",IF($AK473&lt;=Settings!$C$22,"",IFERROR(AVERAGEIFS($K$4:$K$503,$B$4:$B$503,$B473,$AK$4:$AK$503,"&gt;="&amp;$AK473-Settings!$C$22,$AK$4:$AK$503,"&lt;="&amp;$AK473-1),"")))</f>
        <v/>
      </c>
      <c r="AC473" s="27" t="str">
        <f t="shared" si="128"/>
        <v/>
      </c>
      <c r="AD473" s="28" t="str">
        <f>IF($B473="","",IF($AK473&lt;=Settings!$C$23,"",IFERROR($E473/SUMIFS($E$4:$E$503,$B$4:$B$503,$B473,$AK$4:$AK$503,$AK473-Settings!$C$23)-1,"")))</f>
        <v/>
      </c>
      <c r="AE473" s="28" t="str">
        <f>IF($B473="","",IF($AK473&lt;=Settings!$C$22,"",IFERROR($E473/SUMIFS($E$4:$E$503,$B$4:$B$503,$B473,$AK$4:$AK$503,$AK473-Settings!$C$22)-1,"")))</f>
        <v/>
      </c>
      <c r="AF473" s="28" t="str">
        <f t="shared" si="129"/>
        <v/>
      </c>
      <c r="AG473" s="29" t="str">
        <f>IF($B473="","",ROUND((MIN(100,100*N($I473)/Settings!$C$27)+MIN(100,100*N($K473)/Settings!$C$28)+MIN(100,100*N($J473)/Settings!$C$29))/3,1))</f>
        <v/>
      </c>
      <c r="AH473" s="29" t="str">
        <f>IF($B473="","",IF(SUM(Settings!$C$32:$C$37)=0,"",ROUND((Settings!$C$32*$AO473+Settings!$C$33*$AP473+Settings!$C$34*$AQ473+Settings!$C$35*$AR473+Settings!$C$36*$AS473+Settings!$C$37*$AT473)/SUM(Settings!$C$32:$C$37),1)))</f>
        <v/>
      </c>
      <c r="AI473" s="29" t="str">
        <f>IF($B473="","",MAX(0,100-IF(N($N473)&gt;0,0,20)-IF(AND(N($L473)=0,N($M473)=0),15,0)-IF(N($J473)&gt;0,0,10)-IF(N($K473)&gt;0,0,10)-IF($Z473&lt;&gt;"",0,15)-IF($AB473&lt;&gt;"",0,10)-IF($R473="ERROR",20,IF($R473="WARNING",10,0))))</f>
        <v/>
      </c>
      <c r="AJ473" s="30" t="str">
        <f>IF($AH473="","",IF($AH473&lt;Settings!$C$46,"Extreme Sell Pressure",IF($AH473&lt;Settings!$C$47,"Sell Pressure",IF($AH473&lt;=Settings!$C$48,"Neutral",IF($AH473&lt;=Settings!$C$49,"Buy Pressure","Extreme Buy Pressure")))))</f>
        <v/>
      </c>
      <c r="AK473" s="30" t="str">
        <f t="shared" si="130"/>
        <v/>
      </c>
      <c r="AL473" s="30" t="str">
        <f t="shared" si="131"/>
        <v/>
      </c>
      <c r="AM473" s="30" t="str">
        <f t="shared" si="132"/>
        <v/>
      </c>
      <c r="AN473" s="30" t="str">
        <f t="shared" si="133"/>
        <v/>
      </c>
      <c r="AO473" s="29" t="str">
        <f>IF($B473="","",IF(AND(N($L473)=0,N($M473)=0),50,IF(N($M473)=0,100,IF(N($L473)=0,0,MEDIAN(0,100,50+50*LN($S473)/LN(Settings!$C$40))))))</f>
        <v/>
      </c>
      <c r="AP473" s="29">
        <f>IF($AA473="",50,MEDIAN(0,100,50+$AA473*100*Settings!$C$41))</f>
        <v>50</v>
      </c>
      <c r="AQ473" s="29">
        <f>IF($H473="",50,MEDIAN(0,100,50+$H473*100*Settings!$C$42))</f>
        <v>50</v>
      </c>
      <c r="AR473" s="29">
        <f>IF(OR($AC473="",$H473=""),50,MEDIAN(0,100,50+SIGN($H473)*50*MEDIAN(0,1,($AC473-1)/Settings!$C$43)))</f>
        <v>50</v>
      </c>
      <c r="AS473" s="29">
        <f>IF(OR($V473="",$W473=""),50,MEDIAN(0,100,50+50*($V473-$W473)/Settings!$C$44))</f>
        <v>50</v>
      </c>
      <c r="AT473" s="29">
        <f t="shared" si="134"/>
        <v>50</v>
      </c>
      <c r="AU473" s="30" t="str">
        <f t="shared" si="135"/>
        <v/>
      </c>
      <c r="AV473" s="87" t="str">
        <f>IF($A473="","",IF(COUNTIFS($A$4:$A473,$A473)=1,1,0))</f>
        <v/>
      </c>
    </row>
    <row r="474" spans="1:48" x14ac:dyDescent="0.3">
      <c r="A474" s="270"/>
      <c r="B474" s="271"/>
      <c r="C474" s="272"/>
      <c r="D474" s="272"/>
      <c r="E474" s="272"/>
      <c r="F474" s="272"/>
      <c r="G474" s="272"/>
      <c r="H474" s="268" t="str">
        <f t="shared" si="119"/>
        <v/>
      </c>
      <c r="I474" s="273"/>
      <c r="J474" s="273"/>
      <c r="K474" s="273"/>
      <c r="L474" s="273"/>
      <c r="M474" s="273"/>
      <c r="N474" s="273"/>
      <c r="O474" s="271"/>
      <c r="P474" s="270"/>
      <c r="Q474" s="271"/>
      <c r="R474" s="23" t="str" cm="1">
        <f t="array" ref="R474">IF($B474="","",IFERROR(IF(INDEX('Data Quality'!$U$4:$U$503,ROW()-3)=0,"PENDING",INDEX('Data Quality'!$U$4:$U$503,ROW()-3)),"PENDING"))</f>
        <v/>
      </c>
      <c r="S474" s="24" t="str">
        <f t="shared" si="120"/>
        <v/>
      </c>
      <c r="T474" s="25" t="str">
        <f t="shared" si="121"/>
        <v/>
      </c>
      <c r="U474" s="25" t="str">
        <f t="shared" si="122"/>
        <v/>
      </c>
      <c r="V474" s="26" t="str">
        <f t="shared" si="123"/>
        <v/>
      </c>
      <c r="W474" s="26" t="str">
        <f t="shared" si="124"/>
        <v/>
      </c>
      <c r="X474" s="25" t="str">
        <f t="shared" si="125"/>
        <v/>
      </c>
      <c r="Y474" s="25" t="str">
        <f t="shared" si="126"/>
        <v/>
      </c>
      <c r="Z474" s="27" t="str">
        <f>IF($B474="","",IF($AK474&lt;=Settings!$C$21,"",IFERROR(AVERAGEIFS($S$4:$S$503,$B$4:$B$503,$B474,$AK$4:$AK$503,"&gt;="&amp;$AK474-Settings!$C$21,$AK$4:$AK$503,"&lt;="&amp;$AK474-1),"")))</f>
        <v/>
      </c>
      <c r="AA474" s="28" t="str">
        <f t="shared" si="127"/>
        <v/>
      </c>
      <c r="AB474" s="25" t="str">
        <f>IF($B474="","",IF($AK474&lt;=Settings!$C$22,"",IFERROR(AVERAGEIFS($K$4:$K$503,$B$4:$B$503,$B474,$AK$4:$AK$503,"&gt;="&amp;$AK474-Settings!$C$22,$AK$4:$AK$503,"&lt;="&amp;$AK474-1),"")))</f>
        <v/>
      </c>
      <c r="AC474" s="27" t="str">
        <f t="shared" si="128"/>
        <v/>
      </c>
      <c r="AD474" s="28" t="str">
        <f>IF($B474="","",IF($AK474&lt;=Settings!$C$23,"",IFERROR($E474/SUMIFS($E$4:$E$503,$B$4:$B$503,$B474,$AK$4:$AK$503,$AK474-Settings!$C$23)-1,"")))</f>
        <v/>
      </c>
      <c r="AE474" s="28" t="str">
        <f>IF($B474="","",IF($AK474&lt;=Settings!$C$22,"",IFERROR($E474/SUMIFS($E$4:$E$503,$B$4:$B$503,$B474,$AK$4:$AK$503,$AK474-Settings!$C$22)-1,"")))</f>
        <v/>
      </c>
      <c r="AF474" s="28" t="str">
        <f t="shared" si="129"/>
        <v/>
      </c>
      <c r="AG474" s="29" t="str">
        <f>IF($B474="","",ROUND((MIN(100,100*N($I474)/Settings!$C$27)+MIN(100,100*N($K474)/Settings!$C$28)+MIN(100,100*N($J474)/Settings!$C$29))/3,1))</f>
        <v/>
      </c>
      <c r="AH474" s="29" t="str">
        <f>IF($B474="","",IF(SUM(Settings!$C$32:$C$37)=0,"",ROUND((Settings!$C$32*$AO474+Settings!$C$33*$AP474+Settings!$C$34*$AQ474+Settings!$C$35*$AR474+Settings!$C$36*$AS474+Settings!$C$37*$AT474)/SUM(Settings!$C$32:$C$37),1)))</f>
        <v/>
      </c>
      <c r="AI474" s="29" t="str">
        <f>IF($B474="","",MAX(0,100-IF(N($N474)&gt;0,0,20)-IF(AND(N($L474)=0,N($M474)=0),15,0)-IF(N($J474)&gt;0,0,10)-IF(N($K474)&gt;0,0,10)-IF($Z474&lt;&gt;"",0,15)-IF($AB474&lt;&gt;"",0,10)-IF($R474="ERROR",20,IF($R474="WARNING",10,0))))</f>
        <v/>
      </c>
      <c r="AJ474" s="30" t="str">
        <f>IF($AH474="","",IF($AH474&lt;Settings!$C$46,"Extreme Sell Pressure",IF($AH474&lt;Settings!$C$47,"Sell Pressure",IF($AH474&lt;=Settings!$C$48,"Neutral",IF($AH474&lt;=Settings!$C$49,"Buy Pressure","Extreme Buy Pressure")))))</f>
        <v/>
      </c>
      <c r="AK474" s="30" t="str">
        <f t="shared" si="130"/>
        <v/>
      </c>
      <c r="AL474" s="30" t="str">
        <f t="shared" si="131"/>
        <v/>
      </c>
      <c r="AM474" s="30" t="str">
        <f t="shared" si="132"/>
        <v/>
      </c>
      <c r="AN474" s="30" t="str">
        <f t="shared" si="133"/>
        <v/>
      </c>
      <c r="AO474" s="29" t="str">
        <f>IF($B474="","",IF(AND(N($L474)=0,N($M474)=0),50,IF(N($M474)=0,100,IF(N($L474)=0,0,MEDIAN(0,100,50+50*LN($S474)/LN(Settings!$C$40))))))</f>
        <v/>
      </c>
      <c r="AP474" s="29">
        <f>IF($AA474="",50,MEDIAN(0,100,50+$AA474*100*Settings!$C$41))</f>
        <v>50</v>
      </c>
      <c r="AQ474" s="29">
        <f>IF($H474="",50,MEDIAN(0,100,50+$H474*100*Settings!$C$42))</f>
        <v>50</v>
      </c>
      <c r="AR474" s="29">
        <f>IF(OR($AC474="",$H474=""),50,MEDIAN(0,100,50+SIGN($H474)*50*MEDIAN(0,1,($AC474-1)/Settings!$C$43)))</f>
        <v>50</v>
      </c>
      <c r="AS474" s="29">
        <f>IF(OR($V474="",$W474=""),50,MEDIAN(0,100,50+50*($V474-$W474)/Settings!$C$44))</f>
        <v>50</v>
      </c>
      <c r="AT474" s="29">
        <f t="shared" si="134"/>
        <v>50</v>
      </c>
      <c r="AU474" s="30" t="str">
        <f t="shared" si="135"/>
        <v/>
      </c>
      <c r="AV474" s="87" t="str">
        <f>IF($A474="","",IF(COUNTIFS($A$4:$A474,$A474)=1,1,0))</f>
        <v/>
      </c>
    </row>
    <row r="475" spans="1:48" x14ac:dyDescent="0.3">
      <c r="A475" s="270"/>
      <c r="B475" s="271"/>
      <c r="C475" s="272"/>
      <c r="D475" s="272"/>
      <c r="E475" s="272"/>
      <c r="F475" s="272"/>
      <c r="G475" s="272"/>
      <c r="H475" s="268" t="str">
        <f t="shared" si="119"/>
        <v/>
      </c>
      <c r="I475" s="273"/>
      <c r="J475" s="273"/>
      <c r="K475" s="273"/>
      <c r="L475" s="273"/>
      <c r="M475" s="273"/>
      <c r="N475" s="273"/>
      <c r="O475" s="271"/>
      <c r="P475" s="270"/>
      <c r="Q475" s="271"/>
      <c r="R475" s="23" t="str" cm="1">
        <f t="array" ref="R475">IF($B475="","",IFERROR(IF(INDEX('Data Quality'!$U$4:$U$503,ROW()-3)=0,"PENDING",INDEX('Data Quality'!$U$4:$U$503,ROW()-3)),"PENDING"))</f>
        <v/>
      </c>
      <c r="S475" s="24" t="str">
        <f t="shared" si="120"/>
        <v/>
      </c>
      <c r="T475" s="25" t="str">
        <f t="shared" si="121"/>
        <v/>
      </c>
      <c r="U475" s="25" t="str">
        <f t="shared" si="122"/>
        <v/>
      </c>
      <c r="V475" s="26" t="str">
        <f t="shared" si="123"/>
        <v/>
      </c>
      <c r="W475" s="26" t="str">
        <f t="shared" si="124"/>
        <v/>
      </c>
      <c r="X475" s="25" t="str">
        <f t="shared" si="125"/>
        <v/>
      </c>
      <c r="Y475" s="25" t="str">
        <f t="shared" si="126"/>
        <v/>
      </c>
      <c r="Z475" s="27" t="str">
        <f>IF($B475="","",IF($AK475&lt;=Settings!$C$21,"",IFERROR(AVERAGEIFS($S$4:$S$503,$B$4:$B$503,$B475,$AK$4:$AK$503,"&gt;="&amp;$AK475-Settings!$C$21,$AK$4:$AK$503,"&lt;="&amp;$AK475-1),"")))</f>
        <v/>
      </c>
      <c r="AA475" s="28" t="str">
        <f t="shared" si="127"/>
        <v/>
      </c>
      <c r="AB475" s="25" t="str">
        <f>IF($B475="","",IF($AK475&lt;=Settings!$C$22,"",IFERROR(AVERAGEIFS($K$4:$K$503,$B$4:$B$503,$B475,$AK$4:$AK$503,"&gt;="&amp;$AK475-Settings!$C$22,$AK$4:$AK$503,"&lt;="&amp;$AK475-1),"")))</f>
        <v/>
      </c>
      <c r="AC475" s="27" t="str">
        <f t="shared" si="128"/>
        <v/>
      </c>
      <c r="AD475" s="28" t="str">
        <f>IF($B475="","",IF($AK475&lt;=Settings!$C$23,"",IFERROR($E475/SUMIFS($E$4:$E$503,$B$4:$B$503,$B475,$AK$4:$AK$503,$AK475-Settings!$C$23)-1,"")))</f>
        <v/>
      </c>
      <c r="AE475" s="28" t="str">
        <f>IF($B475="","",IF($AK475&lt;=Settings!$C$22,"",IFERROR($E475/SUMIFS($E$4:$E$503,$B$4:$B$503,$B475,$AK$4:$AK$503,$AK475-Settings!$C$22)-1,"")))</f>
        <v/>
      </c>
      <c r="AF475" s="28" t="str">
        <f t="shared" si="129"/>
        <v/>
      </c>
      <c r="AG475" s="29" t="str">
        <f>IF($B475="","",ROUND((MIN(100,100*N($I475)/Settings!$C$27)+MIN(100,100*N($K475)/Settings!$C$28)+MIN(100,100*N($J475)/Settings!$C$29))/3,1))</f>
        <v/>
      </c>
      <c r="AH475" s="29" t="str">
        <f>IF($B475="","",IF(SUM(Settings!$C$32:$C$37)=0,"",ROUND((Settings!$C$32*$AO475+Settings!$C$33*$AP475+Settings!$C$34*$AQ475+Settings!$C$35*$AR475+Settings!$C$36*$AS475+Settings!$C$37*$AT475)/SUM(Settings!$C$32:$C$37),1)))</f>
        <v/>
      </c>
      <c r="AI475" s="29" t="str">
        <f>IF($B475="","",MAX(0,100-IF(N($N475)&gt;0,0,20)-IF(AND(N($L475)=0,N($M475)=0),15,0)-IF(N($J475)&gt;0,0,10)-IF(N($K475)&gt;0,0,10)-IF($Z475&lt;&gt;"",0,15)-IF($AB475&lt;&gt;"",0,10)-IF($R475="ERROR",20,IF($R475="WARNING",10,0))))</f>
        <v/>
      </c>
      <c r="AJ475" s="30" t="str">
        <f>IF($AH475="","",IF($AH475&lt;Settings!$C$46,"Extreme Sell Pressure",IF($AH475&lt;Settings!$C$47,"Sell Pressure",IF($AH475&lt;=Settings!$C$48,"Neutral",IF($AH475&lt;=Settings!$C$49,"Buy Pressure","Extreme Buy Pressure")))))</f>
        <v/>
      </c>
      <c r="AK475" s="30" t="str">
        <f t="shared" si="130"/>
        <v/>
      </c>
      <c r="AL475" s="30" t="str">
        <f t="shared" si="131"/>
        <v/>
      </c>
      <c r="AM475" s="30" t="str">
        <f t="shared" si="132"/>
        <v/>
      </c>
      <c r="AN475" s="30" t="str">
        <f t="shared" si="133"/>
        <v/>
      </c>
      <c r="AO475" s="29" t="str">
        <f>IF($B475="","",IF(AND(N($L475)=0,N($M475)=0),50,IF(N($M475)=0,100,IF(N($L475)=0,0,MEDIAN(0,100,50+50*LN($S475)/LN(Settings!$C$40))))))</f>
        <v/>
      </c>
      <c r="AP475" s="29">
        <f>IF($AA475="",50,MEDIAN(0,100,50+$AA475*100*Settings!$C$41))</f>
        <v>50</v>
      </c>
      <c r="AQ475" s="29">
        <f>IF($H475="",50,MEDIAN(0,100,50+$H475*100*Settings!$C$42))</f>
        <v>50</v>
      </c>
      <c r="AR475" s="29">
        <f>IF(OR($AC475="",$H475=""),50,MEDIAN(0,100,50+SIGN($H475)*50*MEDIAN(0,1,($AC475-1)/Settings!$C$43)))</f>
        <v>50</v>
      </c>
      <c r="AS475" s="29">
        <f>IF(OR($V475="",$W475=""),50,MEDIAN(0,100,50+50*($V475-$W475)/Settings!$C$44))</f>
        <v>50</v>
      </c>
      <c r="AT475" s="29">
        <f t="shared" si="134"/>
        <v>50</v>
      </c>
      <c r="AU475" s="30" t="str">
        <f t="shared" si="135"/>
        <v/>
      </c>
      <c r="AV475" s="87" t="str">
        <f>IF($A475="","",IF(COUNTIFS($A$4:$A475,$A475)=1,1,0))</f>
        <v/>
      </c>
    </row>
    <row r="476" spans="1:48" x14ac:dyDescent="0.3">
      <c r="A476" s="270"/>
      <c r="B476" s="271"/>
      <c r="C476" s="272"/>
      <c r="D476" s="272"/>
      <c r="E476" s="272"/>
      <c r="F476" s="272"/>
      <c r="G476" s="272"/>
      <c r="H476" s="268" t="str">
        <f t="shared" si="119"/>
        <v/>
      </c>
      <c r="I476" s="273"/>
      <c r="J476" s="273"/>
      <c r="K476" s="273"/>
      <c r="L476" s="273"/>
      <c r="M476" s="273"/>
      <c r="N476" s="273"/>
      <c r="O476" s="271"/>
      <c r="P476" s="270"/>
      <c r="Q476" s="271"/>
      <c r="R476" s="23" t="str" cm="1">
        <f t="array" ref="R476">IF($B476="","",IFERROR(IF(INDEX('Data Quality'!$U$4:$U$503,ROW()-3)=0,"PENDING",INDEX('Data Quality'!$U$4:$U$503,ROW()-3)),"PENDING"))</f>
        <v/>
      </c>
      <c r="S476" s="24" t="str">
        <f t="shared" si="120"/>
        <v/>
      </c>
      <c r="T476" s="25" t="str">
        <f t="shared" si="121"/>
        <v/>
      </c>
      <c r="U476" s="25" t="str">
        <f t="shared" si="122"/>
        <v/>
      </c>
      <c r="V476" s="26" t="str">
        <f t="shared" si="123"/>
        <v/>
      </c>
      <c r="W476" s="26" t="str">
        <f t="shared" si="124"/>
        <v/>
      </c>
      <c r="X476" s="25" t="str">
        <f t="shared" si="125"/>
        <v/>
      </c>
      <c r="Y476" s="25" t="str">
        <f t="shared" si="126"/>
        <v/>
      </c>
      <c r="Z476" s="27" t="str">
        <f>IF($B476="","",IF($AK476&lt;=Settings!$C$21,"",IFERROR(AVERAGEIFS($S$4:$S$503,$B$4:$B$503,$B476,$AK$4:$AK$503,"&gt;="&amp;$AK476-Settings!$C$21,$AK$4:$AK$503,"&lt;="&amp;$AK476-1),"")))</f>
        <v/>
      </c>
      <c r="AA476" s="28" t="str">
        <f t="shared" si="127"/>
        <v/>
      </c>
      <c r="AB476" s="25" t="str">
        <f>IF($B476="","",IF($AK476&lt;=Settings!$C$22,"",IFERROR(AVERAGEIFS($K$4:$K$503,$B$4:$B$503,$B476,$AK$4:$AK$503,"&gt;="&amp;$AK476-Settings!$C$22,$AK$4:$AK$503,"&lt;="&amp;$AK476-1),"")))</f>
        <v/>
      </c>
      <c r="AC476" s="27" t="str">
        <f t="shared" si="128"/>
        <v/>
      </c>
      <c r="AD476" s="28" t="str">
        <f>IF($B476="","",IF($AK476&lt;=Settings!$C$23,"",IFERROR($E476/SUMIFS($E$4:$E$503,$B$4:$B$503,$B476,$AK$4:$AK$503,$AK476-Settings!$C$23)-1,"")))</f>
        <v/>
      </c>
      <c r="AE476" s="28" t="str">
        <f>IF($B476="","",IF($AK476&lt;=Settings!$C$22,"",IFERROR($E476/SUMIFS($E$4:$E$503,$B$4:$B$503,$B476,$AK$4:$AK$503,$AK476-Settings!$C$22)-1,"")))</f>
        <v/>
      </c>
      <c r="AF476" s="28" t="str">
        <f t="shared" si="129"/>
        <v/>
      </c>
      <c r="AG476" s="29" t="str">
        <f>IF($B476="","",ROUND((MIN(100,100*N($I476)/Settings!$C$27)+MIN(100,100*N($K476)/Settings!$C$28)+MIN(100,100*N($J476)/Settings!$C$29))/3,1))</f>
        <v/>
      </c>
      <c r="AH476" s="29" t="str">
        <f>IF($B476="","",IF(SUM(Settings!$C$32:$C$37)=0,"",ROUND((Settings!$C$32*$AO476+Settings!$C$33*$AP476+Settings!$C$34*$AQ476+Settings!$C$35*$AR476+Settings!$C$36*$AS476+Settings!$C$37*$AT476)/SUM(Settings!$C$32:$C$37),1)))</f>
        <v/>
      </c>
      <c r="AI476" s="29" t="str">
        <f>IF($B476="","",MAX(0,100-IF(N($N476)&gt;0,0,20)-IF(AND(N($L476)=0,N($M476)=0),15,0)-IF(N($J476)&gt;0,0,10)-IF(N($K476)&gt;0,0,10)-IF($Z476&lt;&gt;"",0,15)-IF($AB476&lt;&gt;"",0,10)-IF($R476="ERROR",20,IF($R476="WARNING",10,0))))</f>
        <v/>
      </c>
      <c r="AJ476" s="30" t="str">
        <f>IF($AH476="","",IF($AH476&lt;Settings!$C$46,"Extreme Sell Pressure",IF($AH476&lt;Settings!$C$47,"Sell Pressure",IF($AH476&lt;=Settings!$C$48,"Neutral",IF($AH476&lt;=Settings!$C$49,"Buy Pressure","Extreme Buy Pressure")))))</f>
        <v/>
      </c>
      <c r="AK476" s="30" t="str">
        <f t="shared" si="130"/>
        <v/>
      </c>
      <c r="AL476" s="30" t="str">
        <f t="shared" si="131"/>
        <v/>
      </c>
      <c r="AM476" s="30" t="str">
        <f t="shared" si="132"/>
        <v/>
      </c>
      <c r="AN476" s="30" t="str">
        <f t="shared" si="133"/>
        <v/>
      </c>
      <c r="AO476" s="29" t="str">
        <f>IF($B476="","",IF(AND(N($L476)=0,N($M476)=0),50,IF(N($M476)=0,100,IF(N($L476)=0,0,MEDIAN(0,100,50+50*LN($S476)/LN(Settings!$C$40))))))</f>
        <v/>
      </c>
      <c r="AP476" s="29">
        <f>IF($AA476="",50,MEDIAN(0,100,50+$AA476*100*Settings!$C$41))</f>
        <v>50</v>
      </c>
      <c r="AQ476" s="29">
        <f>IF($H476="",50,MEDIAN(0,100,50+$H476*100*Settings!$C$42))</f>
        <v>50</v>
      </c>
      <c r="AR476" s="29">
        <f>IF(OR($AC476="",$H476=""),50,MEDIAN(0,100,50+SIGN($H476)*50*MEDIAN(0,1,($AC476-1)/Settings!$C$43)))</f>
        <v>50</v>
      </c>
      <c r="AS476" s="29">
        <f>IF(OR($V476="",$W476=""),50,MEDIAN(0,100,50+50*($V476-$W476)/Settings!$C$44))</f>
        <v>50</v>
      </c>
      <c r="AT476" s="29">
        <f t="shared" si="134"/>
        <v>50</v>
      </c>
      <c r="AU476" s="30" t="str">
        <f t="shared" si="135"/>
        <v/>
      </c>
      <c r="AV476" s="87" t="str">
        <f>IF($A476="","",IF(COUNTIFS($A$4:$A476,$A476)=1,1,0))</f>
        <v/>
      </c>
    </row>
    <row r="477" spans="1:48" x14ac:dyDescent="0.3">
      <c r="A477" s="270"/>
      <c r="B477" s="271"/>
      <c r="C477" s="272"/>
      <c r="D477" s="272"/>
      <c r="E477" s="272"/>
      <c r="F477" s="272"/>
      <c r="G477" s="272"/>
      <c r="H477" s="268" t="str">
        <f t="shared" si="119"/>
        <v/>
      </c>
      <c r="I477" s="273"/>
      <c r="J477" s="273"/>
      <c r="K477" s="273"/>
      <c r="L477" s="273"/>
      <c r="M477" s="273"/>
      <c r="N477" s="273"/>
      <c r="O477" s="271"/>
      <c r="P477" s="270"/>
      <c r="Q477" s="271"/>
      <c r="R477" s="23" t="str" cm="1">
        <f t="array" ref="R477">IF($B477="","",IFERROR(IF(INDEX('Data Quality'!$U$4:$U$503,ROW()-3)=0,"PENDING",INDEX('Data Quality'!$U$4:$U$503,ROW()-3)),"PENDING"))</f>
        <v/>
      </c>
      <c r="S477" s="24" t="str">
        <f t="shared" si="120"/>
        <v/>
      </c>
      <c r="T477" s="25" t="str">
        <f t="shared" si="121"/>
        <v/>
      </c>
      <c r="U477" s="25" t="str">
        <f t="shared" si="122"/>
        <v/>
      </c>
      <c r="V477" s="26" t="str">
        <f t="shared" si="123"/>
        <v/>
      </c>
      <c r="W477" s="26" t="str">
        <f t="shared" si="124"/>
        <v/>
      </c>
      <c r="X477" s="25" t="str">
        <f t="shared" si="125"/>
        <v/>
      </c>
      <c r="Y477" s="25" t="str">
        <f t="shared" si="126"/>
        <v/>
      </c>
      <c r="Z477" s="27" t="str">
        <f>IF($B477="","",IF($AK477&lt;=Settings!$C$21,"",IFERROR(AVERAGEIFS($S$4:$S$503,$B$4:$B$503,$B477,$AK$4:$AK$503,"&gt;="&amp;$AK477-Settings!$C$21,$AK$4:$AK$503,"&lt;="&amp;$AK477-1),"")))</f>
        <v/>
      </c>
      <c r="AA477" s="28" t="str">
        <f t="shared" si="127"/>
        <v/>
      </c>
      <c r="AB477" s="25" t="str">
        <f>IF($B477="","",IF($AK477&lt;=Settings!$C$22,"",IFERROR(AVERAGEIFS($K$4:$K$503,$B$4:$B$503,$B477,$AK$4:$AK$503,"&gt;="&amp;$AK477-Settings!$C$22,$AK$4:$AK$503,"&lt;="&amp;$AK477-1),"")))</f>
        <v/>
      </c>
      <c r="AC477" s="27" t="str">
        <f t="shared" si="128"/>
        <v/>
      </c>
      <c r="AD477" s="28" t="str">
        <f>IF($B477="","",IF($AK477&lt;=Settings!$C$23,"",IFERROR($E477/SUMIFS($E$4:$E$503,$B$4:$B$503,$B477,$AK$4:$AK$503,$AK477-Settings!$C$23)-1,"")))</f>
        <v/>
      </c>
      <c r="AE477" s="28" t="str">
        <f>IF($B477="","",IF($AK477&lt;=Settings!$C$22,"",IFERROR($E477/SUMIFS($E$4:$E$503,$B$4:$B$503,$B477,$AK$4:$AK$503,$AK477-Settings!$C$22)-1,"")))</f>
        <v/>
      </c>
      <c r="AF477" s="28" t="str">
        <f t="shared" si="129"/>
        <v/>
      </c>
      <c r="AG477" s="29" t="str">
        <f>IF($B477="","",ROUND((MIN(100,100*N($I477)/Settings!$C$27)+MIN(100,100*N($K477)/Settings!$C$28)+MIN(100,100*N($J477)/Settings!$C$29))/3,1))</f>
        <v/>
      </c>
      <c r="AH477" s="29" t="str">
        <f>IF($B477="","",IF(SUM(Settings!$C$32:$C$37)=0,"",ROUND((Settings!$C$32*$AO477+Settings!$C$33*$AP477+Settings!$C$34*$AQ477+Settings!$C$35*$AR477+Settings!$C$36*$AS477+Settings!$C$37*$AT477)/SUM(Settings!$C$32:$C$37),1)))</f>
        <v/>
      </c>
      <c r="AI477" s="29" t="str">
        <f>IF($B477="","",MAX(0,100-IF(N($N477)&gt;0,0,20)-IF(AND(N($L477)=0,N($M477)=0),15,0)-IF(N($J477)&gt;0,0,10)-IF(N($K477)&gt;0,0,10)-IF($Z477&lt;&gt;"",0,15)-IF($AB477&lt;&gt;"",0,10)-IF($R477="ERROR",20,IF($R477="WARNING",10,0))))</f>
        <v/>
      </c>
      <c r="AJ477" s="30" t="str">
        <f>IF($AH477="","",IF($AH477&lt;Settings!$C$46,"Extreme Sell Pressure",IF($AH477&lt;Settings!$C$47,"Sell Pressure",IF($AH477&lt;=Settings!$C$48,"Neutral",IF($AH477&lt;=Settings!$C$49,"Buy Pressure","Extreme Buy Pressure")))))</f>
        <v/>
      </c>
      <c r="AK477" s="30" t="str">
        <f t="shared" si="130"/>
        <v/>
      </c>
      <c r="AL477" s="30" t="str">
        <f t="shared" si="131"/>
        <v/>
      </c>
      <c r="AM477" s="30" t="str">
        <f t="shared" si="132"/>
        <v/>
      </c>
      <c r="AN477" s="30" t="str">
        <f t="shared" si="133"/>
        <v/>
      </c>
      <c r="AO477" s="29" t="str">
        <f>IF($B477="","",IF(AND(N($L477)=0,N($M477)=0),50,IF(N($M477)=0,100,IF(N($L477)=0,0,MEDIAN(0,100,50+50*LN($S477)/LN(Settings!$C$40))))))</f>
        <v/>
      </c>
      <c r="AP477" s="29">
        <f>IF($AA477="",50,MEDIAN(0,100,50+$AA477*100*Settings!$C$41))</f>
        <v>50</v>
      </c>
      <c r="AQ477" s="29">
        <f>IF($H477="",50,MEDIAN(0,100,50+$H477*100*Settings!$C$42))</f>
        <v>50</v>
      </c>
      <c r="AR477" s="29">
        <f>IF(OR($AC477="",$H477=""),50,MEDIAN(0,100,50+SIGN($H477)*50*MEDIAN(0,1,($AC477-1)/Settings!$C$43)))</f>
        <v>50</v>
      </c>
      <c r="AS477" s="29">
        <f>IF(OR($V477="",$W477=""),50,MEDIAN(0,100,50+50*($V477-$W477)/Settings!$C$44))</f>
        <v>50</v>
      </c>
      <c r="AT477" s="29">
        <f t="shared" si="134"/>
        <v>50</v>
      </c>
      <c r="AU477" s="30" t="str">
        <f t="shared" si="135"/>
        <v/>
      </c>
      <c r="AV477" s="87" t="str">
        <f>IF($A477="","",IF(COUNTIFS($A$4:$A477,$A477)=1,1,0))</f>
        <v/>
      </c>
    </row>
    <row r="478" spans="1:48" x14ac:dyDescent="0.3">
      <c r="A478" s="270"/>
      <c r="B478" s="271"/>
      <c r="C478" s="272"/>
      <c r="D478" s="272"/>
      <c r="E478" s="272"/>
      <c r="F478" s="272"/>
      <c r="G478" s="272"/>
      <c r="H478" s="268" t="str">
        <f t="shared" si="119"/>
        <v/>
      </c>
      <c r="I478" s="273"/>
      <c r="J478" s="273"/>
      <c r="K478" s="273"/>
      <c r="L478" s="273"/>
      <c r="M478" s="273"/>
      <c r="N478" s="273"/>
      <c r="O478" s="271"/>
      <c r="P478" s="270"/>
      <c r="Q478" s="271"/>
      <c r="R478" s="23" t="str" cm="1">
        <f t="array" ref="R478">IF($B478="","",IFERROR(IF(INDEX('Data Quality'!$U$4:$U$503,ROW()-3)=0,"PENDING",INDEX('Data Quality'!$U$4:$U$503,ROW()-3)),"PENDING"))</f>
        <v/>
      </c>
      <c r="S478" s="24" t="str">
        <f t="shared" si="120"/>
        <v/>
      </c>
      <c r="T478" s="25" t="str">
        <f t="shared" si="121"/>
        <v/>
      </c>
      <c r="U478" s="25" t="str">
        <f t="shared" si="122"/>
        <v/>
      </c>
      <c r="V478" s="26" t="str">
        <f t="shared" si="123"/>
        <v/>
      </c>
      <c r="W478" s="26" t="str">
        <f t="shared" si="124"/>
        <v/>
      </c>
      <c r="X478" s="25" t="str">
        <f t="shared" si="125"/>
        <v/>
      </c>
      <c r="Y478" s="25" t="str">
        <f t="shared" si="126"/>
        <v/>
      </c>
      <c r="Z478" s="27" t="str">
        <f>IF($B478="","",IF($AK478&lt;=Settings!$C$21,"",IFERROR(AVERAGEIFS($S$4:$S$503,$B$4:$B$503,$B478,$AK$4:$AK$503,"&gt;="&amp;$AK478-Settings!$C$21,$AK$4:$AK$503,"&lt;="&amp;$AK478-1),"")))</f>
        <v/>
      </c>
      <c r="AA478" s="28" t="str">
        <f t="shared" si="127"/>
        <v/>
      </c>
      <c r="AB478" s="25" t="str">
        <f>IF($B478="","",IF($AK478&lt;=Settings!$C$22,"",IFERROR(AVERAGEIFS($K$4:$K$503,$B$4:$B$503,$B478,$AK$4:$AK$503,"&gt;="&amp;$AK478-Settings!$C$22,$AK$4:$AK$503,"&lt;="&amp;$AK478-1),"")))</f>
        <v/>
      </c>
      <c r="AC478" s="27" t="str">
        <f t="shared" si="128"/>
        <v/>
      </c>
      <c r="AD478" s="28" t="str">
        <f>IF($B478="","",IF($AK478&lt;=Settings!$C$23,"",IFERROR($E478/SUMIFS($E$4:$E$503,$B$4:$B$503,$B478,$AK$4:$AK$503,$AK478-Settings!$C$23)-1,"")))</f>
        <v/>
      </c>
      <c r="AE478" s="28" t="str">
        <f>IF($B478="","",IF($AK478&lt;=Settings!$C$22,"",IFERROR($E478/SUMIFS($E$4:$E$503,$B$4:$B$503,$B478,$AK$4:$AK$503,$AK478-Settings!$C$22)-1,"")))</f>
        <v/>
      </c>
      <c r="AF478" s="28" t="str">
        <f t="shared" si="129"/>
        <v/>
      </c>
      <c r="AG478" s="29" t="str">
        <f>IF($B478="","",ROUND((MIN(100,100*N($I478)/Settings!$C$27)+MIN(100,100*N($K478)/Settings!$C$28)+MIN(100,100*N($J478)/Settings!$C$29))/3,1))</f>
        <v/>
      </c>
      <c r="AH478" s="29" t="str">
        <f>IF($B478="","",IF(SUM(Settings!$C$32:$C$37)=0,"",ROUND((Settings!$C$32*$AO478+Settings!$C$33*$AP478+Settings!$C$34*$AQ478+Settings!$C$35*$AR478+Settings!$C$36*$AS478+Settings!$C$37*$AT478)/SUM(Settings!$C$32:$C$37),1)))</f>
        <v/>
      </c>
      <c r="AI478" s="29" t="str">
        <f>IF($B478="","",MAX(0,100-IF(N($N478)&gt;0,0,20)-IF(AND(N($L478)=0,N($M478)=0),15,0)-IF(N($J478)&gt;0,0,10)-IF(N($K478)&gt;0,0,10)-IF($Z478&lt;&gt;"",0,15)-IF($AB478&lt;&gt;"",0,10)-IF($R478="ERROR",20,IF($R478="WARNING",10,0))))</f>
        <v/>
      </c>
      <c r="AJ478" s="30" t="str">
        <f>IF($AH478="","",IF($AH478&lt;Settings!$C$46,"Extreme Sell Pressure",IF($AH478&lt;Settings!$C$47,"Sell Pressure",IF($AH478&lt;=Settings!$C$48,"Neutral",IF($AH478&lt;=Settings!$C$49,"Buy Pressure","Extreme Buy Pressure")))))</f>
        <v/>
      </c>
      <c r="AK478" s="30" t="str">
        <f t="shared" si="130"/>
        <v/>
      </c>
      <c r="AL478" s="30" t="str">
        <f t="shared" si="131"/>
        <v/>
      </c>
      <c r="AM478" s="30" t="str">
        <f t="shared" si="132"/>
        <v/>
      </c>
      <c r="AN478" s="30" t="str">
        <f t="shared" si="133"/>
        <v/>
      </c>
      <c r="AO478" s="29" t="str">
        <f>IF($B478="","",IF(AND(N($L478)=0,N($M478)=0),50,IF(N($M478)=0,100,IF(N($L478)=0,0,MEDIAN(0,100,50+50*LN($S478)/LN(Settings!$C$40))))))</f>
        <v/>
      </c>
      <c r="AP478" s="29">
        <f>IF($AA478="",50,MEDIAN(0,100,50+$AA478*100*Settings!$C$41))</f>
        <v>50</v>
      </c>
      <c r="AQ478" s="29">
        <f>IF($H478="",50,MEDIAN(0,100,50+$H478*100*Settings!$C$42))</f>
        <v>50</v>
      </c>
      <c r="AR478" s="29">
        <f>IF(OR($AC478="",$H478=""),50,MEDIAN(0,100,50+SIGN($H478)*50*MEDIAN(0,1,($AC478-1)/Settings!$C$43)))</f>
        <v>50</v>
      </c>
      <c r="AS478" s="29">
        <f>IF(OR($V478="",$W478=""),50,MEDIAN(0,100,50+50*($V478-$W478)/Settings!$C$44))</f>
        <v>50</v>
      </c>
      <c r="AT478" s="29">
        <f t="shared" si="134"/>
        <v>50</v>
      </c>
      <c r="AU478" s="30" t="str">
        <f t="shared" si="135"/>
        <v/>
      </c>
      <c r="AV478" s="87" t="str">
        <f>IF($A478="","",IF(COUNTIFS($A$4:$A478,$A478)=1,1,0))</f>
        <v/>
      </c>
    </row>
    <row r="479" spans="1:48" x14ac:dyDescent="0.3">
      <c r="A479" s="270"/>
      <c r="B479" s="271"/>
      <c r="C479" s="272"/>
      <c r="D479" s="272"/>
      <c r="E479" s="272"/>
      <c r="F479" s="272"/>
      <c r="G479" s="272"/>
      <c r="H479" s="268" t="str">
        <f t="shared" si="119"/>
        <v/>
      </c>
      <c r="I479" s="273"/>
      <c r="J479" s="273"/>
      <c r="K479" s="273"/>
      <c r="L479" s="273"/>
      <c r="M479" s="273"/>
      <c r="N479" s="273"/>
      <c r="O479" s="271"/>
      <c r="P479" s="270"/>
      <c r="Q479" s="271"/>
      <c r="R479" s="23" t="str" cm="1">
        <f t="array" ref="R479">IF($B479="","",IFERROR(IF(INDEX('Data Quality'!$U$4:$U$503,ROW()-3)=0,"PENDING",INDEX('Data Quality'!$U$4:$U$503,ROW()-3)),"PENDING"))</f>
        <v/>
      </c>
      <c r="S479" s="24" t="str">
        <f t="shared" si="120"/>
        <v/>
      </c>
      <c r="T479" s="25" t="str">
        <f t="shared" si="121"/>
        <v/>
      </c>
      <c r="U479" s="25" t="str">
        <f t="shared" si="122"/>
        <v/>
      </c>
      <c r="V479" s="26" t="str">
        <f t="shared" si="123"/>
        <v/>
      </c>
      <c r="W479" s="26" t="str">
        <f t="shared" si="124"/>
        <v/>
      </c>
      <c r="X479" s="25" t="str">
        <f t="shared" si="125"/>
        <v/>
      </c>
      <c r="Y479" s="25" t="str">
        <f t="shared" si="126"/>
        <v/>
      </c>
      <c r="Z479" s="27" t="str">
        <f>IF($B479="","",IF($AK479&lt;=Settings!$C$21,"",IFERROR(AVERAGEIFS($S$4:$S$503,$B$4:$B$503,$B479,$AK$4:$AK$503,"&gt;="&amp;$AK479-Settings!$C$21,$AK$4:$AK$503,"&lt;="&amp;$AK479-1),"")))</f>
        <v/>
      </c>
      <c r="AA479" s="28" t="str">
        <f t="shared" si="127"/>
        <v/>
      </c>
      <c r="AB479" s="25" t="str">
        <f>IF($B479="","",IF($AK479&lt;=Settings!$C$22,"",IFERROR(AVERAGEIFS($K$4:$K$503,$B$4:$B$503,$B479,$AK$4:$AK$503,"&gt;="&amp;$AK479-Settings!$C$22,$AK$4:$AK$503,"&lt;="&amp;$AK479-1),"")))</f>
        <v/>
      </c>
      <c r="AC479" s="27" t="str">
        <f t="shared" si="128"/>
        <v/>
      </c>
      <c r="AD479" s="28" t="str">
        <f>IF($B479="","",IF($AK479&lt;=Settings!$C$23,"",IFERROR($E479/SUMIFS($E$4:$E$503,$B$4:$B$503,$B479,$AK$4:$AK$503,$AK479-Settings!$C$23)-1,"")))</f>
        <v/>
      </c>
      <c r="AE479" s="28" t="str">
        <f>IF($B479="","",IF($AK479&lt;=Settings!$C$22,"",IFERROR($E479/SUMIFS($E$4:$E$503,$B$4:$B$503,$B479,$AK$4:$AK$503,$AK479-Settings!$C$22)-1,"")))</f>
        <v/>
      </c>
      <c r="AF479" s="28" t="str">
        <f t="shared" si="129"/>
        <v/>
      </c>
      <c r="AG479" s="29" t="str">
        <f>IF($B479="","",ROUND((MIN(100,100*N($I479)/Settings!$C$27)+MIN(100,100*N($K479)/Settings!$C$28)+MIN(100,100*N($J479)/Settings!$C$29))/3,1))</f>
        <v/>
      </c>
      <c r="AH479" s="29" t="str">
        <f>IF($B479="","",IF(SUM(Settings!$C$32:$C$37)=0,"",ROUND((Settings!$C$32*$AO479+Settings!$C$33*$AP479+Settings!$C$34*$AQ479+Settings!$C$35*$AR479+Settings!$C$36*$AS479+Settings!$C$37*$AT479)/SUM(Settings!$C$32:$C$37),1)))</f>
        <v/>
      </c>
      <c r="AI479" s="29" t="str">
        <f>IF($B479="","",MAX(0,100-IF(N($N479)&gt;0,0,20)-IF(AND(N($L479)=0,N($M479)=0),15,0)-IF(N($J479)&gt;0,0,10)-IF(N($K479)&gt;0,0,10)-IF($Z479&lt;&gt;"",0,15)-IF($AB479&lt;&gt;"",0,10)-IF($R479="ERROR",20,IF($R479="WARNING",10,0))))</f>
        <v/>
      </c>
      <c r="AJ479" s="30" t="str">
        <f>IF($AH479="","",IF($AH479&lt;Settings!$C$46,"Extreme Sell Pressure",IF($AH479&lt;Settings!$C$47,"Sell Pressure",IF($AH479&lt;=Settings!$C$48,"Neutral",IF($AH479&lt;=Settings!$C$49,"Buy Pressure","Extreme Buy Pressure")))))</f>
        <v/>
      </c>
      <c r="AK479" s="30" t="str">
        <f t="shared" si="130"/>
        <v/>
      </c>
      <c r="AL479" s="30" t="str">
        <f t="shared" si="131"/>
        <v/>
      </c>
      <c r="AM479" s="30" t="str">
        <f t="shared" si="132"/>
        <v/>
      </c>
      <c r="AN479" s="30" t="str">
        <f t="shared" si="133"/>
        <v/>
      </c>
      <c r="AO479" s="29" t="str">
        <f>IF($B479="","",IF(AND(N($L479)=0,N($M479)=0),50,IF(N($M479)=0,100,IF(N($L479)=0,0,MEDIAN(0,100,50+50*LN($S479)/LN(Settings!$C$40))))))</f>
        <v/>
      </c>
      <c r="AP479" s="29">
        <f>IF($AA479="",50,MEDIAN(0,100,50+$AA479*100*Settings!$C$41))</f>
        <v>50</v>
      </c>
      <c r="AQ479" s="29">
        <f>IF($H479="",50,MEDIAN(0,100,50+$H479*100*Settings!$C$42))</f>
        <v>50</v>
      </c>
      <c r="AR479" s="29">
        <f>IF(OR($AC479="",$H479=""),50,MEDIAN(0,100,50+SIGN($H479)*50*MEDIAN(0,1,($AC479-1)/Settings!$C$43)))</f>
        <v>50</v>
      </c>
      <c r="AS479" s="29">
        <f>IF(OR($V479="",$W479=""),50,MEDIAN(0,100,50+50*($V479-$W479)/Settings!$C$44))</f>
        <v>50</v>
      </c>
      <c r="AT479" s="29">
        <f t="shared" si="134"/>
        <v>50</v>
      </c>
      <c r="AU479" s="30" t="str">
        <f t="shared" si="135"/>
        <v/>
      </c>
      <c r="AV479" s="87" t="str">
        <f>IF($A479="","",IF(COUNTIFS($A$4:$A479,$A479)=1,1,0))</f>
        <v/>
      </c>
    </row>
    <row r="480" spans="1:48" x14ac:dyDescent="0.3">
      <c r="A480" s="270"/>
      <c r="B480" s="271"/>
      <c r="C480" s="272"/>
      <c r="D480" s="272"/>
      <c r="E480" s="272"/>
      <c r="F480" s="272"/>
      <c r="G480" s="272"/>
      <c r="H480" s="268" t="str">
        <f t="shared" si="119"/>
        <v/>
      </c>
      <c r="I480" s="273"/>
      <c r="J480" s="273"/>
      <c r="K480" s="273"/>
      <c r="L480" s="273"/>
      <c r="M480" s="273"/>
      <c r="N480" s="273"/>
      <c r="O480" s="271"/>
      <c r="P480" s="270"/>
      <c r="Q480" s="271"/>
      <c r="R480" s="23" t="str" cm="1">
        <f t="array" ref="R480">IF($B480="","",IFERROR(IF(INDEX('Data Quality'!$U$4:$U$503,ROW()-3)=0,"PENDING",INDEX('Data Quality'!$U$4:$U$503,ROW()-3)),"PENDING"))</f>
        <v/>
      </c>
      <c r="S480" s="24" t="str">
        <f t="shared" si="120"/>
        <v/>
      </c>
      <c r="T480" s="25" t="str">
        <f t="shared" si="121"/>
        <v/>
      </c>
      <c r="U480" s="25" t="str">
        <f t="shared" si="122"/>
        <v/>
      </c>
      <c r="V480" s="26" t="str">
        <f t="shared" si="123"/>
        <v/>
      </c>
      <c r="W480" s="26" t="str">
        <f t="shared" si="124"/>
        <v/>
      </c>
      <c r="X480" s="25" t="str">
        <f t="shared" si="125"/>
        <v/>
      </c>
      <c r="Y480" s="25" t="str">
        <f t="shared" si="126"/>
        <v/>
      </c>
      <c r="Z480" s="27" t="str">
        <f>IF($B480="","",IF($AK480&lt;=Settings!$C$21,"",IFERROR(AVERAGEIFS($S$4:$S$503,$B$4:$B$503,$B480,$AK$4:$AK$503,"&gt;="&amp;$AK480-Settings!$C$21,$AK$4:$AK$503,"&lt;="&amp;$AK480-1),"")))</f>
        <v/>
      </c>
      <c r="AA480" s="28" t="str">
        <f t="shared" si="127"/>
        <v/>
      </c>
      <c r="AB480" s="25" t="str">
        <f>IF($B480="","",IF($AK480&lt;=Settings!$C$22,"",IFERROR(AVERAGEIFS($K$4:$K$503,$B$4:$B$503,$B480,$AK$4:$AK$503,"&gt;="&amp;$AK480-Settings!$C$22,$AK$4:$AK$503,"&lt;="&amp;$AK480-1),"")))</f>
        <v/>
      </c>
      <c r="AC480" s="27" t="str">
        <f t="shared" si="128"/>
        <v/>
      </c>
      <c r="AD480" s="28" t="str">
        <f>IF($B480="","",IF($AK480&lt;=Settings!$C$23,"",IFERROR($E480/SUMIFS($E$4:$E$503,$B$4:$B$503,$B480,$AK$4:$AK$503,$AK480-Settings!$C$23)-1,"")))</f>
        <v/>
      </c>
      <c r="AE480" s="28" t="str">
        <f>IF($B480="","",IF($AK480&lt;=Settings!$C$22,"",IFERROR($E480/SUMIFS($E$4:$E$503,$B$4:$B$503,$B480,$AK$4:$AK$503,$AK480-Settings!$C$22)-1,"")))</f>
        <v/>
      </c>
      <c r="AF480" s="28" t="str">
        <f t="shared" si="129"/>
        <v/>
      </c>
      <c r="AG480" s="29" t="str">
        <f>IF($B480="","",ROUND((MIN(100,100*N($I480)/Settings!$C$27)+MIN(100,100*N($K480)/Settings!$C$28)+MIN(100,100*N($J480)/Settings!$C$29))/3,1))</f>
        <v/>
      </c>
      <c r="AH480" s="29" t="str">
        <f>IF($B480="","",IF(SUM(Settings!$C$32:$C$37)=0,"",ROUND((Settings!$C$32*$AO480+Settings!$C$33*$AP480+Settings!$C$34*$AQ480+Settings!$C$35*$AR480+Settings!$C$36*$AS480+Settings!$C$37*$AT480)/SUM(Settings!$C$32:$C$37),1)))</f>
        <v/>
      </c>
      <c r="AI480" s="29" t="str">
        <f>IF($B480="","",MAX(0,100-IF(N($N480)&gt;0,0,20)-IF(AND(N($L480)=0,N($M480)=0),15,0)-IF(N($J480)&gt;0,0,10)-IF(N($K480)&gt;0,0,10)-IF($Z480&lt;&gt;"",0,15)-IF($AB480&lt;&gt;"",0,10)-IF($R480="ERROR",20,IF($R480="WARNING",10,0))))</f>
        <v/>
      </c>
      <c r="AJ480" s="30" t="str">
        <f>IF($AH480="","",IF($AH480&lt;Settings!$C$46,"Extreme Sell Pressure",IF($AH480&lt;Settings!$C$47,"Sell Pressure",IF($AH480&lt;=Settings!$C$48,"Neutral",IF($AH480&lt;=Settings!$C$49,"Buy Pressure","Extreme Buy Pressure")))))</f>
        <v/>
      </c>
      <c r="AK480" s="30" t="str">
        <f t="shared" si="130"/>
        <v/>
      </c>
      <c r="AL480" s="30" t="str">
        <f t="shared" si="131"/>
        <v/>
      </c>
      <c r="AM480" s="30" t="str">
        <f t="shared" si="132"/>
        <v/>
      </c>
      <c r="AN480" s="30" t="str">
        <f t="shared" si="133"/>
        <v/>
      </c>
      <c r="AO480" s="29" t="str">
        <f>IF($B480="","",IF(AND(N($L480)=0,N($M480)=0),50,IF(N($M480)=0,100,IF(N($L480)=0,0,MEDIAN(0,100,50+50*LN($S480)/LN(Settings!$C$40))))))</f>
        <v/>
      </c>
      <c r="AP480" s="29">
        <f>IF($AA480="",50,MEDIAN(0,100,50+$AA480*100*Settings!$C$41))</f>
        <v>50</v>
      </c>
      <c r="AQ480" s="29">
        <f>IF($H480="",50,MEDIAN(0,100,50+$H480*100*Settings!$C$42))</f>
        <v>50</v>
      </c>
      <c r="AR480" s="29">
        <f>IF(OR($AC480="",$H480=""),50,MEDIAN(0,100,50+SIGN($H480)*50*MEDIAN(0,1,($AC480-1)/Settings!$C$43)))</f>
        <v>50</v>
      </c>
      <c r="AS480" s="29">
        <f>IF(OR($V480="",$W480=""),50,MEDIAN(0,100,50+50*($V480-$W480)/Settings!$C$44))</f>
        <v>50</v>
      </c>
      <c r="AT480" s="29">
        <f t="shared" si="134"/>
        <v>50</v>
      </c>
      <c r="AU480" s="30" t="str">
        <f t="shared" si="135"/>
        <v/>
      </c>
      <c r="AV480" s="87" t="str">
        <f>IF($A480="","",IF(COUNTIFS($A$4:$A480,$A480)=1,1,0))</f>
        <v/>
      </c>
    </row>
    <row r="481" spans="1:48" x14ac:dyDescent="0.3">
      <c r="A481" s="270"/>
      <c r="B481" s="271"/>
      <c r="C481" s="272"/>
      <c r="D481" s="272"/>
      <c r="E481" s="272"/>
      <c r="F481" s="272"/>
      <c r="G481" s="272"/>
      <c r="H481" s="268" t="str">
        <f t="shared" si="119"/>
        <v/>
      </c>
      <c r="I481" s="273"/>
      <c r="J481" s="273"/>
      <c r="K481" s="273"/>
      <c r="L481" s="273"/>
      <c r="M481" s="273"/>
      <c r="N481" s="273"/>
      <c r="O481" s="271"/>
      <c r="P481" s="270"/>
      <c r="Q481" s="271"/>
      <c r="R481" s="23" t="str" cm="1">
        <f t="array" ref="R481">IF($B481="","",IFERROR(IF(INDEX('Data Quality'!$U$4:$U$503,ROW()-3)=0,"PENDING",INDEX('Data Quality'!$U$4:$U$503,ROW()-3)),"PENDING"))</f>
        <v/>
      </c>
      <c r="S481" s="24" t="str">
        <f t="shared" si="120"/>
        <v/>
      </c>
      <c r="T481" s="25" t="str">
        <f t="shared" si="121"/>
        <v/>
      </c>
      <c r="U481" s="25" t="str">
        <f t="shared" si="122"/>
        <v/>
      </c>
      <c r="V481" s="26" t="str">
        <f t="shared" si="123"/>
        <v/>
      </c>
      <c r="W481" s="26" t="str">
        <f t="shared" si="124"/>
        <v/>
      </c>
      <c r="X481" s="25" t="str">
        <f t="shared" si="125"/>
        <v/>
      </c>
      <c r="Y481" s="25" t="str">
        <f t="shared" si="126"/>
        <v/>
      </c>
      <c r="Z481" s="27" t="str">
        <f>IF($B481="","",IF($AK481&lt;=Settings!$C$21,"",IFERROR(AVERAGEIFS($S$4:$S$503,$B$4:$B$503,$B481,$AK$4:$AK$503,"&gt;="&amp;$AK481-Settings!$C$21,$AK$4:$AK$503,"&lt;="&amp;$AK481-1),"")))</f>
        <v/>
      </c>
      <c r="AA481" s="28" t="str">
        <f t="shared" si="127"/>
        <v/>
      </c>
      <c r="AB481" s="25" t="str">
        <f>IF($B481="","",IF($AK481&lt;=Settings!$C$22,"",IFERROR(AVERAGEIFS($K$4:$K$503,$B$4:$B$503,$B481,$AK$4:$AK$503,"&gt;="&amp;$AK481-Settings!$C$22,$AK$4:$AK$503,"&lt;="&amp;$AK481-1),"")))</f>
        <v/>
      </c>
      <c r="AC481" s="27" t="str">
        <f t="shared" si="128"/>
        <v/>
      </c>
      <c r="AD481" s="28" t="str">
        <f>IF($B481="","",IF($AK481&lt;=Settings!$C$23,"",IFERROR($E481/SUMIFS($E$4:$E$503,$B$4:$B$503,$B481,$AK$4:$AK$503,$AK481-Settings!$C$23)-1,"")))</f>
        <v/>
      </c>
      <c r="AE481" s="28" t="str">
        <f>IF($B481="","",IF($AK481&lt;=Settings!$C$22,"",IFERROR($E481/SUMIFS($E$4:$E$503,$B$4:$B$503,$B481,$AK$4:$AK$503,$AK481-Settings!$C$22)-1,"")))</f>
        <v/>
      </c>
      <c r="AF481" s="28" t="str">
        <f t="shared" si="129"/>
        <v/>
      </c>
      <c r="AG481" s="29" t="str">
        <f>IF($B481="","",ROUND((MIN(100,100*N($I481)/Settings!$C$27)+MIN(100,100*N($K481)/Settings!$C$28)+MIN(100,100*N($J481)/Settings!$C$29))/3,1))</f>
        <v/>
      </c>
      <c r="AH481" s="29" t="str">
        <f>IF($B481="","",IF(SUM(Settings!$C$32:$C$37)=0,"",ROUND((Settings!$C$32*$AO481+Settings!$C$33*$AP481+Settings!$C$34*$AQ481+Settings!$C$35*$AR481+Settings!$C$36*$AS481+Settings!$C$37*$AT481)/SUM(Settings!$C$32:$C$37),1)))</f>
        <v/>
      </c>
      <c r="AI481" s="29" t="str">
        <f>IF($B481="","",MAX(0,100-IF(N($N481)&gt;0,0,20)-IF(AND(N($L481)=0,N($M481)=0),15,0)-IF(N($J481)&gt;0,0,10)-IF(N($K481)&gt;0,0,10)-IF($Z481&lt;&gt;"",0,15)-IF($AB481&lt;&gt;"",0,10)-IF($R481="ERROR",20,IF($R481="WARNING",10,0))))</f>
        <v/>
      </c>
      <c r="AJ481" s="30" t="str">
        <f>IF($AH481="","",IF($AH481&lt;Settings!$C$46,"Extreme Sell Pressure",IF($AH481&lt;Settings!$C$47,"Sell Pressure",IF($AH481&lt;=Settings!$C$48,"Neutral",IF($AH481&lt;=Settings!$C$49,"Buy Pressure","Extreme Buy Pressure")))))</f>
        <v/>
      </c>
      <c r="AK481" s="30" t="str">
        <f t="shared" si="130"/>
        <v/>
      </c>
      <c r="AL481" s="30" t="str">
        <f t="shared" si="131"/>
        <v/>
      </c>
      <c r="AM481" s="30" t="str">
        <f t="shared" si="132"/>
        <v/>
      </c>
      <c r="AN481" s="30" t="str">
        <f t="shared" si="133"/>
        <v/>
      </c>
      <c r="AO481" s="29" t="str">
        <f>IF($B481="","",IF(AND(N($L481)=0,N($M481)=0),50,IF(N($M481)=0,100,IF(N($L481)=0,0,MEDIAN(0,100,50+50*LN($S481)/LN(Settings!$C$40))))))</f>
        <v/>
      </c>
      <c r="AP481" s="29">
        <f>IF($AA481="",50,MEDIAN(0,100,50+$AA481*100*Settings!$C$41))</f>
        <v>50</v>
      </c>
      <c r="AQ481" s="29">
        <f>IF($H481="",50,MEDIAN(0,100,50+$H481*100*Settings!$C$42))</f>
        <v>50</v>
      </c>
      <c r="AR481" s="29">
        <f>IF(OR($AC481="",$H481=""),50,MEDIAN(0,100,50+SIGN($H481)*50*MEDIAN(0,1,($AC481-1)/Settings!$C$43)))</f>
        <v>50</v>
      </c>
      <c r="AS481" s="29">
        <f>IF(OR($V481="",$W481=""),50,MEDIAN(0,100,50+50*($V481-$W481)/Settings!$C$44))</f>
        <v>50</v>
      </c>
      <c r="AT481" s="29">
        <f t="shared" si="134"/>
        <v>50</v>
      </c>
      <c r="AU481" s="30" t="str">
        <f t="shared" si="135"/>
        <v/>
      </c>
      <c r="AV481" s="87" t="str">
        <f>IF($A481="","",IF(COUNTIFS($A$4:$A481,$A481)=1,1,0))</f>
        <v/>
      </c>
    </row>
    <row r="482" spans="1:48" x14ac:dyDescent="0.3">
      <c r="A482" s="270"/>
      <c r="B482" s="271"/>
      <c r="C482" s="272"/>
      <c r="D482" s="272"/>
      <c r="E482" s="272"/>
      <c r="F482" s="272"/>
      <c r="G482" s="272"/>
      <c r="H482" s="268" t="str">
        <f t="shared" si="119"/>
        <v/>
      </c>
      <c r="I482" s="273"/>
      <c r="J482" s="273"/>
      <c r="K482" s="273"/>
      <c r="L482" s="273"/>
      <c r="M482" s="273"/>
      <c r="N482" s="273"/>
      <c r="O482" s="271"/>
      <c r="P482" s="270"/>
      <c r="Q482" s="271"/>
      <c r="R482" s="23" t="str" cm="1">
        <f t="array" ref="R482">IF($B482="","",IFERROR(IF(INDEX('Data Quality'!$U$4:$U$503,ROW()-3)=0,"PENDING",INDEX('Data Quality'!$U$4:$U$503,ROW()-3)),"PENDING"))</f>
        <v/>
      </c>
      <c r="S482" s="24" t="str">
        <f t="shared" si="120"/>
        <v/>
      </c>
      <c r="T482" s="25" t="str">
        <f t="shared" si="121"/>
        <v/>
      </c>
      <c r="U482" s="25" t="str">
        <f t="shared" si="122"/>
        <v/>
      </c>
      <c r="V482" s="26" t="str">
        <f t="shared" si="123"/>
        <v/>
      </c>
      <c r="W482" s="26" t="str">
        <f t="shared" si="124"/>
        <v/>
      </c>
      <c r="X482" s="25" t="str">
        <f t="shared" si="125"/>
        <v/>
      </c>
      <c r="Y482" s="25" t="str">
        <f t="shared" si="126"/>
        <v/>
      </c>
      <c r="Z482" s="27" t="str">
        <f>IF($B482="","",IF($AK482&lt;=Settings!$C$21,"",IFERROR(AVERAGEIFS($S$4:$S$503,$B$4:$B$503,$B482,$AK$4:$AK$503,"&gt;="&amp;$AK482-Settings!$C$21,$AK$4:$AK$503,"&lt;="&amp;$AK482-1),"")))</f>
        <v/>
      </c>
      <c r="AA482" s="28" t="str">
        <f t="shared" si="127"/>
        <v/>
      </c>
      <c r="AB482" s="25" t="str">
        <f>IF($B482="","",IF($AK482&lt;=Settings!$C$22,"",IFERROR(AVERAGEIFS($K$4:$K$503,$B$4:$B$503,$B482,$AK$4:$AK$503,"&gt;="&amp;$AK482-Settings!$C$22,$AK$4:$AK$503,"&lt;="&amp;$AK482-1),"")))</f>
        <v/>
      </c>
      <c r="AC482" s="27" t="str">
        <f t="shared" si="128"/>
        <v/>
      </c>
      <c r="AD482" s="28" t="str">
        <f>IF($B482="","",IF($AK482&lt;=Settings!$C$23,"",IFERROR($E482/SUMIFS($E$4:$E$503,$B$4:$B$503,$B482,$AK$4:$AK$503,$AK482-Settings!$C$23)-1,"")))</f>
        <v/>
      </c>
      <c r="AE482" s="28" t="str">
        <f>IF($B482="","",IF($AK482&lt;=Settings!$C$22,"",IFERROR($E482/SUMIFS($E$4:$E$503,$B$4:$B$503,$B482,$AK$4:$AK$503,$AK482-Settings!$C$22)-1,"")))</f>
        <v/>
      </c>
      <c r="AF482" s="28" t="str">
        <f t="shared" si="129"/>
        <v/>
      </c>
      <c r="AG482" s="29" t="str">
        <f>IF($B482="","",ROUND((MIN(100,100*N($I482)/Settings!$C$27)+MIN(100,100*N($K482)/Settings!$C$28)+MIN(100,100*N($J482)/Settings!$C$29))/3,1))</f>
        <v/>
      </c>
      <c r="AH482" s="29" t="str">
        <f>IF($B482="","",IF(SUM(Settings!$C$32:$C$37)=0,"",ROUND((Settings!$C$32*$AO482+Settings!$C$33*$AP482+Settings!$C$34*$AQ482+Settings!$C$35*$AR482+Settings!$C$36*$AS482+Settings!$C$37*$AT482)/SUM(Settings!$C$32:$C$37),1)))</f>
        <v/>
      </c>
      <c r="AI482" s="29" t="str">
        <f>IF($B482="","",MAX(0,100-IF(N($N482)&gt;0,0,20)-IF(AND(N($L482)=0,N($M482)=0),15,0)-IF(N($J482)&gt;0,0,10)-IF(N($K482)&gt;0,0,10)-IF($Z482&lt;&gt;"",0,15)-IF($AB482&lt;&gt;"",0,10)-IF($R482="ERROR",20,IF($R482="WARNING",10,0))))</f>
        <v/>
      </c>
      <c r="AJ482" s="30" t="str">
        <f>IF($AH482="","",IF($AH482&lt;Settings!$C$46,"Extreme Sell Pressure",IF($AH482&lt;Settings!$C$47,"Sell Pressure",IF($AH482&lt;=Settings!$C$48,"Neutral",IF($AH482&lt;=Settings!$C$49,"Buy Pressure","Extreme Buy Pressure")))))</f>
        <v/>
      </c>
      <c r="AK482" s="30" t="str">
        <f t="shared" si="130"/>
        <v/>
      </c>
      <c r="AL482" s="30" t="str">
        <f t="shared" si="131"/>
        <v/>
      </c>
      <c r="AM482" s="30" t="str">
        <f t="shared" si="132"/>
        <v/>
      </c>
      <c r="AN482" s="30" t="str">
        <f t="shared" si="133"/>
        <v/>
      </c>
      <c r="AO482" s="29" t="str">
        <f>IF($B482="","",IF(AND(N($L482)=0,N($M482)=0),50,IF(N($M482)=0,100,IF(N($L482)=0,0,MEDIAN(0,100,50+50*LN($S482)/LN(Settings!$C$40))))))</f>
        <v/>
      </c>
      <c r="AP482" s="29">
        <f>IF($AA482="",50,MEDIAN(0,100,50+$AA482*100*Settings!$C$41))</f>
        <v>50</v>
      </c>
      <c r="AQ482" s="29">
        <f>IF($H482="",50,MEDIAN(0,100,50+$H482*100*Settings!$C$42))</f>
        <v>50</v>
      </c>
      <c r="AR482" s="29">
        <f>IF(OR($AC482="",$H482=""),50,MEDIAN(0,100,50+SIGN($H482)*50*MEDIAN(0,1,($AC482-1)/Settings!$C$43)))</f>
        <v>50</v>
      </c>
      <c r="AS482" s="29">
        <f>IF(OR($V482="",$W482=""),50,MEDIAN(0,100,50+50*($V482-$W482)/Settings!$C$44))</f>
        <v>50</v>
      </c>
      <c r="AT482" s="29">
        <f t="shared" si="134"/>
        <v>50</v>
      </c>
      <c r="AU482" s="30" t="str">
        <f t="shared" si="135"/>
        <v/>
      </c>
      <c r="AV482" s="87" t="str">
        <f>IF($A482="","",IF(COUNTIFS($A$4:$A482,$A482)=1,1,0))</f>
        <v/>
      </c>
    </row>
    <row r="483" spans="1:48" x14ac:dyDescent="0.3">
      <c r="A483" s="270"/>
      <c r="B483" s="271"/>
      <c r="C483" s="272"/>
      <c r="D483" s="272"/>
      <c r="E483" s="272"/>
      <c r="F483" s="272"/>
      <c r="G483" s="272"/>
      <c r="H483" s="268" t="str">
        <f t="shared" si="119"/>
        <v/>
      </c>
      <c r="I483" s="273"/>
      <c r="J483" s="273"/>
      <c r="K483" s="273"/>
      <c r="L483" s="273"/>
      <c r="M483" s="273"/>
      <c r="N483" s="273"/>
      <c r="O483" s="271"/>
      <c r="P483" s="270"/>
      <c r="Q483" s="271"/>
      <c r="R483" s="23" t="str" cm="1">
        <f t="array" ref="R483">IF($B483="","",IFERROR(IF(INDEX('Data Quality'!$U$4:$U$503,ROW()-3)=0,"PENDING",INDEX('Data Quality'!$U$4:$U$503,ROW()-3)),"PENDING"))</f>
        <v/>
      </c>
      <c r="S483" s="24" t="str">
        <f t="shared" si="120"/>
        <v/>
      </c>
      <c r="T483" s="25" t="str">
        <f t="shared" si="121"/>
        <v/>
      </c>
      <c r="U483" s="25" t="str">
        <f t="shared" si="122"/>
        <v/>
      </c>
      <c r="V483" s="26" t="str">
        <f t="shared" si="123"/>
        <v/>
      </c>
      <c r="W483" s="26" t="str">
        <f t="shared" si="124"/>
        <v/>
      </c>
      <c r="X483" s="25" t="str">
        <f t="shared" si="125"/>
        <v/>
      </c>
      <c r="Y483" s="25" t="str">
        <f t="shared" si="126"/>
        <v/>
      </c>
      <c r="Z483" s="27" t="str">
        <f>IF($B483="","",IF($AK483&lt;=Settings!$C$21,"",IFERROR(AVERAGEIFS($S$4:$S$503,$B$4:$B$503,$B483,$AK$4:$AK$503,"&gt;="&amp;$AK483-Settings!$C$21,$AK$4:$AK$503,"&lt;="&amp;$AK483-1),"")))</f>
        <v/>
      </c>
      <c r="AA483" s="28" t="str">
        <f t="shared" si="127"/>
        <v/>
      </c>
      <c r="AB483" s="25" t="str">
        <f>IF($B483="","",IF($AK483&lt;=Settings!$C$22,"",IFERROR(AVERAGEIFS($K$4:$K$503,$B$4:$B$503,$B483,$AK$4:$AK$503,"&gt;="&amp;$AK483-Settings!$C$22,$AK$4:$AK$503,"&lt;="&amp;$AK483-1),"")))</f>
        <v/>
      </c>
      <c r="AC483" s="27" t="str">
        <f t="shared" si="128"/>
        <v/>
      </c>
      <c r="AD483" s="28" t="str">
        <f>IF($B483="","",IF($AK483&lt;=Settings!$C$23,"",IFERROR($E483/SUMIFS($E$4:$E$503,$B$4:$B$503,$B483,$AK$4:$AK$503,$AK483-Settings!$C$23)-1,"")))</f>
        <v/>
      </c>
      <c r="AE483" s="28" t="str">
        <f>IF($B483="","",IF($AK483&lt;=Settings!$C$22,"",IFERROR($E483/SUMIFS($E$4:$E$503,$B$4:$B$503,$B483,$AK$4:$AK$503,$AK483-Settings!$C$22)-1,"")))</f>
        <v/>
      </c>
      <c r="AF483" s="28" t="str">
        <f t="shared" si="129"/>
        <v/>
      </c>
      <c r="AG483" s="29" t="str">
        <f>IF($B483="","",ROUND((MIN(100,100*N($I483)/Settings!$C$27)+MIN(100,100*N($K483)/Settings!$C$28)+MIN(100,100*N($J483)/Settings!$C$29))/3,1))</f>
        <v/>
      </c>
      <c r="AH483" s="29" t="str">
        <f>IF($B483="","",IF(SUM(Settings!$C$32:$C$37)=0,"",ROUND((Settings!$C$32*$AO483+Settings!$C$33*$AP483+Settings!$C$34*$AQ483+Settings!$C$35*$AR483+Settings!$C$36*$AS483+Settings!$C$37*$AT483)/SUM(Settings!$C$32:$C$37),1)))</f>
        <v/>
      </c>
      <c r="AI483" s="29" t="str">
        <f>IF($B483="","",MAX(0,100-IF(N($N483)&gt;0,0,20)-IF(AND(N($L483)=0,N($M483)=0),15,0)-IF(N($J483)&gt;0,0,10)-IF(N($K483)&gt;0,0,10)-IF($Z483&lt;&gt;"",0,15)-IF($AB483&lt;&gt;"",0,10)-IF($R483="ERROR",20,IF($R483="WARNING",10,0))))</f>
        <v/>
      </c>
      <c r="AJ483" s="30" t="str">
        <f>IF($AH483="","",IF($AH483&lt;Settings!$C$46,"Extreme Sell Pressure",IF($AH483&lt;Settings!$C$47,"Sell Pressure",IF($AH483&lt;=Settings!$C$48,"Neutral",IF($AH483&lt;=Settings!$C$49,"Buy Pressure","Extreme Buy Pressure")))))</f>
        <v/>
      </c>
      <c r="AK483" s="30" t="str">
        <f t="shared" si="130"/>
        <v/>
      </c>
      <c r="AL483" s="30" t="str">
        <f t="shared" si="131"/>
        <v/>
      </c>
      <c r="AM483" s="30" t="str">
        <f t="shared" si="132"/>
        <v/>
      </c>
      <c r="AN483" s="30" t="str">
        <f t="shared" si="133"/>
        <v/>
      </c>
      <c r="AO483" s="29" t="str">
        <f>IF($B483="","",IF(AND(N($L483)=0,N($M483)=0),50,IF(N($M483)=0,100,IF(N($L483)=0,0,MEDIAN(0,100,50+50*LN($S483)/LN(Settings!$C$40))))))</f>
        <v/>
      </c>
      <c r="AP483" s="29">
        <f>IF($AA483="",50,MEDIAN(0,100,50+$AA483*100*Settings!$C$41))</f>
        <v>50</v>
      </c>
      <c r="AQ483" s="29">
        <f>IF($H483="",50,MEDIAN(0,100,50+$H483*100*Settings!$C$42))</f>
        <v>50</v>
      </c>
      <c r="AR483" s="29">
        <f>IF(OR($AC483="",$H483=""),50,MEDIAN(0,100,50+SIGN($H483)*50*MEDIAN(0,1,($AC483-1)/Settings!$C$43)))</f>
        <v>50</v>
      </c>
      <c r="AS483" s="29">
        <f>IF(OR($V483="",$W483=""),50,MEDIAN(0,100,50+50*($V483-$W483)/Settings!$C$44))</f>
        <v>50</v>
      </c>
      <c r="AT483" s="29">
        <f t="shared" si="134"/>
        <v>50</v>
      </c>
      <c r="AU483" s="30" t="str">
        <f t="shared" si="135"/>
        <v/>
      </c>
      <c r="AV483" s="87" t="str">
        <f>IF($A483="","",IF(COUNTIFS($A$4:$A483,$A483)=1,1,0))</f>
        <v/>
      </c>
    </row>
    <row r="484" spans="1:48" x14ac:dyDescent="0.3">
      <c r="A484" s="270"/>
      <c r="B484" s="271"/>
      <c r="C484" s="272"/>
      <c r="D484" s="272"/>
      <c r="E484" s="272"/>
      <c r="F484" s="272"/>
      <c r="G484" s="272"/>
      <c r="H484" s="268" t="str">
        <f t="shared" si="119"/>
        <v/>
      </c>
      <c r="I484" s="273"/>
      <c r="J484" s="273"/>
      <c r="K484" s="273"/>
      <c r="L484" s="273"/>
      <c r="M484" s="273"/>
      <c r="N484" s="273"/>
      <c r="O484" s="271"/>
      <c r="P484" s="270"/>
      <c r="Q484" s="271"/>
      <c r="R484" s="23" t="str" cm="1">
        <f t="array" ref="R484">IF($B484="","",IFERROR(IF(INDEX('Data Quality'!$U$4:$U$503,ROW()-3)=0,"PENDING",INDEX('Data Quality'!$U$4:$U$503,ROW()-3)),"PENDING"))</f>
        <v/>
      </c>
      <c r="S484" s="24" t="str">
        <f t="shared" si="120"/>
        <v/>
      </c>
      <c r="T484" s="25" t="str">
        <f t="shared" si="121"/>
        <v/>
      </c>
      <c r="U484" s="25" t="str">
        <f t="shared" si="122"/>
        <v/>
      </c>
      <c r="V484" s="26" t="str">
        <f t="shared" si="123"/>
        <v/>
      </c>
      <c r="W484" s="26" t="str">
        <f t="shared" si="124"/>
        <v/>
      </c>
      <c r="X484" s="25" t="str">
        <f t="shared" si="125"/>
        <v/>
      </c>
      <c r="Y484" s="25" t="str">
        <f t="shared" si="126"/>
        <v/>
      </c>
      <c r="Z484" s="27" t="str">
        <f>IF($B484="","",IF($AK484&lt;=Settings!$C$21,"",IFERROR(AVERAGEIFS($S$4:$S$503,$B$4:$B$503,$B484,$AK$4:$AK$503,"&gt;="&amp;$AK484-Settings!$C$21,$AK$4:$AK$503,"&lt;="&amp;$AK484-1),"")))</f>
        <v/>
      </c>
      <c r="AA484" s="28" t="str">
        <f t="shared" si="127"/>
        <v/>
      </c>
      <c r="AB484" s="25" t="str">
        <f>IF($B484="","",IF($AK484&lt;=Settings!$C$22,"",IFERROR(AVERAGEIFS($K$4:$K$503,$B$4:$B$503,$B484,$AK$4:$AK$503,"&gt;="&amp;$AK484-Settings!$C$22,$AK$4:$AK$503,"&lt;="&amp;$AK484-1),"")))</f>
        <v/>
      </c>
      <c r="AC484" s="27" t="str">
        <f t="shared" si="128"/>
        <v/>
      </c>
      <c r="AD484" s="28" t="str">
        <f>IF($B484="","",IF($AK484&lt;=Settings!$C$23,"",IFERROR($E484/SUMIFS($E$4:$E$503,$B$4:$B$503,$B484,$AK$4:$AK$503,$AK484-Settings!$C$23)-1,"")))</f>
        <v/>
      </c>
      <c r="AE484" s="28" t="str">
        <f>IF($B484="","",IF($AK484&lt;=Settings!$C$22,"",IFERROR($E484/SUMIFS($E$4:$E$503,$B$4:$B$503,$B484,$AK$4:$AK$503,$AK484-Settings!$C$22)-1,"")))</f>
        <v/>
      </c>
      <c r="AF484" s="28" t="str">
        <f t="shared" si="129"/>
        <v/>
      </c>
      <c r="AG484" s="29" t="str">
        <f>IF($B484="","",ROUND((MIN(100,100*N($I484)/Settings!$C$27)+MIN(100,100*N($K484)/Settings!$C$28)+MIN(100,100*N($J484)/Settings!$C$29))/3,1))</f>
        <v/>
      </c>
      <c r="AH484" s="29" t="str">
        <f>IF($B484="","",IF(SUM(Settings!$C$32:$C$37)=0,"",ROUND((Settings!$C$32*$AO484+Settings!$C$33*$AP484+Settings!$C$34*$AQ484+Settings!$C$35*$AR484+Settings!$C$36*$AS484+Settings!$C$37*$AT484)/SUM(Settings!$C$32:$C$37),1)))</f>
        <v/>
      </c>
      <c r="AI484" s="29" t="str">
        <f>IF($B484="","",MAX(0,100-IF(N($N484)&gt;0,0,20)-IF(AND(N($L484)=0,N($M484)=0),15,0)-IF(N($J484)&gt;0,0,10)-IF(N($K484)&gt;0,0,10)-IF($Z484&lt;&gt;"",0,15)-IF($AB484&lt;&gt;"",0,10)-IF($R484="ERROR",20,IF($R484="WARNING",10,0))))</f>
        <v/>
      </c>
      <c r="AJ484" s="30" t="str">
        <f>IF($AH484="","",IF($AH484&lt;Settings!$C$46,"Extreme Sell Pressure",IF($AH484&lt;Settings!$C$47,"Sell Pressure",IF($AH484&lt;=Settings!$C$48,"Neutral",IF($AH484&lt;=Settings!$C$49,"Buy Pressure","Extreme Buy Pressure")))))</f>
        <v/>
      </c>
      <c r="AK484" s="30" t="str">
        <f t="shared" si="130"/>
        <v/>
      </c>
      <c r="AL484" s="30" t="str">
        <f t="shared" si="131"/>
        <v/>
      </c>
      <c r="AM484" s="30" t="str">
        <f t="shared" si="132"/>
        <v/>
      </c>
      <c r="AN484" s="30" t="str">
        <f t="shared" si="133"/>
        <v/>
      </c>
      <c r="AO484" s="29" t="str">
        <f>IF($B484="","",IF(AND(N($L484)=0,N($M484)=0),50,IF(N($M484)=0,100,IF(N($L484)=0,0,MEDIAN(0,100,50+50*LN($S484)/LN(Settings!$C$40))))))</f>
        <v/>
      </c>
      <c r="AP484" s="29">
        <f>IF($AA484="",50,MEDIAN(0,100,50+$AA484*100*Settings!$C$41))</f>
        <v>50</v>
      </c>
      <c r="AQ484" s="29">
        <f>IF($H484="",50,MEDIAN(0,100,50+$H484*100*Settings!$C$42))</f>
        <v>50</v>
      </c>
      <c r="AR484" s="29">
        <f>IF(OR($AC484="",$H484=""),50,MEDIAN(0,100,50+SIGN($H484)*50*MEDIAN(0,1,($AC484-1)/Settings!$C$43)))</f>
        <v>50</v>
      </c>
      <c r="AS484" s="29">
        <f>IF(OR($V484="",$W484=""),50,MEDIAN(0,100,50+50*($V484-$W484)/Settings!$C$44))</f>
        <v>50</v>
      </c>
      <c r="AT484" s="29">
        <f t="shared" si="134"/>
        <v>50</v>
      </c>
      <c r="AU484" s="30" t="str">
        <f t="shared" si="135"/>
        <v/>
      </c>
      <c r="AV484" s="87" t="str">
        <f>IF($A484="","",IF(COUNTIFS($A$4:$A484,$A484)=1,1,0))</f>
        <v/>
      </c>
    </row>
    <row r="485" spans="1:48" x14ac:dyDescent="0.3">
      <c r="A485" s="270"/>
      <c r="B485" s="271"/>
      <c r="C485" s="272"/>
      <c r="D485" s="272"/>
      <c r="E485" s="272"/>
      <c r="F485" s="272"/>
      <c r="G485" s="272"/>
      <c r="H485" s="268" t="str">
        <f t="shared" si="119"/>
        <v/>
      </c>
      <c r="I485" s="273"/>
      <c r="J485" s="273"/>
      <c r="K485" s="273"/>
      <c r="L485" s="273"/>
      <c r="M485" s="273"/>
      <c r="N485" s="273"/>
      <c r="O485" s="271"/>
      <c r="P485" s="270"/>
      <c r="Q485" s="271"/>
      <c r="R485" s="23" t="str" cm="1">
        <f t="array" ref="R485">IF($B485="","",IFERROR(IF(INDEX('Data Quality'!$U$4:$U$503,ROW()-3)=0,"PENDING",INDEX('Data Quality'!$U$4:$U$503,ROW()-3)),"PENDING"))</f>
        <v/>
      </c>
      <c r="S485" s="24" t="str">
        <f t="shared" si="120"/>
        <v/>
      </c>
      <c r="T485" s="25" t="str">
        <f t="shared" si="121"/>
        <v/>
      </c>
      <c r="U485" s="25" t="str">
        <f t="shared" si="122"/>
        <v/>
      </c>
      <c r="V485" s="26" t="str">
        <f t="shared" si="123"/>
        <v/>
      </c>
      <c r="W485" s="26" t="str">
        <f t="shared" si="124"/>
        <v/>
      </c>
      <c r="X485" s="25" t="str">
        <f t="shared" si="125"/>
        <v/>
      </c>
      <c r="Y485" s="25" t="str">
        <f t="shared" si="126"/>
        <v/>
      </c>
      <c r="Z485" s="27" t="str">
        <f>IF($B485="","",IF($AK485&lt;=Settings!$C$21,"",IFERROR(AVERAGEIFS($S$4:$S$503,$B$4:$B$503,$B485,$AK$4:$AK$503,"&gt;="&amp;$AK485-Settings!$C$21,$AK$4:$AK$503,"&lt;="&amp;$AK485-1),"")))</f>
        <v/>
      </c>
      <c r="AA485" s="28" t="str">
        <f t="shared" si="127"/>
        <v/>
      </c>
      <c r="AB485" s="25" t="str">
        <f>IF($B485="","",IF($AK485&lt;=Settings!$C$22,"",IFERROR(AVERAGEIFS($K$4:$K$503,$B$4:$B$503,$B485,$AK$4:$AK$503,"&gt;="&amp;$AK485-Settings!$C$22,$AK$4:$AK$503,"&lt;="&amp;$AK485-1),"")))</f>
        <v/>
      </c>
      <c r="AC485" s="27" t="str">
        <f t="shared" si="128"/>
        <v/>
      </c>
      <c r="AD485" s="28" t="str">
        <f>IF($B485="","",IF($AK485&lt;=Settings!$C$23,"",IFERROR($E485/SUMIFS($E$4:$E$503,$B$4:$B$503,$B485,$AK$4:$AK$503,$AK485-Settings!$C$23)-1,"")))</f>
        <v/>
      </c>
      <c r="AE485" s="28" t="str">
        <f>IF($B485="","",IF($AK485&lt;=Settings!$C$22,"",IFERROR($E485/SUMIFS($E$4:$E$503,$B$4:$B$503,$B485,$AK$4:$AK$503,$AK485-Settings!$C$22)-1,"")))</f>
        <v/>
      </c>
      <c r="AF485" s="28" t="str">
        <f t="shared" si="129"/>
        <v/>
      </c>
      <c r="AG485" s="29" t="str">
        <f>IF($B485="","",ROUND((MIN(100,100*N($I485)/Settings!$C$27)+MIN(100,100*N($K485)/Settings!$C$28)+MIN(100,100*N($J485)/Settings!$C$29))/3,1))</f>
        <v/>
      </c>
      <c r="AH485" s="29" t="str">
        <f>IF($B485="","",IF(SUM(Settings!$C$32:$C$37)=0,"",ROUND((Settings!$C$32*$AO485+Settings!$C$33*$AP485+Settings!$C$34*$AQ485+Settings!$C$35*$AR485+Settings!$C$36*$AS485+Settings!$C$37*$AT485)/SUM(Settings!$C$32:$C$37),1)))</f>
        <v/>
      </c>
      <c r="AI485" s="29" t="str">
        <f>IF($B485="","",MAX(0,100-IF(N($N485)&gt;0,0,20)-IF(AND(N($L485)=0,N($M485)=0),15,0)-IF(N($J485)&gt;0,0,10)-IF(N($K485)&gt;0,0,10)-IF($Z485&lt;&gt;"",0,15)-IF($AB485&lt;&gt;"",0,10)-IF($R485="ERROR",20,IF($R485="WARNING",10,0))))</f>
        <v/>
      </c>
      <c r="AJ485" s="30" t="str">
        <f>IF($AH485="","",IF($AH485&lt;Settings!$C$46,"Extreme Sell Pressure",IF($AH485&lt;Settings!$C$47,"Sell Pressure",IF($AH485&lt;=Settings!$C$48,"Neutral",IF($AH485&lt;=Settings!$C$49,"Buy Pressure","Extreme Buy Pressure")))))</f>
        <v/>
      </c>
      <c r="AK485" s="30" t="str">
        <f t="shared" si="130"/>
        <v/>
      </c>
      <c r="AL485" s="30" t="str">
        <f t="shared" si="131"/>
        <v/>
      </c>
      <c r="AM485" s="30" t="str">
        <f t="shared" si="132"/>
        <v/>
      </c>
      <c r="AN485" s="30" t="str">
        <f t="shared" si="133"/>
        <v/>
      </c>
      <c r="AO485" s="29" t="str">
        <f>IF($B485="","",IF(AND(N($L485)=0,N($M485)=0),50,IF(N($M485)=0,100,IF(N($L485)=0,0,MEDIAN(0,100,50+50*LN($S485)/LN(Settings!$C$40))))))</f>
        <v/>
      </c>
      <c r="AP485" s="29">
        <f>IF($AA485="",50,MEDIAN(0,100,50+$AA485*100*Settings!$C$41))</f>
        <v>50</v>
      </c>
      <c r="AQ485" s="29">
        <f>IF($H485="",50,MEDIAN(0,100,50+$H485*100*Settings!$C$42))</f>
        <v>50</v>
      </c>
      <c r="AR485" s="29">
        <f>IF(OR($AC485="",$H485=""),50,MEDIAN(0,100,50+SIGN($H485)*50*MEDIAN(0,1,($AC485-1)/Settings!$C$43)))</f>
        <v>50</v>
      </c>
      <c r="AS485" s="29">
        <f>IF(OR($V485="",$W485=""),50,MEDIAN(0,100,50+50*($V485-$W485)/Settings!$C$44))</f>
        <v>50</v>
      </c>
      <c r="AT485" s="29">
        <f t="shared" si="134"/>
        <v>50</v>
      </c>
      <c r="AU485" s="30" t="str">
        <f t="shared" si="135"/>
        <v/>
      </c>
      <c r="AV485" s="87" t="str">
        <f>IF($A485="","",IF(COUNTIFS($A$4:$A485,$A485)=1,1,0))</f>
        <v/>
      </c>
    </row>
    <row r="486" spans="1:48" x14ac:dyDescent="0.3">
      <c r="A486" s="270"/>
      <c r="B486" s="271"/>
      <c r="C486" s="272"/>
      <c r="D486" s="272"/>
      <c r="E486" s="272"/>
      <c r="F486" s="272"/>
      <c r="G486" s="272"/>
      <c r="H486" s="268" t="str">
        <f t="shared" si="119"/>
        <v/>
      </c>
      <c r="I486" s="273"/>
      <c r="J486" s="273"/>
      <c r="K486" s="273"/>
      <c r="L486" s="273"/>
      <c r="M486" s="273"/>
      <c r="N486" s="273"/>
      <c r="O486" s="271"/>
      <c r="P486" s="270"/>
      <c r="Q486" s="271"/>
      <c r="R486" s="23" t="str" cm="1">
        <f t="array" ref="R486">IF($B486="","",IFERROR(IF(INDEX('Data Quality'!$U$4:$U$503,ROW()-3)=0,"PENDING",INDEX('Data Quality'!$U$4:$U$503,ROW()-3)),"PENDING"))</f>
        <v/>
      </c>
      <c r="S486" s="24" t="str">
        <f t="shared" si="120"/>
        <v/>
      </c>
      <c r="T486" s="25" t="str">
        <f t="shared" si="121"/>
        <v/>
      </c>
      <c r="U486" s="25" t="str">
        <f t="shared" si="122"/>
        <v/>
      </c>
      <c r="V486" s="26" t="str">
        <f t="shared" si="123"/>
        <v/>
      </c>
      <c r="W486" s="26" t="str">
        <f t="shared" si="124"/>
        <v/>
      </c>
      <c r="X486" s="25" t="str">
        <f t="shared" si="125"/>
        <v/>
      </c>
      <c r="Y486" s="25" t="str">
        <f t="shared" si="126"/>
        <v/>
      </c>
      <c r="Z486" s="27" t="str">
        <f>IF($B486="","",IF($AK486&lt;=Settings!$C$21,"",IFERROR(AVERAGEIFS($S$4:$S$503,$B$4:$B$503,$B486,$AK$4:$AK$503,"&gt;="&amp;$AK486-Settings!$C$21,$AK$4:$AK$503,"&lt;="&amp;$AK486-1),"")))</f>
        <v/>
      </c>
      <c r="AA486" s="28" t="str">
        <f t="shared" si="127"/>
        <v/>
      </c>
      <c r="AB486" s="25" t="str">
        <f>IF($B486="","",IF($AK486&lt;=Settings!$C$22,"",IFERROR(AVERAGEIFS($K$4:$K$503,$B$4:$B$503,$B486,$AK$4:$AK$503,"&gt;="&amp;$AK486-Settings!$C$22,$AK$4:$AK$503,"&lt;="&amp;$AK486-1),"")))</f>
        <v/>
      </c>
      <c r="AC486" s="27" t="str">
        <f t="shared" si="128"/>
        <v/>
      </c>
      <c r="AD486" s="28" t="str">
        <f>IF($B486="","",IF($AK486&lt;=Settings!$C$23,"",IFERROR($E486/SUMIFS($E$4:$E$503,$B$4:$B$503,$B486,$AK$4:$AK$503,$AK486-Settings!$C$23)-1,"")))</f>
        <v/>
      </c>
      <c r="AE486" s="28" t="str">
        <f>IF($B486="","",IF($AK486&lt;=Settings!$C$22,"",IFERROR($E486/SUMIFS($E$4:$E$503,$B$4:$B$503,$B486,$AK$4:$AK$503,$AK486-Settings!$C$22)-1,"")))</f>
        <v/>
      </c>
      <c r="AF486" s="28" t="str">
        <f t="shared" si="129"/>
        <v/>
      </c>
      <c r="AG486" s="29" t="str">
        <f>IF($B486="","",ROUND((MIN(100,100*N($I486)/Settings!$C$27)+MIN(100,100*N($K486)/Settings!$C$28)+MIN(100,100*N($J486)/Settings!$C$29))/3,1))</f>
        <v/>
      </c>
      <c r="AH486" s="29" t="str">
        <f>IF($B486="","",IF(SUM(Settings!$C$32:$C$37)=0,"",ROUND((Settings!$C$32*$AO486+Settings!$C$33*$AP486+Settings!$C$34*$AQ486+Settings!$C$35*$AR486+Settings!$C$36*$AS486+Settings!$C$37*$AT486)/SUM(Settings!$C$32:$C$37),1)))</f>
        <v/>
      </c>
      <c r="AI486" s="29" t="str">
        <f>IF($B486="","",MAX(0,100-IF(N($N486)&gt;0,0,20)-IF(AND(N($L486)=0,N($M486)=0),15,0)-IF(N($J486)&gt;0,0,10)-IF(N($K486)&gt;0,0,10)-IF($Z486&lt;&gt;"",0,15)-IF($AB486&lt;&gt;"",0,10)-IF($R486="ERROR",20,IF($R486="WARNING",10,0))))</f>
        <v/>
      </c>
      <c r="AJ486" s="30" t="str">
        <f>IF($AH486="","",IF($AH486&lt;Settings!$C$46,"Extreme Sell Pressure",IF($AH486&lt;Settings!$C$47,"Sell Pressure",IF($AH486&lt;=Settings!$C$48,"Neutral",IF($AH486&lt;=Settings!$C$49,"Buy Pressure","Extreme Buy Pressure")))))</f>
        <v/>
      </c>
      <c r="AK486" s="30" t="str">
        <f t="shared" si="130"/>
        <v/>
      </c>
      <c r="AL486" s="30" t="str">
        <f t="shared" si="131"/>
        <v/>
      </c>
      <c r="AM486" s="30" t="str">
        <f t="shared" si="132"/>
        <v/>
      </c>
      <c r="AN486" s="30" t="str">
        <f t="shared" si="133"/>
        <v/>
      </c>
      <c r="AO486" s="29" t="str">
        <f>IF($B486="","",IF(AND(N($L486)=0,N($M486)=0),50,IF(N($M486)=0,100,IF(N($L486)=0,0,MEDIAN(0,100,50+50*LN($S486)/LN(Settings!$C$40))))))</f>
        <v/>
      </c>
      <c r="AP486" s="29">
        <f>IF($AA486="",50,MEDIAN(0,100,50+$AA486*100*Settings!$C$41))</f>
        <v>50</v>
      </c>
      <c r="AQ486" s="29">
        <f>IF($H486="",50,MEDIAN(0,100,50+$H486*100*Settings!$C$42))</f>
        <v>50</v>
      </c>
      <c r="AR486" s="29">
        <f>IF(OR($AC486="",$H486=""),50,MEDIAN(0,100,50+SIGN($H486)*50*MEDIAN(0,1,($AC486-1)/Settings!$C$43)))</f>
        <v>50</v>
      </c>
      <c r="AS486" s="29">
        <f>IF(OR($V486="",$W486=""),50,MEDIAN(0,100,50+50*($V486-$W486)/Settings!$C$44))</f>
        <v>50</v>
      </c>
      <c r="AT486" s="29">
        <f t="shared" si="134"/>
        <v>50</v>
      </c>
      <c r="AU486" s="30" t="str">
        <f t="shared" si="135"/>
        <v/>
      </c>
      <c r="AV486" s="87" t="str">
        <f>IF($A486="","",IF(COUNTIFS($A$4:$A486,$A486)=1,1,0))</f>
        <v/>
      </c>
    </row>
    <row r="487" spans="1:48" x14ac:dyDescent="0.3">
      <c r="A487" s="270"/>
      <c r="B487" s="271"/>
      <c r="C487" s="272"/>
      <c r="D487" s="272"/>
      <c r="E487" s="272"/>
      <c r="F487" s="272"/>
      <c r="G487" s="272"/>
      <c r="H487" s="268" t="str">
        <f t="shared" si="119"/>
        <v/>
      </c>
      <c r="I487" s="273"/>
      <c r="J487" s="273"/>
      <c r="K487" s="273"/>
      <c r="L487" s="273"/>
      <c r="M487" s="273"/>
      <c r="N487" s="273"/>
      <c r="O487" s="271"/>
      <c r="P487" s="270"/>
      <c r="Q487" s="271"/>
      <c r="R487" s="23" t="str" cm="1">
        <f t="array" ref="R487">IF($B487="","",IFERROR(IF(INDEX('Data Quality'!$U$4:$U$503,ROW()-3)=0,"PENDING",INDEX('Data Quality'!$U$4:$U$503,ROW()-3)),"PENDING"))</f>
        <v/>
      </c>
      <c r="S487" s="24" t="str">
        <f t="shared" si="120"/>
        <v/>
      </c>
      <c r="T487" s="25" t="str">
        <f t="shared" si="121"/>
        <v/>
      </c>
      <c r="U487" s="25" t="str">
        <f t="shared" si="122"/>
        <v/>
      </c>
      <c r="V487" s="26" t="str">
        <f t="shared" si="123"/>
        <v/>
      </c>
      <c r="W487" s="26" t="str">
        <f t="shared" si="124"/>
        <v/>
      </c>
      <c r="X487" s="25" t="str">
        <f t="shared" si="125"/>
        <v/>
      </c>
      <c r="Y487" s="25" t="str">
        <f t="shared" si="126"/>
        <v/>
      </c>
      <c r="Z487" s="27" t="str">
        <f>IF($B487="","",IF($AK487&lt;=Settings!$C$21,"",IFERROR(AVERAGEIFS($S$4:$S$503,$B$4:$B$503,$B487,$AK$4:$AK$503,"&gt;="&amp;$AK487-Settings!$C$21,$AK$4:$AK$503,"&lt;="&amp;$AK487-1),"")))</f>
        <v/>
      </c>
      <c r="AA487" s="28" t="str">
        <f t="shared" si="127"/>
        <v/>
      </c>
      <c r="AB487" s="25" t="str">
        <f>IF($B487="","",IF($AK487&lt;=Settings!$C$22,"",IFERROR(AVERAGEIFS($K$4:$K$503,$B$4:$B$503,$B487,$AK$4:$AK$503,"&gt;="&amp;$AK487-Settings!$C$22,$AK$4:$AK$503,"&lt;="&amp;$AK487-1),"")))</f>
        <v/>
      </c>
      <c r="AC487" s="27" t="str">
        <f t="shared" si="128"/>
        <v/>
      </c>
      <c r="AD487" s="28" t="str">
        <f>IF($B487="","",IF($AK487&lt;=Settings!$C$23,"",IFERROR($E487/SUMIFS($E$4:$E$503,$B$4:$B$503,$B487,$AK$4:$AK$503,$AK487-Settings!$C$23)-1,"")))</f>
        <v/>
      </c>
      <c r="AE487" s="28" t="str">
        <f>IF($B487="","",IF($AK487&lt;=Settings!$C$22,"",IFERROR($E487/SUMIFS($E$4:$E$503,$B$4:$B$503,$B487,$AK$4:$AK$503,$AK487-Settings!$C$22)-1,"")))</f>
        <v/>
      </c>
      <c r="AF487" s="28" t="str">
        <f t="shared" si="129"/>
        <v/>
      </c>
      <c r="AG487" s="29" t="str">
        <f>IF($B487="","",ROUND((MIN(100,100*N($I487)/Settings!$C$27)+MIN(100,100*N($K487)/Settings!$C$28)+MIN(100,100*N($J487)/Settings!$C$29))/3,1))</f>
        <v/>
      </c>
      <c r="AH487" s="29" t="str">
        <f>IF($B487="","",IF(SUM(Settings!$C$32:$C$37)=0,"",ROUND((Settings!$C$32*$AO487+Settings!$C$33*$AP487+Settings!$C$34*$AQ487+Settings!$C$35*$AR487+Settings!$C$36*$AS487+Settings!$C$37*$AT487)/SUM(Settings!$C$32:$C$37),1)))</f>
        <v/>
      </c>
      <c r="AI487" s="29" t="str">
        <f>IF($B487="","",MAX(0,100-IF(N($N487)&gt;0,0,20)-IF(AND(N($L487)=0,N($M487)=0),15,0)-IF(N($J487)&gt;0,0,10)-IF(N($K487)&gt;0,0,10)-IF($Z487&lt;&gt;"",0,15)-IF($AB487&lt;&gt;"",0,10)-IF($R487="ERROR",20,IF($R487="WARNING",10,0))))</f>
        <v/>
      </c>
      <c r="AJ487" s="30" t="str">
        <f>IF($AH487="","",IF($AH487&lt;Settings!$C$46,"Extreme Sell Pressure",IF($AH487&lt;Settings!$C$47,"Sell Pressure",IF($AH487&lt;=Settings!$C$48,"Neutral",IF($AH487&lt;=Settings!$C$49,"Buy Pressure","Extreme Buy Pressure")))))</f>
        <v/>
      </c>
      <c r="AK487" s="30" t="str">
        <f t="shared" si="130"/>
        <v/>
      </c>
      <c r="AL487" s="30" t="str">
        <f t="shared" si="131"/>
        <v/>
      </c>
      <c r="AM487" s="30" t="str">
        <f t="shared" si="132"/>
        <v/>
      </c>
      <c r="AN487" s="30" t="str">
        <f t="shared" si="133"/>
        <v/>
      </c>
      <c r="AO487" s="29" t="str">
        <f>IF($B487="","",IF(AND(N($L487)=0,N($M487)=0),50,IF(N($M487)=0,100,IF(N($L487)=0,0,MEDIAN(0,100,50+50*LN($S487)/LN(Settings!$C$40))))))</f>
        <v/>
      </c>
      <c r="AP487" s="29">
        <f>IF($AA487="",50,MEDIAN(0,100,50+$AA487*100*Settings!$C$41))</f>
        <v>50</v>
      </c>
      <c r="AQ487" s="29">
        <f>IF($H487="",50,MEDIAN(0,100,50+$H487*100*Settings!$C$42))</f>
        <v>50</v>
      </c>
      <c r="AR487" s="29">
        <f>IF(OR($AC487="",$H487=""),50,MEDIAN(0,100,50+SIGN($H487)*50*MEDIAN(0,1,($AC487-1)/Settings!$C$43)))</f>
        <v>50</v>
      </c>
      <c r="AS487" s="29">
        <f>IF(OR($V487="",$W487=""),50,MEDIAN(0,100,50+50*($V487-$W487)/Settings!$C$44))</f>
        <v>50</v>
      </c>
      <c r="AT487" s="29">
        <f t="shared" si="134"/>
        <v>50</v>
      </c>
      <c r="AU487" s="30" t="str">
        <f t="shared" si="135"/>
        <v/>
      </c>
      <c r="AV487" s="87" t="str">
        <f>IF($A487="","",IF(COUNTIFS($A$4:$A487,$A487)=1,1,0))</f>
        <v/>
      </c>
    </row>
    <row r="488" spans="1:48" x14ac:dyDescent="0.3">
      <c r="A488" s="270"/>
      <c r="B488" s="271"/>
      <c r="C488" s="272"/>
      <c r="D488" s="272"/>
      <c r="E488" s="272"/>
      <c r="F488" s="272"/>
      <c r="G488" s="272"/>
      <c r="H488" s="268" t="str">
        <f t="shared" si="119"/>
        <v/>
      </c>
      <c r="I488" s="273"/>
      <c r="J488" s="273"/>
      <c r="K488" s="273"/>
      <c r="L488" s="273"/>
      <c r="M488" s="273"/>
      <c r="N488" s="273"/>
      <c r="O488" s="271"/>
      <c r="P488" s="270"/>
      <c r="Q488" s="271"/>
      <c r="R488" s="23" t="str" cm="1">
        <f t="array" ref="R488">IF($B488="","",IFERROR(IF(INDEX('Data Quality'!$U$4:$U$503,ROW()-3)=0,"PENDING",INDEX('Data Quality'!$U$4:$U$503,ROW()-3)),"PENDING"))</f>
        <v/>
      </c>
      <c r="S488" s="24" t="str">
        <f t="shared" si="120"/>
        <v/>
      </c>
      <c r="T488" s="25" t="str">
        <f t="shared" si="121"/>
        <v/>
      </c>
      <c r="U488" s="25" t="str">
        <f t="shared" si="122"/>
        <v/>
      </c>
      <c r="V488" s="26" t="str">
        <f t="shared" si="123"/>
        <v/>
      </c>
      <c r="W488" s="26" t="str">
        <f t="shared" si="124"/>
        <v/>
      </c>
      <c r="X488" s="25" t="str">
        <f t="shared" si="125"/>
        <v/>
      </c>
      <c r="Y488" s="25" t="str">
        <f t="shared" si="126"/>
        <v/>
      </c>
      <c r="Z488" s="27" t="str">
        <f>IF($B488="","",IF($AK488&lt;=Settings!$C$21,"",IFERROR(AVERAGEIFS($S$4:$S$503,$B$4:$B$503,$B488,$AK$4:$AK$503,"&gt;="&amp;$AK488-Settings!$C$21,$AK$4:$AK$503,"&lt;="&amp;$AK488-1),"")))</f>
        <v/>
      </c>
      <c r="AA488" s="28" t="str">
        <f t="shared" si="127"/>
        <v/>
      </c>
      <c r="AB488" s="25" t="str">
        <f>IF($B488="","",IF($AK488&lt;=Settings!$C$22,"",IFERROR(AVERAGEIFS($K$4:$K$503,$B$4:$B$503,$B488,$AK$4:$AK$503,"&gt;="&amp;$AK488-Settings!$C$22,$AK$4:$AK$503,"&lt;="&amp;$AK488-1),"")))</f>
        <v/>
      </c>
      <c r="AC488" s="27" t="str">
        <f t="shared" si="128"/>
        <v/>
      </c>
      <c r="AD488" s="28" t="str">
        <f>IF($B488="","",IF($AK488&lt;=Settings!$C$23,"",IFERROR($E488/SUMIFS($E$4:$E$503,$B$4:$B$503,$B488,$AK$4:$AK$503,$AK488-Settings!$C$23)-1,"")))</f>
        <v/>
      </c>
      <c r="AE488" s="28" t="str">
        <f>IF($B488="","",IF($AK488&lt;=Settings!$C$22,"",IFERROR($E488/SUMIFS($E$4:$E$503,$B$4:$B$503,$B488,$AK$4:$AK$503,$AK488-Settings!$C$22)-1,"")))</f>
        <v/>
      </c>
      <c r="AF488" s="28" t="str">
        <f t="shared" si="129"/>
        <v/>
      </c>
      <c r="AG488" s="29" t="str">
        <f>IF($B488="","",ROUND((MIN(100,100*N($I488)/Settings!$C$27)+MIN(100,100*N($K488)/Settings!$C$28)+MIN(100,100*N($J488)/Settings!$C$29))/3,1))</f>
        <v/>
      </c>
      <c r="AH488" s="29" t="str">
        <f>IF($B488="","",IF(SUM(Settings!$C$32:$C$37)=0,"",ROUND((Settings!$C$32*$AO488+Settings!$C$33*$AP488+Settings!$C$34*$AQ488+Settings!$C$35*$AR488+Settings!$C$36*$AS488+Settings!$C$37*$AT488)/SUM(Settings!$C$32:$C$37),1)))</f>
        <v/>
      </c>
      <c r="AI488" s="29" t="str">
        <f>IF($B488="","",MAX(0,100-IF(N($N488)&gt;0,0,20)-IF(AND(N($L488)=0,N($M488)=0),15,0)-IF(N($J488)&gt;0,0,10)-IF(N($K488)&gt;0,0,10)-IF($Z488&lt;&gt;"",0,15)-IF($AB488&lt;&gt;"",0,10)-IF($R488="ERROR",20,IF($R488="WARNING",10,0))))</f>
        <v/>
      </c>
      <c r="AJ488" s="30" t="str">
        <f>IF($AH488="","",IF($AH488&lt;Settings!$C$46,"Extreme Sell Pressure",IF($AH488&lt;Settings!$C$47,"Sell Pressure",IF($AH488&lt;=Settings!$C$48,"Neutral",IF($AH488&lt;=Settings!$C$49,"Buy Pressure","Extreme Buy Pressure")))))</f>
        <v/>
      </c>
      <c r="AK488" s="30" t="str">
        <f t="shared" si="130"/>
        <v/>
      </c>
      <c r="AL488" s="30" t="str">
        <f t="shared" si="131"/>
        <v/>
      </c>
      <c r="AM488" s="30" t="str">
        <f t="shared" si="132"/>
        <v/>
      </c>
      <c r="AN488" s="30" t="str">
        <f t="shared" si="133"/>
        <v/>
      </c>
      <c r="AO488" s="29" t="str">
        <f>IF($B488="","",IF(AND(N($L488)=0,N($M488)=0),50,IF(N($M488)=0,100,IF(N($L488)=0,0,MEDIAN(0,100,50+50*LN($S488)/LN(Settings!$C$40))))))</f>
        <v/>
      </c>
      <c r="AP488" s="29">
        <f>IF($AA488="",50,MEDIAN(0,100,50+$AA488*100*Settings!$C$41))</f>
        <v>50</v>
      </c>
      <c r="AQ488" s="29">
        <f>IF($H488="",50,MEDIAN(0,100,50+$H488*100*Settings!$C$42))</f>
        <v>50</v>
      </c>
      <c r="AR488" s="29">
        <f>IF(OR($AC488="",$H488=""),50,MEDIAN(0,100,50+SIGN($H488)*50*MEDIAN(0,1,($AC488-1)/Settings!$C$43)))</f>
        <v>50</v>
      </c>
      <c r="AS488" s="29">
        <f>IF(OR($V488="",$W488=""),50,MEDIAN(0,100,50+50*($V488-$W488)/Settings!$C$44))</f>
        <v>50</v>
      </c>
      <c r="AT488" s="29">
        <f t="shared" si="134"/>
        <v>50</v>
      </c>
      <c r="AU488" s="30" t="str">
        <f t="shared" si="135"/>
        <v/>
      </c>
      <c r="AV488" s="87" t="str">
        <f>IF($A488="","",IF(COUNTIFS($A$4:$A488,$A488)=1,1,0))</f>
        <v/>
      </c>
    </row>
    <row r="489" spans="1:48" x14ac:dyDescent="0.3">
      <c r="A489" s="270"/>
      <c r="B489" s="271"/>
      <c r="C489" s="272"/>
      <c r="D489" s="272"/>
      <c r="E489" s="272"/>
      <c r="F489" s="272"/>
      <c r="G489" s="272"/>
      <c r="H489" s="268" t="str">
        <f t="shared" si="119"/>
        <v/>
      </c>
      <c r="I489" s="273"/>
      <c r="J489" s="273"/>
      <c r="K489" s="273"/>
      <c r="L489" s="273"/>
      <c r="M489" s="273"/>
      <c r="N489" s="273"/>
      <c r="O489" s="271"/>
      <c r="P489" s="270"/>
      <c r="Q489" s="271"/>
      <c r="R489" s="23" t="str" cm="1">
        <f t="array" ref="R489">IF($B489="","",IFERROR(IF(INDEX('Data Quality'!$U$4:$U$503,ROW()-3)=0,"PENDING",INDEX('Data Quality'!$U$4:$U$503,ROW()-3)),"PENDING"))</f>
        <v/>
      </c>
      <c r="S489" s="24" t="str">
        <f t="shared" si="120"/>
        <v/>
      </c>
      <c r="T489" s="25" t="str">
        <f t="shared" si="121"/>
        <v/>
      </c>
      <c r="U489" s="25" t="str">
        <f t="shared" si="122"/>
        <v/>
      </c>
      <c r="V489" s="26" t="str">
        <f t="shared" si="123"/>
        <v/>
      </c>
      <c r="W489" s="26" t="str">
        <f t="shared" si="124"/>
        <v/>
      </c>
      <c r="X489" s="25" t="str">
        <f t="shared" si="125"/>
        <v/>
      </c>
      <c r="Y489" s="25" t="str">
        <f t="shared" si="126"/>
        <v/>
      </c>
      <c r="Z489" s="27" t="str">
        <f>IF($B489="","",IF($AK489&lt;=Settings!$C$21,"",IFERROR(AVERAGEIFS($S$4:$S$503,$B$4:$B$503,$B489,$AK$4:$AK$503,"&gt;="&amp;$AK489-Settings!$C$21,$AK$4:$AK$503,"&lt;="&amp;$AK489-1),"")))</f>
        <v/>
      </c>
      <c r="AA489" s="28" t="str">
        <f t="shared" si="127"/>
        <v/>
      </c>
      <c r="AB489" s="25" t="str">
        <f>IF($B489="","",IF($AK489&lt;=Settings!$C$22,"",IFERROR(AVERAGEIFS($K$4:$K$503,$B$4:$B$503,$B489,$AK$4:$AK$503,"&gt;="&amp;$AK489-Settings!$C$22,$AK$4:$AK$503,"&lt;="&amp;$AK489-1),"")))</f>
        <v/>
      </c>
      <c r="AC489" s="27" t="str">
        <f t="shared" si="128"/>
        <v/>
      </c>
      <c r="AD489" s="28" t="str">
        <f>IF($B489="","",IF($AK489&lt;=Settings!$C$23,"",IFERROR($E489/SUMIFS($E$4:$E$503,$B$4:$B$503,$B489,$AK$4:$AK$503,$AK489-Settings!$C$23)-1,"")))</f>
        <v/>
      </c>
      <c r="AE489" s="28" t="str">
        <f>IF($B489="","",IF($AK489&lt;=Settings!$C$22,"",IFERROR($E489/SUMIFS($E$4:$E$503,$B$4:$B$503,$B489,$AK$4:$AK$503,$AK489-Settings!$C$22)-1,"")))</f>
        <v/>
      </c>
      <c r="AF489" s="28" t="str">
        <f t="shared" si="129"/>
        <v/>
      </c>
      <c r="AG489" s="29" t="str">
        <f>IF($B489="","",ROUND((MIN(100,100*N($I489)/Settings!$C$27)+MIN(100,100*N($K489)/Settings!$C$28)+MIN(100,100*N($J489)/Settings!$C$29))/3,1))</f>
        <v/>
      </c>
      <c r="AH489" s="29" t="str">
        <f>IF($B489="","",IF(SUM(Settings!$C$32:$C$37)=0,"",ROUND((Settings!$C$32*$AO489+Settings!$C$33*$AP489+Settings!$C$34*$AQ489+Settings!$C$35*$AR489+Settings!$C$36*$AS489+Settings!$C$37*$AT489)/SUM(Settings!$C$32:$C$37),1)))</f>
        <v/>
      </c>
      <c r="AI489" s="29" t="str">
        <f>IF($B489="","",MAX(0,100-IF(N($N489)&gt;0,0,20)-IF(AND(N($L489)=0,N($M489)=0),15,0)-IF(N($J489)&gt;0,0,10)-IF(N($K489)&gt;0,0,10)-IF($Z489&lt;&gt;"",0,15)-IF($AB489&lt;&gt;"",0,10)-IF($R489="ERROR",20,IF($R489="WARNING",10,0))))</f>
        <v/>
      </c>
      <c r="AJ489" s="30" t="str">
        <f>IF($AH489="","",IF($AH489&lt;Settings!$C$46,"Extreme Sell Pressure",IF($AH489&lt;Settings!$C$47,"Sell Pressure",IF($AH489&lt;=Settings!$C$48,"Neutral",IF($AH489&lt;=Settings!$C$49,"Buy Pressure","Extreme Buy Pressure")))))</f>
        <v/>
      </c>
      <c r="AK489" s="30" t="str">
        <f t="shared" si="130"/>
        <v/>
      </c>
      <c r="AL489" s="30" t="str">
        <f t="shared" si="131"/>
        <v/>
      </c>
      <c r="AM489" s="30" t="str">
        <f t="shared" si="132"/>
        <v/>
      </c>
      <c r="AN489" s="30" t="str">
        <f t="shared" si="133"/>
        <v/>
      </c>
      <c r="AO489" s="29" t="str">
        <f>IF($B489="","",IF(AND(N($L489)=0,N($M489)=0),50,IF(N($M489)=0,100,IF(N($L489)=0,0,MEDIAN(0,100,50+50*LN($S489)/LN(Settings!$C$40))))))</f>
        <v/>
      </c>
      <c r="AP489" s="29">
        <f>IF($AA489="",50,MEDIAN(0,100,50+$AA489*100*Settings!$C$41))</f>
        <v>50</v>
      </c>
      <c r="AQ489" s="29">
        <f>IF($H489="",50,MEDIAN(0,100,50+$H489*100*Settings!$C$42))</f>
        <v>50</v>
      </c>
      <c r="AR489" s="29">
        <f>IF(OR($AC489="",$H489=""),50,MEDIAN(0,100,50+SIGN($H489)*50*MEDIAN(0,1,($AC489-1)/Settings!$C$43)))</f>
        <v>50</v>
      </c>
      <c r="AS489" s="29">
        <f>IF(OR($V489="",$W489=""),50,MEDIAN(0,100,50+50*($V489-$W489)/Settings!$C$44))</f>
        <v>50</v>
      </c>
      <c r="AT489" s="29">
        <f t="shared" si="134"/>
        <v>50</v>
      </c>
      <c r="AU489" s="30" t="str">
        <f t="shared" si="135"/>
        <v/>
      </c>
      <c r="AV489" s="87" t="str">
        <f>IF($A489="","",IF(COUNTIFS($A$4:$A489,$A489)=1,1,0))</f>
        <v/>
      </c>
    </row>
    <row r="490" spans="1:48" x14ac:dyDescent="0.3">
      <c r="A490" s="270"/>
      <c r="B490" s="271"/>
      <c r="C490" s="272"/>
      <c r="D490" s="272"/>
      <c r="E490" s="272"/>
      <c r="F490" s="272"/>
      <c r="G490" s="272"/>
      <c r="H490" s="268" t="str">
        <f t="shared" si="119"/>
        <v/>
      </c>
      <c r="I490" s="273"/>
      <c r="J490" s="273"/>
      <c r="K490" s="273"/>
      <c r="L490" s="273"/>
      <c r="M490" s="273"/>
      <c r="N490" s="273"/>
      <c r="O490" s="271"/>
      <c r="P490" s="270"/>
      <c r="Q490" s="271"/>
      <c r="R490" s="23" t="str" cm="1">
        <f t="array" ref="R490">IF($B490="","",IFERROR(IF(INDEX('Data Quality'!$U$4:$U$503,ROW()-3)=0,"PENDING",INDEX('Data Quality'!$U$4:$U$503,ROW()-3)),"PENDING"))</f>
        <v/>
      </c>
      <c r="S490" s="24" t="str">
        <f t="shared" si="120"/>
        <v/>
      </c>
      <c r="T490" s="25" t="str">
        <f t="shared" si="121"/>
        <v/>
      </c>
      <c r="U490" s="25" t="str">
        <f t="shared" si="122"/>
        <v/>
      </c>
      <c r="V490" s="26" t="str">
        <f t="shared" si="123"/>
        <v/>
      </c>
      <c r="W490" s="26" t="str">
        <f t="shared" si="124"/>
        <v/>
      </c>
      <c r="X490" s="25" t="str">
        <f t="shared" si="125"/>
        <v/>
      </c>
      <c r="Y490" s="25" t="str">
        <f t="shared" si="126"/>
        <v/>
      </c>
      <c r="Z490" s="27" t="str">
        <f>IF($B490="","",IF($AK490&lt;=Settings!$C$21,"",IFERROR(AVERAGEIFS($S$4:$S$503,$B$4:$B$503,$B490,$AK$4:$AK$503,"&gt;="&amp;$AK490-Settings!$C$21,$AK$4:$AK$503,"&lt;="&amp;$AK490-1),"")))</f>
        <v/>
      </c>
      <c r="AA490" s="28" t="str">
        <f t="shared" si="127"/>
        <v/>
      </c>
      <c r="AB490" s="25" t="str">
        <f>IF($B490="","",IF($AK490&lt;=Settings!$C$22,"",IFERROR(AVERAGEIFS($K$4:$K$503,$B$4:$B$503,$B490,$AK$4:$AK$503,"&gt;="&amp;$AK490-Settings!$C$22,$AK$4:$AK$503,"&lt;="&amp;$AK490-1),"")))</f>
        <v/>
      </c>
      <c r="AC490" s="27" t="str">
        <f t="shared" si="128"/>
        <v/>
      </c>
      <c r="AD490" s="28" t="str">
        <f>IF($B490="","",IF($AK490&lt;=Settings!$C$23,"",IFERROR($E490/SUMIFS($E$4:$E$503,$B$4:$B$503,$B490,$AK$4:$AK$503,$AK490-Settings!$C$23)-1,"")))</f>
        <v/>
      </c>
      <c r="AE490" s="28" t="str">
        <f>IF($B490="","",IF($AK490&lt;=Settings!$C$22,"",IFERROR($E490/SUMIFS($E$4:$E$503,$B$4:$B$503,$B490,$AK$4:$AK$503,$AK490-Settings!$C$22)-1,"")))</f>
        <v/>
      </c>
      <c r="AF490" s="28" t="str">
        <f t="shared" si="129"/>
        <v/>
      </c>
      <c r="AG490" s="29" t="str">
        <f>IF($B490="","",ROUND((MIN(100,100*N($I490)/Settings!$C$27)+MIN(100,100*N($K490)/Settings!$C$28)+MIN(100,100*N($J490)/Settings!$C$29))/3,1))</f>
        <v/>
      </c>
      <c r="AH490" s="29" t="str">
        <f>IF($B490="","",IF(SUM(Settings!$C$32:$C$37)=0,"",ROUND((Settings!$C$32*$AO490+Settings!$C$33*$AP490+Settings!$C$34*$AQ490+Settings!$C$35*$AR490+Settings!$C$36*$AS490+Settings!$C$37*$AT490)/SUM(Settings!$C$32:$C$37),1)))</f>
        <v/>
      </c>
      <c r="AI490" s="29" t="str">
        <f>IF($B490="","",MAX(0,100-IF(N($N490)&gt;0,0,20)-IF(AND(N($L490)=0,N($M490)=0),15,0)-IF(N($J490)&gt;0,0,10)-IF(N($K490)&gt;0,0,10)-IF($Z490&lt;&gt;"",0,15)-IF($AB490&lt;&gt;"",0,10)-IF($R490="ERROR",20,IF($R490="WARNING",10,0))))</f>
        <v/>
      </c>
      <c r="AJ490" s="30" t="str">
        <f>IF($AH490="","",IF($AH490&lt;Settings!$C$46,"Extreme Sell Pressure",IF($AH490&lt;Settings!$C$47,"Sell Pressure",IF($AH490&lt;=Settings!$C$48,"Neutral",IF($AH490&lt;=Settings!$C$49,"Buy Pressure","Extreme Buy Pressure")))))</f>
        <v/>
      </c>
      <c r="AK490" s="30" t="str">
        <f t="shared" si="130"/>
        <v/>
      </c>
      <c r="AL490" s="30" t="str">
        <f t="shared" si="131"/>
        <v/>
      </c>
      <c r="AM490" s="30" t="str">
        <f t="shared" si="132"/>
        <v/>
      </c>
      <c r="AN490" s="30" t="str">
        <f t="shared" si="133"/>
        <v/>
      </c>
      <c r="AO490" s="29" t="str">
        <f>IF($B490="","",IF(AND(N($L490)=0,N($M490)=0),50,IF(N($M490)=0,100,IF(N($L490)=0,0,MEDIAN(0,100,50+50*LN($S490)/LN(Settings!$C$40))))))</f>
        <v/>
      </c>
      <c r="AP490" s="29">
        <f>IF($AA490="",50,MEDIAN(0,100,50+$AA490*100*Settings!$C$41))</f>
        <v>50</v>
      </c>
      <c r="AQ490" s="29">
        <f>IF($H490="",50,MEDIAN(0,100,50+$H490*100*Settings!$C$42))</f>
        <v>50</v>
      </c>
      <c r="AR490" s="29">
        <f>IF(OR($AC490="",$H490=""),50,MEDIAN(0,100,50+SIGN($H490)*50*MEDIAN(0,1,($AC490-1)/Settings!$C$43)))</f>
        <v>50</v>
      </c>
      <c r="AS490" s="29">
        <f>IF(OR($V490="",$W490=""),50,MEDIAN(0,100,50+50*($V490-$W490)/Settings!$C$44))</f>
        <v>50</v>
      </c>
      <c r="AT490" s="29">
        <f t="shared" si="134"/>
        <v>50</v>
      </c>
      <c r="AU490" s="30" t="str">
        <f t="shared" si="135"/>
        <v/>
      </c>
      <c r="AV490" s="87" t="str">
        <f>IF($A490="","",IF(COUNTIFS($A$4:$A490,$A490)=1,1,0))</f>
        <v/>
      </c>
    </row>
    <row r="491" spans="1:48" x14ac:dyDescent="0.3">
      <c r="A491" s="270"/>
      <c r="B491" s="271"/>
      <c r="C491" s="272"/>
      <c r="D491" s="272"/>
      <c r="E491" s="272"/>
      <c r="F491" s="272"/>
      <c r="G491" s="272"/>
      <c r="H491" s="268" t="str">
        <f t="shared" si="119"/>
        <v/>
      </c>
      <c r="I491" s="273"/>
      <c r="J491" s="273"/>
      <c r="K491" s="273"/>
      <c r="L491" s="273"/>
      <c r="M491" s="273"/>
      <c r="N491" s="273"/>
      <c r="O491" s="271"/>
      <c r="P491" s="270"/>
      <c r="Q491" s="271"/>
      <c r="R491" s="23" t="str" cm="1">
        <f t="array" ref="R491">IF($B491="","",IFERROR(IF(INDEX('Data Quality'!$U$4:$U$503,ROW()-3)=0,"PENDING",INDEX('Data Quality'!$U$4:$U$503,ROW()-3)),"PENDING"))</f>
        <v/>
      </c>
      <c r="S491" s="24" t="str">
        <f t="shared" si="120"/>
        <v/>
      </c>
      <c r="T491" s="25" t="str">
        <f t="shared" si="121"/>
        <v/>
      </c>
      <c r="U491" s="25" t="str">
        <f t="shared" si="122"/>
        <v/>
      </c>
      <c r="V491" s="26" t="str">
        <f t="shared" si="123"/>
        <v/>
      </c>
      <c r="W491" s="26" t="str">
        <f t="shared" si="124"/>
        <v/>
      </c>
      <c r="X491" s="25" t="str">
        <f t="shared" si="125"/>
        <v/>
      </c>
      <c r="Y491" s="25" t="str">
        <f t="shared" si="126"/>
        <v/>
      </c>
      <c r="Z491" s="27" t="str">
        <f>IF($B491="","",IF($AK491&lt;=Settings!$C$21,"",IFERROR(AVERAGEIFS($S$4:$S$503,$B$4:$B$503,$B491,$AK$4:$AK$503,"&gt;="&amp;$AK491-Settings!$C$21,$AK$4:$AK$503,"&lt;="&amp;$AK491-1),"")))</f>
        <v/>
      </c>
      <c r="AA491" s="28" t="str">
        <f t="shared" si="127"/>
        <v/>
      </c>
      <c r="AB491" s="25" t="str">
        <f>IF($B491="","",IF($AK491&lt;=Settings!$C$22,"",IFERROR(AVERAGEIFS($K$4:$K$503,$B$4:$B$503,$B491,$AK$4:$AK$503,"&gt;="&amp;$AK491-Settings!$C$22,$AK$4:$AK$503,"&lt;="&amp;$AK491-1),"")))</f>
        <v/>
      </c>
      <c r="AC491" s="27" t="str">
        <f t="shared" si="128"/>
        <v/>
      </c>
      <c r="AD491" s="28" t="str">
        <f>IF($B491="","",IF($AK491&lt;=Settings!$C$23,"",IFERROR($E491/SUMIFS($E$4:$E$503,$B$4:$B$503,$B491,$AK$4:$AK$503,$AK491-Settings!$C$23)-1,"")))</f>
        <v/>
      </c>
      <c r="AE491" s="28" t="str">
        <f>IF($B491="","",IF($AK491&lt;=Settings!$C$22,"",IFERROR($E491/SUMIFS($E$4:$E$503,$B$4:$B$503,$B491,$AK$4:$AK$503,$AK491-Settings!$C$22)-1,"")))</f>
        <v/>
      </c>
      <c r="AF491" s="28" t="str">
        <f t="shared" si="129"/>
        <v/>
      </c>
      <c r="AG491" s="29" t="str">
        <f>IF($B491="","",ROUND((MIN(100,100*N($I491)/Settings!$C$27)+MIN(100,100*N($K491)/Settings!$C$28)+MIN(100,100*N($J491)/Settings!$C$29))/3,1))</f>
        <v/>
      </c>
      <c r="AH491" s="29" t="str">
        <f>IF($B491="","",IF(SUM(Settings!$C$32:$C$37)=0,"",ROUND((Settings!$C$32*$AO491+Settings!$C$33*$AP491+Settings!$C$34*$AQ491+Settings!$C$35*$AR491+Settings!$C$36*$AS491+Settings!$C$37*$AT491)/SUM(Settings!$C$32:$C$37),1)))</f>
        <v/>
      </c>
      <c r="AI491" s="29" t="str">
        <f>IF($B491="","",MAX(0,100-IF(N($N491)&gt;0,0,20)-IF(AND(N($L491)=0,N($M491)=0),15,0)-IF(N($J491)&gt;0,0,10)-IF(N($K491)&gt;0,0,10)-IF($Z491&lt;&gt;"",0,15)-IF($AB491&lt;&gt;"",0,10)-IF($R491="ERROR",20,IF($R491="WARNING",10,0))))</f>
        <v/>
      </c>
      <c r="AJ491" s="30" t="str">
        <f>IF($AH491="","",IF($AH491&lt;Settings!$C$46,"Extreme Sell Pressure",IF($AH491&lt;Settings!$C$47,"Sell Pressure",IF($AH491&lt;=Settings!$C$48,"Neutral",IF($AH491&lt;=Settings!$C$49,"Buy Pressure","Extreme Buy Pressure")))))</f>
        <v/>
      </c>
      <c r="AK491" s="30" t="str">
        <f t="shared" si="130"/>
        <v/>
      </c>
      <c r="AL491" s="30" t="str">
        <f t="shared" si="131"/>
        <v/>
      </c>
      <c r="AM491" s="30" t="str">
        <f t="shared" si="132"/>
        <v/>
      </c>
      <c r="AN491" s="30" t="str">
        <f t="shared" si="133"/>
        <v/>
      </c>
      <c r="AO491" s="29" t="str">
        <f>IF($B491="","",IF(AND(N($L491)=0,N($M491)=0),50,IF(N($M491)=0,100,IF(N($L491)=0,0,MEDIAN(0,100,50+50*LN($S491)/LN(Settings!$C$40))))))</f>
        <v/>
      </c>
      <c r="AP491" s="29">
        <f>IF($AA491="",50,MEDIAN(0,100,50+$AA491*100*Settings!$C$41))</f>
        <v>50</v>
      </c>
      <c r="AQ491" s="29">
        <f>IF($H491="",50,MEDIAN(0,100,50+$H491*100*Settings!$C$42))</f>
        <v>50</v>
      </c>
      <c r="AR491" s="29">
        <f>IF(OR($AC491="",$H491=""),50,MEDIAN(0,100,50+SIGN($H491)*50*MEDIAN(0,1,($AC491-1)/Settings!$C$43)))</f>
        <v>50</v>
      </c>
      <c r="AS491" s="29">
        <f>IF(OR($V491="",$W491=""),50,MEDIAN(0,100,50+50*($V491-$W491)/Settings!$C$44))</f>
        <v>50</v>
      </c>
      <c r="AT491" s="29">
        <f t="shared" si="134"/>
        <v>50</v>
      </c>
      <c r="AU491" s="30" t="str">
        <f t="shared" si="135"/>
        <v/>
      </c>
      <c r="AV491" s="87" t="str">
        <f>IF($A491="","",IF(COUNTIFS($A$4:$A491,$A491)=1,1,0))</f>
        <v/>
      </c>
    </row>
    <row r="492" spans="1:48" x14ac:dyDescent="0.3">
      <c r="A492" s="270"/>
      <c r="B492" s="271"/>
      <c r="C492" s="272"/>
      <c r="D492" s="272"/>
      <c r="E492" s="272"/>
      <c r="F492" s="272"/>
      <c r="G492" s="272"/>
      <c r="H492" s="268" t="str">
        <f t="shared" si="119"/>
        <v/>
      </c>
      <c r="I492" s="273"/>
      <c r="J492" s="273"/>
      <c r="K492" s="273"/>
      <c r="L492" s="273"/>
      <c r="M492" s="273"/>
      <c r="N492" s="273"/>
      <c r="O492" s="271"/>
      <c r="P492" s="270"/>
      <c r="Q492" s="271"/>
      <c r="R492" s="23" t="str" cm="1">
        <f t="array" ref="R492">IF($B492="","",IFERROR(IF(INDEX('Data Quality'!$U$4:$U$503,ROW()-3)=0,"PENDING",INDEX('Data Quality'!$U$4:$U$503,ROW()-3)),"PENDING"))</f>
        <v/>
      </c>
      <c r="S492" s="24" t="str">
        <f t="shared" si="120"/>
        <v/>
      </c>
      <c r="T492" s="25" t="str">
        <f t="shared" si="121"/>
        <v/>
      </c>
      <c r="U492" s="25" t="str">
        <f t="shared" si="122"/>
        <v/>
      </c>
      <c r="V492" s="26" t="str">
        <f t="shared" si="123"/>
        <v/>
      </c>
      <c r="W492" s="26" t="str">
        <f t="shared" si="124"/>
        <v/>
      </c>
      <c r="X492" s="25" t="str">
        <f t="shared" si="125"/>
        <v/>
      </c>
      <c r="Y492" s="25" t="str">
        <f t="shared" si="126"/>
        <v/>
      </c>
      <c r="Z492" s="27" t="str">
        <f>IF($B492="","",IF($AK492&lt;=Settings!$C$21,"",IFERROR(AVERAGEIFS($S$4:$S$503,$B$4:$B$503,$B492,$AK$4:$AK$503,"&gt;="&amp;$AK492-Settings!$C$21,$AK$4:$AK$503,"&lt;="&amp;$AK492-1),"")))</f>
        <v/>
      </c>
      <c r="AA492" s="28" t="str">
        <f t="shared" si="127"/>
        <v/>
      </c>
      <c r="AB492" s="25" t="str">
        <f>IF($B492="","",IF($AK492&lt;=Settings!$C$22,"",IFERROR(AVERAGEIFS($K$4:$K$503,$B$4:$B$503,$B492,$AK$4:$AK$503,"&gt;="&amp;$AK492-Settings!$C$22,$AK$4:$AK$503,"&lt;="&amp;$AK492-1),"")))</f>
        <v/>
      </c>
      <c r="AC492" s="27" t="str">
        <f t="shared" si="128"/>
        <v/>
      </c>
      <c r="AD492" s="28" t="str">
        <f>IF($B492="","",IF($AK492&lt;=Settings!$C$23,"",IFERROR($E492/SUMIFS($E$4:$E$503,$B$4:$B$503,$B492,$AK$4:$AK$503,$AK492-Settings!$C$23)-1,"")))</f>
        <v/>
      </c>
      <c r="AE492" s="28" t="str">
        <f>IF($B492="","",IF($AK492&lt;=Settings!$C$22,"",IFERROR($E492/SUMIFS($E$4:$E$503,$B$4:$B$503,$B492,$AK$4:$AK$503,$AK492-Settings!$C$22)-1,"")))</f>
        <v/>
      </c>
      <c r="AF492" s="28" t="str">
        <f t="shared" si="129"/>
        <v/>
      </c>
      <c r="AG492" s="29" t="str">
        <f>IF($B492="","",ROUND((MIN(100,100*N($I492)/Settings!$C$27)+MIN(100,100*N($K492)/Settings!$C$28)+MIN(100,100*N($J492)/Settings!$C$29))/3,1))</f>
        <v/>
      </c>
      <c r="AH492" s="29" t="str">
        <f>IF($B492="","",IF(SUM(Settings!$C$32:$C$37)=0,"",ROUND((Settings!$C$32*$AO492+Settings!$C$33*$AP492+Settings!$C$34*$AQ492+Settings!$C$35*$AR492+Settings!$C$36*$AS492+Settings!$C$37*$AT492)/SUM(Settings!$C$32:$C$37),1)))</f>
        <v/>
      </c>
      <c r="AI492" s="29" t="str">
        <f>IF($B492="","",MAX(0,100-IF(N($N492)&gt;0,0,20)-IF(AND(N($L492)=0,N($M492)=0),15,0)-IF(N($J492)&gt;0,0,10)-IF(N($K492)&gt;0,0,10)-IF($Z492&lt;&gt;"",0,15)-IF($AB492&lt;&gt;"",0,10)-IF($R492="ERROR",20,IF($R492="WARNING",10,0))))</f>
        <v/>
      </c>
      <c r="AJ492" s="30" t="str">
        <f>IF($AH492="","",IF($AH492&lt;Settings!$C$46,"Extreme Sell Pressure",IF($AH492&lt;Settings!$C$47,"Sell Pressure",IF($AH492&lt;=Settings!$C$48,"Neutral",IF($AH492&lt;=Settings!$C$49,"Buy Pressure","Extreme Buy Pressure")))))</f>
        <v/>
      </c>
      <c r="AK492" s="30" t="str">
        <f t="shared" si="130"/>
        <v/>
      </c>
      <c r="AL492" s="30" t="str">
        <f t="shared" si="131"/>
        <v/>
      </c>
      <c r="AM492" s="30" t="str">
        <f t="shared" si="132"/>
        <v/>
      </c>
      <c r="AN492" s="30" t="str">
        <f t="shared" si="133"/>
        <v/>
      </c>
      <c r="AO492" s="29" t="str">
        <f>IF($B492="","",IF(AND(N($L492)=0,N($M492)=0),50,IF(N($M492)=0,100,IF(N($L492)=0,0,MEDIAN(0,100,50+50*LN($S492)/LN(Settings!$C$40))))))</f>
        <v/>
      </c>
      <c r="AP492" s="29">
        <f>IF($AA492="",50,MEDIAN(0,100,50+$AA492*100*Settings!$C$41))</f>
        <v>50</v>
      </c>
      <c r="AQ492" s="29">
        <f>IF($H492="",50,MEDIAN(0,100,50+$H492*100*Settings!$C$42))</f>
        <v>50</v>
      </c>
      <c r="AR492" s="29">
        <f>IF(OR($AC492="",$H492=""),50,MEDIAN(0,100,50+SIGN($H492)*50*MEDIAN(0,1,($AC492-1)/Settings!$C$43)))</f>
        <v>50</v>
      </c>
      <c r="AS492" s="29">
        <f>IF(OR($V492="",$W492=""),50,MEDIAN(0,100,50+50*($V492-$W492)/Settings!$C$44))</f>
        <v>50</v>
      </c>
      <c r="AT492" s="29">
        <f t="shared" si="134"/>
        <v>50</v>
      </c>
      <c r="AU492" s="30" t="str">
        <f t="shared" si="135"/>
        <v/>
      </c>
      <c r="AV492" s="87" t="str">
        <f>IF($A492="","",IF(COUNTIFS($A$4:$A492,$A492)=1,1,0))</f>
        <v/>
      </c>
    </row>
    <row r="493" spans="1:48" x14ac:dyDescent="0.3">
      <c r="A493" s="270"/>
      <c r="B493" s="271"/>
      <c r="C493" s="272"/>
      <c r="D493" s="272"/>
      <c r="E493" s="272"/>
      <c r="F493" s="272"/>
      <c r="G493" s="272"/>
      <c r="H493" s="268" t="str">
        <f t="shared" si="119"/>
        <v/>
      </c>
      <c r="I493" s="273"/>
      <c r="J493" s="273"/>
      <c r="K493" s="273"/>
      <c r="L493" s="273"/>
      <c r="M493" s="273"/>
      <c r="N493" s="273"/>
      <c r="O493" s="271"/>
      <c r="P493" s="270"/>
      <c r="Q493" s="271"/>
      <c r="R493" s="23" t="str" cm="1">
        <f t="array" ref="R493">IF($B493="","",IFERROR(IF(INDEX('Data Quality'!$U$4:$U$503,ROW()-3)=0,"PENDING",INDEX('Data Quality'!$U$4:$U$503,ROW()-3)),"PENDING"))</f>
        <v/>
      </c>
      <c r="S493" s="24" t="str">
        <f t="shared" si="120"/>
        <v/>
      </c>
      <c r="T493" s="25" t="str">
        <f t="shared" si="121"/>
        <v/>
      </c>
      <c r="U493" s="25" t="str">
        <f t="shared" si="122"/>
        <v/>
      </c>
      <c r="V493" s="26" t="str">
        <f t="shared" si="123"/>
        <v/>
      </c>
      <c r="W493" s="26" t="str">
        <f t="shared" si="124"/>
        <v/>
      </c>
      <c r="X493" s="25" t="str">
        <f t="shared" si="125"/>
        <v/>
      </c>
      <c r="Y493" s="25" t="str">
        <f t="shared" si="126"/>
        <v/>
      </c>
      <c r="Z493" s="27" t="str">
        <f>IF($B493="","",IF($AK493&lt;=Settings!$C$21,"",IFERROR(AVERAGEIFS($S$4:$S$503,$B$4:$B$503,$B493,$AK$4:$AK$503,"&gt;="&amp;$AK493-Settings!$C$21,$AK$4:$AK$503,"&lt;="&amp;$AK493-1),"")))</f>
        <v/>
      </c>
      <c r="AA493" s="28" t="str">
        <f t="shared" si="127"/>
        <v/>
      </c>
      <c r="AB493" s="25" t="str">
        <f>IF($B493="","",IF($AK493&lt;=Settings!$C$22,"",IFERROR(AVERAGEIFS($K$4:$K$503,$B$4:$B$503,$B493,$AK$4:$AK$503,"&gt;="&amp;$AK493-Settings!$C$22,$AK$4:$AK$503,"&lt;="&amp;$AK493-1),"")))</f>
        <v/>
      </c>
      <c r="AC493" s="27" t="str">
        <f t="shared" si="128"/>
        <v/>
      </c>
      <c r="AD493" s="28" t="str">
        <f>IF($B493="","",IF($AK493&lt;=Settings!$C$23,"",IFERROR($E493/SUMIFS($E$4:$E$503,$B$4:$B$503,$B493,$AK$4:$AK$503,$AK493-Settings!$C$23)-1,"")))</f>
        <v/>
      </c>
      <c r="AE493" s="28" t="str">
        <f>IF($B493="","",IF($AK493&lt;=Settings!$C$22,"",IFERROR($E493/SUMIFS($E$4:$E$503,$B$4:$B$503,$B493,$AK$4:$AK$503,$AK493-Settings!$C$22)-1,"")))</f>
        <v/>
      </c>
      <c r="AF493" s="28" t="str">
        <f t="shared" si="129"/>
        <v/>
      </c>
      <c r="AG493" s="29" t="str">
        <f>IF($B493="","",ROUND((MIN(100,100*N($I493)/Settings!$C$27)+MIN(100,100*N($K493)/Settings!$C$28)+MIN(100,100*N($J493)/Settings!$C$29))/3,1))</f>
        <v/>
      </c>
      <c r="AH493" s="29" t="str">
        <f>IF($B493="","",IF(SUM(Settings!$C$32:$C$37)=0,"",ROUND((Settings!$C$32*$AO493+Settings!$C$33*$AP493+Settings!$C$34*$AQ493+Settings!$C$35*$AR493+Settings!$C$36*$AS493+Settings!$C$37*$AT493)/SUM(Settings!$C$32:$C$37),1)))</f>
        <v/>
      </c>
      <c r="AI493" s="29" t="str">
        <f>IF($B493="","",MAX(0,100-IF(N($N493)&gt;0,0,20)-IF(AND(N($L493)=0,N($M493)=0),15,0)-IF(N($J493)&gt;0,0,10)-IF(N($K493)&gt;0,0,10)-IF($Z493&lt;&gt;"",0,15)-IF($AB493&lt;&gt;"",0,10)-IF($R493="ERROR",20,IF($R493="WARNING",10,0))))</f>
        <v/>
      </c>
      <c r="AJ493" s="30" t="str">
        <f>IF($AH493="","",IF($AH493&lt;Settings!$C$46,"Extreme Sell Pressure",IF($AH493&lt;Settings!$C$47,"Sell Pressure",IF($AH493&lt;=Settings!$C$48,"Neutral",IF($AH493&lt;=Settings!$C$49,"Buy Pressure","Extreme Buy Pressure")))))</f>
        <v/>
      </c>
      <c r="AK493" s="30" t="str">
        <f t="shared" si="130"/>
        <v/>
      </c>
      <c r="AL493" s="30" t="str">
        <f t="shared" si="131"/>
        <v/>
      </c>
      <c r="AM493" s="30" t="str">
        <f t="shared" si="132"/>
        <v/>
      </c>
      <c r="AN493" s="30" t="str">
        <f t="shared" si="133"/>
        <v/>
      </c>
      <c r="AO493" s="29" t="str">
        <f>IF($B493="","",IF(AND(N($L493)=0,N($M493)=0),50,IF(N($M493)=0,100,IF(N($L493)=0,0,MEDIAN(0,100,50+50*LN($S493)/LN(Settings!$C$40))))))</f>
        <v/>
      </c>
      <c r="AP493" s="29">
        <f>IF($AA493="",50,MEDIAN(0,100,50+$AA493*100*Settings!$C$41))</f>
        <v>50</v>
      </c>
      <c r="AQ493" s="29">
        <f>IF($H493="",50,MEDIAN(0,100,50+$H493*100*Settings!$C$42))</f>
        <v>50</v>
      </c>
      <c r="AR493" s="29">
        <f>IF(OR($AC493="",$H493=""),50,MEDIAN(0,100,50+SIGN($H493)*50*MEDIAN(0,1,($AC493-1)/Settings!$C$43)))</f>
        <v>50</v>
      </c>
      <c r="AS493" s="29">
        <f>IF(OR($V493="",$W493=""),50,MEDIAN(0,100,50+50*($V493-$W493)/Settings!$C$44))</f>
        <v>50</v>
      </c>
      <c r="AT493" s="29">
        <f t="shared" si="134"/>
        <v>50</v>
      </c>
      <c r="AU493" s="30" t="str">
        <f t="shared" si="135"/>
        <v/>
      </c>
      <c r="AV493" s="87" t="str">
        <f>IF($A493="","",IF(COUNTIFS($A$4:$A493,$A493)=1,1,0))</f>
        <v/>
      </c>
    </row>
    <row r="494" spans="1:48" x14ac:dyDescent="0.3">
      <c r="A494" s="270"/>
      <c r="B494" s="271"/>
      <c r="C494" s="272"/>
      <c r="D494" s="272"/>
      <c r="E494" s="272"/>
      <c r="F494" s="272"/>
      <c r="G494" s="272"/>
      <c r="H494" s="268" t="str">
        <f t="shared" si="119"/>
        <v/>
      </c>
      <c r="I494" s="273"/>
      <c r="J494" s="273"/>
      <c r="K494" s="273"/>
      <c r="L494" s="273"/>
      <c r="M494" s="273"/>
      <c r="N494" s="273"/>
      <c r="O494" s="271"/>
      <c r="P494" s="270"/>
      <c r="Q494" s="271"/>
      <c r="R494" s="23" t="str" cm="1">
        <f t="array" ref="R494">IF($B494="","",IFERROR(IF(INDEX('Data Quality'!$U$4:$U$503,ROW()-3)=0,"PENDING",INDEX('Data Quality'!$U$4:$U$503,ROW()-3)),"PENDING"))</f>
        <v/>
      </c>
      <c r="S494" s="24" t="str">
        <f t="shared" si="120"/>
        <v/>
      </c>
      <c r="T494" s="25" t="str">
        <f t="shared" si="121"/>
        <v/>
      </c>
      <c r="U494" s="25" t="str">
        <f t="shared" si="122"/>
        <v/>
      </c>
      <c r="V494" s="26" t="str">
        <f t="shared" si="123"/>
        <v/>
      </c>
      <c r="W494" s="26" t="str">
        <f t="shared" si="124"/>
        <v/>
      </c>
      <c r="X494" s="25" t="str">
        <f t="shared" si="125"/>
        <v/>
      </c>
      <c r="Y494" s="25" t="str">
        <f t="shared" si="126"/>
        <v/>
      </c>
      <c r="Z494" s="27" t="str">
        <f>IF($B494="","",IF($AK494&lt;=Settings!$C$21,"",IFERROR(AVERAGEIFS($S$4:$S$503,$B$4:$B$503,$B494,$AK$4:$AK$503,"&gt;="&amp;$AK494-Settings!$C$21,$AK$4:$AK$503,"&lt;="&amp;$AK494-1),"")))</f>
        <v/>
      </c>
      <c r="AA494" s="28" t="str">
        <f t="shared" si="127"/>
        <v/>
      </c>
      <c r="AB494" s="25" t="str">
        <f>IF($B494="","",IF($AK494&lt;=Settings!$C$22,"",IFERROR(AVERAGEIFS($K$4:$K$503,$B$4:$B$503,$B494,$AK$4:$AK$503,"&gt;="&amp;$AK494-Settings!$C$22,$AK$4:$AK$503,"&lt;="&amp;$AK494-1),"")))</f>
        <v/>
      </c>
      <c r="AC494" s="27" t="str">
        <f t="shared" si="128"/>
        <v/>
      </c>
      <c r="AD494" s="28" t="str">
        <f>IF($B494="","",IF($AK494&lt;=Settings!$C$23,"",IFERROR($E494/SUMIFS($E$4:$E$503,$B$4:$B$503,$B494,$AK$4:$AK$503,$AK494-Settings!$C$23)-1,"")))</f>
        <v/>
      </c>
      <c r="AE494" s="28" t="str">
        <f>IF($B494="","",IF($AK494&lt;=Settings!$C$22,"",IFERROR($E494/SUMIFS($E$4:$E$503,$B$4:$B$503,$B494,$AK$4:$AK$503,$AK494-Settings!$C$22)-1,"")))</f>
        <v/>
      </c>
      <c r="AF494" s="28" t="str">
        <f t="shared" si="129"/>
        <v/>
      </c>
      <c r="AG494" s="29" t="str">
        <f>IF($B494="","",ROUND((MIN(100,100*N($I494)/Settings!$C$27)+MIN(100,100*N($K494)/Settings!$C$28)+MIN(100,100*N($J494)/Settings!$C$29))/3,1))</f>
        <v/>
      </c>
      <c r="AH494" s="29" t="str">
        <f>IF($B494="","",IF(SUM(Settings!$C$32:$C$37)=0,"",ROUND((Settings!$C$32*$AO494+Settings!$C$33*$AP494+Settings!$C$34*$AQ494+Settings!$C$35*$AR494+Settings!$C$36*$AS494+Settings!$C$37*$AT494)/SUM(Settings!$C$32:$C$37),1)))</f>
        <v/>
      </c>
      <c r="AI494" s="29" t="str">
        <f>IF($B494="","",MAX(0,100-IF(N($N494)&gt;0,0,20)-IF(AND(N($L494)=0,N($M494)=0),15,0)-IF(N($J494)&gt;0,0,10)-IF(N($K494)&gt;0,0,10)-IF($Z494&lt;&gt;"",0,15)-IF($AB494&lt;&gt;"",0,10)-IF($R494="ERROR",20,IF($R494="WARNING",10,0))))</f>
        <v/>
      </c>
      <c r="AJ494" s="30" t="str">
        <f>IF($AH494="","",IF($AH494&lt;Settings!$C$46,"Extreme Sell Pressure",IF($AH494&lt;Settings!$C$47,"Sell Pressure",IF($AH494&lt;=Settings!$C$48,"Neutral",IF($AH494&lt;=Settings!$C$49,"Buy Pressure","Extreme Buy Pressure")))))</f>
        <v/>
      </c>
      <c r="AK494" s="30" t="str">
        <f t="shared" si="130"/>
        <v/>
      </c>
      <c r="AL494" s="30" t="str">
        <f t="shared" si="131"/>
        <v/>
      </c>
      <c r="AM494" s="30" t="str">
        <f t="shared" si="132"/>
        <v/>
      </c>
      <c r="AN494" s="30" t="str">
        <f t="shared" si="133"/>
        <v/>
      </c>
      <c r="AO494" s="29" t="str">
        <f>IF($B494="","",IF(AND(N($L494)=0,N($M494)=0),50,IF(N($M494)=0,100,IF(N($L494)=0,0,MEDIAN(0,100,50+50*LN($S494)/LN(Settings!$C$40))))))</f>
        <v/>
      </c>
      <c r="AP494" s="29">
        <f>IF($AA494="",50,MEDIAN(0,100,50+$AA494*100*Settings!$C$41))</f>
        <v>50</v>
      </c>
      <c r="AQ494" s="29">
        <f>IF($H494="",50,MEDIAN(0,100,50+$H494*100*Settings!$C$42))</f>
        <v>50</v>
      </c>
      <c r="AR494" s="29">
        <f>IF(OR($AC494="",$H494=""),50,MEDIAN(0,100,50+SIGN($H494)*50*MEDIAN(0,1,($AC494-1)/Settings!$C$43)))</f>
        <v>50</v>
      </c>
      <c r="AS494" s="29">
        <f>IF(OR($V494="",$W494=""),50,MEDIAN(0,100,50+50*($V494-$W494)/Settings!$C$44))</f>
        <v>50</v>
      </c>
      <c r="AT494" s="29">
        <f t="shared" si="134"/>
        <v>50</v>
      </c>
      <c r="AU494" s="30" t="str">
        <f t="shared" si="135"/>
        <v/>
      </c>
      <c r="AV494" s="87" t="str">
        <f>IF($A494="","",IF(COUNTIFS($A$4:$A494,$A494)=1,1,0))</f>
        <v/>
      </c>
    </row>
    <row r="495" spans="1:48" x14ac:dyDescent="0.3">
      <c r="A495" s="270"/>
      <c r="B495" s="271"/>
      <c r="C495" s="272"/>
      <c r="D495" s="272"/>
      <c r="E495" s="272"/>
      <c r="F495" s="272"/>
      <c r="G495" s="272"/>
      <c r="H495" s="268" t="str">
        <f t="shared" si="119"/>
        <v/>
      </c>
      <c r="I495" s="273"/>
      <c r="J495" s="273"/>
      <c r="K495" s="273"/>
      <c r="L495" s="273"/>
      <c r="M495" s="273"/>
      <c r="N495" s="273"/>
      <c r="O495" s="271"/>
      <c r="P495" s="270"/>
      <c r="Q495" s="271"/>
      <c r="R495" s="23" t="str" cm="1">
        <f t="array" ref="R495">IF($B495="","",IFERROR(IF(INDEX('Data Quality'!$U$4:$U$503,ROW()-3)=0,"PENDING",INDEX('Data Quality'!$U$4:$U$503,ROW()-3)),"PENDING"))</f>
        <v/>
      </c>
      <c r="S495" s="24" t="str">
        <f t="shared" si="120"/>
        <v/>
      </c>
      <c r="T495" s="25" t="str">
        <f t="shared" si="121"/>
        <v/>
      </c>
      <c r="U495" s="25" t="str">
        <f t="shared" si="122"/>
        <v/>
      </c>
      <c r="V495" s="26" t="str">
        <f t="shared" si="123"/>
        <v/>
      </c>
      <c r="W495" s="26" t="str">
        <f t="shared" si="124"/>
        <v/>
      </c>
      <c r="X495" s="25" t="str">
        <f t="shared" si="125"/>
        <v/>
      </c>
      <c r="Y495" s="25" t="str">
        <f t="shared" si="126"/>
        <v/>
      </c>
      <c r="Z495" s="27" t="str">
        <f>IF($B495="","",IF($AK495&lt;=Settings!$C$21,"",IFERROR(AVERAGEIFS($S$4:$S$503,$B$4:$B$503,$B495,$AK$4:$AK$503,"&gt;="&amp;$AK495-Settings!$C$21,$AK$4:$AK$503,"&lt;="&amp;$AK495-1),"")))</f>
        <v/>
      </c>
      <c r="AA495" s="28" t="str">
        <f t="shared" si="127"/>
        <v/>
      </c>
      <c r="AB495" s="25" t="str">
        <f>IF($B495="","",IF($AK495&lt;=Settings!$C$22,"",IFERROR(AVERAGEIFS($K$4:$K$503,$B$4:$B$503,$B495,$AK$4:$AK$503,"&gt;="&amp;$AK495-Settings!$C$22,$AK$4:$AK$503,"&lt;="&amp;$AK495-1),"")))</f>
        <v/>
      </c>
      <c r="AC495" s="27" t="str">
        <f t="shared" si="128"/>
        <v/>
      </c>
      <c r="AD495" s="28" t="str">
        <f>IF($B495="","",IF($AK495&lt;=Settings!$C$23,"",IFERROR($E495/SUMIFS($E$4:$E$503,$B$4:$B$503,$B495,$AK$4:$AK$503,$AK495-Settings!$C$23)-1,"")))</f>
        <v/>
      </c>
      <c r="AE495" s="28" t="str">
        <f>IF($B495="","",IF($AK495&lt;=Settings!$C$22,"",IFERROR($E495/SUMIFS($E$4:$E$503,$B$4:$B$503,$B495,$AK$4:$AK$503,$AK495-Settings!$C$22)-1,"")))</f>
        <v/>
      </c>
      <c r="AF495" s="28" t="str">
        <f t="shared" si="129"/>
        <v/>
      </c>
      <c r="AG495" s="29" t="str">
        <f>IF($B495="","",ROUND((MIN(100,100*N($I495)/Settings!$C$27)+MIN(100,100*N($K495)/Settings!$C$28)+MIN(100,100*N($J495)/Settings!$C$29))/3,1))</f>
        <v/>
      </c>
      <c r="AH495" s="29" t="str">
        <f>IF($B495="","",IF(SUM(Settings!$C$32:$C$37)=0,"",ROUND((Settings!$C$32*$AO495+Settings!$C$33*$AP495+Settings!$C$34*$AQ495+Settings!$C$35*$AR495+Settings!$C$36*$AS495+Settings!$C$37*$AT495)/SUM(Settings!$C$32:$C$37),1)))</f>
        <v/>
      </c>
      <c r="AI495" s="29" t="str">
        <f>IF($B495="","",MAX(0,100-IF(N($N495)&gt;0,0,20)-IF(AND(N($L495)=0,N($M495)=0),15,0)-IF(N($J495)&gt;0,0,10)-IF(N($K495)&gt;0,0,10)-IF($Z495&lt;&gt;"",0,15)-IF($AB495&lt;&gt;"",0,10)-IF($R495="ERROR",20,IF($R495="WARNING",10,0))))</f>
        <v/>
      </c>
      <c r="AJ495" s="30" t="str">
        <f>IF($AH495="","",IF($AH495&lt;Settings!$C$46,"Extreme Sell Pressure",IF($AH495&lt;Settings!$C$47,"Sell Pressure",IF($AH495&lt;=Settings!$C$48,"Neutral",IF($AH495&lt;=Settings!$C$49,"Buy Pressure","Extreme Buy Pressure")))))</f>
        <v/>
      </c>
      <c r="AK495" s="30" t="str">
        <f t="shared" si="130"/>
        <v/>
      </c>
      <c r="AL495" s="30" t="str">
        <f t="shared" si="131"/>
        <v/>
      </c>
      <c r="AM495" s="30" t="str">
        <f t="shared" si="132"/>
        <v/>
      </c>
      <c r="AN495" s="30" t="str">
        <f t="shared" si="133"/>
        <v/>
      </c>
      <c r="AO495" s="29" t="str">
        <f>IF($B495="","",IF(AND(N($L495)=0,N($M495)=0),50,IF(N($M495)=0,100,IF(N($L495)=0,0,MEDIAN(0,100,50+50*LN($S495)/LN(Settings!$C$40))))))</f>
        <v/>
      </c>
      <c r="AP495" s="29">
        <f>IF($AA495="",50,MEDIAN(0,100,50+$AA495*100*Settings!$C$41))</f>
        <v>50</v>
      </c>
      <c r="AQ495" s="29">
        <f>IF($H495="",50,MEDIAN(0,100,50+$H495*100*Settings!$C$42))</f>
        <v>50</v>
      </c>
      <c r="AR495" s="29">
        <f>IF(OR($AC495="",$H495=""),50,MEDIAN(0,100,50+SIGN($H495)*50*MEDIAN(0,1,($AC495-1)/Settings!$C$43)))</f>
        <v>50</v>
      </c>
      <c r="AS495" s="29">
        <f>IF(OR($V495="",$W495=""),50,MEDIAN(0,100,50+50*($V495-$W495)/Settings!$C$44))</f>
        <v>50</v>
      </c>
      <c r="AT495" s="29">
        <f t="shared" si="134"/>
        <v>50</v>
      </c>
      <c r="AU495" s="30" t="str">
        <f t="shared" si="135"/>
        <v/>
      </c>
      <c r="AV495" s="87" t="str">
        <f>IF($A495="","",IF(COUNTIFS($A$4:$A495,$A495)=1,1,0))</f>
        <v/>
      </c>
    </row>
    <row r="496" spans="1:48" x14ac:dyDescent="0.3">
      <c r="A496" s="270"/>
      <c r="B496" s="271"/>
      <c r="C496" s="272"/>
      <c r="D496" s="272"/>
      <c r="E496" s="272"/>
      <c r="F496" s="272"/>
      <c r="G496" s="272"/>
      <c r="H496" s="268" t="str">
        <f t="shared" si="119"/>
        <v/>
      </c>
      <c r="I496" s="273"/>
      <c r="J496" s="273"/>
      <c r="K496" s="273"/>
      <c r="L496" s="273"/>
      <c r="M496" s="273"/>
      <c r="N496" s="273"/>
      <c r="O496" s="271"/>
      <c r="P496" s="270"/>
      <c r="Q496" s="271"/>
      <c r="R496" s="23" t="str" cm="1">
        <f t="array" ref="R496">IF($B496="","",IFERROR(IF(INDEX('Data Quality'!$U$4:$U$503,ROW()-3)=0,"PENDING",INDEX('Data Quality'!$U$4:$U$503,ROW()-3)),"PENDING"))</f>
        <v/>
      </c>
      <c r="S496" s="24" t="str">
        <f t="shared" si="120"/>
        <v/>
      </c>
      <c r="T496" s="25" t="str">
        <f t="shared" si="121"/>
        <v/>
      </c>
      <c r="U496" s="25" t="str">
        <f t="shared" si="122"/>
        <v/>
      </c>
      <c r="V496" s="26" t="str">
        <f t="shared" si="123"/>
        <v/>
      </c>
      <c r="W496" s="26" t="str">
        <f t="shared" si="124"/>
        <v/>
      </c>
      <c r="X496" s="25" t="str">
        <f t="shared" si="125"/>
        <v/>
      </c>
      <c r="Y496" s="25" t="str">
        <f t="shared" si="126"/>
        <v/>
      </c>
      <c r="Z496" s="27" t="str">
        <f>IF($B496="","",IF($AK496&lt;=Settings!$C$21,"",IFERROR(AVERAGEIFS($S$4:$S$503,$B$4:$B$503,$B496,$AK$4:$AK$503,"&gt;="&amp;$AK496-Settings!$C$21,$AK$4:$AK$503,"&lt;="&amp;$AK496-1),"")))</f>
        <v/>
      </c>
      <c r="AA496" s="28" t="str">
        <f t="shared" si="127"/>
        <v/>
      </c>
      <c r="AB496" s="25" t="str">
        <f>IF($B496="","",IF($AK496&lt;=Settings!$C$22,"",IFERROR(AVERAGEIFS($K$4:$K$503,$B$4:$B$503,$B496,$AK$4:$AK$503,"&gt;="&amp;$AK496-Settings!$C$22,$AK$4:$AK$503,"&lt;="&amp;$AK496-1),"")))</f>
        <v/>
      </c>
      <c r="AC496" s="27" t="str">
        <f t="shared" si="128"/>
        <v/>
      </c>
      <c r="AD496" s="28" t="str">
        <f>IF($B496="","",IF($AK496&lt;=Settings!$C$23,"",IFERROR($E496/SUMIFS($E$4:$E$503,$B$4:$B$503,$B496,$AK$4:$AK$503,$AK496-Settings!$C$23)-1,"")))</f>
        <v/>
      </c>
      <c r="AE496" s="28" t="str">
        <f>IF($B496="","",IF($AK496&lt;=Settings!$C$22,"",IFERROR($E496/SUMIFS($E$4:$E$503,$B$4:$B$503,$B496,$AK$4:$AK$503,$AK496-Settings!$C$22)-1,"")))</f>
        <v/>
      </c>
      <c r="AF496" s="28" t="str">
        <f t="shared" si="129"/>
        <v/>
      </c>
      <c r="AG496" s="29" t="str">
        <f>IF($B496="","",ROUND((MIN(100,100*N($I496)/Settings!$C$27)+MIN(100,100*N($K496)/Settings!$C$28)+MIN(100,100*N($J496)/Settings!$C$29))/3,1))</f>
        <v/>
      </c>
      <c r="AH496" s="29" t="str">
        <f>IF($B496="","",IF(SUM(Settings!$C$32:$C$37)=0,"",ROUND((Settings!$C$32*$AO496+Settings!$C$33*$AP496+Settings!$C$34*$AQ496+Settings!$C$35*$AR496+Settings!$C$36*$AS496+Settings!$C$37*$AT496)/SUM(Settings!$C$32:$C$37),1)))</f>
        <v/>
      </c>
      <c r="AI496" s="29" t="str">
        <f>IF($B496="","",MAX(0,100-IF(N($N496)&gt;0,0,20)-IF(AND(N($L496)=0,N($M496)=0),15,0)-IF(N($J496)&gt;0,0,10)-IF(N($K496)&gt;0,0,10)-IF($Z496&lt;&gt;"",0,15)-IF($AB496&lt;&gt;"",0,10)-IF($R496="ERROR",20,IF($R496="WARNING",10,0))))</f>
        <v/>
      </c>
      <c r="AJ496" s="30" t="str">
        <f>IF($AH496="","",IF($AH496&lt;Settings!$C$46,"Extreme Sell Pressure",IF($AH496&lt;Settings!$C$47,"Sell Pressure",IF($AH496&lt;=Settings!$C$48,"Neutral",IF($AH496&lt;=Settings!$C$49,"Buy Pressure","Extreme Buy Pressure")))))</f>
        <v/>
      </c>
      <c r="AK496" s="30" t="str">
        <f t="shared" si="130"/>
        <v/>
      </c>
      <c r="AL496" s="30" t="str">
        <f t="shared" si="131"/>
        <v/>
      </c>
      <c r="AM496" s="30" t="str">
        <f t="shared" si="132"/>
        <v/>
      </c>
      <c r="AN496" s="30" t="str">
        <f t="shared" si="133"/>
        <v/>
      </c>
      <c r="AO496" s="29" t="str">
        <f>IF($B496="","",IF(AND(N($L496)=0,N($M496)=0),50,IF(N($M496)=0,100,IF(N($L496)=0,0,MEDIAN(0,100,50+50*LN($S496)/LN(Settings!$C$40))))))</f>
        <v/>
      </c>
      <c r="AP496" s="29">
        <f>IF($AA496="",50,MEDIAN(0,100,50+$AA496*100*Settings!$C$41))</f>
        <v>50</v>
      </c>
      <c r="AQ496" s="29">
        <f>IF($H496="",50,MEDIAN(0,100,50+$H496*100*Settings!$C$42))</f>
        <v>50</v>
      </c>
      <c r="AR496" s="29">
        <f>IF(OR($AC496="",$H496=""),50,MEDIAN(0,100,50+SIGN($H496)*50*MEDIAN(0,1,($AC496-1)/Settings!$C$43)))</f>
        <v>50</v>
      </c>
      <c r="AS496" s="29">
        <f>IF(OR($V496="",$W496=""),50,MEDIAN(0,100,50+50*($V496-$W496)/Settings!$C$44))</f>
        <v>50</v>
      </c>
      <c r="AT496" s="29">
        <f t="shared" si="134"/>
        <v>50</v>
      </c>
      <c r="AU496" s="30" t="str">
        <f t="shared" si="135"/>
        <v/>
      </c>
      <c r="AV496" s="87" t="str">
        <f>IF($A496="","",IF(COUNTIFS($A$4:$A496,$A496)=1,1,0))</f>
        <v/>
      </c>
    </row>
    <row r="497" spans="1:48" x14ac:dyDescent="0.3">
      <c r="A497" s="270"/>
      <c r="B497" s="271"/>
      <c r="C497" s="272"/>
      <c r="D497" s="272"/>
      <c r="E497" s="272"/>
      <c r="F497" s="272"/>
      <c r="G497" s="272"/>
      <c r="H497" s="268" t="str">
        <f t="shared" si="119"/>
        <v/>
      </c>
      <c r="I497" s="273"/>
      <c r="J497" s="273"/>
      <c r="K497" s="273"/>
      <c r="L497" s="273"/>
      <c r="M497" s="273"/>
      <c r="N497" s="273"/>
      <c r="O497" s="271"/>
      <c r="P497" s="270"/>
      <c r="Q497" s="271"/>
      <c r="R497" s="23" t="str" cm="1">
        <f t="array" ref="R497">IF($B497="","",IFERROR(IF(INDEX('Data Quality'!$U$4:$U$503,ROW()-3)=0,"PENDING",INDEX('Data Quality'!$U$4:$U$503,ROW()-3)),"PENDING"))</f>
        <v/>
      </c>
      <c r="S497" s="24" t="str">
        <f t="shared" si="120"/>
        <v/>
      </c>
      <c r="T497" s="25" t="str">
        <f t="shared" si="121"/>
        <v/>
      </c>
      <c r="U497" s="25" t="str">
        <f t="shared" si="122"/>
        <v/>
      </c>
      <c r="V497" s="26" t="str">
        <f t="shared" si="123"/>
        <v/>
      </c>
      <c r="W497" s="26" t="str">
        <f t="shared" si="124"/>
        <v/>
      </c>
      <c r="X497" s="25" t="str">
        <f t="shared" si="125"/>
        <v/>
      </c>
      <c r="Y497" s="25" t="str">
        <f t="shared" si="126"/>
        <v/>
      </c>
      <c r="Z497" s="27" t="str">
        <f>IF($B497="","",IF($AK497&lt;=Settings!$C$21,"",IFERROR(AVERAGEIFS($S$4:$S$503,$B$4:$B$503,$B497,$AK$4:$AK$503,"&gt;="&amp;$AK497-Settings!$C$21,$AK$4:$AK$503,"&lt;="&amp;$AK497-1),"")))</f>
        <v/>
      </c>
      <c r="AA497" s="28" t="str">
        <f t="shared" si="127"/>
        <v/>
      </c>
      <c r="AB497" s="25" t="str">
        <f>IF($B497="","",IF($AK497&lt;=Settings!$C$22,"",IFERROR(AVERAGEIFS($K$4:$K$503,$B$4:$B$503,$B497,$AK$4:$AK$503,"&gt;="&amp;$AK497-Settings!$C$22,$AK$4:$AK$503,"&lt;="&amp;$AK497-1),"")))</f>
        <v/>
      </c>
      <c r="AC497" s="27" t="str">
        <f t="shared" si="128"/>
        <v/>
      </c>
      <c r="AD497" s="28" t="str">
        <f>IF($B497="","",IF($AK497&lt;=Settings!$C$23,"",IFERROR($E497/SUMIFS($E$4:$E$503,$B$4:$B$503,$B497,$AK$4:$AK$503,$AK497-Settings!$C$23)-1,"")))</f>
        <v/>
      </c>
      <c r="AE497" s="28" t="str">
        <f>IF($B497="","",IF($AK497&lt;=Settings!$C$22,"",IFERROR($E497/SUMIFS($E$4:$E$503,$B$4:$B$503,$B497,$AK$4:$AK$503,$AK497-Settings!$C$22)-1,"")))</f>
        <v/>
      </c>
      <c r="AF497" s="28" t="str">
        <f t="shared" si="129"/>
        <v/>
      </c>
      <c r="AG497" s="29" t="str">
        <f>IF($B497="","",ROUND((MIN(100,100*N($I497)/Settings!$C$27)+MIN(100,100*N($K497)/Settings!$C$28)+MIN(100,100*N($J497)/Settings!$C$29))/3,1))</f>
        <v/>
      </c>
      <c r="AH497" s="29" t="str">
        <f>IF($B497="","",IF(SUM(Settings!$C$32:$C$37)=0,"",ROUND((Settings!$C$32*$AO497+Settings!$C$33*$AP497+Settings!$C$34*$AQ497+Settings!$C$35*$AR497+Settings!$C$36*$AS497+Settings!$C$37*$AT497)/SUM(Settings!$C$32:$C$37),1)))</f>
        <v/>
      </c>
      <c r="AI497" s="29" t="str">
        <f>IF($B497="","",MAX(0,100-IF(N($N497)&gt;0,0,20)-IF(AND(N($L497)=0,N($M497)=0),15,0)-IF(N($J497)&gt;0,0,10)-IF(N($K497)&gt;0,0,10)-IF($Z497&lt;&gt;"",0,15)-IF($AB497&lt;&gt;"",0,10)-IF($R497="ERROR",20,IF($R497="WARNING",10,0))))</f>
        <v/>
      </c>
      <c r="AJ497" s="30" t="str">
        <f>IF($AH497="","",IF($AH497&lt;Settings!$C$46,"Extreme Sell Pressure",IF($AH497&lt;Settings!$C$47,"Sell Pressure",IF($AH497&lt;=Settings!$C$48,"Neutral",IF($AH497&lt;=Settings!$C$49,"Buy Pressure","Extreme Buy Pressure")))))</f>
        <v/>
      </c>
      <c r="AK497" s="30" t="str">
        <f t="shared" si="130"/>
        <v/>
      </c>
      <c r="AL497" s="30" t="str">
        <f t="shared" si="131"/>
        <v/>
      </c>
      <c r="AM497" s="30" t="str">
        <f t="shared" si="132"/>
        <v/>
      </c>
      <c r="AN497" s="30" t="str">
        <f t="shared" si="133"/>
        <v/>
      </c>
      <c r="AO497" s="29" t="str">
        <f>IF($B497="","",IF(AND(N($L497)=0,N($M497)=0),50,IF(N($M497)=0,100,IF(N($L497)=0,0,MEDIAN(0,100,50+50*LN($S497)/LN(Settings!$C$40))))))</f>
        <v/>
      </c>
      <c r="AP497" s="29">
        <f>IF($AA497="",50,MEDIAN(0,100,50+$AA497*100*Settings!$C$41))</f>
        <v>50</v>
      </c>
      <c r="AQ497" s="29">
        <f>IF($H497="",50,MEDIAN(0,100,50+$H497*100*Settings!$C$42))</f>
        <v>50</v>
      </c>
      <c r="AR497" s="29">
        <f>IF(OR($AC497="",$H497=""),50,MEDIAN(0,100,50+SIGN($H497)*50*MEDIAN(0,1,($AC497-1)/Settings!$C$43)))</f>
        <v>50</v>
      </c>
      <c r="AS497" s="29">
        <f>IF(OR($V497="",$W497=""),50,MEDIAN(0,100,50+50*($V497-$W497)/Settings!$C$44))</f>
        <v>50</v>
      </c>
      <c r="AT497" s="29">
        <f t="shared" si="134"/>
        <v>50</v>
      </c>
      <c r="AU497" s="30" t="str">
        <f t="shared" si="135"/>
        <v/>
      </c>
      <c r="AV497" s="87" t="str">
        <f>IF($A497="","",IF(COUNTIFS($A$4:$A497,$A497)=1,1,0))</f>
        <v/>
      </c>
    </row>
    <row r="498" spans="1:48" x14ac:dyDescent="0.3">
      <c r="A498" s="270"/>
      <c r="B498" s="271"/>
      <c r="C498" s="272"/>
      <c r="D498" s="272"/>
      <c r="E498" s="272"/>
      <c r="F498" s="272"/>
      <c r="G498" s="272"/>
      <c r="H498" s="268" t="str">
        <f t="shared" si="119"/>
        <v/>
      </c>
      <c r="I498" s="273"/>
      <c r="J498" s="273"/>
      <c r="K498" s="273"/>
      <c r="L498" s="273"/>
      <c r="M498" s="273"/>
      <c r="N498" s="273"/>
      <c r="O498" s="271"/>
      <c r="P498" s="270"/>
      <c r="Q498" s="271"/>
      <c r="R498" s="23" t="str" cm="1">
        <f t="array" ref="R498">IF($B498="","",IFERROR(IF(INDEX('Data Quality'!$U$4:$U$503,ROW()-3)=0,"PENDING",INDEX('Data Quality'!$U$4:$U$503,ROW()-3)),"PENDING"))</f>
        <v/>
      </c>
      <c r="S498" s="24" t="str">
        <f t="shared" si="120"/>
        <v/>
      </c>
      <c r="T498" s="25" t="str">
        <f t="shared" si="121"/>
        <v/>
      </c>
      <c r="U498" s="25" t="str">
        <f t="shared" si="122"/>
        <v/>
      </c>
      <c r="V498" s="26" t="str">
        <f t="shared" si="123"/>
        <v/>
      </c>
      <c r="W498" s="26" t="str">
        <f t="shared" si="124"/>
        <v/>
      </c>
      <c r="X498" s="25" t="str">
        <f t="shared" si="125"/>
        <v/>
      </c>
      <c r="Y498" s="25" t="str">
        <f t="shared" si="126"/>
        <v/>
      </c>
      <c r="Z498" s="27" t="str">
        <f>IF($B498="","",IF($AK498&lt;=Settings!$C$21,"",IFERROR(AVERAGEIFS($S$4:$S$503,$B$4:$B$503,$B498,$AK$4:$AK$503,"&gt;="&amp;$AK498-Settings!$C$21,$AK$4:$AK$503,"&lt;="&amp;$AK498-1),"")))</f>
        <v/>
      </c>
      <c r="AA498" s="28" t="str">
        <f t="shared" si="127"/>
        <v/>
      </c>
      <c r="AB498" s="25" t="str">
        <f>IF($B498="","",IF($AK498&lt;=Settings!$C$22,"",IFERROR(AVERAGEIFS($K$4:$K$503,$B$4:$B$503,$B498,$AK$4:$AK$503,"&gt;="&amp;$AK498-Settings!$C$22,$AK$4:$AK$503,"&lt;="&amp;$AK498-1),"")))</f>
        <v/>
      </c>
      <c r="AC498" s="27" t="str">
        <f t="shared" si="128"/>
        <v/>
      </c>
      <c r="AD498" s="28" t="str">
        <f>IF($B498="","",IF($AK498&lt;=Settings!$C$23,"",IFERROR($E498/SUMIFS($E$4:$E$503,$B$4:$B$503,$B498,$AK$4:$AK$503,$AK498-Settings!$C$23)-1,"")))</f>
        <v/>
      </c>
      <c r="AE498" s="28" t="str">
        <f>IF($B498="","",IF($AK498&lt;=Settings!$C$22,"",IFERROR($E498/SUMIFS($E$4:$E$503,$B$4:$B$503,$B498,$AK$4:$AK$503,$AK498-Settings!$C$22)-1,"")))</f>
        <v/>
      </c>
      <c r="AF498" s="28" t="str">
        <f t="shared" si="129"/>
        <v/>
      </c>
      <c r="AG498" s="29" t="str">
        <f>IF($B498="","",ROUND((MIN(100,100*N($I498)/Settings!$C$27)+MIN(100,100*N($K498)/Settings!$C$28)+MIN(100,100*N($J498)/Settings!$C$29))/3,1))</f>
        <v/>
      </c>
      <c r="AH498" s="29" t="str">
        <f>IF($B498="","",IF(SUM(Settings!$C$32:$C$37)=0,"",ROUND((Settings!$C$32*$AO498+Settings!$C$33*$AP498+Settings!$C$34*$AQ498+Settings!$C$35*$AR498+Settings!$C$36*$AS498+Settings!$C$37*$AT498)/SUM(Settings!$C$32:$C$37),1)))</f>
        <v/>
      </c>
      <c r="AI498" s="29" t="str">
        <f>IF($B498="","",MAX(0,100-IF(N($N498)&gt;0,0,20)-IF(AND(N($L498)=0,N($M498)=0),15,0)-IF(N($J498)&gt;0,0,10)-IF(N($K498)&gt;0,0,10)-IF($Z498&lt;&gt;"",0,15)-IF($AB498&lt;&gt;"",0,10)-IF($R498="ERROR",20,IF($R498="WARNING",10,0))))</f>
        <v/>
      </c>
      <c r="AJ498" s="30" t="str">
        <f>IF($AH498="","",IF($AH498&lt;Settings!$C$46,"Extreme Sell Pressure",IF($AH498&lt;Settings!$C$47,"Sell Pressure",IF($AH498&lt;=Settings!$C$48,"Neutral",IF($AH498&lt;=Settings!$C$49,"Buy Pressure","Extreme Buy Pressure")))))</f>
        <v/>
      </c>
      <c r="AK498" s="30" t="str">
        <f t="shared" si="130"/>
        <v/>
      </c>
      <c r="AL498" s="30" t="str">
        <f t="shared" si="131"/>
        <v/>
      </c>
      <c r="AM498" s="30" t="str">
        <f t="shared" si="132"/>
        <v/>
      </c>
      <c r="AN498" s="30" t="str">
        <f t="shared" si="133"/>
        <v/>
      </c>
      <c r="AO498" s="29" t="str">
        <f>IF($B498="","",IF(AND(N($L498)=0,N($M498)=0),50,IF(N($M498)=0,100,IF(N($L498)=0,0,MEDIAN(0,100,50+50*LN($S498)/LN(Settings!$C$40))))))</f>
        <v/>
      </c>
      <c r="AP498" s="29">
        <f>IF($AA498="",50,MEDIAN(0,100,50+$AA498*100*Settings!$C$41))</f>
        <v>50</v>
      </c>
      <c r="AQ498" s="29">
        <f>IF($H498="",50,MEDIAN(0,100,50+$H498*100*Settings!$C$42))</f>
        <v>50</v>
      </c>
      <c r="AR498" s="29">
        <f>IF(OR($AC498="",$H498=""),50,MEDIAN(0,100,50+SIGN($H498)*50*MEDIAN(0,1,($AC498-1)/Settings!$C$43)))</f>
        <v>50</v>
      </c>
      <c r="AS498" s="29">
        <f>IF(OR($V498="",$W498=""),50,MEDIAN(0,100,50+50*($V498-$W498)/Settings!$C$44))</f>
        <v>50</v>
      </c>
      <c r="AT498" s="29">
        <f t="shared" si="134"/>
        <v>50</v>
      </c>
      <c r="AU498" s="30" t="str">
        <f t="shared" si="135"/>
        <v/>
      </c>
      <c r="AV498" s="87" t="str">
        <f>IF($A498="","",IF(COUNTIFS($A$4:$A498,$A498)=1,1,0))</f>
        <v/>
      </c>
    </row>
    <row r="499" spans="1:48" x14ac:dyDescent="0.3">
      <c r="A499" s="270"/>
      <c r="B499" s="271"/>
      <c r="C499" s="272"/>
      <c r="D499" s="272"/>
      <c r="E499" s="272"/>
      <c r="F499" s="272"/>
      <c r="G499" s="272"/>
      <c r="H499" s="268" t="str">
        <f t="shared" si="119"/>
        <v/>
      </c>
      <c r="I499" s="273"/>
      <c r="J499" s="273"/>
      <c r="K499" s="273"/>
      <c r="L499" s="273"/>
      <c r="M499" s="273"/>
      <c r="N499" s="273"/>
      <c r="O499" s="271"/>
      <c r="P499" s="270"/>
      <c r="Q499" s="271"/>
      <c r="R499" s="23" t="str" cm="1">
        <f t="array" ref="R499">IF($B499="","",IFERROR(IF(INDEX('Data Quality'!$U$4:$U$503,ROW()-3)=0,"PENDING",INDEX('Data Quality'!$U$4:$U$503,ROW()-3)),"PENDING"))</f>
        <v/>
      </c>
      <c r="S499" s="24" t="str">
        <f t="shared" si="120"/>
        <v/>
      </c>
      <c r="T499" s="25" t="str">
        <f t="shared" si="121"/>
        <v/>
      </c>
      <c r="U499" s="25" t="str">
        <f t="shared" si="122"/>
        <v/>
      </c>
      <c r="V499" s="26" t="str">
        <f t="shared" si="123"/>
        <v/>
      </c>
      <c r="W499" s="26" t="str">
        <f t="shared" si="124"/>
        <v/>
      </c>
      <c r="X499" s="25" t="str">
        <f t="shared" si="125"/>
        <v/>
      </c>
      <c r="Y499" s="25" t="str">
        <f t="shared" si="126"/>
        <v/>
      </c>
      <c r="Z499" s="27" t="str">
        <f>IF($B499="","",IF($AK499&lt;=Settings!$C$21,"",IFERROR(AVERAGEIFS($S$4:$S$503,$B$4:$B$503,$B499,$AK$4:$AK$503,"&gt;="&amp;$AK499-Settings!$C$21,$AK$4:$AK$503,"&lt;="&amp;$AK499-1),"")))</f>
        <v/>
      </c>
      <c r="AA499" s="28" t="str">
        <f t="shared" si="127"/>
        <v/>
      </c>
      <c r="AB499" s="25" t="str">
        <f>IF($B499="","",IF($AK499&lt;=Settings!$C$22,"",IFERROR(AVERAGEIFS($K$4:$K$503,$B$4:$B$503,$B499,$AK$4:$AK$503,"&gt;="&amp;$AK499-Settings!$C$22,$AK$4:$AK$503,"&lt;="&amp;$AK499-1),"")))</f>
        <v/>
      </c>
      <c r="AC499" s="27" t="str">
        <f t="shared" si="128"/>
        <v/>
      </c>
      <c r="AD499" s="28" t="str">
        <f>IF($B499="","",IF($AK499&lt;=Settings!$C$23,"",IFERROR($E499/SUMIFS($E$4:$E$503,$B$4:$B$503,$B499,$AK$4:$AK$503,$AK499-Settings!$C$23)-1,"")))</f>
        <v/>
      </c>
      <c r="AE499" s="28" t="str">
        <f>IF($B499="","",IF($AK499&lt;=Settings!$C$22,"",IFERROR($E499/SUMIFS($E$4:$E$503,$B$4:$B$503,$B499,$AK$4:$AK$503,$AK499-Settings!$C$22)-1,"")))</f>
        <v/>
      </c>
      <c r="AF499" s="28" t="str">
        <f t="shared" si="129"/>
        <v/>
      </c>
      <c r="AG499" s="29" t="str">
        <f>IF($B499="","",ROUND((MIN(100,100*N($I499)/Settings!$C$27)+MIN(100,100*N($K499)/Settings!$C$28)+MIN(100,100*N($J499)/Settings!$C$29))/3,1))</f>
        <v/>
      </c>
      <c r="AH499" s="29" t="str">
        <f>IF($B499="","",IF(SUM(Settings!$C$32:$C$37)=0,"",ROUND((Settings!$C$32*$AO499+Settings!$C$33*$AP499+Settings!$C$34*$AQ499+Settings!$C$35*$AR499+Settings!$C$36*$AS499+Settings!$C$37*$AT499)/SUM(Settings!$C$32:$C$37),1)))</f>
        <v/>
      </c>
      <c r="AI499" s="29" t="str">
        <f>IF($B499="","",MAX(0,100-IF(N($N499)&gt;0,0,20)-IF(AND(N($L499)=0,N($M499)=0),15,0)-IF(N($J499)&gt;0,0,10)-IF(N($K499)&gt;0,0,10)-IF($Z499&lt;&gt;"",0,15)-IF($AB499&lt;&gt;"",0,10)-IF($R499="ERROR",20,IF($R499="WARNING",10,0))))</f>
        <v/>
      </c>
      <c r="AJ499" s="30" t="str">
        <f>IF($AH499="","",IF($AH499&lt;Settings!$C$46,"Extreme Sell Pressure",IF($AH499&lt;Settings!$C$47,"Sell Pressure",IF($AH499&lt;=Settings!$C$48,"Neutral",IF($AH499&lt;=Settings!$C$49,"Buy Pressure","Extreme Buy Pressure")))))</f>
        <v/>
      </c>
      <c r="AK499" s="30" t="str">
        <f t="shared" si="130"/>
        <v/>
      </c>
      <c r="AL499" s="30" t="str">
        <f t="shared" si="131"/>
        <v/>
      </c>
      <c r="AM499" s="30" t="str">
        <f t="shared" si="132"/>
        <v/>
      </c>
      <c r="AN499" s="30" t="str">
        <f t="shared" si="133"/>
        <v/>
      </c>
      <c r="AO499" s="29" t="str">
        <f>IF($B499="","",IF(AND(N($L499)=0,N($M499)=0),50,IF(N($M499)=0,100,IF(N($L499)=0,0,MEDIAN(0,100,50+50*LN($S499)/LN(Settings!$C$40))))))</f>
        <v/>
      </c>
      <c r="AP499" s="29">
        <f>IF($AA499="",50,MEDIAN(0,100,50+$AA499*100*Settings!$C$41))</f>
        <v>50</v>
      </c>
      <c r="AQ499" s="29">
        <f>IF($H499="",50,MEDIAN(0,100,50+$H499*100*Settings!$C$42))</f>
        <v>50</v>
      </c>
      <c r="AR499" s="29">
        <f>IF(OR($AC499="",$H499=""),50,MEDIAN(0,100,50+SIGN($H499)*50*MEDIAN(0,1,($AC499-1)/Settings!$C$43)))</f>
        <v>50</v>
      </c>
      <c r="AS499" s="29">
        <f>IF(OR($V499="",$W499=""),50,MEDIAN(0,100,50+50*($V499-$W499)/Settings!$C$44))</f>
        <v>50</v>
      </c>
      <c r="AT499" s="29">
        <f t="shared" si="134"/>
        <v>50</v>
      </c>
      <c r="AU499" s="30" t="str">
        <f t="shared" si="135"/>
        <v/>
      </c>
      <c r="AV499" s="87" t="str">
        <f>IF($A499="","",IF(COUNTIFS($A$4:$A499,$A499)=1,1,0))</f>
        <v/>
      </c>
    </row>
    <row r="500" spans="1:48" x14ac:dyDescent="0.3">
      <c r="A500" s="270"/>
      <c r="B500" s="271"/>
      <c r="C500" s="272"/>
      <c r="D500" s="272"/>
      <c r="E500" s="272"/>
      <c r="F500" s="272"/>
      <c r="G500" s="272"/>
      <c r="H500" s="268" t="str">
        <f t="shared" si="119"/>
        <v/>
      </c>
      <c r="I500" s="273"/>
      <c r="J500" s="273"/>
      <c r="K500" s="273"/>
      <c r="L500" s="273"/>
      <c r="M500" s="273"/>
      <c r="N500" s="273"/>
      <c r="O500" s="271"/>
      <c r="P500" s="270"/>
      <c r="Q500" s="271"/>
      <c r="R500" s="23" t="str" cm="1">
        <f t="array" ref="R500">IF($B500="","",IFERROR(IF(INDEX('Data Quality'!$U$4:$U$503,ROW()-3)=0,"PENDING",INDEX('Data Quality'!$U$4:$U$503,ROW()-3)),"PENDING"))</f>
        <v/>
      </c>
      <c r="S500" s="24" t="str">
        <f t="shared" si="120"/>
        <v/>
      </c>
      <c r="T500" s="25" t="str">
        <f t="shared" si="121"/>
        <v/>
      </c>
      <c r="U500" s="25" t="str">
        <f t="shared" si="122"/>
        <v/>
      </c>
      <c r="V500" s="26" t="str">
        <f t="shared" si="123"/>
        <v/>
      </c>
      <c r="W500" s="26" t="str">
        <f t="shared" si="124"/>
        <v/>
      </c>
      <c r="X500" s="25" t="str">
        <f t="shared" si="125"/>
        <v/>
      </c>
      <c r="Y500" s="25" t="str">
        <f t="shared" si="126"/>
        <v/>
      </c>
      <c r="Z500" s="27" t="str">
        <f>IF($B500="","",IF($AK500&lt;=Settings!$C$21,"",IFERROR(AVERAGEIFS($S$4:$S$503,$B$4:$B$503,$B500,$AK$4:$AK$503,"&gt;="&amp;$AK500-Settings!$C$21,$AK$4:$AK$503,"&lt;="&amp;$AK500-1),"")))</f>
        <v/>
      </c>
      <c r="AA500" s="28" t="str">
        <f t="shared" si="127"/>
        <v/>
      </c>
      <c r="AB500" s="25" t="str">
        <f>IF($B500="","",IF($AK500&lt;=Settings!$C$22,"",IFERROR(AVERAGEIFS($K$4:$K$503,$B$4:$B$503,$B500,$AK$4:$AK$503,"&gt;="&amp;$AK500-Settings!$C$22,$AK$4:$AK$503,"&lt;="&amp;$AK500-1),"")))</f>
        <v/>
      </c>
      <c r="AC500" s="27" t="str">
        <f t="shared" si="128"/>
        <v/>
      </c>
      <c r="AD500" s="28" t="str">
        <f>IF($B500="","",IF($AK500&lt;=Settings!$C$23,"",IFERROR($E500/SUMIFS($E$4:$E$503,$B$4:$B$503,$B500,$AK$4:$AK$503,$AK500-Settings!$C$23)-1,"")))</f>
        <v/>
      </c>
      <c r="AE500" s="28" t="str">
        <f>IF($B500="","",IF($AK500&lt;=Settings!$C$22,"",IFERROR($E500/SUMIFS($E$4:$E$503,$B$4:$B$503,$B500,$AK$4:$AK$503,$AK500-Settings!$C$22)-1,"")))</f>
        <v/>
      </c>
      <c r="AF500" s="28" t="str">
        <f t="shared" si="129"/>
        <v/>
      </c>
      <c r="AG500" s="29" t="str">
        <f>IF($B500="","",ROUND((MIN(100,100*N($I500)/Settings!$C$27)+MIN(100,100*N($K500)/Settings!$C$28)+MIN(100,100*N($J500)/Settings!$C$29))/3,1))</f>
        <v/>
      </c>
      <c r="AH500" s="29" t="str">
        <f>IF($B500="","",IF(SUM(Settings!$C$32:$C$37)=0,"",ROUND((Settings!$C$32*$AO500+Settings!$C$33*$AP500+Settings!$C$34*$AQ500+Settings!$C$35*$AR500+Settings!$C$36*$AS500+Settings!$C$37*$AT500)/SUM(Settings!$C$32:$C$37),1)))</f>
        <v/>
      </c>
      <c r="AI500" s="29" t="str">
        <f>IF($B500="","",MAX(0,100-IF(N($N500)&gt;0,0,20)-IF(AND(N($L500)=0,N($M500)=0),15,0)-IF(N($J500)&gt;0,0,10)-IF(N($K500)&gt;0,0,10)-IF($Z500&lt;&gt;"",0,15)-IF($AB500&lt;&gt;"",0,10)-IF($R500="ERROR",20,IF($R500="WARNING",10,0))))</f>
        <v/>
      </c>
      <c r="AJ500" s="30" t="str">
        <f>IF($AH500="","",IF($AH500&lt;Settings!$C$46,"Extreme Sell Pressure",IF($AH500&lt;Settings!$C$47,"Sell Pressure",IF($AH500&lt;=Settings!$C$48,"Neutral",IF($AH500&lt;=Settings!$C$49,"Buy Pressure","Extreme Buy Pressure")))))</f>
        <v/>
      </c>
      <c r="AK500" s="30" t="str">
        <f t="shared" si="130"/>
        <v/>
      </c>
      <c r="AL500" s="30" t="str">
        <f t="shared" si="131"/>
        <v/>
      </c>
      <c r="AM500" s="30" t="str">
        <f t="shared" si="132"/>
        <v/>
      </c>
      <c r="AN500" s="30" t="str">
        <f t="shared" si="133"/>
        <v/>
      </c>
      <c r="AO500" s="29" t="str">
        <f>IF($B500="","",IF(AND(N($L500)=0,N($M500)=0),50,IF(N($M500)=0,100,IF(N($L500)=0,0,MEDIAN(0,100,50+50*LN($S500)/LN(Settings!$C$40))))))</f>
        <v/>
      </c>
      <c r="AP500" s="29">
        <f>IF($AA500="",50,MEDIAN(0,100,50+$AA500*100*Settings!$C$41))</f>
        <v>50</v>
      </c>
      <c r="AQ500" s="29">
        <f>IF($H500="",50,MEDIAN(0,100,50+$H500*100*Settings!$C$42))</f>
        <v>50</v>
      </c>
      <c r="AR500" s="29">
        <f>IF(OR($AC500="",$H500=""),50,MEDIAN(0,100,50+SIGN($H500)*50*MEDIAN(0,1,($AC500-1)/Settings!$C$43)))</f>
        <v>50</v>
      </c>
      <c r="AS500" s="29">
        <f>IF(OR($V500="",$W500=""),50,MEDIAN(0,100,50+50*($V500-$W500)/Settings!$C$44))</f>
        <v>50</v>
      </c>
      <c r="AT500" s="29">
        <f t="shared" si="134"/>
        <v>50</v>
      </c>
      <c r="AU500" s="30" t="str">
        <f t="shared" si="135"/>
        <v/>
      </c>
      <c r="AV500" s="87" t="str">
        <f>IF($A500="","",IF(COUNTIFS($A$4:$A500,$A500)=1,1,0))</f>
        <v/>
      </c>
    </row>
    <row r="501" spans="1:48" x14ac:dyDescent="0.3">
      <c r="A501" s="270"/>
      <c r="B501" s="271"/>
      <c r="C501" s="272"/>
      <c r="D501" s="272"/>
      <c r="E501" s="272"/>
      <c r="F501" s="272"/>
      <c r="G501" s="272"/>
      <c r="H501" s="268" t="str">
        <f t="shared" si="119"/>
        <v/>
      </c>
      <c r="I501" s="273"/>
      <c r="J501" s="273"/>
      <c r="K501" s="273"/>
      <c r="L501" s="273"/>
      <c r="M501" s="273"/>
      <c r="N501" s="273"/>
      <c r="O501" s="271"/>
      <c r="P501" s="270"/>
      <c r="Q501" s="271"/>
      <c r="R501" s="23" t="str" cm="1">
        <f t="array" ref="R501">IF($B501="","",IFERROR(IF(INDEX('Data Quality'!$U$4:$U$503,ROW()-3)=0,"PENDING",INDEX('Data Quality'!$U$4:$U$503,ROW()-3)),"PENDING"))</f>
        <v/>
      </c>
      <c r="S501" s="24" t="str">
        <f t="shared" si="120"/>
        <v/>
      </c>
      <c r="T501" s="25" t="str">
        <f t="shared" si="121"/>
        <v/>
      </c>
      <c r="U501" s="25" t="str">
        <f t="shared" si="122"/>
        <v/>
      </c>
      <c r="V501" s="26" t="str">
        <f t="shared" si="123"/>
        <v/>
      </c>
      <c r="W501" s="26" t="str">
        <f t="shared" si="124"/>
        <v/>
      </c>
      <c r="X501" s="25" t="str">
        <f t="shared" si="125"/>
        <v/>
      </c>
      <c r="Y501" s="25" t="str">
        <f t="shared" si="126"/>
        <v/>
      </c>
      <c r="Z501" s="27" t="str">
        <f>IF($B501="","",IF($AK501&lt;=Settings!$C$21,"",IFERROR(AVERAGEIFS($S$4:$S$503,$B$4:$B$503,$B501,$AK$4:$AK$503,"&gt;="&amp;$AK501-Settings!$C$21,$AK$4:$AK$503,"&lt;="&amp;$AK501-1),"")))</f>
        <v/>
      </c>
      <c r="AA501" s="28" t="str">
        <f t="shared" si="127"/>
        <v/>
      </c>
      <c r="AB501" s="25" t="str">
        <f>IF($B501="","",IF($AK501&lt;=Settings!$C$22,"",IFERROR(AVERAGEIFS($K$4:$K$503,$B$4:$B$503,$B501,$AK$4:$AK$503,"&gt;="&amp;$AK501-Settings!$C$22,$AK$4:$AK$503,"&lt;="&amp;$AK501-1),"")))</f>
        <v/>
      </c>
      <c r="AC501" s="27" t="str">
        <f t="shared" si="128"/>
        <v/>
      </c>
      <c r="AD501" s="28" t="str">
        <f>IF($B501="","",IF($AK501&lt;=Settings!$C$23,"",IFERROR($E501/SUMIFS($E$4:$E$503,$B$4:$B$503,$B501,$AK$4:$AK$503,$AK501-Settings!$C$23)-1,"")))</f>
        <v/>
      </c>
      <c r="AE501" s="28" t="str">
        <f>IF($B501="","",IF($AK501&lt;=Settings!$C$22,"",IFERROR($E501/SUMIFS($E$4:$E$503,$B$4:$B$503,$B501,$AK$4:$AK$503,$AK501-Settings!$C$22)-1,"")))</f>
        <v/>
      </c>
      <c r="AF501" s="28" t="str">
        <f t="shared" si="129"/>
        <v/>
      </c>
      <c r="AG501" s="29" t="str">
        <f>IF($B501="","",ROUND((MIN(100,100*N($I501)/Settings!$C$27)+MIN(100,100*N($K501)/Settings!$C$28)+MIN(100,100*N($J501)/Settings!$C$29))/3,1))</f>
        <v/>
      </c>
      <c r="AH501" s="29" t="str">
        <f>IF($B501="","",IF(SUM(Settings!$C$32:$C$37)=0,"",ROUND((Settings!$C$32*$AO501+Settings!$C$33*$AP501+Settings!$C$34*$AQ501+Settings!$C$35*$AR501+Settings!$C$36*$AS501+Settings!$C$37*$AT501)/SUM(Settings!$C$32:$C$37),1)))</f>
        <v/>
      </c>
      <c r="AI501" s="29" t="str">
        <f>IF($B501="","",MAX(0,100-IF(N($N501)&gt;0,0,20)-IF(AND(N($L501)=0,N($M501)=0),15,0)-IF(N($J501)&gt;0,0,10)-IF(N($K501)&gt;0,0,10)-IF($Z501&lt;&gt;"",0,15)-IF($AB501&lt;&gt;"",0,10)-IF($R501="ERROR",20,IF($R501="WARNING",10,0))))</f>
        <v/>
      </c>
      <c r="AJ501" s="30" t="str">
        <f>IF($AH501="","",IF($AH501&lt;Settings!$C$46,"Extreme Sell Pressure",IF($AH501&lt;Settings!$C$47,"Sell Pressure",IF($AH501&lt;=Settings!$C$48,"Neutral",IF($AH501&lt;=Settings!$C$49,"Buy Pressure","Extreme Buy Pressure")))))</f>
        <v/>
      </c>
      <c r="AK501" s="30" t="str">
        <f t="shared" si="130"/>
        <v/>
      </c>
      <c r="AL501" s="30" t="str">
        <f t="shared" si="131"/>
        <v/>
      </c>
      <c r="AM501" s="30" t="str">
        <f t="shared" si="132"/>
        <v/>
      </c>
      <c r="AN501" s="30" t="str">
        <f t="shared" si="133"/>
        <v/>
      </c>
      <c r="AO501" s="29" t="str">
        <f>IF($B501="","",IF(AND(N($L501)=0,N($M501)=0),50,IF(N($M501)=0,100,IF(N($L501)=0,0,MEDIAN(0,100,50+50*LN($S501)/LN(Settings!$C$40))))))</f>
        <v/>
      </c>
      <c r="AP501" s="29">
        <f>IF($AA501="",50,MEDIAN(0,100,50+$AA501*100*Settings!$C$41))</f>
        <v>50</v>
      </c>
      <c r="AQ501" s="29">
        <f>IF($H501="",50,MEDIAN(0,100,50+$H501*100*Settings!$C$42))</f>
        <v>50</v>
      </c>
      <c r="AR501" s="29">
        <f>IF(OR($AC501="",$H501=""),50,MEDIAN(0,100,50+SIGN($H501)*50*MEDIAN(0,1,($AC501-1)/Settings!$C$43)))</f>
        <v>50</v>
      </c>
      <c r="AS501" s="29">
        <f>IF(OR($V501="",$W501=""),50,MEDIAN(0,100,50+50*($V501-$W501)/Settings!$C$44))</f>
        <v>50</v>
      </c>
      <c r="AT501" s="29">
        <f t="shared" si="134"/>
        <v>50</v>
      </c>
      <c r="AU501" s="30" t="str">
        <f t="shared" si="135"/>
        <v/>
      </c>
      <c r="AV501" s="87" t="str">
        <f>IF($A501="","",IF(COUNTIFS($A$4:$A501,$A501)=1,1,0))</f>
        <v/>
      </c>
    </row>
    <row r="502" spans="1:48" x14ac:dyDescent="0.3">
      <c r="A502" s="270"/>
      <c r="B502" s="271"/>
      <c r="C502" s="272"/>
      <c r="D502" s="272"/>
      <c r="E502" s="272"/>
      <c r="F502" s="272"/>
      <c r="G502" s="272"/>
      <c r="H502" s="268" t="str">
        <f t="shared" si="119"/>
        <v/>
      </c>
      <c r="I502" s="273"/>
      <c r="J502" s="273"/>
      <c r="K502" s="273"/>
      <c r="L502" s="273"/>
      <c r="M502" s="273"/>
      <c r="N502" s="273"/>
      <c r="O502" s="271"/>
      <c r="P502" s="270"/>
      <c r="Q502" s="271"/>
      <c r="R502" s="23" t="str" cm="1">
        <f t="array" ref="R502">IF($B502="","",IFERROR(IF(INDEX('Data Quality'!$U$4:$U$503,ROW()-3)=0,"PENDING",INDEX('Data Quality'!$U$4:$U$503,ROW()-3)),"PENDING"))</f>
        <v/>
      </c>
      <c r="S502" s="24" t="str">
        <f t="shared" si="120"/>
        <v/>
      </c>
      <c r="T502" s="25" t="str">
        <f t="shared" si="121"/>
        <v/>
      </c>
      <c r="U502" s="25" t="str">
        <f t="shared" si="122"/>
        <v/>
      </c>
      <c r="V502" s="26" t="str">
        <f t="shared" si="123"/>
        <v/>
      </c>
      <c r="W502" s="26" t="str">
        <f t="shared" si="124"/>
        <v/>
      </c>
      <c r="X502" s="25" t="str">
        <f t="shared" si="125"/>
        <v/>
      </c>
      <c r="Y502" s="25" t="str">
        <f t="shared" si="126"/>
        <v/>
      </c>
      <c r="Z502" s="27" t="str">
        <f>IF($B502="","",IF($AK502&lt;=Settings!$C$21,"",IFERROR(AVERAGEIFS($S$4:$S$503,$B$4:$B$503,$B502,$AK$4:$AK$503,"&gt;="&amp;$AK502-Settings!$C$21,$AK$4:$AK$503,"&lt;="&amp;$AK502-1),"")))</f>
        <v/>
      </c>
      <c r="AA502" s="28" t="str">
        <f t="shared" si="127"/>
        <v/>
      </c>
      <c r="AB502" s="25" t="str">
        <f>IF($B502="","",IF($AK502&lt;=Settings!$C$22,"",IFERROR(AVERAGEIFS($K$4:$K$503,$B$4:$B$503,$B502,$AK$4:$AK$503,"&gt;="&amp;$AK502-Settings!$C$22,$AK$4:$AK$503,"&lt;="&amp;$AK502-1),"")))</f>
        <v/>
      </c>
      <c r="AC502" s="27" t="str">
        <f t="shared" si="128"/>
        <v/>
      </c>
      <c r="AD502" s="28" t="str">
        <f>IF($B502="","",IF($AK502&lt;=Settings!$C$23,"",IFERROR($E502/SUMIFS($E$4:$E$503,$B$4:$B$503,$B502,$AK$4:$AK$503,$AK502-Settings!$C$23)-1,"")))</f>
        <v/>
      </c>
      <c r="AE502" s="28" t="str">
        <f>IF($B502="","",IF($AK502&lt;=Settings!$C$22,"",IFERROR($E502/SUMIFS($E$4:$E$503,$B$4:$B$503,$B502,$AK$4:$AK$503,$AK502-Settings!$C$22)-1,"")))</f>
        <v/>
      </c>
      <c r="AF502" s="28" t="str">
        <f t="shared" si="129"/>
        <v/>
      </c>
      <c r="AG502" s="29" t="str">
        <f>IF($B502="","",ROUND((MIN(100,100*N($I502)/Settings!$C$27)+MIN(100,100*N($K502)/Settings!$C$28)+MIN(100,100*N($J502)/Settings!$C$29))/3,1))</f>
        <v/>
      </c>
      <c r="AH502" s="29" t="str">
        <f>IF($B502="","",IF(SUM(Settings!$C$32:$C$37)=0,"",ROUND((Settings!$C$32*$AO502+Settings!$C$33*$AP502+Settings!$C$34*$AQ502+Settings!$C$35*$AR502+Settings!$C$36*$AS502+Settings!$C$37*$AT502)/SUM(Settings!$C$32:$C$37),1)))</f>
        <v/>
      </c>
      <c r="AI502" s="29" t="str">
        <f>IF($B502="","",MAX(0,100-IF(N($N502)&gt;0,0,20)-IF(AND(N($L502)=0,N($M502)=0),15,0)-IF(N($J502)&gt;0,0,10)-IF(N($K502)&gt;0,0,10)-IF($Z502&lt;&gt;"",0,15)-IF($AB502&lt;&gt;"",0,10)-IF($R502="ERROR",20,IF($R502="WARNING",10,0))))</f>
        <v/>
      </c>
      <c r="AJ502" s="30" t="str">
        <f>IF($AH502="","",IF($AH502&lt;Settings!$C$46,"Extreme Sell Pressure",IF($AH502&lt;Settings!$C$47,"Sell Pressure",IF($AH502&lt;=Settings!$C$48,"Neutral",IF($AH502&lt;=Settings!$C$49,"Buy Pressure","Extreme Buy Pressure")))))</f>
        <v/>
      </c>
      <c r="AK502" s="30" t="str">
        <f t="shared" si="130"/>
        <v/>
      </c>
      <c r="AL502" s="30" t="str">
        <f t="shared" si="131"/>
        <v/>
      </c>
      <c r="AM502" s="30" t="str">
        <f t="shared" si="132"/>
        <v/>
      </c>
      <c r="AN502" s="30" t="str">
        <f t="shared" si="133"/>
        <v/>
      </c>
      <c r="AO502" s="29" t="str">
        <f>IF($B502="","",IF(AND(N($L502)=0,N($M502)=0),50,IF(N($M502)=0,100,IF(N($L502)=0,0,MEDIAN(0,100,50+50*LN($S502)/LN(Settings!$C$40))))))</f>
        <v/>
      </c>
      <c r="AP502" s="29">
        <f>IF($AA502="",50,MEDIAN(0,100,50+$AA502*100*Settings!$C$41))</f>
        <v>50</v>
      </c>
      <c r="AQ502" s="29">
        <f>IF($H502="",50,MEDIAN(0,100,50+$H502*100*Settings!$C$42))</f>
        <v>50</v>
      </c>
      <c r="AR502" s="29">
        <f>IF(OR($AC502="",$H502=""),50,MEDIAN(0,100,50+SIGN($H502)*50*MEDIAN(0,1,($AC502-1)/Settings!$C$43)))</f>
        <v>50</v>
      </c>
      <c r="AS502" s="29">
        <f>IF(OR($V502="",$W502=""),50,MEDIAN(0,100,50+50*($V502-$W502)/Settings!$C$44))</f>
        <v>50</v>
      </c>
      <c r="AT502" s="29">
        <f t="shared" si="134"/>
        <v>50</v>
      </c>
      <c r="AU502" s="30" t="str">
        <f t="shared" si="135"/>
        <v/>
      </c>
      <c r="AV502" s="87" t="str">
        <f>IF($A502="","",IF(COUNTIFS($A$4:$A502,$A502)=1,1,0))</f>
        <v/>
      </c>
    </row>
    <row r="503" spans="1:48" x14ac:dyDescent="0.3">
      <c r="A503" s="270"/>
      <c r="B503" s="271"/>
      <c r="C503" s="272"/>
      <c r="D503" s="272"/>
      <c r="E503" s="272"/>
      <c r="F503" s="272"/>
      <c r="G503" s="272"/>
      <c r="H503" s="268" t="str">
        <f t="shared" si="119"/>
        <v/>
      </c>
      <c r="I503" s="273"/>
      <c r="J503" s="273"/>
      <c r="K503" s="273"/>
      <c r="L503" s="273"/>
      <c r="M503" s="273"/>
      <c r="N503" s="273"/>
      <c r="O503" s="271"/>
      <c r="P503" s="270"/>
      <c r="Q503" s="271"/>
      <c r="R503" s="23" t="str" cm="1">
        <f t="array" ref="R503">IF($B503="","",IFERROR(IF(INDEX('Data Quality'!$U$4:$U$503,ROW()-3)=0,"PENDING",INDEX('Data Quality'!$U$4:$U$503,ROW()-3)),"PENDING"))</f>
        <v/>
      </c>
      <c r="S503" s="24" t="str">
        <f t="shared" si="120"/>
        <v/>
      </c>
      <c r="T503" s="25" t="str">
        <f t="shared" si="121"/>
        <v/>
      </c>
      <c r="U503" s="25" t="str">
        <f t="shared" si="122"/>
        <v/>
      </c>
      <c r="V503" s="26" t="str">
        <f t="shared" si="123"/>
        <v/>
      </c>
      <c r="W503" s="26" t="str">
        <f t="shared" si="124"/>
        <v/>
      </c>
      <c r="X503" s="25" t="str">
        <f t="shared" si="125"/>
        <v/>
      </c>
      <c r="Y503" s="25" t="str">
        <f t="shared" si="126"/>
        <v/>
      </c>
      <c r="Z503" s="27" t="str">
        <f>IF($B503="","",IF($AK503&lt;=Settings!$C$21,"",IFERROR(AVERAGEIFS($S$4:$S$503,$B$4:$B$503,$B503,$AK$4:$AK$503,"&gt;="&amp;$AK503-Settings!$C$21,$AK$4:$AK$503,"&lt;="&amp;$AK503-1),"")))</f>
        <v/>
      </c>
      <c r="AA503" s="28" t="str">
        <f t="shared" si="127"/>
        <v/>
      </c>
      <c r="AB503" s="25" t="str">
        <f>IF($B503="","",IF($AK503&lt;=Settings!$C$22,"",IFERROR(AVERAGEIFS($K$4:$K$503,$B$4:$B$503,$B503,$AK$4:$AK$503,"&gt;="&amp;$AK503-Settings!$C$22,$AK$4:$AK$503,"&lt;="&amp;$AK503-1),"")))</f>
        <v/>
      </c>
      <c r="AC503" s="27" t="str">
        <f t="shared" si="128"/>
        <v/>
      </c>
      <c r="AD503" s="28" t="str">
        <f>IF($B503="","",IF($AK503&lt;=Settings!$C$23,"",IFERROR($E503/SUMIFS($E$4:$E$503,$B$4:$B$503,$B503,$AK$4:$AK$503,$AK503-Settings!$C$23)-1,"")))</f>
        <v/>
      </c>
      <c r="AE503" s="28" t="str">
        <f>IF($B503="","",IF($AK503&lt;=Settings!$C$22,"",IFERROR($E503/SUMIFS($E$4:$E$503,$B$4:$B$503,$B503,$AK$4:$AK$503,$AK503-Settings!$C$22)-1,"")))</f>
        <v/>
      </c>
      <c r="AF503" s="28" t="str">
        <f t="shared" si="129"/>
        <v/>
      </c>
      <c r="AG503" s="29" t="str">
        <f>IF($B503="","",ROUND((MIN(100,100*N($I503)/Settings!$C$27)+MIN(100,100*N($K503)/Settings!$C$28)+MIN(100,100*N($J503)/Settings!$C$29))/3,1))</f>
        <v/>
      </c>
      <c r="AH503" s="29" t="str">
        <f>IF($B503="","",IF(SUM(Settings!$C$32:$C$37)=0,"",ROUND((Settings!$C$32*$AO503+Settings!$C$33*$AP503+Settings!$C$34*$AQ503+Settings!$C$35*$AR503+Settings!$C$36*$AS503+Settings!$C$37*$AT503)/SUM(Settings!$C$32:$C$37),1)))</f>
        <v/>
      </c>
      <c r="AI503" s="29" t="str">
        <f>IF($B503="","",MAX(0,100-IF(N($N503)&gt;0,0,20)-IF(AND(N($L503)=0,N($M503)=0),15,0)-IF(N($J503)&gt;0,0,10)-IF(N($K503)&gt;0,0,10)-IF($Z503&lt;&gt;"",0,15)-IF($AB503&lt;&gt;"",0,10)-IF($R503="ERROR",20,IF($R503="WARNING",10,0))))</f>
        <v/>
      </c>
      <c r="AJ503" s="30" t="str">
        <f>IF($AH503="","",IF($AH503&lt;Settings!$C$46,"Extreme Sell Pressure",IF($AH503&lt;Settings!$C$47,"Sell Pressure",IF($AH503&lt;=Settings!$C$48,"Neutral",IF($AH503&lt;=Settings!$C$49,"Buy Pressure","Extreme Buy Pressure")))))</f>
        <v/>
      </c>
      <c r="AK503" s="30" t="str">
        <f t="shared" si="130"/>
        <v/>
      </c>
      <c r="AL503" s="30" t="str">
        <f t="shared" si="131"/>
        <v/>
      </c>
      <c r="AM503" s="30" t="str">
        <f t="shared" si="132"/>
        <v/>
      </c>
      <c r="AN503" s="30" t="str">
        <f t="shared" si="133"/>
        <v/>
      </c>
      <c r="AO503" s="29" t="str">
        <f>IF($B503="","",IF(AND(N($L503)=0,N($M503)=0),50,IF(N($M503)=0,100,IF(N($L503)=0,0,MEDIAN(0,100,50+50*LN($S503)/LN(Settings!$C$40))))))</f>
        <v/>
      </c>
      <c r="AP503" s="29">
        <f>IF($AA503="",50,MEDIAN(0,100,50+$AA503*100*Settings!$C$41))</f>
        <v>50</v>
      </c>
      <c r="AQ503" s="29">
        <f>IF($H503="",50,MEDIAN(0,100,50+$H503*100*Settings!$C$42))</f>
        <v>50</v>
      </c>
      <c r="AR503" s="29">
        <f>IF(OR($AC503="",$H503=""),50,MEDIAN(0,100,50+SIGN($H503)*50*MEDIAN(0,1,($AC503-1)/Settings!$C$43)))</f>
        <v>50</v>
      </c>
      <c r="AS503" s="29">
        <f>IF(OR($V503="",$W503=""),50,MEDIAN(0,100,50+50*($V503-$W503)/Settings!$C$44))</f>
        <v>50</v>
      </c>
      <c r="AT503" s="29">
        <f t="shared" si="134"/>
        <v>50</v>
      </c>
      <c r="AU503" s="30" t="str">
        <f t="shared" si="135"/>
        <v/>
      </c>
      <c r="AV503" s="87" t="str">
        <f>IF($A503="","",IF(COUNTIFS($A$4:$A503,$A503)=1,1,0))</f>
        <v/>
      </c>
    </row>
  </sheetData>
  <sheetProtection algorithmName="SHA-512" hashValue="t0AiE8HQKZrhhUXURwrHmokx2Xm8SMBMCjmdcj2dfYaGwzYsBcvTA4GxP3hvKcSDBHxAiS7VYOBPjGr3RfqGjw==" saltValue="7DSSEqcOFPi8CfmO5SVQBA==" spinCount="100000" sheet="1" objects="1" scenarios="1" sort="0" autoFilter="0"/>
  <mergeCells count="1">
    <mergeCell ref="E1:R1"/>
  </mergeCells>
  <conditionalFormatting sqref="H4:H503">
    <cfRule type="cellIs" dxfId="92" priority="1" operator="greaterThan">
      <formula>0</formula>
    </cfRule>
  </conditionalFormatting>
  <conditionalFormatting sqref="H4:H503">
    <cfRule type="cellIs" dxfId="91" priority="2" operator="lessThan">
      <formula>0</formula>
    </cfRule>
  </conditionalFormatting>
  <conditionalFormatting sqref="AH4:AH503">
    <cfRule type="colorScale" priority="3">
      <colorScale>
        <cfvo type="num" val="0"/>
        <cfvo type="num" val="50"/>
        <cfvo type="num" val="100"/>
        <color rgb="FFE8A6A0"/>
        <color rgb="FFFFF2CC"/>
        <color rgb="FFA9D5B2"/>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8A9FE-C1EF-4933-9847-134B311B3052}">
  <dimension ref="A1:P28"/>
  <sheetViews>
    <sheetView workbookViewId="0">
      <pane ySplit="4" topLeftCell="A5" activePane="bottomLeft" state="frozen"/>
      <selection pane="bottomLeft"/>
    </sheetView>
  </sheetViews>
  <sheetFormatPr defaultRowHeight="14.4" x14ac:dyDescent="0.3"/>
  <cols>
    <col min="1" max="1" width="3.6640625" customWidth="1"/>
    <col min="2" max="2" width="42.5546875" customWidth="1"/>
    <col min="3" max="3" width="24.109375" customWidth="1"/>
    <col min="4" max="4" width="25.88671875" customWidth="1"/>
    <col min="5" max="5" width="3.6640625" customWidth="1"/>
    <col min="6" max="6" width="17.5546875" customWidth="1"/>
    <col min="7" max="7" width="24.109375" customWidth="1"/>
    <col min="8" max="8" width="3.6640625" customWidth="1"/>
    <col min="9" max="9" width="17.5546875" customWidth="1"/>
    <col min="10" max="10" width="24.109375" customWidth="1"/>
    <col min="11" max="11" width="3.6640625" customWidth="1"/>
    <col min="12" max="12" width="17.5546875" customWidth="1"/>
    <col min="13" max="13" width="24.109375" customWidth="1"/>
    <col min="14" max="14" width="3.6640625" customWidth="1"/>
    <col min="15" max="15" width="17.5546875" customWidth="1"/>
    <col min="16" max="16" width="24.109375" customWidth="1"/>
  </cols>
  <sheetData>
    <row r="1" spans="1:16" ht="21" x14ac:dyDescent="0.4">
      <c r="A1" s="14" t="s">
        <v>193</v>
      </c>
    </row>
    <row r="2" spans="1:16" x14ac:dyDescent="0.3">
      <c r="A2" s="2" t="s">
        <v>194</v>
      </c>
    </row>
    <row r="4" spans="1:16" x14ac:dyDescent="0.3">
      <c r="B4" s="32" t="s">
        <v>195</v>
      </c>
      <c r="C4" s="35">
        <f>Settings!$C$13</f>
        <v>46248</v>
      </c>
      <c r="D4" s="2" t="s">
        <v>196</v>
      </c>
    </row>
    <row r="5" spans="1:16" x14ac:dyDescent="0.3">
      <c r="B5" s="7" t="s">
        <v>197</v>
      </c>
      <c r="C5" s="17" t="s">
        <v>3</v>
      </c>
      <c r="D5" s="44"/>
      <c r="F5" s="7" t="s">
        <v>220</v>
      </c>
      <c r="G5" s="7"/>
      <c r="I5" s="7" t="s">
        <v>222</v>
      </c>
      <c r="J5" s="7"/>
      <c r="L5" s="7" t="s">
        <v>223</v>
      </c>
      <c r="M5" s="7"/>
      <c r="O5" s="7" t="s">
        <v>224</v>
      </c>
      <c r="P5" s="7"/>
    </row>
    <row r="6" spans="1:16" x14ac:dyDescent="0.3">
      <c r="B6" s="9" t="s">
        <v>198</v>
      </c>
      <c r="C6" s="39">
        <f>SUMIFS('Daily Data'!$I$4:$I$503,'Daily Data'!$A$4:$A$503,$C$4)</f>
        <v>7277674125</v>
      </c>
      <c r="D6" s="9"/>
      <c r="F6" s="37" t="s">
        <v>96</v>
      </c>
      <c r="G6" s="37" t="s">
        <v>221</v>
      </c>
      <c r="I6" s="37" t="s">
        <v>96</v>
      </c>
      <c r="J6" s="37" t="s">
        <v>156</v>
      </c>
      <c r="L6" s="37" t="s">
        <v>96</v>
      </c>
      <c r="M6" s="37" t="s">
        <v>153</v>
      </c>
      <c r="O6" s="37" t="s">
        <v>96</v>
      </c>
      <c r="P6" s="37" t="s">
        <v>153</v>
      </c>
    </row>
    <row r="7" spans="1:16" x14ac:dyDescent="0.3">
      <c r="B7" s="9" t="s">
        <v>199</v>
      </c>
      <c r="C7" s="39">
        <f>SUMIFS('Daily Data'!$K$4:$K$503,'Daily Data'!$A$4:$A$503,$C$4)</f>
        <v>1598388</v>
      </c>
      <c r="D7" s="9"/>
      <c r="F7" s="38" t="str" cm="1">
        <f t="array" ref="F7">IFERROR(INDEX(_xlfn._xlws.FILTER('Daily Data'!$B$4:$B$503,'Daily Data'!$A$4:$A$503=$C$4),MATCH($G7,_xlfn._xlws.FILTER('Daily Data'!$I$4:$I$503,'Daily Data'!$A$4:$A$503=$C$4),0)),"")</f>
        <v>NMB</v>
      </c>
      <c r="G7" s="39" cm="1">
        <f t="array" ref="G7">IFERROR(LARGE(_xlfn._xlws.FILTER('Daily Data'!$I$4:$I$503,'Daily Data'!$A$4:$A$503=$C$4),ROW()-6),"")</f>
        <v>3582788330</v>
      </c>
      <c r="I7" s="38" t="str" cm="1">
        <f t="array" ref="I7">IFERROR(INDEX(_xlfn._xlws.FILTER('Daily Data'!$B$4:$B$503,'Daily Data'!$A$4:$A$503=$C$4),MATCH($J7,_xlfn._xlws.FILTER('Daily Data'!$K$4:$K$503,'Daily Data'!$A$4:$A$503=$C$4),0)),"")</f>
        <v>CRDB</v>
      </c>
      <c r="J7" s="39" cm="1">
        <f t="array" ref="J7">IFERROR(LARGE(_xlfn._xlws.FILTER('Daily Data'!$K$4:$K$503,'Daily Data'!$A$4:$A$503=$C$4),ROW()-6),"")</f>
        <v>390325</v>
      </c>
      <c r="L7" s="38" t="str" cm="1">
        <f t="array" ref="L7">IFERROR(INDEX(_xlfn._xlws.FILTER('Daily Data'!$B$4:$B$503,'Daily Data'!$A$4:$A$503=$C$4),MATCH($M7,_xlfn._xlws.FILTER('Daily Data'!$H$4:$H$503,'Daily Data'!$A$4:$A$503=$C$4),0)),"")</f>
        <v>DCB</v>
      </c>
      <c r="M7" s="42" cm="1">
        <f t="array" ref="M7">IFERROR(LARGE(_xlfn._xlws.FILTER('Daily Data'!$H$4:$H$503,'Daily Data'!$A$4:$A$503=$C$4),ROW()-6),"")</f>
        <v>0.10714285714285721</v>
      </c>
      <c r="O7" s="38" t="str" cm="1">
        <f t="array" ref="O7">IFERROR(INDEX(_xlfn._xlws.FILTER('Daily Data'!$B$4:$B$503,'Daily Data'!$A$4:$A$503=$C$4),MATCH($P7,_xlfn._xlws.FILTER('Daily Data'!$H$4:$H$503,'Daily Data'!$A$4:$A$503=$C$4),0)),"")</f>
        <v>MCB</v>
      </c>
      <c r="P7" s="42" cm="1">
        <f t="array" ref="P7">IFERROR(SMALL(_xlfn._xlws.FILTER('Daily Data'!$H$4:$H$503,'Daily Data'!$A$4:$A$503=$C$4),ROW()-6),"")</f>
        <v>-7.9545454545454586E-2</v>
      </c>
    </row>
    <row r="8" spans="1:16" x14ac:dyDescent="0.3">
      <c r="B8" s="9" t="s">
        <v>200</v>
      </c>
      <c r="C8" s="39">
        <f>SUMIFS('Daily Data'!$J$4:$J$503,'Daily Data'!$A$4:$A$503,$C$4)</f>
        <v>3079</v>
      </c>
      <c r="D8" s="9"/>
      <c r="F8" s="38" t="str" cm="1">
        <f t="array" ref="F8">IFERROR(INDEX(_xlfn._xlws.FILTER('Daily Data'!$B$4:$B$503,'Daily Data'!$A$4:$A$503=$C$4),MATCH($G8,_xlfn._xlws.FILTER('Daily Data'!$I$4:$I$503,'Daily Data'!$A$4:$A$503=$C$4),0)),"")</f>
        <v>TPCC</v>
      </c>
      <c r="G8" s="39" cm="1">
        <f t="array" ref="G8">IFERROR(LARGE(_xlfn._xlws.FILTER('Daily Data'!$I$4:$I$503,'Daily Data'!$A$4:$A$503=$C$4),ROW()-6),"")</f>
        <v>1504962160</v>
      </c>
      <c r="I8" s="38" t="str" cm="1">
        <f t="array" ref="I8">IFERROR(INDEX(_xlfn._xlws.FILTER('Daily Data'!$B$4:$B$503,'Daily Data'!$A$4:$A$503=$C$4),MATCH($J8,_xlfn._xlws.FILTER('Daily Data'!$K$4:$K$503,'Daily Data'!$A$4:$A$503=$C$4),0)),"")</f>
        <v>TPCC</v>
      </c>
      <c r="J8" s="39" cm="1">
        <f t="array" ref="J8">IFERROR(LARGE(_xlfn._xlws.FILTER('Daily Data'!$K$4:$K$503,'Daily Data'!$A$4:$A$503=$C$4),ROW()-6),"")</f>
        <v>252884</v>
      </c>
      <c r="L8" s="38" t="str" cm="1">
        <f t="array" ref="L8">IFERROR(INDEX(_xlfn._xlws.FILTER('Daily Data'!$B$4:$B$503,'Daily Data'!$A$4:$A$503=$C$4),MATCH($M8,_xlfn._xlws.FILTER('Daily Data'!$H$4:$H$503,'Daily Data'!$A$4:$A$503=$C$4),0)),"")</f>
        <v>NICO</v>
      </c>
      <c r="M8" s="42" cm="1">
        <f t="array" ref="M8">IFERROR(LARGE(_xlfn._xlws.FILTER('Daily Data'!$H$4:$H$503,'Daily Data'!$A$4:$A$503=$C$4),ROW()-6),"")</f>
        <v>4.9450549450549497E-2</v>
      </c>
      <c r="O8" s="38" t="str" cm="1">
        <f t="array" ref="O8">IFERROR(INDEX(_xlfn._xlws.FILTER('Daily Data'!$B$4:$B$503,'Daily Data'!$A$4:$A$503=$C$4),MATCH($P8,_xlfn._xlws.FILTER('Daily Data'!$H$4:$H$503,'Daily Data'!$A$4:$A$503=$C$4),0)),"")</f>
        <v>MUCOBA</v>
      </c>
      <c r="P8" s="42" cm="1">
        <f t="array" ref="P8">IFERROR(SMALL(_xlfn._xlws.FILTER('Daily Data'!$H$4:$H$503,'Daily Data'!$A$4:$A$503=$C$4),ROW()-6),"")</f>
        <v>-2.1505376344086002E-2</v>
      </c>
    </row>
    <row r="9" spans="1:16" x14ac:dyDescent="0.3">
      <c r="B9" s="9" t="s">
        <v>201</v>
      </c>
      <c r="C9" s="45">
        <f>COUNTIFS('Daily Data'!$A$4:$A$503,$C$4,'Daily Data'!$K$4:$K$503,"&gt;0")</f>
        <v>22</v>
      </c>
      <c r="D9" s="9"/>
      <c r="F9" s="38" t="str" cm="1">
        <f t="array" ref="F9">IFERROR(INDEX(_xlfn._xlws.FILTER('Daily Data'!$B$4:$B$503,'Daily Data'!$A$4:$A$503=$C$4),MATCH($G9,_xlfn._xlws.FILTER('Daily Data'!$I$4:$I$503,'Daily Data'!$A$4:$A$503=$C$4),0)),"")</f>
        <v>CRDB</v>
      </c>
      <c r="G9" s="39" cm="1">
        <f t="array" ref="G9">IFERROR(LARGE(_xlfn._xlws.FILTER('Daily Data'!$I$4:$I$503,'Daily Data'!$A$4:$A$503=$C$4),ROW()-6),"")</f>
        <v>1052659120</v>
      </c>
      <c r="I9" s="38" t="str" cm="1">
        <f t="array" ref="I9">IFERROR(INDEX(_xlfn._xlws.FILTER('Daily Data'!$B$4:$B$503,'Daily Data'!$A$4:$A$503=$C$4),MATCH($J9,_xlfn._xlws.FILTER('Daily Data'!$K$4:$K$503,'Daily Data'!$A$4:$A$503=$C$4),0)),"")</f>
        <v>NMB</v>
      </c>
      <c r="J9" s="39" cm="1">
        <f t="array" ref="J9">IFERROR(LARGE(_xlfn._xlws.FILTER('Daily Data'!$K$4:$K$503,'Daily Data'!$A$4:$A$503=$C$4),ROW()-6),"")</f>
        <v>202667</v>
      </c>
      <c r="L9" s="38" t="str" cm="1">
        <f t="array" ref="L9">IFERROR(INDEX(_xlfn._xlws.FILTER('Daily Data'!$B$4:$B$503,'Daily Data'!$A$4:$A$503=$C$4),MATCH($M9,_xlfn._xlws.FILTER('Daily Data'!$H$4:$H$503,'Daily Data'!$A$4:$A$503=$C$4),0)),"")</f>
        <v>DSE</v>
      </c>
      <c r="M9" s="42" cm="1">
        <f t="array" ref="M9">IFERROR(LARGE(_xlfn._xlws.FILTER('Daily Data'!$H$4:$H$503,'Daily Data'!$A$4:$A$503=$C$4),ROW()-6),"")</f>
        <v>4.2857142857142927E-2</v>
      </c>
      <c r="O9" s="38" t="str" cm="1">
        <f t="array" ref="O9">IFERROR(INDEX(_xlfn._xlws.FILTER('Daily Data'!$B$4:$B$503,'Daily Data'!$A$4:$A$503=$C$4),MATCH($P9,_xlfn._xlws.FILTER('Daily Data'!$H$4:$H$503,'Daily Data'!$A$4:$A$503=$C$4),0)),"")</f>
        <v>NMG</v>
      </c>
      <c r="P9" s="42" cm="1">
        <f t="array" ref="P9">IFERROR(SMALL(_xlfn._xlws.FILTER('Daily Data'!$H$4:$H$503,'Daily Data'!$A$4:$A$503=$C$4),ROW()-6),"")</f>
        <v>-1.7857142857142905E-2</v>
      </c>
    </row>
    <row r="10" spans="1:16" x14ac:dyDescent="0.3">
      <c r="B10" s="9" t="s">
        <v>202</v>
      </c>
      <c r="C10" s="39">
        <f>SUMIFS('Daily Data'!$L$4:$L$503,'Daily Data'!$A$4:$A$503,$C$4)</f>
        <v>924752</v>
      </c>
      <c r="D10" s="9"/>
      <c r="F10" s="38" t="str" cm="1">
        <f t="array" ref="F10">IFERROR(INDEX(_xlfn._xlws.FILTER('Daily Data'!$B$4:$B$503,'Daily Data'!$A$4:$A$503=$C$4),MATCH($G10,_xlfn._xlws.FILTER('Daily Data'!$I$4:$I$503,'Daily Data'!$A$4:$A$503=$C$4),0)),"")</f>
        <v>TCCL</v>
      </c>
      <c r="G10" s="39" cm="1">
        <f t="array" ref="G10">IFERROR(LARGE(_xlfn._xlws.FILTER('Daily Data'!$I$4:$I$503,'Daily Data'!$A$4:$A$503=$C$4),ROW()-6),"")</f>
        <v>643331900</v>
      </c>
      <c r="I10" s="38" t="str" cm="1">
        <f t="array" ref="I10">IFERROR(INDEX(_xlfn._xlws.FILTER('Daily Data'!$B$4:$B$503,'Daily Data'!$A$4:$A$503=$C$4),MATCH($J10,_xlfn._xlws.FILTER('Daily Data'!$K$4:$K$503,'Daily Data'!$A$4:$A$503=$C$4),0)),"")</f>
        <v>TCCL</v>
      </c>
      <c r="J10" s="39" cm="1">
        <f t="array" ref="J10">IFERROR(LARGE(_xlfn._xlws.FILTER('Daily Data'!$K$4:$K$503,'Daily Data'!$A$4:$A$503=$C$4),ROW()-6),"")</f>
        <v>200840</v>
      </c>
      <c r="L10" s="38" t="str" cm="1">
        <f t="array" ref="L10">IFERROR(INDEX(_xlfn._xlws.FILTER('Daily Data'!$B$4:$B$503,'Daily Data'!$A$4:$A$503=$C$4),MATCH($M10,_xlfn._xlws.FILTER('Daily Data'!$H$4:$H$503,'Daily Data'!$A$4:$A$503=$C$4),0)),"")</f>
        <v>TOL</v>
      </c>
      <c r="M10" s="42" cm="1">
        <f t="array" ref="M10">IFERROR(LARGE(_xlfn._xlws.FILTER('Daily Data'!$H$4:$H$503,'Daily Data'!$A$4:$A$503=$C$4),ROW()-6),"")</f>
        <v>2.0547945205479534E-2</v>
      </c>
      <c r="O10" s="38" t="str" cm="1">
        <f t="array" ref="O10">IFERROR(INDEX(_xlfn._xlws.FILTER('Daily Data'!$B$4:$B$503,'Daily Data'!$A$4:$A$503=$C$4),MATCH($P10,_xlfn._xlws.FILTER('Daily Data'!$H$4:$H$503,'Daily Data'!$A$4:$A$503=$C$4),0)),"")</f>
        <v>KCB</v>
      </c>
      <c r="P10" s="42" cm="1">
        <f t="array" ref="P10">IFERROR(SMALL(_xlfn._xlws.FILTER('Daily Data'!$H$4:$H$503,'Daily Data'!$A$4:$A$503=$C$4),ROW()-6),"")</f>
        <v>-1.0152284263959421E-2</v>
      </c>
    </row>
    <row r="11" spans="1:16" x14ac:dyDescent="0.3">
      <c r="B11" s="9" t="s">
        <v>203</v>
      </c>
      <c r="C11" s="39">
        <f>SUMIFS('Daily Data'!$M$4:$M$503,'Daily Data'!$A$4:$A$503,$C$4)</f>
        <v>523606</v>
      </c>
      <c r="D11" s="9"/>
      <c r="F11" s="40" t="str" cm="1">
        <f t="array" ref="F11">IFERROR(INDEX(_xlfn._xlws.FILTER('Daily Data'!$B$4:$B$503,'Daily Data'!$A$4:$A$503=$C$4),MATCH($G11,_xlfn._xlws.FILTER('Daily Data'!$I$4:$I$503,'Daily Data'!$A$4:$A$503=$C$4),0)),"")</f>
        <v>VODA</v>
      </c>
      <c r="G11" s="41" cm="1">
        <f t="array" ref="G11">IFERROR(LARGE(_xlfn._xlws.FILTER('Daily Data'!$I$4:$I$503,'Daily Data'!$A$4:$A$503=$C$4),ROW()-6),"")</f>
        <v>126296500</v>
      </c>
      <c r="I11" s="40" t="str" cm="1">
        <f t="array" ref="I11">IFERROR(INDEX(_xlfn._xlws.FILTER('Daily Data'!$B$4:$B$503,'Daily Data'!$A$4:$A$503=$C$4),MATCH($J11,_xlfn._xlws.FILTER('Daily Data'!$K$4:$K$503,'Daily Data'!$A$4:$A$503=$C$4),0)),"")</f>
        <v>MCB</v>
      </c>
      <c r="J11" s="41" cm="1">
        <f t="array" ref="J11">IFERROR(LARGE(_xlfn._xlws.FILTER('Daily Data'!$K$4:$K$503,'Daily Data'!$A$4:$A$503=$C$4),ROW()-6),"")</f>
        <v>189296</v>
      </c>
      <c r="L11" s="40" t="str" cm="1">
        <f t="array" ref="L11">IFERROR(INDEX(_xlfn._xlws.FILTER('Daily Data'!$B$4:$B$503,'Daily Data'!$A$4:$A$503=$C$4),MATCH($M11,_xlfn._xlws.FILTER('Daily Data'!$H$4:$H$503,'Daily Data'!$A$4:$A$503=$C$4),0)),"")</f>
        <v>TPCC</v>
      </c>
      <c r="M11" s="43" cm="1">
        <f t="array" ref="M11">IFERROR(LARGE(_xlfn._xlws.FILTER('Daily Data'!$H$4:$H$503,'Daily Data'!$A$4:$A$503=$C$4),ROW()-6),"")</f>
        <v>1.6806722689075571E-2</v>
      </c>
      <c r="O11" s="40" t="str" cm="1">
        <f t="array" ref="O11">IFERROR(INDEX(_xlfn._xlws.FILTER('Daily Data'!$B$4:$B$503,'Daily Data'!$A$4:$A$503=$C$4),MATCH($P11,_xlfn._xlws.FILTER('Daily Data'!$H$4:$H$503,'Daily Data'!$A$4:$A$503=$C$4),0)),"")</f>
        <v>MKCB</v>
      </c>
      <c r="P11" s="43" cm="1">
        <f t="array" ref="P11">IFERROR(SMALL(_xlfn._xlws.FILTER('Daily Data'!$H$4:$H$503,'Daily Data'!$A$4:$A$503=$C$4),ROW()-6),"")</f>
        <v>-7.9155672823219003E-3</v>
      </c>
    </row>
    <row r="12" spans="1:16" x14ac:dyDescent="0.3">
      <c r="B12" s="9" t="s">
        <v>204</v>
      </c>
      <c r="C12" s="46">
        <f>IF(N($C$11)&gt;0,$C$10/$C$11,"n/a")</f>
        <v>1.7661218549825632</v>
      </c>
      <c r="D12" s="9"/>
    </row>
    <row r="13" spans="1:16" x14ac:dyDescent="0.3">
      <c r="B13" s="9" t="s">
        <v>205</v>
      </c>
      <c r="C13" s="39">
        <f>SUMIFS('Daily Data'!$N$4:$N$503,'Daily Data'!$A$4:$A$503,$C$4)</f>
        <v>37106040000000</v>
      </c>
      <c r="D13" s="9"/>
    </row>
    <row r="14" spans="1:16" x14ac:dyDescent="0.3">
      <c r="B14" s="9" t="s">
        <v>206</v>
      </c>
      <c r="C14" s="47">
        <f>COUNTIFS('Daily Data'!$A$4:$A$503,$C$4,'Daily Data'!$H$4:$H$503,"&gt;0")</f>
        <v>11</v>
      </c>
      <c r="D14" s="9"/>
    </row>
    <row r="15" spans="1:16" x14ac:dyDescent="0.3">
      <c r="B15" s="9" t="s">
        <v>207</v>
      </c>
      <c r="C15" s="48">
        <f>COUNTIFS('Daily Data'!$A$4:$A$503,$C$4,'Daily Data'!$H$4:$H$503,"&lt;0")</f>
        <v>7</v>
      </c>
      <c r="D15" s="9"/>
    </row>
    <row r="16" spans="1:16" x14ac:dyDescent="0.3">
      <c r="B16" s="9" t="s">
        <v>208</v>
      </c>
      <c r="C16" s="45">
        <f>COUNTIFS('Daily Data'!$A$4:$A$503,$C$4,'Daily Data'!$H$4:$H$503,0)</f>
        <v>12</v>
      </c>
      <c r="D16" s="9"/>
    </row>
    <row r="17" spans="2:4" x14ac:dyDescent="0.3">
      <c r="B17" s="9" t="s">
        <v>209</v>
      </c>
      <c r="C17" s="42" cm="1">
        <f t="array" ref="C17">IFERROR(MEDIAN(_xlfn._xlws.FILTER('Daily Data'!$H$4:$H$503,'Daily Data'!$A$4:$A$503=$C$4)),"n/a")</f>
        <v>0</v>
      </c>
      <c r="D17" s="9"/>
    </row>
    <row r="18" spans="2:4" x14ac:dyDescent="0.3">
      <c r="B18" s="9" t="s">
        <v>210</v>
      </c>
      <c r="C18" s="49">
        <f>IFERROR(AVERAGEIFS('Daily Data'!$AH$4:$AH$503,'Daily Data'!$A$4:$A$503,$C$4),"n/a")</f>
        <v>53.79</v>
      </c>
      <c r="D18" s="9"/>
    </row>
    <row r="19" spans="2:4" x14ac:dyDescent="0.3">
      <c r="B19" s="9" t="s">
        <v>211</v>
      </c>
      <c r="C19" s="50">
        <f>IFERROR(AVERAGEIFS('Daily Data'!$AI$4:$AI$503,'Daily Data'!$A$4:$A$503,$C$4),"n/a")</f>
        <v>67.333333333333329</v>
      </c>
      <c r="D19" s="9"/>
    </row>
    <row r="20" spans="2:4" x14ac:dyDescent="0.3">
      <c r="B20" s="9" t="s">
        <v>212</v>
      </c>
      <c r="C20" s="45">
        <f>COUNTIFS('Daily Data'!$A$4:$A$503,$C$4)</f>
        <v>30</v>
      </c>
      <c r="D20" s="9"/>
    </row>
    <row r="21" spans="2:4" x14ac:dyDescent="0.3">
      <c r="B21" s="9"/>
      <c r="C21" s="9"/>
      <c r="D21" s="9"/>
    </row>
    <row r="22" spans="2:4" x14ac:dyDescent="0.3">
      <c r="B22" s="51" t="s">
        <v>213</v>
      </c>
      <c r="C22" s="52" t="s">
        <v>96</v>
      </c>
      <c r="D22" s="52" t="s">
        <v>3</v>
      </c>
    </row>
    <row r="23" spans="2:4" x14ac:dyDescent="0.3">
      <c r="B23" s="9" t="s">
        <v>214</v>
      </c>
      <c r="C23" s="53" t="str" cm="1">
        <f t="array" ref="C23">IFERROR(INDEX(_xlfn._xlws.FILTER('Daily Data'!$B$4:$B$503,'Daily Data'!$A$4:$A$503=$C$4),MATCH($D23,_xlfn._xlws.FILTER('Daily Data'!$S$4:$S$503,'Daily Data'!$A$4:$A$503=$C$4),0)),"n/a")</f>
        <v>TPCC</v>
      </c>
      <c r="D23" s="54" cm="1">
        <f t="array" ref="D23">IFERROR(MAX(_xlfn._xlws.FILTER('Daily Data'!$S$4:$S$503,'Daily Data'!$A$4:$A$503=$C$4)),"n/a")</f>
        <v>866</v>
      </c>
    </row>
    <row r="24" spans="2:4" x14ac:dyDescent="0.3">
      <c r="B24" s="9" t="s">
        <v>215</v>
      </c>
      <c r="C24" s="53" t="str" cm="1">
        <f t="array" ref="C24">IFERROR(INDEX(_xlfn._xlws.FILTER('Daily Data'!$B$4:$B$503,'Daily Data'!$A$4:$A$503=$C$4),MATCH($D24,_xlfn._xlws.FILTER('Daily Data'!$S$4:$S$503,'Daily Data'!$A$4:$A$503=$C$4),0)),"n/a")</f>
        <v>JATU</v>
      </c>
      <c r="D24" s="54" cm="1">
        <f t="array" ref="D24">IFERROR(MIN(_xlfn._xlws.FILTER('Daily Data'!$S$4:$S$503,'Daily Data'!$A$4:$A$503=$C$4)),"n/a")</f>
        <v>0</v>
      </c>
    </row>
    <row r="25" spans="2:4" x14ac:dyDescent="0.3">
      <c r="B25" s="9" t="s">
        <v>216</v>
      </c>
      <c r="C25" s="53" t="str" cm="1">
        <f t="array" ref="C25">IFERROR(INDEX(_xlfn._xlws.FILTER('Daily Data'!$B$4:$B$503,('Daily Data'!$A$4:$A$503=$C$4)*('Daily Data'!$AG$4:$AG$503&gt;=Settings!$C$30)),MATCH($D25,_xlfn._xlws.FILTER('Daily Data'!$AA$4:$AA$503,('Daily Data'!$A$4:$A$503=$C$4)*('Daily Data'!$AG$4:$AG$503&gt;=Settings!$C$30)),0)),"n/a")</f>
        <v>n/a</v>
      </c>
      <c r="D25" s="42" cm="1">
        <f t="array" ref="D25">IFERROR(MAX(_xlfn._xlws.FILTER('Daily Data'!$AA$4:$AA$503,('Daily Data'!$A$4:$A$503=$C$4)*('Daily Data'!$AG$4:$AG$503&gt;=Settings!$C$30))),"n/a")</f>
        <v>0</v>
      </c>
    </row>
    <row r="26" spans="2:4" x14ac:dyDescent="0.3">
      <c r="B26" s="9" t="s">
        <v>217</v>
      </c>
      <c r="C26" s="53" t="str" cm="1">
        <f t="array" ref="C26">IFERROR(INDEX(_xlfn._xlws.FILTER('Daily Data'!$B$4:$B$503,('Daily Data'!$A$4:$A$503=$C$4)*('Daily Data'!$AG$4:$AG$503&gt;=Settings!$C$30)),MATCH($D26,_xlfn._xlws.FILTER('Daily Data'!$AC$4:$AC$503,('Daily Data'!$A$4:$A$503=$C$4)*('Daily Data'!$AG$4:$AG$503&gt;=Settings!$C$30)),0)),"n/a")</f>
        <v>n/a</v>
      </c>
      <c r="D26" s="54" cm="1">
        <f t="array" ref="D26">IFERROR(MAX(_xlfn._xlws.FILTER('Daily Data'!$AC$4:$AC$503,('Daily Data'!$A$4:$A$503=$C$4)*('Daily Data'!$AG$4:$AG$503&gt;=Settings!$C$30))),"n/a")</f>
        <v>0</v>
      </c>
    </row>
    <row r="27" spans="2:4" x14ac:dyDescent="0.3">
      <c r="B27" s="9" t="s">
        <v>218</v>
      </c>
      <c r="C27" s="53" t="str" cm="1">
        <f t="array" ref="C27">IFERROR(INDEX(_xlfn._xlws.FILTER('Daily Data'!$B$4:$B$503,'Daily Data'!$A$4:$A$503=$C$4),MATCH($D27,_xlfn._xlws.FILTER('Daily Data'!$AH$4:$AH$503,'Daily Data'!$A$4:$A$503=$C$4),0)),"n/a")</f>
        <v>DCB</v>
      </c>
      <c r="D27" s="50" cm="1">
        <f t="array" ref="D27">IFERROR(MAX(_xlfn._xlws.FILTER('Daily Data'!$AH$4:$AH$503,'Daily Data'!$A$4:$A$503=$C$4)),"n/a")</f>
        <v>79.099999999999994</v>
      </c>
    </row>
    <row r="28" spans="2:4" x14ac:dyDescent="0.3">
      <c r="B28" s="12" t="s">
        <v>219</v>
      </c>
      <c r="C28" s="55" t="str" cm="1">
        <f t="array" ref="C28">IFERROR(INDEX(_xlfn._xlws.FILTER('Daily Data'!$B$4:$B$503,'Daily Data'!$A$4:$A$503=$C$4),MATCH($D28,_xlfn._xlws.FILTER('Daily Data'!$AH$4:$AH$503,'Daily Data'!$A$4:$A$503=$C$4),0)),"n/a")</f>
        <v>MUCOBA</v>
      </c>
      <c r="D28" s="56" cm="1">
        <f t="array" ref="D28">IFERROR(MIN(_xlfn._xlws.FILTER('Daily Data'!$AH$4:$AH$503,'Daily Data'!$A$4:$A$503=$C$4)),"n/a")</f>
        <v>28.9</v>
      </c>
    </row>
  </sheetData>
  <sheetProtection algorithmName="SHA-512" hashValue="l/oL2NGIJuP9srQoEVHYSWZBuBV/vszjhkmuAfykX7K7gOFn6byvMdbq99fplnquFZAhG9eGg0MxNhVTVyfhuw==" saltValue="1/dv6RsZoqqQwbocpUS4ug==" spinCount="100000" sheet="1" objects="1" scenarios="1" sort="0" autoFilter="0"/>
  <conditionalFormatting sqref="C17">
    <cfRule type="cellIs" dxfId="90" priority="1" operator="greaterThan">
      <formula>0</formula>
    </cfRule>
  </conditionalFormatting>
  <conditionalFormatting sqref="C17">
    <cfRule type="cellIs" dxfId="89" priority="2" operator="lessThan">
      <formula>0</formula>
    </cfRule>
  </conditionalFormatting>
  <conditionalFormatting sqref="M7:M11">
    <cfRule type="cellIs" dxfId="88" priority="3" operator="greaterThan">
      <formula>0</formula>
    </cfRule>
  </conditionalFormatting>
  <conditionalFormatting sqref="M7:M11">
    <cfRule type="cellIs" dxfId="87" priority="4" operator="lessThan">
      <formula>0</formula>
    </cfRule>
  </conditionalFormatting>
  <conditionalFormatting sqref="P7:P11">
    <cfRule type="cellIs" dxfId="86" priority="5" operator="greaterThan">
      <formula>0</formula>
    </cfRule>
  </conditionalFormatting>
  <conditionalFormatting sqref="P7:P11">
    <cfRule type="cellIs" dxfId="85" priority="6" operator="lessThan">
      <formula>0</formula>
    </cfRule>
  </conditionalFormatting>
  <conditionalFormatting sqref="D25">
    <cfRule type="cellIs" dxfId="84" priority="7" operator="greaterThan">
      <formula>0</formula>
    </cfRule>
  </conditionalFormatting>
  <conditionalFormatting sqref="D25">
    <cfRule type="cellIs" dxfId="83" priority="8" operator="lessThan">
      <formula>0</formula>
    </cfRule>
  </conditionalFormatting>
  <conditionalFormatting sqref="C18">
    <cfRule type="colorScale" priority="9">
      <colorScale>
        <cfvo type="num" val="0"/>
        <cfvo type="num" val="50"/>
        <cfvo type="num" val="100"/>
        <color rgb="FFE8A6A0"/>
        <color rgb="FFFFF2CC"/>
        <color rgb="FFA9D5B2"/>
      </colorScale>
    </cfRule>
  </conditionalFormatting>
  <conditionalFormatting sqref="D27:D28">
    <cfRule type="colorScale" priority="10">
      <colorScale>
        <cfvo type="num" val="0"/>
        <cfvo type="num" val="50"/>
        <cfvo type="num" val="100"/>
        <color rgb="FFE8A6A0"/>
        <color rgb="FFFFF2CC"/>
        <color rgb="FFA9D5B2"/>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1" operator="lessThan" id="{F07BD3A5-3055-46CC-B59B-3FFE605E8C5C}">
            <xm:f>Settings!$C$57</xm:f>
            <x14:dxf>
              <font>
                <color rgb="FF92400E"/>
              </font>
              <fill>
                <patternFill patternType="solid">
                  <fgColor indexed="64"/>
                  <bgColor rgb="FFFDE9D9"/>
                </patternFill>
              </fill>
            </x14:dxf>
          </x14:cfRule>
          <xm:sqref>C19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04B61-55C4-4F39-9AB7-CDA9C0D5A8C1}">
  <dimension ref="A1:P45"/>
  <sheetViews>
    <sheetView topLeftCell="D1" workbookViewId="0">
      <pane ySplit="5" topLeftCell="A6" activePane="bottomLeft" state="frozen"/>
      <selection pane="bottomLeft"/>
    </sheetView>
  </sheetViews>
  <sheetFormatPr defaultRowHeight="14.4" x14ac:dyDescent="0.3"/>
  <cols>
    <col min="1" max="1" width="16.6640625" customWidth="1"/>
    <col min="2" max="2" width="38.88671875" customWidth="1"/>
    <col min="3" max="4" width="17" customWidth="1"/>
    <col min="5" max="6" width="20.33203125" customWidth="1"/>
    <col min="7" max="13" width="17" customWidth="1"/>
    <col min="14" max="14" width="33.33203125" customWidth="1"/>
    <col min="15" max="15" width="17" customWidth="1"/>
    <col min="16" max="16" width="10.21875" customWidth="1"/>
  </cols>
  <sheetData>
    <row r="1" spans="1:16" ht="21" x14ac:dyDescent="0.4">
      <c r="A1" s="14" t="s">
        <v>225</v>
      </c>
    </row>
    <row r="2" spans="1:16" x14ac:dyDescent="0.3">
      <c r="A2" s="2" t="s">
        <v>226</v>
      </c>
    </row>
    <row r="3" spans="1:16" x14ac:dyDescent="0.3">
      <c r="A3" s="32" t="s">
        <v>195</v>
      </c>
      <c r="B3" s="35">
        <f>Settings!$C$13</f>
        <v>46248</v>
      </c>
      <c r="C3" s="2" t="s">
        <v>227</v>
      </c>
    </row>
    <row r="5" spans="1:16" ht="43.95" customHeight="1" x14ac:dyDescent="0.3">
      <c r="A5" s="21" t="s">
        <v>96</v>
      </c>
      <c r="B5" s="21" t="s">
        <v>228</v>
      </c>
      <c r="C5" s="21" t="s">
        <v>150</v>
      </c>
      <c r="D5" s="21" t="s">
        <v>153</v>
      </c>
      <c r="E5" s="21" t="s">
        <v>157</v>
      </c>
      <c r="F5" s="21" t="s">
        <v>158</v>
      </c>
      <c r="G5" s="21" t="s">
        <v>164</v>
      </c>
      <c r="H5" s="21" t="s">
        <v>167</v>
      </c>
      <c r="I5" s="21" t="s">
        <v>168</v>
      </c>
      <c r="J5" s="21" t="s">
        <v>172</v>
      </c>
      <c r="K5" s="21" t="s">
        <v>174</v>
      </c>
      <c r="L5" s="21" t="s">
        <v>178</v>
      </c>
      <c r="M5" s="21" t="s">
        <v>179</v>
      </c>
      <c r="N5" s="21" t="s">
        <v>229</v>
      </c>
      <c r="O5" s="21" t="s">
        <v>230</v>
      </c>
      <c r="P5" s="21" t="s">
        <v>231</v>
      </c>
    </row>
    <row r="6" spans="1:16" x14ac:dyDescent="0.3">
      <c r="A6" s="58" t="str">
        <f>IF(Symbols!A4="","",Symbols!A4)</f>
        <v>AFRIPRISE</v>
      </c>
      <c r="B6" s="44" t="str" cm="1">
        <f t="array" ref="B6">IF($A6="","",INDEX(Symbols!$B$4:$B$43,ROW()-5))</f>
        <v>Afriprise Investment PLC</v>
      </c>
      <c r="C6" s="59" cm="1">
        <f t="array" ref="C6">IF($P6="","",INDEX('Daily Data'!$E$4:$E$503,$P6))</f>
        <v>625</v>
      </c>
      <c r="D6" s="60" cm="1">
        <f t="array" ref="D6">IF($P6="","",INDEX('Daily Data'!$H$4:$H$503,$P6))</f>
        <v>0</v>
      </c>
      <c r="E6" s="61" cm="1">
        <f t="array" ref="E6">IF($P6="","",INDEX('Daily Data'!$L$4:$L$503,$P6))</f>
        <v>21261</v>
      </c>
      <c r="F6" s="61" cm="1">
        <f t="array" ref="F6">IF($P6="","",INDEX('Daily Data'!$M$4:$M$503,$P6))</f>
        <v>78845</v>
      </c>
      <c r="G6" s="62" cm="1">
        <f t="array" ref="G6">IF($P6="","",INDEX('Daily Data'!$S$4:$S$503,$P6))</f>
        <v>0.26965565349736825</v>
      </c>
      <c r="H6" s="63" cm="1">
        <f t="array" ref="H6">IF($P6="","",INDEX('Daily Data'!$V$4:$V$503,$P6))</f>
        <v>1.4559137723238743E-4</v>
      </c>
      <c r="I6" s="63" cm="1">
        <f t="array" ref="I6">IF($P6="","",INDEX('Daily Data'!$W$4:$W$503,$P6))</f>
        <v>5.3991590884189765E-4</v>
      </c>
      <c r="J6" s="60" t="str" cm="1">
        <f t="array" ref="J6">IF($P6="","",INDEX('Daily Data'!$AA$4:$AA$503,$P6))</f>
        <v/>
      </c>
      <c r="K6" s="64" t="str" cm="1">
        <f t="array" ref="K6">IF($P6="","",INDEX('Daily Data'!$AC$4:$AC$503,$P6))</f>
        <v/>
      </c>
      <c r="L6" s="65" cm="1">
        <f t="array" ref="L6">IF($P6="","",INDEX('Daily Data'!$AG$4:$AG$503,$P6))</f>
        <v>37.9</v>
      </c>
      <c r="M6" s="66" cm="1">
        <f t="array" ref="M6">IF($P6="","",INDEX('Daily Data'!$AH$4:$AH$503,$P6))</f>
        <v>30.1</v>
      </c>
      <c r="N6" s="44" t="str" cm="1">
        <f t="array" ref="N6">IF($P6="","",INDEX('Daily Data'!$AJ$4:$AJ$503,$P6)&amp;IF(N($O6)&lt;Settings!$C$57," (low confidence)",""))</f>
        <v>Sell Pressure</v>
      </c>
      <c r="O6" s="65" cm="1">
        <f t="array" ref="O6">IF($P6="","",INDEX('Daily Data'!$AI$4:$AI$503,$P6))</f>
        <v>75</v>
      </c>
      <c r="P6" s="67">
        <f>IF($A6="","",IFERROR(MATCH($A6&amp;"|"&amp;TEXT($B$3,"yyyy-mm-dd"),'Daily Data'!$AU$4:$AU$503,0),""))</f>
        <v>119</v>
      </c>
    </row>
    <row r="7" spans="1:16" x14ac:dyDescent="0.3">
      <c r="A7" s="38" t="str">
        <f>IF(Symbols!A5="","",Symbols!A5)</f>
        <v>CRDB</v>
      </c>
      <c r="B7" s="9" t="str" cm="1">
        <f t="array" ref="B7">IF($A7="","",INDEX(Symbols!$B$4:$B$43,ROW()-5))</f>
        <v>CRDB Bank PLC</v>
      </c>
      <c r="C7" s="68" cm="1">
        <f t="array" ref="C7">IF($P7="","",INDEX('Daily Data'!$E$4:$E$503,$P7))</f>
        <v>2700</v>
      </c>
      <c r="D7" s="42" cm="1">
        <f t="array" ref="D7">IF($P7="","",INDEX('Daily Data'!$H$4:$H$503,$P7))</f>
        <v>0</v>
      </c>
      <c r="E7" s="39" cm="1">
        <f t="array" ref="E7">IF($P7="","",INDEX('Daily Data'!$L$4:$L$503,$P7))</f>
        <v>332026</v>
      </c>
      <c r="F7" s="39" cm="1">
        <f t="array" ref="F7">IF($P7="","",INDEX('Daily Data'!$M$4:$M$503,$P7))</f>
        <v>68633</v>
      </c>
      <c r="G7" s="46" cm="1">
        <f t="array" ref="G7">IF($P7="","",INDEX('Daily Data'!$S$4:$S$503,$P7))</f>
        <v>4.8377019800970382</v>
      </c>
      <c r="H7" s="69" cm="1">
        <f t="array" ref="H7">IF($P7="","",INDEX('Daily Data'!$V$4:$V$503,$P7))</f>
        <v>1.2712355146654263E-4</v>
      </c>
      <c r="I7" s="69" cm="1">
        <f t="array" ref="I7">IF($P7="","",INDEX('Daily Data'!$W$4:$W$503,$P7))</f>
        <v>2.6277673157533509E-5</v>
      </c>
      <c r="J7" s="42" t="str" cm="1">
        <f t="array" ref="J7">IF($P7="","",INDEX('Daily Data'!$AA$4:$AA$503,$P7))</f>
        <v/>
      </c>
      <c r="K7" s="54" t="str" cm="1">
        <f t="array" ref="K7">IF($P7="","",INDEX('Daily Data'!$AC$4:$AC$503,$P7))</f>
        <v/>
      </c>
      <c r="L7" s="50" cm="1">
        <f t="array" ref="L7">IF($P7="","",INDEX('Daily Data'!$AG$4:$AG$503,$P7))</f>
        <v>92.7</v>
      </c>
      <c r="M7" s="49" cm="1">
        <f t="array" ref="M7">IF($P7="","",INDEX('Daily Data'!$AH$4:$AH$503,$P7))</f>
        <v>70.599999999999994</v>
      </c>
      <c r="N7" s="9" t="str" cm="1">
        <f t="array" ref="N7">IF($P7="","",INDEX('Daily Data'!$AJ$4:$AJ$503,$P7)&amp;IF(N($O7)&lt;Settings!$C$57," (low confidence)",""))</f>
        <v>Buy Pressure</v>
      </c>
      <c r="O7" s="50" cm="1">
        <f t="array" ref="O7">IF($P7="","",INDEX('Daily Data'!$AI$4:$AI$503,$P7))</f>
        <v>75</v>
      </c>
      <c r="P7" s="70">
        <f>IF($A7="","",IFERROR(MATCH($A7&amp;"|"&amp;TEXT($B$3,"yyyy-mm-dd"),'Daily Data'!$AU$4:$AU$503,0),""))</f>
        <v>120</v>
      </c>
    </row>
    <row r="8" spans="1:16" x14ac:dyDescent="0.3">
      <c r="A8" s="38" t="str">
        <f>IF(Symbols!A6="","",Symbols!A6)</f>
        <v>DCB</v>
      </c>
      <c r="B8" s="9" t="str" cm="1">
        <f t="array" ref="B8">IF($A8="","",INDEX(Symbols!$B$4:$B$43,ROW()-5))</f>
        <v>DCB Commercial Bank PLC</v>
      </c>
      <c r="C8" s="68" cm="1">
        <f t="array" ref="C8">IF($P8="","",INDEX('Daily Data'!$E$4:$E$503,$P8))</f>
        <v>465</v>
      </c>
      <c r="D8" s="42" cm="1">
        <f t="array" ref="D8">IF($P8="","",INDEX('Daily Data'!$H$4:$H$503,$P8))</f>
        <v>0.10714285714285721</v>
      </c>
      <c r="E8" s="39" cm="1">
        <f t="array" ref="E8">IF($P8="","",INDEX('Daily Data'!$L$4:$L$503,$P8))</f>
        <v>137957</v>
      </c>
      <c r="F8" s="39" cm="1">
        <f t="array" ref="F8">IF($P8="","",INDEX('Daily Data'!$M$4:$M$503,$P8))</f>
        <v>0</v>
      </c>
      <c r="G8" s="46" t="str" cm="1">
        <f t="array" ref="G8">IF($P8="","",INDEX('Daily Data'!$S$4:$S$503,$P8))</f>
        <v/>
      </c>
      <c r="H8" s="69" cm="1">
        <f t="array" ref="H8">IF($P8="","",INDEX('Daily Data'!$V$4:$V$503,$P8))</f>
        <v>7.2005842406555165E-4</v>
      </c>
      <c r="I8" s="69" cm="1">
        <f t="array" ref="I8">IF($P8="","",INDEX('Daily Data'!$W$4:$W$503,$P8))</f>
        <v>0</v>
      </c>
      <c r="J8" s="42" t="str" cm="1">
        <f t="array" ref="J8">IF($P8="","",INDEX('Daily Data'!$AA$4:$AA$503,$P8))</f>
        <v/>
      </c>
      <c r="K8" s="54" t="str" cm="1">
        <f t="array" ref="K8">IF($P8="","",INDEX('Daily Data'!$AC$4:$AC$503,$P8))</f>
        <v/>
      </c>
      <c r="L8" s="50" cm="1">
        <f t="array" ref="L8">IF($P8="","",INDEX('Daily Data'!$AG$4:$AG$503,$P8))</f>
        <v>31.3</v>
      </c>
      <c r="M8" s="49" cm="1">
        <f t="array" ref="M8">IF($P8="","",INDEX('Daily Data'!$AH$4:$AH$503,$P8))</f>
        <v>79.099999999999994</v>
      </c>
      <c r="N8" s="9" t="str" cm="1">
        <f t="array" ref="N8">IF($P8="","",INDEX('Daily Data'!$AJ$4:$AJ$503,$P8)&amp;IF(N($O8)&lt;Settings!$C$57," (low confidence)",""))</f>
        <v>Buy Pressure</v>
      </c>
      <c r="O8" s="50" cm="1">
        <f t="array" ref="O8">IF($P8="","",INDEX('Daily Data'!$AI$4:$AI$503,$P8))</f>
        <v>75</v>
      </c>
      <c r="P8" s="70">
        <f>IF($A8="","",IFERROR(MATCH($A8&amp;"|"&amp;TEXT($B$3,"yyyy-mm-dd"),'Daily Data'!$AU$4:$AU$503,0),""))</f>
        <v>121</v>
      </c>
    </row>
    <row r="9" spans="1:16" x14ac:dyDescent="0.3">
      <c r="A9" s="38" t="str">
        <f>IF(Symbols!A7="","",Symbols!A7)</f>
        <v>DSE</v>
      </c>
      <c r="B9" s="9" t="str" cm="1">
        <f t="array" ref="B9">IF($A9="","",INDEX(Symbols!$B$4:$B$43,ROW()-5))</f>
        <v>Dar es Salaam Stock Exchange PLC</v>
      </c>
      <c r="C9" s="68" cm="1">
        <f t="array" ref="C9">IF($P9="","",INDEX('Daily Data'!$E$4:$E$503,$P9))</f>
        <v>6570</v>
      </c>
      <c r="D9" s="42" cm="1">
        <f t="array" ref="D9">IF($P9="","",INDEX('Daily Data'!$H$4:$H$503,$P9))</f>
        <v>4.2857142857142927E-2</v>
      </c>
      <c r="E9" s="39" cm="1">
        <f t="array" ref="E9">IF($P9="","",INDEX('Daily Data'!$L$4:$L$503,$P9))</f>
        <v>3092</v>
      </c>
      <c r="F9" s="39" cm="1">
        <f t="array" ref="F9">IF($P9="","",INDEX('Daily Data'!$M$4:$M$503,$P9))</f>
        <v>459</v>
      </c>
      <c r="G9" s="46" cm="1">
        <f t="array" ref="G9">IF($P9="","",INDEX('Daily Data'!$S$4:$S$503,$P9))</f>
        <v>6.7363834422657956</v>
      </c>
      <c r="H9" s="69" cm="1">
        <f t="array" ref="H9">IF($P9="","",INDEX('Daily Data'!$V$4:$V$503,$P9))</f>
        <v>1.2978814209046766E-4</v>
      </c>
      <c r="I9" s="69" cm="1">
        <f t="array" ref="I9">IF($P9="","",INDEX('Daily Data'!$W$4:$W$503,$P9))</f>
        <v>1.926673907487861E-5</v>
      </c>
      <c r="J9" s="42" t="str" cm="1">
        <f t="array" ref="J9">IF($P9="","",INDEX('Daily Data'!$AA$4:$AA$503,$P9))</f>
        <v/>
      </c>
      <c r="K9" s="54" t="str" cm="1">
        <f t="array" ref="K9">IF($P9="","",INDEX('Daily Data'!$AC$4:$AC$503,$P9))</f>
        <v/>
      </c>
      <c r="L9" s="50" cm="1">
        <f t="array" ref="L9">IF($P9="","",INDEX('Daily Data'!$AG$4:$AG$503,$P9))</f>
        <v>4.4000000000000004</v>
      </c>
      <c r="M9" s="49" cm="1">
        <f t="array" ref="M9">IF($P9="","",INDEX('Daily Data'!$AH$4:$AH$503,$P9))</f>
        <v>72.8</v>
      </c>
      <c r="N9" s="9" t="str" cm="1">
        <f t="array" ref="N9">IF($P9="","",INDEX('Daily Data'!$AJ$4:$AJ$503,$P9)&amp;IF(N($O9)&lt;Settings!$C$57," (low confidence)",""))</f>
        <v>Buy Pressure</v>
      </c>
      <c r="O9" s="50" cm="1">
        <f t="array" ref="O9">IF($P9="","",INDEX('Daily Data'!$AI$4:$AI$503,$P9))</f>
        <v>75</v>
      </c>
      <c r="P9" s="70">
        <f>IF($A9="","",IFERROR(MATCH($A9&amp;"|"&amp;TEXT($B$3,"yyyy-mm-dd"),'Daily Data'!$AU$4:$AU$503,0),""))</f>
        <v>122</v>
      </c>
    </row>
    <row r="10" spans="1:16" x14ac:dyDescent="0.3">
      <c r="A10" s="38" t="str">
        <f>IF(Symbols!A8="","",Symbols!A8)</f>
        <v>EABL</v>
      </c>
      <c r="B10" s="9" t="str" cm="1">
        <f t="array" ref="B10">IF($A10="","",INDEX(Symbols!$B$4:$B$43,ROW()-5))</f>
        <v>East African Breweries PLC</v>
      </c>
      <c r="C10" s="68" cm="1">
        <f t="array" ref="C10">IF($P10="","",INDEX('Daily Data'!$E$4:$E$503,$P10))</f>
        <v>5590</v>
      </c>
      <c r="D10" s="42" cm="1">
        <f t="array" ref="D10">IF($P10="","",INDEX('Daily Data'!$H$4:$H$503,$P10))</f>
        <v>1.7921146953405742E-3</v>
      </c>
      <c r="E10" s="39" cm="1">
        <f t="array" ref="E10">IF($P10="","",INDEX('Daily Data'!$L$4:$L$503,$P10))</f>
        <v>47</v>
      </c>
      <c r="F10" s="39" cm="1">
        <f t="array" ref="F10">IF($P10="","",INDEX('Daily Data'!$M$4:$M$503,$P10))</f>
        <v>0</v>
      </c>
      <c r="G10" s="46" t="str" cm="1">
        <f t="array" ref="G10">IF($P10="","",INDEX('Daily Data'!$S$4:$S$503,$P10))</f>
        <v/>
      </c>
      <c r="H10" s="69" cm="1">
        <f t="array" ref="H10">IF($P10="","",INDEX('Daily Data'!$V$4:$V$503,$P10))</f>
        <v>5.9435394294220245E-8</v>
      </c>
      <c r="I10" s="69" cm="1">
        <f t="array" ref="I10">IF($P10="","",INDEX('Daily Data'!$W$4:$W$503,$P10))</f>
        <v>0</v>
      </c>
      <c r="J10" s="42" t="str" cm="1">
        <f t="array" ref="J10">IF($P10="","",INDEX('Daily Data'!$AA$4:$AA$503,$P10))</f>
        <v/>
      </c>
      <c r="K10" s="54" t="str" cm="1">
        <f t="array" ref="K10">IF($P10="","",INDEX('Daily Data'!$AC$4:$AC$503,$P10))</f>
        <v/>
      </c>
      <c r="L10" s="50" cm="1">
        <f t="array" ref="L10">IF($P10="","",INDEX('Daily Data'!$AG$4:$AG$503,$P10))</f>
        <v>0</v>
      </c>
      <c r="M10" s="49" cm="1">
        <f t="array" ref="M10">IF($P10="","",INDEX('Daily Data'!$AH$4:$AH$503,$P10))</f>
        <v>65.3</v>
      </c>
      <c r="N10" s="9" t="str" cm="1">
        <f t="array" ref="N10">IF($P10="","",INDEX('Daily Data'!$AJ$4:$AJ$503,$P10)&amp;IF(N($O10)&lt;Settings!$C$57," (low confidence)",""))</f>
        <v>Buy Pressure (low confidence)</v>
      </c>
      <c r="O10" s="50" cm="1">
        <f t="array" ref="O10">IF($P10="","",INDEX('Daily Data'!$AI$4:$AI$503,$P10))</f>
        <v>55</v>
      </c>
      <c r="P10" s="70">
        <f>IF($A10="","",IFERROR(MATCH($A10&amp;"|"&amp;TEXT($B$3,"yyyy-mm-dd"),'Daily Data'!$AU$4:$AU$503,0),""))</f>
        <v>123</v>
      </c>
    </row>
    <row r="11" spans="1:16" x14ac:dyDescent="0.3">
      <c r="A11" s="38" t="str">
        <f>IF(Symbols!A9="","",Symbols!A9)</f>
        <v>JATU</v>
      </c>
      <c r="B11" s="9" t="str" cm="1">
        <f t="array" ref="B11">IF($A11="","",INDEX(Symbols!$B$4:$B$43,ROW()-5))</f>
        <v>JATU PLC</v>
      </c>
      <c r="C11" s="68" cm="1">
        <f t="array" ref="C11">IF($P11="","",INDEX('Daily Data'!$E$4:$E$503,$P11))</f>
        <v>265</v>
      </c>
      <c r="D11" s="42" cm="1">
        <f t="array" ref="D11">IF($P11="","",INDEX('Daily Data'!$H$4:$H$503,$P11))</f>
        <v>0</v>
      </c>
      <c r="E11" s="39" cm="1">
        <f t="array" ref="E11">IF($P11="","",INDEX('Daily Data'!$L$4:$L$503,$P11))</f>
        <v>0</v>
      </c>
      <c r="F11" s="39" cm="1">
        <f t="array" ref="F11">IF($P11="","",INDEX('Daily Data'!$M$4:$M$503,$P11))</f>
        <v>360</v>
      </c>
      <c r="G11" s="46" cm="1">
        <f t="array" ref="G11">IF($P11="","",INDEX('Daily Data'!$S$4:$S$503,$P11))</f>
        <v>0</v>
      </c>
      <c r="H11" s="69" cm="1">
        <f t="array" ref="H11">IF($P11="","",INDEX('Daily Data'!$V$4:$V$503,$P11))</f>
        <v>0</v>
      </c>
      <c r="I11" s="69" cm="1">
        <f t="array" ref="I11">IF($P11="","",INDEX('Daily Data'!$W$4:$W$503,$P11))</f>
        <v>1.8068181818181818E-5</v>
      </c>
      <c r="J11" s="42" t="str" cm="1">
        <f t="array" ref="J11">IF($P11="","",INDEX('Daily Data'!$AA$4:$AA$503,$P11))</f>
        <v/>
      </c>
      <c r="K11" s="54" t="str" cm="1">
        <f t="array" ref="K11">IF($P11="","",INDEX('Daily Data'!$AC$4:$AC$503,$P11))</f>
        <v/>
      </c>
      <c r="L11" s="50" cm="1">
        <f t="array" ref="L11">IF($P11="","",INDEX('Daily Data'!$AG$4:$AG$503,$P11))</f>
        <v>0</v>
      </c>
      <c r="M11" s="49" cm="1">
        <f t="array" ref="M11">IF($P11="","",INDEX('Daily Data'!$AH$4:$AH$503,$P11))</f>
        <v>34.799999999999997</v>
      </c>
      <c r="N11" s="9" t="str" cm="1">
        <f t="array" ref="N11">IF($P11="","",INDEX('Daily Data'!$AJ$4:$AJ$503,$P11)&amp;IF(N($O11)&lt;Settings!$C$57," (low confidence)",""))</f>
        <v>Sell Pressure (low confidence)</v>
      </c>
      <c r="O11" s="50" cm="1">
        <f t="array" ref="O11">IF($P11="","",INDEX('Daily Data'!$AI$4:$AI$503,$P11))</f>
        <v>55</v>
      </c>
      <c r="P11" s="70">
        <f>IF($A11="","",IFERROR(MATCH($A11&amp;"|"&amp;TEXT($B$3,"yyyy-mm-dd"),'Daily Data'!$AU$4:$AU$503,0),""))</f>
        <v>124</v>
      </c>
    </row>
    <row r="12" spans="1:16" x14ac:dyDescent="0.3">
      <c r="A12" s="38" t="str">
        <f>IF(Symbols!A10="","",Symbols!A10)</f>
        <v>JHL</v>
      </c>
      <c r="B12" s="9" t="str" cm="1">
        <f t="array" ref="B12">IF($A12="","",INDEX(Symbols!$B$4:$B$43,ROW()-5))</f>
        <v>Jubilee Holdings Ltd</v>
      </c>
      <c r="C12" s="68" cm="1">
        <f t="array" ref="C12">IF($P12="","",INDEX('Daily Data'!$E$4:$E$503,$P12))</f>
        <v>8650</v>
      </c>
      <c r="D12" s="42" cm="1">
        <f t="array" ref="D12">IF($P12="","",INDEX('Daily Data'!$H$4:$H$503,$P12))</f>
        <v>0</v>
      </c>
      <c r="E12" s="39" cm="1">
        <f t="array" ref="E12">IF($P12="","",INDEX('Daily Data'!$L$4:$L$503,$P12))</f>
        <v>111</v>
      </c>
      <c r="F12" s="39" cm="1">
        <f t="array" ref="F12">IF($P12="","",INDEX('Daily Data'!$M$4:$M$503,$P12))</f>
        <v>0</v>
      </c>
      <c r="G12" s="46" t="str" cm="1">
        <f t="array" ref="G12">IF($P12="","",INDEX('Daily Data'!$S$4:$S$503,$P12))</f>
        <v/>
      </c>
      <c r="H12" s="69" cm="1">
        <f t="array" ref="H12">IF($P12="","",INDEX('Daily Data'!$V$4:$V$503,$P12))</f>
        <v>1.5316084161495637E-6</v>
      </c>
      <c r="I12" s="69" cm="1">
        <f t="array" ref="I12">IF($P12="","",INDEX('Daily Data'!$W$4:$W$503,$P12))</f>
        <v>0</v>
      </c>
      <c r="J12" s="42" t="str" cm="1">
        <f t="array" ref="J12">IF($P12="","",INDEX('Daily Data'!$AA$4:$AA$503,$P12))</f>
        <v/>
      </c>
      <c r="K12" s="54" t="str" cm="1">
        <f t="array" ref="K12">IF($P12="","",INDEX('Daily Data'!$AC$4:$AC$503,$P12))</f>
        <v/>
      </c>
      <c r="L12" s="50" cm="1">
        <f t="array" ref="L12">IF($P12="","",INDEX('Daily Data'!$AG$4:$AG$503,$P12))</f>
        <v>0</v>
      </c>
      <c r="M12" s="49" cm="1">
        <f t="array" ref="M12">IF($P12="","",INDEX('Daily Data'!$AH$4:$AH$503,$P12))</f>
        <v>65</v>
      </c>
      <c r="N12" s="9" t="str" cm="1">
        <f t="array" ref="N12">IF($P12="","",INDEX('Daily Data'!$AJ$4:$AJ$503,$P12)&amp;IF(N($O12)&lt;Settings!$C$57," (low confidence)",""))</f>
        <v>Buy Pressure (low confidence)</v>
      </c>
      <c r="O12" s="50" cm="1">
        <f t="array" ref="O12">IF($P12="","",INDEX('Daily Data'!$AI$4:$AI$503,$P12))</f>
        <v>55</v>
      </c>
      <c r="P12" s="70">
        <f>IF($A12="","",IFERROR(MATCH($A12&amp;"|"&amp;TEXT($B$3,"yyyy-mm-dd"),'Daily Data'!$AU$4:$AU$503,0),""))</f>
        <v>125</v>
      </c>
    </row>
    <row r="13" spans="1:16" x14ac:dyDescent="0.3">
      <c r="A13" s="38" t="str">
        <f>IF(Symbols!A11="","",Symbols!A11)</f>
        <v>KA</v>
      </c>
      <c r="B13" s="9" t="str" cm="1">
        <f t="array" ref="B13">IF($A13="","",INDEX(Symbols!$B$4:$B$43,ROW()-5))</f>
        <v>Kenya Airways PLC</v>
      </c>
      <c r="C13" s="68" cm="1">
        <f t="array" ref="C13">IF($P13="","",INDEX('Daily Data'!$E$4:$E$503,$P13))</f>
        <v>110</v>
      </c>
      <c r="D13" s="42" cm="1">
        <f t="array" ref="D13">IF($P13="","",INDEX('Daily Data'!$H$4:$H$503,$P13))</f>
        <v>0</v>
      </c>
      <c r="E13" s="39" cm="1">
        <f t="array" ref="E13">IF($P13="","",INDEX('Daily Data'!$L$4:$L$503,$P13))</f>
        <v>168</v>
      </c>
      <c r="F13" s="39" cm="1">
        <f t="array" ref="F13">IF($P13="","",INDEX('Daily Data'!$M$4:$M$503,$P13))</f>
        <v>0</v>
      </c>
      <c r="G13" s="46" t="str" cm="1">
        <f t="array" ref="G13">IF($P13="","",INDEX('Daily Data'!$S$4:$S$503,$P13))</f>
        <v/>
      </c>
      <c r="H13" s="69" cm="1">
        <f t="array" ref="H13">IF($P13="","",INDEX('Daily Data'!$V$4:$V$503,$P13))</f>
        <v>2.9569892473118281E-8</v>
      </c>
      <c r="I13" s="69" cm="1">
        <f t="array" ref="I13">IF($P13="","",INDEX('Daily Data'!$W$4:$W$503,$P13))</f>
        <v>0</v>
      </c>
      <c r="J13" s="42" t="str" cm="1">
        <f t="array" ref="J13">IF($P13="","",INDEX('Daily Data'!$AA$4:$AA$503,$P13))</f>
        <v/>
      </c>
      <c r="K13" s="54" t="str" cm="1">
        <f t="array" ref="K13">IF($P13="","",INDEX('Daily Data'!$AC$4:$AC$503,$P13))</f>
        <v/>
      </c>
      <c r="L13" s="50" cm="1">
        <f t="array" ref="L13">IF($P13="","",INDEX('Daily Data'!$AG$4:$AG$503,$P13))</f>
        <v>0</v>
      </c>
      <c r="M13" s="49" cm="1">
        <f t="array" ref="M13">IF($P13="","",INDEX('Daily Data'!$AH$4:$AH$503,$P13))</f>
        <v>65</v>
      </c>
      <c r="N13" s="9" t="str" cm="1">
        <f t="array" ref="N13">IF($P13="","",INDEX('Daily Data'!$AJ$4:$AJ$503,$P13)&amp;IF(N($O13)&lt;Settings!$C$57," (low confidence)",""))</f>
        <v>Buy Pressure (low confidence)</v>
      </c>
      <c r="O13" s="50" cm="1">
        <f t="array" ref="O13">IF($P13="","",INDEX('Daily Data'!$AI$4:$AI$503,$P13))</f>
        <v>55</v>
      </c>
      <c r="P13" s="70">
        <f>IF($A13="","",IFERROR(MATCH($A13&amp;"|"&amp;TEXT($B$3,"yyyy-mm-dd"),'Daily Data'!$AU$4:$AU$503,0),""))</f>
        <v>126</v>
      </c>
    </row>
    <row r="14" spans="1:16" x14ac:dyDescent="0.3">
      <c r="A14" s="38" t="str">
        <f>IF(Symbols!A12="","",Symbols!A12)</f>
        <v>KCB</v>
      </c>
      <c r="B14" s="9" t="str" cm="1">
        <f t="array" ref="B14">IF($A14="","",INDEX(Symbols!$B$4:$B$43,ROW()-5))</f>
        <v>KCB Group PLC</v>
      </c>
      <c r="C14" s="68" cm="1">
        <f t="array" ref="C14">IF($P14="","",INDEX('Daily Data'!$E$4:$E$503,$P14))</f>
        <v>1950</v>
      </c>
      <c r="D14" s="42" cm="1">
        <f t="array" ref="D14">IF($P14="","",INDEX('Daily Data'!$H$4:$H$503,$P14))</f>
        <v>-1.0152284263959421E-2</v>
      </c>
      <c r="E14" s="39" cm="1">
        <f t="array" ref="E14">IF($P14="","",INDEX('Daily Data'!$L$4:$L$503,$P14))</f>
        <v>16139</v>
      </c>
      <c r="F14" s="39" cm="1">
        <f t="array" ref="F14">IF($P14="","",INDEX('Daily Data'!$M$4:$M$503,$P14))</f>
        <v>37220</v>
      </c>
      <c r="G14" s="46" cm="1">
        <f t="array" ref="G14">IF($P14="","",INDEX('Daily Data'!$S$4:$S$503,$P14))</f>
        <v>0.43361096184846859</v>
      </c>
      <c r="H14" s="69" cm="1">
        <f t="array" ref="H14">IF($P14="","",INDEX('Daily Data'!$V$4:$V$503,$P14))</f>
        <v>5.4333875445429685E-6</v>
      </c>
      <c r="I14" s="69" cm="1">
        <f t="array" ref="I14">IF($P14="","",INDEX('Daily Data'!$W$4:$W$503,$P14))</f>
        <v>1.2530558548106406E-5</v>
      </c>
      <c r="J14" s="42" t="str" cm="1">
        <f t="array" ref="J14">IF($P14="","",INDEX('Daily Data'!$AA$4:$AA$503,$P14))</f>
        <v/>
      </c>
      <c r="K14" s="54" t="str" cm="1">
        <f t="array" ref="K14">IF($P14="","",INDEX('Daily Data'!$AC$4:$AC$503,$P14))</f>
        <v/>
      </c>
      <c r="L14" s="50" cm="1">
        <f t="array" ref="L14">IF($P14="","",INDEX('Daily Data'!$AG$4:$AG$503,$P14))</f>
        <v>16.7</v>
      </c>
      <c r="M14" s="49" cm="1">
        <f t="array" ref="M14">IF($P14="","",INDEX('Daily Data'!$AH$4:$AH$503,$P14))</f>
        <v>38.9</v>
      </c>
      <c r="N14" s="9" t="str" cm="1">
        <f t="array" ref="N14">IF($P14="","",INDEX('Daily Data'!$AJ$4:$AJ$503,$P14)&amp;IF(N($O14)&lt;Settings!$C$57," (low confidence)",""))</f>
        <v>Sell Pressure</v>
      </c>
      <c r="O14" s="50" cm="1">
        <f t="array" ref="O14">IF($P14="","",INDEX('Daily Data'!$AI$4:$AI$503,$P14))</f>
        <v>75</v>
      </c>
      <c r="P14" s="70">
        <f>IF($A14="","",IFERROR(MATCH($A14&amp;"|"&amp;TEXT($B$3,"yyyy-mm-dd"),'Daily Data'!$AU$4:$AU$503,0),""))</f>
        <v>127</v>
      </c>
    </row>
    <row r="15" spans="1:16" x14ac:dyDescent="0.3">
      <c r="A15" s="38" t="str">
        <f>IF(Symbols!A13="","",Symbols!A13)</f>
        <v>MBP</v>
      </c>
      <c r="B15" s="9" t="str" cm="1">
        <f t="array" ref="B15">IF($A15="","",INDEX(Symbols!$B$4:$B$43,ROW()-5))</f>
        <v>Maendeleo Bank PLC</v>
      </c>
      <c r="C15" s="68" cm="1">
        <f t="array" ref="C15">IF($P15="","",INDEX('Daily Data'!$E$4:$E$503,$P15))</f>
        <v>1680</v>
      </c>
      <c r="D15" s="42" cm="1">
        <f t="array" ref="D15">IF($P15="","",INDEX('Daily Data'!$H$4:$H$503,$P15))</f>
        <v>-5.9171597633136397E-3</v>
      </c>
      <c r="E15" s="39" cm="1">
        <f t="array" ref="E15">IF($P15="","",INDEX('Daily Data'!$L$4:$L$503,$P15))</f>
        <v>1981</v>
      </c>
      <c r="F15" s="39" cm="1">
        <f t="array" ref="F15">IF($P15="","",INDEX('Daily Data'!$M$4:$M$503,$P15))</f>
        <v>6325</v>
      </c>
      <c r="G15" s="46" cm="1">
        <f t="array" ref="G15">IF($P15="","",INDEX('Daily Data'!$S$4:$S$503,$P15))</f>
        <v>0.31320158102766799</v>
      </c>
      <c r="H15" s="69" cm="1">
        <f t="array" ref="H15">IF($P15="","",INDEX('Daily Data'!$V$4:$V$503,$P15))</f>
        <v>6.6059547439460109E-5</v>
      </c>
      <c r="I15" s="69" cm="1">
        <f t="array" ref="I15">IF($P15="","",INDEX('Daily Data'!$W$4:$W$503,$P15))</f>
        <v>2.1091703056768559E-4</v>
      </c>
      <c r="J15" s="42" t="str" cm="1">
        <f t="array" ref="J15">IF($P15="","",INDEX('Daily Data'!$AA$4:$AA$503,$P15))</f>
        <v/>
      </c>
      <c r="K15" s="54" t="str" cm="1">
        <f t="array" ref="K15">IF($P15="","",INDEX('Daily Data'!$AC$4:$AC$503,$P15))</f>
        <v/>
      </c>
      <c r="L15" s="50" cm="1">
        <f t="array" ref="L15">IF($P15="","",INDEX('Daily Data'!$AG$4:$AG$503,$P15))</f>
        <v>14.8</v>
      </c>
      <c r="M15" s="49" cm="1">
        <f t="array" ref="M15">IF($P15="","",INDEX('Daily Data'!$AH$4:$AH$503,$P15))</f>
        <v>34.5</v>
      </c>
      <c r="N15" s="9" t="str" cm="1">
        <f t="array" ref="N15">IF($P15="","",INDEX('Daily Data'!$AJ$4:$AJ$503,$P15)&amp;IF(N($O15)&lt;Settings!$C$57," (low confidence)",""))</f>
        <v>Sell Pressure</v>
      </c>
      <c r="O15" s="50" cm="1">
        <f t="array" ref="O15">IF($P15="","",INDEX('Daily Data'!$AI$4:$AI$503,$P15))</f>
        <v>75</v>
      </c>
      <c r="P15" s="70">
        <f>IF($A15="","",IFERROR(MATCH($A15&amp;"|"&amp;TEXT($B$3,"yyyy-mm-dd"),'Daily Data'!$AU$4:$AU$503,0),""))</f>
        <v>128</v>
      </c>
    </row>
    <row r="16" spans="1:16" x14ac:dyDescent="0.3">
      <c r="A16" s="38" t="str">
        <f>IF(Symbols!A14="","",Symbols!A14)</f>
        <v>MCB</v>
      </c>
      <c r="B16" s="9" t="str" cm="1">
        <f t="array" ref="B16">IF($A16="","",INDEX(Symbols!$B$4:$B$43,ROW()-5))</f>
        <v>MCB — name to confirm with DSE</v>
      </c>
      <c r="C16" s="68" cm="1">
        <f t="array" ref="C16">IF($P16="","",INDEX('Daily Data'!$E$4:$E$503,$P16))</f>
        <v>405</v>
      </c>
      <c r="D16" s="42" cm="1">
        <f t="array" ref="D16">IF($P16="","",INDEX('Daily Data'!$H$4:$H$503,$P16))</f>
        <v>-7.9545454545454586E-2</v>
      </c>
      <c r="E16" s="39" cm="1">
        <f t="array" ref="E16">IF($P16="","",INDEX('Daily Data'!$L$4:$L$503,$P16))</f>
        <v>23652</v>
      </c>
      <c r="F16" s="39" cm="1">
        <f t="array" ref="F16">IF($P16="","",INDEX('Daily Data'!$M$4:$M$503,$P16))</f>
        <v>43610</v>
      </c>
      <c r="G16" s="46" cm="1">
        <f t="array" ref="G16">IF($P16="","",INDEX('Daily Data'!$S$4:$S$503,$P16))</f>
        <v>0.54235267140564092</v>
      </c>
      <c r="H16" s="69" cm="1">
        <f t="array" ref="H16">IF($P16="","",INDEX('Daily Data'!$V$4:$V$503,$P16))</f>
        <v>9.5637579872204473E-5</v>
      </c>
      <c r="I16" s="69" cm="1">
        <f t="array" ref="I16">IF($P16="","",INDEX('Daily Data'!$W$4:$W$503,$P16))</f>
        <v>1.7633835862619808E-4</v>
      </c>
      <c r="J16" s="42" t="str" cm="1">
        <f t="array" ref="J16">IF($P16="","",INDEX('Daily Data'!$AA$4:$AA$503,$P16))</f>
        <v/>
      </c>
      <c r="K16" s="54" t="str" cm="1">
        <f t="array" ref="K16">IF($P16="","",INDEX('Daily Data'!$AC$4:$AC$503,$P16))</f>
        <v/>
      </c>
      <c r="L16" s="50" cm="1">
        <f t="array" ref="L16">IF($P16="","",INDEX('Daily Data'!$AG$4:$AG$503,$P16))</f>
        <v>48.5</v>
      </c>
      <c r="M16" s="49" cm="1">
        <f t="array" ref="M16">IF($P16="","",INDEX('Daily Data'!$AH$4:$AH$503,$P16))</f>
        <v>34</v>
      </c>
      <c r="N16" s="9" t="str" cm="1">
        <f t="array" ref="N16">IF($P16="","",INDEX('Daily Data'!$AJ$4:$AJ$503,$P16)&amp;IF(N($O16)&lt;Settings!$C$57," (low confidence)",""))</f>
        <v>Sell Pressure</v>
      </c>
      <c r="O16" s="50" cm="1">
        <f t="array" ref="O16">IF($P16="","",INDEX('Daily Data'!$AI$4:$AI$503,$P16))</f>
        <v>75</v>
      </c>
      <c r="P16" s="70">
        <f>IF($A16="","",IFERROR(MATCH($A16&amp;"|"&amp;TEXT($B$3,"yyyy-mm-dd"),'Daily Data'!$AU$4:$AU$503,0),""))</f>
        <v>129</v>
      </c>
    </row>
    <row r="17" spans="1:16" x14ac:dyDescent="0.3">
      <c r="A17" s="38" t="str">
        <f>IF(Symbols!A15="","",Symbols!A15)</f>
        <v>MKCB</v>
      </c>
      <c r="B17" s="9" t="str" cm="1">
        <f t="array" ref="B17">IF($A17="","",INDEX(Symbols!$B$4:$B$43,ROW()-5))</f>
        <v>Mkombozi Commercial Bank PLC</v>
      </c>
      <c r="C17" s="68" cm="1">
        <f t="array" ref="C17">IF($P17="","",INDEX('Daily Data'!$E$4:$E$503,$P17))</f>
        <v>3760</v>
      </c>
      <c r="D17" s="42" cm="1">
        <f t="array" ref="D17">IF($P17="","",INDEX('Daily Data'!$H$4:$H$503,$P17))</f>
        <v>-7.9155672823219003E-3</v>
      </c>
      <c r="E17" s="39" cm="1">
        <f t="array" ref="E17">IF($P17="","",INDEX('Daily Data'!$L$4:$L$503,$P17))</f>
        <v>1254</v>
      </c>
      <c r="F17" s="39" cm="1">
        <f t="array" ref="F17">IF($P17="","",INDEX('Daily Data'!$M$4:$M$503,$P17))</f>
        <v>9834</v>
      </c>
      <c r="G17" s="46" cm="1">
        <f t="array" ref="G17">IF($P17="","",INDEX('Daily Data'!$S$4:$S$503,$P17))</f>
        <v>0.12751677852348994</v>
      </c>
      <c r="H17" s="69" cm="1">
        <f t="array" ref="H17">IF($P17="","",INDEX('Daily Data'!$V$4:$V$503,$P17))</f>
        <v>5.3235181212600204E-5</v>
      </c>
      <c r="I17" s="69" cm="1">
        <f t="array" ref="I17">IF($P17="","",INDEX('Daily Data'!$W$4:$W$503,$P17))</f>
        <v>4.1747589477249633E-4</v>
      </c>
      <c r="J17" s="42" t="str" cm="1">
        <f t="array" ref="J17">IF($P17="","",INDEX('Daily Data'!$AA$4:$AA$503,$P17))</f>
        <v/>
      </c>
      <c r="K17" s="54" t="str" cm="1">
        <f t="array" ref="K17">IF($P17="","",INDEX('Daily Data'!$AC$4:$AC$503,$P17))</f>
        <v/>
      </c>
      <c r="L17" s="50" cm="1">
        <f t="array" ref="L17">IF($P17="","",INDEX('Daily Data'!$AG$4:$AG$503,$P17))</f>
        <v>7.1</v>
      </c>
      <c r="M17" s="49" cm="1">
        <f t="array" ref="M17">IF($P17="","",INDEX('Daily Data'!$AH$4:$AH$503,$P17))</f>
        <v>29.8</v>
      </c>
      <c r="N17" s="9" t="str" cm="1">
        <f t="array" ref="N17">IF($P17="","",INDEX('Daily Data'!$AJ$4:$AJ$503,$P17)&amp;IF(N($O17)&lt;Settings!$C$57," (low confidence)",""))</f>
        <v>Sell Pressure</v>
      </c>
      <c r="O17" s="50" cm="1">
        <f t="array" ref="O17">IF($P17="","",INDEX('Daily Data'!$AI$4:$AI$503,$P17))</f>
        <v>75</v>
      </c>
      <c r="P17" s="70">
        <f>IF($A17="","",IFERROR(MATCH($A17&amp;"|"&amp;TEXT($B$3,"yyyy-mm-dd"),'Daily Data'!$AU$4:$AU$503,0),""))</f>
        <v>130</v>
      </c>
    </row>
    <row r="18" spans="1:16" x14ac:dyDescent="0.3">
      <c r="A18" s="38" t="str">
        <f>IF(Symbols!A16="","",Symbols!A16)</f>
        <v>MUCOBA</v>
      </c>
      <c r="B18" s="9" t="str" cm="1">
        <f t="array" ref="B18">IF($A18="","",INDEX(Symbols!$B$4:$B$43,ROW()-5))</f>
        <v>MUCOBA Bank PLC</v>
      </c>
      <c r="C18" s="68" cm="1">
        <f t="array" ref="C18">IF($P18="","",INDEX('Daily Data'!$E$4:$E$503,$P18))</f>
        <v>455</v>
      </c>
      <c r="D18" s="42" cm="1">
        <f t="array" ref="D18">IF($P18="","",INDEX('Daily Data'!$H$4:$H$503,$P18))</f>
        <v>-2.1505376344086002E-2</v>
      </c>
      <c r="E18" s="39" cm="1">
        <f t="array" ref="E18">IF($P18="","",INDEX('Daily Data'!$L$4:$L$503,$P18))</f>
        <v>2060</v>
      </c>
      <c r="F18" s="39" cm="1">
        <f t="array" ref="F18">IF($P18="","",INDEX('Daily Data'!$M$4:$M$503,$P18))</f>
        <v>10793</v>
      </c>
      <c r="G18" s="46" cm="1">
        <f t="array" ref="G18">IF($P18="","",INDEX('Daily Data'!$S$4:$S$503,$P18))</f>
        <v>0.1908644491800241</v>
      </c>
      <c r="H18" s="69" cm="1">
        <f t="array" ref="H18">IF($P18="","",INDEX('Daily Data'!$V$4:$V$503,$P18))</f>
        <v>6.307537012113055E-5</v>
      </c>
      <c r="I18" s="69" cm="1">
        <f t="array" ref="I18">IF($P18="","",INDEX('Daily Data'!$W$4:$W$503,$P18))</f>
        <v>3.3047207267833108E-4</v>
      </c>
      <c r="J18" s="42" t="str" cm="1">
        <f t="array" ref="J18">IF($P18="","",INDEX('Daily Data'!$AA$4:$AA$503,$P18))</f>
        <v/>
      </c>
      <c r="K18" s="54" t="str" cm="1">
        <f t="array" ref="K18">IF($P18="","",INDEX('Daily Data'!$AC$4:$AC$503,$P18))</f>
        <v/>
      </c>
      <c r="L18" s="50" cm="1">
        <f t="array" ref="L18">IF($P18="","",INDEX('Daily Data'!$AG$4:$AG$503,$P18))</f>
        <v>4.0999999999999996</v>
      </c>
      <c r="M18" s="49" cm="1">
        <f t="array" ref="M18">IF($P18="","",INDEX('Daily Data'!$AH$4:$AH$503,$P18))</f>
        <v>28.9</v>
      </c>
      <c r="N18" s="9" t="str" cm="1">
        <f t="array" ref="N18">IF($P18="","",INDEX('Daily Data'!$AJ$4:$AJ$503,$P18)&amp;IF(N($O18)&lt;Settings!$C$57," (low confidence)",""))</f>
        <v>Sell Pressure</v>
      </c>
      <c r="O18" s="50" cm="1">
        <f t="array" ref="O18">IF($P18="","",INDEX('Daily Data'!$AI$4:$AI$503,$P18))</f>
        <v>75</v>
      </c>
      <c r="P18" s="70">
        <f>IF($A18="","",IFERROR(MATCH($A18&amp;"|"&amp;TEXT($B$3,"yyyy-mm-dd"),'Daily Data'!$AU$4:$AU$503,0),""))</f>
        <v>131</v>
      </c>
    </row>
    <row r="19" spans="1:16" x14ac:dyDescent="0.3">
      <c r="A19" s="38" t="str">
        <f>IF(Symbols!A17="","",Symbols!A17)</f>
        <v>NICO</v>
      </c>
      <c r="B19" s="9" t="str" cm="1">
        <f t="array" ref="B19">IF($A19="","",INDEX(Symbols!$B$4:$B$43,ROW()-5))</f>
        <v>National Investments Company Ltd (NICOL)</v>
      </c>
      <c r="C19" s="68" cm="1">
        <f t="array" ref="C19">IF($P19="","",INDEX('Daily Data'!$E$4:$E$503,$P19))</f>
        <v>3820</v>
      </c>
      <c r="D19" s="42" cm="1">
        <f t="array" ref="D19">IF($P19="","",INDEX('Daily Data'!$H$4:$H$503,$P19))</f>
        <v>4.9450549450549497E-2</v>
      </c>
      <c r="E19" s="39" cm="1">
        <f t="array" ref="E19">IF($P19="","",INDEX('Daily Data'!$L$4:$L$503,$P19))</f>
        <v>15795</v>
      </c>
      <c r="F19" s="39" cm="1">
        <f t="array" ref="F19">IF($P19="","",INDEX('Daily Data'!$M$4:$M$503,$P19))</f>
        <v>2447</v>
      </c>
      <c r="G19" s="46" cm="1">
        <f t="array" ref="G19">IF($P19="","",INDEX('Daily Data'!$S$4:$S$503,$P19))</f>
        <v>6.4548426644871268</v>
      </c>
      <c r="H19" s="69" cm="1">
        <f t="array" ref="H19">IF($P19="","",INDEX('Daily Data'!$V$4:$V$503,$P19))</f>
        <v>2.5622940377102092E-4</v>
      </c>
      <c r="I19" s="69" cm="1">
        <f t="array" ref="I19">IF($P19="","",INDEX('Daily Data'!$W$4:$W$503,$P19))</f>
        <v>3.9695685408527262E-5</v>
      </c>
      <c r="J19" s="42" t="str" cm="1">
        <f t="array" ref="J19">IF($P19="","",INDEX('Daily Data'!$AA$4:$AA$503,$P19))</f>
        <v/>
      </c>
      <c r="K19" s="54" t="str" cm="1">
        <f t="array" ref="K19">IF($P19="","",INDEX('Daily Data'!$AC$4:$AC$503,$P19))</f>
        <v/>
      </c>
      <c r="L19" s="50" cm="1">
        <f t="array" ref="L19">IF($P19="","",INDEX('Daily Data'!$AG$4:$AG$503,$P19))</f>
        <v>38.5</v>
      </c>
      <c r="M19" s="49" cm="1">
        <f t="array" ref="M19">IF($P19="","",INDEX('Daily Data'!$AH$4:$AH$503,$P19))</f>
        <v>76.5</v>
      </c>
      <c r="N19" s="9" t="str" cm="1">
        <f t="array" ref="N19">IF($P19="","",INDEX('Daily Data'!$AJ$4:$AJ$503,$P19)&amp;IF(N($O19)&lt;Settings!$C$57," (low confidence)",""))</f>
        <v>Buy Pressure</v>
      </c>
      <c r="O19" s="50" cm="1">
        <f t="array" ref="O19">IF($P19="","",INDEX('Daily Data'!$AI$4:$AI$503,$P19))</f>
        <v>75</v>
      </c>
      <c r="P19" s="70">
        <f>IF($A19="","",IFERROR(MATCH($A19&amp;"|"&amp;TEXT($B$3,"yyyy-mm-dd"),'Daily Data'!$AU$4:$AU$503,0),""))</f>
        <v>132</v>
      </c>
    </row>
    <row r="20" spans="1:16" x14ac:dyDescent="0.3">
      <c r="A20" s="38" t="str">
        <f>IF(Symbols!A18="","",Symbols!A18)</f>
        <v>NMB</v>
      </c>
      <c r="B20" s="9" t="str" cm="1">
        <f t="array" ref="B20">IF($A20="","",INDEX(Symbols!$B$4:$B$43,ROW()-5))</f>
        <v>NMB Bank PLC</v>
      </c>
      <c r="C20" s="68" cm="1">
        <f t="array" ref="C20">IF($P20="","",INDEX('Daily Data'!$E$4:$E$503,$P20))</f>
        <v>17700</v>
      </c>
      <c r="D20" s="42" cm="1">
        <f t="array" ref="D20">IF($P20="","",INDEX('Daily Data'!$H$4:$H$503,$P20))</f>
        <v>2.8328611898016387E-3</v>
      </c>
      <c r="E20" s="39" cm="1">
        <f t="array" ref="E20">IF($P20="","",INDEX('Daily Data'!$L$4:$L$503,$P20))</f>
        <v>72424</v>
      </c>
      <c r="F20" s="39" cm="1">
        <f t="array" ref="F20">IF($P20="","",INDEX('Daily Data'!$M$4:$M$503,$P20))</f>
        <v>247</v>
      </c>
      <c r="G20" s="46" cm="1">
        <f t="array" ref="G20">IF($P20="","",INDEX('Daily Data'!$S$4:$S$503,$P20))</f>
        <v>293.21457489878543</v>
      </c>
      <c r="H20" s="69" cm="1">
        <f t="array" ref="H20">IF($P20="","",INDEX('Daily Data'!$V$4:$V$503,$P20))</f>
        <v>1.4484799999999999E-4</v>
      </c>
      <c r="I20" s="69" cm="1">
        <f t="array" ref="I20">IF($P20="","",INDEX('Daily Data'!$W$4:$W$503,$P20))</f>
        <v>4.9399999999999995E-7</v>
      </c>
      <c r="J20" s="42" t="str" cm="1">
        <f t="array" ref="J20">IF($P20="","",INDEX('Daily Data'!$AA$4:$AA$503,$P20))</f>
        <v/>
      </c>
      <c r="K20" s="54" t="str" cm="1">
        <f t="array" ref="K20">IF($P20="","",INDEX('Daily Data'!$AC$4:$AC$503,$P20))</f>
        <v/>
      </c>
      <c r="L20" s="50" cm="1">
        <f t="array" ref="L20">IF($P20="","",INDEX('Daily Data'!$AG$4:$AG$503,$P20))</f>
        <v>80.2</v>
      </c>
      <c r="M20" s="49" cm="1">
        <f t="array" ref="M20">IF($P20="","",INDEX('Daily Data'!$AH$4:$AH$503,$P20))</f>
        <v>70.900000000000006</v>
      </c>
      <c r="N20" s="9" t="str" cm="1">
        <f t="array" ref="N20">IF($P20="","",INDEX('Daily Data'!$AJ$4:$AJ$503,$P20)&amp;IF(N($O20)&lt;Settings!$C$57," (low confidence)",""))</f>
        <v>Buy Pressure</v>
      </c>
      <c r="O20" s="50" cm="1">
        <f t="array" ref="O20">IF($P20="","",INDEX('Daily Data'!$AI$4:$AI$503,$P20))</f>
        <v>75</v>
      </c>
      <c r="P20" s="70">
        <f>IF($A20="","",IFERROR(MATCH($A20&amp;"|"&amp;TEXT($B$3,"yyyy-mm-dd"),'Daily Data'!$AU$4:$AU$503,0),""))</f>
        <v>133</v>
      </c>
    </row>
    <row r="21" spans="1:16" x14ac:dyDescent="0.3">
      <c r="A21" s="38" t="str">
        <f>IF(Symbols!A19="","",Symbols!A19)</f>
        <v>NMG</v>
      </c>
      <c r="B21" s="9" t="str" cm="1">
        <f t="array" ref="B21">IF($A21="","",INDEX(Symbols!$B$4:$B$43,ROW()-5))</f>
        <v>Nation Media Group PLC</v>
      </c>
      <c r="C21" s="68" cm="1">
        <f t="array" ref="C21">IF($P21="","",INDEX('Daily Data'!$E$4:$E$503,$P21))</f>
        <v>275</v>
      </c>
      <c r="D21" s="42" cm="1">
        <f t="array" ref="D21">IF($P21="","",INDEX('Daily Data'!$H$4:$H$503,$P21))</f>
        <v>-1.7857142857142905E-2</v>
      </c>
      <c r="E21" s="39" cm="1">
        <f t="array" ref="E21">IF($P21="","",INDEX('Daily Data'!$L$4:$L$503,$P21))</f>
        <v>138</v>
      </c>
      <c r="F21" s="39" cm="1">
        <f t="array" ref="F21">IF($P21="","",INDEX('Daily Data'!$M$4:$M$503,$P21))</f>
        <v>0</v>
      </c>
      <c r="G21" s="46" t="str" cm="1">
        <f t="array" ref="G21">IF($P21="","",INDEX('Daily Data'!$S$4:$S$503,$P21))</f>
        <v/>
      </c>
      <c r="H21" s="69" cm="1">
        <f t="array" ref="H21">IF($P21="","",INDEX('Daily Data'!$V$4:$V$503,$P21))</f>
        <v>7.3191899710703957E-7</v>
      </c>
      <c r="I21" s="69" cm="1">
        <f t="array" ref="I21">IF($P21="","",INDEX('Daily Data'!$W$4:$W$503,$P21))</f>
        <v>0</v>
      </c>
      <c r="J21" s="42" t="str" cm="1">
        <f t="array" ref="J21">IF($P21="","",INDEX('Daily Data'!$AA$4:$AA$503,$P21))</f>
        <v/>
      </c>
      <c r="K21" s="54" t="str" cm="1">
        <f t="array" ref="K21">IF($P21="","",INDEX('Daily Data'!$AC$4:$AC$503,$P21))</f>
        <v/>
      </c>
      <c r="L21" s="50" cm="1">
        <f t="array" ref="L21">IF($P21="","",INDEX('Daily Data'!$AG$4:$AG$503,$P21))</f>
        <v>0</v>
      </c>
      <c r="M21" s="49" cm="1">
        <f t="array" ref="M21">IF($P21="","",INDEX('Daily Data'!$AH$4:$AH$503,$P21))</f>
        <v>62.3</v>
      </c>
      <c r="N21" s="9" t="str" cm="1">
        <f t="array" ref="N21">IF($P21="","",INDEX('Daily Data'!$AJ$4:$AJ$503,$P21)&amp;IF(N($O21)&lt;Settings!$C$57," (low confidence)",""))</f>
        <v>Buy Pressure (low confidence)</v>
      </c>
      <c r="O21" s="50" cm="1">
        <f t="array" ref="O21">IF($P21="","",INDEX('Daily Data'!$AI$4:$AI$503,$P21))</f>
        <v>55</v>
      </c>
      <c r="P21" s="70">
        <f>IF($A21="","",IFERROR(MATCH($A21&amp;"|"&amp;TEXT($B$3,"yyyy-mm-dd"),'Daily Data'!$AU$4:$AU$503,0),""))</f>
        <v>134</v>
      </c>
    </row>
    <row r="22" spans="1:16" x14ac:dyDescent="0.3">
      <c r="A22" s="38" t="str">
        <f>IF(Symbols!A20="","",Symbols!A20)</f>
        <v>PAL</v>
      </c>
      <c r="B22" s="9" t="str" cm="1">
        <f t="array" ref="B22">IF($A22="","",INDEX(Symbols!$B$4:$B$43,ROW()-5))</f>
        <v>Precision Air Services PLC</v>
      </c>
      <c r="C22" s="68" cm="1">
        <f t="array" ref="C22">IF($P22="","",INDEX('Daily Data'!$E$4:$E$503,$P22))</f>
        <v>345</v>
      </c>
      <c r="D22" s="42" cm="1">
        <f t="array" ref="D22">IF($P22="","",INDEX('Daily Data'!$H$4:$H$503,$P22))</f>
        <v>1.4705882352941124E-2</v>
      </c>
      <c r="E22" s="39" cm="1">
        <f t="array" ref="E22">IF($P22="","",INDEX('Daily Data'!$L$4:$L$503,$P22))</f>
        <v>1721</v>
      </c>
      <c r="F22" s="39" cm="1">
        <f t="array" ref="F22">IF($P22="","",INDEX('Daily Data'!$M$4:$M$503,$P22))</f>
        <v>18095</v>
      </c>
      <c r="G22" s="46" cm="1">
        <f t="array" ref="G22">IF($P22="","",INDEX('Daily Data'!$S$4:$S$503,$P22))</f>
        <v>9.5109146172975959E-2</v>
      </c>
      <c r="H22" s="69" cm="1">
        <f t="array" ref="H22">IF($P22="","",INDEX('Daily Data'!$V$4:$V$503,$P22))</f>
        <v>1.0725162572254336E-5</v>
      </c>
      <c r="I22" s="69" cm="1">
        <f t="array" ref="I22">IF($P22="","",INDEX('Daily Data'!$W$4:$W$503,$P22))</f>
        <v>1.1276688945086705E-4</v>
      </c>
      <c r="J22" s="42" t="str" cm="1">
        <f t="array" ref="J22">IF($P22="","",INDEX('Daily Data'!$AA$4:$AA$503,$P22))</f>
        <v/>
      </c>
      <c r="K22" s="54" t="str" cm="1">
        <f t="array" ref="K22">IF($P22="","",INDEX('Daily Data'!$AC$4:$AC$503,$P22))</f>
        <v/>
      </c>
      <c r="L22" s="50" cm="1">
        <f t="array" ref="L22">IF($P22="","",INDEX('Daily Data'!$AG$4:$AG$503,$P22))</f>
        <v>9.9</v>
      </c>
      <c r="M22" s="49" cm="1">
        <f t="array" ref="M22">IF($P22="","",INDEX('Daily Data'!$AH$4:$AH$503,$P22))</f>
        <v>35.700000000000003</v>
      </c>
      <c r="N22" s="9" t="str" cm="1">
        <f t="array" ref="N22">IF($P22="","",INDEX('Daily Data'!$AJ$4:$AJ$503,$P22)&amp;IF(N($O22)&lt;Settings!$C$57," (low confidence)",""))</f>
        <v>Sell Pressure</v>
      </c>
      <c r="O22" s="50" cm="1">
        <f t="array" ref="O22">IF($P22="","",INDEX('Daily Data'!$AI$4:$AI$503,$P22))</f>
        <v>75</v>
      </c>
      <c r="P22" s="70">
        <f>IF($A22="","",IFERROR(MATCH($A22&amp;"|"&amp;TEXT($B$3,"yyyy-mm-dd"),'Daily Data'!$AU$4:$AU$503,0),""))</f>
        <v>135</v>
      </c>
    </row>
    <row r="23" spans="1:16" x14ac:dyDescent="0.3">
      <c r="A23" s="38" t="str">
        <f>IF(Symbols!A21="","",Symbols!A21)</f>
        <v>SWALA</v>
      </c>
      <c r="B23" s="9" t="str" cm="1">
        <f t="array" ref="B23">IF($A23="","",INDEX(Symbols!$B$4:$B$43,ROW()-5))</f>
        <v>Swala Oil and Gas (Tanzania) PLC</v>
      </c>
      <c r="C23" s="68" cm="1">
        <f t="array" ref="C23">IF($P23="","",INDEX('Daily Data'!$E$4:$E$503,$P23))</f>
        <v>450</v>
      </c>
      <c r="D23" s="42" cm="1">
        <f t="array" ref="D23">IF($P23="","",INDEX('Daily Data'!$H$4:$H$503,$P23))</f>
        <v>0</v>
      </c>
      <c r="E23" s="39" cm="1">
        <f t="array" ref="E23">IF($P23="","",INDEX('Daily Data'!$L$4:$L$503,$P23))</f>
        <v>0</v>
      </c>
      <c r="F23" s="39" cm="1">
        <f t="array" ref="F23">IF($P23="","",INDEX('Daily Data'!$M$4:$M$503,$P23))</f>
        <v>0</v>
      </c>
      <c r="G23" s="46" t="str" cm="1">
        <f t="array" ref="G23">IF($P23="","",INDEX('Daily Data'!$S$4:$S$503,$P23))</f>
        <v/>
      </c>
      <c r="H23" s="69" cm="1">
        <f t="array" ref="H23">IF($P23="","",INDEX('Daily Data'!$V$4:$V$503,$P23))</f>
        <v>0</v>
      </c>
      <c r="I23" s="69" cm="1">
        <f t="array" ref="I23">IF($P23="","",INDEX('Daily Data'!$W$4:$W$503,$P23))</f>
        <v>0</v>
      </c>
      <c r="J23" s="42" t="str" cm="1">
        <f t="array" ref="J23">IF($P23="","",INDEX('Daily Data'!$AA$4:$AA$503,$P23))</f>
        <v/>
      </c>
      <c r="K23" s="54" t="str" cm="1">
        <f t="array" ref="K23">IF($P23="","",INDEX('Daily Data'!$AC$4:$AC$503,$P23))</f>
        <v/>
      </c>
      <c r="L23" s="50" cm="1">
        <f t="array" ref="L23">IF($P23="","",INDEX('Daily Data'!$AG$4:$AG$503,$P23))</f>
        <v>0</v>
      </c>
      <c r="M23" s="49" cm="1">
        <f t="array" ref="M23">IF($P23="","",INDEX('Daily Data'!$AH$4:$AH$503,$P23))</f>
        <v>50</v>
      </c>
      <c r="N23" s="9" t="str" cm="1">
        <f t="array" ref="N23">IF($P23="","",INDEX('Daily Data'!$AJ$4:$AJ$503,$P23)&amp;IF(N($O23)&lt;Settings!$C$57," (low confidence)",""))</f>
        <v>Neutral (low confidence)</v>
      </c>
      <c r="O23" s="50" cm="1">
        <f t="array" ref="O23">IF($P23="","",INDEX('Daily Data'!$AI$4:$AI$503,$P23))</f>
        <v>30</v>
      </c>
      <c r="P23" s="70">
        <f>IF($A23="","",IFERROR(MATCH($A23&amp;"|"&amp;TEXT($B$3,"yyyy-mm-dd"),'Daily Data'!$AU$4:$AU$503,0),""))</f>
        <v>136</v>
      </c>
    </row>
    <row r="24" spans="1:16" x14ac:dyDescent="0.3">
      <c r="A24" s="38" t="str">
        <f>IF(Symbols!A22="","",Symbols!A22)</f>
        <v>SWIS</v>
      </c>
      <c r="B24" s="9" t="str" cm="1">
        <f t="array" ref="B24">IF($A24="","",INDEX(Symbols!$B$4:$B$43,ROW()-5))</f>
        <v>Swissport Tanzania PLC</v>
      </c>
      <c r="C24" s="68" cm="1">
        <f t="array" ref="C24">IF($P24="","",INDEX('Daily Data'!$E$4:$E$503,$P24))</f>
        <v>2570</v>
      </c>
      <c r="D24" s="42" cm="1">
        <f t="array" ref="D24">IF($P24="","",INDEX('Daily Data'!$H$4:$H$503,$P24))</f>
        <v>0</v>
      </c>
      <c r="E24" s="39" cm="1">
        <f t="array" ref="E24">IF($P24="","",INDEX('Daily Data'!$L$4:$L$503,$P24))</f>
        <v>13099</v>
      </c>
      <c r="F24" s="39" cm="1">
        <f t="array" ref="F24">IF($P24="","",INDEX('Daily Data'!$M$4:$M$503,$P24))</f>
        <v>1422</v>
      </c>
      <c r="G24" s="46" cm="1">
        <f t="array" ref="G24">IF($P24="","",INDEX('Daily Data'!$S$4:$S$503,$P24))</f>
        <v>9.2116736990154706</v>
      </c>
      <c r="H24" s="69" cm="1">
        <f t="array" ref="H24">IF($P24="","",INDEX('Daily Data'!$V$4:$V$503,$P24))</f>
        <v>3.6386111111111113E-4</v>
      </c>
      <c r="I24" s="69" cm="1">
        <f t="array" ref="I24">IF($P24="","",INDEX('Daily Data'!$W$4:$W$503,$P24))</f>
        <v>3.9499999999999998E-5</v>
      </c>
      <c r="J24" s="42" t="str" cm="1">
        <f t="array" ref="J24">IF($P24="","",INDEX('Daily Data'!$AA$4:$AA$503,$P24))</f>
        <v/>
      </c>
      <c r="K24" s="54" t="str" cm="1">
        <f t="array" ref="K24">IF($P24="","",INDEX('Daily Data'!$AC$4:$AC$503,$P24))</f>
        <v/>
      </c>
      <c r="L24" s="50" cm="1">
        <f t="array" ref="L24">IF($P24="","",INDEX('Daily Data'!$AG$4:$AG$503,$P24))</f>
        <v>6.8</v>
      </c>
      <c r="M24" s="49" cm="1">
        <f t="array" ref="M24">IF($P24="","",INDEX('Daily Data'!$AH$4:$AH$503,$P24))</f>
        <v>68.599999999999994</v>
      </c>
      <c r="N24" s="9" t="str" cm="1">
        <f t="array" ref="N24">IF($P24="","",INDEX('Daily Data'!$AJ$4:$AJ$503,$P24)&amp;IF(N($O24)&lt;Settings!$C$57," (low confidence)",""))</f>
        <v>Buy Pressure (low confidence)</v>
      </c>
      <c r="O24" s="50" cm="1">
        <f t="array" ref="O24">IF($P24="","",INDEX('Daily Data'!$AI$4:$AI$503,$P24))</f>
        <v>55</v>
      </c>
      <c r="P24" s="70">
        <f>IF($A24="","",IFERROR(MATCH($A24&amp;"|"&amp;TEXT($B$3,"yyyy-mm-dd"),'Daily Data'!$AU$4:$AU$503,0),""))</f>
        <v>137</v>
      </c>
    </row>
    <row r="25" spans="1:16" x14ac:dyDescent="0.3">
      <c r="A25" s="38" t="str">
        <f>IF(Symbols!A23="","",Symbols!A23)</f>
        <v>TBL</v>
      </c>
      <c r="B25" s="9" t="str" cm="1">
        <f t="array" ref="B25">IF($A25="","",INDEX(Symbols!$B$4:$B$43,ROW()-5))</f>
        <v>Tanzania Breweries Ltd</v>
      </c>
      <c r="C25" s="68" cm="1">
        <f t="array" ref="C25">IF($P25="","",INDEX('Daily Data'!$E$4:$E$503,$P25))</f>
        <v>9930</v>
      </c>
      <c r="D25" s="42" cm="1">
        <f t="array" ref="D25">IF($P25="","",INDEX('Daily Data'!$H$4:$H$503,$P25))</f>
        <v>-2.0100502512563345E-3</v>
      </c>
      <c r="E25" s="39" cm="1">
        <f t="array" ref="E25">IF($P25="","",INDEX('Daily Data'!$L$4:$L$503,$P25))</f>
        <v>552</v>
      </c>
      <c r="F25" s="39" cm="1">
        <f t="array" ref="F25">IF($P25="","",INDEX('Daily Data'!$M$4:$M$503,$P25))</f>
        <v>970</v>
      </c>
      <c r="G25" s="46" cm="1">
        <f t="array" ref="G25">IF($P25="","",INDEX('Daily Data'!$S$4:$S$503,$P25))</f>
        <v>0.56907216494845358</v>
      </c>
      <c r="H25" s="69" cm="1">
        <f t="array" ref="H25">IF($P25="","",INDEX('Daily Data'!$V$4:$V$503,$P25))</f>
        <v>1.8708287967889799E-6</v>
      </c>
      <c r="I25" s="69" cm="1">
        <f t="array" ref="I25">IF($P25="","",INDEX('Daily Data'!$W$4:$W$503,$P25))</f>
        <v>3.2875071247922289E-6</v>
      </c>
      <c r="J25" s="42" t="str" cm="1">
        <f t="array" ref="J25">IF($P25="","",INDEX('Daily Data'!$AA$4:$AA$503,$P25))</f>
        <v/>
      </c>
      <c r="K25" s="54" t="str" cm="1">
        <f t="array" ref="K25">IF($P25="","",INDEX('Daily Data'!$AC$4:$AC$503,$P25))</f>
        <v/>
      </c>
      <c r="L25" s="50" cm="1">
        <f t="array" ref="L25">IF($P25="","",INDEX('Daily Data'!$AG$4:$AG$503,$P25))</f>
        <v>10.199999999999999</v>
      </c>
      <c r="M25" s="49" cm="1">
        <f t="array" ref="M25">IF($P25="","",INDEX('Daily Data'!$AH$4:$AH$503,$P25))</f>
        <v>43.4</v>
      </c>
      <c r="N25" s="9" t="str" cm="1">
        <f t="array" ref="N25">IF($P25="","",INDEX('Daily Data'!$AJ$4:$AJ$503,$P25)&amp;IF(N($O25)&lt;Settings!$C$57," (low confidence)",""))</f>
        <v>Neutral</v>
      </c>
      <c r="O25" s="50" cm="1">
        <f t="array" ref="O25">IF($P25="","",INDEX('Daily Data'!$AI$4:$AI$503,$P25))</f>
        <v>75</v>
      </c>
      <c r="P25" s="70">
        <f>IF($A25="","",IFERROR(MATCH($A25&amp;"|"&amp;TEXT($B$3,"yyyy-mm-dd"),'Daily Data'!$AU$4:$AU$503,0),""))</f>
        <v>138</v>
      </c>
    </row>
    <row r="26" spans="1:16" x14ac:dyDescent="0.3">
      <c r="A26" s="38" t="str">
        <f>IF(Symbols!A24="","",Symbols!A24)</f>
        <v>TCC</v>
      </c>
      <c r="B26" s="9" t="str" cm="1">
        <f t="array" ref="B26">IF($A26="","",INDEX(Symbols!$B$4:$B$43,ROW()-5))</f>
        <v>Tanzania Cigarette Company Ltd</v>
      </c>
      <c r="C26" s="68" cm="1">
        <f t="array" ref="C26">IF($P26="","",INDEX('Daily Data'!$E$4:$E$503,$P26))</f>
        <v>12500</v>
      </c>
      <c r="D26" s="42" cm="1">
        <f t="array" ref="D26">IF($P26="","",INDEX('Daily Data'!$H$4:$H$503,$P26))</f>
        <v>0</v>
      </c>
      <c r="E26" s="39" cm="1">
        <f t="array" ref="E26">IF($P26="","",INDEX('Daily Data'!$L$4:$L$503,$P26))</f>
        <v>10147</v>
      </c>
      <c r="F26" s="39" cm="1">
        <f t="array" ref="F26">IF($P26="","",INDEX('Daily Data'!$M$4:$M$503,$P26))</f>
        <v>0</v>
      </c>
      <c r="G26" s="46" t="str" cm="1">
        <f t="array" ref="G26">IF($P26="","",INDEX('Daily Data'!$S$4:$S$503,$P26))</f>
        <v/>
      </c>
      <c r="H26" s="69" cm="1">
        <f t="array" ref="H26">IF($P26="","",INDEX('Daily Data'!$V$4:$V$503,$P26))</f>
        <v>1.0147E-4</v>
      </c>
      <c r="I26" s="69" cm="1">
        <f t="array" ref="I26">IF($P26="","",INDEX('Daily Data'!$W$4:$W$503,$P26))</f>
        <v>0</v>
      </c>
      <c r="J26" s="42" t="str" cm="1">
        <f t="array" ref="J26">IF($P26="","",INDEX('Daily Data'!$AA$4:$AA$503,$P26))</f>
        <v/>
      </c>
      <c r="K26" s="54" t="str" cm="1">
        <f t="array" ref="K26">IF($P26="","",INDEX('Daily Data'!$AC$4:$AC$503,$P26))</f>
        <v/>
      </c>
      <c r="L26" s="50" cm="1">
        <f t="array" ref="L26">IF($P26="","",INDEX('Daily Data'!$AG$4:$AG$503,$P26))</f>
        <v>1.2</v>
      </c>
      <c r="M26" s="49" cm="1">
        <f t="array" ref="M26">IF($P26="","",INDEX('Daily Data'!$AH$4:$AH$503,$P26))</f>
        <v>66.099999999999994</v>
      </c>
      <c r="N26" s="9" t="str" cm="1">
        <f t="array" ref="N26">IF($P26="","",INDEX('Daily Data'!$AJ$4:$AJ$503,$P26)&amp;IF(N($O26)&lt;Settings!$C$57," (low confidence)",""))</f>
        <v>Buy Pressure</v>
      </c>
      <c r="O26" s="50" cm="1">
        <f t="array" ref="O26">IF($P26="","",INDEX('Daily Data'!$AI$4:$AI$503,$P26))</f>
        <v>75</v>
      </c>
      <c r="P26" s="70">
        <f>IF($A26="","",IFERROR(MATCH($A26&amp;"|"&amp;TEXT($B$3,"yyyy-mm-dd"),'Daily Data'!$AU$4:$AU$503,0),""))</f>
        <v>139</v>
      </c>
    </row>
    <row r="27" spans="1:16" x14ac:dyDescent="0.3">
      <c r="A27" s="38" t="str">
        <f>IF(Symbols!A25="","",Symbols!A25)</f>
        <v>TCCL</v>
      </c>
      <c r="B27" s="9" t="str" cm="1">
        <f t="array" ref="B27">IF($A27="","",INDEX(Symbols!$B$4:$B$43,ROW()-5))</f>
        <v>Tanga Cement PLC</v>
      </c>
      <c r="C27" s="68" cm="1">
        <f t="array" ref="C27">IF($P27="","",INDEX('Daily Data'!$E$4:$E$503,$P27))</f>
        <v>3950</v>
      </c>
      <c r="D27" s="42" cm="1">
        <f t="array" ref="D27">IF($P27="","",INDEX('Daily Data'!$H$4:$H$503,$P27))</f>
        <v>1.2820512820512775E-2</v>
      </c>
      <c r="E27" s="39" cm="1">
        <f t="array" ref="E27">IF($P27="","",INDEX('Daily Data'!$L$4:$L$503,$P27))</f>
        <v>9525</v>
      </c>
      <c r="F27" s="39" cm="1">
        <f t="array" ref="F27">IF($P27="","",INDEX('Daily Data'!$M$4:$M$503,$P27))</f>
        <v>3627</v>
      </c>
      <c r="G27" s="46" cm="1">
        <f t="array" ref="G27">IF($P27="","",INDEX('Daily Data'!$S$4:$S$503,$P27))</f>
        <v>2.6261373035566584</v>
      </c>
      <c r="H27" s="69" cm="1">
        <f t="array" ref="H27">IF($P27="","",INDEX('Daily Data'!$V$4:$V$503,$P27))</f>
        <v>4.9865805168986082E-5</v>
      </c>
      <c r="I27" s="69" cm="1">
        <f t="array" ref="I27">IF($P27="","",INDEX('Daily Data'!$W$4:$W$503,$P27))</f>
        <v>1.8988270377733598E-5</v>
      </c>
      <c r="J27" s="42" t="str" cm="1">
        <f t="array" ref="J27">IF($P27="","",INDEX('Daily Data'!$AA$4:$AA$503,$P27))</f>
        <v/>
      </c>
      <c r="K27" s="54" t="str" cm="1">
        <f t="array" ref="K27">IF($P27="","",INDEX('Daily Data'!$AC$4:$AC$503,$P27))</f>
        <v/>
      </c>
      <c r="L27" s="50" cm="1">
        <f t="array" ref="L27">IF($P27="","",INDEX('Daily Data'!$AG$4:$AG$503,$P27))</f>
        <v>41.2</v>
      </c>
      <c r="M27" s="49" cm="1">
        <f t="array" ref="M27">IF($P27="","",INDEX('Daily Data'!$AH$4:$AH$503,$P27))</f>
        <v>64.099999999999994</v>
      </c>
      <c r="N27" s="9" t="str" cm="1">
        <f t="array" ref="N27">IF($P27="","",INDEX('Daily Data'!$AJ$4:$AJ$503,$P27)&amp;IF(N($O27)&lt;Settings!$C$57," (low confidence)",""))</f>
        <v>Buy Pressure</v>
      </c>
      <c r="O27" s="50" cm="1">
        <f t="array" ref="O27">IF($P27="","",INDEX('Daily Data'!$AI$4:$AI$503,$P27))</f>
        <v>75</v>
      </c>
      <c r="P27" s="70">
        <f>IF($A27="","",IFERROR(MATCH($A27&amp;"|"&amp;TEXT($B$3,"yyyy-mm-dd"),'Daily Data'!$AU$4:$AU$503,0),""))</f>
        <v>140</v>
      </c>
    </row>
    <row r="28" spans="1:16" x14ac:dyDescent="0.3">
      <c r="A28" s="38" t="str">
        <f>IF(Symbols!A26="","",Symbols!A26)</f>
        <v>TOL</v>
      </c>
      <c r="B28" s="9" t="str" cm="1">
        <f t="array" ref="B28">IF($A28="","",INDEX(Symbols!$B$4:$B$43,ROW()-5))</f>
        <v>TOL Gases Ltd</v>
      </c>
      <c r="C28" s="68" cm="1">
        <f t="array" ref="C28">IF($P28="","",INDEX('Daily Data'!$E$4:$E$503,$P28))</f>
        <v>1490</v>
      </c>
      <c r="D28" s="42" cm="1">
        <f t="array" ref="D28">IF($P28="","",INDEX('Daily Data'!$H$4:$H$503,$P28))</f>
        <v>2.0547945205479534E-2</v>
      </c>
      <c r="E28" s="39" cm="1">
        <f t="array" ref="E28">IF($P28="","",INDEX('Daily Data'!$L$4:$L$503,$P28))</f>
        <v>2848</v>
      </c>
      <c r="F28" s="39" cm="1">
        <f t="array" ref="F28">IF($P28="","",INDEX('Daily Data'!$M$4:$M$503,$P28))</f>
        <v>3900</v>
      </c>
      <c r="G28" s="46" cm="1">
        <f t="array" ref="G28">IF($P28="","",INDEX('Daily Data'!$S$4:$S$503,$P28))</f>
        <v>0.7302564102564103</v>
      </c>
      <c r="H28" s="69" cm="1">
        <f t="array" ref="H28">IF($P28="","",INDEX('Daily Data'!$V$4:$V$503,$P28))</f>
        <v>4.9527544351073761E-5</v>
      </c>
      <c r="I28" s="69" cm="1">
        <f t="array" ref="I28">IF($P28="","",INDEX('Daily Data'!$W$4:$W$503,$P28))</f>
        <v>6.7822128851540618E-5</v>
      </c>
      <c r="J28" s="42" t="str" cm="1">
        <f t="array" ref="J28">IF($P28="","",INDEX('Daily Data'!$AA$4:$AA$503,$P28))</f>
        <v/>
      </c>
      <c r="K28" s="54" t="str" cm="1">
        <f t="array" ref="K28">IF($P28="","",INDEX('Daily Data'!$AC$4:$AC$503,$P28))</f>
        <v/>
      </c>
      <c r="L28" s="50" cm="1">
        <f t="array" ref="L28">IF($P28="","",INDEX('Daily Data'!$AG$4:$AG$503,$P28))</f>
        <v>9.1999999999999993</v>
      </c>
      <c r="M28" s="49" cm="1">
        <f t="array" ref="M28">IF($P28="","",INDEX('Daily Data'!$AH$4:$AH$503,$P28))</f>
        <v>49.4</v>
      </c>
      <c r="N28" s="9" t="str" cm="1">
        <f t="array" ref="N28">IF($P28="","",INDEX('Daily Data'!$AJ$4:$AJ$503,$P28)&amp;IF(N($O28)&lt;Settings!$C$57," (low confidence)",""))</f>
        <v>Neutral</v>
      </c>
      <c r="O28" s="50" cm="1">
        <f t="array" ref="O28">IF($P28="","",INDEX('Daily Data'!$AI$4:$AI$503,$P28))</f>
        <v>75</v>
      </c>
      <c r="P28" s="70">
        <f>IF($A28="","",IFERROR(MATCH($A28&amp;"|"&amp;TEXT($B$3,"yyyy-mm-dd"),'Daily Data'!$AU$4:$AU$503,0),""))</f>
        <v>141</v>
      </c>
    </row>
    <row r="29" spans="1:16" x14ac:dyDescent="0.3">
      <c r="A29" s="38" t="str">
        <f>IF(Symbols!A27="","",Symbols!A27)</f>
        <v>TPCC</v>
      </c>
      <c r="B29" s="9" t="str" cm="1">
        <f t="array" ref="B29">IF($A29="","",INDEX(Symbols!$B$4:$B$43,ROW()-5))</f>
        <v>Tanzania Portland Cement PLC (Twiga)</v>
      </c>
      <c r="C29" s="68" cm="1">
        <f t="array" ref="C29">IF($P29="","",INDEX('Daily Data'!$E$4:$E$503,$P29))</f>
        <v>6050</v>
      </c>
      <c r="D29" s="42" cm="1">
        <f t="array" ref="D29">IF($P29="","",INDEX('Daily Data'!$H$4:$H$503,$P29))</f>
        <v>1.6806722689075571E-2</v>
      </c>
      <c r="E29" s="39" cm="1">
        <f t="array" ref="E29">IF($P29="","",INDEX('Daily Data'!$L$4:$L$503,$P29))</f>
        <v>8660</v>
      </c>
      <c r="F29" s="39" cm="1">
        <f t="array" ref="F29">IF($P29="","",INDEX('Daily Data'!$M$4:$M$503,$P29))</f>
        <v>10</v>
      </c>
      <c r="G29" s="46" cm="1">
        <f t="array" ref="G29">IF($P29="","",INDEX('Daily Data'!$S$4:$S$503,$P29))</f>
        <v>866</v>
      </c>
      <c r="H29" s="69" cm="1">
        <f t="array" ref="H29">IF($P29="","",INDEX('Daily Data'!$V$4:$V$503,$P29))</f>
        <v>4.8131884284310033E-5</v>
      </c>
      <c r="I29" s="69" cm="1">
        <f t="array" ref="I29">IF($P29="","",INDEX('Daily Data'!$W$4:$W$503,$P29))</f>
        <v>5.5579543053475786E-8</v>
      </c>
      <c r="J29" s="42" t="str" cm="1">
        <f t="array" ref="J29">IF($P29="","",INDEX('Daily Data'!$AA$4:$AA$503,$P29))</f>
        <v/>
      </c>
      <c r="K29" s="54" t="str" cm="1">
        <f t="array" ref="K29">IF($P29="","",INDEX('Daily Data'!$AC$4:$AC$503,$P29))</f>
        <v/>
      </c>
      <c r="L29" s="50" cm="1">
        <f t="array" ref="L29">IF($P29="","",INDEX('Daily Data'!$AG$4:$AG$503,$P29))</f>
        <v>57.9</v>
      </c>
      <c r="M29" s="49" cm="1">
        <f t="array" ref="M29">IF($P29="","",INDEX('Daily Data'!$AH$4:$AH$503,$P29))</f>
        <v>70.900000000000006</v>
      </c>
      <c r="N29" s="9" t="str" cm="1">
        <f t="array" ref="N29">IF($P29="","",INDEX('Daily Data'!$AJ$4:$AJ$503,$P29)&amp;IF(N($O29)&lt;Settings!$C$57," (low confidence)",""))</f>
        <v>Buy Pressure</v>
      </c>
      <c r="O29" s="50" cm="1">
        <f t="array" ref="O29">IF($P29="","",INDEX('Daily Data'!$AI$4:$AI$503,$P29))</f>
        <v>75</v>
      </c>
      <c r="P29" s="70">
        <f>IF($A29="","",IFERROR(MATCH($A29&amp;"|"&amp;TEXT($B$3,"yyyy-mm-dd"),'Daily Data'!$AU$4:$AU$503,0),""))</f>
        <v>142</v>
      </c>
    </row>
    <row r="30" spans="1:16" x14ac:dyDescent="0.3">
      <c r="A30" s="38" t="str">
        <f>IF(Symbols!A28="","",Symbols!A28)</f>
        <v>TTP</v>
      </c>
      <c r="B30" s="9" t="str" cm="1">
        <f t="array" ref="B30">IF($A30="","",INDEX(Symbols!$B$4:$B$43,ROW()-5))</f>
        <v>Tanzania Tea Packers Ltd (TATEPA)</v>
      </c>
      <c r="C30" s="68" cm="1">
        <f t="array" ref="C30">IF($P30="","",INDEX('Daily Data'!$E$4:$E$503,$P30))</f>
        <v>450</v>
      </c>
      <c r="D30" s="42" cm="1">
        <f t="array" ref="D30">IF($P30="","",INDEX('Daily Data'!$H$4:$H$503,$P30))</f>
        <v>0</v>
      </c>
      <c r="E30" s="39" cm="1">
        <f t="array" ref="E30">IF($P30="","",INDEX('Daily Data'!$L$4:$L$503,$P30))</f>
        <v>1090</v>
      </c>
      <c r="F30" s="39" cm="1">
        <f t="array" ref="F30">IF($P30="","",INDEX('Daily Data'!$M$4:$M$503,$P30))</f>
        <v>1013</v>
      </c>
      <c r="G30" s="46" cm="1">
        <f t="array" ref="G30">IF($P30="","",INDEX('Daily Data'!$S$4:$S$503,$P30))</f>
        <v>1.0760118460019743</v>
      </c>
      <c r="H30" s="69" cm="1">
        <f t="array" ref="H30">IF($P30="","",INDEX('Daily Data'!$V$4:$V$503,$P30))</f>
        <v>1.1465638148667602E-5</v>
      </c>
      <c r="I30" s="69" cm="1">
        <f t="array" ref="I30">IF($P30="","",INDEX('Daily Data'!$W$4:$W$503,$P30))</f>
        <v>1.0655680224403928E-5</v>
      </c>
      <c r="J30" s="42" t="str" cm="1">
        <f t="array" ref="J30">IF($P30="","",INDEX('Daily Data'!$AA$4:$AA$503,$P30))</f>
        <v/>
      </c>
      <c r="K30" s="54" t="str" cm="1">
        <f t="array" ref="K30">IF($P30="","",INDEX('Daily Data'!$AC$4:$AC$503,$P30))</f>
        <v/>
      </c>
      <c r="L30" s="50" cm="1">
        <f t="array" ref="L30">IF($P30="","",INDEX('Daily Data'!$AG$4:$AG$503,$P30))</f>
        <v>4.7</v>
      </c>
      <c r="M30" s="49" cm="1">
        <f t="array" ref="M30">IF($P30="","",INDEX('Daily Data'!$AH$4:$AH$503,$P30))</f>
        <v>50.8</v>
      </c>
      <c r="N30" s="9" t="str" cm="1">
        <f t="array" ref="N30">IF($P30="","",INDEX('Daily Data'!$AJ$4:$AJ$503,$P30)&amp;IF(N($O30)&lt;Settings!$C$57," (low confidence)",""))</f>
        <v>Neutral</v>
      </c>
      <c r="O30" s="50" cm="1">
        <f t="array" ref="O30">IF($P30="","",INDEX('Daily Data'!$AI$4:$AI$503,$P30))</f>
        <v>75</v>
      </c>
      <c r="P30" s="70">
        <f>IF($A30="","",IFERROR(MATCH($A30&amp;"|"&amp;TEXT($B$3,"yyyy-mm-dd"),'Daily Data'!$AU$4:$AU$503,0),""))</f>
        <v>143</v>
      </c>
    </row>
    <row r="31" spans="1:16" x14ac:dyDescent="0.3">
      <c r="A31" s="38" t="str">
        <f>IF(Symbols!A29="","",Symbols!A29)</f>
        <v>USL</v>
      </c>
      <c r="B31" s="9" t="str" cm="1">
        <f t="array" ref="B31">IF($A31="","",INDEX(Symbols!$B$4:$B$43,ROW()-5))</f>
        <v>Uchumi Supermarkets PLC</v>
      </c>
      <c r="C31" s="68" cm="1">
        <f t="array" ref="C31">IF($P31="","",INDEX('Daily Data'!$E$4:$E$503,$P31))</f>
        <v>30</v>
      </c>
      <c r="D31" s="42" cm="1">
        <f t="array" ref="D31">IF($P31="","",INDEX('Daily Data'!$H$4:$H$503,$P31))</f>
        <v>0</v>
      </c>
      <c r="E31" s="39" cm="1">
        <f t="array" ref="E31">IF($P31="","",INDEX('Daily Data'!$L$4:$L$503,$P31))</f>
        <v>2778</v>
      </c>
      <c r="F31" s="39" cm="1">
        <f t="array" ref="F31">IF($P31="","",INDEX('Daily Data'!$M$4:$M$503,$P31))</f>
        <v>0</v>
      </c>
      <c r="G31" s="46" t="str" cm="1">
        <f t="array" ref="G31">IF($P31="","",INDEX('Daily Data'!$S$4:$S$503,$P31))</f>
        <v/>
      </c>
      <c r="H31" s="69" cm="1">
        <f t="array" ref="H31">IF($P31="","",INDEX('Daily Data'!$V$4:$V$503,$P31))</f>
        <v>7.6109589041095888E-6</v>
      </c>
      <c r="I31" s="69" cm="1">
        <f t="array" ref="I31">IF($P31="","",INDEX('Daily Data'!$W$4:$W$503,$P31))</f>
        <v>0</v>
      </c>
      <c r="J31" s="42" t="str" cm="1">
        <f t="array" ref="J31">IF($P31="","",INDEX('Daily Data'!$AA$4:$AA$503,$P31))</f>
        <v/>
      </c>
      <c r="K31" s="54" t="str" cm="1">
        <f t="array" ref="K31">IF($P31="","",INDEX('Daily Data'!$AC$4:$AC$503,$P31))</f>
        <v/>
      </c>
      <c r="L31" s="50" cm="1">
        <f t="array" ref="L31">IF($P31="","",INDEX('Daily Data'!$AG$4:$AG$503,$P31))</f>
        <v>0</v>
      </c>
      <c r="M31" s="49" cm="1">
        <f t="array" ref="M31">IF($P31="","",INDEX('Daily Data'!$AH$4:$AH$503,$P31))</f>
        <v>65.099999999999994</v>
      </c>
      <c r="N31" s="9" t="str" cm="1">
        <f t="array" ref="N31">IF($P31="","",INDEX('Daily Data'!$AJ$4:$AJ$503,$P31)&amp;IF(N($O31)&lt;Settings!$C$57," (low confidence)",""))</f>
        <v>Buy Pressure (low confidence)</v>
      </c>
      <c r="O31" s="50" cm="1">
        <f t="array" ref="O31">IF($P31="","",INDEX('Daily Data'!$AI$4:$AI$503,$P31))</f>
        <v>55</v>
      </c>
      <c r="P31" s="70">
        <f>IF($A31="","",IFERROR(MATCH($A31&amp;"|"&amp;TEXT($B$3,"yyyy-mm-dd"),'Daily Data'!$AU$4:$AU$503,0),""))</f>
        <v>144</v>
      </c>
    </row>
    <row r="32" spans="1:16" x14ac:dyDescent="0.3">
      <c r="A32" s="38" t="str">
        <f>IF(Symbols!A30="","",Symbols!A30)</f>
        <v>VODA</v>
      </c>
      <c r="B32" s="9" t="str" cm="1">
        <f t="array" ref="B32">IF($A32="","",INDEX(Symbols!$B$4:$B$43,ROW()-5))</f>
        <v>Vodacom Tanzania PLC</v>
      </c>
      <c r="C32" s="68" cm="1">
        <f t="array" ref="C32">IF($P32="","",INDEX('Daily Data'!$E$4:$E$503,$P32))</f>
        <v>1020</v>
      </c>
      <c r="D32" s="42" cm="1">
        <f t="array" ref="D32">IF($P32="","",INDEX('Daily Data'!$H$4:$H$503,$P32))</f>
        <v>9.9009900990099098E-3</v>
      </c>
      <c r="E32" s="39" cm="1">
        <f t="array" ref="E32">IF($P32="","",INDEX('Daily Data'!$L$4:$L$503,$P32))</f>
        <v>139041</v>
      </c>
      <c r="F32" s="39" cm="1">
        <f t="array" ref="F32">IF($P32="","",INDEX('Daily Data'!$M$4:$M$503,$P32))</f>
        <v>153707</v>
      </c>
      <c r="G32" s="46" cm="1">
        <f t="array" ref="G32">IF($P32="","",INDEX('Daily Data'!$S$4:$S$503,$P32))</f>
        <v>0.90458469685830833</v>
      </c>
      <c r="H32" s="69" cm="1">
        <f t="array" ref="H32">IF($P32="","",INDEX('Daily Data'!$V$4:$V$503,$P32))</f>
        <v>6.2071874999999996E-5</v>
      </c>
      <c r="I32" s="69" cm="1">
        <f t="array" ref="I32">IF($P32="","",INDEX('Daily Data'!$W$4:$W$503,$P32))</f>
        <v>6.8619196428571435E-5</v>
      </c>
      <c r="J32" s="42" t="str" cm="1">
        <f t="array" ref="J32">IF($P32="","",INDEX('Daily Data'!$AA$4:$AA$503,$P32))</f>
        <v/>
      </c>
      <c r="K32" s="54" t="str" cm="1">
        <f t="array" ref="K32">IF($P32="","",INDEX('Daily Data'!$AC$4:$AC$503,$P32))</f>
        <v/>
      </c>
      <c r="L32" s="50" cm="1">
        <f t="array" ref="L32">IF($P32="","",INDEX('Daily Data'!$AG$4:$AG$503,$P32))</f>
        <v>45.8</v>
      </c>
      <c r="M32" s="49" cm="1">
        <f t="array" ref="M32">IF($P32="","",INDEX('Daily Data'!$AH$4:$AH$503,$P32))</f>
        <v>50.2</v>
      </c>
      <c r="N32" s="9" t="str" cm="1">
        <f t="array" ref="N32">IF($P32="","",INDEX('Daily Data'!$AJ$4:$AJ$503,$P32)&amp;IF(N($O32)&lt;Settings!$C$57," (low confidence)",""))</f>
        <v>Neutral</v>
      </c>
      <c r="O32" s="50" cm="1">
        <f t="array" ref="O32">IF($P32="","",INDEX('Daily Data'!$AI$4:$AI$503,$P32))</f>
        <v>75</v>
      </c>
      <c r="P32" s="70">
        <f>IF($A32="","",IFERROR(MATCH($A32&amp;"|"&amp;TEXT($B$3,"yyyy-mm-dd"),'Daily Data'!$AU$4:$AU$503,0),""))</f>
        <v>145</v>
      </c>
    </row>
    <row r="33" spans="1:16" x14ac:dyDescent="0.3">
      <c r="A33" s="38" t="str">
        <f>IF(Symbols!A31="","",Symbols!A31)</f>
        <v>YETU</v>
      </c>
      <c r="B33" s="9" t="str" cm="1">
        <f t="array" ref="B33">IF($A33="","",INDEX(Symbols!$B$4:$B$43,ROW()-5))</f>
        <v>Yetu Microfinance Bank PLC</v>
      </c>
      <c r="C33" s="68" cm="1">
        <f t="array" ref="C33">IF($P33="","",INDEX('Daily Data'!$E$4:$E$503,$P33))</f>
        <v>510</v>
      </c>
      <c r="D33" s="42" cm="1">
        <f t="array" ref="D33">IF($P33="","",INDEX('Daily Data'!$H$4:$H$503,$P33))</f>
        <v>0</v>
      </c>
      <c r="E33" s="39" cm="1">
        <f t="array" ref="E33">IF($P33="","",INDEX('Daily Data'!$L$4:$L$503,$P33))</f>
        <v>0</v>
      </c>
      <c r="F33" s="39" cm="1">
        <f t="array" ref="F33">IF($P33="","",INDEX('Daily Data'!$M$4:$M$503,$P33))</f>
        <v>0</v>
      </c>
      <c r="G33" s="46" t="str" cm="1">
        <f t="array" ref="G33">IF($P33="","",INDEX('Daily Data'!$S$4:$S$503,$P33))</f>
        <v/>
      </c>
      <c r="H33" s="69" cm="1">
        <f t="array" ref="H33">IF($P33="","",INDEX('Daily Data'!$V$4:$V$503,$P33))</f>
        <v>0</v>
      </c>
      <c r="I33" s="69" cm="1">
        <f t="array" ref="I33">IF($P33="","",INDEX('Daily Data'!$W$4:$W$503,$P33))</f>
        <v>0</v>
      </c>
      <c r="J33" s="42" t="str" cm="1">
        <f t="array" ref="J33">IF($P33="","",INDEX('Daily Data'!$AA$4:$AA$503,$P33))</f>
        <v/>
      </c>
      <c r="K33" s="54" t="str" cm="1">
        <f t="array" ref="K33">IF($P33="","",INDEX('Daily Data'!$AC$4:$AC$503,$P33))</f>
        <v/>
      </c>
      <c r="L33" s="50" cm="1">
        <f t="array" ref="L33">IF($P33="","",INDEX('Daily Data'!$AG$4:$AG$503,$P33))</f>
        <v>0</v>
      </c>
      <c r="M33" s="49" cm="1">
        <f t="array" ref="M33">IF($P33="","",INDEX('Daily Data'!$AH$4:$AH$503,$P33))</f>
        <v>50</v>
      </c>
      <c r="N33" s="9" t="str" cm="1">
        <f t="array" ref="N33">IF($P33="","",INDEX('Daily Data'!$AJ$4:$AJ$503,$P33)&amp;IF(N($O33)&lt;Settings!$C$57," (low confidence)",""))</f>
        <v>Neutral (low confidence)</v>
      </c>
      <c r="O33" s="50" cm="1">
        <f t="array" ref="O33">IF($P33="","",INDEX('Daily Data'!$AI$4:$AI$503,$P33))</f>
        <v>30</v>
      </c>
      <c r="P33" s="70">
        <f>IF($A33="","",IFERROR(MATCH($A33&amp;"|"&amp;TEXT($B$3,"yyyy-mm-dd"),'Daily Data'!$AU$4:$AU$503,0),""))</f>
        <v>146</v>
      </c>
    </row>
    <row r="34" spans="1:16" x14ac:dyDescent="0.3">
      <c r="A34" s="38" t="str">
        <f>IF(Symbols!A32="","",Symbols!A32)</f>
        <v>IEACLC-ETF</v>
      </c>
      <c r="B34" s="9" t="str" cm="1">
        <f t="array" ref="B34">IF($A34="","",INDEX(Symbols!$B$4:$B$43,ROW()-5))</f>
        <v>IEACLC ETF</v>
      </c>
      <c r="C34" s="68" cm="1">
        <f t="array" ref="C34">IF($P34="","",INDEX('Daily Data'!$E$4:$E$503,$P34))</f>
        <v>1340</v>
      </c>
      <c r="D34" s="42" cm="1">
        <f t="array" ref="D34">IF($P34="","",INDEX('Daily Data'!$H$4:$H$503,$P34))</f>
        <v>0</v>
      </c>
      <c r="E34" s="39" cm="1">
        <f t="array" ref="E34">IF($P34="","",INDEX('Daily Data'!$L$4:$L$503,$P34))</f>
        <v>103892</v>
      </c>
      <c r="F34" s="39" cm="1">
        <f t="array" ref="F34">IF($P34="","",INDEX('Daily Data'!$M$4:$M$503,$P34))</f>
        <v>66568</v>
      </c>
      <c r="G34" s="46" cm="1">
        <f t="array" ref="G34">IF($P34="","",INDEX('Daily Data'!$S$4:$S$503,$P34))</f>
        <v>1.5606898209349838</v>
      </c>
      <c r="H34" s="69" cm="1">
        <f t="array" ref="H34">IF($P34="","",INDEX('Daily Data'!$V$4:$V$503,$P34))</f>
        <v>7.3623819345285319E-4</v>
      </c>
      <c r="I34" s="69" cm="1">
        <f t="array" ref="I34">IF($P34="","",INDEX('Daily Data'!$W$4:$W$503,$P34))</f>
        <v>4.7173896028346291E-4</v>
      </c>
      <c r="J34" s="42" t="str" cm="1">
        <f t="array" ref="J34">IF($P34="","",INDEX('Daily Data'!$AA$4:$AA$503,$P34))</f>
        <v/>
      </c>
      <c r="K34" s="54" t="str" cm="1">
        <f t="array" ref="K34">IF($P34="","",INDEX('Daily Data'!$AC$4:$AC$503,$P34))</f>
        <v/>
      </c>
      <c r="L34" s="50" cm="1">
        <f t="array" ref="L34">IF($P34="","",INDEX('Daily Data'!$AG$4:$AG$503,$P34))</f>
        <v>16.5</v>
      </c>
      <c r="M34" s="49" cm="1">
        <f t="array" ref="M34">IF($P34="","",INDEX('Daily Data'!$AH$4:$AH$503,$P34))</f>
        <v>57.7</v>
      </c>
      <c r="N34" s="9" t="str" cm="1">
        <f t="array" ref="N34">IF($P34="","",INDEX('Daily Data'!$AJ$4:$AJ$503,$P34)&amp;IF(N($O34)&lt;Settings!$C$57," (low confidence)",""))</f>
        <v>Neutral</v>
      </c>
      <c r="O34" s="50" cm="1">
        <f t="array" ref="O34">IF($P34="","",INDEX('Daily Data'!$AI$4:$AI$503,$P34))</f>
        <v>75</v>
      </c>
      <c r="P34" s="70">
        <f>IF($A34="","",IFERROR(MATCH($A34&amp;"|"&amp;TEXT($B$3,"yyyy-mm-dd"),'Daily Data'!$AU$4:$AU$503,0),""))</f>
        <v>147</v>
      </c>
    </row>
    <row r="35" spans="1:16" x14ac:dyDescent="0.3">
      <c r="A35" s="38" t="str">
        <f>IF(Symbols!A33="","",Symbols!A33)</f>
        <v>VERTEX-ETF</v>
      </c>
      <c r="B35" s="9" t="str" cm="1">
        <f t="array" ref="B35">IF($A35="","",INDEX(Symbols!$B$4:$B$43,ROW()-5))</f>
        <v>VERTEX ETF</v>
      </c>
      <c r="C35" s="68" cm="1">
        <f t="array" ref="C35">IF($P35="","",INDEX('Daily Data'!$E$4:$E$503,$P35))</f>
        <v>335</v>
      </c>
      <c r="D35" s="42" cm="1">
        <f t="array" ref="D35">IF($P35="","",INDEX('Daily Data'!$H$4:$H$503,$P35))</f>
        <v>1.5151515151515138E-2</v>
      </c>
      <c r="E35" s="39" cm="1">
        <f t="array" ref="E35">IF($P35="","",INDEX('Daily Data'!$L$4:$L$503,$P35))</f>
        <v>3294</v>
      </c>
      <c r="F35" s="39" cm="1">
        <f t="array" ref="F35">IF($P35="","",INDEX('Daily Data'!$M$4:$M$503,$P35))</f>
        <v>15521</v>
      </c>
      <c r="G35" s="46" cm="1">
        <f t="array" ref="G35">IF($P35="","",INDEX('Daily Data'!$S$4:$S$503,$P35))</f>
        <v>0.21222859351845885</v>
      </c>
      <c r="H35" s="69" cm="1">
        <f t="array" ref="H35">IF($P35="","",INDEX('Daily Data'!$V$4:$V$503,$P35))</f>
        <v>6.0999999999999999E-5</v>
      </c>
      <c r="I35" s="69" cm="1">
        <f t="array" ref="I35">IF($P35="","",INDEX('Daily Data'!$W$4:$W$503,$P35))</f>
        <v>2.8742592592592595E-4</v>
      </c>
      <c r="J35" s="42" t="str" cm="1">
        <f t="array" ref="J35">IF($P35="","",INDEX('Daily Data'!$AA$4:$AA$503,$P35))</f>
        <v/>
      </c>
      <c r="K35" s="54" t="str" cm="1">
        <f t="array" ref="K35">IF($P35="","",INDEX('Daily Data'!$AC$4:$AC$503,$P35))</f>
        <v/>
      </c>
      <c r="L35" s="50" cm="1">
        <f t="array" ref="L35">IF($P35="","",INDEX('Daily Data'!$AG$4:$AG$503,$P35))</f>
        <v>37.1</v>
      </c>
      <c r="M35" s="49" cm="1">
        <f t="array" ref="M35">IF($P35="","",INDEX('Daily Data'!$AH$4:$AH$503,$P35))</f>
        <v>33.200000000000003</v>
      </c>
      <c r="N35" s="9" t="str" cm="1">
        <f t="array" ref="N35">IF($P35="","",INDEX('Daily Data'!$AJ$4:$AJ$503,$P35)&amp;IF(N($O35)&lt;Settings!$C$57," (low confidence)",""))</f>
        <v>Sell Pressure</v>
      </c>
      <c r="O35" s="50" cm="1">
        <f t="array" ref="O35">IF($P35="","",INDEX('Daily Data'!$AI$4:$AI$503,$P35))</f>
        <v>75</v>
      </c>
      <c r="P35" s="70">
        <f>IF($A35="","",IFERROR(MATCH($A35&amp;"|"&amp;TEXT($B$3,"yyyy-mm-dd"),'Daily Data'!$AU$4:$AU$503,0),""))</f>
        <v>148</v>
      </c>
    </row>
    <row r="36" spans="1:16" x14ac:dyDescent="0.3">
      <c r="A36" s="38" t="str">
        <f>IF(Symbols!A34="","",Symbols!A34)</f>
        <v/>
      </c>
      <c r="B36" s="9" t="str" cm="1">
        <f t="array" ref="B36">IF($A36="","",INDEX(Symbols!$B$4:$B$43,ROW()-5))</f>
        <v/>
      </c>
      <c r="C36" s="68" t="str" cm="1">
        <f t="array" ref="C36">IF($P36="","",INDEX('Daily Data'!$E$4:$E$503,$P36))</f>
        <v/>
      </c>
      <c r="D36" s="42" t="str" cm="1">
        <f t="array" ref="D36">IF($P36="","",INDEX('Daily Data'!$H$4:$H$503,$P36))</f>
        <v/>
      </c>
      <c r="E36" s="39" t="str" cm="1">
        <f t="array" ref="E36">IF($P36="","",INDEX('Daily Data'!$L$4:$L$503,$P36))</f>
        <v/>
      </c>
      <c r="F36" s="39" t="str" cm="1">
        <f t="array" ref="F36">IF($P36="","",INDEX('Daily Data'!$M$4:$M$503,$P36))</f>
        <v/>
      </c>
      <c r="G36" s="46" t="str" cm="1">
        <f t="array" ref="G36">IF($P36="","",INDEX('Daily Data'!$S$4:$S$503,$P36))</f>
        <v/>
      </c>
      <c r="H36" s="69" t="str" cm="1">
        <f t="array" ref="H36">IF($P36="","",INDEX('Daily Data'!$V$4:$V$503,$P36))</f>
        <v/>
      </c>
      <c r="I36" s="69" t="str" cm="1">
        <f t="array" ref="I36">IF($P36="","",INDEX('Daily Data'!$W$4:$W$503,$P36))</f>
        <v/>
      </c>
      <c r="J36" s="42" t="str" cm="1">
        <f t="array" ref="J36">IF($P36="","",INDEX('Daily Data'!$AA$4:$AA$503,$P36))</f>
        <v/>
      </c>
      <c r="K36" s="54" t="str" cm="1">
        <f t="array" ref="K36">IF($P36="","",INDEX('Daily Data'!$AC$4:$AC$503,$P36))</f>
        <v/>
      </c>
      <c r="L36" s="50" t="str" cm="1">
        <f t="array" ref="L36">IF($P36="","",INDEX('Daily Data'!$AG$4:$AG$503,$P36))</f>
        <v/>
      </c>
      <c r="M36" s="49" t="str" cm="1">
        <f t="array" ref="M36">IF($P36="","",INDEX('Daily Data'!$AH$4:$AH$503,$P36))</f>
        <v/>
      </c>
      <c r="N36" s="9" t="str" cm="1">
        <f t="array" ref="N36">IF($P36="","",INDEX('Daily Data'!$AJ$4:$AJ$503,$P36)&amp;IF(N($O36)&lt;Settings!$C$57," (low confidence)",""))</f>
        <v/>
      </c>
      <c r="O36" s="50" t="str" cm="1">
        <f t="array" ref="O36">IF($P36="","",INDEX('Daily Data'!$AI$4:$AI$503,$P36))</f>
        <v/>
      </c>
      <c r="P36" s="70" t="str">
        <f>IF($A36="","",IFERROR(MATCH($A36&amp;"|"&amp;TEXT($B$3,"yyyy-mm-dd"),'Daily Data'!$AU$4:$AU$503,0),""))</f>
        <v/>
      </c>
    </row>
    <row r="37" spans="1:16" x14ac:dyDescent="0.3">
      <c r="A37" s="38" t="str">
        <f>IF(Symbols!A35="","",Symbols!A35)</f>
        <v/>
      </c>
      <c r="B37" s="9" t="str" cm="1">
        <f t="array" ref="B37">IF($A37="","",INDEX(Symbols!$B$4:$B$43,ROW()-5))</f>
        <v/>
      </c>
      <c r="C37" s="68" t="str" cm="1">
        <f t="array" ref="C37">IF($P37="","",INDEX('Daily Data'!$E$4:$E$503,$P37))</f>
        <v/>
      </c>
      <c r="D37" s="42" t="str" cm="1">
        <f t="array" ref="D37">IF($P37="","",INDEX('Daily Data'!$H$4:$H$503,$P37))</f>
        <v/>
      </c>
      <c r="E37" s="39" t="str" cm="1">
        <f t="array" ref="E37">IF($P37="","",INDEX('Daily Data'!$L$4:$L$503,$P37))</f>
        <v/>
      </c>
      <c r="F37" s="39" t="str" cm="1">
        <f t="array" ref="F37">IF($P37="","",INDEX('Daily Data'!$M$4:$M$503,$P37))</f>
        <v/>
      </c>
      <c r="G37" s="46" t="str" cm="1">
        <f t="array" ref="G37">IF($P37="","",INDEX('Daily Data'!$S$4:$S$503,$P37))</f>
        <v/>
      </c>
      <c r="H37" s="69" t="str" cm="1">
        <f t="array" ref="H37">IF($P37="","",INDEX('Daily Data'!$V$4:$V$503,$P37))</f>
        <v/>
      </c>
      <c r="I37" s="69" t="str" cm="1">
        <f t="array" ref="I37">IF($P37="","",INDEX('Daily Data'!$W$4:$W$503,$P37))</f>
        <v/>
      </c>
      <c r="J37" s="42" t="str" cm="1">
        <f t="array" ref="J37">IF($P37="","",INDEX('Daily Data'!$AA$4:$AA$503,$P37))</f>
        <v/>
      </c>
      <c r="K37" s="54" t="str" cm="1">
        <f t="array" ref="K37">IF($P37="","",INDEX('Daily Data'!$AC$4:$AC$503,$P37))</f>
        <v/>
      </c>
      <c r="L37" s="50" t="str" cm="1">
        <f t="array" ref="L37">IF($P37="","",INDEX('Daily Data'!$AG$4:$AG$503,$P37))</f>
        <v/>
      </c>
      <c r="M37" s="49" t="str" cm="1">
        <f t="array" ref="M37">IF($P37="","",INDEX('Daily Data'!$AH$4:$AH$503,$P37))</f>
        <v/>
      </c>
      <c r="N37" s="9" t="str" cm="1">
        <f t="array" ref="N37">IF($P37="","",INDEX('Daily Data'!$AJ$4:$AJ$503,$P37)&amp;IF(N($O37)&lt;Settings!$C$57," (low confidence)",""))</f>
        <v/>
      </c>
      <c r="O37" s="50" t="str" cm="1">
        <f t="array" ref="O37">IF($P37="","",INDEX('Daily Data'!$AI$4:$AI$503,$P37))</f>
        <v/>
      </c>
      <c r="P37" s="70" t="str">
        <f>IF($A37="","",IFERROR(MATCH($A37&amp;"|"&amp;TEXT($B$3,"yyyy-mm-dd"),'Daily Data'!$AU$4:$AU$503,0),""))</f>
        <v/>
      </c>
    </row>
    <row r="38" spans="1:16" x14ac:dyDescent="0.3">
      <c r="A38" s="38" t="str">
        <f>IF(Symbols!A36="","",Symbols!A36)</f>
        <v/>
      </c>
      <c r="B38" s="9" t="str" cm="1">
        <f t="array" ref="B38">IF($A38="","",INDEX(Symbols!$B$4:$B$43,ROW()-5))</f>
        <v/>
      </c>
      <c r="C38" s="68" t="str" cm="1">
        <f t="array" ref="C38">IF($P38="","",INDEX('Daily Data'!$E$4:$E$503,$P38))</f>
        <v/>
      </c>
      <c r="D38" s="42" t="str" cm="1">
        <f t="array" ref="D38">IF($P38="","",INDEX('Daily Data'!$H$4:$H$503,$P38))</f>
        <v/>
      </c>
      <c r="E38" s="39" t="str" cm="1">
        <f t="array" ref="E38">IF($P38="","",INDEX('Daily Data'!$L$4:$L$503,$P38))</f>
        <v/>
      </c>
      <c r="F38" s="39" t="str" cm="1">
        <f t="array" ref="F38">IF($P38="","",INDEX('Daily Data'!$M$4:$M$503,$P38))</f>
        <v/>
      </c>
      <c r="G38" s="46" t="str" cm="1">
        <f t="array" ref="G38">IF($P38="","",INDEX('Daily Data'!$S$4:$S$503,$P38))</f>
        <v/>
      </c>
      <c r="H38" s="69" t="str" cm="1">
        <f t="array" ref="H38">IF($P38="","",INDEX('Daily Data'!$V$4:$V$503,$P38))</f>
        <v/>
      </c>
      <c r="I38" s="69" t="str" cm="1">
        <f t="array" ref="I38">IF($P38="","",INDEX('Daily Data'!$W$4:$W$503,$P38))</f>
        <v/>
      </c>
      <c r="J38" s="42" t="str" cm="1">
        <f t="array" ref="J38">IF($P38="","",INDEX('Daily Data'!$AA$4:$AA$503,$P38))</f>
        <v/>
      </c>
      <c r="K38" s="54" t="str" cm="1">
        <f t="array" ref="K38">IF($P38="","",INDEX('Daily Data'!$AC$4:$AC$503,$P38))</f>
        <v/>
      </c>
      <c r="L38" s="50" t="str" cm="1">
        <f t="array" ref="L38">IF($P38="","",INDEX('Daily Data'!$AG$4:$AG$503,$P38))</f>
        <v/>
      </c>
      <c r="M38" s="49" t="str" cm="1">
        <f t="array" ref="M38">IF($P38="","",INDEX('Daily Data'!$AH$4:$AH$503,$P38))</f>
        <v/>
      </c>
      <c r="N38" s="9" t="str" cm="1">
        <f t="array" ref="N38">IF($P38="","",INDEX('Daily Data'!$AJ$4:$AJ$503,$P38)&amp;IF(N($O38)&lt;Settings!$C$57," (low confidence)",""))</f>
        <v/>
      </c>
      <c r="O38" s="50" t="str" cm="1">
        <f t="array" ref="O38">IF($P38="","",INDEX('Daily Data'!$AI$4:$AI$503,$P38))</f>
        <v/>
      </c>
      <c r="P38" s="70" t="str">
        <f>IF($A38="","",IFERROR(MATCH($A38&amp;"|"&amp;TEXT($B$3,"yyyy-mm-dd"),'Daily Data'!$AU$4:$AU$503,0),""))</f>
        <v/>
      </c>
    </row>
    <row r="39" spans="1:16" x14ac:dyDescent="0.3">
      <c r="A39" s="38" t="str">
        <f>IF(Symbols!A37="","",Symbols!A37)</f>
        <v/>
      </c>
      <c r="B39" s="9" t="str" cm="1">
        <f t="array" ref="B39">IF($A39="","",INDEX(Symbols!$B$4:$B$43,ROW()-5))</f>
        <v/>
      </c>
      <c r="C39" s="68" t="str" cm="1">
        <f t="array" ref="C39">IF($P39="","",INDEX('Daily Data'!$E$4:$E$503,$P39))</f>
        <v/>
      </c>
      <c r="D39" s="42" t="str" cm="1">
        <f t="array" ref="D39">IF($P39="","",INDEX('Daily Data'!$H$4:$H$503,$P39))</f>
        <v/>
      </c>
      <c r="E39" s="39" t="str" cm="1">
        <f t="array" ref="E39">IF($P39="","",INDEX('Daily Data'!$L$4:$L$503,$P39))</f>
        <v/>
      </c>
      <c r="F39" s="39" t="str" cm="1">
        <f t="array" ref="F39">IF($P39="","",INDEX('Daily Data'!$M$4:$M$503,$P39))</f>
        <v/>
      </c>
      <c r="G39" s="46" t="str" cm="1">
        <f t="array" ref="G39">IF($P39="","",INDEX('Daily Data'!$S$4:$S$503,$P39))</f>
        <v/>
      </c>
      <c r="H39" s="69" t="str" cm="1">
        <f t="array" ref="H39">IF($P39="","",INDEX('Daily Data'!$V$4:$V$503,$P39))</f>
        <v/>
      </c>
      <c r="I39" s="69" t="str" cm="1">
        <f t="array" ref="I39">IF($P39="","",INDEX('Daily Data'!$W$4:$W$503,$P39))</f>
        <v/>
      </c>
      <c r="J39" s="42" t="str" cm="1">
        <f t="array" ref="J39">IF($P39="","",INDEX('Daily Data'!$AA$4:$AA$503,$P39))</f>
        <v/>
      </c>
      <c r="K39" s="54" t="str" cm="1">
        <f t="array" ref="K39">IF($P39="","",INDEX('Daily Data'!$AC$4:$AC$503,$P39))</f>
        <v/>
      </c>
      <c r="L39" s="50" t="str" cm="1">
        <f t="array" ref="L39">IF($P39="","",INDEX('Daily Data'!$AG$4:$AG$503,$P39))</f>
        <v/>
      </c>
      <c r="M39" s="49" t="str" cm="1">
        <f t="array" ref="M39">IF($P39="","",INDEX('Daily Data'!$AH$4:$AH$503,$P39))</f>
        <v/>
      </c>
      <c r="N39" s="9" t="str" cm="1">
        <f t="array" ref="N39">IF($P39="","",INDEX('Daily Data'!$AJ$4:$AJ$503,$P39)&amp;IF(N($O39)&lt;Settings!$C$57," (low confidence)",""))</f>
        <v/>
      </c>
      <c r="O39" s="50" t="str" cm="1">
        <f t="array" ref="O39">IF($P39="","",INDEX('Daily Data'!$AI$4:$AI$503,$P39))</f>
        <v/>
      </c>
      <c r="P39" s="70" t="str">
        <f>IF($A39="","",IFERROR(MATCH($A39&amp;"|"&amp;TEXT($B$3,"yyyy-mm-dd"),'Daily Data'!$AU$4:$AU$503,0),""))</f>
        <v/>
      </c>
    </row>
    <row r="40" spans="1:16" x14ac:dyDescent="0.3">
      <c r="A40" s="38" t="str">
        <f>IF(Symbols!A38="","",Symbols!A38)</f>
        <v/>
      </c>
      <c r="B40" s="9" t="str" cm="1">
        <f t="array" ref="B40">IF($A40="","",INDEX(Symbols!$B$4:$B$43,ROW()-5))</f>
        <v/>
      </c>
      <c r="C40" s="68" t="str" cm="1">
        <f t="array" ref="C40">IF($P40="","",INDEX('Daily Data'!$E$4:$E$503,$P40))</f>
        <v/>
      </c>
      <c r="D40" s="42" t="str" cm="1">
        <f t="array" ref="D40">IF($P40="","",INDEX('Daily Data'!$H$4:$H$503,$P40))</f>
        <v/>
      </c>
      <c r="E40" s="39" t="str" cm="1">
        <f t="array" ref="E40">IF($P40="","",INDEX('Daily Data'!$L$4:$L$503,$P40))</f>
        <v/>
      </c>
      <c r="F40" s="39" t="str" cm="1">
        <f t="array" ref="F40">IF($P40="","",INDEX('Daily Data'!$M$4:$M$503,$P40))</f>
        <v/>
      </c>
      <c r="G40" s="46" t="str" cm="1">
        <f t="array" ref="G40">IF($P40="","",INDEX('Daily Data'!$S$4:$S$503,$P40))</f>
        <v/>
      </c>
      <c r="H40" s="69" t="str" cm="1">
        <f t="array" ref="H40">IF($P40="","",INDEX('Daily Data'!$V$4:$V$503,$P40))</f>
        <v/>
      </c>
      <c r="I40" s="69" t="str" cm="1">
        <f t="array" ref="I40">IF($P40="","",INDEX('Daily Data'!$W$4:$W$503,$P40))</f>
        <v/>
      </c>
      <c r="J40" s="42" t="str" cm="1">
        <f t="array" ref="J40">IF($P40="","",INDEX('Daily Data'!$AA$4:$AA$503,$P40))</f>
        <v/>
      </c>
      <c r="K40" s="54" t="str" cm="1">
        <f t="array" ref="K40">IF($P40="","",INDEX('Daily Data'!$AC$4:$AC$503,$P40))</f>
        <v/>
      </c>
      <c r="L40" s="50" t="str" cm="1">
        <f t="array" ref="L40">IF($P40="","",INDEX('Daily Data'!$AG$4:$AG$503,$P40))</f>
        <v/>
      </c>
      <c r="M40" s="49" t="str" cm="1">
        <f t="array" ref="M40">IF($P40="","",INDEX('Daily Data'!$AH$4:$AH$503,$P40))</f>
        <v/>
      </c>
      <c r="N40" s="9" t="str" cm="1">
        <f t="array" ref="N40">IF($P40="","",INDEX('Daily Data'!$AJ$4:$AJ$503,$P40)&amp;IF(N($O40)&lt;Settings!$C$57," (low confidence)",""))</f>
        <v/>
      </c>
      <c r="O40" s="50" t="str" cm="1">
        <f t="array" ref="O40">IF($P40="","",INDEX('Daily Data'!$AI$4:$AI$503,$P40))</f>
        <v/>
      </c>
      <c r="P40" s="70" t="str">
        <f>IF($A40="","",IFERROR(MATCH($A40&amp;"|"&amp;TEXT($B$3,"yyyy-mm-dd"),'Daily Data'!$AU$4:$AU$503,0),""))</f>
        <v/>
      </c>
    </row>
    <row r="41" spans="1:16" x14ac:dyDescent="0.3">
      <c r="A41" s="38" t="str">
        <f>IF(Symbols!A39="","",Symbols!A39)</f>
        <v/>
      </c>
      <c r="B41" s="9" t="str" cm="1">
        <f t="array" ref="B41">IF($A41="","",INDEX(Symbols!$B$4:$B$43,ROW()-5))</f>
        <v/>
      </c>
      <c r="C41" s="68" t="str" cm="1">
        <f t="array" ref="C41">IF($P41="","",INDEX('Daily Data'!$E$4:$E$503,$P41))</f>
        <v/>
      </c>
      <c r="D41" s="42" t="str" cm="1">
        <f t="array" ref="D41">IF($P41="","",INDEX('Daily Data'!$H$4:$H$503,$P41))</f>
        <v/>
      </c>
      <c r="E41" s="39" t="str" cm="1">
        <f t="array" ref="E41">IF($P41="","",INDEX('Daily Data'!$L$4:$L$503,$P41))</f>
        <v/>
      </c>
      <c r="F41" s="39" t="str" cm="1">
        <f t="array" ref="F41">IF($P41="","",INDEX('Daily Data'!$M$4:$M$503,$P41))</f>
        <v/>
      </c>
      <c r="G41" s="46" t="str" cm="1">
        <f t="array" ref="G41">IF($P41="","",INDEX('Daily Data'!$S$4:$S$503,$P41))</f>
        <v/>
      </c>
      <c r="H41" s="69" t="str" cm="1">
        <f t="array" ref="H41">IF($P41="","",INDEX('Daily Data'!$V$4:$V$503,$P41))</f>
        <v/>
      </c>
      <c r="I41" s="69" t="str" cm="1">
        <f t="array" ref="I41">IF($P41="","",INDEX('Daily Data'!$W$4:$W$503,$P41))</f>
        <v/>
      </c>
      <c r="J41" s="42" t="str" cm="1">
        <f t="array" ref="J41">IF($P41="","",INDEX('Daily Data'!$AA$4:$AA$503,$P41))</f>
        <v/>
      </c>
      <c r="K41" s="54" t="str" cm="1">
        <f t="array" ref="K41">IF($P41="","",INDEX('Daily Data'!$AC$4:$AC$503,$P41))</f>
        <v/>
      </c>
      <c r="L41" s="50" t="str" cm="1">
        <f t="array" ref="L41">IF($P41="","",INDEX('Daily Data'!$AG$4:$AG$503,$P41))</f>
        <v/>
      </c>
      <c r="M41" s="49" t="str" cm="1">
        <f t="array" ref="M41">IF($P41="","",INDEX('Daily Data'!$AH$4:$AH$503,$P41))</f>
        <v/>
      </c>
      <c r="N41" s="9" t="str" cm="1">
        <f t="array" ref="N41">IF($P41="","",INDEX('Daily Data'!$AJ$4:$AJ$503,$P41)&amp;IF(N($O41)&lt;Settings!$C$57," (low confidence)",""))</f>
        <v/>
      </c>
      <c r="O41" s="50" t="str" cm="1">
        <f t="array" ref="O41">IF($P41="","",INDEX('Daily Data'!$AI$4:$AI$503,$P41))</f>
        <v/>
      </c>
      <c r="P41" s="70" t="str">
        <f>IF($A41="","",IFERROR(MATCH($A41&amp;"|"&amp;TEXT($B$3,"yyyy-mm-dd"),'Daily Data'!$AU$4:$AU$503,0),""))</f>
        <v/>
      </c>
    </row>
    <row r="42" spans="1:16" x14ac:dyDescent="0.3">
      <c r="A42" s="38" t="str">
        <f>IF(Symbols!A40="","",Symbols!A40)</f>
        <v/>
      </c>
      <c r="B42" s="9" t="str" cm="1">
        <f t="array" ref="B42">IF($A42="","",INDEX(Symbols!$B$4:$B$43,ROW()-5))</f>
        <v/>
      </c>
      <c r="C42" s="68" t="str" cm="1">
        <f t="array" ref="C42">IF($P42="","",INDEX('Daily Data'!$E$4:$E$503,$P42))</f>
        <v/>
      </c>
      <c r="D42" s="42" t="str" cm="1">
        <f t="array" ref="D42">IF($P42="","",INDEX('Daily Data'!$H$4:$H$503,$P42))</f>
        <v/>
      </c>
      <c r="E42" s="39" t="str" cm="1">
        <f t="array" ref="E42">IF($P42="","",INDEX('Daily Data'!$L$4:$L$503,$P42))</f>
        <v/>
      </c>
      <c r="F42" s="39" t="str" cm="1">
        <f t="array" ref="F42">IF($P42="","",INDEX('Daily Data'!$M$4:$M$503,$P42))</f>
        <v/>
      </c>
      <c r="G42" s="46" t="str" cm="1">
        <f t="array" ref="G42">IF($P42="","",INDEX('Daily Data'!$S$4:$S$503,$P42))</f>
        <v/>
      </c>
      <c r="H42" s="69" t="str" cm="1">
        <f t="array" ref="H42">IF($P42="","",INDEX('Daily Data'!$V$4:$V$503,$P42))</f>
        <v/>
      </c>
      <c r="I42" s="69" t="str" cm="1">
        <f t="array" ref="I42">IF($P42="","",INDEX('Daily Data'!$W$4:$W$503,$P42))</f>
        <v/>
      </c>
      <c r="J42" s="42" t="str" cm="1">
        <f t="array" ref="J42">IF($P42="","",INDEX('Daily Data'!$AA$4:$AA$503,$P42))</f>
        <v/>
      </c>
      <c r="K42" s="54" t="str" cm="1">
        <f t="array" ref="K42">IF($P42="","",INDEX('Daily Data'!$AC$4:$AC$503,$P42))</f>
        <v/>
      </c>
      <c r="L42" s="50" t="str" cm="1">
        <f t="array" ref="L42">IF($P42="","",INDEX('Daily Data'!$AG$4:$AG$503,$P42))</f>
        <v/>
      </c>
      <c r="M42" s="49" t="str" cm="1">
        <f t="array" ref="M42">IF($P42="","",INDEX('Daily Data'!$AH$4:$AH$503,$P42))</f>
        <v/>
      </c>
      <c r="N42" s="9" t="str" cm="1">
        <f t="array" ref="N42">IF($P42="","",INDEX('Daily Data'!$AJ$4:$AJ$503,$P42)&amp;IF(N($O42)&lt;Settings!$C$57," (low confidence)",""))</f>
        <v/>
      </c>
      <c r="O42" s="50" t="str" cm="1">
        <f t="array" ref="O42">IF($P42="","",INDEX('Daily Data'!$AI$4:$AI$503,$P42))</f>
        <v/>
      </c>
      <c r="P42" s="70" t="str">
        <f>IF($A42="","",IFERROR(MATCH($A42&amp;"|"&amp;TEXT($B$3,"yyyy-mm-dd"),'Daily Data'!$AU$4:$AU$503,0),""))</f>
        <v/>
      </c>
    </row>
    <row r="43" spans="1:16" x14ac:dyDescent="0.3">
      <c r="A43" s="38" t="str">
        <f>IF(Symbols!A41="","",Symbols!A41)</f>
        <v/>
      </c>
      <c r="B43" s="9" t="str" cm="1">
        <f t="array" ref="B43">IF($A43="","",INDEX(Symbols!$B$4:$B$43,ROW()-5))</f>
        <v/>
      </c>
      <c r="C43" s="68" t="str" cm="1">
        <f t="array" ref="C43">IF($P43="","",INDEX('Daily Data'!$E$4:$E$503,$P43))</f>
        <v/>
      </c>
      <c r="D43" s="42" t="str" cm="1">
        <f t="array" ref="D43">IF($P43="","",INDEX('Daily Data'!$H$4:$H$503,$P43))</f>
        <v/>
      </c>
      <c r="E43" s="39" t="str" cm="1">
        <f t="array" ref="E43">IF($P43="","",INDEX('Daily Data'!$L$4:$L$503,$P43))</f>
        <v/>
      </c>
      <c r="F43" s="39" t="str" cm="1">
        <f t="array" ref="F43">IF($P43="","",INDEX('Daily Data'!$M$4:$M$503,$P43))</f>
        <v/>
      </c>
      <c r="G43" s="46" t="str" cm="1">
        <f t="array" ref="G43">IF($P43="","",INDEX('Daily Data'!$S$4:$S$503,$P43))</f>
        <v/>
      </c>
      <c r="H43" s="69" t="str" cm="1">
        <f t="array" ref="H43">IF($P43="","",INDEX('Daily Data'!$V$4:$V$503,$P43))</f>
        <v/>
      </c>
      <c r="I43" s="69" t="str" cm="1">
        <f t="array" ref="I43">IF($P43="","",INDEX('Daily Data'!$W$4:$W$503,$P43))</f>
        <v/>
      </c>
      <c r="J43" s="42" t="str" cm="1">
        <f t="array" ref="J43">IF($P43="","",INDEX('Daily Data'!$AA$4:$AA$503,$P43))</f>
        <v/>
      </c>
      <c r="K43" s="54" t="str" cm="1">
        <f t="array" ref="K43">IF($P43="","",INDEX('Daily Data'!$AC$4:$AC$503,$P43))</f>
        <v/>
      </c>
      <c r="L43" s="50" t="str" cm="1">
        <f t="array" ref="L43">IF($P43="","",INDEX('Daily Data'!$AG$4:$AG$503,$P43))</f>
        <v/>
      </c>
      <c r="M43" s="49" t="str" cm="1">
        <f t="array" ref="M43">IF($P43="","",INDEX('Daily Data'!$AH$4:$AH$503,$P43))</f>
        <v/>
      </c>
      <c r="N43" s="9" t="str" cm="1">
        <f t="array" ref="N43">IF($P43="","",INDEX('Daily Data'!$AJ$4:$AJ$503,$P43)&amp;IF(N($O43)&lt;Settings!$C$57," (low confidence)",""))</f>
        <v/>
      </c>
      <c r="O43" s="50" t="str" cm="1">
        <f t="array" ref="O43">IF($P43="","",INDEX('Daily Data'!$AI$4:$AI$503,$P43))</f>
        <v/>
      </c>
      <c r="P43" s="70" t="str">
        <f>IF($A43="","",IFERROR(MATCH($A43&amp;"|"&amp;TEXT($B$3,"yyyy-mm-dd"),'Daily Data'!$AU$4:$AU$503,0),""))</f>
        <v/>
      </c>
    </row>
    <row r="44" spans="1:16" x14ac:dyDescent="0.3">
      <c r="A44" s="38" t="str">
        <f>IF(Symbols!A42="","",Symbols!A42)</f>
        <v/>
      </c>
      <c r="B44" s="9" t="str" cm="1">
        <f t="array" ref="B44">IF($A44="","",INDEX(Symbols!$B$4:$B$43,ROW()-5))</f>
        <v/>
      </c>
      <c r="C44" s="68" t="str" cm="1">
        <f t="array" ref="C44">IF($P44="","",INDEX('Daily Data'!$E$4:$E$503,$P44))</f>
        <v/>
      </c>
      <c r="D44" s="42" t="str" cm="1">
        <f t="array" ref="D44">IF($P44="","",INDEX('Daily Data'!$H$4:$H$503,$P44))</f>
        <v/>
      </c>
      <c r="E44" s="39" t="str" cm="1">
        <f t="array" ref="E44">IF($P44="","",INDEX('Daily Data'!$L$4:$L$503,$P44))</f>
        <v/>
      </c>
      <c r="F44" s="39" t="str" cm="1">
        <f t="array" ref="F44">IF($P44="","",INDEX('Daily Data'!$M$4:$M$503,$P44))</f>
        <v/>
      </c>
      <c r="G44" s="46" t="str" cm="1">
        <f t="array" ref="G44">IF($P44="","",INDEX('Daily Data'!$S$4:$S$503,$P44))</f>
        <v/>
      </c>
      <c r="H44" s="69" t="str" cm="1">
        <f t="array" ref="H44">IF($P44="","",INDEX('Daily Data'!$V$4:$V$503,$P44))</f>
        <v/>
      </c>
      <c r="I44" s="69" t="str" cm="1">
        <f t="array" ref="I44">IF($P44="","",INDEX('Daily Data'!$W$4:$W$503,$P44))</f>
        <v/>
      </c>
      <c r="J44" s="42" t="str" cm="1">
        <f t="array" ref="J44">IF($P44="","",INDEX('Daily Data'!$AA$4:$AA$503,$P44))</f>
        <v/>
      </c>
      <c r="K44" s="54" t="str" cm="1">
        <f t="array" ref="K44">IF($P44="","",INDEX('Daily Data'!$AC$4:$AC$503,$P44))</f>
        <v/>
      </c>
      <c r="L44" s="50" t="str" cm="1">
        <f t="array" ref="L44">IF($P44="","",INDEX('Daily Data'!$AG$4:$AG$503,$P44))</f>
        <v/>
      </c>
      <c r="M44" s="49" t="str" cm="1">
        <f t="array" ref="M44">IF($P44="","",INDEX('Daily Data'!$AH$4:$AH$503,$P44))</f>
        <v/>
      </c>
      <c r="N44" s="9" t="str" cm="1">
        <f t="array" ref="N44">IF($P44="","",INDEX('Daily Data'!$AJ$4:$AJ$503,$P44)&amp;IF(N($O44)&lt;Settings!$C$57," (low confidence)",""))</f>
        <v/>
      </c>
      <c r="O44" s="50" t="str" cm="1">
        <f t="array" ref="O44">IF($P44="","",INDEX('Daily Data'!$AI$4:$AI$503,$P44))</f>
        <v/>
      </c>
      <c r="P44" s="70" t="str">
        <f>IF($A44="","",IFERROR(MATCH($A44&amp;"|"&amp;TEXT($B$3,"yyyy-mm-dd"),'Daily Data'!$AU$4:$AU$503,0),""))</f>
        <v/>
      </c>
    </row>
    <row r="45" spans="1:16" x14ac:dyDescent="0.3">
      <c r="A45" s="40" t="str">
        <f>IF(Symbols!A43="","",Symbols!A43)</f>
        <v/>
      </c>
      <c r="B45" s="12" t="str" cm="1">
        <f t="array" ref="B45">IF($A45="","",INDEX(Symbols!$B$4:$B$43,ROW()-5))</f>
        <v/>
      </c>
      <c r="C45" s="71" t="str" cm="1">
        <f t="array" ref="C45">IF($P45="","",INDEX('Daily Data'!$E$4:$E$503,$P45))</f>
        <v/>
      </c>
      <c r="D45" s="43" t="str" cm="1">
        <f t="array" ref="D45">IF($P45="","",INDEX('Daily Data'!$H$4:$H$503,$P45))</f>
        <v/>
      </c>
      <c r="E45" s="41" t="str" cm="1">
        <f t="array" ref="E45">IF($P45="","",INDEX('Daily Data'!$L$4:$L$503,$P45))</f>
        <v/>
      </c>
      <c r="F45" s="41" t="str" cm="1">
        <f t="array" ref="F45">IF($P45="","",INDEX('Daily Data'!$M$4:$M$503,$P45))</f>
        <v/>
      </c>
      <c r="G45" s="72" t="str" cm="1">
        <f t="array" ref="G45">IF($P45="","",INDEX('Daily Data'!$S$4:$S$503,$P45))</f>
        <v/>
      </c>
      <c r="H45" s="73" t="str" cm="1">
        <f t="array" ref="H45">IF($P45="","",INDEX('Daily Data'!$V$4:$V$503,$P45))</f>
        <v/>
      </c>
      <c r="I45" s="73" t="str" cm="1">
        <f t="array" ref="I45">IF($P45="","",INDEX('Daily Data'!$W$4:$W$503,$P45))</f>
        <v/>
      </c>
      <c r="J45" s="43" t="str" cm="1">
        <f t="array" ref="J45">IF($P45="","",INDEX('Daily Data'!$AA$4:$AA$503,$P45))</f>
        <v/>
      </c>
      <c r="K45" s="74" t="str" cm="1">
        <f t="array" ref="K45">IF($P45="","",INDEX('Daily Data'!$AC$4:$AC$503,$P45))</f>
        <v/>
      </c>
      <c r="L45" s="56" t="str" cm="1">
        <f t="array" ref="L45">IF($P45="","",INDEX('Daily Data'!$AG$4:$AG$503,$P45))</f>
        <v/>
      </c>
      <c r="M45" s="75" t="str" cm="1">
        <f t="array" ref="M45">IF($P45="","",INDEX('Daily Data'!$AH$4:$AH$503,$P45))</f>
        <v/>
      </c>
      <c r="N45" s="12" t="str" cm="1">
        <f t="array" ref="N45">IF($P45="","",INDEX('Daily Data'!$AJ$4:$AJ$503,$P45)&amp;IF(N($O45)&lt;Settings!$C$57," (low confidence)",""))</f>
        <v/>
      </c>
      <c r="O45" s="56" t="str" cm="1">
        <f t="array" ref="O45">IF($P45="","",INDEX('Daily Data'!$AI$4:$AI$503,$P45))</f>
        <v/>
      </c>
      <c r="P45" s="76" t="str">
        <f>IF($A45="","",IFERROR(MATCH($A45&amp;"|"&amp;TEXT($B$3,"yyyy-mm-dd"),'Daily Data'!$AU$4:$AU$503,0),""))</f>
        <v/>
      </c>
    </row>
  </sheetData>
  <sheetProtection algorithmName="SHA-512" hashValue="eipndqZTaIA4WfKEhKk04Rrrzy/YCpUiZgsVxH9oStsQsQkGflXDE3S7Nfpn2MWHvV1LJBwdJXwE5S3/Sqi+eA==" saltValue="Y4o+nnwnoWNS23yL1tWF2Q==" spinCount="100000" sheet="1" objects="1" scenarios="1" sort="0" autoFilter="0"/>
  <conditionalFormatting sqref="D6:D45">
    <cfRule type="cellIs" dxfId="81" priority="1" operator="greaterThan">
      <formula>0</formula>
    </cfRule>
  </conditionalFormatting>
  <conditionalFormatting sqref="D6:D45">
    <cfRule type="cellIs" dxfId="80" priority="2" operator="lessThan">
      <formula>0</formula>
    </cfRule>
  </conditionalFormatting>
  <conditionalFormatting sqref="J6:J45">
    <cfRule type="cellIs" dxfId="79" priority="3" operator="greaterThan">
      <formula>0</formula>
    </cfRule>
  </conditionalFormatting>
  <conditionalFormatting sqref="J6:J45">
    <cfRule type="cellIs" dxfId="78" priority="4" operator="lessThan">
      <formula>0</formula>
    </cfRule>
  </conditionalFormatting>
  <conditionalFormatting sqref="M6:M45">
    <cfRule type="colorScale" priority="5">
      <colorScale>
        <cfvo type="num" val="0"/>
        <cfvo type="num" val="50"/>
        <cfvo type="num" val="100"/>
        <color rgb="FFE8A6A0"/>
        <color rgb="FFFFF2CC"/>
        <color rgb="FFA9D5B2"/>
      </colorScale>
    </cfRule>
  </conditionalFormatting>
  <conditionalFormatting sqref="L6:L45">
    <cfRule type="dataBar" priority="6">
      <dataBar>
        <cfvo type="min"/>
        <cfvo type="max"/>
        <color rgb="FF8FAAC9"/>
      </dataBar>
      <extLst>
        <ext xmlns:x14="http://schemas.microsoft.com/office/spreadsheetml/2009/9/main" uri="{B025F937-C7B1-47D3-B67F-A62EFF666E3E}">
          <x14:id>{20975189-126C-465B-9FCC-C409EFEB692F}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0975189-126C-465B-9FCC-C409EFEB692F}">
            <x14:dataBar minLength="0" maxLength="100" negativeBarColorSameAsPositive="1" axisPosition="none">
              <x14:cfvo type="min"/>
              <x14:cfvo type="max"/>
            </x14:dataBar>
          </x14:cfRule>
          <xm:sqref>L6:L45</xm:sqref>
        </x14:conditionalFormatting>
        <x14:conditionalFormatting xmlns:xm="http://schemas.microsoft.com/office/excel/2006/main">
          <x14:cfRule type="cellIs" priority="7" operator="lessThan" id="{7E221C42-7071-4876-81C4-CB4A487347CB}">
            <xm:f>Settings!$C$57</xm:f>
            <x14:dxf>
              <fill>
                <patternFill patternType="solid">
                  <fgColor indexed="64"/>
                  <bgColor rgb="FFFDE9D9"/>
                </patternFill>
              </fill>
            </x14:dxf>
          </x14:cfRule>
          <xm:sqref>O6:O45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32E8-D97A-4ABC-A45F-C8BC55FFB4C5}">
  <dimension ref="A1:AG54"/>
  <sheetViews>
    <sheetView workbookViewId="0">
      <selection activeCell="B12" sqref="B12"/>
    </sheetView>
  </sheetViews>
  <sheetFormatPr defaultRowHeight="14.4" x14ac:dyDescent="0.3"/>
  <cols>
    <col min="1" max="1" width="17.5546875" customWidth="1"/>
    <col min="2" max="2" width="42.5546875" customWidth="1"/>
    <col min="3" max="3" width="24.109375" customWidth="1"/>
    <col min="4" max="4" width="22.21875" customWidth="1"/>
    <col min="5" max="6" width="20.33203125" customWidth="1"/>
    <col min="7" max="7" width="17.5546875" customWidth="1"/>
    <col min="8" max="8" width="48.109375" customWidth="1"/>
    <col min="9" max="9" width="31.44140625" customWidth="1"/>
    <col min="10" max="10" width="35.21875" customWidth="1"/>
    <col min="11" max="16" width="17.5546875" customWidth="1"/>
    <col min="17" max="23" width="14.44140625" customWidth="1"/>
    <col min="24" max="29" width="19.44140625" customWidth="1"/>
    <col min="30" max="33" width="18.5546875" customWidth="1"/>
  </cols>
  <sheetData>
    <row r="1" spans="1:33" ht="21" x14ac:dyDescent="0.4">
      <c r="A1" s="14" t="s">
        <v>1184</v>
      </c>
    </row>
    <row r="2" spans="1:33" ht="43.95" customHeight="1" x14ac:dyDescent="0.3">
      <c r="A2" s="251" t="s">
        <v>1375</v>
      </c>
      <c r="B2" s="159"/>
      <c r="C2" s="159"/>
      <c r="D2" s="159"/>
      <c r="E2" s="159"/>
      <c r="F2" s="159"/>
      <c r="G2" s="159"/>
      <c r="H2" s="159"/>
      <c r="I2" s="159"/>
      <c r="J2" s="159"/>
    </row>
    <row r="3" spans="1:33" x14ac:dyDescent="0.3">
      <c r="X3" s="291" t="s">
        <v>1421</v>
      </c>
      <c r="Y3" s="159"/>
      <c r="Z3" s="159"/>
      <c r="AA3" s="159"/>
      <c r="AB3" s="159"/>
      <c r="AC3" s="159"/>
    </row>
    <row r="4" spans="1:33" ht="43.95" customHeight="1" x14ac:dyDescent="0.3">
      <c r="A4" s="154" t="s">
        <v>1185</v>
      </c>
      <c r="B4" s="154" t="s">
        <v>1186</v>
      </c>
      <c r="C4" s="154" t="s">
        <v>99</v>
      </c>
      <c r="D4" s="154" t="s">
        <v>1187</v>
      </c>
      <c r="E4" s="154" t="s">
        <v>1188</v>
      </c>
      <c r="F4" s="154" t="s">
        <v>1189</v>
      </c>
      <c r="G4" s="154" t="s">
        <v>1190</v>
      </c>
      <c r="H4" s="154" t="s">
        <v>1191</v>
      </c>
      <c r="I4" s="154" t="s">
        <v>1192</v>
      </c>
      <c r="J4" s="154" t="s">
        <v>1193</v>
      </c>
      <c r="K4" s="114" t="s">
        <v>1362</v>
      </c>
      <c r="L4" s="114" t="s">
        <v>1363</v>
      </c>
      <c r="M4" s="114" t="s">
        <v>1364</v>
      </c>
      <c r="N4" s="114" t="s">
        <v>1365</v>
      </c>
      <c r="O4" s="114" t="s">
        <v>1366</v>
      </c>
      <c r="P4" s="114" t="s">
        <v>1367</v>
      </c>
      <c r="Q4" s="114" t="s">
        <v>1368</v>
      </c>
      <c r="R4" s="114" t="s">
        <v>1369</v>
      </c>
      <c r="S4" s="114" t="s">
        <v>1370</v>
      </c>
      <c r="T4" s="114" t="s">
        <v>1371</v>
      </c>
      <c r="U4" s="114" t="s">
        <v>1372</v>
      </c>
      <c r="V4" s="114" t="s">
        <v>1373</v>
      </c>
      <c r="W4" s="114" t="s">
        <v>1374</v>
      </c>
      <c r="X4" s="391" t="s">
        <v>1415</v>
      </c>
      <c r="Y4" s="391" t="s">
        <v>1416</v>
      </c>
      <c r="Z4" s="391" t="s">
        <v>1417</v>
      </c>
      <c r="AA4" s="391" t="s">
        <v>1418</v>
      </c>
      <c r="AB4" s="391" t="s">
        <v>1419</v>
      </c>
      <c r="AC4" s="391" t="s">
        <v>1420</v>
      </c>
      <c r="AD4" s="391" t="s">
        <v>1424</v>
      </c>
      <c r="AE4" s="391" t="s">
        <v>1425</v>
      </c>
      <c r="AF4" s="391" t="s">
        <v>1427</v>
      </c>
      <c r="AG4" s="391" t="s">
        <v>1428</v>
      </c>
    </row>
    <row r="5" spans="1:33" ht="42" x14ac:dyDescent="0.3">
      <c r="A5" s="318" t="str">
        <f>IF(Symbols!A4="","",Symbols!A4)</f>
        <v>AFRIPRISE</v>
      </c>
      <c r="B5" s="319" t="str" cm="1">
        <f t="array" ref="B5">IF($A5="","",INDEX(Symbols!$B$4:$B$43,ROW()-4))</f>
        <v>Afriprise Investment PLC</v>
      </c>
      <c r="C5" s="319" t="str" cm="1">
        <f t="array" ref="C5">IF($A5="","",INDEX(Symbols!$D$4:$D$43,ROW()-4))</f>
        <v>Investment</v>
      </c>
      <c r="D5" s="320" t="str">
        <f>IF($AD5="","",PROPER($AG5)&amp;" to "&amp;TEXT($AD5,"dd mmm yyyy"))</f>
        <v>Quarter to 30 Jun 2026</v>
      </c>
      <c r="E5" s="378">
        <f>IF($A5="","",IF(ISNUMBER($K5),$K5,IF($W5="","",$W5)))</f>
        <v>86.9</v>
      </c>
      <c r="F5" s="380">
        <f>IF($A5="","",IF(ISNUMBER($K5),1,N($V5)/5))</f>
        <v>1</v>
      </c>
      <c r="G5" s="321"/>
      <c r="H5" s="389" t="s">
        <v>1437</v>
      </c>
      <c r="I5" s="319" t="str" cm="1">
        <f t="array" ref="I5">IF($A5="","",IF(INDEX(Symbols!$C$4:$C$43,ROW()-4)="ETF","Fund / ETF module",IF(OR($C5="Banking",$C5="Financial Services"),"Bank module",IF($C5="Insurance","Insurer module",IF($C5="Investment","Investment company module","Industrial / general module")))))</f>
        <v>Investment company module</v>
      </c>
      <c r="J5" s="319" t="str">
        <f ca="1">IF($A5="","",IF(NOT(ISNUMBER($E5)),"Missing fundamental data",IF(OR($E5&lt;0,$E5&gt;100),"INVALID — score must be 0–100",IF(AND(ISNUMBER($AE5),$AE5&gt;Settings!$C$104),"STALE — statement older than "&amp;Settings!$C$104&amp;" months",IF($D5="","Scored — financial period missing","Scored")))))</f>
        <v>Scored</v>
      </c>
      <c r="K5" s="316"/>
      <c r="L5" s="392">
        <f>IF($A5="","",IF(OR(NOT(ISNUMBER($X5)),NOT(ISNUMBER($Y5)),N($Y5)=0),"",$X5/$Y5-1))</f>
        <v>0.24121708053647017</v>
      </c>
      <c r="M5" s="392">
        <f>IF($A5="","",IF(OR(NOT(ISNUMBER($Z5)),NOT(ISNUMBER($AA5)),N($AA5)=0),"",$Z5/$AA5-1))</f>
        <v>0.2390097672656597</v>
      </c>
      <c r="N5" s="392">
        <f>IF($A5="","",IF(OR(NOT(ISNUMBER($Z5)),NOT(ISNUMBER($X5)),N($X5)=0),"",$Z5/$X5))</f>
        <v>0.89913700824211584</v>
      </c>
      <c r="O5" s="392">
        <f>IF($A5="","",IF(OR(NOT(ISNUMBER($Z5)),NOT(ISNUMBER($AB5)),N($AB5)&lt;=0),"",$Z5*IF(ISNUMBER($AF5),$AF5,Settings!$C$103)/$AB5))</f>
        <v>0.15917303638631952</v>
      </c>
      <c r="P5" s="393">
        <f>IF($A5="","",IF(OR(NOT(ISNUMBER($AC5)),NOT(ISNUMBER($AB5)),N($AB5)&lt;=0),"",$AC5/$AB5))</f>
        <v>0</v>
      </c>
      <c r="Q5" s="340">
        <f>IF($A5="","",IF(NOT(ISNUMBER($L5)),"",MEDIAN(0,100,100*($L5-Settings!$C$92)/(Settings!$C$93-Settings!$C$92))))</f>
        <v>97.490594438991465</v>
      </c>
      <c r="R5" s="340">
        <f>IF($A5="","",IF(NOT(ISNUMBER($M5)),"",MEDIAN(0,100,100*($M5-Settings!$C$94)/(Settings!$C$95-Settings!$C$94))))</f>
        <v>73.168294544276606</v>
      </c>
      <c r="S5" s="340">
        <f>IF($A5="","",IF(NOT(ISNUMBER($N5)),"",MEDIAN(0,100,100*($N5-Settings!$C$96)/(Settings!$C$97-Settings!$C$96))))</f>
        <v>100</v>
      </c>
      <c r="T5" s="340">
        <f>IF($A5="","",IF(NOT(ISNUMBER($O5)),"",MEDIAN(0,100,100*($O5-Settings!$C$98)/(Settings!$C$99-Settings!$C$98))))</f>
        <v>63.669214554527812</v>
      </c>
      <c r="U5" s="340">
        <f>IF($A5="","",IF(NOT(ISNUMBER($P5)),"",MEDIAN(0,100,100*(Settings!$C$101-$P5)/(Settings!$C$101-Settings!$C$100))))</f>
        <v>100</v>
      </c>
      <c r="V5" s="343">
        <f>IF($A5="","",COUNT($Q5:$U5))</f>
        <v>5</v>
      </c>
      <c r="W5" s="340">
        <f>IF($A5="","",IF(N($V5)&lt;Settings!$C$102,"",ROUND(AVERAGE($Q5:$U5),1)))</f>
        <v>86.9</v>
      </c>
      <c r="X5" s="394">
        <v>3764810</v>
      </c>
      <c r="Y5" s="394">
        <v>3033160</v>
      </c>
      <c r="Z5" s="394">
        <v>3385080</v>
      </c>
      <c r="AA5" s="394">
        <v>2732085</v>
      </c>
      <c r="AB5" s="394">
        <v>85066669</v>
      </c>
      <c r="AC5" s="394">
        <v>0</v>
      </c>
      <c r="AD5" s="317">
        <v>46203</v>
      </c>
      <c r="AE5" s="87">
        <f ca="1">IF($A5="","",IF(NOT(ISNUMBER($AD5)),"",ROUND((TODAY()-$AD5)/30.44,0)))</f>
        <v>2</v>
      </c>
      <c r="AF5" s="396">
        <v>4</v>
      </c>
      <c r="AG5" s="315" t="s">
        <v>1429</v>
      </c>
    </row>
    <row r="6" spans="1:33" ht="52.2" x14ac:dyDescent="0.3">
      <c r="A6" s="318" t="str">
        <f>IF(Symbols!A5="","",Symbols!A5)</f>
        <v>CRDB</v>
      </c>
      <c r="B6" s="319" t="str" cm="1">
        <f t="array" ref="B6">IF($A6="","",INDEX(Symbols!$B$4:$B$43,ROW()-4))</f>
        <v>CRDB Bank PLC</v>
      </c>
      <c r="C6" s="319" t="str" cm="1">
        <f t="array" ref="C6">IF($A6="","",INDEX(Symbols!$D$4:$D$43,ROW()-4))</f>
        <v>Banking</v>
      </c>
      <c r="D6" s="320" t="s">
        <v>1380</v>
      </c>
      <c r="E6" s="378">
        <f>IF($A6="","",IF(ISNUMBER($K6),$K6,IF($W6="","",$W6)))</f>
        <v>81.3</v>
      </c>
      <c r="F6" s="380">
        <f>IF($A6="","",IF(ISNUMBER($K6),1,N($V6)/5))</f>
        <v>1</v>
      </c>
      <c r="G6" s="321">
        <v>46265</v>
      </c>
      <c r="H6" s="389" t="s">
        <v>1409</v>
      </c>
      <c r="I6" s="319" t="str" cm="1">
        <f t="array" ref="I6">IF($A6="","",IF(INDEX(Symbols!$C$4:$C$43,ROW()-4)="ETF","Fund / ETF module",IF(OR($C6="Banking",$C6="Financial Services"),"Bank module",IF($C6="Insurance","Insurer module",IF($C6="Investment","Investment company module","Industrial / general module")))))</f>
        <v>Bank module</v>
      </c>
      <c r="J6" s="319" t="str">
        <f ca="1">IF($A6="","",IF(NOT(ISNUMBER($E6)),"Missing fundamental data",IF(OR($E6&lt;0,$E6&gt;100),"INVALID — score must be 0–100",IF(AND(ISNUMBER($AE6),$AE6&gt;Settings!$C$104),"STALE — statement older than "&amp;Settings!$C$104&amp;" months",IF($D6="","Scored — financial period missing","Scored")))))</f>
        <v>Scored</v>
      </c>
      <c r="K6" s="316"/>
      <c r="L6" s="392">
        <f>IF($A6="","",IF(OR(NOT(ISNUMBER($X6)),NOT(ISNUMBER($Y6)),N($Y6)=0),"",$X6/$Y6-1))</f>
        <v>0.19785837068791645</v>
      </c>
      <c r="M6" s="392">
        <f>IF($A6="","",IF(OR(NOT(ISNUMBER($Z6)),NOT(ISNUMBER($AA6)),N($AA6)=0),"",$Z6/$AA6-1))</f>
        <v>0.2032131249747442</v>
      </c>
      <c r="N6" s="392">
        <f>IF($A6="","",IF(OR(NOT(ISNUMBER($Z6)),NOT(ISNUMBER($X6)),N($X6)=0),"",$Z6/$X6))</f>
        <v>0.34921416801331656</v>
      </c>
      <c r="O6" s="392">
        <f>IF($A6="","",IF(OR(NOT(ISNUMBER($Z6)),NOT(ISNUMBER($AB6)),N($AB6)&lt;=0),"",$Z6*IF(ISNUMBER($AF6),$AF6,Settings!$C$103)/$AB6))</f>
        <v>0.27617582823829573</v>
      </c>
      <c r="P6" s="393">
        <f>IF($A6="","",IF(OR(NOT(ISNUMBER($AC6)),NOT(ISNUMBER($AB6)),N($AB6)&lt;=0),"",$AC6/$AB6))</f>
        <v>1.37382465208708</v>
      </c>
      <c r="Q6" s="340">
        <f>IF($A6="","",IF(NOT(ISNUMBER($L6)),"",MEDIAN(0,100,100*($L6-Settings!$C$92)/(Settings!$C$93-Settings!$C$92))))</f>
        <v>85.102391625118983</v>
      </c>
      <c r="R6" s="340">
        <f>IF($A6="","",IF(NOT(ISNUMBER($M6)),"",MEDIAN(0,100,100*($M6-Settings!$C$94)/(Settings!$C$95-Settings!$C$94))))</f>
        <v>67.202187495790696</v>
      </c>
      <c r="S6" s="340">
        <f>IF($A6="","",IF(NOT(ISNUMBER($N6)),"",MEDIAN(0,100,100*($N6-Settings!$C$96)/(Settings!$C$97-Settings!$C$96))))</f>
        <v>100</v>
      </c>
      <c r="T6" s="340">
        <f>IF($A6="","",IF(NOT(ISNUMBER($O6)),"",MEDIAN(0,100,100*($O6-Settings!$C$98)/(Settings!$C$99-Settings!$C$98))))</f>
        <v>100</v>
      </c>
      <c r="U6" s="340">
        <f>IF($A6="","",IF(NOT(ISNUMBER($P6)),"",MEDIAN(0,100,100*(Settings!$C$101-$P6)/(Settings!$C$101-Settings!$C$100))))</f>
        <v>54.205844930430665</v>
      </c>
      <c r="V6" s="343">
        <f>IF($A6="","",COUNT($Q6:$U6))</f>
        <v>5</v>
      </c>
      <c r="W6" s="340">
        <f>IF($A6="","",IF(N($V6)&lt;Settings!$C$102,"",ROUND(AVERAGE($Q6:$U6),1)))</f>
        <v>81.3</v>
      </c>
      <c r="X6" s="394">
        <v>1193703</v>
      </c>
      <c r="Y6" s="394">
        <v>996531</v>
      </c>
      <c r="Z6" s="394">
        <v>416858</v>
      </c>
      <c r="AA6" s="394">
        <v>346454</v>
      </c>
      <c r="AB6" s="394">
        <v>3018787</v>
      </c>
      <c r="AC6" s="394">
        <v>4147284</v>
      </c>
      <c r="AD6" s="317">
        <v>46203</v>
      </c>
      <c r="AE6" s="87">
        <f ca="1">IF($A6="","",IF(NOT(ISNUMBER($AD6)),"",ROUND((TODAY()-$AD6)/30.44,0)))</f>
        <v>2</v>
      </c>
      <c r="AF6" s="396">
        <v>2</v>
      </c>
      <c r="AG6" s="315" t="s">
        <v>1431</v>
      </c>
    </row>
    <row r="7" spans="1:33" ht="42" x14ac:dyDescent="0.3">
      <c r="A7" s="318" t="str">
        <f>IF(Symbols!A6="","",Symbols!A6)</f>
        <v>DCB</v>
      </c>
      <c r="B7" s="319" t="str" cm="1">
        <f t="array" ref="B7">IF($A7="","",INDEX(Symbols!$B$4:$B$43,ROW()-4))</f>
        <v>DCB Commercial Bank PLC</v>
      </c>
      <c r="C7" s="319" t="str" cm="1">
        <f t="array" ref="C7">IF($A7="","",INDEX(Symbols!$D$4:$D$43,ROW()-4))</f>
        <v>Banking</v>
      </c>
      <c r="D7" s="320" t="str">
        <f>IF($AD7="","",PROPER($AG7)&amp;" to "&amp;TEXT($AD7,"dd mmm yyyy"))</f>
        <v>Full to 31 Dec 2025</v>
      </c>
      <c r="E7" s="378">
        <f>IF($A7="","",IF(ISNUMBER($K7),$K7,IF($W7="","",$W7)))</f>
        <v>24.9</v>
      </c>
      <c r="F7" s="380">
        <f>IF($A7="","",IF(ISNUMBER($K7),1,N($V7)/5))</f>
        <v>1</v>
      </c>
      <c r="G7" s="321"/>
      <c r="H7" s="389" t="s">
        <v>1432</v>
      </c>
      <c r="I7" s="319" t="str" cm="1">
        <f t="array" ref="I7">IF($A7="","",IF(INDEX(Symbols!$C$4:$C$43,ROW()-4)="ETF","Fund / ETF module",IF(OR($C7="Banking",$C7="Financial Services"),"Bank module",IF($C7="Insurance","Insurer module",IF($C7="Investment","Investment company module","Industrial / general module")))))</f>
        <v>Bank module</v>
      </c>
      <c r="J7" s="319" t="str">
        <f ca="1">IF($A7="","",IF(NOT(ISNUMBER($E7)),"Missing fundamental data",IF(OR($E7&lt;0,$E7&gt;100),"INVALID — score must be 0–100",IF(AND(ISNUMBER($AE7),$AE7&gt;Settings!$C$104),"STALE — statement older than "&amp;Settings!$C$104&amp;" months",IF($D7="","Scored — financial period missing","Scored")))))</f>
        <v>Scored</v>
      </c>
      <c r="K7" s="316"/>
      <c r="L7" s="392">
        <f>IF($A7="","",IF(OR(NOT(ISNUMBER($X7)),NOT(ISNUMBER($Y7)),N($Y7)=0),"",$X7/$Y7-1))</f>
        <v>8.6850438664797691E-2</v>
      </c>
      <c r="M7" s="392">
        <f>IF($A7="","",IF(OR(NOT(ISNUMBER($Z7)),NOT(ISNUMBER($AA7)),N($AA7)=0),"",$Z7/$AA7-1))</f>
        <v>-0.34468524251805988</v>
      </c>
      <c r="N7" s="392">
        <f>IF($A7="","",IF(OR(NOT(ISNUMBER($Z7)),NOT(ISNUMBER($X7)),N($X7)=0),"",$Z7/$X7))</f>
        <v>-3.0330531142529614E-2</v>
      </c>
      <c r="O7" s="392">
        <f>IF($A7="","",IF(OR(NOT(ISNUMBER($Z7)),NOT(ISNUMBER($AB7)),N($AB7)&lt;=0),"",$Z7*IF(ISNUMBER($AF7),$AF7,Settings!$C$103)/$AB7))</f>
        <v>-1.8906124393366482E-2</v>
      </c>
      <c r="P7" s="393">
        <f>IF($A7="","",IF(OR(NOT(ISNUMBER($AC7)),NOT(ISNUMBER($AB7)),N($AB7)&lt;=0),"",$AC7/$AB7))</f>
        <v>0.87117039330693424</v>
      </c>
      <c r="Q7" s="340">
        <f>IF($A7="","",IF(NOT(ISNUMBER($L7)),"",MEDIAN(0,100,100*($L7-Settings!$C$92)/(Settings!$C$93-Settings!$C$92))))</f>
        <v>53.385839618513629</v>
      </c>
      <c r="R7" s="340">
        <f>IF($A7="","",IF(NOT(ISNUMBER($M7)),"",MEDIAN(0,100,100*($M7-Settings!$C$94)/(Settings!$C$95-Settings!$C$94))))</f>
        <v>0</v>
      </c>
      <c r="S7" s="340">
        <f>IF($A7="","",IF(NOT(ISNUMBER($N7)),"",MEDIAN(0,100,100*($N7-Settings!$C$96)/(Settings!$C$97-Settings!$C$96))))</f>
        <v>0</v>
      </c>
      <c r="T7" s="340">
        <f>IF($A7="","",IF(NOT(ISNUMBER($O7)),"",MEDIAN(0,100,100*($O7-Settings!$C$98)/(Settings!$C$99-Settings!$C$98))))</f>
        <v>0</v>
      </c>
      <c r="U7" s="340">
        <f>IF($A7="","",IF(NOT(ISNUMBER($P7)),"",MEDIAN(0,100,100*(Settings!$C$101-$P7)/(Settings!$C$101-Settings!$C$100))))</f>
        <v>70.960986889768847</v>
      </c>
      <c r="V7" s="343">
        <f>IF($A7="","",COUNT($Q7:$U7))</f>
        <v>5</v>
      </c>
      <c r="W7" s="340">
        <f>IF($A7="","",IF(N($V7)&lt;Settings!$C$102,"",ROUND(AVERAGE($Q7:$U7),1)))</f>
        <v>24.9</v>
      </c>
      <c r="X7" s="394">
        <v>20936</v>
      </c>
      <c r="Y7" s="394">
        <v>19263</v>
      </c>
      <c r="Z7" s="394">
        <v>-635</v>
      </c>
      <c r="AA7" s="394">
        <v>-969</v>
      </c>
      <c r="AB7" s="394">
        <v>33587</v>
      </c>
      <c r="AC7" s="394">
        <v>29260</v>
      </c>
      <c r="AD7" s="317">
        <v>46022</v>
      </c>
      <c r="AE7" s="87">
        <f ca="1">IF($A7="","",IF(NOT(ISNUMBER($AD7)),"",ROUND((TODAY()-$AD7)/30.44,0)))</f>
        <v>7</v>
      </c>
      <c r="AF7" s="396">
        <v>1</v>
      </c>
      <c r="AG7" s="315" t="s">
        <v>1430</v>
      </c>
    </row>
    <row r="8" spans="1:33" ht="42" x14ac:dyDescent="0.3">
      <c r="A8" s="318" t="str">
        <f>IF(Symbols!A7="","",Symbols!A7)</f>
        <v>DSE</v>
      </c>
      <c r="B8" s="319" t="str" cm="1">
        <f t="array" ref="B8">IF($A8="","",INDEX(Symbols!$B$4:$B$43,ROW()-4))</f>
        <v>Dar es Salaam Stock Exchange PLC</v>
      </c>
      <c r="C8" s="319" t="str" cm="1">
        <f t="array" ref="C8">IF($A8="","",INDEX(Symbols!$D$4:$D$43,ROW()-4))</f>
        <v>Financial Services</v>
      </c>
      <c r="D8" s="320" t="str">
        <f>IF($AD8="","",PROPER($AG8)&amp;" to "&amp;TEXT($AD8,"dd mmm yyyy"))</f>
        <v>Half to 30 Jun 2026</v>
      </c>
      <c r="E8" s="378">
        <f>IF($A8="","",IF(ISNUMBER($K8),$K8,IF($W8="","",$W8)))</f>
        <v>92.7</v>
      </c>
      <c r="F8" s="380">
        <f>IF($A8="","",IF(ISNUMBER($K8),1,N($V8)/5))</f>
        <v>1</v>
      </c>
      <c r="G8" s="321"/>
      <c r="H8" s="389" t="s">
        <v>1432</v>
      </c>
      <c r="I8" s="319" t="str" cm="1">
        <f t="array" ref="I8">IF($A8="","",IF(INDEX(Symbols!$C$4:$C$43,ROW()-4)="ETF","Fund / ETF module",IF(OR($C8="Banking",$C8="Financial Services"),"Bank module",IF($C8="Insurance","Insurer module",IF($C8="Investment","Investment company module","Industrial / general module")))))</f>
        <v>Bank module</v>
      </c>
      <c r="J8" s="319" t="str">
        <f ca="1">IF($A8="","",IF(NOT(ISNUMBER($E8)),"Missing fundamental data",IF(OR($E8&lt;0,$E8&gt;100),"INVALID — score must be 0–100",IF(AND(ISNUMBER($AE8),$AE8&gt;Settings!$C$104),"STALE — statement older than "&amp;Settings!$C$104&amp;" months",IF($D8="","Scored — financial period missing","Scored")))))</f>
        <v>Scored</v>
      </c>
      <c r="K8" s="316"/>
      <c r="L8" s="392">
        <f>IF($A8="","",IF(OR(NOT(ISNUMBER($X8)),NOT(ISNUMBER($Y8)),N($Y8)=0),"",$X8/$Y8-1))</f>
        <v>0.84081278107252588</v>
      </c>
      <c r="M8" s="392">
        <f>IF($A8="","",IF(OR(NOT(ISNUMBER($Z8)),NOT(ISNUMBER($AA8)),N($AA8)=0),"",$Z8/$AA8-1))</f>
        <v>1.0529290068935206</v>
      </c>
      <c r="N8" s="392">
        <f>IF($A8="","",IF(OR(NOT(ISNUMBER($Z8)),NOT(ISNUMBER($X8)),N($X8)=0),"",$Z8/$X8))</f>
        <v>0.41370047829425832</v>
      </c>
      <c r="O8" s="392">
        <f>IF($A8="","",IF(OR(NOT(ISNUMBER($Z8)),NOT(ISNUMBER($AB8)),N($AB8)&lt;=0),"",$Z8*IF(ISNUMBER($AF8),$AF8,Settings!$C$103)/$AB8))</f>
        <v>0.15901900420510456</v>
      </c>
      <c r="P8" s="393">
        <f>IF($A8="","",IF(OR(NOT(ISNUMBER($AC8)),NOT(ISNUMBER($AB8)),N($AB8)&lt;=0),"",$AC8/$AB8))</f>
        <v>0</v>
      </c>
      <c r="Q8" s="340">
        <f>IF($A8="","",IF(NOT(ISNUMBER($L8)),"",MEDIAN(0,100,100*($L8-Settings!$C$92)/(Settings!$C$93-Settings!$C$92))))</f>
        <v>100</v>
      </c>
      <c r="R8" s="340">
        <f>IF($A8="","",IF(NOT(ISNUMBER($M8)),"",MEDIAN(0,100,100*($M8-Settings!$C$94)/(Settings!$C$95-Settings!$C$94))))</f>
        <v>100</v>
      </c>
      <c r="S8" s="340">
        <f>IF($A8="","",IF(NOT(ISNUMBER($N8)),"",MEDIAN(0,100,100*($N8-Settings!$C$96)/(Settings!$C$97-Settings!$C$96))))</f>
        <v>100</v>
      </c>
      <c r="T8" s="340">
        <f>IF($A8="","",IF(NOT(ISNUMBER($O8)),"",MEDIAN(0,100,100*($O8-Settings!$C$98)/(Settings!$C$99-Settings!$C$98))))</f>
        <v>63.607601682041825</v>
      </c>
      <c r="U8" s="340">
        <f>IF($A8="","",IF(NOT(ISNUMBER($P8)),"",MEDIAN(0,100,100*(Settings!$C$101-$P8)/(Settings!$C$101-Settings!$C$100))))</f>
        <v>100</v>
      </c>
      <c r="V8" s="343">
        <f>IF($A8="","",COUNT($Q8:$U8))</f>
        <v>5</v>
      </c>
      <c r="W8" s="340">
        <f>IF($A8="","",IF(N($V8)&lt;Settings!$C$102,"",ROUND(AVERAGE($Q8:$U8),1)))</f>
        <v>92.7</v>
      </c>
      <c r="X8" s="394">
        <v>7170518860</v>
      </c>
      <c r="Y8" s="394">
        <v>3895300453</v>
      </c>
      <c r="Z8" s="394">
        <v>2966447082</v>
      </c>
      <c r="AA8" s="394">
        <v>1444982789</v>
      </c>
      <c r="AB8" s="394">
        <v>37309340438</v>
      </c>
      <c r="AC8" s="394">
        <v>0</v>
      </c>
      <c r="AD8" s="317">
        <v>46203</v>
      </c>
      <c r="AE8" s="87">
        <f ca="1">IF($A8="","",IF(NOT(ISNUMBER($AD8)),"",ROUND((TODAY()-$AD8)/30.44,0)))</f>
        <v>2</v>
      </c>
      <c r="AF8" s="396">
        <v>2</v>
      </c>
      <c r="AG8" s="315" t="s">
        <v>1431</v>
      </c>
    </row>
    <row r="9" spans="1:33" ht="42" x14ac:dyDescent="0.3">
      <c r="A9" s="318" t="str">
        <f>IF(Symbols!A8="","",Symbols!A8)</f>
        <v>EABL</v>
      </c>
      <c r="B9" s="319" t="str" cm="1">
        <f t="array" ref="B9">IF($A9="","",INDEX(Symbols!$B$4:$B$43,ROW()-4))</f>
        <v>East African Breweries PLC</v>
      </c>
      <c r="C9" s="319" t="str" cm="1">
        <f t="array" ref="C9">IF($A9="","",INDEX(Symbols!$D$4:$D$43,ROW()-4))</f>
        <v>Consumer Goods</v>
      </c>
      <c r="D9" s="320" t="str">
        <f>IF($AD9="","",PROPER($AG9)&amp;" to "&amp;TEXT($AD9,"dd mmm yyyy"))</f>
        <v>Full to 30 Jun 2026</v>
      </c>
      <c r="E9" s="378">
        <f>IF($A9="","",IF(ISNUMBER($K9),$K9,IF($W9="","",$W9)))</f>
        <v>78.599999999999994</v>
      </c>
      <c r="F9" s="380">
        <f>IF($A9="","",IF(ISNUMBER($K9),1,N($V9)/5))</f>
        <v>1</v>
      </c>
      <c r="G9" s="321"/>
      <c r="H9" s="389" t="s">
        <v>1432</v>
      </c>
      <c r="I9" s="319" t="str" cm="1">
        <f t="array" ref="I9">IF($A9="","",IF(INDEX(Symbols!$C$4:$C$43,ROW()-4)="ETF","Fund / ETF module",IF(OR($C9="Banking",$C9="Financial Services"),"Bank module",IF($C9="Insurance","Insurer module",IF($C9="Investment","Investment company module","Industrial / general module")))))</f>
        <v>Industrial / general module</v>
      </c>
      <c r="J9" s="319" t="str">
        <f ca="1">IF($A9="","",IF(NOT(ISNUMBER($E9)),"Missing fundamental data",IF(OR($E9&lt;0,$E9&gt;100),"INVALID — score must be 0–100",IF(AND(ISNUMBER($AE9),$AE9&gt;Settings!$C$104),"STALE — statement older than "&amp;Settings!$C$104&amp;" months",IF($D9="","Scored — financial period missing","Scored")))))</f>
        <v>Scored</v>
      </c>
      <c r="K9" s="316"/>
      <c r="L9" s="392">
        <f>IF($A9="","",IF(OR(NOT(ISNUMBER($X9)),NOT(ISNUMBER($Y9)),N($Y9)=0),"",$X9/$Y9-1))</f>
        <v>0.13329347547577086</v>
      </c>
      <c r="M9" s="392">
        <f>IF($A9="","",IF(OR(NOT(ISNUMBER($Z9)),NOT(ISNUMBER($AA9)),N($AA9)=0),"",$Z9/$AA9-1))</f>
        <v>0.49434333497294647</v>
      </c>
      <c r="N9" s="392">
        <f>IF($A9="","",IF(OR(NOT(ISNUMBER($Z9)),NOT(ISNUMBER($X9)),N($X9)=0),"",$Z9/$X9))</f>
        <v>0.12488524095972814</v>
      </c>
      <c r="O9" s="392">
        <f>IF($A9="","",IF(OR(NOT(ISNUMBER($Z9)),NOT(ISNUMBER($AB9)),N($AB9)&lt;=0),"",$Z9*IF(ISNUMBER($AF9),$AF9,Settings!$C$103)/$AB9))</f>
        <v>0.36012328117591275</v>
      </c>
      <c r="P9" s="393">
        <f>IF($A9="","",IF(OR(NOT(ISNUMBER($AC9)),NOT(ISNUMBER($AB9)),N($AB9)&lt;=0),"",$AC9/$AB9))</f>
        <v>0.71094120436225694</v>
      </c>
      <c r="Q9" s="340">
        <f>IF($A9="","",IF(NOT(ISNUMBER($L9)),"",MEDIAN(0,100,100*($L9-Settings!$C$92)/(Settings!$C$93-Settings!$C$92))))</f>
        <v>66.655278707363109</v>
      </c>
      <c r="R9" s="340">
        <f>IF($A9="","",IF(NOT(ISNUMBER($M9)),"",MEDIAN(0,100,100*($M9-Settings!$C$94)/(Settings!$C$95-Settings!$C$94))))</f>
        <v>100</v>
      </c>
      <c r="S9" s="340">
        <f>IF($A9="","",IF(NOT(ISNUMBER($N9)),"",MEDIAN(0,100,100*($N9-Settings!$C$96)/(Settings!$C$97-Settings!$C$96))))</f>
        <v>49.954096383891255</v>
      </c>
      <c r="T9" s="340">
        <f>IF($A9="","",IF(NOT(ISNUMBER($O9)),"",MEDIAN(0,100,100*($O9-Settings!$C$98)/(Settings!$C$99-Settings!$C$98))))</f>
        <v>100</v>
      </c>
      <c r="U9" s="340">
        <f>IF($A9="","",IF(NOT(ISNUMBER($P9)),"",MEDIAN(0,100,100*(Settings!$C$101-$P9)/(Settings!$C$101-Settings!$C$100))))</f>
        <v>76.301959854591431</v>
      </c>
      <c r="V9" s="343">
        <f>IF($A9="","",COUNT($Q9:$U9))</f>
        <v>5</v>
      </c>
      <c r="W9" s="340">
        <f>IF($A9="","",IF(N($V9)&lt;Settings!$C$102,"",ROUND(AVERAGE($Q9:$U9),1)))</f>
        <v>78.599999999999994</v>
      </c>
      <c r="X9" s="394">
        <v>145958</v>
      </c>
      <c r="Y9" s="394">
        <v>128791</v>
      </c>
      <c r="Z9" s="394">
        <v>18228</v>
      </c>
      <c r="AA9" s="394">
        <v>12198</v>
      </c>
      <c r="AB9" s="394">
        <v>50616</v>
      </c>
      <c r="AC9" s="394">
        <v>35985</v>
      </c>
      <c r="AD9" s="317">
        <v>46203</v>
      </c>
      <c r="AE9" s="87">
        <f ca="1">IF($A9="","",IF(NOT(ISNUMBER($AD9)),"",ROUND((TODAY()-$AD9)/30.44,0)))</f>
        <v>2</v>
      </c>
      <c r="AF9" s="396">
        <v>1</v>
      </c>
      <c r="AG9" s="315" t="s">
        <v>1430</v>
      </c>
    </row>
    <row r="10" spans="1:33" ht="42" x14ac:dyDescent="0.3">
      <c r="A10" s="318" t="str">
        <f>IF(Symbols!A9="","",Symbols!A9)</f>
        <v>JATU</v>
      </c>
      <c r="B10" s="319" t="str" cm="1">
        <f t="array" ref="B10">IF($A10="","",INDEX(Symbols!$B$4:$B$43,ROW()-4))</f>
        <v>JATU PLC</v>
      </c>
      <c r="C10" s="319" t="str" cm="1">
        <f t="array" ref="C10">IF($A10="","",INDEX(Symbols!$D$4:$D$43,ROW()-4))</f>
        <v>Agriculture</v>
      </c>
      <c r="D10" s="320" t="str">
        <f>IF($AD10="","",PROPER($AG10)&amp;" to "&amp;TEXT($AD10,"dd mmm yyyy"))</f>
        <v>Full to 31 Dec 2020</v>
      </c>
      <c r="E10" s="378">
        <f>IF($A10="","",IF(ISNUMBER($K10),$K10,IF($W10="","",$W10)))</f>
        <v>72</v>
      </c>
      <c r="F10" s="380">
        <f>IF($A10="","",IF(ISNUMBER($K10),1,N($V10)/5))</f>
        <v>1</v>
      </c>
      <c r="G10" s="321"/>
      <c r="H10" s="389" t="s">
        <v>1432</v>
      </c>
      <c r="I10" s="319" t="str" cm="1">
        <f t="array" ref="I10">IF($A10="","",IF(INDEX(Symbols!$C$4:$C$43,ROW()-4)="ETF","Fund / ETF module",IF(OR($C10="Banking",$C10="Financial Services"),"Bank module",IF($C10="Insurance","Insurer module",IF($C10="Investment","Investment company module","Industrial / general module")))))</f>
        <v>Industrial / general module</v>
      </c>
      <c r="J10" s="319" t="str">
        <f ca="1">IF($A10="","",IF(NOT(ISNUMBER($E10)),"Missing fundamental data",IF(OR($E10&lt;0,$E10&gt;100),"INVALID — score must be 0–100",IF(AND(ISNUMBER($AE10),$AE10&gt;Settings!$C$104),"STALE — statement older than "&amp;Settings!$C$104&amp;" months",IF($D10="","Scored — financial period missing","Scored")))))</f>
        <v>STALE — statement older than 18 months</v>
      </c>
      <c r="K10" s="316"/>
      <c r="L10" s="392">
        <f>IF($A10="","",IF(OR(NOT(ISNUMBER($X10)),NOT(ISNUMBER($Y10)),N($Y10)=0),"",$X10/$Y10-1))</f>
        <v>1.5009692715068663</v>
      </c>
      <c r="M10" s="392">
        <f>IF($A10="","",IF(OR(NOT(ISNUMBER($Z10)),NOT(ISNUMBER($AA10)),N($AA10)=0),"",$Z10/$AA10-1))</f>
        <v>1.4299015586300787</v>
      </c>
      <c r="N10" s="392">
        <f>IF($A10="","",IF(OR(NOT(ISNUMBER($Z10)),NOT(ISNUMBER($X10)),N($X10)=0),"",$Z10/$X10))</f>
        <v>6.9020942095014706E-2</v>
      </c>
      <c r="O10" s="392">
        <f>IF($A10="","",IF(OR(NOT(ISNUMBER($Z10)),NOT(ISNUMBER($AB10)),N($AB10)&lt;=0),"",$Z10*IF(ISNUMBER($AF10),$AF10,Settings!$C$103)/$AB10))</f>
        <v>8.2661272852884202E-2</v>
      </c>
      <c r="P10" s="393">
        <f>IF($A10="","",IF(OR(NOT(ISNUMBER($AC10)),NOT(ISNUMBER($AB10)),N($AB10)&lt;=0),"",$AC10/$AB10))</f>
        <v>2.4821306050400914E-2</v>
      </c>
      <c r="Q10" s="340">
        <f>IF($A10="","",IF(NOT(ISNUMBER($L10)),"",MEDIAN(0,100,100*($L10-Settings!$C$92)/(Settings!$C$93-Settings!$C$92))))</f>
        <v>100</v>
      </c>
      <c r="R10" s="340">
        <f>IF($A10="","",IF(NOT(ISNUMBER($M10)),"",MEDIAN(0,100,100*($M10-Settings!$C$94)/(Settings!$C$95-Settings!$C$94))))</f>
        <v>100</v>
      </c>
      <c r="S10" s="340">
        <f>IF($A10="","",IF(NOT(ISNUMBER($N10)),"",MEDIAN(0,100,100*($N10-Settings!$C$96)/(Settings!$C$97-Settings!$C$96))))</f>
        <v>27.608376838005881</v>
      </c>
      <c r="T10" s="340">
        <f>IF($A10="","",IF(NOT(ISNUMBER($O10)),"",MEDIAN(0,100,100*($O10-Settings!$C$98)/(Settings!$C$99-Settings!$C$98))))</f>
        <v>33.064509141153678</v>
      </c>
      <c r="U10" s="340">
        <f>IF($A10="","",IF(NOT(ISNUMBER($P10)),"",MEDIAN(0,100,100*(Settings!$C$101-$P10)/(Settings!$C$101-Settings!$C$100))))</f>
        <v>99.17262313165331</v>
      </c>
      <c r="V10" s="343">
        <f>IF($A10="","",COUNT($Q10:$U10))</f>
        <v>5</v>
      </c>
      <c r="W10" s="340">
        <f>IF($A10="","",IF(N($V10)&lt;Settings!$C$102,"",ROUND(AVERAGE($Q10:$U10),1)))</f>
        <v>72</v>
      </c>
      <c r="X10" s="394">
        <v>1411310090</v>
      </c>
      <c r="Y10" s="394">
        <v>564305250</v>
      </c>
      <c r="Z10" s="394">
        <v>97409952</v>
      </c>
      <c r="AA10" s="394">
        <v>40088024</v>
      </c>
      <c r="AB10" s="394">
        <v>1178423083</v>
      </c>
      <c r="AC10" s="394">
        <v>29250000</v>
      </c>
      <c r="AD10" s="317">
        <v>44196</v>
      </c>
      <c r="AE10" s="87">
        <f ca="1">IF($A10="","",IF(NOT(ISNUMBER($AD10)),"",ROUND((TODAY()-$AD10)/30.44,0)))</f>
        <v>67</v>
      </c>
      <c r="AF10" s="396">
        <v>1</v>
      </c>
      <c r="AG10" s="315" t="s">
        <v>1430</v>
      </c>
    </row>
    <row r="11" spans="1:33" ht="42" x14ac:dyDescent="0.3">
      <c r="A11" s="318" t="str">
        <f>IF(Symbols!A10="","",Symbols!A10)</f>
        <v>JHL</v>
      </c>
      <c r="B11" s="319" t="str" cm="1">
        <f t="array" ref="B11">IF($A11="","",INDEX(Symbols!$B$4:$B$43,ROW()-4))</f>
        <v>Jubilee Holdings Ltd</v>
      </c>
      <c r="C11" s="319" t="str" cm="1">
        <f t="array" ref="C11">IF($A11="","",INDEX(Symbols!$D$4:$D$43,ROW()-4))</f>
        <v>Insurance</v>
      </c>
      <c r="D11" s="320" t="str">
        <f>IF($AD11="","",PROPER($AG11)&amp;" to "&amp;TEXT($AD11,"dd mmm yyyy"))</f>
        <v>Full to 31 Dec 2025</v>
      </c>
      <c r="E11" s="378">
        <f>IF($A11="","",IF(ISNUMBER($K11),$K11,IF($W11="","",$W11)))</f>
        <v>67.5</v>
      </c>
      <c r="F11" s="380">
        <f>IF($A11="","",IF(ISNUMBER($K11),1,N($V11)/5))</f>
        <v>0.6</v>
      </c>
      <c r="G11" s="321"/>
      <c r="H11" s="389" t="s">
        <v>1432</v>
      </c>
      <c r="I11" s="319" t="str" cm="1">
        <f t="array" ref="I11">IF($A11="","",IF(INDEX(Symbols!$C$4:$C$43,ROW()-4)="ETF","Fund / ETF module",IF(OR($C11="Banking",$C11="Financial Services"),"Bank module",IF($C11="Insurance","Insurer module",IF($C11="Investment","Investment company module","Industrial / general module")))))</f>
        <v>Insurer module</v>
      </c>
      <c r="J11" s="319" t="str">
        <f ca="1">IF($A11="","",IF(NOT(ISNUMBER($E11)),"Missing fundamental data",IF(OR($E11&lt;0,$E11&gt;100),"INVALID — score must be 0–100",IF(AND(ISNUMBER($AE11),$AE11&gt;Settings!$C$104),"STALE — statement older than "&amp;Settings!$C$104&amp;" months",IF($D11="","Scored — financial period missing","Scored")))))</f>
        <v>Scored</v>
      </c>
      <c r="K11" s="316"/>
      <c r="L11" s="392" t="str">
        <f>IF($A11="","",IF(OR(NOT(ISNUMBER($X11)),NOT(ISNUMBER($Y11)),N($Y11)=0),"",$X11/$Y11-1))</f>
        <v/>
      </c>
      <c r="M11" s="392">
        <f>IF($A11="","",IF(OR(NOT(ISNUMBER($Z11)),NOT(ISNUMBER($AA11)),N($AA11)=0),"",$Z11/$AA11-1))</f>
        <v>0.17553121984081987</v>
      </c>
      <c r="N11" s="392" t="str">
        <f>IF($A11="","",IF(OR(NOT(ISNUMBER($Z11)),NOT(ISNUMBER($X11)),N($X11)=0),"",$Z11/$X11))</f>
        <v/>
      </c>
      <c r="O11" s="392">
        <f>IF($A11="","",IF(OR(NOT(ISNUMBER($Z11)),NOT(ISNUMBER($AB11)),N($AB11)&lt;=0),"",$Z11*IF(ISNUMBER($AF11),$AF11,Settings!$C$103)/$AB11))</f>
        <v>9.9819956610902774E-2</v>
      </c>
      <c r="P11" s="393">
        <f>IF($A11="","",IF(OR(NOT(ISNUMBER($AC11)),NOT(ISNUMBER($AB11)),N($AB11)&lt;=0),"",$AC11/$AB11))</f>
        <v>0</v>
      </c>
      <c r="Q11" s="340" t="str">
        <f>IF($A11="","",IF(NOT(ISNUMBER($L11)),"",MEDIAN(0,100,100*($L11-Settings!$C$92)/(Settings!$C$93-Settings!$C$92))))</f>
        <v/>
      </c>
      <c r="R11" s="340">
        <f>IF($A11="","",IF(NOT(ISNUMBER($M11)),"",MEDIAN(0,100,100*($M11-Settings!$C$94)/(Settings!$C$95-Settings!$C$94))))</f>
        <v>62.588536640136638</v>
      </c>
      <c r="S11" s="340" t="str">
        <f>IF($A11="","",IF(NOT(ISNUMBER($N11)),"",MEDIAN(0,100,100*($N11-Settings!$C$96)/(Settings!$C$97-Settings!$C$96))))</f>
        <v/>
      </c>
      <c r="T11" s="340">
        <f>IF($A11="","",IF(NOT(ISNUMBER($O11)),"",MEDIAN(0,100,100*($O11-Settings!$C$98)/(Settings!$C$99-Settings!$C$98))))</f>
        <v>39.927982644361109</v>
      </c>
      <c r="U11" s="340">
        <f>IF($A11="","",IF(NOT(ISNUMBER($P11)),"",MEDIAN(0,100,100*(Settings!$C$101-$P11)/(Settings!$C$101-Settings!$C$100))))</f>
        <v>100</v>
      </c>
      <c r="V11" s="343">
        <f>IF($A11="","",COUNT($Q11:$U11))</f>
        <v>3</v>
      </c>
      <c r="W11" s="340">
        <f>IF($A11="","",IF(N($V11)&lt;Settings!$C$102,"",ROUND(AVERAGE($Q11:$U11),1)))</f>
        <v>67.5</v>
      </c>
      <c r="X11" s="394"/>
      <c r="Y11" s="394"/>
      <c r="Z11" s="394">
        <v>5550648</v>
      </c>
      <c r="AA11" s="394">
        <v>4721821</v>
      </c>
      <c r="AB11" s="394">
        <v>55606596</v>
      </c>
      <c r="AC11" s="394">
        <v>0</v>
      </c>
      <c r="AD11" s="317">
        <v>46022</v>
      </c>
      <c r="AE11" s="87">
        <f ca="1">IF($A11="","",IF(NOT(ISNUMBER($AD11)),"",ROUND((TODAY()-$AD11)/30.44,0)))</f>
        <v>7</v>
      </c>
      <c r="AF11" s="396">
        <v>1</v>
      </c>
      <c r="AG11" s="315" t="s">
        <v>1430</v>
      </c>
    </row>
    <row r="12" spans="1:33" ht="42" x14ac:dyDescent="0.3">
      <c r="A12" s="318" t="str">
        <f>IF(Symbols!A11="","",Symbols!A11)</f>
        <v>KA</v>
      </c>
      <c r="B12" s="319" t="str" cm="1">
        <f t="array" ref="B12">IF($A12="","",INDEX(Symbols!$B$4:$B$43,ROW()-4))</f>
        <v>Kenya Airways PLC</v>
      </c>
      <c r="C12" s="319" t="str" cm="1">
        <f t="array" ref="C12">IF($A12="","",INDEX(Symbols!$D$4:$D$43,ROW()-4))</f>
        <v>Transport</v>
      </c>
      <c r="D12" s="320" t="str">
        <f>IF($AD12="","",PROPER($AG12)&amp;" to "&amp;TEXT($AD12,"dd mmm yyyy"))</f>
        <v>Full to 31 Dec 2025</v>
      </c>
      <c r="E12" s="378">
        <f>IF($A12="","",IF(ISNUMBER($K12),$K12,IF($W12="","",$W12)))</f>
        <v>0</v>
      </c>
      <c r="F12" s="380">
        <f>IF($A12="","",IF(ISNUMBER($K12),1,N($V12)/5))</f>
        <v>0.6</v>
      </c>
      <c r="G12" s="321"/>
      <c r="H12" s="389" t="s">
        <v>1432</v>
      </c>
      <c r="I12" s="319" t="str" cm="1">
        <f t="array" ref="I12">IF($A12="","",IF(INDEX(Symbols!$C$4:$C$43,ROW()-4)="ETF","Fund / ETF module",IF(OR($C12="Banking",$C12="Financial Services"),"Bank module",IF($C12="Insurance","Insurer module",IF($C12="Investment","Investment company module","Industrial / general module")))))</f>
        <v>Industrial / general module</v>
      </c>
      <c r="J12" s="319" t="str">
        <f ca="1">IF($A12="","",IF(NOT(ISNUMBER($E12)),"Missing fundamental data",IF(OR($E12&lt;0,$E12&gt;100),"INVALID — score must be 0–100",IF(AND(ISNUMBER($AE12),$AE12&gt;Settings!$C$104),"STALE — statement older than "&amp;Settings!$C$104&amp;" months",IF($D12="","Scored — financial period missing","Scored")))))</f>
        <v>Scored</v>
      </c>
      <c r="K12" s="316"/>
      <c r="L12" s="392">
        <f>IF($A12="","",IF(OR(NOT(ISNUMBER($X12)),NOT(ISNUMBER($Y12)),N($Y12)=0),"",$X12/$Y12-1))</f>
        <v>-0.14335658770789672</v>
      </c>
      <c r="M12" s="392">
        <f>IF($A12="","",IF(OR(NOT(ISNUMBER($Z12)),NOT(ISNUMBER($AA12)),N($AA12)=0),"",$Z12/$AA12-1))</f>
        <v>-4.1596097201767304</v>
      </c>
      <c r="N12" s="392">
        <f>IF($A12="","",IF(OR(NOT(ISNUMBER($Z12)),NOT(ISNUMBER($X12)),N($X12)=0),"",$Z12/$X12))</f>
        <v>-0.10629021570169626</v>
      </c>
      <c r="O12" s="392" t="str">
        <f>IF($A12="","",IF(OR(NOT(ISNUMBER($Z12)),NOT(ISNUMBER($AB12)),N($AB12)&lt;=0),"",$Z12*IF(ISNUMBER($AF12),$AF12,Settings!$C$103)/$AB12))</f>
        <v/>
      </c>
      <c r="P12" s="393" t="str">
        <f>IF($A12="","",IF(OR(NOT(ISNUMBER($AC12)),NOT(ISNUMBER($AB12)),N($AB12)&lt;=0),"",$AC12/$AB12))</f>
        <v/>
      </c>
      <c r="Q12" s="340">
        <f>IF($A12="","",IF(NOT(ISNUMBER($L12)),"",MEDIAN(0,100,100*($L12-Settings!$C$92)/(Settings!$C$93-Settings!$C$92))))</f>
        <v>0</v>
      </c>
      <c r="R12" s="340">
        <f>IF($A12="","",IF(NOT(ISNUMBER($M12)),"",MEDIAN(0,100,100*($M12-Settings!$C$94)/(Settings!$C$95-Settings!$C$94))))</f>
        <v>0</v>
      </c>
      <c r="S12" s="340">
        <f>IF($A12="","",IF(NOT(ISNUMBER($N12)),"",MEDIAN(0,100,100*($N12-Settings!$C$96)/(Settings!$C$97-Settings!$C$96))))</f>
        <v>0</v>
      </c>
      <c r="T12" s="340" t="str">
        <f>IF($A12="","",IF(NOT(ISNUMBER($O12)),"",MEDIAN(0,100,100*($O12-Settings!$C$98)/(Settings!$C$99-Settings!$C$98))))</f>
        <v/>
      </c>
      <c r="U12" s="340" t="str">
        <f>IF($A12="","",IF(NOT(ISNUMBER($P12)),"",MEDIAN(0,100,100*(Settings!$C$101-$P12)/(Settings!$C$101-Settings!$C$100))))</f>
        <v/>
      </c>
      <c r="V12" s="343">
        <f>IF($A12="","",COUNT($Q12:$U12))</f>
        <v>3</v>
      </c>
      <c r="W12" s="340">
        <f>IF($A12="","",IF(N($V12)&lt;Settings!$C$102,"",ROUND(AVERAGE($Q12:$U12),1)))</f>
        <v>0</v>
      </c>
      <c r="X12" s="394">
        <v>161473</v>
      </c>
      <c r="Y12" s="394">
        <v>188495</v>
      </c>
      <c r="Z12" s="394">
        <v>-17163</v>
      </c>
      <c r="AA12" s="394">
        <v>5432</v>
      </c>
      <c r="AB12" s="394">
        <v>-132065</v>
      </c>
      <c r="AC12" s="394">
        <v>151307</v>
      </c>
      <c r="AD12" s="317">
        <v>46022</v>
      </c>
      <c r="AE12" s="87">
        <f ca="1">IF($A12="","",IF(NOT(ISNUMBER($AD12)),"",ROUND((TODAY()-$AD12)/30.44,0)))</f>
        <v>7</v>
      </c>
      <c r="AF12" s="396">
        <v>1</v>
      </c>
      <c r="AG12" s="315" t="s">
        <v>1430</v>
      </c>
    </row>
    <row r="13" spans="1:33" ht="42" x14ac:dyDescent="0.3">
      <c r="A13" s="318" t="str">
        <f>IF(Symbols!A12="","",Symbols!A12)</f>
        <v>KCB</v>
      </c>
      <c r="B13" s="319" t="str" cm="1">
        <f t="array" ref="B13">IF($A13="","",INDEX(Symbols!$B$4:$B$43,ROW()-4))</f>
        <v>KCB Group PLC</v>
      </c>
      <c r="C13" s="319" t="str" cm="1">
        <f t="array" ref="C13">IF($A13="","",INDEX(Symbols!$D$4:$D$43,ROW()-4))</f>
        <v>Banking</v>
      </c>
      <c r="D13" s="320" t="str">
        <f>IF($AD13="","",PROPER($AG13)&amp;" to "&amp;TEXT($AD13,"dd mmm yyyy"))</f>
        <v>Half to 30 Jun 2026</v>
      </c>
      <c r="E13" s="378">
        <f>IF($A13="","",IF(ISNUMBER($K13),$K13,IF($W13="","",$W13)))</f>
        <v>77.400000000000006</v>
      </c>
      <c r="F13" s="380">
        <f>IF($A13="","",IF(ISNUMBER($K13),1,N($V13)/5))</f>
        <v>1</v>
      </c>
      <c r="G13" s="321"/>
      <c r="H13" s="389" t="s">
        <v>1432</v>
      </c>
      <c r="I13" s="319" t="str" cm="1">
        <f t="array" ref="I13">IF($A13="","",IF(INDEX(Symbols!$C$4:$C$43,ROW()-4)="ETF","Fund / ETF module",IF(OR($C13="Banking",$C13="Financial Services"),"Bank module",IF($C13="Insurance","Insurer module",IF($C13="Investment","Investment company module","Industrial / general module")))))</f>
        <v>Bank module</v>
      </c>
      <c r="J13" s="319" t="str">
        <f ca="1">IF($A13="","",IF(NOT(ISNUMBER($E13)),"Missing fundamental data",IF(OR($E13&lt;0,$E13&gt;100),"INVALID — score must be 0–100",IF(AND(ISNUMBER($AE13),$AE13&gt;Settings!$C$104),"STALE — statement older than "&amp;Settings!$C$104&amp;" months",IF($D13="","Scored — financial period missing","Scored")))))</f>
        <v>Scored</v>
      </c>
      <c r="K13" s="316"/>
      <c r="L13" s="392">
        <f>IF($A13="","",IF(OR(NOT(ISNUMBER($X13)),NOT(ISNUMBER($Y13)),N($Y13)=0),"",$X13/$Y13-1))</f>
        <v>9.542659329497738E-2</v>
      </c>
      <c r="M13" s="392">
        <f>IF($A13="","",IF(OR(NOT(ISNUMBER($Z13)),NOT(ISNUMBER($AA13)),N($AA13)=0),"",$Z13/$AA13-1))</f>
        <v>0.14038864723660427</v>
      </c>
      <c r="N13" s="392">
        <f>IF($A13="","",IF(OR(NOT(ISNUMBER($Z13)),NOT(ISNUMBER($X13)),N($X13)=0),"",$Z13/$X13))</f>
        <v>0.34108134772567894</v>
      </c>
      <c r="O13" s="392">
        <f>IF($A13="","",IF(OR(NOT(ISNUMBER($Z13)),NOT(ISNUMBER($AB13)),N($AB13)&lt;=0),"",$Z13*IF(ISNUMBER($AF13),$AF13,Settings!$C$103)/$AB13))</f>
        <v>0.20656058249441386</v>
      </c>
      <c r="P13" s="393">
        <f>IF($A13="","",IF(OR(NOT(ISNUMBER($AC13)),NOT(ISNUMBER($AB13)),N($AB13)&lt;=0),"",$AC13/$AB13))</f>
        <v>0.24898733449960772</v>
      </c>
      <c r="Q13" s="340">
        <f>IF($A13="","",IF(NOT(ISNUMBER($L13)),"",MEDIAN(0,100,100*($L13-Settings!$C$92)/(Settings!$C$93-Settings!$C$92))))</f>
        <v>55.836169512850681</v>
      </c>
      <c r="R13" s="340">
        <f>IF($A13="","",IF(NOT(ISNUMBER($M13)),"",MEDIAN(0,100,100*($M13-Settings!$C$94)/(Settings!$C$95-Settings!$C$94))))</f>
        <v>56.731441206100712</v>
      </c>
      <c r="S13" s="340">
        <f>IF($A13="","",IF(NOT(ISNUMBER($N13)),"",MEDIAN(0,100,100*($N13-Settings!$C$96)/(Settings!$C$97-Settings!$C$96))))</f>
        <v>100</v>
      </c>
      <c r="T13" s="340">
        <f>IF($A13="","",IF(NOT(ISNUMBER($O13)),"",MEDIAN(0,100,100*($O13-Settings!$C$98)/(Settings!$C$99-Settings!$C$98))))</f>
        <v>82.624232997765546</v>
      </c>
      <c r="U13" s="340">
        <f>IF($A13="","",IF(NOT(ISNUMBER($P13)),"",MEDIAN(0,100,100*(Settings!$C$101-$P13)/(Settings!$C$101-Settings!$C$100))))</f>
        <v>91.700422183346404</v>
      </c>
      <c r="V13" s="343">
        <f>IF($A13="","",COUNT($Q13:$U13))</f>
        <v>5</v>
      </c>
      <c r="W13" s="340">
        <f>IF($A13="","",IF(N($V13)&lt;Settings!$C$102,"",ROUND(AVERAGE($Q13:$U13),1)))</f>
        <v>77.400000000000006</v>
      </c>
      <c r="X13" s="394">
        <v>108085972</v>
      </c>
      <c r="Y13" s="394">
        <v>98670210</v>
      </c>
      <c r="Z13" s="394">
        <v>36866109</v>
      </c>
      <c r="AA13" s="394">
        <v>32327671</v>
      </c>
      <c r="AB13" s="394">
        <v>356952024</v>
      </c>
      <c r="AC13" s="394">
        <v>88876533</v>
      </c>
      <c r="AD13" s="317">
        <v>46203</v>
      </c>
      <c r="AE13" s="87">
        <f ca="1">IF($A13="","",IF(NOT(ISNUMBER($AD13)),"",ROUND((TODAY()-$AD13)/30.44,0)))</f>
        <v>2</v>
      </c>
      <c r="AF13" s="396">
        <v>2</v>
      </c>
      <c r="AG13" s="315" t="s">
        <v>1431</v>
      </c>
    </row>
    <row r="14" spans="1:33" ht="42" x14ac:dyDescent="0.3">
      <c r="A14" s="318" t="str">
        <f>IF(Symbols!A13="","",Symbols!A13)</f>
        <v>MBP</v>
      </c>
      <c r="B14" s="319" t="str" cm="1">
        <f t="array" ref="B14">IF($A14="","",INDEX(Symbols!$B$4:$B$43,ROW()-4))</f>
        <v>Maendeleo Bank PLC</v>
      </c>
      <c r="C14" s="319" t="str" cm="1">
        <f t="array" ref="C14">IF($A14="","",INDEX(Symbols!$D$4:$D$43,ROW()-4))</f>
        <v>Banking</v>
      </c>
      <c r="D14" s="320" t="str">
        <f>IF($AD14="","",PROPER($AG14)&amp;" to "&amp;TEXT($AD14,"dd mmm yyyy"))</f>
        <v>Quarter to 31 Mar 2026</v>
      </c>
      <c r="E14" s="378">
        <f>IF($A14="","",IF(ISNUMBER($K14),$K14,IF($W14="","",$W14)))</f>
        <v>82.4</v>
      </c>
      <c r="F14" s="380">
        <f>IF($A14="","",IF(ISNUMBER($K14),1,N($V14)/5))</f>
        <v>1</v>
      </c>
      <c r="G14" s="321"/>
      <c r="H14" s="389" t="s">
        <v>1432</v>
      </c>
      <c r="I14" s="319" t="str" cm="1">
        <f t="array" ref="I14">IF($A14="","",IF(INDEX(Symbols!$C$4:$C$43,ROW()-4)="ETF","Fund / ETF module",IF(OR($C14="Banking",$C14="Financial Services"),"Bank module",IF($C14="Insurance","Insurer module",IF($C14="Investment","Investment company module","Industrial / general module")))))</f>
        <v>Bank module</v>
      </c>
      <c r="J14" s="319" t="str">
        <f ca="1">IF($A14="","",IF(NOT(ISNUMBER($E14)),"Missing fundamental data",IF(OR($E14&lt;0,$E14&gt;100),"INVALID — score must be 0–100",IF(AND(ISNUMBER($AE14),$AE14&gt;Settings!$C$104),"STALE — statement older than "&amp;Settings!$C$104&amp;" months",IF($D14="","Scored — financial period missing","Scored")))))</f>
        <v>Scored</v>
      </c>
      <c r="K14" s="316"/>
      <c r="L14" s="392">
        <f>IF($A14="","",IF(OR(NOT(ISNUMBER($X14)),NOT(ISNUMBER($Y14)),N($Y14)=0),"",$X14/$Y14-1))</f>
        <v>0.28760671180453334</v>
      </c>
      <c r="M14" s="392">
        <f>IF($A14="","",IF(OR(NOT(ISNUMBER($Z14)),NOT(ISNUMBER($AA14)),N($AA14)=0),"",$Z14/$AA14-1))</f>
        <v>0.60998439937597504</v>
      </c>
      <c r="N14" s="392">
        <f>IF($A14="","",IF(OR(NOT(ISNUMBER($Z14)),NOT(ISNUMBER($X14)),N($X14)=0),"",$Z14/$X14))</f>
        <v>0.23593964334705075</v>
      </c>
      <c r="O14" s="392">
        <f>IF($A14="","",IF(OR(NOT(ISNUMBER($Z14)),NOT(ISNUMBER($AB14)),N($AB14)&lt;=0),"",$Z14*IF(ISNUMBER($AF14),$AF14,Settings!$C$103)/$AB14))</f>
        <v>0.15216750221173694</v>
      </c>
      <c r="P14" s="393">
        <f>IF($A14="","",IF(OR(NOT(ISNUMBER($AC14)),NOT(ISNUMBER($AB14)),N($AB14)&lt;=0),"",$AC14/$AB14))</f>
        <v>1.3020864051902095</v>
      </c>
      <c r="Q14" s="340">
        <f>IF($A14="","",IF(NOT(ISNUMBER($L14)),"",MEDIAN(0,100,100*($L14-Settings!$C$92)/(Settings!$C$93-Settings!$C$92))))</f>
        <v>100</v>
      </c>
      <c r="R14" s="340">
        <f>IF($A14="","",IF(NOT(ISNUMBER($M14)),"",MEDIAN(0,100,100*($M14-Settings!$C$94)/(Settings!$C$95-Settings!$C$94))))</f>
        <v>100</v>
      </c>
      <c r="S14" s="340">
        <f>IF($A14="","",IF(NOT(ISNUMBER($N14)),"",MEDIAN(0,100,100*($N14-Settings!$C$96)/(Settings!$C$97-Settings!$C$96))))</f>
        <v>94.375857338820296</v>
      </c>
      <c r="T14" s="340">
        <f>IF($A14="","",IF(NOT(ISNUMBER($O14)),"",MEDIAN(0,100,100*($O14-Settings!$C$98)/(Settings!$C$99-Settings!$C$98))))</f>
        <v>60.867000884694775</v>
      </c>
      <c r="U14" s="340">
        <f>IF($A14="","",IF(NOT(ISNUMBER($P14)),"",MEDIAN(0,100,100*(Settings!$C$101-$P14)/(Settings!$C$101-Settings!$C$100))))</f>
        <v>56.597119826993016</v>
      </c>
      <c r="V14" s="343">
        <f>IF($A14="","",COUNT($Q14:$U14))</f>
        <v>5</v>
      </c>
      <c r="W14" s="340">
        <f>IF($A14="","",IF(N($V14)&lt;Settings!$C$102,"",ROUND(AVERAGE($Q14:$U14),1)))</f>
        <v>82.4</v>
      </c>
      <c r="X14" s="394">
        <v>4374</v>
      </c>
      <c r="Y14" s="394">
        <v>3397</v>
      </c>
      <c r="Z14" s="394">
        <v>1032</v>
      </c>
      <c r="AA14" s="394">
        <v>641</v>
      </c>
      <c r="AB14" s="394">
        <v>27128</v>
      </c>
      <c r="AC14" s="394">
        <v>35323</v>
      </c>
      <c r="AD14" s="317">
        <v>46112</v>
      </c>
      <c r="AE14" s="87">
        <f ca="1">IF($A14="","",IF(NOT(ISNUMBER($AD14)),"",ROUND((TODAY()-$AD14)/30.44,0)))</f>
        <v>5</v>
      </c>
      <c r="AF14" s="396">
        <v>4</v>
      </c>
      <c r="AG14" s="315" t="s">
        <v>1429</v>
      </c>
    </row>
    <row r="15" spans="1:33" ht="42" x14ac:dyDescent="0.3">
      <c r="A15" s="318" t="str">
        <f>IF(Symbols!A14="","",Symbols!A14)</f>
        <v>MCB</v>
      </c>
      <c r="B15" s="319" t="str" cm="1">
        <f t="array" ref="B15">IF($A15="","",INDEX(Symbols!$B$4:$B$43,ROW()-4))</f>
        <v>MCB — name to confirm with DSE</v>
      </c>
      <c r="C15" s="319" t="str" cm="1">
        <f t="array" ref="C15">IF($A15="","",INDEX(Symbols!$D$4:$D$43,ROW()-4))</f>
        <v>Banking</v>
      </c>
      <c r="D15" s="320" t="str">
        <f>IF($AD15="","",PROPER($AG15)&amp;" to "&amp;TEXT($AD15,"dd mmm yyyy"))</f>
        <v>Full to 31 Dec 2025</v>
      </c>
      <c r="E15" s="378">
        <f>IF($A15="","",IF(ISNUMBER($K15),$K15,IF($W15="","",$W15)))</f>
        <v>63.2</v>
      </c>
      <c r="F15" s="380">
        <f>IF($A15="","",IF(ISNUMBER($K15),1,N($V15)/5))</f>
        <v>1</v>
      </c>
      <c r="G15" s="321"/>
      <c r="H15" s="389" t="s">
        <v>1432</v>
      </c>
      <c r="I15" s="319" t="str" cm="1">
        <f t="array" ref="I15">IF($A15="","",IF(INDEX(Symbols!$C$4:$C$43,ROW()-4)="ETF","Fund / ETF module",IF(OR($C15="Banking",$C15="Financial Services"),"Bank module",IF($C15="Insurance","Insurer module",IF($C15="Investment","Investment company module","Industrial / general module")))))</f>
        <v>Bank module</v>
      </c>
      <c r="J15" s="319" t="str">
        <f ca="1">IF($A15="","",IF(NOT(ISNUMBER($E15)),"Missing fundamental data",IF(OR($E15&lt;0,$E15&gt;100),"INVALID — score must be 0–100",IF(AND(ISNUMBER($AE15),$AE15&gt;Settings!$C$104),"STALE — statement older than "&amp;Settings!$C$104&amp;" months",IF($D15="","Scored — financial period missing","Scored")))))</f>
        <v>Scored</v>
      </c>
      <c r="K15" s="316"/>
      <c r="L15" s="392">
        <f>IF($A15="","",IF(OR(NOT(ISNUMBER($X15)),NOT(ISNUMBER($Y15)),N($Y15)=0),"",$X15/$Y15-1))</f>
        <v>0.27901219890140427</v>
      </c>
      <c r="M15" s="392">
        <f>IF($A15="","",IF(OR(NOT(ISNUMBER($Z15)),NOT(ISNUMBER($AA15)),N($AA15)=0),"",$Z15/$AA15-1))</f>
        <v>1.6608939943510097</v>
      </c>
      <c r="N15" s="392">
        <f>IF($A15="","",IF(OR(NOT(ISNUMBER($Z15)),NOT(ISNUMBER($X15)),N($X15)=0),"",$Z15/$X15))</f>
        <v>3.6700815064217421E-2</v>
      </c>
      <c r="O15" s="392">
        <f>IF($A15="","",IF(OR(NOT(ISNUMBER($Z15)),NOT(ISNUMBER($AB15)),N($AB15)&lt;=0),"",$Z15*IF(ISNUMBER($AF15),$AF15,Settings!$C$103)/$AB15))</f>
        <v>2.0668593214005507E-2</v>
      </c>
      <c r="P15" s="393">
        <f>IF($A15="","",IF(OR(NOT(ISNUMBER($AC15)),NOT(ISNUMBER($AB15)),N($AB15)&lt;=0),"",$AC15/$AB15))</f>
        <v>0.21029881129194133</v>
      </c>
      <c r="Q15" s="340">
        <f>IF($A15="","",IF(NOT(ISNUMBER($L15)),"",MEDIAN(0,100,100*($L15-Settings!$C$92)/(Settings!$C$93-Settings!$C$92))))</f>
        <v>100</v>
      </c>
      <c r="R15" s="340">
        <f>IF($A15="","",IF(NOT(ISNUMBER($M15)),"",MEDIAN(0,100,100*($M15-Settings!$C$94)/(Settings!$C$95-Settings!$C$94))))</f>
        <v>100</v>
      </c>
      <c r="S15" s="340">
        <f>IF($A15="","",IF(NOT(ISNUMBER($N15)),"",MEDIAN(0,100,100*($N15-Settings!$C$96)/(Settings!$C$97-Settings!$C$96))))</f>
        <v>14.680326025686968</v>
      </c>
      <c r="T15" s="340">
        <f>IF($A15="","",IF(NOT(ISNUMBER($O15)),"",MEDIAN(0,100,100*($O15-Settings!$C$98)/(Settings!$C$99-Settings!$C$98))))</f>
        <v>8.2674372856022025</v>
      </c>
      <c r="U15" s="340">
        <f>IF($A15="","",IF(NOT(ISNUMBER($P15)),"",MEDIAN(0,100,100*(Settings!$C$101-$P15)/(Settings!$C$101-Settings!$C$100))))</f>
        <v>92.990039623601945</v>
      </c>
      <c r="V15" s="343">
        <f>IF($A15="","",COUNT($Q15:$U15))</f>
        <v>5</v>
      </c>
      <c r="W15" s="340">
        <f>IF($A15="","",IF(N($V15)&lt;Settings!$C$102,"",ROUND(AVERAGE($Q15:$U15),1)))</f>
        <v>63.2</v>
      </c>
      <c r="X15" s="394">
        <v>9574583</v>
      </c>
      <c r="Y15" s="394">
        <v>7485920</v>
      </c>
      <c r="Z15" s="394">
        <v>351395</v>
      </c>
      <c r="AA15" s="394">
        <v>132059</v>
      </c>
      <c r="AB15" s="394">
        <v>17001399</v>
      </c>
      <c r="AC15" s="394">
        <v>3575374</v>
      </c>
      <c r="AD15" s="317">
        <v>46022</v>
      </c>
      <c r="AE15" s="87">
        <f ca="1">IF($A15="","",IF(NOT(ISNUMBER($AD15)),"",ROUND((TODAY()-$AD15)/30.44,0)))</f>
        <v>7</v>
      </c>
      <c r="AF15" s="396">
        <v>1</v>
      </c>
      <c r="AG15" s="315" t="s">
        <v>1430</v>
      </c>
    </row>
    <row r="16" spans="1:33" ht="42" x14ac:dyDescent="0.3">
      <c r="A16" s="318" t="str">
        <f>IF(Symbols!A15="","",Symbols!A15)</f>
        <v>MKCB</v>
      </c>
      <c r="B16" s="319" t="str" cm="1">
        <f t="array" ref="B16">IF($A16="","",INDEX(Symbols!$B$4:$B$43,ROW()-4))</f>
        <v>Mkombozi Commercial Bank PLC</v>
      </c>
      <c r="C16" s="319" t="str" cm="1">
        <f t="array" ref="C16">IF($A16="","",INDEX(Symbols!$D$4:$D$43,ROW()-4))</f>
        <v>Banking</v>
      </c>
      <c r="D16" s="320" t="str">
        <f>IF($AD16="","",PROPER($AG16)&amp;" to "&amp;TEXT($AD16,"dd mmm yyyy"))</f>
        <v>Full to 31 Dec 2025</v>
      </c>
      <c r="E16" s="378">
        <f>IF($A16="","",IF(ISNUMBER($K16),$K16,IF($W16="","",$W16)))</f>
        <v>83.8</v>
      </c>
      <c r="F16" s="380">
        <f>IF($A16="","",IF(ISNUMBER($K16),1,N($V16)/5))</f>
        <v>1</v>
      </c>
      <c r="G16" s="321"/>
      <c r="H16" s="389" t="s">
        <v>1432</v>
      </c>
      <c r="I16" s="319" t="str" cm="1">
        <f t="array" ref="I16">IF($A16="","",IF(INDEX(Symbols!$C$4:$C$43,ROW()-4)="ETF","Fund / ETF module",IF(OR($C16="Banking",$C16="Financial Services"),"Bank module",IF($C16="Insurance","Insurer module",IF($C16="Investment","Investment company module","Industrial / general module")))))</f>
        <v>Bank module</v>
      </c>
      <c r="J16" s="319" t="str">
        <f ca="1">IF($A16="","",IF(NOT(ISNUMBER($E16)),"Missing fundamental data",IF(OR($E16&lt;0,$E16&gt;100),"INVALID — score must be 0–100",IF(AND(ISNUMBER($AE16),$AE16&gt;Settings!$C$104),"STALE — statement older than "&amp;Settings!$C$104&amp;" months",IF($D16="","Scored — financial period missing","Scored")))))</f>
        <v>Scored</v>
      </c>
      <c r="K16" s="316"/>
      <c r="L16" s="392">
        <f>IF($A16="","",IF(OR(NOT(ISNUMBER($X16)),NOT(ISNUMBER($Y16)),N($Y16)=0),"",$X16/$Y16-1))</f>
        <v>1.1832941176470588</v>
      </c>
      <c r="M16" s="392">
        <f>IF($A16="","",IF(OR(NOT(ISNUMBER($Z16)),NOT(ISNUMBER($AA16)),N($AA16)=0),"",$Z16/$AA16-1))</f>
        <v>4.5734406438631794</v>
      </c>
      <c r="N16" s="392">
        <f>IF($A16="","",IF(OR(NOT(ISNUMBER($Z16)),NOT(ISNUMBER($X16)),N($X16)=0),"",$Z16/$X16))</f>
        <v>0.29852354779609874</v>
      </c>
      <c r="O16" s="392">
        <f>IF($A16="","",IF(OR(NOT(ISNUMBER($Z16)),NOT(ISNUMBER($AB16)),N($AB16)&lt;=0),"",$Z16*IF(ISNUMBER($AF16),$AF16,Settings!$C$103)/$AB16))</f>
        <v>5.4511463150644493E-2</v>
      </c>
      <c r="P16" s="393">
        <f>IF($A16="","",IF(OR(NOT(ISNUMBER($AC16)),NOT(ISNUMBER($AB16)),N($AB16)&lt;=0),"",$AC16/$AB16))</f>
        <v>8.2652760011807533E-2</v>
      </c>
      <c r="Q16" s="340">
        <f>IF($A16="","",IF(NOT(ISNUMBER($L16)),"",MEDIAN(0,100,100*($L16-Settings!$C$92)/(Settings!$C$93-Settings!$C$92))))</f>
        <v>100</v>
      </c>
      <c r="R16" s="340">
        <f>IF($A16="","",IF(NOT(ISNUMBER($M16)),"",MEDIAN(0,100,100*($M16-Settings!$C$94)/(Settings!$C$95-Settings!$C$94))))</f>
        <v>100</v>
      </c>
      <c r="S16" s="340">
        <f>IF($A16="","",IF(NOT(ISNUMBER($N16)),"",MEDIAN(0,100,100*($N16-Settings!$C$96)/(Settings!$C$97-Settings!$C$96))))</f>
        <v>100</v>
      </c>
      <c r="T16" s="340">
        <f>IF($A16="","",IF(NOT(ISNUMBER($O16)),"",MEDIAN(0,100,100*($O16-Settings!$C$98)/(Settings!$C$99-Settings!$C$98))))</f>
        <v>21.804585260257799</v>
      </c>
      <c r="U16" s="340">
        <f>IF($A16="","",IF(NOT(ISNUMBER($P16)),"",MEDIAN(0,100,100*(Settings!$C$101-$P16)/(Settings!$C$101-Settings!$C$100))))</f>
        <v>97.244907999606411</v>
      </c>
      <c r="V16" s="343">
        <f>IF($A16="","",COUNT($Q16:$U16))</f>
        <v>5</v>
      </c>
      <c r="W16" s="340">
        <f>IF($A16="","",IF(N($V16)&lt;Settings!$C$102,"",ROUND(AVERAGE($Q16:$U16),1)))</f>
        <v>83.8</v>
      </c>
      <c r="X16" s="394">
        <v>9279</v>
      </c>
      <c r="Y16" s="394">
        <v>4250</v>
      </c>
      <c r="Z16" s="394">
        <v>2770</v>
      </c>
      <c r="AA16" s="394">
        <v>497</v>
      </c>
      <c r="AB16" s="394">
        <v>50815</v>
      </c>
      <c r="AC16" s="394">
        <v>4200</v>
      </c>
      <c r="AD16" s="317">
        <v>46022</v>
      </c>
      <c r="AE16" s="87">
        <f ca="1">IF($A16="","",IF(NOT(ISNUMBER($AD16)),"",ROUND((TODAY()-$AD16)/30.44,0)))</f>
        <v>7</v>
      </c>
      <c r="AF16" s="396">
        <v>1</v>
      </c>
      <c r="AG16" s="315" t="s">
        <v>1430</v>
      </c>
    </row>
    <row r="17" spans="1:33" ht="42" x14ac:dyDescent="0.3">
      <c r="A17" s="318" t="str">
        <f>IF(Symbols!A16="","",Symbols!A16)</f>
        <v>MUCOBA</v>
      </c>
      <c r="B17" s="319" t="str" cm="1">
        <f t="array" ref="B17">IF($A17="","",INDEX(Symbols!$B$4:$B$43,ROW()-4))</f>
        <v>MUCOBA Bank PLC</v>
      </c>
      <c r="C17" s="319" t="str" cm="1">
        <f t="array" ref="C17">IF($A17="","",INDEX(Symbols!$D$4:$D$43,ROW()-4))</f>
        <v>Banking</v>
      </c>
      <c r="D17" s="320" t="str">
        <f>IF($AD17="","",PROPER($AG17)&amp;" to "&amp;TEXT($AD17,"dd mmm yyyy"))</f>
        <v>Full to 31 Dec 2025</v>
      </c>
      <c r="E17" s="378">
        <f>IF($A17="","",IF(ISNUMBER($K17),$K17,IF($W17="","",$W17)))</f>
        <v>16.100000000000001</v>
      </c>
      <c r="F17" s="380">
        <f>IF($A17="","",IF(ISNUMBER($K17),1,N($V17)/5))</f>
        <v>1</v>
      </c>
      <c r="G17" s="321"/>
      <c r="H17" s="389" t="s">
        <v>1432</v>
      </c>
      <c r="I17" s="319" t="str" cm="1">
        <f t="array" ref="I17">IF($A17="","",IF(INDEX(Symbols!$C$4:$C$43,ROW()-4)="ETF","Fund / ETF module",IF(OR($C17="Banking",$C17="Financial Services"),"Bank module",IF($C17="Insurance","Insurer module",IF($C17="Investment","Investment company module","Industrial / general module")))))</f>
        <v>Bank module</v>
      </c>
      <c r="J17" s="319" t="str">
        <f ca="1">IF($A17="","",IF(NOT(ISNUMBER($E17)),"Missing fundamental data",IF(OR($E17&lt;0,$E17&gt;100),"INVALID — score must be 0–100",IF(AND(ISNUMBER($AE17),$AE17&gt;Settings!$C$104),"STALE — statement older than "&amp;Settings!$C$104&amp;" months",IF($D17="","Scored — financial period missing","Scored")))))</f>
        <v>Scored</v>
      </c>
      <c r="K17" s="316"/>
      <c r="L17" s="392">
        <f>IF($A17="","",IF(OR(NOT(ISNUMBER($X17)),NOT(ISNUMBER($Y17)),N($Y17)=0),"",$X17/$Y17-1))</f>
        <v>-0.19111111111111112</v>
      </c>
      <c r="M17" s="392">
        <f>IF($A17="","",IF(OR(NOT(ISNUMBER($Z17)),NOT(ISNUMBER($AA17)),N($AA17)=0),"",$Z17/$AA17-1))</f>
        <v>-5.25</v>
      </c>
      <c r="N17" s="392">
        <f>IF($A17="","",IF(OR(NOT(ISNUMBER($Z17)),NOT(ISNUMBER($X17)),N($X17)=0),"",$Z17/$X17))</f>
        <v>-3.1135531135531136E-2</v>
      </c>
      <c r="O17" s="392">
        <f>IF($A17="","",IF(OR(NOT(ISNUMBER($Z17)),NOT(ISNUMBER($AB17)),N($AB17)&lt;=0),"",$Z17*IF(ISNUMBER($AF17),$AF17,Settings!$C$103)/$AB17))</f>
        <v>-4.7353760445682453E-3</v>
      </c>
      <c r="P17" s="393">
        <f>IF($A17="","",IF(OR(NOT(ISNUMBER($AC17)),NOT(ISNUMBER($AB17)),N($AB17)&lt;=0),"",$AC17/$AB17))</f>
        <v>0.58969359331476323</v>
      </c>
      <c r="Q17" s="340">
        <f>IF($A17="","",IF(NOT(ISNUMBER($L17)),"",MEDIAN(0,100,100*($L17-Settings!$C$92)/(Settings!$C$93-Settings!$C$92))))</f>
        <v>0</v>
      </c>
      <c r="R17" s="340">
        <f>IF($A17="","",IF(NOT(ISNUMBER($M17)),"",MEDIAN(0,100,100*($M17-Settings!$C$94)/(Settings!$C$95-Settings!$C$94))))</f>
        <v>0</v>
      </c>
      <c r="S17" s="340">
        <f>IF($A17="","",IF(NOT(ISNUMBER($N17)),"",MEDIAN(0,100,100*($N17-Settings!$C$96)/(Settings!$C$97-Settings!$C$96))))</f>
        <v>0</v>
      </c>
      <c r="T17" s="340">
        <f>IF($A17="","",IF(NOT(ISNUMBER($O17)),"",MEDIAN(0,100,100*($O17-Settings!$C$98)/(Settings!$C$99-Settings!$C$98))))</f>
        <v>0</v>
      </c>
      <c r="U17" s="340">
        <f>IF($A17="","",IF(NOT(ISNUMBER($P17)),"",MEDIAN(0,100,100*(Settings!$C$101-$P17)/(Settings!$C$101-Settings!$C$100))))</f>
        <v>80.343546889507891</v>
      </c>
      <c r="V17" s="343">
        <f>IF($A17="","",COUNT($Q17:$U17))</f>
        <v>5</v>
      </c>
      <c r="W17" s="340">
        <f>IF($A17="","",IF(N($V17)&lt;Settings!$C$102,"",ROUND(AVERAGE($Q17:$U17),1)))</f>
        <v>16.100000000000001</v>
      </c>
      <c r="X17" s="394">
        <v>546</v>
      </c>
      <c r="Y17" s="394">
        <v>675</v>
      </c>
      <c r="Z17" s="394">
        <v>-17</v>
      </c>
      <c r="AA17" s="394">
        <v>4</v>
      </c>
      <c r="AB17" s="394">
        <v>3590</v>
      </c>
      <c r="AC17" s="394">
        <v>2117</v>
      </c>
      <c r="AD17" s="317">
        <v>46022</v>
      </c>
      <c r="AE17" s="87">
        <f ca="1">IF($A17="","",IF(NOT(ISNUMBER($AD17)),"",ROUND((TODAY()-$AD17)/30.44,0)))</f>
        <v>7</v>
      </c>
      <c r="AF17" s="396">
        <v>1</v>
      </c>
      <c r="AG17" s="315" t="s">
        <v>1430</v>
      </c>
    </row>
    <row r="18" spans="1:33" ht="42" x14ac:dyDescent="0.3">
      <c r="A18" s="318" t="str">
        <f>IF(Symbols!A17="","",Symbols!A17)</f>
        <v>NICO</v>
      </c>
      <c r="B18" s="319" t="str" cm="1">
        <f t="array" ref="B18">IF($A18="","",INDEX(Symbols!$B$4:$B$43,ROW()-4))</f>
        <v>National Investments Company Ltd (NICOL)</v>
      </c>
      <c r="C18" s="319" t="str" cm="1">
        <f t="array" ref="C18">IF($A18="","",INDEX(Symbols!$D$4:$D$43,ROW()-4))</f>
        <v>Investment</v>
      </c>
      <c r="D18" s="320" t="str">
        <f>IF($AD18="","",PROPER($AG18)&amp;" to "&amp;TEXT($AD18,"dd mmm yyyy"))</f>
        <v>Half to 30 Jun 2026</v>
      </c>
      <c r="E18" s="378">
        <f>IF($A18="","",IF(ISNUMBER($K18),$K18,IF($W18="","",$W18)))</f>
        <v>85.3</v>
      </c>
      <c r="F18" s="380">
        <f>IF($A18="","",IF(ISNUMBER($K18),1,N($V18)/5))</f>
        <v>1</v>
      </c>
      <c r="G18" s="321"/>
      <c r="H18" s="389" t="s">
        <v>1432</v>
      </c>
      <c r="I18" s="319" t="str" cm="1">
        <f t="array" ref="I18">IF($A18="","",IF(INDEX(Symbols!$C$4:$C$43,ROW()-4)="ETF","Fund / ETF module",IF(OR($C18="Banking",$C18="Financial Services"),"Bank module",IF($C18="Insurance","Insurer module",IF($C18="Investment","Investment company module","Industrial / general module")))))</f>
        <v>Investment company module</v>
      </c>
      <c r="J18" s="319" t="str">
        <f ca="1">IF($A18="","",IF(NOT(ISNUMBER($E18)),"Missing fundamental data",IF(OR($E18&lt;0,$E18&gt;100),"INVALID — score must be 0–100",IF(AND(ISNUMBER($AE18),$AE18&gt;Settings!$C$104),"STALE — statement older than "&amp;Settings!$C$104&amp;" months",IF($D18="","Scored — financial period missing","Scored")))))</f>
        <v>Scored</v>
      </c>
      <c r="K18" s="316"/>
      <c r="L18" s="392">
        <f>IF($A18="","",IF(OR(NOT(ISNUMBER($X18)),NOT(ISNUMBER($Y18)),N($Y18)=0),"",$X18/$Y18-1))</f>
        <v>0.43413115327515328</v>
      </c>
      <c r="M18" s="392">
        <f>IF($A18="","",IF(OR(NOT(ISNUMBER($Z18)),NOT(ISNUMBER($AA18)),N($AA18)=0),"",$Z18/$AA18-1))</f>
        <v>0.49014127588753542</v>
      </c>
      <c r="N18" s="392">
        <f>IF($A18="","",IF(OR(NOT(ISNUMBER($Z18)),NOT(ISNUMBER($X18)),N($X18)=0),"",$Z18/$X18))</f>
        <v>0.90758793347667321</v>
      </c>
      <c r="O18" s="392">
        <f>IF($A18="","",IF(OR(NOT(ISNUMBER($Z18)),NOT(ISNUMBER($AB18)),N($AB18)&lt;=0),"",$Z18*IF(ISNUMBER($AF18),$AF18,Settings!$C$103)/$AB18))</f>
        <v>6.8109244398214225E-2</v>
      </c>
      <c r="P18" s="393">
        <f>IF($A18="","",IF(OR(NOT(ISNUMBER($AC18)),NOT(ISNUMBER($AB18)),N($AB18)&lt;=0),"",$AC18/$AB18))</f>
        <v>2.6493279795459478E-2</v>
      </c>
      <c r="Q18" s="340">
        <f>IF($A18="","",IF(NOT(ISNUMBER($L18)),"",MEDIAN(0,100,100*($L18-Settings!$C$92)/(Settings!$C$93-Settings!$C$92))))</f>
        <v>100</v>
      </c>
      <c r="R18" s="340">
        <f>IF($A18="","",IF(NOT(ISNUMBER($M18)),"",MEDIAN(0,100,100*($M18-Settings!$C$94)/(Settings!$C$95-Settings!$C$94))))</f>
        <v>100</v>
      </c>
      <c r="S18" s="340">
        <f>IF($A18="","",IF(NOT(ISNUMBER($N18)),"",MEDIAN(0,100,100*($N18-Settings!$C$96)/(Settings!$C$97-Settings!$C$96))))</f>
        <v>100</v>
      </c>
      <c r="T18" s="340">
        <f>IF($A18="","",IF(NOT(ISNUMBER($O18)),"",MEDIAN(0,100,100*($O18-Settings!$C$98)/(Settings!$C$99-Settings!$C$98))))</f>
        <v>27.243697759285691</v>
      </c>
      <c r="U18" s="340">
        <f>IF($A18="","",IF(NOT(ISNUMBER($P18)),"",MEDIAN(0,100,100*(Settings!$C$101-$P18)/(Settings!$C$101-Settings!$C$100))))</f>
        <v>99.11689067348469</v>
      </c>
      <c r="V18" s="343">
        <f>IF($A18="","",COUNT($Q18:$U18))</f>
        <v>5</v>
      </c>
      <c r="W18" s="340">
        <f>IF($A18="","",IF(N($V18)&lt;Settings!$C$102,"",ROUND(AVERAGE($Q18:$U18),1)))</f>
        <v>85.3</v>
      </c>
      <c r="X18" s="394">
        <v>15555566</v>
      </c>
      <c r="Y18" s="394">
        <v>10846683</v>
      </c>
      <c r="Z18" s="394">
        <v>14118044</v>
      </c>
      <c r="AA18" s="394">
        <v>9474299</v>
      </c>
      <c r="AB18" s="394">
        <v>414570566</v>
      </c>
      <c r="AC18" s="394">
        <v>10983334</v>
      </c>
      <c r="AD18" s="317">
        <v>46203</v>
      </c>
      <c r="AE18" s="87">
        <f ca="1">IF($A18="","",IF(NOT(ISNUMBER($AD18)),"",ROUND((TODAY()-$AD18)/30.44,0)))</f>
        <v>2</v>
      </c>
      <c r="AF18" s="396">
        <v>2</v>
      </c>
      <c r="AG18" s="315" t="s">
        <v>1431</v>
      </c>
    </row>
    <row r="19" spans="1:33" ht="52.2" x14ac:dyDescent="0.3">
      <c r="A19" s="318" t="str">
        <f>IF(Symbols!A18="","",Symbols!A18)</f>
        <v>NMB</v>
      </c>
      <c r="B19" s="319" t="str" cm="1">
        <f t="array" ref="B19">IF($A19="","",INDEX(Symbols!$B$4:$B$43,ROW()-4))</f>
        <v>NMB Bank PLC</v>
      </c>
      <c r="C19" s="319" t="str" cm="1">
        <f t="array" ref="C19">IF($A19="","",INDEX(Symbols!$D$4:$D$43,ROW()-4))</f>
        <v>Banking</v>
      </c>
      <c r="D19" s="320" t="s">
        <v>1380</v>
      </c>
      <c r="E19" s="378">
        <f>IF($A19="","",IF(ISNUMBER($K19),$K19,IF($W19="","",$W19)))</f>
        <v>82.5</v>
      </c>
      <c r="F19" s="380">
        <f>IF($A19="","",IF(ISNUMBER($K19),1,N($V19)/5))</f>
        <v>1</v>
      </c>
      <c r="G19" s="321">
        <v>46265</v>
      </c>
      <c r="H19" s="389" t="s">
        <v>1409</v>
      </c>
      <c r="I19" s="319" t="str" cm="1">
        <f t="array" ref="I19">IF($A19="","",IF(INDEX(Symbols!$C$4:$C$43,ROW()-4)="ETF","Fund / ETF module",IF(OR($C19="Banking",$C19="Financial Services"),"Bank module",IF($C19="Insurance","Insurer module",IF($C19="Investment","Investment company module","Industrial / general module")))))</f>
        <v>Bank module</v>
      </c>
      <c r="J19" s="319" t="str">
        <f ca="1">IF($A19="","",IF(NOT(ISNUMBER($E19)),"Missing fundamental data",IF(OR($E19&lt;0,$E19&gt;100),"INVALID — score must be 0–100",IF(AND(ISNUMBER($AE19),$AE19&gt;Settings!$C$104),"STALE — statement older than "&amp;Settings!$C$104&amp;" months",IF($D19="","Scored — financial period missing","Scored")))))</f>
        <v>Scored</v>
      </c>
      <c r="K19" s="316"/>
      <c r="L19" s="392">
        <f>IF($A19="","",IF(OR(NOT(ISNUMBER($X19)),NOT(ISNUMBER($Y19)),N($Y19)=0),"",$X19/$Y19-1))</f>
        <v>0.14884925672631977</v>
      </c>
      <c r="M19" s="392">
        <f>IF($A19="","",IF(OR(NOT(ISNUMBER($Z19)),NOT(ISNUMBER($AA19)),N($AA19)=0),"",$Z19/$AA19-1))</f>
        <v>0.13159758825137069</v>
      </c>
      <c r="N19" s="392">
        <f>IF($A19="","",IF(OR(NOT(ISNUMBER($Z19)),NOT(ISNUMBER($X19)),N($X19)=0),"",$Z19/$X19))</f>
        <v>0.40177437161797541</v>
      </c>
      <c r="O19" s="392">
        <f>IF($A19="","",IF(OR(NOT(ISNUMBER($Z19)),NOT(ISNUMBER($AB19)),N($AB19)&lt;=0),"",$Z19*IF(ISNUMBER($AF19),$AF19,Settings!$C$103)/$AB19))</f>
        <v>0.25292086366809613</v>
      </c>
      <c r="P19" s="393">
        <f>IF($A19="","",IF(OR(NOT(ISNUMBER($AC19)),NOT(ISNUMBER($AB19)),N($AB19)&lt;=0),"",$AC19/$AB19))</f>
        <v>0.4127421586715867</v>
      </c>
      <c r="Q19" s="340">
        <f>IF($A19="","",IF(NOT(ISNUMBER($L19)),"",MEDIAN(0,100,100*($L19-Settings!$C$92)/(Settings!$C$93-Settings!$C$92))))</f>
        <v>71.099787636091364</v>
      </c>
      <c r="R19" s="340">
        <f>IF($A19="","",IF(NOT(ISNUMBER($M19)),"",MEDIAN(0,100,100*($M19-Settings!$C$94)/(Settings!$C$95-Settings!$C$94))))</f>
        <v>55.266264708561771</v>
      </c>
      <c r="S19" s="340">
        <f>IF($A19="","",IF(NOT(ISNUMBER($N19)),"",MEDIAN(0,100,100*($N19-Settings!$C$96)/(Settings!$C$97-Settings!$C$96))))</f>
        <v>100</v>
      </c>
      <c r="T19" s="340">
        <f>IF($A19="","",IF(NOT(ISNUMBER($O19)),"",MEDIAN(0,100,100*($O19-Settings!$C$98)/(Settings!$C$99-Settings!$C$98))))</f>
        <v>100</v>
      </c>
      <c r="U19" s="340">
        <f>IF($A19="","",IF(NOT(ISNUMBER($P19)),"",MEDIAN(0,100,100*(Settings!$C$101-$P19)/(Settings!$C$101-Settings!$C$100))))</f>
        <v>86.241928044280442</v>
      </c>
      <c r="V19" s="343">
        <f>IF($A19="","",COUNT($Q19:$U19))</f>
        <v>5</v>
      </c>
      <c r="W19" s="340">
        <f>IF($A19="","",IF(N($V19)&lt;Settings!$C$102,"",ROUND(AVERAGE($Q19:$U19),1)))</f>
        <v>82.5</v>
      </c>
      <c r="X19" s="394">
        <v>1009935</v>
      </c>
      <c r="Y19" s="394">
        <v>879084</v>
      </c>
      <c r="Z19" s="394">
        <v>405766</v>
      </c>
      <c r="AA19" s="394">
        <v>358578</v>
      </c>
      <c r="AB19" s="394">
        <v>3208640</v>
      </c>
      <c r="AC19" s="394">
        <v>1324341</v>
      </c>
      <c r="AD19" s="317">
        <v>46203</v>
      </c>
      <c r="AE19" s="87">
        <f ca="1">IF($A19="","",IF(NOT(ISNUMBER($AD19)),"",ROUND((TODAY()-$AD19)/30.44,0)))</f>
        <v>2</v>
      </c>
      <c r="AF19" s="396">
        <v>2</v>
      </c>
      <c r="AG19" s="315" t="s">
        <v>1431</v>
      </c>
    </row>
    <row r="20" spans="1:33" ht="42" x14ac:dyDescent="0.3">
      <c r="A20" s="318" t="str">
        <f>IF(Symbols!A19="","",Symbols!A19)</f>
        <v>NMG</v>
      </c>
      <c r="B20" s="319" t="str" cm="1">
        <f t="array" ref="B20">IF($A20="","",INDEX(Symbols!$B$4:$B$43,ROW()-4))</f>
        <v>Nation Media Group PLC</v>
      </c>
      <c r="C20" s="319" t="str" cm="1">
        <f t="array" ref="C20">IF($A20="","",INDEX(Symbols!$D$4:$D$43,ROW()-4))</f>
        <v>Media</v>
      </c>
      <c r="D20" s="320" t="str">
        <f>IF($AD20="","",PROPER($AG20)&amp;" to "&amp;TEXT($AD20,"dd mmm yyyy"))</f>
        <v>Full to 31 Dec 2025</v>
      </c>
      <c r="E20" s="378">
        <f>IF($A20="","",IF(ISNUMBER($K20),$K20,IF($W20="","",$W20)))</f>
        <v>37.700000000000003</v>
      </c>
      <c r="F20" s="380">
        <f>IF($A20="","",IF(ISNUMBER($K20),1,N($V20)/5))</f>
        <v>1</v>
      </c>
      <c r="G20" s="321"/>
      <c r="H20" s="389" t="s">
        <v>1432</v>
      </c>
      <c r="I20" s="319" t="str" cm="1">
        <f t="array" ref="I20">IF($A20="","",IF(INDEX(Symbols!$C$4:$C$43,ROW()-4)="ETF","Fund / ETF module",IF(OR($C20="Banking",$C20="Financial Services"),"Bank module",IF($C20="Insurance","Insurer module",IF($C20="Investment","Investment company module","Industrial / general module")))))</f>
        <v>Industrial / general module</v>
      </c>
      <c r="J20" s="319" t="str">
        <f ca="1">IF($A20="","",IF(NOT(ISNUMBER($E20)),"Missing fundamental data",IF(OR($E20&lt;0,$E20&gt;100),"INVALID — score must be 0–100",IF(AND(ISNUMBER($AE20),$AE20&gt;Settings!$C$104),"STALE — statement older than "&amp;Settings!$C$104&amp;" months",IF($D20="","Scored — financial period missing","Scored")))))</f>
        <v>Scored</v>
      </c>
      <c r="K20" s="316"/>
      <c r="L20" s="392">
        <f>IF($A20="","",IF(OR(NOT(ISNUMBER($X20)),NOT(ISNUMBER($Y20)),N($Y20)=0),"",$X20/$Y20-1))</f>
        <v>-3.0531655322974305E-2</v>
      </c>
      <c r="M20" s="392">
        <f>IF($A20="","",IF(OR(NOT(ISNUMBER($Z20)),NOT(ISNUMBER($AA20)),N($AA20)=0),"",$Z20/$AA20-1))</f>
        <v>0.21305031446540879</v>
      </c>
      <c r="N20" s="392">
        <f>IF($A20="","",IF(OR(NOT(ISNUMBER($Z20)),NOT(ISNUMBER($X20)),N($X20)=0),"",$Z20/$X20))</f>
        <v>-5.1097791171308415E-2</v>
      </c>
      <c r="O20" s="392">
        <f>IF($A20="","",IF(OR(NOT(ISNUMBER($Z20)),NOT(ISNUMBER($AB20)),N($AB20)&lt;=0),"",$Z20*IF(ISNUMBER($AF20),$AF20,Settings!$C$103)/$AB20))</f>
        <v>-4.3822155322986042E-2</v>
      </c>
      <c r="P20" s="393">
        <f>IF($A20="","",IF(OR(NOT(ISNUMBER($AC20)),NOT(ISNUMBER($AB20)),N($AB20)&lt;=0),"",$AC20/$AB20))</f>
        <v>0</v>
      </c>
      <c r="Q20" s="340">
        <f>IF($A20="","",IF(NOT(ISNUMBER($L20)),"",MEDIAN(0,100,100*($L20-Settings!$C$92)/(Settings!$C$93-Settings!$C$92))))</f>
        <v>19.848098479150202</v>
      </c>
      <c r="R20" s="340">
        <f>IF($A20="","",IF(NOT(ISNUMBER($M20)),"",MEDIAN(0,100,100*($M20-Settings!$C$94)/(Settings!$C$95-Settings!$C$94))))</f>
        <v>68.841719077568129</v>
      </c>
      <c r="S20" s="340">
        <f>IF($A20="","",IF(NOT(ISNUMBER($N20)),"",MEDIAN(0,100,100*($N20-Settings!$C$96)/(Settings!$C$97-Settings!$C$96))))</f>
        <v>0</v>
      </c>
      <c r="T20" s="340">
        <f>IF($A20="","",IF(NOT(ISNUMBER($O20)),"",MEDIAN(0,100,100*($O20-Settings!$C$98)/(Settings!$C$99-Settings!$C$98))))</f>
        <v>0</v>
      </c>
      <c r="U20" s="340">
        <f>IF($A20="","",IF(NOT(ISNUMBER($P20)),"",MEDIAN(0,100,100*(Settings!$C$101-$P20)/(Settings!$C$101-Settings!$C$100))))</f>
        <v>100</v>
      </c>
      <c r="V20" s="343">
        <f>IF($A20="","",COUNT($Q20:$U20))</f>
        <v>5</v>
      </c>
      <c r="W20" s="340">
        <f>IF($A20="","",IF(N($V20)&lt;Settings!$C$102,"",ROUND(AVERAGE($Q20:$U20),1)))</f>
        <v>37.700000000000003</v>
      </c>
      <c r="X20" s="394">
        <v>6039.4</v>
      </c>
      <c r="Y20" s="394">
        <v>6229.6</v>
      </c>
      <c r="Z20" s="394">
        <v>-308.60000000000002</v>
      </c>
      <c r="AA20" s="394">
        <v>-254.4</v>
      </c>
      <c r="AB20" s="394">
        <v>7042.1</v>
      </c>
      <c r="AC20" s="394">
        <v>0</v>
      </c>
      <c r="AD20" s="317">
        <v>46022</v>
      </c>
      <c r="AE20" s="87">
        <f ca="1">IF($A20="","",IF(NOT(ISNUMBER($AD20)),"",ROUND((TODAY()-$AD20)/30.44,0)))</f>
        <v>7</v>
      </c>
      <c r="AF20" s="396">
        <v>1</v>
      </c>
      <c r="AG20" s="315" t="s">
        <v>1430</v>
      </c>
    </row>
    <row r="21" spans="1:33" ht="42" x14ac:dyDescent="0.3">
      <c r="A21" s="318" t="str">
        <f>IF(Symbols!A20="","",Symbols!A20)</f>
        <v>PAL</v>
      </c>
      <c r="B21" s="319" t="str" cm="1">
        <f t="array" ref="B21">IF($A21="","",INDEX(Symbols!$B$4:$B$43,ROW()-4))</f>
        <v>Precision Air Services PLC</v>
      </c>
      <c r="C21" s="319" t="str" cm="1">
        <f t="array" ref="C21">IF($A21="","",INDEX(Symbols!$D$4:$D$43,ROW()-4))</f>
        <v>Transport</v>
      </c>
      <c r="D21" s="320" t="str">
        <f>IF($AD21="","",PROPER($AG21)&amp;" to "&amp;TEXT($AD21,"dd mmm yyyy"))</f>
        <v>Quarter to 31 Mar 2026</v>
      </c>
      <c r="E21" s="378" t="str">
        <f>IF($A21="","",IF(ISNUMBER($K21),$K21,IF($W21="","",$W21)))</f>
        <v/>
      </c>
      <c r="F21" s="380">
        <f>IF($A21="","",IF(ISNUMBER($K21),1,N($V21)/5))</f>
        <v>0</v>
      </c>
      <c r="G21" s="321"/>
      <c r="H21" s="389" t="s">
        <v>1432</v>
      </c>
      <c r="I21" s="319" t="str" cm="1">
        <f t="array" ref="I21">IF($A21="","",IF(INDEX(Symbols!$C$4:$C$43,ROW()-4)="ETF","Fund / ETF module",IF(OR($C21="Banking",$C21="Financial Services"),"Bank module",IF($C21="Insurance","Insurer module",IF($C21="Investment","Investment company module","Industrial / general module")))))</f>
        <v>Industrial / general module</v>
      </c>
      <c r="J21" s="319" t="str">
        <f>IF($A21="","",IF(NOT(ISNUMBER($E21)),"Missing fundamental data",IF(OR($E21&lt;0,$E21&gt;100),"INVALID — score must be 0–100",IF(AND(ISNUMBER($AE21),$AE21&gt;Settings!$C$104),"STALE — statement older than "&amp;Settings!$C$104&amp;" months",IF($D21="","Scored — financial period missing","Scored")))))</f>
        <v>Missing fundamental data</v>
      </c>
      <c r="K21" s="316"/>
      <c r="L21" s="392" t="str">
        <f>IF($A21="","",IF(OR(NOT(ISNUMBER($X21)),NOT(ISNUMBER($Y21)),N($Y21)=0),"",$X21/$Y21-1))</f>
        <v/>
      </c>
      <c r="M21" s="392" t="str">
        <f>IF($A21="","",IF(OR(NOT(ISNUMBER($Z21)),NOT(ISNUMBER($AA21)),N($AA21)=0),"",$Z21/$AA21-1))</f>
        <v/>
      </c>
      <c r="N21" s="392" t="str">
        <f>IF($A21="","",IF(OR(NOT(ISNUMBER($Z21)),NOT(ISNUMBER($X21)),N($X21)=0),"",$Z21/$X21))</f>
        <v/>
      </c>
      <c r="O21" s="392" t="str">
        <f>IF($A21="","",IF(OR(NOT(ISNUMBER($Z21)),NOT(ISNUMBER($AB21)),N($AB21)&lt;=0),"",$Z21*IF(ISNUMBER($AF21),$AF21,Settings!$C$103)/$AB21))</f>
        <v/>
      </c>
      <c r="P21" s="393" t="str">
        <f>IF($A21="","",IF(OR(NOT(ISNUMBER($AC21)),NOT(ISNUMBER($AB21)),N($AB21)&lt;=0),"",$AC21/$AB21))</f>
        <v/>
      </c>
      <c r="Q21" s="340" t="str">
        <f>IF($A21="","",IF(NOT(ISNUMBER($L21)),"",MEDIAN(0,100,100*($L21-Settings!$C$92)/(Settings!$C$93-Settings!$C$92))))</f>
        <v/>
      </c>
      <c r="R21" s="340" t="str">
        <f>IF($A21="","",IF(NOT(ISNUMBER($M21)),"",MEDIAN(0,100,100*($M21-Settings!$C$94)/(Settings!$C$95-Settings!$C$94))))</f>
        <v/>
      </c>
      <c r="S21" s="340" t="str">
        <f>IF($A21="","",IF(NOT(ISNUMBER($N21)),"",MEDIAN(0,100,100*($N21-Settings!$C$96)/(Settings!$C$97-Settings!$C$96))))</f>
        <v/>
      </c>
      <c r="T21" s="340" t="str">
        <f>IF($A21="","",IF(NOT(ISNUMBER($O21)),"",MEDIAN(0,100,100*($O21-Settings!$C$98)/(Settings!$C$99-Settings!$C$98))))</f>
        <v/>
      </c>
      <c r="U21" s="340" t="str">
        <f>IF($A21="","",IF(NOT(ISNUMBER($P21)),"",MEDIAN(0,100,100*(Settings!$C$101-$P21)/(Settings!$C$101-Settings!$C$100))))</f>
        <v/>
      </c>
      <c r="V21" s="343">
        <f>IF($A21="","",COUNT($Q21:$U21))</f>
        <v>0</v>
      </c>
      <c r="W21" s="340" t="str">
        <f>IF($A21="","",IF(N($V21)&lt;Settings!$C$102,"",ROUND(AVERAGE($Q21:$U21),1)))</f>
        <v/>
      </c>
      <c r="X21" s="394">
        <v>18356270</v>
      </c>
      <c r="Y21" s="394"/>
      <c r="Z21" s="394"/>
      <c r="AA21" s="394"/>
      <c r="AB21" s="394">
        <v>-645660925</v>
      </c>
      <c r="AC21" s="394">
        <v>274454454</v>
      </c>
      <c r="AD21" s="317">
        <v>46112</v>
      </c>
      <c r="AE21" s="87">
        <f ca="1">IF($A21="","",IF(NOT(ISNUMBER($AD21)),"",ROUND((TODAY()-$AD21)/30.44,0)))</f>
        <v>5</v>
      </c>
      <c r="AF21" s="396">
        <v>4</v>
      </c>
      <c r="AG21" s="315" t="s">
        <v>1429</v>
      </c>
    </row>
    <row r="22" spans="1:33" ht="42" x14ac:dyDescent="0.3">
      <c r="A22" s="318" t="str">
        <f>IF(Symbols!A21="","",Symbols!A21)</f>
        <v>SWALA</v>
      </c>
      <c r="B22" s="319" t="str" cm="1">
        <f t="array" ref="B22">IF($A22="","",INDEX(Symbols!$B$4:$B$43,ROW()-4))</f>
        <v>Swala Oil and Gas (Tanzania) PLC</v>
      </c>
      <c r="C22" s="319" t="str" cm="1">
        <f t="array" ref="C22">IF($A22="","",INDEX(Symbols!$D$4:$D$43,ROW()-4))</f>
        <v>Oil &amp; Gas</v>
      </c>
      <c r="D22" s="320" t="str">
        <f>IF($AD22="","",PROPER($AG22)&amp;" to "&amp;TEXT($AD22,"dd mmm yyyy"))</f>
        <v>Half to 30 Jun 2020</v>
      </c>
      <c r="E22" s="378" t="str">
        <f>IF($A22="","",IF(ISNUMBER($K22),$K22,IF($W22="","",$W22)))</f>
        <v/>
      </c>
      <c r="F22" s="380">
        <f>IF($A22="","",IF(ISNUMBER($K22),1,N($V22)/5))</f>
        <v>0.2</v>
      </c>
      <c r="G22" s="321"/>
      <c r="H22" s="389" t="s">
        <v>1432</v>
      </c>
      <c r="I22" s="319" t="str" cm="1">
        <f t="array" ref="I22">IF($A22="","",IF(INDEX(Symbols!$C$4:$C$43,ROW()-4)="ETF","Fund / ETF module",IF(OR($C22="Banking",$C22="Financial Services"),"Bank module",IF($C22="Insurance","Insurer module",IF($C22="Investment","Investment company module","Industrial / general module")))))</f>
        <v>Industrial / general module</v>
      </c>
      <c r="J22" s="319" t="str">
        <f>IF($A22="","",IF(NOT(ISNUMBER($E22)),"Missing fundamental data",IF(OR($E22&lt;0,$E22&gt;100),"INVALID — score must be 0–100",IF(AND(ISNUMBER($AE22),$AE22&gt;Settings!$C$104),"STALE — statement older than "&amp;Settings!$C$104&amp;" months",IF($D22="","Scored — financial period missing","Scored")))))</f>
        <v>Missing fundamental data</v>
      </c>
      <c r="K22" s="316"/>
      <c r="L22" s="392" t="str">
        <f>IF($A22="","",IF(OR(NOT(ISNUMBER($X22)),NOT(ISNUMBER($Y22)),N($Y22)=0),"",$X22/$Y22-1))</f>
        <v/>
      </c>
      <c r="M22" s="392">
        <f>IF($A22="","",IF(OR(NOT(ISNUMBER($Z22)),NOT(ISNUMBER($AA22)),N($AA22)=0),"",$Z22/$AA22-1))</f>
        <v>7.1217621258943264E-2</v>
      </c>
      <c r="N22" s="392" t="str">
        <f>IF($A22="","",IF(OR(NOT(ISNUMBER($Z22)),NOT(ISNUMBER($X22)),N($X22)=0),"",$Z22/$X22))</f>
        <v/>
      </c>
      <c r="O22" s="392" t="str">
        <f>IF($A22="","",IF(OR(NOT(ISNUMBER($Z22)),NOT(ISNUMBER($AB22)),N($AB22)&lt;=0),"",$Z22*IF(ISNUMBER($AF22),$AF22,Settings!$C$103)/$AB22))</f>
        <v/>
      </c>
      <c r="P22" s="393" t="str">
        <f>IF($A22="","",IF(OR(NOT(ISNUMBER($AC22)),NOT(ISNUMBER($AB22)),N($AB22)&lt;=0),"",$AC22/$AB22))</f>
        <v/>
      </c>
      <c r="Q22" s="340" t="str">
        <f>IF($A22="","",IF(NOT(ISNUMBER($L22)),"",MEDIAN(0,100,100*($L22-Settings!$C$92)/(Settings!$C$93-Settings!$C$92))))</f>
        <v/>
      </c>
      <c r="R22" s="340">
        <f>IF($A22="","",IF(NOT(ISNUMBER($M22)),"",MEDIAN(0,100,100*($M22-Settings!$C$94)/(Settings!$C$95-Settings!$C$94))))</f>
        <v>45.20293687649054</v>
      </c>
      <c r="S22" s="340" t="str">
        <f>IF($A22="","",IF(NOT(ISNUMBER($N22)),"",MEDIAN(0,100,100*($N22-Settings!$C$96)/(Settings!$C$97-Settings!$C$96))))</f>
        <v/>
      </c>
      <c r="T22" s="340" t="str">
        <f>IF($A22="","",IF(NOT(ISNUMBER($O22)),"",MEDIAN(0,100,100*($O22-Settings!$C$98)/(Settings!$C$99-Settings!$C$98))))</f>
        <v/>
      </c>
      <c r="U22" s="340" t="str">
        <f>IF($A22="","",IF(NOT(ISNUMBER($P22)),"",MEDIAN(0,100,100*(Settings!$C$101-$P22)/(Settings!$C$101-Settings!$C$100))))</f>
        <v/>
      </c>
      <c r="V22" s="343">
        <f>IF($A22="","",COUNT($Q22:$U22))</f>
        <v>1</v>
      </c>
      <c r="W22" s="340" t="str">
        <f>IF($A22="","",IF(N($V22)&lt;Settings!$C$102,"",ROUND(AVERAGE($Q22:$U22),1)))</f>
        <v/>
      </c>
      <c r="X22" s="394"/>
      <c r="Y22" s="394"/>
      <c r="Z22" s="394">
        <v>-3191198</v>
      </c>
      <c r="AA22" s="394">
        <v>-2979038</v>
      </c>
      <c r="AB22" s="394">
        <v>-31027866</v>
      </c>
      <c r="AC22" s="394">
        <v>28303547</v>
      </c>
      <c r="AD22" s="317">
        <v>44012</v>
      </c>
      <c r="AE22" s="87">
        <f ca="1">IF($A22="","",IF(NOT(ISNUMBER($AD22)),"",ROUND((TODAY()-$AD22)/30.44,0)))</f>
        <v>74</v>
      </c>
      <c r="AF22" s="396">
        <v>2</v>
      </c>
      <c r="AG22" s="315" t="s">
        <v>1431</v>
      </c>
    </row>
    <row r="23" spans="1:33" ht="42" x14ac:dyDescent="0.3">
      <c r="A23" s="318" t="str">
        <f>IF(Symbols!A22="","",Symbols!A22)</f>
        <v>SWIS</v>
      </c>
      <c r="B23" s="319" t="str" cm="1">
        <f t="array" ref="B23">IF($A23="","",INDEX(Symbols!$B$4:$B$43,ROW()-4))</f>
        <v>Swissport Tanzania PLC</v>
      </c>
      <c r="C23" s="319" t="str" cm="1">
        <f t="array" ref="C23">IF($A23="","",INDEX(Symbols!$D$4:$D$43,ROW()-4))</f>
        <v>Industrials</v>
      </c>
      <c r="D23" s="320" t="str">
        <f>IF($AD23="","",PROPER($AG23)&amp;" to "&amp;TEXT($AD23,"dd mmm yyyy"))</f>
        <v>Quarter to 31 Mar 2026</v>
      </c>
      <c r="E23" s="378">
        <f>IF($A23="","",IF(ISNUMBER($K23),$K23,IF($W23="","",$W23)))</f>
        <v>51.6</v>
      </c>
      <c r="F23" s="380">
        <f>IF($A23="","",IF(ISNUMBER($K23),1,N($V23)/5))</f>
        <v>1</v>
      </c>
      <c r="G23" s="321"/>
      <c r="H23" s="389" t="s">
        <v>1438</v>
      </c>
      <c r="I23" s="319" t="str" cm="1">
        <f t="array" ref="I23">IF($A23="","",IF(INDEX(Symbols!$C$4:$C$43,ROW()-4)="ETF","Fund / ETF module",IF(OR($C23="Banking",$C23="Financial Services"),"Bank module",IF($C23="Insurance","Insurer module",IF($C23="Investment","Investment company module","Industrial / general module")))))</f>
        <v>Industrial / general module</v>
      </c>
      <c r="J23" s="319" t="str">
        <f ca="1">IF($A23="","",IF(NOT(ISNUMBER($E23)),"Missing fundamental data",IF(OR($E23&lt;0,$E23&gt;100),"INVALID — score must be 0–100",IF(AND(ISNUMBER($AE23),$AE23&gt;Settings!$C$104),"STALE — statement older than "&amp;Settings!$C$104&amp;" months",IF($D23="","Scored — financial period missing","Scored")))))</f>
        <v>Scored</v>
      </c>
      <c r="K23" s="316"/>
      <c r="L23" s="392">
        <f>IF($A23="","",IF(OR(NOT(ISNUMBER($X23)),NOT(ISNUMBER($Y23)),N($Y23)=0),"",$X23/$Y23-1))</f>
        <v>8.6176574041505472E-3</v>
      </c>
      <c r="M23" s="392">
        <f>IF($A23="","",IF(OR(NOT(ISNUMBER($Z23)),NOT(ISNUMBER($AA23)),N($AA23)=0),"",$Z23/$AA23-1))</f>
        <v>-4.0418118466898911E-2</v>
      </c>
      <c r="N23" s="392">
        <f>IF($A23="","",IF(OR(NOT(ISNUMBER($Z23)),NOT(ISNUMBER($X23)),N($X23)=0),"",$Z23/$X23))</f>
        <v>0.12005231037489102</v>
      </c>
      <c r="O23" s="392">
        <f>IF($A23="","",IF(OR(NOT(ISNUMBER($Z23)),NOT(ISNUMBER($AB23)),N($AB23)&lt;=0),"",$Z23*IF(ISNUMBER($AF23),$AF23,Settings!$C$103)/$AB23))</f>
        <v>0.13112724675633852</v>
      </c>
      <c r="P23" s="393">
        <f>IF($A23="","",IF(OR(NOT(ISNUMBER($AC23)),NOT(ISNUMBER($AB23)),N($AB23)&lt;=0),"",$AC23/$AB23))</f>
        <v>0</v>
      </c>
      <c r="Q23" s="340">
        <f>IF($A23="","",IF(NOT(ISNUMBER($L23)),"",MEDIAN(0,100,100*($L23-Settings!$C$92)/(Settings!$C$93-Settings!$C$92))))</f>
        <v>31.033616401185874</v>
      </c>
      <c r="R23" s="340">
        <f>IF($A23="","",IF(NOT(ISNUMBER($M23)),"",MEDIAN(0,100,100*($M23-Settings!$C$94)/(Settings!$C$95-Settings!$C$94))))</f>
        <v>26.596980255516844</v>
      </c>
      <c r="S23" s="340">
        <f>IF($A23="","",IF(NOT(ISNUMBER($N23)),"",MEDIAN(0,100,100*($N23-Settings!$C$96)/(Settings!$C$97-Settings!$C$96))))</f>
        <v>48.020924149956407</v>
      </c>
      <c r="T23" s="340">
        <f>IF($A23="","",IF(NOT(ISNUMBER($O23)),"",MEDIAN(0,100,100*($O23-Settings!$C$98)/(Settings!$C$99-Settings!$C$98))))</f>
        <v>52.450898702535412</v>
      </c>
      <c r="U23" s="340">
        <f>IF($A23="","",IF(NOT(ISNUMBER($P23)),"",MEDIAN(0,100,100*(Settings!$C$101-$P23)/(Settings!$C$101-Settings!$C$100))))</f>
        <v>100</v>
      </c>
      <c r="V23" s="343">
        <f>IF($A23="","",COUNT($Q23:$U23))</f>
        <v>5</v>
      </c>
      <c r="W23" s="340">
        <f>IF($A23="","",IF(N($V23)&lt;Settings!$C$102,"",ROUND(AVERAGE($Q23:$U23),1)))</f>
        <v>51.6</v>
      </c>
      <c r="X23" s="394">
        <v>11470</v>
      </c>
      <c r="Y23" s="394">
        <v>11372</v>
      </c>
      <c r="Z23" s="394">
        <v>1377</v>
      </c>
      <c r="AA23" s="394">
        <v>1435</v>
      </c>
      <c r="AB23" s="394">
        <v>42005</v>
      </c>
      <c r="AC23" s="394">
        <v>0</v>
      </c>
      <c r="AD23" s="317">
        <v>46112</v>
      </c>
      <c r="AE23" s="87">
        <f ca="1">IF($A23="","",IF(NOT(ISNUMBER($AD23)),"",ROUND((TODAY()-$AD23)/30.44,0)))</f>
        <v>5</v>
      </c>
      <c r="AF23" s="396">
        <v>4</v>
      </c>
      <c r="AG23" s="315" t="s">
        <v>1429</v>
      </c>
    </row>
    <row r="24" spans="1:33" ht="62.4" x14ac:dyDescent="0.3">
      <c r="A24" s="318" t="str">
        <f>IF(Symbols!A23="","",Symbols!A23)</f>
        <v>TBL</v>
      </c>
      <c r="B24" s="319" t="str" cm="1">
        <f t="array" ref="B24">IF($A24="","",INDEX(Symbols!$B$4:$B$43,ROW()-4))</f>
        <v>Tanzania Breweries Ltd</v>
      </c>
      <c r="C24" s="319" t="str" cm="1">
        <f t="array" ref="C24">IF($A24="","",INDEX(Symbols!$D$4:$D$43,ROW()-4))</f>
        <v>Consumer Goods</v>
      </c>
      <c r="D24" s="320" t="str">
        <f>IF($AD24="","",PROPER($AG24)&amp;" to "&amp;TEXT($AD24,"dd mmm yyyy"))</f>
        <v>Quarter to 30 Jun 2026</v>
      </c>
      <c r="E24" s="378">
        <f>IF($A24="","",IF(ISNUMBER($K24),$K24,IF($W24="","",$W24)))</f>
        <v>75.7</v>
      </c>
      <c r="F24" s="380">
        <f>IF($A24="","",IF(ISNUMBER($K24),1,N($V24)/5))</f>
        <v>1</v>
      </c>
      <c r="G24" s="321">
        <v>46265</v>
      </c>
      <c r="H24" s="389" t="s">
        <v>1441</v>
      </c>
      <c r="I24" s="319" t="str" cm="1">
        <f t="array" ref="I24">IF($A24="","",IF(INDEX(Symbols!$C$4:$C$43,ROW()-4)="ETF","Fund / ETF module",IF(OR($C24="Banking",$C24="Financial Services"),"Bank module",IF($C24="Insurance","Insurer module",IF($C24="Investment","Investment company module","Industrial / general module")))))</f>
        <v>Industrial / general module</v>
      </c>
      <c r="J24" s="319" t="str">
        <f ca="1">IF($A24="","",IF(NOT(ISNUMBER($E24)),"Missing fundamental data",IF(OR($E24&lt;0,$E24&gt;100),"INVALID — score must be 0–100",IF(AND(ISNUMBER($AE24),$AE24&gt;Settings!$C$104),"STALE — statement older than "&amp;Settings!$C$104&amp;" months",IF($D24="","Scored — financial period missing","Scored")))))</f>
        <v>Scored</v>
      </c>
      <c r="K24" s="316"/>
      <c r="L24" s="392">
        <f>IF($A24="","",IF(OR(NOT(ISNUMBER($X24)),NOT(ISNUMBER($Y24)),N($Y24)=0),"",$X24/$Y24-1))</f>
        <v>0.13214412826888289</v>
      </c>
      <c r="M24" s="392">
        <f>IF($A24="","",IF(OR(NOT(ISNUMBER($Z24)),NOT(ISNUMBER($AA24)),N($AA24)=0),"",$Z24/$AA24-1))</f>
        <v>8.0068093526749928E-2</v>
      </c>
      <c r="N24" s="392">
        <f>IF($A24="","",IF(OR(NOT(ISNUMBER($Z24)),NOT(ISNUMBER($X24)),N($X24)=0),"",$Z24/$X24))</f>
        <v>0.16319244450111459</v>
      </c>
      <c r="O24" s="392">
        <f>IF($A24="","",IF(OR(NOT(ISNUMBER($Z24)),NOT(ISNUMBER($AB24)),N($AB24)&lt;=0),"",$Z24*IF(ISNUMBER($AF24),$AF24,Settings!$C$103)/$AB24))</f>
        <v>0.41810539655718659</v>
      </c>
      <c r="P24" s="393">
        <f>IF($A24="","",IF(OR(NOT(ISNUMBER($AC24)),NOT(ISNUMBER($AB24)),N($AB24)&lt;=0),"",$AC24/$AB24))</f>
        <v>0</v>
      </c>
      <c r="Q24" s="340">
        <f>IF($A24="","",IF(NOT(ISNUMBER($L24)),"",MEDIAN(0,100,100*($L24-Settings!$C$92)/(Settings!$C$93-Settings!$C$92))))</f>
        <v>66.326893791109399</v>
      </c>
      <c r="R24" s="340">
        <f>IF($A24="","",IF(NOT(ISNUMBER($M24)),"",MEDIAN(0,100,100*($M24-Settings!$C$94)/(Settings!$C$95-Settings!$C$94))))</f>
        <v>46.678015587791656</v>
      </c>
      <c r="S24" s="340">
        <f>IF($A24="","",IF(NOT(ISNUMBER($N24)),"",MEDIAN(0,100,100*($N24-Settings!$C$96)/(Settings!$C$97-Settings!$C$96))))</f>
        <v>65.276977800445835</v>
      </c>
      <c r="T24" s="340">
        <f>IF($A24="","",IF(NOT(ISNUMBER($O24)),"",MEDIAN(0,100,100*($O24-Settings!$C$98)/(Settings!$C$99-Settings!$C$98))))</f>
        <v>100</v>
      </c>
      <c r="U24" s="340">
        <f>IF($A24="","",IF(NOT(ISNUMBER($P24)),"",MEDIAN(0,100,100*(Settings!$C$101-$P24)/(Settings!$C$101-Settings!$C$100))))</f>
        <v>100</v>
      </c>
      <c r="V24" s="343">
        <f>IF($A24="","",COUNT($Q24:$U24))</f>
        <v>5</v>
      </c>
      <c r="W24" s="340">
        <f>IF($A24="","",IF(N($V24)&lt;Settings!$C$102,"",ROUND(AVERAGE($Q24:$U24),1)))</f>
        <v>75.7</v>
      </c>
      <c r="X24" s="394">
        <v>454874</v>
      </c>
      <c r="Y24" s="394">
        <v>401781</v>
      </c>
      <c r="Z24" s="394">
        <v>74232</v>
      </c>
      <c r="AA24" s="394">
        <v>68729</v>
      </c>
      <c r="AB24" s="394">
        <v>710175</v>
      </c>
      <c r="AC24" s="394">
        <v>0</v>
      </c>
      <c r="AD24" s="317">
        <v>46203</v>
      </c>
      <c r="AE24" s="87">
        <f ca="1">IF($A24="","",IF(NOT(ISNUMBER($AD24)),"",ROUND((TODAY()-$AD24)/30.44,0)))</f>
        <v>2</v>
      </c>
      <c r="AF24" s="396">
        <v>4</v>
      </c>
      <c r="AG24" s="315" t="s">
        <v>1429</v>
      </c>
    </row>
    <row r="25" spans="1:33" ht="52.2" x14ac:dyDescent="0.3">
      <c r="A25" s="318" t="str">
        <f>IF(Symbols!A24="","",Symbols!A24)</f>
        <v>TCC</v>
      </c>
      <c r="B25" s="319" t="str" cm="1">
        <f t="array" ref="B25">IF($A25="","",INDEX(Symbols!$B$4:$B$43,ROW()-4))</f>
        <v>Tanzania Cigarette Company Ltd</v>
      </c>
      <c r="C25" s="319" t="str" cm="1">
        <f t="array" ref="C25">IF($A25="","",INDEX(Symbols!$D$4:$D$43,ROW()-4))</f>
        <v>Consumer Goods</v>
      </c>
      <c r="D25" s="320" t="str">
        <f>IF($AD25="","",PROPER($AG25)&amp;" to "&amp;TEXT($AD25,"dd mmm yyyy"))</f>
        <v>Quarter to 30 Jun 2026</v>
      </c>
      <c r="E25" s="378">
        <f>IF($A25="","",IF(ISNUMBER($K25),$K25,IF($W25="","",$W25)))</f>
        <v>74.900000000000006</v>
      </c>
      <c r="F25" s="380">
        <f>IF($A25="","",IF(ISNUMBER($K25),1,N($V25)/5))</f>
        <v>1</v>
      </c>
      <c r="G25" s="321"/>
      <c r="H25" s="389" t="s">
        <v>1434</v>
      </c>
      <c r="I25" s="319" t="str" cm="1">
        <f t="array" ref="I25">IF($A25="","",IF(INDEX(Symbols!$C$4:$C$43,ROW()-4)="ETF","Fund / ETF module",IF(OR($C25="Banking",$C25="Financial Services"),"Bank module",IF($C25="Insurance","Insurer module",IF($C25="Investment","Investment company module","Industrial / general module")))))</f>
        <v>Industrial / general module</v>
      </c>
      <c r="J25" s="319" t="str">
        <f ca="1">IF($A25="","",IF(NOT(ISNUMBER($E25)),"Missing fundamental data",IF(OR($E25&lt;0,$E25&gt;100),"INVALID — score must be 0–100",IF(AND(ISNUMBER($AE25),$AE25&gt;Settings!$C$104),"STALE — statement older than "&amp;Settings!$C$104&amp;" months",IF($D25="","Scored — financial period missing","Scored")))))</f>
        <v>Scored</v>
      </c>
      <c r="K25" s="316"/>
      <c r="L25" s="392">
        <f>IF($A25="","",IF(OR(NOT(ISNUMBER($X25)),NOT(ISNUMBER($Y25)),N($Y25)=0),"",$X25/$Y25-1))</f>
        <v>-2.2979085086361262E-2</v>
      </c>
      <c r="M25" s="392">
        <f>IF($A25="","",IF(OR(NOT(ISNUMBER($Z25)),NOT(ISNUMBER($AA25)),N($AA25)=0),"",$Z25/$AA25-1))</f>
        <v>0.11645777802983037</v>
      </c>
      <c r="N25" s="392">
        <f>IF($A25="","",IF(OR(NOT(ISNUMBER($Z25)),NOT(ISNUMBER($X25)),N($X25)=0),"",$Z25/$X25))</f>
        <v>0.30582396072826695</v>
      </c>
      <c r="O25" s="392">
        <f>IF($A25="","",IF(OR(NOT(ISNUMBER($Z25)),NOT(ISNUMBER($AB25)),N($AB25)&lt;=0),"",$Z25*IF(ISNUMBER($AF25),$AF25,Settings!$C$103)/$AB25))</f>
        <v>0.5649106319787941</v>
      </c>
      <c r="P25" s="393">
        <f>IF($A25="","",IF(OR(NOT(ISNUMBER($AC25)),NOT(ISNUMBER($AB25)),N($AB25)&lt;=0),"",$AC25/$AB25))</f>
        <v>0</v>
      </c>
      <c r="Q25" s="340">
        <f>IF($A25="","",IF(NOT(ISNUMBER($L25)),"",MEDIAN(0,100,100*($L25-Settings!$C$92)/(Settings!$C$93-Settings!$C$92))))</f>
        <v>22.00597568961107</v>
      </c>
      <c r="R25" s="340">
        <f>IF($A25="","",IF(NOT(ISNUMBER($M25)),"",MEDIAN(0,100,100*($M25-Settings!$C$94)/(Settings!$C$95-Settings!$C$94))))</f>
        <v>52.74296300497172</v>
      </c>
      <c r="S25" s="340">
        <f>IF($A25="","",IF(NOT(ISNUMBER($N25)),"",MEDIAN(0,100,100*($N25-Settings!$C$96)/(Settings!$C$97-Settings!$C$96))))</f>
        <v>100</v>
      </c>
      <c r="T25" s="340">
        <f>IF($A25="","",IF(NOT(ISNUMBER($O25)),"",MEDIAN(0,100,100*($O25-Settings!$C$98)/(Settings!$C$99-Settings!$C$98))))</f>
        <v>100</v>
      </c>
      <c r="U25" s="340">
        <f>IF($A25="","",IF(NOT(ISNUMBER($P25)),"",MEDIAN(0,100,100*(Settings!$C$101-$P25)/(Settings!$C$101-Settings!$C$100))))</f>
        <v>100</v>
      </c>
      <c r="V25" s="343">
        <f>IF($A25="","",COUNT($Q25:$U25))</f>
        <v>5</v>
      </c>
      <c r="W25" s="340">
        <f>IF($A25="","",IF(N($V25)&lt;Settings!$C$102,"",ROUND(AVERAGE($Q25:$U25),1)))</f>
        <v>74.900000000000006</v>
      </c>
      <c r="X25" s="394">
        <v>128744</v>
      </c>
      <c r="Y25" s="394">
        <v>131772</v>
      </c>
      <c r="Z25" s="394">
        <v>39373</v>
      </c>
      <c r="AA25" s="394">
        <v>35266</v>
      </c>
      <c r="AB25" s="394">
        <v>278791</v>
      </c>
      <c r="AC25" s="394">
        <v>0</v>
      </c>
      <c r="AD25" s="317">
        <v>46203</v>
      </c>
      <c r="AE25" s="87">
        <f ca="1">IF($A25="","",IF(NOT(ISNUMBER($AD25)),"",ROUND((TODAY()-$AD25)/30.44,0)))</f>
        <v>2</v>
      </c>
      <c r="AF25" s="396">
        <v>4</v>
      </c>
      <c r="AG25" s="315" t="s">
        <v>1429</v>
      </c>
    </row>
    <row r="26" spans="1:33" ht="42" x14ac:dyDescent="0.3">
      <c r="A26" s="318" t="str">
        <f>IF(Symbols!A25="","",Symbols!A25)</f>
        <v>TCCL</v>
      </c>
      <c r="B26" s="319" t="str" cm="1">
        <f t="array" ref="B26">IF($A26="","",INDEX(Symbols!$B$4:$B$43,ROW()-4))</f>
        <v>Tanga Cement PLC</v>
      </c>
      <c r="C26" s="319" t="str" cm="1">
        <f t="array" ref="C26">IF($A26="","",INDEX(Symbols!$D$4:$D$43,ROW()-4))</f>
        <v>Industrials</v>
      </c>
      <c r="D26" s="320" t="str">
        <f>IF($AD26="","",PROPER($AG26)&amp;" to "&amp;TEXT($AD26,"dd mmm yyyy"))</f>
        <v>Quarter to 30 Jun 2026</v>
      </c>
      <c r="E26" s="378">
        <f>IF($A26="","",IF(ISNUMBER($K26),$K26,IF($W26="","",$W26)))</f>
        <v>77.3</v>
      </c>
      <c r="F26" s="380">
        <f>IF($A26="","",IF(ISNUMBER($K26),1,N($V26)/5))</f>
        <v>1</v>
      </c>
      <c r="G26" s="321"/>
      <c r="H26" s="389" t="s">
        <v>1440</v>
      </c>
      <c r="I26" s="319" t="str" cm="1">
        <f t="array" ref="I26">IF($A26="","",IF(INDEX(Symbols!$C$4:$C$43,ROW()-4)="ETF","Fund / ETF module",IF(OR($C26="Banking",$C26="Financial Services"),"Bank module",IF($C26="Insurance","Insurer module",IF($C26="Investment","Investment company module","Industrial / general module")))))</f>
        <v>Industrial / general module</v>
      </c>
      <c r="J26" s="319" t="str">
        <f ca="1">IF($A26="","",IF(NOT(ISNUMBER($E26)),"Missing fundamental data",IF(OR($E26&lt;0,$E26&gt;100),"INVALID — score must be 0–100",IF(AND(ISNUMBER($AE26),$AE26&gt;Settings!$C$104),"STALE — statement older than "&amp;Settings!$C$104&amp;" months",IF($D26="","Scored — financial period missing","Scored")))))</f>
        <v>Scored</v>
      </c>
      <c r="K26" s="316"/>
      <c r="L26" s="392">
        <f>IF($A26="","",IF(OR(NOT(ISNUMBER($X26)),NOT(ISNUMBER($Y26)),N($Y26)=0),"",$X26/$Y26-1))</f>
        <v>0.21231907295163044</v>
      </c>
      <c r="M26" s="392">
        <f>IF($A26="","",IF(OR(NOT(ISNUMBER($Z26)),NOT(ISNUMBER($AA26)),N($AA26)=0),"",$Z26/$AA26-1))</f>
        <v>12.855297994716583</v>
      </c>
      <c r="N26" s="392">
        <f>IF($A26="","",IF(OR(NOT(ISNUMBER($Z26)),NOT(ISNUMBER($X26)),N($X26)=0),"",$Z26/$X26))</f>
        <v>0.11846603490932224</v>
      </c>
      <c r="O26" s="392">
        <f>IF($A26="","",IF(OR(NOT(ISNUMBER($Z26)),NOT(ISNUMBER($AB26)),N($AB26)&lt;=0),"",$Z26*IF(ISNUMBER($AF26),$AF26,Settings!$C$103)/$AB26))</f>
        <v>0.16272163385302901</v>
      </c>
      <c r="P26" s="393">
        <f>IF($A26="","",IF(OR(NOT(ISNUMBER($AC26)),NOT(ISNUMBER($AB26)),N($AB26)&lt;=0),"",$AC26/$AB26))</f>
        <v>0.4496903893792269</v>
      </c>
      <c r="Q26" s="340">
        <f>IF($A26="","",IF(NOT(ISNUMBER($L26)),"",MEDIAN(0,100,100*($L26-Settings!$C$92)/(Settings!$C$93-Settings!$C$92))))</f>
        <v>89.23402084332298</v>
      </c>
      <c r="R26" s="340">
        <f>IF($A26="","",IF(NOT(ISNUMBER($M26)),"",MEDIAN(0,100,100*($M26-Settings!$C$94)/(Settings!$C$95-Settings!$C$94))))</f>
        <v>100</v>
      </c>
      <c r="S26" s="340">
        <f>IF($A26="","",IF(NOT(ISNUMBER($N26)),"",MEDIAN(0,100,100*($N26-Settings!$C$96)/(Settings!$C$97-Settings!$C$96))))</f>
        <v>47.386413963728899</v>
      </c>
      <c r="T26" s="340">
        <f>IF($A26="","",IF(NOT(ISNUMBER($O26)),"",MEDIAN(0,100,100*($O26-Settings!$C$98)/(Settings!$C$99-Settings!$C$98))))</f>
        <v>65.088653541211599</v>
      </c>
      <c r="U26" s="340">
        <f>IF($A26="","",IF(NOT(ISNUMBER($P26)),"",MEDIAN(0,100,100*(Settings!$C$101-$P26)/(Settings!$C$101-Settings!$C$100))))</f>
        <v>85.010320354025765</v>
      </c>
      <c r="V26" s="343">
        <f>IF($A26="","",COUNT($Q26:$U26))</f>
        <v>5</v>
      </c>
      <c r="W26" s="340">
        <f>IF($A26="","",IF(N($V26)&lt;Settings!$C$102,"",ROUND(AVERAGE($Q26:$U26),1)))</f>
        <v>77.3</v>
      </c>
      <c r="X26" s="394">
        <v>79425432</v>
      </c>
      <c r="Y26" s="394">
        <v>65515287</v>
      </c>
      <c r="Z26" s="394">
        <v>9409216</v>
      </c>
      <c r="AA26" s="394">
        <v>679106</v>
      </c>
      <c r="AB26" s="394">
        <v>231296006</v>
      </c>
      <c r="AC26" s="394">
        <v>104011591</v>
      </c>
      <c r="AD26" s="317">
        <v>46203</v>
      </c>
      <c r="AE26" s="87">
        <f ca="1">IF($A26="","",IF(NOT(ISNUMBER($AD26)),"",ROUND((TODAY()-$AD26)/30.44,0)))</f>
        <v>2</v>
      </c>
      <c r="AF26" s="396">
        <v>4</v>
      </c>
      <c r="AG26" s="315" t="s">
        <v>1429</v>
      </c>
    </row>
    <row r="27" spans="1:33" ht="31.8" x14ac:dyDescent="0.3">
      <c r="A27" s="318" t="str">
        <f>IF(Symbols!A26="","",Symbols!A26)</f>
        <v>TOL</v>
      </c>
      <c r="B27" s="319" t="str" cm="1">
        <f t="array" ref="B27">IF($A27="","",INDEX(Symbols!$B$4:$B$43,ROW()-4))</f>
        <v>TOL Gases Ltd</v>
      </c>
      <c r="C27" s="319" t="str" cm="1">
        <f t="array" ref="C27">IF($A27="","",INDEX(Symbols!$D$4:$D$43,ROW()-4))</f>
        <v>Basic Materials</v>
      </c>
      <c r="D27" s="320" t="str">
        <f>IF($AD27="","",PROPER($AG27)&amp;" to "&amp;TEXT($AD27,"dd mmm yyyy"))</f>
        <v>Quarter to 31 Mar 2026</v>
      </c>
      <c r="E27" s="378">
        <f>IF($A27="","",IF(ISNUMBER($K27),$K27,IF($W27="","",$W27)))</f>
        <v>43</v>
      </c>
      <c r="F27" s="380">
        <f>IF($A27="","",IF(ISNUMBER($K27),1,N($V27)/5))</f>
        <v>1</v>
      </c>
      <c r="G27" s="321"/>
      <c r="H27" s="389" t="s">
        <v>1439</v>
      </c>
      <c r="I27" s="319" t="str" cm="1">
        <f t="array" ref="I27">IF($A27="","",IF(INDEX(Symbols!$C$4:$C$43,ROW()-4)="ETF","Fund / ETF module",IF(OR($C27="Banking",$C27="Financial Services"),"Bank module",IF($C27="Insurance","Insurer module",IF($C27="Investment","Investment company module","Industrial / general module")))))</f>
        <v>Industrial / general module</v>
      </c>
      <c r="J27" s="319" t="str">
        <f ca="1">IF($A27="","",IF(NOT(ISNUMBER($E27)),"Missing fundamental data",IF(OR($E27&lt;0,$E27&gt;100),"INVALID — score must be 0–100",IF(AND(ISNUMBER($AE27),$AE27&gt;Settings!$C$104),"STALE — statement older than "&amp;Settings!$C$104&amp;" months",IF($D27="","Scored — financial period missing","Scored")))))</f>
        <v>Scored</v>
      </c>
      <c r="K27" s="316"/>
      <c r="L27" s="392">
        <f>IF($A27="","",IF(OR(NOT(ISNUMBER($X27)),NOT(ISNUMBER($Y27)),N($Y27)=0),"",$X27/$Y27-1))</f>
        <v>-9.2856008060016038E-4</v>
      </c>
      <c r="M27" s="392">
        <f>IF($A27="","",IF(OR(NOT(ISNUMBER($Z27)),NOT(ISNUMBER($AA27)),N($AA27)=0),"",$Z27/$AA27-1))</f>
        <v>-0.35222288963896076</v>
      </c>
      <c r="N27" s="392">
        <f>IF($A27="","",IF(OR(NOT(ISNUMBER($Z27)),NOT(ISNUMBER($X27)),N($X27)=0),"",$Z27/$X27))</f>
        <v>0.1282742163610073</v>
      </c>
      <c r="O27" s="392">
        <f>IF($A27="","",IF(OR(NOT(ISNUMBER($Z27)),NOT(ISNUMBER($AB27)),N($AB27)&lt;=0),"",$Z27*IF(ISNUMBER($AF27),$AF27,Settings!$C$103)/$AB27))</f>
        <v>0.11268696777109263</v>
      </c>
      <c r="P27" s="393">
        <f>IF($A27="","",IF(OR(NOT(ISNUMBER($AC27)),NOT(ISNUMBER($AB27)),N($AB27)&lt;=0),"",$AC27/$AB27))</f>
        <v>0.29120952863221511</v>
      </c>
      <c r="Q27" s="340">
        <f>IF($A27="","",IF(NOT(ISNUMBER($L27)),"",MEDIAN(0,100,100*($L27-Settings!$C$92)/(Settings!$C$93-Settings!$C$92))))</f>
        <v>28.306125691257098</v>
      </c>
      <c r="R27" s="340">
        <f>IF($A27="","",IF(NOT(ISNUMBER($M27)),"",MEDIAN(0,100,100*($M27-Settings!$C$94)/(Settings!$C$95-Settings!$C$94))))</f>
        <v>0</v>
      </c>
      <c r="S27" s="340">
        <f>IF($A27="","",IF(NOT(ISNUMBER($N27)),"",MEDIAN(0,100,100*($N27-Settings!$C$96)/(Settings!$C$97-Settings!$C$96))))</f>
        <v>51.309686544402922</v>
      </c>
      <c r="T27" s="340">
        <f>IF($A27="","",IF(NOT(ISNUMBER($O27)),"",MEDIAN(0,100,100*($O27-Settings!$C$98)/(Settings!$C$99-Settings!$C$98))))</f>
        <v>45.07478710843705</v>
      </c>
      <c r="U27" s="340">
        <f>IF($A27="","",IF(NOT(ISNUMBER($P27)),"",MEDIAN(0,100,100*(Settings!$C$101-$P27)/(Settings!$C$101-Settings!$C$100))))</f>
        <v>90.293015712259489</v>
      </c>
      <c r="V27" s="343">
        <f>IF($A27="","",COUNT($Q27:$U27))</f>
        <v>5</v>
      </c>
      <c r="W27" s="340">
        <f>IF($A27="","",IF(N($V27)&lt;Settings!$C$102,"",ROUND(AVERAGE($Q27:$U27),1)))</f>
        <v>43</v>
      </c>
      <c r="X27" s="394">
        <v>7087192</v>
      </c>
      <c r="Y27" s="394">
        <v>7093779</v>
      </c>
      <c r="Z27" s="394">
        <v>909104</v>
      </c>
      <c r="AA27" s="394">
        <v>1403421</v>
      </c>
      <c r="AB27" s="394">
        <v>32270067</v>
      </c>
      <c r="AC27" s="394">
        <v>9397351</v>
      </c>
      <c r="AD27" s="317">
        <v>46112</v>
      </c>
      <c r="AE27" s="87">
        <f ca="1">IF($A27="","",IF(NOT(ISNUMBER($AD27)),"",ROUND((TODAY()-$AD27)/30.44,0)))</f>
        <v>5</v>
      </c>
      <c r="AF27" s="396">
        <v>4</v>
      </c>
      <c r="AG27" s="315" t="s">
        <v>1429</v>
      </c>
    </row>
    <row r="28" spans="1:33" ht="42" x14ac:dyDescent="0.3">
      <c r="A28" s="318" t="str">
        <f>IF(Symbols!A27="","",Symbols!A27)</f>
        <v>TPCC</v>
      </c>
      <c r="B28" s="319" t="str" cm="1">
        <f t="array" ref="B28">IF($A28="","",INDEX(Symbols!$B$4:$B$43,ROW()-4))</f>
        <v>Tanzania Portland Cement PLC (Twiga)</v>
      </c>
      <c r="C28" s="319" t="str" cm="1">
        <f t="array" ref="C28">IF($A28="","",INDEX(Symbols!$D$4:$D$43,ROW()-4))</f>
        <v>Industrials</v>
      </c>
      <c r="D28" s="320" t="s">
        <v>1380</v>
      </c>
      <c r="E28" s="378">
        <f>IF($A28="","",IF(ISNUMBER($K28),$K28,IF($W28="","",$W28)))</f>
        <v>74.3</v>
      </c>
      <c r="F28" s="380">
        <f>IF($A28="","",IF(ISNUMBER($K28),1,N($V28)/5))</f>
        <v>1</v>
      </c>
      <c r="G28" s="321">
        <v>46265</v>
      </c>
      <c r="H28" s="389" t="s">
        <v>1410</v>
      </c>
      <c r="I28" s="319" t="str" cm="1">
        <f t="array" ref="I28">IF($A28="","",IF(INDEX(Symbols!$C$4:$C$43,ROW()-4)="ETF","Fund / ETF module",IF(OR($C28="Banking",$C28="Financial Services"),"Bank module",IF($C28="Insurance","Insurer module",IF($C28="Investment","Investment company module","Industrial / general module")))))</f>
        <v>Industrial / general module</v>
      </c>
      <c r="J28" s="319" t="str">
        <f ca="1">IF($A28="","",IF(NOT(ISNUMBER($E28)),"Missing fundamental data",IF(OR($E28&lt;0,$E28&gt;100),"INVALID — score must be 0–100",IF(AND(ISNUMBER($AE28),$AE28&gt;Settings!$C$104),"STALE — statement older than "&amp;Settings!$C$104&amp;" months",IF($D28="","Scored — financial period missing","Scored")))))</f>
        <v>Scored</v>
      </c>
      <c r="K28" s="316"/>
      <c r="L28" s="392">
        <f>IF($A28="","",IF(OR(NOT(ISNUMBER($X28)),NOT(ISNUMBER($Y28)),N($Y28)=0),"",$X28/$Y28-1))</f>
        <v>4.1382660279442485E-2</v>
      </c>
      <c r="M28" s="392">
        <f>IF($A28="","",IF(OR(NOT(ISNUMBER($Z28)),NOT(ISNUMBER($AA28)),N($AA28)=0),"",$Z28/$AA28-1))</f>
        <v>0.22307434037108376</v>
      </c>
      <c r="N28" s="392">
        <f>IF($A28="","",IF(OR(NOT(ISNUMBER($Z28)),NOT(ISNUMBER($X28)),N($X28)=0),"",$Z28/$X28))</f>
        <v>0.15184678793328943</v>
      </c>
      <c r="O28" s="392">
        <f>IF($A28="","",IF(OR(NOT(ISNUMBER($Z28)),NOT(ISNUMBER($AB28)),N($AB28)&lt;=0),"",$Z28*IF(ISNUMBER($AF28),$AF28,Settings!$C$103)/$AB28))</f>
        <v>0.27344869311014769</v>
      </c>
      <c r="P28" s="393">
        <f>IF($A28="","",IF(OR(NOT(ISNUMBER($AC28)),NOT(ISNUMBER($AB28)),N($AB28)&lt;=0),"",$AC28/$AB28))</f>
        <v>0</v>
      </c>
      <c r="Q28" s="340">
        <f>IF($A28="","",IF(NOT(ISNUMBER($L28)),"",MEDIAN(0,100,100*($L28-Settings!$C$92)/(Settings!$C$93-Settings!$C$92))))</f>
        <v>40.395045794126432</v>
      </c>
      <c r="R28" s="340">
        <f>IF($A28="","",IF(NOT(ISNUMBER($M28)),"",MEDIAN(0,100,100*($M28-Settings!$C$94)/(Settings!$C$95-Settings!$C$94))))</f>
        <v>70.512390061847285</v>
      </c>
      <c r="S28" s="340">
        <f>IF($A28="","",IF(NOT(ISNUMBER($N28)),"",MEDIAN(0,100,100*($N28-Settings!$C$96)/(Settings!$C$97-Settings!$C$96))))</f>
        <v>60.738715173315768</v>
      </c>
      <c r="T28" s="340">
        <f>IF($A28="","",IF(NOT(ISNUMBER($O28)),"",MEDIAN(0,100,100*($O28-Settings!$C$98)/(Settings!$C$99-Settings!$C$98))))</f>
        <v>100</v>
      </c>
      <c r="U28" s="340">
        <f>IF($A28="","",IF(NOT(ISNUMBER($P28)),"",MEDIAN(0,100,100*(Settings!$C$101-$P28)/(Settings!$C$101-Settings!$C$100))))</f>
        <v>100</v>
      </c>
      <c r="V28" s="343">
        <f>IF($A28="","",COUNT($Q28:$U28))</f>
        <v>5</v>
      </c>
      <c r="W28" s="340">
        <f>IF($A28="","",IF(N($V28)&lt;Settings!$C$102,"",ROUND(AVERAGE($Q28:$U28),1)))</f>
        <v>74.3</v>
      </c>
      <c r="X28" s="394">
        <v>216245.21299999999</v>
      </c>
      <c r="Y28" s="394">
        <v>207652.02</v>
      </c>
      <c r="Z28" s="394">
        <v>32836.141000000003</v>
      </c>
      <c r="AA28" s="394">
        <v>26847.216</v>
      </c>
      <c r="AB28" s="394">
        <v>240163.08600000001</v>
      </c>
      <c r="AC28" s="394">
        <v>0</v>
      </c>
      <c r="AD28" s="317">
        <v>46203</v>
      </c>
      <c r="AE28" s="87">
        <f ca="1">IF($A28="","",IF(NOT(ISNUMBER($AD28)),"",ROUND((TODAY()-$AD28)/30.44,0)))</f>
        <v>2</v>
      </c>
      <c r="AF28" s="396">
        <v>2</v>
      </c>
      <c r="AG28" s="315" t="s">
        <v>1431</v>
      </c>
    </row>
    <row r="29" spans="1:33" ht="42" x14ac:dyDescent="0.3">
      <c r="A29" s="318" t="str">
        <f>IF(Symbols!A28="","",Symbols!A28)</f>
        <v>TTP</v>
      </c>
      <c r="B29" s="319" t="str" cm="1">
        <f t="array" ref="B29">IF($A29="","",INDEX(Symbols!$B$4:$B$43,ROW()-4))</f>
        <v>Tanzania Tea Packers Ltd (TATEPA)</v>
      </c>
      <c r="C29" s="319" t="str" cm="1">
        <f t="array" ref="C29">IF($A29="","",INDEX(Symbols!$D$4:$D$43,ROW()-4))</f>
        <v>Consumer Goods</v>
      </c>
      <c r="D29" s="320" t="str">
        <f>IF($AD29="","",PROPER($AG29)&amp;" to "&amp;TEXT($AD29,"dd mmm yyyy"))</f>
        <v>Full to 31 Mar 2026</v>
      </c>
      <c r="E29" s="378" t="str">
        <f>IF($A29="","",IF(ISNUMBER($K29),$K29,IF($W29="","",$W29)))</f>
        <v/>
      </c>
      <c r="F29" s="380">
        <f>IF($A29="","",IF(ISNUMBER($K29),1,N($V29)/5))</f>
        <v>0.2</v>
      </c>
      <c r="G29" s="321"/>
      <c r="H29" s="389" t="s">
        <v>1432</v>
      </c>
      <c r="I29" s="319" t="str" cm="1">
        <f t="array" ref="I29">IF($A29="","",IF(INDEX(Symbols!$C$4:$C$43,ROW()-4)="ETF","Fund / ETF module",IF(OR($C29="Banking",$C29="Financial Services"),"Bank module",IF($C29="Insurance","Insurer module",IF($C29="Investment","Investment company module","Industrial / general module")))))</f>
        <v>Industrial / general module</v>
      </c>
      <c r="J29" s="319" t="str">
        <f>IF($A29="","",IF(NOT(ISNUMBER($E29)),"Missing fundamental data",IF(OR($E29&lt;0,$E29&gt;100),"INVALID — score must be 0–100",IF(AND(ISNUMBER($AE29),$AE29&gt;Settings!$C$104),"STALE — statement older than "&amp;Settings!$C$104&amp;" months",IF($D29="","Scored — financial period missing","Scored")))))</f>
        <v>Missing fundamental data</v>
      </c>
      <c r="K29" s="316"/>
      <c r="L29" s="392" t="str">
        <f>IF($A29="","",IF(OR(NOT(ISNUMBER($X29)),NOT(ISNUMBER($Y29)),N($Y29)=0),"",$X29/$Y29-1))</f>
        <v/>
      </c>
      <c r="M29" s="392" t="str">
        <f>IF($A29="","",IF(OR(NOT(ISNUMBER($Z29)),NOT(ISNUMBER($AA29)),N($AA29)=0),"",$Z29/$AA29-1))</f>
        <v/>
      </c>
      <c r="N29" s="392">
        <f>IF($A29="","",IF(OR(NOT(ISNUMBER($Z29)),NOT(ISNUMBER($X29)),N($X29)=0),"",$Z29/$X29))</f>
        <v>-8.208193990511333</v>
      </c>
      <c r="O29" s="392" t="str">
        <f>IF($A29="","",IF(OR(NOT(ISNUMBER($Z29)),NOT(ISNUMBER($AB29)),N($AB29)&lt;=0),"",$Z29*IF(ISNUMBER($AF29),$AF29,Settings!$C$103)/$AB29))</f>
        <v/>
      </c>
      <c r="P29" s="393" t="str">
        <f>IF($A29="","",IF(OR(NOT(ISNUMBER($AC29)),NOT(ISNUMBER($AB29)),N($AB29)&lt;=0),"",$AC29/$AB29))</f>
        <v/>
      </c>
      <c r="Q29" s="340" t="str">
        <f>IF($A29="","",IF(NOT(ISNUMBER($L29)),"",MEDIAN(0,100,100*($L29-Settings!$C$92)/(Settings!$C$93-Settings!$C$92))))</f>
        <v/>
      </c>
      <c r="R29" s="340" t="str">
        <f>IF($A29="","",IF(NOT(ISNUMBER($M29)),"",MEDIAN(0,100,100*($M29-Settings!$C$94)/(Settings!$C$95-Settings!$C$94))))</f>
        <v/>
      </c>
      <c r="S29" s="340">
        <f>IF($A29="","",IF(NOT(ISNUMBER($N29)),"",MEDIAN(0,100,100*($N29-Settings!$C$96)/(Settings!$C$97-Settings!$C$96))))</f>
        <v>0</v>
      </c>
      <c r="T29" s="340" t="str">
        <f>IF($A29="","",IF(NOT(ISNUMBER($O29)),"",MEDIAN(0,100,100*($O29-Settings!$C$98)/(Settings!$C$99-Settings!$C$98))))</f>
        <v/>
      </c>
      <c r="U29" s="340" t="str">
        <f>IF($A29="","",IF(NOT(ISNUMBER($P29)),"",MEDIAN(0,100,100*(Settings!$C$101-$P29)/(Settings!$C$101-Settings!$C$100))))</f>
        <v/>
      </c>
      <c r="V29" s="343">
        <f>IF($A29="","",COUNT($Q29:$U29))</f>
        <v>1</v>
      </c>
      <c r="W29" s="340" t="str">
        <f>IF($A29="","",IF(N($V29)&lt;Settings!$C$102,"",ROUND(AVERAGE($Q29:$U29),1)))</f>
        <v/>
      </c>
      <c r="X29" s="394">
        <v>237125</v>
      </c>
      <c r="Y29" s="394"/>
      <c r="Z29" s="394">
        <v>-1946368</v>
      </c>
      <c r="AA29" s="394"/>
      <c r="AB29" s="394">
        <v>-6258314</v>
      </c>
      <c r="AC29" s="394">
        <v>28089013</v>
      </c>
      <c r="AD29" s="317">
        <v>46112</v>
      </c>
      <c r="AE29" s="87">
        <f ca="1">IF($A29="","",IF(NOT(ISNUMBER($AD29)),"",ROUND((TODAY()-$AD29)/30.44,0)))</f>
        <v>5</v>
      </c>
      <c r="AF29" s="396">
        <v>1</v>
      </c>
      <c r="AG29" s="315" t="s">
        <v>1430</v>
      </c>
    </row>
    <row r="30" spans="1:33" ht="42" x14ac:dyDescent="0.3">
      <c r="A30" s="318" t="str">
        <f>IF(Symbols!A29="","",Symbols!A29)</f>
        <v>USL</v>
      </c>
      <c r="B30" s="319" t="str" cm="1">
        <f t="array" ref="B30">IF($A30="","",INDEX(Symbols!$B$4:$B$43,ROW()-4))</f>
        <v>Uchumi Supermarkets PLC</v>
      </c>
      <c r="C30" s="319" t="str" cm="1">
        <f t="array" ref="C30">IF($A30="","",INDEX(Symbols!$D$4:$D$43,ROW()-4))</f>
        <v>Retail</v>
      </c>
      <c r="D30" s="320" t="str">
        <f>IF($AD30="","",PROPER($AG30)&amp;" to "&amp;TEXT($AD30,"dd mmm yyyy"))</f>
        <v>Full to 30 Jun 2025</v>
      </c>
      <c r="E30" s="378">
        <f>IF($A30="","",IF(ISNUMBER($K30),$K30,IF($W30="","",$W30)))</f>
        <v>42.7</v>
      </c>
      <c r="F30" s="380">
        <f>IF($A30="","",IF(ISNUMBER($K30),1,N($V30)/5))</f>
        <v>0.6</v>
      </c>
      <c r="G30" s="321"/>
      <c r="H30" s="389" t="s">
        <v>1432</v>
      </c>
      <c r="I30" s="319" t="str" cm="1">
        <f t="array" ref="I30">IF($A30="","",IF(INDEX(Symbols!$C$4:$C$43,ROW()-4)="ETF","Fund / ETF module",IF(OR($C30="Banking",$C30="Financial Services"),"Bank module",IF($C30="Insurance","Insurer module",IF($C30="Investment","Investment company module","Industrial / general module")))))</f>
        <v>Industrial / general module</v>
      </c>
      <c r="J30" s="319" t="str">
        <f ca="1">IF($A30="","",IF(NOT(ISNUMBER($E30)),"Missing fundamental data",IF(OR($E30&lt;0,$E30&gt;100),"INVALID — score must be 0–100",IF(AND(ISNUMBER($AE30),$AE30&gt;Settings!$C$104),"STALE — statement older than "&amp;Settings!$C$104&amp;" months",IF($D30="","Scored — financial period missing","Scored")))))</f>
        <v>Scored</v>
      </c>
      <c r="K30" s="316"/>
      <c r="L30" s="392">
        <f>IF($A30="","",IF(OR(NOT(ISNUMBER($X30)),NOT(ISNUMBER($Y30)),N($Y30)=0),"",$X30/$Y30-1))</f>
        <v>0.88088613013698636</v>
      </c>
      <c r="M30" s="392">
        <f>IF($A30="","",IF(OR(NOT(ISNUMBER($Z30)),NOT(ISNUMBER($AA30)),N($AA30)=0),"",$Z30/$AA30-1))</f>
        <v>-1.0517657433281893</v>
      </c>
      <c r="N30" s="392">
        <f>IF($A30="","",IF(OR(NOT(ISNUMBER($Z30)),NOT(ISNUMBER($X30)),N($X30)=0),"",$Z30/$X30))</f>
        <v>7.0619792725055877E-2</v>
      </c>
      <c r="O30" s="392" t="str">
        <f>IF($A30="","",IF(OR(NOT(ISNUMBER($Z30)),NOT(ISNUMBER($AB30)),N($AB30)&lt;=0),"",$Z30*IF(ISNUMBER($AF30),$AF30,Settings!$C$103)/$AB30))</f>
        <v/>
      </c>
      <c r="P30" s="393" t="str">
        <f>IF($A30="","",IF(OR(NOT(ISNUMBER($AC30)),NOT(ISNUMBER($AB30)),N($AB30)&lt;=0),"",$AC30/$AB30))</f>
        <v/>
      </c>
      <c r="Q30" s="340">
        <f>IF($A30="","",IF(NOT(ISNUMBER($L30)),"",MEDIAN(0,100,100*($L30-Settings!$C$92)/(Settings!$C$93-Settings!$C$92))))</f>
        <v>100</v>
      </c>
      <c r="R30" s="340">
        <f>IF($A30="","",IF(NOT(ISNUMBER($M30)),"",MEDIAN(0,100,100*($M30-Settings!$C$94)/(Settings!$C$95-Settings!$C$94))))</f>
        <v>0</v>
      </c>
      <c r="S30" s="340">
        <f>IF($A30="","",IF(NOT(ISNUMBER($N30)),"",MEDIAN(0,100,100*($N30-Settings!$C$96)/(Settings!$C$97-Settings!$C$96))))</f>
        <v>28.247917090022352</v>
      </c>
      <c r="T30" s="340" t="str">
        <f>IF($A30="","",IF(NOT(ISNUMBER($O30)),"",MEDIAN(0,100,100*($O30-Settings!$C$98)/(Settings!$C$99-Settings!$C$98))))</f>
        <v/>
      </c>
      <c r="U30" s="340" t="str">
        <f>IF($A30="","",IF(NOT(ISNUMBER($P30)),"",MEDIAN(0,100,100*(Settings!$C$101-$P30)/(Settings!$C$101-Settings!$C$100))))</f>
        <v/>
      </c>
      <c r="V30" s="343">
        <f>IF($A30="","",COUNT($Q30:$U30))</f>
        <v>3</v>
      </c>
      <c r="W30" s="340">
        <f>IF($A30="","",IF(N($V30)&lt;Settings!$C$102,"",ROUND(AVERAGE($Q30:$U30),1)))</f>
        <v>42.7</v>
      </c>
      <c r="X30" s="394">
        <v>123025</v>
      </c>
      <c r="Y30" s="394">
        <v>65408</v>
      </c>
      <c r="Z30" s="394">
        <v>8688</v>
      </c>
      <c r="AA30" s="394">
        <v>-167833</v>
      </c>
      <c r="AB30" s="394">
        <v>-7052356</v>
      </c>
      <c r="AC30" s="394">
        <v>2710569</v>
      </c>
      <c r="AD30" s="317">
        <v>45838</v>
      </c>
      <c r="AE30" s="87">
        <f ca="1">IF($A30="","",IF(NOT(ISNUMBER($AD30)),"",ROUND((TODAY()-$AD30)/30.44,0)))</f>
        <v>14</v>
      </c>
      <c r="AF30" s="396">
        <v>1</v>
      </c>
      <c r="AG30" s="315" t="s">
        <v>1430</v>
      </c>
    </row>
    <row r="31" spans="1:33" ht="42" x14ac:dyDescent="0.3">
      <c r="A31" s="318" t="str">
        <f>IF(Symbols!A30="","",Symbols!A30)</f>
        <v>VODA</v>
      </c>
      <c r="B31" s="319" t="str" cm="1">
        <f t="array" ref="B31">IF($A31="","",INDEX(Symbols!$B$4:$B$43,ROW()-4))</f>
        <v>Vodacom Tanzania PLC</v>
      </c>
      <c r="C31" s="319" t="str" cm="1">
        <f t="array" ref="C31">IF($A31="","",INDEX(Symbols!$D$4:$D$43,ROW()-4))</f>
        <v>Telecommunications</v>
      </c>
      <c r="D31" s="320" t="str">
        <f>IF($AD31="","",PROPER($AG31)&amp;" to "&amp;TEXT($AD31,"dd mmm yyyy"))</f>
        <v>Full to 31 Mar 2026</v>
      </c>
      <c r="E31" s="378">
        <f>IF($A31="","",IF(ISNUMBER($K31),$K31,IF($W31="","",$W31)))</f>
        <v>64.400000000000006</v>
      </c>
      <c r="F31" s="380">
        <f>IF($A31="","",IF(ISNUMBER($K31),1,N($V31)/5))</f>
        <v>1</v>
      </c>
      <c r="G31" s="321"/>
      <c r="H31" s="389" t="s">
        <v>1432</v>
      </c>
      <c r="I31" s="319" t="str" cm="1">
        <f t="array" ref="I31">IF($A31="","",IF(INDEX(Symbols!$C$4:$C$43,ROW()-4)="ETF","Fund / ETF module",IF(OR($C31="Banking",$C31="Financial Services"),"Bank module",IF($C31="Insurance","Insurer module",IF($C31="Investment","Investment company module","Industrial / general module")))))</f>
        <v>Industrial / general module</v>
      </c>
      <c r="J31" s="319" t="str">
        <f ca="1">IF($A31="","",IF(NOT(ISNUMBER($E31)),"Missing fundamental data",IF(OR($E31&lt;0,$E31&gt;100),"INVALID — score must be 0–100",IF(AND(ISNUMBER($AE31),$AE31&gt;Settings!$C$104),"STALE — statement older than "&amp;Settings!$C$104&amp;" months",IF($D31="","Scored — financial period missing","Scored")))))</f>
        <v>Scored</v>
      </c>
      <c r="K31" s="316"/>
      <c r="L31" s="392">
        <f>IF($A31="","",IF(OR(NOT(ISNUMBER($X31)),NOT(ISNUMBER($Y31)),N($Y31)=0),"",$X31/$Y31-1))</f>
        <v>0.2207430360669369</v>
      </c>
      <c r="M31" s="392">
        <f>IF($A31="","",IF(OR(NOT(ISNUMBER($Z31)),NOT(ISNUMBER($AA31)),N($AA31)=0),"",$Z31/$AA31-1))</f>
        <v>0.18362408988962664</v>
      </c>
      <c r="N31" s="392">
        <f>IF($A31="","",IF(OR(NOT(ISNUMBER($Z31)),NOT(ISNUMBER($X31)),N($X31)=0),"",$Z31/$X31))</f>
        <v>5.7009956028295575E-2</v>
      </c>
      <c r="O31" s="392">
        <f>IF($A31="","",IF(OR(NOT(ISNUMBER($Z31)),NOT(ISNUMBER($AB31)),N($AB31)&lt;=0),"",$Z31*IF(ISNUMBER($AF31),$AF31,Settings!$C$103)/$AB31))</f>
        <v>0.10950204784192112</v>
      </c>
      <c r="P31" s="393">
        <f>IF($A31="","",IF(OR(NOT(ISNUMBER($AC31)),NOT(ISNUMBER($AB31)),N($AB31)&lt;=0),"",$AC31/$AB31))</f>
        <v>0</v>
      </c>
      <c r="Q31" s="340">
        <f>IF($A31="","",IF(NOT(ISNUMBER($L31)),"",MEDIAN(0,100,100*($L31-Settings!$C$92)/(Settings!$C$93-Settings!$C$92))))</f>
        <v>91.640867447696266</v>
      </c>
      <c r="R31" s="340">
        <f>IF($A31="","",IF(NOT(ISNUMBER($M31)),"",MEDIAN(0,100,100*($M31-Settings!$C$94)/(Settings!$C$95-Settings!$C$94))))</f>
        <v>63.937348314937765</v>
      </c>
      <c r="S31" s="340">
        <f>IF($A31="","",IF(NOT(ISNUMBER($N31)),"",MEDIAN(0,100,100*($N31-Settings!$C$96)/(Settings!$C$97-Settings!$C$96))))</f>
        <v>22.803982411318231</v>
      </c>
      <c r="T31" s="340">
        <f>IF($A31="","",IF(NOT(ISNUMBER($O31)),"",MEDIAN(0,100,100*($O31-Settings!$C$98)/(Settings!$C$99-Settings!$C$98))))</f>
        <v>43.800819136768446</v>
      </c>
      <c r="U31" s="340">
        <f>IF($A31="","",IF(NOT(ISNUMBER($P31)),"",MEDIAN(0,100,100*(Settings!$C$101-$P31)/(Settings!$C$101-Settings!$C$100))))</f>
        <v>100</v>
      </c>
      <c r="V31" s="343">
        <f>IF($A31="","",COUNT($Q31:$U31))</f>
        <v>5</v>
      </c>
      <c r="W31" s="340">
        <f>IF($A31="","",IF(N($V31)&lt;Settings!$C$102,"",ROUND(AVERAGE($Q31:$U31),1)))</f>
        <v>64.400000000000006</v>
      </c>
      <c r="X31" s="394">
        <v>1879163</v>
      </c>
      <c r="Y31" s="394">
        <v>1539360</v>
      </c>
      <c r="Z31" s="394">
        <v>107131</v>
      </c>
      <c r="AA31" s="394">
        <v>90511</v>
      </c>
      <c r="AB31" s="394">
        <v>978347</v>
      </c>
      <c r="AC31" s="394">
        <v>0</v>
      </c>
      <c r="AD31" s="317">
        <v>46112</v>
      </c>
      <c r="AE31" s="87">
        <f ca="1">IF($A31="","",IF(NOT(ISNUMBER($AD31)),"",ROUND((TODAY()-$AD31)/30.44,0)))</f>
        <v>5</v>
      </c>
      <c r="AF31" s="396">
        <v>1</v>
      </c>
      <c r="AG31" s="315" t="s">
        <v>1430</v>
      </c>
    </row>
    <row r="32" spans="1:33" ht="42" x14ac:dyDescent="0.3">
      <c r="A32" s="318" t="str">
        <f>IF(Symbols!A31="","",Symbols!A31)</f>
        <v>YETU</v>
      </c>
      <c r="B32" s="319" t="str" cm="1">
        <f t="array" ref="B32">IF($A32="","",INDEX(Symbols!$B$4:$B$43,ROW()-4))</f>
        <v>Yetu Microfinance Bank PLC</v>
      </c>
      <c r="C32" s="319" t="str" cm="1">
        <f t="array" ref="C32">IF($A32="","",INDEX(Symbols!$D$4:$D$43,ROW()-4))</f>
        <v>Banking</v>
      </c>
      <c r="D32" s="320" t="str">
        <f>IF($AD32="","",PROPER($AG32)&amp;" to "&amp;TEXT($AD32,"dd mmm yyyy"))</f>
        <v>Quarter to 31 Mar 2021</v>
      </c>
      <c r="E32" s="378">
        <f>IF($A32="","",IF(ISNUMBER($K32),$K32,IF($W32="","",$W32)))</f>
        <v>62.3</v>
      </c>
      <c r="F32" s="380">
        <f>IF($A32="","",IF(ISNUMBER($K32),1,N($V32)/5))</f>
        <v>1</v>
      </c>
      <c r="G32" s="321"/>
      <c r="H32" s="389" t="s">
        <v>1432</v>
      </c>
      <c r="I32" s="319" t="str" cm="1">
        <f t="array" ref="I32">IF($A32="","",IF(INDEX(Symbols!$C$4:$C$43,ROW()-4)="ETF","Fund / ETF module",IF(OR($C32="Banking",$C32="Financial Services"),"Bank module",IF($C32="Insurance","Insurer module",IF($C32="Investment","Investment company module","Industrial / general module")))))</f>
        <v>Bank module</v>
      </c>
      <c r="J32" s="319" t="str">
        <f ca="1">IF($A32="","",IF(NOT(ISNUMBER($E32)),"Missing fundamental data",IF(OR($E32&lt;0,$E32&gt;100),"INVALID — score must be 0–100",IF(AND(ISNUMBER($AE32),$AE32&gt;Settings!$C$104),"STALE — statement older than "&amp;Settings!$C$104&amp;" months",IF($D32="","Scored — financial period missing","Scored")))))</f>
        <v>STALE — statement older than 18 months</v>
      </c>
      <c r="K32" s="316"/>
      <c r="L32" s="392">
        <f>IF($A32="","",IF(OR(NOT(ISNUMBER($X32)),NOT(ISNUMBER($Y32)),N($Y32)=0),"",$X32/$Y32-1))</f>
        <v>0.25492354768395176</v>
      </c>
      <c r="M32" s="392">
        <f>IF($A32="","",IF(OR(NOT(ISNUMBER($Z32)),NOT(ISNUMBER($AA32)),N($AA32)=0),"",$Z32/$AA32-1))</f>
        <v>0.34038188171942019</v>
      </c>
      <c r="N32" s="392">
        <f>IF($A32="","",IF(OR(NOT(ISNUMBER($Z32)),NOT(ISNUMBER($X32)),N($X32)=0),"",$Z32/$X32))</f>
        <v>7.1820673485049696E-2</v>
      </c>
      <c r="O32" s="392">
        <f>IF($A32="","",IF(OR(NOT(ISNUMBER($Z32)),NOT(ISNUMBER($AB32)),N($AB32)&lt;=0),"",$Z32*IF(ISNUMBER($AF32),$AF32,Settings!$C$103)/$AB32))</f>
        <v>4.6422546121369243E-2</v>
      </c>
      <c r="P32" s="393">
        <f>IF($A32="","",IF(OR(NOT(ISNUMBER($AC32)),NOT(ISNUMBER($AB32)),N($AB32)&lt;=0),"",$AC32/$AB32))</f>
        <v>0.77912900812206642</v>
      </c>
      <c r="Q32" s="340">
        <f>IF($A32="","",IF(NOT(ISNUMBER($L32)),"",MEDIAN(0,100,100*($L32-Settings!$C$92)/(Settings!$C$93-Settings!$C$92))))</f>
        <v>100</v>
      </c>
      <c r="R32" s="340">
        <f>IF($A32="","",IF(NOT(ISNUMBER($M32)),"",MEDIAN(0,100,100*($M32-Settings!$C$94)/(Settings!$C$95-Settings!$C$94))))</f>
        <v>90.06364695323667</v>
      </c>
      <c r="S32" s="340">
        <f>IF($A32="","",IF(NOT(ISNUMBER($N32)),"",MEDIAN(0,100,100*($N32-Settings!$C$96)/(Settings!$C$97-Settings!$C$96))))</f>
        <v>28.728269394019879</v>
      </c>
      <c r="T32" s="340">
        <f>IF($A32="","",IF(NOT(ISNUMBER($O32)),"",MEDIAN(0,100,100*($O32-Settings!$C$98)/(Settings!$C$99-Settings!$C$98))))</f>
        <v>18.569018448547698</v>
      </c>
      <c r="U32" s="340">
        <f>IF($A32="","",IF(NOT(ISNUMBER($P32)),"",MEDIAN(0,100,100*(Settings!$C$101-$P32)/(Settings!$C$101-Settings!$C$100))))</f>
        <v>74.02903306259779</v>
      </c>
      <c r="V32" s="343">
        <f>IF($A32="","",COUNT($Q32:$U32))</f>
        <v>5</v>
      </c>
      <c r="W32" s="340">
        <f>IF($A32="","",IF(N($V32)&lt;Settings!$C$102,"",ROUND(AVERAGE($Q32:$U32),1)))</f>
        <v>62.3</v>
      </c>
      <c r="X32" s="394">
        <v>1399954402</v>
      </c>
      <c r="Y32" s="394">
        <v>1115569474</v>
      </c>
      <c r="Z32" s="394">
        <v>100545668</v>
      </c>
      <c r="AA32" s="394">
        <v>75012703</v>
      </c>
      <c r="AB32" s="394">
        <v>8663520328</v>
      </c>
      <c r="AC32" s="394">
        <v>6750000000</v>
      </c>
      <c r="AD32" s="317">
        <v>44286</v>
      </c>
      <c r="AE32" s="87">
        <f ca="1">IF($A32="","",IF(NOT(ISNUMBER($AD32)),"",ROUND((TODAY()-$AD32)/30.44,0)))</f>
        <v>65</v>
      </c>
      <c r="AF32" s="396">
        <v>4</v>
      </c>
      <c r="AG32" s="315" t="s">
        <v>1429</v>
      </c>
    </row>
    <row r="33" spans="1:33" x14ac:dyDescent="0.3">
      <c r="A33" s="318" t="str">
        <f>IF(Symbols!A32="","",Symbols!A32)</f>
        <v>IEACLC-ETF</v>
      </c>
      <c r="B33" s="319" t="str" cm="1">
        <f t="array" ref="B33">IF($A33="","",INDEX(Symbols!$B$4:$B$43,ROW()-4))</f>
        <v>IEACLC ETF</v>
      </c>
      <c r="C33" s="319" t="str" cm="1">
        <f t="array" ref="C33">IF($A33="","",INDEX(Symbols!$D$4:$D$43,ROW()-4))</f>
        <v>Exchange Traded Fund</v>
      </c>
      <c r="D33" s="320"/>
      <c r="E33" s="378" t="str">
        <f>IF($A33="","",IF(ISNUMBER($K33),$K33,IF($W33="","",$W33)))</f>
        <v/>
      </c>
      <c r="F33" s="380">
        <f>IF($A33="","",IF(ISNUMBER($K33),1,N($V33)/5))</f>
        <v>0</v>
      </c>
      <c r="G33" s="321"/>
      <c r="H33" s="389"/>
      <c r="I33" s="319" t="str" cm="1">
        <f t="array" ref="I33">IF($A33="","",IF(INDEX(Symbols!$C$4:$C$43,ROW()-4)="ETF","Fund / ETF module",IF(OR($C33="Banking",$C33="Financial Services"),"Bank module",IF($C33="Insurance","Insurer module",IF($C33="Investment","Investment company module","Industrial / general module")))))</f>
        <v>Fund / ETF module</v>
      </c>
      <c r="J33" s="319" t="str">
        <f>IF($A33="","",IF(NOT(ISNUMBER($E33)),"Missing fundamental data",IF(OR($E33&lt;0,$E33&gt;100),"INVALID — score must be 0–100",IF(AND(ISNUMBER($AE33),$AE33&gt;Settings!$C$104),"STALE — statement older than "&amp;Settings!$C$104&amp;" months",IF($D33="","Scored — financial period missing","Scored")))))</f>
        <v>Missing fundamental data</v>
      </c>
      <c r="K33" s="316"/>
      <c r="L33" s="392" t="str">
        <f>IF($A33="","",IF(OR(NOT(ISNUMBER($X33)),NOT(ISNUMBER($Y33)),N($Y33)=0),"",$X33/$Y33-1))</f>
        <v/>
      </c>
      <c r="M33" s="392" t="str">
        <f>IF($A33="","",IF(OR(NOT(ISNUMBER($Z33)),NOT(ISNUMBER($AA33)),N($AA33)=0),"",$Z33/$AA33-1))</f>
        <v/>
      </c>
      <c r="N33" s="392" t="str">
        <f>IF($A33="","",IF(OR(NOT(ISNUMBER($Z33)),NOT(ISNUMBER($X33)),N($X33)=0),"",$Z33/$X33))</f>
        <v/>
      </c>
      <c r="O33" s="392" t="str">
        <f>IF($A33="","",IF(OR(NOT(ISNUMBER($Z33)),NOT(ISNUMBER($AB33)),N($AB33)&lt;=0),"",$Z33*IF(ISNUMBER($AF33),$AF33,Settings!$C$103)/$AB33))</f>
        <v/>
      </c>
      <c r="P33" s="393" t="str">
        <f>IF($A33="","",IF(OR(NOT(ISNUMBER($AC33)),NOT(ISNUMBER($AB33)),N($AB33)&lt;=0),"",$AC33/$AB33))</f>
        <v/>
      </c>
      <c r="Q33" s="340" t="str">
        <f>IF($A33="","",IF(NOT(ISNUMBER($L33)),"",MEDIAN(0,100,100*($L33-Settings!$C$92)/(Settings!$C$93-Settings!$C$92))))</f>
        <v/>
      </c>
      <c r="R33" s="340" t="str">
        <f>IF($A33="","",IF(NOT(ISNUMBER($M33)),"",MEDIAN(0,100,100*($M33-Settings!$C$94)/(Settings!$C$95-Settings!$C$94))))</f>
        <v/>
      </c>
      <c r="S33" s="340" t="str">
        <f>IF($A33="","",IF(NOT(ISNUMBER($N33)),"",MEDIAN(0,100,100*($N33-Settings!$C$96)/(Settings!$C$97-Settings!$C$96))))</f>
        <v/>
      </c>
      <c r="T33" s="340" t="str">
        <f>IF($A33="","",IF(NOT(ISNUMBER($O33)),"",MEDIAN(0,100,100*($O33-Settings!$C$98)/(Settings!$C$99-Settings!$C$98))))</f>
        <v/>
      </c>
      <c r="U33" s="340" t="str">
        <f>IF($A33="","",IF(NOT(ISNUMBER($P33)),"",MEDIAN(0,100,100*(Settings!$C$101-$P33)/(Settings!$C$101-Settings!$C$100))))</f>
        <v/>
      </c>
      <c r="V33" s="343">
        <f>IF($A33="","",COUNT($Q33:$U33))</f>
        <v>0</v>
      </c>
      <c r="W33" s="340" t="str">
        <f>IF($A33="","",IF(N($V33)&lt;Settings!$C$102,"",ROUND(AVERAGE($Q33:$U33),1)))</f>
        <v/>
      </c>
      <c r="X33" s="394"/>
      <c r="Y33" s="394"/>
      <c r="Z33" s="394"/>
      <c r="AA33" s="394"/>
      <c r="AB33" s="394"/>
      <c r="AC33" s="394"/>
      <c r="AD33" s="317"/>
      <c r="AE33" s="87" t="str">
        <f ca="1">IF($A33="","",IF(NOT(ISNUMBER($AD33)),"",ROUND((TODAY()-$AD33)/30.44,0)))</f>
        <v/>
      </c>
      <c r="AF33" s="396"/>
      <c r="AG33" s="315"/>
    </row>
    <row r="34" spans="1:33" x14ac:dyDescent="0.3">
      <c r="A34" s="318" t="str">
        <f>IF(Symbols!A33="","",Symbols!A33)</f>
        <v>VERTEX-ETF</v>
      </c>
      <c r="B34" s="319" t="str" cm="1">
        <f t="array" ref="B34">IF($A34="","",INDEX(Symbols!$B$4:$B$43,ROW()-4))</f>
        <v>VERTEX ETF</v>
      </c>
      <c r="C34" s="319" t="str" cm="1">
        <f t="array" ref="C34">IF($A34="","",INDEX(Symbols!$D$4:$D$43,ROW()-4))</f>
        <v>Exchange Traded Fund</v>
      </c>
      <c r="D34" s="320"/>
      <c r="E34" s="378" t="str">
        <f>IF($A34="","",IF(ISNUMBER($K34),$K34,IF($W34="","",$W34)))</f>
        <v/>
      </c>
      <c r="F34" s="380">
        <f>IF($A34="","",IF(ISNUMBER($K34),1,N($V34)/5))</f>
        <v>0</v>
      </c>
      <c r="G34" s="321"/>
      <c r="H34" s="389"/>
      <c r="I34" s="319" t="str" cm="1">
        <f t="array" ref="I34">IF($A34="","",IF(INDEX(Symbols!$C$4:$C$43,ROW()-4)="ETF","Fund / ETF module",IF(OR($C34="Banking",$C34="Financial Services"),"Bank module",IF($C34="Insurance","Insurer module",IF($C34="Investment","Investment company module","Industrial / general module")))))</f>
        <v>Fund / ETF module</v>
      </c>
      <c r="J34" s="319" t="str">
        <f>IF($A34="","",IF(NOT(ISNUMBER($E34)),"Missing fundamental data",IF(OR($E34&lt;0,$E34&gt;100),"INVALID — score must be 0–100",IF(AND(ISNUMBER($AE34),$AE34&gt;Settings!$C$104),"STALE — statement older than "&amp;Settings!$C$104&amp;" months",IF($D34="","Scored — financial period missing","Scored")))))</f>
        <v>Missing fundamental data</v>
      </c>
      <c r="K34" s="316"/>
      <c r="L34" s="392" t="str">
        <f>IF($A34="","",IF(OR(NOT(ISNUMBER($X34)),NOT(ISNUMBER($Y34)),N($Y34)=0),"",$X34/$Y34-1))</f>
        <v/>
      </c>
      <c r="M34" s="392" t="str">
        <f>IF($A34="","",IF(OR(NOT(ISNUMBER($Z34)),NOT(ISNUMBER($AA34)),N($AA34)=0),"",$Z34/$AA34-1))</f>
        <v/>
      </c>
      <c r="N34" s="392" t="str">
        <f>IF($A34="","",IF(OR(NOT(ISNUMBER($Z34)),NOT(ISNUMBER($X34)),N($X34)=0),"",$Z34/$X34))</f>
        <v/>
      </c>
      <c r="O34" s="392" t="str">
        <f>IF($A34="","",IF(OR(NOT(ISNUMBER($Z34)),NOT(ISNUMBER($AB34)),N($AB34)&lt;=0),"",$Z34*IF(ISNUMBER($AF34),$AF34,Settings!$C$103)/$AB34))</f>
        <v/>
      </c>
      <c r="P34" s="393" t="str">
        <f>IF($A34="","",IF(OR(NOT(ISNUMBER($AC34)),NOT(ISNUMBER($AB34)),N($AB34)&lt;=0),"",$AC34/$AB34))</f>
        <v/>
      </c>
      <c r="Q34" s="340" t="str">
        <f>IF($A34="","",IF(NOT(ISNUMBER($L34)),"",MEDIAN(0,100,100*($L34-Settings!$C$92)/(Settings!$C$93-Settings!$C$92))))</f>
        <v/>
      </c>
      <c r="R34" s="340" t="str">
        <f>IF($A34="","",IF(NOT(ISNUMBER($M34)),"",MEDIAN(0,100,100*($M34-Settings!$C$94)/(Settings!$C$95-Settings!$C$94))))</f>
        <v/>
      </c>
      <c r="S34" s="340" t="str">
        <f>IF($A34="","",IF(NOT(ISNUMBER($N34)),"",MEDIAN(0,100,100*($N34-Settings!$C$96)/(Settings!$C$97-Settings!$C$96))))</f>
        <v/>
      </c>
      <c r="T34" s="340" t="str">
        <f>IF($A34="","",IF(NOT(ISNUMBER($O34)),"",MEDIAN(0,100,100*($O34-Settings!$C$98)/(Settings!$C$99-Settings!$C$98))))</f>
        <v/>
      </c>
      <c r="U34" s="340" t="str">
        <f>IF($A34="","",IF(NOT(ISNUMBER($P34)),"",MEDIAN(0,100,100*(Settings!$C$101-$P34)/(Settings!$C$101-Settings!$C$100))))</f>
        <v/>
      </c>
      <c r="V34" s="343">
        <f>IF($A34="","",COUNT($Q34:$U34))</f>
        <v>0</v>
      </c>
      <c r="W34" s="340" t="str">
        <f>IF($A34="","",IF(N($V34)&lt;Settings!$C$102,"",ROUND(AVERAGE($Q34:$U34),1)))</f>
        <v/>
      </c>
      <c r="X34" s="394"/>
      <c r="Y34" s="394"/>
      <c r="Z34" s="394"/>
      <c r="AA34" s="394"/>
      <c r="AB34" s="394"/>
      <c r="AC34" s="394"/>
      <c r="AD34" s="317"/>
      <c r="AE34" s="87" t="str">
        <f ca="1">IF($A34="","",IF(NOT(ISNUMBER($AD34)),"",ROUND((TODAY()-$AD34)/30.44,0)))</f>
        <v/>
      </c>
      <c r="AF34" s="396"/>
      <c r="AG34" s="315"/>
    </row>
    <row r="35" spans="1:33" x14ac:dyDescent="0.3">
      <c r="A35" s="318" t="str">
        <f>IF(Symbols!A34="","",Symbols!A34)</f>
        <v/>
      </c>
      <c r="B35" s="319" t="str" cm="1">
        <f t="array" ref="B35">IF($A35="","",INDEX(Symbols!$B$4:$B$43,ROW()-4))</f>
        <v/>
      </c>
      <c r="C35" s="319" t="str" cm="1">
        <f t="array" ref="C35">IF($A35="","",INDEX(Symbols!$D$4:$D$43,ROW()-4))</f>
        <v/>
      </c>
      <c r="D35" s="320"/>
      <c r="E35" s="378" t="str">
        <f>IF($A35="","",IF(ISNUMBER($K35),$K35,IF($W35="","",$W35)))</f>
        <v/>
      </c>
      <c r="F35" s="380" t="str">
        <f>IF($A35="","",IF(ISNUMBER($K35),1,N($V35)/5))</f>
        <v/>
      </c>
      <c r="G35" s="321"/>
      <c r="H35" s="389"/>
      <c r="I35" s="319" t="str" cm="1">
        <f t="array" ref="I35">IF($A35="","",IF(INDEX(Symbols!$C$4:$C$43,ROW()-4)="ETF","Fund / ETF module",IF(OR($C35="Banking",$C35="Financial Services"),"Bank module",IF($C35="Insurance","Insurer module",IF($C35="Investment","Investment company module","Industrial / general module")))))</f>
        <v/>
      </c>
      <c r="J35" s="319" t="str">
        <f>IF($A35="","",IF(NOT(ISNUMBER($E35)),"Missing fundamental data",IF(OR($E35&lt;0,$E35&gt;100),"INVALID — score must be 0–100",IF(AND(ISNUMBER($AE35),$AE35&gt;Settings!$C$104),"STALE — statement older than "&amp;Settings!$C$104&amp;" months",IF($D35="","Scored — financial period missing","Scored")))))</f>
        <v/>
      </c>
      <c r="K35" s="316"/>
      <c r="L35" s="392" t="str">
        <f>IF($A35="","",IF(OR(NOT(ISNUMBER($X35)),NOT(ISNUMBER($Y35)),N($Y35)=0),"",$X35/$Y35-1))</f>
        <v/>
      </c>
      <c r="M35" s="392" t="str">
        <f>IF($A35="","",IF(OR(NOT(ISNUMBER($Z35)),NOT(ISNUMBER($AA35)),N($AA35)=0),"",$Z35/$AA35-1))</f>
        <v/>
      </c>
      <c r="N35" s="392" t="str">
        <f>IF($A35="","",IF(OR(NOT(ISNUMBER($Z35)),NOT(ISNUMBER($X35)),N($X35)=0),"",$Z35/$X35))</f>
        <v/>
      </c>
      <c r="O35" s="392" t="str">
        <f>IF($A35="","",IF(OR(NOT(ISNUMBER($Z35)),NOT(ISNUMBER($AB35)),N($AB35)&lt;=0),"",$Z35*IF(ISNUMBER($AF35),$AF35,Settings!$C$103)/$AB35))</f>
        <v/>
      </c>
      <c r="P35" s="393" t="str">
        <f>IF($A35="","",IF(OR(NOT(ISNUMBER($AC35)),NOT(ISNUMBER($AB35)),N($AB35)&lt;=0),"",$AC35/$AB35))</f>
        <v/>
      </c>
      <c r="Q35" s="340" t="str">
        <f>IF($A35="","",IF(NOT(ISNUMBER($L35)),"",MEDIAN(0,100,100*($L35-Settings!$C$92)/(Settings!$C$93-Settings!$C$92))))</f>
        <v/>
      </c>
      <c r="R35" s="340" t="str">
        <f>IF($A35="","",IF(NOT(ISNUMBER($M35)),"",MEDIAN(0,100,100*($M35-Settings!$C$94)/(Settings!$C$95-Settings!$C$94))))</f>
        <v/>
      </c>
      <c r="S35" s="340" t="str">
        <f>IF($A35="","",IF(NOT(ISNUMBER($N35)),"",MEDIAN(0,100,100*($N35-Settings!$C$96)/(Settings!$C$97-Settings!$C$96))))</f>
        <v/>
      </c>
      <c r="T35" s="340" t="str">
        <f>IF($A35="","",IF(NOT(ISNUMBER($O35)),"",MEDIAN(0,100,100*($O35-Settings!$C$98)/(Settings!$C$99-Settings!$C$98))))</f>
        <v/>
      </c>
      <c r="U35" s="340" t="str">
        <f>IF($A35="","",IF(NOT(ISNUMBER($P35)),"",MEDIAN(0,100,100*(Settings!$C$101-$P35)/(Settings!$C$101-Settings!$C$100))))</f>
        <v/>
      </c>
      <c r="V35" s="343" t="str">
        <f>IF($A35="","",COUNT($Q35:$U35))</f>
        <v/>
      </c>
      <c r="W35" s="340" t="str">
        <f>IF($A35="","",IF(N($V35)&lt;Settings!$C$102,"",ROUND(AVERAGE($Q35:$U35),1)))</f>
        <v/>
      </c>
      <c r="X35" s="394"/>
      <c r="Y35" s="394"/>
      <c r="Z35" s="394"/>
      <c r="AA35" s="394"/>
      <c r="AB35" s="394"/>
      <c r="AC35" s="394"/>
      <c r="AD35" s="317"/>
      <c r="AE35" s="87" t="str">
        <f ca="1">IF($A35="","",IF(NOT(ISNUMBER($AD35)),"",ROUND((TODAY()-$AD35)/30.44,0)))</f>
        <v/>
      </c>
      <c r="AF35" s="396"/>
      <c r="AG35" s="315"/>
    </row>
    <row r="36" spans="1:33" x14ac:dyDescent="0.3">
      <c r="A36" s="318" t="str">
        <f>IF(Symbols!A35="","",Symbols!A35)</f>
        <v/>
      </c>
      <c r="B36" s="319" t="str" cm="1">
        <f t="array" ref="B36">IF($A36="","",INDEX(Symbols!$B$4:$B$43,ROW()-4))</f>
        <v/>
      </c>
      <c r="C36" s="319" t="str" cm="1">
        <f t="array" ref="C36">IF($A36="","",INDEX(Symbols!$D$4:$D$43,ROW()-4))</f>
        <v/>
      </c>
      <c r="D36" s="320"/>
      <c r="E36" s="378" t="str">
        <f>IF($A36="","",IF(ISNUMBER($K36),$K36,IF($W36="","",$W36)))</f>
        <v/>
      </c>
      <c r="F36" s="380" t="str">
        <f>IF($A36="","",IF(ISNUMBER($K36),1,N($V36)/5))</f>
        <v/>
      </c>
      <c r="G36" s="321"/>
      <c r="H36" s="389"/>
      <c r="I36" s="319" t="str" cm="1">
        <f t="array" ref="I36">IF($A36="","",IF(INDEX(Symbols!$C$4:$C$43,ROW()-4)="ETF","Fund / ETF module",IF(OR($C36="Banking",$C36="Financial Services"),"Bank module",IF($C36="Insurance","Insurer module",IF($C36="Investment","Investment company module","Industrial / general module")))))</f>
        <v/>
      </c>
      <c r="J36" s="319" t="str">
        <f>IF($A36="","",IF(NOT(ISNUMBER($E36)),"Missing fundamental data",IF(OR($E36&lt;0,$E36&gt;100),"INVALID — score must be 0–100",IF(AND(ISNUMBER($AE36),$AE36&gt;Settings!$C$104),"STALE — statement older than "&amp;Settings!$C$104&amp;" months",IF($D36="","Scored — financial period missing","Scored")))))</f>
        <v/>
      </c>
      <c r="K36" s="316"/>
      <c r="L36" s="392" t="str">
        <f>IF($A36="","",IF(OR(NOT(ISNUMBER($X36)),NOT(ISNUMBER($Y36)),N($Y36)=0),"",$X36/$Y36-1))</f>
        <v/>
      </c>
      <c r="M36" s="392" t="str">
        <f>IF($A36="","",IF(OR(NOT(ISNUMBER($Z36)),NOT(ISNUMBER($AA36)),N($AA36)=0),"",$Z36/$AA36-1))</f>
        <v/>
      </c>
      <c r="N36" s="392" t="str">
        <f>IF($A36="","",IF(OR(NOT(ISNUMBER($Z36)),NOT(ISNUMBER($X36)),N($X36)=0),"",$Z36/$X36))</f>
        <v/>
      </c>
      <c r="O36" s="392" t="str">
        <f>IF($A36="","",IF(OR(NOT(ISNUMBER($Z36)),NOT(ISNUMBER($AB36)),N($AB36)&lt;=0),"",$Z36*IF(ISNUMBER($AF36),$AF36,Settings!$C$103)/$AB36))</f>
        <v/>
      </c>
      <c r="P36" s="393" t="str">
        <f>IF($A36="","",IF(OR(NOT(ISNUMBER($AC36)),NOT(ISNUMBER($AB36)),N($AB36)&lt;=0),"",$AC36/$AB36))</f>
        <v/>
      </c>
      <c r="Q36" s="340" t="str">
        <f>IF($A36="","",IF(NOT(ISNUMBER($L36)),"",MEDIAN(0,100,100*($L36-Settings!$C$92)/(Settings!$C$93-Settings!$C$92))))</f>
        <v/>
      </c>
      <c r="R36" s="340" t="str">
        <f>IF($A36="","",IF(NOT(ISNUMBER($M36)),"",MEDIAN(0,100,100*($M36-Settings!$C$94)/(Settings!$C$95-Settings!$C$94))))</f>
        <v/>
      </c>
      <c r="S36" s="340" t="str">
        <f>IF($A36="","",IF(NOT(ISNUMBER($N36)),"",MEDIAN(0,100,100*($N36-Settings!$C$96)/(Settings!$C$97-Settings!$C$96))))</f>
        <v/>
      </c>
      <c r="T36" s="340" t="str">
        <f>IF($A36="","",IF(NOT(ISNUMBER($O36)),"",MEDIAN(0,100,100*($O36-Settings!$C$98)/(Settings!$C$99-Settings!$C$98))))</f>
        <v/>
      </c>
      <c r="U36" s="340" t="str">
        <f>IF($A36="","",IF(NOT(ISNUMBER($P36)),"",MEDIAN(0,100,100*(Settings!$C$101-$P36)/(Settings!$C$101-Settings!$C$100))))</f>
        <v/>
      </c>
      <c r="V36" s="343" t="str">
        <f>IF($A36="","",COUNT($Q36:$U36))</f>
        <v/>
      </c>
      <c r="W36" s="340" t="str">
        <f>IF($A36="","",IF(N($V36)&lt;Settings!$C$102,"",ROUND(AVERAGE($Q36:$U36),1)))</f>
        <v/>
      </c>
      <c r="X36" s="394"/>
      <c r="Y36" s="394"/>
      <c r="Z36" s="394"/>
      <c r="AA36" s="394"/>
      <c r="AB36" s="394"/>
      <c r="AC36" s="394"/>
      <c r="AD36" s="317"/>
      <c r="AE36" s="87" t="str">
        <f ca="1">IF($A36="","",IF(NOT(ISNUMBER($AD36)),"",ROUND((TODAY()-$AD36)/30.44,0)))</f>
        <v/>
      </c>
      <c r="AF36" s="396"/>
      <c r="AG36" s="315"/>
    </row>
    <row r="37" spans="1:33" x14ac:dyDescent="0.3">
      <c r="A37" s="318" t="str">
        <f>IF(Symbols!A36="","",Symbols!A36)</f>
        <v/>
      </c>
      <c r="B37" s="319" t="str" cm="1">
        <f t="array" ref="B37">IF($A37="","",INDEX(Symbols!$B$4:$B$43,ROW()-4))</f>
        <v/>
      </c>
      <c r="C37" s="319" t="str" cm="1">
        <f t="array" ref="C37">IF($A37="","",INDEX(Symbols!$D$4:$D$43,ROW()-4))</f>
        <v/>
      </c>
      <c r="D37" s="320"/>
      <c r="E37" s="378" t="str">
        <f>IF($A37="","",IF(ISNUMBER($K37),$K37,IF($W37="","",$W37)))</f>
        <v/>
      </c>
      <c r="F37" s="380" t="str">
        <f>IF($A37="","",IF(ISNUMBER($K37),1,N($V37)/5))</f>
        <v/>
      </c>
      <c r="G37" s="321"/>
      <c r="H37" s="389"/>
      <c r="I37" s="319" t="str" cm="1">
        <f t="array" ref="I37">IF($A37="","",IF(INDEX(Symbols!$C$4:$C$43,ROW()-4)="ETF","Fund / ETF module",IF(OR($C37="Banking",$C37="Financial Services"),"Bank module",IF($C37="Insurance","Insurer module",IF($C37="Investment","Investment company module","Industrial / general module")))))</f>
        <v/>
      </c>
      <c r="J37" s="319" t="str">
        <f>IF($A37="","",IF(NOT(ISNUMBER($E37)),"Missing fundamental data",IF(OR($E37&lt;0,$E37&gt;100),"INVALID — score must be 0–100",IF(AND(ISNUMBER($AE37),$AE37&gt;Settings!$C$104),"STALE — statement older than "&amp;Settings!$C$104&amp;" months",IF($D37="","Scored — financial period missing","Scored")))))</f>
        <v/>
      </c>
      <c r="K37" s="316"/>
      <c r="L37" s="392" t="str">
        <f>IF($A37="","",IF(OR(NOT(ISNUMBER($X37)),NOT(ISNUMBER($Y37)),N($Y37)=0),"",$X37/$Y37-1))</f>
        <v/>
      </c>
      <c r="M37" s="392" t="str">
        <f>IF($A37="","",IF(OR(NOT(ISNUMBER($Z37)),NOT(ISNUMBER($AA37)),N($AA37)=0),"",$Z37/$AA37-1))</f>
        <v/>
      </c>
      <c r="N37" s="392" t="str">
        <f>IF($A37="","",IF(OR(NOT(ISNUMBER($Z37)),NOT(ISNUMBER($X37)),N($X37)=0),"",$Z37/$X37))</f>
        <v/>
      </c>
      <c r="O37" s="392" t="str">
        <f>IF($A37="","",IF(OR(NOT(ISNUMBER($Z37)),NOT(ISNUMBER($AB37)),N($AB37)&lt;=0),"",$Z37*IF(ISNUMBER($AF37),$AF37,Settings!$C$103)/$AB37))</f>
        <v/>
      </c>
      <c r="P37" s="393" t="str">
        <f>IF($A37="","",IF(OR(NOT(ISNUMBER($AC37)),NOT(ISNUMBER($AB37)),N($AB37)&lt;=0),"",$AC37/$AB37))</f>
        <v/>
      </c>
      <c r="Q37" s="340" t="str">
        <f>IF($A37="","",IF(NOT(ISNUMBER($L37)),"",MEDIAN(0,100,100*($L37-Settings!$C$92)/(Settings!$C$93-Settings!$C$92))))</f>
        <v/>
      </c>
      <c r="R37" s="340" t="str">
        <f>IF($A37="","",IF(NOT(ISNUMBER($M37)),"",MEDIAN(0,100,100*($M37-Settings!$C$94)/(Settings!$C$95-Settings!$C$94))))</f>
        <v/>
      </c>
      <c r="S37" s="340" t="str">
        <f>IF($A37="","",IF(NOT(ISNUMBER($N37)),"",MEDIAN(0,100,100*($N37-Settings!$C$96)/(Settings!$C$97-Settings!$C$96))))</f>
        <v/>
      </c>
      <c r="T37" s="340" t="str">
        <f>IF($A37="","",IF(NOT(ISNUMBER($O37)),"",MEDIAN(0,100,100*($O37-Settings!$C$98)/(Settings!$C$99-Settings!$C$98))))</f>
        <v/>
      </c>
      <c r="U37" s="340" t="str">
        <f>IF($A37="","",IF(NOT(ISNUMBER($P37)),"",MEDIAN(0,100,100*(Settings!$C$101-$P37)/(Settings!$C$101-Settings!$C$100))))</f>
        <v/>
      </c>
      <c r="V37" s="343" t="str">
        <f>IF($A37="","",COUNT($Q37:$U37))</f>
        <v/>
      </c>
      <c r="W37" s="340" t="str">
        <f>IF($A37="","",IF(N($V37)&lt;Settings!$C$102,"",ROUND(AVERAGE($Q37:$U37),1)))</f>
        <v/>
      </c>
      <c r="X37" s="394"/>
      <c r="Y37" s="394"/>
      <c r="Z37" s="394"/>
      <c r="AA37" s="394"/>
      <c r="AB37" s="394"/>
      <c r="AC37" s="394"/>
      <c r="AD37" s="317"/>
      <c r="AE37" s="87" t="str">
        <f ca="1">IF($A37="","",IF(NOT(ISNUMBER($AD37)),"",ROUND((TODAY()-$AD37)/30.44,0)))</f>
        <v/>
      </c>
      <c r="AF37" s="396"/>
      <c r="AG37" s="315"/>
    </row>
    <row r="38" spans="1:33" x14ac:dyDescent="0.3">
      <c r="A38" s="318" t="str">
        <f>IF(Symbols!A37="","",Symbols!A37)</f>
        <v/>
      </c>
      <c r="B38" s="319" t="str" cm="1">
        <f t="array" ref="B38">IF($A38="","",INDEX(Symbols!$B$4:$B$43,ROW()-4))</f>
        <v/>
      </c>
      <c r="C38" s="319" t="str" cm="1">
        <f t="array" ref="C38">IF($A38="","",INDEX(Symbols!$D$4:$D$43,ROW()-4))</f>
        <v/>
      </c>
      <c r="D38" s="320"/>
      <c r="E38" s="378" t="str">
        <f>IF($A38="","",IF(ISNUMBER($K38),$K38,IF($W38="","",$W38)))</f>
        <v/>
      </c>
      <c r="F38" s="380" t="str">
        <f>IF($A38="","",IF(ISNUMBER($K38),1,N($V38)/5))</f>
        <v/>
      </c>
      <c r="G38" s="321"/>
      <c r="H38" s="389"/>
      <c r="I38" s="319" t="str" cm="1">
        <f t="array" ref="I38">IF($A38="","",IF(INDEX(Symbols!$C$4:$C$43,ROW()-4)="ETF","Fund / ETF module",IF(OR($C38="Banking",$C38="Financial Services"),"Bank module",IF($C38="Insurance","Insurer module",IF($C38="Investment","Investment company module","Industrial / general module")))))</f>
        <v/>
      </c>
      <c r="J38" s="319" t="str">
        <f>IF($A38="","",IF(NOT(ISNUMBER($E38)),"Missing fundamental data",IF(OR($E38&lt;0,$E38&gt;100),"INVALID — score must be 0–100",IF(AND(ISNUMBER($AE38),$AE38&gt;Settings!$C$104),"STALE — statement older than "&amp;Settings!$C$104&amp;" months",IF($D38="","Scored — financial period missing","Scored")))))</f>
        <v/>
      </c>
      <c r="K38" s="316"/>
      <c r="L38" s="392" t="str">
        <f>IF($A38="","",IF(OR(NOT(ISNUMBER($X38)),NOT(ISNUMBER($Y38)),N($Y38)=0),"",$X38/$Y38-1))</f>
        <v/>
      </c>
      <c r="M38" s="392" t="str">
        <f>IF($A38="","",IF(OR(NOT(ISNUMBER($Z38)),NOT(ISNUMBER($AA38)),N($AA38)=0),"",$Z38/$AA38-1))</f>
        <v/>
      </c>
      <c r="N38" s="392" t="str">
        <f>IF($A38="","",IF(OR(NOT(ISNUMBER($Z38)),NOT(ISNUMBER($X38)),N($X38)=0),"",$Z38/$X38))</f>
        <v/>
      </c>
      <c r="O38" s="392" t="str">
        <f>IF($A38="","",IF(OR(NOT(ISNUMBER($Z38)),NOT(ISNUMBER($AB38)),N($AB38)&lt;=0),"",$Z38*IF(ISNUMBER($AF38),$AF38,Settings!$C$103)/$AB38))</f>
        <v/>
      </c>
      <c r="P38" s="393" t="str">
        <f>IF($A38="","",IF(OR(NOT(ISNUMBER($AC38)),NOT(ISNUMBER($AB38)),N($AB38)&lt;=0),"",$AC38/$AB38))</f>
        <v/>
      </c>
      <c r="Q38" s="340" t="str">
        <f>IF($A38="","",IF(NOT(ISNUMBER($L38)),"",MEDIAN(0,100,100*($L38-Settings!$C$92)/(Settings!$C$93-Settings!$C$92))))</f>
        <v/>
      </c>
      <c r="R38" s="340" t="str">
        <f>IF($A38="","",IF(NOT(ISNUMBER($M38)),"",MEDIAN(0,100,100*($M38-Settings!$C$94)/(Settings!$C$95-Settings!$C$94))))</f>
        <v/>
      </c>
      <c r="S38" s="340" t="str">
        <f>IF($A38="","",IF(NOT(ISNUMBER($N38)),"",MEDIAN(0,100,100*($N38-Settings!$C$96)/(Settings!$C$97-Settings!$C$96))))</f>
        <v/>
      </c>
      <c r="T38" s="340" t="str">
        <f>IF($A38="","",IF(NOT(ISNUMBER($O38)),"",MEDIAN(0,100,100*($O38-Settings!$C$98)/(Settings!$C$99-Settings!$C$98))))</f>
        <v/>
      </c>
      <c r="U38" s="340" t="str">
        <f>IF($A38="","",IF(NOT(ISNUMBER($P38)),"",MEDIAN(0,100,100*(Settings!$C$101-$P38)/(Settings!$C$101-Settings!$C$100))))</f>
        <v/>
      </c>
      <c r="V38" s="343" t="str">
        <f>IF($A38="","",COUNT($Q38:$U38))</f>
        <v/>
      </c>
      <c r="W38" s="340" t="str">
        <f>IF($A38="","",IF(N($V38)&lt;Settings!$C$102,"",ROUND(AVERAGE($Q38:$U38),1)))</f>
        <v/>
      </c>
      <c r="X38" s="394"/>
      <c r="Y38" s="394"/>
      <c r="Z38" s="394"/>
      <c r="AA38" s="394"/>
      <c r="AB38" s="394"/>
      <c r="AC38" s="394"/>
      <c r="AD38" s="317"/>
      <c r="AE38" s="87" t="str">
        <f ca="1">IF($A38="","",IF(NOT(ISNUMBER($AD38)),"",ROUND((TODAY()-$AD38)/30.44,0)))</f>
        <v/>
      </c>
      <c r="AF38" s="396"/>
      <c r="AG38" s="315"/>
    </row>
    <row r="39" spans="1:33" x14ac:dyDescent="0.3">
      <c r="A39" s="318" t="str">
        <f>IF(Symbols!A38="","",Symbols!A38)</f>
        <v/>
      </c>
      <c r="B39" s="319" t="str" cm="1">
        <f t="array" ref="B39">IF($A39="","",INDEX(Symbols!$B$4:$B$43,ROW()-4))</f>
        <v/>
      </c>
      <c r="C39" s="319" t="str" cm="1">
        <f t="array" ref="C39">IF($A39="","",INDEX(Symbols!$D$4:$D$43,ROW()-4))</f>
        <v/>
      </c>
      <c r="D39" s="320"/>
      <c r="E39" s="378" t="str">
        <f>IF($A39="","",IF(ISNUMBER($K39),$K39,IF($W39="","",$W39)))</f>
        <v/>
      </c>
      <c r="F39" s="380" t="str">
        <f>IF($A39="","",IF(ISNUMBER($K39),1,N($V39)/5))</f>
        <v/>
      </c>
      <c r="G39" s="321"/>
      <c r="H39" s="389"/>
      <c r="I39" s="319" t="str" cm="1">
        <f t="array" ref="I39">IF($A39="","",IF(INDEX(Symbols!$C$4:$C$43,ROW()-4)="ETF","Fund / ETF module",IF(OR($C39="Banking",$C39="Financial Services"),"Bank module",IF($C39="Insurance","Insurer module",IF($C39="Investment","Investment company module","Industrial / general module")))))</f>
        <v/>
      </c>
      <c r="J39" s="319" t="str">
        <f>IF($A39="","",IF(NOT(ISNUMBER($E39)),"Missing fundamental data",IF(OR($E39&lt;0,$E39&gt;100),"INVALID — score must be 0–100",IF(AND(ISNUMBER($AE39),$AE39&gt;Settings!$C$104),"STALE — statement older than "&amp;Settings!$C$104&amp;" months",IF($D39="","Scored — financial period missing","Scored")))))</f>
        <v/>
      </c>
      <c r="K39" s="316"/>
      <c r="L39" s="392" t="str">
        <f>IF($A39="","",IF(OR(NOT(ISNUMBER($X39)),NOT(ISNUMBER($Y39)),N($Y39)=0),"",$X39/$Y39-1))</f>
        <v/>
      </c>
      <c r="M39" s="392" t="str">
        <f>IF($A39="","",IF(OR(NOT(ISNUMBER($Z39)),NOT(ISNUMBER($AA39)),N($AA39)=0),"",$Z39/$AA39-1))</f>
        <v/>
      </c>
      <c r="N39" s="392" t="str">
        <f>IF($A39="","",IF(OR(NOT(ISNUMBER($Z39)),NOT(ISNUMBER($X39)),N($X39)=0),"",$Z39/$X39))</f>
        <v/>
      </c>
      <c r="O39" s="392" t="str">
        <f>IF($A39="","",IF(OR(NOT(ISNUMBER($Z39)),NOT(ISNUMBER($AB39)),N($AB39)&lt;=0),"",$Z39*IF(ISNUMBER($AF39),$AF39,Settings!$C$103)/$AB39))</f>
        <v/>
      </c>
      <c r="P39" s="393" t="str">
        <f>IF($A39="","",IF(OR(NOT(ISNUMBER($AC39)),NOT(ISNUMBER($AB39)),N($AB39)&lt;=0),"",$AC39/$AB39))</f>
        <v/>
      </c>
      <c r="Q39" s="340" t="str">
        <f>IF($A39="","",IF(NOT(ISNUMBER($L39)),"",MEDIAN(0,100,100*($L39-Settings!$C$92)/(Settings!$C$93-Settings!$C$92))))</f>
        <v/>
      </c>
      <c r="R39" s="340" t="str">
        <f>IF($A39="","",IF(NOT(ISNUMBER($M39)),"",MEDIAN(0,100,100*($M39-Settings!$C$94)/(Settings!$C$95-Settings!$C$94))))</f>
        <v/>
      </c>
      <c r="S39" s="340" t="str">
        <f>IF($A39="","",IF(NOT(ISNUMBER($N39)),"",MEDIAN(0,100,100*($N39-Settings!$C$96)/(Settings!$C$97-Settings!$C$96))))</f>
        <v/>
      </c>
      <c r="T39" s="340" t="str">
        <f>IF($A39="","",IF(NOT(ISNUMBER($O39)),"",MEDIAN(0,100,100*($O39-Settings!$C$98)/(Settings!$C$99-Settings!$C$98))))</f>
        <v/>
      </c>
      <c r="U39" s="340" t="str">
        <f>IF($A39="","",IF(NOT(ISNUMBER($P39)),"",MEDIAN(0,100,100*(Settings!$C$101-$P39)/(Settings!$C$101-Settings!$C$100))))</f>
        <v/>
      </c>
      <c r="V39" s="343" t="str">
        <f>IF($A39="","",COUNT($Q39:$U39))</f>
        <v/>
      </c>
      <c r="W39" s="340" t="str">
        <f>IF($A39="","",IF(N($V39)&lt;Settings!$C$102,"",ROUND(AVERAGE($Q39:$U39),1)))</f>
        <v/>
      </c>
      <c r="X39" s="394"/>
      <c r="Y39" s="394"/>
      <c r="Z39" s="394"/>
      <c r="AA39" s="394"/>
      <c r="AB39" s="394"/>
      <c r="AC39" s="394"/>
      <c r="AD39" s="317"/>
      <c r="AE39" s="87" t="str">
        <f ca="1">IF($A39="","",IF(NOT(ISNUMBER($AD39)),"",ROUND((TODAY()-$AD39)/30.44,0)))</f>
        <v/>
      </c>
      <c r="AF39" s="396"/>
      <c r="AG39" s="315"/>
    </row>
    <row r="40" spans="1:33" x14ac:dyDescent="0.3">
      <c r="A40" s="318" t="str">
        <f>IF(Symbols!A39="","",Symbols!A39)</f>
        <v/>
      </c>
      <c r="B40" s="319" t="str" cm="1">
        <f t="array" ref="B40">IF($A40="","",INDEX(Symbols!$B$4:$B$43,ROW()-4))</f>
        <v/>
      </c>
      <c r="C40" s="319" t="str" cm="1">
        <f t="array" ref="C40">IF($A40="","",INDEX(Symbols!$D$4:$D$43,ROW()-4))</f>
        <v/>
      </c>
      <c r="D40" s="320"/>
      <c r="E40" s="378" t="str">
        <f>IF($A40="","",IF(ISNUMBER($K40),$K40,IF($W40="","",$W40)))</f>
        <v/>
      </c>
      <c r="F40" s="380" t="str">
        <f>IF($A40="","",IF(ISNUMBER($K40),1,N($V40)/5))</f>
        <v/>
      </c>
      <c r="G40" s="321"/>
      <c r="H40" s="389"/>
      <c r="I40" s="319" t="str" cm="1">
        <f t="array" ref="I40">IF($A40="","",IF(INDEX(Symbols!$C$4:$C$43,ROW()-4)="ETF","Fund / ETF module",IF(OR($C40="Banking",$C40="Financial Services"),"Bank module",IF($C40="Insurance","Insurer module",IF($C40="Investment","Investment company module","Industrial / general module")))))</f>
        <v/>
      </c>
      <c r="J40" s="319" t="str">
        <f>IF($A40="","",IF(NOT(ISNUMBER($E40)),"Missing fundamental data",IF(OR($E40&lt;0,$E40&gt;100),"INVALID — score must be 0–100",IF(AND(ISNUMBER($AE40),$AE40&gt;Settings!$C$104),"STALE — statement older than "&amp;Settings!$C$104&amp;" months",IF($D40="","Scored — financial period missing","Scored")))))</f>
        <v/>
      </c>
      <c r="K40" s="316"/>
      <c r="L40" s="392" t="str">
        <f>IF($A40="","",IF(OR(NOT(ISNUMBER($X40)),NOT(ISNUMBER($Y40)),N($Y40)=0),"",$X40/$Y40-1))</f>
        <v/>
      </c>
      <c r="M40" s="392" t="str">
        <f>IF($A40="","",IF(OR(NOT(ISNUMBER($Z40)),NOT(ISNUMBER($AA40)),N($AA40)=0),"",$Z40/$AA40-1))</f>
        <v/>
      </c>
      <c r="N40" s="392" t="str">
        <f>IF($A40="","",IF(OR(NOT(ISNUMBER($Z40)),NOT(ISNUMBER($X40)),N($X40)=0),"",$Z40/$X40))</f>
        <v/>
      </c>
      <c r="O40" s="392" t="str">
        <f>IF($A40="","",IF(OR(NOT(ISNUMBER($Z40)),NOT(ISNUMBER($AB40)),N($AB40)&lt;=0),"",$Z40*IF(ISNUMBER($AF40),$AF40,Settings!$C$103)/$AB40))</f>
        <v/>
      </c>
      <c r="P40" s="393" t="str">
        <f>IF($A40="","",IF(OR(NOT(ISNUMBER($AC40)),NOT(ISNUMBER($AB40)),N($AB40)&lt;=0),"",$AC40/$AB40))</f>
        <v/>
      </c>
      <c r="Q40" s="340" t="str">
        <f>IF($A40="","",IF(NOT(ISNUMBER($L40)),"",MEDIAN(0,100,100*($L40-Settings!$C$92)/(Settings!$C$93-Settings!$C$92))))</f>
        <v/>
      </c>
      <c r="R40" s="340" t="str">
        <f>IF($A40="","",IF(NOT(ISNUMBER($M40)),"",MEDIAN(0,100,100*($M40-Settings!$C$94)/(Settings!$C$95-Settings!$C$94))))</f>
        <v/>
      </c>
      <c r="S40" s="340" t="str">
        <f>IF($A40="","",IF(NOT(ISNUMBER($N40)),"",MEDIAN(0,100,100*($N40-Settings!$C$96)/(Settings!$C$97-Settings!$C$96))))</f>
        <v/>
      </c>
      <c r="T40" s="340" t="str">
        <f>IF($A40="","",IF(NOT(ISNUMBER($O40)),"",MEDIAN(0,100,100*($O40-Settings!$C$98)/(Settings!$C$99-Settings!$C$98))))</f>
        <v/>
      </c>
      <c r="U40" s="340" t="str">
        <f>IF($A40="","",IF(NOT(ISNUMBER($P40)),"",MEDIAN(0,100,100*(Settings!$C$101-$P40)/(Settings!$C$101-Settings!$C$100))))</f>
        <v/>
      </c>
      <c r="V40" s="343" t="str">
        <f>IF($A40="","",COUNT($Q40:$U40))</f>
        <v/>
      </c>
      <c r="W40" s="340" t="str">
        <f>IF($A40="","",IF(N($V40)&lt;Settings!$C$102,"",ROUND(AVERAGE($Q40:$U40),1)))</f>
        <v/>
      </c>
      <c r="X40" s="394"/>
      <c r="Y40" s="394"/>
      <c r="Z40" s="394"/>
      <c r="AA40" s="394"/>
      <c r="AB40" s="394"/>
      <c r="AC40" s="394"/>
      <c r="AD40" s="317"/>
      <c r="AE40" s="87" t="str">
        <f ca="1">IF($A40="","",IF(NOT(ISNUMBER($AD40)),"",ROUND((TODAY()-$AD40)/30.44,0)))</f>
        <v/>
      </c>
      <c r="AF40" s="396"/>
      <c r="AG40" s="315"/>
    </row>
    <row r="41" spans="1:33" x14ac:dyDescent="0.3">
      <c r="A41" s="318" t="str">
        <f>IF(Symbols!A40="","",Symbols!A40)</f>
        <v/>
      </c>
      <c r="B41" s="319" t="str" cm="1">
        <f t="array" ref="B41">IF($A41="","",INDEX(Symbols!$B$4:$B$43,ROW()-4))</f>
        <v/>
      </c>
      <c r="C41" s="319" t="str" cm="1">
        <f t="array" ref="C41">IF($A41="","",INDEX(Symbols!$D$4:$D$43,ROW()-4))</f>
        <v/>
      </c>
      <c r="D41" s="320"/>
      <c r="E41" s="378" t="str">
        <f>IF($A41="","",IF(ISNUMBER($K41),$K41,IF($W41="","",$W41)))</f>
        <v/>
      </c>
      <c r="F41" s="380" t="str">
        <f>IF($A41="","",IF(ISNUMBER($K41),1,N($V41)/5))</f>
        <v/>
      </c>
      <c r="G41" s="321"/>
      <c r="H41" s="389"/>
      <c r="I41" s="319" t="str" cm="1">
        <f t="array" ref="I41">IF($A41="","",IF(INDEX(Symbols!$C$4:$C$43,ROW()-4)="ETF","Fund / ETF module",IF(OR($C41="Banking",$C41="Financial Services"),"Bank module",IF($C41="Insurance","Insurer module",IF($C41="Investment","Investment company module","Industrial / general module")))))</f>
        <v/>
      </c>
      <c r="J41" s="319" t="str">
        <f>IF($A41="","",IF(NOT(ISNUMBER($E41)),"Missing fundamental data",IF(OR($E41&lt;0,$E41&gt;100),"INVALID — score must be 0–100",IF(AND(ISNUMBER($AE41),$AE41&gt;Settings!$C$104),"STALE — statement older than "&amp;Settings!$C$104&amp;" months",IF($D41="","Scored — financial period missing","Scored")))))</f>
        <v/>
      </c>
      <c r="K41" s="316"/>
      <c r="L41" s="392" t="str">
        <f>IF($A41="","",IF(OR(NOT(ISNUMBER($X41)),NOT(ISNUMBER($Y41)),N($Y41)=0),"",$X41/$Y41-1))</f>
        <v/>
      </c>
      <c r="M41" s="392" t="str">
        <f>IF($A41="","",IF(OR(NOT(ISNUMBER($Z41)),NOT(ISNUMBER($AA41)),N($AA41)=0),"",$Z41/$AA41-1))</f>
        <v/>
      </c>
      <c r="N41" s="392" t="str">
        <f>IF($A41="","",IF(OR(NOT(ISNUMBER($Z41)),NOT(ISNUMBER($X41)),N($X41)=0),"",$Z41/$X41))</f>
        <v/>
      </c>
      <c r="O41" s="392" t="str">
        <f>IF($A41="","",IF(OR(NOT(ISNUMBER($Z41)),NOT(ISNUMBER($AB41)),N($AB41)&lt;=0),"",$Z41*IF(ISNUMBER($AF41),$AF41,Settings!$C$103)/$AB41))</f>
        <v/>
      </c>
      <c r="P41" s="393" t="str">
        <f>IF($A41="","",IF(OR(NOT(ISNUMBER($AC41)),NOT(ISNUMBER($AB41)),N($AB41)&lt;=0),"",$AC41/$AB41))</f>
        <v/>
      </c>
      <c r="Q41" s="340" t="str">
        <f>IF($A41="","",IF(NOT(ISNUMBER($L41)),"",MEDIAN(0,100,100*($L41-Settings!$C$92)/(Settings!$C$93-Settings!$C$92))))</f>
        <v/>
      </c>
      <c r="R41" s="340" t="str">
        <f>IF($A41="","",IF(NOT(ISNUMBER($M41)),"",MEDIAN(0,100,100*($M41-Settings!$C$94)/(Settings!$C$95-Settings!$C$94))))</f>
        <v/>
      </c>
      <c r="S41" s="340" t="str">
        <f>IF($A41="","",IF(NOT(ISNUMBER($N41)),"",MEDIAN(0,100,100*($N41-Settings!$C$96)/(Settings!$C$97-Settings!$C$96))))</f>
        <v/>
      </c>
      <c r="T41" s="340" t="str">
        <f>IF($A41="","",IF(NOT(ISNUMBER($O41)),"",MEDIAN(0,100,100*($O41-Settings!$C$98)/(Settings!$C$99-Settings!$C$98))))</f>
        <v/>
      </c>
      <c r="U41" s="340" t="str">
        <f>IF($A41="","",IF(NOT(ISNUMBER($P41)),"",MEDIAN(0,100,100*(Settings!$C$101-$P41)/(Settings!$C$101-Settings!$C$100))))</f>
        <v/>
      </c>
      <c r="V41" s="343" t="str">
        <f>IF($A41="","",COUNT($Q41:$U41))</f>
        <v/>
      </c>
      <c r="W41" s="340" t="str">
        <f>IF($A41="","",IF(N($V41)&lt;Settings!$C$102,"",ROUND(AVERAGE($Q41:$U41),1)))</f>
        <v/>
      </c>
      <c r="X41" s="394"/>
      <c r="Y41" s="394"/>
      <c r="Z41" s="394"/>
      <c r="AA41" s="394"/>
      <c r="AB41" s="394"/>
      <c r="AC41" s="394"/>
      <c r="AD41" s="317"/>
      <c r="AE41" s="87" t="str">
        <f ca="1">IF($A41="","",IF(NOT(ISNUMBER($AD41)),"",ROUND((TODAY()-$AD41)/30.44,0)))</f>
        <v/>
      </c>
      <c r="AF41" s="396"/>
      <c r="AG41" s="315"/>
    </row>
    <row r="42" spans="1:33" x14ac:dyDescent="0.3">
      <c r="A42" s="318" t="str">
        <f>IF(Symbols!A41="","",Symbols!A41)</f>
        <v/>
      </c>
      <c r="B42" s="319" t="str" cm="1">
        <f t="array" ref="B42">IF($A42="","",INDEX(Symbols!$B$4:$B$43,ROW()-4))</f>
        <v/>
      </c>
      <c r="C42" s="319" t="str" cm="1">
        <f t="array" ref="C42">IF($A42="","",INDEX(Symbols!$D$4:$D$43,ROW()-4))</f>
        <v/>
      </c>
      <c r="D42" s="320"/>
      <c r="E42" s="378" t="str">
        <f>IF($A42="","",IF(ISNUMBER($K42),$K42,IF($W42="","",$W42)))</f>
        <v/>
      </c>
      <c r="F42" s="380" t="str">
        <f>IF($A42="","",IF(ISNUMBER($K42),1,N($V42)/5))</f>
        <v/>
      </c>
      <c r="G42" s="321"/>
      <c r="H42" s="389"/>
      <c r="I42" s="319" t="str" cm="1">
        <f t="array" ref="I42">IF($A42="","",IF(INDEX(Symbols!$C$4:$C$43,ROW()-4)="ETF","Fund / ETF module",IF(OR($C42="Banking",$C42="Financial Services"),"Bank module",IF($C42="Insurance","Insurer module",IF($C42="Investment","Investment company module","Industrial / general module")))))</f>
        <v/>
      </c>
      <c r="J42" s="319" t="str">
        <f>IF($A42="","",IF(NOT(ISNUMBER($E42)),"Missing fundamental data",IF(OR($E42&lt;0,$E42&gt;100),"INVALID — score must be 0–100",IF(AND(ISNUMBER($AE42),$AE42&gt;Settings!$C$104),"STALE — statement older than "&amp;Settings!$C$104&amp;" months",IF($D42="","Scored — financial period missing","Scored")))))</f>
        <v/>
      </c>
      <c r="K42" s="316"/>
      <c r="L42" s="392" t="str">
        <f>IF($A42="","",IF(OR(NOT(ISNUMBER($X42)),NOT(ISNUMBER($Y42)),N($Y42)=0),"",$X42/$Y42-1))</f>
        <v/>
      </c>
      <c r="M42" s="392" t="str">
        <f>IF($A42="","",IF(OR(NOT(ISNUMBER($Z42)),NOT(ISNUMBER($AA42)),N($AA42)=0),"",$Z42/$AA42-1))</f>
        <v/>
      </c>
      <c r="N42" s="392" t="str">
        <f>IF($A42="","",IF(OR(NOT(ISNUMBER($Z42)),NOT(ISNUMBER($X42)),N($X42)=0),"",$Z42/$X42))</f>
        <v/>
      </c>
      <c r="O42" s="392" t="str">
        <f>IF($A42="","",IF(OR(NOT(ISNUMBER($Z42)),NOT(ISNUMBER($AB42)),N($AB42)&lt;=0),"",$Z42*IF(ISNUMBER($AF42),$AF42,Settings!$C$103)/$AB42))</f>
        <v/>
      </c>
      <c r="P42" s="393" t="str">
        <f>IF($A42="","",IF(OR(NOT(ISNUMBER($AC42)),NOT(ISNUMBER($AB42)),N($AB42)&lt;=0),"",$AC42/$AB42))</f>
        <v/>
      </c>
      <c r="Q42" s="340" t="str">
        <f>IF($A42="","",IF(NOT(ISNUMBER($L42)),"",MEDIAN(0,100,100*($L42-Settings!$C$92)/(Settings!$C$93-Settings!$C$92))))</f>
        <v/>
      </c>
      <c r="R42" s="340" t="str">
        <f>IF($A42="","",IF(NOT(ISNUMBER($M42)),"",MEDIAN(0,100,100*($M42-Settings!$C$94)/(Settings!$C$95-Settings!$C$94))))</f>
        <v/>
      </c>
      <c r="S42" s="340" t="str">
        <f>IF($A42="","",IF(NOT(ISNUMBER($N42)),"",MEDIAN(0,100,100*($N42-Settings!$C$96)/(Settings!$C$97-Settings!$C$96))))</f>
        <v/>
      </c>
      <c r="T42" s="340" t="str">
        <f>IF($A42="","",IF(NOT(ISNUMBER($O42)),"",MEDIAN(0,100,100*($O42-Settings!$C$98)/(Settings!$C$99-Settings!$C$98))))</f>
        <v/>
      </c>
      <c r="U42" s="340" t="str">
        <f>IF($A42="","",IF(NOT(ISNUMBER($P42)),"",MEDIAN(0,100,100*(Settings!$C$101-$P42)/(Settings!$C$101-Settings!$C$100))))</f>
        <v/>
      </c>
      <c r="V42" s="343" t="str">
        <f>IF($A42="","",COUNT($Q42:$U42))</f>
        <v/>
      </c>
      <c r="W42" s="340" t="str">
        <f>IF($A42="","",IF(N($V42)&lt;Settings!$C$102,"",ROUND(AVERAGE($Q42:$U42),1)))</f>
        <v/>
      </c>
      <c r="X42" s="394"/>
      <c r="Y42" s="394"/>
      <c r="Z42" s="394"/>
      <c r="AA42" s="394"/>
      <c r="AB42" s="394"/>
      <c r="AC42" s="394"/>
      <c r="AD42" s="317"/>
      <c r="AE42" s="87" t="str">
        <f ca="1">IF($A42="","",IF(NOT(ISNUMBER($AD42)),"",ROUND((TODAY()-$AD42)/30.44,0)))</f>
        <v/>
      </c>
      <c r="AF42" s="396"/>
      <c r="AG42" s="315"/>
    </row>
    <row r="43" spans="1:33" x14ac:dyDescent="0.3">
      <c r="A43" s="318" t="str">
        <f>IF(Symbols!A42="","",Symbols!A42)</f>
        <v/>
      </c>
      <c r="B43" s="319" t="str" cm="1">
        <f t="array" ref="B43">IF($A43="","",INDEX(Symbols!$B$4:$B$43,ROW()-4))</f>
        <v/>
      </c>
      <c r="C43" s="319" t="str" cm="1">
        <f t="array" ref="C43">IF($A43="","",INDEX(Symbols!$D$4:$D$43,ROW()-4))</f>
        <v/>
      </c>
      <c r="D43" s="320"/>
      <c r="E43" s="378" t="str">
        <f>IF($A43="","",IF(ISNUMBER($K43),$K43,IF($W43="","",$W43)))</f>
        <v/>
      </c>
      <c r="F43" s="380" t="str">
        <f>IF($A43="","",IF(ISNUMBER($K43),1,N($V43)/5))</f>
        <v/>
      </c>
      <c r="G43" s="321"/>
      <c r="H43" s="389"/>
      <c r="I43" s="319" t="str" cm="1">
        <f t="array" ref="I43">IF($A43="","",IF(INDEX(Symbols!$C$4:$C$43,ROW()-4)="ETF","Fund / ETF module",IF(OR($C43="Banking",$C43="Financial Services"),"Bank module",IF($C43="Insurance","Insurer module",IF($C43="Investment","Investment company module","Industrial / general module")))))</f>
        <v/>
      </c>
      <c r="J43" s="319" t="str">
        <f>IF($A43="","",IF(NOT(ISNUMBER($E43)),"Missing fundamental data",IF(OR($E43&lt;0,$E43&gt;100),"INVALID — score must be 0–100",IF(AND(ISNUMBER($AE43),$AE43&gt;Settings!$C$104),"STALE — statement older than "&amp;Settings!$C$104&amp;" months",IF($D43="","Scored — financial period missing","Scored")))))</f>
        <v/>
      </c>
      <c r="K43" s="316"/>
      <c r="L43" s="392" t="str">
        <f>IF($A43="","",IF(OR(NOT(ISNUMBER($X43)),NOT(ISNUMBER($Y43)),N($Y43)=0),"",$X43/$Y43-1))</f>
        <v/>
      </c>
      <c r="M43" s="392" t="str">
        <f>IF($A43="","",IF(OR(NOT(ISNUMBER($Z43)),NOT(ISNUMBER($AA43)),N($AA43)=0),"",$Z43/$AA43-1))</f>
        <v/>
      </c>
      <c r="N43" s="392" t="str">
        <f>IF($A43="","",IF(OR(NOT(ISNUMBER($Z43)),NOT(ISNUMBER($X43)),N($X43)=0),"",$Z43/$X43))</f>
        <v/>
      </c>
      <c r="O43" s="392" t="str">
        <f>IF($A43="","",IF(OR(NOT(ISNUMBER($Z43)),NOT(ISNUMBER($AB43)),N($AB43)&lt;=0),"",$Z43*IF(ISNUMBER($AF43),$AF43,Settings!$C$103)/$AB43))</f>
        <v/>
      </c>
      <c r="P43" s="393" t="str">
        <f>IF($A43="","",IF(OR(NOT(ISNUMBER($AC43)),NOT(ISNUMBER($AB43)),N($AB43)&lt;=0),"",$AC43/$AB43))</f>
        <v/>
      </c>
      <c r="Q43" s="340" t="str">
        <f>IF($A43="","",IF(NOT(ISNUMBER($L43)),"",MEDIAN(0,100,100*($L43-Settings!$C$92)/(Settings!$C$93-Settings!$C$92))))</f>
        <v/>
      </c>
      <c r="R43" s="340" t="str">
        <f>IF($A43="","",IF(NOT(ISNUMBER($M43)),"",MEDIAN(0,100,100*($M43-Settings!$C$94)/(Settings!$C$95-Settings!$C$94))))</f>
        <v/>
      </c>
      <c r="S43" s="340" t="str">
        <f>IF($A43="","",IF(NOT(ISNUMBER($N43)),"",MEDIAN(0,100,100*($N43-Settings!$C$96)/(Settings!$C$97-Settings!$C$96))))</f>
        <v/>
      </c>
      <c r="T43" s="340" t="str">
        <f>IF($A43="","",IF(NOT(ISNUMBER($O43)),"",MEDIAN(0,100,100*($O43-Settings!$C$98)/(Settings!$C$99-Settings!$C$98))))</f>
        <v/>
      </c>
      <c r="U43" s="340" t="str">
        <f>IF($A43="","",IF(NOT(ISNUMBER($P43)),"",MEDIAN(0,100,100*(Settings!$C$101-$P43)/(Settings!$C$101-Settings!$C$100))))</f>
        <v/>
      </c>
      <c r="V43" s="343" t="str">
        <f>IF($A43="","",COUNT($Q43:$U43))</f>
        <v/>
      </c>
      <c r="W43" s="340" t="str">
        <f>IF($A43="","",IF(N($V43)&lt;Settings!$C$102,"",ROUND(AVERAGE($Q43:$U43),1)))</f>
        <v/>
      </c>
      <c r="X43" s="394"/>
      <c r="Y43" s="394"/>
      <c r="Z43" s="394"/>
      <c r="AA43" s="394"/>
      <c r="AB43" s="394"/>
      <c r="AC43" s="394"/>
      <c r="AD43" s="317"/>
      <c r="AE43" s="87" t="str">
        <f ca="1">IF($A43="","",IF(NOT(ISNUMBER($AD43)),"",ROUND((TODAY()-$AD43)/30.44,0)))</f>
        <v/>
      </c>
      <c r="AF43" s="396"/>
      <c r="AG43" s="315"/>
    </row>
    <row r="44" spans="1:33" x14ac:dyDescent="0.3">
      <c r="A44" s="322" t="str">
        <f>IF(Symbols!A43="","",Symbols!A43)</f>
        <v/>
      </c>
      <c r="B44" s="323" t="str" cm="1">
        <f t="array" ref="B44">IF($A44="","",INDEX(Symbols!$B$4:$B$43,ROW()-4))</f>
        <v/>
      </c>
      <c r="C44" s="323" t="str" cm="1">
        <f t="array" ref="C44">IF($A44="","",INDEX(Symbols!$D$4:$D$43,ROW()-4))</f>
        <v/>
      </c>
      <c r="D44" s="324"/>
      <c r="E44" s="379" t="str">
        <f>IF($A44="","",IF(ISNUMBER($K44),$K44,IF($W44="","",$W44)))</f>
        <v/>
      </c>
      <c r="F44" s="381" t="str">
        <f>IF($A44="","",IF(ISNUMBER($K44),1,N($V44)/5))</f>
        <v/>
      </c>
      <c r="G44" s="325"/>
      <c r="H44" s="395"/>
      <c r="I44" s="323" t="str" cm="1">
        <f t="array" ref="I44">IF($A44="","",IF(INDEX(Symbols!$C$4:$C$43,ROW()-4)="ETF","Fund / ETF module",IF(OR($C44="Banking",$C44="Financial Services"),"Bank module",IF($C44="Insurance","Insurer module",IF($C44="Investment","Investment company module","Industrial / general module")))))</f>
        <v/>
      </c>
      <c r="J44" s="323" t="str">
        <f>IF($A44="","",IF(NOT(ISNUMBER($E44)),"Missing fundamental data",IF(OR($E44&lt;0,$E44&gt;100),"INVALID — score must be 0–100",IF(AND(ISNUMBER($AE44),$AE44&gt;Settings!$C$104),"STALE — statement older than "&amp;Settings!$C$104&amp;" months",IF($D44="","Scored — financial period missing","Scored")))))</f>
        <v/>
      </c>
      <c r="K44" s="316"/>
      <c r="L44" s="392" t="str">
        <f>IF($A44="","",IF(OR(NOT(ISNUMBER($X44)),NOT(ISNUMBER($Y44)),N($Y44)=0),"",$X44/$Y44-1))</f>
        <v/>
      </c>
      <c r="M44" s="392" t="str">
        <f>IF($A44="","",IF(OR(NOT(ISNUMBER($Z44)),NOT(ISNUMBER($AA44)),N($AA44)=0),"",$Z44/$AA44-1))</f>
        <v/>
      </c>
      <c r="N44" s="392" t="str">
        <f>IF($A44="","",IF(OR(NOT(ISNUMBER($Z44)),NOT(ISNUMBER($X44)),N($X44)=0),"",$Z44/$X44))</f>
        <v/>
      </c>
      <c r="O44" s="392" t="str">
        <f>IF($A44="","",IF(OR(NOT(ISNUMBER($Z44)),NOT(ISNUMBER($AB44)),N($AB44)&lt;=0),"",$Z44*IF(ISNUMBER($AF44),$AF44,Settings!$C$103)/$AB44))</f>
        <v/>
      </c>
      <c r="P44" s="393" t="str">
        <f>IF($A44="","",IF(OR(NOT(ISNUMBER($AC44)),NOT(ISNUMBER($AB44)),N($AB44)&lt;=0),"",$AC44/$AB44))</f>
        <v/>
      </c>
      <c r="Q44" s="340" t="str">
        <f>IF($A44="","",IF(NOT(ISNUMBER($L44)),"",MEDIAN(0,100,100*($L44-Settings!$C$92)/(Settings!$C$93-Settings!$C$92))))</f>
        <v/>
      </c>
      <c r="R44" s="340" t="str">
        <f>IF($A44="","",IF(NOT(ISNUMBER($M44)),"",MEDIAN(0,100,100*($M44-Settings!$C$94)/(Settings!$C$95-Settings!$C$94))))</f>
        <v/>
      </c>
      <c r="S44" s="340" t="str">
        <f>IF($A44="","",IF(NOT(ISNUMBER($N44)),"",MEDIAN(0,100,100*($N44-Settings!$C$96)/(Settings!$C$97-Settings!$C$96))))</f>
        <v/>
      </c>
      <c r="T44" s="340" t="str">
        <f>IF($A44="","",IF(NOT(ISNUMBER($O44)),"",MEDIAN(0,100,100*($O44-Settings!$C$98)/(Settings!$C$99-Settings!$C$98))))</f>
        <v/>
      </c>
      <c r="U44" s="340" t="str">
        <f>IF($A44="","",IF(NOT(ISNUMBER($P44)),"",MEDIAN(0,100,100*(Settings!$C$101-$P44)/(Settings!$C$101-Settings!$C$100))))</f>
        <v/>
      </c>
      <c r="V44" s="343" t="str">
        <f>IF($A44="","",COUNT($Q44:$U44))</f>
        <v/>
      </c>
      <c r="W44" s="340" t="str">
        <f>IF($A44="","",IF(N($V44)&lt;Settings!$C$102,"",ROUND(AVERAGE($Q44:$U44),1)))</f>
        <v/>
      </c>
      <c r="X44" s="394"/>
      <c r="Y44" s="394"/>
      <c r="Z44" s="394"/>
      <c r="AA44" s="394"/>
      <c r="AB44" s="394"/>
      <c r="AC44" s="394"/>
      <c r="AD44" s="317"/>
      <c r="AE44" s="87" t="str">
        <f ca="1">IF($A44="","",IF(NOT(ISNUMBER($AD44)),"",ROUND((TODAY()-$AD44)/30.44,0)))</f>
        <v/>
      </c>
      <c r="AF44" s="396"/>
      <c r="AG44" s="315"/>
    </row>
    <row r="46" spans="1:33" x14ac:dyDescent="0.3">
      <c r="A46" s="86" t="s">
        <v>1194</v>
      </c>
    </row>
    <row r="47" spans="1:33" ht="27.6" x14ac:dyDescent="0.3">
      <c r="A47" s="326" t="s">
        <v>1195</v>
      </c>
      <c r="B47" s="195" t="s">
        <v>1196</v>
      </c>
    </row>
    <row r="48" spans="1:33" ht="27.6" x14ac:dyDescent="0.3">
      <c r="A48" s="326" t="s">
        <v>1197</v>
      </c>
      <c r="B48" s="195" t="s">
        <v>1198</v>
      </c>
    </row>
    <row r="49" spans="1:10" ht="41.4" x14ac:dyDescent="0.3">
      <c r="A49" s="326" t="s">
        <v>1199</v>
      </c>
      <c r="B49" s="195" t="s">
        <v>1200</v>
      </c>
    </row>
    <row r="50" spans="1:10" ht="27.6" x14ac:dyDescent="0.3">
      <c r="A50" s="326" t="s">
        <v>1201</v>
      </c>
      <c r="B50" s="195" t="s">
        <v>1202</v>
      </c>
    </row>
    <row r="51" spans="1:10" ht="27.6" x14ac:dyDescent="0.3">
      <c r="A51" s="326" t="s">
        <v>1203</v>
      </c>
      <c r="B51" s="195" t="s">
        <v>1204</v>
      </c>
    </row>
    <row r="52" spans="1:10" ht="179.4" customHeight="1" x14ac:dyDescent="0.3">
      <c r="A52" s="327" t="s">
        <v>1205</v>
      </c>
      <c r="B52" s="327"/>
      <c r="C52" s="327"/>
      <c r="D52" s="327"/>
      <c r="E52" s="327"/>
      <c r="F52" s="327"/>
      <c r="G52" s="327"/>
      <c r="H52" s="327"/>
      <c r="I52" s="327"/>
      <c r="J52" s="327"/>
    </row>
    <row r="54" spans="1:10" x14ac:dyDescent="0.3">
      <c r="A54" s="398" t="s">
        <v>1433</v>
      </c>
      <c r="B54" s="397"/>
      <c r="C54" s="397"/>
      <c r="D54" s="397"/>
      <c r="E54" s="397"/>
      <c r="F54" s="397"/>
      <c r="G54" s="397"/>
      <c r="H54" s="397"/>
      <c r="I54" s="397"/>
      <c r="J54" s="397"/>
    </row>
  </sheetData>
  <sheetProtection algorithmName="SHA-512" hashValue="OgVCCXORScPIhsk2kJEX1vuRE++2SXoE3iEjvfNAGxmFJol04wd6dEj55PkChuesUKSwuj4a9vkNLO3g+5Q6EA==" saltValue="82Eemx7GC41HrswG/fKYsQ==" spinCount="100000" sheet="1" objects="1" scenarios="1" sort="0" autoFilter="0"/>
  <mergeCells count="4">
    <mergeCell ref="A2:J2"/>
    <mergeCell ref="A52:J52"/>
    <mergeCell ref="X3:AC3"/>
    <mergeCell ref="A54:J54"/>
  </mergeCells>
  <conditionalFormatting sqref="J5:J44">
    <cfRule type="containsText" dxfId="76" priority="1" operator="containsText" text="INVALID">
      <formula>NOT(ISERROR(SEARCH("INVALID",J5)))</formula>
    </cfRule>
  </conditionalFormatting>
  <conditionalFormatting sqref="J5:J44">
    <cfRule type="containsText" dxfId="75" priority="2" operator="containsText" text="Missing">
      <formula>NOT(ISERROR(SEARCH("Missing",J5)))</formula>
    </cfRule>
  </conditionalFormatting>
  <conditionalFormatting sqref="J5:J44">
    <cfRule type="containsText" dxfId="74" priority="3" operator="containsText" text="Scored">
      <formula>NOT(ISERROR(SEARCH("Scored",J5)))</formula>
    </cfRule>
  </conditionalFormatting>
  <conditionalFormatting sqref="E5:E44">
    <cfRule type="colorScale" priority="4">
      <colorScale>
        <cfvo type="num" val="0"/>
        <cfvo type="num" val="50"/>
        <cfvo type="num" val="100"/>
        <color rgb="FFE8A6A0"/>
        <color rgb="FFFFF2CC"/>
        <color rgb="FFA9D5B2"/>
      </colorScale>
    </cfRule>
  </conditionalFormatting>
  <conditionalFormatting sqref="J5:J44">
    <cfRule type="containsText" dxfId="0" priority="5" operator="containsText" text="STALE">
      <formula>NOT(ISERROR(SEARCH("STALE",J5)))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88D4-341B-43FB-8D3E-0E0FB886EE28}">
  <dimension ref="A1:AP82"/>
  <sheetViews>
    <sheetView tabSelected="1" topLeftCell="A19" workbookViewId="0">
      <selection activeCell="B14" sqref="B14"/>
    </sheetView>
  </sheetViews>
  <sheetFormatPr defaultRowHeight="14.4" x14ac:dyDescent="0.3"/>
  <cols>
    <col min="1" max="1" width="38" customWidth="1"/>
    <col min="2" max="2" width="17.5546875" customWidth="1"/>
    <col min="3" max="3" width="39.77734375" customWidth="1"/>
    <col min="4" max="4" width="24.109375" customWidth="1"/>
    <col min="5" max="7" width="18.109375" customWidth="1"/>
    <col min="8" max="8" width="19.44140625" customWidth="1"/>
    <col min="9" max="9" width="25.88671875" customWidth="1"/>
    <col min="10" max="10" width="53.6640625" customWidth="1"/>
    <col min="11" max="12" width="16.6640625" customWidth="1"/>
    <col min="13" max="13" width="20.33203125" customWidth="1"/>
    <col min="14" max="14" width="18.5546875" customWidth="1"/>
    <col min="15" max="15" width="15.77734375" customWidth="1"/>
    <col min="16" max="16" width="16.6640625" customWidth="1"/>
    <col min="17" max="17" width="7.44140625" customWidth="1"/>
    <col min="18" max="40" width="13.33203125" customWidth="1"/>
  </cols>
  <sheetData>
    <row r="1" spans="1:8" ht="23.4" x14ac:dyDescent="0.45">
      <c r="A1" s="1" t="s">
        <v>1206</v>
      </c>
    </row>
    <row r="2" spans="1:8" x14ac:dyDescent="0.3">
      <c r="A2" s="2" t="s">
        <v>1207</v>
      </c>
    </row>
    <row r="3" spans="1:8" ht="15.6" x14ac:dyDescent="0.3">
      <c r="A3" s="328" t="str">
        <f>"Uzito wa Alama:     Fundamental "&amp;TEXT(Settings!$C$65,"0%")&amp;"     ·     Sentiment "&amp;TEXT(Settings!$C$66,"0%")</f>
        <v>Uzito wa Alama:     Fundamental 70%     ·     Sentiment 30%</v>
      </c>
      <c r="B3" s="159"/>
      <c r="C3" s="159"/>
      <c r="D3" s="159"/>
      <c r="E3" s="159"/>
      <c r="F3" s="159"/>
    </row>
    <row r="5" spans="1:8" ht="19.95" customHeight="1" x14ac:dyDescent="0.3">
      <c r="A5" s="377" t="s">
        <v>1208</v>
      </c>
      <c r="B5" s="333"/>
      <c r="C5" s="333"/>
      <c r="D5" s="333"/>
      <c r="E5" s="333"/>
      <c r="F5" s="333"/>
    </row>
    <row r="6" spans="1:8" x14ac:dyDescent="0.3">
      <c r="A6" s="32" t="s">
        <v>1209</v>
      </c>
      <c r="C6" s="329">
        <f>Settings!$C$68</f>
        <v>46248</v>
      </c>
    </row>
    <row r="7" spans="1:8" x14ac:dyDescent="0.3">
      <c r="A7" s="32" t="s">
        <v>1210</v>
      </c>
      <c r="C7" s="329">
        <f>IF(COUNTIFS('Daily Data'!$A$4:$A$503,$C$6)&gt;0,$C$6,IF(UPPER(Settings!$C$69)="YES",IFERROR(_xlfn.MAXIFS('Daily Data'!$A$4:$A$503,'Daily Data'!$A$4:$A$503,"&lt;="&amp;$C$6),""),""))</f>
        <v>46248</v>
      </c>
      <c r="D7" s="331" t="str">
        <f>IF($C$7="","",IF($C$7=$C$6,"exact match","⚠ fallback: the requested date has no market observations"))</f>
        <v>exact match</v>
      </c>
    </row>
    <row r="8" spans="1:8" x14ac:dyDescent="0.3">
      <c r="A8" s="32" t="s">
        <v>1211</v>
      </c>
      <c r="C8" s="330" t="str" cm="1">
        <f t="array" ref="C8">IFERROR(IF(COUNTIF('Fundamental Scorecard'!$D$5:$D$44,"&lt;&gt;")=0,"— no fundamental periods entered —",_xlfn.TEXTJOIN(", ",TRUE,_xlfn.UNIQUE(_xlfn._xlws.FILTER('Fundamental Scorecard'!$D$5:$D$44,'Fundamental Scorecard'!$D$5:$D$44&lt;&gt;"")))),"— no fundamental periods entered —")</f>
        <v>Quarter to 30 Jun 2026, Q2 2026 (30 Jun 2026), Full to 31 Dec 2025, Half to 30 Jun 2026, Full to 30 Jun 2026, Full to 31 Dec 2020, Quarter to 31 Mar 2026, Half to 30 Jun 2020, Full to 31 Mar 2026, Full to 30 Jun 2025, Quarter to 31 Mar 2021</v>
      </c>
    </row>
    <row r="9" spans="1:8" x14ac:dyDescent="0.3">
      <c r="A9" s="32" t="s">
        <v>1212</v>
      </c>
      <c r="C9" s="330" t="str">
        <f>Settings!$C$74</f>
        <v>RANK-1.0</v>
      </c>
    </row>
    <row r="10" spans="1:8" ht="43.95" customHeight="1" x14ac:dyDescent="0.3">
      <c r="A10" s="292" t="str">
        <f>IF(ROUND(Settings!$C$65+Settings!$C$66,6)&lt;&gt;1,"CONFIGURATION ERROR: Ranking weights must total 100%",IF($C$7="","NO MARKET DATA: the requested date has no observations and fallback is switched off in Settings!C69. Nothing can be ranked.",IF($C$6-$C$7&gt;Settings!$C$70,"⚠ STALE MARKET DATA: the data used is "&amp;($C$6-$C$7)&amp;" calendar days older than the requested date (limit "&amp;Settings!$C$70&amp;").",IF(COUNT('Fundamental Scorecard'!$E$5:$E$44)=0,"NO FUNDAMENTAL SCORES: enter 0–100 scores on the Fundamental Scorecard sheet. Missing fundamentals are never treated as zero, so no security is ranking-eligible yet.",IF(Settings!$C$13&lt;&gt;$C$7,"Note: the Market Sentiment sheet is currently displaying "&amp;TEXT(Settings!$C$13,"yyyy-mm-dd")&amp;", a different date from this ranking. Both read the same Daily Data source, so the ranking below is still date-correct.","Ready — fundamental and sentiment inputs are aligned on the same trading date.")))))</f>
        <v>Ready — fundamental and sentiment inputs are aligned on the same trading date.</v>
      </c>
      <c r="B10" s="159"/>
      <c r="C10" s="159"/>
      <c r="D10" s="159"/>
      <c r="E10" s="159"/>
      <c r="F10" s="159"/>
    </row>
    <row r="11" spans="1:8" x14ac:dyDescent="0.3">
      <c r="A11" s="32" t="s">
        <v>1223</v>
      </c>
      <c r="C11" s="337" t="str">
        <f>IFERROR(IF(_xlfn.MAXIFS('Ranking History'!$A$5:$A$2000,'Ranking History'!$A$5:$A$2000,"&lt;"&amp;$C$7)=0,"",_xlfn.MAXIFS('Ranking History'!$A$5:$A$2000,'Ranking History'!$A$5:$A$2000,"&lt;"&amp;$C$7)),"")</f>
        <v/>
      </c>
      <c r="D11" s="2" t="s">
        <v>1224</v>
      </c>
    </row>
    <row r="13" spans="1:8" ht="25.95" customHeight="1" x14ac:dyDescent="0.3">
      <c r="A13" s="365" t="s">
        <v>1239</v>
      </c>
      <c r="B13" s="366"/>
      <c r="C13" s="366"/>
      <c r="D13" s="366"/>
      <c r="E13" s="366"/>
      <c r="F13" s="367"/>
      <c r="H13" s="116">
        <f ca="1">IFERROR(MATCH(1,$AH$25:$AH$64,0),"")</f>
        <v>4</v>
      </c>
    </row>
    <row r="14" spans="1:8" ht="25.95" customHeight="1" x14ac:dyDescent="0.3">
      <c r="A14" s="362" t="s">
        <v>1185</v>
      </c>
      <c r="B14" s="368" t="str" cm="1">
        <f t="array" aca="1" ref="B14" ca="1">IF($H$13="","—",INDEX($R$25:$R$64,$H$13))</f>
        <v>DSE</v>
      </c>
      <c r="C14" s="374" t="s">
        <v>1240</v>
      </c>
      <c r="D14" s="369" t="str" cm="1">
        <f t="array" aca="1" ref="D14" ca="1">IF($H$13="","—",INDEX($S$25:$S$64,$H$13))</f>
        <v>Dar es Salaam Stock Exchange PLC</v>
      </c>
      <c r="E14" s="366"/>
      <c r="F14" s="367"/>
    </row>
    <row r="15" spans="1:8" ht="25.95" customHeight="1" x14ac:dyDescent="0.3">
      <c r="A15" s="362" t="s">
        <v>1226</v>
      </c>
      <c r="B15" s="370" cm="1">
        <f t="array" aca="1" ref="B15" ca="1">IF($H$13="","—",INDEX($U$25:$U$64,$H$13))</f>
        <v>92.7</v>
      </c>
      <c r="C15" s="374" t="s">
        <v>1228</v>
      </c>
      <c r="D15" s="370" cm="1">
        <f t="array" aca="1" ref="D15" ca="1">IF($H$13="","—",INDEX($W$25:$W$64,$H$13))</f>
        <v>72.8</v>
      </c>
      <c r="E15" s="374" t="s">
        <v>1241</v>
      </c>
      <c r="F15" s="371" cm="1">
        <f t="array" aca="1" ref="F15" ca="1">IF($H$13="","—",INDEX($AF$25:$AF$64,$H$13))</f>
        <v>86.7</v>
      </c>
    </row>
    <row r="16" spans="1:8" ht="25.95" customHeight="1" x14ac:dyDescent="0.3">
      <c r="A16" s="362" t="s">
        <v>1214</v>
      </c>
      <c r="B16" s="368" t="str" cm="1">
        <f t="array" aca="1" ref="B16" ca="1">IF($H$13="","—",INDEX($AL$25:$AL$64,$H$13))</f>
        <v>BORA SANA</v>
      </c>
      <c r="C16" s="374" t="s">
        <v>1215</v>
      </c>
      <c r="D16" s="369" t="str" cm="1">
        <f t="array" aca="1" ref="D16" ca="1">IF($H$13="","—",INDEX($AM$25:$AM$64,$H$13))</f>
        <v>Demand kubwa</v>
      </c>
      <c r="E16" s="375"/>
      <c r="F16" s="367"/>
    </row>
    <row r="17" spans="1:42" ht="48" customHeight="1" x14ac:dyDescent="0.3">
      <c r="A17" s="362" t="s">
        <v>1242</v>
      </c>
      <c r="B17" s="364" t="str" cm="1">
        <f t="array" aca="1" ref="B17" ca="1">IF($H$13="","No security is ranking-eligible yet. Enter Fundamental Scores (0–100) on the Fundamental Scorecard sheet — missing fundamentals are never scored as zero.",INDEX($AN$25:$AN$64,$H$13))</f>
        <v>Nunua : ubora na mwelekeo vinaungana</v>
      </c>
      <c r="C17" s="375"/>
      <c r="D17" s="366"/>
      <c r="E17" s="375"/>
      <c r="F17" s="367"/>
    </row>
    <row r="18" spans="1:42" ht="25.95" customHeight="1" x14ac:dyDescent="0.3">
      <c r="A18" s="363" t="s">
        <v>230</v>
      </c>
      <c r="B18" s="372" cm="1">
        <f t="array" aca="1" ref="B18" ca="1">IF($H$13="","—",INDEX($AB$25:$AB$64,$H$13))</f>
        <v>75</v>
      </c>
      <c r="C18" s="376" t="s">
        <v>178</v>
      </c>
      <c r="D18" s="372" cm="1">
        <f t="array" aca="1" ref="D18" ca="1">IF($H$13="","—",INDEX($AA$25:$AA$64,$H$13))</f>
        <v>4.4000000000000004</v>
      </c>
      <c r="E18" s="376" t="s">
        <v>99</v>
      </c>
      <c r="F18" s="373" t="str" cm="1">
        <f t="array" aca="1" ref="F18" ca="1">IF($H$13="","—",INDEX($T$25:$T$64,$H$13))</f>
        <v>Financial Services</v>
      </c>
    </row>
    <row r="20" spans="1:42" ht="22.05" customHeight="1" x14ac:dyDescent="0.3">
      <c r="A20" s="333" t="s">
        <v>1213</v>
      </c>
      <c r="B20" s="332"/>
      <c r="C20" s="332"/>
      <c r="D20" s="332"/>
      <c r="E20" s="332"/>
      <c r="F20" s="332"/>
      <c r="G20" s="332"/>
      <c r="H20" s="332"/>
      <c r="I20" s="332"/>
      <c r="J20" s="332"/>
    </row>
    <row r="21" spans="1:42" ht="31.95" customHeight="1" x14ac:dyDescent="0.3">
      <c r="A21" s="334" t="s">
        <v>99</v>
      </c>
      <c r="B21" s="334" t="s">
        <v>1214</v>
      </c>
      <c r="C21" s="334" t="s">
        <v>1215</v>
      </c>
      <c r="D21" s="334" t="s">
        <v>1216</v>
      </c>
      <c r="E21" s="334" t="s">
        <v>1217</v>
      </c>
      <c r="F21" s="334" t="s">
        <v>1218</v>
      </c>
      <c r="G21" s="334" t="s">
        <v>1219</v>
      </c>
      <c r="H21" s="334" t="s">
        <v>1220</v>
      </c>
      <c r="I21" s="334" t="s">
        <v>1221</v>
      </c>
      <c r="J21" s="334" t="s">
        <v>1222</v>
      </c>
    </row>
    <row r="22" spans="1:42" x14ac:dyDescent="0.3">
      <c r="A22" s="336"/>
      <c r="B22" s="336"/>
      <c r="C22" s="336"/>
      <c r="D22" s="336"/>
      <c r="E22" s="336"/>
      <c r="F22" s="336"/>
      <c r="G22" s="336"/>
      <c r="H22" s="336"/>
      <c r="I22" s="336" t="s">
        <v>1150</v>
      </c>
      <c r="J22" s="335" t="str">
        <f>Settings!$C$73</f>
        <v>NO</v>
      </c>
    </row>
    <row r="23" spans="1:42" x14ac:dyDescent="0.3">
      <c r="R23" s="119" t="s">
        <v>1225</v>
      </c>
    </row>
    <row r="24" spans="1:42" ht="48" customHeight="1" x14ac:dyDescent="0.3">
      <c r="A24" s="154" t="s">
        <v>1243</v>
      </c>
      <c r="B24" s="154" t="s">
        <v>1185</v>
      </c>
      <c r="C24" s="154" t="s">
        <v>1240</v>
      </c>
      <c r="D24" s="154" t="s">
        <v>99</v>
      </c>
      <c r="E24" s="154" t="s">
        <v>1244</v>
      </c>
      <c r="F24" s="154" t="s">
        <v>1245</v>
      </c>
      <c r="G24" s="154" t="s">
        <v>1241</v>
      </c>
      <c r="H24" s="154" t="s">
        <v>1214</v>
      </c>
      <c r="I24" s="154" t="s">
        <v>1215</v>
      </c>
      <c r="J24" s="154" t="s">
        <v>1242</v>
      </c>
      <c r="K24" s="154" t="s">
        <v>178</v>
      </c>
      <c r="L24" s="154" t="s">
        <v>230</v>
      </c>
      <c r="M24" s="154" t="s">
        <v>1246</v>
      </c>
      <c r="N24" s="154" t="s">
        <v>1247</v>
      </c>
      <c r="O24" s="154" t="s">
        <v>1248</v>
      </c>
      <c r="P24" s="154" t="s">
        <v>1235</v>
      </c>
      <c r="R24" s="338" t="s">
        <v>1185</v>
      </c>
      <c r="S24" s="338" t="s">
        <v>1186</v>
      </c>
      <c r="T24" s="338" t="s">
        <v>99</v>
      </c>
      <c r="U24" s="338" t="s">
        <v>1226</v>
      </c>
      <c r="V24" s="338" t="s">
        <v>1227</v>
      </c>
      <c r="W24" s="338" t="s">
        <v>1228</v>
      </c>
      <c r="X24" s="338" t="s">
        <v>164</v>
      </c>
      <c r="Y24" s="338" t="s">
        <v>240</v>
      </c>
      <c r="Z24" s="338" t="s">
        <v>174</v>
      </c>
      <c r="AA24" s="338" t="s">
        <v>244</v>
      </c>
      <c r="AB24" s="338" t="s">
        <v>1229</v>
      </c>
      <c r="AC24" s="338" t="s">
        <v>101</v>
      </c>
      <c r="AD24" s="338" t="s">
        <v>252</v>
      </c>
      <c r="AE24" s="338" t="s">
        <v>1230</v>
      </c>
      <c r="AF24" s="338" t="s">
        <v>1231</v>
      </c>
      <c r="AG24" s="338" t="s">
        <v>1232</v>
      </c>
      <c r="AH24" s="338" t="s">
        <v>251</v>
      </c>
      <c r="AI24" s="338" t="s">
        <v>1233</v>
      </c>
      <c r="AJ24" s="338" t="s">
        <v>1234</v>
      </c>
      <c r="AK24" s="338" t="s">
        <v>1235</v>
      </c>
      <c r="AL24" s="338" t="s">
        <v>1236</v>
      </c>
      <c r="AM24" s="338" t="s">
        <v>1237</v>
      </c>
      <c r="AN24" s="338" t="s">
        <v>1238</v>
      </c>
      <c r="AO24" s="338" t="s">
        <v>1426</v>
      </c>
      <c r="AP24" s="338" t="s">
        <v>131</v>
      </c>
    </row>
    <row r="25" spans="1:42" x14ac:dyDescent="0.3">
      <c r="A25" s="344" cm="1">
        <f t="array" aca="1" ref="A25" ca="1">IF($Q25="","",IF(INDEX($AD$25:$AD$64,$Q25)="YES",INDEX($AH$25:$AH$64,$Q25),"—"))</f>
        <v>1</v>
      </c>
      <c r="B25" s="318" t="str" cm="1">
        <f t="array" aca="1" ref="B25" ca="1">IF($Q25="","",INDEX($R$25:$R$64,$Q25))</f>
        <v>DSE</v>
      </c>
      <c r="C25" s="319" t="str" cm="1">
        <f t="array" aca="1" ref="C25" ca="1">IF($Q25="","",INDEX($S$25:$S$64,$Q25))</f>
        <v>Dar es Salaam Stock Exchange PLC</v>
      </c>
      <c r="D25" s="319" t="str" cm="1">
        <f t="array" aca="1" ref="D25" ca="1">IF($Q25="","",INDEX($T$25:$T$64,$Q25))</f>
        <v>Financial Services</v>
      </c>
      <c r="E25" s="100" cm="1">
        <f t="array" aca="1" ref="E25" ca="1">IF($Q25="","",INDEX($U$25:$U$64,$Q25))</f>
        <v>92.7</v>
      </c>
      <c r="F25" s="100" cm="1">
        <f t="array" aca="1" ref="F25" ca="1">IF($Q25="","",INDEX($W$25:$W$64,$Q25))</f>
        <v>72.8</v>
      </c>
      <c r="G25" s="100" cm="1">
        <f t="array" aca="1" ref="G25" ca="1">IF($Q25="","",INDEX($AF$25:$AF$64,$Q25))</f>
        <v>86.7</v>
      </c>
      <c r="H25" s="319" t="str" cm="1">
        <f t="array" aca="1" ref="H25" ca="1">IF($Q25="","",INDEX($AL$25:$AL$64,$Q25))</f>
        <v>BORA SANA</v>
      </c>
      <c r="I25" s="319" t="str" cm="1">
        <f t="array" aca="1" ref="I25" ca="1">IF($Q25="","",INDEX($AM$25:$AM$64,$Q25))</f>
        <v>Demand kubwa</v>
      </c>
      <c r="J25" s="319" t="str" cm="1">
        <f t="array" aca="1" ref="J25" ca="1">IF($Q25="","",INDEX($AN$25:$AN$64,$Q25))</f>
        <v>Nunua : ubora na mwelekeo vinaungana</v>
      </c>
      <c r="K25" s="100" cm="1">
        <f t="array" aca="1" ref="K25" ca="1">IF($Q25="","",INDEX($AA$25:$AA$64,$Q25))</f>
        <v>4.4000000000000004</v>
      </c>
      <c r="L25" s="100" cm="1">
        <f t="array" aca="1" ref="L25" ca="1">IF($Q25="","",INDEX($AB$25:$AB$64,$Q25))</f>
        <v>75</v>
      </c>
      <c r="M25" s="319" t="str" cm="1">
        <f t="array" aca="1" ref="M25" ca="1">IF($Q25="","",INDEX($V$25:$V$64,$Q25))</f>
        <v>Half to 30 Jun 2026</v>
      </c>
      <c r="N25" s="95">
        <f ca="1">IF($Q25="","",$C$7)</f>
        <v>46248</v>
      </c>
      <c r="O25" s="102" t="str" cm="1">
        <f t="array" aca="1" ref="O25" ca="1">IF($Q25="","",INDEX($AJ$25:$AJ$64,$Q25))</f>
        <v/>
      </c>
      <c r="P25" s="319" t="str" cm="1">
        <f t="array" aca="1" ref="P25" ca="1">IF($Q25="","",IF(INDEX($AK$25:$AK$64,$Q25)="","",IF(INDEX($AK$25:$AK$64,$Q25)&gt;0,"▲ +"&amp;INDEX($AK$25:$AK$64,$Q25),IF(INDEX($AK$25:$AK$64,$Q25)&lt;0,"▼ "&amp;INDEX($AK$25:$AK$64,$Q25),"= 0"))))</f>
        <v/>
      </c>
      <c r="Q25" s="116" cm="1">
        <f t="array" aca="1" ref="Q25" ca="1">IF(ROW()-24&lt;=COUNT($AH$25:$AH$64),IFERROR(MATCH(ROW()-24,$AH$25:$AH$64,0),""),IFERROR(SMALL(IF(($AI$25:$AI$64=1)*($AD$25:$AD$64&lt;&gt;"YES")*($R$25:$R$64&lt;&gt;""),ROW($AI$25:$AI$64)-24),ROW()-24-COUNT($AH$25:$AH$64)),""))</f>
        <v>4</v>
      </c>
      <c r="R25" s="339" t="str">
        <f>IF(Symbols!A4="","",Symbols!A4)</f>
        <v>AFRIPRISE</v>
      </c>
      <c r="S25" s="339" t="str" cm="1">
        <f t="array" ref="S25">IF($R25="","",INDEX(Symbols!$B$4:$B$43,ROW()-24))</f>
        <v>Afriprise Investment PLC</v>
      </c>
      <c r="T25" s="339" t="str" cm="1">
        <f t="array" ref="T25">IF($R25="","",INDEX(Symbols!$D$4:$D$43,ROW()-24))</f>
        <v>Investment</v>
      </c>
      <c r="U25" s="340">
        <f>IF($R25="","",IF(COUNTIFS('Fundamental Scorecard'!$A$5:$A$44,$R25,'Fundamental Scorecard'!$E$5:$E$44,"&gt;=-1E+300")=0,"",SUMIFS('Fundamental Scorecard'!$E$5:$E$44,'Fundamental Scorecard'!$A$5:$A$44,$R25)))</f>
        <v>86.9</v>
      </c>
      <c r="V25" s="339" t="str">
        <f>IF($R25="","",IFERROR(IF(INDEX('Fundamental Scorecard'!$D$5:$D$44,MATCH($R25,'Fundamental Scorecard'!$A$5:$A$44,0))=0,"",INDEX('Fundamental Scorecard'!$D$5:$D$44,MATCH($R25,'Fundamental Scorecard'!$A$5:$A$44,0))),""))</f>
        <v>Quarter to 30 Jun 2026</v>
      </c>
      <c r="W25" s="340">
        <f>IF(OR($R25="",$C$7=""),"",IF(COUNTIFS('Daily Data'!$B$4:$B$503,$R25,'Daily Data'!$A$4:$A$503,$C$7,'Daily Data'!$AH$4:$AH$503,"&gt;=-1E+300")=0,"",SUMIFS('Daily Data'!$AH$4:$AH$503,'Daily Data'!$B$4:$B$503,$R25,'Daily Data'!$A$4:$A$503,$C$7)))</f>
        <v>30.1</v>
      </c>
      <c r="X25" s="341">
        <f>IF(OR($R25="",$C$7=""),"",IF(COUNTIFS('Daily Data'!$B$4:$B$503,$R25,'Daily Data'!$A$4:$A$503,$C$7,'Daily Data'!$S$4:$S$503,"&gt;=-1E+300")=0,"",SUMIFS('Daily Data'!$S$4:$S$503,'Daily Data'!$B$4:$B$503,$R25,'Daily Data'!$A$4:$A$503,$C$7)))</f>
        <v>0.26965565349736825</v>
      </c>
      <c r="Y25" s="342" t="str">
        <f>IF(OR($R25="",$C$7=""),"",IF(COUNTIFS('Daily Data'!$B$4:$B$503,$R25,'Daily Data'!$A$4:$A$503,$C$7,'Daily Data'!$AA$4:$AA$503,"&gt;=-1E+300")=0,"",SUMIFS('Daily Data'!$AA$4:$AA$503,'Daily Data'!$B$4:$B$503,$R25,'Daily Data'!$A$4:$A$503,$C$7)))</f>
        <v/>
      </c>
      <c r="Z25" s="341" t="str">
        <f>IF(OR($R25="",$C$7=""),"",IF(COUNTIFS('Daily Data'!$B$4:$B$503,$R25,'Daily Data'!$A$4:$A$503,$C$7,'Daily Data'!$AC$4:$AC$503,"&gt;=-1E+300")=0,"",SUMIFS('Daily Data'!$AC$4:$AC$503,'Daily Data'!$B$4:$B$503,$R25,'Daily Data'!$A$4:$A$503,$C$7)))</f>
        <v/>
      </c>
      <c r="AA25" s="340">
        <f>IF(OR($R25="",$C$7=""),"",IF(COUNTIFS('Daily Data'!$B$4:$B$503,$R25,'Daily Data'!$A$4:$A$503,$C$7,'Daily Data'!$AG$4:$AG$503,"&gt;=-1E+300")=0,"",SUMIFS('Daily Data'!$AG$4:$AG$503,'Daily Data'!$B$4:$B$503,$R25,'Daily Data'!$A$4:$A$503,$C$7)))</f>
        <v>37.9</v>
      </c>
      <c r="AB25" s="340">
        <f>IF(OR($R25="",$C$7=""),"",IF(COUNTIFS('Daily Data'!$B$4:$B$503,$R25,'Daily Data'!$A$4:$A$503,$C$7,'Daily Data'!$AI$4:$AI$503,"&gt;=-1E+300")=0,"",SUMIFS('Daily Data'!$AI$4:$AI$503,'Daily Data'!$B$4:$B$503,$R25,'Daily Data'!$A$4:$A$503,$C$7)))</f>
        <v>75</v>
      </c>
      <c r="AC25" s="339" t="str" cm="1">
        <f t="array" ref="AC25">IF($R25="","",IF(UPPER(INDEX(Symbols!$F$4:$F$43,ROW()-24))="YES","YES","NO"))</f>
        <v>YES</v>
      </c>
      <c r="AD25" s="339" t="str">
        <f ca="1">IF($R25="","",IF(ROUND(Settings!$C$65+Settings!$C$66,6)&lt;&gt;1,"NO",IF($AC25&lt;&gt;"YES","NO",IF(AND(UPPER(Settings!$C$105)="YES",$AP25="YES"),"NO",IF(NOT(ISNUMBER($U25)),"NO",IF(NOT(ISNUMBER($W25)),"NO",IF($C$7="","NO",IF($C$6-$C$7&gt;Settings!$C$70,"NO",IF(AND(ISNUMBER($AO25),$AO25&gt;Settings!$C$104),"NO",IF(N($AB25)&lt;Settings!$C$71,"NO",IF(N($AA25)&lt;Settings!$C$72,"NO","YES")))))))))))</f>
        <v>YES</v>
      </c>
      <c r="AE25" s="339" t="str">
        <f ca="1">IF($R25="","",IF($AD25="YES","",IF(ROUND(Settings!$C$65+Settings!$C$66,6)&lt;&gt;1,"Ranking weights do not total 100%",IF($AC25&lt;&gt;"YES","Security is not active",IF(AND(UPPER(Settings!$C$105)="YES",$AP25="YES"),"Cross-listed security, excluded by Settings!C105",IF(NOT(ISNUMBER($U25)),"Missing fundamental data",IF(NOT(ISNUMBER($W25)),"No market observation on the date used",IF($C$7="","No market data available",IF($C$6-$C$7&gt;Settings!$C$70,"Market data is stale",IF(AND(ISNUMBER($AO25),$AO25&gt;Settings!$C$104),"Fundamental statement is stale ("&amp;$AO25&amp;" months old)",IF(N($AB25)&lt;Settings!$C$71,"Data confidence below minimum","Liquidity below minimum")))))))))))</f>
        <v/>
      </c>
      <c r="AF25" s="340">
        <f ca="1">IF($AD25&lt;&gt;"YES","",ROUND($U25*RankingFundamentalWeight+$W25*RankingSentimentWeight,1))</f>
        <v>69.900000000000006</v>
      </c>
      <c r="AG25" s="339">
        <f ca="1">IF($AD25&lt;&gt;"YES","",$AF25+$U25/10000+$W25/100000000+N($AB25)/1000000000000)</f>
        <v>69.908690301075012</v>
      </c>
      <c r="AH25" s="343" cm="1">
        <f t="array" aca="1" ref="AH25" ca="1">IF(OR($AD25&lt;&gt;"YES",$AI25&lt;&gt;1),"",SUMPRODUCT(($AI$25:$AI$64=1)*($AD$25:$AD$64="YES")*($AG$25:$AG$64&gt;$AG25))+SUMPRODUCT(($AI$25:$AI$64=1)*($AD$25:$AD$64="YES")*($AG$25:$AG$64=$AG25)*($R$25:$R$64&lt;$R25))+1)</f>
        <v>8</v>
      </c>
      <c r="AI25" s="339">
        <f ca="1">IF($R25="","",IF(AND(OR($A$22="",$T25=$A$22),OR($B$22="",$AL25=$B$22),OR($C$22="",$AM25=$C$22),OR($D$22="",AND(ISNUMBER($U25),N($U25)&gt;=$D$22)),OR($E$22="",AND(ISNUMBER($W25),N($W25)&gt;=$E$22)),OR($F$22="",AND(ISNUMBER($AF25),N($AF25)&gt;=$F$22)),OR($G$22="",N($AA25)&gt;=$G$22),OR($H$22="",N($AB25)&gt;=$H$22),OR(UPPER($I$22)&lt;&gt;"YES",$AC25="YES"),OR(UPPER($J$22)&lt;&gt;"YES",$AD25="YES")),1,0))</f>
        <v>1</v>
      </c>
      <c r="AJ25" s="339" t="str">
        <f>IF(OR($R25="",$C$11=""),"",IF(COUNTIFS('Ranking History'!$B$5:$B$2000,$R25,'Ranking History'!$A$5:$A$2000,$C$11)=0,"",SUMIFS('Ranking History'!$C$5:$C$2000,'Ranking History'!$B$5:$B$2000,$R25,'Ranking History'!$A$5:$A$2000,$C$11)))</f>
        <v/>
      </c>
      <c r="AK25" s="339" t="str">
        <f ca="1">IF(OR($AJ25="",$AH25=""),"",$AJ25-$AH25)</f>
        <v/>
      </c>
      <c r="AL25" s="339" t="str">
        <f ca="1">IF($AF25="","",IF($AF25&gt;=Settings!$C$76,"BORA SANA",IF($AF25&gt;=Settings!$C$77,"NZURI SANA",IF($AF25&gt;=Settings!$C$78,"NZURI",IF($AF25&gt;=Settings!$C$79,"WASTANI",IF($AF25&gt;=Settings!$C$80,"DHAIFU","DHAIFU SANA"))))))</f>
        <v>NZURI</v>
      </c>
      <c r="AM25" s="339" t="str">
        <f>IF(NOT(ISNUMBER($W25)),"",IF($W25&gt;=Settings!$C$82,"Demand kubwa sana",IF($W25&gt;=Settings!$C$83,"Demand kubwa",IF($W25&gt;=Settings!$C$84,"Demand ya wastani","Demand ndogo sana"))))</f>
        <v>Demand ya wastani</v>
      </c>
      <c r="AN25" s="339" t="str">
        <f>IF($R25="","",IF(OR(NOT(ISNUMBER($U25)),NOT(ISNUMBER($W25))),"INCOMPLETE DATA",IF($U25&lt;Settings!$C$88,"Epuka : ubora dhaifu",IF(AND($U25&gt;=Settings!$C$86,$W25&gt;=Settings!$C$87),"Nunua : ubora na mwelekeo vinaungana",IF($U25&gt;=Settings!$C$86,"Fuatilia : ubora mzuri, mwelekeo bado haujathibitisha",IF($W25&gt;=Settings!$C$89,"Fuatilia : ubora wa wastani","Fuatilia : ubora wa wastani, mwelekeo bado dhaifu"))))))</f>
        <v>Fuatilia : ubora mzuri, mwelekeo bado haujathibitisha</v>
      </c>
      <c r="AO25" s="339">
        <f ca="1">IF($R25="","",IF(COUNTIFS('Fundamental Scorecard'!$A$5:$A$44,$R25,'Fundamental Scorecard'!$AE$5:$AE$44,"&gt;=-1E+300")=0,"",SUMIFS('Fundamental Scorecard'!$AE$5:$AE$44,'Fundamental Scorecard'!$A$5:$A$44,$R25)))</f>
        <v>2</v>
      </c>
      <c r="AP25" s="339" t="str" cm="1">
        <f t="array" ref="AP25">IF($R25="","",IF(ISNUMBER(SEARCH("cross-listed",INDEX(Symbols!$C$4:$C$43,ROW()-24))),"YES","NO"))</f>
        <v>NO</v>
      </c>
    </row>
    <row r="26" spans="1:42" x14ac:dyDescent="0.3">
      <c r="A26" s="344" cm="1">
        <f t="array" aca="1" ref="A26" ca="1">IF($Q26="","",IF(INDEX($AD$25:$AD$64,$Q26)="YES",INDEX($AH$25:$AH$64,$Q26),"—"))</f>
        <v>2</v>
      </c>
      <c r="B26" s="318" t="str" cm="1">
        <f t="array" aca="1" ref="B26" ca="1">IF($Q26="","",INDEX($R$25:$R$64,$Q26))</f>
        <v>NICO</v>
      </c>
      <c r="C26" s="319" t="str" cm="1">
        <f t="array" aca="1" ref="C26" ca="1">IF($Q26="","",INDEX($S$25:$S$64,$Q26))</f>
        <v>National Investments Company Ltd (NICOL)</v>
      </c>
      <c r="D26" s="319" t="str" cm="1">
        <f t="array" aca="1" ref="D26" ca="1">IF($Q26="","",INDEX($T$25:$T$64,$Q26))</f>
        <v>Investment</v>
      </c>
      <c r="E26" s="100" cm="1">
        <f t="array" aca="1" ref="E26" ca="1">IF($Q26="","",INDEX($U$25:$U$64,$Q26))</f>
        <v>85.3</v>
      </c>
      <c r="F26" s="100" cm="1">
        <f t="array" aca="1" ref="F26" ca="1">IF($Q26="","",INDEX($W$25:$W$64,$Q26))</f>
        <v>76.5</v>
      </c>
      <c r="G26" s="100" cm="1">
        <f t="array" aca="1" ref="G26" ca="1">IF($Q26="","",INDEX($AF$25:$AF$64,$Q26))</f>
        <v>82.7</v>
      </c>
      <c r="H26" s="319" t="str" cm="1">
        <f t="array" aca="1" ref="H26" ca="1">IF($Q26="","",INDEX($AL$25:$AL$64,$Q26))</f>
        <v>BORA SANA</v>
      </c>
      <c r="I26" s="319" t="str" cm="1">
        <f t="array" aca="1" ref="I26" ca="1">IF($Q26="","",INDEX($AM$25:$AM$64,$Q26))</f>
        <v>Demand kubwa</v>
      </c>
      <c r="J26" s="319" t="str" cm="1">
        <f t="array" aca="1" ref="J26" ca="1">IF($Q26="","",INDEX($AN$25:$AN$64,$Q26))</f>
        <v>Nunua : ubora na mwelekeo vinaungana</v>
      </c>
      <c r="K26" s="100" cm="1">
        <f t="array" aca="1" ref="K26" ca="1">IF($Q26="","",INDEX($AA$25:$AA$64,$Q26))</f>
        <v>38.5</v>
      </c>
      <c r="L26" s="100" cm="1">
        <f t="array" aca="1" ref="L26" ca="1">IF($Q26="","",INDEX($AB$25:$AB$64,$Q26))</f>
        <v>75</v>
      </c>
      <c r="M26" s="319" t="str" cm="1">
        <f t="array" aca="1" ref="M26" ca="1">IF($Q26="","",INDEX($V$25:$V$64,$Q26))</f>
        <v>Half to 30 Jun 2026</v>
      </c>
      <c r="N26" s="95">
        <f ca="1">IF($Q26="","",$C$7)</f>
        <v>46248</v>
      </c>
      <c r="O26" s="102" t="str" cm="1">
        <f t="array" aca="1" ref="O26" ca="1">IF($Q26="","",INDEX($AJ$25:$AJ$64,$Q26))</f>
        <v/>
      </c>
      <c r="P26" s="319" t="str" cm="1">
        <f t="array" aca="1" ref="P26" ca="1">IF($Q26="","",IF(INDEX($AK$25:$AK$64,$Q26)="","",IF(INDEX($AK$25:$AK$64,$Q26)&gt;0,"▲ +"&amp;INDEX($AK$25:$AK$64,$Q26),IF(INDEX($AK$25:$AK$64,$Q26)&lt;0,"▼ "&amp;INDEX($AK$25:$AK$64,$Q26),"= 0"))))</f>
        <v/>
      </c>
      <c r="Q26" s="116" cm="1">
        <f t="array" aca="1" ref="Q26" ca="1">IF(ROW()-24&lt;=COUNT($AH$25:$AH$64),IFERROR(MATCH(ROW()-24,$AH$25:$AH$64,0),""),IFERROR(SMALL(IF(($AI$25:$AI$64=1)*($AD$25:$AD$64&lt;&gt;"YES")*($R$25:$R$64&lt;&gt;""),ROW($AI$25:$AI$64)-24),ROW()-24-COUNT($AH$25:$AH$64)),""))</f>
        <v>14</v>
      </c>
      <c r="R26" s="339" t="str">
        <f>IF(Symbols!A5="","",Symbols!A5)</f>
        <v>CRDB</v>
      </c>
      <c r="S26" s="339" t="str" cm="1">
        <f t="array" ref="S26">IF($R26="","",INDEX(Symbols!$B$4:$B$43,ROW()-24))</f>
        <v>CRDB Bank PLC</v>
      </c>
      <c r="T26" s="339" t="str" cm="1">
        <f t="array" ref="T26">IF($R26="","",INDEX(Symbols!$D$4:$D$43,ROW()-24))</f>
        <v>Banking</v>
      </c>
      <c r="U26" s="340">
        <f>IF($R26="","",IF(COUNTIFS('Fundamental Scorecard'!$A$5:$A$44,$R26,'Fundamental Scorecard'!$E$5:$E$44,"&gt;=-1E+300")=0,"",SUMIFS('Fundamental Scorecard'!$E$5:$E$44,'Fundamental Scorecard'!$A$5:$A$44,$R26)))</f>
        <v>81.3</v>
      </c>
      <c r="V26" s="339" t="str">
        <f>IF($R26="","",IFERROR(IF(INDEX('Fundamental Scorecard'!$D$5:$D$44,MATCH($R26,'Fundamental Scorecard'!$A$5:$A$44,0))=0,"",INDEX('Fundamental Scorecard'!$D$5:$D$44,MATCH($R26,'Fundamental Scorecard'!$A$5:$A$44,0))),""))</f>
        <v>Q2 2026 (30 Jun 2026)</v>
      </c>
      <c r="W26" s="340">
        <f>IF(OR($R26="",$C$7=""),"",IF(COUNTIFS('Daily Data'!$B$4:$B$503,$R26,'Daily Data'!$A$4:$A$503,$C$7,'Daily Data'!$AH$4:$AH$503,"&gt;=-1E+300")=0,"",SUMIFS('Daily Data'!$AH$4:$AH$503,'Daily Data'!$B$4:$B$503,$R26,'Daily Data'!$A$4:$A$503,$C$7)))</f>
        <v>70.599999999999994</v>
      </c>
      <c r="X26" s="341">
        <f>IF(OR($R26="",$C$7=""),"",IF(COUNTIFS('Daily Data'!$B$4:$B$503,$R26,'Daily Data'!$A$4:$A$503,$C$7,'Daily Data'!$S$4:$S$503,"&gt;=-1E+300")=0,"",SUMIFS('Daily Data'!$S$4:$S$503,'Daily Data'!$B$4:$B$503,$R26,'Daily Data'!$A$4:$A$503,$C$7)))</f>
        <v>4.8377019800970382</v>
      </c>
      <c r="Y26" s="342" t="str">
        <f>IF(OR($R26="",$C$7=""),"",IF(COUNTIFS('Daily Data'!$B$4:$B$503,$R26,'Daily Data'!$A$4:$A$503,$C$7,'Daily Data'!$AA$4:$AA$503,"&gt;=-1E+300")=0,"",SUMIFS('Daily Data'!$AA$4:$AA$503,'Daily Data'!$B$4:$B$503,$R26,'Daily Data'!$A$4:$A$503,$C$7)))</f>
        <v/>
      </c>
      <c r="Z26" s="341" t="str">
        <f>IF(OR($R26="",$C$7=""),"",IF(COUNTIFS('Daily Data'!$B$4:$B$503,$R26,'Daily Data'!$A$4:$A$503,$C$7,'Daily Data'!$AC$4:$AC$503,"&gt;=-1E+300")=0,"",SUMIFS('Daily Data'!$AC$4:$AC$503,'Daily Data'!$B$4:$B$503,$R26,'Daily Data'!$A$4:$A$503,$C$7)))</f>
        <v/>
      </c>
      <c r="AA26" s="340">
        <f>IF(OR($R26="",$C$7=""),"",IF(COUNTIFS('Daily Data'!$B$4:$B$503,$R26,'Daily Data'!$A$4:$A$503,$C$7,'Daily Data'!$AG$4:$AG$503,"&gt;=-1E+300")=0,"",SUMIFS('Daily Data'!$AG$4:$AG$503,'Daily Data'!$B$4:$B$503,$R26,'Daily Data'!$A$4:$A$503,$C$7)))</f>
        <v>92.7</v>
      </c>
      <c r="AB26" s="340">
        <f>IF(OR($R26="",$C$7=""),"",IF(COUNTIFS('Daily Data'!$B$4:$B$503,$R26,'Daily Data'!$A$4:$A$503,$C$7,'Daily Data'!$AI$4:$AI$503,"&gt;=-1E+300")=0,"",SUMIFS('Daily Data'!$AI$4:$AI$503,'Daily Data'!$B$4:$B$503,$R26,'Daily Data'!$A$4:$A$503,$C$7)))</f>
        <v>75</v>
      </c>
      <c r="AC26" s="339" t="str" cm="1">
        <f t="array" ref="AC26">IF($R26="","",IF(UPPER(INDEX(Symbols!$F$4:$F$43,ROW()-24))="YES","YES","NO"))</f>
        <v>YES</v>
      </c>
      <c r="AD26" s="339" t="str">
        <f ca="1">IF($R26="","",IF(ROUND(Settings!$C$65+Settings!$C$66,6)&lt;&gt;1,"NO",IF($AC26&lt;&gt;"YES","NO",IF(AND(UPPER(Settings!$C$105)="YES",$AP26="YES"),"NO",IF(NOT(ISNUMBER($U26)),"NO",IF(NOT(ISNUMBER($W26)),"NO",IF($C$7="","NO",IF($C$6-$C$7&gt;Settings!$C$70,"NO",IF(AND(ISNUMBER($AO26),$AO26&gt;Settings!$C$104),"NO",IF(N($AB26)&lt;Settings!$C$71,"NO",IF(N($AA26)&lt;Settings!$C$72,"NO","YES")))))))))))</f>
        <v>YES</v>
      </c>
      <c r="AE26" s="339" t="str">
        <f ca="1">IF($R26="","",IF($AD26="YES","",IF(ROUND(Settings!$C$65+Settings!$C$66,6)&lt;&gt;1,"Ranking weights do not total 100%",IF($AC26&lt;&gt;"YES","Security is not active",IF(AND(UPPER(Settings!$C$105)="YES",$AP26="YES"),"Cross-listed security, excluded by Settings!C105",IF(NOT(ISNUMBER($U26)),"Missing fundamental data",IF(NOT(ISNUMBER($W26)),"No market observation on the date used",IF($C$7="","No market data available",IF($C$6-$C$7&gt;Settings!$C$70,"Market data is stale",IF(AND(ISNUMBER($AO26),$AO26&gt;Settings!$C$104),"Fundamental statement is stale ("&amp;$AO26&amp;" months old)",IF(N($AB26)&lt;Settings!$C$71,"Data confidence below minimum","Liquidity below minimum")))))))))))</f>
        <v/>
      </c>
      <c r="AF26" s="340">
        <f ca="1">IF($AD26&lt;&gt;"YES","",ROUND($U26*RankingFundamentalWeight+$W26*RankingSentimentWeight,1))</f>
        <v>78.099999999999994</v>
      </c>
      <c r="AG26" s="339">
        <f ca="1">IF($AD26&lt;&gt;"YES","",$AF26+$U26/10000+$W26/100000000+N($AB26)/1000000000000)</f>
        <v>78.108130706074988</v>
      </c>
      <c r="AH26" s="343" cm="1">
        <f t="array" aca="1" ref="AH26" ca="1">IF(OR($AD26&lt;&gt;"YES",$AI26&lt;&gt;1),"",SUMPRODUCT(($AI$25:$AI$64=1)*($AD$25:$AD$64="YES")*($AG$25:$AG$64&gt;$AG26))+SUMPRODUCT(($AI$25:$AI$64=1)*($AD$25:$AD$64="YES")*($AG$25:$AG$64=$AG26)*($R$25:$R$64&lt;$R26))+1)</f>
        <v>4</v>
      </c>
      <c r="AI26" s="339">
        <f ca="1">IF($R26="","",IF(AND(OR($A$22="",$T26=$A$22),OR($B$22="",$AL26=$B$22),OR($C$22="",$AM26=$C$22),OR($D$22="",AND(ISNUMBER($U26),N($U26)&gt;=$D$22)),OR($E$22="",AND(ISNUMBER($W26),N($W26)&gt;=$E$22)),OR($F$22="",AND(ISNUMBER($AF26),N($AF26)&gt;=$F$22)),OR($G$22="",N($AA26)&gt;=$G$22),OR($H$22="",N($AB26)&gt;=$H$22),OR(UPPER($I$22)&lt;&gt;"YES",$AC26="YES"),OR(UPPER($J$22)&lt;&gt;"YES",$AD26="YES")),1,0))</f>
        <v>1</v>
      </c>
      <c r="AJ26" s="339" t="str">
        <f>IF(OR($R26="",$C$11=""),"",IF(COUNTIFS('Ranking History'!$B$5:$B$2000,$R26,'Ranking History'!$A$5:$A$2000,$C$11)=0,"",SUMIFS('Ranking History'!$C$5:$C$2000,'Ranking History'!$B$5:$B$2000,$R26,'Ranking History'!$A$5:$A$2000,$C$11)))</f>
        <v/>
      </c>
      <c r="AK26" s="339" t="str">
        <f ca="1">IF(OR($AJ26="",$AH26=""),"",$AJ26-$AH26)</f>
        <v/>
      </c>
      <c r="AL26" s="339" t="str">
        <f ca="1">IF($AF26="","",IF($AF26&gt;=Settings!$C$76,"BORA SANA",IF($AF26&gt;=Settings!$C$77,"NZURI SANA",IF($AF26&gt;=Settings!$C$78,"NZURI",IF($AF26&gt;=Settings!$C$79,"WASTANI",IF($AF26&gt;=Settings!$C$80,"DHAIFU","DHAIFU SANA"))))))</f>
        <v>NZURI SANA</v>
      </c>
      <c r="AM26" s="339" t="str">
        <f>IF(NOT(ISNUMBER($W26)),"",IF($W26&gt;=Settings!$C$82,"Demand kubwa sana",IF($W26&gt;=Settings!$C$83,"Demand kubwa",IF($W26&gt;=Settings!$C$84,"Demand ya wastani","Demand ndogo sana"))))</f>
        <v>Demand kubwa</v>
      </c>
      <c r="AN26" s="339" t="str">
        <f>IF($R26="","",IF(OR(NOT(ISNUMBER($U26)),NOT(ISNUMBER($W26))),"INCOMPLETE DATA",IF($U26&lt;Settings!$C$88,"Epuka : ubora dhaifu",IF(AND($U26&gt;=Settings!$C$86,$W26&gt;=Settings!$C$87),"Nunua : ubora na mwelekeo vinaungana",IF($U26&gt;=Settings!$C$86,"Fuatilia : ubora mzuri, mwelekeo bado haujathibitisha",IF($W26&gt;=Settings!$C$89,"Fuatilia : ubora wa wastani","Fuatilia : ubora wa wastani, mwelekeo bado dhaifu"))))))</f>
        <v>Nunua : ubora na mwelekeo vinaungana</v>
      </c>
      <c r="AO26" s="339">
        <f ca="1">IF($R26="","",IF(COUNTIFS('Fundamental Scorecard'!$A$5:$A$44,$R26,'Fundamental Scorecard'!$AE$5:$AE$44,"&gt;=-1E+300")=0,"",SUMIFS('Fundamental Scorecard'!$AE$5:$AE$44,'Fundamental Scorecard'!$A$5:$A$44,$R26)))</f>
        <v>2</v>
      </c>
      <c r="AP26" s="339" t="str" cm="1">
        <f t="array" ref="AP26">IF($R26="","",IF(ISNUMBER(SEARCH("cross-listed",INDEX(Symbols!$C$4:$C$43,ROW()-24))),"YES","NO"))</f>
        <v>NO</v>
      </c>
    </row>
    <row r="27" spans="1:42" x14ac:dyDescent="0.3">
      <c r="A27" s="344" cm="1">
        <f t="array" aca="1" ref="A27" ca="1">IF($Q27="","",IF(INDEX($AD$25:$AD$64,$Q27)="YES",INDEX($AH$25:$AH$64,$Q27),"—"))</f>
        <v>3</v>
      </c>
      <c r="B27" s="318" t="str" cm="1">
        <f t="array" aca="1" ref="B27" ca="1">IF($Q27="","",INDEX($R$25:$R$64,$Q27))</f>
        <v>NMB</v>
      </c>
      <c r="C27" s="319" t="str" cm="1">
        <f t="array" aca="1" ref="C27" ca="1">IF($Q27="","",INDEX($S$25:$S$64,$Q27))</f>
        <v>NMB Bank PLC</v>
      </c>
      <c r="D27" s="319" t="str" cm="1">
        <f t="array" aca="1" ref="D27" ca="1">IF($Q27="","",INDEX($T$25:$T$64,$Q27))</f>
        <v>Banking</v>
      </c>
      <c r="E27" s="100" cm="1">
        <f t="array" aca="1" ref="E27" ca="1">IF($Q27="","",INDEX($U$25:$U$64,$Q27))</f>
        <v>82.5</v>
      </c>
      <c r="F27" s="100" cm="1">
        <f t="array" aca="1" ref="F27" ca="1">IF($Q27="","",INDEX($W$25:$W$64,$Q27))</f>
        <v>70.900000000000006</v>
      </c>
      <c r="G27" s="100" cm="1">
        <f t="array" aca="1" ref="G27" ca="1">IF($Q27="","",INDEX($AF$25:$AF$64,$Q27))</f>
        <v>79</v>
      </c>
      <c r="H27" s="319" t="str" cm="1">
        <f t="array" aca="1" ref="H27" ca="1">IF($Q27="","",INDEX($AL$25:$AL$64,$Q27))</f>
        <v>NZURI SANA</v>
      </c>
      <c r="I27" s="319" t="str" cm="1">
        <f t="array" aca="1" ref="I27" ca="1">IF($Q27="","",INDEX($AM$25:$AM$64,$Q27))</f>
        <v>Demand kubwa</v>
      </c>
      <c r="J27" s="319" t="str" cm="1">
        <f t="array" aca="1" ref="J27" ca="1">IF($Q27="","",INDEX($AN$25:$AN$64,$Q27))</f>
        <v>Nunua : ubora na mwelekeo vinaungana</v>
      </c>
      <c r="K27" s="100" cm="1">
        <f t="array" aca="1" ref="K27" ca="1">IF($Q27="","",INDEX($AA$25:$AA$64,$Q27))</f>
        <v>80.2</v>
      </c>
      <c r="L27" s="100" cm="1">
        <f t="array" aca="1" ref="L27" ca="1">IF($Q27="","",INDEX($AB$25:$AB$64,$Q27))</f>
        <v>75</v>
      </c>
      <c r="M27" s="319" t="str" cm="1">
        <f t="array" aca="1" ref="M27" ca="1">IF($Q27="","",INDEX($V$25:$V$64,$Q27))</f>
        <v>Q2 2026 (30 Jun 2026)</v>
      </c>
      <c r="N27" s="95">
        <f ca="1">IF($Q27="","",$C$7)</f>
        <v>46248</v>
      </c>
      <c r="O27" s="102" t="str" cm="1">
        <f t="array" aca="1" ref="O27" ca="1">IF($Q27="","",INDEX($AJ$25:$AJ$64,$Q27))</f>
        <v/>
      </c>
      <c r="P27" s="319" t="str" cm="1">
        <f t="array" aca="1" ref="P27" ca="1">IF($Q27="","",IF(INDEX($AK$25:$AK$64,$Q27)="","",IF(INDEX($AK$25:$AK$64,$Q27)&gt;0,"▲ +"&amp;INDEX($AK$25:$AK$64,$Q27),IF(INDEX($AK$25:$AK$64,$Q27)&lt;0,"▼ "&amp;INDEX($AK$25:$AK$64,$Q27),"= 0"))))</f>
        <v/>
      </c>
      <c r="Q27" s="116" cm="1">
        <f t="array" aca="1" ref="Q27" ca="1">IF(ROW()-24&lt;=COUNT($AH$25:$AH$64),IFERROR(MATCH(ROW()-24,$AH$25:$AH$64,0),""),IFERROR(SMALL(IF(($AI$25:$AI$64=1)*($AD$25:$AD$64&lt;&gt;"YES")*($R$25:$R$64&lt;&gt;""),ROW($AI$25:$AI$64)-24),ROW()-24-COUNT($AH$25:$AH$64)),""))</f>
        <v>15</v>
      </c>
      <c r="R27" s="339" t="str">
        <f>IF(Symbols!A6="","",Symbols!A6)</f>
        <v>DCB</v>
      </c>
      <c r="S27" s="339" t="str" cm="1">
        <f t="array" ref="S27">IF($R27="","",INDEX(Symbols!$B$4:$B$43,ROW()-24))</f>
        <v>DCB Commercial Bank PLC</v>
      </c>
      <c r="T27" s="339" t="str" cm="1">
        <f t="array" ref="T27">IF($R27="","",INDEX(Symbols!$D$4:$D$43,ROW()-24))</f>
        <v>Banking</v>
      </c>
      <c r="U27" s="340">
        <f>IF($R27="","",IF(COUNTIFS('Fundamental Scorecard'!$A$5:$A$44,$R27,'Fundamental Scorecard'!$E$5:$E$44,"&gt;=-1E+300")=0,"",SUMIFS('Fundamental Scorecard'!$E$5:$E$44,'Fundamental Scorecard'!$A$5:$A$44,$R27)))</f>
        <v>24.9</v>
      </c>
      <c r="V27" s="339" t="str">
        <f>IF($R27="","",IFERROR(IF(INDEX('Fundamental Scorecard'!$D$5:$D$44,MATCH($R27,'Fundamental Scorecard'!$A$5:$A$44,0))=0,"",INDEX('Fundamental Scorecard'!$D$5:$D$44,MATCH($R27,'Fundamental Scorecard'!$A$5:$A$44,0))),""))</f>
        <v>Full to 31 Dec 2025</v>
      </c>
      <c r="W27" s="340">
        <f>IF(OR($R27="",$C$7=""),"",IF(COUNTIFS('Daily Data'!$B$4:$B$503,$R27,'Daily Data'!$A$4:$A$503,$C$7,'Daily Data'!$AH$4:$AH$503,"&gt;=-1E+300")=0,"",SUMIFS('Daily Data'!$AH$4:$AH$503,'Daily Data'!$B$4:$B$503,$R27,'Daily Data'!$A$4:$A$503,$C$7)))</f>
        <v>79.099999999999994</v>
      </c>
      <c r="X27" s="341" t="str">
        <f>IF(OR($R27="",$C$7=""),"",IF(COUNTIFS('Daily Data'!$B$4:$B$503,$R27,'Daily Data'!$A$4:$A$503,$C$7,'Daily Data'!$S$4:$S$503,"&gt;=-1E+300")=0,"",SUMIFS('Daily Data'!$S$4:$S$503,'Daily Data'!$B$4:$B$503,$R27,'Daily Data'!$A$4:$A$503,$C$7)))</f>
        <v/>
      </c>
      <c r="Y27" s="342" t="str">
        <f>IF(OR($R27="",$C$7=""),"",IF(COUNTIFS('Daily Data'!$B$4:$B$503,$R27,'Daily Data'!$A$4:$A$503,$C$7,'Daily Data'!$AA$4:$AA$503,"&gt;=-1E+300")=0,"",SUMIFS('Daily Data'!$AA$4:$AA$503,'Daily Data'!$B$4:$B$503,$R27,'Daily Data'!$A$4:$A$503,$C$7)))</f>
        <v/>
      </c>
      <c r="Z27" s="341" t="str">
        <f>IF(OR($R27="",$C$7=""),"",IF(COUNTIFS('Daily Data'!$B$4:$B$503,$R27,'Daily Data'!$A$4:$A$503,$C$7,'Daily Data'!$AC$4:$AC$503,"&gt;=-1E+300")=0,"",SUMIFS('Daily Data'!$AC$4:$AC$503,'Daily Data'!$B$4:$B$503,$R27,'Daily Data'!$A$4:$A$503,$C$7)))</f>
        <v/>
      </c>
      <c r="AA27" s="340">
        <f>IF(OR($R27="",$C$7=""),"",IF(COUNTIFS('Daily Data'!$B$4:$B$503,$R27,'Daily Data'!$A$4:$A$503,$C$7,'Daily Data'!$AG$4:$AG$503,"&gt;=-1E+300")=0,"",SUMIFS('Daily Data'!$AG$4:$AG$503,'Daily Data'!$B$4:$B$503,$R27,'Daily Data'!$A$4:$A$503,$C$7)))</f>
        <v>31.3</v>
      </c>
      <c r="AB27" s="340">
        <f>IF(OR($R27="",$C$7=""),"",IF(COUNTIFS('Daily Data'!$B$4:$B$503,$R27,'Daily Data'!$A$4:$A$503,$C$7,'Daily Data'!$AI$4:$AI$503,"&gt;=-1E+300")=0,"",SUMIFS('Daily Data'!$AI$4:$AI$503,'Daily Data'!$B$4:$B$503,$R27,'Daily Data'!$A$4:$A$503,$C$7)))</f>
        <v>75</v>
      </c>
      <c r="AC27" s="339" t="str" cm="1">
        <f t="array" ref="AC27">IF($R27="","",IF(UPPER(INDEX(Symbols!$F$4:$F$43,ROW()-24))="YES","YES","NO"))</f>
        <v>YES</v>
      </c>
      <c r="AD27" s="339" t="str">
        <f ca="1">IF($R27="","",IF(ROUND(Settings!$C$65+Settings!$C$66,6)&lt;&gt;1,"NO",IF($AC27&lt;&gt;"YES","NO",IF(AND(UPPER(Settings!$C$105)="YES",$AP27="YES"),"NO",IF(NOT(ISNUMBER($U27)),"NO",IF(NOT(ISNUMBER($W27)),"NO",IF($C$7="","NO",IF($C$6-$C$7&gt;Settings!$C$70,"NO",IF(AND(ISNUMBER($AO27),$AO27&gt;Settings!$C$104),"NO",IF(N($AB27)&lt;Settings!$C$71,"NO",IF(N($AA27)&lt;Settings!$C$72,"NO","YES")))))))))))</f>
        <v>YES</v>
      </c>
      <c r="AE27" s="339" t="str">
        <f ca="1">IF($R27="","",IF($AD27="YES","",IF(ROUND(Settings!$C$65+Settings!$C$66,6)&lt;&gt;1,"Ranking weights do not total 100%",IF($AC27&lt;&gt;"YES","Security is not active",IF(AND(UPPER(Settings!$C$105)="YES",$AP27="YES"),"Cross-listed security, excluded by Settings!C105",IF(NOT(ISNUMBER($U27)),"Missing fundamental data",IF(NOT(ISNUMBER($W27)),"No market observation on the date used",IF($C$7="","No market data available",IF($C$6-$C$7&gt;Settings!$C$70,"Market data is stale",IF(AND(ISNUMBER($AO27),$AO27&gt;Settings!$C$104),"Fundamental statement is stale ("&amp;$AO27&amp;" months old)",IF(N($AB27)&lt;Settings!$C$71,"Data confidence below minimum","Liquidity below minimum")))))))))))</f>
        <v/>
      </c>
      <c r="AF27" s="340">
        <f ca="1">IF($AD27&lt;&gt;"YES","",ROUND($U27*RankingFundamentalWeight+$W27*RankingSentimentWeight,1))</f>
        <v>41.2</v>
      </c>
      <c r="AG27" s="339">
        <f ca="1">IF($AD27&lt;&gt;"YES","",$AF27+$U27/10000+$W27/100000000+N($AB27)/1000000000000)</f>
        <v>41.202490791075</v>
      </c>
      <c r="AH27" s="343" cm="1">
        <f t="array" aca="1" ref="AH27" ca="1">IF(OR($AD27&lt;&gt;"YES",$AI27&lt;&gt;1),"",SUMPRODUCT(($AI$25:$AI$64=1)*($AD$25:$AD$64="YES")*($AG$25:$AG$64&gt;$AG27))+SUMPRODUCT(($AI$25:$AI$64=1)*($AD$25:$AD$64="YES")*($AG$25:$AG$64=$AG27)*($R$25:$R$64&lt;$R27))+1)</f>
        <v>16</v>
      </c>
      <c r="AI27" s="339">
        <f ca="1">IF($R27="","",IF(AND(OR($A$22="",$T27=$A$22),OR($B$22="",$AL27=$B$22),OR($C$22="",$AM27=$C$22),OR($D$22="",AND(ISNUMBER($U27),N($U27)&gt;=$D$22)),OR($E$22="",AND(ISNUMBER($W27),N($W27)&gt;=$E$22)),OR($F$22="",AND(ISNUMBER($AF27),N($AF27)&gt;=$F$22)),OR($G$22="",N($AA27)&gt;=$G$22),OR($H$22="",N($AB27)&gt;=$H$22),OR(UPPER($I$22)&lt;&gt;"YES",$AC27="YES"),OR(UPPER($J$22)&lt;&gt;"YES",$AD27="YES")),1,0))</f>
        <v>1</v>
      </c>
      <c r="AJ27" s="339" t="str">
        <f>IF(OR($R27="",$C$11=""),"",IF(COUNTIFS('Ranking History'!$B$5:$B$2000,$R27,'Ranking History'!$A$5:$A$2000,$C$11)=0,"",SUMIFS('Ranking History'!$C$5:$C$2000,'Ranking History'!$B$5:$B$2000,$R27,'Ranking History'!$A$5:$A$2000,$C$11)))</f>
        <v/>
      </c>
      <c r="AK27" s="339" t="str">
        <f ca="1">IF(OR($AJ27="",$AH27=""),"",$AJ27-$AH27)</f>
        <v/>
      </c>
      <c r="AL27" s="339" t="str">
        <f ca="1">IF($AF27="","",IF($AF27&gt;=Settings!$C$76,"BORA SANA",IF($AF27&gt;=Settings!$C$77,"NZURI SANA",IF($AF27&gt;=Settings!$C$78,"NZURI",IF($AF27&gt;=Settings!$C$79,"WASTANI",IF($AF27&gt;=Settings!$C$80,"DHAIFU","DHAIFU SANA"))))))</f>
        <v>DHAIFU</v>
      </c>
      <c r="AM27" s="339" t="str">
        <f>IF(NOT(ISNUMBER($W27)),"",IF($W27&gt;=Settings!$C$82,"Demand kubwa sana",IF($W27&gt;=Settings!$C$83,"Demand kubwa",IF($W27&gt;=Settings!$C$84,"Demand ya wastani","Demand ndogo sana"))))</f>
        <v>Demand kubwa</v>
      </c>
      <c r="AN27" s="339" t="str">
        <f>IF($R27="","",IF(OR(NOT(ISNUMBER($U27)),NOT(ISNUMBER($W27))),"INCOMPLETE DATA",IF($U27&lt;Settings!$C$88,"Epuka : ubora dhaifu",IF(AND($U27&gt;=Settings!$C$86,$W27&gt;=Settings!$C$87),"Nunua : ubora na mwelekeo vinaungana",IF($U27&gt;=Settings!$C$86,"Fuatilia : ubora mzuri, mwelekeo bado haujathibitisha",IF($W27&gt;=Settings!$C$89,"Fuatilia : ubora wa wastani","Fuatilia : ubora wa wastani, mwelekeo bado dhaifu"))))))</f>
        <v>Epuka : ubora dhaifu</v>
      </c>
      <c r="AO27" s="339">
        <f ca="1">IF($R27="","",IF(COUNTIFS('Fundamental Scorecard'!$A$5:$A$44,$R27,'Fundamental Scorecard'!$AE$5:$AE$44,"&gt;=-1E+300")=0,"",SUMIFS('Fundamental Scorecard'!$AE$5:$AE$44,'Fundamental Scorecard'!$A$5:$A$44,$R27)))</f>
        <v>7</v>
      </c>
      <c r="AP27" s="339" t="str" cm="1">
        <f t="array" ref="AP27">IF($R27="","",IF(ISNUMBER(SEARCH("cross-listed",INDEX(Symbols!$C$4:$C$43,ROW()-24))),"YES","NO"))</f>
        <v>NO</v>
      </c>
    </row>
    <row r="28" spans="1:42" x14ac:dyDescent="0.3">
      <c r="A28" s="344" cm="1">
        <f t="array" aca="1" ref="A28" ca="1">IF($Q28="","",IF(INDEX($AD$25:$AD$64,$Q28)="YES",INDEX($AH$25:$AH$64,$Q28),"—"))</f>
        <v>4</v>
      </c>
      <c r="B28" s="318" t="str" cm="1">
        <f t="array" aca="1" ref="B28" ca="1">IF($Q28="","",INDEX($R$25:$R$64,$Q28))</f>
        <v>CRDB</v>
      </c>
      <c r="C28" s="319" t="str" cm="1">
        <f t="array" aca="1" ref="C28" ca="1">IF($Q28="","",INDEX($S$25:$S$64,$Q28))</f>
        <v>CRDB Bank PLC</v>
      </c>
      <c r="D28" s="319" t="str" cm="1">
        <f t="array" aca="1" ref="D28" ca="1">IF($Q28="","",INDEX($T$25:$T$64,$Q28))</f>
        <v>Banking</v>
      </c>
      <c r="E28" s="100" cm="1">
        <f t="array" aca="1" ref="E28" ca="1">IF($Q28="","",INDEX($U$25:$U$64,$Q28))</f>
        <v>81.3</v>
      </c>
      <c r="F28" s="100" cm="1">
        <f t="array" aca="1" ref="F28" ca="1">IF($Q28="","",INDEX($W$25:$W$64,$Q28))</f>
        <v>70.599999999999994</v>
      </c>
      <c r="G28" s="100" cm="1">
        <f t="array" aca="1" ref="G28" ca="1">IF($Q28="","",INDEX($AF$25:$AF$64,$Q28))</f>
        <v>78.099999999999994</v>
      </c>
      <c r="H28" s="319" t="str" cm="1">
        <f t="array" aca="1" ref="H28" ca="1">IF($Q28="","",INDEX($AL$25:$AL$64,$Q28))</f>
        <v>NZURI SANA</v>
      </c>
      <c r="I28" s="319" t="str" cm="1">
        <f t="array" aca="1" ref="I28" ca="1">IF($Q28="","",INDEX($AM$25:$AM$64,$Q28))</f>
        <v>Demand kubwa</v>
      </c>
      <c r="J28" s="319" t="str" cm="1">
        <f t="array" aca="1" ref="J28" ca="1">IF($Q28="","",INDEX($AN$25:$AN$64,$Q28))</f>
        <v>Nunua : ubora na mwelekeo vinaungana</v>
      </c>
      <c r="K28" s="100" cm="1">
        <f t="array" aca="1" ref="K28" ca="1">IF($Q28="","",INDEX($AA$25:$AA$64,$Q28))</f>
        <v>92.7</v>
      </c>
      <c r="L28" s="100" cm="1">
        <f t="array" aca="1" ref="L28" ca="1">IF($Q28="","",INDEX($AB$25:$AB$64,$Q28))</f>
        <v>75</v>
      </c>
      <c r="M28" s="319" t="str" cm="1">
        <f t="array" aca="1" ref="M28" ca="1">IF($Q28="","",INDEX($V$25:$V$64,$Q28))</f>
        <v>Q2 2026 (30 Jun 2026)</v>
      </c>
      <c r="N28" s="95">
        <f ca="1">IF($Q28="","",$C$7)</f>
        <v>46248</v>
      </c>
      <c r="O28" s="102" t="str" cm="1">
        <f t="array" aca="1" ref="O28" ca="1">IF($Q28="","",INDEX($AJ$25:$AJ$64,$Q28))</f>
        <v/>
      </c>
      <c r="P28" s="319" t="str" cm="1">
        <f t="array" aca="1" ref="P28" ca="1">IF($Q28="","",IF(INDEX($AK$25:$AK$64,$Q28)="","",IF(INDEX($AK$25:$AK$64,$Q28)&gt;0,"▲ +"&amp;INDEX($AK$25:$AK$64,$Q28),IF(INDEX($AK$25:$AK$64,$Q28)&lt;0,"▼ "&amp;INDEX($AK$25:$AK$64,$Q28),"= 0"))))</f>
        <v/>
      </c>
      <c r="Q28" s="116" cm="1">
        <f t="array" aca="1" ref="Q28" ca="1">IF(ROW()-24&lt;=COUNT($AH$25:$AH$64),IFERROR(MATCH(ROW()-24,$AH$25:$AH$64,0),""),IFERROR(SMALL(IF(($AI$25:$AI$64=1)*($AD$25:$AD$64&lt;&gt;"YES")*($R$25:$R$64&lt;&gt;""),ROW($AI$25:$AI$64)-24),ROW()-24-COUNT($AH$25:$AH$64)),""))</f>
        <v>2</v>
      </c>
      <c r="R28" s="339" t="str">
        <f>IF(Symbols!A7="","",Symbols!A7)</f>
        <v>DSE</v>
      </c>
      <c r="S28" s="339" t="str" cm="1">
        <f t="array" ref="S28">IF($R28="","",INDEX(Symbols!$B$4:$B$43,ROW()-24))</f>
        <v>Dar es Salaam Stock Exchange PLC</v>
      </c>
      <c r="T28" s="339" t="str" cm="1">
        <f t="array" ref="T28">IF($R28="","",INDEX(Symbols!$D$4:$D$43,ROW()-24))</f>
        <v>Financial Services</v>
      </c>
      <c r="U28" s="340">
        <f>IF($R28="","",IF(COUNTIFS('Fundamental Scorecard'!$A$5:$A$44,$R28,'Fundamental Scorecard'!$E$5:$E$44,"&gt;=-1E+300")=0,"",SUMIFS('Fundamental Scorecard'!$E$5:$E$44,'Fundamental Scorecard'!$A$5:$A$44,$R28)))</f>
        <v>92.7</v>
      </c>
      <c r="V28" s="339" t="str">
        <f>IF($R28="","",IFERROR(IF(INDEX('Fundamental Scorecard'!$D$5:$D$44,MATCH($R28,'Fundamental Scorecard'!$A$5:$A$44,0))=0,"",INDEX('Fundamental Scorecard'!$D$5:$D$44,MATCH($R28,'Fundamental Scorecard'!$A$5:$A$44,0))),""))</f>
        <v>Half to 30 Jun 2026</v>
      </c>
      <c r="W28" s="340">
        <f>IF(OR($R28="",$C$7=""),"",IF(COUNTIFS('Daily Data'!$B$4:$B$503,$R28,'Daily Data'!$A$4:$A$503,$C$7,'Daily Data'!$AH$4:$AH$503,"&gt;=-1E+300")=0,"",SUMIFS('Daily Data'!$AH$4:$AH$503,'Daily Data'!$B$4:$B$503,$R28,'Daily Data'!$A$4:$A$503,$C$7)))</f>
        <v>72.8</v>
      </c>
      <c r="X28" s="341">
        <f>IF(OR($R28="",$C$7=""),"",IF(COUNTIFS('Daily Data'!$B$4:$B$503,$R28,'Daily Data'!$A$4:$A$503,$C$7,'Daily Data'!$S$4:$S$503,"&gt;=-1E+300")=0,"",SUMIFS('Daily Data'!$S$4:$S$503,'Daily Data'!$B$4:$B$503,$R28,'Daily Data'!$A$4:$A$503,$C$7)))</f>
        <v>6.7363834422657956</v>
      </c>
      <c r="Y28" s="342" t="str">
        <f>IF(OR($R28="",$C$7=""),"",IF(COUNTIFS('Daily Data'!$B$4:$B$503,$R28,'Daily Data'!$A$4:$A$503,$C$7,'Daily Data'!$AA$4:$AA$503,"&gt;=-1E+300")=0,"",SUMIFS('Daily Data'!$AA$4:$AA$503,'Daily Data'!$B$4:$B$503,$R28,'Daily Data'!$A$4:$A$503,$C$7)))</f>
        <v/>
      </c>
      <c r="Z28" s="341" t="str">
        <f>IF(OR($R28="",$C$7=""),"",IF(COUNTIFS('Daily Data'!$B$4:$B$503,$R28,'Daily Data'!$A$4:$A$503,$C$7,'Daily Data'!$AC$4:$AC$503,"&gt;=-1E+300")=0,"",SUMIFS('Daily Data'!$AC$4:$AC$503,'Daily Data'!$B$4:$B$503,$R28,'Daily Data'!$A$4:$A$503,$C$7)))</f>
        <v/>
      </c>
      <c r="AA28" s="340">
        <f>IF(OR($R28="",$C$7=""),"",IF(COUNTIFS('Daily Data'!$B$4:$B$503,$R28,'Daily Data'!$A$4:$A$503,$C$7,'Daily Data'!$AG$4:$AG$503,"&gt;=-1E+300")=0,"",SUMIFS('Daily Data'!$AG$4:$AG$503,'Daily Data'!$B$4:$B$503,$R28,'Daily Data'!$A$4:$A$503,$C$7)))</f>
        <v>4.4000000000000004</v>
      </c>
      <c r="AB28" s="340">
        <f>IF(OR($R28="",$C$7=""),"",IF(COUNTIFS('Daily Data'!$B$4:$B$503,$R28,'Daily Data'!$A$4:$A$503,$C$7,'Daily Data'!$AI$4:$AI$503,"&gt;=-1E+300")=0,"",SUMIFS('Daily Data'!$AI$4:$AI$503,'Daily Data'!$B$4:$B$503,$R28,'Daily Data'!$A$4:$A$503,$C$7)))</f>
        <v>75</v>
      </c>
      <c r="AC28" s="339" t="str" cm="1">
        <f t="array" ref="AC28">IF($R28="","",IF(UPPER(INDEX(Symbols!$F$4:$F$43,ROW()-24))="YES","YES","NO"))</f>
        <v>YES</v>
      </c>
      <c r="AD28" s="339" t="str">
        <f ca="1">IF($R28="","",IF(ROUND(Settings!$C$65+Settings!$C$66,6)&lt;&gt;1,"NO",IF($AC28&lt;&gt;"YES","NO",IF(AND(UPPER(Settings!$C$105)="YES",$AP28="YES"),"NO",IF(NOT(ISNUMBER($U28)),"NO",IF(NOT(ISNUMBER($W28)),"NO",IF($C$7="","NO",IF($C$6-$C$7&gt;Settings!$C$70,"NO",IF(AND(ISNUMBER($AO28),$AO28&gt;Settings!$C$104),"NO",IF(N($AB28)&lt;Settings!$C$71,"NO",IF(N($AA28)&lt;Settings!$C$72,"NO","YES")))))))))))</f>
        <v>YES</v>
      </c>
      <c r="AE28" s="339" t="str">
        <f ca="1">IF($R28="","",IF($AD28="YES","",IF(ROUND(Settings!$C$65+Settings!$C$66,6)&lt;&gt;1,"Ranking weights do not total 100%",IF($AC28&lt;&gt;"YES","Security is not active",IF(AND(UPPER(Settings!$C$105)="YES",$AP28="YES"),"Cross-listed security, excluded by Settings!C105",IF(NOT(ISNUMBER($U28)),"Missing fundamental data",IF(NOT(ISNUMBER($W28)),"No market observation on the date used",IF($C$7="","No market data available",IF($C$6-$C$7&gt;Settings!$C$70,"Market data is stale",IF(AND(ISNUMBER($AO28),$AO28&gt;Settings!$C$104),"Fundamental statement is stale ("&amp;$AO28&amp;" months old)",IF(N($AB28)&lt;Settings!$C$71,"Data confidence below minimum","Liquidity below minimum")))))))))))</f>
        <v/>
      </c>
      <c r="AF28" s="340">
        <f ca="1">IF($AD28&lt;&gt;"YES","",ROUND($U28*RankingFundamentalWeight+$W28*RankingSentimentWeight,1))</f>
        <v>86.7</v>
      </c>
      <c r="AG28" s="339">
        <f ca="1">IF($AD28&lt;&gt;"YES","",$AF28+$U28/10000+$W28/100000000+N($AB28)/1000000000000)</f>
        <v>86.709270728075012</v>
      </c>
      <c r="AH28" s="343" cm="1">
        <f t="array" aca="1" ref="AH28" ca="1">IF(OR($AD28&lt;&gt;"YES",$AI28&lt;&gt;1),"",SUMPRODUCT(($AI$25:$AI$64=1)*($AD$25:$AD$64="YES")*($AG$25:$AG$64&gt;$AG28))+SUMPRODUCT(($AI$25:$AI$64=1)*($AD$25:$AD$64="YES")*($AG$25:$AG$64=$AG28)*($R$25:$R$64&lt;$R28))+1)</f>
        <v>1</v>
      </c>
      <c r="AI28" s="339">
        <f ca="1">IF($R28="","",IF(AND(OR($A$22="",$T28=$A$22),OR($B$22="",$AL28=$B$22),OR($C$22="",$AM28=$C$22),OR($D$22="",AND(ISNUMBER($U28),N($U28)&gt;=$D$22)),OR($E$22="",AND(ISNUMBER($W28),N($W28)&gt;=$E$22)),OR($F$22="",AND(ISNUMBER($AF28),N($AF28)&gt;=$F$22)),OR($G$22="",N($AA28)&gt;=$G$22),OR($H$22="",N($AB28)&gt;=$H$22),OR(UPPER($I$22)&lt;&gt;"YES",$AC28="YES"),OR(UPPER($J$22)&lt;&gt;"YES",$AD28="YES")),1,0))</f>
        <v>1</v>
      </c>
      <c r="AJ28" s="339" t="str">
        <f>IF(OR($R28="",$C$11=""),"",IF(COUNTIFS('Ranking History'!$B$5:$B$2000,$R28,'Ranking History'!$A$5:$A$2000,$C$11)=0,"",SUMIFS('Ranking History'!$C$5:$C$2000,'Ranking History'!$B$5:$B$2000,$R28,'Ranking History'!$A$5:$A$2000,$C$11)))</f>
        <v/>
      </c>
      <c r="AK28" s="339" t="str">
        <f ca="1">IF(OR($AJ28="",$AH28=""),"",$AJ28-$AH28)</f>
        <v/>
      </c>
      <c r="AL28" s="339" t="str">
        <f ca="1">IF($AF28="","",IF($AF28&gt;=Settings!$C$76,"BORA SANA",IF($AF28&gt;=Settings!$C$77,"NZURI SANA",IF($AF28&gt;=Settings!$C$78,"NZURI",IF($AF28&gt;=Settings!$C$79,"WASTANI",IF($AF28&gt;=Settings!$C$80,"DHAIFU","DHAIFU SANA"))))))</f>
        <v>BORA SANA</v>
      </c>
      <c r="AM28" s="339" t="str">
        <f>IF(NOT(ISNUMBER($W28)),"",IF($W28&gt;=Settings!$C$82,"Demand kubwa sana",IF($W28&gt;=Settings!$C$83,"Demand kubwa",IF($W28&gt;=Settings!$C$84,"Demand ya wastani","Demand ndogo sana"))))</f>
        <v>Demand kubwa</v>
      </c>
      <c r="AN28" s="339" t="str">
        <f>IF($R28="","",IF(OR(NOT(ISNUMBER($U28)),NOT(ISNUMBER($W28))),"INCOMPLETE DATA",IF($U28&lt;Settings!$C$88,"Epuka : ubora dhaifu",IF(AND($U28&gt;=Settings!$C$86,$W28&gt;=Settings!$C$87),"Nunua : ubora na mwelekeo vinaungana",IF($U28&gt;=Settings!$C$86,"Fuatilia : ubora mzuri, mwelekeo bado haujathibitisha",IF($W28&gt;=Settings!$C$89,"Fuatilia : ubora wa wastani","Fuatilia : ubora wa wastani, mwelekeo bado dhaifu"))))))</f>
        <v>Nunua : ubora na mwelekeo vinaungana</v>
      </c>
      <c r="AO28" s="339">
        <f ca="1">IF($R28="","",IF(COUNTIFS('Fundamental Scorecard'!$A$5:$A$44,$R28,'Fundamental Scorecard'!$AE$5:$AE$44,"&gt;=-1E+300")=0,"",SUMIFS('Fundamental Scorecard'!$AE$5:$AE$44,'Fundamental Scorecard'!$A$5:$A$44,$R28)))</f>
        <v>2</v>
      </c>
      <c r="AP28" s="339" t="str" cm="1">
        <f t="array" ref="AP28">IF($R28="","",IF(ISNUMBER(SEARCH("cross-listed",INDEX(Symbols!$C$4:$C$43,ROW()-24))),"YES","NO"))</f>
        <v>NO</v>
      </c>
    </row>
    <row r="29" spans="1:42" x14ac:dyDescent="0.3">
      <c r="A29" s="344" cm="1">
        <f t="array" aca="1" ref="A29" ca="1">IF($Q29="","",IF(INDEX($AD$25:$AD$64,$Q29)="YES",INDEX($AH$25:$AH$64,$Q29),"—"))</f>
        <v>5</v>
      </c>
      <c r="B29" s="318" t="str" cm="1">
        <f t="array" aca="1" ref="B29" ca="1">IF($Q29="","",INDEX($R$25:$R$64,$Q29))</f>
        <v>TCCL</v>
      </c>
      <c r="C29" s="319" t="str" cm="1">
        <f t="array" aca="1" ref="C29" ca="1">IF($Q29="","",INDEX($S$25:$S$64,$Q29))</f>
        <v>Tanga Cement PLC</v>
      </c>
      <c r="D29" s="319" t="str" cm="1">
        <f t="array" aca="1" ref="D29" ca="1">IF($Q29="","",INDEX($T$25:$T$64,$Q29))</f>
        <v>Industrials</v>
      </c>
      <c r="E29" s="100" cm="1">
        <f t="array" aca="1" ref="E29" ca="1">IF($Q29="","",INDEX($U$25:$U$64,$Q29))</f>
        <v>77.3</v>
      </c>
      <c r="F29" s="100" cm="1">
        <f t="array" aca="1" ref="F29" ca="1">IF($Q29="","",INDEX($W$25:$W$64,$Q29))</f>
        <v>64.099999999999994</v>
      </c>
      <c r="G29" s="100" cm="1">
        <f t="array" aca="1" ref="G29" ca="1">IF($Q29="","",INDEX($AF$25:$AF$64,$Q29))</f>
        <v>73.3</v>
      </c>
      <c r="H29" s="319" t="str" cm="1">
        <f t="array" aca="1" ref="H29" ca="1">IF($Q29="","",INDEX($AL$25:$AL$64,$Q29))</f>
        <v>NZURI SANA</v>
      </c>
      <c r="I29" s="319" t="str" cm="1">
        <f t="array" aca="1" ref="I29" ca="1">IF($Q29="","",INDEX($AM$25:$AM$64,$Q29))</f>
        <v>Demand kubwa</v>
      </c>
      <c r="J29" s="319" t="str" cm="1">
        <f t="array" aca="1" ref="J29" ca="1">IF($Q29="","",INDEX($AN$25:$AN$64,$Q29))</f>
        <v>Fuatilia : ubora mzuri, mwelekeo bado haujathibitisha</v>
      </c>
      <c r="K29" s="100" cm="1">
        <f t="array" aca="1" ref="K29" ca="1">IF($Q29="","",INDEX($AA$25:$AA$64,$Q29))</f>
        <v>41.2</v>
      </c>
      <c r="L29" s="100" cm="1">
        <f t="array" aca="1" ref="L29" ca="1">IF($Q29="","",INDEX($AB$25:$AB$64,$Q29))</f>
        <v>75</v>
      </c>
      <c r="M29" s="319" t="str" cm="1">
        <f t="array" aca="1" ref="M29" ca="1">IF($Q29="","",INDEX($V$25:$V$64,$Q29))</f>
        <v>Quarter to 30 Jun 2026</v>
      </c>
      <c r="N29" s="95">
        <f ca="1">IF($Q29="","",$C$7)</f>
        <v>46248</v>
      </c>
      <c r="O29" s="102" t="str" cm="1">
        <f t="array" aca="1" ref="O29" ca="1">IF($Q29="","",INDEX($AJ$25:$AJ$64,$Q29))</f>
        <v/>
      </c>
      <c r="P29" s="319" t="str" cm="1">
        <f t="array" aca="1" ref="P29" ca="1">IF($Q29="","",IF(INDEX($AK$25:$AK$64,$Q29)="","",IF(INDEX($AK$25:$AK$64,$Q29)&gt;0,"▲ +"&amp;INDEX($AK$25:$AK$64,$Q29),IF(INDEX($AK$25:$AK$64,$Q29)&lt;0,"▼ "&amp;INDEX($AK$25:$AK$64,$Q29),"= 0"))))</f>
        <v/>
      </c>
      <c r="Q29" s="116" cm="1">
        <f t="array" aca="1" ref="Q29" ca="1">IF(ROW()-24&lt;=COUNT($AH$25:$AH$64),IFERROR(MATCH(ROW()-24,$AH$25:$AH$64,0),""),IFERROR(SMALL(IF(($AI$25:$AI$64=1)*($AD$25:$AD$64&lt;&gt;"YES")*($R$25:$R$64&lt;&gt;""),ROW($AI$25:$AI$64)-24),ROW()-24-COUNT($AH$25:$AH$64)),""))</f>
        <v>22</v>
      </c>
      <c r="R29" s="339" t="str">
        <f>IF(Symbols!A8="","",Symbols!A8)</f>
        <v>EABL</v>
      </c>
      <c r="S29" s="339" t="str" cm="1">
        <f t="array" ref="S29">IF($R29="","",INDEX(Symbols!$B$4:$B$43,ROW()-24))</f>
        <v>East African Breweries PLC</v>
      </c>
      <c r="T29" s="339" t="str" cm="1">
        <f t="array" ref="T29">IF($R29="","",INDEX(Symbols!$D$4:$D$43,ROW()-24))</f>
        <v>Consumer Goods</v>
      </c>
      <c r="U29" s="340">
        <f>IF($R29="","",IF(COUNTIFS('Fundamental Scorecard'!$A$5:$A$44,$R29,'Fundamental Scorecard'!$E$5:$E$44,"&gt;=-1E+300")=0,"",SUMIFS('Fundamental Scorecard'!$E$5:$E$44,'Fundamental Scorecard'!$A$5:$A$44,$R29)))</f>
        <v>78.599999999999994</v>
      </c>
      <c r="V29" s="339" t="str">
        <f>IF($R29="","",IFERROR(IF(INDEX('Fundamental Scorecard'!$D$5:$D$44,MATCH($R29,'Fundamental Scorecard'!$A$5:$A$44,0))=0,"",INDEX('Fundamental Scorecard'!$D$5:$D$44,MATCH($R29,'Fundamental Scorecard'!$A$5:$A$44,0))),""))</f>
        <v>Full to 30 Jun 2026</v>
      </c>
      <c r="W29" s="340">
        <f>IF(OR($R29="",$C$7=""),"",IF(COUNTIFS('Daily Data'!$B$4:$B$503,$R29,'Daily Data'!$A$4:$A$503,$C$7,'Daily Data'!$AH$4:$AH$503,"&gt;=-1E+300")=0,"",SUMIFS('Daily Data'!$AH$4:$AH$503,'Daily Data'!$B$4:$B$503,$R29,'Daily Data'!$A$4:$A$503,$C$7)))</f>
        <v>65.3</v>
      </c>
      <c r="X29" s="341" t="str">
        <f>IF(OR($R29="",$C$7=""),"",IF(COUNTIFS('Daily Data'!$B$4:$B$503,$R29,'Daily Data'!$A$4:$A$503,$C$7,'Daily Data'!$S$4:$S$503,"&gt;=-1E+300")=0,"",SUMIFS('Daily Data'!$S$4:$S$503,'Daily Data'!$B$4:$B$503,$R29,'Daily Data'!$A$4:$A$503,$C$7)))</f>
        <v/>
      </c>
      <c r="Y29" s="342" t="str">
        <f>IF(OR($R29="",$C$7=""),"",IF(COUNTIFS('Daily Data'!$B$4:$B$503,$R29,'Daily Data'!$A$4:$A$503,$C$7,'Daily Data'!$AA$4:$AA$503,"&gt;=-1E+300")=0,"",SUMIFS('Daily Data'!$AA$4:$AA$503,'Daily Data'!$B$4:$B$503,$R29,'Daily Data'!$A$4:$A$503,$C$7)))</f>
        <v/>
      </c>
      <c r="Z29" s="341" t="str">
        <f>IF(OR($R29="",$C$7=""),"",IF(COUNTIFS('Daily Data'!$B$4:$B$503,$R29,'Daily Data'!$A$4:$A$503,$C$7,'Daily Data'!$AC$4:$AC$503,"&gt;=-1E+300")=0,"",SUMIFS('Daily Data'!$AC$4:$AC$503,'Daily Data'!$B$4:$B$503,$R29,'Daily Data'!$A$4:$A$503,$C$7)))</f>
        <v/>
      </c>
      <c r="AA29" s="340">
        <f>IF(OR($R29="",$C$7=""),"",IF(COUNTIFS('Daily Data'!$B$4:$B$503,$R29,'Daily Data'!$A$4:$A$503,$C$7,'Daily Data'!$AG$4:$AG$503,"&gt;=-1E+300")=0,"",SUMIFS('Daily Data'!$AG$4:$AG$503,'Daily Data'!$B$4:$B$503,$R29,'Daily Data'!$A$4:$A$503,$C$7)))</f>
        <v>0</v>
      </c>
      <c r="AB29" s="340">
        <f>IF(OR($R29="",$C$7=""),"",IF(COUNTIFS('Daily Data'!$B$4:$B$503,$R29,'Daily Data'!$A$4:$A$503,$C$7,'Daily Data'!$AI$4:$AI$503,"&gt;=-1E+300")=0,"",SUMIFS('Daily Data'!$AI$4:$AI$503,'Daily Data'!$B$4:$B$503,$R29,'Daily Data'!$A$4:$A$503,$C$7)))</f>
        <v>55</v>
      </c>
      <c r="AC29" s="339" t="str" cm="1">
        <f t="array" ref="AC29">IF($R29="","",IF(UPPER(INDEX(Symbols!$F$4:$F$43,ROW()-24))="YES","YES","NO"))</f>
        <v>YES</v>
      </c>
      <c r="AD29" s="339" t="str">
        <f ca="1">IF($R29="","",IF(ROUND(Settings!$C$65+Settings!$C$66,6)&lt;&gt;1,"NO",IF($AC29&lt;&gt;"YES","NO",IF(AND(UPPER(Settings!$C$105)="YES",$AP29="YES"),"NO",IF(NOT(ISNUMBER($U29)),"NO",IF(NOT(ISNUMBER($W29)),"NO",IF($C$7="","NO",IF($C$6-$C$7&gt;Settings!$C$70,"NO",IF(AND(ISNUMBER($AO29),$AO29&gt;Settings!$C$104),"NO",IF(N($AB29)&lt;Settings!$C$71,"NO",IF(N($AA29)&lt;Settings!$C$72,"NO","YES")))))))))))</f>
        <v>NO</v>
      </c>
      <c r="AE29" s="339" t="str">
        <f ca="1">IF($R29="","",IF($AD29="YES","",IF(ROUND(Settings!$C$65+Settings!$C$66,6)&lt;&gt;1,"Ranking weights do not total 100%",IF($AC29&lt;&gt;"YES","Security is not active",IF(AND(UPPER(Settings!$C$105)="YES",$AP29="YES"),"Cross-listed security, excluded by Settings!C105",IF(NOT(ISNUMBER($U29)),"Missing fundamental data",IF(NOT(ISNUMBER($W29)),"No market observation on the date used",IF($C$7="","No market data available",IF($C$6-$C$7&gt;Settings!$C$70,"Market data is stale",IF(AND(ISNUMBER($AO29),$AO29&gt;Settings!$C$104),"Fundamental statement is stale ("&amp;$AO29&amp;" months old)",IF(N($AB29)&lt;Settings!$C$71,"Data confidence below minimum","Liquidity below minimum")))))))))))</f>
        <v>Data confidence below minimum</v>
      </c>
      <c r="AF29" s="340" t="str">
        <f ca="1">IF($AD29&lt;&gt;"YES","",ROUND($U29*RankingFundamentalWeight+$W29*RankingSentimentWeight,1))</f>
        <v/>
      </c>
      <c r="AG29" s="339" t="str">
        <f ca="1">IF($AD29&lt;&gt;"YES","",$AF29+$U29/10000+$W29/100000000+N($AB29)/1000000000000)</f>
        <v/>
      </c>
      <c r="AH29" s="343" t="str" cm="1">
        <f t="array" aca="1" ref="AH29" ca="1">IF(OR($AD29&lt;&gt;"YES",$AI29&lt;&gt;1),"",SUMPRODUCT(($AI$25:$AI$64=1)*($AD$25:$AD$64="YES")*($AG$25:$AG$64&gt;$AG29))+SUMPRODUCT(($AI$25:$AI$64=1)*($AD$25:$AD$64="YES")*($AG$25:$AG$64=$AG29)*($R$25:$R$64&lt;$R29))+1)</f>
        <v/>
      </c>
      <c r="AI29" s="339">
        <f ca="1">IF($R29="","",IF(AND(OR($A$22="",$T29=$A$22),OR($B$22="",$AL29=$B$22),OR($C$22="",$AM29=$C$22),OR($D$22="",AND(ISNUMBER($U29),N($U29)&gt;=$D$22)),OR($E$22="",AND(ISNUMBER($W29),N($W29)&gt;=$E$22)),OR($F$22="",AND(ISNUMBER($AF29),N($AF29)&gt;=$F$22)),OR($G$22="",N($AA29)&gt;=$G$22),OR($H$22="",N($AB29)&gt;=$H$22),OR(UPPER($I$22)&lt;&gt;"YES",$AC29="YES"),OR(UPPER($J$22)&lt;&gt;"YES",$AD29="YES")),1,0))</f>
        <v>1</v>
      </c>
      <c r="AJ29" s="339" t="str">
        <f>IF(OR($R29="",$C$11=""),"",IF(COUNTIFS('Ranking History'!$B$5:$B$2000,$R29,'Ranking History'!$A$5:$A$2000,$C$11)=0,"",SUMIFS('Ranking History'!$C$5:$C$2000,'Ranking History'!$B$5:$B$2000,$R29,'Ranking History'!$A$5:$A$2000,$C$11)))</f>
        <v/>
      </c>
      <c r="AK29" s="339" t="str">
        <f ca="1">IF(OR($AJ29="",$AH29=""),"",$AJ29-$AH29)</f>
        <v/>
      </c>
      <c r="AL29" s="339" t="str">
        <f ca="1">IF($AF29="","",IF($AF29&gt;=Settings!$C$76,"BORA SANA",IF($AF29&gt;=Settings!$C$77,"NZURI SANA",IF($AF29&gt;=Settings!$C$78,"NZURI",IF($AF29&gt;=Settings!$C$79,"WASTANI",IF($AF29&gt;=Settings!$C$80,"DHAIFU","DHAIFU SANA"))))))</f>
        <v/>
      </c>
      <c r="AM29" s="339" t="str">
        <f>IF(NOT(ISNUMBER($W29)),"",IF($W29&gt;=Settings!$C$82,"Demand kubwa sana",IF($W29&gt;=Settings!$C$83,"Demand kubwa",IF($W29&gt;=Settings!$C$84,"Demand ya wastani","Demand ndogo sana"))))</f>
        <v>Demand kubwa</v>
      </c>
      <c r="AN29" s="339" t="str">
        <f>IF($R29="","",IF(OR(NOT(ISNUMBER($U29)),NOT(ISNUMBER($W29))),"INCOMPLETE DATA",IF($U29&lt;Settings!$C$88,"Epuka : ubora dhaifu",IF(AND($U29&gt;=Settings!$C$86,$W29&gt;=Settings!$C$87),"Nunua : ubora na mwelekeo vinaungana",IF($U29&gt;=Settings!$C$86,"Fuatilia : ubora mzuri, mwelekeo bado haujathibitisha",IF($W29&gt;=Settings!$C$89,"Fuatilia : ubora wa wastani","Fuatilia : ubora wa wastani, mwelekeo bado dhaifu"))))))</f>
        <v>Fuatilia : ubora mzuri, mwelekeo bado haujathibitisha</v>
      </c>
      <c r="AO29" s="339">
        <f ca="1">IF($R29="","",IF(COUNTIFS('Fundamental Scorecard'!$A$5:$A$44,$R29,'Fundamental Scorecard'!$AE$5:$AE$44,"&gt;=-1E+300")=0,"",SUMIFS('Fundamental Scorecard'!$AE$5:$AE$44,'Fundamental Scorecard'!$A$5:$A$44,$R29)))</f>
        <v>2</v>
      </c>
      <c r="AP29" s="339" t="str" cm="1">
        <f t="array" ref="AP29">IF($R29="","",IF(ISNUMBER(SEARCH("cross-listed",INDEX(Symbols!$C$4:$C$43,ROW()-24))),"YES","NO"))</f>
        <v>YES</v>
      </c>
    </row>
    <row r="30" spans="1:42" x14ac:dyDescent="0.3">
      <c r="A30" s="344" cm="1">
        <f t="array" aca="1" ref="A30" ca="1">IF($Q30="","",IF(INDEX($AD$25:$AD$64,$Q30)="YES",INDEX($AH$25:$AH$64,$Q30),"—"))</f>
        <v>6</v>
      </c>
      <c r="B30" s="318" t="str" cm="1">
        <f t="array" aca="1" ref="B30" ca="1">IF($Q30="","",INDEX($R$25:$R$64,$Q30))</f>
        <v>TPCC</v>
      </c>
      <c r="C30" s="319" t="str" cm="1">
        <f t="array" aca="1" ref="C30" ca="1">IF($Q30="","",INDEX($S$25:$S$64,$Q30))</f>
        <v>Tanzania Portland Cement PLC (Twiga)</v>
      </c>
      <c r="D30" s="319" t="str" cm="1">
        <f t="array" aca="1" ref="D30" ca="1">IF($Q30="","",INDEX($T$25:$T$64,$Q30))</f>
        <v>Industrials</v>
      </c>
      <c r="E30" s="100" cm="1">
        <f t="array" aca="1" ref="E30" ca="1">IF($Q30="","",INDEX($U$25:$U$64,$Q30))</f>
        <v>74.3</v>
      </c>
      <c r="F30" s="100" cm="1">
        <f t="array" aca="1" ref="F30" ca="1">IF($Q30="","",INDEX($W$25:$W$64,$Q30))</f>
        <v>70.900000000000006</v>
      </c>
      <c r="G30" s="100" cm="1">
        <f t="array" aca="1" ref="G30" ca="1">IF($Q30="","",INDEX($AF$25:$AF$64,$Q30))</f>
        <v>73.3</v>
      </c>
      <c r="H30" s="319" t="str" cm="1">
        <f t="array" aca="1" ref="H30" ca="1">IF($Q30="","",INDEX($AL$25:$AL$64,$Q30))</f>
        <v>NZURI SANA</v>
      </c>
      <c r="I30" s="319" t="str" cm="1">
        <f t="array" aca="1" ref="I30" ca="1">IF($Q30="","",INDEX($AM$25:$AM$64,$Q30))</f>
        <v>Demand kubwa</v>
      </c>
      <c r="J30" s="319" t="str" cm="1">
        <f t="array" aca="1" ref="J30" ca="1">IF($Q30="","",INDEX($AN$25:$AN$64,$Q30))</f>
        <v>Nunua : ubora na mwelekeo vinaungana</v>
      </c>
      <c r="K30" s="100" cm="1">
        <f t="array" aca="1" ref="K30" ca="1">IF($Q30="","",INDEX($AA$25:$AA$64,$Q30))</f>
        <v>57.9</v>
      </c>
      <c r="L30" s="100" cm="1">
        <f t="array" aca="1" ref="L30" ca="1">IF($Q30="","",INDEX($AB$25:$AB$64,$Q30))</f>
        <v>75</v>
      </c>
      <c r="M30" s="319" t="str" cm="1">
        <f t="array" aca="1" ref="M30" ca="1">IF($Q30="","",INDEX($V$25:$V$64,$Q30))</f>
        <v>Q2 2026 (30 Jun 2026)</v>
      </c>
      <c r="N30" s="95">
        <f ca="1">IF($Q30="","",$C$7)</f>
        <v>46248</v>
      </c>
      <c r="O30" s="102" t="str" cm="1">
        <f t="array" aca="1" ref="O30" ca="1">IF($Q30="","",INDEX($AJ$25:$AJ$64,$Q30))</f>
        <v/>
      </c>
      <c r="P30" s="319" t="str" cm="1">
        <f t="array" aca="1" ref="P30" ca="1">IF($Q30="","",IF(INDEX($AK$25:$AK$64,$Q30)="","",IF(INDEX($AK$25:$AK$64,$Q30)&gt;0,"▲ +"&amp;INDEX($AK$25:$AK$64,$Q30),IF(INDEX($AK$25:$AK$64,$Q30)&lt;0,"▼ "&amp;INDEX($AK$25:$AK$64,$Q30),"= 0"))))</f>
        <v/>
      </c>
      <c r="Q30" s="116" cm="1">
        <f t="array" aca="1" ref="Q30" ca="1">IF(ROW()-24&lt;=COUNT($AH$25:$AH$64),IFERROR(MATCH(ROW()-24,$AH$25:$AH$64,0),""),IFERROR(SMALL(IF(($AI$25:$AI$64=1)*($AD$25:$AD$64&lt;&gt;"YES")*($R$25:$R$64&lt;&gt;""),ROW($AI$25:$AI$64)-24),ROW()-24-COUNT($AH$25:$AH$64)),""))</f>
        <v>24</v>
      </c>
      <c r="R30" s="339" t="str">
        <f>IF(Symbols!A9="","",Symbols!A9)</f>
        <v>JATU</v>
      </c>
      <c r="S30" s="339" t="str" cm="1">
        <f t="array" ref="S30">IF($R30="","",INDEX(Symbols!$B$4:$B$43,ROW()-24))</f>
        <v>JATU PLC</v>
      </c>
      <c r="T30" s="339" t="str" cm="1">
        <f t="array" ref="T30">IF($R30="","",INDEX(Symbols!$D$4:$D$43,ROW()-24))</f>
        <v>Agriculture</v>
      </c>
      <c r="U30" s="340">
        <f>IF($R30="","",IF(COUNTIFS('Fundamental Scorecard'!$A$5:$A$44,$R30,'Fundamental Scorecard'!$E$5:$E$44,"&gt;=-1E+300")=0,"",SUMIFS('Fundamental Scorecard'!$E$5:$E$44,'Fundamental Scorecard'!$A$5:$A$44,$R30)))</f>
        <v>72</v>
      </c>
      <c r="V30" s="339" t="str">
        <f>IF($R30="","",IFERROR(IF(INDEX('Fundamental Scorecard'!$D$5:$D$44,MATCH($R30,'Fundamental Scorecard'!$A$5:$A$44,0))=0,"",INDEX('Fundamental Scorecard'!$D$5:$D$44,MATCH($R30,'Fundamental Scorecard'!$A$5:$A$44,0))),""))</f>
        <v>Full to 31 Dec 2020</v>
      </c>
      <c r="W30" s="340">
        <f>IF(OR($R30="",$C$7=""),"",IF(COUNTIFS('Daily Data'!$B$4:$B$503,$R30,'Daily Data'!$A$4:$A$503,$C$7,'Daily Data'!$AH$4:$AH$503,"&gt;=-1E+300")=0,"",SUMIFS('Daily Data'!$AH$4:$AH$503,'Daily Data'!$B$4:$B$503,$R30,'Daily Data'!$A$4:$A$503,$C$7)))</f>
        <v>34.799999999999997</v>
      </c>
      <c r="X30" s="341">
        <f>IF(OR($R30="",$C$7=""),"",IF(COUNTIFS('Daily Data'!$B$4:$B$503,$R30,'Daily Data'!$A$4:$A$503,$C$7,'Daily Data'!$S$4:$S$503,"&gt;=-1E+300")=0,"",SUMIFS('Daily Data'!$S$4:$S$503,'Daily Data'!$B$4:$B$503,$R30,'Daily Data'!$A$4:$A$503,$C$7)))</f>
        <v>0</v>
      </c>
      <c r="Y30" s="342" t="str">
        <f>IF(OR($R30="",$C$7=""),"",IF(COUNTIFS('Daily Data'!$B$4:$B$503,$R30,'Daily Data'!$A$4:$A$503,$C$7,'Daily Data'!$AA$4:$AA$503,"&gt;=-1E+300")=0,"",SUMIFS('Daily Data'!$AA$4:$AA$503,'Daily Data'!$B$4:$B$503,$R30,'Daily Data'!$A$4:$A$503,$C$7)))</f>
        <v/>
      </c>
      <c r="Z30" s="341" t="str">
        <f>IF(OR($R30="",$C$7=""),"",IF(COUNTIFS('Daily Data'!$B$4:$B$503,$R30,'Daily Data'!$A$4:$A$503,$C$7,'Daily Data'!$AC$4:$AC$503,"&gt;=-1E+300")=0,"",SUMIFS('Daily Data'!$AC$4:$AC$503,'Daily Data'!$B$4:$B$503,$R30,'Daily Data'!$A$4:$A$503,$C$7)))</f>
        <v/>
      </c>
      <c r="AA30" s="340">
        <f>IF(OR($R30="",$C$7=""),"",IF(COUNTIFS('Daily Data'!$B$4:$B$503,$R30,'Daily Data'!$A$4:$A$503,$C$7,'Daily Data'!$AG$4:$AG$503,"&gt;=-1E+300")=0,"",SUMIFS('Daily Data'!$AG$4:$AG$503,'Daily Data'!$B$4:$B$503,$R30,'Daily Data'!$A$4:$A$503,$C$7)))</f>
        <v>0</v>
      </c>
      <c r="AB30" s="340">
        <f>IF(OR($R30="",$C$7=""),"",IF(COUNTIFS('Daily Data'!$B$4:$B$503,$R30,'Daily Data'!$A$4:$A$503,$C$7,'Daily Data'!$AI$4:$AI$503,"&gt;=-1E+300")=0,"",SUMIFS('Daily Data'!$AI$4:$AI$503,'Daily Data'!$B$4:$B$503,$R30,'Daily Data'!$A$4:$A$503,$C$7)))</f>
        <v>55</v>
      </c>
      <c r="AC30" s="339" t="str" cm="1">
        <f t="array" ref="AC30">IF($R30="","",IF(UPPER(INDEX(Symbols!$F$4:$F$43,ROW()-24))="YES","YES","NO"))</f>
        <v>YES</v>
      </c>
      <c r="AD30" s="339" t="str">
        <f ca="1">IF($R30="","",IF(ROUND(Settings!$C$65+Settings!$C$66,6)&lt;&gt;1,"NO",IF($AC30&lt;&gt;"YES","NO",IF(AND(UPPER(Settings!$C$105)="YES",$AP30="YES"),"NO",IF(NOT(ISNUMBER($U30)),"NO",IF(NOT(ISNUMBER($W30)),"NO",IF($C$7="","NO",IF($C$6-$C$7&gt;Settings!$C$70,"NO",IF(AND(ISNUMBER($AO30),$AO30&gt;Settings!$C$104),"NO",IF(N($AB30)&lt;Settings!$C$71,"NO",IF(N($AA30)&lt;Settings!$C$72,"NO","YES")))))))))))</f>
        <v>NO</v>
      </c>
      <c r="AE30" s="339" t="str">
        <f ca="1">IF($R30="","",IF($AD30="YES","",IF(ROUND(Settings!$C$65+Settings!$C$66,6)&lt;&gt;1,"Ranking weights do not total 100%",IF($AC30&lt;&gt;"YES","Security is not active",IF(AND(UPPER(Settings!$C$105)="YES",$AP30="YES"),"Cross-listed security, excluded by Settings!C105",IF(NOT(ISNUMBER($U30)),"Missing fundamental data",IF(NOT(ISNUMBER($W30)),"No market observation on the date used",IF($C$7="","No market data available",IF($C$6-$C$7&gt;Settings!$C$70,"Market data is stale",IF(AND(ISNUMBER($AO30),$AO30&gt;Settings!$C$104),"Fundamental statement is stale ("&amp;$AO30&amp;" months old)",IF(N($AB30)&lt;Settings!$C$71,"Data confidence below minimum","Liquidity below minimum")))))))))))</f>
        <v>Fundamental statement is stale (67 months old)</v>
      </c>
      <c r="AF30" s="340" t="str">
        <f ca="1">IF($AD30&lt;&gt;"YES","",ROUND($U30*RankingFundamentalWeight+$W30*RankingSentimentWeight,1))</f>
        <v/>
      </c>
      <c r="AG30" s="339" t="str">
        <f ca="1">IF($AD30&lt;&gt;"YES","",$AF30+$U30/10000+$W30/100000000+N($AB30)/1000000000000)</f>
        <v/>
      </c>
      <c r="AH30" s="343" t="str" cm="1">
        <f t="array" aca="1" ref="AH30" ca="1">IF(OR($AD30&lt;&gt;"YES",$AI30&lt;&gt;1),"",SUMPRODUCT(($AI$25:$AI$64=1)*($AD$25:$AD$64="YES")*($AG$25:$AG$64&gt;$AG30))+SUMPRODUCT(($AI$25:$AI$64=1)*($AD$25:$AD$64="YES")*($AG$25:$AG$64=$AG30)*($R$25:$R$64&lt;$R30))+1)</f>
        <v/>
      </c>
      <c r="AI30" s="339">
        <f ca="1">IF($R30="","",IF(AND(OR($A$22="",$T30=$A$22),OR($B$22="",$AL30=$B$22),OR($C$22="",$AM30=$C$22),OR($D$22="",AND(ISNUMBER($U30),N($U30)&gt;=$D$22)),OR($E$22="",AND(ISNUMBER($W30),N($W30)&gt;=$E$22)),OR($F$22="",AND(ISNUMBER($AF30),N($AF30)&gt;=$F$22)),OR($G$22="",N($AA30)&gt;=$G$22),OR($H$22="",N($AB30)&gt;=$H$22),OR(UPPER($I$22)&lt;&gt;"YES",$AC30="YES"),OR(UPPER($J$22)&lt;&gt;"YES",$AD30="YES")),1,0))</f>
        <v>1</v>
      </c>
      <c r="AJ30" s="339" t="str">
        <f>IF(OR($R30="",$C$11=""),"",IF(COUNTIFS('Ranking History'!$B$5:$B$2000,$R30,'Ranking History'!$A$5:$A$2000,$C$11)=0,"",SUMIFS('Ranking History'!$C$5:$C$2000,'Ranking History'!$B$5:$B$2000,$R30,'Ranking History'!$A$5:$A$2000,$C$11)))</f>
        <v/>
      </c>
      <c r="AK30" s="339" t="str">
        <f ca="1">IF(OR($AJ30="",$AH30=""),"",$AJ30-$AH30)</f>
        <v/>
      </c>
      <c r="AL30" s="339" t="str">
        <f ca="1">IF($AF30="","",IF($AF30&gt;=Settings!$C$76,"BORA SANA",IF($AF30&gt;=Settings!$C$77,"NZURI SANA",IF($AF30&gt;=Settings!$C$78,"NZURI",IF($AF30&gt;=Settings!$C$79,"WASTANI",IF($AF30&gt;=Settings!$C$80,"DHAIFU","DHAIFU SANA"))))))</f>
        <v/>
      </c>
      <c r="AM30" s="339" t="str">
        <f>IF(NOT(ISNUMBER($W30)),"",IF($W30&gt;=Settings!$C$82,"Demand kubwa sana",IF($W30&gt;=Settings!$C$83,"Demand kubwa",IF($W30&gt;=Settings!$C$84,"Demand ya wastani","Demand ndogo sana"))))</f>
        <v>Demand ya wastani</v>
      </c>
      <c r="AN30" s="339" t="str">
        <f>IF($R30="","",IF(OR(NOT(ISNUMBER($U30)),NOT(ISNUMBER($W30))),"INCOMPLETE DATA",IF($U30&lt;Settings!$C$88,"Epuka : ubora dhaifu",IF(AND($U30&gt;=Settings!$C$86,$W30&gt;=Settings!$C$87),"Nunua : ubora na mwelekeo vinaungana",IF($U30&gt;=Settings!$C$86,"Fuatilia : ubora mzuri, mwelekeo bado haujathibitisha",IF($W30&gt;=Settings!$C$89,"Fuatilia : ubora wa wastani","Fuatilia : ubora wa wastani, mwelekeo bado dhaifu"))))))</f>
        <v>Fuatilia : ubora mzuri, mwelekeo bado haujathibitisha</v>
      </c>
      <c r="AO30" s="339">
        <f ca="1">IF($R30="","",IF(COUNTIFS('Fundamental Scorecard'!$A$5:$A$44,$R30,'Fundamental Scorecard'!$AE$5:$AE$44,"&gt;=-1E+300")=0,"",SUMIFS('Fundamental Scorecard'!$AE$5:$AE$44,'Fundamental Scorecard'!$A$5:$A$44,$R30)))</f>
        <v>67</v>
      </c>
      <c r="AP30" s="339" t="str" cm="1">
        <f t="array" ref="AP30">IF($R30="","",IF(ISNUMBER(SEARCH("cross-listed",INDEX(Symbols!$C$4:$C$43,ROW()-24))),"YES","NO"))</f>
        <v>NO</v>
      </c>
    </row>
    <row r="31" spans="1:42" x14ac:dyDescent="0.3">
      <c r="A31" s="344" cm="1">
        <f t="array" aca="1" ref="A31" ca="1">IF($Q31="","",IF(INDEX($AD$25:$AD$64,$Q31)="YES",INDEX($AH$25:$AH$64,$Q31),"—"))</f>
        <v>7</v>
      </c>
      <c r="B31" s="318" t="str" cm="1">
        <f t="array" aca="1" ref="B31" ca="1">IF($Q31="","",INDEX($R$25:$R$64,$Q31))</f>
        <v>TCC</v>
      </c>
      <c r="C31" s="319" t="str" cm="1">
        <f t="array" aca="1" ref="C31" ca="1">IF($Q31="","",INDEX($S$25:$S$64,$Q31))</f>
        <v>Tanzania Cigarette Company Ltd</v>
      </c>
      <c r="D31" s="319" t="str" cm="1">
        <f t="array" aca="1" ref="D31" ca="1">IF($Q31="","",INDEX($T$25:$T$64,$Q31))</f>
        <v>Consumer Goods</v>
      </c>
      <c r="E31" s="100" cm="1">
        <f t="array" aca="1" ref="E31" ca="1">IF($Q31="","",INDEX($U$25:$U$64,$Q31))</f>
        <v>74.900000000000006</v>
      </c>
      <c r="F31" s="100" cm="1">
        <f t="array" aca="1" ref="F31" ca="1">IF($Q31="","",INDEX($W$25:$W$64,$Q31))</f>
        <v>66.099999999999994</v>
      </c>
      <c r="G31" s="100" cm="1">
        <f t="array" aca="1" ref="G31" ca="1">IF($Q31="","",INDEX($AF$25:$AF$64,$Q31))</f>
        <v>72.3</v>
      </c>
      <c r="H31" s="319" t="str" cm="1">
        <f t="array" aca="1" ref="H31" ca="1">IF($Q31="","",INDEX($AL$25:$AL$64,$Q31))</f>
        <v>NZURI SANA</v>
      </c>
      <c r="I31" s="319" t="str" cm="1">
        <f t="array" aca="1" ref="I31" ca="1">IF($Q31="","",INDEX($AM$25:$AM$64,$Q31))</f>
        <v>Demand kubwa</v>
      </c>
      <c r="J31" s="319" t="str" cm="1">
        <f t="array" aca="1" ref="J31" ca="1">IF($Q31="","",INDEX($AN$25:$AN$64,$Q31))</f>
        <v>Fuatilia : ubora mzuri, mwelekeo bado haujathibitisha</v>
      </c>
      <c r="K31" s="100" cm="1">
        <f t="array" aca="1" ref="K31" ca="1">IF($Q31="","",INDEX($AA$25:$AA$64,$Q31))</f>
        <v>1.2</v>
      </c>
      <c r="L31" s="100" cm="1">
        <f t="array" aca="1" ref="L31" ca="1">IF($Q31="","",INDEX($AB$25:$AB$64,$Q31))</f>
        <v>75</v>
      </c>
      <c r="M31" s="319" t="str" cm="1">
        <f t="array" aca="1" ref="M31" ca="1">IF($Q31="","",INDEX($V$25:$V$64,$Q31))</f>
        <v>Quarter to 30 Jun 2026</v>
      </c>
      <c r="N31" s="95">
        <f ca="1">IF($Q31="","",$C$7)</f>
        <v>46248</v>
      </c>
      <c r="O31" s="102" t="str" cm="1">
        <f t="array" aca="1" ref="O31" ca="1">IF($Q31="","",INDEX($AJ$25:$AJ$64,$Q31))</f>
        <v/>
      </c>
      <c r="P31" s="319" t="str" cm="1">
        <f t="array" aca="1" ref="P31" ca="1">IF($Q31="","",IF(INDEX($AK$25:$AK$64,$Q31)="","",IF(INDEX($AK$25:$AK$64,$Q31)&gt;0,"▲ +"&amp;INDEX($AK$25:$AK$64,$Q31),IF(INDEX($AK$25:$AK$64,$Q31)&lt;0,"▼ "&amp;INDEX($AK$25:$AK$64,$Q31),"= 0"))))</f>
        <v/>
      </c>
      <c r="Q31" s="116" cm="1">
        <f t="array" aca="1" ref="Q31" ca="1">IF(ROW()-24&lt;=COUNT($AH$25:$AH$64),IFERROR(MATCH(ROW()-24,$AH$25:$AH$64,0),""),IFERROR(SMALL(IF(($AI$25:$AI$64=1)*($AD$25:$AD$64&lt;&gt;"YES")*($R$25:$R$64&lt;&gt;""),ROW($AI$25:$AI$64)-24),ROW()-24-COUNT($AH$25:$AH$64)),""))</f>
        <v>21</v>
      </c>
      <c r="R31" s="339" t="str">
        <f>IF(Symbols!A10="","",Symbols!A10)</f>
        <v>JHL</v>
      </c>
      <c r="S31" s="339" t="str" cm="1">
        <f t="array" ref="S31">IF($R31="","",INDEX(Symbols!$B$4:$B$43,ROW()-24))</f>
        <v>Jubilee Holdings Ltd</v>
      </c>
      <c r="T31" s="339" t="str" cm="1">
        <f t="array" ref="T31">IF($R31="","",INDEX(Symbols!$D$4:$D$43,ROW()-24))</f>
        <v>Insurance</v>
      </c>
      <c r="U31" s="340">
        <f>IF($R31="","",IF(COUNTIFS('Fundamental Scorecard'!$A$5:$A$44,$R31,'Fundamental Scorecard'!$E$5:$E$44,"&gt;=-1E+300")=0,"",SUMIFS('Fundamental Scorecard'!$E$5:$E$44,'Fundamental Scorecard'!$A$5:$A$44,$R31)))</f>
        <v>67.5</v>
      </c>
      <c r="V31" s="339" t="str">
        <f>IF($R31="","",IFERROR(IF(INDEX('Fundamental Scorecard'!$D$5:$D$44,MATCH($R31,'Fundamental Scorecard'!$A$5:$A$44,0))=0,"",INDEX('Fundamental Scorecard'!$D$5:$D$44,MATCH($R31,'Fundamental Scorecard'!$A$5:$A$44,0))),""))</f>
        <v>Full to 31 Dec 2025</v>
      </c>
      <c r="W31" s="340">
        <f>IF(OR($R31="",$C$7=""),"",IF(COUNTIFS('Daily Data'!$B$4:$B$503,$R31,'Daily Data'!$A$4:$A$503,$C$7,'Daily Data'!$AH$4:$AH$503,"&gt;=-1E+300")=0,"",SUMIFS('Daily Data'!$AH$4:$AH$503,'Daily Data'!$B$4:$B$503,$R31,'Daily Data'!$A$4:$A$503,$C$7)))</f>
        <v>65</v>
      </c>
      <c r="X31" s="341" t="str">
        <f>IF(OR($R31="",$C$7=""),"",IF(COUNTIFS('Daily Data'!$B$4:$B$503,$R31,'Daily Data'!$A$4:$A$503,$C$7,'Daily Data'!$S$4:$S$503,"&gt;=-1E+300")=0,"",SUMIFS('Daily Data'!$S$4:$S$503,'Daily Data'!$B$4:$B$503,$R31,'Daily Data'!$A$4:$A$503,$C$7)))</f>
        <v/>
      </c>
      <c r="Y31" s="342" t="str">
        <f>IF(OR($R31="",$C$7=""),"",IF(COUNTIFS('Daily Data'!$B$4:$B$503,$R31,'Daily Data'!$A$4:$A$503,$C$7,'Daily Data'!$AA$4:$AA$503,"&gt;=-1E+300")=0,"",SUMIFS('Daily Data'!$AA$4:$AA$503,'Daily Data'!$B$4:$B$503,$R31,'Daily Data'!$A$4:$A$503,$C$7)))</f>
        <v/>
      </c>
      <c r="Z31" s="341" t="str">
        <f>IF(OR($R31="",$C$7=""),"",IF(COUNTIFS('Daily Data'!$B$4:$B$503,$R31,'Daily Data'!$A$4:$A$503,$C$7,'Daily Data'!$AC$4:$AC$503,"&gt;=-1E+300")=0,"",SUMIFS('Daily Data'!$AC$4:$AC$503,'Daily Data'!$B$4:$B$503,$R31,'Daily Data'!$A$4:$A$503,$C$7)))</f>
        <v/>
      </c>
      <c r="AA31" s="340">
        <f>IF(OR($R31="",$C$7=""),"",IF(COUNTIFS('Daily Data'!$B$4:$B$503,$R31,'Daily Data'!$A$4:$A$503,$C$7,'Daily Data'!$AG$4:$AG$503,"&gt;=-1E+300")=0,"",SUMIFS('Daily Data'!$AG$4:$AG$503,'Daily Data'!$B$4:$B$503,$R31,'Daily Data'!$A$4:$A$503,$C$7)))</f>
        <v>0</v>
      </c>
      <c r="AB31" s="340">
        <f>IF(OR($R31="",$C$7=""),"",IF(COUNTIFS('Daily Data'!$B$4:$B$503,$R31,'Daily Data'!$A$4:$A$503,$C$7,'Daily Data'!$AI$4:$AI$503,"&gt;=-1E+300")=0,"",SUMIFS('Daily Data'!$AI$4:$AI$503,'Daily Data'!$B$4:$B$503,$R31,'Daily Data'!$A$4:$A$503,$C$7)))</f>
        <v>55</v>
      </c>
      <c r="AC31" s="339" t="str" cm="1">
        <f t="array" ref="AC31">IF($R31="","",IF(UPPER(INDEX(Symbols!$F$4:$F$43,ROW()-24))="YES","YES","NO"))</f>
        <v>YES</v>
      </c>
      <c r="AD31" s="339" t="str">
        <f ca="1">IF($R31="","",IF(ROUND(Settings!$C$65+Settings!$C$66,6)&lt;&gt;1,"NO",IF($AC31&lt;&gt;"YES","NO",IF(AND(UPPER(Settings!$C$105)="YES",$AP31="YES"),"NO",IF(NOT(ISNUMBER($U31)),"NO",IF(NOT(ISNUMBER($W31)),"NO",IF($C$7="","NO",IF($C$6-$C$7&gt;Settings!$C$70,"NO",IF(AND(ISNUMBER($AO31),$AO31&gt;Settings!$C$104),"NO",IF(N($AB31)&lt;Settings!$C$71,"NO",IF(N($AA31)&lt;Settings!$C$72,"NO","YES")))))))))))</f>
        <v>NO</v>
      </c>
      <c r="AE31" s="339" t="str">
        <f ca="1">IF($R31="","",IF($AD31="YES","",IF(ROUND(Settings!$C$65+Settings!$C$66,6)&lt;&gt;1,"Ranking weights do not total 100%",IF($AC31&lt;&gt;"YES","Security is not active",IF(AND(UPPER(Settings!$C$105)="YES",$AP31="YES"),"Cross-listed security, excluded by Settings!C105",IF(NOT(ISNUMBER($U31)),"Missing fundamental data",IF(NOT(ISNUMBER($W31)),"No market observation on the date used",IF($C$7="","No market data available",IF($C$6-$C$7&gt;Settings!$C$70,"Market data is stale",IF(AND(ISNUMBER($AO31),$AO31&gt;Settings!$C$104),"Fundamental statement is stale ("&amp;$AO31&amp;" months old)",IF(N($AB31)&lt;Settings!$C$71,"Data confidence below minimum","Liquidity below minimum")))))))))))</f>
        <v>Data confidence below minimum</v>
      </c>
      <c r="AF31" s="340" t="str">
        <f ca="1">IF($AD31&lt;&gt;"YES","",ROUND($U31*RankingFundamentalWeight+$W31*RankingSentimentWeight,1))</f>
        <v/>
      </c>
      <c r="AG31" s="339" t="str">
        <f ca="1">IF($AD31&lt;&gt;"YES","",$AF31+$U31/10000+$W31/100000000+N($AB31)/1000000000000)</f>
        <v/>
      </c>
      <c r="AH31" s="343" t="str" cm="1">
        <f t="array" aca="1" ref="AH31" ca="1">IF(OR($AD31&lt;&gt;"YES",$AI31&lt;&gt;1),"",SUMPRODUCT(($AI$25:$AI$64=1)*($AD$25:$AD$64="YES")*($AG$25:$AG$64&gt;$AG31))+SUMPRODUCT(($AI$25:$AI$64=1)*($AD$25:$AD$64="YES")*($AG$25:$AG$64=$AG31)*($R$25:$R$64&lt;$R31))+1)</f>
        <v/>
      </c>
      <c r="AI31" s="339">
        <f ca="1">IF($R31="","",IF(AND(OR($A$22="",$T31=$A$22),OR($B$22="",$AL31=$B$22),OR($C$22="",$AM31=$C$22),OR($D$22="",AND(ISNUMBER($U31),N($U31)&gt;=$D$22)),OR($E$22="",AND(ISNUMBER($W31),N($W31)&gt;=$E$22)),OR($F$22="",AND(ISNUMBER($AF31),N($AF31)&gt;=$F$22)),OR($G$22="",N($AA31)&gt;=$G$22),OR($H$22="",N($AB31)&gt;=$H$22),OR(UPPER($I$22)&lt;&gt;"YES",$AC31="YES"),OR(UPPER($J$22)&lt;&gt;"YES",$AD31="YES")),1,0))</f>
        <v>1</v>
      </c>
      <c r="AJ31" s="339" t="str">
        <f>IF(OR($R31="",$C$11=""),"",IF(COUNTIFS('Ranking History'!$B$5:$B$2000,$R31,'Ranking History'!$A$5:$A$2000,$C$11)=0,"",SUMIFS('Ranking History'!$C$5:$C$2000,'Ranking History'!$B$5:$B$2000,$R31,'Ranking History'!$A$5:$A$2000,$C$11)))</f>
        <v/>
      </c>
      <c r="AK31" s="339" t="str">
        <f ca="1">IF(OR($AJ31="",$AH31=""),"",$AJ31-$AH31)</f>
        <v/>
      </c>
      <c r="AL31" s="339" t="str">
        <f ca="1">IF($AF31="","",IF($AF31&gt;=Settings!$C$76,"BORA SANA",IF($AF31&gt;=Settings!$C$77,"NZURI SANA",IF($AF31&gt;=Settings!$C$78,"NZURI",IF($AF31&gt;=Settings!$C$79,"WASTANI",IF($AF31&gt;=Settings!$C$80,"DHAIFU","DHAIFU SANA"))))))</f>
        <v/>
      </c>
      <c r="AM31" s="339" t="str">
        <f>IF(NOT(ISNUMBER($W31)),"",IF($W31&gt;=Settings!$C$82,"Demand kubwa sana",IF($W31&gt;=Settings!$C$83,"Demand kubwa",IF($W31&gt;=Settings!$C$84,"Demand ya wastani","Demand ndogo sana"))))</f>
        <v>Demand kubwa</v>
      </c>
      <c r="AN31" s="339" t="str">
        <f>IF($R31="","",IF(OR(NOT(ISNUMBER($U31)),NOT(ISNUMBER($W31))),"INCOMPLETE DATA",IF($U31&lt;Settings!$C$88,"Epuka : ubora dhaifu",IF(AND($U31&gt;=Settings!$C$86,$W31&gt;=Settings!$C$87),"Nunua : ubora na mwelekeo vinaungana",IF($U31&gt;=Settings!$C$86,"Fuatilia : ubora mzuri, mwelekeo bado haujathibitisha",IF($W31&gt;=Settings!$C$89,"Fuatilia : ubora wa wastani","Fuatilia : ubora wa wastani, mwelekeo bado dhaifu"))))))</f>
        <v>Fuatilia : ubora wa wastani</v>
      </c>
      <c r="AO31" s="339">
        <f ca="1">IF($R31="","",IF(COUNTIFS('Fundamental Scorecard'!$A$5:$A$44,$R31,'Fundamental Scorecard'!$AE$5:$AE$44,"&gt;=-1E+300")=0,"",SUMIFS('Fundamental Scorecard'!$AE$5:$AE$44,'Fundamental Scorecard'!$A$5:$A$44,$R31)))</f>
        <v>7</v>
      </c>
      <c r="AP31" s="339" t="str" cm="1">
        <f t="array" ref="AP31">IF($R31="","",IF(ISNUMBER(SEARCH("cross-listed",INDEX(Symbols!$C$4:$C$43,ROW()-24))),"YES","NO"))</f>
        <v>YES</v>
      </c>
    </row>
    <row r="32" spans="1:42" x14ac:dyDescent="0.3">
      <c r="A32" s="344" cm="1">
        <f t="array" aca="1" ref="A32" ca="1">IF($Q32="","",IF(INDEX($AD$25:$AD$64,$Q32)="YES",INDEX($AH$25:$AH$64,$Q32),"—"))</f>
        <v>8</v>
      </c>
      <c r="B32" s="318" t="str" cm="1">
        <f t="array" aca="1" ref="B32" ca="1">IF($Q32="","",INDEX($R$25:$R$64,$Q32))</f>
        <v>AFRIPRISE</v>
      </c>
      <c r="C32" s="319" t="str" cm="1">
        <f t="array" aca="1" ref="C32" ca="1">IF($Q32="","",INDEX($S$25:$S$64,$Q32))</f>
        <v>Afriprise Investment PLC</v>
      </c>
      <c r="D32" s="319" t="str" cm="1">
        <f t="array" aca="1" ref="D32" ca="1">IF($Q32="","",INDEX($T$25:$T$64,$Q32))</f>
        <v>Investment</v>
      </c>
      <c r="E32" s="100" cm="1">
        <f t="array" aca="1" ref="E32" ca="1">IF($Q32="","",INDEX($U$25:$U$64,$Q32))</f>
        <v>86.9</v>
      </c>
      <c r="F32" s="100" cm="1">
        <f t="array" aca="1" ref="F32" ca="1">IF($Q32="","",INDEX($W$25:$W$64,$Q32))</f>
        <v>30.1</v>
      </c>
      <c r="G32" s="100" cm="1">
        <f t="array" aca="1" ref="G32" ca="1">IF($Q32="","",INDEX($AF$25:$AF$64,$Q32))</f>
        <v>69.900000000000006</v>
      </c>
      <c r="H32" s="319" t="str" cm="1">
        <f t="array" aca="1" ref="H32" ca="1">IF($Q32="","",INDEX($AL$25:$AL$64,$Q32))</f>
        <v>NZURI</v>
      </c>
      <c r="I32" s="319" t="str" cm="1">
        <f t="array" aca="1" ref="I32" ca="1">IF($Q32="","",INDEX($AM$25:$AM$64,$Q32))</f>
        <v>Demand ya wastani</v>
      </c>
      <c r="J32" s="319" t="str" cm="1">
        <f t="array" aca="1" ref="J32" ca="1">IF($Q32="","",INDEX($AN$25:$AN$64,$Q32))</f>
        <v>Fuatilia : ubora mzuri, mwelekeo bado haujathibitisha</v>
      </c>
      <c r="K32" s="100" cm="1">
        <f t="array" aca="1" ref="K32" ca="1">IF($Q32="","",INDEX($AA$25:$AA$64,$Q32))</f>
        <v>37.9</v>
      </c>
      <c r="L32" s="100" cm="1">
        <f t="array" aca="1" ref="L32" ca="1">IF($Q32="","",INDEX($AB$25:$AB$64,$Q32))</f>
        <v>75</v>
      </c>
      <c r="M32" s="319" t="str" cm="1">
        <f t="array" aca="1" ref="M32" ca="1">IF($Q32="","",INDEX($V$25:$V$64,$Q32))</f>
        <v>Quarter to 30 Jun 2026</v>
      </c>
      <c r="N32" s="95">
        <f ca="1">IF($Q32="","",$C$7)</f>
        <v>46248</v>
      </c>
      <c r="O32" s="102" t="str" cm="1">
        <f t="array" aca="1" ref="O32" ca="1">IF($Q32="","",INDEX($AJ$25:$AJ$64,$Q32))</f>
        <v/>
      </c>
      <c r="P32" s="319" t="str" cm="1">
        <f t="array" aca="1" ref="P32" ca="1">IF($Q32="","",IF(INDEX($AK$25:$AK$64,$Q32)="","",IF(INDEX($AK$25:$AK$64,$Q32)&gt;0,"▲ +"&amp;INDEX($AK$25:$AK$64,$Q32),IF(INDEX($AK$25:$AK$64,$Q32)&lt;0,"▼ "&amp;INDEX($AK$25:$AK$64,$Q32),"= 0"))))</f>
        <v/>
      </c>
      <c r="Q32" s="116" cm="1">
        <f t="array" aca="1" ref="Q32" ca="1">IF(ROW()-24&lt;=COUNT($AH$25:$AH$64),IFERROR(MATCH(ROW()-24,$AH$25:$AH$64,0),""),IFERROR(SMALL(IF(($AI$25:$AI$64=1)*($AD$25:$AD$64&lt;&gt;"YES")*($R$25:$R$64&lt;&gt;""),ROW($AI$25:$AI$64)-24),ROW()-24-COUNT($AH$25:$AH$64)),""))</f>
        <v>1</v>
      </c>
      <c r="R32" s="339" t="str">
        <f>IF(Symbols!A11="","",Symbols!A11)</f>
        <v>KA</v>
      </c>
      <c r="S32" s="339" t="str" cm="1">
        <f t="array" ref="S32">IF($R32="","",INDEX(Symbols!$B$4:$B$43,ROW()-24))</f>
        <v>Kenya Airways PLC</v>
      </c>
      <c r="T32" s="339" t="str" cm="1">
        <f t="array" ref="T32">IF($R32="","",INDEX(Symbols!$D$4:$D$43,ROW()-24))</f>
        <v>Transport</v>
      </c>
      <c r="U32" s="340">
        <f>IF($R32="","",IF(COUNTIFS('Fundamental Scorecard'!$A$5:$A$44,$R32,'Fundamental Scorecard'!$E$5:$E$44,"&gt;=-1E+300")=0,"",SUMIFS('Fundamental Scorecard'!$E$5:$E$44,'Fundamental Scorecard'!$A$5:$A$44,$R32)))</f>
        <v>0</v>
      </c>
      <c r="V32" s="339" t="str">
        <f>IF($R32="","",IFERROR(IF(INDEX('Fundamental Scorecard'!$D$5:$D$44,MATCH($R32,'Fundamental Scorecard'!$A$5:$A$44,0))=0,"",INDEX('Fundamental Scorecard'!$D$5:$D$44,MATCH($R32,'Fundamental Scorecard'!$A$5:$A$44,0))),""))</f>
        <v>Full to 31 Dec 2025</v>
      </c>
      <c r="W32" s="340">
        <f>IF(OR($R32="",$C$7=""),"",IF(COUNTIFS('Daily Data'!$B$4:$B$503,$R32,'Daily Data'!$A$4:$A$503,$C$7,'Daily Data'!$AH$4:$AH$503,"&gt;=-1E+300")=0,"",SUMIFS('Daily Data'!$AH$4:$AH$503,'Daily Data'!$B$4:$B$503,$R32,'Daily Data'!$A$4:$A$503,$C$7)))</f>
        <v>65</v>
      </c>
      <c r="X32" s="341" t="str">
        <f>IF(OR($R32="",$C$7=""),"",IF(COUNTIFS('Daily Data'!$B$4:$B$503,$R32,'Daily Data'!$A$4:$A$503,$C$7,'Daily Data'!$S$4:$S$503,"&gt;=-1E+300")=0,"",SUMIFS('Daily Data'!$S$4:$S$503,'Daily Data'!$B$4:$B$503,$R32,'Daily Data'!$A$4:$A$503,$C$7)))</f>
        <v/>
      </c>
      <c r="Y32" s="342" t="str">
        <f>IF(OR($R32="",$C$7=""),"",IF(COUNTIFS('Daily Data'!$B$4:$B$503,$R32,'Daily Data'!$A$4:$A$503,$C$7,'Daily Data'!$AA$4:$AA$503,"&gt;=-1E+300")=0,"",SUMIFS('Daily Data'!$AA$4:$AA$503,'Daily Data'!$B$4:$B$503,$R32,'Daily Data'!$A$4:$A$503,$C$7)))</f>
        <v/>
      </c>
      <c r="Z32" s="341" t="str">
        <f>IF(OR($R32="",$C$7=""),"",IF(COUNTIFS('Daily Data'!$B$4:$B$503,$R32,'Daily Data'!$A$4:$A$503,$C$7,'Daily Data'!$AC$4:$AC$503,"&gt;=-1E+300")=0,"",SUMIFS('Daily Data'!$AC$4:$AC$503,'Daily Data'!$B$4:$B$503,$R32,'Daily Data'!$A$4:$A$503,$C$7)))</f>
        <v/>
      </c>
      <c r="AA32" s="340">
        <f>IF(OR($R32="",$C$7=""),"",IF(COUNTIFS('Daily Data'!$B$4:$B$503,$R32,'Daily Data'!$A$4:$A$503,$C$7,'Daily Data'!$AG$4:$AG$503,"&gt;=-1E+300")=0,"",SUMIFS('Daily Data'!$AG$4:$AG$503,'Daily Data'!$B$4:$B$503,$R32,'Daily Data'!$A$4:$A$503,$C$7)))</f>
        <v>0</v>
      </c>
      <c r="AB32" s="340">
        <f>IF(OR($R32="",$C$7=""),"",IF(COUNTIFS('Daily Data'!$B$4:$B$503,$R32,'Daily Data'!$A$4:$A$503,$C$7,'Daily Data'!$AI$4:$AI$503,"&gt;=-1E+300")=0,"",SUMIFS('Daily Data'!$AI$4:$AI$503,'Daily Data'!$B$4:$B$503,$R32,'Daily Data'!$A$4:$A$503,$C$7)))</f>
        <v>55</v>
      </c>
      <c r="AC32" s="339" t="str" cm="1">
        <f t="array" ref="AC32">IF($R32="","",IF(UPPER(INDEX(Symbols!$F$4:$F$43,ROW()-24))="YES","YES","NO"))</f>
        <v>YES</v>
      </c>
      <c r="AD32" s="339" t="str">
        <f ca="1">IF($R32="","",IF(ROUND(Settings!$C$65+Settings!$C$66,6)&lt;&gt;1,"NO",IF($AC32&lt;&gt;"YES","NO",IF(AND(UPPER(Settings!$C$105)="YES",$AP32="YES"),"NO",IF(NOT(ISNUMBER($U32)),"NO",IF(NOT(ISNUMBER($W32)),"NO",IF($C$7="","NO",IF($C$6-$C$7&gt;Settings!$C$70,"NO",IF(AND(ISNUMBER($AO32),$AO32&gt;Settings!$C$104),"NO",IF(N($AB32)&lt;Settings!$C$71,"NO",IF(N($AA32)&lt;Settings!$C$72,"NO","YES")))))))))))</f>
        <v>NO</v>
      </c>
      <c r="AE32" s="339" t="str">
        <f ca="1">IF($R32="","",IF($AD32="YES","",IF(ROUND(Settings!$C$65+Settings!$C$66,6)&lt;&gt;1,"Ranking weights do not total 100%",IF($AC32&lt;&gt;"YES","Security is not active",IF(AND(UPPER(Settings!$C$105)="YES",$AP32="YES"),"Cross-listed security, excluded by Settings!C105",IF(NOT(ISNUMBER($U32)),"Missing fundamental data",IF(NOT(ISNUMBER($W32)),"No market observation on the date used",IF($C$7="","No market data available",IF($C$6-$C$7&gt;Settings!$C$70,"Market data is stale",IF(AND(ISNUMBER($AO32),$AO32&gt;Settings!$C$104),"Fundamental statement is stale ("&amp;$AO32&amp;" months old)",IF(N($AB32)&lt;Settings!$C$71,"Data confidence below minimum","Liquidity below minimum")))))))))))</f>
        <v>Data confidence below minimum</v>
      </c>
      <c r="AF32" s="340" t="str">
        <f ca="1">IF($AD32&lt;&gt;"YES","",ROUND($U32*RankingFundamentalWeight+$W32*RankingSentimentWeight,1))</f>
        <v/>
      </c>
      <c r="AG32" s="339" t="str">
        <f ca="1">IF($AD32&lt;&gt;"YES","",$AF32+$U32/10000+$W32/100000000+N($AB32)/1000000000000)</f>
        <v/>
      </c>
      <c r="AH32" s="343" t="str" cm="1">
        <f t="array" aca="1" ref="AH32" ca="1">IF(OR($AD32&lt;&gt;"YES",$AI32&lt;&gt;1),"",SUMPRODUCT(($AI$25:$AI$64=1)*($AD$25:$AD$64="YES")*($AG$25:$AG$64&gt;$AG32))+SUMPRODUCT(($AI$25:$AI$64=1)*($AD$25:$AD$64="YES")*($AG$25:$AG$64=$AG32)*($R$25:$R$64&lt;$R32))+1)</f>
        <v/>
      </c>
      <c r="AI32" s="339">
        <f ca="1">IF($R32="","",IF(AND(OR($A$22="",$T32=$A$22),OR($B$22="",$AL32=$B$22),OR($C$22="",$AM32=$C$22),OR($D$22="",AND(ISNUMBER($U32),N($U32)&gt;=$D$22)),OR($E$22="",AND(ISNUMBER($W32),N($W32)&gt;=$E$22)),OR($F$22="",AND(ISNUMBER($AF32),N($AF32)&gt;=$F$22)),OR($G$22="",N($AA32)&gt;=$G$22),OR($H$22="",N($AB32)&gt;=$H$22),OR(UPPER($I$22)&lt;&gt;"YES",$AC32="YES"),OR(UPPER($J$22)&lt;&gt;"YES",$AD32="YES")),1,0))</f>
        <v>1</v>
      </c>
      <c r="AJ32" s="339" t="str">
        <f>IF(OR($R32="",$C$11=""),"",IF(COUNTIFS('Ranking History'!$B$5:$B$2000,$R32,'Ranking History'!$A$5:$A$2000,$C$11)=0,"",SUMIFS('Ranking History'!$C$5:$C$2000,'Ranking History'!$B$5:$B$2000,$R32,'Ranking History'!$A$5:$A$2000,$C$11)))</f>
        <v/>
      </c>
      <c r="AK32" s="339" t="str">
        <f ca="1">IF(OR($AJ32="",$AH32=""),"",$AJ32-$AH32)</f>
        <v/>
      </c>
      <c r="AL32" s="339" t="str">
        <f ca="1">IF($AF32="","",IF($AF32&gt;=Settings!$C$76,"BORA SANA",IF($AF32&gt;=Settings!$C$77,"NZURI SANA",IF($AF32&gt;=Settings!$C$78,"NZURI",IF($AF32&gt;=Settings!$C$79,"WASTANI",IF($AF32&gt;=Settings!$C$80,"DHAIFU","DHAIFU SANA"))))))</f>
        <v/>
      </c>
      <c r="AM32" s="339" t="str">
        <f>IF(NOT(ISNUMBER($W32)),"",IF($W32&gt;=Settings!$C$82,"Demand kubwa sana",IF($W32&gt;=Settings!$C$83,"Demand kubwa",IF($W32&gt;=Settings!$C$84,"Demand ya wastani","Demand ndogo sana"))))</f>
        <v>Demand kubwa</v>
      </c>
      <c r="AN32" s="339" t="str">
        <f>IF($R32="","",IF(OR(NOT(ISNUMBER($U32)),NOT(ISNUMBER($W32))),"INCOMPLETE DATA",IF($U32&lt;Settings!$C$88,"Epuka : ubora dhaifu",IF(AND($U32&gt;=Settings!$C$86,$W32&gt;=Settings!$C$87),"Nunua : ubora na mwelekeo vinaungana",IF($U32&gt;=Settings!$C$86,"Fuatilia : ubora mzuri, mwelekeo bado haujathibitisha",IF($W32&gt;=Settings!$C$89,"Fuatilia : ubora wa wastani","Fuatilia : ubora wa wastani, mwelekeo bado dhaifu"))))))</f>
        <v>Epuka : ubora dhaifu</v>
      </c>
      <c r="AO32" s="339">
        <f ca="1">IF($R32="","",IF(COUNTIFS('Fundamental Scorecard'!$A$5:$A$44,$R32,'Fundamental Scorecard'!$AE$5:$AE$44,"&gt;=-1E+300")=0,"",SUMIFS('Fundamental Scorecard'!$AE$5:$AE$44,'Fundamental Scorecard'!$A$5:$A$44,$R32)))</f>
        <v>7</v>
      </c>
      <c r="AP32" s="339" t="str" cm="1">
        <f t="array" ref="AP32">IF($R32="","",IF(ISNUMBER(SEARCH("cross-listed",INDEX(Symbols!$C$4:$C$43,ROW()-24))),"YES","NO"))</f>
        <v>YES</v>
      </c>
    </row>
    <row r="33" spans="1:42" x14ac:dyDescent="0.3">
      <c r="A33" s="344" cm="1">
        <f t="array" aca="1" ref="A33" ca="1">IF($Q33="","",IF(INDEX($AD$25:$AD$64,$Q33)="YES",INDEX($AH$25:$AH$64,$Q33),"—"))</f>
        <v>9</v>
      </c>
      <c r="B33" s="318" t="str" cm="1">
        <f t="array" aca="1" ref="B33" ca="1">IF($Q33="","",INDEX($R$25:$R$64,$Q33))</f>
        <v>MBP</v>
      </c>
      <c r="C33" s="319" t="str" cm="1">
        <f t="array" aca="1" ref="C33" ca="1">IF($Q33="","",INDEX($S$25:$S$64,$Q33))</f>
        <v>Maendeleo Bank PLC</v>
      </c>
      <c r="D33" s="319" t="str" cm="1">
        <f t="array" aca="1" ref="D33" ca="1">IF($Q33="","",INDEX($T$25:$T$64,$Q33))</f>
        <v>Banking</v>
      </c>
      <c r="E33" s="100" cm="1">
        <f t="array" aca="1" ref="E33" ca="1">IF($Q33="","",INDEX($U$25:$U$64,$Q33))</f>
        <v>82.4</v>
      </c>
      <c r="F33" s="100" cm="1">
        <f t="array" aca="1" ref="F33" ca="1">IF($Q33="","",INDEX($W$25:$W$64,$Q33))</f>
        <v>34.5</v>
      </c>
      <c r="G33" s="100" cm="1">
        <f t="array" aca="1" ref="G33" ca="1">IF($Q33="","",INDEX($AF$25:$AF$64,$Q33))</f>
        <v>68</v>
      </c>
      <c r="H33" s="319" t="str" cm="1">
        <f t="array" aca="1" ref="H33" ca="1">IF($Q33="","",INDEX($AL$25:$AL$64,$Q33))</f>
        <v>NZURI</v>
      </c>
      <c r="I33" s="319" t="str" cm="1">
        <f t="array" aca="1" ref="I33" ca="1">IF($Q33="","",INDEX($AM$25:$AM$64,$Q33))</f>
        <v>Demand ya wastani</v>
      </c>
      <c r="J33" s="319" t="str" cm="1">
        <f t="array" aca="1" ref="J33" ca="1">IF($Q33="","",INDEX($AN$25:$AN$64,$Q33))</f>
        <v>Fuatilia : ubora mzuri, mwelekeo bado haujathibitisha</v>
      </c>
      <c r="K33" s="100" cm="1">
        <f t="array" aca="1" ref="K33" ca="1">IF($Q33="","",INDEX($AA$25:$AA$64,$Q33))</f>
        <v>14.8</v>
      </c>
      <c r="L33" s="100" cm="1">
        <f t="array" aca="1" ref="L33" ca="1">IF($Q33="","",INDEX($AB$25:$AB$64,$Q33))</f>
        <v>75</v>
      </c>
      <c r="M33" s="319" t="str" cm="1">
        <f t="array" aca="1" ref="M33" ca="1">IF($Q33="","",INDEX($V$25:$V$64,$Q33))</f>
        <v>Quarter to 31 Mar 2026</v>
      </c>
      <c r="N33" s="95">
        <f ca="1">IF($Q33="","",$C$7)</f>
        <v>46248</v>
      </c>
      <c r="O33" s="102" t="str" cm="1">
        <f t="array" aca="1" ref="O33" ca="1">IF($Q33="","",INDEX($AJ$25:$AJ$64,$Q33))</f>
        <v/>
      </c>
      <c r="P33" s="319" t="str" cm="1">
        <f t="array" aca="1" ref="P33" ca="1">IF($Q33="","",IF(INDEX($AK$25:$AK$64,$Q33)="","",IF(INDEX($AK$25:$AK$64,$Q33)&gt;0,"▲ +"&amp;INDEX($AK$25:$AK$64,$Q33),IF(INDEX($AK$25:$AK$64,$Q33)&lt;0,"▼ "&amp;INDEX($AK$25:$AK$64,$Q33),"= 0"))))</f>
        <v/>
      </c>
      <c r="Q33" s="116" cm="1">
        <f t="array" aca="1" ref="Q33" ca="1">IF(ROW()-24&lt;=COUNT($AH$25:$AH$64),IFERROR(MATCH(ROW()-24,$AH$25:$AH$64,0),""),IFERROR(SMALL(IF(($AI$25:$AI$64=1)*($AD$25:$AD$64&lt;&gt;"YES")*($R$25:$R$64&lt;&gt;""),ROW($AI$25:$AI$64)-24),ROW()-24-COUNT($AH$25:$AH$64)),""))</f>
        <v>10</v>
      </c>
      <c r="R33" s="339" t="str">
        <f>IF(Symbols!A12="","",Symbols!A12)</f>
        <v>KCB</v>
      </c>
      <c r="S33" s="339" t="str" cm="1">
        <f t="array" ref="S33">IF($R33="","",INDEX(Symbols!$B$4:$B$43,ROW()-24))</f>
        <v>KCB Group PLC</v>
      </c>
      <c r="T33" s="339" t="str" cm="1">
        <f t="array" ref="T33">IF($R33="","",INDEX(Symbols!$D$4:$D$43,ROW()-24))</f>
        <v>Banking</v>
      </c>
      <c r="U33" s="340">
        <f>IF($R33="","",IF(COUNTIFS('Fundamental Scorecard'!$A$5:$A$44,$R33,'Fundamental Scorecard'!$E$5:$E$44,"&gt;=-1E+300")=0,"",SUMIFS('Fundamental Scorecard'!$E$5:$E$44,'Fundamental Scorecard'!$A$5:$A$44,$R33)))</f>
        <v>77.400000000000006</v>
      </c>
      <c r="V33" s="339" t="str">
        <f>IF($R33="","",IFERROR(IF(INDEX('Fundamental Scorecard'!$D$5:$D$44,MATCH($R33,'Fundamental Scorecard'!$A$5:$A$44,0))=0,"",INDEX('Fundamental Scorecard'!$D$5:$D$44,MATCH($R33,'Fundamental Scorecard'!$A$5:$A$44,0))),""))</f>
        <v>Half to 30 Jun 2026</v>
      </c>
      <c r="W33" s="340">
        <f>IF(OR($R33="",$C$7=""),"",IF(COUNTIFS('Daily Data'!$B$4:$B$503,$R33,'Daily Data'!$A$4:$A$503,$C$7,'Daily Data'!$AH$4:$AH$503,"&gt;=-1E+300")=0,"",SUMIFS('Daily Data'!$AH$4:$AH$503,'Daily Data'!$B$4:$B$503,$R33,'Daily Data'!$A$4:$A$503,$C$7)))</f>
        <v>38.9</v>
      </c>
      <c r="X33" s="341">
        <f>IF(OR($R33="",$C$7=""),"",IF(COUNTIFS('Daily Data'!$B$4:$B$503,$R33,'Daily Data'!$A$4:$A$503,$C$7,'Daily Data'!$S$4:$S$503,"&gt;=-1E+300")=0,"",SUMIFS('Daily Data'!$S$4:$S$503,'Daily Data'!$B$4:$B$503,$R33,'Daily Data'!$A$4:$A$503,$C$7)))</f>
        <v>0.43361096184846859</v>
      </c>
      <c r="Y33" s="342" t="str">
        <f>IF(OR($R33="",$C$7=""),"",IF(COUNTIFS('Daily Data'!$B$4:$B$503,$R33,'Daily Data'!$A$4:$A$503,$C$7,'Daily Data'!$AA$4:$AA$503,"&gt;=-1E+300")=0,"",SUMIFS('Daily Data'!$AA$4:$AA$503,'Daily Data'!$B$4:$B$503,$R33,'Daily Data'!$A$4:$A$503,$C$7)))</f>
        <v/>
      </c>
      <c r="Z33" s="341" t="str">
        <f>IF(OR($R33="",$C$7=""),"",IF(COUNTIFS('Daily Data'!$B$4:$B$503,$R33,'Daily Data'!$A$4:$A$503,$C$7,'Daily Data'!$AC$4:$AC$503,"&gt;=-1E+300")=0,"",SUMIFS('Daily Data'!$AC$4:$AC$503,'Daily Data'!$B$4:$B$503,$R33,'Daily Data'!$A$4:$A$503,$C$7)))</f>
        <v/>
      </c>
      <c r="AA33" s="340">
        <f>IF(OR($R33="",$C$7=""),"",IF(COUNTIFS('Daily Data'!$B$4:$B$503,$R33,'Daily Data'!$A$4:$A$503,$C$7,'Daily Data'!$AG$4:$AG$503,"&gt;=-1E+300")=0,"",SUMIFS('Daily Data'!$AG$4:$AG$503,'Daily Data'!$B$4:$B$503,$R33,'Daily Data'!$A$4:$A$503,$C$7)))</f>
        <v>16.7</v>
      </c>
      <c r="AB33" s="340">
        <f>IF(OR($R33="",$C$7=""),"",IF(COUNTIFS('Daily Data'!$B$4:$B$503,$R33,'Daily Data'!$A$4:$A$503,$C$7,'Daily Data'!$AI$4:$AI$503,"&gt;=-1E+300")=0,"",SUMIFS('Daily Data'!$AI$4:$AI$503,'Daily Data'!$B$4:$B$503,$R33,'Daily Data'!$A$4:$A$503,$C$7)))</f>
        <v>75</v>
      </c>
      <c r="AC33" s="339" t="str" cm="1">
        <f t="array" ref="AC33">IF($R33="","",IF(UPPER(INDEX(Symbols!$F$4:$F$43,ROW()-24))="YES","YES","NO"))</f>
        <v>YES</v>
      </c>
      <c r="AD33" s="339" t="str">
        <f ca="1">IF($R33="","",IF(ROUND(Settings!$C$65+Settings!$C$66,6)&lt;&gt;1,"NO",IF($AC33&lt;&gt;"YES","NO",IF(AND(UPPER(Settings!$C$105)="YES",$AP33="YES"),"NO",IF(NOT(ISNUMBER($U33)),"NO",IF(NOT(ISNUMBER($W33)),"NO",IF($C$7="","NO",IF($C$6-$C$7&gt;Settings!$C$70,"NO",IF(AND(ISNUMBER($AO33),$AO33&gt;Settings!$C$104),"NO",IF(N($AB33)&lt;Settings!$C$71,"NO",IF(N($AA33)&lt;Settings!$C$72,"NO","YES")))))))))))</f>
        <v>YES</v>
      </c>
      <c r="AE33" s="339" t="str">
        <f ca="1">IF($R33="","",IF($AD33="YES","",IF(ROUND(Settings!$C$65+Settings!$C$66,6)&lt;&gt;1,"Ranking weights do not total 100%",IF($AC33&lt;&gt;"YES","Security is not active",IF(AND(UPPER(Settings!$C$105)="YES",$AP33="YES"),"Cross-listed security, excluded by Settings!C105",IF(NOT(ISNUMBER($U33)),"Missing fundamental data",IF(NOT(ISNUMBER($W33)),"No market observation on the date used",IF($C$7="","No market data available",IF($C$6-$C$7&gt;Settings!$C$70,"Market data is stale",IF(AND(ISNUMBER($AO33),$AO33&gt;Settings!$C$104),"Fundamental statement is stale ("&amp;$AO33&amp;" months old)",IF(N($AB33)&lt;Settings!$C$71,"Data confidence below minimum","Liquidity below minimum")))))))))))</f>
        <v/>
      </c>
      <c r="AF33" s="340">
        <f ca="1">IF($AD33&lt;&gt;"YES","",ROUND($U33*RankingFundamentalWeight+$W33*RankingSentimentWeight,1))</f>
        <v>65.900000000000006</v>
      </c>
      <c r="AG33" s="339">
        <f ca="1">IF($AD33&lt;&gt;"YES","",$AF33+$U33/10000+$W33/100000000+N($AB33)/1000000000000)</f>
        <v>65.907740389075002</v>
      </c>
      <c r="AH33" s="343" cm="1">
        <f t="array" aca="1" ref="AH33" ca="1">IF(OR($AD33&lt;&gt;"YES",$AI33&lt;&gt;1),"",SUMPRODUCT(($AI$25:$AI$64=1)*($AD$25:$AD$64="YES")*($AG$25:$AG$64&gt;$AG33))+SUMPRODUCT(($AI$25:$AI$64=1)*($AD$25:$AD$64="YES")*($AG$25:$AG$64=$AG33)*($R$25:$R$64&lt;$R33))+1)</f>
        <v>12</v>
      </c>
      <c r="AI33" s="339">
        <f ca="1">IF($R33="","",IF(AND(OR($A$22="",$T33=$A$22),OR($B$22="",$AL33=$B$22),OR($C$22="",$AM33=$C$22),OR($D$22="",AND(ISNUMBER($U33),N($U33)&gt;=$D$22)),OR($E$22="",AND(ISNUMBER($W33),N($W33)&gt;=$E$22)),OR($F$22="",AND(ISNUMBER($AF33),N($AF33)&gt;=$F$22)),OR($G$22="",N($AA33)&gt;=$G$22),OR($H$22="",N($AB33)&gt;=$H$22),OR(UPPER($I$22)&lt;&gt;"YES",$AC33="YES"),OR(UPPER($J$22)&lt;&gt;"YES",$AD33="YES")),1,0))</f>
        <v>1</v>
      </c>
      <c r="AJ33" s="339" t="str">
        <f>IF(OR($R33="",$C$11=""),"",IF(COUNTIFS('Ranking History'!$B$5:$B$2000,$R33,'Ranking History'!$A$5:$A$2000,$C$11)=0,"",SUMIFS('Ranking History'!$C$5:$C$2000,'Ranking History'!$B$5:$B$2000,$R33,'Ranking History'!$A$5:$A$2000,$C$11)))</f>
        <v/>
      </c>
      <c r="AK33" s="339" t="str">
        <f ca="1">IF(OR($AJ33="",$AH33=""),"",$AJ33-$AH33)</f>
        <v/>
      </c>
      <c r="AL33" s="339" t="str">
        <f ca="1">IF($AF33="","",IF($AF33&gt;=Settings!$C$76,"BORA SANA",IF($AF33&gt;=Settings!$C$77,"NZURI SANA",IF($AF33&gt;=Settings!$C$78,"NZURI",IF($AF33&gt;=Settings!$C$79,"WASTANI",IF($AF33&gt;=Settings!$C$80,"DHAIFU","DHAIFU SANA"))))))</f>
        <v>NZURI</v>
      </c>
      <c r="AM33" s="339" t="str">
        <f>IF(NOT(ISNUMBER($W33)),"",IF($W33&gt;=Settings!$C$82,"Demand kubwa sana",IF($W33&gt;=Settings!$C$83,"Demand kubwa",IF($W33&gt;=Settings!$C$84,"Demand ya wastani","Demand ndogo sana"))))</f>
        <v>Demand ya wastani</v>
      </c>
      <c r="AN33" s="339" t="str">
        <f>IF($R33="","",IF(OR(NOT(ISNUMBER($U33)),NOT(ISNUMBER($W33))),"INCOMPLETE DATA",IF($U33&lt;Settings!$C$88,"Epuka : ubora dhaifu",IF(AND($U33&gt;=Settings!$C$86,$W33&gt;=Settings!$C$87),"Nunua : ubora na mwelekeo vinaungana",IF($U33&gt;=Settings!$C$86,"Fuatilia : ubora mzuri, mwelekeo bado haujathibitisha",IF($W33&gt;=Settings!$C$89,"Fuatilia : ubora wa wastani","Fuatilia : ubora wa wastani, mwelekeo bado dhaifu"))))))</f>
        <v>Fuatilia : ubora mzuri, mwelekeo bado haujathibitisha</v>
      </c>
      <c r="AO33" s="339">
        <f ca="1">IF($R33="","",IF(COUNTIFS('Fundamental Scorecard'!$A$5:$A$44,$R33,'Fundamental Scorecard'!$AE$5:$AE$44,"&gt;=-1E+300")=0,"",SUMIFS('Fundamental Scorecard'!$AE$5:$AE$44,'Fundamental Scorecard'!$A$5:$A$44,$R33)))</f>
        <v>2</v>
      </c>
      <c r="AP33" s="339" t="str" cm="1">
        <f t="array" ref="AP33">IF($R33="","",IF(ISNUMBER(SEARCH("cross-listed",INDEX(Symbols!$C$4:$C$43,ROW()-24))),"YES","NO"))</f>
        <v>YES</v>
      </c>
    </row>
    <row r="34" spans="1:42" x14ac:dyDescent="0.3">
      <c r="A34" s="344" cm="1">
        <f t="array" aca="1" ref="A34" ca="1">IF($Q34="","",IF(INDEX($AD$25:$AD$64,$Q34)="YES",INDEX($AH$25:$AH$64,$Q34),"—"))</f>
        <v>10</v>
      </c>
      <c r="B34" s="318" t="str" cm="1">
        <f t="array" aca="1" ref="B34" ca="1">IF($Q34="","",INDEX($R$25:$R$64,$Q34))</f>
        <v>MKCB</v>
      </c>
      <c r="C34" s="319" t="str" cm="1">
        <f t="array" aca="1" ref="C34" ca="1">IF($Q34="","",INDEX($S$25:$S$64,$Q34))</f>
        <v>Mkombozi Commercial Bank PLC</v>
      </c>
      <c r="D34" s="319" t="str" cm="1">
        <f t="array" aca="1" ref="D34" ca="1">IF($Q34="","",INDEX($T$25:$T$64,$Q34))</f>
        <v>Banking</v>
      </c>
      <c r="E34" s="100" cm="1">
        <f t="array" aca="1" ref="E34" ca="1">IF($Q34="","",INDEX($U$25:$U$64,$Q34))</f>
        <v>83.8</v>
      </c>
      <c r="F34" s="100" cm="1">
        <f t="array" aca="1" ref="F34" ca="1">IF($Q34="","",INDEX($W$25:$W$64,$Q34))</f>
        <v>29.8</v>
      </c>
      <c r="G34" s="100" cm="1">
        <f t="array" aca="1" ref="G34" ca="1">IF($Q34="","",INDEX($AF$25:$AF$64,$Q34))</f>
        <v>67.599999999999994</v>
      </c>
      <c r="H34" s="319" t="str" cm="1">
        <f t="array" aca="1" ref="H34" ca="1">IF($Q34="","",INDEX($AL$25:$AL$64,$Q34))</f>
        <v>NZURI</v>
      </c>
      <c r="I34" s="319" t="str" cm="1">
        <f t="array" aca="1" ref="I34" ca="1">IF($Q34="","",INDEX($AM$25:$AM$64,$Q34))</f>
        <v>Demand ndogo sana</v>
      </c>
      <c r="J34" s="319" t="str" cm="1">
        <f t="array" aca="1" ref="J34" ca="1">IF($Q34="","",INDEX($AN$25:$AN$64,$Q34))</f>
        <v>Fuatilia : ubora mzuri, mwelekeo bado haujathibitisha</v>
      </c>
      <c r="K34" s="100" cm="1">
        <f t="array" aca="1" ref="K34" ca="1">IF($Q34="","",INDEX($AA$25:$AA$64,$Q34))</f>
        <v>7.1</v>
      </c>
      <c r="L34" s="100" cm="1">
        <f t="array" aca="1" ref="L34" ca="1">IF($Q34="","",INDEX($AB$25:$AB$64,$Q34))</f>
        <v>75</v>
      </c>
      <c r="M34" s="319" t="str" cm="1">
        <f t="array" aca="1" ref="M34" ca="1">IF($Q34="","",INDEX($V$25:$V$64,$Q34))</f>
        <v>Full to 31 Dec 2025</v>
      </c>
      <c r="N34" s="95">
        <f ca="1">IF($Q34="","",$C$7)</f>
        <v>46248</v>
      </c>
      <c r="O34" s="102" t="str" cm="1">
        <f t="array" aca="1" ref="O34" ca="1">IF($Q34="","",INDEX($AJ$25:$AJ$64,$Q34))</f>
        <v/>
      </c>
      <c r="P34" s="319" t="str" cm="1">
        <f t="array" aca="1" ref="P34" ca="1">IF($Q34="","",IF(INDEX($AK$25:$AK$64,$Q34)="","",IF(INDEX($AK$25:$AK$64,$Q34)&gt;0,"▲ +"&amp;INDEX($AK$25:$AK$64,$Q34),IF(INDEX($AK$25:$AK$64,$Q34)&lt;0,"▼ "&amp;INDEX($AK$25:$AK$64,$Q34),"= 0"))))</f>
        <v/>
      </c>
      <c r="Q34" s="116" cm="1">
        <f t="array" aca="1" ref="Q34" ca="1">IF(ROW()-24&lt;=COUNT($AH$25:$AH$64),IFERROR(MATCH(ROW()-24,$AH$25:$AH$64,0),""),IFERROR(SMALL(IF(($AI$25:$AI$64=1)*($AD$25:$AD$64&lt;&gt;"YES")*($R$25:$R$64&lt;&gt;""),ROW($AI$25:$AI$64)-24),ROW()-24-COUNT($AH$25:$AH$64)),""))</f>
        <v>12</v>
      </c>
      <c r="R34" s="339" t="str">
        <f>IF(Symbols!A13="","",Symbols!A13)</f>
        <v>MBP</v>
      </c>
      <c r="S34" s="339" t="str" cm="1">
        <f t="array" ref="S34">IF($R34="","",INDEX(Symbols!$B$4:$B$43,ROW()-24))</f>
        <v>Maendeleo Bank PLC</v>
      </c>
      <c r="T34" s="339" t="str" cm="1">
        <f t="array" ref="T34">IF($R34="","",INDEX(Symbols!$D$4:$D$43,ROW()-24))</f>
        <v>Banking</v>
      </c>
      <c r="U34" s="340">
        <f>IF($R34="","",IF(COUNTIFS('Fundamental Scorecard'!$A$5:$A$44,$R34,'Fundamental Scorecard'!$E$5:$E$44,"&gt;=-1E+300")=0,"",SUMIFS('Fundamental Scorecard'!$E$5:$E$44,'Fundamental Scorecard'!$A$5:$A$44,$R34)))</f>
        <v>82.4</v>
      </c>
      <c r="V34" s="339" t="str">
        <f>IF($R34="","",IFERROR(IF(INDEX('Fundamental Scorecard'!$D$5:$D$44,MATCH($R34,'Fundamental Scorecard'!$A$5:$A$44,0))=0,"",INDEX('Fundamental Scorecard'!$D$5:$D$44,MATCH($R34,'Fundamental Scorecard'!$A$5:$A$44,0))),""))</f>
        <v>Quarter to 31 Mar 2026</v>
      </c>
      <c r="W34" s="340">
        <f>IF(OR($R34="",$C$7=""),"",IF(COUNTIFS('Daily Data'!$B$4:$B$503,$R34,'Daily Data'!$A$4:$A$503,$C$7,'Daily Data'!$AH$4:$AH$503,"&gt;=-1E+300")=0,"",SUMIFS('Daily Data'!$AH$4:$AH$503,'Daily Data'!$B$4:$B$503,$R34,'Daily Data'!$A$4:$A$503,$C$7)))</f>
        <v>34.5</v>
      </c>
      <c r="X34" s="341">
        <f>IF(OR($R34="",$C$7=""),"",IF(COUNTIFS('Daily Data'!$B$4:$B$503,$R34,'Daily Data'!$A$4:$A$503,$C$7,'Daily Data'!$S$4:$S$503,"&gt;=-1E+300")=0,"",SUMIFS('Daily Data'!$S$4:$S$503,'Daily Data'!$B$4:$B$503,$R34,'Daily Data'!$A$4:$A$503,$C$7)))</f>
        <v>0.31320158102766799</v>
      </c>
      <c r="Y34" s="342" t="str">
        <f>IF(OR($R34="",$C$7=""),"",IF(COUNTIFS('Daily Data'!$B$4:$B$503,$R34,'Daily Data'!$A$4:$A$503,$C$7,'Daily Data'!$AA$4:$AA$503,"&gt;=-1E+300")=0,"",SUMIFS('Daily Data'!$AA$4:$AA$503,'Daily Data'!$B$4:$B$503,$R34,'Daily Data'!$A$4:$A$503,$C$7)))</f>
        <v/>
      </c>
      <c r="Z34" s="341" t="str">
        <f>IF(OR($R34="",$C$7=""),"",IF(COUNTIFS('Daily Data'!$B$4:$B$503,$R34,'Daily Data'!$A$4:$A$503,$C$7,'Daily Data'!$AC$4:$AC$503,"&gt;=-1E+300")=0,"",SUMIFS('Daily Data'!$AC$4:$AC$503,'Daily Data'!$B$4:$B$503,$R34,'Daily Data'!$A$4:$A$503,$C$7)))</f>
        <v/>
      </c>
      <c r="AA34" s="340">
        <f>IF(OR($R34="",$C$7=""),"",IF(COUNTIFS('Daily Data'!$B$4:$B$503,$R34,'Daily Data'!$A$4:$A$503,$C$7,'Daily Data'!$AG$4:$AG$503,"&gt;=-1E+300")=0,"",SUMIFS('Daily Data'!$AG$4:$AG$503,'Daily Data'!$B$4:$B$503,$R34,'Daily Data'!$A$4:$A$503,$C$7)))</f>
        <v>14.8</v>
      </c>
      <c r="AB34" s="340">
        <f>IF(OR($R34="",$C$7=""),"",IF(COUNTIFS('Daily Data'!$B$4:$B$503,$R34,'Daily Data'!$A$4:$A$503,$C$7,'Daily Data'!$AI$4:$AI$503,"&gt;=-1E+300")=0,"",SUMIFS('Daily Data'!$AI$4:$AI$503,'Daily Data'!$B$4:$B$503,$R34,'Daily Data'!$A$4:$A$503,$C$7)))</f>
        <v>75</v>
      </c>
      <c r="AC34" s="339" t="str" cm="1">
        <f t="array" ref="AC34">IF($R34="","",IF(UPPER(INDEX(Symbols!$F$4:$F$43,ROW()-24))="YES","YES","NO"))</f>
        <v>YES</v>
      </c>
      <c r="AD34" s="339" t="str">
        <f ca="1">IF($R34="","",IF(ROUND(Settings!$C$65+Settings!$C$66,6)&lt;&gt;1,"NO",IF($AC34&lt;&gt;"YES","NO",IF(AND(UPPER(Settings!$C$105)="YES",$AP34="YES"),"NO",IF(NOT(ISNUMBER($U34)),"NO",IF(NOT(ISNUMBER($W34)),"NO",IF($C$7="","NO",IF($C$6-$C$7&gt;Settings!$C$70,"NO",IF(AND(ISNUMBER($AO34),$AO34&gt;Settings!$C$104),"NO",IF(N($AB34)&lt;Settings!$C$71,"NO",IF(N($AA34)&lt;Settings!$C$72,"NO","YES")))))))))))</f>
        <v>YES</v>
      </c>
      <c r="AE34" s="339" t="str">
        <f ca="1">IF($R34="","",IF($AD34="YES","",IF(ROUND(Settings!$C$65+Settings!$C$66,6)&lt;&gt;1,"Ranking weights do not total 100%",IF($AC34&lt;&gt;"YES","Security is not active",IF(AND(UPPER(Settings!$C$105)="YES",$AP34="YES"),"Cross-listed security, excluded by Settings!C105",IF(NOT(ISNUMBER($U34)),"Missing fundamental data",IF(NOT(ISNUMBER($W34)),"No market observation on the date used",IF($C$7="","No market data available",IF($C$6-$C$7&gt;Settings!$C$70,"Market data is stale",IF(AND(ISNUMBER($AO34),$AO34&gt;Settings!$C$104),"Fundamental statement is stale ("&amp;$AO34&amp;" months old)",IF(N($AB34)&lt;Settings!$C$71,"Data confidence below minimum","Liquidity below minimum")))))))))))</f>
        <v/>
      </c>
      <c r="AF34" s="340">
        <f ca="1">IF($AD34&lt;&gt;"YES","",ROUND($U34*RankingFundamentalWeight+$W34*RankingSentimentWeight,1))</f>
        <v>68</v>
      </c>
      <c r="AG34" s="339">
        <f ca="1">IF($AD34&lt;&gt;"YES","",$AF34+$U34/10000+$W34/100000000+N($AB34)/1000000000000)</f>
        <v>68.008240345075009</v>
      </c>
      <c r="AH34" s="343" cm="1">
        <f t="array" aca="1" ref="AH34" ca="1">IF(OR($AD34&lt;&gt;"YES",$AI34&lt;&gt;1),"",SUMPRODUCT(($AI$25:$AI$64=1)*($AD$25:$AD$64="YES")*($AG$25:$AG$64&gt;$AG34))+SUMPRODUCT(($AI$25:$AI$64=1)*($AD$25:$AD$64="YES")*($AG$25:$AG$64=$AG34)*($R$25:$R$64&lt;$R34))+1)</f>
        <v>9</v>
      </c>
      <c r="AI34" s="339">
        <f ca="1">IF($R34="","",IF(AND(OR($A$22="",$T34=$A$22),OR($B$22="",$AL34=$B$22),OR($C$22="",$AM34=$C$22),OR($D$22="",AND(ISNUMBER($U34),N($U34)&gt;=$D$22)),OR($E$22="",AND(ISNUMBER($W34),N($W34)&gt;=$E$22)),OR($F$22="",AND(ISNUMBER($AF34),N($AF34)&gt;=$F$22)),OR($G$22="",N($AA34)&gt;=$G$22),OR($H$22="",N($AB34)&gt;=$H$22),OR(UPPER($I$22)&lt;&gt;"YES",$AC34="YES"),OR(UPPER($J$22)&lt;&gt;"YES",$AD34="YES")),1,0))</f>
        <v>1</v>
      </c>
      <c r="AJ34" s="339" t="str">
        <f>IF(OR($R34="",$C$11=""),"",IF(COUNTIFS('Ranking History'!$B$5:$B$2000,$R34,'Ranking History'!$A$5:$A$2000,$C$11)=0,"",SUMIFS('Ranking History'!$C$5:$C$2000,'Ranking History'!$B$5:$B$2000,$R34,'Ranking History'!$A$5:$A$2000,$C$11)))</f>
        <v/>
      </c>
      <c r="AK34" s="339" t="str">
        <f ca="1">IF(OR($AJ34="",$AH34=""),"",$AJ34-$AH34)</f>
        <v/>
      </c>
      <c r="AL34" s="339" t="str">
        <f ca="1">IF($AF34="","",IF($AF34&gt;=Settings!$C$76,"BORA SANA",IF($AF34&gt;=Settings!$C$77,"NZURI SANA",IF($AF34&gt;=Settings!$C$78,"NZURI",IF($AF34&gt;=Settings!$C$79,"WASTANI",IF($AF34&gt;=Settings!$C$80,"DHAIFU","DHAIFU SANA"))))))</f>
        <v>NZURI</v>
      </c>
      <c r="AM34" s="339" t="str">
        <f>IF(NOT(ISNUMBER($W34)),"",IF($W34&gt;=Settings!$C$82,"Demand kubwa sana",IF($W34&gt;=Settings!$C$83,"Demand kubwa",IF($W34&gt;=Settings!$C$84,"Demand ya wastani","Demand ndogo sana"))))</f>
        <v>Demand ya wastani</v>
      </c>
      <c r="AN34" s="339" t="str">
        <f>IF($R34="","",IF(OR(NOT(ISNUMBER($U34)),NOT(ISNUMBER($W34))),"INCOMPLETE DATA",IF($U34&lt;Settings!$C$88,"Epuka : ubora dhaifu",IF(AND($U34&gt;=Settings!$C$86,$W34&gt;=Settings!$C$87),"Nunua : ubora na mwelekeo vinaungana",IF($U34&gt;=Settings!$C$86,"Fuatilia : ubora mzuri, mwelekeo bado haujathibitisha",IF($W34&gt;=Settings!$C$89,"Fuatilia : ubora wa wastani","Fuatilia : ubora wa wastani, mwelekeo bado dhaifu"))))))</f>
        <v>Fuatilia : ubora mzuri, mwelekeo bado haujathibitisha</v>
      </c>
      <c r="AO34" s="339">
        <f ca="1">IF($R34="","",IF(COUNTIFS('Fundamental Scorecard'!$A$5:$A$44,$R34,'Fundamental Scorecard'!$AE$5:$AE$44,"&gt;=-1E+300")=0,"",SUMIFS('Fundamental Scorecard'!$AE$5:$AE$44,'Fundamental Scorecard'!$A$5:$A$44,$R34)))</f>
        <v>5</v>
      </c>
      <c r="AP34" s="339" t="str" cm="1">
        <f t="array" ref="AP34">IF($R34="","",IF(ISNUMBER(SEARCH("cross-listed",INDEX(Symbols!$C$4:$C$43,ROW()-24))),"YES","NO"))</f>
        <v>NO</v>
      </c>
    </row>
    <row r="35" spans="1:42" x14ac:dyDescent="0.3">
      <c r="A35" s="344" cm="1">
        <f t="array" aca="1" ref="A35" ca="1">IF($Q35="","",IF(INDEX($AD$25:$AD$64,$Q35)="YES",INDEX($AH$25:$AH$64,$Q35),"—"))</f>
        <v>11</v>
      </c>
      <c r="B35" s="318" t="str" cm="1">
        <f t="array" aca="1" ref="B35" ca="1">IF($Q35="","",INDEX($R$25:$R$64,$Q35))</f>
        <v>TBL</v>
      </c>
      <c r="C35" s="319" t="str" cm="1">
        <f t="array" aca="1" ref="C35" ca="1">IF($Q35="","",INDEX($S$25:$S$64,$Q35))</f>
        <v>Tanzania Breweries Ltd</v>
      </c>
      <c r="D35" s="319" t="str" cm="1">
        <f t="array" aca="1" ref="D35" ca="1">IF($Q35="","",INDEX($T$25:$T$64,$Q35))</f>
        <v>Consumer Goods</v>
      </c>
      <c r="E35" s="100" cm="1">
        <f t="array" aca="1" ref="E35" ca="1">IF($Q35="","",INDEX($U$25:$U$64,$Q35))</f>
        <v>75.7</v>
      </c>
      <c r="F35" s="100" cm="1">
        <f t="array" aca="1" ref="F35" ca="1">IF($Q35="","",INDEX($W$25:$W$64,$Q35))</f>
        <v>43.4</v>
      </c>
      <c r="G35" s="100" cm="1">
        <f t="array" aca="1" ref="G35" ca="1">IF($Q35="","",INDEX($AF$25:$AF$64,$Q35))</f>
        <v>66</v>
      </c>
      <c r="H35" s="319" t="str" cm="1">
        <f t="array" aca="1" ref="H35" ca="1">IF($Q35="","",INDEX($AL$25:$AL$64,$Q35))</f>
        <v>NZURI</v>
      </c>
      <c r="I35" s="319" t="str" cm="1">
        <f t="array" aca="1" ref="I35" ca="1">IF($Q35="","",INDEX($AM$25:$AM$64,$Q35))</f>
        <v>Demand ya wastani</v>
      </c>
      <c r="J35" s="319" t="str" cm="1">
        <f t="array" aca="1" ref="J35" ca="1">IF($Q35="","",INDEX($AN$25:$AN$64,$Q35))</f>
        <v>Fuatilia : ubora mzuri, mwelekeo bado haujathibitisha</v>
      </c>
      <c r="K35" s="100" cm="1">
        <f t="array" aca="1" ref="K35" ca="1">IF($Q35="","",INDEX($AA$25:$AA$64,$Q35))</f>
        <v>10.199999999999999</v>
      </c>
      <c r="L35" s="100" cm="1">
        <f t="array" aca="1" ref="L35" ca="1">IF($Q35="","",INDEX($AB$25:$AB$64,$Q35))</f>
        <v>75</v>
      </c>
      <c r="M35" s="319" t="str" cm="1">
        <f t="array" aca="1" ref="M35" ca="1">IF($Q35="","",INDEX($V$25:$V$64,$Q35))</f>
        <v>Quarter to 30 Jun 2026</v>
      </c>
      <c r="N35" s="95">
        <f ca="1">IF($Q35="","",$C$7)</f>
        <v>46248</v>
      </c>
      <c r="O35" s="102" t="str" cm="1">
        <f t="array" aca="1" ref="O35" ca="1">IF($Q35="","",INDEX($AJ$25:$AJ$64,$Q35))</f>
        <v/>
      </c>
      <c r="P35" s="319" t="str" cm="1">
        <f t="array" aca="1" ref="P35" ca="1">IF($Q35="","",IF(INDEX($AK$25:$AK$64,$Q35)="","",IF(INDEX($AK$25:$AK$64,$Q35)&gt;0,"▲ +"&amp;INDEX($AK$25:$AK$64,$Q35),IF(INDEX($AK$25:$AK$64,$Q35)&lt;0,"▼ "&amp;INDEX($AK$25:$AK$64,$Q35),"= 0"))))</f>
        <v/>
      </c>
      <c r="Q35" s="116" cm="1">
        <f t="array" aca="1" ref="Q35" ca="1">IF(ROW()-24&lt;=COUNT($AH$25:$AH$64),IFERROR(MATCH(ROW()-24,$AH$25:$AH$64,0),""),IFERROR(SMALL(IF(($AI$25:$AI$64=1)*($AD$25:$AD$64&lt;&gt;"YES")*($R$25:$R$64&lt;&gt;""),ROW($AI$25:$AI$64)-24),ROW()-24-COUNT($AH$25:$AH$64)),""))</f>
        <v>20</v>
      </c>
      <c r="R35" s="339" t="str">
        <f>IF(Symbols!A14="","",Symbols!A14)</f>
        <v>MCB</v>
      </c>
      <c r="S35" s="339" t="str" cm="1">
        <f t="array" ref="S35">IF($R35="","",INDEX(Symbols!$B$4:$B$43,ROW()-24))</f>
        <v>MCB — name to confirm with DSE</v>
      </c>
      <c r="T35" s="339" t="str" cm="1">
        <f t="array" ref="T35">IF($R35="","",INDEX(Symbols!$D$4:$D$43,ROW()-24))</f>
        <v>Banking</v>
      </c>
      <c r="U35" s="340">
        <f>IF($R35="","",IF(COUNTIFS('Fundamental Scorecard'!$A$5:$A$44,$R35,'Fundamental Scorecard'!$E$5:$E$44,"&gt;=-1E+300")=0,"",SUMIFS('Fundamental Scorecard'!$E$5:$E$44,'Fundamental Scorecard'!$A$5:$A$44,$R35)))</f>
        <v>63.2</v>
      </c>
      <c r="V35" s="339" t="str">
        <f>IF($R35="","",IFERROR(IF(INDEX('Fundamental Scorecard'!$D$5:$D$44,MATCH($R35,'Fundamental Scorecard'!$A$5:$A$44,0))=0,"",INDEX('Fundamental Scorecard'!$D$5:$D$44,MATCH($R35,'Fundamental Scorecard'!$A$5:$A$44,0))),""))</f>
        <v>Full to 31 Dec 2025</v>
      </c>
      <c r="W35" s="340">
        <f>IF(OR($R35="",$C$7=""),"",IF(COUNTIFS('Daily Data'!$B$4:$B$503,$R35,'Daily Data'!$A$4:$A$503,$C$7,'Daily Data'!$AH$4:$AH$503,"&gt;=-1E+300")=0,"",SUMIFS('Daily Data'!$AH$4:$AH$503,'Daily Data'!$B$4:$B$503,$R35,'Daily Data'!$A$4:$A$503,$C$7)))</f>
        <v>34</v>
      </c>
      <c r="X35" s="341">
        <f>IF(OR($R35="",$C$7=""),"",IF(COUNTIFS('Daily Data'!$B$4:$B$503,$R35,'Daily Data'!$A$4:$A$503,$C$7,'Daily Data'!$S$4:$S$503,"&gt;=-1E+300")=0,"",SUMIFS('Daily Data'!$S$4:$S$503,'Daily Data'!$B$4:$B$503,$R35,'Daily Data'!$A$4:$A$503,$C$7)))</f>
        <v>0.54235267140564092</v>
      </c>
      <c r="Y35" s="342" t="str">
        <f>IF(OR($R35="",$C$7=""),"",IF(COUNTIFS('Daily Data'!$B$4:$B$503,$R35,'Daily Data'!$A$4:$A$503,$C$7,'Daily Data'!$AA$4:$AA$503,"&gt;=-1E+300")=0,"",SUMIFS('Daily Data'!$AA$4:$AA$503,'Daily Data'!$B$4:$B$503,$R35,'Daily Data'!$A$4:$A$503,$C$7)))</f>
        <v/>
      </c>
      <c r="Z35" s="341" t="str">
        <f>IF(OR($R35="",$C$7=""),"",IF(COUNTIFS('Daily Data'!$B$4:$B$503,$R35,'Daily Data'!$A$4:$A$503,$C$7,'Daily Data'!$AC$4:$AC$503,"&gt;=-1E+300")=0,"",SUMIFS('Daily Data'!$AC$4:$AC$503,'Daily Data'!$B$4:$B$503,$R35,'Daily Data'!$A$4:$A$503,$C$7)))</f>
        <v/>
      </c>
      <c r="AA35" s="340">
        <f>IF(OR($R35="",$C$7=""),"",IF(COUNTIFS('Daily Data'!$B$4:$B$503,$R35,'Daily Data'!$A$4:$A$503,$C$7,'Daily Data'!$AG$4:$AG$503,"&gt;=-1E+300")=0,"",SUMIFS('Daily Data'!$AG$4:$AG$503,'Daily Data'!$B$4:$B$503,$R35,'Daily Data'!$A$4:$A$503,$C$7)))</f>
        <v>48.5</v>
      </c>
      <c r="AB35" s="340">
        <f>IF(OR($R35="",$C$7=""),"",IF(COUNTIFS('Daily Data'!$B$4:$B$503,$R35,'Daily Data'!$A$4:$A$503,$C$7,'Daily Data'!$AI$4:$AI$503,"&gt;=-1E+300")=0,"",SUMIFS('Daily Data'!$AI$4:$AI$503,'Daily Data'!$B$4:$B$503,$R35,'Daily Data'!$A$4:$A$503,$C$7)))</f>
        <v>75</v>
      </c>
      <c r="AC35" s="339" t="str" cm="1">
        <f t="array" ref="AC35">IF($R35="","",IF(UPPER(INDEX(Symbols!$F$4:$F$43,ROW()-24))="YES","YES","NO"))</f>
        <v>YES</v>
      </c>
      <c r="AD35" s="339" t="str">
        <f ca="1">IF($R35="","",IF(ROUND(Settings!$C$65+Settings!$C$66,6)&lt;&gt;1,"NO",IF($AC35&lt;&gt;"YES","NO",IF(AND(UPPER(Settings!$C$105)="YES",$AP35="YES"),"NO",IF(NOT(ISNUMBER($U35)),"NO",IF(NOT(ISNUMBER($W35)),"NO",IF($C$7="","NO",IF($C$6-$C$7&gt;Settings!$C$70,"NO",IF(AND(ISNUMBER($AO35),$AO35&gt;Settings!$C$104),"NO",IF(N($AB35)&lt;Settings!$C$71,"NO",IF(N($AA35)&lt;Settings!$C$72,"NO","YES")))))))))))</f>
        <v>YES</v>
      </c>
      <c r="AE35" s="339" t="str">
        <f ca="1">IF($R35="","",IF($AD35="YES","",IF(ROUND(Settings!$C$65+Settings!$C$66,6)&lt;&gt;1,"Ranking weights do not total 100%",IF($AC35&lt;&gt;"YES","Security is not active",IF(AND(UPPER(Settings!$C$105)="YES",$AP35="YES"),"Cross-listed security, excluded by Settings!C105",IF(NOT(ISNUMBER($U35)),"Missing fundamental data",IF(NOT(ISNUMBER($W35)),"No market observation on the date used",IF($C$7="","No market data available",IF($C$6-$C$7&gt;Settings!$C$70,"Market data is stale",IF(AND(ISNUMBER($AO35),$AO35&gt;Settings!$C$104),"Fundamental statement is stale ("&amp;$AO35&amp;" months old)",IF(N($AB35)&lt;Settings!$C$71,"Data confidence below minimum","Liquidity below minimum")))))))))))</f>
        <v/>
      </c>
      <c r="AF35" s="340">
        <f ca="1">IF($AD35&lt;&gt;"YES","",ROUND($U35*RankingFundamentalWeight+$W35*RankingSentimentWeight,1))</f>
        <v>54.4</v>
      </c>
      <c r="AG35" s="339">
        <f ca="1">IF($AD35&lt;&gt;"YES","",$AF35+$U35/10000+$W35/100000000+N($AB35)/1000000000000)</f>
        <v>54.406320340074998</v>
      </c>
      <c r="AH35" s="343" cm="1">
        <f t="array" aca="1" ref="AH35" ca="1">IF(OR($AD35&lt;&gt;"YES",$AI35&lt;&gt;1),"",SUMPRODUCT(($AI$25:$AI$64=1)*($AD$25:$AD$64="YES")*($AG$25:$AG$64&gt;$AG35))+SUMPRODUCT(($AI$25:$AI$64=1)*($AD$25:$AD$64="YES")*($AG$25:$AG$64=$AG35)*($R$25:$R$64&lt;$R35))+1)</f>
        <v>14</v>
      </c>
      <c r="AI35" s="339">
        <f ca="1">IF($R35="","",IF(AND(OR($A$22="",$T35=$A$22),OR($B$22="",$AL35=$B$22),OR($C$22="",$AM35=$C$22),OR($D$22="",AND(ISNUMBER($U35),N($U35)&gt;=$D$22)),OR($E$22="",AND(ISNUMBER($W35),N($W35)&gt;=$E$22)),OR($F$22="",AND(ISNUMBER($AF35),N($AF35)&gt;=$F$22)),OR($G$22="",N($AA35)&gt;=$G$22),OR($H$22="",N($AB35)&gt;=$H$22),OR(UPPER($I$22)&lt;&gt;"YES",$AC35="YES"),OR(UPPER($J$22)&lt;&gt;"YES",$AD35="YES")),1,0))</f>
        <v>1</v>
      </c>
      <c r="AJ35" s="339" t="str">
        <f>IF(OR($R35="",$C$11=""),"",IF(COUNTIFS('Ranking History'!$B$5:$B$2000,$R35,'Ranking History'!$A$5:$A$2000,$C$11)=0,"",SUMIFS('Ranking History'!$C$5:$C$2000,'Ranking History'!$B$5:$B$2000,$R35,'Ranking History'!$A$5:$A$2000,$C$11)))</f>
        <v/>
      </c>
      <c r="AK35" s="339" t="str">
        <f ca="1">IF(OR($AJ35="",$AH35=""),"",$AJ35-$AH35)</f>
        <v/>
      </c>
      <c r="AL35" s="339" t="str">
        <f ca="1">IF($AF35="","",IF($AF35&gt;=Settings!$C$76,"BORA SANA",IF($AF35&gt;=Settings!$C$77,"NZURI SANA",IF($AF35&gt;=Settings!$C$78,"NZURI",IF($AF35&gt;=Settings!$C$79,"WASTANI",IF($AF35&gt;=Settings!$C$80,"DHAIFU","DHAIFU SANA"))))))</f>
        <v>WASTANI</v>
      </c>
      <c r="AM35" s="339" t="str">
        <f>IF(NOT(ISNUMBER($W35)),"",IF($W35&gt;=Settings!$C$82,"Demand kubwa sana",IF($W35&gt;=Settings!$C$83,"Demand kubwa",IF($W35&gt;=Settings!$C$84,"Demand ya wastani","Demand ndogo sana"))))</f>
        <v>Demand ya wastani</v>
      </c>
      <c r="AN35" s="339" t="str">
        <f>IF($R35="","",IF(OR(NOT(ISNUMBER($U35)),NOT(ISNUMBER($W35))),"INCOMPLETE DATA",IF($U35&lt;Settings!$C$88,"Epuka : ubora dhaifu",IF(AND($U35&gt;=Settings!$C$86,$W35&gt;=Settings!$C$87),"Nunua : ubora na mwelekeo vinaungana",IF($U35&gt;=Settings!$C$86,"Fuatilia : ubora mzuri, mwelekeo bado haujathibitisha",IF($W35&gt;=Settings!$C$89,"Fuatilia : ubora wa wastani","Fuatilia : ubora wa wastani, mwelekeo bado dhaifu"))))))</f>
        <v>Fuatilia : ubora wa wastani</v>
      </c>
      <c r="AO35" s="339">
        <f ca="1">IF($R35="","",IF(COUNTIFS('Fundamental Scorecard'!$A$5:$A$44,$R35,'Fundamental Scorecard'!$AE$5:$AE$44,"&gt;=-1E+300")=0,"",SUMIFS('Fundamental Scorecard'!$AE$5:$AE$44,'Fundamental Scorecard'!$A$5:$A$44,$R35)))</f>
        <v>7</v>
      </c>
      <c r="AP35" s="339" t="str" cm="1">
        <f t="array" ref="AP35">IF($R35="","",IF(ISNUMBER(SEARCH("cross-listed",INDEX(Symbols!$C$4:$C$43,ROW()-24))),"YES","NO"))</f>
        <v>NO</v>
      </c>
    </row>
    <row r="36" spans="1:42" x14ac:dyDescent="0.3">
      <c r="A36" s="344" cm="1">
        <f t="array" aca="1" ref="A36" ca="1">IF($Q36="","",IF(INDEX($AD$25:$AD$64,$Q36)="YES",INDEX($AH$25:$AH$64,$Q36),"—"))</f>
        <v>12</v>
      </c>
      <c r="B36" s="318" t="str" cm="1">
        <f t="array" aca="1" ref="B36" ca="1">IF($Q36="","",INDEX($R$25:$R$64,$Q36))</f>
        <v>KCB</v>
      </c>
      <c r="C36" s="319" t="str" cm="1">
        <f t="array" aca="1" ref="C36" ca="1">IF($Q36="","",INDEX($S$25:$S$64,$Q36))</f>
        <v>KCB Group PLC</v>
      </c>
      <c r="D36" s="319" t="str" cm="1">
        <f t="array" aca="1" ref="D36" ca="1">IF($Q36="","",INDEX($T$25:$T$64,$Q36))</f>
        <v>Banking</v>
      </c>
      <c r="E36" s="100" cm="1">
        <f t="array" aca="1" ref="E36" ca="1">IF($Q36="","",INDEX($U$25:$U$64,$Q36))</f>
        <v>77.400000000000006</v>
      </c>
      <c r="F36" s="100" cm="1">
        <f t="array" aca="1" ref="F36" ca="1">IF($Q36="","",INDEX($W$25:$W$64,$Q36))</f>
        <v>38.9</v>
      </c>
      <c r="G36" s="100" cm="1">
        <f t="array" aca="1" ref="G36" ca="1">IF($Q36="","",INDEX($AF$25:$AF$64,$Q36))</f>
        <v>65.900000000000006</v>
      </c>
      <c r="H36" s="319" t="str" cm="1">
        <f t="array" aca="1" ref="H36" ca="1">IF($Q36="","",INDEX($AL$25:$AL$64,$Q36))</f>
        <v>NZURI</v>
      </c>
      <c r="I36" s="319" t="str" cm="1">
        <f t="array" aca="1" ref="I36" ca="1">IF($Q36="","",INDEX($AM$25:$AM$64,$Q36))</f>
        <v>Demand ya wastani</v>
      </c>
      <c r="J36" s="319" t="str" cm="1">
        <f t="array" aca="1" ref="J36" ca="1">IF($Q36="","",INDEX($AN$25:$AN$64,$Q36))</f>
        <v>Fuatilia : ubora mzuri, mwelekeo bado haujathibitisha</v>
      </c>
      <c r="K36" s="100" cm="1">
        <f t="array" aca="1" ref="K36" ca="1">IF($Q36="","",INDEX($AA$25:$AA$64,$Q36))</f>
        <v>16.7</v>
      </c>
      <c r="L36" s="100" cm="1">
        <f t="array" aca="1" ref="L36" ca="1">IF($Q36="","",INDEX($AB$25:$AB$64,$Q36))</f>
        <v>75</v>
      </c>
      <c r="M36" s="319" t="str" cm="1">
        <f t="array" aca="1" ref="M36" ca="1">IF($Q36="","",INDEX($V$25:$V$64,$Q36))</f>
        <v>Half to 30 Jun 2026</v>
      </c>
      <c r="N36" s="95">
        <f ca="1">IF($Q36="","",$C$7)</f>
        <v>46248</v>
      </c>
      <c r="O36" s="102" t="str" cm="1">
        <f t="array" aca="1" ref="O36" ca="1">IF($Q36="","",INDEX($AJ$25:$AJ$64,$Q36))</f>
        <v/>
      </c>
      <c r="P36" s="319" t="str" cm="1">
        <f t="array" aca="1" ref="P36" ca="1">IF($Q36="","",IF(INDEX($AK$25:$AK$64,$Q36)="","",IF(INDEX($AK$25:$AK$64,$Q36)&gt;0,"▲ +"&amp;INDEX($AK$25:$AK$64,$Q36),IF(INDEX($AK$25:$AK$64,$Q36)&lt;0,"▼ "&amp;INDEX($AK$25:$AK$64,$Q36),"= 0"))))</f>
        <v/>
      </c>
      <c r="Q36" s="116" cm="1">
        <f t="array" aca="1" ref="Q36" ca="1">IF(ROW()-24&lt;=COUNT($AH$25:$AH$64),IFERROR(MATCH(ROW()-24,$AH$25:$AH$64,0),""),IFERROR(SMALL(IF(($AI$25:$AI$64=1)*($AD$25:$AD$64&lt;&gt;"YES")*($R$25:$R$64&lt;&gt;""),ROW($AI$25:$AI$64)-24),ROW()-24-COUNT($AH$25:$AH$64)),""))</f>
        <v>9</v>
      </c>
      <c r="R36" s="339" t="str">
        <f>IF(Symbols!A15="","",Symbols!A15)</f>
        <v>MKCB</v>
      </c>
      <c r="S36" s="339" t="str" cm="1">
        <f t="array" ref="S36">IF($R36="","",INDEX(Symbols!$B$4:$B$43,ROW()-24))</f>
        <v>Mkombozi Commercial Bank PLC</v>
      </c>
      <c r="T36" s="339" t="str" cm="1">
        <f t="array" ref="T36">IF($R36="","",INDEX(Symbols!$D$4:$D$43,ROW()-24))</f>
        <v>Banking</v>
      </c>
      <c r="U36" s="340">
        <f>IF($R36="","",IF(COUNTIFS('Fundamental Scorecard'!$A$5:$A$44,$R36,'Fundamental Scorecard'!$E$5:$E$44,"&gt;=-1E+300")=0,"",SUMIFS('Fundamental Scorecard'!$E$5:$E$44,'Fundamental Scorecard'!$A$5:$A$44,$R36)))</f>
        <v>83.8</v>
      </c>
      <c r="V36" s="339" t="str">
        <f>IF($R36="","",IFERROR(IF(INDEX('Fundamental Scorecard'!$D$5:$D$44,MATCH($R36,'Fundamental Scorecard'!$A$5:$A$44,0))=0,"",INDEX('Fundamental Scorecard'!$D$5:$D$44,MATCH($R36,'Fundamental Scorecard'!$A$5:$A$44,0))),""))</f>
        <v>Full to 31 Dec 2025</v>
      </c>
      <c r="W36" s="340">
        <f>IF(OR($R36="",$C$7=""),"",IF(COUNTIFS('Daily Data'!$B$4:$B$503,$R36,'Daily Data'!$A$4:$A$503,$C$7,'Daily Data'!$AH$4:$AH$503,"&gt;=-1E+300")=0,"",SUMIFS('Daily Data'!$AH$4:$AH$503,'Daily Data'!$B$4:$B$503,$R36,'Daily Data'!$A$4:$A$503,$C$7)))</f>
        <v>29.8</v>
      </c>
      <c r="X36" s="341">
        <f>IF(OR($R36="",$C$7=""),"",IF(COUNTIFS('Daily Data'!$B$4:$B$503,$R36,'Daily Data'!$A$4:$A$503,$C$7,'Daily Data'!$S$4:$S$503,"&gt;=-1E+300")=0,"",SUMIFS('Daily Data'!$S$4:$S$503,'Daily Data'!$B$4:$B$503,$R36,'Daily Data'!$A$4:$A$503,$C$7)))</f>
        <v>0.12751677852348994</v>
      </c>
      <c r="Y36" s="342" t="str">
        <f>IF(OR($R36="",$C$7=""),"",IF(COUNTIFS('Daily Data'!$B$4:$B$503,$R36,'Daily Data'!$A$4:$A$503,$C$7,'Daily Data'!$AA$4:$AA$503,"&gt;=-1E+300")=0,"",SUMIFS('Daily Data'!$AA$4:$AA$503,'Daily Data'!$B$4:$B$503,$R36,'Daily Data'!$A$4:$A$503,$C$7)))</f>
        <v/>
      </c>
      <c r="Z36" s="341" t="str">
        <f>IF(OR($R36="",$C$7=""),"",IF(COUNTIFS('Daily Data'!$B$4:$B$503,$R36,'Daily Data'!$A$4:$A$503,$C$7,'Daily Data'!$AC$4:$AC$503,"&gt;=-1E+300")=0,"",SUMIFS('Daily Data'!$AC$4:$AC$503,'Daily Data'!$B$4:$B$503,$R36,'Daily Data'!$A$4:$A$503,$C$7)))</f>
        <v/>
      </c>
      <c r="AA36" s="340">
        <f>IF(OR($R36="",$C$7=""),"",IF(COUNTIFS('Daily Data'!$B$4:$B$503,$R36,'Daily Data'!$A$4:$A$503,$C$7,'Daily Data'!$AG$4:$AG$503,"&gt;=-1E+300")=0,"",SUMIFS('Daily Data'!$AG$4:$AG$503,'Daily Data'!$B$4:$B$503,$R36,'Daily Data'!$A$4:$A$503,$C$7)))</f>
        <v>7.1</v>
      </c>
      <c r="AB36" s="340">
        <f>IF(OR($R36="",$C$7=""),"",IF(COUNTIFS('Daily Data'!$B$4:$B$503,$R36,'Daily Data'!$A$4:$A$503,$C$7,'Daily Data'!$AI$4:$AI$503,"&gt;=-1E+300")=0,"",SUMIFS('Daily Data'!$AI$4:$AI$503,'Daily Data'!$B$4:$B$503,$R36,'Daily Data'!$A$4:$A$503,$C$7)))</f>
        <v>75</v>
      </c>
      <c r="AC36" s="339" t="str" cm="1">
        <f t="array" ref="AC36">IF($R36="","",IF(UPPER(INDEX(Symbols!$F$4:$F$43,ROW()-24))="YES","YES","NO"))</f>
        <v>YES</v>
      </c>
      <c r="AD36" s="339" t="str">
        <f ca="1">IF($R36="","",IF(ROUND(Settings!$C$65+Settings!$C$66,6)&lt;&gt;1,"NO",IF($AC36&lt;&gt;"YES","NO",IF(AND(UPPER(Settings!$C$105)="YES",$AP36="YES"),"NO",IF(NOT(ISNUMBER($U36)),"NO",IF(NOT(ISNUMBER($W36)),"NO",IF($C$7="","NO",IF($C$6-$C$7&gt;Settings!$C$70,"NO",IF(AND(ISNUMBER($AO36),$AO36&gt;Settings!$C$104),"NO",IF(N($AB36)&lt;Settings!$C$71,"NO",IF(N($AA36)&lt;Settings!$C$72,"NO","YES")))))))))))</f>
        <v>YES</v>
      </c>
      <c r="AE36" s="339" t="str">
        <f ca="1">IF($R36="","",IF($AD36="YES","",IF(ROUND(Settings!$C$65+Settings!$C$66,6)&lt;&gt;1,"Ranking weights do not total 100%",IF($AC36&lt;&gt;"YES","Security is not active",IF(AND(UPPER(Settings!$C$105)="YES",$AP36="YES"),"Cross-listed security, excluded by Settings!C105",IF(NOT(ISNUMBER($U36)),"Missing fundamental data",IF(NOT(ISNUMBER($W36)),"No market observation on the date used",IF($C$7="","No market data available",IF($C$6-$C$7&gt;Settings!$C$70,"Market data is stale",IF(AND(ISNUMBER($AO36),$AO36&gt;Settings!$C$104),"Fundamental statement is stale ("&amp;$AO36&amp;" months old)",IF(N($AB36)&lt;Settings!$C$71,"Data confidence below minimum","Liquidity below minimum")))))))))))</f>
        <v/>
      </c>
      <c r="AF36" s="340">
        <f ca="1">IF($AD36&lt;&gt;"YES","",ROUND($U36*RankingFundamentalWeight+$W36*RankingSentimentWeight,1))</f>
        <v>67.599999999999994</v>
      </c>
      <c r="AG36" s="339">
        <f ca="1">IF($AD36&lt;&gt;"YES","",$AF36+$U36/10000+$W36/100000000+N($AB36)/1000000000000)</f>
        <v>67.608380298075005</v>
      </c>
      <c r="AH36" s="343" cm="1">
        <f t="array" aca="1" ref="AH36" ca="1">IF(OR($AD36&lt;&gt;"YES",$AI36&lt;&gt;1),"",SUMPRODUCT(($AI$25:$AI$64=1)*($AD$25:$AD$64="YES")*($AG$25:$AG$64&gt;$AG36))+SUMPRODUCT(($AI$25:$AI$64=1)*($AD$25:$AD$64="YES")*($AG$25:$AG$64=$AG36)*($R$25:$R$64&lt;$R36))+1)</f>
        <v>10</v>
      </c>
      <c r="AI36" s="339">
        <f ca="1">IF($R36="","",IF(AND(OR($A$22="",$T36=$A$22),OR($B$22="",$AL36=$B$22),OR($C$22="",$AM36=$C$22),OR($D$22="",AND(ISNUMBER($U36),N($U36)&gt;=$D$22)),OR($E$22="",AND(ISNUMBER($W36),N($W36)&gt;=$E$22)),OR($F$22="",AND(ISNUMBER($AF36),N($AF36)&gt;=$F$22)),OR($G$22="",N($AA36)&gt;=$G$22),OR($H$22="",N($AB36)&gt;=$H$22),OR(UPPER($I$22)&lt;&gt;"YES",$AC36="YES"),OR(UPPER($J$22)&lt;&gt;"YES",$AD36="YES")),1,0))</f>
        <v>1</v>
      </c>
      <c r="AJ36" s="339" t="str">
        <f>IF(OR($R36="",$C$11=""),"",IF(COUNTIFS('Ranking History'!$B$5:$B$2000,$R36,'Ranking History'!$A$5:$A$2000,$C$11)=0,"",SUMIFS('Ranking History'!$C$5:$C$2000,'Ranking History'!$B$5:$B$2000,$R36,'Ranking History'!$A$5:$A$2000,$C$11)))</f>
        <v/>
      </c>
      <c r="AK36" s="339" t="str">
        <f ca="1">IF(OR($AJ36="",$AH36=""),"",$AJ36-$AH36)</f>
        <v/>
      </c>
      <c r="AL36" s="339" t="str">
        <f ca="1">IF($AF36="","",IF($AF36&gt;=Settings!$C$76,"BORA SANA",IF($AF36&gt;=Settings!$C$77,"NZURI SANA",IF($AF36&gt;=Settings!$C$78,"NZURI",IF($AF36&gt;=Settings!$C$79,"WASTANI",IF($AF36&gt;=Settings!$C$80,"DHAIFU","DHAIFU SANA"))))))</f>
        <v>NZURI</v>
      </c>
      <c r="AM36" s="339" t="str">
        <f>IF(NOT(ISNUMBER($W36)),"",IF($W36&gt;=Settings!$C$82,"Demand kubwa sana",IF($W36&gt;=Settings!$C$83,"Demand kubwa",IF($W36&gt;=Settings!$C$84,"Demand ya wastani","Demand ndogo sana"))))</f>
        <v>Demand ndogo sana</v>
      </c>
      <c r="AN36" s="339" t="str">
        <f>IF($R36="","",IF(OR(NOT(ISNUMBER($U36)),NOT(ISNUMBER($W36))),"INCOMPLETE DATA",IF($U36&lt;Settings!$C$88,"Epuka : ubora dhaifu",IF(AND($U36&gt;=Settings!$C$86,$W36&gt;=Settings!$C$87),"Nunua : ubora na mwelekeo vinaungana",IF($U36&gt;=Settings!$C$86,"Fuatilia : ubora mzuri, mwelekeo bado haujathibitisha",IF($W36&gt;=Settings!$C$89,"Fuatilia : ubora wa wastani","Fuatilia : ubora wa wastani, mwelekeo bado dhaifu"))))))</f>
        <v>Fuatilia : ubora mzuri, mwelekeo bado haujathibitisha</v>
      </c>
      <c r="AO36" s="339">
        <f ca="1">IF($R36="","",IF(COUNTIFS('Fundamental Scorecard'!$A$5:$A$44,$R36,'Fundamental Scorecard'!$AE$5:$AE$44,"&gt;=-1E+300")=0,"",SUMIFS('Fundamental Scorecard'!$AE$5:$AE$44,'Fundamental Scorecard'!$A$5:$A$44,$R36)))</f>
        <v>7</v>
      </c>
      <c r="AP36" s="339" t="str" cm="1">
        <f t="array" ref="AP36">IF($R36="","",IF(ISNUMBER(SEARCH("cross-listed",INDEX(Symbols!$C$4:$C$43,ROW()-24))),"YES","NO"))</f>
        <v>NO</v>
      </c>
    </row>
    <row r="37" spans="1:42" x14ac:dyDescent="0.3">
      <c r="A37" s="344" cm="1">
        <f t="array" aca="1" ref="A37" ca="1">IF($Q37="","",IF(INDEX($AD$25:$AD$64,$Q37)="YES",INDEX($AH$25:$AH$64,$Q37),"—"))</f>
        <v>13</v>
      </c>
      <c r="B37" s="318" t="str" cm="1">
        <f t="array" aca="1" ref="B37" ca="1">IF($Q37="","",INDEX($R$25:$R$64,$Q37))</f>
        <v>VODA</v>
      </c>
      <c r="C37" s="319" t="str" cm="1">
        <f t="array" aca="1" ref="C37" ca="1">IF($Q37="","",INDEX($S$25:$S$64,$Q37))</f>
        <v>Vodacom Tanzania PLC</v>
      </c>
      <c r="D37" s="319" t="str" cm="1">
        <f t="array" aca="1" ref="D37" ca="1">IF($Q37="","",INDEX($T$25:$T$64,$Q37))</f>
        <v>Telecommunications</v>
      </c>
      <c r="E37" s="100" cm="1">
        <f t="array" aca="1" ref="E37" ca="1">IF($Q37="","",INDEX($U$25:$U$64,$Q37))</f>
        <v>64.400000000000006</v>
      </c>
      <c r="F37" s="100" cm="1">
        <f t="array" aca="1" ref="F37" ca="1">IF($Q37="","",INDEX($W$25:$W$64,$Q37))</f>
        <v>50.2</v>
      </c>
      <c r="G37" s="100" cm="1">
        <f t="array" aca="1" ref="G37" ca="1">IF($Q37="","",INDEX($AF$25:$AF$64,$Q37))</f>
        <v>60.1</v>
      </c>
      <c r="H37" s="319" t="str" cm="1">
        <f t="array" aca="1" ref="H37" ca="1">IF($Q37="","",INDEX($AL$25:$AL$64,$Q37))</f>
        <v>NZURI</v>
      </c>
      <c r="I37" s="319" t="str" cm="1">
        <f t="array" aca="1" ref="I37" ca="1">IF($Q37="","",INDEX($AM$25:$AM$64,$Q37))</f>
        <v>Demand kubwa</v>
      </c>
      <c r="J37" s="319" t="str" cm="1">
        <f t="array" aca="1" ref="J37" ca="1">IF($Q37="","",INDEX($AN$25:$AN$64,$Q37))</f>
        <v>Fuatilia : ubora wa wastani</v>
      </c>
      <c r="K37" s="100" cm="1">
        <f t="array" aca="1" ref="K37" ca="1">IF($Q37="","",INDEX($AA$25:$AA$64,$Q37))</f>
        <v>45.8</v>
      </c>
      <c r="L37" s="100" cm="1">
        <f t="array" aca="1" ref="L37" ca="1">IF($Q37="","",INDEX($AB$25:$AB$64,$Q37))</f>
        <v>75</v>
      </c>
      <c r="M37" s="319" t="str" cm="1">
        <f t="array" aca="1" ref="M37" ca="1">IF($Q37="","",INDEX($V$25:$V$64,$Q37))</f>
        <v>Full to 31 Mar 2026</v>
      </c>
      <c r="N37" s="95">
        <f ca="1">IF($Q37="","",$C$7)</f>
        <v>46248</v>
      </c>
      <c r="O37" s="102" t="str" cm="1">
        <f t="array" aca="1" ref="O37" ca="1">IF($Q37="","",INDEX($AJ$25:$AJ$64,$Q37))</f>
        <v/>
      </c>
      <c r="P37" s="319" t="str" cm="1">
        <f t="array" aca="1" ref="P37" ca="1">IF($Q37="","",IF(INDEX($AK$25:$AK$64,$Q37)="","",IF(INDEX($AK$25:$AK$64,$Q37)&gt;0,"▲ +"&amp;INDEX($AK$25:$AK$64,$Q37),IF(INDEX($AK$25:$AK$64,$Q37)&lt;0,"▼ "&amp;INDEX($AK$25:$AK$64,$Q37),"= 0"))))</f>
        <v/>
      </c>
      <c r="Q37" s="116" cm="1">
        <f t="array" aca="1" ref="Q37" ca="1">IF(ROW()-24&lt;=COUNT($AH$25:$AH$64),IFERROR(MATCH(ROW()-24,$AH$25:$AH$64,0),""),IFERROR(SMALL(IF(($AI$25:$AI$64=1)*($AD$25:$AD$64&lt;&gt;"YES")*($R$25:$R$64&lt;&gt;""),ROW($AI$25:$AI$64)-24),ROW()-24-COUNT($AH$25:$AH$64)),""))</f>
        <v>27</v>
      </c>
      <c r="R37" s="339" t="str">
        <f>IF(Symbols!A16="","",Symbols!A16)</f>
        <v>MUCOBA</v>
      </c>
      <c r="S37" s="339" t="str" cm="1">
        <f t="array" ref="S37">IF($R37="","",INDEX(Symbols!$B$4:$B$43,ROW()-24))</f>
        <v>MUCOBA Bank PLC</v>
      </c>
      <c r="T37" s="339" t="str" cm="1">
        <f t="array" ref="T37">IF($R37="","",INDEX(Symbols!$D$4:$D$43,ROW()-24))</f>
        <v>Banking</v>
      </c>
      <c r="U37" s="340">
        <f>IF($R37="","",IF(COUNTIFS('Fundamental Scorecard'!$A$5:$A$44,$R37,'Fundamental Scorecard'!$E$5:$E$44,"&gt;=-1E+300")=0,"",SUMIFS('Fundamental Scorecard'!$E$5:$E$44,'Fundamental Scorecard'!$A$5:$A$44,$R37)))</f>
        <v>16.100000000000001</v>
      </c>
      <c r="V37" s="339" t="str">
        <f>IF($R37="","",IFERROR(IF(INDEX('Fundamental Scorecard'!$D$5:$D$44,MATCH($R37,'Fundamental Scorecard'!$A$5:$A$44,0))=0,"",INDEX('Fundamental Scorecard'!$D$5:$D$44,MATCH($R37,'Fundamental Scorecard'!$A$5:$A$44,0))),""))</f>
        <v>Full to 31 Dec 2025</v>
      </c>
      <c r="W37" s="340">
        <f>IF(OR($R37="",$C$7=""),"",IF(COUNTIFS('Daily Data'!$B$4:$B$503,$R37,'Daily Data'!$A$4:$A$503,$C$7,'Daily Data'!$AH$4:$AH$503,"&gt;=-1E+300")=0,"",SUMIFS('Daily Data'!$AH$4:$AH$503,'Daily Data'!$B$4:$B$503,$R37,'Daily Data'!$A$4:$A$503,$C$7)))</f>
        <v>28.9</v>
      </c>
      <c r="X37" s="341">
        <f>IF(OR($R37="",$C$7=""),"",IF(COUNTIFS('Daily Data'!$B$4:$B$503,$R37,'Daily Data'!$A$4:$A$503,$C$7,'Daily Data'!$S$4:$S$503,"&gt;=-1E+300")=0,"",SUMIFS('Daily Data'!$S$4:$S$503,'Daily Data'!$B$4:$B$503,$R37,'Daily Data'!$A$4:$A$503,$C$7)))</f>
        <v>0.1908644491800241</v>
      </c>
      <c r="Y37" s="342" t="str">
        <f>IF(OR($R37="",$C$7=""),"",IF(COUNTIFS('Daily Data'!$B$4:$B$503,$R37,'Daily Data'!$A$4:$A$503,$C$7,'Daily Data'!$AA$4:$AA$503,"&gt;=-1E+300")=0,"",SUMIFS('Daily Data'!$AA$4:$AA$503,'Daily Data'!$B$4:$B$503,$R37,'Daily Data'!$A$4:$A$503,$C$7)))</f>
        <v/>
      </c>
      <c r="Z37" s="341" t="str">
        <f>IF(OR($R37="",$C$7=""),"",IF(COUNTIFS('Daily Data'!$B$4:$B$503,$R37,'Daily Data'!$A$4:$A$503,$C$7,'Daily Data'!$AC$4:$AC$503,"&gt;=-1E+300")=0,"",SUMIFS('Daily Data'!$AC$4:$AC$503,'Daily Data'!$B$4:$B$503,$R37,'Daily Data'!$A$4:$A$503,$C$7)))</f>
        <v/>
      </c>
      <c r="AA37" s="340">
        <f>IF(OR($R37="",$C$7=""),"",IF(COUNTIFS('Daily Data'!$B$4:$B$503,$R37,'Daily Data'!$A$4:$A$503,$C$7,'Daily Data'!$AG$4:$AG$503,"&gt;=-1E+300")=0,"",SUMIFS('Daily Data'!$AG$4:$AG$503,'Daily Data'!$B$4:$B$503,$R37,'Daily Data'!$A$4:$A$503,$C$7)))</f>
        <v>4.0999999999999996</v>
      </c>
      <c r="AB37" s="340">
        <f>IF(OR($R37="",$C$7=""),"",IF(COUNTIFS('Daily Data'!$B$4:$B$503,$R37,'Daily Data'!$A$4:$A$503,$C$7,'Daily Data'!$AI$4:$AI$503,"&gt;=-1E+300")=0,"",SUMIFS('Daily Data'!$AI$4:$AI$503,'Daily Data'!$B$4:$B$503,$R37,'Daily Data'!$A$4:$A$503,$C$7)))</f>
        <v>75</v>
      </c>
      <c r="AC37" s="339" t="str" cm="1">
        <f t="array" ref="AC37">IF($R37="","",IF(UPPER(INDEX(Symbols!$F$4:$F$43,ROW()-24))="YES","YES","NO"))</f>
        <v>YES</v>
      </c>
      <c r="AD37" s="339" t="str">
        <f ca="1">IF($R37="","",IF(ROUND(Settings!$C$65+Settings!$C$66,6)&lt;&gt;1,"NO",IF($AC37&lt;&gt;"YES","NO",IF(AND(UPPER(Settings!$C$105)="YES",$AP37="YES"),"NO",IF(NOT(ISNUMBER($U37)),"NO",IF(NOT(ISNUMBER($W37)),"NO",IF($C$7="","NO",IF($C$6-$C$7&gt;Settings!$C$70,"NO",IF(AND(ISNUMBER($AO37),$AO37&gt;Settings!$C$104),"NO",IF(N($AB37)&lt;Settings!$C$71,"NO",IF(N($AA37)&lt;Settings!$C$72,"NO","YES")))))))))))</f>
        <v>YES</v>
      </c>
      <c r="AE37" s="339" t="str">
        <f ca="1">IF($R37="","",IF($AD37="YES","",IF(ROUND(Settings!$C$65+Settings!$C$66,6)&lt;&gt;1,"Ranking weights do not total 100%",IF($AC37&lt;&gt;"YES","Security is not active",IF(AND(UPPER(Settings!$C$105)="YES",$AP37="YES"),"Cross-listed security, excluded by Settings!C105",IF(NOT(ISNUMBER($U37)),"Missing fundamental data",IF(NOT(ISNUMBER($W37)),"No market observation on the date used",IF($C$7="","No market data available",IF($C$6-$C$7&gt;Settings!$C$70,"Market data is stale",IF(AND(ISNUMBER($AO37),$AO37&gt;Settings!$C$104),"Fundamental statement is stale ("&amp;$AO37&amp;" months old)",IF(N($AB37)&lt;Settings!$C$71,"Data confidence below minimum","Liquidity below minimum")))))))))))</f>
        <v/>
      </c>
      <c r="AF37" s="340">
        <f ca="1">IF($AD37&lt;&gt;"YES","",ROUND($U37*RankingFundamentalWeight+$W37*RankingSentimentWeight,1))</f>
        <v>19.899999999999999</v>
      </c>
      <c r="AG37" s="339">
        <f ca="1">IF($AD37&lt;&gt;"YES","",$AF37+$U37/10000+$W37/100000000+N($AB37)/1000000000000)</f>
        <v>19.901610289074998</v>
      </c>
      <c r="AH37" s="343" cm="1">
        <f t="array" aca="1" ref="AH37" ca="1">IF(OR($AD37&lt;&gt;"YES",$AI37&lt;&gt;1),"",SUMPRODUCT(($AI$25:$AI$64=1)*($AD$25:$AD$64="YES")*($AG$25:$AG$64&gt;$AG37))+SUMPRODUCT(($AI$25:$AI$64=1)*($AD$25:$AD$64="YES")*($AG$25:$AG$64=$AG37)*($R$25:$R$64&lt;$R37))+1)</f>
        <v>17</v>
      </c>
      <c r="AI37" s="339">
        <f ca="1">IF($R37="","",IF(AND(OR($A$22="",$T37=$A$22),OR($B$22="",$AL37=$B$22),OR($C$22="",$AM37=$C$22),OR($D$22="",AND(ISNUMBER($U37),N($U37)&gt;=$D$22)),OR($E$22="",AND(ISNUMBER($W37),N($W37)&gt;=$E$22)),OR($F$22="",AND(ISNUMBER($AF37),N($AF37)&gt;=$F$22)),OR($G$22="",N($AA37)&gt;=$G$22),OR($H$22="",N($AB37)&gt;=$H$22),OR(UPPER($I$22)&lt;&gt;"YES",$AC37="YES"),OR(UPPER($J$22)&lt;&gt;"YES",$AD37="YES")),1,0))</f>
        <v>1</v>
      </c>
      <c r="AJ37" s="339" t="str">
        <f>IF(OR($R37="",$C$11=""),"",IF(COUNTIFS('Ranking History'!$B$5:$B$2000,$R37,'Ranking History'!$A$5:$A$2000,$C$11)=0,"",SUMIFS('Ranking History'!$C$5:$C$2000,'Ranking History'!$B$5:$B$2000,$R37,'Ranking History'!$A$5:$A$2000,$C$11)))</f>
        <v/>
      </c>
      <c r="AK37" s="339" t="str">
        <f ca="1">IF(OR($AJ37="",$AH37=""),"",$AJ37-$AH37)</f>
        <v/>
      </c>
      <c r="AL37" s="339" t="str">
        <f ca="1">IF($AF37="","",IF($AF37&gt;=Settings!$C$76,"BORA SANA",IF($AF37&gt;=Settings!$C$77,"NZURI SANA",IF($AF37&gt;=Settings!$C$78,"NZURI",IF($AF37&gt;=Settings!$C$79,"WASTANI",IF($AF37&gt;=Settings!$C$80,"DHAIFU","DHAIFU SANA"))))))</f>
        <v>DHAIFU SANA</v>
      </c>
      <c r="AM37" s="339" t="str">
        <f>IF(NOT(ISNUMBER($W37)),"",IF($W37&gt;=Settings!$C$82,"Demand kubwa sana",IF($W37&gt;=Settings!$C$83,"Demand kubwa",IF($W37&gt;=Settings!$C$84,"Demand ya wastani","Demand ndogo sana"))))</f>
        <v>Demand ndogo sana</v>
      </c>
      <c r="AN37" s="339" t="str">
        <f>IF($R37="","",IF(OR(NOT(ISNUMBER($U37)),NOT(ISNUMBER($W37))),"INCOMPLETE DATA",IF($U37&lt;Settings!$C$88,"Epuka : ubora dhaifu",IF(AND($U37&gt;=Settings!$C$86,$W37&gt;=Settings!$C$87),"Nunua : ubora na mwelekeo vinaungana",IF($U37&gt;=Settings!$C$86,"Fuatilia : ubora mzuri, mwelekeo bado haujathibitisha",IF($W37&gt;=Settings!$C$89,"Fuatilia : ubora wa wastani","Fuatilia : ubora wa wastani, mwelekeo bado dhaifu"))))))</f>
        <v>Epuka : ubora dhaifu</v>
      </c>
      <c r="AO37" s="339">
        <f ca="1">IF($R37="","",IF(COUNTIFS('Fundamental Scorecard'!$A$5:$A$44,$R37,'Fundamental Scorecard'!$AE$5:$AE$44,"&gt;=-1E+300")=0,"",SUMIFS('Fundamental Scorecard'!$AE$5:$AE$44,'Fundamental Scorecard'!$A$5:$A$44,$R37)))</f>
        <v>7</v>
      </c>
      <c r="AP37" s="339" t="str" cm="1">
        <f t="array" ref="AP37">IF($R37="","",IF(ISNUMBER(SEARCH("cross-listed",INDEX(Symbols!$C$4:$C$43,ROW()-24))),"YES","NO"))</f>
        <v>NO</v>
      </c>
    </row>
    <row r="38" spans="1:42" x14ac:dyDescent="0.3">
      <c r="A38" s="344" cm="1">
        <f t="array" aca="1" ref="A38" ca="1">IF($Q38="","",IF(INDEX($AD$25:$AD$64,$Q38)="YES",INDEX($AH$25:$AH$64,$Q38),"—"))</f>
        <v>14</v>
      </c>
      <c r="B38" s="318" t="str" cm="1">
        <f t="array" aca="1" ref="B38" ca="1">IF($Q38="","",INDEX($R$25:$R$64,$Q38))</f>
        <v>MCB</v>
      </c>
      <c r="C38" s="319" t="str" cm="1">
        <f t="array" aca="1" ref="C38" ca="1">IF($Q38="","",INDEX($S$25:$S$64,$Q38))</f>
        <v>MCB — name to confirm with DSE</v>
      </c>
      <c r="D38" s="319" t="str" cm="1">
        <f t="array" aca="1" ref="D38" ca="1">IF($Q38="","",INDEX($T$25:$T$64,$Q38))</f>
        <v>Banking</v>
      </c>
      <c r="E38" s="100" cm="1">
        <f t="array" aca="1" ref="E38" ca="1">IF($Q38="","",INDEX($U$25:$U$64,$Q38))</f>
        <v>63.2</v>
      </c>
      <c r="F38" s="100" cm="1">
        <f t="array" aca="1" ref="F38" ca="1">IF($Q38="","",INDEX($W$25:$W$64,$Q38))</f>
        <v>34</v>
      </c>
      <c r="G38" s="100" cm="1">
        <f t="array" aca="1" ref="G38" ca="1">IF($Q38="","",INDEX($AF$25:$AF$64,$Q38))</f>
        <v>54.4</v>
      </c>
      <c r="H38" s="319" t="str" cm="1">
        <f t="array" aca="1" ref="H38" ca="1">IF($Q38="","",INDEX($AL$25:$AL$64,$Q38))</f>
        <v>WASTANI</v>
      </c>
      <c r="I38" s="319" t="str" cm="1">
        <f t="array" aca="1" ref="I38" ca="1">IF($Q38="","",INDEX($AM$25:$AM$64,$Q38))</f>
        <v>Demand ya wastani</v>
      </c>
      <c r="J38" s="319" t="str" cm="1">
        <f t="array" aca="1" ref="J38" ca="1">IF($Q38="","",INDEX($AN$25:$AN$64,$Q38))</f>
        <v>Fuatilia : ubora wa wastani</v>
      </c>
      <c r="K38" s="100" cm="1">
        <f t="array" aca="1" ref="K38" ca="1">IF($Q38="","",INDEX($AA$25:$AA$64,$Q38))</f>
        <v>48.5</v>
      </c>
      <c r="L38" s="100" cm="1">
        <f t="array" aca="1" ref="L38" ca="1">IF($Q38="","",INDEX($AB$25:$AB$64,$Q38))</f>
        <v>75</v>
      </c>
      <c r="M38" s="319" t="str" cm="1">
        <f t="array" aca="1" ref="M38" ca="1">IF($Q38="","",INDEX($V$25:$V$64,$Q38))</f>
        <v>Full to 31 Dec 2025</v>
      </c>
      <c r="N38" s="95">
        <f ca="1">IF($Q38="","",$C$7)</f>
        <v>46248</v>
      </c>
      <c r="O38" s="102" t="str" cm="1">
        <f t="array" aca="1" ref="O38" ca="1">IF($Q38="","",INDEX($AJ$25:$AJ$64,$Q38))</f>
        <v/>
      </c>
      <c r="P38" s="319" t="str" cm="1">
        <f t="array" aca="1" ref="P38" ca="1">IF($Q38="","",IF(INDEX($AK$25:$AK$64,$Q38)="","",IF(INDEX($AK$25:$AK$64,$Q38)&gt;0,"▲ +"&amp;INDEX($AK$25:$AK$64,$Q38),IF(INDEX($AK$25:$AK$64,$Q38)&lt;0,"▼ "&amp;INDEX($AK$25:$AK$64,$Q38),"= 0"))))</f>
        <v/>
      </c>
      <c r="Q38" s="116" cm="1">
        <f t="array" aca="1" ref="Q38" ca="1">IF(ROW()-24&lt;=COUNT($AH$25:$AH$64),IFERROR(MATCH(ROW()-24,$AH$25:$AH$64,0),""),IFERROR(SMALL(IF(($AI$25:$AI$64=1)*($AD$25:$AD$64&lt;&gt;"YES")*($R$25:$R$64&lt;&gt;""),ROW($AI$25:$AI$64)-24),ROW()-24-COUNT($AH$25:$AH$64)),""))</f>
        <v>11</v>
      </c>
      <c r="R38" s="339" t="str">
        <f>IF(Symbols!A17="","",Symbols!A17)</f>
        <v>NICO</v>
      </c>
      <c r="S38" s="339" t="str" cm="1">
        <f t="array" ref="S38">IF($R38="","",INDEX(Symbols!$B$4:$B$43,ROW()-24))</f>
        <v>National Investments Company Ltd (NICOL)</v>
      </c>
      <c r="T38" s="339" t="str" cm="1">
        <f t="array" ref="T38">IF($R38="","",INDEX(Symbols!$D$4:$D$43,ROW()-24))</f>
        <v>Investment</v>
      </c>
      <c r="U38" s="340">
        <f>IF($R38="","",IF(COUNTIFS('Fundamental Scorecard'!$A$5:$A$44,$R38,'Fundamental Scorecard'!$E$5:$E$44,"&gt;=-1E+300")=0,"",SUMIFS('Fundamental Scorecard'!$E$5:$E$44,'Fundamental Scorecard'!$A$5:$A$44,$R38)))</f>
        <v>85.3</v>
      </c>
      <c r="V38" s="339" t="str">
        <f>IF($R38="","",IFERROR(IF(INDEX('Fundamental Scorecard'!$D$5:$D$44,MATCH($R38,'Fundamental Scorecard'!$A$5:$A$44,0))=0,"",INDEX('Fundamental Scorecard'!$D$5:$D$44,MATCH($R38,'Fundamental Scorecard'!$A$5:$A$44,0))),""))</f>
        <v>Half to 30 Jun 2026</v>
      </c>
      <c r="W38" s="340">
        <f>IF(OR($R38="",$C$7=""),"",IF(COUNTIFS('Daily Data'!$B$4:$B$503,$R38,'Daily Data'!$A$4:$A$503,$C$7,'Daily Data'!$AH$4:$AH$503,"&gt;=-1E+300")=0,"",SUMIFS('Daily Data'!$AH$4:$AH$503,'Daily Data'!$B$4:$B$503,$R38,'Daily Data'!$A$4:$A$503,$C$7)))</f>
        <v>76.5</v>
      </c>
      <c r="X38" s="341">
        <f>IF(OR($R38="",$C$7=""),"",IF(COUNTIFS('Daily Data'!$B$4:$B$503,$R38,'Daily Data'!$A$4:$A$503,$C$7,'Daily Data'!$S$4:$S$503,"&gt;=-1E+300")=0,"",SUMIFS('Daily Data'!$S$4:$S$503,'Daily Data'!$B$4:$B$503,$R38,'Daily Data'!$A$4:$A$503,$C$7)))</f>
        <v>6.4548426644871268</v>
      </c>
      <c r="Y38" s="342" t="str">
        <f>IF(OR($R38="",$C$7=""),"",IF(COUNTIFS('Daily Data'!$B$4:$B$503,$R38,'Daily Data'!$A$4:$A$503,$C$7,'Daily Data'!$AA$4:$AA$503,"&gt;=-1E+300")=0,"",SUMIFS('Daily Data'!$AA$4:$AA$503,'Daily Data'!$B$4:$B$503,$R38,'Daily Data'!$A$4:$A$503,$C$7)))</f>
        <v/>
      </c>
      <c r="Z38" s="341" t="str">
        <f>IF(OR($R38="",$C$7=""),"",IF(COUNTIFS('Daily Data'!$B$4:$B$503,$R38,'Daily Data'!$A$4:$A$503,$C$7,'Daily Data'!$AC$4:$AC$503,"&gt;=-1E+300")=0,"",SUMIFS('Daily Data'!$AC$4:$AC$503,'Daily Data'!$B$4:$B$503,$R38,'Daily Data'!$A$4:$A$503,$C$7)))</f>
        <v/>
      </c>
      <c r="AA38" s="340">
        <f>IF(OR($R38="",$C$7=""),"",IF(COUNTIFS('Daily Data'!$B$4:$B$503,$R38,'Daily Data'!$A$4:$A$503,$C$7,'Daily Data'!$AG$4:$AG$503,"&gt;=-1E+300")=0,"",SUMIFS('Daily Data'!$AG$4:$AG$503,'Daily Data'!$B$4:$B$503,$R38,'Daily Data'!$A$4:$A$503,$C$7)))</f>
        <v>38.5</v>
      </c>
      <c r="AB38" s="340">
        <f>IF(OR($R38="",$C$7=""),"",IF(COUNTIFS('Daily Data'!$B$4:$B$503,$R38,'Daily Data'!$A$4:$A$503,$C$7,'Daily Data'!$AI$4:$AI$503,"&gt;=-1E+300")=0,"",SUMIFS('Daily Data'!$AI$4:$AI$503,'Daily Data'!$B$4:$B$503,$R38,'Daily Data'!$A$4:$A$503,$C$7)))</f>
        <v>75</v>
      </c>
      <c r="AC38" s="339" t="str" cm="1">
        <f t="array" ref="AC38">IF($R38="","",IF(UPPER(INDEX(Symbols!$F$4:$F$43,ROW()-24))="YES","YES","NO"))</f>
        <v>YES</v>
      </c>
      <c r="AD38" s="339" t="str">
        <f ca="1">IF($R38="","",IF(ROUND(Settings!$C$65+Settings!$C$66,6)&lt;&gt;1,"NO",IF($AC38&lt;&gt;"YES","NO",IF(AND(UPPER(Settings!$C$105)="YES",$AP38="YES"),"NO",IF(NOT(ISNUMBER($U38)),"NO",IF(NOT(ISNUMBER($W38)),"NO",IF($C$7="","NO",IF($C$6-$C$7&gt;Settings!$C$70,"NO",IF(AND(ISNUMBER($AO38),$AO38&gt;Settings!$C$104),"NO",IF(N($AB38)&lt;Settings!$C$71,"NO",IF(N($AA38)&lt;Settings!$C$72,"NO","YES")))))))))))</f>
        <v>YES</v>
      </c>
      <c r="AE38" s="339" t="str">
        <f ca="1">IF($R38="","",IF($AD38="YES","",IF(ROUND(Settings!$C$65+Settings!$C$66,6)&lt;&gt;1,"Ranking weights do not total 100%",IF($AC38&lt;&gt;"YES","Security is not active",IF(AND(UPPER(Settings!$C$105)="YES",$AP38="YES"),"Cross-listed security, excluded by Settings!C105",IF(NOT(ISNUMBER($U38)),"Missing fundamental data",IF(NOT(ISNUMBER($W38)),"No market observation on the date used",IF($C$7="","No market data available",IF($C$6-$C$7&gt;Settings!$C$70,"Market data is stale",IF(AND(ISNUMBER($AO38),$AO38&gt;Settings!$C$104),"Fundamental statement is stale ("&amp;$AO38&amp;" months old)",IF(N($AB38)&lt;Settings!$C$71,"Data confidence below minimum","Liquidity below minimum")))))))))))</f>
        <v/>
      </c>
      <c r="AF38" s="340">
        <f ca="1">IF($AD38&lt;&gt;"YES","",ROUND($U38*RankingFundamentalWeight+$W38*RankingSentimentWeight,1))</f>
        <v>82.7</v>
      </c>
      <c r="AG38" s="339">
        <f ca="1">IF($AD38&lt;&gt;"YES","",$AF38+$U38/10000+$W38/100000000+N($AB38)/1000000000000)</f>
        <v>82.708530765074997</v>
      </c>
      <c r="AH38" s="343" cm="1">
        <f t="array" aca="1" ref="AH38" ca="1">IF(OR($AD38&lt;&gt;"YES",$AI38&lt;&gt;1),"",SUMPRODUCT(($AI$25:$AI$64=1)*($AD$25:$AD$64="YES")*($AG$25:$AG$64&gt;$AG38))+SUMPRODUCT(($AI$25:$AI$64=1)*($AD$25:$AD$64="YES")*($AG$25:$AG$64=$AG38)*($R$25:$R$64&lt;$R38))+1)</f>
        <v>2</v>
      </c>
      <c r="AI38" s="339">
        <f ca="1">IF($R38="","",IF(AND(OR($A$22="",$T38=$A$22),OR($B$22="",$AL38=$B$22),OR($C$22="",$AM38=$C$22),OR($D$22="",AND(ISNUMBER($U38),N($U38)&gt;=$D$22)),OR($E$22="",AND(ISNUMBER($W38),N($W38)&gt;=$E$22)),OR($F$22="",AND(ISNUMBER($AF38),N($AF38)&gt;=$F$22)),OR($G$22="",N($AA38)&gt;=$G$22),OR($H$22="",N($AB38)&gt;=$H$22),OR(UPPER($I$22)&lt;&gt;"YES",$AC38="YES"),OR(UPPER($J$22)&lt;&gt;"YES",$AD38="YES")),1,0))</f>
        <v>1</v>
      </c>
      <c r="AJ38" s="339" t="str">
        <f>IF(OR($R38="",$C$11=""),"",IF(COUNTIFS('Ranking History'!$B$5:$B$2000,$R38,'Ranking History'!$A$5:$A$2000,$C$11)=0,"",SUMIFS('Ranking History'!$C$5:$C$2000,'Ranking History'!$B$5:$B$2000,$R38,'Ranking History'!$A$5:$A$2000,$C$11)))</f>
        <v/>
      </c>
      <c r="AK38" s="339" t="str">
        <f ca="1">IF(OR($AJ38="",$AH38=""),"",$AJ38-$AH38)</f>
        <v/>
      </c>
      <c r="AL38" s="339" t="str">
        <f ca="1">IF($AF38="","",IF($AF38&gt;=Settings!$C$76,"BORA SANA",IF($AF38&gt;=Settings!$C$77,"NZURI SANA",IF($AF38&gt;=Settings!$C$78,"NZURI",IF($AF38&gt;=Settings!$C$79,"WASTANI",IF($AF38&gt;=Settings!$C$80,"DHAIFU","DHAIFU SANA"))))))</f>
        <v>BORA SANA</v>
      </c>
      <c r="AM38" s="339" t="str">
        <f>IF(NOT(ISNUMBER($W38)),"",IF($W38&gt;=Settings!$C$82,"Demand kubwa sana",IF($W38&gt;=Settings!$C$83,"Demand kubwa",IF($W38&gt;=Settings!$C$84,"Demand ya wastani","Demand ndogo sana"))))</f>
        <v>Demand kubwa</v>
      </c>
      <c r="AN38" s="339" t="str">
        <f>IF($R38="","",IF(OR(NOT(ISNUMBER($U38)),NOT(ISNUMBER($W38))),"INCOMPLETE DATA",IF($U38&lt;Settings!$C$88,"Epuka : ubora dhaifu",IF(AND($U38&gt;=Settings!$C$86,$W38&gt;=Settings!$C$87),"Nunua : ubora na mwelekeo vinaungana",IF($U38&gt;=Settings!$C$86,"Fuatilia : ubora mzuri, mwelekeo bado haujathibitisha",IF($W38&gt;=Settings!$C$89,"Fuatilia : ubora wa wastani","Fuatilia : ubora wa wastani, mwelekeo bado dhaifu"))))))</f>
        <v>Nunua : ubora na mwelekeo vinaungana</v>
      </c>
      <c r="AO38" s="339">
        <f ca="1">IF($R38="","",IF(COUNTIFS('Fundamental Scorecard'!$A$5:$A$44,$R38,'Fundamental Scorecard'!$AE$5:$AE$44,"&gt;=-1E+300")=0,"",SUMIFS('Fundamental Scorecard'!$AE$5:$AE$44,'Fundamental Scorecard'!$A$5:$A$44,$R38)))</f>
        <v>2</v>
      </c>
      <c r="AP38" s="339" t="str" cm="1">
        <f t="array" ref="AP38">IF($R38="","",IF(ISNUMBER(SEARCH("cross-listed",INDEX(Symbols!$C$4:$C$43,ROW()-24))),"YES","NO"))</f>
        <v>NO</v>
      </c>
    </row>
    <row r="39" spans="1:42" x14ac:dyDescent="0.3">
      <c r="A39" s="344" cm="1">
        <f t="array" aca="1" ref="A39" ca="1">IF($Q39="","",IF(INDEX($AD$25:$AD$64,$Q39)="YES",INDEX($AH$25:$AH$64,$Q39),"—"))</f>
        <v>15</v>
      </c>
      <c r="B39" s="318" t="str" cm="1">
        <f t="array" aca="1" ref="B39" ca="1">IF($Q39="","",INDEX($R$25:$R$64,$Q39))</f>
        <v>TOL</v>
      </c>
      <c r="C39" s="319" t="str" cm="1">
        <f t="array" aca="1" ref="C39" ca="1">IF($Q39="","",INDEX($S$25:$S$64,$Q39))</f>
        <v>TOL Gases Ltd</v>
      </c>
      <c r="D39" s="319" t="str" cm="1">
        <f t="array" aca="1" ref="D39" ca="1">IF($Q39="","",INDEX($T$25:$T$64,$Q39))</f>
        <v>Basic Materials</v>
      </c>
      <c r="E39" s="100" cm="1">
        <f t="array" aca="1" ref="E39" ca="1">IF($Q39="","",INDEX($U$25:$U$64,$Q39))</f>
        <v>43</v>
      </c>
      <c r="F39" s="100" cm="1">
        <f t="array" aca="1" ref="F39" ca="1">IF($Q39="","",INDEX($W$25:$W$64,$Q39))</f>
        <v>49.4</v>
      </c>
      <c r="G39" s="100" cm="1">
        <f t="array" aca="1" ref="G39" ca="1">IF($Q39="","",INDEX($AF$25:$AF$64,$Q39))</f>
        <v>44.9</v>
      </c>
      <c r="H39" s="319" t="str" cm="1">
        <f t="array" aca="1" ref="H39" ca="1">IF($Q39="","",INDEX($AL$25:$AL$64,$Q39))</f>
        <v>DHAIFU</v>
      </c>
      <c r="I39" s="319" t="str" cm="1">
        <f t="array" aca="1" ref="I39" ca="1">IF($Q39="","",INDEX($AM$25:$AM$64,$Q39))</f>
        <v>Demand ya wastani</v>
      </c>
      <c r="J39" s="319" t="str" cm="1">
        <f t="array" aca="1" ref="J39" ca="1">IF($Q39="","",INDEX($AN$25:$AN$64,$Q39))</f>
        <v>Epuka : ubora dhaifu</v>
      </c>
      <c r="K39" s="100" cm="1">
        <f t="array" aca="1" ref="K39" ca="1">IF($Q39="","",INDEX($AA$25:$AA$64,$Q39))</f>
        <v>9.1999999999999993</v>
      </c>
      <c r="L39" s="100" cm="1">
        <f t="array" aca="1" ref="L39" ca="1">IF($Q39="","",INDEX($AB$25:$AB$64,$Q39))</f>
        <v>75</v>
      </c>
      <c r="M39" s="319" t="str" cm="1">
        <f t="array" aca="1" ref="M39" ca="1">IF($Q39="","",INDEX($V$25:$V$64,$Q39))</f>
        <v>Quarter to 31 Mar 2026</v>
      </c>
      <c r="N39" s="95">
        <f ca="1">IF($Q39="","",$C$7)</f>
        <v>46248</v>
      </c>
      <c r="O39" s="102" t="str" cm="1">
        <f t="array" aca="1" ref="O39" ca="1">IF($Q39="","",INDEX($AJ$25:$AJ$64,$Q39))</f>
        <v/>
      </c>
      <c r="P39" s="319" t="str" cm="1">
        <f t="array" aca="1" ref="P39" ca="1">IF($Q39="","",IF(INDEX($AK$25:$AK$64,$Q39)="","",IF(INDEX($AK$25:$AK$64,$Q39)&gt;0,"▲ +"&amp;INDEX($AK$25:$AK$64,$Q39),IF(INDEX($AK$25:$AK$64,$Q39)&lt;0,"▼ "&amp;INDEX($AK$25:$AK$64,$Q39),"= 0"))))</f>
        <v/>
      </c>
      <c r="Q39" s="116" cm="1">
        <f t="array" aca="1" ref="Q39" ca="1">IF(ROW()-24&lt;=COUNT($AH$25:$AH$64),IFERROR(MATCH(ROW()-24,$AH$25:$AH$64,0),""),IFERROR(SMALL(IF(($AI$25:$AI$64=1)*($AD$25:$AD$64&lt;&gt;"YES")*($R$25:$R$64&lt;&gt;""),ROW($AI$25:$AI$64)-24),ROW()-24-COUNT($AH$25:$AH$64)),""))</f>
        <v>23</v>
      </c>
      <c r="R39" s="339" t="str">
        <f>IF(Symbols!A18="","",Symbols!A18)</f>
        <v>NMB</v>
      </c>
      <c r="S39" s="339" t="str" cm="1">
        <f t="array" ref="S39">IF($R39="","",INDEX(Symbols!$B$4:$B$43,ROW()-24))</f>
        <v>NMB Bank PLC</v>
      </c>
      <c r="T39" s="339" t="str" cm="1">
        <f t="array" ref="T39">IF($R39="","",INDEX(Symbols!$D$4:$D$43,ROW()-24))</f>
        <v>Banking</v>
      </c>
      <c r="U39" s="340">
        <f>IF($R39="","",IF(COUNTIFS('Fundamental Scorecard'!$A$5:$A$44,$R39,'Fundamental Scorecard'!$E$5:$E$44,"&gt;=-1E+300")=0,"",SUMIFS('Fundamental Scorecard'!$E$5:$E$44,'Fundamental Scorecard'!$A$5:$A$44,$R39)))</f>
        <v>82.5</v>
      </c>
      <c r="V39" s="339" t="str">
        <f>IF($R39="","",IFERROR(IF(INDEX('Fundamental Scorecard'!$D$5:$D$44,MATCH($R39,'Fundamental Scorecard'!$A$5:$A$44,0))=0,"",INDEX('Fundamental Scorecard'!$D$5:$D$44,MATCH($R39,'Fundamental Scorecard'!$A$5:$A$44,0))),""))</f>
        <v>Q2 2026 (30 Jun 2026)</v>
      </c>
      <c r="W39" s="340">
        <f>IF(OR($R39="",$C$7=""),"",IF(COUNTIFS('Daily Data'!$B$4:$B$503,$R39,'Daily Data'!$A$4:$A$503,$C$7,'Daily Data'!$AH$4:$AH$503,"&gt;=-1E+300")=0,"",SUMIFS('Daily Data'!$AH$4:$AH$503,'Daily Data'!$B$4:$B$503,$R39,'Daily Data'!$A$4:$A$503,$C$7)))</f>
        <v>70.900000000000006</v>
      </c>
      <c r="X39" s="341">
        <f>IF(OR($R39="",$C$7=""),"",IF(COUNTIFS('Daily Data'!$B$4:$B$503,$R39,'Daily Data'!$A$4:$A$503,$C$7,'Daily Data'!$S$4:$S$503,"&gt;=-1E+300")=0,"",SUMIFS('Daily Data'!$S$4:$S$503,'Daily Data'!$B$4:$B$503,$R39,'Daily Data'!$A$4:$A$503,$C$7)))</f>
        <v>293.21457489878543</v>
      </c>
      <c r="Y39" s="342" t="str">
        <f>IF(OR($R39="",$C$7=""),"",IF(COUNTIFS('Daily Data'!$B$4:$B$503,$R39,'Daily Data'!$A$4:$A$503,$C$7,'Daily Data'!$AA$4:$AA$503,"&gt;=-1E+300")=0,"",SUMIFS('Daily Data'!$AA$4:$AA$503,'Daily Data'!$B$4:$B$503,$R39,'Daily Data'!$A$4:$A$503,$C$7)))</f>
        <v/>
      </c>
      <c r="Z39" s="341" t="str">
        <f>IF(OR($R39="",$C$7=""),"",IF(COUNTIFS('Daily Data'!$B$4:$B$503,$R39,'Daily Data'!$A$4:$A$503,$C$7,'Daily Data'!$AC$4:$AC$503,"&gt;=-1E+300")=0,"",SUMIFS('Daily Data'!$AC$4:$AC$503,'Daily Data'!$B$4:$B$503,$R39,'Daily Data'!$A$4:$A$503,$C$7)))</f>
        <v/>
      </c>
      <c r="AA39" s="340">
        <f>IF(OR($R39="",$C$7=""),"",IF(COUNTIFS('Daily Data'!$B$4:$B$503,$R39,'Daily Data'!$A$4:$A$503,$C$7,'Daily Data'!$AG$4:$AG$503,"&gt;=-1E+300")=0,"",SUMIFS('Daily Data'!$AG$4:$AG$503,'Daily Data'!$B$4:$B$503,$R39,'Daily Data'!$A$4:$A$503,$C$7)))</f>
        <v>80.2</v>
      </c>
      <c r="AB39" s="340">
        <f>IF(OR($R39="",$C$7=""),"",IF(COUNTIFS('Daily Data'!$B$4:$B$503,$R39,'Daily Data'!$A$4:$A$503,$C$7,'Daily Data'!$AI$4:$AI$503,"&gt;=-1E+300")=0,"",SUMIFS('Daily Data'!$AI$4:$AI$503,'Daily Data'!$B$4:$B$503,$R39,'Daily Data'!$A$4:$A$503,$C$7)))</f>
        <v>75</v>
      </c>
      <c r="AC39" s="339" t="str" cm="1">
        <f t="array" ref="AC39">IF($R39="","",IF(UPPER(INDEX(Symbols!$F$4:$F$43,ROW()-24))="YES","YES","NO"))</f>
        <v>YES</v>
      </c>
      <c r="AD39" s="339" t="str">
        <f ca="1">IF($R39="","",IF(ROUND(Settings!$C$65+Settings!$C$66,6)&lt;&gt;1,"NO",IF($AC39&lt;&gt;"YES","NO",IF(AND(UPPER(Settings!$C$105)="YES",$AP39="YES"),"NO",IF(NOT(ISNUMBER($U39)),"NO",IF(NOT(ISNUMBER($W39)),"NO",IF($C$7="","NO",IF($C$6-$C$7&gt;Settings!$C$70,"NO",IF(AND(ISNUMBER($AO39),$AO39&gt;Settings!$C$104),"NO",IF(N($AB39)&lt;Settings!$C$71,"NO",IF(N($AA39)&lt;Settings!$C$72,"NO","YES")))))))))))</f>
        <v>YES</v>
      </c>
      <c r="AE39" s="339" t="str">
        <f ca="1">IF($R39="","",IF($AD39="YES","",IF(ROUND(Settings!$C$65+Settings!$C$66,6)&lt;&gt;1,"Ranking weights do not total 100%",IF($AC39&lt;&gt;"YES","Security is not active",IF(AND(UPPER(Settings!$C$105)="YES",$AP39="YES"),"Cross-listed security, excluded by Settings!C105",IF(NOT(ISNUMBER($U39)),"Missing fundamental data",IF(NOT(ISNUMBER($W39)),"No market observation on the date used",IF($C$7="","No market data available",IF($C$6-$C$7&gt;Settings!$C$70,"Market data is stale",IF(AND(ISNUMBER($AO39),$AO39&gt;Settings!$C$104),"Fundamental statement is stale ("&amp;$AO39&amp;" months old)",IF(N($AB39)&lt;Settings!$C$71,"Data confidence below minimum","Liquidity below minimum")))))))))))</f>
        <v/>
      </c>
      <c r="AF39" s="340">
        <f ca="1">IF($AD39&lt;&gt;"YES","",ROUND($U39*RankingFundamentalWeight+$W39*RankingSentimentWeight,1))</f>
        <v>79</v>
      </c>
      <c r="AG39" s="339">
        <f ca="1">IF($AD39&lt;&gt;"YES","",$AF39+$U39/10000+$W39/100000000+N($AB39)/1000000000000)</f>
        <v>79.008250709075014</v>
      </c>
      <c r="AH39" s="343" cm="1">
        <f t="array" aca="1" ref="AH39" ca="1">IF(OR($AD39&lt;&gt;"YES",$AI39&lt;&gt;1),"",SUMPRODUCT(($AI$25:$AI$64=1)*($AD$25:$AD$64="YES")*($AG$25:$AG$64&gt;$AG39))+SUMPRODUCT(($AI$25:$AI$64=1)*($AD$25:$AD$64="YES")*($AG$25:$AG$64=$AG39)*($R$25:$R$64&lt;$R39))+1)</f>
        <v>3</v>
      </c>
      <c r="AI39" s="339">
        <f ca="1">IF($R39="","",IF(AND(OR($A$22="",$T39=$A$22),OR($B$22="",$AL39=$B$22),OR($C$22="",$AM39=$C$22),OR($D$22="",AND(ISNUMBER($U39),N($U39)&gt;=$D$22)),OR($E$22="",AND(ISNUMBER($W39),N($W39)&gt;=$E$22)),OR($F$22="",AND(ISNUMBER($AF39),N($AF39)&gt;=$F$22)),OR($G$22="",N($AA39)&gt;=$G$22),OR($H$22="",N($AB39)&gt;=$H$22),OR(UPPER($I$22)&lt;&gt;"YES",$AC39="YES"),OR(UPPER($J$22)&lt;&gt;"YES",$AD39="YES")),1,0))</f>
        <v>1</v>
      </c>
      <c r="AJ39" s="339" t="str">
        <f>IF(OR($R39="",$C$11=""),"",IF(COUNTIFS('Ranking History'!$B$5:$B$2000,$R39,'Ranking History'!$A$5:$A$2000,$C$11)=0,"",SUMIFS('Ranking History'!$C$5:$C$2000,'Ranking History'!$B$5:$B$2000,$R39,'Ranking History'!$A$5:$A$2000,$C$11)))</f>
        <v/>
      </c>
      <c r="AK39" s="339" t="str">
        <f ca="1">IF(OR($AJ39="",$AH39=""),"",$AJ39-$AH39)</f>
        <v/>
      </c>
      <c r="AL39" s="339" t="str">
        <f ca="1">IF($AF39="","",IF($AF39&gt;=Settings!$C$76,"BORA SANA",IF($AF39&gt;=Settings!$C$77,"NZURI SANA",IF($AF39&gt;=Settings!$C$78,"NZURI",IF($AF39&gt;=Settings!$C$79,"WASTANI",IF($AF39&gt;=Settings!$C$80,"DHAIFU","DHAIFU SANA"))))))</f>
        <v>NZURI SANA</v>
      </c>
      <c r="AM39" s="339" t="str">
        <f>IF(NOT(ISNUMBER($W39)),"",IF($W39&gt;=Settings!$C$82,"Demand kubwa sana",IF($W39&gt;=Settings!$C$83,"Demand kubwa",IF($W39&gt;=Settings!$C$84,"Demand ya wastani","Demand ndogo sana"))))</f>
        <v>Demand kubwa</v>
      </c>
      <c r="AN39" s="339" t="str">
        <f>IF($R39="","",IF(OR(NOT(ISNUMBER($U39)),NOT(ISNUMBER($W39))),"INCOMPLETE DATA",IF($U39&lt;Settings!$C$88,"Epuka : ubora dhaifu",IF(AND($U39&gt;=Settings!$C$86,$W39&gt;=Settings!$C$87),"Nunua : ubora na mwelekeo vinaungana",IF($U39&gt;=Settings!$C$86,"Fuatilia : ubora mzuri, mwelekeo bado haujathibitisha",IF($W39&gt;=Settings!$C$89,"Fuatilia : ubora wa wastani","Fuatilia : ubora wa wastani, mwelekeo bado dhaifu"))))))</f>
        <v>Nunua : ubora na mwelekeo vinaungana</v>
      </c>
      <c r="AO39" s="339">
        <f ca="1">IF($R39="","",IF(COUNTIFS('Fundamental Scorecard'!$A$5:$A$44,$R39,'Fundamental Scorecard'!$AE$5:$AE$44,"&gt;=-1E+300")=0,"",SUMIFS('Fundamental Scorecard'!$AE$5:$AE$44,'Fundamental Scorecard'!$A$5:$A$44,$R39)))</f>
        <v>2</v>
      </c>
      <c r="AP39" s="339" t="str" cm="1">
        <f t="array" ref="AP39">IF($R39="","",IF(ISNUMBER(SEARCH("cross-listed",INDEX(Symbols!$C$4:$C$43,ROW()-24))),"YES","NO"))</f>
        <v>NO</v>
      </c>
    </row>
    <row r="40" spans="1:42" x14ac:dyDescent="0.3">
      <c r="A40" s="344" cm="1">
        <f t="array" aca="1" ref="A40" ca="1">IF($Q40="","",IF(INDEX($AD$25:$AD$64,$Q40)="YES",INDEX($AH$25:$AH$64,$Q40),"—"))</f>
        <v>16</v>
      </c>
      <c r="B40" s="318" t="str" cm="1">
        <f t="array" aca="1" ref="B40" ca="1">IF($Q40="","",INDEX($R$25:$R$64,$Q40))</f>
        <v>DCB</v>
      </c>
      <c r="C40" s="319" t="str" cm="1">
        <f t="array" aca="1" ref="C40" ca="1">IF($Q40="","",INDEX($S$25:$S$64,$Q40))</f>
        <v>DCB Commercial Bank PLC</v>
      </c>
      <c r="D40" s="319" t="str" cm="1">
        <f t="array" aca="1" ref="D40" ca="1">IF($Q40="","",INDEX($T$25:$T$64,$Q40))</f>
        <v>Banking</v>
      </c>
      <c r="E40" s="100" cm="1">
        <f t="array" aca="1" ref="E40" ca="1">IF($Q40="","",INDEX($U$25:$U$64,$Q40))</f>
        <v>24.9</v>
      </c>
      <c r="F40" s="100" cm="1">
        <f t="array" aca="1" ref="F40" ca="1">IF($Q40="","",INDEX($W$25:$W$64,$Q40))</f>
        <v>79.099999999999994</v>
      </c>
      <c r="G40" s="100" cm="1">
        <f t="array" aca="1" ref="G40" ca="1">IF($Q40="","",INDEX($AF$25:$AF$64,$Q40))</f>
        <v>41.2</v>
      </c>
      <c r="H40" s="319" t="str" cm="1">
        <f t="array" aca="1" ref="H40" ca="1">IF($Q40="","",INDEX($AL$25:$AL$64,$Q40))</f>
        <v>DHAIFU</v>
      </c>
      <c r="I40" s="319" t="str" cm="1">
        <f t="array" aca="1" ref="I40" ca="1">IF($Q40="","",INDEX($AM$25:$AM$64,$Q40))</f>
        <v>Demand kubwa</v>
      </c>
      <c r="J40" s="319" t="str" cm="1">
        <f t="array" aca="1" ref="J40" ca="1">IF($Q40="","",INDEX($AN$25:$AN$64,$Q40))</f>
        <v>Epuka : ubora dhaifu</v>
      </c>
      <c r="K40" s="100" cm="1">
        <f t="array" aca="1" ref="K40" ca="1">IF($Q40="","",INDEX($AA$25:$AA$64,$Q40))</f>
        <v>31.3</v>
      </c>
      <c r="L40" s="100" cm="1">
        <f t="array" aca="1" ref="L40" ca="1">IF($Q40="","",INDEX($AB$25:$AB$64,$Q40))</f>
        <v>75</v>
      </c>
      <c r="M40" s="319" t="str" cm="1">
        <f t="array" aca="1" ref="M40" ca="1">IF($Q40="","",INDEX($V$25:$V$64,$Q40))</f>
        <v>Full to 31 Dec 2025</v>
      </c>
      <c r="N40" s="95">
        <f ca="1">IF($Q40="","",$C$7)</f>
        <v>46248</v>
      </c>
      <c r="O40" s="102" t="str" cm="1">
        <f t="array" aca="1" ref="O40" ca="1">IF($Q40="","",INDEX($AJ$25:$AJ$64,$Q40))</f>
        <v/>
      </c>
      <c r="P40" s="319" t="str" cm="1">
        <f t="array" aca="1" ref="P40" ca="1">IF($Q40="","",IF(INDEX($AK$25:$AK$64,$Q40)="","",IF(INDEX($AK$25:$AK$64,$Q40)&gt;0,"▲ +"&amp;INDEX($AK$25:$AK$64,$Q40),IF(INDEX($AK$25:$AK$64,$Q40)&lt;0,"▼ "&amp;INDEX($AK$25:$AK$64,$Q40),"= 0"))))</f>
        <v/>
      </c>
      <c r="Q40" s="116" cm="1">
        <f t="array" aca="1" ref="Q40" ca="1">IF(ROW()-24&lt;=COUNT($AH$25:$AH$64),IFERROR(MATCH(ROW()-24,$AH$25:$AH$64,0),""),IFERROR(SMALL(IF(($AI$25:$AI$64=1)*($AD$25:$AD$64&lt;&gt;"YES")*($R$25:$R$64&lt;&gt;""),ROW($AI$25:$AI$64)-24),ROW()-24-COUNT($AH$25:$AH$64)),""))</f>
        <v>3</v>
      </c>
      <c r="R40" s="339" t="str">
        <f>IF(Symbols!A19="","",Symbols!A19)</f>
        <v>NMG</v>
      </c>
      <c r="S40" s="339" t="str" cm="1">
        <f t="array" ref="S40">IF($R40="","",INDEX(Symbols!$B$4:$B$43,ROW()-24))</f>
        <v>Nation Media Group PLC</v>
      </c>
      <c r="T40" s="339" t="str" cm="1">
        <f t="array" ref="T40">IF($R40="","",INDEX(Symbols!$D$4:$D$43,ROW()-24))</f>
        <v>Media</v>
      </c>
      <c r="U40" s="340">
        <f>IF($R40="","",IF(COUNTIFS('Fundamental Scorecard'!$A$5:$A$44,$R40,'Fundamental Scorecard'!$E$5:$E$44,"&gt;=-1E+300")=0,"",SUMIFS('Fundamental Scorecard'!$E$5:$E$44,'Fundamental Scorecard'!$A$5:$A$44,$R40)))</f>
        <v>37.700000000000003</v>
      </c>
      <c r="V40" s="339" t="str">
        <f>IF($R40="","",IFERROR(IF(INDEX('Fundamental Scorecard'!$D$5:$D$44,MATCH($R40,'Fundamental Scorecard'!$A$5:$A$44,0))=0,"",INDEX('Fundamental Scorecard'!$D$5:$D$44,MATCH($R40,'Fundamental Scorecard'!$A$5:$A$44,0))),""))</f>
        <v>Full to 31 Dec 2025</v>
      </c>
      <c r="W40" s="340">
        <f>IF(OR($R40="",$C$7=""),"",IF(COUNTIFS('Daily Data'!$B$4:$B$503,$R40,'Daily Data'!$A$4:$A$503,$C$7,'Daily Data'!$AH$4:$AH$503,"&gt;=-1E+300")=0,"",SUMIFS('Daily Data'!$AH$4:$AH$503,'Daily Data'!$B$4:$B$503,$R40,'Daily Data'!$A$4:$A$503,$C$7)))</f>
        <v>62.3</v>
      </c>
      <c r="X40" s="341" t="str">
        <f>IF(OR($R40="",$C$7=""),"",IF(COUNTIFS('Daily Data'!$B$4:$B$503,$R40,'Daily Data'!$A$4:$A$503,$C$7,'Daily Data'!$S$4:$S$503,"&gt;=-1E+300")=0,"",SUMIFS('Daily Data'!$S$4:$S$503,'Daily Data'!$B$4:$B$503,$R40,'Daily Data'!$A$4:$A$503,$C$7)))</f>
        <v/>
      </c>
      <c r="Y40" s="342" t="str">
        <f>IF(OR($R40="",$C$7=""),"",IF(COUNTIFS('Daily Data'!$B$4:$B$503,$R40,'Daily Data'!$A$4:$A$503,$C$7,'Daily Data'!$AA$4:$AA$503,"&gt;=-1E+300")=0,"",SUMIFS('Daily Data'!$AA$4:$AA$503,'Daily Data'!$B$4:$B$503,$R40,'Daily Data'!$A$4:$A$503,$C$7)))</f>
        <v/>
      </c>
      <c r="Z40" s="341" t="str">
        <f>IF(OR($R40="",$C$7=""),"",IF(COUNTIFS('Daily Data'!$B$4:$B$503,$R40,'Daily Data'!$A$4:$A$503,$C$7,'Daily Data'!$AC$4:$AC$503,"&gt;=-1E+300")=0,"",SUMIFS('Daily Data'!$AC$4:$AC$503,'Daily Data'!$B$4:$B$503,$R40,'Daily Data'!$A$4:$A$503,$C$7)))</f>
        <v/>
      </c>
      <c r="AA40" s="340">
        <f>IF(OR($R40="",$C$7=""),"",IF(COUNTIFS('Daily Data'!$B$4:$B$503,$R40,'Daily Data'!$A$4:$A$503,$C$7,'Daily Data'!$AG$4:$AG$503,"&gt;=-1E+300")=0,"",SUMIFS('Daily Data'!$AG$4:$AG$503,'Daily Data'!$B$4:$B$503,$R40,'Daily Data'!$A$4:$A$503,$C$7)))</f>
        <v>0</v>
      </c>
      <c r="AB40" s="340">
        <f>IF(OR($R40="",$C$7=""),"",IF(COUNTIFS('Daily Data'!$B$4:$B$503,$R40,'Daily Data'!$A$4:$A$503,$C$7,'Daily Data'!$AI$4:$AI$503,"&gt;=-1E+300")=0,"",SUMIFS('Daily Data'!$AI$4:$AI$503,'Daily Data'!$B$4:$B$503,$R40,'Daily Data'!$A$4:$A$503,$C$7)))</f>
        <v>55</v>
      </c>
      <c r="AC40" s="339" t="str" cm="1">
        <f t="array" ref="AC40">IF($R40="","",IF(UPPER(INDEX(Symbols!$F$4:$F$43,ROW()-24))="YES","YES","NO"))</f>
        <v>YES</v>
      </c>
      <c r="AD40" s="339" t="str">
        <f ca="1">IF($R40="","",IF(ROUND(Settings!$C$65+Settings!$C$66,6)&lt;&gt;1,"NO",IF($AC40&lt;&gt;"YES","NO",IF(AND(UPPER(Settings!$C$105)="YES",$AP40="YES"),"NO",IF(NOT(ISNUMBER($U40)),"NO",IF(NOT(ISNUMBER($W40)),"NO",IF($C$7="","NO",IF($C$6-$C$7&gt;Settings!$C$70,"NO",IF(AND(ISNUMBER($AO40),$AO40&gt;Settings!$C$104),"NO",IF(N($AB40)&lt;Settings!$C$71,"NO",IF(N($AA40)&lt;Settings!$C$72,"NO","YES")))))))))))</f>
        <v>NO</v>
      </c>
      <c r="AE40" s="339" t="str">
        <f ca="1">IF($R40="","",IF($AD40="YES","",IF(ROUND(Settings!$C$65+Settings!$C$66,6)&lt;&gt;1,"Ranking weights do not total 100%",IF($AC40&lt;&gt;"YES","Security is not active",IF(AND(UPPER(Settings!$C$105)="YES",$AP40="YES"),"Cross-listed security, excluded by Settings!C105",IF(NOT(ISNUMBER($U40)),"Missing fundamental data",IF(NOT(ISNUMBER($W40)),"No market observation on the date used",IF($C$7="","No market data available",IF($C$6-$C$7&gt;Settings!$C$70,"Market data is stale",IF(AND(ISNUMBER($AO40),$AO40&gt;Settings!$C$104),"Fundamental statement is stale ("&amp;$AO40&amp;" months old)",IF(N($AB40)&lt;Settings!$C$71,"Data confidence below minimum","Liquidity below minimum")))))))))))</f>
        <v>Data confidence below minimum</v>
      </c>
      <c r="AF40" s="340" t="str">
        <f ca="1">IF($AD40&lt;&gt;"YES","",ROUND($U40*RankingFundamentalWeight+$W40*RankingSentimentWeight,1))</f>
        <v/>
      </c>
      <c r="AG40" s="339" t="str">
        <f ca="1">IF($AD40&lt;&gt;"YES","",$AF40+$U40/10000+$W40/100000000+N($AB40)/1000000000000)</f>
        <v/>
      </c>
      <c r="AH40" s="343" t="str" cm="1">
        <f t="array" aca="1" ref="AH40" ca="1">IF(OR($AD40&lt;&gt;"YES",$AI40&lt;&gt;1),"",SUMPRODUCT(($AI$25:$AI$64=1)*($AD$25:$AD$64="YES")*($AG$25:$AG$64&gt;$AG40))+SUMPRODUCT(($AI$25:$AI$64=1)*($AD$25:$AD$64="YES")*($AG$25:$AG$64=$AG40)*($R$25:$R$64&lt;$R40))+1)</f>
        <v/>
      </c>
      <c r="AI40" s="339">
        <f ca="1">IF($R40="","",IF(AND(OR($A$22="",$T40=$A$22),OR($B$22="",$AL40=$B$22),OR($C$22="",$AM40=$C$22),OR($D$22="",AND(ISNUMBER($U40),N($U40)&gt;=$D$22)),OR($E$22="",AND(ISNUMBER($W40),N($W40)&gt;=$E$22)),OR($F$22="",AND(ISNUMBER($AF40),N($AF40)&gt;=$F$22)),OR($G$22="",N($AA40)&gt;=$G$22),OR($H$22="",N($AB40)&gt;=$H$22),OR(UPPER($I$22)&lt;&gt;"YES",$AC40="YES"),OR(UPPER($J$22)&lt;&gt;"YES",$AD40="YES")),1,0))</f>
        <v>1</v>
      </c>
      <c r="AJ40" s="339" t="str">
        <f>IF(OR($R40="",$C$11=""),"",IF(COUNTIFS('Ranking History'!$B$5:$B$2000,$R40,'Ranking History'!$A$5:$A$2000,$C$11)=0,"",SUMIFS('Ranking History'!$C$5:$C$2000,'Ranking History'!$B$5:$B$2000,$R40,'Ranking History'!$A$5:$A$2000,$C$11)))</f>
        <v/>
      </c>
      <c r="AK40" s="339" t="str">
        <f ca="1">IF(OR($AJ40="",$AH40=""),"",$AJ40-$AH40)</f>
        <v/>
      </c>
      <c r="AL40" s="339" t="str">
        <f ca="1">IF($AF40="","",IF($AF40&gt;=Settings!$C$76,"BORA SANA",IF($AF40&gt;=Settings!$C$77,"NZURI SANA",IF($AF40&gt;=Settings!$C$78,"NZURI",IF($AF40&gt;=Settings!$C$79,"WASTANI",IF($AF40&gt;=Settings!$C$80,"DHAIFU","DHAIFU SANA"))))))</f>
        <v/>
      </c>
      <c r="AM40" s="339" t="str">
        <f>IF(NOT(ISNUMBER($W40)),"",IF($W40&gt;=Settings!$C$82,"Demand kubwa sana",IF($W40&gt;=Settings!$C$83,"Demand kubwa",IF($W40&gt;=Settings!$C$84,"Demand ya wastani","Demand ndogo sana"))))</f>
        <v>Demand kubwa</v>
      </c>
      <c r="AN40" s="339" t="str">
        <f>IF($R40="","",IF(OR(NOT(ISNUMBER($U40)),NOT(ISNUMBER($W40))),"INCOMPLETE DATA",IF($U40&lt;Settings!$C$88,"Epuka : ubora dhaifu",IF(AND($U40&gt;=Settings!$C$86,$W40&gt;=Settings!$C$87),"Nunua : ubora na mwelekeo vinaungana",IF($U40&gt;=Settings!$C$86,"Fuatilia : ubora mzuri, mwelekeo bado haujathibitisha",IF($W40&gt;=Settings!$C$89,"Fuatilia : ubora wa wastani","Fuatilia : ubora wa wastani, mwelekeo bado dhaifu"))))))</f>
        <v>Epuka : ubora dhaifu</v>
      </c>
      <c r="AO40" s="339">
        <f ca="1">IF($R40="","",IF(COUNTIFS('Fundamental Scorecard'!$A$5:$A$44,$R40,'Fundamental Scorecard'!$AE$5:$AE$44,"&gt;=-1E+300")=0,"",SUMIFS('Fundamental Scorecard'!$AE$5:$AE$44,'Fundamental Scorecard'!$A$5:$A$44,$R40)))</f>
        <v>7</v>
      </c>
      <c r="AP40" s="339" t="str" cm="1">
        <f t="array" ref="AP40">IF($R40="","",IF(ISNUMBER(SEARCH("cross-listed",INDEX(Symbols!$C$4:$C$43,ROW()-24))),"YES","NO"))</f>
        <v>YES</v>
      </c>
    </row>
    <row r="41" spans="1:42" x14ac:dyDescent="0.3">
      <c r="A41" s="344" cm="1">
        <f t="array" aca="1" ref="A41" ca="1">IF($Q41="","",IF(INDEX($AD$25:$AD$64,$Q41)="YES",INDEX($AH$25:$AH$64,$Q41),"—"))</f>
        <v>17</v>
      </c>
      <c r="B41" s="318" t="str" cm="1">
        <f t="array" aca="1" ref="B41" ca="1">IF($Q41="","",INDEX($R$25:$R$64,$Q41))</f>
        <v>MUCOBA</v>
      </c>
      <c r="C41" s="319" t="str" cm="1">
        <f t="array" aca="1" ref="C41" ca="1">IF($Q41="","",INDEX($S$25:$S$64,$Q41))</f>
        <v>MUCOBA Bank PLC</v>
      </c>
      <c r="D41" s="319" t="str" cm="1">
        <f t="array" aca="1" ref="D41" ca="1">IF($Q41="","",INDEX($T$25:$T$64,$Q41))</f>
        <v>Banking</v>
      </c>
      <c r="E41" s="100" cm="1">
        <f t="array" aca="1" ref="E41" ca="1">IF($Q41="","",INDEX($U$25:$U$64,$Q41))</f>
        <v>16.100000000000001</v>
      </c>
      <c r="F41" s="100" cm="1">
        <f t="array" aca="1" ref="F41" ca="1">IF($Q41="","",INDEX($W$25:$W$64,$Q41))</f>
        <v>28.9</v>
      </c>
      <c r="G41" s="100" cm="1">
        <f t="array" aca="1" ref="G41" ca="1">IF($Q41="","",INDEX($AF$25:$AF$64,$Q41))</f>
        <v>19.899999999999999</v>
      </c>
      <c r="H41" s="319" t="str" cm="1">
        <f t="array" aca="1" ref="H41" ca="1">IF($Q41="","",INDEX($AL$25:$AL$64,$Q41))</f>
        <v>DHAIFU SANA</v>
      </c>
      <c r="I41" s="319" t="str" cm="1">
        <f t="array" aca="1" ref="I41" ca="1">IF($Q41="","",INDEX($AM$25:$AM$64,$Q41))</f>
        <v>Demand ndogo sana</v>
      </c>
      <c r="J41" s="319" t="str" cm="1">
        <f t="array" aca="1" ref="J41" ca="1">IF($Q41="","",INDEX($AN$25:$AN$64,$Q41))</f>
        <v>Epuka : ubora dhaifu</v>
      </c>
      <c r="K41" s="100" cm="1">
        <f t="array" aca="1" ref="K41" ca="1">IF($Q41="","",INDEX($AA$25:$AA$64,$Q41))</f>
        <v>4.0999999999999996</v>
      </c>
      <c r="L41" s="100" cm="1">
        <f t="array" aca="1" ref="L41" ca="1">IF($Q41="","",INDEX($AB$25:$AB$64,$Q41))</f>
        <v>75</v>
      </c>
      <c r="M41" s="319" t="str" cm="1">
        <f t="array" aca="1" ref="M41" ca="1">IF($Q41="","",INDEX($V$25:$V$64,$Q41))</f>
        <v>Full to 31 Dec 2025</v>
      </c>
      <c r="N41" s="95">
        <f ca="1">IF($Q41="","",$C$7)</f>
        <v>46248</v>
      </c>
      <c r="O41" s="102" t="str" cm="1">
        <f t="array" aca="1" ref="O41" ca="1">IF($Q41="","",INDEX($AJ$25:$AJ$64,$Q41))</f>
        <v/>
      </c>
      <c r="P41" s="319" t="str" cm="1">
        <f t="array" aca="1" ref="P41" ca="1">IF($Q41="","",IF(INDEX($AK$25:$AK$64,$Q41)="","",IF(INDEX($AK$25:$AK$64,$Q41)&gt;0,"▲ +"&amp;INDEX($AK$25:$AK$64,$Q41),IF(INDEX($AK$25:$AK$64,$Q41)&lt;0,"▼ "&amp;INDEX($AK$25:$AK$64,$Q41),"= 0"))))</f>
        <v/>
      </c>
      <c r="Q41" s="116" cm="1">
        <f t="array" aca="1" ref="Q41" ca="1">IF(ROW()-24&lt;=COUNT($AH$25:$AH$64),IFERROR(MATCH(ROW()-24,$AH$25:$AH$64,0),""),IFERROR(SMALL(IF(($AI$25:$AI$64=1)*($AD$25:$AD$64&lt;&gt;"YES")*($R$25:$R$64&lt;&gt;""),ROW($AI$25:$AI$64)-24),ROW()-24-COUNT($AH$25:$AH$64)),""))</f>
        <v>13</v>
      </c>
      <c r="R41" s="339" t="str">
        <f>IF(Symbols!A20="","",Symbols!A20)</f>
        <v>PAL</v>
      </c>
      <c r="S41" s="339" t="str" cm="1">
        <f t="array" ref="S41">IF($R41="","",INDEX(Symbols!$B$4:$B$43,ROW()-24))</f>
        <v>Precision Air Services PLC</v>
      </c>
      <c r="T41" s="339" t="str" cm="1">
        <f t="array" ref="T41">IF($R41="","",INDEX(Symbols!$D$4:$D$43,ROW()-24))</f>
        <v>Transport</v>
      </c>
      <c r="U41" s="340" t="str">
        <f>IF($R41="","",IF(COUNTIFS('Fundamental Scorecard'!$A$5:$A$44,$R41,'Fundamental Scorecard'!$E$5:$E$44,"&gt;=-1E+300")=0,"",SUMIFS('Fundamental Scorecard'!$E$5:$E$44,'Fundamental Scorecard'!$A$5:$A$44,$R41)))</f>
        <v/>
      </c>
      <c r="V41" s="339" t="str">
        <f>IF($R41="","",IFERROR(IF(INDEX('Fundamental Scorecard'!$D$5:$D$44,MATCH($R41,'Fundamental Scorecard'!$A$5:$A$44,0))=0,"",INDEX('Fundamental Scorecard'!$D$5:$D$44,MATCH($R41,'Fundamental Scorecard'!$A$5:$A$44,0))),""))</f>
        <v>Quarter to 31 Mar 2026</v>
      </c>
      <c r="W41" s="340">
        <f>IF(OR($R41="",$C$7=""),"",IF(COUNTIFS('Daily Data'!$B$4:$B$503,$R41,'Daily Data'!$A$4:$A$503,$C$7,'Daily Data'!$AH$4:$AH$503,"&gt;=-1E+300")=0,"",SUMIFS('Daily Data'!$AH$4:$AH$503,'Daily Data'!$B$4:$B$503,$R41,'Daily Data'!$A$4:$A$503,$C$7)))</f>
        <v>35.700000000000003</v>
      </c>
      <c r="X41" s="341">
        <f>IF(OR($R41="",$C$7=""),"",IF(COUNTIFS('Daily Data'!$B$4:$B$503,$R41,'Daily Data'!$A$4:$A$503,$C$7,'Daily Data'!$S$4:$S$503,"&gt;=-1E+300")=0,"",SUMIFS('Daily Data'!$S$4:$S$503,'Daily Data'!$B$4:$B$503,$R41,'Daily Data'!$A$4:$A$503,$C$7)))</f>
        <v>9.5109146172975959E-2</v>
      </c>
      <c r="Y41" s="342" t="str">
        <f>IF(OR($R41="",$C$7=""),"",IF(COUNTIFS('Daily Data'!$B$4:$B$503,$R41,'Daily Data'!$A$4:$A$503,$C$7,'Daily Data'!$AA$4:$AA$503,"&gt;=-1E+300")=0,"",SUMIFS('Daily Data'!$AA$4:$AA$503,'Daily Data'!$B$4:$B$503,$R41,'Daily Data'!$A$4:$A$503,$C$7)))</f>
        <v/>
      </c>
      <c r="Z41" s="341" t="str">
        <f>IF(OR($R41="",$C$7=""),"",IF(COUNTIFS('Daily Data'!$B$4:$B$503,$R41,'Daily Data'!$A$4:$A$503,$C$7,'Daily Data'!$AC$4:$AC$503,"&gt;=-1E+300")=0,"",SUMIFS('Daily Data'!$AC$4:$AC$503,'Daily Data'!$B$4:$B$503,$R41,'Daily Data'!$A$4:$A$503,$C$7)))</f>
        <v/>
      </c>
      <c r="AA41" s="340">
        <f>IF(OR($R41="",$C$7=""),"",IF(COUNTIFS('Daily Data'!$B$4:$B$503,$R41,'Daily Data'!$A$4:$A$503,$C$7,'Daily Data'!$AG$4:$AG$503,"&gt;=-1E+300")=0,"",SUMIFS('Daily Data'!$AG$4:$AG$503,'Daily Data'!$B$4:$B$503,$R41,'Daily Data'!$A$4:$A$503,$C$7)))</f>
        <v>9.9</v>
      </c>
      <c r="AB41" s="340">
        <f>IF(OR($R41="",$C$7=""),"",IF(COUNTIFS('Daily Data'!$B$4:$B$503,$R41,'Daily Data'!$A$4:$A$503,$C$7,'Daily Data'!$AI$4:$AI$503,"&gt;=-1E+300")=0,"",SUMIFS('Daily Data'!$AI$4:$AI$503,'Daily Data'!$B$4:$B$503,$R41,'Daily Data'!$A$4:$A$503,$C$7)))</f>
        <v>75</v>
      </c>
      <c r="AC41" s="339" t="str" cm="1">
        <f t="array" ref="AC41">IF($R41="","",IF(UPPER(INDEX(Symbols!$F$4:$F$43,ROW()-24))="YES","YES","NO"))</f>
        <v>YES</v>
      </c>
      <c r="AD41" s="339" t="str">
        <f>IF($R41="","",IF(ROUND(Settings!$C$65+Settings!$C$66,6)&lt;&gt;1,"NO",IF($AC41&lt;&gt;"YES","NO",IF(AND(UPPER(Settings!$C$105)="YES",$AP41="YES"),"NO",IF(NOT(ISNUMBER($U41)),"NO",IF(NOT(ISNUMBER($W41)),"NO",IF($C$7="","NO",IF($C$6-$C$7&gt;Settings!$C$70,"NO",IF(AND(ISNUMBER($AO41),$AO41&gt;Settings!$C$104),"NO",IF(N($AB41)&lt;Settings!$C$71,"NO",IF(N($AA41)&lt;Settings!$C$72,"NO","YES")))))))))))</f>
        <v>NO</v>
      </c>
      <c r="AE41" s="339" t="str">
        <f>IF($R41="","",IF($AD41="YES","",IF(ROUND(Settings!$C$65+Settings!$C$66,6)&lt;&gt;1,"Ranking weights do not total 100%",IF($AC41&lt;&gt;"YES","Security is not active",IF(AND(UPPER(Settings!$C$105)="YES",$AP41="YES"),"Cross-listed security, excluded by Settings!C105",IF(NOT(ISNUMBER($U41)),"Missing fundamental data",IF(NOT(ISNUMBER($W41)),"No market observation on the date used",IF($C$7="","No market data available",IF($C$6-$C$7&gt;Settings!$C$70,"Market data is stale",IF(AND(ISNUMBER($AO41),$AO41&gt;Settings!$C$104),"Fundamental statement is stale ("&amp;$AO41&amp;" months old)",IF(N($AB41)&lt;Settings!$C$71,"Data confidence below minimum","Liquidity below minimum")))))))))))</f>
        <v>Missing fundamental data</v>
      </c>
      <c r="AF41" s="340" t="str">
        <f>IF($AD41&lt;&gt;"YES","",ROUND($U41*RankingFundamentalWeight+$W41*RankingSentimentWeight,1))</f>
        <v/>
      </c>
      <c r="AG41" s="339" t="str">
        <f>IF($AD41&lt;&gt;"YES","",$AF41+$U41/10000+$W41/100000000+N($AB41)/1000000000000)</f>
        <v/>
      </c>
      <c r="AH41" s="343" t="str" cm="1">
        <f t="array" ref="AH41">IF(OR($AD41&lt;&gt;"YES",$AI41&lt;&gt;1),"",SUMPRODUCT(($AI$25:$AI$64=1)*($AD$25:$AD$64="YES")*($AG$25:$AG$64&gt;$AG41))+SUMPRODUCT(($AI$25:$AI$64=1)*($AD$25:$AD$64="YES")*($AG$25:$AG$64=$AG41)*($R$25:$R$64&lt;$R41))+1)</f>
        <v/>
      </c>
      <c r="AI41" s="339">
        <f>IF($R41="","",IF(AND(OR($A$22="",$T41=$A$22),OR($B$22="",$AL41=$B$22),OR($C$22="",$AM41=$C$22),OR($D$22="",AND(ISNUMBER($U41),N($U41)&gt;=$D$22)),OR($E$22="",AND(ISNUMBER($W41),N($W41)&gt;=$E$22)),OR($F$22="",AND(ISNUMBER($AF41),N($AF41)&gt;=$F$22)),OR($G$22="",N($AA41)&gt;=$G$22),OR($H$22="",N($AB41)&gt;=$H$22),OR(UPPER($I$22)&lt;&gt;"YES",$AC41="YES"),OR(UPPER($J$22)&lt;&gt;"YES",$AD41="YES")),1,0))</f>
        <v>1</v>
      </c>
      <c r="AJ41" s="339" t="str">
        <f>IF(OR($R41="",$C$11=""),"",IF(COUNTIFS('Ranking History'!$B$5:$B$2000,$R41,'Ranking History'!$A$5:$A$2000,$C$11)=0,"",SUMIFS('Ranking History'!$C$5:$C$2000,'Ranking History'!$B$5:$B$2000,$R41,'Ranking History'!$A$5:$A$2000,$C$11)))</f>
        <v/>
      </c>
      <c r="AK41" s="339" t="str">
        <f>IF(OR($AJ41="",$AH41=""),"",$AJ41-$AH41)</f>
        <v/>
      </c>
      <c r="AL41" s="339" t="str">
        <f>IF($AF41="","",IF($AF41&gt;=Settings!$C$76,"BORA SANA",IF($AF41&gt;=Settings!$C$77,"NZURI SANA",IF($AF41&gt;=Settings!$C$78,"NZURI",IF($AF41&gt;=Settings!$C$79,"WASTANI",IF($AF41&gt;=Settings!$C$80,"DHAIFU","DHAIFU SANA"))))))</f>
        <v/>
      </c>
      <c r="AM41" s="339" t="str">
        <f>IF(NOT(ISNUMBER($W41)),"",IF($W41&gt;=Settings!$C$82,"Demand kubwa sana",IF($W41&gt;=Settings!$C$83,"Demand kubwa",IF($W41&gt;=Settings!$C$84,"Demand ya wastani","Demand ndogo sana"))))</f>
        <v>Demand ya wastani</v>
      </c>
      <c r="AN41" s="339" t="str">
        <f>IF($R41="","",IF(OR(NOT(ISNUMBER($U41)),NOT(ISNUMBER($W41))),"INCOMPLETE DATA",IF($U41&lt;Settings!$C$88,"Epuka : ubora dhaifu",IF(AND($U41&gt;=Settings!$C$86,$W41&gt;=Settings!$C$87),"Nunua : ubora na mwelekeo vinaungana",IF($U41&gt;=Settings!$C$86,"Fuatilia : ubora mzuri, mwelekeo bado haujathibitisha",IF($W41&gt;=Settings!$C$89,"Fuatilia : ubora wa wastani","Fuatilia : ubora wa wastani, mwelekeo bado dhaifu"))))))</f>
        <v>INCOMPLETE DATA</v>
      </c>
      <c r="AO41" s="339">
        <f ca="1">IF($R41="","",IF(COUNTIFS('Fundamental Scorecard'!$A$5:$A$44,$R41,'Fundamental Scorecard'!$AE$5:$AE$44,"&gt;=-1E+300")=0,"",SUMIFS('Fundamental Scorecard'!$AE$5:$AE$44,'Fundamental Scorecard'!$A$5:$A$44,$R41)))</f>
        <v>5</v>
      </c>
      <c r="AP41" s="339" t="str" cm="1">
        <f t="array" ref="AP41">IF($R41="","",IF(ISNUMBER(SEARCH("cross-listed",INDEX(Symbols!$C$4:$C$43,ROW()-24))),"YES","NO"))</f>
        <v>NO</v>
      </c>
    </row>
    <row r="42" spans="1:42" x14ac:dyDescent="0.3">
      <c r="A42" s="344" t="str" cm="1">
        <f t="array" aca="1" ref="A42" ca="1">IF($Q42="","",IF(INDEX($AD$25:$AD$64,$Q42)="YES",INDEX($AH$25:$AH$64,$Q42),"—"))</f>
        <v>—</v>
      </c>
      <c r="B42" s="318" t="str" cm="1">
        <f t="array" aca="1" ref="B42" ca="1">IF($Q42="","",INDEX($R$25:$R$64,$Q42))</f>
        <v>EABL</v>
      </c>
      <c r="C42" s="319" t="str" cm="1">
        <f t="array" aca="1" ref="C42" ca="1">IF($Q42="","",INDEX($S$25:$S$64,$Q42))</f>
        <v>East African Breweries PLC</v>
      </c>
      <c r="D42" s="319" t="str" cm="1">
        <f t="array" aca="1" ref="D42" ca="1">IF($Q42="","",INDEX($T$25:$T$64,$Q42))</f>
        <v>Consumer Goods</v>
      </c>
      <c r="E42" s="100" cm="1">
        <f t="array" aca="1" ref="E42" ca="1">IF($Q42="","",INDEX($U$25:$U$64,$Q42))</f>
        <v>78.599999999999994</v>
      </c>
      <c r="F42" s="100" cm="1">
        <f t="array" aca="1" ref="F42" ca="1">IF($Q42="","",INDEX($W$25:$W$64,$Q42))</f>
        <v>65.3</v>
      </c>
      <c r="G42" s="100" t="str" cm="1">
        <f t="array" aca="1" ref="G42" ca="1">IF($Q42="","",INDEX($AF$25:$AF$64,$Q42))</f>
        <v/>
      </c>
      <c r="H42" s="319" t="str" cm="1">
        <f t="array" aca="1" ref="H42" ca="1">IF($Q42="","",INDEX($AL$25:$AL$64,$Q42))</f>
        <v/>
      </c>
      <c r="I42" s="319" t="str" cm="1">
        <f t="array" aca="1" ref="I42" ca="1">IF($Q42="","",INDEX($AM$25:$AM$64,$Q42))</f>
        <v>Demand kubwa</v>
      </c>
      <c r="J42" s="319" t="str" cm="1">
        <f t="array" aca="1" ref="J42" ca="1">IF($Q42="","",INDEX($AN$25:$AN$64,$Q42))</f>
        <v>Fuatilia : ubora mzuri, mwelekeo bado haujathibitisha</v>
      </c>
      <c r="K42" s="100" cm="1">
        <f t="array" aca="1" ref="K42" ca="1">IF($Q42="","",INDEX($AA$25:$AA$64,$Q42))</f>
        <v>0</v>
      </c>
      <c r="L42" s="100" cm="1">
        <f t="array" aca="1" ref="L42" ca="1">IF($Q42="","",INDEX($AB$25:$AB$64,$Q42))</f>
        <v>55</v>
      </c>
      <c r="M42" s="319" t="str" cm="1">
        <f t="array" aca="1" ref="M42" ca="1">IF($Q42="","",INDEX($V$25:$V$64,$Q42))</f>
        <v>Full to 30 Jun 2026</v>
      </c>
      <c r="N42" s="95">
        <f ca="1">IF($Q42="","",$C$7)</f>
        <v>46248</v>
      </c>
      <c r="O42" s="102" t="str" cm="1">
        <f t="array" aca="1" ref="O42" ca="1">IF($Q42="","",INDEX($AJ$25:$AJ$64,$Q42))</f>
        <v/>
      </c>
      <c r="P42" s="319" t="str" cm="1">
        <f t="array" aca="1" ref="P42" ca="1">IF($Q42="","",IF(INDEX($AK$25:$AK$64,$Q42)="","",IF(INDEX($AK$25:$AK$64,$Q42)&gt;0,"▲ +"&amp;INDEX($AK$25:$AK$64,$Q42),IF(INDEX($AK$25:$AK$64,$Q42)&lt;0,"▼ "&amp;INDEX($AK$25:$AK$64,$Q42),"= 0"))))</f>
        <v/>
      </c>
      <c r="Q42" s="116" cm="1">
        <f t="array" aca="1" ref="Q42" ca="1">IF(ROW()-24&lt;=COUNT($AH$25:$AH$64),IFERROR(MATCH(ROW()-24,$AH$25:$AH$64,0),""),IFERROR(SMALL(IF(($AI$25:$AI$64=1)*($AD$25:$AD$64&lt;&gt;"YES")*($R$25:$R$64&lt;&gt;""),ROW($AI$25:$AI$64)-24),ROW()-24-COUNT($AH$25:$AH$64)),""))</f>
        <v>5</v>
      </c>
      <c r="R42" s="339" t="str">
        <f>IF(Symbols!A21="","",Symbols!A21)</f>
        <v>SWALA</v>
      </c>
      <c r="S42" s="339" t="str" cm="1">
        <f t="array" ref="S42">IF($R42="","",INDEX(Symbols!$B$4:$B$43,ROW()-24))</f>
        <v>Swala Oil and Gas (Tanzania) PLC</v>
      </c>
      <c r="T42" s="339" t="str" cm="1">
        <f t="array" ref="T42">IF($R42="","",INDEX(Symbols!$D$4:$D$43,ROW()-24))</f>
        <v>Oil &amp; Gas</v>
      </c>
      <c r="U42" s="340" t="str">
        <f>IF($R42="","",IF(COUNTIFS('Fundamental Scorecard'!$A$5:$A$44,$R42,'Fundamental Scorecard'!$E$5:$E$44,"&gt;=-1E+300")=0,"",SUMIFS('Fundamental Scorecard'!$E$5:$E$44,'Fundamental Scorecard'!$A$5:$A$44,$R42)))</f>
        <v/>
      </c>
      <c r="V42" s="339" t="str">
        <f>IF($R42="","",IFERROR(IF(INDEX('Fundamental Scorecard'!$D$5:$D$44,MATCH($R42,'Fundamental Scorecard'!$A$5:$A$44,0))=0,"",INDEX('Fundamental Scorecard'!$D$5:$D$44,MATCH($R42,'Fundamental Scorecard'!$A$5:$A$44,0))),""))</f>
        <v>Half to 30 Jun 2020</v>
      </c>
      <c r="W42" s="340">
        <f>IF(OR($R42="",$C$7=""),"",IF(COUNTIFS('Daily Data'!$B$4:$B$503,$R42,'Daily Data'!$A$4:$A$503,$C$7,'Daily Data'!$AH$4:$AH$503,"&gt;=-1E+300")=0,"",SUMIFS('Daily Data'!$AH$4:$AH$503,'Daily Data'!$B$4:$B$503,$R42,'Daily Data'!$A$4:$A$503,$C$7)))</f>
        <v>50</v>
      </c>
      <c r="X42" s="341" t="str">
        <f>IF(OR($R42="",$C$7=""),"",IF(COUNTIFS('Daily Data'!$B$4:$B$503,$R42,'Daily Data'!$A$4:$A$503,$C$7,'Daily Data'!$S$4:$S$503,"&gt;=-1E+300")=0,"",SUMIFS('Daily Data'!$S$4:$S$503,'Daily Data'!$B$4:$B$503,$R42,'Daily Data'!$A$4:$A$503,$C$7)))</f>
        <v/>
      </c>
      <c r="Y42" s="342" t="str">
        <f>IF(OR($R42="",$C$7=""),"",IF(COUNTIFS('Daily Data'!$B$4:$B$503,$R42,'Daily Data'!$A$4:$A$503,$C$7,'Daily Data'!$AA$4:$AA$503,"&gt;=-1E+300")=0,"",SUMIFS('Daily Data'!$AA$4:$AA$503,'Daily Data'!$B$4:$B$503,$R42,'Daily Data'!$A$4:$A$503,$C$7)))</f>
        <v/>
      </c>
      <c r="Z42" s="341" t="str">
        <f>IF(OR($R42="",$C$7=""),"",IF(COUNTIFS('Daily Data'!$B$4:$B$503,$R42,'Daily Data'!$A$4:$A$503,$C$7,'Daily Data'!$AC$4:$AC$503,"&gt;=-1E+300")=0,"",SUMIFS('Daily Data'!$AC$4:$AC$503,'Daily Data'!$B$4:$B$503,$R42,'Daily Data'!$A$4:$A$503,$C$7)))</f>
        <v/>
      </c>
      <c r="AA42" s="340">
        <f>IF(OR($R42="",$C$7=""),"",IF(COUNTIFS('Daily Data'!$B$4:$B$503,$R42,'Daily Data'!$A$4:$A$503,$C$7,'Daily Data'!$AG$4:$AG$503,"&gt;=-1E+300")=0,"",SUMIFS('Daily Data'!$AG$4:$AG$503,'Daily Data'!$B$4:$B$503,$R42,'Daily Data'!$A$4:$A$503,$C$7)))</f>
        <v>0</v>
      </c>
      <c r="AB42" s="340">
        <f>IF(OR($R42="",$C$7=""),"",IF(COUNTIFS('Daily Data'!$B$4:$B$503,$R42,'Daily Data'!$A$4:$A$503,$C$7,'Daily Data'!$AI$4:$AI$503,"&gt;=-1E+300")=0,"",SUMIFS('Daily Data'!$AI$4:$AI$503,'Daily Data'!$B$4:$B$503,$R42,'Daily Data'!$A$4:$A$503,$C$7)))</f>
        <v>30</v>
      </c>
      <c r="AC42" s="339" t="str" cm="1">
        <f t="array" ref="AC42">IF($R42="","",IF(UPPER(INDEX(Symbols!$F$4:$F$43,ROW()-24))="YES","YES","NO"))</f>
        <v>YES</v>
      </c>
      <c r="AD42" s="339" t="str">
        <f>IF($R42="","",IF(ROUND(Settings!$C$65+Settings!$C$66,6)&lt;&gt;1,"NO",IF($AC42&lt;&gt;"YES","NO",IF(AND(UPPER(Settings!$C$105)="YES",$AP42="YES"),"NO",IF(NOT(ISNUMBER($U42)),"NO",IF(NOT(ISNUMBER($W42)),"NO",IF($C$7="","NO",IF($C$6-$C$7&gt;Settings!$C$70,"NO",IF(AND(ISNUMBER($AO42),$AO42&gt;Settings!$C$104),"NO",IF(N($AB42)&lt;Settings!$C$71,"NO",IF(N($AA42)&lt;Settings!$C$72,"NO","YES")))))))))))</f>
        <v>NO</v>
      </c>
      <c r="AE42" s="339" t="str">
        <f>IF($R42="","",IF($AD42="YES","",IF(ROUND(Settings!$C$65+Settings!$C$66,6)&lt;&gt;1,"Ranking weights do not total 100%",IF($AC42&lt;&gt;"YES","Security is not active",IF(AND(UPPER(Settings!$C$105)="YES",$AP42="YES"),"Cross-listed security, excluded by Settings!C105",IF(NOT(ISNUMBER($U42)),"Missing fundamental data",IF(NOT(ISNUMBER($W42)),"No market observation on the date used",IF($C$7="","No market data available",IF($C$6-$C$7&gt;Settings!$C$70,"Market data is stale",IF(AND(ISNUMBER($AO42),$AO42&gt;Settings!$C$104),"Fundamental statement is stale ("&amp;$AO42&amp;" months old)",IF(N($AB42)&lt;Settings!$C$71,"Data confidence below minimum","Liquidity below minimum")))))))))))</f>
        <v>Missing fundamental data</v>
      </c>
      <c r="AF42" s="340" t="str">
        <f>IF($AD42&lt;&gt;"YES","",ROUND($U42*RankingFundamentalWeight+$W42*RankingSentimentWeight,1))</f>
        <v/>
      </c>
      <c r="AG42" s="339" t="str">
        <f>IF($AD42&lt;&gt;"YES","",$AF42+$U42/10000+$W42/100000000+N($AB42)/1000000000000)</f>
        <v/>
      </c>
      <c r="AH42" s="343" t="str" cm="1">
        <f t="array" ref="AH42">IF(OR($AD42&lt;&gt;"YES",$AI42&lt;&gt;1),"",SUMPRODUCT(($AI$25:$AI$64=1)*($AD$25:$AD$64="YES")*($AG$25:$AG$64&gt;$AG42))+SUMPRODUCT(($AI$25:$AI$64=1)*($AD$25:$AD$64="YES")*($AG$25:$AG$64=$AG42)*($R$25:$R$64&lt;$R42))+1)</f>
        <v/>
      </c>
      <c r="AI42" s="339">
        <f>IF($R42="","",IF(AND(OR($A$22="",$T42=$A$22),OR($B$22="",$AL42=$B$22),OR($C$22="",$AM42=$C$22),OR($D$22="",AND(ISNUMBER($U42),N($U42)&gt;=$D$22)),OR($E$22="",AND(ISNUMBER($W42),N($W42)&gt;=$E$22)),OR($F$22="",AND(ISNUMBER($AF42),N($AF42)&gt;=$F$22)),OR($G$22="",N($AA42)&gt;=$G$22),OR($H$22="",N($AB42)&gt;=$H$22),OR(UPPER($I$22)&lt;&gt;"YES",$AC42="YES"),OR(UPPER($J$22)&lt;&gt;"YES",$AD42="YES")),1,0))</f>
        <v>1</v>
      </c>
      <c r="AJ42" s="339" t="str">
        <f>IF(OR($R42="",$C$11=""),"",IF(COUNTIFS('Ranking History'!$B$5:$B$2000,$R42,'Ranking History'!$A$5:$A$2000,$C$11)=0,"",SUMIFS('Ranking History'!$C$5:$C$2000,'Ranking History'!$B$5:$B$2000,$R42,'Ranking History'!$A$5:$A$2000,$C$11)))</f>
        <v/>
      </c>
      <c r="AK42" s="339" t="str">
        <f>IF(OR($AJ42="",$AH42=""),"",$AJ42-$AH42)</f>
        <v/>
      </c>
      <c r="AL42" s="339" t="str">
        <f>IF($AF42="","",IF($AF42&gt;=Settings!$C$76,"BORA SANA",IF($AF42&gt;=Settings!$C$77,"NZURI SANA",IF($AF42&gt;=Settings!$C$78,"NZURI",IF($AF42&gt;=Settings!$C$79,"WASTANI",IF($AF42&gt;=Settings!$C$80,"DHAIFU","DHAIFU SANA"))))))</f>
        <v/>
      </c>
      <c r="AM42" s="339" t="str">
        <f>IF(NOT(ISNUMBER($W42)),"",IF($W42&gt;=Settings!$C$82,"Demand kubwa sana",IF($W42&gt;=Settings!$C$83,"Demand kubwa",IF($W42&gt;=Settings!$C$84,"Demand ya wastani","Demand ndogo sana"))))</f>
        <v>Demand kubwa</v>
      </c>
      <c r="AN42" s="339" t="str">
        <f>IF($R42="","",IF(OR(NOT(ISNUMBER($U42)),NOT(ISNUMBER($W42))),"INCOMPLETE DATA",IF($U42&lt;Settings!$C$88,"Epuka : ubora dhaifu",IF(AND($U42&gt;=Settings!$C$86,$W42&gt;=Settings!$C$87),"Nunua : ubora na mwelekeo vinaungana",IF($U42&gt;=Settings!$C$86,"Fuatilia : ubora mzuri, mwelekeo bado haujathibitisha",IF($W42&gt;=Settings!$C$89,"Fuatilia : ubora wa wastani","Fuatilia : ubora wa wastani, mwelekeo bado dhaifu"))))))</f>
        <v>INCOMPLETE DATA</v>
      </c>
      <c r="AO42" s="339">
        <f ca="1">IF($R42="","",IF(COUNTIFS('Fundamental Scorecard'!$A$5:$A$44,$R42,'Fundamental Scorecard'!$AE$5:$AE$44,"&gt;=-1E+300")=0,"",SUMIFS('Fundamental Scorecard'!$AE$5:$AE$44,'Fundamental Scorecard'!$A$5:$A$44,$R42)))</f>
        <v>74</v>
      </c>
      <c r="AP42" s="339" t="str" cm="1">
        <f t="array" ref="AP42">IF($R42="","",IF(ISNUMBER(SEARCH("cross-listed",INDEX(Symbols!$C$4:$C$43,ROW()-24))),"YES","NO"))</f>
        <v>NO</v>
      </c>
    </row>
    <row r="43" spans="1:42" x14ac:dyDescent="0.3">
      <c r="A43" s="344" t="str" cm="1">
        <f t="array" aca="1" ref="A43" ca="1">IF($Q43="","",IF(INDEX($AD$25:$AD$64,$Q43)="YES",INDEX($AH$25:$AH$64,$Q43),"—"))</f>
        <v>—</v>
      </c>
      <c r="B43" s="318" t="str" cm="1">
        <f t="array" aca="1" ref="B43" ca="1">IF($Q43="","",INDEX($R$25:$R$64,$Q43))</f>
        <v>JATU</v>
      </c>
      <c r="C43" s="319" t="str" cm="1">
        <f t="array" aca="1" ref="C43" ca="1">IF($Q43="","",INDEX($S$25:$S$64,$Q43))</f>
        <v>JATU PLC</v>
      </c>
      <c r="D43" s="319" t="str" cm="1">
        <f t="array" aca="1" ref="D43" ca="1">IF($Q43="","",INDEX($T$25:$T$64,$Q43))</f>
        <v>Agriculture</v>
      </c>
      <c r="E43" s="100" cm="1">
        <f t="array" aca="1" ref="E43" ca="1">IF($Q43="","",INDEX($U$25:$U$64,$Q43))</f>
        <v>72</v>
      </c>
      <c r="F43" s="100" cm="1">
        <f t="array" aca="1" ref="F43" ca="1">IF($Q43="","",INDEX($W$25:$W$64,$Q43))</f>
        <v>34.799999999999997</v>
      </c>
      <c r="G43" s="100" t="str" cm="1">
        <f t="array" aca="1" ref="G43" ca="1">IF($Q43="","",INDEX($AF$25:$AF$64,$Q43))</f>
        <v/>
      </c>
      <c r="H43" s="319" t="str" cm="1">
        <f t="array" aca="1" ref="H43" ca="1">IF($Q43="","",INDEX($AL$25:$AL$64,$Q43))</f>
        <v/>
      </c>
      <c r="I43" s="319" t="str" cm="1">
        <f t="array" aca="1" ref="I43" ca="1">IF($Q43="","",INDEX($AM$25:$AM$64,$Q43))</f>
        <v>Demand ya wastani</v>
      </c>
      <c r="J43" s="319" t="str" cm="1">
        <f t="array" aca="1" ref="J43" ca="1">IF($Q43="","",INDEX($AN$25:$AN$64,$Q43))</f>
        <v>Fuatilia : ubora mzuri, mwelekeo bado haujathibitisha</v>
      </c>
      <c r="K43" s="100" cm="1">
        <f t="array" aca="1" ref="K43" ca="1">IF($Q43="","",INDEX($AA$25:$AA$64,$Q43))</f>
        <v>0</v>
      </c>
      <c r="L43" s="100" cm="1">
        <f t="array" aca="1" ref="L43" ca="1">IF($Q43="","",INDEX($AB$25:$AB$64,$Q43))</f>
        <v>55</v>
      </c>
      <c r="M43" s="319" t="str" cm="1">
        <f t="array" aca="1" ref="M43" ca="1">IF($Q43="","",INDEX($V$25:$V$64,$Q43))</f>
        <v>Full to 31 Dec 2020</v>
      </c>
      <c r="N43" s="95">
        <f ca="1">IF($Q43="","",$C$7)</f>
        <v>46248</v>
      </c>
      <c r="O43" s="102" t="str" cm="1">
        <f t="array" aca="1" ref="O43" ca="1">IF($Q43="","",INDEX($AJ$25:$AJ$64,$Q43))</f>
        <v/>
      </c>
      <c r="P43" s="319" t="str" cm="1">
        <f t="array" aca="1" ref="P43" ca="1">IF($Q43="","",IF(INDEX($AK$25:$AK$64,$Q43)="","",IF(INDEX($AK$25:$AK$64,$Q43)&gt;0,"▲ +"&amp;INDEX($AK$25:$AK$64,$Q43),IF(INDEX($AK$25:$AK$64,$Q43)&lt;0,"▼ "&amp;INDEX($AK$25:$AK$64,$Q43),"= 0"))))</f>
        <v/>
      </c>
      <c r="Q43" s="116" cm="1">
        <f t="array" aca="1" ref="Q43" ca="1">IF(ROW()-24&lt;=COUNT($AH$25:$AH$64),IFERROR(MATCH(ROW()-24,$AH$25:$AH$64,0),""),IFERROR(SMALL(IF(($AI$25:$AI$64=1)*($AD$25:$AD$64&lt;&gt;"YES")*($R$25:$R$64&lt;&gt;""),ROW($AI$25:$AI$64)-24),ROW()-24-COUNT($AH$25:$AH$64)),""))</f>
        <v>6</v>
      </c>
      <c r="R43" s="339" t="str">
        <f>IF(Symbols!A22="","",Symbols!A22)</f>
        <v>SWIS</v>
      </c>
      <c r="S43" s="339" t="str" cm="1">
        <f t="array" ref="S43">IF($R43="","",INDEX(Symbols!$B$4:$B$43,ROW()-24))</f>
        <v>Swissport Tanzania PLC</v>
      </c>
      <c r="T43" s="339" t="str" cm="1">
        <f t="array" ref="T43">IF($R43="","",INDEX(Symbols!$D$4:$D$43,ROW()-24))</f>
        <v>Industrials</v>
      </c>
      <c r="U43" s="340">
        <f>IF($R43="","",IF(COUNTIFS('Fundamental Scorecard'!$A$5:$A$44,$R43,'Fundamental Scorecard'!$E$5:$E$44,"&gt;=-1E+300")=0,"",SUMIFS('Fundamental Scorecard'!$E$5:$E$44,'Fundamental Scorecard'!$A$5:$A$44,$R43)))</f>
        <v>51.6</v>
      </c>
      <c r="V43" s="339" t="str">
        <f>IF($R43="","",IFERROR(IF(INDEX('Fundamental Scorecard'!$D$5:$D$44,MATCH($R43,'Fundamental Scorecard'!$A$5:$A$44,0))=0,"",INDEX('Fundamental Scorecard'!$D$5:$D$44,MATCH($R43,'Fundamental Scorecard'!$A$5:$A$44,0))),""))</f>
        <v>Quarter to 31 Mar 2026</v>
      </c>
      <c r="W43" s="340">
        <f>IF(OR($R43="",$C$7=""),"",IF(COUNTIFS('Daily Data'!$B$4:$B$503,$R43,'Daily Data'!$A$4:$A$503,$C$7,'Daily Data'!$AH$4:$AH$503,"&gt;=-1E+300")=0,"",SUMIFS('Daily Data'!$AH$4:$AH$503,'Daily Data'!$B$4:$B$503,$R43,'Daily Data'!$A$4:$A$503,$C$7)))</f>
        <v>68.599999999999994</v>
      </c>
      <c r="X43" s="341">
        <f>IF(OR($R43="",$C$7=""),"",IF(COUNTIFS('Daily Data'!$B$4:$B$503,$R43,'Daily Data'!$A$4:$A$503,$C$7,'Daily Data'!$S$4:$S$503,"&gt;=-1E+300")=0,"",SUMIFS('Daily Data'!$S$4:$S$503,'Daily Data'!$B$4:$B$503,$R43,'Daily Data'!$A$4:$A$503,$C$7)))</f>
        <v>9.2116736990154706</v>
      </c>
      <c r="Y43" s="342" t="str">
        <f>IF(OR($R43="",$C$7=""),"",IF(COUNTIFS('Daily Data'!$B$4:$B$503,$R43,'Daily Data'!$A$4:$A$503,$C$7,'Daily Data'!$AA$4:$AA$503,"&gt;=-1E+300")=0,"",SUMIFS('Daily Data'!$AA$4:$AA$503,'Daily Data'!$B$4:$B$503,$R43,'Daily Data'!$A$4:$A$503,$C$7)))</f>
        <v/>
      </c>
      <c r="Z43" s="341" t="str">
        <f>IF(OR($R43="",$C$7=""),"",IF(COUNTIFS('Daily Data'!$B$4:$B$503,$R43,'Daily Data'!$A$4:$A$503,$C$7,'Daily Data'!$AC$4:$AC$503,"&gt;=-1E+300")=0,"",SUMIFS('Daily Data'!$AC$4:$AC$503,'Daily Data'!$B$4:$B$503,$R43,'Daily Data'!$A$4:$A$503,$C$7)))</f>
        <v/>
      </c>
      <c r="AA43" s="340">
        <f>IF(OR($R43="",$C$7=""),"",IF(COUNTIFS('Daily Data'!$B$4:$B$503,$R43,'Daily Data'!$A$4:$A$503,$C$7,'Daily Data'!$AG$4:$AG$503,"&gt;=-1E+300")=0,"",SUMIFS('Daily Data'!$AG$4:$AG$503,'Daily Data'!$B$4:$B$503,$R43,'Daily Data'!$A$4:$A$503,$C$7)))</f>
        <v>6.8</v>
      </c>
      <c r="AB43" s="340">
        <f>IF(OR($R43="",$C$7=""),"",IF(COUNTIFS('Daily Data'!$B$4:$B$503,$R43,'Daily Data'!$A$4:$A$503,$C$7,'Daily Data'!$AI$4:$AI$503,"&gt;=-1E+300")=0,"",SUMIFS('Daily Data'!$AI$4:$AI$503,'Daily Data'!$B$4:$B$503,$R43,'Daily Data'!$A$4:$A$503,$C$7)))</f>
        <v>55</v>
      </c>
      <c r="AC43" s="339" t="str" cm="1">
        <f t="array" ref="AC43">IF($R43="","",IF(UPPER(INDEX(Symbols!$F$4:$F$43,ROW()-24))="YES","YES","NO"))</f>
        <v>YES</v>
      </c>
      <c r="AD43" s="339" t="str">
        <f ca="1">IF($R43="","",IF(ROUND(Settings!$C$65+Settings!$C$66,6)&lt;&gt;1,"NO",IF($AC43&lt;&gt;"YES","NO",IF(AND(UPPER(Settings!$C$105)="YES",$AP43="YES"),"NO",IF(NOT(ISNUMBER($U43)),"NO",IF(NOT(ISNUMBER($W43)),"NO",IF($C$7="","NO",IF($C$6-$C$7&gt;Settings!$C$70,"NO",IF(AND(ISNUMBER($AO43),$AO43&gt;Settings!$C$104),"NO",IF(N($AB43)&lt;Settings!$C$71,"NO",IF(N($AA43)&lt;Settings!$C$72,"NO","YES")))))))))))</f>
        <v>NO</v>
      </c>
      <c r="AE43" s="339" t="str">
        <f ca="1">IF($R43="","",IF($AD43="YES","",IF(ROUND(Settings!$C$65+Settings!$C$66,6)&lt;&gt;1,"Ranking weights do not total 100%",IF($AC43&lt;&gt;"YES","Security is not active",IF(AND(UPPER(Settings!$C$105)="YES",$AP43="YES"),"Cross-listed security, excluded by Settings!C105",IF(NOT(ISNUMBER($U43)),"Missing fundamental data",IF(NOT(ISNUMBER($W43)),"No market observation on the date used",IF($C$7="","No market data available",IF($C$6-$C$7&gt;Settings!$C$70,"Market data is stale",IF(AND(ISNUMBER($AO43),$AO43&gt;Settings!$C$104),"Fundamental statement is stale ("&amp;$AO43&amp;" months old)",IF(N($AB43)&lt;Settings!$C$71,"Data confidence below minimum","Liquidity below minimum")))))))))))</f>
        <v>Data confidence below minimum</v>
      </c>
      <c r="AF43" s="340" t="str">
        <f ca="1">IF($AD43&lt;&gt;"YES","",ROUND($U43*RankingFundamentalWeight+$W43*RankingSentimentWeight,1))</f>
        <v/>
      </c>
      <c r="AG43" s="339" t="str">
        <f ca="1">IF($AD43&lt;&gt;"YES","",$AF43+$U43/10000+$W43/100000000+N($AB43)/1000000000000)</f>
        <v/>
      </c>
      <c r="AH43" s="343" t="str" cm="1">
        <f t="array" aca="1" ref="AH43" ca="1">IF(OR($AD43&lt;&gt;"YES",$AI43&lt;&gt;1),"",SUMPRODUCT(($AI$25:$AI$64=1)*($AD$25:$AD$64="YES")*($AG$25:$AG$64&gt;$AG43))+SUMPRODUCT(($AI$25:$AI$64=1)*($AD$25:$AD$64="YES")*($AG$25:$AG$64=$AG43)*($R$25:$R$64&lt;$R43))+1)</f>
        <v/>
      </c>
      <c r="AI43" s="339">
        <f ca="1">IF($R43="","",IF(AND(OR($A$22="",$T43=$A$22),OR($B$22="",$AL43=$B$22),OR($C$22="",$AM43=$C$22),OR($D$22="",AND(ISNUMBER($U43),N($U43)&gt;=$D$22)),OR($E$22="",AND(ISNUMBER($W43),N($W43)&gt;=$E$22)),OR($F$22="",AND(ISNUMBER($AF43),N($AF43)&gt;=$F$22)),OR($G$22="",N($AA43)&gt;=$G$22),OR($H$22="",N($AB43)&gt;=$H$22),OR(UPPER($I$22)&lt;&gt;"YES",$AC43="YES"),OR(UPPER($J$22)&lt;&gt;"YES",$AD43="YES")),1,0))</f>
        <v>1</v>
      </c>
      <c r="AJ43" s="339" t="str">
        <f>IF(OR($R43="",$C$11=""),"",IF(COUNTIFS('Ranking History'!$B$5:$B$2000,$R43,'Ranking History'!$A$5:$A$2000,$C$11)=0,"",SUMIFS('Ranking History'!$C$5:$C$2000,'Ranking History'!$B$5:$B$2000,$R43,'Ranking History'!$A$5:$A$2000,$C$11)))</f>
        <v/>
      </c>
      <c r="AK43" s="339" t="str">
        <f ca="1">IF(OR($AJ43="",$AH43=""),"",$AJ43-$AH43)</f>
        <v/>
      </c>
      <c r="AL43" s="339" t="str">
        <f ca="1">IF($AF43="","",IF($AF43&gt;=Settings!$C$76,"BORA SANA",IF($AF43&gt;=Settings!$C$77,"NZURI SANA",IF($AF43&gt;=Settings!$C$78,"NZURI",IF($AF43&gt;=Settings!$C$79,"WASTANI",IF($AF43&gt;=Settings!$C$80,"DHAIFU","DHAIFU SANA"))))))</f>
        <v/>
      </c>
      <c r="AM43" s="339" t="str">
        <f>IF(NOT(ISNUMBER($W43)),"",IF($W43&gt;=Settings!$C$82,"Demand kubwa sana",IF($W43&gt;=Settings!$C$83,"Demand kubwa",IF($W43&gt;=Settings!$C$84,"Demand ya wastani","Demand ndogo sana"))))</f>
        <v>Demand kubwa</v>
      </c>
      <c r="AN43" s="339" t="str">
        <f>IF($R43="","",IF(OR(NOT(ISNUMBER($U43)),NOT(ISNUMBER($W43))),"INCOMPLETE DATA",IF($U43&lt;Settings!$C$88,"Epuka : ubora dhaifu",IF(AND($U43&gt;=Settings!$C$86,$W43&gt;=Settings!$C$87),"Nunua : ubora na mwelekeo vinaungana",IF($U43&gt;=Settings!$C$86,"Fuatilia : ubora mzuri, mwelekeo bado haujathibitisha",IF($W43&gt;=Settings!$C$89,"Fuatilia : ubora wa wastani","Fuatilia : ubora wa wastani, mwelekeo bado dhaifu"))))))</f>
        <v>Fuatilia : ubora wa wastani</v>
      </c>
      <c r="AO43" s="339">
        <f ca="1">IF($R43="","",IF(COUNTIFS('Fundamental Scorecard'!$A$5:$A$44,$R43,'Fundamental Scorecard'!$AE$5:$AE$44,"&gt;=-1E+300")=0,"",SUMIFS('Fundamental Scorecard'!$AE$5:$AE$44,'Fundamental Scorecard'!$A$5:$A$44,$R43)))</f>
        <v>5</v>
      </c>
      <c r="AP43" s="339" t="str" cm="1">
        <f t="array" ref="AP43">IF($R43="","",IF(ISNUMBER(SEARCH("cross-listed",INDEX(Symbols!$C$4:$C$43,ROW()-24))),"YES","NO"))</f>
        <v>NO</v>
      </c>
    </row>
    <row r="44" spans="1:42" x14ac:dyDescent="0.3">
      <c r="A44" s="344" t="str" cm="1">
        <f t="array" aca="1" ref="A44" ca="1">IF($Q44="","",IF(INDEX($AD$25:$AD$64,$Q44)="YES",INDEX($AH$25:$AH$64,$Q44),"—"))</f>
        <v>—</v>
      </c>
      <c r="B44" s="318" t="str" cm="1">
        <f t="array" aca="1" ref="B44" ca="1">IF($Q44="","",INDEX($R$25:$R$64,$Q44))</f>
        <v>JHL</v>
      </c>
      <c r="C44" s="319" t="str" cm="1">
        <f t="array" aca="1" ref="C44" ca="1">IF($Q44="","",INDEX($S$25:$S$64,$Q44))</f>
        <v>Jubilee Holdings Ltd</v>
      </c>
      <c r="D44" s="319" t="str" cm="1">
        <f t="array" aca="1" ref="D44" ca="1">IF($Q44="","",INDEX($T$25:$T$64,$Q44))</f>
        <v>Insurance</v>
      </c>
      <c r="E44" s="100" cm="1">
        <f t="array" aca="1" ref="E44" ca="1">IF($Q44="","",INDEX($U$25:$U$64,$Q44))</f>
        <v>67.5</v>
      </c>
      <c r="F44" s="100" cm="1">
        <f t="array" aca="1" ref="F44" ca="1">IF($Q44="","",INDEX($W$25:$W$64,$Q44))</f>
        <v>65</v>
      </c>
      <c r="G44" s="100" t="str" cm="1">
        <f t="array" aca="1" ref="G44" ca="1">IF($Q44="","",INDEX($AF$25:$AF$64,$Q44))</f>
        <v/>
      </c>
      <c r="H44" s="319" t="str" cm="1">
        <f t="array" aca="1" ref="H44" ca="1">IF($Q44="","",INDEX($AL$25:$AL$64,$Q44))</f>
        <v/>
      </c>
      <c r="I44" s="319" t="str" cm="1">
        <f t="array" aca="1" ref="I44" ca="1">IF($Q44="","",INDEX($AM$25:$AM$64,$Q44))</f>
        <v>Demand kubwa</v>
      </c>
      <c r="J44" s="319" t="str" cm="1">
        <f t="array" aca="1" ref="J44" ca="1">IF($Q44="","",INDEX($AN$25:$AN$64,$Q44))</f>
        <v>Fuatilia : ubora wa wastani</v>
      </c>
      <c r="K44" s="100" cm="1">
        <f t="array" aca="1" ref="K44" ca="1">IF($Q44="","",INDEX($AA$25:$AA$64,$Q44))</f>
        <v>0</v>
      </c>
      <c r="L44" s="100" cm="1">
        <f t="array" aca="1" ref="L44" ca="1">IF($Q44="","",INDEX($AB$25:$AB$64,$Q44))</f>
        <v>55</v>
      </c>
      <c r="M44" s="319" t="str" cm="1">
        <f t="array" aca="1" ref="M44" ca="1">IF($Q44="","",INDEX($V$25:$V$64,$Q44))</f>
        <v>Full to 31 Dec 2025</v>
      </c>
      <c r="N44" s="95">
        <f ca="1">IF($Q44="","",$C$7)</f>
        <v>46248</v>
      </c>
      <c r="O44" s="102" t="str" cm="1">
        <f t="array" aca="1" ref="O44" ca="1">IF($Q44="","",INDEX($AJ$25:$AJ$64,$Q44))</f>
        <v/>
      </c>
      <c r="P44" s="319" t="str" cm="1">
        <f t="array" aca="1" ref="P44" ca="1">IF($Q44="","",IF(INDEX($AK$25:$AK$64,$Q44)="","",IF(INDEX($AK$25:$AK$64,$Q44)&gt;0,"▲ +"&amp;INDEX($AK$25:$AK$64,$Q44),IF(INDEX($AK$25:$AK$64,$Q44)&lt;0,"▼ "&amp;INDEX($AK$25:$AK$64,$Q44),"= 0"))))</f>
        <v/>
      </c>
      <c r="Q44" s="116" cm="1">
        <f t="array" aca="1" ref="Q44" ca="1">IF(ROW()-24&lt;=COUNT($AH$25:$AH$64),IFERROR(MATCH(ROW()-24,$AH$25:$AH$64,0),""),IFERROR(SMALL(IF(($AI$25:$AI$64=1)*($AD$25:$AD$64&lt;&gt;"YES")*($R$25:$R$64&lt;&gt;""),ROW($AI$25:$AI$64)-24),ROW()-24-COUNT($AH$25:$AH$64)),""))</f>
        <v>7</v>
      </c>
      <c r="R44" s="339" t="str">
        <f>IF(Symbols!A23="","",Symbols!A23)</f>
        <v>TBL</v>
      </c>
      <c r="S44" s="339" t="str" cm="1">
        <f t="array" ref="S44">IF($R44="","",INDEX(Symbols!$B$4:$B$43,ROW()-24))</f>
        <v>Tanzania Breweries Ltd</v>
      </c>
      <c r="T44" s="339" t="str" cm="1">
        <f t="array" ref="T44">IF($R44="","",INDEX(Symbols!$D$4:$D$43,ROW()-24))</f>
        <v>Consumer Goods</v>
      </c>
      <c r="U44" s="340">
        <f>IF($R44="","",IF(COUNTIFS('Fundamental Scorecard'!$A$5:$A$44,$R44,'Fundamental Scorecard'!$E$5:$E$44,"&gt;=-1E+300")=0,"",SUMIFS('Fundamental Scorecard'!$E$5:$E$44,'Fundamental Scorecard'!$A$5:$A$44,$R44)))</f>
        <v>75.7</v>
      </c>
      <c r="V44" s="339" t="str">
        <f>IF($R44="","",IFERROR(IF(INDEX('Fundamental Scorecard'!$D$5:$D$44,MATCH($R44,'Fundamental Scorecard'!$A$5:$A$44,0))=0,"",INDEX('Fundamental Scorecard'!$D$5:$D$44,MATCH($R44,'Fundamental Scorecard'!$A$5:$A$44,0))),""))</f>
        <v>Quarter to 30 Jun 2026</v>
      </c>
      <c r="W44" s="340">
        <f>IF(OR($R44="",$C$7=""),"",IF(COUNTIFS('Daily Data'!$B$4:$B$503,$R44,'Daily Data'!$A$4:$A$503,$C$7,'Daily Data'!$AH$4:$AH$503,"&gt;=-1E+300")=0,"",SUMIFS('Daily Data'!$AH$4:$AH$503,'Daily Data'!$B$4:$B$503,$R44,'Daily Data'!$A$4:$A$503,$C$7)))</f>
        <v>43.4</v>
      </c>
      <c r="X44" s="341">
        <f>IF(OR($R44="",$C$7=""),"",IF(COUNTIFS('Daily Data'!$B$4:$B$503,$R44,'Daily Data'!$A$4:$A$503,$C$7,'Daily Data'!$S$4:$S$503,"&gt;=-1E+300")=0,"",SUMIFS('Daily Data'!$S$4:$S$503,'Daily Data'!$B$4:$B$503,$R44,'Daily Data'!$A$4:$A$503,$C$7)))</f>
        <v>0.56907216494845358</v>
      </c>
      <c r="Y44" s="342" t="str">
        <f>IF(OR($R44="",$C$7=""),"",IF(COUNTIFS('Daily Data'!$B$4:$B$503,$R44,'Daily Data'!$A$4:$A$503,$C$7,'Daily Data'!$AA$4:$AA$503,"&gt;=-1E+300")=0,"",SUMIFS('Daily Data'!$AA$4:$AA$503,'Daily Data'!$B$4:$B$503,$R44,'Daily Data'!$A$4:$A$503,$C$7)))</f>
        <v/>
      </c>
      <c r="Z44" s="341" t="str">
        <f>IF(OR($R44="",$C$7=""),"",IF(COUNTIFS('Daily Data'!$B$4:$B$503,$R44,'Daily Data'!$A$4:$A$503,$C$7,'Daily Data'!$AC$4:$AC$503,"&gt;=-1E+300")=0,"",SUMIFS('Daily Data'!$AC$4:$AC$503,'Daily Data'!$B$4:$B$503,$R44,'Daily Data'!$A$4:$A$503,$C$7)))</f>
        <v/>
      </c>
      <c r="AA44" s="340">
        <f>IF(OR($R44="",$C$7=""),"",IF(COUNTIFS('Daily Data'!$B$4:$B$503,$R44,'Daily Data'!$A$4:$A$503,$C$7,'Daily Data'!$AG$4:$AG$503,"&gt;=-1E+300")=0,"",SUMIFS('Daily Data'!$AG$4:$AG$503,'Daily Data'!$B$4:$B$503,$R44,'Daily Data'!$A$4:$A$503,$C$7)))</f>
        <v>10.199999999999999</v>
      </c>
      <c r="AB44" s="340">
        <f>IF(OR($R44="",$C$7=""),"",IF(COUNTIFS('Daily Data'!$B$4:$B$503,$R44,'Daily Data'!$A$4:$A$503,$C$7,'Daily Data'!$AI$4:$AI$503,"&gt;=-1E+300")=0,"",SUMIFS('Daily Data'!$AI$4:$AI$503,'Daily Data'!$B$4:$B$503,$R44,'Daily Data'!$A$4:$A$503,$C$7)))</f>
        <v>75</v>
      </c>
      <c r="AC44" s="339" t="str" cm="1">
        <f t="array" ref="AC44">IF($R44="","",IF(UPPER(INDEX(Symbols!$F$4:$F$43,ROW()-24))="YES","YES","NO"))</f>
        <v>YES</v>
      </c>
      <c r="AD44" s="339" t="str">
        <f ca="1">IF($R44="","",IF(ROUND(Settings!$C$65+Settings!$C$66,6)&lt;&gt;1,"NO",IF($AC44&lt;&gt;"YES","NO",IF(AND(UPPER(Settings!$C$105)="YES",$AP44="YES"),"NO",IF(NOT(ISNUMBER($U44)),"NO",IF(NOT(ISNUMBER($W44)),"NO",IF($C$7="","NO",IF($C$6-$C$7&gt;Settings!$C$70,"NO",IF(AND(ISNUMBER($AO44),$AO44&gt;Settings!$C$104),"NO",IF(N($AB44)&lt;Settings!$C$71,"NO",IF(N($AA44)&lt;Settings!$C$72,"NO","YES")))))))))))</f>
        <v>YES</v>
      </c>
      <c r="AE44" s="339" t="str">
        <f ca="1">IF($R44="","",IF($AD44="YES","",IF(ROUND(Settings!$C$65+Settings!$C$66,6)&lt;&gt;1,"Ranking weights do not total 100%",IF($AC44&lt;&gt;"YES","Security is not active",IF(AND(UPPER(Settings!$C$105)="YES",$AP44="YES"),"Cross-listed security, excluded by Settings!C105",IF(NOT(ISNUMBER($U44)),"Missing fundamental data",IF(NOT(ISNUMBER($W44)),"No market observation on the date used",IF($C$7="","No market data available",IF($C$6-$C$7&gt;Settings!$C$70,"Market data is stale",IF(AND(ISNUMBER($AO44),$AO44&gt;Settings!$C$104),"Fundamental statement is stale ("&amp;$AO44&amp;" months old)",IF(N($AB44)&lt;Settings!$C$71,"Data confidence below minimum","Liquidity below minimum")))))))))))</f>
        <v/>
      </c>
      <c r="AF44" s="340">
        <f ca="1">IF($AD44&lt;&gt;"YES","",ROUND($U44*RankingFundamentalWeight+$W44*RankingSentimentWeight,1))</f>
        <v>66</v>
      </c>
      <c r="AG44" s="339">
        <f ca="1">IF($AD44&lt;&gt;"YES","",$AF44+$U44/10000+$W44/100000000+N($AB44)/1000000000000)</f>
        <v>66.007570434075006</v>
      </c>
      <c r="AH44" s="343" cm="1">
        <f t="array" aca="1" ref="AH44" ca="1">IF(OR($AD44&lt;&gt;"YES",$AI44&lt;&gt;1),"",SUMPRODUCT(($AI$25:$AI$64=1)*($AD$25:$AD$64="YES")*($AG$25:$AG$64&gt;$AG44))+SUMPRODUCT(($AI$25:$AI$64=1)*($AD$25:$AD$64="YES")*($AG$25:$AG$64=$AG44)*($R$25:$R$64&lt;$R44))+1)</f>
        <v>11</v>
      </c>
      <c r="AI44" s="339">
        <f ca="1">IF($R44="","",IF(AND(OR($A$22="",$T44=$A$22),OR($B$22="",$AL44=$B$22),OR($C$22="",$AM44=$C$22),OR($D$22="",AND(ISNUMBER($U44),N($U44)&gt;=$D$22)),OR($E$22="",AND(ISNUMBER($W44),N($W44)&gt;=$E$22)),OR($F$22="",AND(ISNUMBER($AF44),N($AF44)&gt;=$F$22)),OR($G$22="",N($AA44)&gt;=$G$22),OR($H$22="",N($AB44)&gt;=$H$22),OR(UPPER($I$22)&lt;&gt;"YES",$AC44="YES"),OR(UPPER($J$22)&lt;&gt;"YES",$AD44="YES")),1,0))</f>
        <v>1</v>
      </c>
      <c r="AJ44" s="339" t="str">
        <f>IF(OR($R44="",$C$11=""),"",IF(COUNTIFS('Ranking History'!$B$5:$B$2000,$R44,'Ranking History'!$A$5:$A$2000,$C$11)=0,"",SUMIFS('Ranking History'!$C$5:$C$2000,'Ranking History'!$B$5:$B$2000,$R44,'Ranking History'!$A$5:$A$2000,$C$11)))</f>
        <v/>
      </c>
      <c r="AK44" s="339" t="str">
        <f ca="1">IF(OR($AJ44="",$AH44=""),"",$AJ44-$AH44)</f>
        <v/>
      </c>
      <c r="AL44" s="339" t="str">
        <f ca="1">IF($AF44="","",IF($AF44&gt;=Settings!$C$76,"BORA SANA",IF($AF44&gt;=Settings!$C$77,"NZURI SANA",IF($AF44&gt;=Settings!$C$78,"NZURI",IF($AF44&gt;=Settings!$C$79,"WASTANI",IF($AF44&gt;=Settings!$C$80,"DHAIFU","DHAIFU SANA"))))))</f>
        <v>NZURI</v>
      </c>
      <c r="AM44" s="339" t="str">
        <f>IF(NOT(ISNUMBER($W44)),"",IF($W44&gt;=Settings!$C$82,"Demand kubwa sana",IF($W44&gt;=Settings!$C$83,"Demand kubwa",IF($W44&gt;=Settings!$C$84,"Demand ya wastani","Demand ndogo sana"))))</f>
        <v>Demand ya wastani</v>
      </c>
      <c r="AN44" s="339" t="str">
        <f>IF($R44="","",IF(OR(NOT(ISNUMBER($U44)),NOT(ISNUMBER($W44))),"INCOMPLETE DATA",IF($U44&lt;Settings!$C$88,"Epuka : ubora dhaifu",IF(AND($U44&gt;=Settings!$C$86,$W44&gt;=Settings!$C$87),"Nunua : ubora na mwelekeo vinaungana",IF($U44&gt;=Settings!$C$86,"Fuatilia : ubora mzuri, mwelekeo bado haujathibitisha",IF($W44&gt;=Settings!$C$89,"Fuatilia : ubora wa wastani","Fuatilia : ubora wa wastani, mwelekeo bado dhaifu"))))))</f>
        <v>Fuatilia : ubora mzuri, mwelekeo bado haujathibitisha</v>
      </c>
      <c r="AO44" s="339">
        <f ca="1">IF($R44="","",IF(COUNTIFS('Fundamental Scorecard'!$A$5:$A$44,$R44,'Fundamental Scorecard'!$AE$5:$AE$44,"&gt;=-1E+300")=0,"",SUMIFS('Fundamental Scorecard'!$AE$5:$AE$44,'Fundamental Scorecard'!$A$5:$A$44,$R44)))</f>
        <v>2</v>
      </c>
      <c r="AP44" s="339" t="str" cm="1">
        <f t="array" ref="AP44">IF($R44="","",IF(ISNUMBER(SEARCH("cross-listed",INDEX(Symbols!$C$4:$C$43,ROW()-24))),"YES","NO"))</f>
        <v>NO</v>
      </c>
    </row>
    <row r="45" spans="1:42" x14ac:dyDescent="0.3">
      <c r="A45" s="344" t="str" cm="1">
        <f t="array" aca="1" ref="A45" ca="1">IF($Q45="","",IF(INDEX($AD$25:$AD$64,$Q45)="YES",INDEX($AH$25:$AH$64,$Q45),"—"))</f>
        <v>—</v>
      </c>
      <c r="B45" s="318" t="str" cm="1">
        <f t="array" aca="1" ref="B45" ca="1">IF($Q45="","",INDEX($R$25:$R$64,$Q45))</f>
        <v>KA</v>
      </c>
      <c r="C45" s="319" t="str" cm="1">
        <f t="array" aca="1" ref="C45" ca="1">IF($Q45="","",INDEX($S$25:$S$64,$Q45))</f>
        <v>Kenya Airways PLC</v>
      </c>
      <c r="D45" s="319" t="str" cm="1">
        <f t="array" aca="1" ref="D45" ca="1">IF($Q45="","",INDEX($T$25:$T$64,$Q45))</f>
        <v>Transport</v>
      </c>
      <c r="E45" s="100" cm="1">
        <f t="array" aca="1" ref="E45" ca="1">IF($Q45="","",INDEX($U$25:$U$64,$Q45))</f>
        <v>0</v>
      </c>
      <c r="F45" s="100" cm="1">
        <f t="array" aca="1" ref="F45" ca="1">IF($Q45="","",INDEX($W$25:$W$64,$Q45))</f>
        <v>65</v>
      </c>
      <c r="G45" s="100" t="str" cm="1">
        <f t="array" aca="1" ref="G45" ca="1">IF($Q45="","",INDEX($AF$25:$AF$64,$Q45))</f>
        <v/>
      </c>
      <c r="H45" s="319" t="str" cm="1">
        <f t="array" aca="1" ref="H45" ca="1">IF($Q45="","",INDEX($AL$25:$AL$64,$Q45))</f>
        <v/>
      </c>
      <c r="I45" s="319" t="str" cm="1">
        <f t="array" aca="1" ref="I45" ca="1">IF($Q45="","",INDEX($AM$25:$AM$64,$Q45))</f>
        <v>Demand kubwa</v>
      </c>
      <c r="J45" s="319" t="str" cm="1">
        <f t="array" aca="1" ref="J45" ca="1">IF($Q45="","",INDEX($AN$25:$AN$64,$Q45))</f>
        <v>Epuka : ubora dhaifu</v>
      </c>
      <c r="K45" s="100" cm="1">
        <f t="array" aca="1" ref="K45" ca="1">IF($Q45="","",INDEX($AA$25:$AA$64,$Q45))</f>
        <v>0</v>
      </c>
      <c r="L45" s="100" cm="1">
        <f t="array" aca="1" ref="L45" ca="1">IF($Q45="","",INDEX($AB$25:$AB$64,$Q45))</f>
        <v>55</v>
      </c>
      <c r="M45" s="319" t="str" cm="1">
        <f t="array" aca="1" ref="M45" ca="1">IF($Q45="","",INDEX($V$25:$V$64,$Q45))</f>
        <v>Full to 31 Dec 2025</v>
      </c>
      <c r="N45" s="95">
        <f ca="1">IF($Q45="","",$C$7)</f>
        <v>46248</v>
      </c>
      <c r="O45" s="102" t="str" cm="1">
        <f t="array" aca="1" ref="O45" ca="1">IF($Q45="","",INDEX($AJ$25:$AJ$64,$Q45))</f>
        <v/>
      </c>
      <c r="P45" s="319" t="str" cm="1">
        <f t="array" aca="1" ref="P45" ca="1">IF($Q45="","",IF(INDEX($AK$25:$AK$64,$Q45)="","",IF(INDEX($AK$25:$AK$64,$Q45)&gt;0,"▲ +"&amp;INDEX($AK$25:$AK$64,$Q45),IF(INDEX($AK$25:$AK$64,$Q45)&lt;0,"▼ "&amp;INDEX($AK$25:$AK$64,$Q45),"= 0"))))</f>
        <v/>
      </c>
      <c r="Q45" s="116" cm="1">
        <f t="array" aca="1" ref="Q45" ca="1">IF(ROW()-24&lt;=COUNT($AH$25:$AH$64),IFERROR(MATCH(ROW()-24,$AH$25:$AH$64,0),""),IFERROR(SMALL(IF(($AI$25:$AI$64=1)*($AD$25:$AD$64&lt;&gt;"YES")*($R$25:$R$64&lt;&gt;""),ROW($AI$25:$AI$64)-24),ROW()-24-COUNT($AH$25:$AH$64)),""))</f>
        <v>8</v>
      </c>
      <c r="R45" s="339" t="str">
        <f>IF(Symbols!A24="","",Symbols!A24)</f>
        <v>TCC</v>
      </c>
      <c r="S45" s="339" t="str" cm="1">
        <f t="array" ref="S45">IF($R45="","",INDEX(Symbols!$B$4:$B$43,ROW()-24))</f>
        <v>Tanzania Cigarette Company Ltd</v>
      </c>
      <c r="T45" s="339" t="str" cm="1">
        <f t="array" ref="T45">IF($R45="","",INDEX(Symbols!$D$4:$D$43,ROW()-24))</f>
        <v>Consumer Goods</v>
      </c>
      <c r="U45" s="340">
        <f>IF($R45="","",IF(COUNTIFS('Fundamental Scorecard'!$A$5:$A$44,$R45,'Fundamental Scorecard'!$E$5:$E$44,"&gt;=-1E+300")=0,"",SUMIFS('Fundamental Scorecard'!$E$5:$E$44,'Fundamental Scorecard'!$A$5:$A$44,$R45)))</f>
        <v>74.900000000000006</v>
      </c>
      <c r="V45" s="339" t="str">
        <f>IF($R45="","",IFERROR(IF(INDEX('Fundamental Scorecard'!$D$5:$D$44,MATCH($R45,'Fundamental Scorecard'!$A$5:$A$44,0))=0,"",INDEX('Fundamental Scorecard'!$D$5:$D$44,MATCH($R45,'Fundamental Scorecard'!$A$5:$A$44,0))),""))</f>
        <v>Quarter to 30 Jun 2026</v>
      </c>
      <c r="W45" s="340">
        <f>IF(OR($R45="",$C$7=""),"",IF(COUNTIFS('Daily Data'!$B$4:$B$503,$R45,'Daily Data'!$A$4:$A$503,$C$7,'Daily Data'!$AH$4:$AH$503,"&gt;=-1E+300")=0,"",SUMIFS('Daily Data'!$AH$4:$AH$503,'Daily Data'!$B$4:$B$503,$R45,'Daily Data'!$A$4:$A$503,$C$7)))</f>
        <v>66.099999999999994</v>
      </c>
      <c r="X45" s="341" t="str">
        <f>IF(OR($R45="",$C$7=""),"",IF(COUNTIFS('Daily Data'!$B$4:$B$503,$R45,'Daily Data'!$A$4:$A$503,$C$7,'Daily Data'!$S$4:$S$503,"&gt;=-1E+300")=0,"",SUMIFS('Daily Data'!$S$4:$S$503,'Daily Data'!$B$4:$B$503,$R45,'Daily Data'!$A$4:$A$503,$C$7)))</f>
        <v/>
      </c>
      <c r="Y45" s="342" t="str">
        <f>IF(OR($R45="",$C$7=""),"",IF(COUNTIFS('Daily Data'!$B$4:$B$503,$R45,'Daily Data'!$A$4:$A$503,$C$7,'Daily Data'!$AA$4:$AA$503,"&gt;=-1E+300")=0,"",SUMIFS('Daily Data'!$AA$4:$AA$503,'Daily Data'!$B$4:$B$503,$R45,'Daily Data'!$A$4:$A$503,$C$7)))</f>
        <v/>
      </c>
      <c r="Z45" s="341" t="str">
        <f>IF(OR($R45="",$C$7=""),"",IF(COUNTIFS('Daily Data'!$B$4:$B$503,$R45,'Daily Data'!$A$4:$A$503,$C$7,'Daily Data'!$AC$4:$AC$503,"&gt;=-1E+300")=0,"",SUMIFS('Daily Data'!$AC$4:$AC$503,'Daily Data'!$B$4:$B$503,$R45,'Daily Data'!$A$4:$A$503,$C$7)))</f>
        <v/>
      </c>
      <c r="AA45" s="340">
        <f>IF(OR($R45="",$C$7=""),"",IF(COUNTIFS('Daily Data'!$B$4:$B$503,$R45,'Daily Data'!$A$4:$A$503,$C$7,'Daily Data'!$AG$4:$AG$503,"&gt;=-1E+300")=0,"",SUMIFS('Daily Data'!$AG$4:$AG$503,'Daily Data'!$B$4:$B$503,$R45,'Daily Data'!$A$4:$A$503,$C$7)))</f>
        <v>1.2</v>
      </c>
      <c r="AB45" s="340">
        <f>IF(OR($R45="",$C$7=""),"",IF(COUNTIFS('Daily Data'!$B$4:$B$503,$R45,'Daily Data'!$A$4:$A$503,$C$7,'Daily Data'!$AI$4:$AI$503,"&gt;=-1E+300")=0,"",SUMIFS('Daily Data'!$AI$4:$AI$503,'Daily Data'!$B$4:$B$503,$R45,'Daily Data'!$A$4:$A$503,$C$7)))</f>
        <v>75</v>
      </c>
      <c r="AC45" s="339" t="str" cm="1">
        <f t="array" ref="AC45">IF($R45="","",IF(UPPER(INDEX(Symbols!$F$4:$F$43,ROW()-24))="YES","YES","NO"))</f>
        <v>YES</v>
      </c>
      <c r="AD45" s="339" t="str">
        <f ca="1">IF($R45="","",IF(ROUND(Settings!$C$65+Settings!$C$66,6)&lt;&gt;1,"NO",IF($AC45&lt;&gt;"YES","NO",IF(AND(UPPER(Settings!$C$105)="YES",$AP45="YES"),"NO",IF(NOT(ISNUMBER($U45)),"NO",IF(NOT(ISNUMBER($W45)),"NO",IF($C$7="","NO",IF($C$6-$C$7&gt;Settings!$C$70,"NO",IF(AND(ISNUMBER($AO45),$AO45&gt;Settings!$C$104),"NO",IF(N($AB45)&lt;Settings!$C$71,"NO",IF(N($AA45)&lt;Settings!$C$72,"NO","YES")))))))))))</f>
        <v>YES</v>
      </c>
      <c r="AE45" s="339" t="str">
        <f ca="1">IF($R45="","",IF($AD45="YES","",IF(ROUND(Settings!$C$65+Settings!$C$66,6)&lt;&gt;1,"Ranking weights do not total 100%",IF($AC45&lt;&gt;"YES","Security is not active",IF(AND(UPPER(Settings!$C$105)="YES",$AP45="YES"),"Cross-listed security, excluded by Settings!C105",IF(NOT(ISNUMBER($U45)),"Missing fundamental data",IF(NOT(ISNUMBER($W45)),"No market observation on the date used",IF($C$7="","No market data available",IF($C$6-$C$7&gt;Settings!$C$70,"Market data is stale",IF(AND(ISNUMBER($AO45),$AO45&gt;Settings!$C$104),"Fundamental statement is stale ("&amp;$AO45&amp;" months old)",IF(N($AB45)&lt;Settings!$C$71,"Data confidence below minimum","Liquidity below minimum")))))))))))</f>
        <v/>
      </c>
      <c r="AF45" s="340">
        <f ca="1">IF($AD45&lt;&gt;"YES","",ROUND($U45*RankingFundamentalWeight+$W45*RankingSentimentWeight,1))</f>
        <v>72.3</v>
      </c>
      <c r="AG45" s="339">
        <f ca="1">IF($AD45&lt;&gt;"YES","",$AF45+$U45/10000+$W45/100000000+N($AB45)/1000000000000)</f>
        <v>72.307490661075008</v>
      </c>
      <c r="AH45" s="343" cm="1">
        <f t="array" aca="1" ref="AH45" ca="1">IF(OR($AD45&lt;&gt;"YES",$AI45&lt;&gt;1),"",SUMPRODUCT(($AI$25:$AI$64=1)*($AD$25:$AD$64="YES")*($AG$25:$AG$64&gt;$AG45))+SUMPRODUCT(($AI$25:$AI$64=1)*($AD$25:$AD$64="YES")*($AG$25:$AG$64=$AG45)*($R$25:$R$64&lt;$R45))+1)</f>
        <v>7</v>
      </c>
      <c r="AI45" s="339">
        <f ca="1">IF($R45="","",IF(AND(OR($A$22="",$T45=$A$22),OR($B$22="",$AL45=$B$22),OR($C$22="",$AM45=$C$22),OR($D$22="",AND(ISNUMBER($U45),N($U45)&gt;=$D$22)),OR($E$22="",AND(ISNUMBER($W45),N($W45)&gt;=$E$22)),OR($F$22="",AND(ISNUMBER($AF45),N($AF45)&gt;=$F$22)),OR($G$22="",N($AA45)&gt;=$G$22),OR($H$22="",N($AB45)&gt;=$H$22),OR(UPPER($I$22)&lt;&gt;"YES",$AC45="YES"),OR(UPPER($J$22)&lt;&gt;"YES",$AD45="YES")),1,0))</f>
        <v>1</v>
      </c>
      <c r="AJ45" s="339" t="str">
        <f>IF(OR($R45="",$C$11=""),"",IF(COUNTIFS('Ranking History'!$B$5:$B$2000,$R45,'Ranking History'!$A$5:$A$2000,$C$11)=0,"",SUMIFS('Ranking History'!$C$5:$C$2000,'Ranking History'!$B$5:$B$2000,$R45,'Ranking History'!$A$5:$A$2000,$C$11)))</f>
        <v/>
      </c>
      <c r="AK45" s="339" t="str">
        <f ca="1">IF(OR($AJ45="",$AH45=""),"",$AJ45-$AH45)</f>
        <v/>
      </c>
      <c r="AL45" s="339" t="str">
        <f ca="1">IF($AF45="","",IF($AF45&gt;=Settings!$C$76,"BORA SANA",IF($AF45&gt;=Settings!$C$77,"NZURI SANA",IF($AF45&gt;=Settings!$C$78,"NZURI",IF($AF45&gt;=Settings!$C$79,"WASTANI",IF($AF45&gt;=Settings!$C$80,"DHAIFU","DHAIFU SANA"))))))</f>
        <v>NZURI SANA</v>
      </c>
      <c r="AM45" s="339" t="str">
        <f>IF(NOT(ISNUMBER($W45)),"",IF($W45&gt;=Settings!$C$82,"Demand kubwa sana",IF($W45&gt;=Settings!$C$83,"Demand kubwa",IF($W45&gt;=Settings!$C$84,"Demand ya wastani","Demand ndogo sana"))))</f>
        <v>Demand kubwa</v>
      </c>
      <c r="AN45" s="339" t="str">
        <f>IF($R45="","",IF(OR(NOT(ISNUMBER($U45)),NOT(ISNUMBER($W45))),"INCOMPLETE DATA",IF($U45&lt;Settings!$C$88,"Epuka : ubora dhaifu",IF(AND($U45&gt;=Settings!$C$86,$W45&gt;=Settings!$C$87),"Nunua : ubora na mwelekeo vinaungana",IF($U45&gt;=Settings!$C$86,"Fuatilia : ubora mzuri, mwelekeo bado haujathibitisha",IF($W45&gt;=Settings!$C$89,"Fuatilia : ubora wa wastani","Fuatilia : ubora wa wastani, mwelekeo bado dhaifu"))))))</f>
        <v>Fuatilia : ubora mzuri, mwelekeo bado haujathibitisha</v>
      </c>
      <c r="AO45" s="339">
        <f ca="1">IF($R45="","",IF(COUNTIFS('Fundamental Scorecard'!$A$5:$A$44,$R45,'Fundamental Scorecard'!$AE$5:$AE$44,"&gt;=-1E+300")=0,"",SUMIFS('Fundamental Scorecard'!$AE$5:$AE$44,'Fundamental Scorecard'!$A$5:$A$44,$R45)))</f>
        <v>2</v>
      </c>
      <c r="AP45" s="339" t="str" cm="1">
        <f t="array" ref="AP45">IF($R45="","",IF(ISNUMBER(SEARCH("cross-listed",INDEX(Symbols!$C$4:$C$43,ROW()-24))),"YES","NO"))</f>
        <v>NO</v>
      </c>
    </row>
    <row r="46" spans="1:42" x14ac:dyDescent="0.3">
      <c r="A46" s="344" t="str" cm="1">
        <f t="array" aca="1" ref="A46" ca="1">IF($Q46="","",IF(INDEX($AD$25:$AD$64,$Q46)="YES",INDEX($AH$25:$AH$64,$Q46),"—"))</f>
        <v>—</v>
      </c>
      <c r="B46" s="318" t="str" cm="1">
        <f t="array" aca="1" ref="B46" ca="1">IF($Q46="","",INDEX($R$25:$R$64,$Q46))</f>
        <v>NMG</v>
      </c>
      <c r="C46" s="319" t="str" cm="1">
        <f t="array" aca="1" ref="C46" ca="1">IF($Q46="","",INDEX($S$25:$S$64,$Q46))</f>
        <v>Nation Media Group PLC</v>
      </c>
      <c r="D46" s="319" t="str" cm="1">
        <f t="array" aca="1" ref="D46" ca="1">IF($Q46="","",INDEX($T$25:$T$64,$Q46))</f>
        <v>Media</v>
      </c>
      <c r="E46" s="100" cm="1">
        <f t="array" aca="1" ref="E46" ca="1">IF($Q46="","",INDEX($U$25:$U$64,$Q46))</f>
        <v>37.700000000000003</v>
      </c>
      <c r="F46" s="100" cm="1">
        <f t="array" aca="1" ref="F46" ca="1">IF($Q46="","",INDEX($W$25:$W$64,$Q46))</f>
        <v>62.3</v>
      </c>
      <c r="G46" s="100" t="str" cm="1">
        <f t="array" aca="1" ref="G46" ca="1">IF($Q46="","",INDEX($AF$25:$AF$64,$Q46))</f>
        <v/>
      </c>
      <c r="H46" s="319" t="str" cm="1">
        <f t="array" aca="1" ref="H46" ca="1">IF($Q46="","",INDEX($AL$25:$AL$64,$Q46))</f>
        <v/>
      </c>
      <c r="I46" s="319" t="str" cm="1">
        <f t="array" aca="1" ref="I46" ca="1">IF($Q46="","",INDEX($AM$25:$AM$64,$Q46))</f>
        <v>Demand kubwa</v>
      </c>
      <c r="J46" s="319" t="str" cm="1">
        <f t="array" aca="1" ref="J46" ca="1">IF($Q46="","",INDEX($AN$25:$AN$64,$Q46))</f>
        <v>Epuka : ubora dhaifu</v>
      </c>
      <c r="K46" s="100" cm="1">
        <f t="array" aca="1" ref="K46" ca="1">IF($Q46="","",INDEX($AA$25:$AA$64,$Q46))</f>
        <v>0</v>
      </c>
      <c r="L46" s="100" cm="1">
        <f t="array" aca="1" ref="L46" ca="1">IF($Q46="","",INDEX($AB$25:$AB$64,$Q46))</f>
        <v>55</v>
      </c>
      <c r="M46" s="319" t="str" cm="1">
        <f t="array" aca="1" ref="M46" ca="1">IF($Q46="","",INDEX($V$25:$V$64,$Q46))</f>
        <v>Full to 31 Dec 2025</v>
      </c>
      <c r="N46" s="95">
        <f ca="1">IF($Q46="","",$C$7)</f>
        <v>46248</v>
      </c>
      <c r="O46" s="102" t="str" cm="1">
        <f t="array" aca="1" ref="O46" ca="1">IF($Q46="","",INDEX($AJ$25:$AJ$64,$Q46))</f>
        <v/>
      </c>
      <c r="P46" s="319" t="str" cm="1">
        <f t="array" aca="1" ref="P46" ca="1">IF($Q46="","",IF(INDEX($AK$25:$AK$64,$Q46)="","",IF(INDEX($AK$25:$AK$64,$Q46)&gt;0,"▲ +"&amp;INDEX($AK$25:$AK$64,$Q46),IF(INDEX($AK$25:$AK$64,$Q46)&lt;0,"▼ "&amp;INDEX($AK$25:$AK$64,$Q46),"= 0"))))</f>
        <v/>
      </c>
      <c r="Q46" s="116" cm="1">
        <f t="array" aca="1" ref="Q46" ca="1">IF(ROW()-24&lt;=COUNT($AH$25:$AH$64),IFERROR(MATCH(ROW()-24,$AH$25:$AH$64,0),""),IFERROR(SMALL(IF(($AI$25:$AI$64=1)*($AD$25:$AD$64&lt;&gt;"YES")*($R$25:$R$64&lt;&gt;""),ROW($AI$25:$AI$64)-24),ROW()-24-COUNT($AH$25:$AH$64)),""))</f>
        <v>16</v>
      </c>
      <c r="R46" s="339" t="str">
        <f>IF(Symbols!A25="","",Symbols!A25)</f>
        <v>TCCL</v>
      </c>
      <c r="S46" s="339" t="str" cm="1">
        <f t="array" ref="S46">IF($R46="","",INDEX(Symbols!$B$4:$B$43,ROW()-24))</f>
        <v>Tanga Cement PLC</v>
      </c>
      <c r="T46" s="339" t="str" cm="1">
        <f t="array" ref="T46">IF($R46="","",INDEX(Symbols!$D$4:$D$43,ROW()-24))</f>
        <v>Industrials</v>
      </c>
      <c r="U46" s="340">
        <f>IF($R46="","",IF(COUNTIFS('Fundamental Scorecard'!$A$5:$A$44,$R46,'Fundamental Scorecard'!$E$5:$E$44,"&gt;=-1E+300")=0,"",SUMIFS('Fundamental Scorecard'!$E$5:$E$44,'Fundamental Scorecard'!$A$5:$A$44,$R46)))</f>
        <v>77.3</v>
      </c>
      <c r="V46" s="339" t="str">
        <f>IF($R46="","",IFERROR(IF(INDEX('Fundamental Scorecard'!$D$5:$D$44,MATCH($R46,'Fundamental Scorecard'!$A$5:$A$44,0))=0,"",INDEX('Fundamental Scorecard'!$D$5:$D$44,MATCH($R46,'Fundamental Scorecard'!$A$5:$A$44,0))),""))</f>
        <v>Quarter to 30 Jun 2026</v>
      </c>
      <c r="W46" s="340">
        <f>IF(OR($R46="",$C$7=""),"",IF(COUNTIFS('Daily Data'!$B$4:$B$503,$R46,'Daily Data'!$A$4:$A$503,$C$7,'Daily Data'!$AH$4:$AH$503,"&gt;=-1E+300")=0,"",SUMIFS('Daily Data'!$AH$4:$AH$503,'Daily Data'!$B$4:$B$503,$R46,'Daily Data'!$A$4:$A$503,$C$7)))</f>
        <v>64.099999999999994</v>
      </c>
      <c r="X46" s="341">
        <f>IF(OR($R46="",$C$7=""),"",IF(COUNTIFS('Daily Data'!$B$4:$B$503,$R46,'Daily Data'!$A$4:$A$503,$C$7,'Daily Data'!$S$4:$S$503,"&gt;=-1E+300")=0,"",SUMIFS('Daily Data'!$S$4:$S$503,'Daily Data'!$B$4:$B$503,$R46,'Daily Data'!$A$4:$A$503,$C$7)))</f>
        <v>2.6261373035566584</v>
      </c>
      <c r="Y46" s="342" t="str">
        <f>IF(OR($R46="",$C$7=""),"",IF(COUNTIFS('Daily Data'!$B$4:$B$503,$R46,'Daily Data'!$A$4:$A$503,$C$7,'Daily Data'!$AA$4:$AA$503,"&gt;=-1E+300")=0,"",SUMIFS('Daily Data'!$AA$4:$AA$503,'Daily Data'!$B$4:$B$503,$R46,'Daily Data'!$A$4:$A$503,$C$7)))</f>
        <v/>
      </c>
      <c r="Z46" s="341" t="str">
        <f>IF(OR($R46="",$C$7=""),"",IF(COUNTIFS('Daily Data'!$B$4:$B$503,$R46,'Daily Data'!$A$4:$A$503,$C$7,'Daily Data'!$AC$4:$AC$503,"&gt;=-1E+300")=0,"",SUMIFS('Daily Data'!$AC$4:$AC$503,'Daily Data'!$B$4:$B$503,$R46,'Daily Data'!$A$4:$A$503,$C$7)))</f>
        <v/>
      </c>
      <c r="AA46" s="340">
        <f>IF(OR($R46="",$C$7=""),"",IF(COUNTIFS('Daily Data'!$B$4:$B$503,$R46,'Daily Data'!$A$4:$A$503,$C$7,'Daily Data'!$AG$4:$AG$503,"&gt;=-1E+300")=0,"",SUMIFS('Daily Data'!$AG$4:$AG$503,'Daily Data'!$B$4:$B$503,$R46,'Daily Data'!$A$4:$A$503,$C$7)))</f>
        <v>41.2</v>
      </c>
      <c r="AB46" s="340">
        <f>IF(OR($R46="",$C$7=""),"",IF(COUNTIFS('Daily Data'!$B$4:$B$503,$R46,'Daily Data'!$A$4:$A$503,$C$7,'Daily Data'!$AI$4:$AI$503,"&gt;=-1E+300")=0,"",SUMIFS('Daily Data'!$AI$4:$AI$503,'Daily Data'!$B$4:$B$503,$R46,'Daily Data'!$A$4:$A$503,$C$7)))</f>
        <v>75</v>
      </c>
      <c r="AC46" s="339" t="str" cm="1">
        <f t="array" ref="AC46">IF($R46="","",IF(UPPER(INDEX(Symbols!$F$4:$F$43,ROW()-24))="YES","YES","NO"))</f>
        <v>YES</v>
      </c>
      <c r="AD46" s="339" t="str">
        <f ca="1">IF($R46="","",IF(ROUND(Settings!$C$65+Settings!$C$66,6)&lt;&gt;1,"NO",IF($AC46&lt;&gt;"YES","NO",IF(AND(UPPER(Settings!$C$105)="YES",$AP46="YES"),"NO",IF(NOT(ISNUMBER($U46)),"NO",IF(NOT(ISNUMBER($W46)),"NO",IF($C$7="","NO",IF($C$6-$C$7&gt;Settings!$C$70,"NO",IF(AND(ISNUMBER($AO46),$AO46&gt;Settings!$C$104),"NO",IF(N($AB46)&lt;Settings!$C$71,"NO",IF(N($AA46)&lt;Settings!$C$72,"NO","YES")))))))))))</f>
        <v>YES</v>
      </c>
      <c r="AE46" s="339" t="str">
        <f ca="1">IF($R46="","",IF($AD46="YES","",IF(ROUND(Settings!$C$65+Settings!$C$66,6)&lt;&gt;1,"Ranking weights do not total 100%",IF($AC46&lt;&gt;"YES","Security is not active",IF(AND(UPPER(Settings!$C$105)="YES",$AP46="YES"),"Cross-listed security, excluded by Settings!C105",IF(NOT(ISNUMBER($U46)),"Missing fundamental data",IF(NOT(ISNUMBER($W46)),"No market observation on the date used",IF($C$7="","No market data available",IF($C$6-$C$7&gt;Settings!$C$70,"Market data is stale",IF(AND(ISNUMBER($AO46),$AO46&gt;Settings!$C$104),"Fundamental statement is stale ("&amp;$AO46&amp;" months old)",IF(N($AB46)&lt;Settings!$C$71,"Data confidence below minimum","Liquidity below minimum")))))))))))</f>
        <v/>
      </c>
      <c r="AF46" s="340">
        <f ca="1">IF($AD46&lt;&gt;"YES","",ROUND($U46*RankingFundamentalWeight+$W46*RankingSentimentWeight,1))</f>
        <v>73.3</v>
      </c>
      <c r="AG46" s="339">
        <f ca="1">IF($AD46&lt;&gt;"YES","",$AF46+$U46/10000+$W46/100000000+N($AB46)/1000000000000)</f>
        <v>73.307730641074997</v>
      </c>
      <c r="AH46" s="343" cm="1">
        <f t="array" aca="1" ref="AH46" ca="1">IF(OR($AD46&lt;&gt;"YES",$AI46&lt;&gt;1),"",SUMPRODUCT(($AI$25:$AI$64=1)*($AD$25:$AD$64="YES")*($AG$25:$AG$64&gt;$AG46))+SUMPRODUCT(($AI$25:$AI$64=1)*($AD$25:$AD$64="YES")*($AG$25:$AG$64=$AG46)*($R$25:$R$64&lt;$R46))+1)</f>
        <v>5</v>
      </c>
      <c r="AI46" s="339">
        <f ca="1">IF($R46="","",IF(AND(OR($A$22="",$T46=$A$22),OR($B$22="",$AL46=$B$22),OR($C$22="",$AM46=$C$22),OR($D$22="",AND(ISNUMBER($U46),N($U46)&gt;=$D$22)),OR($E$22="",AND(ISNUMBER($W46),N($W46)&gt;=$E$22)),OR($F$22="",AND(ISNUMBER($AF46),N($AF46)&gt;=$F$22)),OR($G$22="",N($AA46)&gt;=$G$22),OR($H$22="",N($AB46)&gt;=$H$22),OR(UPPER($I$22)&lt;&gt;"YES",$AC46="YES"),OR(UPPER($J$22)&lt;&gt;"YES",$AD46="YES")),1,0))</f>
        <v>1</v>
      </c>
      <c r="AJ46" s="339" t="str">
        <f>IF(OR($R46="",$C$11=""),"",IF(COUNTIFS('Ranking History'!$B$5:$B$2000,$R46,'Ranking History'!$A$5:$A$2000,$C$11)=0,"",SUMIFS('Ranking History'!$C$5:$C$2000,'Ranking History'!$B$5:$B$2000,$R46,'Ranking History'!$A$5:$A$2000,$C$11)))</f>
        <v/>
      </c>
      <c r="AK46" s="339" t="str">
        <f ca="1">IF(OR($AJ46="",$AH46=""),"",$AJ46-$AH46)</f>
        <v/>
      </c>
      <c r="AL46" s="339" t="str">
        <f ca="1">IF($AF46="","",IF($AF46&gt;=Settings!$C$76,"BORA SANA",IF($AF46&gt;=Settings!$C$77,"NZURI SANA",IF($AF46&gt;=Settings!$C$78,"NZURI",IF($AF46&gt;=Settings!$C$79,"WASTANI",IF($AF46&gt;=Settings!$C$80,"DHAIFU","DHAIFU SANA"))))))</f>
        <v>NZURI SANA</v>
      </c>
      <c r="AM46" s="339" t="str">
        <f>IF(NOT(ISNUMBER($W46)),"",IF($W46&gt;=Settings!$C$82,"Demand kubwa sana",IF($W46&gt;=Settings!$C$83,"Demand kubwa",IF($W46&gt;=Settings!$C$84,"Demand ya wastani","Demand ndogo sana"))))</f>
        <v>Demand kubwa</v>
      </c>
      <c r="AN46" s="339" t="str">
        <f>IF($R46="","",IF(OR(NOT(ISNUMBER($U46)),NOT(ISNUMBER($W46))),"INCOMPLETE DATA",IF($U46&lt;Settings!$C$88,"Epuka : ubora dhaifu",IF(AND($U46&gt;=Settings!$C$86,$W46&gt;=Settings!$C$87),"Nunua : ubora na mwelekeo vinaungana",IF($U46&gt;=Settings!$C$86,"Fuatilia : ubora mzuri, mwelekeo bado haujathibitisha",IF($W46&gt;=Settings!$C$89,"Fuatilia : ubora wa wastani","Fuatilia : ubora wa wastani, mwelekeo bado dhaifu"))))))</f>
        <v>Fuatilia : ubora mzuri, mwelekeo bado haujathibitisha</v>
      </c>
      <c r="AO46" s="339">
        <f ca="1">IF($R46="","",IF(COUNTIFS('Fundamental Scorecard'!$A$5:$A$44,$R46,'Fundamental Scorecard'!$AE$5:$AE$44,"&gt;=-1E+300")=0,"",SUMIFS('Fundamental Scorecard'!$AE$5:$AE$44,'Fundamental Scorecard'!$A$5:$A$44,$R46)))</f>
        <v>2</v>
      </c>
      <c r="AP46" s="339" t="str" cm="1">
        <f t="array" ref="AP46">IF($R46="","",IF(ISNUMBER(SEARCH("cross-listed",INDEX(Symbols!$C$4:$C$43,ROW()-24))),"YES","NO"))</f>
        <v>NO</v>
      </c>
    </row>
    <row r="47" spans="1:42" x14ac:dyDescent="0.3">
      <c r="A47" s="344" t="str" cm="1">
        <f t="array" aca="1" ref="A47" ca="1">IF($Q47="","",IF(INDEX($AD$25:$AD$64,$Q47)="YES",INDEX($AH$25:$AH$64,$Q47),"—"))</f>
        <v>—</v>
      </c>
      <c r="B47" s="318" t="str" cm="1">
        <f t="array" aca="1" ref="B47" ca="1">IF($Q47="","",INDEX($R$25:$R$64,$Q47))</f>
        <v>PAL</v>
      </c>
      <c r="C47" s="319" t="str" cm="1">
        <f t="array" aca="1" ref="C47" ca="1">IF($Q47="","",INDEX($S$25:$S$64,$Q47))</f>
        <v>Precision Air Services PLC</v>
      </c>
      <c r="D47" s="319" t="str" cm="1">
        <f t="array" aca="1" ref="D47" ca="1">IF($Q47="","",INDEX($T$25:$T$64,$Q47))</f>
        <v>Transport</v>
      </c>
      <c r="E47" s="100" t="str" cm="1">
        <f t="array" aca="1" ref="E47" ca="1">IF($Q47="","",INDEX($U$25:$U$64,$Q47))</f>
        <v/>
      </c>
      <c r="F47" s="100" cm="1">
        <f t="array" aca="1" ref="F47" ca="1">IF($Q47="","",INDEX($W$25:$W$64,$Q47))</f>
        <v>35.700000000000003</v>
      </c>
      <c r="G47" s="100" t="str" cm="1">
        <f t="array" aca="1" ref="G47" ca="1">IF($Q47="","",INDEX($AF$25:$AF$64,$Q47))</f>
        <v/>
      </c>
      <c r="H47" s="319" t="str" cm="1">
        <f t="array" aca="1" ref="H47" ca="1">IF($Q47="","",INDEX($AL$25:$AL$64,$Q47))</f>
        <v/>
      </c>
      <c r="I47" s="319" t="str" cm="1">
        <f t="array" aca="1" ref="I47" ca="1">IF($Q47="","",INDEX($AM$25:$AM$64,$Q47))</f>
        <v>Demand ya wastani</v>
      </c>
      <c r="J47" s="319" t="str" cm="1">
        <f t="array" aca="1" ref="J47" ca="1">IF($Q47="","",INDEX($AN$25:$AN$64,$Q47))</f>
        <v>INCOMPLETE DATA</v>
      </c>
      <c r="K47" s="100" cm="1">
        <f t="array" aca="1" ref="K47" ca="1">IF($Q47="","",INDEX($AA$25:$AA$64,$Q47))</f>
        <v>9.9</v>
      </c>
      <c r="L47" s="100" cm="1">
        <f t="array" aca="1" ref="L47" ca="1">IF($Q47="","",INDEX($AB$25:$AB$64,$Q47))</f>
        <v>75</v>
      </c>
      <c r="M47" s="319" t="str" cm="1">
        <f t="array" aca="1" ref="M47" ca="1">IF($Q47="","",INDEX($V$25:$V$64,$Q47))</f>
        <v>Quarter to 31 Mar 2026</v>
      </c>
      <c r="N47" s="95">
        <f ca="1">IF($Q47="","",$C$7)</f>
        <v>46248</v>
      </c>
      <c r="O47" s="102" t="str" cm="1">
        <f t="array" aca="1" ref="O47" ca="1">IF($Q47="","",INDEX($AJ$25:$AJ$64,$Q47))</f>
        <v/>
      </c>
      <c r="P47" s="319" t="str" cm="1">
        <f t="array" aca="1" ref="P47" ca="1">IF($Q47="","",IF(INDEX($AK$25:$AK$64,$Q47)="","",IF(INDEX($AK$25:$AK$64,$Q47)&gt;0,"▲ +"&amp;INDEX($AK$25:$AK$64,$Q47),IF(INDEX($AK$25:$AK$64,$Q47)&lt;0,"▼ "&amp;INDEX($AK$25:$AK$64,$Q47),"= 0"))))</f>
        <v/>
      </c>
      <c r="Q47" s="116" cm="1">
        <f t="array" aca="1" ref="Q47" ca="1">IF(ROW()-24&lt;=COUNT($AH$25:$AH$64),IFERROR(MATCH(ROW()-24,$AH$25:$AH$64,0),""),IFERROR(SMALL(IF(($AI$25:$AI$64=1)*($AD$25:$AD$64&lt;&gt;"YES")*($R$25:$R$64&lt;&gt;""),ROW($AI$25:$AI$64)-24),ROW()-24-COUNT($AH$25:$AH$64)),""))</f>
        <v>17</v>
      </c>
      <c r="R47" s="339" t="str">
        <f>IF(Symbols!A26="","",Symbols!A26)</f>
        <v>TOL</v>
      </c>
      <c r="S47" s="339" t="str" cm="1">
        <f t="array" ref="S47">IF($R47="","",INDEX(Symbols!$B$4:$B$43,ROW()-24))</f>
        <v>TOL Gases Ltd</v>
      </c>
      <c r="T47" s="339" t="str" cm="1">
        <f t="array" ref="T47">IF($R47="","",INDEX(Symbols!$D$4:$D$43,ROW()-24))</f>
        <v>Basic Materials</v>
      </c>
      <c r="U47" s="340">
        <f>IF($R47="","",IF(COUNTIFS('Fundamental Scorecard'!$A$5:$A$44,$R47,'Fundamental Scorecard'!$E$5:$E$44,"&gt;=-1E+300")=0,"",SUMIFS('Fundamental Scorecard'!$E$5:$E$44,'Fundamental Scorecard'!$A$5:$A$44,$R47)))</f>
        <v>43</v>
      </c>
      <c r="V47" s="339" t="str">
        <f>IF($R47="","",IFERROR(IF(INDEX('Fundamental Scorecard'!$D$5:$D$44,MATCH($R47,'Fundamental Scorecard'!$A$5:$A$44,0))=0,"",INDEX('Fundamental Scorecard'!$D$5:$D$44,MATCH($R47,'Fundamental Scorecard'!$A$5:$A$44,0))),""))</f>
        <v>Quarter to 31 Mar 2026</v>
      </c>
      <c r="W47" s="340">
        <f>IF(OR($R47="",$C$7=""),"",IF(COUNTIFS('Daily Data'!$B$4:$B$503,$R47,'Daily Data'!$A$4:$A$503,$C$7,'Daily Data'!$AH$4:$AH$503,"&gt;=-1E+300")=0,"",SUMIFS('Daily Data'!$AH$4:$AH$503,'Daily Data'!$B$4:$B$503,$R47,'Daily Data'!$A$4:$A$503,$C$7)))</f>
        <v>49.4</v>
      </c>
      <c r="X47" s="341">
        <f>IF(OR($R47="",$C$7=""),"",IF(COUNTIFS('Daily Data'!$B$4:$B$503,$R47,'Daily Data'!$A$4:$A$503,$C$7,'Daily Data'!$S$4:$S$503,"&gt;=-1E+300")=0,"",SUMIFS('Daily Data'!$S$4:$S$503,'Daily Data'!$B$4:$B$503,$R47,'Daily Data'!$A$4:$A$503,$C$7)))</f>
        <v>0.7302564102564103</v>
      </c>
      <c r="Y47" s="342" t="str">
        <f>IF(OR($R47="",$C$7=""),"",IF(COUNTIFS('Daily Data'!$B$4:$B$503,$R47,'Daily Data'!$A$4:$A$503,$C$7,'Daily Data'!$AA$4:$AA$503,"&gt;=-1E+300")=0,"",SUMIFS('Daily Data'!$AA$4:$AA$503,'Daily Data'!$B$4:$B$503,$R47,'Daily Data'!$A$4:$A$503,$C$7)))</f>
        <v/>
      </c>
      <c r="Z47" s="341" t="str">
        <f>IF(OR($R47="",$C$7=""),"",IF(COUNTIFS('Daily Data'!$B$4:$B$503,$R47,'Daily Data'!$A$4:$A$503,$C$7,'Daily Data'!$AC$4:$AC$503,"&gt;=-1E+300")=0,"",SUMIFS('Daily Data'!$AC$4:$AC$503,'Daily Data'!$B$4:$B$503,$R47,'Daily Data'!$A$4:$A$503,$C$7)))</f>
        <v/>
      </c>
      <c r="AA47" s="340">
        <f>IF(OR($R47="",$C$7=""),"",IF(COUNTIFS('Daily Data'!$B$4:$B$503,$R47,'Daily Data'!$A$4:$A$503,$C$7,'Daily Data'!$AG$4:$AG$503,"&gt;=-1E+300")=0,"",SUMIFS('Daily Data'!$AG$4:$AG$503,'Daily Data'!$B$4:$B$503,$R47,'Daily Data'!$A$4:$A$503,$C$7)))</f>
        <v>9.1999999999999993</v>
      </c>
      <c r="AB47" s="340">
        <f>IF(OR($R47="",$C$7=""),"",IF(COUNTIFS('Daily Data'!$B$4:$B$503,$R47,'Daily Data'!$A$4:$A$503,$C$7,'Daily Data'!$AI$4:$AI$503,"&gt;=-1E+300")=0,"",SUMIFS('Daily Data'!$AI$4:$AI$503,'Daily Data'!$B$4:$B$503,$R47,'Daily Data'!$A$4:$A$503,$C$7)))</f>
        <v>75</v>
      </c>
      <c r="AC47" s="339" t="str" cm="1">
        <f t="array" ref="AC47">IF($R47="","",IF(UPPER(INDEX(Symbols!$F$4:$F$43,ROW()-24))="YES","YES","NO"))</f>
        <v>YES</v>
      </c>
      <c r="AD47" s="339" t="str">
        <f ca="1">IF($R47="","",IF(ROUND(Settings!$C$65+Settings!$C$66,6)&lt;&gt;1,"NO",IF($AC47&lt;&gt;"YES","NO",IF(AND(UPPER(Settings!$C$105)="YES",$AP47="YES"),"NO",IF(NOT(ISNUMBER($U47)),"NO",IF(NOT(ISNUMBER($W47)),"NO",IF($C$7="","NO",IF($C$6-$C$7&gt;Settings!$C$70,"NO",IF(AND(ISNUMBER($AO47),$AO47&gt;Settings!$C$104),"NO",IF(N($AB47)&lt;Settings!$C$71,"NO",IF(N($AA47)&lt;Settings!$C$72,"NO","YES")))))))))))</f>
        <v>YES</v>
      </c>
      <c r="AE47" s="339" t="str">
        <f ca="1">IF($R47="","",IF($AD47="YES","",IF(ROUND(Settings!$C$65+Settings!$C$66,6)&lt;&gt;1,"Ranking weights do not total 100%",IF($AC47&lt;&gt;"YES","Security is not active",IF(AND(UPPER(Settings!$C$105)="YES",$AP47="YES"),"Cross-listed security, excluded by Settings!C105",IF(NOT(ISNUMBER($U47)),"Missing fundamental data",IF(NOT(ISNUMBER($W47)),"No market observation on the date used",IF($C$7="","No market data available",IF($C$6-$C$7&gt;Settings!$C$70,"Market data is stale",IF(AND(ISNUMBER($AO47),$AO47&gt;Settings!$C$104),"Fundamental statement is stale ("&amp;$AO47&amp;" months old)",IF(N($AB47)&lt;Settings!$C$71,"Data confidence below minimum","Liquidity below minimum")))))))))))</f>
        <v/>
      </c>
      <c r="AF47" s="340">
        <f ca="1">IF($AD47&lt;&gt;"YES","",ROUND($U47*RankingFundamentalWeight+$W47*RankingSentimentWeight,1))</f>
        <v>44.9</v>
      </c>
      <c r="AG47" s="339">
        <f ca="1">IF($AD47&lt;&gt;"YES","",$AF47+$U47/10000+$W47/100000000+N($AB47)/1000000000000)</f>
        <v>44.904300494074995</v>
      </c>
      <c r="AH47" s="343" cm="1">
        <f t="array" aca="1" ref="AH47" ca="1">IF(OR($AD47&lt;&gt;"YES",$AI47&lt;&gt;1),"",SUMPRODUCT(($AI$25:$AI$64=1)*($AD$25:$AD$64="YES")*($AG$25:$AG$64&gt;$AG47))+SUMPRODUCT(($AI$25:$AI$64=1)*($AD$25:$AD$64="YES")*($AG$25:$AG$64=$AG47)*($R$25:$R$64&lt;$R47))+1)</f>
        <v>15</v>
      </c>
      <c r="AI47" s="339">
        <f ca="1">IF($R47="","",IF(AND(OR($A$22="",$T47=$A$22),OR($B$22="",$AL47=$B$22),OR($C$22="",$AM47=$C$22),OR($D$22="",AND(ISNUMBER($U47),N($U47)&gt;=$D$22)),OR($E$22="",AND(ISNUMBER($W47),N($W47)&gt;=$E$22)),OR($F$22="",AND(ISNUMBER($AF47),N($AF47)&gt;=$F$22)),OR($G$22="",N($AA47)&gt;=$G$22),OR($H$22="",N($AB47)&gt;=$H$22),OR(UPPER($I$22)&lt;&gt;"YES",$AC47="YES"),OR(UPPER($J$22)&lt;&gt;"YES",$AD47="YES")),1,0))</f>
        <v>1</v>
      </c>
      <c r="AJ47" s="339" t="str">
        <f>IF(OR($R47="",$C$11=""),"",IF(COUNTIFS('Ranking History'!$B$5:$B$2000,$R47,'Ranking History'!$A$5:$A$2000,$C$11)=0,"",SUMIFS('Ranking History'!$C$5:$C$2000,'Ranking History'!$B$5:$B$2000,$R47,'Ranking History'!$A$5:$A$2000,$C$11)))</f>
        <v/>
      </c>
      <c r="AK47" s="339" t="str">
        <f ca="1">IF(OR($AJ47="",$AH47=""),"",$AJ47-$AH47)</f>
        <v/>
      </c>
      <c r="AL47" s="339" t="str">
        <f ca="1">IF($AF47="","",IF($AF47&gt;=Settings!$C$76,"BORA SANA",IF($AF47&gt;=Settings!$C$77,"NZURI SANA",IF($AF47&gt;=Settings!$C$78,"NZURI",IF($AF47&gt;=Settings!$C$79,"WASTANI",IF($AF47&gt;=Settings!$C$80,"DHAIFU","DHAIFU SANA"))))))</f>
        <v>DHAIFU</v>
      </c>
      <c r="AM47" s="339" t="str">
        <f>IF(NOT(ISNUMBER($W47)),"",IF($W47&gt;=Settings!$C$82,"Demand kubwa sana",IF($W47&gt;=Settings!$C$83,"Demand kubwa",IF($W47&gt;=Settings!$C$84,"Demand ya wastani","Demand ndogo sana"))))</f>
        <v>Demand ya wastani</v>
      </c>
      <c r="AN47" s="339" t="str">
        <f>IF($R47="","",IF(OR(NOT(ISNUMBER($U47)),NOT(ISNUMBER($W47))),"INCOMPLETE DATA",IF($U47&lt;Settings!$C$88,"Epuka : ubora dhaifu",IF(AND($U47&gt;=Settings!$C$86,$W47&gt;=Settings!$C$87),"Nunua : ubora na mwelekeo vinaungana",IF($U47&gt;=Settings!$C$86,"Fuatilia : ubora mzuri, mwelekeo bado haujathibitisha",IF($W47&gt;=Settings!$C$89,"Fuatilia : ubora wa wastani","Fuatilia : ubora wa wastani, mwelekeo bado dhaifu"))))))</f>
        <v>Epuka : ubora dhaifu</v>
      </c>
      <c r="AO47" s="339">
        <f ca="1">IF($R47="","",IF(COUNTIFS('Fundamental Scorecard'!$A$5:$A$44,$R47,'Fundamental Scorecard'!$AE$5:$AE$44,"&gt;=-1E+300")=0,"",SUMIFS('Fundamental Scorecard'!$AE$5:$AE$44,'Fundamental Scorecard'!$A$5:$A$44,$R47)))</f>
        <v>5</v>
      </c>
      <c r="AP47" s="339" t="str" cm="1">
        <f t="array" ref="AP47">IF($R47="","",IF(ISNUMBER(SEARCH("cross-listed",INDEX(Symbols!$C$4:$C$43,ROW()-24))),"YES","NO"))</f>
        <v>NO</v>
      </c>
    </row>
    <row r="48" spans="1:42" x14ac:dyDescent="0.3">
      <c r="A48" s="344" t="str" cm="1">
        <f t="array" aca="1" ref="A48" ca="1">IF($Q48="","",IF(INDEX($AD$25:$AD$64,$Q48)="YES",INDEX($AH$25:$AH$64,$Q48),"—"))</f>
        <v>—</v>
      </c>
      <c r="B48" s="318" t="str" cm="1">
        <f t="array" aca="1" ref="B48" ca="1">IF($Q48="","",INDEX($R$25:$R$64,$Q48))</f>
        <v>SWALA</v>
      </c>
      <c r="C48" s="319" t="str" cm="1">
        <f t="array" aca="1" ref="C48" ca="1">IF($Q48="","",INDEX($S$25:$S$64,$Q48))</f>
        <v>Swala Oil and Gas (Tanzania) PLC</v>
      </c>
      <c r="D48" s="319" t="str" cm="1">
        <f t="array" aca="1" ref="D48" ca="1">IF($Q48="","",INDEX($T$25:$T$64,$Q48))</f>
        <v>Oil &amp; Gas</v>
      </c>
      <c r="E48" s="100" t="str" cm="1">
        <f t="array" aca="1" ref="E48" ca="1">IF($Q48="","",INDEX($U$25:$U$64,$Q48))</f>
        <v/>
      </c>
      <c r="F48" s="100" cm="1">
        <f t="array" aca="1" ref="F48" ca="1">IF($Q48="","",INDEX($W$25:$W$64,$Q48))</f>
        <v>50</v>
      </c>
      <c r="G48" s="100" t="str" cm="1">
        <f t="array" aca="1" ref="G48" ca="1">IF($Q48="","",INDEX($AF$25:$AF$64,$Q48))</f>
        <v/>
      </c>
      <c r="H48" s="319" t="str" cm="1">
        <f t="array" aca="1" ref="H48" ca="1">IF($Q48="","",INDEX($AL$25:$AL$64,$Q48))</f>
        <v/>
      </c>
      <c r="I48" s="319" t="str" cm="1">
        <f t="array" aca="1" ref="I48" ca="1">IF($Q48="","",INDEX($AM$25:$AM$64,$Q48))</f>
        <v>Demand kubwa</v>
      </c>
      <c r="J48" s="319" t="str" cm="1">
        <f t="array" aca="1" ref="J48" ca="1">IF($Q48="","",INDEX($AN$25:$AN$64,$Q48))</f>
        <v>INCOMPLETE DATA</v>
      </c>
      <c r="K48" s="100" cm="1">
        <f t="array" aca="1" ref="K48" ca="1">IF($Q48="","",INDEX($AA$25:$AA$64,$Q48))</f>
        <v>0</v>
      </c>
      <c r="L48" s="100" cm="1">
        <f t="array" aca="1" ref="L48" ca="1">IF($Q48="","",INDEX($AB$25:$AB$64,$Q48))</f>
        <v>30</v>
      </c>
      <c r="M48" s="319" t="str" cm="1">
        <f t="array" aca="1" ref="M48" ca="1">IF($Q48="","",INDEX($V$25:$V$64,$Q48))</f>
        <v>Half to 30 Jun 2020</v>
      </c>
      <c r="N48" s="95">
        <f ca="1">IF($Q48="","",$C$7)</f>
        <v>46248</v>
      </c>
      <c r="O48" s="102" t="str" cm="1">
        <f t="array" aca="1" ref="O48" ca="1">IF($Q48="","",INDEX($AJ$25:$AJ$64,$Q48))</f>
        <v/>
      </c>
      <c r="P48" s="319" t="str" cm="1">
        <f t="array" aca="1" ref="P48" ca="1">IF($Q48="","",IF(INDEX($AK$25:$AK$64,$Q48)="","",IF(INDEX($AK$25:$AK$64,$Q48)&gt;0,"▲ +"&amp;INDEX($AK$25:$AK$64,$Q48),IF(INDEX($AK$25:$AK$64,$Q48)&lt;0,"▼ "&amp;INDEX($AK$25:$AK$64,$Q48),"= 0"))))</f>
        <v/>
      </c>
      <c r="Q48" s="116" cm="1">
        <f t="array" aca="1" ref="Q48" ca="1">IF(ROW()-24&lt;=COUNT($AH$25:$AH$64),IFERROR(MATCH(ROW()-24,$AH$25:$AH$64,0),""),IFERROR(SMALL(IF(($AI$25:$AI$64=1)*($AD$25:$AD$64&lt;&gt;"YES")*($R$25:$R$64&lt;&gt;""),ROW($AI$25:$AI$64)-24),ROW()-24-COUNT($AH$25:$AH$64)),""))</f>
        <v>18</v>
      </c>
      <c r="R48" s="339" t="str">
        <f>IF(Symbols!A27="","",Symbols!A27)</f>
        <v>TPCC</v>
      </c>
      <c r="S48" s="339" t="str" cm="1">
        <f t="array" ref="S48">IF($R48="","",INDEX(Symbols!$B$4:$B$43,ROW()-24))</f>
        <v>Tanzania Portland Cement PLC (Twiga)</v>
      </c>
      <c r="T48" s="339" t="str" cm="1">
        <f t="array" ref="T48">IF($R48="","",INDEX(Symbols!$D$4:$D$43,ROW()-24))</f>
        <v>Industrials</v>
      </c>
      <c r="U48" s="340">
        <f>IF($R48="","",IF(COUNTIFS('Fundamental Scorecard'!$A$5:$A$44,$R48,'Fundamental Scorecard'!$E$5:$E$44,"&gt;=-1E+300")=0,"",SUMIFS('Fundamental Scorecard'!$E$5:$E$44,'Fundamental Scorecard'!$A$5:$A$44,$R48)))</f>
        <v>74.3</v>
      </c>
      <c r="V48" s="339" t="str">
        <f>IF($R48="","",IFERROR(IF(INDEX('Fundamental Scorecard'!$D$5:$D$44,MATCH($R48,'Fundamental Scorecard'!$A$5:$A$44,0))=0,"",INDEX('Fundamental Scorecard'!$D$5:$D$44,MATCH($R48,'Fundamental Scorecard'!$A$5:$A$44,0))),""))</f>
        <v>Q2 2026 (30 Jun 2026)</v>
      </c>
      <c r="W48" s="340">
        <f>IF(OR($R48="",$C$7=""),"",IF(COUNTIFS('Daily Data'!$B$4:$B$503,$R48,'Daily Data'!$A$4:$A$503,$C$7,'Daily Data'!$AH$4:$AH$503,"&gt;=-1E+300")=0,"",SUMIFS('Daily Data'!$AH$4:$AH$503,'Daily Data'!$B$4:$B$503,$R48,'Daily Data'!$A$4:$A$503,$C$7)))</f>
        <v>70.900000000000006</v>
      </c>
      <c r="X48" s="341">
        <f>IF(OR($R48="",$C$7=""),"",IF(COUNTIFS('Daily Data'!$B$4:$B$503,$R48,'Daily Data'!$A$4:$A$503,$C$7,'Daily Data'!$S$4:$S$503,"&gt;=-1E+300")=0,"",SUMIFS('Daily Data'!$S$4:$S$503,'Daily Data'!$B$4:$B$503,$R48,'Daily Data'!$A$4:$A$503,$C$7)))</f>
        <v>866</v>
      </c>
      <c r="Y48" s="342" t="str">
        <f>IF(OR($R48="",$C$7=""),"",IF(COUNTIFS('Daily Data'!$B$4:$B$503,$R48,'Daily Data'!$A$4:$A$503,$C$7,'Daily Data'!$AA$4:$AA$503,"&gt;=-1E+300")=0,"",SUMIFS('Daily Data'!$AA$4:$AA$503,'Daily Data'!$B$4:$B$503,$R48,'Daily Data'!$A$4:$A$503,$C$7)))</f>
        <v/>
      </c>
      <c r="Z48" s="341" t="str">
        <f>IF(OR($R48="",$C$7=""),"",IF(COUNTIFS('Daily Data'!$B$4:$B$503,$R48,'Daily Data'!$A$4:$A$503,$C$7,'Daily Data'!$AC$4:$AC$503,"&gt;=-1E+300")=0,"",SUMIFS('Daily Data'!$AC$4:$AC$503,'Daily Data'!$B$4:$B$503,$R48,'Daily Data'!$A$4:$A$503,$C$7)))</f>
        <v/>
      </c>
      <c r="AA48" s="340">
        <f>IF(OR($R48="",$C$7=""),"",IF(COUNTIFS('Daily Data'!$B$4:$B$503,$R48,'Daily Data'!$A$4:$A$503,$C$7,'Daily Data'!$AG$4:$AG$503,"&gt;=-1E+300")=0,"",SUMIFS('Daily Data'!$AG$4:$AG$503,'Daily Data'!$B$4:$B$503,$R48,'Daily Data'!$A$4:$A$503,$C$7)))</f>
        <v>57.9</v>
      </c>
      <c r="AB48" s="340">
        <f>IF(OR($R48="",$C$7=""),"",IF(COUNTIFS('Daily Data'!$B$4:$B$503,$R48,'Daily Data'!$A$4:$A$503,$C$7,'Daily Data'!$AI$4:$AI$503,"&gt;=-1E+300")=0,"",SUMIFS('Daily Data'!$AI$4:$AI$503,'Daily Data'!$B$4:$B$503,$R48,'Daily Data'!$A$4:$A$503,$C$7)))</f>
        <v>75</v>
      </c>
      <c r="AC48" s="339" t="str" cm="1">
        <f t="array" ref="AC48">IF($R48="","",IF(UPPER(INDEX(Symbols!$F$4:$F$43,ROW()-24))="YES","YES","NO"))</f>
        <v>YES</v>
      </c>
      <c r="AD48" s="339" t="str">
        <f ca="1">IF($R48="","",IF(ROUND(Settings!$C$65+Settings!$C$66,6)&lt;&gt;1,"NO",IF($AC48&lt;&gt;"YES","NO",IF(AND(UPPER(Settings!$C$105)="YES",$AP48="YES"),"NO",IF(NOT(ISNUMBER($U48)),"NO",IF(NOT(ISNUMBER($W48)),"NO",IF($C$7="","NO",IF($C$6-$C$7&gt;Settings!$C$70,"NO",IF(AND(ISNUMBER($AO48),$AO48&gt;Settings!$C$104),"NO",IF(N($AB48)&lt;Settings!$C$71,"NO",IF(N($AA48)&lt;Settings!$C$72,"NO","YES")))))))))))</f>
        <v>YES</v>
      </c>
      <c r="AE48" s="339" t="str">
        <f ca="1">IF($R48="","",IF($AD48="YES","",IF(ROUND(Settings!$C$65+Settings!$C$66,6)&lt;&gt;1,"Ranking weights do not total 100%",IF($AC48&lt;&gt;"YES","Security is not active",IF(AND(UPPER(Settings!$C$105)="YES",$AP48="YES"),"Cross-listed security, excluded by Settings!C105",IF(NOT(ISNUMBER($U48)),"Missing fundamental data",IF(NOT(ISNUMBER($W48)),"No market observation on the date used",IF($C$7="","No market data available",IF($C$6-$C$7&gt;Settings!$C$70,"Market data is stale",IF(AND(ISNUMBER($AO48),$AO48&gt;Settings!$C$104),"Fundamental statement is stale ("&amp;$AO48&amp;" months old)",IF(N($AB48)&lt;Settings!$C$71,"Data confidence below minimum","Liquidity below minimum")))))))))))</f>
        <v/>
      </c>
      <c r="AF48" s="340">
        <f ca="1">IF($AD48&lt;&gt;"YES","",ROUND($U48*RankingFundamentalWeight+$W48*RankingSentimentWeight,1))</f>
        <v>73.3</v>
      </c>
      <c r="AG48" s="339">
        <f ca="1">IF($AD48&lt;&gt;"YES","",$AF48+$U48/10000+$W48/100000000+N($AB48)/1000000000000)</f>
        <v>73.307430709075007</v>
      </c>
      <c r="AH48" s="343" cm="1">
        <f t="array" aca="1" ref="AH48" ca="1">IF(OR($AD48&lt;&gt;"YES",$AI48&lt;&gt;1),"",SUMPRODUCT(($AI$25:$AI$64=1)*($AD$25:$AD$64="YES")*($AG$25:$AG$64&gt;$AG48))+SUMPRODUCT(($AI$25:$AI$64=1)*($AD$25:$AD$64="YES")*($AG$25:$AG$64=$AG48)*($R$25:$R$64&lt;$R48))+1)</f>
        <v>6</v>
      </c>
      <c r="AI48" s="339">
        <f ca="1">IF($R48="","",IF(AND(OR($A$22="",$T48=$A$22),OR($B$22="",$AL48=$B$22),OR($C$22="",$AM48=$C$22),OR($D$22="",AND(ISNUMBER($U48),N($U48)&gt;=$D$22)),OR($E$22="",AND(ISNUMBER($W48),N($W48)&gt;=$E$22)),OR($F$22="",AND(ISNUMBER($AF48),N($AF48)&gt;=$F$22)),OR($G$22="",N($AA48)&gt;=$G$22),OR($H$22="",N($AB48)&gt;=$H$22),OR(UPPER($I$22)&lt;&gt;"YES",$AC48="YES"),OR(UPPER($J$22)&lt;&gt;"YES",$AD48="YES")),1,0))</f>
        <v>1</v>
      </c>
      <c r="AJ48" s="339" t="str">
        <f>IF(OR($R48="",$C$11=""),"",IF(COUNTIFS('Ranking History'!$B$5:$B$2000,$R48,'Ranking History'!$A$5:$A$2000,$C$11)=0,"",SUMIFS('Ranking History'!$C$5:$C$2000,'Ranking History'!$B$5:$B$2000,$R48,'Ranking History'!$A$5:$A$2000,$C$11)))</f>
        <v/>
      </c>
      <c r="AK48" s="339" t="str">
        <f ca="1">IF(OR($AJ48="",$AH48=""),"",$AJ48-$AH48)</f>
        <v/>
      </c>
      <c r="AL48" s="339" t="str">
        <f ca="1">IF($AF48="","",IF($AF48&gt;=Settings!$C$76,"BORA SANA",IF($AF48&gt;=Settings!$C$77,"NZURI SANA",IF($AF48&gt;=Settings!$C$78,"NZURI",IF($AF48&gt;=Settings!$C$79,"WASTANI",IF($AF48&gt;=Settings!$C$80,"DHAIFU","DHAIFU SANA"))))))</f>
        <v>NZURI SANA</v>
      </c>
      <c r="AM48" s="339" t="str">
        <f>IF(NOT(ISNUMBER($W48)),"",IF($W48&gt;=Settings!$C$82,"Demand kubwa sana",IF($W48&gt;=Settings!$C$83,"Demand kubwa",IF($W48&gt;=Settings!$C$84,"Demand ya wastani","Demand ndogo sana"))))</f>
        <v>Demand kubwa</v>
      </c>
      <c r="AN48" s="339" t="str">
        <f>IF($R48="","",IF(OR(NOT(ISNUMBER($U48)),NOT(ISNUMBER($W48))),"INCOMPLETE DATA",IF($U48&lt;Settings!$C$88,"Epuka : ubora dhaifu",IF(AND($U48&gt;=Settings!$C$86,$W48&gt;=Settings!$C$87),"Nunua : ubora na mwelekeo vinaungana",IF($U48&gt;=Settings!$C$86,"Fuatilia : ubora mzuri, mwelekeo bado haujathibitisha",IF($W48&gt;=Settings!$C$89,"Fuatilia : ubora wa wastani","Fuatilia : ubora wa wastani, mwelekeo bado dhaifu"))))))</f>
        <v>Nunua : ubora na mwelekeo vinaungana</v>
      </c>
      <c r="AO48" s="339">
        <f ca="1">IF($R48="","",IF(COUNTIFS('Fundamental Scorecard'!$A$5:$A$44,$R48,'Fundamental Scorecard'!$AE$5:$AE$44,"&gt;=-1E+300")=0,"",SUMIFS('Fundamental Scorecard'!$AE$5:$AE$44,'Fundamental Scorecard'!$A$5:$A$44,$R48)))</f>
        <v>2</v>
      </c>
      <c r="AP48" s="339" t="str" cm="1">
        <f t="array" ref="AP48">IF($R48="","",IF(ISNUMBER(SEARCH("cross-listed",INDEX(Symbols!$C$4:$C$43,ROW()-24))),"YES","NO"))</f>
        <v>NO</v>
      </c>
    </row>
    <row r="49" spans="1:42" x14ac:dyDescent="0.3">
      <c r="A49" s="344" t="str" cm="1">
        <f t="array" aca="1" ref="A49" ca="1">IF($Q49="","",IF(INDEX($AD$25:$AD$64,$Q49)="YES",INDEX($AH$25:$AH$64,$Q49),"—"))</f>
        <v>—</v>
      </c>
      <c r="B49" s="318" t="str" cm="1">
        <f t="array" aca="1" ref="B49" ca="1">IF($Q49="","",INDEX($R$25:$R$64,$Q49))</f>
        <v>SWIS</v>
      </c>
      <c r="C49" s="319" t="str" cm="1">
        <f t="array" aca="1" ref="C49" ca="1">IF($Q49="","",INDEX($S$25:$S$64,$Q49))</f>
        <v>Swissport Tanzania PLC</v>
      </c>
      <c r="D49" s="319" t="str" cm="1">
        <f t="array" aca="1" ref="D49" ca="1">IF($Q49="","",INDEX($T$25:$T$64,$Q49))</f>
        <v>Industrials</v>
      </c>
      <c r="E49" s="100" cm="1">
        <f t="array" aca="1" ref="E49" ca="1">IF($Q49="","",INDEX($U$25:$U$64,$Q49))</f>
        <v>51.6</v>
      </c>
      <c r="F49" s="100" cm="1">
        <f t="array" aca="1" ref="F49" ca="1">IF($Q49="","",INDEX($W$25:$W$64,$Q49))</f>
        <v>68.599999999999994</v>
      </c>
      <c r="G49" s="100" t="str" cm="1">
        <f t="array" aca="1" ref="G49" ca="1">IF($Q49="","",INDEX($AF$25:$AF$64,$Q49))</f>
        <v/>
      </c>
      <c r="H49" s="319" t="str" cm="1">
        <f t="array" aca="1" ref="H49" ca="1">IF($Q49="","",INDEX($AL$25:$AL$64,$Q49))</f>
        <v/>
      </c>
      <c r="I49" s="319" t="str" cm="1">
        <f t="array" aca="1" ref="I49" ca="1">IF($Q49="","",INDEX($AM$25:$AM$64,$Q49))</f>
        <v>Demand kubwa</v>
      </c>
      <c r="J49" s="319" t="str" cm="1">
        <f t="array" aca="1" ref="J49" ca="1">IF($Q49="","",INDEX($AN$25:$AN$64,$Q49))</f>
        <v>Fuatilia : ubora wa wastani</v>
      </c>
      <c r="K49" s="100" cm="1">
        <f t="array" aca="1" ref="K49" ca="1">IF($Q49="","",INDEX($AA$25:$AA$64,$Q49))</f>
        <v>6.8</v>
      </c>
      <c r="L49" s="100" cm="1">
        <f t="array" aca="1" ref="L49" ca="1">IF($Q49="","",INDEX($AB$25:$AB$64,$Q49))</f>
        <v>55</v>
      </c>
      <c r="M49" s="319" t="str" cm="1">
        <f t="array" aca="1" ref="M49" ca="1">IF($Q49="","",INDEX($V$25:$V$64,$Q49))</f>
        <v>Quarter to 31 Mar 2026</v>
      </c>
      <c r="N49" s="95">
        <f ca="1">IF($Q49="","",$C$7)</f>
        <v>46248</v>
      </c>
      <c r="O49" s="102" t="str" cm="1">
        <f t="array" aca="1" ref="O49" ca="1">IF($Q49="","",INDEX($AJ$25:$AJ$64,$Q49))</f>
        <v/>
      </c>
      <c r="P49" s="319" t="str" cm="1">
        <f t="array" aca="1" ref="P49" ca="1">IF($Q49="","",IF(INDEX($AK$25:$AK$64,$Q49)="","",IF(INDEX($AK$25:$AK$64,$Q49)&gt;0,"▲ +"&amp;INDEX($AK$25:$AK$64,$Q49),IF(INDEX($AK$25:$AK$64,$Q49)&lt;0,"▼ "&amp;INDEX($AK$25:$AK$64,$Q49),"= 0"))))</f>
        <v/>
      </c>
      <c r="Q49" s="116" cm="1">
        <f t="array" aca="1" ref="Q49" ca="1">IF(ROW()-24&lt;=COUNT($AH$25:$AH$64),IFERROR(MATCH(ROW()-24,$AH$25:$AH$64,0),""),IFERROR(SMALL(IF(($AI$25:$AI$64=1)*($AD$25:$AD$64&lt;&gt;"YES")*($R$25:$R$64&lt;&gt;""),ROW($AI$25:$AI$64)-24),ROW()-24-COUNT($AH$25:$AH$64)),""))</f>
        <v>19</v>
      </c>
      <c r="R49" s="339" t="str">
        <f>IF(Symbols!A28="","",Symbols!A28)</f>
        <v>TTP</v>
      </c>
      <c r="S49" s="339" t="str" cm="1">
        <f t="array" ref="S49">IF($R49="","",INDEX(Symbols!$B$4:$B$43,ROW()-24))</f>
        <v>Tanzania Tea Packers Ltd (TATEPA)</v>
      </c>
      <c r="T49" s="339" t="str" cm="1">
        <f t="array" ref="T49">IF($R49="","",INDEX(Symbols!$D$4:$D$43,ROW()-24))</f>
        <v>Consumer Goods</v>
      </c>
      <c r="U49" s="340" t="str">
        <f>IF($R49="","",IF(COUNTIFS('Fundamental Scorecard'!$A$5:$A$44,$R49,'Fundamental Scorecard'!$E$5:$E$44,"&gt;=-1E+300")=0,"",SUMIFS('Fundamental Scorecard'!$E$5:$E$44,'Fundamental Scorecard'!$A$5:$A$44,$R49)))</f>
        <v/>
      </c>
      <c r="V49" s="339" t="str">
        <f>IF($R49="","",IFERROR(IF(INDEX('Fundamental Scorecard'!$D$5:$D$44,MATCH($R49,'Fundamental Scorecard'!$A$5:$A$44,0))=0,"",INDEX('Fundamental Scorecard'!$D$5:$D$44,MATCH($R49,'Fundamental Scorecard'!$A$5:$A$44,0))),""))</f>
        <v>Full to 31 Mar 2026</v>
      </c>
      <c r="W49" s="340">
        <f>IF(OR($R49="",$C$7=""),"",IF(COUNTIFS('Daily Data'!$B$4:$B$503,$R49,'Daily Data'!$A$4:$A$503,$C$7,'Daily Data'!$AH$4:$AH$503,"&gt;=-1E+300")=0,"",SUMIFS('Daily Data'!$AH$4:$AH$503,'Daily Data'!$B$4:$B$503,$R49,'Daily Data'!$A$4:$A$503,$C$7)))</f>
        <v>50.8</v>
      </c>
      <c r="X49" s="341">
        <f>IF(OR($R49="",$C$7=""),"",IF(COUNTIFS('Daily Data'!$B$4:$B$503,$R49,'Daily Data'!$A$4:$A$503,$C$7,'Daily Data'!$S$4:$S$503,"&gt;=-1E+300")=0,"",SUMIFS('Daily Data'!$S$4:$S$503,'Daily Data'!$B$4:$B$503,$R49,'Daily Data'!$A$4:$A$503,$C$7)))</f>
        <v>1.0760118460019743</v>
      </c>
      <c r="Y49" s="342" t="str">
        <f>IF(OR($R49="",$C$7=""),"",IF(COUNTIFS('Daily Data'!$B$4:$B$503,$R49,'Daily Data'!$A$4:$A$503,$C$7,'Daily Data'!$AA$4:$AA$503,"&gt;=-1E+300")=0,"",SUMIFS('Daily Data'!$AA$4:$AA$503,'Daily Data'!$B$4:$B$503,$R49,'Daily Data'!$A$4:$A$503,$C$7)))</f>
        <v/>
      </c>
      <c r="Z49" s="341" t="str">
        <f>IF(OR($R49="",$C$7=""),"",IF(COUNTIFS('Daily Data'!$B$4:$B$503,$R49,'Daily Data'!$A$4:$A$503,$C$7,'Daily Data'!$AC$4:$AC$503,"&gt;=-1E+300")=0,"",SUMIFS('Daily Data'!$AC$4:$AC$503,'Daily Data'!$B$4:$B$503,$R49,'Daily Data'!$A$4:$A$503,$C$7)))</f>
        <v/>
      </c>
      <c r="AA49" s="340">
        <f>IF(OR($R49="",$C$7=""),"",IF(COUNTIFS('Daily Data'!$B$4:$B$503,$R49,'Daily Data'!$A$4:$A$503,$C$7,'Daily Data'!$AG$4:$AG$503,"&gt;=-1E+300")=0,"",SUMIFS('Daily Data'!$AG$4:$AG$503,'Daily Data'!$B$4:$B$503,$R49,'Daily Data'!$A$4:$A$503,$C$7)))</f>
        <v>4.7</v>
      </c>
      <c r="AB49" s="340">
        <f>IF(OR($R49="",$C$7=""),"",IF(COUNTIFS('Daily Data'!$B$4:$B$503,$R49,'Daily Data'!$A$4:$A$503,$C$7,'Daily Data'!$AI$4:$AI$503,"&gt;=-1E+300")=0,"",SUMIFS('Daily Data'!$AI$4:$AI$503,'Daily Data'!$B$4:$B$503,$R49,'Daily Data'!$A$4:$A$503,$C$7)))</f>
        <v>75</v>
      </c>
      <c r="AC49" s="339" t="str" cm="1">
        <f t="array" ref="AC49">IF($R49="","",IF(UPPER(INDEX(Symbols!$F$4:$F$43,ROW()-24))="YES","YES","NO"))</f>
        <v>YES</v>
      </c>
      <c r="AD49" s="339" t="str">
        <f>IF($R49="","",IF(ROUND(Settings!$C$65+Settings!$C$66,6)&lt;&gt;1,"NO",IF($AC49&lt;&gt;"YES","NO",IF(AND(UPPER(Settings!$C$105)="YES",$AP49="YES"),"NO",IF(NOT(ISNUMBER($U49)),"NO",IF(NOT(ISNUMBER($W49)),"NO",IF($C$7="","NO",IF($C$6-$C$7&gt;Settings!$C$70,"NO",IF(AND(ISNUMBER($AO49),$AO49&gt;Settings!$C$104),"NO",IF(N($AB49)&lt;Settings!$C$71,"NO",IF(N($AA49)&lt;Settings!$C$72,"NO","YES")))))))))))</f>
        <v>NO</v>
      </c>
      <c r="AE49" s="339" t="str">
        <f>IF($R49="","",IF($AD49="YES","",IF(ROUND(Settings!$C$65+Settings!$C$66,6)&lt;&gt;1,"Ranking weights do not total 100%",IF($AC49&lt;&gt;"YES","Security is not active",IF(AND(UPPER(Settings!$C$105)="YES",$AP49="YES"),"Cross-listed security, excluded by Settings!C105",IF(NOT(ISNUMBER($U49)),"Missing fundamental data",IF(NOT(ISNUMBER($W49)),"No market observation on the date used",IF($C$7="","No market data available",IF($C$6-$C$7&gt;Settings!$C$70,"Market data is stale",IF(AND(ISNUMBER($AO49),$AO49&gt;Settings!$C$104),"Fundamental statement is stale ("&amp;$AO49&amp;" months old)",IF(N($AB49)&lt;Settings!$C$71,"Data confidence below minimum","Liquidity below minimum")))))))))))</f>
        <v>Missing fundamental data</v>
      </c>
      <c r="AF49" s="340" t="str">
        <f>IF($AD49&lt;&gt;"YES","",ROUND($U49*RankingFundamentalWeight+$W49*RankingSentimentWeight,1))</f>
        <v/>
      </c>
      <c r="AG49" s="339" t="str">
        <f>IF($AD49&lt;&gt;"YES","",$AF49+$U49/10000+$W49/100000000+N($AB49)/1000000000000)</f>
        <v/>
      </c>
      <c r="AH49" s="343" t="str" cm="1">
        <f t="array" ref="AH49">IF(OR($AD49&lt;&gt;"YES",$AI49&lt;&gt;1),"",SUMPRODUCT(($AI$25:$AI$64=1)*($AD$25:$AD$64="YES")*($AG$25:$AG$64&gt;$AG49))+SUMPRODUCT(($AI$25:$AI$64=1)*($AD$25:$AD$64="YES")*($AG$25:$AG$64=$AG49)*($R$25:$R$64&lt;$R49))+1)</f>
        <v/>
      </c>
      <c r="AI49" s="339">
        <f>IF($R49="","",IF(AND(OR($A$22="",$T49=$A$22),OR($B$22="",$AL49=$B$22),OR($C$22="",$AM49=$C$22),OR($D$22="",AND(ISNUMBER($U49),N($U49)&gt;=$D$22)),OR($E$22="",AND(ISNUMBER($W49),N($W49)&gt;=$E$22)),OR($F$22="",AND(ISNUMBER($AF49),N($AF49)&gt;=$F$22)),OR($G$22="",N($AA49)&gt;=$G$22),OR($H$22="",N($AB49)&gt;=$H$22),OR(UPPER($I$22)&lt;&gt;"YES",$AC49="YES"),OR(UPPER($J$22)&lt;&gt;"YES",$AD49="YES")),1,0))</f>
        <v>1</v>
      </c>
      <c r="AJ49" s="339" t="str">
        <f>IF(OR($R49="",$C$11=""),"",IF(COUNTIFS('Ranking History'!$B$5:$B$2000,$R49,'Ranking History'!$A$5:$A$2000,$C$11)=0,"",SUMIFS('Ranking History'!$C$5:$C$2000,'Ranking History'!$B$5:$B$2000,$R49,'Ranking History'!$A$5:$A$2000,$C$11)))</f>
        <v/>
      </c>
      <c r="AK49" s="339" t="str">
        <f>IF(OR($AJ49="",$AH49=""),"",$AJ49-$AH49)</f>
        <v/>
      </c>
      <c r="AL49" s="339" t="str">
        <f>IF($AF49="","",IF($AF49&gt;=Settings!$C$76,"BORA SANA",IF($AF49&gt;=Settings!$C$77,"NZURI SANA",IF($AF49&gt;=Settings!$C$78,"NZURI",IF($AF49&gt;=Settings!$C$79,"WASTANI",IF($AF49&gt;=Settings!$C$80,"DHAIFU","DHAIFU SANA"))))))</f>
        <v/>
      </c>
      <c r="AM49" s="339" t="str">
        <f>IF(NOT(ISNUMBER($W49)),"",IF($W49&gt;=Settings!$C$82,"Demand kubwa sana",IF($W49&gt;=Settings!$C$83,"Demand kubwa",IF($W49&gt;=Settings!$C$84,"Demand ya wastani","Demand ndogo sana"))))</f>
        <v>Demand kubwa</v>
      </c>
      <c r="AN49" s="339" t="str">
        <f>IF($R49="","",IF(OR(NOT(ISNUMBER($U49)),NOT(ISNUMBER($W49))),"INCOMPLETE DATA",IF($U49&lt;Settings!$C$88,"Epuka : ubora dhaifu",IF(AND($U49&gt;=Settings!$C$86,$W49&gt;=Settings!$C$87),"Nunua : ubora na mwelekeo vinaungana",IF($U49&gt;=Settings!$C$86,"Fuatilia : ubora mzuri, mwelekeo bado haujathibitisha",IF($W49&gt;=Settings!$C$89,"Fuatilia : ubora wa wastani","Fuatilia : ubora wa wastani, mwelekeo bado dhaifu"))))))</f>
        <v>INCOMPLETE DATA</v>
      </c>
      <c r="AO49" s="339">
        <f ca="1">IF($R49="","",IF(COUNTIFS('Fundamental Scorecard'!$A$5:$A$44,$R49,'Fundamental Scorecard'!$AE$5:$AE$44,"&gt;=-1E+300")=0,"",SUMIFS('Fundamental Scorecard'!$AE$5:$AE$44,'Fundamental Scorecard'!$A$5:$A$44,$R49)))</f>
        <v>5</v>
      </c>
      <c r="AP49" s="339" t="str" cm="1">
        <f t="array" ref="AP49">IF($R49="","",IF(ISNUMBER(SEARCH("cross-listed",INDEX(Symbols!$C$4:$C$43,ROW()-24))),"YES","NO"))</f>
        <v>NO</v>
      </c>
    </row>
    <row r="50" spans="1:42" x14ac:dyDescent="0.3">
      <c r="A50" s="344" t="str" cm="1">
        <f t="array" aca="1" ref="A50" ca="1">IF($Q50="","",IF(INDEX($AD$25:$AD$64,$Q50)="YES",INDEX($AH$25:$AH$64,$Q50),"—"))</f>
        <v>—</v>
      </c>
      <c r="B50" s="318" t="str" cm="1">
        <f t="array" aca="1" ref="B50" ca="1">IF($Q50="","",INDEX($R$25:$R$64,$Q50))</f>
        <v>TTP</v>
      </c>
      <c r="C50" s="319" t="str" cm="1">
        <f t="array" aca="1" ref="C50" ca="1">IF($Q50="","",INDEX($S$25:$S$64,$Q50))</f>
        <v>Tanzania Tea Packers Ltd (TATEPA)</v>
      </c>
      <c r="D50" s="319" t="str" cm="1">
        <f t="array" aca="1" ref="D50" ca="1">IF($Q50="","",INDEX($T$25:$T$64,$Q50))</f>
        <v>Consumer Goods</v>
      </c>
      <c r="E50" s="100" t="str" cm="1">
        <f t="array" aca="1" ref="E50" ca="1">IF($Q50="","",INDEX($U$25:$U$64,$Q50))</f>
        <v/>
      </c>
      <c r="F50" s="100" cm="1">
        <f t="array" aca="1" ref="F50" ca="1">IF($Q50="","",INDEX($W$25:$W$64,$Q50))</f>
        <v>50.8</v>
      </c>
      <c r="G50" s="100" t="str" cm="1">
        <f t="array" aca="1" ref="G50" ca="1">IF($Q50="","",INDEX($AF$25:$AF$64,$Q50))</f>
        <v/>
      </c>
      <c r="H50" s="319" t="str" cm="1">
        <f t="array" aca="1" ref="H50" ca="1">IF($Q50="","",INDEX($AL$25:$AL$64,$Q50))</f>
        <v/>
      </c>
      <c r="I50" s="319" t="str" cm="1">
        <f t="array" aca="1" ref="I50" ca="1">IF($Q50="","",INDEX($AM$25:$AM$64,$Q50))</f>
        <v>Demand kubwa</v>
      </c>
      <c r="J50" s="319" t="str" cm="1">
        <f t="array" aca="1" ref="J50" ca="1">IF($Q50="","",INDEX($AN$25:$AN$64,$Q50))</f>
        <v>INCOMPLETE DATA</v>
      </c>
      <c r="K50" s="100" cm="1">
        <f t="array" aca="1" ref="K50" ca="1">IF($Q50="","",INDEX($AA$25:$AA$64,$Q50))</f>
        <v>4.7</v>
      </c>
      <c r="L50" s="100" cm="1">
        <f t="array" aca="1" ref="L50" ca="1">IF($Q50="","",INDEX($AB$25:$AB$64,$Q50))</f>
        <v>75</v>
      </c>
      <c r="M50" s="319" t="str" cm="1">
        <f t="array" aca="1" ref="M50" ca="1">IF($Q50="","",INDEX($V$25:$V$64,$Q50))</f>
        <v>Full to 31 Mar 2026</v>
      </c>
      <c r="N50" s="95">
        <f ca="1">IF($Q50="","",$C$7)</f>
        <v>46248</v>
      </c>
      <c r="O50" s="102" t="str" cm="1">
        <f t="array" aca="1" ref="O50" ca="1">IF($Q50="","",INDEX($AJ$25:$AJ$64,$Q50))</f>
        <v/>
      </c>
      <c r="P50" s="319" t="str" cm="1">
        <f t="array" aca="1" ref="P50" ca="1">IF($Q50="","",IF(INDEX($AK$25:$AK$64,$Q50)="","",IF(INDEX($AK$25:$AK$64,$Q50)&gt;0,"▲ +"&amp;INDEX($AK$25:$AK$64,$Q50),IF(INDEX($AK$25:$AK$64,$Q50)&lt;0,"▼ "&amp;INDEX($AK$25:$AK$64,$Q50),"= 0"))))</f>
        <v/>
      </c>
      <c r="Q50" s="116" cm="1">
        <f t="array" aca="1" ref="Q50" ca="1">IF(ROW()-24&lt;=COUNT($AH$25:$AH$64),IFERROR(MATCH(ROW()-24,$AH$25:$AH$64,0),""),IFERROR(SMALL(IF(($AI$25:$AI$64=1)*($AD$25:$AD$64&lt;&gt;"YES")*($R$25:$R$64&lt;&gt;""),ROW($AI$25:$AI$64)-24),ROW()-24-COUNT($AH$25:$AH$64)),""))</f>
        <v>25</v>
      </c>
      <c r="R50" s="339" t="str">
        <f>IF(Symbols!A29="","",Symbols!A29)</f>
        <v>USL</v>
      </c>
      <c r="S50" s="339" t="str" cm="1">
        <f t="array" ref="S50">IF($R50="","",INDEX(Symbols!$B$4:$B$43,ROW()-24))</f>
        <v>Uchumi Supermarkets PLC</v>
      </c>
      <c r="T50" s="339" t="str" cm="1">
        <f t="array" ref="T50">IF($R50="","",INDEX(Symbols!$D$4:$D$43,ROW()-24))</f>
        <v>Retail</v>
      </c>
      <c r="U50" s="340">
        <f>IF($R50="","",IF(COUNTIFS('Fundamental Scorecard'!$A$5:$A$44,$R50,'Fundamental Scorecard'!$E$5:$E$44,"&gt;=-1E+300")=0,"",SUMIFS('Fundamental Scorecard'!$E$5:$E$44,'Fundamental Scorecard'!$A$5:$A$44,$R50)))</f>
        <v>42.7</v>
      </c>
      <c r="V50" s="339" t="str">
        <f>IF($R50="","",IFERROR(IF(INDEX('Fundamental Scorecard'!$D$5:$D$44,MATCH($R50,'Fundamental Scorecard'!$A$5:$A$44,0))=0,"",INDEX('Fundamental Scorecard'!$D$5:$D$44,MATCH($R50,'Fundamental Scorecard'!$A$5:$A$44,0))),""))</f>
        <v>Full to 30 Jun 2025</v>
      </c>
      <c r="W50" s="340">
        <f>IF(OR($R50="",$C$7=""),"",IF(COUNTIFS('Daily Data'!$B$4:$B$503,$R50,'Daily Data'!$A$4:$A$503,$C$7,'Daily Data'!$AH$4:$AH$503,"&gt;=-1E+300")=0,"",SUMIFS('Daily Data'!$AH$4:$AH$503,'Daily Data'!$B$4:$B$503,$R50,'Daily Data'!$A$4:$A$503,$C$7)))</f>
        <v>65.099999999999994</v>
      </c>
      <c r="X50" s="341" t="str">
        <f>IF(OR($R50="",$C$7=""),"",IF(COUNTIFS('Daily Data'!$B$4:$B$503,$R50,'Daily Data'!$A$4:$A$503,$C$7,'Daily Data'!$S$4:$S$503,"&gt;=-1E+300")=0,"",SUMIFS('Daily Data'!$S$4:$S$503,'Daily Data'!$B$4:$B$503,$R50,'Daily Data'!$A$4:$A$503,$C$7)))</f>
        <v/>
      </c>
      <c r="Y50" s="342" t="str">
        <f>IF(OR($R50="",$C$7=""),"",IF(COUNTIFS('Daily Data'!$B$4:$B$503,$R50,'Daily Data'!$A$4:$A$503,$C$7,'Daily Data'!$AA$4:$AA$503,"&gt;=-1E+300")=0,"",SUMIFS('Daily Data'!$AA$4:$AA$503,'Daily Data'!$B$4:$B$503,$R50,'Daily Data'!$A$4:$A$503,$C$7)))</f>
        <v/>
      </c>
      <c r="Z50" s="341" t="str">
        <f>IF(OR($R50="",$C$7=""),"",IF(COUNTIFS('Daily Data'!$B$4:$B$503,$R50,'Daily Data'!$A$4:$A$503,$C$7,'Daily Data'!$AC$4:$AC$503,"&gt;=-1E+300")=0,"",SUMIFS('Daily Data'!$AC$4:$AC$503,'Daily Data'!$B$4:$B$503,$R50,'Daily Data'!$A$4:$A$503,$C$7)))</f>
        <v/>
      </c>
      <c r="AA50" s="340">
        <f>IF(OR($R50="",$C$7=""),"",IF(COUNTIFS('Daily Data'!$B$4:$B$503,$R50,'Daily Data'!$A$4:$A$503,$C$7,'Daily Data'!$AG$4:$AG$503,"&gt;=-1E+300")=0,"",SUMIFS('Daily Data'!$AG$4:$AG$503,'Daily Data'!$B$4:$B$503,$R50,'Daily Data'!$A$4:$A$503,$C$7)))</f>
        <v>0</v>
      </c>
      <c r="AB50" s="340">
        <f>IF(OR($R50="",$C$7=""),"",IF(COUNTIFS('Daily Data'!$B$4:$B$503,$R50,'Daily Data'!$A$4:$A$503,$C$7,'Daily Data'!$AI$4:$AI$503,"&gt;=-1E+300")=0,"",SUMIFS('Daily Data'!$AI$4:$AI$503,'Daily Data'!$B$4:$B$503,$R50,'Daily Data'!$A$4:$A$503,$C$7)))</f>
        <v>55</v>
      </c>
      <c r="AC50" s="339" t="str" cm="1">
        <f t="array" ref="AC50">IF($R50="","",IF(UPPER(INDEX(Symbols!$F$4:$F$43,ROW()-24))="YES","YES","NO"))</f>
        <v>YES</v>
      </c>
      <c r="AD50" s="339" t="str">
        <f ca="1">IF($R50="","",IF(ROUND(Settings!$C$65+Settings!$C$66,6)&lt;&gt;1,"NO",IF($AC50&lt;&gt;"YES","NO",IF(AND(UPPER(Settings!$C$105)="YES",$AP50="YES"),"NO",IF(NOT(ISNUMBER($U50)),"NO",IF(NOT(ISNUMBER($W50)),"NO",IF($C$7="","NO",IF($C$6-$C$7&gt;Settings!$C$70,"NO",IF(AND(ISNUMBER($AO50),$AO50&gt;Settings!$C$104),"NO",IF(N($AB50)&lt;Settings!$C$71,"NO",IF(N($AA50)&lt;Settings!$C$72,"NO","YES")))))))))))</f>
        <v>NO</v>
      </c>
      <c r="AE50" s="339" t="str">
        <f ca="1">IF($R50="","",IF($AD50="YES","",IF(ROUND(Settings!$C$65+Settings!$C$66,6)&lt;&gt;1,"Ranking weights do not total 100%",IF($AC50&lt;&gt;"YES","Security is not active",IF(AND(UPPER(Settings!$C$105)="YES",$AP50="YES"),"Cross-listed security, excluded by Settings!C105",IF(NOT(ISNUMBER($U50)),"Missing fundamental data",IF(NOT(ISNUMBER($W50)),"No market observation on the date used",IF($C$7="","No market data available",IF($C$6-$C$7&gt;Settings!$C$70,"Market data is stale",IF(AND(ISNUMBER($AO50),$AO50&gt;Settings!$C$104),"Fundamental statement is stale ("&amp;$AO50&amp;" months old)",IF(N($AB50)&lt;Settings!$C$71,"Data confidence below minimum","Liquidity below minimum")))))))))))</f>
        <v>Data confidence below minimum</v>
      </c>
      <c r="AF50" s="340" t="str">
        <f ca="1">IF($AD50&lt;&gt;"YES","",ROUND($U50*RankingFundamentalWeight+$W50*RankingSentimentWeight,1))</f>
        <v/>
      </c>
      <c r="AG50" s="339" t="str">
        <f ca="1">IF($AD50&lt;&gt;"YES","",$AF50+$U50/10000+$W50/100000000+N($AB50)/1000000000000)</f>
        <v/>
      </c>
      <c r="AH50" s="343" t="str" cm="1">
        <f t="array" aca="1" ref="AH50" ca="1">IF(OR($AD50&lt;&gt;"YES",$AI50&lt;&gt;1),"",SUMPRODUCT(($AI$25:$AI$64=1)*($AD$25:$AD$64="YES")*($AG$25:$AG$64&gt;$AG50))+SUMPRODUCT(($AI$25:$AI$64=1)*($AD$25:$AD$64="YES")*($AG$25:$AG$64=$AG50)*($R$25:$R$64&lt;$R50))+1)</f>
        <v/>
      </c>
      <c r="AI50" s="339">
        <f ca="1">IF($R50="","",IF(AND(OR($A$22="",$T50=$A$22),OR($B$22="",$AL50=$B$22),OR($C$22="",$AM50=$C$22),OR($D$22="",AND(ISNUMBER($U50),N($U50)&gt;=$D$22)),OR($E$22="",AND(ISNUMBER($W50),N($W50)&gt;=$E$22)),OR($F$22="",AND(ISNUMBER($AF50),N($AF50)&gt;=$F$22)),OR($G$22="",N($AA50)&gt;=$G$22),OR($H$22="",N($AB50)&gt;=$H$22),OR(UPPER($I$22)&lt;&gt;"YES",$AC50="YES"),OR(UPPER($J$22)&lt;&gt;"YES",$AD50="YES")),1,0))</f>
        <v>1</v>
      </c>
      <c r="AJ50" s="339" t="str">
        <f>IF(OR($R50="",$C$11=""),"",IF(COUNTIFS('Ranking History'!$B$5:$B$2000,$R50,'Ranking History'!$A$5:$A$2000,$C$11)=0,"",SUMIFS('Ranking History'!$C$5:$C$2000,'Ranking History'!$B$5:$B$2000,$R50,'Ranking History'!$A$5:$A$2000,$C$11)))</f>
        <v/>
      </c>
      <c r="AK50" s="339" t="str">
        <f ca="1">IF(OR($AJ50="",$AH50=""),"",$AJ50-$AH50)</f>
        <v/>
      </c>
      <c r="AL50" s="339" t="str">
        <f ca="1">IF($AF50="","",IF($AF50&gt;=Settings!$C$76,"BORA SANA",IF($AF50&gt;=Settings!$C$77,"NZURI SANA",IF($AF50&gt;=Settings!$C$78,"NZURI",IF($AF50&gt;=Settings!$C$79,"WASTANI",IF($AF50&gt;=Settings!$C$80,"DHAIFU","DHAIFU SANA"))))))</f>
        <v/>
      </c>
      <c r="AM50" s="339" t="str">
        <f>IF(NOT(ISNUMBER($W50)),"",IF($W50&gt;=Settings!$C$82,"Demand kubwa sana",IF($W50&gt;=Settings!$C$83,"Demand kubwa",IF($W50&gt;=Settings!$C$84,"Demand ya wastani","Demand ndogo sana"))))</f>
        <v>Demand kubwa</v>
      </c>
      <c r="AN50" s="339" t="str">
        <f>IF($R50="","",IF(OR(NOT(ISNUMBER($U50)),NOT(ISNUMBER($W50))),"INCOMPLETE DATA",IF($U50&lt;Settings!$C$88,"Epuka : ubora dhaifu",IF(AND($U50&gt;=Settings!$C$86,$W50&gt;=Settings!$C$87),"Nunua : ubora na mwelekeo vinaungana",IF($U50&gt;=Settings!$C$86,"Fuatilia : ubora mzuri, mwelekeo bado haujathibitisha",IF($W50&gt;=Settings!$C$89,"Fuatilia : ubora wa wastani","Fuatilia : ubora wa wastani, mwelekeo bado dhaifu"))))))</f>
        <v>Epuka : ubora dhaifu</v>
      </c>
      <c r="AO50" s="339">
        <f ca="1">IF($R50="","",IF(COUNTIFS('Fundamental Scorecard'!$A$5:$A$44,$R50,'Fundamental Scorecard'!$AE$5:$AE$44,"&gt;=-1E+300")=0,"",SUMIFS('Fundamental Scorecard'!$AE$5:$AE$44,'Fundamental Scorecard'!$A$5:$A$44,$R50)))</f>
        <v>14</v>
      </c>
      <c r="AP50" s="339" t="str" cm="1">
        <f t="array" ref="AP50">IF($R50="","",IF(ISNUMBER(SEARCH("cross-listed",INDEX(Symbols!$C$4:$C$43,ROW()-24))),"YES","NO"))</f>
        <v>YES</v>
      </c>
    </row>
    <row r="51" spans="1:42" x14ac:dyDescent="0.3">
      <c r="A51" s="344" t="str" cm="1">
        <f t="array" aca="1" ref="A51" ca="1">IF($Q51="","",IF(INDEX($AD$25:$AD$64,$Q51)="YES",INDEX($AH$25:$AH$64,$Q51),"—"))</f>
        <v>—</v>
      </c>
      <c r="B51" s="318" t="str" cm="1">
        <f t="array" aca="1" ref="B51" ca="1">IF($Q51="","",INDEX($R$25:$R$64,$Q51))</f>
        <v>USL</v>
      </c>
      <c r="C51" s="319" t="str" cm="1">
        <f t="array" aca="1" ref="C51" ca="1">IF($Q51="","",INDEX($S$25:$S$64,$Q51))</f>
        <v>Uchumi Supermarkets PLC</v>
      </c>
      <c r="D51" s="319" t="str" cm="1">
        <f t="array" aca="1" ref="D51" ca="1">IF($Q51="","",INDEX($T$25:$T$64,$Q51))</f>
        <v>Retail</v>
      </c>
      <c r="E51" s="100" cm="1">
        <f t="array" aca="1" ref="E51" ca="1">IF($Q51="","",INDEX($U$25:$U$64,$Q51))</f>
        <v>42.7</v>
      </c>
      <c r="F51" s="100" cm="1">
        <f t="array" aca="1" ref="F51" ca="1">IF($Q51="","",INDEX($W$25:$W$64,$Q51))</f>
        <v>65.099999999999994</v>
      </c>
      <c r="G51" s="100" t="str" cm="1">
        <f t="array" aca="1" ref="G51" ca="1">IF($Q51="","",INDEX($AF$25:$AF$64,$Q51))</f>
        <v/>
      </c>
      <c r="H51" s="319" t="str" cm="1">
        <f t="array" aca="1" ref="H51" ca="1">IF($Q51="","",INDEX($AL$25:$AL$64,$Q51))</f>
        <v/>
      </c>
      <c r="I51" s="319" t="str" cm="1">
        <f t="array" aca="1" ref="I51" ca="1">IF($Q51="","",INDEX($AM$25:$AM$64,$Q51))</f>
        <v>Demand kubwa</v>
      </c>
      <c r="J51" s="319" t="str" cm="1">
        <f t="array" aca="1" ref="J51" ca="1">IF($Q51="","",INDEX($AN$25:$AN$64,$Q51))</f>
        <v>Epuka : ubora dhaifu</v>
      </c>
      <c r="K51" s="100" cm="1">
        <f t="array" aca="1" ref="K51" ca="1">IF($Q51="","",INDEX($AA$25:$AA$64,$Q51))</f>
        <v>0</v>
      </c>
      <c r="L51" s="100" cm="1">
        <f t="array" aca="1" ref="L51" ca="1">IF($Q51="","",INDEX($AB$25:$AB$64,$Q51))</f>
        <v>55</v>
      </c>
      <c r="M51" s="319" t="str" cm="1">
        <f t="array" aca="1" ref="M51" ca="1">IF($Q51="","",INDEX($V$25:$V$64,$Q51))</f>
        <v>Full to 30 Jun 2025</v>
      </c>
      <c r="N51" s="95">
        <f ca="1">IF($Q51="","",$C$7)</f>
        <v>46248</v>
      </c>
      <c r="O51" s="102" t="str" cm="1">
        <f t="array" aca="1" ref="O51" ca="1">IF($Q51="","",INDEX($AJ$25:$AJ$64,$Q51))</f>
        <v/>
      </c>
      <c r="P51" s="319" t="str" cm="1">
        <f t="array" aca="1" ref="P51" ca="1">IF($Q51="","",IF(INDEX($AK$25:$AK$64,$Q51)="","",IF(INDEX($AK$25:$AK$64,$Q51)&gt;0,"▲ +"&amp;INDEX($AK$25:$AK$64,$Q51),IF(INDEX($AK$25:$AK$64,$Q51)&lt;0,"▼ "&amp;INDEX($AK$25:$AK$64,$Q51),"= 0"))))</f>
        <v/>
      </c>
      <c r="Q51" s="116" cm="1">
        <f t="array" aca="1" ref="Q51" ca="1">IF(ROW()-24&lt;=COUNT($AH$25:$AH$64),IFERROR(MATCH(ROW()-24,$AH$25:$AH$64,0),""),IFERROR(SMALL(IF(($AI$25:$AI$64=1)*($AD$25:$AD$64&lt;&gt;"YES")*($R$25:$R$64&lt;&gt;""),ROW($AI$25:$AI$64)-24),ROW()-24-COUNT($AH$25:$AH$64)),""))</f>
        <v>26</v>
      </c>
      <c r="R51" s="339" t="str">
        <f>IF(Symbols!A30="","",Symbols!A30)</f>
        <v>VODA</v>
      </c>
      <c r="S51" s="339" t="str" cm="1">
        <f t="array" ref="S51">IF($R51="","",INDEX(Symbols!$B$4:$B$43,ROW()-24))</f>
        <v>Vodacom Tanzania PLC</v>
      </c>
      <c r="T51" s="339" t="str" cm="1">
        <f t="array" ref="T51">IF($R51="","",INDEX(Symbols!$D$4:$D$43,ROW()-24))</f>
        <v>Telecommunications</v>
      </c>
      <c r="U51" s="340">
        <f>IF($R51="","",IF(COUNTIFS('Fundamental Scorecard'!$A$5:$A$44,$R51,'Fundamental Scorecard'!$E$5:$E$44,"&gt;=-1E+300")=0,"",SUMIFS('Fundamental Scorecard'!$E$5:$E$44,'Fundamental Scorecard'!$A$5:$A$44,$R51)))</f>
        <v>64.400000000000006</v>
      </c>
      <c r="V51" s="339" t="str">
        <f>IF($R51="","",IFERROR(IF(INDEX('Fundamental Scorecard'!$D$5:$D$44,MATCH($R51,'Fundamental Scorecard'!$A$5:$A$44,0))=0,"",INDEX('Fundamental Scorecard'!$D$5:$D$44,MATCH($R51,'Fundamental Scorecard'!$A$5:$A$44,0))),""))</f>
        <v>Full to 31 Mar 2026</v>
      </c>
      <c r="W51" s="340">
        <f>IF(OR($R51="",$C$7=""),"",IF(COUNTIFS('Daily Data'!$B$4:$B$503,$R51,'Daily Data'!$A$4:$A$503,$C$7,'Daily Data'!$AH$4:$AH$503,"&gt;=-1E+300")=0,"",SUMIFS('Daily Data'!$AH$4:$AH$503,'Daily Data'!$B$4:$B$503,$R51,'Daily Data'!$A$4:$A$503,$C$7)))</f>
        <v>50.2</v>
      </c>
      <c r="X51" s="341">
        <f>IF(OR($R51="",$C$7=""),"",IF(COUNTIFS('Daily Data'!$B$4:$B$503,$R51,'Daily Data'!$A$4:$A$503,$C$7,'Daily Data'!$S$4:$S$503,"&gt;=-1E+300")=0,"",SUMIFS('Daily Data'!$S$4:$S$503,'Daily Data'!$B$4:$B$503,$R51,'Daily Data'!$A$4:$A$503,$C$7)))</f>
        <v>0.90458469685830833</v>
      </c>
      <c r="Y51" s="342" t="str">
        <f>IF(OR($R51="",$C$7=""),"",IF(COUNTIFS('Daily Data'!$B$4:$B$503,$R51,'Daily Data'!$A$4:$A$503,$C$7,'Daily Data'!$AA$4:$AA$503,"&gt;=-1E+300")=0,"",SUMIFS('Daily Data'!$AA$4:$AA$503,'Daily Data'!$B$4:$B$503,$R51,'Daily Data'!$A$4:$A$503,$C$7)))</f>
        <v/>
      </c>
      <c r="Z51" s="341" t="str">
        <f>IF(OR($R51="",$C$7=""),"",IF(COUNTIFS('Daily Data'!$B$4:$B$503,$R51,'Daily Data'!$A$4:$A$503,$C$7,'Daily Data'!$AC$4:$AC$503,"&gt;=-1E+300")=0,"",SUMIFS('Daily Data'!$AC$4:$AC$503,'Daily Data'!$B$4:$B$503,$R51,'Daily Data'!$A$4:$A$503,$C$7)))</f>
        <v/>
      </c>
      <c r="AA51" s="340">
        <f>IF(OR($R51="",$C$7=""),"",IF(COUNTIFS('Daily Data'!$B$4:$B$503,$R51,'Daily Data'!$A$4:$A$503,$C$7,'Daily Data'!$AG$4:$AG$503,"&gt;=-1E+300")=0,"",SUMIFS('Daily Data'!$AG$4:$AG$503,'Daily Data'!$B$4:$B$503,$R51,'Daily Data'!$A$4:$A$503,$C$7)))</f>
        <v>45.8</v>
      </c>
      <c r="AB51" s="340">
        <f>IF(OR($R51="",$C$7=""),"",IF(COUNTIFS('Daily Data'!$B$4:$B$503,$R51,'Daily Data'!$A$4:$A$503,$C$7,'Daily Data'!$AI$4:$AI$503,"&gt;=-1E+300")=0,"",SUMIFS('Daily Data'!$AI$4:$AI$503,'Daily Data'!$B$4:$B$503,$R51,'Daily Data'!$A$4:$A$503,$C$7)))</f>
        <v>75</v>
      </c>
      <c r="AC51" s="339" t="str" cm="1">
        <f t="array" ref="AC51">IF($R51="","",IF(UPPER(INDEX(Symbols!$F$4:$F$43,ROW()-24))="YES","YES","NO"))</f>
        <v>YES</v>
      </c>
      <c r="AD51" s="339" t="str">
        <f ca="1">IF($R51="","",IF(ROUND(Settings!$C$65+Settings!$C$66,6)&lt;&gt;1,"NO",IF($AC51&lt;&gt;"YES","NO",IF(AND(UPPER(Settings!$C$105)="YES",$AP51="YES"),"NO",IF(NOT(ISNUMBER($U51)),"NO",IF(NOT(ISNUMBER($W51)),"NO",IF($C$7="","NO",IF($C$6-$C$7&gt;Settings!$C$70,"NO",IF(AND(ISNUMBER($AO51),$AO51&gt;Settings!$C$104),"NO",IF(N($AB51)&lt;Settings!$C$71,"NO",IF(N($AA51)&lt;Settings!$C$72,"NO","YES")))))))))))</f>
        <v>YES</v>
      </c>
      <c r="AE51" s="339" t="str">
        <f ca="1">IF($R51="","",IF($AD51="YES","",IF(ROUND(Settings!$C$65+Settings!$C$66,6)&lt;&gt;1,"Ranking weights do not total 100%",IF($AC51&lt;&gt;"YES","Security is not active",IF(AND(UPPER(Settings!$C$105)="YES",$AP51="YES"),"Cross-listed security, excluded by Settings!C105",IF(NOT(ISNUMBER($U51)),"Missing fundamental data",IF(NOT(ISNUMBER($W51)),"No market observation on the date used",IF($C$7="","No market data available",IF($C$6-$C$7&gt;Settings!$C$70,"Market data is stale",IF(AND(ISNUMBER($AO51),$AO51&gt;Settings!$C$104),"Fundamental statement is stale ("&amp;$AO51&amp;" months old)",IF(N($AB51)&lt;Settings!$C$71,"Data confidence below minimum","Liquidity below minimum")))))))))))</f>
        <v/>
      </c>
      <c r="AF51" s="340">
        <f ca="1">IF($AD51&lt;&gt;"YES","",ROUND($U51*RankingFundamentalWeight+$W51*RankingSentimentWeight,1))</f>
        <v>60.1</v>
      </c>
      <c r="AG51" s="339">
        <f ca="1">IF($AD51&lt;&gt;"YES","",$AF51+$U51/10000+$W51/100000000+N($AB51)/1000000000000)</f>
        <v>60.106440502074996</v>
      </c>
      <c r="AH51" s="343" cm="1">
        <f t="array" aca="1" ref="AH51" ca="1">IF(OR($AD51&lt;&gt;"YES",$AI51&lt;&gt;1),"",SUMPRODUCT(($AI$25:$AI$64=1)*($AD$25:$AD$64="YES")*($AG$25:$AG$64&gt;$AG51))+SUMPRODUCT(($AI$25:$AI$64=1)*($AD$25:$AD$64="YES")*($AG$25:$AG$64=$AG51)*($R$25:$R$64&lt;$R51))+1)</f>
        <v>13</v>
      </c>
      <c r="AI51" s="339">
        <f ca="1">IF($R51="","",IF(AND(OR($A$22="",$T51=$A$22),OR($B$22="",$AL51=$B$22),OR($C$22="",$AM51=$C$22),OR($D$22="",AND(ISNUMBER($U51),N($U51)&gt;=$D$22)),OR($E$22="",AND(ISNUMBER($W51),N($W51)&gt;=$E$22)),OR($F$22="",AND(ISNUMBER($AF51),N($AF51)&gt;=$F$22)),OR($G$22="",N($AA51)&gt;=$G$22),OR($H$22="",N($AB51)&gt;=$H$22),OR(UPPER($I$22)&lt;&gt;"YES",$AC51="YES"),OR(UPPER($J$22)&lt;&gt;"YES",$AD51="YES")),1,0))</f>
        <v>1</v>
      </c>
      <c r="AJ51" s="339" t="str">
        <f>IF(OR($R51="",$C$11=""),"",IF(COUNTIFS('Ranking History'!$B$5:$B$2000,$R51,'Ranking History'!$A$5:$A$2000,$C$11)=0,"",SUMIFS('Ranking History'!$C$5:$C$2000,'Ranking History'!$B$5:$B$2000,$R51,'Ranking History'!$A$5:$A$2000,$C$11)))</f>
        <v/>
      </c>
      <c r="AK51" s="339" t="str">
        <f ca="1">IF(OR($AJ51="",$AH51=""),"",$AJ51-$AH51)</f>
        <v/>
      </c>
      <c r="AL51" s="339" t="str">
        <f ca="1">IF($AF51="","",IF($AF51&gt;=Settings!$C$76,"BORA SANA",IF($AF51&gt;=Settings!$C$77,"NZURI SANA",IF($AF51&gt;=Settings!$C$78,"NZURI",IF($AF51&gt;=Settings!$C$79,"WASTANI",IF($AF51&gt;=Settings!$C$80,"DHAIFU","DHAIFU SANA"))))))</f>
        <v>NZURI</v>
      </c>
      <c r="AM51" s="339" t="str">
        <f>IF(NOT(ISNUMBER($W51)),"",IF($W51&gt;=Settings!$C$82,"Demand kubwa sana",IF($W51&gt;=Settings!$C$83,"Demand kubwa",IF($W51&gt;=Settings!$C$84,"Demand ya wastani","Demand ndogo sana"))))</f>
        <v>Demand kubwa</v>
      </c>
      <c r="AN51" s="339" t="str">
        <f>IF($R51="","",IF(OR(NOT(ISNUMBER($U51)),NOT(ISNUMBER($W51))),"INCOMPLETE DATA",IF($U51&lt;Settings!$C$88,"Epuka : ubora dhaifu",IF(AND($U51&gt;=Settings!$C$86,$W51&gt;=Settings!$C$87),"Nunua : ubora na mwelekeo vinaungana",IF($U51&gt;=Settings!$C$86,"Fuatilia : ubora mzuri, mwelekeo bado haujathibitisha",IF($W51&gt;=Settings!$C$89,"Fuatilia : ubora wa wastani","Fuatilia : ubora wa wastani, mwelekeo bado dhaifu"))))))</f>
        <v>Fuatilia : ubora wa wastani</v>
      </c>
      <c r="AO51" s="339">
        <f ca="1">IF($R51="","",IF(COUNTIFS('Fundamental Scorecard'!$A$5:$A$44,$R51,'Fundamental Scorecard'!$AE$5:$AE$44,"&gt;=-1E+300")=0,"",SUMIFS('Fundamental Scorecard'!$AE$5:$AE$44,'Fundamental Scorecard'!$A$5:$A$44,$R51)))</f>
        <v>5</v>
      </c>
      <c r="AP51" s="339" t="str" cm="1">
        <f t="array" ref="AP51">IF($R51="","",IF(ISNUMBER(SEARCH("cross-listed",INDEX(Symbols!$C$4:$C$43,ROW()-24))),"YES","NO"))</f>
        <v>NO</v>
      </c>
    </row>
    <row r="52" spans="1:42" x14ac:dyDescent="0.3">
      <c r="A52" s="344" t="str" cm="1">
        <f t="array" aca="1" ref="A52" ca="1">IF($Q52="","",IF(INDEX($AD$25:$AD$64,$Q52)="YES",INDEX($AH$25:$AH$64,$Q52),"—"))</f>
        <v>—</v>
      </c>
      <c r="B52" s="318" t="str" cm="1">
        <f t="array" aca="1" ref="B52" ca="1">IF($Q52="","",INDEX($R$25:$R$64,$Q52))</f>
        <v>YETU</v>
      </c>
      <c r="C52" s="319" t="str" cm="1">
        <f t="array" aca="1" ref="C52" ca="1">IF($Q52="","",INDEX($S$25:$S$64,$Q52))</f>
        <v>Yetu Microfinance Bank PLC</v>
      </c>
      <c r="D52" s="319" t="str" cm="1">
        <f t="array" aca="1" ref="D52" ca="1">IF($Q52="","",INDEX($T$25:$T$64,$Q52))</f>
        <v>Banking</v>
      </c>
      <c r="E52" s="100" cm="1">
        <f t="array" aca="1" ref="E52" ca="1">IF($Q52="","",INDEX($U$25:$U$64,$Q52))</f>
        <v>62.3</v>
      </c>
      <c r="F52" s="100" cm="1">
        <f t="array" aca="1" ref="F52" ca="1">IF($Q52="","",INDEX($W$25:$W$64,$Q52))</f>
        <v>50</v>
      </c>
      <c r="G52" s="100" t="str" cm="1">
        <f t="array" aca="1" ref="G52" ca="1">IF($Q52="","",INDEX($AF$25:$AF$64,$Q52))</f>
        <v/>
      </c>
      <c r="H52" s="319" t="str" cm="1">
        <f t="array" aca="1" ref="H52" ca="1">IF($Q52="","",INDEX($AL$25:$AL$64,$Q52))</f>
        <v/>
      </c>
      <c r="I52" s="319" t="str" cm="1">
        <f t="array" aca="1" ref="I52" ca="1">IF($Q52="","",INDEX($AM$25:$AM$64,$Q52))</f>
        <v>Demand kubwa</v>
      </c>
      <c r="J52" s="319" t="str" cm="1">
        <f t="array" aca="1" ref="J52" ca="1">IF($Q52="","",INDEX($AN$25:$AN$64,$Q52))</f>
        <v>Fuatilia : ubora wa wastani</v>
      </c>
      <c r="K52" s="100" cm="1">
        <f t="array" aca="1" ref="K52" ca="1">IF($Q52="","",INDEX($AA$25:$AA$64,$Q52))</f>
        <v>0</v>
      </c>
      <c r="L52" s="100" cm="1">
        <f t="array" aca="1" ref="L52" ca="1">IF($Q52="","",INDEX($AB$25:$AB$64,$Q52))</f>
        <v>30</v>
      </c>
      <c r="M52" s="319" t="str" cm="1">
        <f t="array" aca="1" ref="M52" ca="1">IF($Q52="","",INDEX($V$25:$V$64,$Q52))</f>
        <v>Quarter to 31 Mar 2021</v>
      </c>
      <c r="N52" s="95">
        <f ca="1">IF($Q52="","",$C$7)</f>
        <v>46248</v>
      </c>
      <c r="O52" s="102" t="str" cm="1">
        <f t="array" aca="1" ref="O52" ca="1">IF($Q52="","",INDEX($AJ$25:$AJ$64,$Q52))</f>
        <v/>
      </c>
      <c r="P52" s="319" t="str" cm="1">
        <f t="array" aca="1" ref="P52" ca="1">IF($Q52="","",IF(INDEX($AK$25:$AK$64,$Q52)="","",IF(INDEX($AK$25:$AK$64,$Q52)&gt;0,"▲ +"&amp;INDEX($AK$25:$AK$64,$Q52),IF(INDEX($AK$25:$AK$64,$Q52)&lt;0,"▼ "&amp;INDEX($AK$25:$AK$64,$Q52),"= 0"))))</f>
        <v/>
      </c>
      <c r="Q52" s="116" cm="1">
        <f t="array" aca="1" ref="Q52" ca="1">IF(ROW()-24&lt;=COUNT($AH$25:$AH$64),IFERROR(MATCH(ROW()-24,$AH$25:$AH$64,0),""),IFERROR(SMALL(IF(($AI$25:$AI$64=1)*($AD$25:$AD$64&lt;&gt;"YES")*($R$25:$R$64&lt;&gt;""),ROW($AI$25:$AI$64)-24),ROW()-24-COUNT($AH$25:$AH$64)),""))</f>
        <v>28</v>
      </c>
      <c r="R52" s="339" t="str">
        <f>IF(Symbols!A31="","",Symbols!A31)</f>
        <v>YETU</v>
      </c>
      <c r="S52" s="339" t="str" cm="1">
        <f t="array" ref="S52">IF($R52="","",INDEX(Symbols!$B$4:$B$43,ROW()-24))</f>
        <v>Yetu Microfinance Bank PLC</v>
      </c>
      <c r="T52" s="339" t="str" cm="1">
        <f t="array" ref="T52">IF($R52="","",INDEX(Symbols!$D$4:$D$43,ROW()-24))</f>
        <v>Banking</v>
      </c>
      <c r="U52" s="340">
        <f>IF($R52="","",IF(COUNTIFS('Fundamental Scorecard'!$A$5:$A$44,$R52,'Fundamental Scorecard'!$E$5:$E$44,"&gt;=-1E+300")=0,"",SUMIFS('Fundamental Scorecard'!$E$5:$E$44,'Fundamental Scorecard'!$A$5:$A$44,$R52)))</f>
        <v>62.3</v>
      </c>
      <c r="V52" s="339" t="str">
        <f>IF($R52="","",IFERROR(IF(INDEX('Fundamental Scorecard'!$D$5:$D$44,MATCH($R52,'Fundamental Scorecard'!$A$5:$A$44,0))=0,"",INDEX('Fundamental Scorecard'!$D$5:$D$44,MATCH($R52,'Fundamental Scorecard'!$A$5:$A$44,0))),""))</f>
        <v>Quarter to 31 Mar 2021</v>
      </c>
      <c r="W52" s="340">
        <f>IF(OR($R52="",$C$7=""),"",IF(COUNTIFS('Daily Data'!$B$4:$B$503,$R52,'Daily Data'!$A$4:$A$503,$C$7,'Daily Data'!$AH$4:$AH$503,"&gt;=-1E+300")=0,"",SUMIFS('Daily Data'!$AH$4:$AH$503,'Daily Data'!$B$4:$B$503,$R52,'Daily Data'!$A$4:$A$503,$C$7)))</f>
        <v>50</v>
      </c>
      <c r="X52" s="341" t="str">
        <f>IF(OR($R52="",$C$7=""),"",IF(COUNTIFS('Daily Data'!$B$4:$B$503,$R52,'Daily Data'!$A$4:$A$503,$C$7,'Daily Data'!$S$4:$S$503,"&gt;=-1E+300")=0,"",SUMIFS('Daily Data'!$S$4:$S$503,'Daily Data'!$B$4:$B$503,$R52,'Daily Data'!$A$4:$A$503,$C$7)))</f>
        <v/>
      </c>
      <c r="Y52" s="342" t="str">
        <f>IF(OR($R52="",$C$7=""),"",IF(COUNTIFS('Daily Data'!$B$4:$B$503,$R52,'Daily Data'!$A$4:$A$503,$C$7,'Daily Data'!$AA$4:$AA$503,"&gt;=-1E+300")=0,"",SUMIFS('Daily Data'!$AA$4:$AA$503,'Daily Data'!$B$4:$B$503,$R52,'Daily Data'!$A$4:$A$503,$C$7)))</f>
        <v/>
      </c>
      <c r="Z52" s="341" t="str">
        <f>IF(OR($R52="",$C$7=""),"",IF(COUNTIFS('Daily Data'!$B$4:$B$503,$R52,'Daily Data'!$A$4:$A$503,$C$7,'Daily Data'!$AC$4:$AC$503,"&gt;=-1E+300")=0,"",SUMIFS('Daily Data'!$AC$4:$AC$503,'Daily Data'!$B$4:$B$503,$R52,'Daily Data'!$A$4:$A$503,$C$7)))</f>
        <v/>
      </c>
      <c r="AA52" s="340">
        <f>IF(OR($R52="",$C$7=""),"",IF(COUNTIFS('Daily Data'!$B$4:$B$503,$R52,'Daily Data'!$A$4:$A$503,$C$7,'Daily Data'!$AG$4:$AG$503,"&gt;=-1E+300")=0,"",SUMIFS('Daily Data'!$AG$4:$AG$503,'Daily Data'!$B$4:$B$503,$R52,'Daily Data'!$A$4:$A$503,$C$7)))</f>
        <v>0</v>
      </c>
      <c r="AB52" s="340">
        <f>IF(OR($R52="",$C$7=""),"",IF(COUNTIFS('Daily Data'!$B$4:$B$503,$R52,'Daily Data'!$A$4:$A$503,$C$7,'Daily Data'!$AI$4:$AI$503,"&gt;=-1E+300")=0,"",SUMIFS('Daily Data'!$AI$4:$AI$503,'Daily Data'!$B$4:$B$503,$R52,'Daily Data'!$A$4:$A$503,$C$7)))</f>
        <v>30</v>
      </c>
      <c r="AC52" s="339" t="str" cm="1">
        <f t="array" ref="AC52">IF($R52="","",IF(UPPER(INDEX(Symbols!$F$4:$F$43,ROW()-24))="YES","YES","NO"))</f>
        <v>YES</v>
      </c>
      <c r="AD52" s="339" t="str">
        <f ca="1">IF($R52="","",IF(ROUND(Settings!$C$65+Settings!$C$66,6)&lt;&gt;1,"NO",IF($AC52&lt;&gt;"YES","NO",IF(AND(UPPER(Settings!$C$105)="YES",$AP52="YES"),"NO",IF(NOT(ISNUMBER($U52)),"NO",IF(NOT(ISNUMBER($W52)),"NO",IF($C$7="","NO",IF($C$6-$C$7&gt;Settings!$C$70,"NO",IF(AND(ISNUMBER($AO52),$AO52&gt;Settings!$C$104),"NO",IF(N($AB52)&lt;Settings!$C$71,"NO",IF(N($AA52)&lt;Settings!$C$72,"NO","YES")))))))))))</f>
        <v>NO</v>
      </c>
      <c r="AE52" s="339" t="str">
        <f ca="1">IF($R52="","",IF($AD52="YES","",IF(ROUND(Settings!$C$65+Settings!$C$66,6)&lt;&gt;1,"Ranking weights do not total 100%",IF($AC52&lt;&gt;"YES","Security is not active",IF(AND(UPPER(Settings!$C$105)="YES",$AP52="YES"),"Cross-listed security, excluded by Settings!C105",IF(NOT(ISNUMBER($U52)),"Missing fundamental data",IF(NOT(ISNUMBER($W52)),"No market observation on the date used",IF($C$7="","No market data available",IF($C$6-$C$7&gt;Settings!$C$70,"Market data is stale",IF(AND(ISNUMBER($AO52),$AO52&gt;Settings!$C$104),"Fundamental statement is stale ("&amp;$AO52&amp;" months old)",IF(N($AB52)&lt;Settings!$C$71,"Data confidence below minimum","Liquidity below minimum")))))))))))</f>
        <v>Fundamental statement is stale (65 months old)</v>
      </c>
      <c r="AF52" s="340" t="str">
        <f ca="1">IF($AD52&lt;&gt;"YES","",ROUND($U52*RankingFundamentalWeight+$W52*RankingSentimentWeight,1))</f>
        <v/>
      </c>
      <c r="AG52" s="339" t="str">
        <f ca="1">IF($AD52&lt;&gt;"YES","",$AF52+$U52/10000+$W52/100000000+N($AB52)/1000000000000)</f>
        <v/>
      </c>
      <c r="AH52" s="343" t="str" cm="1">
        <f t="array" aca="1" ref="AH52" ca="1">IF(OR($AD52&lt;&gt;"YES",$AI52&lt;&gt;1),"",SUMPRODUCT(($AI$25:$AI$64=1)*($AD$25:$AD$64="YES")*($AG$25:$AG$64&gt;$AG52))+SUMPRODUCT(($AI$25:$AI$64=1)*($AD$25:$AD$64="YES")*($AG$25:$AG$64=$AG52)*($R$25:$R$64&lt;$R52))+1)</f>
        <v/>
      </c>
      <c r="AI52" s="339">
        <f ca="1">IF($R52="","",IF(AND(OR($A$22="",$T52=$A$22),OR($B$22="",$AL52=$B$22),OR($C$22="",$AM52=$C$22),OR($D$22="",AND(ISNUMBER($U52),N($U52)&gt;=$D$22)),OR($E$22="",AND(ISNUMBER($W52),N($W52)&gt;=$E$22)),OR($F$22="",AND(ISNUMBER($AF52),N($AF52)&gt;=$F$22)),OR($G$22="",N($AA52)&gt;=$G$22),OR($H$22="",N($AB52)&gt;=$H$22),OR(UPPER($I$22)&lt;&gt;"YES",$AC52="YES"),OR(UPPER($J$22)&lt;&gt;"YES",$AD52="YES")),1,0))</f>
        <v>1</v>
      </c>
      <c r="AJ52" s="339" t="str">
        <f>IF(OR($R52="",$C$11=""),"",IF(COUNTIFS('Ranking History'!$B$5:$B$2000,$R52,'Ranking History'!$A$5:$A$2000,$C$11)=0,"",SUMIFS('Ranking History'!$C$5:$C$2000,'Ranking History'!$B$5:$B$2000,$R52,'Ranking History'!$A$5:$A$2000,$C$11)))</f>
        <v/>
      </c>
      <c r="AK52" s="339" t="str">
        <f ca="1">IF(OR($AJ52="",$AH52=""),"",$AJ52-$AH52)</f>
        <v/>
      </c>
      <c r="AL52" s="339" t="str">
        <f ca="1">IF($AF52="","",IF($AF52&gt;=Settings!$C$76,"BORA SANA",IF($AF52&gt;=Settings!$C$77,"NZURI SANA",IF($AF52&gt;=Settings!$C$78,"NZURI",IF($AF52&gt;=Settings!$C$79,"WASTANI",IF($AF52&gt;=Settings!$C$80,"DHAIFU","DHAIFU SANA"))))))</f>
        <v/>
      </c>
      <c r="AM52" s="339" t="str">
        <f>IF(NOT(ISNUMBER($W52)),"",IF($W52&gt;=Settings!$C$82,"Demand kubwa sana",IF($W52&gt;=Settings!$C$83,"Demand kubwa",IF($W52&gt;=Settings!$C$84,"Demand ya wastani","Demand ndogo sana"))))</f>
        <v>Demand kubwa</v>
      </c>
      <c r="AN52" s="339" t="str">
        <f>IF($R52="","",IF(OR(NOT(ISNUMBER($U52)),NOT(ISNUMBER($W52))),"INCOMPLETE DATA",IF($U52&lt;Settings!$C$88,"Epuka : ubora dhaifu",IF(AND($U52&gt;=Settings!$C$86,$W52&gt;=Settings!$C$87),"Nunua : ubora na mwelekeo vinaungana",IF($U52&gt;=Settings!$C$86,"Fuatilia : ubora mzuri, mwelekeo bado haujathibitisha",IF($W52&gt;=Settings!$C$89,"Fuatilia : ubora wa wastani","Fuatilia : ubora wa wastani, mwelekeo bado dhaifu"))))))</f>
        <v>Fuatilia : ubora wa wastani</v>
      </c>
      <c r="AO52" s="339">
        <f ca="1">IF($R52="","",IF(COUNTIFS('Fundamental Scorecard'!$A$5:$A$44,$R52,'Fundamental Scorecard'!$AE$5:$AE$44,"&gt;=-1E+300")=0,"",SUMIFS('Fundamental Scorecard'!$AE$5:$AE$44,'Fundamental Scorecard'!$A$5:$A$44,$R52)))</f>
        <v>65</v>
      </c>
      <c r="AP52" s="339" t="str" cm="1">
        <f t="array" ref="AP52">IF($R52="","",IF(ISNUMBER(SEARCH("cross-listed",INDEX(Symbols!$C$4:$C$43,ROW()-24))),"YES","NO"))</f>
        <v>NO</v>
      </c>
    </row>
    <row r="53" spans="1:42" x14ac:dyDescent="0.3">
      <c r="A53" s="344" t="str" cm="1">
        <f t="array" aca="1" ref="A53" ca="1">IF($Q53="","",IF(INDEX($AD$25:$AD$64,$Q53)="YES",INDEX($AH$25:$AH$64,$Q53),"—"))</f>
        <v>—</v>
      </c>
      <c r="B53" s="318" t="str" cm="1">
        <f t="array" aca="1" ref="B53" ca="1">IF($Q53="","",INDEX($R$25:$R$64,$Q53))</f>
        <v>IEACLC-ETF</v>
      </c>
      <c r="C53" s="319" t="str" cm="1">
        <f t="array" aca="1" ref="C53" ca="1">IF($Q53="","",INDEX($S$25:$S$64,$Q53))</f>
        <v>IEACLC ETF</v>
      </c>
      <c r="D53" s="319" t="str" cm="1">
        <f t="array" aca="1" ref="D53" ca="1">IF($Q53="","",INDEX($T$25:$T$64,$Q53))</f>
        <v>Exchange Traded Fund</v>
      </c>
      <c r="E53" s="100" t="str" cm="1">
        <f t="array" aca="1" ref="E53" ca="1">IF($Q53="","",INDEX($U$25:$U$64,$Q53))</f>
        <v/>
      </c>
      <c r="F53" s="100" cm="1">
        <f t="array" aca="1" ref="F53" ca="1">IF($Q53="","",INDEX($W$25:$W$64,$Q53))</f>
        <v>57.7</v>
      </c>
      <c r="G53" s="100" t="str" cm="1">
        <f t="array" aca="1" ref="G53" ca="1">IF($Q53="","",INDEX($AF$25:$AF$64,$Q53))</f>
        <v/>
      </c>
      <c r="H53" s="319" t="str" cm="1">
        <f t="array" aca="1" ref="H53" ca="1">IF($Q53="","",INDEX($AL$25:$AL$64,$Q53))</f>
        <v/>
      </c>
      <c r="I53" s="319" t="str" cm="1">
        <f t="array" aca="1" ref="I53" ca="1">IF($Q53="","",INDEX($AM$25:$AM$64,$Q53))</f>
        <v>Demand kubwa</v>
      </c>
      <c r="J53" s="319" t="str" cm="1">
        <f t="array" aca="1" ref="J53" ca="1">IF($Q53="","",INDEX($AN$25:$AN$64,$Q53))</f>
        <v>INCOMPLETE DATA</v>
      </c>
      <c r="K53" s="100" cm="1">
        <f t="array" aca="1" ref="K53" ca="1">IF($Q53="","",INDEX($AA$25:$AA$64,$Q53))</f>
        <v>16.5</v>
      </c>
      <c r="L53" s="100" cm="1">
        <f t="array" aca="1" ref="L53" ca="1">IF($Q53="","",INDEX($AB$25:$AB$64,$Q53))</f>
        <v>75</v>
      </c>
      <c r="M53" s="319" t="str" cm="1">
        <f t="array" aca="1" ref="M53" ca="1">IF($Q53="","",INDEX($V$25:$V$64,$Q53))</f>
        <v/>
      </c>
      <c r="N53" s="95">
        <f ca="1">IF($Q53="","",$C$7)</f>
        <v>46248</v>
      </c>
      <c r="O53" s="102" t="str" cm="1">
        <f t="array" aca="1" ref="O53" ca="1">IF($Q53="","",INDEX($AJ$25:$AJ$64,$Q53))</f>
        <v/>
      </c>
      <c r="P53" s="319" t="str" cm="1">
        <f t="array" aca="1" ref="P53" ca="1">IF($Q53="","",IF(INDEX($AK$25:$AK$64,$Q53)="","",IF(INDEX($AK$25:$AK$64,$Q53)&gt;0,"▲ +"&amp;INDEX($AK$25:$AK$64,$Q53),IF(INDEX($AK$25:$AK$64,$Q53)&lt;0,"▼ "&amp;INDEX($AK$25:$AK$64,$Q53),"= 0"))))</f>
        <v/>
      </c>
      <c r="Q53" s="116" cm="1">
        <f t="array" aca="1" ref="Q53" ca="1">IF(ROW()-24&lt;=COUNT($AH$25:$AH$64),IFERROR(MATCH(ROW()-24,$AH$25:$AH$64,0),""),IFERROR(SMALL(IF(($AI$25:$AI$64=1)*($AD$25:$AD$64&lt;&gt;"YES")*($R$25:$R$64&lt;&gt;""),ROW($AI$25:$AI$64)-24),ROW()-24-COUNT($AH$25:$AH$64)),""))</f>
        <v>29</v>
      </c>
      <c r="R53" s="339" t="str">
        <f>IF(Symbols!A32="","",Symbols!A32)</f>
        <v>IEACLC-ETF</v>
      </c>
      <c r="S53" s="339" t="str" cm="1">
        <f t="array" ref="S53">IF($R53="","",INDEX(Symbols!$B$4:$B$43,ROW()-24))</f>
        <v>IEACLC ETF</v>
      </c>
      <c r="T53" s="339" t="str" cm="1">
        <f t="array" ref="T53">IF($R53="","",INDEX(Symbols!$D$4:$D$43,ROW()-24))</f>
        <v>Exchange Traded Fund</v>
      </c>
      <c r="U53" s="340" t="str">
        <f>IF($R53="","",IF(COUNTIFS('Fundamental Scorecard'!$A$5:$A$44,$R53,'Fundamental Scorecard'!$E$5:$E$44,"&gt;=-1E+300")=0,"",SUMIFS('Fundamental Scorecard'!$E$5:$E$44,'Fundamental Scorecard'!$A$5:$A$44,$R53)))</f>
        <v/>
      </c>
      <c r="V53" s="339" t="str">
        <f>IF($R53="","",IFERROR(IF(INDEX('Fundamental Scorecard'!$D$5:$D$44,MATCH($R53,'Fundamental Scorecard'!$A$5:$A$44,0))=0,"",INDEX('Fundamental Scorecard'!$D$5:$D$44,MATCH($R53,'Fundamental Scorecard'!$A$5:$A$44,0))),""))</f>
        <v/>
      </c>
      <c r="W53" s="340">
        <f>IF(OR($R53="",$C$7=""),"",IF(COUNTIFS('Daily Data'!$B$4:$B$503,$R53,'Daily Data'!$A$4:$A$503,$C$7,'Daily Data'!$AH$4:$AH$503,"&gt;=-1E+300")=0,"",SUMIFS('Daily Data'!$AH$4:$AH$503,'Daily Data'!$B$4:$B$503,$R53,'Daily Data'!$A$4:$A$503,$C$7)))</f>
        <v>57.7</v>
      </c>
      <c r="X53" s="341">
        <f>IF(OR($R53="",$C$7=""),"",IF(COUNTIFS('Daily Data'!$B$4:$B$503,$R53,'Daily Data'!$A$4:$A$503,$C$7,'Daily Data'!$S$4:$S$503,"&gt;=-1E+300")=0,"",SUMIFS('Daily Data'!$S$4:$S$503,'Daily Data'!$B$4:$B$503,$R53,'Daily Data'!$A$4:$A$503,$C$7)))</f>
        <v>1.5606898209349838</v>
      </c>
      <c r="Y53" s="342" t="str">
        <f>IF(OR($R53="",$C$7=""),"",IF(COUNTIFS('Daily Data'!$B$4:$B$503,$R53,'Daily Data'!$A$4:$A$503,$C$7,'Daily Data'!$AA$4:$AA$503,"&gt;=-1E+300")=0,"",SUMIFS('Daily Data'!$AA$4:$AA$503,'Daily Data'!$B$4:$B$503,$R53,'Daily Data'!$A$4:$A$503,$C$7)))</f>
        <v/>
      </c>
      <c r="Z53" s="341" t="str">
        <f>IF(OR($R53="",$C$7=""),"",IF(COUNTIFS('Daily Data'!$B$4:$B$503,$R53,'Daily Data'!$A$4:$A$503,$C$7,'Daily Data'!$AC$4:$AC$503,"&gt;=-1E+300")=0,"",SUMIFS('Daily Data'!$AC$4:$AC$503,'Daily Data'!$B$4:$B$503,$R53,'Daily Data'!$A$4:$A$503,$C$7)))</f>
        <v/>
      </c>
      <c r="AA53" s="340">
        <f>IF(OR($R53="",$C$7=""),"",IF(COUNTIFS('Daily Data'!$B$4:$B$503,$R53,'Daily Data'!$A$4:$A$503,$C$7,'Daily Data'!$AG$4:$AG$503,"&gt;=-1E+300")=0,"",SUMIFS('Daily Data'!$AG$4:$AG$503,'Daily Data'!$B$4:$B$503,$R53,'Daily Data'!$A$4:$A$503,$C$7)))</f>
        <v>16.5</v>
      </c>
      <c r="AB53" s="340">
        <f>IF(OR($R53="",$C$7=""),"",IF(COUNTIFS('Daily Data'!$B$4:$B$503,$R53,'Daily Data'!$A$4:$A$503,$C$7,'Daily Data'!$AI$4:$AI$503,"&gt;=-1E+300")=0,"",SUMIFS('Daily Data'!$AI$4:$AI$503,'Daily Data'!$B$4:$B$503,$R53,'Daily Data'!$A$4:$A$503,$C$7)))</f>
        <v>75</v>
      </c>
      <c r="AC53" s="339" t="str" cm="1">
        <f t="array" ref="AC53">IF($R53="","",IF(UPPER(INDEX(Symbols!$F$4:$F$43,ROW()-24))="YES","YES","NO"))</f>
        <v>YES</v>
      </c>
      <c r="AD53" s="339" t="str">
        <f>IF($R53="","",IF(ROUND(Settings!$C$65+Settings!$C$66,6)&lt;&gt;1,"NO",IF($AC53&lt;&gt;"YES","NO",IF(AND(UPPER(Settings!$C$105)="YES",$AP53="YES"),"NO",IF(NOT(ISNUMBER($U53)),"NO",IF(NOT(ISNUMBER($W53)),"NO",IF($C$7="","NO",IF($C$6-$C$7&gt;Settings!$C$70,"NO",IF(AND(ISNUMBER($AO53),$AO53&gt;Settings!$C$104),"NO",IF(N($AB53)&lt;Settings!$C$71,"NO",IF(N($AA53)&lt;Settings!$C$72,"NO","YES")))))))))))</f>
        <v>NO</v>
      </c>
      <c r="AE53" s="339" t="str">
        <f>IF($R53="","",IF($AD53="YES","",IF(ROUND(Settings!$C$65+Settings!$C$66,6)&lt;&gt;1,"Ranking weights do not total 100%",IF($AC53&lt;&gt;"YES","Security is not active",IF(AND(UPPER(Settings!$C$105)="YES",$AP53="YES"),"Cross-listed security, excluded by Settings!C105",IF(NOT(ISNUMBER($U53)),"Missing fundamental data",IF(NOT(ISNUMBER($W53)),"No market observation on the date used",IF($C$7="","No market data available",IF($C$6-$C$7&gt;Settings!$C$70,"Market data is stale",IF(AND(ISNUMBER($AO53),$AO53&gt;Settings!$C$104),"Fundamental statement is stale ("&amp;$AO53&amp;" months old)",IF(N($AB53)&lt;Settings!$C$71,"Data confidence below minimum","Liquidity below minimum")))))))))))</f>
        <v>Missing fundamental data</v>
      </c>
      <c r="AF53" s="340" t="str">
        <f>IF($AD53&lt;&gt;"YES","",ROUND($U53*RankingFundamentalWeight+$W53*RankingSentimentWeight,1))</f>
        <v/>
      </c>
      <c r="AG53" s="339" t="str">
        <f>IF($AD53&lt;&gt;"YES","",$AF53+$U53/10000+$W53/100000000+N($AB53)/1000000000000)</f>
        <v/>
      </c>
      <c r="AH53" s="343" t="str" cm="1">
        <f t="array" ref="AH53">IF(OR($AD53&lt;&gt;"YES",$AI53&lt;&gt;1),"",SUMPRODUCT(($AI$25:$AI$64=1)*($AD$25:$AD$64="YES")*($AG$25:$AG$64&gt;$AG53))+SUMPRODUCT(($AI$25:$AI$64=1)*($AD$25:$AD$64="YES")*($AG$25:$AG$64=$AG53)*($R$25:$R$64&lt;$R53))+1)</f>
        <v/>
      </c>
      <c r="AI53" s="339">
        <f>IF($R53="","",IF(AND(OR($A$22="",$T53=$A$22),OR($B$22="",$AL53=$B$22),OR($C$22="",$AM53=$C$22),OR($D$22="",AND(ISNUMBER($U53),N($U53)&gt;=$D$22)),OR($E$22="",AND(ISNUMBER($W53),N($W53)&gt;=$E$22)),OR($F$22="",AND(ISNUMBER($AF53),N($AF53)&gt;=$F$22)),OR($G$22="",N($AA53)&gt;=$G$22),OR($H$22="",N($AB53)&gt;=$H$22),OR(UPPER($I$22)&lt;&gt;"YES",$AC53="YES"),OR(UPPER($J$22)&lt;&gt;"YES",$AD53="YES")),1,0))</f>
        <v>1</v>
      </c>
      <c r="AJ53" s="339" t="str">
        <f>IF(OR($R53="",$C$11=""),"",IF(COUNTIFS('Ranking History'!$B$5:$B$2000,$R53,'Ranking History'!$A$5:$A$2000,$C$11)=0,"",SUMIFS('Ranking History'!$C$5:$C$2000,'Ranking History'!$B$5:$B$2000,$R53,'Ranking History'!$A$5:$A$2000,$C$11)))</f>
        <v/>
      </c>
      <c r="AK53" s="339" t="str">
        <f>IF(OR($AJ53="",$AH53=""),"",$AJ53-$AH53)</f>
        <v/>
      </c>
      <c r="AL53" s="339" t="str">
        <f>IF($AF53="","",IF($AF53&gt;=Settings!$C$76,"BORA SANA",IF($AF53&gt;=Settings!$C$77,"NZURI SANA",IF($AF53&gt;=Settings!$C$78,"NZURI",IF($AF53&gt;=Settings!$C$79,"WASTANI",IF($AF53&gt;=Settings!$C$80,"DHAIFU","DHAIFU SANA"))))))</f>
        <v/>
      </c>
      <c r="AM53" s="339" t="str">
        <f>IF(NOT(ISNUMBER($W53)),"",IF($W53&gt;=Settings!$C$82,"Demand kubwa sana",IF($W53&gt;=Settings!$C$83,"Demand kubwa",IF($W53&gt;=Settings!$C$84,"Demand ya wastani","Demand ndogo sana"))))</f>
        <v>Demand kubwa</v>
      </c>
      <c r="AN53" s="339" t="str">
        <f>IF($R53="","",IF(OR(NOT(ISNUMBER($U53)),NOT(ISNUMBER($W53))),"INCOMPLETE DATA",IF($U53&lt;Settings!$C$88,"Epuka : ubora dhaifu",IF(AND($U53&gt;=Settings!$C$86,$W53&gt;=Settings!$C$87),"Nunua : ubora na mwelekeo vinaungana",IF($U53&gt;=Settings!$C$86,"Fuatilia : ubora mzuri, mwelekeo bado haujathibitisha",IF($W53&gt;=Settings!$C$89,"Fuatilia : ubora wa wastani","Fuatilia : ubora wa wastani, mwelekeo bado dhaifu"))))))</f>
        <v>INCOMPLETE DATA</v>
      </c>
      <c r="AO53" s="339" t="str">
        <f ca="1">IF($R53="","",IF(COUNTIFS('Fundamental Scorecard'!$A$5:$A$44,$R53,'Fundamental Scorecard'!$AE$5:$AE$44,"&gt;=-1E+300")=0,"",SUMIFS('Fundamental Scorecard'!$AE$5:$AE$44,'Fundamental Scorecard'!$A$5:$A$44,$R53)))</f>
        <v/>
      </c>
      <c r="AP53" s="339" t="str" cm="1">
        <f t="array" ref="AP53">IF($R53="","",IF(ISNUMBER(SEARCH("cross-listed",INDEX(Symbols!$C$4:$C$43,ROW()-24))),"YES","NO"))</f>
        <v>NO</v>
      </c>
    </row>
    <row r="54" spans="1:42" x14ac:dyDescent="0.3">
      <c r="A54" s="344" t="str" cm="1">
        <f t="array" aca="1" ref="A54" ca="1">IF($Q54="","",IF(INDEX($AD$25:$AD$64,$Q54)="YES",INDEX($AH$25:$AH$64,$Q54),"—"))</f>
        <v>—</v>
      </c>
      <c r="B54" s="318" t="str" cm="1">
        <f t="array" aca="1" ref="B54" ca="1">IF($Q54="","",INDEX($R$25:$R$64,$Q54))</f>
        <v>VERTEX-ETF</v>
      </c>
      <c r="C54" s="319" t="str" cm="1">
        <f t="array" aca="1" ref="C54" ca="1">IF($Q54="","",INDEX($S$25:$S$64,$Q54))</f>
        <v>VERTEX ETF</v>
      </c>
      <c r="D54" s="319" t="str" cm="1">
        <f t="array" aca="1" ref="D54" ca="1">IF($Q54="","",INDEX($T$25:$T$64,$Q54))</f>
        <v>Exchange Traded Fund</v>
      </c>
      <c r="E54" s="100" t="str" cm="1">
        <f t="array" aca="1" ref="E54" ca="1">IF($Q54="","",INDEX($U$25:$U$64,$Q54))</f>
        <v/>
      </c>
      <c r="F54" s="100" cm="1">
        <f t="array" aca="1" ref="F54" ca="1">IF($Q54="","",INDEX($W$25:$W$64,$Q54))</f>
        <v>33.200000000000003</v>
      </c>
      <c r="G54" s="100" t="str" cm="1">
        <f t="array" aca="1" ref="G54" ca="1">IF($Q54="","",INDEX($AF$25:$AF$64,$Q54))</f>
        <v/>
      </c>
      <c r="H54" s="319" t="str" cm="1">
        <f t="array" aca="1" ref="H54" ca="1">IF($Q54="","",INDEX($AL$25:$AL$64,$Q54))</f>
        <v/>
      </c>
      <c r="I54" s="319" t="str" cm="1">
        <f t="array" aca="1" ref="I54" ca="1">IF($Q54="","",INDEX($AM$25:$AM$64,$Q54))</f>
        <v>Demand ya wastani</v>
      </c>
      <c r="J54" s="319" t="str" cm="1">
        <f t="array" aca="1" ref="J54" ca="1">IF($Q54="","",INDEX($AN$25:$AN$64,$Q54))</f>
        <v>INCOMPLETE DATA</v>
      </c>
      <c r="K54" s="100" cm="1">
        <f t="array" aca="1" ref="K54" ca="1">IF($Q54="","",INDEX($AA$25:$AA$64,$Q54))</f>
        <v>37.1</v>
      </c>
      <c r="L54" s="100" cm="1">
        <f t="array" aca="1" ref="L54" ca="1">IF($Q54="","",INDEX($AB$25:$AB$64,$Q54))</f>
        <v>75</v>
      </c>
      <c r="M54" s="319" t="str" cm="1">
        <f t="array" aca="1" ref="M54" ca="1">IF($Q54="","",INDEX($V$25:$V$64,$Q54))</f>
        <v/>
      </c>
      <c r="N54" s="95">
        <f ca="1">IF($Q54="","",$C$7)</f>
        <v>46248</v>
      </c>
      <c r="O54" s="102" t="str" cm="1">
        <f t="array" aca="1" ref="O54" ca="1">IF($Q54="","",INDEX($AJ$25:$AJ$64,$Q54))</f>
        <v/>
      </c>
      <c r="P54" s="319" t="str" cm="1">
        <f t="array" aca="1" ref="P54" ca="1">IF($Q54="","",IF(INDEX($AK$25:$AK$64,$Q54)="","",IF(INDEX($AK$25:$AK$64,$Q54)&gt;0,"▲ +"&amp;INDEX($AK$25:$AK$64,$Q54),IF(INDEX($AK$25:$AK$64,$Q54)&lt;0,"▼ "&amp;INDEX($AK$25:$AK$64,$Q54),"= 0"))))</f>
        <v/>
      </c>
      <c r="Q54" s="116" cm="1">
        <f t="array" aca="1" ref="Q54" ca="1">IF(ROW()-24&lt;=COUNT($AH$25:$AH$64),IFERROR(MATCH(ROW()-24,$AH$25:$AH$64,0),""),IFERROR(SMALL(IF(($AI$25:$AI$64=1)*($AD$25:$AD$64&lt;&gt;"YES")*($R$25:$R$64&lt;&gt;""),ROW($AI$25:$AI$64)-24),ROW()-24-COUNT($AH$25:$AH$64)),""))</f>
        <v>30</v>
      </c>
      <c r="R54" s="339" t="str">
        <f>IF(Symbols!A33="","",Symbols!A33)</f>
        <v>VERTEX-ETF</v>
      </c>
      <c r="S54" s="339" t="str" cm="1">
        <f t="array" ref="S54">IF($R54="","",INDEX(Symbols!$B$4:$B$43,ROW()-24))</f>
        <v>VERTEX ETF</v>
      </c>
      <c r="T54" s="339" t="str" cm="1">
        <f t="array" ref="T54">IF($R54="","",INDEX(Symbols!$D$4:$D$43,ROW()-24))</f>
        <v>Exchange Traded Fund</v>
      </c>
      <c r="U54" s="340" t="str">
        <f>IF($R54="","",IF(COUNTIFS('Fundamental Scorecard'!$A$5:$A$44,$R54,'Fundamental Scorecard'!$E$5:$E$44,"&gt;=-1E+300")=0,"",SUMIFS('Fundamental Scorecard'!$E$5:$E$44,'Fundamental Scorecard'!$A$5:$A$44,$R54)))</f>
        <v/>
      </c>
      <c r="V54" s="339" t="str">
        <f>IF($R54="","",IFERROR(IF(INDEX('Fundamental Scorecard'!$D$5:$D$44,MATCH($R54,'Fundamental Scorecard'!$A$5:$A$44,0))=0,"",INDEX('Fundamental Scorecard'!$D$5:$D$44,MATCH($R54,'Fundamental Scorecard'!$A$5:$A$44,0))),""))</f>
        <v/>
      </c>
      <c r="W54" s="340">
        <f>IF(OR($R54="",$C$7=""),"",IF(COUNTIFS('Daily Data'!$B$4:$B$503,$R54,'Daily Data'!$A$4:$A$503,$C$7,'Daily Data'!$AH$4:$AH$503,"&gt;=-1E+300")=0,"",SUMIFS('Daily Data'!$AH$4:$AH$503,'Daily Data'!$B$4:$B$503,$R54,'Daily Data'!$A$4:$A$503,$C$7)))</f>
        <v>33.200000000000003</v>
      </c>
      <c r="X54" s="341">
        <f>IF(OR($R54="",$C$7=""),"",IF(COUNTIFS('Daily Data'!$B$4:$B$503,$R54,'Daily Data'!$A$4:$A$503,$C$7,'Daily Data'!$S$4:$S$503,"&gt;=-1E+300")=0,"",SUMIFS('Daily Data'!$S$4:$S$503,'Daily Data'!$B$4:$B$503,$R54,'Daily Data'!$A$4:$A$503,$C$7)))</f>
        <v>0.21222859351845885</v>
      </c>
      <c r="Y54" s="342" t="str">
        <f>IF(OR($R54="",$C$7=""),"",IF(COUNTIFS('Daily Data'!$B$4:$B$503,$R54,'Daily Data'!$A$4:$A$503,$C$7,'Daily Data'!$AA$4:$AA$503,"&gt;=-1E+300")=0,"",SUMIFS('Daily Data'!$AA$4:$AA$503,'Daily Data'!$B$4:$B$503,$R54,'Daily Data'!$A$4:$A$503,$C$7)))</f>
        <v/>
      </c>
      <c r="Z54" s="341" t="str">
        <f>IF(OR($R54="",$C$7=""),"",IF(COUNTIFS('Daily Data'!$B$4:$B$503,$R54,'Daily Data'!$A$4:$A$503,$C$7,'Daily Data'!$AC$4:$AC$503,"&gt;=-1E+300")=0,"",SUMIFS('Daily Data'!$AC$4:$AC$503,'Daily Data'!$B$4:$B$503,$R54,'Daily Data'!$A$4:$A$503,$C$7)))</f>
        <v/>
      </c>
      <c r="AA54" s="340">
        <f>IF(OR($R54="",$C$7=""),"",IF(COUNTIFS('Daily Data'!$B$4:$B$503,$R54,'Daily Data'!$A$4:$A$503,$C$7,'Daily Data'!$AG$4:$AG$503,"&gt;=-1E+300")=0,"",SUMIFS('Daily Data'!$AG$4:$AG$503,'Daily Data'!$B$4:$B$503,$R54,'Daily Data'!$A$4:$A$503,$C$7)))</f>
        <v>37.1</v>
      </c>
      <c r="AB54" s="340">
        <f>IF(OR($R54="",$C$7=""),"",IF(COUNTIFS('Daily Data'!$B$4:$B$503,$R54,'Daily Data'!$A$4:$A$503,$C$7,'Daily Data'!$AI$4:$AI$503,"&gt;=-1E+300")=0,"",SUMIFS('Daily Data'!$AI$4:$AI$503,'Daily Data'!$B$4:$B$503,$R54,'Daily Data'!$A$4:$A$503,$C$7)))</f>
        <v>75</v>
      </c>
      <c r="AC54" s="339" t="str" cm="1">
        <f t="array" ref="AC54">IF($R54="","",IF(UPPER(INDEX(Symbols!$F$4:$F$43,ROW()-24))="YES","YES","NO"))</f>
        <v>YES</v>
      </c>
      <c r="AD54" s="339" t="str">
        <f>IF($R54="","",IF(ROUND(Settings!$C$65+Settings!$C$66,6)&lt;&gt;1,"NO",IF($AC54&lt;&gt;"YES","NO",IF(AND(UPPER(Settings!$C$105)="YES",$AP54="YES"),"NO",IF(NOT(ISNUMBER($U54)),"NO",IF(NOT(ISNUMBER($W54)),"NO",IF($C$7="","NO",IF($C$6-$C$7&gt;Settings!$C$70,"NO",IF(AND(ISNUMBER($AO54),$AO54&gt;Settings!$C$104),"NO",IF(N($AB54)&lt;Settings!$C$71,"NO",IF(N($AA54)&lt;Settings!$C$72,"NO","YES")))))))))))</f>
        <v>NO</v>
      </c>
      <c r="AE54" s="339" t="str">
        <f>IF($R54="","",IF($AD54="YES","",IF(ROUND(Settings!$C$65+Settings!$C$66,6)&lt;&gt;1,"Ranking weights do not total 100%",IF($AC54&lt;&gt;"YES","Security is not active",IF(AND(UPPER(Settings!$C$105)="YES",$AP54="YES"),"Cross-listed security, excluded by Settings!C105",IF(NOT(ISNUMBER($U54)),"Missing fundamental data",IF(NOT(ISNUMBER($W54)),"No market observation on the date used",IF($C$7="","No market data available",IF($C$6-$C$7&gt;Settings!$C$70,"Market data is stale",IF(AND(ISNUMBER($AO54),$AO54&gt;Settings!$C$104),"Fundamental statement is stale ("&amp;$AO54&amp;" months old)",IF(N($AB54)&lt;Settings!$C$71,"Data confidence below minimum","Liquidity below minimum")))))))))))</f>
        <v>Missing fundamental data</v>
      </c>
      <c r="AF54" s="340" t="str">
        <f>IF($AD54&lt;&gt;"YES","",ROUND($U54*RankingFundamentalWeight+$W54*RankingSentimentWeight,1))</f>
        <v/>
      </c>
      <c r="AG54" s="339" t="str">
        <f>IF($AD54&lt;&gt;"YES","",$AF54+$U54/10000+$W54/100000000+N($AB54)/1000000000000)</f>
        <v/>
      </c>
      <c r="AH54" s="343" t="str" cm="1">
        <f t="array" ref="AH54">IF(OR($AD54&lt;&gt;"YES",$AI54&lt;&gt;1),"",SUMPRODUCT(($AI$25:$AI$64=1)*($AD$25:$AD$64="YES")*($AG$25:$AG$64&gt;$AG54))+SUMPRODUCT(($AI$25:$AI$64=1)*($AD$25:$AD$64="YES")*($AG$25:$AG$64=$AG54)*($R$25:$R$64&lt;$R54))+1)</f>
        <v/>
      </c>
      <c r="AI54" s="339">
        <f>IF($R54="","",IF(AND(OR($A$22="",$T54=$A$22),OR($B$22="",$AL54=$B$22),OR($C$22="",$AM54=$C$22),OR($D$22="",AND(ISNUMBER($U54),N($U54)&gt;=$D$22)),OR($E$22="",AND(ISNUMBER($W54),N($W54)&gt;=$E$22)),OR($F$22="",AND(ISNUMBER($AF54),N($AF54)&gt;=$F$22)),OR($G$22="",N($AA54)&gt;=$G$22),OR($H$22="",N($AB54)&gt;=$H$22),OR(UPPER($I$22)&lt;&gt;"YES",$AC54="YES"),OR(UPPER($J$22)&lt;&gt;"YES",$AD54="YES")),1,0))</f>
        <v>1</v>
      </c>
      <c r="AJ54" s="339" t="str">
        <f>IF(OR($R54="",$C$11=""),"",IF(COUNTIFS('Ranking History'!$B$5:$B$2000,$R54,'Ranking History'!$A$5:$A$2000,$C$11)=0,"",SUMIFS('Ranking History'!$C$5:$C$2000,'Ranking History'!$B$5:$B$2000,$R54,'Ranking History'!$A$5:$A$2000,$C$11)))</f>
        <v/>
      </c>
      <c r="AK54" s="339" t="str">
        <f>IF(OR($AJ54="",$AH54=""),"",$AJ54-$AH54)</f>
        <v/>
      </c>
      <c r="AL54" s="339" t="str">
        <f>IF($AF54="","",IF($AF54&gt;=Settings!$C$76,"BORA SANA",IF($AF54&gt;=Settings!$C$77,"NZURI SANA",IF($AF54&gt;=Settings!$C$78,"NZURI",IF($AF54&gt;=Settings!$C$79,"WASTANI",IF($AF54&gt;=Settings!$C$80,"DHAIFU","DHAIFU SANA"))))))</f>
        <v/>
      </c>
      <c r="AM54" s="339" t="str">
        <f>IF(NOT(ISNUMBER($W54)),"",IF($W54&gt;=Settings!$C$82,"Demand kubwa sana",IF($W54&gt;=Settings!$C$83,"Demand kubwa",IF($W54&gt;=Settings!$C$84,"Demand ya wastani","Demand ndogo sana"))))</f>
        <v>Demand ya wastani</v>
      </c>
      <c r="AN54" s="339" t="str">
        <f>IF($R54="","",IF(OR(NOT(ISNUMBER($U54)),NOT(ISNUMBER($W54))),"INCOMPLETE DATA",IF($U54&lt;Settings!$C$88,"Epuka : ubora dhaifu",IF(AND($U54&gt;=Settings!$C$86,$W54&gt;=Settings!$C$87),"Nunua : ubora na mwelekeo vinaungana",IF($U54&gt;=Settings!$C$86,"Fuatilia : ubora mzuri, mwelekeo bado haujathibitisha",IF($W54&gt;=Settings!$C$89,"Fuatilia : ubora wa wastani","Fuatilia : ubora wa wastani, mwelekeo bado dhaifu"))))))</f>
        <v>INCOMPLETE DATA</v>
      </c>
      <c r="AO54" s="339" t="str">
        <f ca="1">IF($R54="","",IF(COUNTIFS('Fundamental Scorecard'!$A$5:$A$44,$R54,'Fundamental Scorecard'!$AE$5:$AE$44,"&gt;=-1E+300")=0,"",SUMIFS('Fundamental Scorecard'!$AE$5:$AE$44,'Fundamental Scorecard'!$A$5:$A$44,$R54)))</f>
        <v/>
      </c>
      <c r="AP54" s="339" t="str" cm="1">
        <f t="array" ref="AP54">IF($R54="","",IF(ISNUMBER(SEARCH("cross-listed",INDEX(Symbols!$C$4:$C$43,ROW()-24))),"YES","NO"))</f>
        <v>NO</v>
      </c>
    </row>
    <row r="55" spans="1:42" x14ac:dyDescent="0.3">
      <c r="A55" s="344" t="str" cm="1">
        <f t="array" aca="1" ref="A55" ca="1">IF($Q55="","",IF(INDEX($AD$25:$AD$64,$Q55)="YES",INDEX($AH$25:$AH$64,$Q55),"—"))</f>
        <v/>
      </c>
      <c r="B55" s="318" t="str" cm="1">
        <f t="array" aca="1" ref="B55" ca="1">IF($Q55="","",INDEX($R$25:$R$64,$Q55))</f>
        <v/>
      </c>
      <c r="C55" s="319" t="str" cm="1">
        <f t="array" aca="1" ref="C55" ca="1">IF($Q55="","",INDEX($S$25:$S$64,$Q55))</f>
        <v/>
      </c>
      <c r="D55" s="319" t="str" cm="1">
        <f t="array" aca="1" ref="D55" ca="1">IF($Q55="","",INDEX($T$25:$T$64,$Q55))</f>
        <v/>
      </c>
      <c r="E55" s="100" t="str" cm="1">
        <f t="array" aca="1" ref="E55" ca="1">IF($Q55="","",INDEX($U$25:$U$64,$Q55))</f>
        <v/>
      </c>
      <c r="F55" s="100" t="str" cm="1">
        <f t="array" aca="1" ref="F55" ca="1">IF($Q55="","",INDEX($W$25:$W$64,$Q55))</f>
        <v/>
      </c>
      <c r="G55" s="100" t="str" cm="1">
        <f t="array" aca="1" ref="G55" ca="1">IF($Q55="","",INDEX($AF$25:$AF$64,$Q55))</f>
        <v/>
      </c>
      <c r="H55" s="319" t="str" cm="1">
        <f t="array" aca="1" ref="H55" ca="1">IF($Q55="","",INDEX($AL$25:$AL$64,$Q55))</f>
        <v/>
      </c>
      <c r="I55" s="319" t="str" cm="1">
        <f t="array" aca="1" ref="I55" ca="1">IF($Q55="","",INDEX($AM$25:$AM$64,$Q55))</f>
        <v/>
      </c>
      <c r="J55" s="319" t="str" cm="1">
        <f t="array" aca="1" ref="J55" ca="1">IF($Q55="","",INDEX($AN$25:$AN$64,$Q55))</f>
        <v/>
      </c>
      <c r="K55" s="100" t="str" cm="1">
        <f t="array" aca="1" ref="K55" ca="1">IF($Q55="","",INDEX($AA$25:$AA$64,$Q55))</f>
        <v/>
      </c>
      <c r="L55" s="100" t="str" cm="1">
        <f t="array" aca="1" ref="L55" ca="1">IF($Q55="","",INDEX($AB$25:$AB$64,$Q55))</f>
        <v/>
      </c>
      <c r="M55" s="319" t="str" cm="1">
        <f t="array" aca="1" ref="M55" ca="1">IF($Q55="","",INDEX($V$25:$V$64,$Q55))</f>
        <v/>
      </c>
      <c r="N55" s="95" t="str">
        <f ca="1">IF($Q55="","",$C$7)</f>
        <v/>
      </c>
      <c r="O55" s="102" t="str" cm="1">
        <f t="array" aca="1" ref="O55" ca="1">IF($Q55="","",INDEX($AJ$25:$AJ$64,$Q55))</f>
        <v/>
      </c>
      <c r="P55" s="319" t="str" cm="1">
        <f t="array" aca="1" ref="P55" ca="1">IF($Q55="","",IF(INDEX($AK$25:$AK$64,$Q55)="","",IF(INDEX($AK$25:$AK$64,$Q55)&gt;0,"▲ +"&amp;INDEX($AK$25:$AK$64,$Q55),IF(INDEX($AK$25:$AK$64,$Q55)&lt;0,"▼ "&amp;INDEX($AK$25:$AK$64,$Q55),"= 0"))))</f>
        <v/>
      </c>
      <c r="Q55" s="116" t="str" cm="1">
        <f t="array" aca="1" ref="Q55" ca="1">IF(ROW()-24&lt;=COUNT($AH$25:$AH$64),IFERROR(MATCH(ROW()-24,$AH$25:$AH$64,0),""),IFERROR(SMALL(IF(($AI$25:$AI$64=1)*($AD$25:$AD$64&lt;&gt;"YES")*($R$25:$R$64&lt;&gt;""),ROW($AI$25:$AI$64)-24),ROW()-24-COUNT($AH$25:$AH$64)),""))</f>
        <v/>
      </c>
      <c r="R55" s="339" t="str">
        <f>IF(Symbols!A34="","",Symbols!A34)</f>
        <v/>
      </c>
      <c r="S55" s="339" t="str" cm="1">
        <f t="array" ref="S55">IF($R55="","",INDEX(Symbols!$B$4:$B$43,ROW()-24))</f>
        <v/>
      </c>
      <c r="T55" s="339" t="str" cm="1">
        <f t="array" ref="T55">IF($R55="","",INDEX(Symbols!$D$4:$D$43,ROW()-24))</f>
        <v/>
      </c>
      <c r="U55" s="340" t="str">
        <f>IF($R55="","",IF(COUNTIFS('Fundamental Scorecard'!$A$5:$A$44,$R55,'Fundamental Scorecard'!$E$5:$E$44,"&gt;=-1E+300")=0,"",SUMIFS('Fundamental Scorecard'!$E$5:$E$44,'Fundamental Scorecard'!$A$5:$A$44,$R55)))</f>
        <v/>
      </c>
      <c r="V55" s="339" t="str">
        <f>IF($R55="","",IFERROR(IF(INDEX('Fundamental Scorecard'!$D$5:$D$44,MATCH($R55,'Fundamental Scorecard'!$A$5:$A$44,0))=0,"",INDEX('Fundamental Scorecard'!$D$5:$D$44,MATCH($R55,'Fundamental Scorecard'!$A$5:$A$44,0))),""))</f>
        <v/>
      </c>
      <c r="W55" s="340" t="str">
        <f>IF(OR($R55="",$C$7=""),"",IF(COUNTIFS('Daily Data'!$B$4:$B$503,$R55,'Daily Data'!$A$4:$A$503,$C$7,'Daily Data'!$AH$4:$AH$503,"&gt;=-1E+300")=0,"",SUMIFS('Daily Data'!$AH$4:$AH$503,'Daily Data'!$B$4:$B$503,$R55,'Daily Data'!$A$4:$A$503,$C$7)))</f>
        <v/>
      </c>
      <c r="X55" s="341" t="str">
        <f>IF(OR($R55="",$C$7=""),"",IF(COUNTIFS('Daily Data'!$B$4:$B$503,$R55,'Daily Data'!$A$4:$A$503,$C$7,'Daily Data'!$S$4:$S$503,"&gt;=-1E+300")=0,"",SUMIFS('Daily Data'!$S$4:$S$503,'Daily Data'!$B$4:$B$503,$R55,'Daily Data'!$A$4:$A$503,$C$7)))</f>
        <v/>
      </c>
      <c r="Y55" s="342" t="str">
        <f>IF(OR($R55="",$C$7=""),"",IF(COUNTIFS('Daily Data'!$B$4:$B$503,$R55,'Daily Data'!$A$4:$A$503,$C$7,'Daily Data'!$AA$4:$AA$503,"&gt;=-1E+300")=0,"",SUMIFS('Daily Data'!$AA$4:$AA$503,'Daily Data'!$B$4:$B$503,$R55,'Daily Data'!$A$4:$A$503,$C$7)))</f>
        <v/>
      </c>
      <c r="Z55" s="341" t="str">
        <f>IF(OR($R55="",$C$7=""),"",IF(COUNTIFS('Daily Data'!$B$4:$B$503,$R55,'Daily Data'!$A$4:$A$503,$C$7,'Daily Data'!$AC$4:$AC$503,"&gt;=-1E+300")=0,"",SUMIFS('Daily Data'!$AC$4:$AC$503,'Daily Data'!$B$4:$B$503,$R55,'Daily Data'!$A$4:$A$503,$C$7)))</f>
        <v/>
      </c>
      <c r="AA55" s="340" t="str">
        <f>IF(OR($R55="",$C$7=""),"",IF(COUNTIFS('Daily Data'!$B$4:$B$503,$R55,'Daily Data'!$A$4:$A$503,$C$7,'Daily Data'!$AG$4:$AG$503,"&gt;=-1E+300")=0,"",SUMIFS('Daily Data'!$AG$4:$AG$503,'Daily Data'!$B$4:$B$503,$R55,'Daily Data'!$A$4:$A$503,$C$7)))</f>
        <v/>
      </c>
      <c r="AB55" s="340" t="str">
        <f>IF(OR($R55="",$C$7=""),"",IF(COUNTIFS('Daily Data'!$B$4:$B$503,$R55,'Daily Data'!$A$4:$A$503,$C$7,'Daily Data'!$AI$4:$AI$503,"&gt;=-1E+300")=0,"",SUMIFS('Daily Data'!$AI$4:$AI$503,'Daily Data'!$B$4:$B$503,$R55,'Daily Data'!$A$4:$A$503,$C$7)))</f>
        <v/>
      </c>
      <c r="AC55" s="339" t="str" cm="1">
        <f t="array" ref="AC55">IF($R55="","",IF(UPPER(INDEX(Symbols!$F$4:$F$43,ROW()-24))="YES","YES","NO"))</f>
        <v/>
      </c>
      <c r="AD55" s="339" t="str">
        <f>IF($R55="","",IF(ROUND(Settings!$C$65+Settings!$C$66,6)&lt;&gt;1,"NO",IF($AC55&lt;&gt;"YES","NO",IF(AND(UPPER(Settings!$C$105)="YES",$AP55="YES"),"NO",IF(NOT(ISNUMBER($U55)),"NO",IF(NOT(ISNUMBER($W55)),"NO",IF($C$7="","NO",IF($C$6-$C$7&gt;Settings!$C$70,"NO",IF(AND(ISNUMBER($AO55),$AO55&gt;Settings!$C$104),"NO",IF(N($AB55)&lt;Settings!$C$71,"NO",IF(N($AA55)&lt;Settings!$C$72,"NO","YES")))))))))))</f>
        <v/>
      </c>
      <c r="AE55" s="339" t="str">
        <f>IF($R55="","",IF($AD55="YES","",IF(ROUND(Settings!$C$65+Settings!$C$66,6)&lt;&gt;1,"Ranking weights do not total 100%",IF($AC55&lt;&gt;"YES","Security is not active",IF(AND(UPPER(Settings!$C$105)="YES",$AP55="YES"),"Cross-listed security, excluded by Settings!C105",IF(NOT(ISNUMBER($U55)),"Missing fundamental data",IF(NOT(ISNUMBER($W55)),"No market observation on the date used",IF($C$7="","No market data available",IF($C$6-$C$7&gt;Settings!$C$70,"Market data is stale",IF(AND(ISNUMBER($AO55),$AO55&gt;Settings!$C$104),"Fundamental statement is stale ("&amp;$AO55&amp;" months old)",IF(N($AB55)&lt;Settings!$C$71,"Data confidence below minimum","Liquidity below minimum")))))))))))</f>
        <v/>
      </c>
      <c r="AF55" s="340" t="str">
        <f>IF($AD55&lt;&gt;"YES","",ROUND($U55*RankingFundamentalWeight+$W55*RankingSentimentWeight,1))</f>
        <v/>
      </c>
      <c r="AG55" s="339" t="str">
        <f>IF($AD55&lt;&gt;"YES","",$AF55+$U55/10000+$W55/100000000+N($AB55)/1000000000000)</f>
        <v/>
      </c>
      <c r="AH55" s="343" t="str" cm="1">
        <f t="array" ref="AH55">IF(OR($AD55&lt;&gt;"YES",$AI55&lt;&gt;1),"",SUMPRODUCT(($AI$25:$AI$64=1)*($AD$25:$AD$64="YES")*($AG$25:$AG$64&gt;$AG55))+SUMPRODUCT(($AI$25:$AI$64=1)*($AD$25:$AD$64="YES")*($AG$25:$AG$64=$AG55)*($R$25:$R$64&lt;$R55))+1)</f>
        <v/>
      </c>
      <c r="AI55" s="339" t="str">
        <f>IF($R55="","",IF(AND(OR($A$22="",$T55=$A$22),OR($B$22="",$AL55=$B$22),OR($C$22="",$AM55=$C$22),OR($D$22="",AND(ISNUMBER($U55),N($U55)&gt;=$D$22)),OR($E$22="",AND(ISNUMBER($W55),N($W55)&gt;=$E$22)),OR($F$22="",AND(ISNUMBER($AF55),N($AF55)&gt;=$F$22)),OR($G$22="",N($AA55)&gt;=$G$22),OR($H$22="",N($AB55)&gt;=$H$22),OR(UPPER($I$22)&lt;&gt;"YES",$AC55="YES"),OR(UPPER($J$22)&lt;&gt;"YES",$AD55="YES")),1,0))</f>
        <v/>
      </c>
      <c r="AJ55" s="339" t="str">
        <f>IF(OR($R55="",$C$11=""),"",IF(COUNTIFS('Ranking History'!$B$5:$B$2000,$R55,'Ranking History'!$A$5:$A$2000,$C$11)=0,"",SUMIFS('Ranking History'!$C$5:$C$2000,'Ranking History'!$B$5:$B$2000,$R55,'Ranking History'!$A$5:$A$2000,$C$11)))</f>
        <v/>
      </c>
      <c r="AK55" s="339" t="str">
        <f>IF(OR($AJ55="",$AH55=""),"",$AJ55-$AH55)</f>
        <v/>
      </c>
      <c r="AL55" s="339" t="str">
        <f>IF($AF55="","",IF($AF55&gt;=Settings!$C$76,"BORA SANA",IF($AF55&gt;=Settings!$C$77,"NZURI SANA",IF($AF55&gt;=Settings!$C$78,"NZURI",IF($AF55&gt;=Settings!$C$79,"WASTANI",IF($AF55&gt;=Settings!$C$80,"DHAIFU","DHAIFU SANA"))))))</f>
        <v/>
      </c>
      <c r="AM55" s="339" t="str">
        <f>IF(NOT(ISNUMBER($W55)),"",IF($W55&gt;=Settings!$C$82,"Demand kubwa sana",IF($W55&gt;=Settings!$C$83,"Demand kubwa",IF($W55&gt;=Settings!$C$84,"Demand ya wastani","Demand ndogo sana"))))</f>
        <v/>
      </c>
      <c r="AN55" s="339" t="str">
        <f>IF($R55="","",IF(OR(NOT(ISNUMBER($U55)),NOT(ISNUMBER($W55))),"INCOMPLETE DATA",IF($U55&lt;Settings!$C$88,"Epuka : ubora dhaifu",IF(AND($U55&gt;=Settings!$C$86,$W55&gt;=Settings!$C$87),"Nunua : ubora na mwelekeo vinaungana",IF($U55&gt;=Settings!$C$86,"Fuatilia : ubora mzuri, mwelekeo bado haujathibitisha",IF($W55&gt;=Settings!$C$89,"Fuatilia : ubora wa wastani","Fuatilia : ubora wa wastani, mwelekeo bado dhaifu"))))))</f>
        <v/>
      </c>
      <c r="AO55" s="339" t="str">
        <f>IF($R55="","",IF(COUNTIFS('Fundamental Scorecard'!$A$5:$A$44,$R55,'Fundamental Scorecard'!$AE$5:$AE$44,"&gt;=-1E+300")=0,"",SUMIFS('Fundamental Scorecard'!$AE$5:$AE$44,'Fundamental Scorecard'!$A$5:$A$44,$R55)))</f>
        <v/>
      </c>
      <c r="AP55" s="339" t="str" cm="1">
        <f t="array" ref="AP55">IF($R55="","",IF(ISNUMBER(SEARCH("cross-listed",INDEX(Symbols!$C$4:$C$43,ROW()-24))),"YES","NO"))</f>
        <v/>
      </c>
    </row>
    <row r="56" spans="1:42" x14ac:dyDescent="0.3">
      <c r="A56" s="344" t="str" cm="1">
        <f t="array" aca="1" ref="A56" ca="1">IF($Q56="","",IF(INDEX($AD$25:$AD$64,$Q56)="YES",INDEX($AH$25:$AH$64,$Q56),"—"))</f>
        <v/>
      </c>
      <c r="B56" s="318" t="str" cm="1">
        <f t="array" aca="1" ref="B56" ca="1">IF($Q56="","",INDEX($R$25:$R$64,$Q56))</f>
        <v/>
      </c>
      <c r="C56" s="319" t="str" cm="1">
        <f t="array" aca="1" ref="C56" ca="1">IF($Q56="","",INDEX($S$25:$S$64,$Q56))</f>
        <v/>
      </c>
      <c r="D56" s="319" t="str" cm="1">
        <f t="array" aca="1" ref="D56" ca="1">IF($Q56="","",INDEX($T$25:$T$64,$Q56))</f>
        <v/>
      </c>
      <c r="E56" s="100" t="str" cm="1">
        <f t="array" aca="1" ref="E56" ca="1">IF($Q56="","",INDEX($U$25:$U$64,$Q56))</f>
        <v/>
      </c>
      <c r="F56" s="100" t="str" cm="1">
        <f t="array" aca="1" ref="F56" ca="1">IF($Q56="","",INDEX($W$25:$W$64,$Q56))</f>
        <v/>
      </c>
      <c r="G56" s="100" t="str" cm="1">
        <f t="array" aca="1" ref="G56" ca="1">IF($Q56="","",INDEX($AF$25:$AF$64,$Q56))</f>
        <v/>
      </c>
      <c r="H56" s="319" t="str" cm="1">
        <f t="array" aca="1" ref="H56" ca="1">IF($Q56="","",INDEX($AL$25:$AL$64,$Q56))</f>
        <v/>
      </c>
      <c r="I56" s="319" t="str" cm="1">
        <f t="array" aca="1" ref="I56" ca="1">IF($Q56="","",INDEX($AM$25:$AM$64,$Q56))</f>
        <v/>
      </c>
      <c r="J56" s="319" t="str" cm="1">
        <f t="array" aca="1" ref="J56" ca="1">IF($Q56="","",INDEX($AN$25:$AN$64,$Q56))</f>
        <v/>
      </c>
      <c r="K56" s="100" t="str" cm="1">
        <f t="array" aca="1" ref="K56" ca="1">IF($Q56="","",INDEX($AA$25:$AA$64,$Q56))</f>
        <v/>
      </c>
      <c r="L56" s="100" t="str" cm="1">
        <f t="array" aca="1" ref="L56" ca="1">IF($Q56="","",INDEX($AB$25:$AB$64,$Q56))</f>
        <v/>
      </c>
      <c r="M56" s="319" t="str" cm="1">
        <f t="array" aca="1" ref="M56" ca="1">IF($Q56="","",INDEX($V$25:$V$64,$Q56))</f>
        <v/>
      </c>
      <c r="N56" s="95" t="str">
        <f ca="1">IF($Q56="","",$C$7)</f>
        <v/>
      </c>
      <c r="O56" s="102" t="str" cm="1">
        <f t="array" aca="1" ref="O56" ca="1">IF($Q56="","",INDEX($AJ$25:$AJ$64,$Q56))</f>
        <v/>
      </c>
      <c r="P56" s="319" t="str" cm="1">
        <f t="array" aca="1" ref="P56" ca="1">IF($Q56="","",IF(INDEX($AK$25:$AK$64,$Q56)="","",IF(INDEX($AK$25:$AK$64,$Q56)&gt;0,"▲ +"&amp;INDEX($AK$25:$AK$64,$Q56),IF(INDEX($AK$25:$AK$64,$Q56)&lt;0,"▼ "&amp;INDEX($AK$25:$AK$64,$Q56),"= 0"))))</f>
        <v/>
      </c>
      <c r="Q56" s="116" t="str" cm="1">
        <f t="array" aca="1" ref="Q56" ca="1">IF(ROW()-24&lt;=COUNT($AH$25:$AH$64),IFERROR(MATCH(ROW()-24,$AH$25:$AH$64,0),""),IFERROR(SMALL(IF(($AI$25:$AI$64=1)*($AD$25:$AD$64&lt;&gt;"YES")*($R$25:$R$64&lt;&gt;""),ROW($AI$25:$AI$64)-24),ROW()-24-COUNT($AH$25:$AH$64)),""))</f>
        <v/>
      </c>
      <c r="R56" s="339" t="str">
        <f>IF(Symbols!A35="","",Symbols!A35)</f>
        <v/>
      </c>
      <c r="S56" s="339" t="str" cm="1">
        <f t="array" ref="S56">IF($R56="","",INDEX(Symbols!$B$4:$B$43,ROW()-24))</f>
        <v/>
      </c>
      <c r="T56" s="339" t="str" cm="1">
        <f t="array" ref="T56">IF($R56="","",INDEX(Symbols!$D$4:$D$43,ROW()-24))</f>
        <v/>
      </c>
      <c r="U56" s="340" t="str">
        <f>IF($R56="","",IF(COUNTIFS('Fundamental Scorecard'!$A$5:$A$44,$R56,'Fundamental Scorecard'!$E$5:$E$44,"&gt;=-1E+300")=0,"",SUMIFS('Fundamental Scorecard'!$E$5:$E$44,'Fundamental Scorecard'!$A$5:$A$44,$R56)))</f>
        <v/>
      </c>
      <c r="V56" s="339" t="str">
        <f>IF($R56="","",IFERROR(IF(INDEX('Fundamental Scorecard'!$D$5:$D$44,MATCH($R56,'Fundamental Scorecard'!$A$5:$A$44,0))=0,"",INDEX('Fundamental Scorecard'!$D$5:$D$44,MATCH($R56,'Fundamental Scorecard'!$A$5:$A$44,0))),""))</f>
        <v/>
      </c>
      <c r="W56" s="340" t="str">
        <f>IF(OR($R56="",$C$7=""),"",IF(COUNTIFS('Daily Data'!$B$4:$B$503,$R56,'Daily Data'!$A$4:$A$503,$C$7,'Daily Data'!$AH$4:$AH$503,"&gt;=-1E+300")=0,"",SUMIFS('Daily Data'!$AH$4:$AH$503,'Daily Data'!$B$4:$B$503,$R56,'Daily Data'!$A$4:$A$503,$C$7)))</f>
        <v/>
      </c>
      <c r="X56" s="341" t="str">
        <f>IF(OR($R56="",$C$7=""),"",IF(COUNTIFS('Daily Data'!$B$4:$B$503,$R56,'Daily Data'!$A$4:$A$503,$C$7,'Daily Data'!$S$4:$S$503,"&gt;=-1E+300")=0,"",SUMIFS('Daily Data'!$S$4:$S$503,'Daily Data'!$B$4:$B$503,$R56,'Daily Data'!$A$4:$A$503,$C$7)))</f>
        <v/>
      </c>
      <c r="Y56" s="342" t="str">
        <f>IF(OR($R56="",$C$7=""),"",IF(COUNTIFS('Daily Data'!$B$4:$B$503,$R56,'Daily Data'!$A$4:$A$503,$C$7,'Daily Data'!$AA$4:$AA$503,"&gt;=-1E+300")=0,"",SUMIFS('Daily Data'!$AA$4:$AA$503,'Daily Data'!$B$4:$B$503,$R56,'Daily Data'!$A$4:$A$503,$C$7)))</f>
        <v/>
      </c>
      <c r="Z56" s="341" t="str">
        <f>IF(OR($R56="",$C$7=""),"",IF(COUNTIFS('Daily Data'!$B$4:$B$503,$R56,'Daily Data'!$A$4:$A$503,$C$7,'Daily Data'!$AC$4:$AC$503,"&gt;=-1E+300")=0,"",SUMIFS('Daily Data'!$AC$4:$AC$503,'Daily Data'!$B$4:$B$503,$R56,'Daily Data'!$A$4:$A$503,$C$7)))</f>
        <v/>
      </c>
      <c r="AA56" s="340" t="str">
        <f>IF(OR($R56="",$C$7=""),"",IF(COUNTIFS('Daily Data'!$B$4:$B$503,$R56,'Daily Data'!$A$4:$A$503,$C$7,'Daily Data'!$AG$4:$AG$503,"&gt;=-1E+300")=0,"",SUMIFS('Daily Data'!$AG$4:$AG$503,'Daily Data'!$B$4:$B$503,$R56,'Daily Data'!$A$4:$A$503,$C$7)))</f>
        <v/>
      </c>
      <c r="AB56" s="340" t="str">
        <f>IF(OR($R56="",$C$7=""),"",IF(COUNTIFS('Daily Data'!$B$4:$B$503,$R56,'Daily Data'!$A$4:$A$503,$C$7,'Daily Data'!$AI$4:$AI$503,"&gt;=-1E+300")=0,"",SUMIFS('Daily Data'!$AI$4:$AI$503,'Daily Data'!$B$4:$B$503,$R56,'Daily Data'!$A$4:$A$503,$C$7)))</f>
        <v/>
      </c>
      <c r="AC56" s="339" t="str" cm="1">
        <f t="array" ref="AC56">IF($R56="","",IF(UPPER(INDEX(Symbols!$F$4:$F$43,ROW()-24))="YES","YES","NO"))</f>
        <v/>
      </c>
      <c r="AD56" s="339" t="str">
        <f>IF($R56="","",IF(ROUND(Settings!$C$65+Settings!$C$66,6)&lt;&gt;1,"NO",IF($AC56&lt;&gt;"YES","NO",IF(AND(UPPER(Settings!$C$105)="YES",$AP56="YES"),"NO",IF(NOT(ISNUMBER($U56)),"NO",IF(NOT(ISNUMBER($W56)),"NO",IF($C$7="","NO",IF($C$6-$C$7&gt;Settings!$C$70,"NO",IF(AND(ISNUMBER($AO56),$AO56&gt;Settings!$C$104),"NO",IF(N($AB56)&lt;Settings!$C$71,"NO",IF(N($AA56)&lt;Settings!$C$72,"NO","YES")))))))))))</f>
        <v/>
      </c>
      <c r="AE56" s="339" t="str">
        <f>IF($R56="","",IF($AD56="YES","",IF(ROUND(Settings!$C$65+Settings!$C$66,6)&lt;&gt;1,"Ranking weights do not total 100%",IF($AC56&lt;&gt;"YES","Security is not active",IF(AND(UPPER(Settings!$C$105)="YES",$AP56="YES"),"Cross-listed security, excluded by Settings!C105",IF(NOT(ISNUMBER($U56)),"Missing fundamental data",IF(NOT(ISNUMBER($W56)),"No market observation on the date used",IF($C$7="","No market data available",IF($C$6-$C$7&gt;Settings!$C$70,"Market data is stale",IF(AND(ISNUMBER($AO56),$AO56&gt;Settings!$C$104),"Fundamental statement is stale ("&amp;$AO56&amp;" months old)",IF(N($AB56)&lt;Settings!$C$71,"Data confidence below minimum","Liquidity below minimum")))))))))))</f>
        <v/>
      </c>
      <c r="AF56" s="340" t="str">
        <f>IF($AD56&lt;&gt;"YES","",ROUND($U56*RankingFundamentalWeight+$W56*RankingSentimentWeight,1))</f>
        <v/>
      </c>
      <c r="AG56" s="339" t="str">
        <f>IF($AD56&lt;&gt;"YES","",$AF56+$U56/10000+$W56/100000000+N($AB56)/1000000000000)</f>
        <v/>
      </c>
      <c r="AH56" s="343" t="str" cm="1">
        <f t="array" ref="AH56">IF(OR($AD56&lt;&gt;"YES",$AI56&lt;&gt;1),"",SUMPRODUCT(($AI$25:$AI$64=1)*($AD$25:$AD$64="YES")*($AG$25:$AG$64&gt;$AG56))+SUMPRODUCT(($AI$25:$AI$64=1)*($AD$25:$AD$64="YES")*($AG$25:$AG$64=$AG56)*($R$25:$R$64&lt;$R56))+1)</f>
        <v/>
      </c>
      <c r="AI56" s="339" t="str">
        <f>IF($R56="","",IF(AND(OR($A$22="",$T56=$A$22),OR($B$22="",$AL56=$B$22),OR($C$22="",$AM56=$C$22),OR($D$22="",AND(ISNUMBER($U56),N($U56)&gt;=$D$22)),OR($E$22="",AND(ISNUMBER($W56),N($W56)&gt;=$E$22)),OR($F$22="",AND(ISNUMBER($AF56),N($AF56)&gt;=$F$22)),OR($G$22="",N($AA56)&gt;=$G$22),OR($H$22="",N($AB56)&gt;=$H$22),OR(UPPER($I$22)&lt;&gt;"YES",$AC56="YES"),OR(UPPER($J$22)&lt;&gt;"YES",$AD56="YES")),1,0))</f>
        <v/>
      </c>
      <c r="AJ56" s="339" t="str">
        <f>IF(OR($R56="",$C$11=""),"",IF(COUNTIFS('Ranking History'!$B$5:$B$2000,$R56,'Ranking History'!$A$5:$A$2000,$C$11)=0,"",SUMIFS('Ranking History'!$C$5:$C$2000,'Ranking History'!$B$5:$B$2000,$R56,'Ranking History'!$A$5:$A$2000,$C$11)))</f>
        <v/>
      </c>
      <c r="AK56" s="339" t="str">
        <f>IF(OR($AJ56="",$AH56=""),"",$AJ56-$AH56)</f>
        <v/>
      </c>
      <c r="AL56" s="339" t="str">
        <f>IF($AF56="","",IF($AF56&gt;=Settings!$C$76,"BORA SANA",IF($AF56&gt;=Settings!$C$77,"NZURI SANA",IF($AF56&gt;=Settings!$C$78,"NZURI",IF($AF56&gt;=Settings!$C$79,"WASTANI",IF($AF56&gt;=Settings!$C$80,"DHAIFU","DHAIFU SANA"))))))</f>
        <v/>
      </c>
      <c r="AM56" s="339" t="str">
        <f>IF(NOT(ISNUMBER($W56)),"",IF($W56&gt;=Settings!$C$82,"Demand kubwa sana",IF($W56&gt;=Settings!$C$83,"Demand kubwa",IF($W56&gt;=Settings!$C$84,"Demand ya wastani","Demand ndogo sana"))))</f>
        <v/>
      </c>
      <c r="AN56" s="339" t="str">
        <f>IF($R56="","",IF(OR(NOT(ISNUMBER($U56)),NOT(ISNUMBER($W56))),"INCOMPLETE DATA",IF($U56&lt;Settings!$C$88,"Epuka : ubora dhaifu",IF(AND($U56&gt;=Settings!$C$86,$W56&gt;=Settings!$C$87),"Nunua : ubora na mwelekeo vinaungana",IF($U56&gt;=Settings!$C$86,"Fuatilia : ubora mzuri, mwelekeo bado haujathibitisha",IF($W56&gt;=Settings!$C$89,"Fuatilia : ubora wa wastani","Fuatilia : ubora wa wastani, mwelekeo bado dhaifu"))))))</f>
        <v/>
      </c>
      <c r="AO56" s="339" t="str">
        <f>IF($R56="","",IF(COUNTIFS('Fundamental Scorecard'!$A$5:$A$44,$R56,'Fundamental Scorecard'!$AE$5:$AE$44,"&gt;=-1E+300")=0,"",SUMIFS('Fundamental Scorecard'!$AE$5:$AE$44,'Fundamental Scorecard'!$A$5:$A$44,$R56)))</f>
        <v/>
      </c>
      <c r="AP56" s="339" t="str" cm="1">
        <f t="array" ref="AP56">IF($R56="","",IF(ISNUMBER(SEARCH("cross-listed",INDEX(Symbols!$C$4:$C$43,ROW()-24))),"YES","NO"))</f>
        <v/>
      </c>
    </row>
    <row r="57" spans="1:42" x14ac:dyDescent="0.3">
      <c r="A57" s="344" t="str" cm="1">
        <f t="array" aca="1" ref="A57" ca="1">IF($Q57="","",IF(INDEX($AD$25:$AD$64,$Q57)="YES",INDEX($AH$25:$AH$64,$Q57),"—"))</f>
        <v/>
      </c>
      <c r="B57" s="318" t="str" cm="1">
        <f t="array" aca="1" ref="B57" ca="1">IF($Q57="","",INDEX($R$25:$R$64,$Q57))</f>
        <v/>
      </c>
      <c r="C57" s="319" t="str" cm="1">
        <f t="array" aca="1" ref="C57" ca="1">IF($Q57="","",INDEX($S$25:$S$64,$Q57))</f>
        <v/>
      </c>
      <c r="D57" s="319" t="str" cm="1">
        <f t="array" aca="1" ref="D57" ca="1">IF($Q57="","",INDEX($T$25:$T$64,$Q57))</f>
        <v/>
      </c>
      <c r="E57" s="100" t="str" cm="1">
        <f t="array" aca="1" ref="E57" ca="1">IF($Q57="","",INDEX($U$25:$U$64,$Q57))</f>
        <v/>
      </c>
      <c r="F57" s="100" t="str" cm="1">
        <f t="array" aca="1" ref="F57" ca="1">IF($Q57="","",INDEX($W$25:$W$64,$Q57))</f>
        <v/>
      </c>
      <c r="G57" s="100" t="str" cm="1">
        <f t="array" aca="1" ref="G57" ca="1">IF($Q57="","",INDEX($AF$25:$AF$64,$Q57))</f>
        <v/>
      </c>
      <c r="H57" s="319" t="str" cm="1">
        <f t="array" aca="1" ref="H57" ca="1">IF($Q57="","",INDEX($AL$25:$AL$64,$Q57))</f>
        <v/>
      </c>
      <c r="I57" s="319" t="str" cm="1">
        <f t="array" aca="1" ref="I57" ca="1">IF($Q57="","",INDEX($AM$25:$AM$64,$Q57))</f>
        <v/>
      </c>
      <c r="J57" s="319" t="str" cm="1">
        <f t="array" aca="1" ref="J57" ca="1">IF($Q57="","",INDEX($AN$25:$AN$64,$Q57))</f>
        <v/>
      </c>
      <c r="K57" s="100" t="str" cm="1">
        <f t="array" aca="1" ref="K57" ca="1">IF($Q57="","",INDEX($AA$25:$AA$64,$Q57))</f>
        <v/>
      </c>
      <c r="L57" s="100" t="str" cm="1">
        <f t="array" aca="1" ref="L57" ca="1">IF($Q57="","",INDEX($AB$25:$AB$64,$Q57))</f>
        <v/>
      </c>
      <c r="M57" s="319" t="str" cm="1">
        <f t="array" aca="1" ref="M57" ca="1">IF($Q57="","",INDEX($V$25:$V$64,$Q57))</f>
        <v/>
      </c>
      <c r="N57" s="95" t="str">
        <f ca="1">IF($Q57="","",$C$7)</f>
        <v/>
      </c>
      <c r="O57" s="102" t="str" cm="1">
        <f t="array" aca="1" ref="O57" ca="1">IF($Q57="","",INDEX($AJ$25:$AJ$64,$Q57))</f>
        <v/>
      </c>
      <c r="P57" s="319" t="str" cm="1">
        <f t="array" aca="1" ref="P57" ca="1">IF($Q57="","",IF(INDEX($AK$25:$AK$64,$Q57)="","",IF(INDEX($AK$25:$AK$64,$Q57)&gt;0,"▲ +"&amp;INDEX($AK$25:$AK$64,$Q57),IF(INDEX($AK$25:$AK$64,$Q57)&lt;0,"▼ "&amp;INDEX($AK$25:$AK$64,$Q57),"= 0"))))</f>
        <v/>
      </c>
      <c r="Q57" s="116" t="str" cm="1">
        <f t="array" aca="1" ref="Q57" ca="1">IF(ROW()-24&lt;=COUNT($AH$25:$AH$64),IFERROR(MATCH(ROW()-24,$AH$25:$AH$64,0),""),IFERROR(SMALL(IF(($AI$25:$AI$64=1)*($AD$25:$AD$64&lt;&gt;"YES")*($R$25:$R$64&lt;&gt;""),ROW($AI$25:$AI$64)-24),ROW()-24-COUNT($AH$25:$AH$64)),""))</f>
        <v/>
      </c>
      <c r="R57" s="339" t="str">
        <f>IF(Symbols!A36="","",Symbols!A36)</f>
        <v/>
      </c>
      <c r="S57" s="339" t="str" cm="1">
        <f t="array" ref="S57">IF($R57="","",INDEX(Symbols!$B$4:$B$43,ROW()-24))</f>
        <v/>
      </c>
      <c r="T57" s="339" t="str" cm="1">
        <f t="array" ref="T57">IF($R57="","",INDEX(Symbols!$D$4:$D$43,ROW()-24))</f>
        <v/>
      </c>
      <c r="U57" s="340" t="str">
        <f>IF($R57="","",IF(COUNTIFS('Fundamental Scorecard'!$A$5:$A$44,$R57,'Fundamental Scorecard'!$E$5:$E$44,"&gt;=-1E+300")=0,"",SUMIFS('Fundamental Scorecard'!$E$5:$E$44,'Fundamental Scorecard'!$A$5:$A$44,$R57)))</f>
        <v/>
      </c>
      <c r="V57" s="339" t="str">
        <f>IF($R57="","",IFERROR(IF(INDEX('Fundamental Scorecard'!$D$5:$D$44,MATCH($R57,'Fundamental Scorecard'!$A$5:$A$44,0))=0,"",INDEX('Fundamental Scorecard'!$D$5:$D$44,MATCH($R57,'Fundamental Scorecard'!$A$5:$A$44,0))),""))</f>
        <v/>
      </c>
      <c r="W57" s="340" t="str">
        <f>IF(OR($R57="",$C$7=""),"",IF(COUNTIFS('Daily Data'!$B$4:$B$503,$R57,'Daily Data'!$A$4:$A$503,$C$7,'Daily Data'!$AH$4:$AH$503,"&gt;=-1E+300")=0,"",SUMIFS('Daily Data'!$AH$4:$AH$503,'Daily Data'!$B$4:$B$503,$R57,'Daily Data'!$A$4:$A$503,$C$7)))</f>
        <v/>
      </c>
      <c r="X57" s="341" t="str">
        <f>IF(OR($R57="",$C$7=""),"",IF(COUNTIFS('Daily Data'!$B$4:$B$503,$R57,'Daily Data'!$A$4:$A$503,$C$7,'Daily Data'!$S$4:$S$503,"&gt;=-1E+300")=0,"",SUMIFS('Daily Data'!$S$4:$S$503,'Daily Data'!$B$4:$B$503,$R57,'Daily Data'!$A$4:$A$503,$C$7)))</f>
        <v/>
      </c>
      <c r="Y57" s="342" t="str">
        <f>IF(OR($R57="",$C$7=""),"",IF(COUNTIFS('Daily Data'!$B$4:$B$503,$R57,'Daily Data'!$A$4:$A$503,$C$7,'Daily Data'!$AA$4:$AA$503,"&gt;=-1E+300")=0,"",SUMIFS('Daily Data'!$AA$4:$AA$503,'Daily Data'!$B$4:$B$503,$R57,'Daily Data'!$A$4:$A$503,$C$7)))</f>
        <v/>
      </c>
      <c r="Z57" s="341" t="str">
        <f>IF(OR($R57="",$C$7=""),"",IF(COUNTIFS('Daily Data'!$B$4:$B$503,$R57,'Daily Data'!$A$4:$A$503,$C$7,'Daily Data'!$AC$4:$AC$503,"&gt;=-1E+300")=0,"",SUMIFS('Daily Data'!$AC$4:$AC$503,'Daily Data'!$B$4:$B$503,$R57,'Daily Data'!$A$4:$A$503,$C$7)))</f>
        <v/>
      </c>
      <c r="AA57" s="340" t="str">
        <f>IF(OR($R57="",$C$7=""),"",IF(COUNTIFS('Daily Data'!$B$4:$B$503,$R57,'Daily Data'!$A$4:$A$503,$C$7,'Daily Data'!$AG$4:$AG$503,"&gt;=-1E+300")=0,"",SUMIFS('Daily Data'!$AG$4:$AG$503,'Daily Data'!$B$4:$B$503,$R57,'Daily Data'!$A$4:$A$503,$C$7)))</f>
        <v/>
      </c>
      <c r="AB57" s="340" t="str">
        <f>IF(OR($R57="",$C$7=""),"",IF(COUNTIFS('Daily Data'!$B$4:$B$503,$R57,'Daily Data'!$A$4:$A$503,$C$7,'Daily Data'!$AI$4:$AI$503,"&gt;=-1E+300")=0,"",SUMIFS('Daily Data'!$AI$4:$AI$503,'Daily Data'!$B$4:$B$503,$R57,'Daily Data'!$A$4:$A$503,$C$7)))</f>
        <v/>
      </c>
      <c r="AC57" s="339" t="str" cm="1">
        <f t="array" ref="AC57">IF($R57="","",IF(UPPER(INDEX(Symbols!$F$4:$F$43,ROW()-24))="YES","YES","NO"))</f>
        <v/>
      </c>
      <c r="AD57" s="339" t="str">
        <f>IF($R57="","",IF(ROUND(Settings!$C$65+Settings!$C$66,6)&lt;&gt;1,"NO",IF($AC57&lt;&gt;"YES","NO",IF(AND(UPPER(Settings!$C$105)="YES",$AP57="YES"),"NO",IF(NOT(ISNUMBER($U57)),"NO",IF(NOT(ISNUMBER($W57)),"NO",IF($C$7="","NO",IF($C$6-$C$7&gt;Settings!$C$70,"NO",IF(AND(ISNUMBER($AO57),$AO57&gt;Settings!$C$104),"NO",IF(N($AB57)&lt;Settings!$C$71,"NO",IF(N($AA57)&lt;Settings!$C$72,"NO","YES")))))))))))</f>
        <v/>
      </c>
      <c r="AE57" s="339" t="str">
        <f>IF($R57="","",IF($AD57="YES","",IF(ROUND(Settings!$C$65+Settings!$C$66,6)&lt;&gt;1,"Ranking weights do not total 100%",IF($AC57&lt;&gt;"YES","Security is not active",IF(AND(UPPER(Settings!$C$105)="YES",$AP57="YES"),"Cross-listed security, excluded by Settings!C105",IF(NOT(ISNUMBER($U57)),"Missing fundamental data",IF(NOT(ISNUMBER($W57)),"No market observation on the date used",IF($C$7="","No market data available",IF($C$6-$C$7&gt;Settings!$C$70,"Market data is stale",IF(AND(ISNUMBER($AO57),$AO57&gt;Settings!$C$104),"Fundamental statement is stale ("&amp;$AO57&amp;" months old)",IF(N($AB57)&lt;Settings!$C$71,"Data confidence below minimum","Liquidity below minimum")))))))))))</f>
        <v/>
      </c>
      <c r="AF57" s="340" t="str">
        <f>IF($AD57&lt;&gt;"YES","",ROUND($U57*RankingFundamentalWeight+$W57*RankingSentimentWeight,1))</f>
        <v/>
      </c>
      <c r="AG57" s="339" t="str">
        <f>IF($AD57&lt;&gt;"YES","",$AF57+$U57/10000+$W57/100000000+N($AB57)/1000000000000)</f>
        <v/>
      </c>
      <c r="AH57" s="343" t="str" cm="1">
        <f t="array" ref="AH57">IF(OR($AD57&lt;&gt;"YES",$AI57&lt;&gt;1),"",SUMPRODUCT(($AI$25:$AI$64=1)*($AD$25:$AD$64="YES")*($AG$25:$AG$64&gt;$AG57))+SUMPRODUCT(($AI$25:$AI$64=1)*($AD$25:$AD$64="YES")*($AG$25:$AG$64=$AG57)*($R$25:$R$64&lt;$R57))+1)</f>
        <v/>
      </c>
      <c r="AI57" s="339" t="str">
        <f>IF($R57="","",IF(AND(OR($A$22="",$T57=$A$22),OR($B$22="",$AL57=$B$22),OR($C$22="",$AM57=$C$22),OR($D$22="",AND(ISNUMBER($U57),N($U57)&gt;=$D$22)),OR($E$22="",AND(ISNUMBER($W57),N($W57)&gt;=$E$22)),OR($F$22="",AND(ISNUMBER($AF57),N($AF57)&gt;=$F$22)),OR($G$22="",N($AA57)&gt;=$G$22),OR($H$22="",N($AB57)&gt;=$H$22),OR(UPPER($I$22)&lt;&gt;"YES",$AC57="YES"),OR(UPPER($J$22)&lt;&gt;"YES",$AD57="YES")),1,0))</f>
        <v/>
      </c>
      <c r="AJ57" s="339" t="str">
        <f>IF(OR($R57="",$C$11=""),"",IF(COUNTIFS('Ranking History'!$B$5:$B$2000,$R57,'Ranking History'!$A$5:$A$2000,$C$11)=0,"",SUMIFS('Ranking History'!$C$5:$C$2000,'Ranking History'!$B$5:$B$2000,$R57,'Ranking History'!$A$5:$A$2000,$C$11)))</f>
        <v/>
      </c>
      <c r="AK57" s="339" t="str">
        <f>IF(OR($AJ57="",$AH57=""),"",$AJ57-$AH57)</f>
        <v/>
      </c>
      <c r="AL57" s="339" t="str">
        <f>IF($AF57="","",IF($AF57&gt;=Settings!$C$76,"BORA SANA",IF($AF57&gt;=Settings!$C$77,"NZURI SANA",IF($AF57&gt;=Settings!$C$78,"NZURI",IF($AF57&gt;=Settings!$C$79,"WASTANI",IF($AF57&gt;=Settings!$C$80,"DHAIFU","DHAIFU SANA"))))))</f>
        <v/>
      </c>
      <c r="AM57" s="339" t="str">
        <f>IF(NOT(ISNUMBER($W57)),"",IF($W57&gt;=Settings!$C$82,"Demand kubwa sana",IF($W57&gt;=Settings!$C$83,"Demand kubwa",IF($W57&gt;=Settings!$C$84,"Demand ya wastani","Demand ndogo sana"))))</f>
        <v/>
      </c>
      <c r="AN57" s="339" t="str">
        <f>IF($R57="","",IF(OR(NOT(ISNUMBER($U57)),NOT(ISNUMBER($W57))),"INCOMPLETE DATA",IF($U57&lt;Settings!$C$88,"Epuka : ubora dhaifu",IF(AND($U57&gt;=Settings!$C$86,$W57&gt;=Settings!$C$87),"Nunua : ubora na mwelekeo vinaungana",IF($U57&gt;=Settings!$C$86,"Fuatilia : ubora mzuri, mwelekeo bado haujathibitisha",IF($W57&gt;=Settings!$C$89,"Fuatilia : ubora wa wastani","Fuatilia : ubora wa wastani, mwelekeo bado dhaifu"))))))</f>
        <v/>
      </c>
      <c r="AO57" s="339" t="str">
        <f>IF($R57="","",IF(COUNTIFS('Fundamental Scorecard'!$A$5:$A$44,$R57,'Fundamental Scorecard'!$AE$5:$AE$44,"&gt;=-1E+300")=0,"",SUMIFS('Fundamental Scorecard'!$AE$5:$AE$44,'Fundamental Scorecard'!$A$5:$A$44,$R57)))</f>
        <v/>
      </c>
      <c r="AP57" s="339" t="str" cm="1">
        <f t="array" ref="AP57">IF($R57="","",IF(ISNUMBER(SEARCH("cross-listed",INDEX(Symbols!$C$4:$C$43,ROW()-24))),"YES","NO"))</f>
        <v/>
      </c>
    </row>
    <row r="58" spans="1:42" x14ac:dyDescent="0.3">
      <c r="A58" s="344" t="str" cm="1">
        <f t="array" aca="1" ref="A58" ca="1">IF($Q58="","",IF(INDEX($AD$25:$AD$64,$Q58)="YES",INDEX($AH$25:$AH$64,$Q58),"—"))</f>
        <v/>
      </c>
      <c r="B58" s="318" t="str" cm="1">
        <f t="array" aca="1" ref="B58" ca="1">IF($Q58="","",INDEX($R$25:$R$64,$Q58))</f>
        <v/>
      </c>
      <c r="C58" s="319" t="str" cm="1">
        <f t="array" aca="1" ref="C58" ca="1">IF($Q58="","",INDEX($S$25:$S$64,$Q58))</f>
        <v/>
      </c>
      <c r="D58" s="319" t="str" cm="1">
        <f t="array" aca="1" ref="D58" ca="1">IF($Q58="","",INDEX($T$25:$T$64,$Q58))</f>
        <v/>
      </c>
      <c r="E58" s="100" t="str" cm="1">
        <f t="array" aca="1" ref="E58" ca="1">IF($Q58="","",INDEX($U$25:$U$64,$Q58))</f>
        <v/>
      </c>
      <c r="F58" s="100" t="str" cm="1">
        <f t="array" aca="1" ref="F58" ca="1">IF($Q58="","",INDEX($W$25:$W$64,$Q58))</f>
        <v/>
      </c>
      <c r="G58" s="100" t="str" cm="1">
        <f t="array" aca="1" ref="G58" ca="1">IF($Q58="","",INDEX($AF$25:$AF$64,$Q58))</f>
        <v/>
      </c>
      <c r="H58" s="319" t="str" cm="1">
        <f t="array" aca="1" ref="H58" ca="1">IF($Q58="","",INDEX($AL$25:$AL$64,$Q58))</f>
        <v/>
      </c>
      <c r="I58" s="319" t="str" cm="1">
        <f t="array" aca="1" ref="I58" ca="1">IF($Q58="","",INDEX($AM$25:$AM$64,$Q58))</f>
        <v/>
      </c>
      <c r="J58" s="319" t="str" cm="1">
        <f t="array" aca="1" ref="J58" ca="1">IF($Q58="","",INDEX($AN$25:$AN$64,$Q58))</f>
        <v/>
      </c>
      <c r="K58" s="100" t="str" cm="1">
        <f t="array" aca="1" ref="K58" ca="1">IF($Q58="","",INDEX($AA$25:$AA$64,$Q58))</f>
        <v/>
      </c>
      <c r="L58" s="100" t="str" cm="1">
        <f t="array" aca="1" ref="L58" ca="1">IF($Q58="","",INDEX($AB$25:$AB$64,$Q58))</f>
        <v/>
      </c>
      <c r="M58" s="319" t="str" cm="1">
        <f t="array" aca="1" ref="M58" ca="1">IF($Q58="","",INDEX($V$25:$V$64,$Q58))</f>
        <v/>
      </c>
      <c r="N58" s="95" t="str">
        <f ca="1">IF($Q58="","",$C$7)</f>
        <v/>
      </c>
      <c r="O58" s="102" t="str" cm="1">
        <f t="array" aca="1" ref="O58" ca="1">IF($Q58="","",INDEX($AJ$25:$AJ$64,$Q58))</f>
        <v/>
      </c>
      <c r="P58" s="319" t="str" cm="1">
        <f t="array" aca="1" ref="P58" ca="1">IF($Q58="","",IF(INDEX($AK$25:$AK$64,$Q58)="","",IF(INDEX($AK$25:$AK$64,$Q58)&gt;0,"▲ +"&amp;INDEX($AK$25:$AK$64,$Q58),IF(INDEX($AK$25:$AK$64,$Q58)&lt;0,"▼ "&amp;INDEX($AK$25:$AK$64,$Q58),"= 0"))))</f>
        <v/>
      </c>
      <c r="Q58" s="116" t="str" cm="1">
        <f t="array" aca="1" ref="Q58" ca="1">IF(ROW()-24&lt;=COUNT($AH$25:$AH$64),IFERROR(MATCH(ROW()-24,$AH$25:$AH$64,0),""),IFERROR(SMALL(IF(($AI$25:$AI$64=1)*($AD$25:$AD$64&lt;&gt;"YES")*($R$25:$R$64&lt;&gt;""),ROW($AI$25:$AI$64)-24),ROW()-24-COUNT($AH$25:$AH$64)),""))</f>
        <v/>
      </c>
      <c r="R58" s="339" t="str">
        <f>IF(Symbols!A37="","",Symbols!A37)</f>
        <v/>
      </c>
      <c r="S58" s="339" t="str" cm="1">
        <f t="array" ref="S58">IF($R58="","",INDEX(Symbols!$B$4:$B$43,ROW()-24))</f>
        <v/>
      </c>
      <c r="T58" s="339" t="str" cm="1">
        <f t="array" ref="T58">IF($R58="","",INDEX(Symbols!$D$4:$D$43,ROW()-24))</f>
        <v/>
      </c>
      <c r="U58" s="340" t="str">
        <f>IF($R58="","",IF(COUNTIFS('Fundamental Scorecard'!$A$5:$A$44,$R58,'Fundamental Scorecard'!$E$5:$E$44,"&gt;=-1E+300")=0,"",SUMIFS('Fundamental Scorecard'!$E$5:$E$44,'Fundamental Scorecard'!$A$5:$A$44,$R58)))</f>
        <v/>
      </c>
      <c r="V58" s="339" t="str">
        <f>IF($R58="","",IFERROR(IF(INDEX('Fundamental Scorecard'!$D$5:$D$44,MATCH($R58,'Fundamental Scorecard'!$A$5:$A$44,0))=0,"",INDEX('Fundamental Scorecard'!$D$5:$D$44,MATCH($R58,'Fundamental Scorecard'!$A$5:$A$44,0))),""))</f>
        <v/>
      </c>
      <c r="W58" s="340" t="str">
        <f>IF(OR($R58="",$C$7=""),"",IF(COUNTIFS('Daily Data'!$B$4:$B$503,$R58,'Daily Data'!$A$4:$A$503,$C$7,'Daily Data'!$AH$4:$AH$503,"&gt;=-1E+300")=0,"",SUMIFS('Daily Data'!$AH$4:$AH$503,'Daily Data'!$B$4:$B$503,$R58,'Daily Data'!$A$4:$A$503,$C$7)))</f>
        <v/>
      </c>
      <c r="X58" s="341" t="str">
        <f>IF(OR($R58="",$C$7=""),"",IF(COUNTIFS('Daily Data'!$B$4:$B$503,$R58,'Daily Data'!$A$4:$A$503,$C$7,'Daily Data'!$S$4:$S$503,"&gt;=-1E+300")=0,"",SUMIFS('Daily Data'!$S$4:$S$503,'Daily Data'!$B$4:$B$503,$R58,'Daily Data'!$A$4:$A$503,$C$7)))</f>
        <v/>
      </c>
      <c r="Y58" s="342" t="str">
        <f>IF(OR($R58="",$C$7=""),"",IF(COUNTIFS('Daily Data'!$B$4:$B$503,$R58,'Daily Data'!$A$4:$A$503,$C$7,'Daily Data'!$AA$4:$AA$503,"&gt;=-1E+300")=0,"",SUMIFS('Daily Data'!$AA$4:$AA$503,'Daily Data'!$B$4:$B$503,$R58,'Daily Data'!$A$4:$A$503,$C$7)))</f>
        <v/>
      </c>
      <c r="Z58" s="341" t="str">
        <f>IF(OR($R58="",$C$7=""),"",IF(COUNTIFS('Daily Data'!$B$4:$B$503,$R58,'Daily Data'!$A$4:$A$503,$C$7,'Daily Data'!$AC$4:$AC$503,"&gt;=-1E+300")=0,"",SUMIFS('Daily Data'!$AC$4:$AC$503,'Daily Data'!$B$4:$B$503,$R58,'Daily Data'!$A$4:$A$503,$C$7)))</f>
        <v/>
      </c>
      <c r="AA58" s="340" t="str">
        <f>IF(OR($R58="",$C$7=""),"",IF(COUNTIFS('Daily Data'!$B$4:$B$503,$R58,'Daily Data'!$A$4:$A$503,$C$7,'Daily Data'!$AG$4:$AG$503,"&gt;=-1E+300")=0,"",SUMIFS('Daily Data'!$AG$4:$AG$503,'Daily Data'!$B$4:$B$503,$R58,'Daily Data'!$A$4:$A$503,$C$7)))</f>
        <v/>
      </c>
      <c r="AB58" s="340" t="str">
        <f>IF(OR($R58="",$C$7=""),"",IF(COUNTIFS('Daily Data'!$B$4:$B$503,$R58,'Daily Data'!$A$4:$A$503,$C$7,'Daily Data'!$AI$4:$AI$503,"&gt;=-1E+300")=0,"",SUMIFS('Daily Data'!$AI$4:$AI$503,'Daily Data'!$B$4:$B$503,$R58,'Daily Data'!$A$4:$A$503,$C$7)))</f>
        <v/>
      </c>
      <c r="AC58" s="339" t="str" cm="1">
        <f t="array" ref="AC58">IF($R58="","",IF(UPPER(INDEX(Symbols!$F$4:$F$43,ROW()-24))="YES","YES","NO"))</f>
        <v/>
      </c>
      <c r="AD58" s="339" t="str">
        <f>IF($R58="","",IF(ROUND(Settings!$C$65+Settings!$C$66,6)&lt;&gt;1,"NO",IF($AC58&lt;&gt;"YES","NO",IF(AND(UPPER(Settings!$C$105)="YES",$AP58="YES"),"NO",IF(NOT(ISNUMBER($U58)),"NO",IF(NOT(ISNUMBER($W58)),"NO",IF($C$7="","NO",IF($C$6-$C$7&gt;Settings!$C$70,"NO",IF(AND(ISNUMBER($AO58),$AO58&gt;Settings!$C$104),"NO",IF(N($AB58)&lt;Settings!$C$71,"NO",IF(N($AA58)&lt;Settings!$C$72,"NO","YES")))))))))))</f>
        <v/>
      </c>
      <c r="AE58" s="339" t="str">
        <f>IF($R58="","",IF($AD58="YES","",IF(ROUND(Settings!$C$65+Settings!$C$66,6)&lt;&gt;1,"Ranking weights do not total 100%",IF($AC58&lt;&gt;"YES","Security is not active",IF(AND(UPPER(Settings!$C$105)="YES",$AP58="YES"),"Cross-listed security, excluded by Settings!C105",IF(NOT(ISNUMBER($U58)),"Missing fundamental data",IF(NOT(ISNUMBER($W58)),"No market observation on the date used",IF($C$7="","No market data available",IF($C$6-$C$7&gt;Settings!$C$70,"Market data is stale",IF(AND(ISNUMBER($AO58),$AO58&gt;Settings!$C$104),"Fundamental statement is stale ("&amp;$AO58&amp;" months old)",IF(N($AB58)&lt;Settings!$C$71,"Data confidence below minimum","Liquidity below minimum")))))))))))</f>
        <v/>
      </c>
      <c r="AF58" s="340" t="str">
        <f>IF($AD58&lt;&gt;"YES","",ROUND($U58*RankingFundamentalWeight+$W58*RankingSentimentWeight,1))</f>
        <v/>
      </c>
      <c r="AG58" s="339" t="str">
        <f>IF($AD58&lt;&gt;"YES","",$AF58+$U58/10000+$W58/100000000+N($AB58)/1000000000000)</f>
        <v/>
      </c>
      <c r="AH58" s="343" t="str" cm="1">
        <f t="array" ref="AH58">IF(OR($AD58&lt;&gt;"YES",$AI58&lt;&gt;1),"",SUMPRODUCT(($AI$25:$AI$64=1)*($AD$25:$AD$64="YES")*($AG$25:$AG$64&gt;$AG58))+SUMPRODUCT(($AI$25:$AI$64=1)*($AD$25:$AD$64="YES")*($AG$25:$AG$64=$AG58)*($R$25:$R$64&lt;$R58))+1)</f>
        <v/>
      </c>
      <c r="AI58" s="339" t="str">
        <f>IF($R58="","",IF(AND(OR($A$22="",$T58=$A$22),OR($B$22="",$AL58=$B$22),OR($C$22="",$AM58=$C$22),OR($D$22="",AND(ISNUMBER($U58),N($U58)&gt;=$D$22)),OR($E$22="",AND(ISNUMBER($W58),N($W58)&gt;=$E$22)),OR($F$22="",AND(ISNUMBER($AF58),N($AF58)&gt;=$F$22)),OR($G$22="",N($AA58)&gt;=$G$22),OR($H$22="",N($AB58)&gt;=$H$22),OR(UPPER($I$22)&lt;&gt;"YES",$AC58="YES"),OR(UPPER($J$22)&lt;&gt;"YES",$AD58="YES")),1,0))</f>
        <v/>
      </c>
      <c r="AJ58" s="339" t="str">
        <f>IF(OR($R58="",$C$11=""),"",IF(COUNTIFS('Ranking History'!$B$5:$B$2000,$R58,'Ranking History'!$A$5:$A$2000,$C$11)=0,"",SUMIFS('Ranking History'!$C$5:$C$2000,'Ranking History'!$B$5:$B$2000,$R58,'Ranking History'!$A$5:$A$2000,$C$11)))</f>
        <v/>
      </c>
      <c r="AK58" s="339" t="str">
        <f>IF(OR($AJ58="",$AH58=""),"",$AJ58-$AH58)</f>
        <v/>
      </c>
      <c r="AL58" s="339" t="str">
        <f>IF($AF58="","",IF($AF58&gt;=Settings!$C$76,"BORA SANA",IF($AF58&gt;=Settings!$C$77,"NZURI SANA",IF($AF58&gt;=Settings!$C$78,"NZURI",IF($AF58&gt;=Settings!$C$79,"WASTANI",IF($AF58&gt;=Settings!$C$80,"DHAIFU","DHAIFU SANA"))))))</f>
        <v/>
      </c>
      <c r="AM58" s="339" t="str">
        <f>IF(NOT(ISNUMBER($W58)),"",IF($W58&gt;=Settings!$C$82,"Demand kubwa sana",IF($W58&gt;=Settings!$C$83,"Demand kubwa",IF($W58&gt;=Settings!$C$84,"Demand ya wastani","Demand ndogo sana"))))</f>
        <v/>
      </c>
      <c r="AN58" s="339" t="str">
        <f>IF($R58="","",IF(OR(NOT(ISNUMBER($U58)),NOT(ISNUMBER($W58))),"INCOMPLETE DATA",IF($U58&lt;Settings!$C$88,"Epuka : ubora dhaifu",IF(AND($U58&gt;=Settings!$C$86,$W58&gt;=Settings!$C$87),"Nunua : ubora na mwelekeo vinaungana",IF($U58&gt;=Settings!$C$86,"Fuatilia : ubora mzuri, mwelekeo bado haujathibitisha",IF($W58&gt;=Settings!$C$89,"Fuatilia : ubora wa wastani","Fuatilia : ubora wa wastani, mwelekeo bado dhaifu"))))))</f>
        <v/>
      </c>
      <c r="AO58" s="339" t="str">
        <f>IF($R58="","",IF(COUNTIFS('Fundamental Scorecard'!$A$5:$A$44,$R58,'Fundamental Scorecard'!$AE$5:$AE$44,"&gt;=-1E+300")=0,"",SUMIFS('Fundamental Scorecard'!$AE$5:$AE$44,'Fundamental Scorecard'!$A$5:$A$44,$R58)))</f>
        <v/>
      </c>
      <c r="AP58" s="339" t="str" cm="1">
        <f t="array" ref="AP58">IF($R58="","",IF(ISNUMBER(SEARCH("cross-listed",INDEX(Symbols!$C$4:$C$43,ROW()-24))),"YES","NO"))</f>
        <v/>
      </c>
    </row>
    <row r="59" spans="1:42" x14ac:dyDescent="0.3">
      <c r="A59" s="344" t="str" cm="1">
        <f t="array" aca="1" ref="A59" ca="1">IF($Q59="","",IF(INDEX($AD$25:$AD$64,$Q59)="YES",INDEX($AH$25:$AH$64,$Q59),"—"))</f>
        <v/>
      </c>
      <c r="B59" s="318" t="str" cm="1">
        <f t="array" aca="1" ref="B59" ca="1">IF($Q59="","",INDEX($R$25:$R$64,$Q59))</f>
        <v/>
      </c>
      <c r="C59" s="319" t="str" cm="1">
        <f t="array" aca="1" ref="C59" ca="1">IF($Q59="","",INDEX($S$25:$S$64,$Q59))</f>
        <v/>
      </c>
      <c r="D59" s="319" t="str" cm="1">
        <f t="array" aca="1" ref="D59" ca="1">IF($Q59="","",INDEX($T$25:$T$64,$Q59))</f>
        <v/>
      </c>
      <c r="E59" s="100" t="str" cm="1">
        <f t="array" aca="1" ref="E59" ca="1">IF($Q59="","",INDEX($U$25:$U$64,$Q59))</f>
        <v/>
      </c>
      <c r="F59" s="100" t="str" cm="1">
        <f t="array" aca="1" ref="F59" ca="1">IF($Q59="","",INDEX($W$25:$W$64,$Q59))</f>
        <v/>
      </c>
      <c r="G59" s="100" t="str" cm="1">
        <f t="array" aca="1" ref="G59" ca="1">IF($Q59="","",INDEX($AF$25:$AF$64,$Q59))</f>
        <v/>
      </c>
      <c r="H59" s="319" t="str" cm="1">
        <f t="array" aca="1" ref="H59" ca="1">IF($Q59="","",INDEX($AL$25:$AL$64,$Q59))</f>
        <v/>
      </c>
      <c r="I59" s="319" t="str" cm="1">
        <f t="array" aca="1" ref="I59" ca="1">IF($Q59="","",INDEX($AM$25:$AM$64,$Q59))</f>
        <v/>
      </c>
      <c r="J59" s="319" t="str" cm="1">
        <f t="array" aca="1" ref="J59" ca="1">IF($Q59="","",INDEX($AN$25:$AN$64,$Q59))</f>
        <v/>
      </c>
      <c r="K59" s="100" t="str" cm="1">
        <f t="array" aca="1" ref="K59" ca="1">IF($Q59="","",INDEX($AA$25:$AA$64,$Q59))</f>
        <v/>
      </c>
      <c r="L59" s="100" t="str" cm="1">
        <f t="array" aca="1" ref="L59" ca="1">IF($Q59="","",INDEX($AB$25:$AB$64,$Q59))</f>
        <v/>
      </c>
      <c r="M59" s="319" t="str" cm="1">
        <f t="array" aca="1" ref="M59" ca="1">IF($Q59="","",INDEX($V$25:$V$64,$Q59))</f>
        <v/>
      </c>
      <c r="N59" s="95" t="str">
        <f ca="1">IF($Q59="","",$C$7)</f>
        <v/>
      </c>
      <c r="O59" s="102" t="str" cm="1">
        <f t="array" aca="1" ref="O59" ca="1">IF($Q59="","",INDEX($AJ$25:$AJ$64,$Q59))</f>
        <v/>
      </c>
      <c r="P59" s="319" t="str" cm="1">
        <f t="array" aca="1" ref="P59" ca="1">IF($Q59="","",IF(INDEX($AK$25:$AK$64,$Q59)="","",IF(INDEX($AK$25:$AK$64,$Q59)&gt;0,"▲ +"&amp;INDEX($AK$25:$AK$64,$Q59),IF(INDEX($AK$25:$AK$64,$Q59)&lt;0,"▼ "&amp;INDEX($AK$25:$AK$64,$Q59),"= 0"))))</f>
        <v/>
      </c>
      <c r="Q59" s="116" t="str" cm="1">
        <f t="array" aca="1" ref="Q59" ca="1">IF(ROW()-24&lt;=COUNT($AH$25:$AH$64),IFERROR(MATCH(ROW()-24,$AH$25:$AH$64,0),""),IFERROR(SMALL(IF(($AI$25:$AI$64=1)*($AD$25:$AD$64&lt;&gt;"YES")*($R$25:$R$64&lt;&gt;""),ROW($AI$25:$AI$64)-24),ROW()-24-COUNT($AH$25:$AH$64)),""))</f>
        <v/>
      </c>
      <c r="R59" s="339" t="str">
        <f>IF(Symbols!A38="","",Symbols!A38)</f>
        <v/>
      </c>
      <c r="S59" s="339" t="str" cm="1">
        <f t="array" ref="S59">IF($R59="","",INDEX(Symbols!$B$4:$B$43,ROW()-24))</f>
        <v/>
      </c>
      <c r="T59" s="339" t="str" cm="1">
        <f t="array" ref="T59">IF($R59="","",INDEX(Symbols!$D$4:$D$43,ROW()-24))</f>
        <v/>
      </c>
      <c r="U59" s="340" t="str">
        <f>IF($R59="","",IF(COUNTIFS('Fundamental Scorecard'!$A$5:$A$44,$R59,'Fundamental Scorecard'!$E$5:$E$44,"&gt;=-1E+300")=0,"",SUMIFS('Fundamental Scorecard'!$E$5:$E$44,'Fundamental Scorecard'!$A$5:$A$44,$R59)))</f>
        <v/>
      </c>
      <c r="V59" s="339" t="str">
        <f>IF($R59="","",IFERROR(IF(INDEX('Fundamental Scorecard'!$D$5:$D$44,MATCH($R59,'Fundamental Scorecard'!$A$5:$A$44,0))=0,"",INDEX('Fundamental Scorecard'!$D$5:$D$44,MATCH($R59,'Fundamental Scorecard'!$A$5:$A$44,0))),""))</f>
        <v/>
      </c>
      <c r="W59" s="340" t="str">
        <f>IF(OR($R59="",$C$7=""),"",IF(COUNTIFS('Daily Data'!$B$4:$B$503,$R59,'Daily Data'!$A$4:$A$503,$C$7,'Daily Data'!$AH$4:$AH$503,"&gt;=-1E+300")=0,"",SUMIFS('Daily Data'!$AH$4:$AH$503,'Daily Data'!$B$4:$B$503,$R59,'Daily Data'!$A$4:$A$503,$C$7)))</f>
        <v/>
      </c>
      <c r="X59" s="341" t="str">
        <f>IF(OR($R59="",$C$7=""),"",IF(COUNTIFS('Daily Data'!$B$4:$B$503,$R59,'Daily Data'!$A$4:$A$503,$C$7,'Daily Data'!$S$4:$S$503,"&gt;=-1E+300")=0,"",SUMIFS('Daily Data'!$S$4:$S$503,'Daily Data'!$B$4:$B$503,$R59,'Daily Data'!$A$4:$A$503,$C$7)))</f>
        <v/>
      </c>
      <c r="Y59" s="342" t="str">
        <f>IF(OR($R59="",$C$7=""),"",IF(COUNTIFS('Daily Data'!$B$4:$B$503,$R59,'Daily Data'!$A$4:$A$503,$C$7,'Daily Data'!$AA$4:$AA$503,"&gt;=-1E+300")=0,"",SUMIFS('Daily Data'!$AA$4:$AA$503,'Daily Data'!$B$4:$B$503,$R59,'Daily Data'!$A$4:$A$503,$C$7)))</f>
        <v/>
      </c>
      <c r="Z59" s="341" t="str">
        <f>IF(OR($R59="",$C$7=""),"",IF(COUNTIFS('Daily Data'!$B$4:$B$503,$R59,'Daily Data'!$A$4:$A$503,$C$7,'Daily Data'!$AC$4:$AC$503,"&gt;=-1E+300")=0,"",SUMIFS('Daily Data'!$AC$4:$AC$503,'Daily Data'!$B$4:$B$503,$R59,'Daily Data'!$A$4:$A$503,$C$7)))</f>
        <v/>
      </c>
      <c r="AA59" s="340" t="str">
        <f>IF(OR($R59="",$C$7=""),"",IF(COUNTIFS('Daily Data'!$B$4:$B$503,$R59,'Daily Data'!$A$4:$A$503,$C$7,'Daily Data'!$AG$4:$AG$503,"&gt;=-1E+300")=0,"",SUMIFS('Daily Data'!$AG$4:$AG$503,'Daily Data'!$B$4:$B$503,$R59,'Daily Data'!$A$4:$A$503,$C$7)))</f>
        <v/>
      </c>
      <c r="AB59" s="340" t="str">
        <f>IF(OR($R59="",$C$7=""),"",IF(COUNTIFS('Daily Data'!$B$4:$B$503,$R59,'Daily Data'!$A$4:$A$503,$C$7,'Daily Data'!$AI$4:$AI$503,"&gt;=-1E+300")=0,"",SUMIFS('Daily Data'!$AI$4:$AI$503,'Daily Data'!$B$4:$B$503,$R59,'Daily Data'!$A$4:$A$503,$C$7)))</f>
        <v/>
      </c>
      <c r="AC59" s="339" t="str" cm="1">
        <f t="array" ref="AC59">IF($R59="","",IF(UPPER(INDEX(Symbols!$F$4:$F$43,ROW()-24))="YES","YES","NO"))</f>
        <v/>
      </c>
      <c r="AD59" s="339" t="str">
        <f>IF($R59="","",IF(ROUND(Settings!$C$65+Settings!$C$66,6)&lt;&gt;1,"NO",IF($AC59&lt;&gt;"YES","NO",IF(AND(UPPER(Settings!$C$105)="YES",$AP59="YES"),"NO",IF(NOT(ISNUMBER($U59)),"NO",IF(NOT(ISNUMBER($W59)),"NO",IF($C$7="","NO",IF($C$6-$C$7&gt;Settings!$C$70,"NO",IF(AND(ISNUMBER($AO59),$AO59&gt;Settings!$C$104),"NO",IF(N($AB59)&lt;Settings!$C$71,"NO",IF(N($AA59)&lt;Settings!$C$72,"NO","YES")))))))))))</f>
        <v/>
      </c>
      <c r="AE59" s="339" t="str">
        <f>IF($R59="","",IF($AD59="YES","",IF(ROUND(Settings!$C$65+Settings!$C$66,6)&lt;&gt;1,"Ranking weights do not total 100%",IF($AC59&lt;&gt;"YES","Security is not active",IF(AND(UPPER(Settings!$C$105)="YES",$AP59="YES"),"Cross-listed security, excluded by Settings!C105",IF(NOT(ISNUMBER($U59)),"Missing fundamental data",IF(NOT(ISNUMBER($W59)),"No market observation on the date used",IF($C$7="","No market data available",IF($C$6-$C$7&gt;Settings!$C$70,"Market data is stale",IF(AND(ISNUMBER($AO59),$AO59&gt;Settings!$C$104),"Fundamental statement is stale ("&amp;$AO59&amp;" months old)",IF(N($AB59)&lt;Settings!$C$71,"Data confidence below minimum","Liquidity below minimum")))))))))))</f>
        <v/>
      </c>
      <c r="AF59" s="340" t="str">
        <f>IF($AD59&lt;&gt;"YES","",ROUND($U59*RankingFundamentalWeight+$W59*RankingSentimentWeight,1))</f>
        <v/>
      </c>
      <c r="AG59" s="339" t="str">
        <f>IF($AD59&lt;&gt;"YES","",$AF59+$U59/10000+$W59/100000000+N($AB59)/1000000000000)</f>
        <v/>
      </c>
      <c r="AH59" s="343" t="str" cm="1">
        <f t="array" ref="AH59">IF(OR($AD59&lt;&gt;"YES",$AI59&lt;&gt;1),"",SUMPRODUCT(($AI$25:$AI$64=1)*($AD$25:$AD$64="YES")*($AG$25:$AG$64&gt;$AG59))+SUMPRODUCT(($AI$25:$AI$64=1)*($AD$25:$AD$64="YES")*($AG$25:$AG$64=$AG59)*($R$25:$R$64&lt;$R59))+1)</f>
        <v/>
      </c>
      <c r="AI59" s="339" t="str">
        <f>IF($R59="","",IF(AND(OR($A$22="",$T59=$A$22),OR($B$22="",$AL59=$B$22),OR($C$22="",$AM59=$C$22),OR($D$22="",AND(ISNUMBER($U59),N($U59)&gt;=$D$22)),OR($E$22="",AND(ISNUMBER($W59),N($W59)&gt;=$E$22)),OR($F$22="",AND(ISNUMBER($AF59),N($AF59)&gt;=$F$22)),OR($G$22="",N($AA59)&gt;=$G$22),OR($H$22="",N($AB59)&gt;=$H$22),OR(UPPER($I$22)&lt;&gt;"YES",$AC59="YES"),OR(UPPER($J$22)&lt;&gt;"YES",$AD59="YES")),1,0))</f>
        <v/>
      </c>
      <c r="AJ59" s="339" t="str">
        <f>IF(OR($R59="",$C$11=""),"",IF(COUNTIFS('Ranking History'!$B$5:$B$2000,$R59,'Ranking History'!$A$5:$A$2000,$C$11)=0,"",SUMIFS('Ranking History'!$C$5:$C$2000,'Ranking History'!$B$5:$B$2000,$R59,'Ranking History'!$A$5:$A$2000,$C$11)))</f>
        <v/>
      </c>
      <c r="AK59" s="339" t="str">
        <f>IF(OR($AJ59="",$AH59=""),"",$AJ59-$AH59)</f>
        <v/>
      </c>
      <c r="AL59" s="339" t="str">
        <f>IF($AF59="","",IF($AF59&gt;=Settings!$C$76,"BORA SANA",IF($AF59&gt;=Settings!$C$77,"NZURI SANA",IF($AF59&gt;=Settings!$C$78,"NZURI",IF($AF59&gt;=Settings!$C$79,"WASTANI",IF($AF59&gt;=Settings!$C$80,"DHAIFU","DHAIFU SANA"))))))</f>
        <v/>
      </c>
      <c r="AM59" s="339" t="str">
        <f>IF(NOT(ISNUMBER($W59)),"",IF($W59&gt;=Settings!$C$82,"Demand kubwa sana",IF($W59&gt;=Settings!$C$83,"Demand kubwa",IF($W59&gt;=Settings!$C$84,"Demand ya wastani","Demand ndogo sana"))))</f>
        <v/>
      </c>
      <c r="AN59" s="339" t="str">
        <f>IF($R59="","",IF(OR(NOT(ISNUMBER($U59)),NOT(ISNUMBER($W59))),"INCOMPLETE DATA",IF($U59&lt;Settings!$C$88,"Epuka : ubora dhaifu",IF(AND($U59&gt;=Settings!$C$86,$W59&gt;=Settings!$C$87),"Nunua : ubora na mwelekeo vinaungana",IF($U59&gt;=Settings!$C$86,"Fuatilia : ubora mzuri, mwelekeo bado haujathibitisha",IF($W59&gt;=Settings!$C$89,"Fuatilia : ubora wa wastani","Fuatilia : ubora wa wastani, mwelekeo bado dhaifu"))))))</f>
        <v/>
      </c>
      <c r="AO59" s="339" t="str">
        <f>IF($R59="","",IF(COUNTIFS('Fundamental Scorecard'!$A$5:$A$44,$R59,'Fundamental Scorecard'!$AE$5:$AE$44,"&gt;=-1E+300")=0,"",SUMIFS('Fundamental Scorecard'!$AE$5:$AE$44,'Fundamental Scorecard'!$A$5:$A$44,$R59)))</f>
        <v/>
      </c>
      <c r="AP59" s="339" t="str" cm="1">
        <f t="array" ref="AP59">IF($R59="","",IF(ISNUMBER(SEARCH("cross-listed",INDEX(Symbols!$C$4:$C$43,ROW()-24))),"YES","NO"))</f>
        <v/>
      </c>
    </row>
    <row r="60" spans="1:42" x14ac:dyDescent="0.3">
      <c r="A60" s="344" t="str" cm="1">
        <f t="array" aca="1" ref="A60" ca="1">IF($Q60="","",IF(INDEX($AD$25:$AD$64,$Q60)="YES",INDEX($AH$25:$AH$64,$Q60),"—"))</f>
        <v/>
      </c>
      <c r="B60" s="318" t="str" cm="1">
        <f t="array" aca="1" ref="B60" ca="1">IF($Q60="","",INDEX($R$25:$R$64,$Q60))</f>
        <v/>
      </c>
      <c r="C60" s="319" t="str" cm="1">
        <f t="array" aca="1" ref="C60" ca="1">IF($Q60="","",INDEX($S$25:$S$64,$Q60))</f>
        <v/>
      </c>
      <c r="D60" s="319" t="str" cm="1">
        <f t="array" aca="1" ref="D60" ca="1">IF($Q60="","",INDEX($T$25:$T$64,$Q60))</f>
        <v/>
      </c>
      <c r="E60" s="100" t="str" cm="1">
        <f t="array" aca="1" ref="E60" ca="1">IF($Q60="","",INDEX($U$25:$U$64,$Q60))</f>
        <v/>
      </c>
      <c r="F60" s="100" t="str" cm="1">
        <f t="array" aca="1" ref="F60" ca="1">IF($Q60="","",INDEX($W$25:$W$64,$Q60))</f>
        <v/>
      </c>
      <c r="G60" s="100" t="str" cm="1">
        <f t="array" aca="1" ref="G60" ca="1">IF($Q60="","",INDEX($AF$25:$AF$64,$Q60))</f>
        <v/>
      </c>
      <c r="H60" s="319" t="str" cm="1">
        <f t="array" aca="1" ref="H60" ca="1">IF($Q60="","",INDEX($AL$25:$AL$64,$Q60))</f>
        <v/>
      </c>
      <c r="I60" s="319" t="str" cm="1">
        <f t="array" aca="1" ref="I60" ca="1">IF($Q60="","",INDEX($AM$25:$AM$64,$Q60))</f>
        <v/>
      </c>
      <c r="J60" s="319" t="str" cm="1">
        <f t="array" aca="1" ref="J60" ca="1">IF($Q60="","",INDEX($AN$25:$AN$64,$Q60))</f>
        <v/>
      </c>
      <c r="K60" s="100" t="str" cm="1">
        <f t="array" aca="1" ref="K60" ca="1">IF($Q60="","",INDEX($AA$25:$AA$64,$Q60))</f>
        <v/>
      </c>
      <c r="L60" s="100" t="str" cm="1">
        <f t="array" aca="1" ref="L60" ca="1">IF($Q60="","",INDEX($AB$25:$AB$64,$Q60))</f>
        <v/>
      </c>
      <c r="M60" s="319" t="str" cm="1">
        <f t="array" aca="1" ref="M60" ca="1">IF($Q60="","",INDEX($V$25:$V$64,$Q60))</f>
        <v/>
      </c>
      <c r="N60" s="95" t="str">
        <f ca="1">IF($Q60="","",$C$7)</f>
        <v/>
      </c>
      <c r="O60" s="102" t="str" cm="1">
        <f t="array" aca="1" ref="O60" ca="1">IF($Q60="","",INDEX($AJ$25:$AJ$64,$Q60))</f>
        <v/>
      </c>
      <c r="P60" s="319" t="str" cm="1">
        <f t="array" aca="1" ref="P60" ca="1">IF($Q60="","",IF(INDEX($AK$25:$AK$64,$Q60)="","",IF(INDEX($AK$25:$AK$64,$Q60)&gt;0,"▲ +"&amp;INDEX($AK$25:$AK$64,$Q60),IF(INDEX($AK$25:$AK$64,$Q60)&lt;0,"▼ "&amp;INDEX($AK$25:$AK$64,$Q60),"= 0"))))</f>
        <v/>
      </c>
      <c r="Q60" s="116" t="str" cm="1">
        <f t="array" aca="1" ref="Q60" ca="1">IF(ROW()-24&lt;=COUNT($AH$25:$AH$64),IFERROR(MATCH(ROW()-24,$AH$25:$AH$64,0),""),IFERROR(SMALL(IF(($AI$25:$AI$64=1)*($AD$25:$AD$64&lt;&gt;"YES")*($R$25:$R$64&lt;&gt;""),ROW($AI$25:$AI$64)-24),ROW()-24-COUNT($AH$25:$AH$64)),""))</f>
        <v/>
      </c>
      <c r="R60" s="339" t="str">
        <f>IF(Symbols!A39="","",Symbols!A39)</f>
        <v/>
      </c>
      <c r="S60" s="339" t="str" cm="1">
        <f t="array" ref="S60">IF($R60="","",INDEX(Symbols!$B$4:$B$43,ROW()-24))</f>
        <v/>
      </c>
      <c r="T60" s="339" t="str" cm="1">
        <f t="array" ref="T60">IF($R60="","",INDEX(Symbols!$D$4:$D$43,ROW()-24))</f>
        <v/>
      </c>
      <c r="U60" s="340" t="str">
        <f>IF($R60="","",IF(COUNTIFS('Fundamental Scorecard'!$A$5:$A$44,$R60,'Fundamental Scorecard'!$E$5:$E$44,"&gt;=-1E+300")=0,"",SUMIFS('Fundamental Scorecard'!$E$5:$E$44,'Fundamental Scorecard'!$A$5:$A$44,$R60)))</f>
        <v/>
      </c>
      <c r="V60" s="339" t="str">
        <f>IF($R60="","",IFERROR(IF(INDEX('Fundamental Scorecard'!$D$5:$D$44,MATCH($R60,'Fundamental Scorecard'!$A$5:$A$44,0))=0,"",INDEX('Fundamental Scorecard'!$D$5:$D$44,MATCH($R60,'Fundamental Scorecard'!$A$5:$A$44,0))),""))</f>
        <v/>
      </c>
      <c r="W60" s="340" t="str">
        <f>IF(OR($R60="",$C$7=""),"",IF(COUNTIFS('Daily Data'!$B$4:$B$503,$R60,'Daily Data'!$A$4:$A$503,$C$7,'Daily Data'!$AH$4:$AH$503,"&gt;=-1E+300")=0,"",SUMIFS('Daily Data'!$AH$4:$AH$503,'Daily Data'!$B$4:$B$503,$R60,'Daily Data'!$A$4:$A$503,$C$7)))</f>
        <v/>
      </c>
      <c r="X60" s="341" t="str">
        <f>IF(OR($R60="",$C$7=""),"",IF(COUNTIFS('Daily Data'!$B$4:$B$503,$R60,'Daily Data'!$A$4:$A$503,$C$7,'Daily Data'!$S$4:$S$503,"&gt;=-1E+300")=0,"",SUMIFS('Daily Data'!$S$4:$S$503,'Daily Data'!$B$4:$B$503,$R60,'Daily Data'!$A$4:$A$503,$C$7)))</f>
        <v/>
      </c>
      <c r="Y60" s="342" t="str">
        <f>IF(OR($R60="",$C$7=""),"",IF(COUNTIFS('Daily Data'!$B$4:$B$503,$R60,'Daily Data'!$A$4:$A$503,$C$7,'Daily Data'!$AA$4:$AA$503,"&gt;=-1E+300")=0,"",SUMIFS('Daily Data'!$AA$4:$AA$503,'Daily Data'!$B$4:$B$503,$R60,'Daily Data'!$A$4:$A$503,$C$7)))</f>
        <v/>
      </c>
      <c r="Z60" s="341" t="str">
        <f>IF(OR($R60="",$C$7=""),"",IF(COUNTIFS('Daily Data'!$B$4:$B$503,$R60,'Daily Data'!$A$4:$A$503,$C$7,'Daily Data'!$AC$4:$AC$503,"&gt;=-1E+300")=0,"",SUMIFS('Daily Data'!$AC$4:$AC$503,'Daily Data'!$B$4:$B$503,$R60,'Daily Data'!$A$4:$A$503,$C$7)))</f>
        <v/>
      </c>
      <c r="AA60" s="340" t="str">
        <f>IF(OR($R60="",$C$7=""),"",IF(COUNTIFS('Daily Data'!$B$4:$B$503,$R60,'Daily Data'!$A$4:$A$503,$C$7,'Daily Data'!$AG$4:$AG$503,"&gt;=-1E+300")=0,"",SUMIFS('Daily Data'!$AG$4:$AG$503,'Daily Data'!$B$4:$B$503,$R60,'Daily Data'!$A$4:$A$503,$C$7)))</f>
        <v/>
      </c>
      <c r="AB60" s="340" t="str">
        <f>IF(OR($R60="",$C$7=""),"",IF(COUNTIFS('Daily Data'!$B$4:$B$503,$R60,'Daily Data'!$A$4:$A$503,$C$7,'Daily Data'!$AI$4:$AI$503,"&gt;=-1E+300")=0,"",SUMIFS('Daily Data'!$AI$4:$AI$503,'Daily Data'!$B$4:$B$503,$R60,'Daily Data'!$A$4:$A$503,$C$7)))</f>
        <v/>
      </c>
      <c r="AC60" s="339" t="str" cm="1">
        <f t="array" ref="AC60">IF($R60="","",IF(UPPER(INDEX(Symbols!$F$4:$F$43,ROW()-24))="YES","YES","NO"))</f>
        <v/>
      </c>
      <c r="AD60" s="339" t="str">
        <f>IF($R60="","",IF(ROUND(Settings!$C$65+Settings!$C$66,6)&lt;&gt;1,"NO",IF($AC60&lt;&gt;"YES","NO",IF(AND(UPPER(Settings!$C$105)="YES",$AP60="YES"),"NO",IF(NOT(ISNUMBER($U60)),"NO",IF(NOT(ISNUMBER($W60)),"NO",IF($C$7="","NO",IF($C$6-$C$7&gt;Settings!$C$70,"NO",IF(AND(ISNUMBER($AO60),$AO60&gt;Settings!$C$104),"NO",IF(N($AB60)&lt;Settings!$C$71,"NO",IF(N($AA60)&lt;Settings!$C$72,"NO","YES")))))))))))</f>
        <v/>
      </c>
      <c r="AE60" s="339" t="str">
        <f>IF($R60="","",IF($AD60="YES","",IF(ROUND(Settings!$C$65+Settings!$C$66,6)&lt;&gt;1,"Ranking weights do not total 100%",IF($AC60&lt;&gt;"YES","Security is not active",IF(AND(UPPER(Settings!$C$105)="YES",$AP60="YES"),"Cross-listed security, excluded by Settings!C105",IF(NOT(ISNUMBER($U60)),"Missing fundamental data",IF(NOT(ISNUMBER($W60)),"No market observation on the date used",IF($C$7="","No market data available",IF($C$6-$C$7&gt;Settings!$C$70,"Market data is stale",IF(AND(ISNUMBER($AO60),$AO60&gt;Settings!$C$104),"Fundamental statement is stale ("&amp;$AO60&amp;" months old)",IF(N($AB60)&lt;Settings!$C$71,"Data confidence below minimum","Liquidity below minimum")))))))))))</f>
        <v/>
      </c>
      <c r="AF60" s="340" t="str">
        <f>IF($AD60&lt;&gt;"YES","",ROUND($U60*RankingFundamentalWeight+$W60*RankingSentimentWeight,1))</f>
        <v/>
      </c>
      <c r="AG60" s="339" t="str">
        <f>IF($AD60&lt;&gt;"YES","",$AF60+$U60/10000+$W60/100000000+N($AB60)/1000000000000)</f>
        <v/>
      </c>
      <c r="AH60" s="343" t="str" cm="1">
        <f t="array" ref="AH60">IF(OR($AD60&lt;&gt;"YES",$AI60&lt;&gt;1),"",SUMPRODUCT(($AI$25:$AI$64=1)*($AD$25:$AD$64="YES")*($AG$25:$AG$64&gt;$AG60))+SUMPRODUCT(($AI$25:$AI$64=1)*($AD$25:$AD$64="YES")*($AG$25:$AG$64=$AG60)*($R$25:$R$64&lt;$R60))+1)</f>
        <v/>
      </c>
      <c r="AI60" s="339" t="str">
        <f>IF($R60="","",IF(AND(OR($A$22="",$T60=$A$22),OR($B$22="",$AL60=$B$22),OR($C$22="",$AM60=$C$22),OR($D$22="",AND(ISNUMBER($U60),N($U60)&gt;=$D$22)),OR($E$22="",AND(ISNUMBER($W60),N($W60)&gt;=$E$22)),OR($F$22="",AND(ISNUMBER($AF60),N($AF60)&gt;=$F$22)),OR($G$22="",N($AA60)&gt;=$G$22),OR($H$22="",N($AB60)&gt;=$H$22),OR(UPPER($I$22)&lt;&gt;"YES",$AC60="YES"),OR(UPPER($J$22)&lt;&gt;"YES",$AD60="YES")),1,0))</f>
        <v/>
      </c>
      <c r="AJ60" s="339" t="str">
        <f>IF(OR($R60="",$C$11=""),"",IF(COUNTIFS('Ranking History'!$B$5:$B$2000,$R60,'Ranking History'!$A$5:$A$2000,$C$11)=0,"",SUMIFS('Ranking History'!$C$5:$C$2000,'Ranking History'!$B$5:$B$2000,$R60,'Ranking History'!$A$5:$A$2000,$C$11)))</f>
        <v/>
      </c>
      <c r="AK60" s="339" t="str">
        <f>IF(OR($AJ60="",$AH60=""),"",$AJ60-$AH60)</f>
        <v/>
      </c>
      <c r="AL60" s="339" t="str">
        <f>IF($AF60="","",IF($AF60&gt;=Settings!$C$76,"BORA SANA",IF($AF60&gt;=Settings!$C$77,"NZURI SANA",IF($AF60&gt;=Settings!$C$78,"NZURI",IF($AF60&gt;=Settings!$C$79,"WASTANI",IF($AF60&gt;=Settings!$C$80,"DHAIFU","DHAIFU SANA"))))))</f>
        <v/>
      </c>
      <c r="AM60" s="339" t="str">
        <f>IF(NOT(ISNUMBER($W60)),"",IF($W60&gt;=Settings!$C$82,"Demand kubwa sana",IF($W60&gt;=Settings!$C$83,"Demand kubwa",IF($W60&gt;=Settings!$C$84,"Demand ya wastani","Demand ndogo sana"))))</f>
        <v/>
      </c>
      <c r="AN60" s="339" t="str">
        <f>IF($R60="","",IF(OR(NOT(ISNUMBER($U60)),NOT(ISNUMBER($W60))),"INCOMPLETE DATA",IF($U60&lt;Settings!$C$88,"Epuka : ubora dhaifu",IF(AND($U60&gt;=Settings!$C$86,$W60&gt;=Settings!$C$87),"Nunua : ubora na mwelekeo vinaungana",IF($U60&gt;=Settings!$C$86,"Fuatilia : ubora mzuri, mwelekeo bado haujathibitisha",IF($W60&gt;=Settings!$C$89,"Fuatilia : ubora wa wastani","Fuatilia : ubora wa wastani, mwelekeo bado dhaifu"))))))</f>
        <v/>
      </c>
      <c r="AO60" s="339" t="str">
        <f>IF($R60="","",IF(COUNTIFS('Fundamental Scorecard'!$A$5:$A$44,$R60,'Fundamental Scorecard'!$AE$5:$AE$44,"&gt;=-1E+300")=0,"",SUMIFS('Fundamental Scorecard'!$AE$5:$AE$44,'Fundamental Scorecard'!$A$5:$A$44,$R60)))</f>
        <v/>
      </c>
      <c r="AP60" s="339" t="str" cm="1">
        <f t="array" ref="AP60">IF($R60="","",IF(ISNUMBER(SEARCH("cross-listed",INDEX(Symbols!$C$4:$C$43,ROW()-24))),"YES","NO"))</f>
        <v/>
      </c>
    </row>
    <row r="61" spans="1:42" x14ac:dyDescent="0.3">
      <c r="A61" s="344" t="str" cm="1">
        <f t="array" aca="1" ref="A61" ca="1">IF($Q61="","",IF(INDEX($AD$25:$AD$64,$Q61)="YES",INDEX($AH$25:$AH$64,$Q61),"—"))</f>
        <v/>
      </c>
      <c r="B61" s="318" t="str" cm="1">
        <f t="array" aca="1" ref="B61" ca="1">IF($Q61="","",INDEX($R$25:$R$64,$Q61))</f>
        <v/>
      </c>
      <c r="C61" s="319" t="str" cm="1">
        <f t="array" aca="1" ref="C61" ca="1">IF($Q61="","",INDEX($S$25:$S$64,$Q61))</f>
        <v/>
      </c>
      <c r="D61" s="319" t="str" cm="1">
        <f t="array" aca="1" ref="D61" ca="1">IF($Q61="","",INDEX($T$25:$T$64,$Q61))</f>
        <v/>
      </c>
      <c r="E61" s="100" t="str" cm="1">
        <f t="array" aca="1" ref="E61" ca="1">IF($Q61="","",INDEX($U$25:$U$64,$Q61))</f>
        <v/>
      </c>
      <c r="F61" s="100" t="str" cm="1">
        <f t="array" aca="1" ref="F61" ca="1">IF($Q61="","",INDEX($W$25:$W$64,$Q61))</f>
        <v/>
      </c>
      <c r="G61" s="100" t="str" cm="1">
        <f t="array" aca="1" ref="G61" ca="1">IF($Q61="","",INDEX($AF$25:$AF$64,$Q61))</f>
        <v/>
      </c>
      <c r="H61" s="319" t="str" cm="1">
        <f t="array" aca="1" ref="H61" ca="1">IF($Q61="","",INDEX($AL$25:$AL$64,$Q61))</f>
        <v/>
      </c>
      <c r="I61" s="319" t="str" cm="1">
        <f t="array" aca="1" ref="I61" ca="1">IF($Q61="","",INDEX($AM$25:$AM$64,$Q61))</f>
        <v/>
      </c>
      <c r="J61" s="319" t="str" cm="1">
        <f t="array" aca="1" ref="J61" ca="1">IF($Q61="","",INDEX($AN$25:$AN$64,$Q61))</f>
        <v/>
      </c>
      <c r="K61" s="100" t="str" cm="1">
        <f t="array" aca="1" ref="K61" ca="1">IF($Q61="","",INDEX($AA$25:$AA$64,$Q61))</f>
        <v/>
      </c>
      <c r="L61" s="100" t="str" cm="1">
        <f t="array" aca="1" ref="L61" ca="1">IF($Q61="","",INDEX($AB$25:$AB$64,$Q61))</f>
        <v/>
      </c>
      <c r="M61" s="319" t="str" cm="1">
        <f t="array" aca="1" ref="M61" ca="1">IF($Q61="","",INDEX($V$25:$V$64,$Q61))</f>
        <v/>
      </c>
      <c r="N61" s="95" t="str">
        <f ca="1">IF($Q61="","",$C$7)</f>
        <v/>
      </c>
      <c r="O61" s="102" t="str" cm="1">
        <f t="array" aca="1" ref="O61" ca="1">IF($Q61="","",INDEX($AJ$25:$AJ$64,$Q61))</f>
        <v/>
      </c>
      <c r="P61" s="319" t="str" cm="1">
        <f t="array" aca="1" ref="P61" ca="1">IF($Q61="","",IF(INDEX($AK$25:$AK$64,$Q61)="","",IF(INDEX($AK$25:$AK$64,$Q61)&gt;0,"▲ +"&amp;INDEX($AK$25:$AK$64,$Q61),IF(INDEX($AK$25:$AK$64,$Q61)&lt;0,"▼ "&amp;INDEX($AK$25:$AK$64,$Q61),"= 0"))))</f>
        <v/>
      </c>
      <c r="Q61" s="116" t="str" cm="1">
        <f t="array" aca="1" ref="Q61" ca="1">IF(ROW()-24&lt;=COUNT($AH$25:$AH$64),IFERROR(MATCH(ROW()-24,$AH$25:$AH$64,0),""),IFERROR(SMALL(IF(($AI$25:$AI$64=1)*($AD$25:$AD$64&lt;&gt;"YES")*($R$25:$R$64&lt;&gt;""),ROW($AI$25:$AI$64)-24),ROW()-24-COUNT($AH$25:$AH$64)),""))</f>
        <v/>
      </c>
      <c r="R61" s="339" t="str">
        <f>IF(Symbols!A40="","",Symbols!A40)</f>
        <v/>
      </c>
      <c r="S61" s="339" t="str" cm="1">
        <f t="array" ref="S61">IF($R61="","",INDEX(Symbols!$B$4:$B$43,ROW()-24))</f>
        <v/>
      </c>
      <c r="T61" s="339" t="str" cm="1">
        <f t="array" ref="T61">IF($R61="","",INDEX(Symbols!$D$4:$D$43,ROW()-24))</f>
        <v/>
      </c>
      <c r="U61" s="340" t="str">
        <f>IF($R61="","",IF(COUNTIFS('Fundamental Scorecard'!$A$5:$A$44,$R61,'Fundamental Scorecard'!$E$5:$E$44,"&gt;=-1E+300")=0,"",SUMIFS('Fundamental Scorecard'!$E$5:$E$44,'Fundamental Scorecard'!$A$5:$A$44,$R61)))</f>
        <v/>
      </c>
      <c r="V61" s="339" t="str">
        <f>IF($R61="","",IFERROR(IF(INDEX('Fundamental Scorecard'!$D$5:$D$44,MATCH($R61,'Fundamental Scorecard'!$A$5:$A$44,0))=0,"",INDEX('Fundamental Scorecard'!$D$5:$D$44,MATCH($R61,'Fundamental Scorecard'!$A$5:$A$44,0))),""))</f>
        <v/>
      </c>
      <c r="W61" s="340" t="str">
        <f>IF(OR($R61="",$C$7=""),"",IF(COUNTIFS('Daily Data'!$B$4:$B$503,$R61,'Daily Data'!$A$4:$A$503,$C$7,'Daily Data'!$AH$4:$AH$503,"&gt;=-1E+300")=0,"",SUMIFS('Daily Data'!$AH$4:$AH$503,'Daily Data'!$B$4:$B$503,$R61,'Daily Data'!$A$4:$A$503,$C$7)))</f>
        <v/>
      </c>
      <c r="X61" s="341" t="str">
        <f>IF(OR($R61="",$C$7=""),"",IF(COUNTIFS('Daily Data'!$B$4:$B$503,$R61,'Daily Data'!$A$4:$A$503,$C$7,'Daily Data'!$S$4:$S$503,"&gt;=-1E+300")=0,"",SUMIFS('Daily Data'!$S$4:$S$503,'Daily Data'!$B$4:$B$503,$R61,'Daily Data'!$A$4:$A$503,$C$7)))</f>
        <v/>
      </c>
      <c r="Y61" s="342" t="str">
        <f>IF(OR($R61="",$C$7=""),"",IF(COUNTIFS('Daily Data'!$B$4:$B$503,$R61,'Daily Data'!$A$4:$A$503,$C$7,'Daily Data'!$AA$4:$AA$503,"&gt;=-1E+300")=0,"",SUMIFS('Daily Data'!$AA$4:$AA$503,'Daily Data'!$B$4:$B$503,$R61,'Daily Data'!$A$4:$A$503,$C$7)))</f>
        <v/>
      </c>
      <c r="Z61" s="341" t="str">
        <f>IF(OR($R61="",$C$7=""),"",IF(COUNTIFS('Daily Data'!$B$4:$B$503,$R61,'Daily Data'!$A$4:$A$503,$C$7,'Daily Data'!$AC$4:$AC$503,"&gt;=-1E+300")=0,"",SUMIFS('Daily Data'!$AC$4:$AC$503,'Daily Data'!$B$4:$B$503,$R61,'Daily Data'!$A$4:$A$503,$C$7)))</f>
        <v/>
      </c>
      <c r="AA61" s="340" t="str">
        <f>IF(OR($R61="",$C$7=""),"",IF(COUNTIFS('Daily Data'!$B$4:$B$503,$R61,'Daily Data'!$A$4:$A$503,$C$7,'Daily Data'!$AG$4:$AG$503,"&gt;=-1E+300")=0,"",SUMIFS('Daily Data'!$AG$4:$AG$503,'Daily Data'!$B$4:$B$503,$R61,'Daily Data'!$A$4:$A$503,$C$7)))</f>
        <v/>
      </c>
      <c r="AB61" s="340" t="str">
        <f>IF(OR($R61="",$C$7=""),"",IF(COUNTIFS('Daily Data'!$B$4:$B$503,$R61,'Daily Data'!$A$4:$A$503,$C$7,'Daily Data'!$AI$4:$AI$503,"&gt;=-1E+300")=0,"",SUMIFS('Daily Data'!$AI$4:$AI$503,'Daily Data'!$B$4:$B$503,$R61,'Daily Data'!$A$4:$A$503,$C$7)))</f>
        <v/>
      </c>
      <c r="AC61" s="339" t="str" cm="1">
        <f t="array" ref="AC61">IF($R61="","",IF(UPPER(INDEX(Symbols!$F$4:$F$43,ROW()-24))="YES","YES","NO"))</f>
        <v/>
      </c>
      <c r="AD61" s="339" t="str">
        <f>IF($R61="","",IF(ROUND(Settings!$C$65+Settings!$C$66,6)&lt;&gt;1,"NO",IF($AC61&lt;&gt;"YES","NO",IF(AND(UPPER(Settings!$C$105)="YES",$AP61="YES"),"NO",IF(NOT(ISNUMBER($U61)),"NO",IF(NOT(ISNUMBER($W61)),"NO",IF($C$7="","NO",IF($C$6-$C$7&gt;Settings!$C$70,"NO",IF(AND(ISNUMBER($AO61),$AO61&gt;Settings!$C$104),"NO",IF(N($AB61)&lt;Settings!$C$71,"NO",IF(N($AA61)&lt;Settings!$C$72,"NO","YES")))))))))))</f>
        <v/>
      </c>
      <c r="AE61" s="339" t="str">
        <f>IF($R61="","",IF($AD61="YES","",IF(ROUND(Settings!$C$65+Settings!$C$66,6)&lt;&gt;1,"Ranking weights do not total 100%",IF($AC61&lt;&gt;"YES","Security is not active",IF(AND(UPPER(Settings!$C$105)="YES",$AP61="YES"),"Cross-listed security, excluded by Settings!C105",IF(NOT(ISNUMBER($U61)),"Missing fundamental data",IF(NOT(ISNUMBER($W61)),"No market observation on the date used",IF($C$7="","No market data available",IF($C$6-$C$7&gt;Settings!$C$70,"Market data is stale",IF(AND(ISNUMBER($AO61),$AO61&gt;Settings!$C$104),"Fundamental statement is stale ("&amp;$AO61&amp;" months old)",IF(N($AB61)&lt;Settings!$C$71,"Data confidence below minimum","Liquidity below minimum")))))))))))</f>
        <v/>
      </c>
      <c r="AF61" s="340" t="str">
        <f>IF($AD61&lt;&gt;"YES","",ROUND($U61*RankingFundamentalWeight+$W61*RankingSentimentWeight,1))</f>
        <v/>
      </c>
      <c r="AG61" s="339" t="str">
        <f>IF($AD61&lt;&gt;"YES","",$AF61+$U61/10000+$W61/100000000+N($AB61)/1000000000000)</f>
        <v/>
      </c>
      <c r="AH61" s="343" t="str" cm="1">
        <f t="array" ref="AH61">IF(OR($AD61&lt;&gt;"YES",$AI61&lt;&gt;1),"",SUMPRODUCT(($AI$25:$AI$64=1)*($AD$25:$AD$64="YES")*($AG$25:$AG$64&gt;$AG61))+SUMPRODUCT(($AI$25:$AI$64=1)*($AD$25:$AD$64="YES")*($AG$25:$AG$64=$AG61)*($R$25:$R$64&lt;$R61))+1)</f>
        <v/>
      </c>
      <c r="AI61" s="339" t="str">
        <f>IF($R61="","",IF(AND(OR($A$22="",$T61=$A$22),OR($B$22="",$AL61=$B$22),OR($C$22="",$AM61=$C$22),OR($D$22="",AND(ISNUMBER($U61),N($U61)&gt;=$D$22)),OR($E$22="",AND(ISNUMBER($W61),N($W61)&gt;=$E$22)),OR($F$22="",AND(ISNUMBER($AF61),N($AF61)&gt;=$F$22)),OR($G$22="",N($AA61)&gt;=$G$22),OR($H$22="",N($AB61)&gt;=$H$22),OR(UPPER($I$22)&lt;&gt;"YES",$AC61="YES"),OR(UPPER($J$22)&lt;&gt;"YES",$AD61="YES")),1,0))</f>
        <v/>
      </c>
      <c r="AJ61" s="339" t="str">
        <f>IF(OR($R61="",$C$11=""),"",IF(COUNTIFS('Ranking History'!$B$5:$B$2000,$R61,'Ranking History'!$A$5:$A$2000,$C$11)=0,"",SUMIFS('Ranking History'!$C$5:$C$2000,'Ranking History'!$B$5:$B$2000,$R61,'Ranking History'!$A$5:$A$2000,$C$11)))</f>
        <v/>
      </c>
      <c r="AK61" s="339" t="str">
        <f>IF(OR($AJ61="",$AH61=""),"",$AJ61-$AH61)</f>
        <v/>
      </c>
      <c r="AL61" s="339" t="str">
        <f>IF($AF61="","",IF($AF61&gt;=Settings!$C$76,"BORA SANA",IF($AF61&gt;=Settings!$C$77,"NZURI SANA",IF($AF61&gt;=Settings!$C$78,"NZURI",IF($AF61&gt;=Settings!$C$79,"WASTANI",IF($AF61&gt;=Settings!$C$80,"DHAIFU","DHAIFU SANA"))))))</f>
        <v/>
      </c>
      <c r="AM61" s="339" t="str">
        <f>IF(NOT(ISNUMBER($W61)),"",IF($W61&gt;=Settings!$C$82,"Demand kubwa sana",IF($W61&gt;=Settings!$C$83,"Demand kubwa",IF($W61&gt;=Settings!$C$84,"Demand ya wastani","Demand ndogo sana"))))</f>
        <v/>
      </c>
      <c r="AN61" s="339" t="str">
        <f>IF($R61="","",IF(OR(NOT(ISNUMBER($U61)),NOT(ISNUMBER($W61))),"INCOMPLETE DATA",IF($U61&lt;Settings!$C$88,"Epuka : ubora dhaifu",IF(AND($U61&gt;=Settings!$C$86,$W61&gt;=Settings!$C$87),"Nunua : ubora na mwelekeo vinaungana",IF($U61&gt;=Settings!$C$86,"Fuatilia : ubora mzuri, mwelekeo bado haujathibitisha",IF($W61&gt;=Settings!$C$89,"Fuatilia : ubora wa wastani","Fuatilia : ubora wa wastani, mwelekeo bado dhaifu"))))))</f>
        <v/>
      </c>
      <c r="AO61" s="339" t="str">
        <f>IF($R61="","",IF(COUNTIFS('Fundamental Scorecard'!$A$5:$A$44,$R61,'Fundamental Scorecard'!$AE$5:$AE$44,"&gt;=-1E+300")=0,"",SUMIFS('Fundamental Scorecard'!$AE$5:$AE$44,'Fundamental Scorecard'!$A$5:$A$44,$R61)))</f>
        <v/>
      </c>
      <c r="AP61" s="339" t="str" cm="1">
        <f t="array" ref="AP61">IF($R61="","",IF(ISNUMBER(SEARCH("cross-listed",INDEX(Symbols!$C$4:$C$43,ROW()-24))),"YES","NO"))</f>
        <v/>
      </c>
    </row>
    <row r="62" spans="1:42" x14ac:dyDescent="0.3">
      <c r="A62" s="344" t="str" cm="1">
        <f t="array" aca="1" ref="A62" ca="1">IF($Q62="","",IF(INDEX($AD$25:$AD$64,$Q62)="YES",INDEX($AH$25:$AH$64,$Q62),"—"))</f>
        <v/>
      </c>
      <c r="B62" s="318" t="str" cm="1">
        <f t="array" aca="1" ref="B62" ca="1">IF($Q62="","",INDEX($R$25:$R$64,$Q62))</f>
        <v/>
      </c>
      <c r="C62" s="319" t="str" cm="1">
        <f t="array" aca="1" ref="C62" ca="1">IF($Q62="","",INDEX($S$25:$S$64,$Q62))</f>
        <v/>
      </c>
      <c r="D62" s="319" t="str" cm="1">
        <f t="array" aca="1" ref="D62" ca="1">IF($Q62="","",INDEX($T$25:$T$64,$Q62))</f>
        <v/>
      </c>
      <c r="E62" s="100" t="str" cm="1">
        <f t="array" aca="1" ref="E62" ca="1">IF($Q62="","",INDEX($U$25:$U$64,$Q62))</f>
        <v/>
      </c>
      <c r="F62" s="100" t="str" cm="1">
        <f t="array" aca="1" ref="F62" ca="1">IF($Q62="","",INDEX($W$25:$W$64,$Q62))</f>
        <v/>
      </c>
      <c r="G62" s="100" t="str" cm="1">
        <f t="array" aca="1" ref="G62" ca="1">IF($Q62="","",INDEX($AF$25:$AF$64,$Q62))</f>
        <v/>
      </c>
      <c r="H62" s="319" t="str" cm="1">
        <f t="array" aca="1" ref="H62" ca="1">IF($Q62="","",INDEX($AL$25:$AL$64,$Q62))</f>
        <v/>
      </c>
      <c r="I62" s="319" t="str" cm="1">
        <f t="array" aca="1" ref="I62" ca="1">IF($Q62="","",INDEX($AM$25:$AM$64,$Q62))</f>
        <v/>
      </c>
      <c r="J62" s="319" t="str" cm="1">
        <f t="array" aca="1" ref="J62" ca="1">IF($Q62="","",INDEX($AN$25:$AN$64,$Q62))</f>
        <v/>
      </c>
      <c r="K62" s="100" t="str" cm="1">
        <f t="array" aca="1" ref="K62" ca="1">IF($Q62="","",INDEX($AA$25:$AA$64,$Q62))</f>
        <v/>
      </c>
      <c r="L62" s="100" t="str" cm="1">
        <f t="array" aca="1" ref="L62" ca="1">IF($Q62="","",INDEX($AB$25:$AB$64,$Q62))</f>
        <v/>
      </c>
      <c r="M62" s="319" t="str" cm="1">
        <f t="array" aca="1" ref="M62" ca="1">IF($Q62="","",INDEX($V$25:$V$64,$Q62))</f>
        <v/>
      </c>
      <c r="N62" s="95" t="str">
        <f ca="1">IF($Q62="","",$C$7)</f>
        <v/>
      </c>
      <c r="O62" s="102" t="str" cm="1">
        <f t="array" aca="1" ref="O62" ca="1">IF($Q62="","",INDEX($AJ$25:$AJ$64,$Q62))</f>
        <v/>
      </c>
      <c r="P62" s="319" t="str" cm="1">
        <f t="array" aca="1" ref="P62" ca="1">IF($Q62="","",IF(INDEX($AK$25:$AK$64,$Q62)="","",IF(INDEX($AK$25:$AK$64,$Q62)&gt;0,"▲ +"&amp;INDEX($AK$25:$AK$64,$Q62),IF(INDEX($AK$25:$AK$64,$Q62)&lt;0,"▼ "&amp;INDEX($AK$25:$AK$64,$Q62),"= 0"))))</f>
        <v/>
      </c>
      <c r="Q62" s="116" t="str" cm="1">
        <f t="array" aca="1" ref="Q62" ca="1">IF(ROW()-24&lt;=COUNT($AH$25:$AH$64),IFERROR(MATCH(ROW()-24,$AH$25:$AH$64,0),""),IFERROR(SMALL(IF(($AI$25:$AI$64=1)*($AD$25:$AD$64&lt;&gt;"YES")*($R$25:$R$64&lt;&gt;""),ROW($AI$25:$AI$64)-24),ROW()-24-COUNT($AH$25:$AH$64)),""))</f>
        <v/>
      </c>
      <c r="R62" s="339" t="str">
        <f>IF(Symbols!A41="","",Symbols!A41)</f>
        <v/>
      </c>
      <c r="S62" s="339" t="str" cm="1">
        <f t="array" ref="S62">IF($R62="","",INDEX(Symbols!$B$4:$B$43,ROW()-24))</f>
        <v/>
      </c>
      <c r="T62" s="339" t="str" cm="1">
        <f t="array" ref="T62">IF($R62="","",INDEX(Symbols!$D$4:$D$43,ROW()-24))</f>
        <v/>
      </c>
      <c r="U62" s="340" t="str">
        <f>IF($R62="","",IF(COUNTIFS('Fundamental Scorecard'!$A$5:$A$44,$R62,'Fundamental Scorecard'!$E$5:$E$44,"&gt;=-1E+300")=0,"",SUMIFS('Fundamental Scorecard'!$E$5:$E$44,'Fundamental Scorecard'!$A$5:$A$44,$R62)))</f>
        <v/>
      </c>
      <c r="V62" s="339" t="str">
        <f>IF($R62="","",IFERROR(IF(INDEX('Fundamental Scorecard'!$D$5:$D$44,MATCH($R62,'Fundamental Scorecard'!$A$5:$A$44,0))=0,"",INDEX('Fundamental Scorecard'!$D$5:$D$44,MATCH($R62,'Fundamental Scorecard'!$A$5:$A$44,0))),""))</f>
        <v/>
      </c>
      <c r="W62" s="340" t="str">
        <f>IF(OR($R62="",$C$7=""),"",IF(COUNTIFS('Daily Data'!$B$4:$B$503,$R62,'Daily Data'!$A$4:$A$503,$C$7,'Daily Data'!$AH$4:$AH$503,"&gt;=-1E+300")=0,"",SUMIFS('Daily Data'!$AH$4:$AH$503,'Daily Data'!$B$4:$B$503,$R62,'Daily Data'!$A$4:$A$503,$C$7)))</f>
        <v/>
      </c>
      <c r="X62" s="341" t="str">
        <f>IF(OR($R62="",$C$7=""),"",IF(COUNTIFS('Daily Data'!$B$4:$B$503,$R62,'Daily Data'!$A$4:$A$503,$C$7,'Daily Data'!$S$4:$S$503,"&gt;=-1E+300")=0,"",SUMIFS('Daily Data'!$S$4:$S$503,'Daily Data'!$B$4:$B$503,$R62,'Daily Data'!$A$4:$A$503,$C$7)))</f>
        <v/>
      </c>
      <c r="Y62" s="342" t="str">
        <f>IF(OR($R62="",$C$7=""),"",IF(COUNTIFS('Daily Data'!$B$4:$B$503,$R62,'Daily Data'!$A$4:$A$503,$C$7,'Daily Data'!$AA$4:$AA$503,"&gt;=-1E+300")=0,"",SUMIFS('Daily Data'!$AA$4:$AA$503,'Daily Data'!$B$4:$B$503,$R62,'Daily Data'!$A$4:$A$503,$C$7)))</f>
        <v/>
      </c>
      <c r="Z62" s="341" t="str">
        <f>IF(OR($R62="",$C$7=""),"",IF(COUNTIFS('Daily Data'!$B$4:$B$503,$R62,'Daily Data'!$A$4:$A$503,$C$7,'Daily Data'!$AC$4:$AC$503,"&gt;=-1E+300")=0,"",SUMIFS('Daily Data'!$AC$4:$AC$503,'Daily Data'!$B$4:$B$503,$R62,'Daily Data'!$A$4:$A$503,$C$7)))</f>
        <v/>
      </c>
      <c r="AA62" s="340" t="str">
        <f>IF(OR($R62="",$C$7=""),"",IF(COUNTIFS('Daily Data'!$B$4:$B$503,$R62,'Daily Data'!$A$4:$A$503,$C$7,'Daily Data'!$AG$4:$AG$503,"&gt;=-1E+300")=0,"",SUMIFS('Daily Data'!$AG$4:$AG$503,'Daily Data'!$B$4:$B$503,$R62,'Daily Data'!$A$4:$A$503,$C$7)))</f>
        <v/>
      </c>
      <c r="AB62" s="340" t="str">
        <f>IF(OR($R62="",$C$7=""),"",IF(COUNTIFS('Daily Data'!$B$4:$B$503,$R62,'Daily Data'!$A$4:$A$503,$C$7,'Daily Data'!$AI$4:$AI$503,"&gt;=-1E+300")=0,"",SUMIFS('Daily Data'!$AI$4:$AI$503,'Daily Data'!$B$4:$B$503,$R62,'Daily Data'!$A$4:$A$503,$C$7)))</f>
        <v/>
      </c>
      <c r="AC62" s="339" t="str" cm="1">
        <f t="array" ref="AC62">IF($R62="","",IF(UPPER(INDEX(Symbols!$F$4:$F$43,ROW()-24))="YES","YES","NO"))</f>
        <v/>
      </c>
      <c r="AD62" s="339" t="str">
        <f>IF($R62="","",IF(ROUND(Settings!$C$65+Settings!$C$66,6)&lt;&gt;1,"NO",IF($AC62&lt;&gt;"YES","NO",IF(AND(UPPER(Settings!$C$105)="YES",$AP62="YES"),"NO",IF(NOT(ISNUMBER($U62)),"NO",IF(NOT(ISNUMBER($W62)),"NO",IF($C$7="","NO",IF($C$6-$C$7&gt;Settings!$C$70,"NO",IF(AND(ISNUMBER($AO62),$AO62&gt;Settings!$C$104),"NO",IF(N($AB62)&lt;Settings!$C$71,"NO",IF(N($AA62)&lt;Settings!$C$72,"NO","YES")))))))))))</f>
        <v/>
      </c>
      <c r="AE62" s="339" t="str">
        <f>IF($R62="","",IF($AD62="YES","",IF(ROUND(Settings!$C$65+Settings!$C$66,6)&lt;&gt;1,"Ranking weights do not total 100%",IF($AC62&lt;&gt;"YES","Security is not active",IF(AND(UPPER(Settings!$C$105)="YES",$AP62="YES"),"Cross-listed security, excluded by Settings!C105",IF(NOT(ISNUMBER($U62)),"Missing fundamental data",IF(NOT(ISNUMBER($W62)),"No market observation on the date used",IF($C$7="","No market data available",IF($C$6-$C$7&gt;Settings!$C$70,"Market data is stale",IF(AND(ISNUMBER($AO62),$AO62&gt;Settings!$C$104),"Fundamental statement is stale ("&amp;$AO62&amp;" months old)",IF(N($AB62)&lt;Settings!$C$71,"Data confidence below minimum","Liquidity below minimum")))))))))))</f>
        <v/>
      </c>
      <c r="AF62" s="340" t="str">
        <f>IF($AD62&lt;&gt;"YES","",ROUND($U62*RankingFundamentalWeight+$W62*RankingSentimentWeight,1))</f>
        <v/>
      </c>
      <c r="AG62" s="339" t="str">
        <f>IF($AD62&lt;&gt;"YES","",$AF62+$U62/10000+$W62/100000000+N($AB62)/1000000000000)</f>
        <v/>
      </c>
      <c r="AH62" s="343" t="str" cm="1">
        <f t="array" ref="AH62">IF(OR($AD62&lt;&gt;"YES",$AI62&lt;&gt;1),"",SUMPRODUCT(($AI$25:$AI$64=1)*($AD$25:$AD$64="YES")*($AG$25:$AG$64&gt;$AG62))+SUMPRODUCT(($AI$25:$AI$64=1)*($AD$25:$AD$64="YES")*($AG$25:$AG$64=$AG62)*($R$25:$R$64&lt;$R62))+1)</f>
        <v/>
      </c>
      <c r="AI62" s="339" t="str">
        <f>IF($R62="","",IF(AND(OR($A$22="",$T62=$A$22),OR($B$22="",$AL62=$B$22),OR($C$22="",$AM62=$C$22),OR($D$22="",AND(ISNUMBER($U62),N($U62)&gt;=$D$22)),OR($E$22="",AND(ISNUMBER($W62),N($W62)&gt;=$E$22)),OR($F$22="",AND(ISNUMBER($AF62),N($AF62)&gt;=$F$22)),OR($G$22="",N($AA62)&gt;=$G$22),OR($H$22="",N($AB62)&gt;=$H$22),OR(UPPER($I$22)&lt;&gt;"YES",$AC62="YES"),OR(UPPER($J$22)&lt;&gt;"YES",$AD62="YES")),1,0))</f>
        <v/>
      </c>
      <c r="AJ62" s="339" t="str">
        <f>IF(OR($R62="",$C$11=""),"",IF(COUNTIFS('Ranking History'!$B$5:$B$2000,$R62,'Ranking History'!$A$5:$A$2000,$C$11)=0,"",SUMIFS('Ranking History'!$C$5:$C$2000,'Ranking History'!$B$5:$B$2000,$R62,'Ranking History'!$A$5:$A$2000,$C$11)))</f>
        <v/>
      </c>
      <c r="AK62" s="339" t="str">
        <f>IF(OR($AJ62="",$AH62=""),"",$AJ62-$AH62)</f>
        <v/>
      </c>
      <c r="AL62" s="339" t="str">
        <f>IF($AF62="","",IF($AF62&gt;=Settings!$C$76,"BORA SANA",IF($AF62&gt;=Settings!$C$77,"NZURI SANA",IF($AF62&gt;=Settings!$C$78,"NZURI",IF($AF62&gt;=Settings!$C$79,"WASTANI",IF($AF62&gt;=Settings!$C$80,"DHAIFU","DHAIFU SANA"))))))</f>
        <v/>
      </c>
      <c r="AM62" s="339" t="str">
        <f>IF(NOT(ISNUMBER($W62)),"",IF($W62&gt;=Settings!$C$82,"Demand kubwa sana",IF($W62&gt;=Settings!$C$83,"Demand kubwa",IF($W62&gt;=Settings!$C$84,"Demand ya wastani","Demand ndogo sana"))))</f>
        <v/>
      </c>
      <c r="AN62" s="339" t="str">
        <f>IF($R62="","",IF(OR(NOT(ISNUMBER($U62)),NOT(ISNUMBER($W62))),"INCOMPLETE DATA",IF($U62&lt;Settings!$C$88,"Epuka : ubora dhaifu",IF(AND($U62&gt;=Settings!$C$86,$W62&gt;=Settings!$C$87),"Nunua : ubora na mwelekeo vinaungana",IF($U62&gt;=Settings!$C$86,"Fuatilia : ubora mzuri, mwelekeo bado haujathibitisha",IF($W62&gt;=Settings!$C$89,"Fuatilia : ubora wa wastani","Fuatilia : ubora wa wastani, mwelekeo bado dhaifu"))))))</f>
        <v/>
      </c>
      <c r="AO62" s="339" t="str">
        <f>IF($R62="","",IF(COUNTIFS('Fundamental Scorecard'!$A$5:$A$44,$R62,'Fundamental Scorecard'!$AE$5:$AE$44,"&gt;=-1E+300")=0,"",SUMIFS('Fundamental Scorecard'!$AE$5:$AE$44,'Fundamental Scorecard'!$A$5:$A$44,$R62)))</f>
        <v/>
      </c>
      <c r="AP62" s="339" t="str" cm="1">
        <f t="array" ref="AP62">IF($R62="","",IF(ISNUMBER(SEARCH("cross-listed",INDEX(Symbols!$C$4:$C$43,ROW()-24))),"YES","NO"))</f>
        <v/>
      </c>
    </row>
    <row r="63" spans="1:42" x14ac:dyDescent="0.3">
      <c r="A63" s="344" t="str" cm="1">
        <f t="array" aca="1" ref="A63" ca="1">IF($Q63="","",IF(INDEX($AD$25:$AD$64,$Q63)="YES",INDEX($AH$25:$AH$64,$Q63),"—"))</f>
        <v/>
      </c>
      <c r="B63" s="318" t="str" cm="1">
        <f t="array" aca="1" ref="B63" ca="1">IF($Q63="","",INDEX($R$25:$R$64,$Q63))</f>
        <v/>
      </c>
      <c r="C63" s="319" t="str" cm="1">
        <f t="array" aca="1" ref="C63" ca="1">IF($Q63="","",INDEX($S$25:$S$64,$Q63))</f>
        <v/>
      </c>
      <c r="D63" s="319" t="str" cm="1">
        <f t="array" aca="1" ref="D63" ca="1">IF($Q63="","",INDEX($T$25:$T$64,$Q63))</f>
        <v/>
      </c>
      <c r="E63" s="100" t="str" cm="1">
        <f t="array" aca="1" ref="E63" ca="1">IF($Q63="","",INDEX($U$25:$U$64,$Q63))</f>
        <v/>
      </c>
      <c r="F63" s="100" t="str" cm="1">
        <f t="array" aca="1" ref="F63" ca="1">IF($Q63="","",INDEX($W$25:$W$64,$Q63))</f>
        <v/>
      </c>
      <c r="G63" s="100" t="str" cm="1">
        <f t="array" aca="1" ref="G63" ca="1">IF($Q63="","",INDEX($AF$25:$AF$64,$Q63))</f>
        <v/>
      </c>
      <c r="H63" s="319" t="str" cm="1">
        <f t="array" aca="1" ref="H63" ca="1">IF($Q63="","",INDEX($AL$25:$AL$64,$Q63))</f>
        <v/>
      </c>
      <c r="I63" s="319" t="str" cm="1">
        <f t="array" aca="1" ref="I63" ca="1">IF($Q63="","",INDEX($AM$25:$AM$64,$Q63))</f>
        <v/>
      </c>
      <c r="J63" s="319" t="str" cm="1">
        <f t="array" aca="1" ref="J63" ca="1">IF($Q63="","",INDEX($AN$25:$AN$64,$Q63))</f>
        <v/>
      </c>
      <c r="K63" s="100" t="str" cm="1">
        <f t="array" aca="1" ref="K63" ca="1">IF($Q63="","",INDEX($AA$25:$AA$64,$Q63))</f>
        <v/>
      </c>
      <c r="L63" s="100" t="str" cm="1">
        <f t="array" aca="1" ref="L63" ca="1">IF($Q63="","",INDEX($AB$25:$AB$64,$Q63))</f>
        <v/>
      </c>
      <c r="M63" s="319" t="str" cm="1">
        <f t="array" aca="1" ref="M63" ca="1">IF($Q63="","",INDEX($V$25:$V$64,$Q63))</f>
        <v/>
      </c>
      <c r="N63" s="95" t="str">
        <f ca="1">IF($Q63="","",$C$7)</f>
        <v/>
      </c>
      <c r="O63" s="102" t="str" cm="1">
        <f t="array" aca="1" ref="O63" ca="1">IF($Q63="","",INDEX($AJ$25:$AJ$64,$Q63))</f>
        <v/>
      </c>
      <c r="P63" s="319" t="str" cm="1">
        <f t="array" aca="1" ref="P63" ca="1">IF($Q63="","",IF(INDEX($AK$25:$AK$64,$Q63)="","",IF(INDEX($AK$25:$AK$64,$Q63)&gt;0,"▲ +"&amp;INDEX($AK$25:$AK$64,$Q63),IF(INDEX($AK$25:$AK$64,$Q63)&lt;0,"▼ "&amp;INDEX($AK$25:$AK$64,$Q63),"= 0"))))</f>
        <v/>
      </c>
      <c r="Q63" s="116" t="str" cm="1">
        <f t="array" aca="1" ref="Q63" ca="1">IF(ROW()-24&lt;=COUNT($AH$25:$AH$64),IFERROR(MATCH(ROW()-24,$AH$25:$AH$64,0),""),IFERROR(SMALL(IF(($AI$25:$AI$64=1)*($AD$25:$AD$64&lt;&gt;"YES")*($R$25:$R$64&lt;&gt;""),ROW($AI$25:$AI$64)-24),ROW()-24-COUNT($AH$25:$AH$64)),""))</f>
        <v/>
      </c>
      <c r="R63" s="339" t="str">
        <f>IF(Symbols!A42="","",Symbols!A42)</f>
        <v/>
      </c>
      <c r="S63" s="339" t="str" cm="1">
        <f t="array" ref="S63">IF($R63="","",INDEX(Symbols!$B$4:$B$43,ROW()-24))</f>
        <v/>
      </c>
      <c r="T63" s="339" t="str" cm="1">
        <f t="array" ref="T63">IF($R63="","",INDEX(Symbols!$D$4:$D$43,ROW()-24))</f>
        <v/>
      </c>
      <c r="U63" s="340" t="str">
        <f>IF($R63="","",IF(COUNTIFS('Fundamental Scorecard'!$A$5:$A$44,$R63,'Fundamental Scorecard'!$E$5:$E$44,"&gt;=-1E+300")=0,"",SUMIFS('Fundamental Scorecard'!$E$5:$E$44,'Fundamental Scorecard'!$A$5:$A$44,$R63)))</f>
        <v/>
      </c>
      <c r="V63" s="339" t="str">
        <f>IF($R63="","",IFERROR(IF(INDEX('Fundamental Scorecard'!$D$5:$D$44,MATCH($R63,'Fundamental Scorecard'!$A$5:$A$44,0))=0,"",INDEX('Fundamental Scorecard'!$D$5:$D$44,MATCH($R63,'Fundamental Scorecard'!$A$5:$A$44,0))),""))</f>
        <v/>
      </c>
      <c r="W63" s="340" t="str">
        <f>IF(OR($R63="",$C$7=""),"",IF(COUNTIFS('Daily Data'!$B$4:$B$503,$R63,'Daily Data'!$A$4:$A$503,$C$7,'Daily Data'!$AH$4:$AH$503,"&gt;=-1E+300")=0,"",SUMIFS('Daily Data'!$AH$4:$AH$503,'Daily Data'!$B$4:$B$503,$R63,'Daily Data'!$A$4:$A$503,$C$7)))</f>
        <v/>
      </c>
      <c r="X63" s="341" t="str">
        <f>IF(OR($R63="",$C$7=""),"",IF(COUNTIFS('Daily Data'!$B$4:$B$503,$R63,'Daily Data'!$A$4:$A$503,$C$7,'Daily Data'!$S$4:$S$503,"&gt;=-1E+300")=0,"",SUMIFS('Daily Data'!$S$4:$S$503,'Daily Data'!$B$4:$B$503,$R63,'Daily Data'!$A$4:$A$503,$C$7)))</f>
        <v/>
      </c>
      <c r="Y63" s="342" t="str">
        <f>IF(OR($R63="",$C$7=""),"",IF(COUNTIFS('Daily Data'!$B$4:$B$503,$R63,'Daily Data'!$A$4:$A$503,$C$7,'Daily Data'!$AA$4:$AA$503,"&gt;=-1E+300")=0,"",SUMIFS('Daily Data'!$AA$4:$AA$503,'Daily Data'!$B$4:$B$503,$R63,'Daily Data'!$A$4:$A$503,$C$7)))</f>
        <v/>
      </c>
      <c r="Z63" s="341" t="str">
        <f>IF(OR($R63="",$C$7=""),"",IF(COUNTIFS('Daily Data'!$B$4:$B$503,$R63,'Daily Data'!$A$4:$A$503,$C$7,'Daily Data'!$AC$4:$AC$503,"&gt;=-1E+300")=0,"",SUMIFS('Daily Data'!$AC$4:$AC$503,'Daily Data'!$B$4:$B$503,$R63,'Daily Data'!$A$4:$A$503,$C$7)))</f>
        <v/>
      </c>
      <c r="AA63" s="340" t="str">
        <f>IF(OR($R63="",$C$7=""),"",IF(COUNTIFS('Daily Data'!$B$4:$B$503,$R63,'Daily Data'!$A$4:$A$503,$C$7,'Daily Data'!$AG$4:$AG$503,"&gt;=-1E+300")=0,"",SUMIFS('Daily Data'!$AG$4:$AG$503,'Daily Data'!$B$4:$B$503,$R63,'Daily Data'!$A$4:$A$503,$C$7)))</f>
        <v/>
      </c>
      <c r="AB63" s="340" t="str">
        <f>IF(OR($R63="",$C$7=""),"",IF(COUNTIFS('Daily Data'!$B$4:$B$503,$R63,'Daily Data'!$A$4:$A$503,$C$7,'Daily Data'!$AI$4:$AI$503,"&gt;=-1E+300")=0,"",SUMIFS('Daily Data'!$AI$4:$AI$503,'Daily Data'!$B$4:$B$503,$R63,'Daily Data'!$A$4:$A$503,$C$7)))</f>
        <v/>
      </c>
      <c r="AC63" s="339" t="str" cm="1">
        <f t="array" ref="AC63">IF($R63="","",IF(UPPER(INDEX(Symbols!$F$4:$F$43,ROW()-24))="YES","YES","NO"))</f>
        <v/>
      </c>
      <c r="AD63" s="339" t="str">
        <f>IF($R63="","",IF(ROUND(Settings!$C$65+Settings!$C$66,6)&lt;&gt;1,"NO",IF($AC63&lt;&gt;"YES","NO",IF(AND(UPPER(Settings!$C$105)="YES",$AP63="YES"),"NO",IF(NOT(ISNUMBER($U63)),"NO",IF(NOT(ISNUMBER($W63)),"NO",IF($C$7="","NO",IF($C$6-$C$7&gt;Settings!$C$70,"NO",IF(AND(ISNUMBER($AO63),$AO63&gt;Settings!$C$104),"NO",IF(N($AB63)&lt;Settings!$C$71,"NO",IF(N($AA63)&lt;Settings!$C$72,"NO","YES")))))))))))</f>
        <v/>
      </c>
      <c r="AE63" s="339" t="str">
        <f>IF($R63="","",IF($AD63="YES","",IF(ROUND(Settings!$C$65+Settings!$C$66,6)&lt;&gt;1,"Ranking weights do not total 100%",IF($AC63&lt;&gt;"YES","Security is not active",IF(AND(UPPER(Settings!$C$105)="YES",$AP63="YES"),"Cross-listed security, excluded by Settings!C105",IF(NOT(ISNUMBER($U63)),"Missing fundamental data",IF(NOT(ISNUMBER($W63)),"No market observation on the date used",IF($C$7="","No market data available",IF($C$6-$C$7&gt;Settings!$C$70,"Market data is stale",IF(AND(ISNUMBER($AO63),$AO63&gt;Settings!$C$104),"Fundamental statement is stale ("&amp;$AO63&amp;" months old)",IF(N($AB63)&lt;Settings!$C$71,"Data confidence below minimum","Liquidity below minimum")))))))))))</f>
        <v/>
      </c>
      <c r="AF63" s="340" t="str">
        <f>IF($AD63&lt;&gt;"YES","",ROUND($U63*RankingFundamentalWeight+$W63*RankingSentimentWeight,1))</f>
        <v/>
      </c>
      <c r="AG63" s="339" t="str">
        <f>IF($AD63&lt;&gt;"YES","",$AF63+$U63/10000+$W63/100000000+N($AB63)/1000000000000)</f>
        <v/>
      </c>
      <c r="AH63" s="343" t="str" cm="1">
        <f t="array" ref="AH63">IF(OR($AD63&lt;&gt;"YES",$AI63&lt;&gt;1),"",SUMPRODUCT(($AI$25:$AI$64=1)*($AD$25:$AD$64="YES")*($AG$25:$AG$64&gt;$AG63))+SUMPRODUCT(($AI$25:$AI$64=1)*($AD$25:$AD$64="YES")*($AG$25:$AG$64=$AG63)*($R$25:$R$64&lt;$R63))+1)</f>
        <v/>
      </c>
      <c r="AI63" s="339" t="str">
        <f>IF($R63="","",IF(AND(OR($A$22="",$T63=$A$22),OR($B$22="",$AL63=$B$22),OR($C$22="",$AM63=$C$22),OR($D$22="",AND(ISNUMBER($U63),N($U63)&gt;=$D$22)),OR($E$22="",AND(ISNUMBER($W63),N($W63)&gt;=$E$22)),OR($F$22="",AND(ISNUMBER($AF63),N($AF63)&gt;=$F$22)),OR($G$22="",N($AA63)&gt;=$G$22),OR($H$22="",N($AB63)&gt;=$H$22),OR(UPPER($I$22)&lt;&gt;"YES",$AC63="YES"),OR(UPPER($J$22)&lt;&gt;"YES",$AD63="YES")),1,0))</f>
        <v/>
      </c>
      <c r="AJ63" s="339" t="str">
        <f>IF(OR($R63="",$C$11=""),"",IF(COUNTIFS('Ranking History'!$B$5:$B$2000,$R63,'Ranking History'!$A$5:$A$2000,$C$11)=0,"",SUMIFS('Ranking History'!$C$5:$C$2000,'Ranking History'!$B$5:$B$2000,$R63,'Ranking History'!$A$5:$A$2000,$C$11)))</f>
        <v/>
      </c>
      <c r="AK63" s="339" t="str">
        <f>IF(OR($AJ63="",$AH63=""),"",$AJ63-$AH63)</f>
        <v/>
      </c>
      <c r="AL63" s="339" t="str">
        <f>IF($AF63="","",IF($AF63&gt;=Settings!$C$76,"BORA SANA",IF($AF63&gt;=Settings!$C$77,"NZURI SANA",IF($AF63&gt;=Settings!$C$78,"NZURI",IF($AF63&gt;=Settings!$C$79,"WASTANI",IF($AF63&gt;=Settings!$C$80,"DHAIFU","DHAIFU SANA"))))))</f>
        <v/>
      </c>
      <c r="AM63" s="339" t="str">
        <f>IF(NOT(ISNUMBER($W63)),"",IF($W63&gt;=Settings!$C$82,"Demand kubwa sana",IF($W63&gt;=Settings!$C$83,"Demand kubwa",IF($W63&gt;=Settings!$C$84,"Demand ya wastani","Demand ndogo sana"))))</f>
        <v/>
      </c>
      <c r="AN63" s="339" t="str">
        <f>IF($R63="","",IF(OR(NOT(ISNUMBER($U63)),NOT(ISNUMBER($W63))),"INCOMPLETE DATA",IF($U63&lt;Settings!$C$88,"Epuka : ubora dhaifu",IF(AND($U63&gt;=Settings!$C$86,$W63&gt;=Settings!$C$87),"Nunua : ubora na mwelekeo vinaungana",IF($U63&gt;=Settings!$C$86,"Fuatilia : ubora mzuri, mwelekeo bado haujathibitisha",IF($W63&gt;=Settings!$C$89,"Fuatilia : ubora wa wastani","Fuatilia : ubora wa wastani, mwelekeo bado dhaifu"))))))</f>
        <v/>
      </c>
      <c r="AO63" s="339" t="str">
        <f>IF($R63="","",IF(COUNTIFS('Fundamental Scorecard'!$A$5:$A$44,$R63,'Fundamental Scorecard'!$AE$5:$AE$44,"&gt;=-1E+300")=0,"",SUMIFS('Fundamental Scorecard'!$AE$5:$AE$44,'Fundamental Scorecard'!$A$5:$A$44,$R63)))</f>
        <v/>
      </c>
      <c r="AP63" s="339" t="str" cm="1">
        <f t="array" ref="AP63">IF($R63="","",IF(ISNUMBER(SEARCH("cross-listed",INDEX(Symbols!$C$4:$C$43,ROW()-24))),"YES","NO"))</f>
        <v/>
      </c>
    </row>
    <row r="64" spans="1:42" x14ac:dyDescent="0.3">
      <c r="A64" s="345" t="str" cm="1">
        <f t="array" aca="1" ref="A64" ca="1">IF($Q64="","",IF(INDEX($AD$25:$AD$64,$Q64)="YES",INDEX($AH$25:$AH$64,$Q64),"—"))</f>
        <v/>
      </c>
      <c r="B64" s="322" t="str" cm="1">
        <f t="array" aca="1" ref="B64" ca="1">IF($Q64="","",INDEX($R$25:$R$64,$Q64))</f>
        <v/>
      </c>
      <c r="C64" s="323" t="str" cm="1">
        <f t="array" aca="1" ref="C64" ca="1">IF($Q64="","",INDEX($S$25:$S$64,$Q64))</f>
        <v/>
      </c>
      <c r="D64" s="323" t="str" cm="1">
        <f t="array" aca="1" ref="D64" ca="1">IF($Q64="","",INDEX($T$25:$T$64,$Q64))</f>
        <v/>
      </c>
      <c r="E64" s="108" t="str" cm="1">
        <f t="array" aca="1" ref="E64" ca="1">IF($Q64="","",INDEX($U$25:$U$64,$Q64))</f>
        <v/>
      </c>
      <c r="F64" s="108" t="str" cm="1">
        <f t="array" aca="1" ref="F64" ca="1">IF($Q64="","",INDEX($W$25:$W$64,$Q64))</f>
        <v/>
      </c>
      <c r="G64" s="108" t="str" cm="1">
        <f t="array" aca="1" ref="G64" ca="1">IF($Q64="","",INDEX($AF$25:$AF$64,$Q64))</f>
        <v/>
      </c>
      <c r="H64" s="323" t="str" cm="1">
        <f t="array" aca="1" ref="H64" ca="1">IF($Q64="","",INDEX($AL$25:$AL$64,$Q64))</f>
        <v/>
      </c>
      <c r="I64" s="323" t="str" cm="1">
        <f t="array" aca="1" ref="I64" ca="1">IF($Q64="","",INDEX($AM$25:$AM$64,$Q64))</f>
        <v/>
      </c>
      <c r="J64" s="323" t="str" cm="1">
        <f t="array" aca="1" ref="J64" ca="1">IF($Q64="","",INDEX($AN$25:$AN$64,$Q64))</f>
        <v/>
      </c>
      <c r="K64" s="108" t="str" cm="1">
        <f t="array" aca="1" ref="K64" ca="1">IF($Q64="","",INDEX($AA$25:$AA$64,$Q64))</f>
        <v/>
      </c>
      <c r="L64" s="108" t="str" cm="1">
        <f t="array" aca="1" ref="L64" ca="1">IF($Q64="","",INDEX($AB$25:$AB$64,$Q64))</f>
        <v/>
      </c>
      <c r="M64" s="323" t="str" cm="1">
        <f t="array" aca="1" ref="M64" ca="1">IF($Q64="","",INDEX($V$25:$V$64,$Q64))</f>
        <v/>
      </c>
      <c r="N64" s="103" t="str">
        <f ca="1">IF($Q64="","",$C$7)</f>
        <v/>
      </c>
      <c r="O64" s="110" t="str" cm="1">
        <f t="array" aca="1" ref="O64" ca="1">IF($Q64="","",INDEX($AJ$25:$AJ$64,$Q64))</f>
        <v/>
      </c>
      <c r="P64" s="323" t="str" cm="1">
        <f t="array" aca="1" ref="P64" ca="1">IF($Q64="","",IF(INDEX($AK$25:$AK$64,$Q64)="","",IF(INDEX($AK$25:$AK$64,$Q64)&gt;0,"▲ +"&amp;INDEX($AK$25:$AK$64,$Q64),IF(INDEX($AK$25:$AK$64,$Q64)&lt;0,"▼ "&amp;INDEX($AK$25:$AK$64,$Q64),"= 0"))))</f>
        <v/>
      </c>
      <c r="Q64" s="116" t="str" cm="1">
        <f t="array" aca="1" ref="Q64" ca="1">IF(ROW()-24&lt;=COUNT($AH$25:$AH$64),IFERROR(MATCH(ROW()-24,$AH$25:$AH$64,0),""),IFERROR(SMALL(IF(($AI$25:$AI$64=1)*($AD$25:$AD$64&lt;&gt;"YES")*($R$25:$R$64&lt;&gt;""),ROW($AI$25:$AI$64)-24),ROW()-24-COUNT($AH$25:$AH$64)),""))</f>
        <v/>
      </c>
      <c r="R64" s="339" t="str">
        <f>IF(Symbols!A43="","",Symbols!A43)</f>
        <v/>
      </c>
      <c r="S64" s="339" t="str" cm="1">
        <f t="array" ref="S64">IF($R64="","",INDEX(Symbols!$B$4:$B$43,ROW()-24))</f>
        <v/>
      </c>
      <c r="T64" s="339" t="str" cm="1">
        <f t="array" ref="T64">IF($R64="","",INDEX(Symbols!$D$4:$D$43,ROW()-24))</f>
        <v/>
      </c>
      <c r="U64" s="340" t="str">
        <f>IF($R64="","",IF(COUNTIFS('Fundamental Scorecard'!$A$5:$A$44,$R64,'Fundamental Scorecard'!$E$5:$E$44,"&gt;=-1E+300")=0,"",SUMIFS('Fundamental Scorecard'!$E$5:$E$44,'Fundamental Scorecard'!$A$5:$A$44,$R64)))</f>
        <v/>
      </c>
      <c r="V64" s="339" t="str">
        <f>IF($R64="","",IFERROR(IF(INDEX('Fundamental Scorecard'!$D$5:$D$44,MATCH($R64,'Fundamental Scorecard'!$A$5:$A$44,0))=0,"",INDEX('Fundamental Scorecard'!$D$5:$D$44,MATCH($R64,'Fundamental Scorecard'!$A$5:$A$44,0))),""))</f>
        <v/>
      </c>
      <c r="W64" s="340" t="str">
        <f>IF(OR($R64="",$C$7=""),"",IF(COUNTIFS('Daily Data'!$B$4:$B$503,$R64,'Daily Data'!$A$4:$A$503,$C$7,'Daily Data'!$AH$4:$AH$503,"&gt;=-1E+300")=0,"",SUMIFS('Daily Data'!$AH$4:$AH$503,'Daily Data'!$B$4:$B$503,$R64,'Daily Data'!$A$4:$A$503,$C$7)))</f>
        <v/>
      </c>
      <c r="X64" s="341" t="str">
        <f>IF(OR($R64="",$C$7=""),"",IF(COUNTIFS('Daily Data'!$B$4:$B$503,$R64,'Daily Data'!$A$4:$A$503,$C$7,'Daily Data'!$S$4:$S$503,"&gt;=-1E+300")=0,"",SUMIFS('Daily Data'!$S$4:$S$503,'Daily Data'!$B$4:$B$503,$R64,'Daily Data'!$A$4:$A$503,$C$7)))</f>
        <v/>
      </c>
      <c r="Y64" s="342" t="str">
        <f>IF(OR($R64="",$C$7=""),"",IF(COUNTIFS('Daily Data'!$B$4:$B$503,$R64,'Daily Data'!$A$4:$A$503,$C$7,'Daily Data'!$AA$4:$AA$503,"&gt;=-1E+300")=0,"",SUMIFS('Daily Data'!$AA$4:$AA$503,'Daily Data'!$B$4:$B$503,$R64,'Daily Data'!$A$4:$A$503,$C$7)))</f>
        <v/>
      </c>
      <c r="Z64" s="341" t="str">
        <f>IF(OR($R64="",$C$7=""),"",IF(COUNTIFS('Daily Data'!$B$4:$B$503,$R64,'Daily Data'!$A$4:$A$503,$C$7,'Daily Data'!$AC$4:$AC$503,"&gt;=-1E+300")=0,"",SUMIFS('Daily Data'!$AC$4:$AC$503,'Daily Data'!$B$4:$B$503,$R64,'Daily Data'!$A$4:$A$503,$C$7)))</f>
        <v/>
      </c>
      <c r="AA64" s="340" t="str">
        <f>IF(OR($R64="",$C$7=""),"",IF(COUNTIFS('Daily Data'!$B$4:$B$503,$R64,'Daily Data'!$A$4:$A$503,$C$7,'Daily Data'!$AG$4:$AG$503,"&gt;=-1E+300")=0,"",SUMIFS('Daily Data'!$AG$4:$AG$503,'Daily Data'!$B$4:$B$503,$R64,'Daily Data'!$A$4:$A$503,$C$7)))</f>
        <v/>
      </c>
      <c r="AB64" s="340" t="str">
        <f>IF(OR($R64="",$C$7=""),"",IF(COUNTIFS('Daily Data'!$B$4:$B$503,$R64,'Daily Data'!$A$4:$A$503,$C$7,'Daily Data'!$AI$4:$AI$503,"&gt;=-1E+300")=0,"",SUMIFS('Daily Data'!$AI$4:$AI$503,'Daily Data'!$B$4:$B$503,$R64,'Daily Data'!$A$4:$A$503,$C$7)))</f>
        <v/>
      </c>
      <c r="AC64" s="339" t="str" cm="1">
        <f t="array" ref="AC64">IF($R64="","",IF(UPPER(INDEX(Symbols!$F$4:$F$43,ROW()-24))="YES","YES","NO"))</f>
        <v/>
      </c>
      <c r="AD64" s="339" t="str">
        <f>IF($R64="","",IF(ROUND(Settings!$C$65+Settings!$C$66,6)&lt;&gt;1,"NO",IF($AC64&lt;&gt;"YES","NO",IF(AND(UPPER(Settings!$C$105)="YES",$AP64="YES"),"NO",IF(NOT(ISNUMBER($U64)),"NO",IF(NOT(ISNUMBER($W64)),"NO",IF($C$7="","NO",IF($C$6-$C$7&gt;Settings!$C$70,"NO",IF(AND(ISNUMBER($AO64),$AO64&gt;Settings!$C$104),"NO",IF(N($AB64)&lt;Settings!$C$71,"NO",IF(N($AA64)&lt;Settings!$C$72,"NO","YES")))))))))))</f>
        <v/>
      </c>
      <c r="AE64" s="339" t="str">
        <f>IF($R64="","",IF($AD64="YES","",IF(ROUND(Settings!$C$65+Settings!$C$66,6)&lt;&gt;1,"Ranking weights do not total 100%",IF($AC64&lt;&gt;"YES","Security is not active",IF(AND(UPPER(Settings!$C$105)="YES",$AP64="YES"),"Cross-listed security, excluded by Settings!C105",IF(NOT(ISNUMBER($U64)),"Missing fundamental data",IF(NOT(ISNUMBER($W64)),"No market observation on the date used",IF($C$7="","No market data available",IF($C$6-$C$7&gt;Settings!$C$70,"Market data is stale",IF(AND(ISNUMBER($AO64),$AO64&gt;Settings!$C$104),"Fundamental statement is stale ("&amp;$AO64&amp;" months old)",IF(N($AB64)&lt;Settings!$C$71,"Data confidence below minimum","Liquidity below minimum")))))))))))</f>
        <v/>
      </c>
      <c r="AF64" s="340" t="str">
        <f>IF($AD64&lt;&gt;"YES","",ROUND($U64*RankingFundamentalWeight+$W64*RankingSentimentWeight,1))</f>
        <v/>
      </c>
      <c r="AG64" s="339" t="str">
        <f>IF($AD64&lt;&gt;"YES","",$AF64+$U64/10000+$W64/100000000+N($AB64)/1000000000000)</f>
        <v/>
      </c>
      <c r="AH64" s="343" t="str" cm="1">
        <f t="array" ref="AH64">IF(OR($AD64&lt;&gt;"YES",$AI64&lt;&gt;1),"",SUMPRODUCT(($AI$25:$AI$64=1)*($AD$25:$AD$64="YES")*($AG$25:$AG$64&gt;$AG64))+SUMPRODUCT(($AI$25:$AI$64=1)*($AD$25:$AD$64="YES")*($AG$25:$AG$64=$AG64)*($R$25:$R$64&lt;$R64))+1)</f>
        <v/>
      </c>
      <c r="AI64" s="339" t="str">
        <f>IF($R64="","",IF(AND(OR($A$22="",$T64=$A$22),OR($B$22="",$AL64=$B$22),OR($C$22="",$AM64=$C$22),OR($D$22="",AND(ISNUMBER($U64),N($U64)&gt;=$D$22)),OR($E$22="",AND(ISNUMBER($W64),N($W64)&gt;=$E$22)),OR($F$22="",AND(ISNUMBER($AF64),N($AF64)&gt;=$F$22)),OR($G$22="",N($AA64)&gt;=$G$22),OR($H$22="",N($AB64)&gt;=$H$22),OR(UPPER($I$22)&lt;&gt;"YES",$AC64="YES"),OR(UPPER($J$22)&lt;&gt;"YES",$AD64="YES")),1,0))</f>
        <v/>
      </c>
      <c r="AJ64" s="339" t="str">
        <f>IF(OR($R64="",$C$11=""),"",IF(COUNTIFS('Ranking History'!$B$5:$B$2000,$R64,'Ranking History'!$A$5:$A$2000,$C$11)=0,"",SUMIFS('Ranking History'!$C$5:$C$2000,'Ranking History'!$B$5:$B$2000,$R64,'Ranking History'!$A$5:$A$2000,$C$11)))</f>
        <v/>
      </c>
      <c r="AK64" s="339" t="str">
        <f>IF(OR($AJ64="",$AH64=""),"",$AJ64-$AH64)</f>
        <v/>
      </c>
      <c r="AL64" s="339" t="str">
        <f>IF($AF64="","",IF($AF64&gt;=Settings!$C$76,"BORA SANA",IF($AF64&gt;=Settings!$C$77,"NZURI SANA",IF($AF64&gt;=Settings!$C$78,"NZURI",IF($AF64&gt;=Settings!$C$79,"WASTANI",IF($AF64&gt;=Settings!$C$80,"DHAIFU","DHAIFU SANA"))))))</f>
        <v/>
      </c>
      <c r="AM64" s="339" t="str">
        <f>IF(NOT(ISNUMBER($W64)),"",IF($W64&gt;=Settings!$C$82,"Demand kubwa sana",IF($W64&gt;=Settings!$C$83,"Demand kubwa",IF($W64&gt;=Settings!$C$84,"Demand ya wastani","Demand ndogo sana"))))</f>
        <v/>
      </c>
      <c r="AN64" s="339" t="str">
        <f>IF($R64="","",IF(OR(NOT(ISNUMBER($U64)),NOT(ISNUMBER($W64))),"INCOMPLETE DATA",IF($U64&lt;Settings!$C$88,"Epuka : ubora dhaifu",IF(AND($U64&gt;=Settings!$C$86,$W64&gt;=Settings!$C$87),"Nunua : ubora na mwelekeo vinaungana",IF($U64&gt;=Settings!$C$86,"Fuatilia : ubora mzuri, mwelekeo bado haujathibitisha",IF($W64&gt;=Settings!$C$89,"Fuatilia : ubora wa wastani","Fuatilia : ubora wa wastani, mwelekeo bado dhaifu"))))))</f>
        <v/>
      </c>
      <c r="AO64" s="339" t="str">
        <f>IF($R64="","",IF(COUNTIFS('Fundamental Scorecard'!$A$5:$A$44,$R64,'Fundamental Scorecard'!$AE$5:$AE$44,"&gt;=-1E+300")=0,"",SUMIFS('Fundamental Scorecard'!$AE$5:$AE$44,'Fundamental Scorecard'!$A$5:$A$44,$R64)))</f>
        <v/>
      </c>
      <c r="AP64" s="339" t="str" cm="1">
        <f t="array" ref="AP64">IF($R64="","",IF(ISNUMBER(SEARCH("cross-listed",INDEX(Symbols!$C$4:$C$43,ROW()-24))),"YES","NO"))</f>
        <v/>
      </c>
    </row>
    <row r="67" spans="1:19" ht="30" customHeight="1" x14ac:dyDescent="0.3">
      <c r="A67" s="346" t="s">
        <v>1249</v>
      </c>
      <c r="B67" s="159"/>
      <c r="C67" s="159"/>
      <c r="D67" s="159"/>
      <c r="E67" s="159"/>
      <c r="F67" s="159"/>
      <c r="G67" s="159"/>
      <c r="H67" s="159"/>
      <c r="I67" s="159"/>
      <c r="J67" s="159"/>
      <c r="K67" s="159"/>
      <c r="L67" s="159"/>
      <c r="M67" s="159"/>
      <c r="N67" s="159"/>
      <c r="O67" s="159"/>
      <c r="P67" s="159"/>
      <c r="R67" s="118" t="s">
        <v>1185</v>
      </c>
      <c r="S67" s="118" t="s">
        <v>1269</v>
      </c>
    </row>
    <row r="68" spans="1:19" ht="36" customHeight="1" x14ac:dyDescent="0.3">
      <c r="A68" s="347" t="s">
        <v>1226</v>
      </c>
      <c r="B68" s="347" t="s">
        <v>1228</v>
      </c>
      <c r="C68" s="347" t="s">
        <v>1250</v>
      </c>
      <c r="D68" s="347" t="s">
        <v>1251</v>
      </c>
      <c r="E68" s="347" t="s">
        <v>1252</v>
      </c>
      <c r="F68" s="347" t="s">
        <v>1253</v>
      </c>
      <c r="G68" s="347" t="s">
        <v>1254</v>
      </c>
      <c r="H68" s="347" t="s">
        <v>1255</v>
      </c>
      <c r="I68" s="347" t="s">
        <v>1256</v>
      </c>
      <c r="R68" s="116" t="str">
        <f ca="1">IF(OR($B25="",NOT(ISNUMBER($G25))),NA(),$B25)</f>
        <v>DSE</v>
      </c>
      <c r="S68" s="116">
        <f ca="1">IF(OR($B25="",NOT(ISNUMBER($G25))),NA(),$G25)</f>
        <v>86.7</v>
      </c>
    </row>
    <row r="69" spans="1:19" ht="41.4" x14ac:dyDescent="0.3">
      <c r="A69" s="348">
        <v>85.1</v>
      </c>
      <c r="B69" s="348">
        <v>86</v>
      </c>
      <c r="C69" s="349">
        <f>ROUND($A69*RankingFundamentalWeight+$B69*RankingSentimentWeight,1)</f>
        <v>85.4</v>
      </c>
      <c r="D69" s="349">
        <v>85.4</v>
      </c>
      <c r="E69" s="350" t="str">
        <f>IF($C69&gt;=Settings!$C$76,"BORA SANA",IF($C69&gt;=Settings!$C$77,"NZURI SANA",IF($C69&gt;=Settings!$C$78,"NZURI",IF($C69&gt;=Settings!$C$79,"WASTANI",IF($C69&gt;=Settings!$C$80,"DHAIFU","DHAIFU SANA")))))</f>
        <v>BORA SANA</v>
      </c>
      <c r="F69" s="350" t="s">
        <v>1257</v>
      </c>
      <c r="G69" s="351" t="str">
        <f>IF($A69&lt;Settings!$C$88,"Epuka : ubora dhaifu",IF(AND($A69&gt;=Settings!$C$86,$B69&gt;=Settings!$C$87),"Nunua : ubora na mwelekeo vinaungana",IF($A69&gt;=Settings!$C$86,"Fuatilia : ubora mzuri, mwelekeo bado haujathibitisha",IF($B69&gt;=Settings!$C$89,"Fuatilia : ubora wa wastani","Fuatilia : ubora wa wastani, mwelekeo bado dhaifu"))))</f>
        <v>Nunua : ubora na mwelekeo vinaungana</v>
      </c>
      <c r="H69" s="351" t="s">
        <v>1258</v>
      </c>
      <c r="I69" s="350" t="str">
        <f>IF(AND(ROUND($C69,1)=ROUND($D69,1),$E69=$F69,$G69=$H69),"PASS","FAIL")</f>
        <v>PASS</v>
      </c>
      <c r="R69" s="116" t="str">
        <f ca="1">IF(OR($B26="",NOT(ISNUMBER($G26))),NA(),$B26)</f>
        <v>NICO</v>
      </c>
      <c r="S69" s="116">
        <f ca="1">IF(OR($B26="",NOT(ISNUMBER($G26))),NA(),$G26)</f>
        <v>82.7</v>
      </c>
    </row>
    <row r="70" spans="1:19" ht="41.4" x14ac:dyDescent="0.3">
      <c r="A70" s="348">
        <v>78.400000000000006</v>
      </c>
      <c r="B70" s="348">
        <v>80</v>
      </c>
      <c r="C70" s="349">
        <f>ROUND($A70*RankingFundamentalWeight+$B70*RankingSentimentWeight,1)</f>
        <v>78.900000000000006</v>
      </c>
      <c r="D70" s="349">
        <v>78.900000000000006</v>
      </c>
      <c r="E70" s="350" t="str">
        <f>IF($C70&gt;=Settings!$C$76,"BORA SANA",IF($C70&gt;=Settings!$C$77,"NZURI SANA",IF($C70&gt;=Settings!$C$78,"NZURI",IF($C70&gt;=Settings!$C$79,"WASTANI",IF($C70&gt;=Settings!$C$80,"DHAIFU","DHAIFU SANA")))))</f>
        <v>NZURI SANA</v>
      </c>
      <c r="F70" s="350" t="s">
        <v>1259</v>
      </c>
      <c r="G70" s="351" t="str">
        <f>IF($A70&lt;Settings!$C$88,"Epuka : ubora dhaifu",IF(AND($A70&gt;=Settings!$C$86,$B70&gt;=Settings!$C$87),"Nunua : ubora na mwelekeo vinaungana",IF($A70&gt;=Settings!$C$86,"Fuatilia : ubora mzuri, mwelekeo bado haujathibitisha",IF($B70&gt;=Settings!$C$89,"Fuatilia : ubora wa wastani","Fuatilia : ubora wa wastani, mwelekeo bado dhaifu"))))</f>
        <v>Nunua : ubora na mwelekeo vinaungana</v>
      </c>
      <c r="H70" s="351" t="s">
        <v>1258</v>
      </c>
      <c r="I70" s="350" t="str">
        <f>IF(AND(ROUND($C70,1)=ROUND($D70,1),$E70=$F70,$G70=$H70),"PASS","FAIL")</f>
        <v>PASS</v>
      </c>
      <c r="R70" s="116" t="str">
        <f ca="1">IF(OR($B27="",NOT(ISNUMBER($G27))),NA(),$B27)</f>
        <v>NMB</v>
      </c>
      <c r="S70" s="116">
        <f ca="1">IF(OR($B27="",NOT(ISNUMBER($G27))),NA(),$G27)</f>
        <v>79</v>
      </c>
    </row>
    <row r="71" spans="1:19" ht="41.4" x14ac:dyDescent="0.3">
      <c r="A71" s="348">
        <v>74.8</v>
      </c>
      <c r="B71" s="348">
        <v>86</v>
      </c>
      <c r="C71" s="349">
        <f>ROUND($A71*RankingFundamentalWeight+$B71*RankingSentimentWeight,1)</f>
        <v>78.2</v>
      </c>
      <c r="D71" s="349">
        <v>78.2</v>
      </c>
      <c r="E71" s="350" t="str">
        <f>IF($C71&gt;=Settings!$C$76,"BORA SANA",IF($C71&gt;=Settings!$C$77,"NZURI SANA",IF($C71&gt;=Settings!$C$78,"NZURI",IF($C71&gt;=Settings!$C$79,"WASTANI",IF($C71&gt;=Settings!$C$80,"DHAIFU","DHAIFU SANA")))))</f>
        <v>NZURI SANA</v>
      </c>
      <c r="F71" s="350" t="s">
        <v>1259</v>
      </c>
      <c r="G71" s="351" t="str">
        <f>IF($A71&lt;Settings!$C$88,"Epuka : ubora dhaifu",IF(AND($A71&gt;=Settings!$C$86,$B71&gt;=Settings!$C$87),"Nunua : ubora na mwelekeo vinaungana",IF($A71&gt;=Settings!$C$86,"Fuatilia : ubora mzuri, mwelekeo bado haujathibitisha",IF($B71&gt;=Settings!$C$89,"Fuatilia : ubora wa wastani","Fuatilia : ubora wa wastani, mwelekeo bado dhaifu"))))</f>
        <v>Nunua : ubora na mwelekeo vinaungana</v>
      </c>
      <c r="H71" s="351" t="s">
        <v>1258</v>
      </c>
      <c r="I71" s="350" t="str">
        <f>IF(AND(ROUND($C71,1)=ROUND($D71,1),$E71=$F71,$G71=$H71),"PASS","FAIL")</f>
        <v>PASS</v>
      </c>
      <c r="R71" s="116" t="str">
        <f ca="1">IF(OR($B28="",NOT(ISNUMBER($G28))),NA(),$B28)</f>
        <v>CRDB</v>
      </c>
      <c r="S71" s="116">
        <f ca="1">IF(OR($B28="",NOT(ISNUMBER($G28))),NA(),$G28)</f>
        <v>78.099999999999994</v>
      </c>
    </row>
    <row r="72" spans="1:19" ht="27.6" x14ac:dyDescent="0.3">
      <c r="A72" s="348">
        <v>69.599999999999994</v>
      </c>
      <c r="B72" s="348">
        <v>86</v>
      </c>
      <c r="C72" s="349">
        <f>ROUND($A72*RankingFundamentalWeight+$B72*RankingSentimentWeight,1)</f>
        <v>74.5</v>
      </c>
      <c r="D72" s="349">
        <v>74.5</v>
      </c>
      <c r="E72" s="350" t="str">
        <f>IF($C72&gt;=Settings!$C$76,"BORA SANA",IF($C72&gt;=Settings!$C$77,"NZURI SANA",IF($C72&gt;=Settings!$C$78,"NZURI",IF($C72&gt;=Settings!$C$79,"WASTANI",IF($C72&gt;=Settings!$C$80,"DHAIFU","DHAIFU SANA")))))</f>
        <v>NZURI SANA</v>
      </c>
      <c r="F72" s="350" t="s">
        <v>1259</v>
      </c>
      <c r="G72" s="351" t="str">
        <f>IF($A72&lt;Settings!$C$88,"Epuka : ubora dhaifu",IF(AND($A72&gt;=Settings!$C$86,$B72&gt;=Settings!$C$87),"Nunua : ubora na mwelekeo vinaungana",IF($A72&gt;=Settings!$C$86,"Fuatilia : ubora mzuri, mwelekeo bado haujathibitisha",IF($B72&gt;=Settings!$C$89,"Fuatilia : ubora wa wastani","Fuatilia : ubora wa wastani, mwelekeo bado dhaifu"))))</f>
        <v>Fuatilia : ubora wa wastani</v>
      </c>
      <c r="H72" s="351" t="s">
        <v>1260</v>
      </c>
      <c r="I72" s="350" t="str">
        <f>IF(AND(ROUND($C72,1)=ROUND($D72,1),$E72=$F72,$G72=$H72),"PASS","FAIL")</f>
        <v>PASS</v>
      </c>
      <c r="R72" s="116" t="str">
        <f ca="1">IF(OR($B29="",NOT(ISNUMBER($G29))),NA(),$B29)</f>
        <v>TCCL</v>
      </c>
      <c r="S72" s="116">
        <f ca="1">IF(OR($B29="",NOT(ISNUMBER($G29))),NA(),$G29)</f>
        <v>73.3</v>
      </c>
    </row>
    <row r="73" spans="1:19" x14ac:dyDescent="0.3">
      <c r="A73" s="348">
        <v>45.7</v>
      </c>
      <c r="B73" s="348">
        <v>87</v>
      </c>
      <c r="C73" s="349">
        <f>ROUND($A73*RankingFundamentalWeight+$B73*RankingSentimentWeight,1)</f>
        <v>58.1</v>
      </c>
      <c r="D73" s="349">
        <v>58.1</v>
      </c>
      <c r="E73" s="350" t="str">
        <f>IF($C73&gt;=Settings!$C$76,"BORA SANA",IF($C73&gt;=Settings!$C$77,"NZURI SANA",IF($C73&gt;=Settings!$C$78,"NZURI",IF($C73&gt;=Settings!$C$79,"WASTANI",IF($C73&gt;=Settings!$C$80,"DHAIFU","DHAIFU SANA")))))</f>
        <v>WASTANI</v>
      </c>
      <c r="F73" s="350" t="s">
        <v>1261</v>
      </c>
      <c r="G73" s="351" t="str">
        <f>IF($A73&lt;Settings!$C$88,"Epuka : ubora dhaifu",IF(AND($A73&gt;=Settings!$C$86,$B73&gt;=Settings!$C$87),"Nunua : ubora na mwelekeo vinaungana",IF($A73&gt;=Settings!$C$86,"Fuatilia : ubora mzuri, mwelekeo bado haujathibitisha",IF($B73&gt;=Settings!$C$89,"Fuatilia : ubora wa wastani","Fuatilia : ubora wa wastani, mwelekeo bado dhaifu"))))</f>
        <v>Epuka : ubora dhaifu</v>
      </c>
      <c r="H73" s="351" t="s">
        <v>1262</v>
      </c>
      <c r="I73" s="350" t="str">
        <f>IF(AND(ROUND($C73,1)=ROUND($D73,1),$E73=$F73,$G73=$H73),"PASS","FAIL")</f>
        <v>PASS</v>
      </c>
      <c r="R73" s="116" t="str">
        <f ca="1">IF(OR($B30="",NOT(ISNUMBER($G30))),NA(),$B30)</f>
        <v>TPCC</v>
      </c>
      <c r="S73" s="116">
        <f ca="1">IF(OR($B30="",NOT(ISNUMBER($G30))),NA(),$G30)</f>
        <v>73.3</v>
      </c>
    </row>
    <row r="74" spans="1:19" x14ac:dyDescent="0.3">
      <c r="A74" s="352">
        <v>14</v>
      </c>
      <c r="B74" s="352">
        <v>93</v>
      </c>
      <c r="C74" s="353">
        <f>ROUND($A74*RankingFundamentalWeight+$B74*RankingSentimentWeight,1)</f>
        <v>37.700000000000003</v>
      </c>
      <c r="D74" s="353">
        <v>37.700000000000003</v>
      </c>
      <c r="E74" s="354" t="str">
        <f>IF($C74&gt;=Settings!$C$76,"BORA SANA",IF($C74&gt;=Settings!$C$77,"NZURI SANA",IF($C74&gt;=Settings!$C$78,"NZURI",IF($C74&gt;=Settings!$C$79,"WASTANI",IF($C74&gt;=Settings!$C$80,"DHAIFU","DHAIFU SANA")))))</f>
        <v>DHAIFU SANA</v>
      </c>
      <c r="F74" s="354" t="s">
        <v>1263</v>
      </c>
      <c r="G74" s="355" t="str">
        <f>IF($A74&lt;Settings!$C$88,"Epuka : ubora dhaifu",IF(AND($A74&gt;=Settings!$C$86,$B74&gt;=Settings!$C$87),"Nunua : ubora na mwelekeo vinaungana",IF($A74&gt;=Settings!$C$86,"Fuatilia : ubora mzuri, mwelekeo bado haujathibitisha",IF($B74&gt;=Settings!$C$89,"Fuatilia : ubora wa wastani","Fuatilia : ubora wa wastani, mwelekeo bado dhaifu"))))</f>
        <v>Epuka : ubora dhaifu</v>
      </c>
      <c r="H74" s="355" t="s">
        <v>1262</v>
      </c>
      <c r="I74" s="354" t="str">
        <f>IF(AND(ROUND($C74,1)=ROUND($D74,1),$E74=$F74,$G74=$H74),"PASS","FAIL")</f>
        <v>PASS</v>
      </c>
      <c r="R74" s="116" t="str">
        <f ca="1">IF(OR($B31="",NOT(ISNUMBER($G31))),NA(),$B31)</f>
        <v>TCC</v>
      </c>
      <c r="S74" s="116">
        <f ca="1">IF(OR($B31="",NOT(ISNUMBER($G31))),NA(),$G31)</f>
        <v>72.3</v>
      </c>
    </row>
    <row r="75" spans="1:19" x14ac:dyDescent="0.3">
      <c r="R75" s="116" t="str">
        <f ca="1">IF(OR($B32="",NOT(ISNUMBER($G32))),NA(),$B32)</f>
        <v>AFRIPRISE</v>
      </c>
      <c r="S75" s="116">
        <f ca="1">IF(OR($B32="",NOT(ISNUMBER($G32))),NA(),$G32)</f>
        <v>69.900000000000006</v>
      </c>
    </row>
    <row r="76" spans="1:19" x14ac:dyDescent="0.3">
      <c r="A76" s="207" t="str">
        <f>"TEST SUMMARY:  "&amp;COUNTIF($I$69:$I$74,"PASS")&amp;" of "&amp;COUNTA($I$69:$I$74)&amp;" fixtures passing"&amp;IF(COUNTIF($I$69:$I$74,"FAIL")&gt;0,"  —  ENGINE FAILURE, DO NOT TRUST THE RANKING","  —  engine verified")</f>
        <v>TEST SUMMARY:  6 of 6 fixtures passing  —  engine verified</v>
      </c>
      <c r="B76" s="159"/>
      <c r="C76" s="159"/>
      <c r="D76" s="159"/>
      <c r="E76" s="159"/>
      <c r="F76" s="159"/>
      <c r="G76" s="159"/>
      <c r="H76" s="159"/>
      <c r="I76" s="159"/>
      <c r="R76" s="116" t="str">
        <f ca="1">IF(OR($B33="",NOT(ISNUMBER($G33))),NA(),$B33)</f>
        <v>MBP</v>
      </c>
      <c r="S76" s="116">
        <f ca="1">IF(OR($B33="",NOT(ISNUMBER($G33))),NA(),$G33)</f>
        <v>68</v>
      </c>
    </row>
    <row r="77" spans="1:19" x14ac:dyDescent="0.3">
      <c r="R77" s="116" t="str">
        <f ca="1">IF(OR($B34="",NOT(ISNUMBER($G34))),NA(),$B34)</f>
        <v>MKCB</v>
      </c>
      <c r="S77" s="116">
        <f ca="1">IF(OR($B34="",NOT(ISNUMBER($G34))),NA(),$G34)</f>
        <v>67.599999999999994</v>
      </c>
    </row>
    <row r="79" spans="1:19" x14ac:dyDescent="0.3">
      <c r="A79" s="86" t="s">
        <v>1376</v>
      </c>
    </row>
    <row r="80" spans="1:19" x14ac:dyDescent="0.3">
      <c r="A80" s="382" t="s">
        <v>1257</v>
      </c>
      <c r="B80" s="383" t="s">
        <v>1259</v>
      </c>
      <c r="C80" s="384" t="s">
        <v>1377</v>
      </c>
      <c r="D80" s="385" t="s">
        <v>1261</v>
      </c>
      <c r="E80" s="386" t="s">
        <v>1378</v>
      </c>
      <c r="F80" s="387" t="s">
        <v>1263</v>
      </c>
    </row>
    <row r="81" spans="1:8" x14ac:dyDescent="0.3">
      <c r="A81" s="388" t="s">
        <v>1379</v>
      </c>
      <c r="B81" s="159"/>
      <c r="C81" s="159"/>
      <c r="D81" s="159"/>
      <c r="E81" s="159"/>
      <c r="F81" s="159"/>
      <c r="G81" s="159"/>
      <c r="H81" s="159"/>
    </row>
    <row r="82" spans="1:8" x14ac:dyDescent="0.3">
      <c r="A82" s="388" t="s">
        <v>1411</v>
      </c>
      <c r="B82" s="159"/>
      <c r="C82" s="159"/>
      <c r="D82" s="159"/>
      <c r="E82" s="159"/>
      <c r="F82" s="159"/>
      <c r="G82" s="159"/>
      <c r="H82" s="159"/>
    </row>
  </sheetData>
  <sheetProtection algorithmName="SHA-512" hashValue="gmM1HEB+JPY/kMWHaE1WoEDDIntt+7xfc8/TePqZ3Ftf4DLEUG1/o/wZVwTVsV8p1i9RBIUPyqgfpibL0rRSuw==" saltValue="fjx6B1aEk81p/jLnm+GqzQ==" spinCount="100000" sheet="1" objects="1" scenarios="1" sort="0" autoFilter="0"/>
  <mergeCells count="12">
    <mergeCell ref="A67:P67"/>
    <mergeCell ref="A76:I76"/>
    <mergeCell ref="A5:F5"/>
    <mergeCell ref="A81:H81"/>
    <mergeCell ref="A82:H82"/>
    <mergeCell ref="A3:F3"/>
    <mergeCell ref="A10:F10"/>
    <mergeCell ref="A20:J20"/>
    <mergeCell ref="A13:F13"/>
    <mergeCell ref="D14:F14"/>
    <mergeCell ref="D16:F16"/>
    <mergeCell ref="B17:F17"/>
  </mergeCells>
  <conditionalFormatting sqref="I69:I74">
    <cfRule type="containsText" dxfId="73" priority="1" operator="containsText" text="PASS">
      <formula>NOT(ISERROR(SEARCH("PASS",I69)))</formula>
    </cfRule>
  </conditionalFormatting>
  <conditionalFormatting sqref="I69:I74">
    <cfRule type="containsText" dxfId="72" priority="2" operator="containsText" text="FAIL">
      <formula>NOT(ISERROR(SEARCH("FAIL",I69)))</formula>
    </cfRule>
  </conditionalFormatting>
  <conditionalFormatting sqref="A76">
    <cfRule type="containsText" dxfId="71" priority="3" operator="containsText" text="ENGINE FAILURE">
      <formula>NOT(ISERROR(SEARCH("ENGINE FAILURE",A76)))</formula>
    </cfRule>
  </conditionalFormatting>
  <conditionalFormatting sqref="A76">
    <cfRule type="containsText" dxfId="70" priority="4" operator="containsText" text="verified">
      <formula>NOT(ISERROR(SEARCH("verified",A76)))</formula>
    </cfRule>
  </conditionalFormatting>
  <conditionalFormatting sqref="L25:L64">
    <cfRule type="colorScale" priority="8">
      <colorScale>
        <cfvo type="num" val="0"/>
        <cfvo type="num" val="50"/>
        <cfvo type="num" val="100"/>
        <color rgb="FFF8CBAD"/>
        <color rgb="FFFFE699"/>
        <color rgb="FFC6E0B4"/>
      </colorScale>
    </cfRule>
  </conditionalFormatting>
  <conditionalFormatting sqref="H25:H64">
    <cfRule type="containsText" dxfId="34" priority="12" operator="containsText" text="DHAIFU SANA">
      <formula>NOT(ISERROR(SEARCH("DHAIFU SANA",H25)))</formula>
    </cfRule>
  </conditionalFormatting>
  <conditionalFormatting sqref="H25:H64">
    <cfRule type="containsText" dxfId="33" priority="13" operator="containsText" text="BORA SANA">
      <formula>NOT(ISERROR(SEARCH("BORA SANA",H25)))</formula>
    </cfRule>
  </conditionalFormatting>
  <conditionalFormatting sqref="H25:H64">
    <cfRule type="containsText" dxfId="32" priority="14" operator="containsText" text="NZURI SANA">
      <formula>NOT(ISERROR(SEARCH("NZURI SANA",H25)))</formula>
    </cfRule>
  </conditionalFormatting>
  <conditionalFormatting sqref="H25:H64">
    <cfRule type="containsText" dxfId="31" priority="15" operator="containsText" text="NZURI">
      <formula>NOT(ISERROR(SEARCH("NZURI",H25)))</formula>
    </cfRule>
  </conditionalFormatting>
  <conditionalFormatting sqref="H25:H64">
    <cfRule type="containsText" dxfId="30" priority="16" operator="containsText" text="WASTANI">
      <formula>NOT(ISERROR(SEARCH("WASTANI",H25)))</formula>
    </cfRule>
  </conditionalFormatting>
  <conditionalFormatting sqref="H25:H64">
    <cfRule type="containsText" dxfId="29" priority="17" operator="containsText" text="DHAIFU">
      <formula>NOT(ISERROR(SEARCH("DHAIFU",H25)))</formula>
    </cfRule>
  </conditionalFormatting>
  <conditionalFormatting sqref="B16">
    <cfRule type="containsText" dxfId="28" priority="18" operator="containsText" text="DHAIFU SANA">
      <formula>NOT(ISERROR(SEARCH("DHAIFU SANA",B16)))</formula>
    </cfRule>
  </conditionalFormatting>
  <conditionalFormatting sqref="B16">
    <cfRule type="containsText" dxfId="27" priority="19" operator="containsText" text="BORA SANA">
      <formula>NOT(ISERROR(SEARCH("BORA SANA",B16)))</formula>
    </cfRule>
  </conditionalFormatting>
  <conditionalFormatting sqref="B16">
    <cfRule type="containsText" dxfId="26" priority="20" operator="containsText" text="NZURI SANA">
      <formula>NOT(ISERROR(SEARCH("NZURI SANA",B16)))</formula>
    </cfRule>
  </conditionalFormatting>
  <conditionalFormatting sqref="B16">
    <cfRule type="containsText" dxfId="25" priority="21" operator="containsText" text="NZURI">
      <formula>NOT(ISERROR(SEARCH("NZURI",B16)))</formula>
    </cfRule>
  </conditionalFormatting>
  <conditionalFormatting sqref="B16">
    <cfRule type="containsText" dxfId="24" priority="22" operator="containsText" text="WASTANI">
      <formula>NOT(ISERROR(SEARCH("WASTANI",B16)))</formula>
    </cfRule>
  </conditionalFormatting>
  <conditionalFormatting sqref="B16">
    <cfRule type="containsText" dxfId="23" priority="23" operator="containsText" text="DHAIFU">
      <formula>NOT(ISERROR(SEARCH("DHAIFU",B16)))</formula>
    </cfRule>
  </conditionalFormatting>
  <conditionalFormatting sqref="I25:I64">
    <cfRule type="containsText" dxfId="22" priority="24" operator="containsText" text="Demand ndogo sana">
      <formula>NOT(ISERROR(SEARCH("Demand ndogo sana",I25)))</formula>
    </cfRule>
  </conditionalFormatting>
  <conditionalFormatting sqref="I25:I64">
    <cfRule type="containsText" dxfId="21" priority="25" operator="containsText" text="Demand kubwa sana">
      <formula>NOT(ISERROR(SEARCH("Demand kubwa sana",I25)))</formula>
    </cfRule>
  </conditionalFormatting>
  <conditionalFormatting sqref="I25:I64">
    <cfRule type="containsText" dxfId="20" priority="26" operator="containsText" text="Demand ya wastani">
      <formula>NOT(ISERROR(SEARCH("Demand ya wastani",I25)))</formula>
    </cfRule>
  </conditionalFormatting>
  <conditionalFormatting sqref="I25:I64">
    <cfRule type="containsText" dxfId="19" priority="27" operator="containsText" text="Demand kubwa">
      <formula>NOT(ISERROR(SEARCH("Demand kubwa",I25)))</formula>
    </cfRule>
  </conditionalFormatting>
  <conditionalFormatting sqref="D16">
    <cfRule type="containsText" dxfId="18" priority="28" operator="containsText" text="Demand ndogo sana">
      <formula>NOT(ISERROR(SEARCH("Demand ndogo sana",D16)))</formula>
    </cfRule>
  </conditionalFormatting>
  <conditionalFormatting sqref="D16">
    <cfRule type="containsText" dxfId="17" priority="29" operator="containsText" text="Demand kubwa sana">
      <formula>NOT(ISERROR(SEARCH("Demand kubwa sana",D16)))</formula>
    </cfRule>
  </conditionalFormatting>
  <conditionalFormatting sqref="D16">
    <cfRule type="containsText" dxfId="16" priority="30" operator="containsText" text="Demand ya wastani">
      <formula>NOT(ISERROR(SEARCH("Demand ya wastani",D16)))</formula>
    </cfRule>
  </conditionalFormatting>
  <conditionalFormatting sqref="D16">
    <cfRule type="containsText" dxfId="15" priority="31" operator="containsText" text="Demand kubwa">
      <formula>NOT(ISERROR(SEARCH("Demand kubwa",D16)))</formula>
    </cfRule>
  </conditionalFormatting>
  <conditionalFormatting sqref="J25:J64">
    <cfRule type="containsText" dxfId="14" priority="32" operator="containsText" text="Epuka">
      <formula>NOT(ISERROR(SEARCH("Epuka",J25)))</formula>
    </cfRule>
  </conditionalFormatting>
  <conditionalFormatting sqref="J25:J64">
    <cfRule type="containsText" dxfId="13" priority="33" operator="containsText" text="Nunua">
      <formula>NOT(ISERROR(SEARCH("Nunua",J25)))</formula>
    </cfRule>
  </conditionalFormatting>
  <conditionalFormatting sqref="J25:J64">
    <cfRule type="containsText" dxfId="12" priority="34" operator="containsText" text="Fuatilia">
      <formula>NOT(ISERROR(SEARCH("Fuatilia",J25)))</formula>
    </cfRule>
  </conditionalFormatting>
  <conditionalFormatting sqref="J25:J64">
    <cfRule type="containsText" dxfId="11" priority="35" operator="containsText" text="INCOMPLETE">
      <formula>NOT(ISERROR(SEARCH("INCOMPLETE",J25)))</formula>
    </cfRule>
  </conditionalFormatting>
  <conditionalFormatting sqref="J25:J64">
    <cfRule type="containsText" dxfId="10" priority="36" operator="containsText" text="No security is ranking-eligible">
      <formula>NOT(ISERROR(SEARCH("No security is ranking-eligible",J25)))</formula>
    </cfRule>
  </conditionalFormatting>
  <conditionalFormatting sqref="B17">
    <cfRule type="containsText" dxfId="9" priority="37" operator="containsText" text="Epuka">
      <formula>NOT(ISERROR(SEARCH("Epuka",B17)))</formula>
    </cfRule>
  </conditionalFormatting>
  <conditionalFormatting sqref="B17">
    <cfRule type="containsText" dxfId="8" priority="38" operator="containsText" text="Nunua">
      <formula>NOT(ISERROR(SEARCH("Nunua",B17)))</formula>
    </cfRule>
  </conditionalFormatting>
  <conditionalFormatting sqref="B17">
    <cfRule type="containsText" dxfId="7" priority="39" operator="containsText" text="Fuatilia">
      <formula>NOT(ISERROR(SEARCH("Fuatilia",B17)))</formula>
    </cfRule>
  </conditionalFormatting>
  <conditionalFormatting sqref="B17">
    <cfRule type="containsText" dxfId="6" priority="40" operator="containsText" text="INCOMPLETE">
      <formula>NOT(ISERROR(SEARCH("INCOMPLETE",B17)))</formula>
    </cfRule>
  </conditionalFormatting>
  <conditionalFormatting sqref="B17">
    <cfRule type="containsText" dxfId="5" priority="41" operator="containsText" text="No security is ranking-eligible">
      <formula>NOT(ISERROR(SEARCH("No security is ranking-eligible",B17)))</formula>
    </cfRule>
  </conditionalFormatting>
  <conditionalFormatting sqref="K25:K64">
    <cfRule type="dataBar" priority="44">
      <dataBar>
        <cfvo type="min"/>
        <cfvo type="max"/>
        <color rgb="FF8FAAC9"/>
      </dataBar>
      <extLst>
        <ext xmlns:x14="http://schemas.microsoft.com/office/spreadsheetml/2009/9/main" uri="{B025F937-C7B1-47D3-B67F-A62EFF666E3E}">
          <x14:id>{53EEAB4A-FB79-4272-A0A6-AE6621AB227E}</x14:id>
        </ext>
      </extLst>
    </cfRule>
  </conditionalFormatting>
  <conditionalFormatting sqref="P25:P64">
    <cfRule type="containsText" dxfId="2" priority="45" operator="containsText" text="▲">
      <formula>NOT(ISERROR(SEARCH("▲",P25)))</formula>
    </cfRule>
  </conditionalFormatting>
  <conditionalFormatting sqref="P25:P64">
    <cfRule type="containsText" dxfId="1" priority="46" operator="containsText" text="▼">
      <formula>NOT(ISERROR(SEARCH("▼",P25)))</formula>
    </cfRule>
  </conditionalFormatting>
  <conditionalFormatting sqref="E25:E64">
    <cfRule type="colorScale" priority="53">
      <colorScale>
        <cfvo type="num" val="40"/>
        <cfvo type="num" val="60"/>
        <cfvo type="num" val="80"/>
        <color rgb="FFF8696B"/>
        <color rgb="FFFFEB84"/>
        <color rgb="FF63BE7B"/>
      </colorScale>
    </cfRule>
  </conditionalFormatting>
  <conditionalFormatting sqref="F25:F64">
    <cfRule type="colorScale" priority="54">
      <colorScale>
        <cfvo type="num" val="40"/>
        <cfvo type="num" val="60"/>
        <cfvo type="num" val="80"/>
        <color rgb="FFF8696B"/>
        <color rgb="FFFFEB84"/>
        <color rgb="FF63BE7B"/>
      </colorScale>
    </cfRule>
  </conditionalFormatting>
  <conditionalFormatting sqref="G25:G64">
    <cfRule type="colorScale" priority="55">
      <colorScale>
        <cfvo type="num" val="40"/>
        <cfvo type="num" val="60"/>
        <cfvo type="num" val="80"/>
        <color rgb="FFF8696B"/>
        <color rgb="FFFFEB84"/>
        <color rgb="FF63BE7B"/>
      </colorScale>
    </cfRule>
  </conditionalFormatting>
  <conditionalFormatting sqref="B15">
    <cfRule type="colorScale" priority="56">
      <colorScale>
        <cfvo type="num" val="40"/>
        <cfvo type="num" val="60"/>
        <cfvo type="num" val="80"/>
        <color rgb="FFF8696B"/>
        <color rgb="FFFFEB84"/>
        <color rgb="FF63BE7B"/>
      </colorScale>
    </cfRule>
  </conditionalFormatting>
  <conditionalFormatting sqref="D15">
    <cfRule type="colorScale" priority="57">
      <colorScale>
        <cfvo type="num" val="40"/>
        <cfvo type="num" val="60"/>
        <cfvo type="num" val="80"/>
        <color rgb="FFF8696B"/>
        <color rgb="FFFFEB84"/>
        <color rgb="FF63BE7B"/>
      </colorScale>
    </cfRule>
  </conditionalFormatting>
  <conditionalFormatting sqref="F15">
    <cfRule type="colorScale" priority="58">
      <colorScale>
        <cfvo type="num" val="40"/>
        <cfvo type="num" val="60"/>
        <cfvo type="num" val="80"/>
        <color rgb="FFF8696B"/>
        <color rgb="FFFFEB84"/>
        <color rgb="FF63BE7B"/>
      </colorScale>
    </cfRule>
  </conditionalFormatting>
  <dataValidations count="3">
    <dataValidation type="list" allowBlank="1" showInputMessage="1" showErrorMessage="1" sqref="B22" xr:uid="{B2C0A9DE-428B-4FF8-AB07-A57104D7E064}">
      <formula1>",BORA SANA,NZURI SANA,NZURI,WASTANI,DHAIFU,DHAIFU SANA"</formula1>
    </dataValidation>
    <dataValidation type="list" allowBlank="1" showInputMessage="1" showErrorMessage="1" sqref="C22" xr:uid="{33F82292-021D-4689-A581-EC62D0A36BBC}">
      <formula1>",Demand kubwa sana,Demand kubwa,Demand ya wastani,Demand ndogo sana"</formula1>
    </dataValidation>
    <dataValidation type="list" allowBlank="1" showInputMessage="1" showErrorMessage="1" sqref="I22" xr:uid="{6E85A95A-D6D7-4ABA-9D41-78E5911ABEC0}">
      <formula1>"YES,NO"</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ellIs" priority="42" operator="greaterThanOrEqual" id="{35E5F3D5-999D-4D8D-9668-E4DFBFB1436D}">
            <xm:f>Settings!$C$76</xm:f>
            <x14:dxf>
              <font>
                <b/>
                <i val="0"/>
                <color rgb="FF0B3D1C"/>
              </font>
            </x14:dxf>
          </x14:cfRule>
          <xm:sqref>G25:G64</xm:sqref>
        </x14:conditionalFormatting>
        <x14:conditionalFormatting xmlns:xm="http://schemas.microsoft.com/office/excel/2006/main">
          <x14:cfRule type="cellIs" priority="43" operator="lessThan" id="{409AC799-F78D-40E4-A5E7-CE2001CC34C6}">
            <xm:f>Settings!$C$80</xm:f>
            <x14:dxf>
              <font>
                <b/>
                <i val="0"/>
                <color rgb="FF9C0006"/>
              </font>
            </x14:dxf>
          </x14:cfRule>
          <xm:sqref>G25:G64</xm:sqref>
        </x14:conditionalFormatting>
        <x14:conditionalFormatting xmlns:xm="http://schemas.microsoft.com/office/excel/2006/main">
          <x14:cfRule type="dataBar" id="{53EEAB4A-FB79-4272-A0A6-AE6621AB227E}">
            <x14:dataBar minLength="0" maxLength="100" negativeBarColorSameAsPositive="1" axisPosition="none">
              <x14:cfvo type="min"/>
              <x14:cfvo type="max"/>
            </x14:dataBar>
          </x14:cfRule>
          <xm:sqref>K25:K64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D4DF-8E0C-46CF-B88A-BCD030546FC7}">
  <dimension ref="A1:L2000"/>
  <sheetViews>
    <sheetView workbookViewId="0">
      <pane ySplit="4" topLeftCell="A5" activePane="bottomLeft" state="frozen"/>
      <selection pane="bottomLeft"/>
    </sheetView>
  </sheetViews>
  <sheetFormatPr defaultRowHeight="14.4" x14ac:dyDescent="0.3"/>
  <cols>
    <col min="1" max="1" width="20.33203125" customWidth="1"/>
    <col min="2" max="2" width="17.5546875" customWidth="1"/>
    <col min="3" max="3" width="13" customWidth="1"/>
    <col min="4" max="9" width="20.33203125" customWidth="1"/>
    <col min="11" max="11" width="27.77734375" customWidth="1"/>
  </cols>
  <sheetData>
    <row r="1" spans="1:12" ht="21" x14ac:dyDescent="0.4">
      <c r="A1" s="14" t="s">
        <v>1264</v>
      </c>
    </row>
    <row r="2" spans="1:12" ht="31.95" customHeight="1" x14ac:dyDescent="0.3">
      <c r="A2" s="251" t="s">
        <v>1265</v>
      </c>
      <c r="B2" s="159"/>
      <c r="C2" s="159"/>
      <c r="D2" s="159"/>
      <c r="E2" s="159"/>
      <c r="F2" s="159"/>
      <c r="G2" s="159"/>
      <c r="H2" s="159"/>
      <c r="I2" s="159"/>
    </row>
    <row r="4" spans="1:12" ht="40.049999999999997" customHeight="1" x14ac:dyDescent="0.3">
      <c r="A4" s="21" t="s">
        <v>1266</v>
      </c>
      <c r="B4" s="21" t="s">
        <v>1185</v>
      </c>
      <c r="C4" s="21" t="s">
        <v>251</v>
      </c>
      <c r="D4" s="21" t="s">
        <v>1267</v>
      </c>
      <c r="E4" s="21" t="s">
        <v>1268</v>
      </c>
      <c r="F4" s="21" t="s">
        <v>1269</v>
      </c>
      <c r="G4" s="21" t="s">
        <v>1236</v>
      </c>
      <c r="H4" s="21" t="s">
        <v>230</v>
      </c>
      <c r="I4" s="21" t="s">
        <v>1270</v>
      </c>
      <c r="K4" s="21" t="s">
        <v>1271</v>
      </c>
      <c r="L4">
        <f>COUNTA($B$5:$B$2000)</f>
        <v>3</v>
      </c>
    </row>
    <row r="5" spans="1:12" x14ac:dyDescent="0.3">
      <c r="A5" s="356">
        <v>46248</v>
      </c>
      <c r="B5" s="278" t="s">
        <v>28</v>
      </c>
      <c r="C5" s="357">
        <v>1</v>
      </c>
      <c r="D5" s="358">
        <v>82.5</v>
      </c>
      <c r="E5" s="358">
        <v>70.900000000000006</v>
      </c>
      <c r="F5" s="358">
        <v>79</v>
      </c>
      <c r="G5" s="278" t="s">
        <v>1259</v>
      </c>
      <c r="H5" s="358">
        <v>75</v>
      </c>
      <c r="I5" s="278" t="s">
        <v>1161</v>
      </c>
      <c r="K5" s="32" t="s">
        <v>1272</v>
      </c>
      <c r="L5" cm="1">
        <f t="array" ref="L5">IFERROR(SUMPRODUCT(($A$5:$A$2000&lt;&gt;"")/COUNTIF($A$5:$A$2000,$A$5:$A$2000&amp;"")),0)</f>
        <v>1</v>
      </c>
    </row>
    <row r="6" spans="1:12" x14ac:dyDescent="0.3">
      <c r="A6" s="356">
        <v>46248</v>
      </c>
      <c r="B6" s="278" t="s">
        <v>23</v>
      </c>
      <c r="C6" s="357">
        <v>2</v>
      </c>
      <c r="D6" s="358">
        <v>81.3</v>
      </c>
      <c r="E6" s="358">
        <v>70.599999999999994</v>
      </c>
      <c r="F6" s="358">
        <v>78.099999999999994</v>
      </c>
      <c r="G6" s="278" t="s">
        <v>1259</v>
      </c>
      <c r="H6" s="358">
        <v>75</v>
      </c>
      <c r="I6" s="278" t="s">
        <v>1161</v>
      </c>
    </row>
    <row r="7" spans="1:12" x14ac:dyDescent="0.3">
      <c r="A7" s="356">
        <v>46248</v>
      </c>
      <c r="B7" s="278" t="s">
        <v>116</v>
      </c>
      <c r="C7" s="357">
        <v>3</v>
      </c>
      <c r="D7" s="358">
        <v>74.3</v>
      </c>
      <c r="E7" s="358">
        <v>70.900000000000006</v>
      </c>
      <c r="F7" s="358">
        <v>73.3</v>
      </c>
      <c r="G7" s="278" t="s">
        <v>1259</v>
      </c>
      <c r="H7" s="358">
        <v>75</v>
      </c>
      <c r="I7" s="278" t="s">
        <v>1161</v>
      </c>
    </row>
    <row r="8" spans="1:12" x14ac:dyDescent="0.3">
      <c r="A8" s="356"/>
      <c r="B8" s="278"/>
      <c r="C8" s="357"/>
      <c r="D8" s="358"/>
      <c r="E8" s="358"/>
      <c r="F8" s="358"/>
      <c r="G8" s="278"/>
      <c r="H8" s="358"/>
      <c r="I8" s="278"/>
    </row>
    <row r="9" spans="1:12" x14ac:dyDescent="0.3">
      <c r="A9" s="356"/>
      <c r="B9" s="278"/>
      <c r="C9" s="357"/>
      <c r="D9" s="358"/>
      <c r="E9" s="358"/>
      <c r="F9" s="358"/>
      <c r="G9" s="278"/>
      <c r="H9" s="358"/>
      <c r="I9" s="278"/>
    </row>
    <row r="10" spans="1:12" x14ac:dyDescent="0.3">
      <c r="A10" s="356"/>
      <c r="B10" s="278"/>
      <c r="C10" s="357"/>
      <c r="D10" s="358"/>
      <c r="E10" s="358"/>
      <c r="F10" s="358"/>
      <c r="G10" s="278"/>
      <c r="H10" s="358"/>
      <c r="I10" s="278"/>
    </row>
    <row r="11" spans="1:12" x14ac:dyDescent="0.3">
      <c r="A11" s="356"/>
      <c r="B11" s="278"/>
      <c r="C11" s="357"/>
      <c r="D11" s="358"/>
      <c r="E11" s="358"/>
      <c r="F11" s="358"/>
      <c r="G11" s="278"/>
      <c r="H11" s="358"/>
      <c r="I11" s="278"/>
    </row>
    <row r="12" spans="1:12" x14ac:dyDescent="0.3">
      <c r="A12" s="356"/>
      <c r="B12" s="278"/>
      <c r="C12" s="357"/>
      <c r="D12" s="358"/>
      <c r="E12" s="358"/>
      <c r="F12" s="358"/>
      <c r="G12" s="278"/>
      <c r="H12" s="358"/>
      <c r="I12" s="278"/>
    </row>
    <row r="13" spans="1:12" x14ac:dyDescent="0.3">
      <c r="A13" s="356"/>
      <c r="B13" s="278"/>
      <c r="C13" s="357"/>
      <c r="D13" s="358"/>
      <c r="E13" s="358"/>
      <c r="F13" s="358"/>
      <c r="G13" s="278"/>
      <c r="H13" s="358"/>
      <c r="I13" s="278"/>
    </row>
    <row r="14" spans="1:12" x14ac:dyDescent="0.3">
      <c r="A14" s="356"/>
      <c r="B14" s="278"/>
      <c r="C14" s="357"/>
      <c r="D14" s="358"/>
      <c r="E14" s="358"/>
      <c r="F14" s="358"/>
      <c r="G14" s="278"/>
      <c r="H14" s="358"/>
      <c r="I14" s="278"/>
    </row>
    <row r="15" spans="1:12" x14ac:dyDescent="0.3">
      <c r="A15" s="356"/>
      <c r="B15" s="278"/>
      <c r="C15" s="357"/>
      <c r="D15" s="358"/>
      <c r="E15" s="358"/>
      <c r="F15" s="358"/>
      <c r="G15" s="278"/>
      <c r="H15" s="358"/>
      <c r="I15" s="278"/>
    </row>
    <row r="16" spans="1:12" x14ac:dyDescent="0.3">
      <c r="A16" s="356"/>
      <c r="B16" s="278"/>
      <c r="C16" s="357"/>
      <c r="D16" s="358"/>
      <c r="E16" s="358"/>
      <c r="F16" s="358"/>
      <c r="G16" s="278"/>
      <c r="H16" s="358"/>
      <c r="I16" s="278"/>
    </row>
    <row r="17" spans="1:9" x14ac:dyDescent="0.3">
      <c r="A17" s="356"/>
      <c r="B17" s="278"/>
      <c r="C17" s="357"/>
      <c r="D17" s="358"/>
      <c r="E17" s="358"/>
      <c r="F17" s="358"/>
      <c r="G17" s="278"/>
      <c r="H17" s="358"/>
      <c r="I17" s="278"/>
    </row>
    <row r="18" spans="1:9" x14ac:dyDescent="0.3">
      <c r="A18" s="356"/>
      <c r="B18" s="278"/>
      <c r="C18" s="357"/>
      <c r="D18" s="358"/>
      <c r="E18" s="358"/>
      <c r="F18" s="358"/>
      <c r="G18" s="278"/>
      <c r="H18" s="358"/>
      <c r="I18" s="278"/>
    </row>
    <row r="19" spans="1:9" x14ac:dyDescent="0.3">
      <c r="A19" s="356"/>
      <c r="B19" s="278"/>
      <c r="C19" s="357"/>
      <c r="D19" s="358"/>
      <c r="E19" s="358"/>
      <c r="F19" s="358"/>
      <c r="G19" s="278"/>
      <c r="H19" s="358"/>
      <c r="I19" s="278"/>
    </row>
    <row r="20" spans="1:9" x14ac:dyDescent="0.3">
      <c r="A20" s="356"/>
      <c r="B20" s="278"/>
      <c r="C20" s="357"/>
      <c r="D20" s="358"/>
      <c r="E20" s="358"/>
      <c r="F20" s="358"/>
      <c r="G20" s="278"/>
      <c r="H20" s="358"/>
      <c r="I20" s="278"/>
    </row>
    <row r="21" spans="1:9" x14ac:dyDescent="0.3">
      <c r="A21" s="356"/>
      <c r="B21" s="278"/>
      <c r="C21" s="357"/>
      <c r="D21" s="358"/>
      <c r="E21" s="358"/>
      <c r="F21" s="358"/>
      <c r="G21" s="278"/>
      <c r="H21" s="358"/>
      <c r="I21" s="278"/>
    </row>
    <row r="22" spans="1:9" x14ac:dyDescent="0.3">
      <c r="A22" s="356"/>
      <c r="B22" s="278"/>
      <c r="C22" s="357"/>
      <c r="D22" s="358"/>
      <c r="E22" s="358"/>
      <c r="F22" s="358"/>
      <c r="G22" s="278"/>
      <c r="H22" s="358"/>
      <c r="I22" s="278"/>
    </row>
    <row r="23" spans="1:9" x14ac:dyDescent="0.3">
      <c r="A23" s="356"/>
      <c r="B23" s="278"/>
      <c r="C23" s="357"/>
      <c r="D23" s="358"/>
      <c r="E23" s="358"/>
      <c r="F23" s="358"/>
      <c r="G23" s="278"/>
      <c r="H23" s="358"/>
      <c r="I23" s="278"/>
    </row>
    <row r="24" spans="1:9" x14ac:dyDescent="0.3">
      <c r="A24" s="356"/>
      <c r="B24" s="278"/>
      <c r="C24" s="357"/>
      <c r="D24" s="358"/>
      <c r="E24" s="358"/>
      <c r="F24" s="358"/>
      <c r="G24" s="278"/>
      <c r="H24" s="358"/>
      <c r="I24" s="278"/>
    </row>
    <row r="25" spans="1:9" x14ac:dyDescent="0.3">
      <c r="A25" s="356"/>
      <c r="B25" s="278"/>
      <c r="C25" s="357"/>
      <c r="D25" s="358"/>
      <c r="E25" s="358"/>
      <c r="F25" s="358"/>
      <c r="G25" s="278"/>
      <c r="H25" s="358"/>
      <c r="I25" s="278"/>
    </row>
    <row r="26" spans="1:9" x14ac:dyDescent="0.3">
      <c r="A26" s="356"/>
      <c r="B26" s="278"/>
      <c r="C26" s="357"/>
      <c r="D26" s="358"/>
      <c r="E26" s="358"/>
      <c r="F26" s="358"/>
      <c r="G26" s="278"/>
      <c r="H26" s="358"/>
      <c r="I26" s="278"/>
    </row>
    <row r="27" spans="1:9" x14ac:dyDescent="0.3">
      <c r="A27" s="356"/>
      <c r="B27" s="278"/>
      <c r="C27" s="357"/>
      <c r="D27" s="358"/>
      <c r="E27" s="358"/>
      <c r="F27" s="358"/>
      <c r="G27" s="278"/>
      <c r="H27" s="358"/>
      <c r="I27" s="278"/>
    </row>
    <row r="28" spans="1:9" x14ac:dyDescent="0.3">
      <c r="A28" s="356"/>
      <c r="B28" s="278"/>
      <c r="C28" s="357"/>
      <c r="D28" s="358"/>
      <c r="E28" s="358"/>
      <c r="F28" s="358"/>
      <c r="G28" s="278"/>
      <c r="H28" s="358"/>
      <c r="I28" s="278"/>
    </row>
    <row r="29" spans="1:9" x14ac:dyDescent="0.3">
      <c r="A29" s="356"/>
      <c r="B29" s="278"/>
      <c r="C29" s="357"/>
      <c r="D29" s="358"/>
      <c r="E29" s="358"/>
      <c r="F29" s="358"/>
      <c r="G29" s="278"/>
      <c r="H29" s="358"/>
      <c r="I29" s="278"/>
    </row>
    <row r="30" spans="1:9" x14ac:dyDescent="0.3">
      <c r="A30" s="356"/>
      <c r="B30" s="278"/>
      <c r="C30" s="357"/>
      <c r="D30" s="358"/>
      <c r="E30" s="358"/>
      <c r="F30" s="358"/>
      <c r="G30" s="278"/>
      <c r="H30" s="358"/>
      <c r="I30" s="278"/>
    </row>
    <row r="31" spans="1:9" x14ac:dyDescent="0.3">
      <c r="A31" s="356"/>
      <c r="B31" s="278"/>
      <c r="C31" s="357"/>
      <c r="D31" s="358"/>
      <c r="E31" s="358"/>
      <c r="F31" s="358"/>
      <c r="G31" s="278"/>
      <c r="H31" s="358"/>
      <c r="I31" s="278"/>
    </row>
    <row r="32" spans="1:9" x14ac:dyDescent="0.3">
      <c r="A32" s="356"/>
      <c r="B32" s="278"/>
      <c r="C32" s="357"/>
      <c r="D32" s="358"/>
      <c r="E32" s="358"/>
      <c r="F32" s="358"/>
      <c r="G32" s="278"/>
      <c r="H32" s="358"/>
      <c r="I32" s="278"/>
    </row>
    <row r="33" spans="1:9" x14ac:dyDescent="0.3">
      <c r="A33" s="356"/>
      <c r="B33" s="278"/>
      <c r="C33" s="357"/>
      <c r="D33" s="358"/>
      <c r="E33" s="358"/>
      <c r="F33" s="358"/>
      <c r="G33" s="278"/>
      <c r="H33" s="358"/>
      <c r="I33" s="278"/>
    </row>
    <row r="34" spans="1:9" x14ac:dyDescent="0.3">
      <c r="A34" s="356"/>
      <c r="B34" s="278"/>
      <c r="C34" s="357"/>
      <c r="D34" s="358"/>
      <c r="E34" s="358"/>
      <c r="F34" s="358"/>
      <c r="G34" s="278"/>
      <c r="H34" s="358"/>
      <c r="I34" s="278"/>
    </row>
    <row r="35" spans="1:9" x14ac:dyDescent="0.3">
      <c r="A35" s="356"/>
      <c r="B35" s="278"/>
      <c r="C35" s="357"/>
      <c r="D35" s="358"/>
      <c r="E35" s="358"/>
      <c r="F35" s="358"/>
      <c r="G35" s="278"/>
      <c r="H35" s="358"/>
      <c r="I35" s="278"/>
    </row>
    <row r="36" spans="1:9" x14ac:dyDescent="0.3">
      <c r="A36" s="356"/>
      <c r="B36" s="278"/>
      <c r="C36" s="357"/>
      <c r="D36" s="358"/>
      <c r="E36" s="358"/>
      <c r="F36" s="358"/>
      <c r="G36" s="278"/>
      <c r="H36" s="358"/>
      <c r="I36" s="278"/>
    </row>
    <row r="37" spans="1:9" x14ac:dyDescent="0.3">
      <c r="A37" s="356"/>
      <c r="B37" s="278"/>
      <c r="C37" s="357"/>
      <c r="D37" s="358"/>
      <c r="E37" s="358"/>
      <c r="F37" s="358"/>
      <c r="G37" s="278"/>
      <c r="H37" s="358"/>
      <c r="I37" s="278"/>
    </row>
    <row r="38" spans="1:9" x14ac:dyDescent="0.3">
      <c r="A38" s="356"/>
      <c r="B38" s="278"/>
      <c r="C38" s="357"/>
      <c r="D38" s="358"/>
      <c r="E38" s="358"/>
      <c r="F38" s="358"/>
      <c r="G38" s="278"/>
      <c r="H38" s="358"/>
      <c r="I38" s="278"/>
    </row>
    <row r="39" spans="1:9" x14ac:dyDescent="0.3">
      <c r="A39" s="356"/>
      <c r="B39" s="278"/>
      <c r="C39" s="357"/>
      <c r="D39" s="358"/>
      <c r="E39" s="358"/>
      <c r="F39" s="358"/>
      <c r="G39" s="278"/>
      <c r="H39" s="358"/>
      <c r="I39" s="278"/>
    </row>
    <row r="40" spans="1:9" x14ac:dyDescent="0.3">
      <c r="A40" s="356"/>
      <c r="B40" s="278"/>
      <c r="C40" s="357"/>
      <c r="D40" s="358"/>
      <c r="E40" s="358"/>
      <c r="F40" s="358"/>
      <c r="G40" s="278"/>
      <c r="H40" s="358"/>
      <c r="I40" s="278"/>
    </row>
    <row r="41" spans="1:9" x14ac:dyDescent="0.3">
      <c r="A41" s="356"/>
      <c r="B41" s="278"/>
      <c r="C41" s="357"/>
      <c r="D41" s="358"/>
      <c r="E41" s="358"/>
      <c r="F41" s="358"/>
      <c r="G41" s="278"/>
      <c r="H41" s="358"/>
      <c r="I41" s="278"/>
    </row>
    <row r="42" spans="1:9" x14ac:dyDescent="0.3">
      <c r="A42" s="356"/>
      <c r="B42" s="278"/>
      <c r="C42" s="357"/>
      <c r="D42" s="358"/>
      <c r="E42" s="358"/>
      <c r="F42" s="358"/>
      <c r="G42" s="278"/>
      <c r="H42" s="358"/>
      <c r="I42" s="278"/>
    </row>
    <row r="43" spans="1:9" x14ac:dyDescent="0.3">
      <c r="A43" s="356"/>
      <c r="B43" s="278"/>
      <c r="C43" s="357"/>
      <c r="D43" s="358"/>
      <c r="E43" s="358"/>
      <c r="F43" s="358"/>
      <c r="G43" s="278"/>
      <c r="H43" s="358"/>
      <c r="I43" s="278"/>
    </row>
    <row r="44" spans="1:9" x14ac:dyDescent="0.3">
      <c r="A44" s="356"/>
      <c r="B44" s="278"/>
      <c r="C44" s="357"/>
      <c r="D44" s="358"/>
      <c r="E44" s="358"/>
      <c r="F44" s="358"/>
      <c r="G44" s="278"/>
      <c r="H44" s="358"/>
      <c r="I44" s="278"/>
    </row>
    <row r="45" spans="1:9" x14ac:dyDescent="0.3">
      <c r="A45" s="356"/>
      <c r="B45" s="278"/>
      <c r="C45" s="357"/>
      <c r="D45" s="358"/>
      <c r="E45" s="358"/>
      <c r="F45" s="358"/>
      <c r="G45" s="278"/>
      <c r="H45" s="358"/>
      <c r="I45" s="278"/>
    </row>
    <row r="46" spans="1:9" x14ac:dyDescent="0.3">
      <c r="A46" s="356"/>
      <c r="B46" s="278"/>
      <c r="C46" s="357"/>
      <c r="D46" s="358"/>
      <c r="E46" s="358"/>
      <c r="F46" s="358"/>
      <c r="G46" s="278"/>
      <c r="H46" s="358"/>
      <c r="I46" s="278"/>
    </row>
    <row r="47" spans="1:9" x14ac:dyDescent="0.3">
      <c r="A47" s="356"/>
      <c r="B47" s="278"/>
      <c r="C47" s="357"/>
      <c r="D47" s="358"/>
      <c r="E47" s="358"/>
      <c r="F47" s="358"/>
      <c r="G47" s="278"/>
      <c r="H47" s="358"/>
      <c r="I47" s="278"/>
    </row>
    <row r="48" spans="1:9" x14ac:dyDescent="0.3">
      <c r="A48" s="356"/>
      <c r="B48" s="278"/>
      <c r="C48" s="357"/>
      <c r="D48" s="358"/>
      <c r="E48" s="358"/>
      <c r="F48" s="358"/>
      <c r="G48" s="278"/>
      <c r="H48" s="358"/>
      <c r="I48" s="278"/>
    </row>
    <row r="49" spans="1:9" x14ac:dyDescent="0.3">
      <c r="A49" s="356"/>
      <c r="B49" s="278"/>
      <c r="C49" s="357"/>
      <c r="D49" s="358"/>
      <c r="E49" s="358"/>
      <c r="F49" s="358"/>
      <c r="G49" s="278"/>
      <c r="H49" s="358"/>
      <c r="I49" s="278"/>
    </row>
    <row r="50" spans="1:9" x14ac:dyDescent="0.3">
      <c r="A50" s="356"/>
      <c r="B50" s="278"/>
      <c r="C50" s="357"/>
      <c r="D50" s="358"/>
      <c r="E50" s="358"/>
      <c r="F50" s="358"/>
      <c r="G50" s="278"/>
      <c r="H50" s="358"/>
      <c r="I50" s="278"/>
    </row>
    <row r="51" spans="1:9" x14ac:dyDescent="0.3">
      <c r="A51" s="356"/>
      <c r="B51" s="278"/>
      <c r="C51" s="357"/>
      <c r="D51" s="358"/>
      <c r="E51" s="358"/>
      <c r="F51" s="358"/>
      <c r="G51" s="278"/>
      <c r="H51" s="358"/>
      <c r="I51" s="278"/>
    </row>
    <row r="52" spans="1:9" x14ac:dyDescent="0.3">
      <c r="A52" s="356"/>
      <c r="B52" s="278"/>
      <c r="C52" s="357"/>
      <c r="D52" s="358"/>
      <c r="E52" s="358"/>
      <c r="F52" s="358"/>
      <c r="G52" s="278"/>
      <c r="H52" s="358"/>
      <c r="I52" s="278"/>
    </row>
    <row r="53" spans="1:9" x14ac:dyDescent="0.3">
      <c r="A53" s="356"/>
      <c r="B53" s="278"/>
      <c r="C53" s="357"/>
      <c r="D53" s="358"/>
      <c r="E53" s="358"/>
      <c r="F53" s="358"/>
      <c r="G53" s="278"/>
      <c r="H53" s="358"/>
      <c r="I53" s="278"/>
    </row>
    <row r="54" spans="1:9" x14ac:dyDescent="0.3">
      <c r="A54" s="356"/>
      <c r="B54" s="278"/>
      <c r="C54" s="357"/>
      <c r="D54" s="358"/>
      <c r="E54" s="358"/>
      <c r="F54" s="358"/>
      <c r="G54" s="278"/>
      <c r="H54" s="358"/>
      <c r="I54" s="278"/>
    </row>
    <row r="55" spans="1:9" x14ac:dyDescent="0.3">
      <c r="A55" s="356"/>
      <c r="B55" s="278"/>
      <c r="C55" s="357"/>
      <c r="D55" s="358"/>
      <c r="E55" s="358"/>
      <c r="F55" s="358"/>
      <c r="G55" s="278"/>
      <c r="H55" s="358"/>
      <c r="I55" s="278"/>
    </row>
    <row r="56" spans="1:9" x14ac:dyDescent="0.3">
      <c r="A56" s="356"/>
      <c r="B56" s="278"/>
      <c r="C56" s="357"/>
      <c r="D56" s="358"/>
      <c r="E56" s="358"/>
      <c r="F56" s="358"/>
      <c r="G56" s="278"/>
      <c r="H56" s="358"/>
      <c r="I56" s="278"/>
    </row>
    <row r="57" spans="1:9" x14ac:dyDescent="0.3">
      <c r="A57" s="356"/>
      <c r="B57" s="278"/>
      <c r="C57" s="357"/>
      <c r="D57" s="358"/>
      <c r="E57" s="358"/>
      <c r="F57" s="358"/>
      <c r="G57" s="278"/>
      <c r="H57" s="358"/>
      <c r="I57" s="278"/>
    </row>
    <row r="58" spans="1:9" x14ac:dyDescent="0.3">
      <c r="A58" s="356"/>
      <c r="B58" s="278"/>
      <c r="C58" s="357"/>
      <c r="D58" s="358"/>
      <c r="E58" s="358"/>
      <c r="F58" s="358"/>
      <c r="G58" s="278"/>
      <c r="H58" s="358"/>
      <c r="I58" s="278"/>
    </row>
    <row r="59" spans="1:9" x14ac:dyDescent="0.3">
      <c r="A59" s="356"/>
      <c r="B59" s="278"/>
      <c r="C59" s="357"/>
      <c r="D59" s="358"/>
      <c r="E59" s="358"/>
      <c r="F59" s="358"/>
      <c r="G59" s="278"/>
      <c r="H59" s="358"/>
      <c r="I59" s="278"/>
    </row>
    <row r="60" spans="1:9" x14ac:dyDescent="0.3">
      <c r="A60" s="356"/>
      <c r="B60" s="278"/>
      <c r="C60" s="357"/>
      <c r="D60" s="358"/>
      <c r="E60" s="358"/>
      <c r="F60" s="358"/>
      <c r="G60" s="278"/>
      <c r="H60" s="358"/>
      <c r="I60" s="278"/>
    </row>
    <row r="61" spans="1:9" x14ac:dyDescent="0.3">
      <c r="A61" s="356"/>
      <c r="B61" s="278"/>
      <c r="C61" s="357"/>
      <c r="D61" s="358"/>
      <c r="E61" s="358"/>
      <c r="F61" s="358"/>
      <c r="G61" s="278"/>
      <c r="H61" s="358"/>
      <c r="I61" s="278"/>
    </row>
    <row r="62" spans="1:9" x14ac:dyDescent="0.3">
      <c r="A62" s="356"/>
      <c r="B62" s="278"/>
      <c r="C62" s="357"/>
      <c r="D62" s="358"/>
      <c r="E62" s="358"/>
      <c r="F62" s="358"/>
      <c r="G62" s="278"/>
      <c r="H62" s="358"/>
      <c r="I62" s="278"/>
    </row>
    <row r="63" spans="1:9" x14ac:dyDescent="0.3">
      <c r="A63" s="356"/>
      <c r="B63" s="278"/>
      <c r="C63" s="357"/>
      <c r="D63" s="358"/>
      <c r="E63" s="358"/>
      <c r="F63" s="358"/>
      <c r="G63" s="278"/>
      <c r="H63" s="358"/>
      <c r="I63" s="278"/>
    </row>
    <row r="64" spans="1:9" x14ac:dyDescent="0.3">
      <c r="A64" s="356"/>
      <c r="B64" s="278"/>
      <c r="C64" s="357"/>
      <c r="D64" s="358"/>
      <c r="E64" s="358"/>
      <c r="F64" s="358"/>
      <c r="G64" s="278"/>
      <c r="H64" s="358"/>
      <c r="I64" s="278"/>
    </row>
    <row r="65" spans="1:9" x14ac:dyDescent="0.3">
      <c r="A65" s="356"/>
      <c r="B65" s="278"/>
      <c r="C65" s="357"/>
      <c r="D65" s="358"/>
      <c r="E65" s="358"/>
      <c r="F65" s="358"/>
      <c r="G65" s="278"/>
      <c r="H65" s="358"/>
      <c r="I65" s="278"/>
    </row>
    <row r="66" spans="1:9" x14ac:dyDescent="0.3">
      <c r="A66" s="356"/>
      <c r="B66" s="278"/>
      <c r="C66" s="357"/>
      <c r="D66" s="358"/>
      <c r="E66" s="358"/>
      <c r="F66" s="358"/>
      <c r="G66" s="278"/>
      <c r="H66" s="358"/>
      <c r="I66" s="278"/>
    </row>
    <row r="67" spans="1:9" x14ac:dyDescent="0.3">
      <c r="A67" s="356"/>
      <c r="B67" s="278"/>
      <c r="C67" s="357"/>
      <c r="D67" s="358"/>
      <c r="E67" s="358"/>
      <c r="F67" s="358"/>
      <c r="G67" s="278"/>
      <c r="H67" s="358"/>
      <c r="I67" s="278"/>
    </row>
    <row r="68" spans="1:9" x14ac:dyDescent="0.3">
      <c r="A68" s="356"/>
      <c r="B68" s="278"/>
      <c r="C68" s="357"/>
      <c r="D68" s="358"/>
      <c r="E68" s="358"/>
      <c r="F68" s="358"/>
      <c r="G68" s="278"/>
      <c r="H68" s="358"/>
      <c r="I68" s="278"/>
    </row>
    <row r="69" spans="1:9" x14ac:dyDescent="0.3">
      <c r="A69" s="356"/>
      <c r="B69" s="278"/>
      <c r="C69" s="357"/>
      <c r="D69" s="358"/>
      <c r="E69" s="358"/>
      <c r="F69" s="358"/>
      <c r="G69" s="278"/>
      <c r="H69" s="358"/>
      <c r="I69" s="278"/>
    </row>
    <row r="70" spans="1:9" x14ac:dyDescent="0.3">
      <c r="A70" s="356"/>
      <c r="B70" s="278"/>
      <c r="C70" s="357"/>
      <c r="D70" s="358"/>
      <c r="E70" s="358"/>
      <c r="F70" s="358"/>
      <c r="G70" s="278"/>
      <c r="H70" s="358"/>
      <c r="I70" s="278"/>
    </row>
    <row r="71" spans="1:9" x14ac:dyDescent="0.3">
      <c r="A71" s="356"/>
      <c r="B71" s="278"/>
      <c r="C71" s="357"/>
      <c r="D71" s="358"/>
      <c r="E71" s="358"/>
      <c r="F71" s="358"/>
      <c r="G71" s="278"/>
      <c r="H71" s="358"/>
      <c r="I71" s="278"/>
    </row>
    <row r="72" spans="1:9" x14ac:dyDescent="0.3">
      <c r="A72" s="356"/>
      <c r="B72" s="278"/>
      <c r="C72" s="357"/>
      <c r="D72" s="358"/>
      <c r="E72" s="358"/>
      <c r="F72" s="358"/>
      <c r="G72" s="278"/>
      <c r="H72" s="358"/>
      <c r="I72" s="278"/>
    </row>
    <row r="73" spans="1:9" x14ac:dyDescent="0.3">
      <c r="A73" s="356"/>
      <c r="B73" s="278"/>
      <c r="C73" s="357"/>
      <c r="D73" s="358"/>
      <c r="E73" s="358"/>
      <c r="F73" s="358"/>
      <c r="G73" s="278"/>
      <c r="H73" s="358"/>
      <c r="I73" s="278"/>
    </row>
    <row r="74" spans="1:9" x14ac:dyDescent="0.3">
      <c r="A74" s="356"/>
      <c r="B74" s="278"/>
      <c r="C74" s="357"/>
      <c r="D74" s="358"/>
      <c r="E74" s="358"/>
      <c r="F74" s="358"/>
      <c r="G74" s="278"/>
      <c r="H74" s="358"/>
      <c r="I74" s="278"/>
    </row>
    <row r="75" spans="1:9" x14ac:dyDescent="0.3">
      <c r="A75" s="356"/>
      <c r="B75" s="278"/>
      <c r="C75" s="357"/>
      <c r="D75" s="358"/>
      <c r="E75" s="358"/>
      <c r="F75" s="358"/>
      <c r="G75" s="278"/>
      <c r="H75" s="358"/>
      <c r="I75" s="278"/>
    </row>
    <row r="76" spans="1:9" x14ac:dyDescent="0.3">
      <c r="A76" s="356"/>
      <c r="B76" s="278"/>
      <c r="C76" s="357"/>
      <c r="D76" s="358"/>
      <c r="E76" s="358"/>
      <c r="F76" s="358"/>
      <c r="G76" s="278"/>
      <c r="H76" s="358"/>
      <c r="I76" s="278"/>
    </row>
    <row r="77" spans="1:9" x14ac:dyDescent="0.3">
      <c r="A77" s="356"/>
      <c r="B77" s="278"/>
      <c r="C77" s="357"/>
      <c r="D77" s="358"/>
      <c r="E77" s="358"/>
      <c r="F77" s="358"/>
      <c r="G77" s="278"/>
      <c r="H77" s="358"/>
      <c r="I77" s="278"/>
    </row>
    <row r="78" spans="1:9" x14ac:dyDescent="0.3">
      <c r="A78" s="356"/>
      <c r="B78" s="278"/>
      <c r="C78" s="357"/>
      <c r="D78" s="358"/>
      <c r="E78" s="358"/>
      <c r="F78" s="358"/>
      <c r="G78" s="278"/>
      <c r="H78" s="358"/>
      <c r="I78" s="278"/>
    </row>
    <row r="79" spans="1:9" x14ac:dyDescent="0.3">
      <c r="A79" s="356"/>
      <c r="B79" s="278"/>
      <c r="C79" s="357"/>
      <c r="D79" s="358"/>
      <c r="E79" s="358"/>
      <c r="F79" s="358"/>
      <c r="G79" s="278"/>
      <c r="H79" s="358"/>
      <c r="I79" s="278"/>
    </row>
    <row r="80" spans="1:9" x14ac:dyDescent="0.3">
      <c r="A80" s="356"/>
      <c r="B80" s="278"/>
      <c r="C80" s="357"/>
      <c r="D80" s="358"/>
      <c r="E80" s="358"/>
      <c r="F80" s="358"/>
      <c r="G80" s="278"/>
      <c r="H80" s="358"/>
      <c r="I80" s="278"/>
    </row>
    <row r="81" spans="1:9" x14ac:dyDescent="0.3">
      <c r="A81" s="356"/>
      <c r="B81" s="278"/>
      <c r="C81" s="357"/>
      <c r="D81" s="358"/>
      <c r="E81" s="358"/>
      <c r="F81" s="358"/>
      <c r="G81" s="278"/>
      <c r="H81" s="358"/>
      <c r="I81" s="278"/>
    </row>
    <row r="82" spans="1:9" x14ac:dyDescent="0.3">
      <c r="A82" s="356"/>
      <c r="B82" s="278"/>
      <c r="C82" s="357"/>
      <c r="D82" s="358"/>
      <c r="E82" s="358"/>
      <c r="F82" s="358"/>
      <c r="G82" s="278"/>
      <c r="H82" s="358"/>
      <c r="I82" s="278"/>
    </row>
    <row r="83" spans="1:9" x14ac:dyDescent="0.3">
      <c r="A83" s="356"/>
      <c r="B83" s="278"/>
      <c r="C83" s="357"/>
      <c r="D83" s="358"/>
      <c r="E83" s="358"/>
      <c r="F83" s="358"/>
      <c r="G83" s="278"/>
      <c r="H83" s="358"/>
      <c r="I83" s="278"/>
    </row>
    <row r="84" spans="1:9" x14ac:dyDescent="0.3">
      <c r="A84" s="356"/>
      <c r="B84" s="278"/>
      <c r="C84" s="357"/>
      <c r="D84" s="358"/>
      <c r="E84" s="358"/>
      <c r="F84" s="358"/>
      <c r="G84" s="278"/>
      <c r="H84" s="358"/>
      <c r="I84" s="278"/>
    </row>
    <row r="85" spans="1:9" x14ac:dyDescent="0.3">
      <c r="A85" s="356"/>
      <c r="B85" s="278"/>
      <c r="C85" s="357"/>
      <c r="D85" s="358"/>
      <c r="E85" s="358"/>
      <c r="F85" s="358"/>
      <c r="G85" s="278"/>
      <c r="H85" s="358"/>
      <c r="I85" s="278"/>
    </row>
    <row r="86" spans="1:9" x14ac:dyDescent="0.3">
      <c r="A86" s="356"/>
      <c r="B86" s="278"/>
      <c r="C86" s="357"/>
      <c r="D86" s="358"/>
      <c r="E86" s="358"/>
      <c r="F86" s="358"/>
      <c r="G86" s="278"/>
      <c r="H86" s="358"/>
      <c r="I86" s="278"/>
    </row>
    <row r="87" spans="1:9" x14ac:dyDescent="0.3">
      <c r="A87" s="356"/>
      <c r="B87" s="278"/>
      <c r="C87" s="357"/>
      <c r="D87" s="358"/>
      <c r="E87" s="358"/>
      <c r="F87" s="358"/>
      <c r="G87" s="278"/>
      <c r="H87" s="358"/>
      <c r="I87" s="278"/>
    </row>
    <row r="88" spans="1:9" x14ac:dyDescent="0.3">
      <c r="A88" s="356"/>
      <c r="B88" s="278"/>
      <c r="C88" s="357"/>
      <c r="D88" s="358"/>
      <c r="E88" s="358"/>
      <c r="F88" s="358"/>
      <c r="G88" s="278"/>
      <c r="H88" s="358"/>
      <c r="I88" s="278"/>
    </row>
    <row r="89" spans="1:9" x14ac:dyDescent="0.3">
      <c r="A89" s="356"/>
      <c r="B89" s="278"/>
      <c r="C89" s="357"/>
      <c r="D89" s="358"/>
      <c r="E89" s="358"/>
      <c r="F89" s="358"/>
      <c r="G89" s="278"/>
      <c r="H89" s="358"/>
      <c r="I89" s="278"/>
    </row>
    <row r="90" spans="1:9" x14ac:dyDescent="0.3">
      <c r="A90" s="356"/>
      <c r="B90" s="278"/>
      <c r="C90" s="357"/>
      <c r="D90" s="358"/>
      <c r="E90" s="358"/>
      <c r="F90" s="358"/>
      <c r="G90" s="278"/>
      <c r="H90" s="358"/>
      <c r="I90" s="278"/>
    </row>
    <row r="91" spans="1:9" x14ac:dyDescent="0.3">
      <c r="A91" s="356"/>
      <c r="B91" s="278"/>
      <c r="C91" s="357"/>
      <c r="D91" s="358"/>
      <c r="E91" s="358"/>
      <c r="F91" s="358"/>
      <c r="G91" s="278"/>
      <c r="H91" s="358"/>
      <c r="I91" s="278"/>
    </row>
    <row r="92" spans="1:9" x14ac:dyDescent="0.3">
      <c r="A92" s="356"/>
      <c r="B92" s="278"/>
      <c r="C92" s="357"/>
      <c r="D92" s="358"/>
      <c r="E92" s="358"/>
      <c r="F92" s="358"/>
      <c r="G92" s="278"/>
      <c r="H92" s="358"/>
      <c r="I92" s="278"/>
    </row>
    <row r="93" spans="1:9" x14ac:dyDescent="0.3">
      <c r="A93" s="356"/>
      <c r="B93" s="278"/>
      <c r="C93" s="357"/>
      <c r="D93" s="358"/>
      <c r="E93" s="358"/>
      <c r="F93" s="358"/>
      <c r="G93" s="278"/>
      <c r="H93" s="358"/>
      <c r="I93" s="278"/>
    </row>
    <row r="94" spans="1:9" x14ac:dyDescent="0.3">
      <c r="A94" s="356"/>
      <c r="B94" s="278"/>
      <c r="C94" s="357"/>
      <c r="D94" s="358"/>
      <c r="E94" s="358"/>
      <c r="F94" s="358"/>
      <c r="G94" s="278"/>
      <c r="H94" s="358"/>
      <c r="I94" s="278"/>
    </row>
    <row r="95" spans="1:9" x14ac:dyDescent="0.3">
      <c r="A95" s="356"/>
      <c r="B95" s="278"/>
      <c r="C95" s="357"/>
      <c r="D95" s="358"/>
      <c r="E95" s="358"/>
      <c r="F95" s="358"/>
      <c r="G95" s="278"/>
      <c r="H95" s="358"/>
      <c r="I95" s="278"/>
    </row>
    <row r="96" spans="1:9" x14ac:dyDescent="0.3">
      <c r="A96" s="356"/>
      <c r="B96" s="278"/>
      <c r="C96" s="357"/>
      <c r="D96" s="358"/>
      <c r="E96" s="358"/>
      <c r="F96" s="358"/>
      <c r="G96" s="278"/>
      <c r="H96" s="358"/>
      <c r="I96" s="278"/>
    </row>
    <row r="97" spans="1:9" x14ac:dyDescent="0.3">
      <c r="A97" s="356"/>
      <c r="B97" s="278"/>
      <c r="C97" s="357"/>
      <c r="D97" s="358"/>
      <c r="E97" s="358"/>
      <c r="F97" s="358"/>
      <c r="G97" s="278"/>
      <c r="H97" s="358"/>
      <c r="I97" s="278"/>
    </row>
    <row r="98" spans="1:9" x14ac:dyDescent="0.3">
      <c r="A98" s="356"/>
      <c r="B98" s="278"/>
      <c r="C98" s="357"/>
      <c r="D98" s="358"/>
      <c r="E98" s="358"/>
      <c r="F98" s="358"/>
      <c r="G98" s="278"/>
      <c r="H98" s="358"/>
      <c r="I98" s="278"/>
    </row>
    <row r="99" spans="1:9" x14ac:dyDescent="0.3">
      <c r="A99" s="356"/>
      <c r="B99" s="278"/>
      <c r="C99" s="357"/>
      <c r="D99" s="358"/>
      <c r="E99" s="358"/>
      <c r="F99" s="358"/>
      <c r="G99" s="278"/>
      <c r="H99" s="358"/>
      <c r="I99" s="278"/>
    </row>
    <row r="100" spans="1:9" x14ac:dyDescent="0.3">
      <c r="A100" s="356"/>
      <c r="B100" s="278"/>
      <c r="C100" s="357"/>
      <c r="D100" s="358"/>
      <c r="E100" s="358"/>
      <c r="F100" s="358"/>
      <c r="G100" s="278"/>
      <c r="H100" s="358"/>
      <c r="I100" s="278"/>
    </row>
    <row r="101" spans="1:9" x14ac:dyDescent="0.3">
      <c r="A101" s="356"/>
      <c r="B101" s="278"/>
      <c r="C101" s="357"/>
      <c r="D101" s="358"/>
      <c r="E101" s="358"/>
      <c r="F101" s="358"/>
      <c r="G101" s="278"/>
      <c r="H101" s="358"/>
      <c r="I101" s="278"/>
    </row>
    <row r="102" spans="1:9" x14ac:dyDescent="0.3">
      <c r="A102" s="356"/>
      <c r="B102" s="278"/>
      <c r="C102" s="357"/>
      <c r="D102" s="358"/>
      <c r="E102" s="358"/>
      <c r="F102" s="358"/>
      <c r="G102" s="278"/>
      <c r="H102" s="358"/>
      <c r="I102" s="278"/>
    </row>
    <row r="103" spans="1:9" x14ac:dyDescent="0.3">
      <c r="A103" s="356"/>
      <c r="B103" s="278"/>
      <c r="C103" s="357"/>
      <c r="D103" s="358"/>
      <c r="E103" s="358"/>
      <c r="F103" s="358"/>
      <c r="G103" s="278"/>
      <c r="H103" s="358"/>
      <c r="I103" s="278"/>
    </row>
    <row r="104" spans="1:9" x14ac:dyDescent="0.3">
      <c r="A104" s="356"/>
      <c r="B104" s="278"/>
      <c r="C104" s="357"/>
      <c r="D104" s="358"/>
      <c r="E104" s="358"/>
      <c r="F104" s="358"/>
      <c r="G104" s="278"/>
      <c r="H104" s="358"/>
      <c r="I104" s="278"/>
    </row>
    <row r="105" spans="1:9" x14ac:dyDescent="0.3">
      <c r="A105" s="356"/>
      <c r="B105" s="278"/>
      <c r="C105" s="357"/>
      <c r="D105" s="358"/>
      <c r="E105" s="358"/>
      <c r="F105" s="358"/>
      <c r="G105" s="278"/>
      <c r="H105" s="358"/>
      <c r="I105" s="278"/>
    </row>
    <row r="106" spans="1:9" x14ac:dyDescent="0.3">
      <c r="A106" s="356"/>
      <c r="B106" s="278"/>
      <c r="C106" s="357"/>
      <c r="D106" s="358"/>
      <c r="E106" s="358"/>
      <c r="F106" s="358"/>
      <c r="G106" s="278"/>
      <c r="H106" s="358"/>
      <c r="I106" s="278"/>
    </row>
    <row r="107" spans="1:9" x14ac:dyDescent="0.3">
      <c r="A107" s="356"/>
      <c r="B107" s="278"/>
      <c r="C107" s="357"/>
      <c r="D107" s="358"/>
      <c r="E107" s="358"/>
      <c r="F107" s="358"/>
      <c r="G107" s="278"/>
      <c r="H107" s="358"/>
      <c r="I107" s="278"/>
    </row>
    <row r="108" spans="1:9" x14ac:dyDescent="0.3">
      <c r="A108" s="356"/>
      <c r="B108" s="278"/>
      <c r="C108" s="357"/>
      <c r="D108" s="358"/>
      <c r="E108" s="358"/>
      <c r="F108" s="358"/>
      <c r="G108" s="278"/>
      <c r="H108" s="358"/>
      <c r="I108" s="278"/>
    </row>
    <row r="109" spans="1:9" x14ac:dyDescent="0.3">
      <c r="A109" s="356"/>
      <c r="B109" s="278"/>
      <c r="C109" s="357"/>
      <c r="D109" s="358"/>
      <c r="E109" s="358"/>
      <c r="F109" s="358"/>
      <c r="G109" s="278"/>
      <c r="H109" s="358"/>
      <c r="I109" s="278"/>
    </row>
    <row r="110" spans="1:9" x14ac:dyDescent="0.3">
      <c r="A110" s="356"/>
      <c r="B110" s="278"/>
      <c r="C110" s="357"/>
      <c r="D110" s="358"/>
      <c r="E110" s="358"/>
      <c r="F110" s="358"/>
      <c r="G110" s="278"/>
      <c r="H110" s="358"/>
      <c r="I110" s="278"/>
    </row>
    <row r="111" spans="1:9" x14ac:dyDescent="0.3">
      <c r="A111" s="356"/>
      <c r="B111" s="278"/>
      <c r="C111" s="357"/>
      <c r="D111" s="358"/>
      <c r="E111" s="358"/>
      <c r="F111" s="358"/>
      <c r="G111" s="278"/>
      <c r="H111" s="358"/>
      <c r="I111" s="278"/>
    </row>
    <row r="112" spans="1:9" x14ac:dyDescent="0.3">
      <c r="A112" s="356"/>
      <c r="B112" s="278"/>
      <c r="C112" s="357"/>
      <c r="D112" s="358"/>
      <c r="E112" s="358"/>
      <c r="F112" s="358"/>
      <c r="G112" s="278"/>
      <c r="H112" s="358"/>
      <c r="I112" s="278"/>
    </row>
    <row r="113" spans="1:9" x14ac:dyDescent="0.3">
      <c r="A113" s="356"/>
      <c r="B113" s="278"/>
      <c r="C113" s="357"/>
      <c r="D113" s="358"/>
      <c r="E113" s="358"/>
      <c r="F113" s="358"/>
      <c r="G113" s="278"/>
      <c r="H113" s="358"/>
      <c r="I113" s="278"/>
    </row>
    <row r="114" spans="1:9" x14ac:dyDescent="0.3">
      <c r="A114" s="356"/>
      <c r="B114" s="278"/>
      <c r="C114" s="357"/>
      <c r="D114" s="358"/>
      <c r="E114" s="358"/>
      <c r="F114" s="358"/>
      <c r="G114" s="278"/>
      <c r="H114" s="358"/>
      <c r="I114" s="278"/>
    </row>
    <row r="115" spans="1:9" x14ac:dyDescent="0.3">
      <c r="A115" s="356"/>
      <c r="B115" s="278"/>
      <c r="C115" s="357"/>
      <c r="D115" s="358"/>
      <c r="E115" s="358"/>
      <c r="F115" s="358"/>
      <c r="G115" s="278"/>
      <c r="H115" s="358"/>
      <c r="I115" s="278"/>
    </row>
    <row r="116" spans="1:9" x14ac:dyDescent="0.3">
      <c r="A116" s="356"/>
      <c r="B116" s="278"/>
      <c r="C116" s="357"/>
      <c r="D116" s="358"/>
      <c r="E116" s="358"/>
      <c r="F116" s="358"/>
      <c r="G116" s="278"/>
      <c r="H116" s="358"/>
      <c r="I116" s="278"/>
    </row>
    <row r="117" spans="1:9" x14ac:dyDescent="0.3">
      <c r="A117" s="356"/>
      <c r="B117" s="278"/>
      <c r="C117" s="357"/>
      <c r="D117" s="358"/>
      <c r="E117" s="358"/>
      <c r="F117" s="358"/>
      <c r="G117" s="278"/>
      <c r="H117" s="358"/>
      <c r="I117" s="278"/>
    </row>
    <row r="118" spans="1:9" x14ac:dyDescent="0.3">
      <c r="A118" s="356"/>
      <c r="B118" s="278"/>
      <c r="C118" s="357"/>
      <c r="D118" s="358"/>
      <c r="E118" s="358"/>
      <c r="F118" s="358"/>
      <c r="G118" s="278"/>
      <c r="H118" s="358"/>
      <c r="I118" s="278"/>
    </row>
    <row r="119" spans="1:9" x14ac:dyDescent="0.3">
      <c r="A119" s="356"/>
      <c r="B119" s="278"/>
      <c r="C119" s="357"/>
      <c r="D119" s="358"/>
      <c r="E119" s="358"/>
      <c r="F119" s="358"/>
      <c r="G119" s="278"/>
      <c r="H119" s="358"/>
      <c r="I119" s="278"/>
    </row>
    <row r="120" spans="1:9" x14ac:dyDescent="0.3">
      <c r="A120" s="356"/>
      <c r="B120" s="278"/>
      <c r="C120" s="357"/>
      <c r="D120" s="358"/>
      <c r="E120" s="358"/>
      <c r="F120" s="358"/>
      <c r="G120" s="278"/>
      <c r="H120" s="358"/>
      <c r="I120" s="278"/>
    </row>
    <row r="121" spans="1:9" x14ac:dyDescent="0.3">
      <c r="A121" s="356"/>
      <c r="B121" s="278"/>
      <c r="C121" s="357"/>
      <c r="D121" s="358"/>
      <c r="E121" s="358"/>
      <c r="F121" s="358"/>
      <c r="G121" s="278"/>
      <c r="H121" s="358"/>
      <c r="I121" s="278"/>
    </row>
    <row r="122" spans="1:9" x14ac:dyDescent="0.3">
      <c r="A122" s="356"/>
      <c r="B122" s="278"/>
      <c r="C122" s="357"/>
      <c r="D122" s="358"/>
      <c r="E122" s="358"/>
      <c r="F122" s="358"/>
      <c r="G122" s="278"/>
      <c r="H122" s="358"/>
      <c r="I122" s="278"/>
    </row>
    <row r="123" spans="1:9" x14ac:dyDescent="0.3">
      <c r="A123" s="356"/>
      <c r="B123" s="278"/>
      <c r="C123" s="357"/>
      <c r="D123" s="358"/>
      <c r="E123" s="358"/>
      <c r="F123" s="358"/>
      <c r="G123" s="278"/>
      <c r="H123" s="358"/>
      <c r="I123" s="278"/>
    </row>
    <row r="124" spans="1:9" x14ac:dyDescent="0.3">
      <c r="A124" s="356"/>
      <c r="B124" s="278"/>
      <c r="C124" s="357"/>
      <c r="D124" s="358"/>
      <c r="E124" s="358"/>
      <c r="F124" s="358"/>
      <c r="G124" s="278"/>
      <c r="H124" s="358"/>
      <c r="I124" s="278"/>
    </row>
    <row r="125" spans="1:9" x14ac:dyDescent="0.3">
      <c r="A125" s="356"/>
      <c r="B125" s="278"/>
      <c r="C125" s="357"/>
      <c r="D125" s="358"/>
      <c r="E125" s="358"/>
      <c r="F125" s="358"/>
      <c r="G125" s="278"/>
      <c r="H125" s="358"/>
      <c r="I125" s="278"/>
    </row>
    <row r="126" spans="1:9" x14ac:dyDescent="0.3">
      <c r="A126" s="356"/>
      <c r="B126" s="278"/>
      <c r="C126" s="357"/>
      <c r="D126" s="358"/>
      <c r="E126" s="358"/>
      <c r="F126" s="358"/>
      <c r="G126" s="278"/>
      <c r="H126" s="358"/>
      <c r="I126" s="278"/>
    </row>
    <row r="127" spans="1:9" x14ac:dyDescent="0.3">
      <c r="A127" s="356"/>
      <c r="B127" s="278"/>
      <c r="C127" s="357"/>
      <c r="D127" s="358"/>
      <c r="E127" s="358"/>
      <c r="F127" s="358"/>
      <c r="G127" s="278"/>
      <c r="H127" s="358"/>
      <c r="I127" s="278"/>
    </row>
    <row r="128" spans="1:9" x14ac:dyDescent="0.3">
      <c r="A128" s="356"/>
      <c r="B128" s="278"/>
      <c r="C128" s="357"/>
      <c r="D128" s="358"/>
      <c r="E128" s="358"/>
      <c r="F128" s="358"/>
      <c r="G128" s="278"/>
      <c r="H128" s="358"/>
      <c r="I128" s="278"/>
    </row>
    <row r="129" spans="1:9" x14ac:dyDescent="0.3">
      <c r="A129" s="356"/>
      <c r="B129" s="278"/>
      <c r="C129" s="357"/>
      <c r="D129" s="358"/>
      <c r="E129" s="358"/>
      <c r="F129" s="358"/>
      <c r="G129" s="278"/>
      <c r="H129" s="358"/>
      <c r="I129" s="278"/>
    </row>
    <row r="130" spans="1:9" x14ac:dyDescent="0.3">
      <c r="A130" s="356"/>
      <c r="B130" s="278"/>
      <c r="C130" s="357"/>
      <c r="D130" s="358"/>
      <c r="E130" s="358"/>
      <c r="F130" s="358"/>
      <c r="G130" s="278"/>
      <c r="H130" s="358"/>
      <c r="I130" s="278"/>
    </row>
    <row r="131" spans="1:9" x14ac:dyDescent="0.3">
      <c r="A131" s="356"/>
      <c r="B131" s="278"/>
      <c r="C131" s="357"/>
      <c r="D131" s="358"/>
      <c r="E131" s="358"/>
      <c r="F131" s="358"/>
      <c r="G131" s="278"/>
      <c r="H131" s="358"/>
      <c r="I131" s="278"/>
    </row>
    <row r="132" spans="1:9" x14ac:dyDescent="0.3">
      <c r="A132" s="356"/>
      <c r="B132" s="278"/>
      <c r="C132" s="357"/>
      <c r="D132" s="358"/>
      <c r="E132" s="358"/>
      <c r="F132" s="358"/>
      <c r="G132" s="278"/>
      <c r="H132" s="358"/>
      <c r="I132" s="278"/>
    </row>
    <row r="133" spans="1:9" x14ac:dyDescent="0.3">
      <c r="A133" s="356"/>
      <c r="B133" s="278"/>
      <c r="C133" s="357"/>
      <c r="D133" s="358"/>
      <c r="E133" s="358"/>
      <c r="F133" s="358"/>
      <c r="G133" s="278"/>
      <c r="H133" s="358"/>
      <c r="I133" s="278"/>
    </row>
    <row r="134" spans="1:9" x14ac:dyDescent="0.3">
      <c r="A134" s="356"/>
      <c r="B134" s="278"/>
      <c r="C134" s="357"/>
      <c r="D134" s="358"/>
      <c r="E134" s="358"/>
      <c r="F134" s="358"/>
      <c r="G134" s="278"/>
      <c r="H134" s="358"/>
      <c r="I134" s="278"/>
    </row>
    <row r="135" spans="1:9" x14ac:dyDescent="0.3">
      <c r="A135" s="356"/>
      <c r="B135" s="278"/>
      <c r="C135" s="357"/>
      <c r="D135" s="358"/>
      <c r="E135" s="358"/>
      <c r="F135" s="358"/>
      <c r="G135" s="278"/>
      <c r="H135" s="358"/>
      <c r="I135" s="278"/>
    </row>
    <row r="136" spans="1:9" x14ac:dyDescent="0.3">
      <c r="A136" s="356"/>
      <c r="B136" s="278"/>
      <c r="C136" s="357"/>
      <c r="D136" s="358"/>
      <c r="E136" s="358"/>
      <c r="F136" s="358"/>
      <c r="G136" s="278"/>
      <c r="H136" s="358"/>
      <c r="I136" s="278"/>
    </row>
    <row r="137" spans="1:9" x14ac:dyDescent="0.3">
      <c r="A137" s="356"/>
      <c r="B137" s="278"/>
      <c r="C137" s="357"/>
      <c r="D137" s="358"/>
      <c r="E137" s="358"/>
      <c r="F137" s="358"/>
      <c r="G137" s="278"/>
      <c r="H137" s="358"/>
      <c r="I137" s="278"/>
    </row>
    <row r="138" spans="1:9" x14ac:dyDescent="0.3">
      <c r="A138" s="356"/>
      <c r="B138" s="278"/>
      <c r="C138" s="357"/>
      <c r="D138" s="358"/>
      <c r="E138" s="358"/>
      <c r="F138" s="358"/>
      <c r="G138" s="278"/>
      <c r="H138" s="358"/>
      <c r="I138" s="278"/>
    </row>
    <row r="139" spans="1:9" x14ac:dyDescent="0.3">
      <c r="A139" s="356"/>
      <c r="B139" s="278"/>
      <c r="C139" s="357"/>
      <c r="D139" s="358"/>
      <c r="E139" s="358"/>
      <c r="F139" s="358"/>
      <c r="G139" s="278"/>
      <c r="H139" s="358"/>
      <c r="I139" s="278"/>
    </row>
    <row r="140" spans="1:9" x14ac:dyDescent="0.3">
      <c r="A140" s="356"/>
      <c r="B140" s="278"/>
      <c r="C140" s="357"/>
      <c r="D140" s="358"/>
      <c r="E140" s="358"/>
      <c r="F140" s="358"/>
      <c r="G140" s="278"/>
      <c r="H140" s="358"/>
      <c r="I140" s="278"/>
    </row>
    <row r="141" spans="1:9" x14ac:dyDescent="0.3">
      <c r="A141" s="356"/>
      <c r="B141" s="278"/>
      <c r="C141" s="357"/>
      <c r="D141" s="358"/>
      <c r="E141" s="358"/>
      <c r="F141" s="358"/>
      <c r="G141" s="278"/>
      <c r="H141" s="358"/>
      <c r="I141" s="278"/>
    </row>
    <row r="142" spans="1:9" x14ac:dyDescent="0.3">
      <c r="A142" s="356"/>
      <c r="B142" s="278"/>
      <c r="C142" s="357"/>
      <c r="D142" s="358"/>
      <c r="E142" s="358"/>
      <c r="F142" s="358"/>
      <c r="G142" s="278"/>
      <c r="H142" s="358"/>
      <c r="I142" s="278"/>
    </row>
    <row r="143" spans="1:9" x14ac:dyDescent="0.3">
      <c r="A143" s="356"/>
      <c r="B143" s="278"/>
      <c r="C143" s="357"/>
      <c r="D143" s="358"/>
      <c r="E143" s="358"/>
      <c r="F143" s="358"/>
      <c r="G143" s="278"/>
      <c r="H143" s="358"/>
      <c r="I143" s="278"/>
    </row>
    <row r="144" spans="1:9" x14ac:dyDescent="0.3">
      <c r="A144" s="356"/>
      <c r="B144" s="278"/>
      <c r="C144" s="357"/>
      <c r="D144" s="358"/>
      <c r="E144" s="358"/>
      <c r="F144" s="358"/>
      <c r="G144" s="278"/>
      <c r="H144" s="358"/>
      <c r="I144" s="278"/>
    </row>
    <row r="145" spans="1:9" x14ac:dyDescent="0.3">
      <c r="A145" s="356"/>
      <c r="B145" s="278"/>
      <c r="C145" s="357"/>
      <c r="D145" s="358"/>
      <c r="E145" s="358"/>
      <c r="F145" s="358"/>
      <c r="G145" s="278"/>
      <c r="H145" s="358"/>
      <c r="I145" s="278"/>
    </row>
    <row r="146" spans="1:9" x14ac:dyDescent="0.3">
      <c r="A146" s="356"/>
      <c r="B146" s="278"/>
      <c r="C146" s="357"/>
      <c r="D146" s="358"/>
      <c r="E146" s="358"/>
      <c r="F146" s="358"/>
      <c r="G146" s="278"/>
      <c r="H146" s="358"/>
      <c r="I146" s="278"/>
    </row>
    <row r="147" spans="1:9" x14ac:dyDescent="0.3">
      <c r="A147" s="356"/>
      <c r="B147" s="278"/>
      <c r="C147" s="357"/>
      <c r="D147" s="358"/>
      <c r="E147" s="358"/>
      <c r="F147" s="358"/>
      <c r="G147" s="278"/>
      <c r="H147" s="358"/>
      <c r="I147" s="278"/>
    </row>
    <row r="148" spans="1:9" x14ac:dyDescent="0.3">
      <c r="A148" s="356"/>
      <c r="B148" s="278"/>
      <c r="C148" s="357"/>
      <c r="D148" s="358"/>
      <c r="E148" s="358"/>
      <c r="F148" s="358"/>
      <c r="G148" s="278"/>
      <c r="H148" s="358"/>
      <c r="I148" s="278"/>
    </row>
    <row r="149" spans="1:9" x14ac:dyDescent="0.3">
      <c r="A149" s="356"/>
      <c r="B149" s="278"/>
      <c r="C149" s="357"/>
      <c r="D149" s="358"/>
      <c r="E149" s="358"/>
      <c r="F149" s="358"/>
      <c r="G149" s="278"/>
      <c r="H149" s="358"/>
      <c r="I149" s="278"/>
    </row>
    <row r="150" spans="1:9" x14ac:dyDescent="0.3">
      <c r="A150" s="356"/>
      <c r="B150" s="278"/>
      <c r="C150" s="357"/>
      <c r="D150" s="358"/>
      <c r="E150" s="358"/>
      <c r="F150" s="358"/>
      <c r="G150" s="278"/>
      <c r="H150" s="358"/>
      <c r="I150" s="278"/>
    </row>
    <row r="151" spans="1:9" x14ac:dyDescent="0.3">
      <c r="A151" s="356"/>
      <c r="B151" s="278"/>
      <c r="C151" s="357"/>
      <c r="D151" s="358"/>
      <c r="E151" s="358"/>
      <c r="F151" s="358"/>
      <c r="G151" s="278"/>
      <c r="H151" s="358"/>
      <c r="I151" s="278"/>
    </row>
    <row r="152" spans="1:9" x14ac:dyDescent="0.3">
      <c r="A152" s="356"/>
      <c r="B152" s="278"/>
      <c r="C152" s="357"/>
      <c r="D152" s="358"/>
      <c r="E152" s="358"/>
      <c r="F152" s="358"/>
      <c r="G152" s="278"/>
      <c r="H152" s="358"/>
      <c r="I152" s="278"/>
    </row>
    <row r="153" spans="1:9" x14ac:dyDescent="0.3">
      <c r="A153" s="356"/>
      <c r="B153" s="278"/>
      <c r="C153" s="357"/>
      <c r="D153" s="358"/>
      <c r="E153" s="358"/>
      <c r="F153" s="358"/>
      <c r="G153" s="278"/>
      <c r="H153" s="358"/>
      <c r="I153" s="278"/>
    </row>
    <row r="154" spans="1:9" x14ac:dyDescent="0.3">
      <c r="A154" s="356"/>
      <c r="B154" s="278"/>
      <c r="C154" s="357"/>
      <c r="D154" s="358"/>
      <c r="E154" s="358"/>
      <c r="F154" s="358"/>
      <c r="G154" s="278"/>
      <c r="H154" s="358"/>
      <c r="I154" s="278"/>
    </row>
    <row r="155" spans="1:9" x14ac:dyDescent="0.3">
      <c r="A155" s="356"/>
      <c r="B155" s="278"/>
      <c r="C155" s="357"/>
      <c r="D155" s="358"/>
      <c r="E155" s="358"/>
      <c r="F155" s="358"/>
      <c r="G155" s="278"/>
      <c r="H155" s="358"/>
      <c r="I155" s="278"/>
    </row>
    <row r="156" spans="1:9" x14ac:dyDescent="0.3">
      <c r="A156" s="356"/>
      <c r="B156" s="278"/>
      <c r="C156" s="357"/>
      <c r="D156" s="358"/>
      <c r="E156" s="358"/>
      <c r="F156" s="358"/>
      <c r="G156" s="278"/>
      <c r="H156" s="358"/>
      <c r="I156" s="278"/>
    </row>
    <row r="157" spans="1:9" x14ac:dyDescent="0.3">
      <c r="A157" s="356"/>
      <c r="B157" s="278"/>
      <c r="C157" s="357"/>
      <c r="D157" s="358"/>
      <c r="E157" s="358"/>
      <c r="F157" s="358"/>
      <c r="G157" s="278"/>
      <c r="H157" s="358"/>
      <c r="I157" s="278"/>
    </row>
    <row r="158" spans="1:9" x14ac:dyDescent="0.3">
      <c r="A158" s="356"/>
      <c r="B158" s="278"/>
      <c r="C158" s="357"/>
      <c r="D158" s="358"/>
      <c r="E158" s="358"/>
      <c r="F158" s="358"/>
      <c r="G158" s="278"/>
      <c r="H158" s="358"/>
      <c r="I158" s="278"/>
    </row>
    <row r="159" spans="1:9" x14ac:dyDescent="0.3">
      <c r="A159" s="356"/>
      <c r="B159" s="278"/>
      <c r="C159" s="357"/>
      <c r="D159" s="358"/>
      <c r="E159" s="358"/>
      <c r="F159" s="358"/>
      <c r="G159" s="278"/>
      <c r="H159" s="358"/>
      <c r="I159" s="278"/>
    </row>
    <row r="160" spans="1:9" x14ac:dyDescent="0.3">
      <c r="A160" s="356"/>
      <c r="B160" s="278"/>
      <c r="C160" s="357"/>
      <c r="D160" s="358"/>
      <c r="E160" s="358"/>
      <c r="F160" s="358"/>
      <c r="G160" s="278"/>
      <c r="H160" s="358"/>
      <c r="I160" s="278"/>
    </row>
    <row r="161" spans="1:9" x14ac:dyDescent="0.3">
      <c r="A161" s="356"/>
      <c r="B161" s="278"/>
      <c r="C161" s="357"/>
      <c r="D161" s="358"/>
      <c r="E161" s="358"/>
      <c r="F161" s="358"/>
      <c r="G161" s="278"/>
      <c r="H161" s="358"/>
      <c r="I161" s="278"/>
    </row>
    <row r="162" spans="1:9" x14ac:dyDescent="0.3">
      <c r="A162" s="356"/>
      <c r="B162" s="278"/>
      <c r="C162" s="357"/>
      <c r="D162" s="358"/>
      <c r="E162" s="358"/>
      <c r="F162" s="358"/>
      <c r="G162" s="278"/>
      <c r="H162" s="358"/>
      <c r="I162" s="278"/>
    </row>
    <row r="163" spans="1:9" x14ac:dyDescent="0.3">
      <c r="A163" s="356"/>
      <c r="B163" s="278"/>
      <c r="C163" s="357"/>
      <c r="D163" s="358"/>
      <c r="E163" s="358"/>
      <c r="F163" s="358"/>
      <c r="G163" s="278"/>
      <c r="H163" s="358"/>
      <c r="I163" s="278"/>
    </row>
    <row r="164" spans="1:9" x14ac:dyDescent="0.3">
      <c r="A164" s="356"/>
      <c r="B164" s="278"/>
      <c r="C164" s="357"/>
      <c r="D164" s="358"/>
      <c r="E164" s="358"/>
      <c r="F164" s="358"/>
      <c r="G164" s="278"/>
      <c r="H164" s="358"/>
      <c r="I164" s="278"/>
    </row>
    <row r="165" spans="1:9" x14ac:dyDescent="0.3">
      <c r="A165" s="356"/>
      <c r="B165" s="278"/>
      <c r="C165" s="357"/>
      <c r="D165" s="358"/>
      <c r="E165" s="358"/>
      <c r="F165" s="358"/>
      <c r="G165" s="278"/>
      <c r="H165" s="358"/>
      <c r="I165" s="278"/>
    </row>
    <row r="166" spans="1:9" x14ac:dyDescent="0.3">
      <c r="A166" s="356"/>
      <c r="B166" s="278"/>
      <c r="C166" s="357"/>
      <c r="D166" s="358"/>
      <c r="E166" s="358"/>
      <c r="F166" s="358"/>
      <c r="G166" s="278"/>
      <c r="H166" s="358"/>
      <c r="I166" s="278"/>
    </row>
    <row r="167" spans="1:9" x14ac:dyDescent="0.3">
      <c r="A167" s="356"/>
      <c r="B167" s="278"/>
      <c r="C167" s="357"/>
      <c r="D167" s="358"/>
      <c r="E167" s="358"/>
      <c r="F167" s="358"/>
      <c r="G167" s="278"/>
      <c r="H167" s="358"/>
      <c r="I167" s="278"/>
    </row>
    <row r="168" spans="1:9" x14ac:dyDescent="0.3">
      <c r="A168" s="356"/>
      <c r="B168" s="278"/>
      <c r="C168" s="357"/>
      <c r="D168" s="358"/>
      <c r="E168" s="358"/>
      <c r="F168" s="358"/>
      <c r="G168" s="278"/>
      <c r="H168" s="358"/>
      <c r="I168" s="278"/>
    </row>
    <row r="169" spans="1:9" x14ac:dyDescent="0.3">
      <c r="A169" s="356"/>
      <c r="B169" s="278"/>
      <c r="C169" s="357"/>
      <c r="D169" s="358"/>
      <c r="E169" s="358"/>
      <c r="F169" s="358"/>
      <c r="G169" s="278"/>
      <c r="H169" s="358"/>
      <c r="I169" s="278"/>
    </row>
    <row r="170" spans="1:9" x14ac:dyDescent="0.3">
      <c r="A170" s="356"/>
      <c r="B170" s="278"/>
      <c r="C170" s="357"/>
      <c r="D170" s="358"/>
      <c r="E170" s="358"/>
      <c r="F170" s="358"/>
      <c r="G170" s="278"/>
      <c r="H170" s="358"/>
      <c r="I170" s="278"/>
    </row>
    <row r="171" spans="1:9" x14ac:dyDescent="0.3">
      <c r="A171" s="356"/>
      <c r="B171" s="278"/>
      <c r="C171" s="357"/>
      <c r="D171" s="358"/>
      <c r="E171" s="358"/>
      <c r="F171" s="358"/>
      <c r="G171" s="278"/>
      <c r="H171" s="358"/>
      <c r="I171" s="278"/>
    </row>
    <row r="172" spans="1:9" x14ac:dyDescent="0.3">
      <c r="A172" s="356"/>
      <c r="B172" s="278"/>
      <c r="C172" s="357"/>
      <c r="D172" s="358"/>
      <c r="E172" s="358"/>
      <c r="F172" s="358"/>
      <c r="G172" s="278"/>
      <c r="H172" s="358"/>
      <c r="I172" s="278"/>
    </row>
    <row r="173" spans="1:9" x14ac:dyDescent="0.3">
      <c r="A173" s="356"/>
      <c r="B173" s="278"/>
      <c r="C173" s="357"/>
      <c r="D173" s="358"/>
      <c r="E173" s="358"/>
      <c r="F173" s="358"/>
      <c r="G173" s="278"/>
      <c r="H173" s="358"/>
      <c r="I173" s="278"/>
    </row>
    <row r="174" spans="1:9" x14ac:dyDescent="0.3">
      <c r="A174" s="356"/>
      <c r="B174" s="278"/>
      <c r="C174" s="357"/>
      <c r="D174" s="358"/>
      <c r="E174" s="358"/>
      <c r="F174" s="358"/>
      <c r="G174" s="278"/>
      <c r="H174" s="358"/>
      <c r="I174" s="278"/>
    </row>
    <row r="175" spans="1:9" x14ac:dyDescent="0.3">
      <c r="A175" s="356"/>
      <c r="B175" s="278"/>
      <c r="C175" s="357"/>
      <c r="D175" s="358"/>
      <c r="E175" s="358"/>
      <c r="F175" s="358"/>
      <c r="G175" s="278"/>
      <c r="H175" s="358"/>
      <c r="I175" s="278"/>
    </row>
    <row r="176" spans="1:9" x14ac:dyDescent="0.3">
      <c r="A176" s="356"/>
      <c r="B176" s="278"/>
      <c r="C176" s="357"/>
      <c r="D176" s="358"/>
      <c r="E176" s="358"/>
      <c r="F176" s="358"/>
      <c r="G176" s="278"/>
      <c r="H176" s="358"/>
      <c r="I176" s="278"/>
    </row>
    <row r="177" spans="1:9" x14ac:dyDescent="0.3">
      <c r="A177" s="356"/>
      <c r="B177" s="278"/>
      <c r="C177" s="357"/>
      <c r="D177" s="358"/>
      <c r="E177" s="358"/>
      <c r="F177" s="358"/>
      <c r="G177" s="278"/>
      <c r="H177" s="358"/>
      <c r="I177" s="278"/>
    </row>
    <row r="178" spans="1:9" x14ac:dyDescent="0.3">
      <c r="A178" s="356"/>
      <c r="B178" s="278"/>
      <c r="C178" s="357"/>
      <c r="D178" s="358"/>
      <c r="E178" s="358"/>
      <c r="F178" s="358"/>
      <c r="G178" s="278"/>
      <c r="H178" s="358"/>
      <c r="I178" s="278"/>
    </row>
    <row r="179" spans="1:9" x14ac:dyDescent="0.3">
      <c r="A179" s="356"/>
      <c r="B179" s="278"/>
      <c r="C179" s="357"/>
      <c r="D179" s="358"/>
      <c r="E179" s="358"/>
      <c r="F179" s="358"/>
      <c r="G179" s="278"/>
      <c r="H179" s="358"/>
      <c r="I179" s="278"/>
    </row>
    <row r="180" spans="1:9" x14ac:dyDescent="0.3">
      <c r="A180" s="356"/>
      <c r="B180" s="278"/>
      <c r="C180" s="357"/>
      <c r="D180" s="358"/>
      <c r="E180" s="358"/>
      <c r="F180" s="358"/>
      <c r="G180" s="278"/>
      <c r="H180" s="358"/>
      <c r="I180" s="278"/>
    </row>
    <row r="181" spans="1:9" x14ac:dyDescent="0.3">
      <c r="A181" s="356"/>
      <c r="B181" s="278"/>
      <c r="C181" s="357"/>
      <c r="D181" s="358"/>
      <c r="E181" s="358"/>
      <c r="F181" s="358"/>
      <c r="G181" s="278"/>
      <c r="H181" s="358"/>
      <c r="I181" s="278"/>
    </row>
    <row r="182" spans="1:9" x14ac:dyDescent="0.3">
      <c r="A182" s="356"/>
      <c r="B182" s="278"/>
      <c r="C182" s="357"/>
      <c r="D182" s="358"/>
      <c r="E182" s="358"/>
      <c r="F182" s="358"/>
      <c r="G182" s="278"/>
      <c r="H182" s="358"/>
      <c r="I182" s="278"/>
    </row>
    <row r="183" spans="1:9" x14ac:dyDescent="0.3">
      <c r="A183" s="356"/>
      <c r="B183" s="278"/>
      <c r="C183" s="357"/>
      <c r="D183" s="358"/>
      <c r="E183" s="358"/>
      <c r="F183" s="358"/>
      <c r="G183" s="278"/>
      <c r="H183" s="358"/>
      <c r="I183" s="278"/>
    </row>
    <row r="184" spans="1:9" x14ac:dyDescent="0.3">
      <c r="A184" s="356"/>
      <c r="B184" s="278"/>
      <c r="C184" s="357"/>
      <c r="D184" s="358"/>
      <c r="E184" s="358"/>
      <c r="F184" s="358"/>
      <c r="G184" s="278"/>
      <c r="H184" s="358"/>
      <c r="I184" s="278"/>
    </row>
    <row r="185" spans="1:9" x14ac:dyDescent="0.3">
      <c r="A185" s="356"/>
      <c r="B185" s="278"/>
      <c r="C185" s="357"/>
      <c r="D185" s="358"/>
      <c r="E185" s="358"/>
      <c r="F185" s="358"/>
      <c r="G185" s="278"/>
      <c r="H185" s="358"/>
      <c r="I185" s="278"/>
    </row>
    <row r="186" spans="1:9" x14ac:dyDescent="0.3">
      <c r="A186" s="356"/>
      <c r="B186" s="278"/>
      <c r="C186" s="357"/>
      <c r="D186" s="358"/>
      <c r="E186" s="358"/>
      <c r="F186" s="358"/>
      <c r="G186" s="278"/>
      <c r="H186" s="358"/>
      <c r="I186" s="278"/>
    </row>
    <row r="187" spans="1:9" x14ac:dyDescent="0.3">
      <c r="A187" s="356"/>
      <c r="B187" s="278"/>
      <c r="C187" s="357"/>
      <c r="D187" s="358"/>
      <c r="E187" s="358"/>
      <c r="F187" s="358"/>
      <c r="G187" s="278"/>
      <c r="H187" s="358"/>
      <c r="I187" s="278"/>
    </row>
    <row r="188" spans="1:9" x14ac:dyDescent="0.3">
      <c r="A188" s="356"/>
      <c r="B188" s="278"/>
      <c r="C188" s="357"/>
      <c r="D188" s="358"/>
      <c r="E188" s="358"/>
      <c r="F188" s="358"/>
      <c r="G188" s="278"/>
      <c r="H188" s="358"/>
      <c r="I188" s="278"/>
    </row>
    <row r="189" spans="1:9" x14ac:dyDescent="0.3">
      <c r="A189" s="356"/>
      <c r="B189" s="278"/>
      <c r="C189" s="357"/>
      <c r="D189" s="358"/>
      <c r="E189" s="358"/>
      <c r="F189" s="358"/>
      <c r="G189" s="278"/>
      <c r="H189" s="358"/>
      <c r="I189" s="278"/>
    </row>
    <row r="190" spans="1:9" x14ac:dyDescent="0.3">
      <c r="A190" s="356"/>
      <c r="B190" s="278"/>
      <c r="C190" s="357"/>
      <c r="D190" s="358"/>
      <c r="E190" s="358"/>
      <c r="F190" s="358"/>
      <c r="G190" s="278"/>
      <c r="H190" s="358"/>
      <c r="I190" s="278"/>
    </row>
    <row r="191" spans="1:9" x14ac:dyDescent="0.3">
      <c r="A191" s="356"/>
      <c r="B191" s="278"/>
      <c r="C191" s="357"/>
      <c r="D191" s="358"/>
      <c r="E191" s="358"/>
      <c r="F191" s="358"/>
      <c r="G191" s="278"/>
      <c r="H191" s="358"/>
      <c r="I191" s="278"/>
    </row>
    <row r="192" spans="1:9" x14ac:dyDescent="0.3">
      <c r="A192" s="356"/>
      <c r="B192" s="278"/>
      <c r="C192" s="357"/>
      <c r="D192" s="358"/>
      <c r="E192" s="358"/>
      <c r="F192" s="358"/>
      <c r="G192" s="278"/>
      <c r="H192" s="358"/>
      <c r="I192" s="278"/>
    </row>
    <row r="193" spans="1:9" x14ac:dyDescent="0.3">
      <c r="A193" s="356"/>
      <c r="B193" s="278"/>
      <c r="C193" s="357"/>
      <c r="D193" s="358"/>
      <c r="E193" s="358"/>
      <c r="F193" s="358"/>
      <c r="G193" s="278"/>
      <c r="H193" s="358"/>
      <c r="I193" s="278"/>
    </row>
    <row r="194" spans="1:9" x14ac:dyDescent="0.3">
      <c r="A194" s="356"/>
      <c r="B194" s="278"/>
      <c r="C194" s="357"/>
      <c r="D194" s="358"/>
      <c r="E194" s="358"/>
      <c r="F194" s="358"/>
      <c r="G194" s="278"/>
      <c r="H194" s="358"/>
      <c r="I194" s="278"/>
    </row>
    <row r="195" spans="1:9" x14ac:dyDescent="0.3">
      <c r="A195" s="356"/>
      <c r="B195" s="278"/>
      <c r="C195" s="357"/>
      <c r="D195" s="358"/>
      <c r="E195" s="358"/>
      <c r="F195" s="358"/>
      <c r="G195" s="278"/>
      <c r="H195" s="358"/>
      <c r="I195" s="278"/>
    </row>
    <row r="196" spans="1:9" x14ac:dyDescent="0.3">
      <c r="A196" s="356"/>
      <c r="B196" s="278"/>
      <c r="C196" s="357"/>
      <c r="D196" s="358"/>
      <c r="E196" s="358"/>
      <c r="F196" s="358"/>
      <c r="G196" s="278"/>
      <c r="H196" s="358"/>
      <c r="I196" s="278"/>
    </row>
    <row r="197" spans="1:9" x14ac:dyDescent="0.3">
      <c r="A197" s="356"/>
      <c r="B197" s="278"/>
      <c r="C197" s="357"/>
      <c r="D197" s="358"/>
      <c r="E197" s="358"/>
      <c r="F197" s="358"/>
      <c r="G197" s="278"/>
      <c r="H197" s="358"/>
      <c r="I197" s="278"/>
    </row>
    <row r="198" spans="1:9" x14ac:dyDescent="0.3">
      <c r="A198" s="356"/>
      <c r="B198" s="278"/>
      <c r="C198" s="357"/>
      <c r="D198" s="358"/>
      <c r="E198" s="358"/>
      <c r="F198" s="358"/>
      <c r="G198" s="278"/>
      <c r="H198" s="358"/>
      <c r="I198" s="278"/>
    </row>
    <row r="199" spans="1:9" x14ac:dyDescent="0.3">
      <c r="A199" s="356"/>
      <c r="B199" s="278"/>
      <c r="C199" s="357"/>
      <c r="D199" s="358"/>
      <c r="E199" s="358"/>
      <c r="F199" s="358"/>
      <c r="G199" s="278"/>
      <c r="H199" s="358"/>
      <c r="I199" s="278"/>
    </row>
    <row r="200" spans="1:9" x14ac:dyDescent="0.3">
      <c r="A200" s="356"/>
      <c r="B200" s="278"/>
      <c r="C200" s="357"/>
      <c r="D200" s="358"/>
      <c r="E200" s="358"/>
      <c r="F200" s="358"/>
      <c r="G200" s="278"/>
      <c r="H200" s="358"/>
      <c r="I200" s="278"/>
    </row>
    <row r="201" spans="1:9" x14ac:dyDescent="0.3">
      <c r="A201" s="356"/>
      <c r="B201" s="278"/>
      <c r="C201" s="357"/>
      <c r="D201" s="358"/>
      <c r="E201" s="358"/>
      <c r="F201" s="358"/>
      <c r="G201" s="278"/>
      <c r="H201" s="358"/>
      <c r="I201" s="278"/>
    </row>
    <row r="202" spans="1:9" x14ac:dyDescent="0.3">
      <c r="A202" s="356"/>
      <c r="B202" s="278"/>
      <c r="C202" s="357"/>
      <c r="D202" s="358"/>
      <c r="E202" s="358"/>
      <c r="F202" s="358"/>
      <c r="G202" s="278"/>
      <c r="H202" s="358"/>
      <c r="I202" s="278"/>
    </row>
    <row r="203" spans="1:9" x14ac:dyDescent="0.3">
      <c r="A203" s="356"/>
      <c r="B203" s="278"/>
      <c r="C203" s="357"/>
      <c r="D203" s="358"/>
      <c r="E203" s="358"/>
      <c r="F203" s="358"/>
      <c r="G203" s="278"/>
      <c r="H203" s="358"/>
      <c r="I203" s="278"/>
    </row>
    <row r="204" spans="1:9" x14ac:dyDescent="0.3">
      <c r="A204" s="356"/>
      <c r="B204" s="278"/>
      <c r="C204" s="357"/>
      <c r="D204" s="358"/>
      <c r="E204" s="358"/>
      <c r="F204" s="358"/>
      <c r="G204" s="278"/>
      <c r="H204" s="358"/>
      <c r="I204" s="278"/>
    </row>
    <row r="205" spans="1:9" x14ac:dyDescent="0.3">
      <c r="A205" s="356"/>
      <c r="B205" s="278"/>
      <c r="C205" s="357"/>
      <c r="D205" s="358"/>
      <c r="E205" s="358"/>
      <c r="F205" s="358"/>
      <c r="G205" s="278"/>
      <c r="H205" s="358"/>
      <c r="I205" s="278"/>
    </row>
    <row r="206" spans="1:9" x14ac:dyDescent="0.3">
      <c r="A206" s="356"/>
      <c r="B206" s="278"/>
      <c r="C206" s="357"/>
      <c r="D206" s="358"/>
      <c r="E206" s="358"/>
      <c r="F206" s="358"/>
      <c r="G206" s="278"/>
      <c r="H206" s="358"/>
      <c r="I206" s="278"/>
    </row>
    <row r="207" spans="1:9" x14ac:dyDescent="0.3">
      <c r="A207" s="356"/>
      <c r="B207" s="278"/>
      <c r="C207" s="357"/>
      <c r="D207" s="358"/>
      <c r="E207" s="358"/>
      <c r="F207" s="358"/>
      <c r="G207" s="278"/>
      <c r="H207" s="358"/>
      <c r="I207" s="278"/>
    </row>
    <row r="208" spans="1:9" x14ac:dyDescent="0.3">
      <c r="A208" s="356"/>
      <c r="B208" s="278"/>
      <c r="C208" s="357"/>
      <c r="D208" s="358"/>
      <c r="E208" s="358"/>
      <c r="F208" s="358"/>
      <c r="G208" s="278"/>
      <c r="H208" s="358"/>
      <c r="I208" s="278"/>
    </row>
    <row r="209" spans="1:9" x14ac:dyDescent="0.3">
      <c r="A209" s="356"/>
      <c r="B209" s="278"/>
      <c r="C209" s="357"/>
      <c r="D209" s="358"/>
      <c r="E209" s="358"/>
      <c r="F209" s="358"/>
      <c r="G209" s="278"/>
      <c r="H209" s="358"/>
      <c r="I209" s="278"/>
    </row>
    <row r="210" spans="1:9" x14ac:dyDescent="0.3">
      <c r="A210" s="356"/>
      <c r="B210" s="278"/>
      <c r="C210" s="357"/>
      <c r="D210" s="358"/>
      <c r="E210" s="358"/>
      <c r="F210" s="358"/>
      <c r="G210" s="278"/>
      <c r="H210" s="358"/>
      <c r="I210" s="278"/>
    </row>
    <row r="211" spans="1:9" x14ac:dyDescent="0.3">
      <c r="A211" s="356"/>
      <c r="B211" s="278"/>
      <c r="C211" s="357"/>
      <c r="D211" s="358"/>
      <c r="E211" s="358"/>
      <c r="F211" s="358"/>
      <c r="G211" s="278"/>
      <c r="H211" s="358"/>
      <c r="I211" s="278"/>
    </row>
    <row r="212" spans="1:9" x14ac:dyDescent="0.3">
      <c r="A212" s="356"/>
      <c r="B212" s="278"/>
      <c r="C212" s="357"/>
      <c r="D212" s="358"/>
      <c r="E212" s="358"/>
      <c r="F212" s="358"/>
      <c r="G212" s="278"/>
      <c r="H212" s="358"/>
      <c r="I212" s="278"/>
    </row>
    <row r="213" spans="1:9" x14ac:dyDescent="0.3">
      <c r="A213" s="356"/>
      <c r="B213" s="278"/>
      <c r="C213" s="357"/>
      <c r="D213" s="358"/>
      <c r="E213" s="358"/>
      <c r="F213" s="358"/>
      <c r="G213" s="278"/>
      <c r="H213" s="358"/>
      <c r="I213" s="278"/>
    </row>
    <row r="214" spans="1:9" x14ac:dyDescent="0.3">
      <c r="A214" s="356"/>
      <c r="B214" s="278"/>
      <c r="C214" s="357"/>
      <c r="D214" s="358"/>
      <c r="E214" s="358"/>
      <c r="F214" s="358"/>
      <c r="G214" s="278"/>
      <c r="H214" s="358"/>
      <c r="I214" s="278"/>
    </row>
    <row r="215" spans="1:9" x14ac:dyDescent="0.3">
      <c r="A215" s="356"/>
      <c r="B215" s="278"/>
      <c r="C215" s="357"/>
      <c r="D215" s="358"/>
      <c r="E215" s="358"/>
      <c r="F215" s="358"/>
      <c r="G215" s="278"/>
      <c r="H215" s="358"/>
      <c r="I215" s="278"/>
    </row>
    <row r="216" spans="1:9" x14ac:dyDescent="0.3">
      <c r="A216" s="356"/>
      <c r="B216" s="278"/>
      <c r="C216" s="357"/>
      <c r="D216" s="358"/>
      <c r="E216" s="358"/>
      <c r="F216" s="358"/>
      <c r="G216" s="278"/>
      <c r="H216" s="358"/>
      <c r="I216" s="278"/>
    </row>
    <row r="217" spans="1:9" x14ac:dyDescent="0.3">
      <c r="A217" s="356"/>
      <c r="B217" s="278"/>
      <c r="C217" s="357"/>
      <c r="D217" s="358"/>
      <c r="E217" s="358"/>
      <c r="F217" s="358"/>
      <c r="G217" s="278"/>
      <c r="H217" s="358"/>
      <c r="I217" s="278"/>
    </row>
    <row r="218" spans="1:9" x14ac:dyDescent="0.3">
      <c r="A218" s="356"/>
      <c r="B218" s="278"/>
      <c r="C218" s="357"/>
      <c r="D218" s="358"/>
      <c r="E218" s="358"/>
      <c r="F218" s="358"/>
      <c r="G218" s="278"/>
      <c r="H218" s="358"/>
      <c r="I218" s="278"/>
    </row>
    <row r="219" spans="1:9" x14ac:dyDescent="0.3">
      <c r="A219" s="356"/>
      <c r="B219" s="278"/>
      <c r="C219" s="357"/>
      <c r="D219" s="358"/>
      <c r="E219" s="358"/>
      <c r="F219" s="358"/>
      <c r="G219" s="278"/>
      <c r="H219" s="358"/>
      <c r="I219" s="278"/>
    </row>
    <row r="220" spans="1:9" x14ac:dyDescent="0.3">
      <c r="A220" s="356"/>
      <c r="B220" s="278"/>
      <c r="C220" s="357"/>
      <c r="D220" s="358"/>
      <c r="E220" s="358"/>
      <c r="F220" s="358"/>
      <c r="G220" s="278"/>
      <c r="H220" s="358"/>
      <c r="I220" s="278"/>
    </row>
    <row r="221" spans="1:9" x14ac:dyDescent="0.3">
      <c r="A221" s="356"/>
      <c r="B221" s="278"/>
      <c r="C221" s="357"/>
      <c r="D221" s="358"/>
      <c r="E221" s="358"/>
      <c r="F221" s="358"/>
      <c r="G221" s="278"/>
      <c r="H221" s="358"/>
      <c r="I221" s="278"/>
    </row>
    <row r="222" spans="1:9" x14ac:dyDescent="0.3">
      <c r="A222" s="356"/>
      <c r="B222" s="278"/>
      <c r="C222" s="357"/>
      <c r="D222" s="358"/>
      <c r="E222" s="358"/>
      <c r="F222" s="358"/>
      <c r="G222" s="278"/>
      <c r="H222" s="358"/>
      <c r="I222" s="278"/>
    </row>
    <row r="223" spans="1:9" x14ac:dyDescent="0.3">
      <c r="A223" s="356"/>
      <c r="B223" s="278"/>
      <c r="C223" s="357"/>
      <c r="D223" s="358"/>
      <c r="E223" s="358"/>
      <c r="F223" s="358"/>
      <c r="G223" s="278"/>
      <c r="H223" s="358"/>
      <c r="I223" s="278"/>
    </row>
    <row r="224" spans="1:9" x14ac:dyDescent="0.3">
      <c r="A224" s="356"/>
      <c r="B224" s="278"/>
      <c r="C224" s="357"/>
      <c r="D224" s="358"/>
      <c r="E224" s="358"/>
      <c r="F224" s="358"/>
      <c r="G224" s="278"/>
      <c r="H224" s="358"/>
      <c r="I224" s="278"/>
    </row>
    <row r="225" spans="1:9" x14ac:dyDescent="0.3">
      <c r="A225" s="356"/>
      <c r="B225" s="278"/>
      <c r="C225" s="357"/>
      <c r="D225" s="358"/>
      <c r="E225" s="358"/>
      <c r="F225" s="358"/>
      <c r="G225" s="278"/>
      <c r="H225" s="358"/>
      <c r="I225" s="278"/>
    </row>
    <row r="226" spans="1:9" x14ac:dyDescent="0.3">
      <c r="A226" s="356"/>
      <c r="B226" s="278"/>
      <c r="C226" s="357"/>
      <c r="D226" s="358"/>
      <c r="E226" s="358"/>
      <c r="F226" s="358"/>
      <c r="G226" s="278"/>
      <c r="H226" s="358"/>
      <c r="I226" s="278"/>
    </row>
    <row r="227" spans="1:9" x14ac:dyDescent="0.3">
      <c r="A227" s="356"/>
      <c r="B227" s="278"/>
      <c r="C227" s="357"/>
      <c r="D227" s="358"/>
      <c r="E227" s="358"/>
      <c r="F227" s="358"/>
      <c r="G227" s="278"/>
      <c r="H227" s="358"/>
      <c r="I227" s="278"/>
    </row>
    <row r="228" spans="1:9" x14ac:dyDescent="0.3">
      <c r="A228" s="356"/>
      <c r="B228" s="278"/>
      <c r="C228" s="357"/>
      <c r="D228" s="358"/>
      <c r="E228" s="358"/>
      <c r="F228" s="358"/>
      <c r="G228" s="278"/>
      <c r="H228" s="358"/>
      <c r="I228" s="278"/>
    </row>
    <row r="229" spans="1:9" x14ac:dyDescent="0.3">
      <c r="A229" s="356"/>
      <c r="B229" s="278"/>
      <c r="C229" s="357"/>
      <c r="D229" s="358"/>
      <c r="E229" s="358"/>
      <c r="F229" s="358"/>
      <c r="G229" s="278"/>
      <c r="H229" s="358"/>
      <c r="I229" s="278"/>
    </row>
    <row r="230" spans="1:9" x14ac:dyDescent="0.3">
      <c r="A230" s="356"/>
      <c r="B230" s="278"/>
      <c r="C230" s="357"/>
      <c r="D230" s="358"/>
      <c r="E230" s="358"/>
      <c r="F230" s="358"/>
      <c r="G230" s="278"/>
      <c r="H230" s="358"/>
      <c r="I230" s="278"/>
    </row>
    <row r="231" spans="1:9" x14ac:dyDescent="0.3">
      <c r="A231" s="356"/>
      <c r="B231" s="278"/>
      <c r="C231" s="357"/>
      <c r="D231" s="358"/>
      <c r="E231" s="358"/>
      <c r="F231" s="358"/>
      <c r="G231" s="278"/>
      <c r="H231" s="358"/>
      <c r="I231" s="278"/>
    </row>
    <row r="232" spans="1:9" x14ac:dyDescent="0.3">
      <c r="A232" s="356"/>
      <c r="B232" s="278"/>
      <c r="C232" s="357"/>
      <c r="D232" s="358"/>
      <c r="E232" s="358"/>
      <c r="F232" s="358"/>
      <c r="G232" s="278"/>
      <c r="H232" s="358"/>
      <c r="I232" s="278"/>
    </row>
    <row r="233" spans="1:9" x14ac:dyDescent="0.3">
      <c r="A233" s="356"/>
      <c r="B233" s="278"/>
      <c r="C233" s="357"/>
      <c r="D233" s="358"/>
      <c r="E233" s="358"/>
      <c r="F233" s="358"/>
      <c r="G233" s="278"/>
      <c r="H233" s="358"/>
      <c r="I233" s="278"/>
    </row>
    <row r="234" spans="1:9" x14ac:dyDescent="0.3">
      <c r="A234" s="356"/>
      <c r="B234" s="278"/>
      <c r="C234" s="357"/>
      <c r="D234" s="358"/>
      <c r="E234" s="358"/>
      <c r="F234" s="358"/>
      <c r="G234" s="278"/>
      <c r="H234" s="358"/>
      <c r="I234" s="278"/>
    </row>
    <row r="235" spans="1:9" x14ac:dyDescent="0.3">
      <c r="A235" s="356"/>
      <c r="B235" s="278"/>
      <c r="C235" s="357"/>
      <c r="D235" s="358"/>
      <c r="E235" s="358"/>
      <c r="F235" s="358"/>
      <c r="G235" s="278"/>
      <c r="H235" s="358"/>
      <c r="I235" s="278"/>
    </row>
    <row r="236" spans="1:9" x14ac:dyDescent="0.3">
      <c r="A236" s="356"/>
      <c r="B236" s="278"/>
      <c r="C236" s="357"/>
      <c r="D236" s="358"/>
      <c r="E236" s="358"/>
      <c r="F236" s="358"/>
      <c r="G236" s="278"/>
      <c r="H236" s="358"/>
      <c r="I236" s="278"/>
    </row>
    <row r="237" spans="1:9" x14ac:dyDescent="0.3">
      <c r="A237" s="356"/>
      <c r="B237" s="278"/>
      <c r="C237" s="357"/>
      <c r="D237" s="358"/>
      <c r="E237" s="358"/>
      <c r="F237" s="358"/>
      <c r="G237" s="278"/>
      <c r="H237" s="358"/>
      <c r="I237" s="278"/>
    </row>
    <row r="238" spans="1:9" x14ac:dyDescent="0.3">
      <c r="A238" s="356"/>
      <c r="B238" s="278"/>
      <c r="C238" s="357"/>
      <c r="D238" s="358"/>
      <c r="E238" s="358"/>
      <c r="F238" s="358"/>
      <c r="G238" s="278"/>
      <c r="H238" s="358"/>
      <c r="I238" s="278"/>
    </row>
    <row r="239" spans="1:9" x14ac:dyDescent="0.3">
      <c r="A239" s="356"/>
      <c r="B239" s="278"/>
      <c r="C239" s="357"/>
      <c r="D239" s="358"/>
      <c r="E239" s="358"/>
      <c r="F239" s="358"/>
      <c r="G239" s="278"/>
      <c r="H239" s="358"/>
      <c r="I239" s="278"/>
    </row>
    <row r="240" spans="1:9" x14ac:dyDescent="0.3">
      <c r="A240" s="356"/>
      <c r="B240" s="278"/>
      <c r="C240" s="357"/>
      <c r="D240" s="358"/>
      <c r="E240" s="358"/>
      <c r="F240" s="358"/>
      <c r="G240" s="278"/>
      <c r="H240" s="358"/>
      <c r="I240" s="278"/>
    </row>
    <row r="241" spans="1:9" x14ac:dyDescent="0.3">
      <c r="A241" s="356"/>
      <c r="B241" s="278"/>
      <c r="C241" s="357"/>
      <c r="D241" s="358"/>
      <c r="E241" s="358"/>
      <c r="F241" s="358"/>
      <c r="G241" s="278"/>
      <c r="H241" s="358"/>
      <c r="I241" s="278"/>
    </row>
    <row r="242" spans="1:9" x14ac:dyDescent="0.3">
      <c r="A242" s="356"/>
      <c r="B242" s="278"/>
      <c r="C242" s="357"/>
      <c r="D242" s="358"/>
      <c r="E242" s="358"/>
      <c r="F242" s="358"/>
      <c r="G242" s="278"/>
      <c r="H242" s="358"/>
      <c r="I242" s="278"/>
    </row>
    <row r="243" spans="1:9" x14ac:dyDescent="0.3">
      <c r="A243" s="356"/>
      <c r="B243" s="278"/>
      <c r="C243" s="357"/>
      <c r="D243" s="358"/>
      <c r="E243" s="358"/>
      <c r="F243" s="358"/>
      <c r="G243" s="278"/>
      <c r="H243" s="358"/>
      <c r="I243" s="278"/>
    </row>
    <row r="244" spans="1:9" x14ac:dyDescent="0.3">
      <c r="A244" s="356"/>
      <c r="B244" s="278"/>
      <c r="C244" s="357"/>
      <c r="D244" s="358"/>
      <c r="E244" s="358"/>
      <c r="F244" s="358"/>
      <c r="G244" s="278"/>
      <c r="H244" s="358"/>
      <c r="I244" s="278"/>
    </row>
    <row r="245" spans="1:9" x14ac:dyDescent="0.3">
      <c r="A245" s="356"/>
      <c r="B245" s="278"/>
      <c r="C245" s="357"/>
      <c r="D245" s="358"/>
      <c r="E245" s="358"/>
      <c r="F245" s="358"/>
      <c r="G245" s="278"/>
      <c r="H245" s="358"/>
      <c r="I245" s="278"/>
    </row>
    <row r="246" spans="1:9" x14ac:dyDescent="0.3">
      <c r="A246" s="356"/>
      <c r="B246" s="278"/>
      <c r="C246" s="357"/>
      <c r="D246" s="358"/>
      <c r="E246" s="358"/>
      <c r="F246" s="358"/>
      <c r="G246" s="278"/>
      <c r="H246" s="358"/>
      <c r="I246" s="278"/>
    </row>
    <row r="247" spans="1:9" x14ac:dyDescent="0.3">
      <c r="A247" s="356"/>
      <c r="B247" s="278"/>
      <c r="C247" s="357"/>
      <c r="D247" s="358"/>
      <c r="E247" s="358"/>
      <c r="F247" s="358"/>
      <c r="G247" s="278"/>
      <c r="H247" s="358"/>
      <c r="I247" s="278"/>
    </row>
    <row r="248" spans="1:9" x14ac:dyDescent="0.3">
      <c r="A248" s="356"/>
      <c r="B248" s="278"/>
      <c r="C248" s="357"/>
      <c r="D248" s="358"/>
      <c r="E248" s="358"/>
      <c r="F248" s="358"/>
      <c r="G248" s="278"/>
      <c r="H248" s="358"/>
      <c r="I248" s="278"/>
    </row>
    <row r="249" spans="1:9" x14ac:dyDescent="0.3">
      <c r="A249" s="356"/>
      <c r="B249" s="278"/>
      <c r="C249" s="357"/>
      <c r="D249" s="358"/>
      <c r="E249" s="358"/>
      <c r="F249" s="358"/>
      <c r="G249" s="278"/>
      <c r="H249" s="358"/>
      <c r="I249" s="278"/>
    </row>
    <row r="250" spans="1:9" x14ac:dyDescent="0.3">
      <c r="A250" s="356"/>
      <c r="B250" s="278"/>
      <c r="C250" s="357"/>
      <c r="D250" s="358"/>
      <c r="E250" s="358"/>
      <c r="F250" s="358"/>
      <c r="G250" s="278"/>
      <c r="H250" s="358"/>
      <c r="I250" s="278"/>
    </row>
    <row r="251" spans="1:9" x14ac:dyDescent="0.3">
      <c r="A251" s="356"/>
      <c r="B251" s="278"/>
      <c r="C251" s="357"/>
      <c r="D251" s="358"/>
      <c r="E251" s="358"/>
      <c r="F251" s="358"/>
      <c r="G251" s="278"/>
      <c r="H251" s="358"/>
      <c r="I251" s="278"/>
    </row>
    <row r="252" spans="1:9" x14ac:dyDescent="0.3">
      <c r="A252" s="356"/>
      <c r="B252" s="278"/>
      <c r="C252" s="357"/>
      <c r="D252" s="358"/>
      <c r="E252" s="358"/>
      <c r="F252" s="358"/>
      <c r="G252" s="278"/>
      <c r="H252" s="358"/>
      <c r="I252" s="278"/>
    </row>
    <row r="253" spans="1:9" x14ac:dyDescent="0.3">
      <c r="A253" s="356"/>
      <c r="B253" s="278"/>
      <c r="C253" s="357"/>
      <c r="D253" s="358"/>
      <c r="E253" s="358"/>
      <c r="F253" s="358"/>
      <c r="G253" s="278"/>
      <c r="H253" s="358"/>
      <c r="I253" s="278"/>
    </row>
    <row r="254" spans="1:9" x14ac:dyDescent="0.3">
      <c r="A254" s="356"/>
      <c r="B254" s="278"/>
      <c r="C254" s="357"/>
      <c r="D254" s="358"/>
      <c r="E254" s="358"/>
      <c r="F254" s="358"/>
      <c r="G254" s="278"/>
      <c r="H254" s="358"/>
      <c r="I254" s="278"/>
    </row>
    <row r="255" spans="1:9" x14ac:dyDescent="0.3">
      <c r="A255" s="356"/>
      <c r="B255" s="278"/>
      <c r="C255" s="357"/>
      <c r="D255" s="358"/>
      <c r="E255" s="358"/>
      <c r="F255" s="358"/>
      <c r="G255" s="278"/>
      <c r="H255" s="358"/>
      <c r="I255" s="278"/>
    </row>
    <row r="256" spans="1:9" x14ac:dyDescent="0.3">
      <c r="A256" s="356"/>
      <c r="B256" s="278"/>
      <c r="C256" s="357"/>
      <c r="D256" s="358"/>
      <c r="E256" s="358"/>
      <c r="F256" s="358"/>
      <c r="G256" s="278"/>
      <c r="H256" s="358"/>
      <c r="I256" s="278"/>
    </row>
    <row r="257" spans="1:9" x14ac:dyDescent="0.3">
      <c r="A257" s="356"/>
      <c r="B257" s="278"/>
      <c r="C257" s="357"/>
      <c r="D257" s="358"/>
      <c r="E257" s="358"/>
      <c r="F257" s="358"/>
      <c r="G257" s="278"/>
      <c r="H257" s="358"/>
      <c r="I257" s="278"/>
    </row>
    <row r="258" spans="1:9" x14ac:dyDescent="0.3">
      <c r="A258" s="356"/>
      <c r="B258" s="278"/>
      <c r="C258" s="357"/>
      <c r="D258" s="358"/>
      <c r="E258" s="358"/>
      <c r="F258" s="358"/>
      <c r="G258" s="278"/>
      <c r="H258" s="358"/>
      <c r="I258" s="278"/>
    </row>
    <row r="259" spans="1:9" x14ac:dyDescent="0.3">
      <c r="A259" s="356"/>
      <c r="B259" s="278"/>
      <c r="C259" s="357"/>
      <c r="D259" s="358"/>
      <c r="E259" s="358"/>
      <c r="F259" s="358"/>
      <c r="G259" s="278"/>
      <c r="H259" s="358"/>
      <c r="I259" s="278"/>
    </row>
    <row r="260" spans="1:9" x14ac:dyDescent="0.3">
      <c r="A260" s="356"/>
      <c r="B260" s="278"/>
      <c r="C260" s="357"/>
      <c r="D260" s="358"/>
      <c r="E260" s="358"/>
      <c r="F260" s="358"/>
      <c r="G260" s="278"/>
      <c r="H260" s="358"/>
      <c r="I260" s="278"/>
    </row>
    <row r="261" spans="1:9" x14ac:dyDescent="0.3">
      <c r="A261" s="356"/>
      <c r="B261" s="278"/>
      <c r="C261" s="357"/>
      <c r="D261" s="358"/>
      <c r="E261" s="358"/>
      <c r="F261" s="358"/>
      <c r="G261" s="278"/>
      <c r="H261" s="358"/>
      <c r="I261" s="278"/>
    </row>
    <row r="262" spans="1:9" x14ac:dyDescent="0.3">
      <c r="A262" s="356"/>
      <c r="B262" s="278"/>
      <c r="C262" s="357"/>
      <c r="D262" s="358"/>
      <c r="E262" s="358"/>
      <c r="F262" s="358"/>
      <c r="G262" s="278"/>
      <c r="H262" s="358"/>
      <c r="I262" s="278"/>
    </row>
    <row r="263" spans="1:9" x14ac:dyDescent="0.3">
      <c r="A263" s="356"/>
      <c r="B263" s="278"/>
      <c r="C263" s="357"/>
      <c r="D263" s="358"/>
      <c r="E263" s="358"/>
      <c r="F263" s="358"/>
      <c r="G263" s="278"/>
      <c r="H263" s="358"/>
      <c r="I263" s="278"/>
    </row>
    <row r="264" spans="1:9" x14ac:dyDescent="0.3">
      <c r="A264" s="356"/>
      <c r="B264" s="278"/>
      <c r="C264" s="357"/>
      <c r="D264" s="358"/>
      <c r="E264" s="358"/>
      <c r="F264" s="358"/>
      <c r="G264" s="278"/>
      <c r="H264" s="358"/>
      <c r="I264" s="278"/>
    </row>
    <row r="265" spans="1:9" x14ac:dyDescent="0.3">
      <c r="A265" s="356"/>
      <c r="B265" s="278"/>
      <c r="C265" s="357"/>
      <c r="D265" s="358"/>
      <c r="E265" s="358"/>
      <c r="F265" s="358"/>
      <c r="G265" s="278"/>
      <c r="H265" s="358"/>
      <c r="I265" s="278"/>
    </row>
    <row r="266" spans="1:9" x14ac:dyDescent="0.3">
      <c r="A266" s="356"/>
      <c r="B266" s="278"/>
      <c r="C266" s="357"/>
      <c r="D266" s="358"/>
      <c r="E266" s="358"/>
      <c r="F266" s="358"/>
      <c r="G266" s="278"/>
      <c r="H266" s="358"/>
      <c r="I266" s="278"/>
    </row>
    <row r="267" spans="1:9" x14ac:dyDescent="0.3">
      <c r="A267" s="356"/>
      <c r="B267" s="278"/>
      <c r="C267" s="357"/>
      <c r="D267" s="358"/>
      <c r="E267" s="358"/>
      <c r="F267" s="358"/>
      <c r="G267" s="278"/>
      <c r="H267" s="358"/>
      <c r="I267" s="278"/>
    </row>
    <row r="268" spans="1:9" x14ac:dyDescent="0.3">
      <c r="A268" s="356"/>
      <c r="B268" s="278"/>
      <c r="C268" s="357"/>
      <c r="D268" s="358"/>
      <c r="E268" s="358"/>
      <c r="F268" s="358"/>
      <c r="G268" s="278"/>
      <c r="H268" s="358"/>
      <c r="I268" s="278"/>
    </row>
    <row r="269" spans="1:9" x14ac:dyDescent="0.3">
      <c r="A269" s="356"/>
      <c r="B269" s="278"/>
      <c r="C269" s="357"/>
      <c r="D269" s="358"/>
      <c r="E269" s="358"/>
      <c r="F269" s="358"/>
      <c r="G269" s="278"/>
      <c r="H269" s="358"/>
      <c r="I269" s="278"/>
    </row>
    <row r="270" spans="1:9" x14ac:dyDescent="0.3">
      <c r="A270" s="356"/>
      <c r="B270" s="278"/>
      <c r="C270" s="357"/>
      <c r="D270" s="358"/>
      <c r="E270" s="358"/>
      <c r="F270" s="358"/>
      <c r="G270" s="278"/>
      <c r="H270" s="358"/>
      <c r="I270" s="278"/>
    </row>
    <row r="271" spans="1:9" x14ac:dyDescent="0.3">
      <c r="A271" s="356"/>
      <c r="B271" s="278"/>
      <c r="C271" s="357"/>
      <c r="D271" s="358"/>
      <c r="E271" s="358"/>
      <c r="F271" s="358"/>
      <c r="G271" s="278"/>
      <c r="H271" s="358"/>
      <c r="I271" s="278"/>
    </row>
    <row r="272" spans="1:9" x14ac:dyDescent="0.3">
      <c r="A272" s="356"/>
      <c r="B272" s="278"/>
      <c r="C272" s="357"/>
      <c r="D272" s="358"/>
      <c r="E272" s="358"/>
      <c r="F272" s="358"/>
      <c r="G272" s="278"/>
      <c r="H272" s="358"/>
      <c r="I272" s="278"/>
    </row>
    <row r="273" spans="1:9" x14ac:dyDescent="0.3">
      <c r="A273" s="356"/>
      <c r="B273" s="278"/>
      <c r="C273" s="357"/>
      <c r="D273" s="358"/>
      <c r="E273" s="358"/>
      <c r="F273" s="358"/>
      <c r="G273" s="278"/>
      <c r="H273" s="358"/>
      <c r="I273" s="278"/>
    </row>
    <row r="274" spans="1:9" x14ac:dyDescent="0.3">
      <c r="A274" s="356"/>
      <c r="B274" s="278"/>
      <c r="C274" s="357"/>
      <c r="D274" s="358"/>
      <c r="E274" s="358"/>
      <c r="F274" s="358"/>
      <c r="G274" s="278"/>
      <c r="H274" s="358"/>
      <c r="I274" s="278"/>
    </row>
    <row r="275" spans="1:9" x14ac:dyDescent="0.3">
      <c r="A275" s="356"/>
      <c r="B275" s="278"/>
      <c r="C275" s="357"/>
      <c r="D275" s="358"/>
      <c r="E275" s="358"/>
      <c r="F275" s="358"/>
      <c r="G275" s="278"/>
      <c r="H275" s="358"/>
      <c r="I275" s="278"/>
    </row>
    <row r="276" spans="1:9" x14ac:dyDescent="0.3">
      <c r="A276" s="356"/>
      <c r="B276" s="278"/>
      <c r="C276" s="357"/>
      <c r="D276" s="358"/>
      <c r="E276" s="358"/>
      <c r="F276" s="358"/>
      <c r="G276" s="278"/>
      <c r="H276" s="358"/>
      <c r="I276" s="278"/>
    </row>
    <row r="277" spans="1:9" x14ac:dyDescent="0.3">
      <c r="A277" s="356"/>
      <c r="B277" s="278"/>
      <c r="C277" s="357"/>
      <c r="D277" s="358"/>
      <c r="E277" s="358"/>
      <c r="F277" s="358"/>
      <c r="G277" s="278"/>
      <c r="H277" s="358"/>
      <c r="I277" s="278"/>
    </row>
    <row r="278" spans="1:9" x14ac:dyDescent="0.3">
      <c r="A278" s="356"/>
      <c r="B278" s="278"/>
      <c r="C278" s="357"/>
      <c r="D278" s="358"/>
      <c r="E278" s="358"/>
      <c r="F278" s="358"/>
      <c r="G278" s="278"/>
      <c r="H278" s="358"/>
      <c r="I278" s="278"/>
    </row>
    <row r="279" spans="1:9" x14ac:dyDescent="0.3">
      <c r="A279" s="356"/>
      <c r="B279" s="278"/>
      <c r="C279" s="357"/>
      <c r="D279" s="358"/>
      <c r="E279" s="358"/>
      <c r="F279" s="358"/>
      <c r="G279" s="278"/>
      <c r="H279" s="358"/>
      <c r="I279" s="278"/>
    </row>
    <row r="280" spans="1:9" x14ac:dyDescent="0.3">
      <c r="A280" s="356"/>
      <c r="B280" s="278"/>
      <c r="C280" s="357"/>
      <c r="D280" s="358"/>
      <c r="E280" s="358"/>
      <c r="F280" s="358"/>
      <c r="G280" s="278"/>
      <c r="H280" s="358"/>
      <c r="I280" s="278"/>
    </row>
    <row r="281" spans="1:9" x14ac:dyDescent="0.3">
      <c r="A281" s="356"/>
      <c r="B281" s="278"/>
      <c r="C281" s="357"/>
      <c r="D281" s="358"/>
      <c r="E281" s="358"/>
      <c r="F281" s="358"/>
      <c r="G281" s="278"/>
      <c r="H281" s="358"/>
      <c r="I281" s="278"/>
    </row>
    <row r="282" spans="1:9" x14ac:dyDescent="0.3">
      <c r="A282" s="356"/>
      <c r="B282" s="278"/>
      <c r="C282" s="357"/>
      <c r="D282" s="358"/>
      <c r="E282" s="358"/>
      <c r="F282" s="358"/>
      <c r="G282" s="278"/>
      <c r="H282" s="358"/>
      <c r="I282" s="278"/>
    </row>
    <row r="283" spans="1:9" x14ac:dyDescent="0.3">
      <c r="A283" s="356"/>
      <c r="B283" s="278"/>
      <c r="C283" s="357"/>
      <c r="D283" s="358"/>
      <c r="E283" s="358"/>
      <c r="F283" s="358"/>
      <c r="G283" s="278"/>
      <c r="H283" s="358"/>
      <c r="I283" s="278"/>
    </row>
    <row r="284" spans="1:9" x14ac:dyDescent="0.3">
      <c r="A284" s="356"/>
      <c r="B284" s="278"/>
      <c r="C284" s="357"/>
      <c r="D284" s="358"/>
      <c r="E284" s="358"/>
      <c r="F284" s="358"/>
      <c r="G284" s="278"/>
      <c r="H284" s="358"/>
      <c r="I284" s="278"/>
    </row>
    <row r="285" spans="1:9" x14ac:dyDescent="0.3">
      <c r="A285" s="356"/>
      <c r="B285" s="278"/>
      <c r="C285" s="357"/>
      <c r="D285" s="358"/>
      <c r="E285" s="358"/>
      <c r="F285" s="358"/>
      <c r="G285" s="278"/>
      <c r="H285" s="358"/>
      <c r="I285" s="278"/>
    </row>
    <row r="286" spans="1:9" x14ac:dyDescent="0.3">
      <c r="A286" s="356"/>
      <c r="B286" s="278"/>
      <c r="C286" s="357"/>
      <c r="D286" s="358"/>
      <c r="E286" s="358"/>
      <c r="F286" s="358"/>
      <c r="G286" s="278"/>
      <c r="H286" s="358"/>
      <c r="I286" s="278"/>
    </row>
    <row r="287" spans="1:9" x14ac:dyDescent="0.3">
      <c r="A287" s="356"/>
      <c r="B287" s="278"/>
      <c r="C287" s="357"/>
      <c r="D287" s="358"/>
      <c r="E287" s="358"/>
      <c r="F287" s="358"/>
      <c r="G287" s="278"/>
      <c r="H287" s="358"/>
      <c r="I287" s="278"/>
    </row>
    <row r="288" spans="1:9" x14ac:dyDescent="0.3">
      <c r="A288" s="356"/>
      <c r="B288" s="278"/>
      <c r="C288" s="357"/>
      <c r="D288" s="358"/>
      <c r="E288" s="358"/>
      <c r="F288" s="358"/>
      <c r="G288" s="278"/>
      <c r="H288" s="358"/>
      <c r="I288" s="278"/>
    </row>
    <row r="289" spans="1:9" x14ac:dyDescent="0.3">
      <c r="A289" s="356"/>
      <c r="B289" s="278"/>
      <c r="C289" s="357"/>
      <c r="D289" s="358"/>
      <c r="E289" s="358"/>
      <c r="F289" s="358"/>
      <c r="G289" s="278"/>
      <c r="H289" s="358"/>
      <c r="I289" s="278"/>
    </row>
    <row r="290" spans="1:9" x14ac:dyDescent="0.3">
      <c r="A290" s="356"/>
      <c r="B290" s="278"/>
      <c r="C290" s="357"/>
      <c r="D290" s="358"/>
      <c r="E290" s="358"/>
      <c r="F290" s="358"/>
      <c r="G290" s="278"/>
      <c r="H290" s="358"/>
      <c r="I290" s="278"/>
    </row>
    <row r="291" spans="1:9" x14ac:dyDescent="0.3">
      <c r="A291" s="356"/>
      <c r="B291" s="278"/>
      <c r="C291" s="357"/>
      <c r="D291" s="358"/>
      <c r="E291" s="358"/>
      <c r="F291" s="358"/>
      <c r="G291" s="278"/>
      <c r="H291" s="358"/>
      <c r="I291" s="278"/>
    </row>
    <row r="292" spans="1:9" x14ac:dyDescent="0.3">
      <c r="A292" s="356"/>
      <c r="B292" s="278"/>
      <c r="C292" s="357"/>
      <c r="D292" s="358"/>
      <c r="E292" s="358"/>
      <c r="F292" s="358"/>
      <c r="G292" s="278"/>
      <c r="H292" s="358"/>
      <c r="I292" s="278"/>
    </row>
    <row r="293" spans="1:9" x14ac:dyDescent="0.3">
      <c r="A293" s="356"/>
      <c r="B293" s="278"/>
      <c r="C293" s="357"/>
      <c r="D293" s="358"/>
      <c r="E293" s="358"/>
      <c r="F293" s="358"/>
      <c r="G293" s="278"/>
      <c r="H293" s="358"/>
      <c r="I293" s="278"/>
    </row>
    <row r="294" spans="1:9" x14ac:dyDescent="0.3">
      <c r="A294" s="356"/>
      <c r="B294" s="278"/>
      <c r="C294" s="357"/>
      <c r="D294" s="358"/>
      <c r="E294" s="358"/>
      <c r="F294" s="358"/>
      <c r="G294" s="278"/>
      <c r="H294" s="358"/>
      <c r="I294" s="278"/>
    </row>
    <row r="295" spans="1:9" x14ac:dyDescent="0.3">
      <c r="A295" s="356"/>
      <c r="B295" s="278"/>
      <c r="C295" s="357"/>
      <c r="D295" s="358"/>
      <c r="E295" s="358"/>
      <c r="F295" s="358"/>
      <c r="G295" s="278"/>
      <c r="H295" s="358"/>
      <c r="I295" s="278"/>
    </row>
    <row r="296" spans="1:9" x14ac:dyDescent="0.3">
      <c r="A296" s="356"/>
      <c r="B296" s="278"/>
      <c r="C296" s="357"/>
      <c r="D296" s="358"/>
      <c r="E296" s="358"/>
      <c r="F296" s="358"/>
      <c r="G296" s="278"/>
      <c r="H296" s="358"/>
      <c r="I296" s="278"/>
    </row>
    <row r="297" spans="1:9" x14ac:dyDescent="0.3">
      <c r="A297" s="356"/>
      <c r="B297" s="278"/>
      <c r="C297" s="357"/>
      <c r="D297" s="358"/>
      <c r="E297" s="358"/>
      <c r="F297" s="358"/>
      <c r="G297" s="278"/>
      <c r="H297" s="358"/>
      <c r="I297" s="278"/>
    </row>
    <row r="298" spans="1:9" x14ac:dyDescent="0.3">
      <c r="A298" s="356"/>
      <c r="B298" s="278"/>
      <c r="C298" s="357"/>
      <c r="D298" s="358"/>
      <c r="E298" s="358"/>
      <c r="F298" s="358"/>
      <c r="G298" s="278"/>
      <c r="H298" s="358"/>
      <c r="I298" s="278"/>
    </row>
    <row r="299" spans="1:9" x14ac:dyDescent="0.3">
      <c r="A299" s="356"/>
      <c r="B299" s="278"/>
      <c r="C299" s="357"/>
      <c r="D299" s="358"/>
      <c r="E299" s="358"/>
      <c r="F299" s="358"/>
      <c r="G299" s="278"/>
      <c r="H299" s="358"/>
      <c r="I299" s="278"/>
    </row>
    <row r="300" spans="1:9" x14ac:dyDescent="0.3">
      <c r="A300" s="356"/>
      <c r="B300" s="278"/>
      <c r="C300" s="357"/>
      <c r="D300" s="358"/>
      <c r="E300" s="358"/>
      <c r="F300" s="358"/>
      <c r="G300" s="278"/>
      <c r="H300" s="358"/>
      <c r="I300" s="278"/>
    </row>
    <row r="301" spans="1:9" x14ac:dyDescent="0.3">
      <c r="A301" s="356"/>
      <c r="B301" s="278"/>
      <c r="C301" s="357"/>
      <c r="D301" s="358"/>
      <c r="E301" s="358"/>
      <c r="F301" s="358"/>
      <c r="G301" s="278"/>
      <c r="H301" s="358"/>
      <c r="I301" s="278"/>
    </row>
    <row r="302" spans="1:9" x14ac:dyDescent="0.3">
      <c r="A302" s="356"/>
      <c r="B302" s="278"/>
      <c r="C302" s="357"/>
      <c r="D302" s="358"/>
      <c r="E302" s="358"/>
      <c r="F302" s="358"/>
      <c r="G302" s="278"/>
      <c r="H302" s="358"/>
      <c r="I302" s="278"/>
    </row>
    <row r="303" spans="1:9" x14ac:dyDescent="0.3">
      <c r="A303" s="356"/>
      <c r="B303" s="278"/>
      <c r="C303" s="357"/>
      <c r="D303" s="358"/>
      <c r="E303" s="358"/>
      <c r="F303" s="358"/>
      <c r="G303" s="278"/>
      <c r="H303" s="358"/>
      <c r="I303" s="278"/>
    </row>
    <row r="304" spans="1:9" x14ac:dyDescent="0.3">
      <c r="A304" s="356"/>
      <c r="B304" s="278"/>
      <c r="C304" s="357"/>
      <c r="D304" s="358"/>
      <c r="E304" s="358"/>
      <c r="F304" s="358"/>
      <c r="G304" s="278"/>
      <c r="H304" s="358"/>
      <c r="I304" s="278"/>
    </row>
    <row r="305" spans="1:9" x14ac:dyDescent="0.3">
      <c r="A305" s="356"/>
      <c r="B305" s="278"/>
      <c r="C305" s="357"/>
      <c r="D305" s="358"/>
      <c r="E305" s="358"/>
      <c r="F305" s="358"/>
      <c r="G305" s="278"/>
      <c r="H305" s="358"/>
      <c r="I305" s="278"/>
    </row>
    <row r="306" spans="1:9" x14ac:dyDescent="0.3">
      <c r="A306" s="356"/>
      <c r="B306" s="278"/>
      <c r="C306" s="357"/>
      <c r="D306" s="358"/>
      <c r="E306" s="358"/>
      <c r="F306" s="358"/>
      <c r="G306" s="278"/>
      <c r="H306" s="358"/>
      <c r="I306" s="278"/>
    </row>
    <row r="307" spans="1:9" x14ac:dyDescent="0.3">
      <c r="A307" s="356"/>
      <c r="B307" s="278"/>
      <c r="C307" s="357"/>
      <c r="D307" s="358"/>
      <c r="E307" s="358"/>
      <c r="F307" s="358"/>
      <c r="G307" s="278"/>
      <c r="H307" s="358"/>
      <c r="I307" s="278"/>
    </row>
    <row r="308" spans="1:9" x14ac:dyDescent="0.3">
      <c r="A308" s="356"/>
      <c r="B308" s="278"/>
      <c r="C308" s="357"/>
      <c r="D308" s="358"/>
      <c r="E308" s="358"/>
      <c r="F308" s="358"/>
      <c r="G308" s="278"/>
      <c r="H308" s="358"/>
      <c r="I308" s="278"/>
    </row>
    <row r="309" spans="1:9" x14ac:dyDescent="0.3">
      <c r="A309" s="356"/>
      <c r="B309" s="278"/>
      <c r="C309" s="357"/>
      <c r="D309" s="358"/>
      <c r="E309" s="358"/>
      <c r="F309" s="358"/>
      <c r="G309" s="278"/>
      <c r="H309" s="358"/>
      <c r="I309" s="278"/>
    </row>
    <row r="310" spans="1:9" x14ac:dyDescent="0.3">
      <c r="A310" s="356"/>
      <c r="B310" s="278"/>
      <c r="C310" s="357"/>
      <c r="D310" s="358"/>
      <c r="E310" s="358"/>
      <c r="F310" s="358"/>
      <c r="G310" s="278"/>
      <c r="H310" s="358"/>
      <c r="I310" s="278"/>
    </row>
    <row r="311" spans="1:9" x14ac:dyDescent="0.3">
      <c r="A311" s="356"/>
      <c r="B311" s="278"/>
      <c r="C311" s="357"/>
      <c r="D311" s="358"/>
      <c r="E311" s="358"/>
      <c r="F311" s="358"/>
      <c r="G311" s="278"/>
      <c r="H311" s="358"/>
      <c r="I311" s="278"/>
    </row>
    <row r="312" spans="1:9" x14ac:dyDescent="0.3">
      <c r="A312" s="356"/>
      <c r="B312" s="278"/>
      <c r="C312" s="357"/>
      <c r="D312" s="358"/>
      <c r="E312" s="358"/>
      <c r="F312" s="358"/>
      <c r="G312" s="278"/>
      <c r="H312" s="358"/>
      <c r="I312" s="278"/>
    </row>
    <row r="313" spans="1:9" x14ac:dyDescent="0.3">
      <c r="A313" s="356"/>
      <c r="B313" s="278"/>
      <c r="C313" s="357"/>
      <c r="D313" s="358"/>
      <c r="E313" s="358"/>
      <c r="F313" s="358"/>
      <c r="G313" s="278"/>
      <c r="H313" s="358"/>
      <c r="I313" s="278"/>
    </row>
    <row r="314" spans="1:9" x14ac:dyDescent="0.3">
      <c r="A314" s="356"/>
      <c r="B314" s="278"/>
      <c r="C314" s="357"/>
      <c r="D314" s="358"/>
      <c r="E314" s="358"/>
      <c r="F314" s="358"/>
      <c r="G314" s="278"/>
      <c r="H314" s="358"/>
      <c r="I314" s="278"/>
    </row>
    <row r="315" spans="1:9" x14ac:dyDescent="0.3">
      <c r="A315" s="356"/>
      <c r="B315" s="278"/>
      <c r="C315" s="357"/>
      <c r="D315" s="358"/>
      <c r="E315" s="358"/>
      <c r="F315" s="358"/>
      <c r="G315" s="278"/>
      <c r="H315" s="358"/>
      <c r="I315" s="278"/>
    </row>
    <row r="316" spans="1:9" x14ac:dyDescent="0.3">
      <c r="A316" s="356"/>
      <c r="B316" s="278"/>
      <c r="C316" s="357"/>
      <c r="D316" s="358"/>
      <c r="E316" s="358"/>
      <c r="F316" s="358"/>
      <c r="G316" s="278"/>
      <c r="H316" s="358"/>
      <c r="I316" s="278"/>
    </row>
    <row r="317" spans="1:9" x14ac:dyDescent="0.3">
      <c r="A317" s="356"/>
      <c r="B317" s="278"/>
      <c r="C317" s="357"/>
      <c r="D317" s="358"/>
      <c r="E317" s="358"/>
      <c r="F317" s="358"/>
      <c r="G317" s="278"/>
      <c r="H317" s="358"/>
      <c r="I317" s="278"/>
    </row>
    <row r="318" spans="1:9" x14ac:dyDescent="0.3">
      <c r="A318" s="356"/>
      <c r="B318" s="278"/>
      <c r="C318" s="357"/>
      <c r="D318" s="358"/>
      <c r="E318" s="358"/>
      <c r="F318" s="358"/>
      <c r="G318" s="278"/>
      <c r="H318" s="358"/>
      <c r="I318" s="278"/>
    </row>
    <row r="319" spans="1:9" x14ac:dyDescent="0.3">
      <c r="A319" s="356"/>
      <c r="B319" s="278"/>
      <c r="C319" s="357"/>
      <c r="D319" s="358"/>
      <c r="E319" s="358"/>
      <c r="F319" s="358"/>
      <c r="G319" s="278"/>
      <c r="H319" s="358"/>
      <c r="I319" s="278"/>
    </row>
    <row r="320" spans="1:9" x14ac:dyDescent="0.3">
      <c r="A320" s="356"/>
      <c r="B320" s="278"/>
      <c r="C320" s="357"/>
      <c r="D320" s="358"/>
      <c r="E320" s="358"/>
      <c r="F320" s="358"/>
      <c r="G320" s="278"/>
      <c r="H320" s="358"/>
      <c r="I320" s="278"/>
    </row>
    <row r="321" spans="1:9" x14ac:dyDescent="0.3">
      <c r="A321" s="356"/>
      <c r="B321" s="278"/>
      <c r="C321" s="357"/>
      <c r="D321" s="358"/>
      <c r="E321" s="358"/>
      <c r="F321" s="358"/>
      <c r="G321" s="278"/>
      <c r="H321" s="358"/>
      <c r="I321" s="278"/>
    </row>
    <row r="322" spans="1:9" x14ac:dyDescent="0.3">
      <c r="A322" s="356"/>
      <c r="B322" s="278"/>
      <c r="C322" s="357"/>
      <c r="D322" s="358"/>
      <c r="E322" s="358"/>
      <c r="F322" s="358"/>
      <c r="G322" s="278"/>
      <c r="H322" s="358"/>
      <c r="I322" s="278"/>
    </row>
    <row r="323" spans="1:9" x14ac:dyDescent="0.3">
      <c r="A323" s="356"/>
      <c r="B323" s="278"/>
      <c r="C323" s="357"/>
      <c r="D323" s="358"/>
      <c r="E323" s="358"/>
      <c r="F323" s="358"/>
      <c r="G323" s="278"/>
      <c r="H323" s="358"/>
      <c r="I323" s="278"/>
    </row>
    <row r="324" spans="1:9" x14ac:dyDescent="0.3">
      <c r="A324" s="356"/>
      <c r="B324" s="278"/>
      <c r="C324" s="357"/>
      <c r="D324" s="358"/>
      <c r="E324" s="358"/>
      <c r="F324" s="358"/>
      <c r="G324" s="278"/>
      <c r="H324" s="358"/>
      <c r="I324" s="278"/>
    </row>
    <row r="325" spans="1:9" x14ac:dyDescent="0.3">
      <c r="A325" s="356"/>
      <c r="B325" s="278"/>
      <c r="C325" s="357"/>
      <c r="D325" s="358"/>
      <c r="E325" s="358"/>
      <c r="F325" s="358"/>
      <c r="G325" s="278"/>
      <c r="H325" s="358"/>
      <c r="I325" s="278"/>
    </row>
    <row r="326" spans="1:9" x14ac:dyDescent="0.3">
      <c r="A326" s="356"/>
      <c r="B326" s="278"/>
      <c r="C326" s="357"/>
      <c r="D326" s="358"/>
      <c r="E326" s="358"/>
      <c r="F326" s="358"/>
      <c r="G326" s="278"/>
      <c r="H326" s="358"/>
      <c r="I326" s="278"/>
    </row>
    <row r="327" spans="1:9" x14ac:dyDescent="0.3">
      <c r="A327" s="356"/>
      <c r="B327" s="278"/>
      <c r="C327" s="357"/>
      <c r="D327" s="358"/>
      <c r="E327" s="358"/>
      <c r="F327" s="358"/>
      <c r="G327" s="278"/>
      <c r="H327" s="358"/>
      <c r="I327" s="278"/>
    </row>
    <row r="328" spans="1:9" x14ac:dyDescent="0.3">
      <c r="A328" s="356"/>
      <c r="B328" s="278"/>
      <c r="C328" s="357"/>
      <c r="D328" s="358"/>
      <c r="E328" s="358"/>
      <c r="F328" s="358"/>
      <c r="G328" s="278"/>
      <c r="H328" s="358"/>
      <c r="I328" s="278"/>
    </row>
    <row r="329" spans="1:9" x14ac:dyDescent="0.3">
      <c r="A329" s="356"/>
      <c r="B329" s="278"/>
      <c r="C329" s="357"/>
      <c r="D329" s="358"/>
      <c r="E329" s="358"/>
      <c r="F329" s="358"/>
      <c r="G329" s="278"/>
      <c r="H329" s="358"/>
      <c r="I329" s="278"/>
    </row>
    <row r="330" spans="1:9" x14ac:dyDescent="0.3">
      <c r="A330" s="356"/>
      <c r="B330" s="278"/>
      <c r="C330" s="357"/>
      <c r="D330" s="358"/>
      <c r="E330" s="358"/>
      <c r="F330" s="358"/>
      <c r="G330" s="278"/>
      <c r="H330" s="358"/>
      <c r="I330" s="278"/>
    </row>
    <row r="331" spans="1:9" x14ac:dyDescent="0.3">
      <c r="A331" s="356"/>
      <c r="B331" s="278"/>
      <c r="C331" s="357"/>
      <c r="D331" s="358"/>
      <c r="E331" s="358"/>
      <c r="F331" s="358"/>
      <c r="G331" s="278"/>
      <c r="H331" s="358"/>
      <c r="I331" s="278"/>
    </row>
    <row r="332" spans="1:9" x14ac:dyDescent="0.3">
      <c r="A332" s="356"/>
      <c r="B332" s="278"/>
      <c r="C332" s="357"/>
      <c r="D332" s="358"/>
      <c r="E332" s="358"/>
      <c r="F332" s="358"/>
      <c r="G332" s="278"/>
      <c r="H332" s="358"/>
      <c r="I332" s="278"/>
    </row>
    <row r="333" spans="1:9" x14ac:dyDescent="0.3">
      <c r="A333" s="356"/>
      <c r="B333" s="278"/>
      <c r="C333" s="357"/>
      <c r="D333" s="358"/>
      <c r="E333" s="358"/>
      <c r="F333" s="358"/>
      <c r="G333" s="278"/>
      <c r="H333" s="358"/>
      <c r="I333" s="278"/>
    </row>
    <row r="334" spans="1:9" x14ac:dyDescent="0.3">
      <c r="A334" s="356"/>
      <c r="B334" s="278"/>
      <c r="C334" s="357"/>
      <c r="D334" s="358"/>
      <c r="E334" s="358"/>
      <c r="F334" s="358"/>
      <c r="G334" s="278"/>
      <c r="H334" s="358"/>
      <c r="I334" s="278"/>
    </row>
    <row r="335" spans="1:9" x14ac:dyDescent="0.3">
      <c r="A335" s="356"/>
      <c r="B335" s="278"/>
      <c r="C335" s="357"/>
      <c r="D335" s="358"/>
      <c r="E335" s="358"/>
      <c r="F335" s="358"/>
      <c r="G335" s="278"/>
      <c r="H335" s="358"/>
      <c r="I335" s="278"/>
    </row>
    <row r="336" spans="1:9" x14ac:dyDescent="0.3">
      <c r="A336" s="356"/>
      <c r="B336" s="278"/>
      <c r="C336" s="357"/>
      <c r="D336" s="358"/>
      <c r="E336" s="358"/>
      <c r="F336" s="358"/>
      <c r="G336" s="278"/>
      <c r="H336" s="358"/>
      <c r="I336" s="278"/>
    </row>
    <row r="337" spans="1:9" x14ac:dyDescent="0.3">
      <c r="A337" s="356"/>
      <c r="B337" s="278"/>
      <c r="C337" s="357"/>
      <c r="D337" s="358"/>
      <c r="E337" s="358"/>
      <c r="F337" s="358"/>
      <c r="G337" s="278"/>
      <c r="H337" s="358"/>
      <c r="I337" s="278"/>
    </row>
    <row r="338" spans="1:9" x14ac:dyDescent="0.3">
      <c r="A338" s="356"/>
      <c r="B338" s="278"/>
      <c r="C338" s="357"/>
      <c r="D338" s="358"/>
      <c r="E338" s="358"/>
      <c r="F338" s="358"/>
      <c r="G338" s="278"/>
      <c r="H338" s="358"/>
      <c r="I338" s="278"/>
    </row>
    <row r="339" spans="1:9" x14ac:dyDescent="0.3">
      <c r="A339" s="356"/>
      <c r="B339" s="278"/>
      <c r="C339" s="357"/>
      <c r="D339" s="358"/>
      <c r="E339" s="358"/>
      <c r="F339" s="358"/>
      <c r="G339" s="278"/>
      <c r="H339" s="358"/>
      <c r="I339" s="278"/>
    </row>
    <row r="340" spans="1:9" x14ac:dyDescent="0.3">
      <c r="A340" s="356"/>
      <c r="B340" s="278"/>
      <c r="C340" s="357"/>
      <c r="D340" s="358"/>
      <c r="E340" s="358"/>
      <c r="F340" s="358"/>
      <c r="G340" s="278"/>
      <c r="H340" s="358"/>
      <c r="I340" s="278"/>
    </row>
    <row r="341" spans="1:9" x14ac:dyDescent="0.3">
      <c r="A341" s="356"/>
      <c r="B341" s="278"/>
      <c r="C341" s="357"/>
      <c r="D341" s="358"/>
      <c r="E341" s="358"/>
      <c r="F341" s="358"/>
      <c r="G341" s="278"/>
      <c r="H341" s="358"/>
      <c r="I341" s="278"/>
    </row>
    <row r="342" spans="1:9" x14ac:dyDescent="0.3">
      <c r="A342" s="356"/>
      <c r="B342" s="278"/>
      <c r="C342" s="357"/>
      <c r="D342" s="358"/>
      <c r="E342" s="358"/>
      <c r="F342" s="358"/>
      <c r="G342" s="278"/>
      <c r="H342" s="358"/>
      <c r="I342" s="278"/>
    </row>
    <row r="343" spans="1:9" x14ac:dyDescent="0.3">
      <c r="A343" s="356"/>
      <c r="B343" s="278"/>
      <c r="C343" s="357"/>
      <c r="D343" s="358"/>
      <c r="E343" s="358"/>
      <c r="F343" s="358"/>
      <c r="G343" s="278"/>
      <c r="H343" s="358"/>
      <c r="I343" s="278"/>
    </row>
    <row r="344" spans="1:9" x14ac:dyDescent="0.3">
      <c r="A344" s="356"/>
      <c r="B344" s="278"/>
      <c r="C344" s="357"/>
      <c r="D344" s="358"/>
      <c r="E344" s="358"/>
      <c r="F344" s="358"/>
      <c r="G344" s="278"/>
      <c r="H344" s="358"/>
      <c r="I344" s="278"/>
    </row>
    <row r="345" spans="1:9" x14ac:dyDescent="0.3">
      <c r="A345" s="356"/>
      <c r="B345" s="278"/>
      <c r="C345" s="357"/>
      <c r="D345" s="358"/>
      <c r="E345" s="358"/>
      <c r="F345" s="358"/>
      <c r="G345" s="278"/>
      <c r="H345" s="358"/>
      <c r="I345" s="278"/>
    </row>
    <row r="346" spans="1:9" x14ac:dyDescent="0.3">
      <c r="A346" s="356"/>
      <c r="B346" s="278"/>
      <c r="C346" s="357"/>
      <c r="D346" s="358"/>
      <c r="E346" s="358"/>
      <c r="F346" s="358"/>
      <c r="G346" s="278"/>
      <c r="H346" s="358"/>
      <c r="I346" s="278"/>
    </row>
    <row r="347" spans="1:9" x14ac:dyDescent="0.3">
      <c r="A347" s="356"/>
      <c r="B347" s="278"/>
      <c r="C347" s="357"/>
      <c r="D347" s="358"/>
      <c r="E347" s="358"/>
      <c r="F347" s="358"/>
      <c r="G347" s="278"/>
      <c r="H347" s="358"/>
      <c r="I347" s="278"/>
    </row>
    <row r="348" spans="1:9" x14ac:dyDescent="0.3">
      <c r="A348" s="356"/>
      <c r="B348" s="278"/>
      <c r="C348" s="357"/>
      <c r="D348" s="358"/>
      <c r="E348" s="358"/>
      <c r="F348" s="358"/>
      <c r="G348" s="278"/>
      <c r="H348" s="358"/>
      <c r="I348" s="278"/>
    </row>
    <row r="349" spans="1:9" x14ac:dyDescent="0.3">
      <c r="A349" s="356"/>
      <c r="B349" s="278"/>
      <c r="C349" s="357"/>
      <c r="D349" s="358"/>
      <c r="E349" s="358"/>
      <c r="F349" s="358"/>
      <c r="G349" s="278"/>
      <c r="H349" s="358"/>
      <c r="I349" s="278"/>
    </row>
    <row r="350" spans="1:9" x14ac:dyDescent="0.3">
      <c r="A350" s="356"/>
      <c r="B350" s="278"/>
      <c r="C350" s="357"/>
      <c r="D350" s="358"/>
      <c r="E350" s="358"/>
      <c r="F350" s="358"/>
      <c r="G350" s="278"/>
      <c r="H350" s="358"/>
      <c r="I350" s="278"/>
    </row>
    <row r="351" spans="1:9" x14ac:dyDescent="0.3">
      <c r="A351" s="356"/>
      <c r="B351" s="278"/>
      <c r="C351" s="357"/>
      <c r="D351" s="358"/>
      <c r="E351" s="358"/>
      <c r="F351" s="358"/>
      <c r="G351" s="278"/>
      <c r="H351" s="358"/>
      <c r="I351" s="278"/>
    </row>
    <row r="352" spans="1:9" x14ac:dyDescent="0.3">
      <c r="A352" s="356"/>
      <c r="B352" s="278"/>
      <c r="C352" s="357"/>
      <c r="D352" s="358"/>
      <c r="E352" s="358"/>
      <c r="F352" s="358"/>
      <c r="G352" s="278"/>
      <c r="H352" s="358"/>
      <c r="I352" s="278"/>
    </row>
    <row r="353" spans="1:9" x14ac:dyDescent="0.3">
      <c r="A353" s="356"/>
      <c r="B353" s="278"/>
      <c r="C353" s="357"/>
      <c r="D353" s="358"/>
      <c r="E353" s="358"/>
      <c r="F353" s="358"/>
      <c r="G353" s="278"/>
      <c r="H353" s="358"/>
      <c r="I353" s="278"/>
    </row>
    <row r="354" spans="1:9" x14ac:dyDescent="0.3">
      <c r="A354" s="356"/>
      <c r="B354" s="278"/>
      <c r="C354" s="357"/>
      <c r="D354" s="358"/>
      <c r="E354" s="358"/>
      <c r="F354" s="358"/>
      <c r="G354" s="278"/>
      <c r="H354" s="358"/>
      <c r="I354" s="278"/>
    </row>
    <row r="355" spans="1:9" x14ac:dyDescent="0.3">
      <c r="A355" s="356"/>
      <c r="B355" s="278"/>
      <c r="C355" s="357"/>
      <c r="D355" s="358"/>
      <c r="E355" s="358"/>
      <c r="F355" s="358"/>
      <c r="G355" s="278"/>
      <c r="H355" s="358"/>
      <c r="I355" s="278"/>
    </row>
    <row r="356" spans="1:9" x14ac:dyDescent="0.3">
      <c r="A356" s="356"/>
      <c r="B356" s="278"/>
      <c r="C356" s="357"/>
      <c r="D356" s="358"/>
      <c r="E356" s="358"/>
      <c r="F356" s="358"/>
      <c r="G356" s="278"/>
      <c r="H356" s="358"/>
      <c r="I356" s="278"/>
    </row>
    <row r="357" spans="1:9" x14ac:dyDescent="0.3">
      <c r="A357" s="356"/>
      <c r="B357" s="278"/>
      <c r="C357" s="357"/>
      <c r="D357" s="358"/>
      <c r="E357" s="358"/>
      <c r="F357" s="358"/>
      <c r="G357" s="278"/>
      <c r="H357" s="358"/>
      <c r="I357" s="278"/>
    </row>
    <row r="358" spans="1:9" x14ac:dyDescent="0.3">
      <c r="A358" s="356"/>
      <c r="B358" s="278"/>
      <c r="C358" s="357"/>
      <c r="D358" s="358"/>
      <c r="E358" s="358"/>
      <c r="F358" s="358"/>
      <c r="G358" s="278"/>
      <c r="H358" s="358"/>
      <c r="I358" s="278"/>
    </row>
    <row r="359" spans="1:9" x14ac:dyDescent="0.3">
      <c r="A359" s="356"/>
      <c r="B359" s="278"/>
      <c r="C359" s="357"/>
      <c r="D359" s="358"/>
      <c r="E359" s="358"/>
      <c r="F359" s="358"/>
      <c r="G359" s="278"/>
      <c r="H359" s="358"/>
      <c r="I359" s="278"/>
    </row>
    <row r="360" spans="1:9" x14ac:dyDescent="0.3">
      <c r="A360" s="356"/>
      <c r="B360" s="278"/>
      <c r="C360" s="357"/>
      <c r="D360" s="358"/>
      <c r="E360" s="358"/>
      <c r="F360" s="358"/>
      <c r="G360" s="278"/>
      <c r="H360" s="358"/>
      <c r="I360" s="278"/>
    </row>
    <row r="361" spans="1:9" x14ac:dyDescent="0.3">
      <c r="A361" s="356"/>
      <c r="B361" s="278"/>
      <c r="C361" s="357"/>
      <c r="D361" s="358"/>
      <c r="E361" s="358"/>
      <c r="F361" s="358"/>
      <c r="G361" s="278"/>
      <c r="H361" s="358"/>
      <c r="I361" s="278"/>
    </row>
    <row r="362" spans="1:9" x14ac:dyDescent="0.3">
      <c r="A362" s="356"/>
      <c r="B362" s="278"/>
      <c r="C362" s="357"/>
      <c r="D362" s="358"/>
      <c r="E362" s="358"/>
      <c r="F362" s="358"/>
      <c r="G362" s="278"/>
      <c r="H362" s="358"/>
      <c r="I362" s="278"/>
    </row>
    <row r="363" spans="1:9" x14ac:dyDescent="0.3">
      <c r="A363" s="356"/>
      <c r="B363" s="278"/>
      <c r="C363" s="357"/>
      <c r="D363" s="358"/>
      <c r="E363" s="358"/>
      <c r="F363" s="358"/>
      <c r="G363" s="278"/>
      <c r="H363" s="358"/>
      <c r="I363" s="278"/>
    </row>
    <row r="364" spans="1:9" x14ac:dyDescent="0.3">
      <c r="A364" s="356"/>
      <c r="B364" s="278"/>
      <c r="C364" s="357"/>
      <c r="D364" s="358"/>
      <c r="E364" s="358"/>
      <c r="F364" s="358"/>
      <c r="G364" s="278"/>
      <c r="H364" s="358"/>
      <c r="I364" s="278"/>
    </row>
    <row r="365" spans="1:9" x14ac:dyDescent="0.3">
      <c r="A365" s="356"/>
      <c r="B365" s="278"/>
      <c r="C365" s="357"/>
      <c r="D365" s="358"/>
      <c r="E365" s="358"/>
      <c r="F365" s="358"/>
      <c r="G365" s="278"/>
      <c r="H365" s="358"/>
      <c r="I365" s="278"/>
    </row>
    <row r="366" spans="1:9" x14ac:dyDescent="0.3">
      <c r="A366" s="356"/>
      <c r="B366" s="278"/>
      <c r="C366" s="357"/>
      <c r="D366" s="358"/>
      <c r="E366" s="358"/>
      <c r="F366" s="358"/>
      <c r="G366" s="278"/>
      <c r="H366" s="358"/>
      <c r="I366" s="278"/>
    </row>
    <row r="367" spans="1:9" x14ac:dyDescent="0.3">
      <c r="A367" s="356"/>
      <c r="B367" s="278"/>
      <c r="C367" s="357"/>
      <c r="D367" s="358"/>
      <c r="E367" s="358"/>
      <c r="F367" s="358"/>
      <c r="G367" s="278"/>
      <c r="H367" s="358"/>
      <c r="I367" s="278"/>
    </row>
    <row r="368" spans="1:9" x14ac:dyDescent="0.3">
      <c r="A368" s="356"/>
      <c r="B368" s="278"/>
      <c r="C368" s="357"/>
      <c r="D368" s="358"/>
      <c r="E368" s="358"/>
      <c r="F368" s="358"/>
      <c r="G368" s="278"/>
      <c r="H368" s="358"/>
      <c r="I368" s="278"/>
    </row>
    <row r="369" spans="1:9" x14ac:dyDescent="0.3">
      <c r="A369" s="356"/>
      <c r="B369" s="278"/>
      <c r="C369" s="357"/>
      <c r="D369" s="358"/>
      <c r="E369" s="358"/>
      <c r="F369" s="358"/>
      <c r="G369" s="278"/>
      <c r="H369" s="358"/>
      <c r="I369" s="278"/>
    </row>
    <row r="370" spans="1:9" x14ac:dyDescent="0.3">
      <c r="A370" s="356"/>
      <c r="B370" s="278"/>
      <c r="C370" s="357"/>
      <c r="D370" s="358"/>
      <c r="E370" s="358"/>
      <c r="F370" s="358"/>
      <c r="G370" s="278"/>
      <c r="H370" s="358"/>
      <c r="I370" s="278"/>
    </row>
    <row r="371" spans="1:9" x14ac:dyDescent="0.3">
      <c r="A371" s="356"/>
      <c r="B371" s="278"/>
      <c r="C371" s="357"/>
      <c r="D371" s="358"/>
      <c r="E371" s="358"/>
      <c r="F371" s="358"/>
      <c r="G371" s="278"/>
      <c r="H371" s="358"/>
      <c r="I371" s="278"/>
    </row>
    <row r="372" spans="1:9" x14ac:dyDescent="0.3">
      <c r="A372" s="356"/>
      <c r="B372" s="278"/>
      <c r="C372" s="357"/>
      <c r="D372" s="358"/>
      <c r="E372" s="358"/>
      <c r="F372" s="358"/>
      <c r="G372" s="278"/>
      <c r="H372" s="358"/>
      <c r="I372" s="278"/>
    </row>
    <row r="373" spans="1:9" x14ac:dyDescent="0.3">
      <c r="A373" s="356"/>
      <c r="B373" s="278"/>
      <c r="C373" s="357"/>
      <c r="D373" s="358"/>
      <c r="E373" s="358"/>
      <c r="F373" s="358"/>
      <c r="G373" s="278"/>
      <c r="H373" s="358"/>
      <c r="I373" s="278"/>
    </row>
    <row r="374" spans="1:9" x14ac:dyDescent="0.3">
      <c r="A374" s="356"/>
      <c r="B374" s="278"/>
      <c r="C374" s="357"/>
      <c r="D374" s="358"/>
      <c r="E374" s="358"/>
      <c r="F374" s="358"/>
      <c r="G374" s="278"/>
      <c r="H374" s="358"/>
      <c r="I374" s="278"/>
    </row>
    <row r="375" spans="1:9" x14ac:dyDescent="0.3">
      <c r="A375" s="356"/>
      <c r="B375" s="278"/>
      <c r="C375" s="357"/>
      <c r="D375" s="358"/>
      <c r="E375" s="358"/>
      <c r="F375" s="358"/>
      <c r="G375" s="278"/>
      <c r="H375" s="358"/>
      <c r="I375" s="278"/>
    </row>
    <row r="376" spans="1:9" x14ac:dyDescent="0.3">
      <c r="A376" s="356"/>
      <c r="B376" s="278"/>
      <c r="C376" s="357"/>
      <c r="D376" s="358"/>
      <c r="E376" s="358"/>
      <c r="F376" s="358"/>
      <c r="G376" s="278"/>
      <c r="H376" s="358"/>
      <c r="I376" s="278"/>
    </row>
    <row r="377" spans="1:9" x14ac:dyDescent="0.3">
      <c r="A377" s="356"/>
      <c r="B377" s="278"/>
      <c r="C377" s="357"/>
      <c r="D377" s="358"/>
      <c r="E377" s="358"/>
      <c r="F377" s="358"/>
      <c r="G377" s="278"/>
      <c r="H377" s="358"/>
      <c r="I377" s="278"/>
    </row>
    <row r="378" spans="1:9" x14ac:dyDescent="0.3">
      <c r="A378" s="356"/>
      <c r="B378" s="278"/>
      <c r="C378" s="357"/>
      <c r="D378" s="358"/>
      <c r="E378" s="358"/>
      <c r="F378" s="358"/>
      <c r="G378" s="278"/>
      <c r="H378" s="358"/>
      <c r="I378" s="278"/>
    </row>
    <row r="379" spans="1:9" x14ac:dyDescent="0.3">
      <c r="A379" s="356"/>
      <c r="B379" s="278"/>
      <c r="C379" s="357"/>
      <c r="D379" s="358"/>
      <c r="E379" s="358"/>
      <c r="F379" s="358"/>
      <c r="G379" s="278"/>
      <c r="H379" s="358"/>
      <c r="I379" s="278"/>
    </row>
    <row r="380" spans="1:9" x14ac:dyDescent="0.3">
      <c r="A380" s="356"/>
      <c r="B380" s="278"/>
      <c r="C380" s="357"/>
      <c r="D380" s="358"/>
      <c r="E380" s="358"/>
      <c r="F380" s="358"/>
      <c r="G380" s="278"/>
      <c r="H380" s="358"/>
      <c r="I380" s="278"/>
    </row>
    <row r="381" spans="1:9" x14ac:dyDescent="0.3">
      <c r="A381" s="356"/>
      <c r="B381" s="278"/>
      <c r="C381" s="357"/>
      <c r="D381" s="358"/>
      <c r="E381" s="358"/>
      <c r="F381" s="358"/>
      <c r="G381" s="278"/>
      <c r="H381" s="358"/>
      <c r="I381" s="278"/>
    </row>
    <row r="382" spans="1:9" x14ac:dyDescent="0.3">
      <c r="A382" s="356"/>
      <c r="B382" s="278"/>
      <c r="C382" s="357"/>
      <c r="D382" s="358"/>
      <c r="E382" s="358"/>
      <c r="F382" s="358"/>
      <c r="G382" s="278"/>
      <c r="H382" s="358"/>
      <c r="I382" s="278"/>
    </row>
    <row r="383" spans="1:9" x14ac:dyDescent="0.3">
      <c r="A383" s="356"/>
      <c r="B383" s="278"/>
      <c r="C383" s="357"/>
      <c r="D383" s="358"/>
      <c r="E383" s="358"/>
      <c r="F383" s="358"/>
      <c r="G383" s="278"/>
      <c r="H383" s="358"/>
      <c r="I383" s="278"/>
    </row>
    <row r="384" spans="1:9" x14ac:dyDescent="0.3">
      <c r="A384" s="356"/>
      <c r="B384" s="278"/>
      <c r="C384" s="357"/>
      <c r="D384" s="358"/>
      <c r="E384" s="358"/>
      <c r="F384" s="358"/>
      <c r="G384" s="278"/>
      <c r="H384" s="358"/>
      <c r="I384" s="278"/>
    </row>
    <row r="385" spans="1:9" x14ac:dyDescent="0.3">
      <c r="A385" s="356"/>
      <c r="B385" s="278"/>
      <c r="C385" s="357"/>
      <c r="D385" s="358"/>
      <c r="E385" s="358"/>
      <c r="F385" s="358"/>
      <c r="G385" s="278"/>
      <c r="H385" s="358"/>
      <c r="I385" s="278"/>
    </row>
    <row r="386" spans="1:9" x14ac:dyDescent="0.3">
      <c r="A386" s="356"/>
      <c r="B386" s="278"/>
      <c r="C386" s="357"/>
      <c r="D386" s="358"/>
      <c r="E386" s="358"/>
      <c r="F386" s="358"/>
      <c r="G386" s="278"/>
      <c r="H386" s="358"/>
      <c r="I386" s="278"/>
    </row>
    <row r="387" spans="1:9" x14ac:dyDescent="0.3">
      <c r="A387" s="356"/>
      <c r="B387" s="278"/>
      <c r="C387" s="357"/>
      <c r="D387" s="358"/>
      <c r="E387" s="358"/>
      <c r="F387" s="358"/>
      <c r="G387" s="278"/>
      <c r="H387" s="358"/>
      <c r="I387" s="278"/>
    </row>
    <row r="388" spans="1:9" x14ac:dyDescent="0.3">
      <c r="A388" s="356"/>
      <c r="B388" s="278"/>
      <c r="C388" s="357"/>
      <c r="D388" s="358"/>
      <c r="E388" s="358"/>
      <c r="F388" s="358"/>
      <c r="G388" s="278"/>
      <c r="H388" s="358"/>
      <c r="I388" s="278"/>
    </row>
    <row r="389" spans="1:9" x14ac:dyDescent="0.3">
      <c r="A389" s="356"/>
      <c r="B389" s="278"/>
      <c r="C389" s="357"/>
      <c r="D389" s="358"/>
      <c r="E389" s="358"/>
      <c r="F389" s="358"/>
      <c r="G389" s="278"/>
      <c r="H389" s="358"/>
      <c r="I389" s="278"/>
    </row>
    <row r="390" spans="1:9" x14ac:dyDescent="0.3">
      <c r="A390" s="356"/>
      <c r="B390" s="278"/>
      <c r="C390" s="357"/>
      <c r="D390" s="358"/>
      <c r="E390" s="358"/>
      <c r="F390" s="358"/>
      <c r="G390" s="278"/>
      <c r="H390" s="358"/>
      <c r="I390" s="278"/>
    </row>
    <row r="391" spans="1:9" x14ac:dyDescent="0.3">
      <c r="A391" s="356"/>
      <c r="B391" s="278"/>
      <c r="C391" s="357"/>
      <c r="D391" s="358"/>
      <c r="E391" s="358"/>
      <c r="F391" s="358"/>
      <c r="G391" s="278"/>
      <c r="H391" s="358"/>
      <c r="I391" s="278"/>
    </row>
    <row r="392" spans="1:9" x14ac:dyDescent="0.3">
      <c r="A392" s="356"/>
      <c r="B392" s="278"/>
      <c r="C392" s="357"/>
      <c r="D392" s="358"/>
      <c r="E392" s="358"/>
      <c r="F392" s="358"/>
      <c r="G392" s="278"/>
      <c r="H392" s="358"/>
      <c r="I392" s="278"/>
    </row>
    <row r="393" spans="1:9" x14ac:dyDescent="0.3">
      <c r="A393" s="356"/>
      <c r="B393" s="278"/>
      <c r="C393" s="357"/>
      <c r="D393" s="358"/>
      <c r="E393" s="358"/>
      <c r="F393" s="358"/>
      <c r="G393" s="278"/>
      <c r="H393" s="358"/>
      <c r="I393" s="278"/>
    </row>
    <row r="394" spans="1:9" x14ac:dyDescent="0.3">
      <c r="A394" s="356"/>
      <c r="B394" s="278"/>
      <c r="C394" s="357"/>
      <c r="D394" s="358"/>
      <c r="E394" s="358"/>
      <c r="F394" s="358"/>
      <c r="G394" s="278"/>
      <c r="H394" s="358"/>
      <c r="I394" s="278"/>
    </row>
    <row r="395" spans="1:9" x14ac:dyDescent="0.3">
      <c r="A395" s="356"/>
      <c r="B395" s="278"/>
      <c r="C395" s="357"/>
      <c r="D395" s="358"/>
      <c r="E395" s="358"/>
      <c r="F395" s="358"/>
      <c r="G395" s="278"/>
      <c r="H395" s="358"/>
      <c r="I395" s="278"/>
    </row>
    <row r="396" spans="1:9" x14ac:dyDescent="0.3">
      <c r="A396" s="356"/>
      <c r="B396" s="278"/>
      <c r="C396" s="357"/>
      <c r="D396" s="358"/>
      <c r="E396" s="358"/>
      <c r="F396" s="358"/>
      <c r="G396" s="278"/>
      <c r="H396" s="358"/>
      <c r="I396" s="278"/>
    </row>
    <row r="397" spans="1:9" x14ac:dyDescent="0.3">
      <c r="A397" s="356"/>
      <c r="B397" s="278"/>
      <c r="C397" s="357"/>
      <c r="D397" s="358"/>
      <c r="E397" s="358"/>
      <c r="F397" s="358"/>
      <c r="G397" s="278"/>
      <c r="H397" s="358"/>
      <c r="I397" s="278"/>
    </row>
    <row r="398" spans="1:9" x14ac:dyDescent="0.3">
      <c r="A398" s="356"/>
      <c r="B398" s="278"/>
      <c r="C398" s="357"/>
      <c r="D398" s="358"/>
      <c r="E398" s="358"/>
      <c r="F398" s="358"/>
      <c r="G398" s="278"/>
      <c r="H398" s="358"/>
      <c r="I398" s="278"/>
    </row>
    <row r="399" spans="1:9" x14ac:dyDescent="0.3">
      <c r="A399" s="356"/>
      <c r="B399" s="278"/>
      <c r="C399" s="357"/>
      <c r="D399" s="358"/>
      <c r="E399" s="358"/>
      <c r="F399" s="358"/>
      <c r="G399" s="278"/>
      <c r="H399" s="358"/>
      <c r="I399" s="278"/>
    </row>
    <row r="400" spans="1:9" x14ac:dyDescent="0.3">
      <c r="A400" s="356"/>
      <c r="B400" s="278"/>
      <c r="C400" s="357"/>
      <c r="D400" s="358"/>
      <c r="E400" s="358"/>
      <c r="F400" s="358"/>
      <c r="G400" s="278"/>
      <c r="H400" s="358"/>
      <c r="I400" s="278"/>
    </row>
    <row r="401" spans="1:9" x14ac:dyDescent="0.3">
      <c r="A401" s="356"/>
      <c r="B401" s="278"/>
      <c r="C401" s="357"/>
      <c r="D401" s="358"/>
      <c r="E401" s="358"/>
      <c r="F401" s="358"/>
      <c r="G401" s="278"/>
      <c r="H401" s="358"/>
      <c r="I401" s="278"/>
    </row>
    <row r="402" spans="1:9" x14ac:dyDescent="0.3">
      <c r="A402" s="356"/>
      <c r="B402" s="278"/>
      <c r="C402" s="357"/>
      <c r="D402" s="358"/>
      <c r="E402" s="358"/>
      <c r="F402" s="358"/>
      <c r="G402" s="278"/>
      <c r="H402" s="358"/>
      <c r="I402" s="278"/>
    </row>
    <row r="403" spans="1:9" x14ac:dyDescent="0.3">
      <c r="A403" s="356"/>
      <c r="B403" s="278"/>
      <c r="C403" s="357"/>
      <c r="D403" s="358"/>
      <c r="E403" s="358"/>
      <c r="F403" s="358"/>
      <c r="G403" s="278"/>
      <c r="H403" s="358"/>
      <c r="I403" s="278"/>
    </row>
    <row r="404" spans="1:9" x14ac:dyDescent="0.3">
      <c r="A404" s="356"/>
      <c r="B404" s="278"/>
      <c r="C404" s="357"/>
      <c r="D404" s="358"/>
      <c r="E404" s="358"/>
      <c r="F404" s="358"/>
      <c r="G404" s="278"/>
      <c r="H404" s="358"/>
      <c r="I404" s="278"/>
    </row>
    <row r="405" spans="1:9" x14ac:dyDescent="0.3">
      <c r="A405" s="356"/>
      <c r="B405" s="278"/>
      <c r="C405" s="357"/>
      <c r="D405" s="358"/>
      <c r="E405" s="358"/>
      <c r="F405" s="358"/>
      <c r="G405" s="278"/>
      <c r="H405" s="358"/>
      <c r="I405" s="278"/>
    </row>
    <row r="406" spans="1:9" x14ac:dyDescent="0.3">
      <c r="A406" s="356"/>
      <c r="B406" s="278"/>
      <c r="C406" s="357"/>
      <c r="D406" s="358"/>
      <c r="E406" s="358"/>
      <c r="F406" s="358"/>
      <c r="G406" s="278"/>
      <c r="H406" s="358"/>
      <c r="I406" s="278"/>
    </row>
    <row r="407" spans="1:9" x14ac:dyDescent="0.3">
      <c r="A407" s="356"/>
      <c r="B407" s="278"/>
      <c r="C407" s="357"/>
      <c r="D407" s="358"/>
      <c r="E407" s="358"/>
      <c r="F407" s="358"/>
      <c r="G407" s="278"/>
      <c r="H407" s="358"/>
      <c r="I407" s="278"/>
    </row>
    <row r="408" spans="1:9" x14ac:dyDescent="0.3">
      <c r="A408" s="356"/>
      <c r="B408" s="278"/>
      <c r="C408" s="357"/>
      <c r="D408" s="358"/>
      <c r="E408" s="358"/>
      <c r="F408" s="358"/>
      <c r="G408" s="278"/>
      <c r="H408" s="358"/>
      <c r="I408" s="278"/>
    </row>
    <row r="409" spans="1:9" x14ac:dyDescent="0.3">
      <c r="A409" s="356"/>
      <c r="B409" s="278"/>
      <c r="C409" s="357"/>
      <c r="D409" s="358"/>
      <c r="E409" s="358"/>
      <c r="F409" s="358"/>
      <c r="G409" s="278"/>
      <c r="H409" s="358"/>
      <c r="I409" s="278"/>
    </row>
    <row r="410" spans="1:9" x14ac:dyDescent="0.3">
      <c r="A410" s="356"/>
      <c r="B410" s="278"/>
      <c r="C410" s="357"/>
      <c r="D410" s="358"/>
      <c r="E410" s="358"/>
      <c r="F410" s="358"/>
      <c r="G410" s="278"/>
      <c r="H410" s="358"/>
      <c r="I410" s="278"/>
    </row>
    <row r="411" spans="1:9" x14ac:dyDescent="0.3">
      <c r="A411" s="356"/>
      <c r="B411" s="278"/>
      <c r="C411" s="357"/>
      <c r="D411" s="358"/>
      <c r="E411" s="358"/>
      <c r="F411" s="358"/>
      <c r="G411" s="278"/>
      <c r="H411" s="358"/>
      <c r="I411" s="278"/>
    </row>
    <row r="412" spans="1:9" x14ac:dyDescent="0.3">
      <c r="A412" s="356"/>
      <c r="B412" s="278"/>
      <c r="C412" s="357"/>
      <c r="D412" s="358"/>
      <c r="E412" s="358"/>
      <c r="F412" s="358"/>
      <c r="G412" s="278"/>
      <c r="H412" s="358"/>
      <c r="I412" s="278"/>
    </row>
    <row r="413" spans="1:9" x14ac:dyDescent="0.3">
      <c r="A413" s="356"/>
      <c r="B413" s="278"/>
      <c r="C413" s="357"/>
      <c r="D413" s="358"/>
      <c r="E413" s="358"/>
      <c r="F413" s="358"/>
      <c r="G413" s="278"/>
      <c r="H413" s="358"/>
      <c r="I413" s="278"/>
    </row>
    <row r="414" spans="1:9" x14ac:dyDescent="0.3">
      <c r="A414" s="356"/>
      <c r="B414" s="278"/>
      <c r="C414" s="357"/>
      <c r="D414" s="358"/>
      <c r="E414" s="358"/>
      <c r="F414" s="358"/>
      <c r="G414" s="278"/>
      <c r="H414" s="358"/>
      <c r="I414" s="278"/>
    </row>
    <row r="415" spans="1:9" x14ac:dyDescent="0.3">
      <c r="A415" s="356"/>
      <c r="B415" s="278"/>
      <c r="C415" s="357"/>
      <c r="D415" s="358"/>
      <c r="E415" s="358"/>
      <c r="F415" s="358"/>
      <c r="G415" s="278"/>
      <c r="H415" s="358"/>
      <c r="I415" s="278"/>
    </row>
    <row r="416" spans="1:9" x14ac:dyDescent="0.3">
      <c r="A416" s="356"/>
      <c r="B416" s="278"/>
      <c r="C416" s="357"/>
      <c r="D416" s="358"/>
      <c r="E416" s="358"/>
      <c r="F416" s="358"/>
      <c r="G416" s="278"/>
      <c r="H416" s="358"/>
      <c r="I416" s="278"/>
    </row>
    <row r="417" spans="1:9" x14ac:dyDescent="0.3">
      <c r="A417" s="356"/>
      <c r="B417" s="278"/>
      <c r="C417" s="357"/>
      <c r="D417" s="358"/>
      <c r="E417" s="358"/>
      <c r="F417" s="358"/>
      <c r="G417" s="278"/>
      <c r="H417" s="358"/>
      <c r="I417" s="278"/>
    </row>
    <row r="418" spans="1:9" x14ac:dyDescent="0.3">
      <c r="A418" s="356"/>
      <c r="B418" s="278"/>
      <c r="C418" s="357"/>
      <c r="D418" s="358"/>
      <c r="E418" s="358"/>
      <c r="F418" s="358"/>
      <c r="G418" s="278"/>
      <c r="H418" s="358"/>
      <c r="I418" s="278"/>
    </row>
    <row r="419" spans="1:9" x14ac:dyDescent="0.3">
      <c r="A419" s="356"/>
      <c r="B419" s="278"/>
      <c r="C419" s="357"/>
      <c r="D419" s="358"/>
      <c r="E419" s="358"/>
      <c r="F419" s="358"/>
      <c r="G419" s="278"/>
      <c r="H419" s="358"/>
      <c r="I419" s="278"/>
    </row>
    <row r="420" spans="1:9" x14ac:dyDescent="0.3">
      <c r="A420" s="356"/>
      <c r="B420" s="278"/>
      <c r="C420" s="357"/>
      <c r="D420" s="358"/>
      <c r="E420" s="358"/>
      <c r="F420" s="358"/>
      <c r="G420" s="278"/>
      <c r="H420" s="358"/>
      <c r="I420" s="278"/>
    </row>
    <row r="421" spans="1:9" x14ac:dyDescent="0.3">
      <c r="A421" s="356"/>
      <c r="B421" s="278"/>
      <c r="C421" s="357"/>
      <c r="D421" s="358"/>
      <c r="E421" s="358"/>
      <c r="F421" s="358"/>
      <c r="G421" s="278"/>
      <c r="H421" s="358"/>
      <c r="I421" s="278"/>
    </row>
    <row r="422" spans="1:9" x14ac:dyDescent="0.3">
      <c r="A422" s="356"/>
      <c r="B422" s="278"/>
      <c r="C422" s="357"/>
      <c r="D422" s="358"/>
      <c r="E422" s="358"/>
      <c r="F422" s="358"/>
      <c r="G422" s="278"/>
      <c r="H422" s="358"/>
      <c r="I422" s="278"/>
    </row>
    <row r="423" spans="1:9" x14ac:dyDescent="0.3">
      <c r="A423" s="356"/>
      <c r="B423" s="278"/>
      <c r="C423" s="357"/>
      <c r="D423" s="358"/>
      <c r="E423" s="358"/>
      <c r="F423" s="358"/>
      <c r="G423" s="278"/>
      <c r="H423" s="358"/>
      <c r="I423" s="278"/>
    </row>
    <row r="424" spans="1:9" x14ac:dyDescent="0.3">
      <c r="A424" s="356"/>
      <c r="B424" s="278"/>
      <c r="C424" s="357"/>
      <c r="D424" s="358"/>
      <c r="E424" s="358"/>
      <c r="F424" s="358"/>
      <c r="G424" s="278"/>
      <c r="H424" s="358"/>
      <c r="I424" s="278"/>
    </row>
    <row r="425" spans="1:9" x14ac:dyDescent="0.3">
      <c r="A425" s="356"/>
      <c r="B425" s="278"/>
      <c r="C425" s="357"/>
      <c r="D425" s="358"/>
      <c r="E425" s="358"/>
      <c r="F425" s="358"/>
      <c r="G425" s="278"/>
      <c r="H425" s="358"/>
      <c r="I425" s="278"/>
    </row>
    <row r="426" spans="1:9" x14ac:dyDescent="0.3">
      <c r="A426" s="356"/>
      <c r="B426" s="278"/>
      <c r="C426" s="357"/>
      <c r="D426" s="358"/>
      <c r="E426" s="358"/>
      <c r="F426" s="358"/>
      <c r="G426" s="278"/>
      <c r="H426" s="358"/>
      <c r="I426" s="278"/>
    </row>
    <row r="427" spans="1:9" x14ac:dyDescent="0.3">
      <c r="A427" s="356"/>
      <c r="B427" s="278"/>
      <c r="C427" s="357"/>
      <c r="D427" s="358"/>
      <c r="E427" s="358"/>
      <c r="F427" s="358"/>
      <c r="G427" s="278"/>
      <c r="H427" s="358"/>
      <c r="I427" s="278"/>
    </row>
    <row r="428" spans="1:9" x14ac:dyDescent="0.3">
      <c r="A428" s="356"/>
      <c r="B428" s="278"/>
      <c r="C428" s="357"/>
      <c r="D428" s="358"/>
      <c r="E428" s="358"/>
      <c r="F428" s="358"/>
      <c r="G428" s="278"/>
      <c r="H428" s="358"/>
      <c r="I428" s="278"/>
    </row>
    <row r="429" spans="1:9" x14ac:dyDescent="0.3">
      <c r="A429" s="356"/>
      <c r="B429" s="278"/>
      <c r="C429" s="357"/>
      <c r="D429" s="358"/>
      <c r="E429" s="358"/>
      <c r="F429" s="358"/>
      <c r="G429" s="278"/>
      <c r="H429" s="358"/>
      <c r="I429" s="278"/>
    </row>
    <row r="430" spans="1:9" x14ac:dyDescent="0.3">
      <c r="A430" s="356"/>
      <c r="B430" s="278"/>
      <c r="C430" s="357"/>
      <c r="D430" s="358"/>
      <c r="E430" s="358"/>
      <c r="F430" s="358"/>
      <c r="G430" s="278"/>
      <c r="H430" s="358"/>
      <c r="I430" s="278"/>
    </row>
    <row r="431" spans="1:9" x14ac:dyDescent="0.3">
      <c r="A431" s="356"/>
      <c r="B431" s="278"/>
      <c r="C431" s="357"/>
      <c r="D431" s="358"/>
      <c r="E431" s="358"/>
      <c r="F431" s="358"/>
      <c r="G431" s="278"/>
      <c r="H431" s="358"/>
      <c r="I431" s="278"/>
    </row>
    <row r="432" spans="1:9" x14ac:dyDescent="0.3">
      <c r="A432" s="356"/>
      <c r="B432" s="278"/>
      <c r="C432" s="357"/>
      <c r="D432" s="358"/>
      <c r="E432" s="358"/>
      <c r="F432" s="358"/>
      <c r="G432" s="278"/>
      <c r="H432" s="358"/>
      <c r="I432" s="278"/>
    </row>
    <row r="433" spans="1:9" x14ac:dyDescent="0.3">
      <c r="A433" s="356"/>
      <c r="B433" s="278"/>
      <c r="C433" s="357"/>
      <c r="D433" s="358"/>
      <c r="E433" s="358"/>
      <c r="F433" s="358"/>
      <c r="G433" s="278"/>
      <c r="H433" s="358"/>
      <c r="I433" s="278"/>
    </row>
    <row r="434" spans="1:9" x14ac:dyDescent="0.3">
      <c r="A434" s="356"/>
      <c r="B434" s="278"/>
      <c r="C434" s="357"/>
      <c r="D434" s="358"/>
      <c r="E434" s="358"/>
      <c r="F434" s="358"/>
      <c r="G434" s="278"/>
      <c r="H434" s="358"/>
      <c r="I434" s="278"/>
    </row>
    <row r="435" spans="1:9" x14ac:dyDescent="0.3">
      <c r="A435" s="356"/>
      <c r="B435" s="278"/>
      <c r="C435" s="357"/>
      <c r="D435" s="358"/>
      <c r="E435" s="358"/>
      <c r="F435" s="358"/>
      <c r="G435" s="278"/>
      <c r="H435" s="358"/>
      <c r="I435" s="278"/>
    </row>
    <row r="436" spans="1:9" x14ac:dyDescent="0.3">
      <c r="A436" s="356"/>
      <c r="B436" s="278"/>
      <c r="C436" s="357"/>
      <c r="D436" s="358"/>
      <c r="E436" s="358"/>
      <c r="F436" s="358"/>
      <c r="G436" s="278"/>
      <c r="H436" s="358"/>
      <c r="I436" s="278"/>
    </row>
    <row r="437" spans="1:9" x14ac:dyDescent="0.3">
      <c r="A437" s="356"/>
      <c r="B437" s="278"/>
      <c r="C437" s="357"/>
      <c r="D437" s="358"/>
      <c r="E437" s="358"/>
      <c r="F437" s="358"/>
      <c r="G437" s="278"/>
      <c r="H437" s="358"/>
      <c r="I437" s="278"/>
    </row>
    <row r="438" spans="1:9" x14ac:dyDescent="0.3">
      <c r="A438" s="356"/>
      <c r="B438" s="278"/>
      <c r="C438" s="357"/>
      <c r="D438" s="358"/>
      <c r="E438" s="358"/>
      <c r="F438" s="358"/>
      <c r="G438" s="278"/>
      <c r="H438" s="358"/>
      <c r="I438" s="278"/>
    </row>
    <row r="439" spans="1:9" x14ac:dyDescent="0.3">
      <c r="A439" s="356"/>
      <c r="B439" s="278"/>
      <c r="C439" s="357"/>
      <c r="D439" s="358"/>
      <c r="E439" s="358"/>
      <c r="F439" s="358"/>
      <c r="G439" s="278"/>
      <c r="H439" s="358"/>
      <c r="I439" s="278"/>
    </row>
    <row r="440" spans="1:9" x14ac:dyDescent="0.3">
      <c r="A440" s="356"/>
      <c r="B440" s="278"/>
      <c r="C440" s="357"/>
      <c r="D440" s="358"/>
      <c r="E440" s="358"/>
      <c r="F440" s="358"/>
      <c r="G440" s="278"/>
      <c r="H440" s="358"/>
      <c r="I440" s="278"/>
    </row>
    <row r="441" spans="1:9" x14ac:dyDescent="0.3">
      <c r="A441" s="356"/>
      <c r="B441" s="278"/>
      <c r="C441" s="357"/>
      <c r="D441" s="358"/>
      <c r="E441" s="358"/>
      <c r="F441" s="358"/>
      <c r="G441" s="278"/>
      <c r="H441" s="358"/>
      <c r="I441" s="278"/>
    </row>
    <row r="442" spans="1:9" x14ac:dyDescent="0.3">
      <c r="A442" s="356"/>
      <c r="B442" s="278"/>
      <c r="C442" s="357"/>
      <c r="D442" s="358"/>
      <c r="E442" s="358"/>
      <c r="F442" s="358"/>
      <c r="G442" s="278"/>
      <c r="H442" s="358"/>
      <c r="I442" s="278"/>
    </row>
    <row r="443" spans="1:9" x14ac:dyDescent="0.3">
      <c r="A443" s="356"/>
      <c r="B443" s="278"/>
      <c r="C443" s="357"/>
      <c r="D443" s="358"/>
      <c r="E443" s="358"/>
      <c r="F443" s="358"/>
      <c r="G443" s="278"/>
      <c r="H443" s="358"/>
      <c r="I443" s="278"/>
    </row>
    <row r="444" spans="1:9" x14ac:dyDescent="0.3">
      <c r="A444" s="356"/>
      <c r="B444" s="278"/>
      <c r="C444" s="357"/>
      <c r="D444" s="358"/>
      <c r="E444" s="358"/>
      <c r="F444" s="358"/>
      <c r="G444" s="278"/>
      <c r="H444" s="358"/>
      <c r="I444" s="278"/>
    </row>
    <row r="445" spans="1:9" x14ac:dyDescent="0.3">
      <c r="A445" s="356"/>
      <c r="B445" s="278"/>
      <c r="C445" s="357"/>
      <c r="D445" s="358"/>
      <c r="E445" s="358"/>
      <c r="F445" s="358"/>
      <c r="G445" s="278"/>
      <c r="H445" s="358"/>
      <c r="I445" s="278"/>
    </row>
    <row r="446" spans="1:9" x14ac:dyDescent="0.3">
      <c r="A446" s="356"/>
      <c r="B446" s="278"/>
      <c r="C446" s="357"/>
      <c r="D446" s="358"/>
      <c r="E446" s="358"/>
      <c r="F446" s="358"/>
      <c r="G446" s="278"/>
      <c r="H446" s="358"/>
      <c r="I446" s="278"/>
    </row>
    <row r="447" spans="1:9" x14ac:dyDescent="0.3">
      <c r="A447" s="356"/>
      <c r="B447" s="278"/>
      <c r="C447" s="357"/>
      <c r="D447" s="358"/>
      <c r="E447" s="358"/>
      <c r="F447" s="358"/>
      <c r="G447" s="278"/>
      <c r="H447" s="358"/>
      <c r="I447" s="278"/>
    </row>
    <row r="448" spans="1:9" x14ac:dyDescent="0.3">
      <c r="A448" s="356"/>
      <c r="B448" s="278"/>
      <c r="C448" s="357"/>
      <c r="D448" s="358"/>
      <c r="E448" s="358"/>
      <c r="F448" s="358"/>
      <c r="G448" s="278"/>
      <c r="H448" s="358"/>
      <c r="I448" s="278"/>
    </row>
    <row r="449" spans="1:9" x14ac:dyDescent="0.3">
      <c r="A449" s="356"/>
      <c r="B449" s="278"/>
      <c r="C449" s="357"/>
      <c r="D449" s="358"/>
      <c r="E449" s="358"/>
      <c r="F449" s="358"/>
      <c r="G449" s="278"/>
      <c r="H449" s="358"/>
      <c r="I449" s="278"/>
    </row>
    <row r="450" spans="1:9" x14ac:dyDescent="0.3">
      <c r="A450" s="356"/>
      <c r="B450" s="278"/>
      <c r="C450" s="357"/>
      <c r="D450" s="358"/>
      <c r="E450" s="358"/>
      <c r="F450" s="358"/>
      <c r="G450" s="278"/>
      <c r="H450" s="358"/>
      <c r="I450" s="278"/>
    </row>
    <row r="451" spans="1:9" x14ac:dyDescent="0.3">
      <c r="A451" s="356"/>
      <c r="B451" s="278"/>
      <c r="C451" s="357"/>
      <c r="D451" s="358"/>
      <c r="E451" s="358"/>
      <c r="F451" s="358"/>
      <c r="G451" s="278"/>
      <c r="H451" s="358"/>
      <c r="I451" s="278"/>
    </row>
    <row r="452" spans="1:9" x14ac:dyDescent="0.3">
      <c r="A452" s="356"/>
      <c r="B452" s="278"/>
      <c r="C452" s="357"/>
      <c r="D452" s="358"/>
      <c r="E452" s="358"/>
      <c r="F452" s="358"/>
      <c r="G452" s="278"/>
      <c r="H452" s="358"/>
      <c r="I452" s="278"/>
    </row>
    <row r="453" spans="1:9" x14ac:dyDescent="0.3">
      <c r="A453" s="356"/>
      <c r="B453" s="278"/>
      <c r="C453" s="357"/>
      <c r="D453" s="358"/>
      <c r="E453" s="358"/>
      <c r="F453" s="358"/>
      <c r="G453" s="278"/>
      <c r="H453" s="358"/>
      <c r="I453" s="278"/>
    </row>
    <row r="454" spans="1:9" x14ac:dyDescent="0.3">
      <c r="A454" s="356"/>
      <c r="B454" s="278"/>
      <c r="C454" s="357"/>
      <c r="D454" s="358"/>
      <c r="E454" s="358"/>
      <c r="F454" s="358"/>
      <c r="G454" s="278"/>
      <c r="H454" s="358"/>
      <c r="I454" s="278"/>
    </row>
    <row r="455" spans="1:9" x14ac:dyDescent="0.3">
      <c r="A455" s="356"/>
      <c r="B455" s="278"/>
      <c r="C455" s="357"/>
      <c r="D455" s="358"/>
      <c r="E455" s="358"/>
      <c r="F455" s="358"/>
      <c r="G455" s="278"/>
      <c r="H455" s="358"/>
      <c r="I455" s="278"/>
    </row>
    <row r="456" spans="1:9" x14ac:dyDescent="0.3">
      <c r="A456" s="356"/>
      <c r="B456" s="278"/>
      <c r="C456" s="357"/>
      <c r="D456" s="358"/>
      <c r="E456" s="358"/>
      <c r="F456" s="358"/>
      <c r="G456" s="278"/>
      <c r="H456" s="358"/>
      <c r="I456" s="278"/>
    </row>
    <row r="457" spans="1:9" x14ac:dyDescent="0.3">
      <c r="A457" s="356"/>
      <c r="B457" s="278"/>
      <c r="C457" s="357"/>
      <c r="D457" s="358"/>
      <c r="E457" s="358"/>
      <c r="F457" s="358"/>
      <c r="G457" s="278"/>
      <c r="H457" s="358"/>
      <c r="I457" s="278"/>
    </row>
    <row r="458" spans="1:9" x14ac:dyDescent="0.3">
      <c r="A458" s="356"/>
      <c r="B458" s="278"/>
      <c r="C458" s="357"/>
      <c r="D458" s="358"/>
      <c r="E458" s="358"/>
      <c r="F458" s="358"/>
      <c r="G458" s="278"/>
      <c r="H458" s="358"/>
      <c r="I458" s="278"/>
    </row>
    <row r="459" spans="1:9" x14ac:dyDescent="0.3">
      <c r="A459" s="356"/>
      <c r="B459" s="278"/>
      <c r="C459" s="357"/>
      <c r="D459" s="358"/>
      <c r="E459" s="358"/>
      <c r="F459" s="358"/>
      <c r="G459" s="278"/>
      <c r="H459" s="358"/>
      <c r="I459" s="278"/>
    </row>
    <row r="460" spans="1:9" x14ac:dyDescent="0.3">
      <c r="A460" s="356"/>
      <c r="B460" s="278"/>
      <c r="C460" s="357"/>
      <c r="D460" s="358"/>
      <c r="E460" s="358"/>
      <c r="F460" s="358"/>
      <c r="G460" s="278"/>
      <c r="H460" s="358"/>
      <c r="I460" s="278"/>
    </row>
    <row r="461" spans="1:9" x14ac:dyDescent="0.3">
      <c r="A461" s="356"/>
      <c r="B461" s="278"/>
      <c r="C461" s="357"/>
      <c r="D461" s="358"/>
      <c r="E461" s="358"/>
      <c r="F461" s="358"/>
      <c r="G461" s="278"/>
      <c r="H461" s="358"/>
      <c r="I461" s="278"/>
    </row>
    <row r="462" spans="1:9" x14ac:dyDescent="0.3">
      <c r="A462" s="356"/>
      <c r="B462" s="278"/>
      <c r="C462" s="357"/>
      <c r="D462" s="358"/>
      <c r="E462" s="358"/>
      <c r="F462" s="358"/>
      <c r="G462" s="278"/>
      <c r="H462" s="358"/>
      <c r="I462" s="278"/>
    </row>
    <row r="463" spans="1:9" x14ac:dyDescent="0.3">
      <c r="A463" s="356"/>
      <c r="B463" s="278"/>
      <c r="C463" s="357"/>
      <c r="D463" s="358"/>
      <c r="E463" s="358"/>
      <c r="F463" s="358"/>
      <c r="G463" s="278"/>
      <c r="H463" s="358"/>
      <c r="I463" s="278"/>
    </row>
    <row r="464" spans="1:9" x14ac:dyDescent="0.3">
      <c r="A464" s="356"/>
      <c r="B464" s="278"/>
      <c r="C464" s="357"/>
      <c r="D464" s="358"/>
      <c r="E464" s="358"/>
      <c r="F464" s="358"/>
      <c r="G464" s="278"/>
      <c r="H464" s="358"/>
      <c r="I464" s="278"/>
    </row>
    <row r="465" spans="1:9" x14ac:dyDescent="0.3">
      <c r="A465" s="356"/>
      <c r="B465" s="278"/>
      <c r="C465" s="357"/>
      <c r="D465" s="358"/>
      <c r="E465" s="358"/>
      <c r="F465" s="358"/>
      <c r="G465" s="278"/>
      <c r="H465" s="358"/>
      <c r="I465" s="278"/>
    </row>
    <row r="466" spans="1:9" x14ac:dyDescent="0.3">
      <c r="A466" s="356"/>
      <c r="B466" s="278"/>
      <c r="C466" s="357"/>
      <c r="D466" s="358"/>
      <c r="E466" s="358"/>
      <c r="F466" s="358"/>
      <c r="G466" s="278"/>
      <c r="H466" s="358"/>
      <c r="I466" s="278"/>
    </row>
    <row r="467" spans="1:9" x14ac:dyDescent="0.3">
      <c r="A467" s="356"/>
      <c r="B467" s="278"/>
      <c r="C467" s="357"/>
      <c r="D467" s="358"/>
      <c r="E467" s="358"/>
      <c r="F467" s="358"/>
      <c r="G467" s="278"/>
      <c r="H467" s="358"/>
      <c r="I467" s="278"/>
    </row>
    <row r="468" spans="1:9" x14ac:dyDescent="0.3">
      <c r="A468" s="356"/>
      <c r="B468" s="278"/>
      <c r="C468" s="357"/>
      <c r="D468" s="358"/>
      <c r="E468" s="358"/>
      <c r="F468" s="358"/>
      <c r="G468" s="278"/>
      <c r="H468" s="358"/>
      <c r="I468" s="278"/>
    </row>
    <row r="469" spans="1:9" x14ac:dyDescent="0.3">
      <c r="A469" s="356"/>
      <c r="B469" s="278"/>
      <c r="C469" s="357"/>
      <c r="D469" s="358"/>
      <c r="E469" s="358"/>
      <c r="F469" s="358"/>
      <c r="G469" s="278"/>
      <c r="H469" s="358"/>
      <c r="I469" s="278"/>
    </row>
    <row r="470" spans="1:9" x14ac:dyDescent="0.3">
      <c r="A470" s="356"/>
      <c r="B470" s="278"/>
      <c r="C470" s="357"/>
      <c r="D470" s="358"/>
      <c r="E470" s="358"/>
      <c r="F470" s="358"/>
      <c r="G470" s="278"/>
      <c r="H470" s="358"/>
      <c r="I470" s="278"/>
    </row>
    <row r="471" spans="1:9" x14ac:dyDescent="0.3">
      <c r="A471" s="356"/>
      <c r="B471" s="278"/>
      <c r="C471" s="357"/>
      <c r="D471" s="358"/>
      <c r="E471" s="358"/>
      <c r="F471" s="358"/>
      <c r="G471" s="278"/>
      <c r="H471" s="358"/>
      <c r="I471" s="278"/>
    </row>
    <row r="472" spans="1:9" x14ac:dyDescent="0.3">
      <c r="A472" s="356"/>
      <c r="B472" s="278"/>
      <c r="C472" s="357"/>
      <c r="D472" s="358"/>
      <c r="E472" s="358"/>
      <c r="F472" s="358"/>
      <c r="G472" s="278"/>
      <c r="H472" s="358"/>
      <c r="I472" s="278"/>
    </row>
    <row r="473" spans="1:9" x14ac:dyDescent="0.3">
      <c r="A473" s="356"/>
      <c r="B473" s="278"/>
      <c r="C473" s="357"/>
      <c r="D473" s="358"/>
      <c r="E473" s="358"/>
      <c r="F473" s="358"/>
      <c r="G473" s="278"/>
      <c r="H473" s="358"/>
      <c r="I473" s="278"/>
    </row>
    <row r="474" spans="1:9" x14ac:dyDescent="0.3">
      <c r="A474" s="356"/>
      <c r="B474" s="278"/>
      <c r="C474" s="357"/>
      <c r="D474" s="358"/>
      <c r="E474" s="358"/>
      <c r="F474" s="358"/>
      <c r="G474" s="278"/>
      <c r="H474" s="358"/>
      <c r="I474" s="278"/>
    </row>
    <row r="475" spans="1:9" x14ac:dyDescent="0.3">
      <c r="A475" s="356"/>
      <c r="B475" s="278"/>
      <c r="C475" s="357"/>
      <c r="D475" s="358"/>
      <c r="E475" s="358"/>
      <c r="F475" s="358"/>
      <c r="G475" s="278"/>
      <c r="H475" s="358"/>
      <c r="I475" s="278"/>
    </row>
    <row r="476" spans="1:9" x14ac:dyDescent="0.3">
      <c r="A476" s="356"/>
      <c r="B476" s="278"/>
      <c r="C476" s="357"/>
      <c r="D476" s="358"/>
      <c r="E476" s="358"/>
      <c r="F476" s="358"/>
      <c r="G476" s="278"/>
      <c r="H476" s="358"/>
      <c r="I476" s="278"/>
    </row>
    <row r="477" spans="1:9" x14ac:dyDescent="0.3">
      <c r="A477" s="356"/>
      <c r="B477" s="278"/>
      <c r="C477" s="357"/>
      <c r="D477" s="358"/>
      <c r="E477" s="358"/>
      <c r="F477" s="358"/>
      <c r="G477" s="278"/>
      <c r="H477" s="358"/>
      <c r="I477" s="278"/>
    </row>
    <row r="478" spans="1:9" x14ac:dyDescent="0.3">
      <c r="A478" s="356"/>
      <c r="B478" s="278"/>
      <c r="C478" s="357"/>
      <c r="D478" s="358"/>
      <c r="E478" s="358"/>
      <c r="F478" s="358"/>
      <c r="G478" s="278"/>
      <c r="H478" s="358"/>
      <c r="I478" s="278"/>
    </row>
    <row r="479" spans="1:9" x14ac:dyDescent="0.3">
      <c r="A479" s="356"/>
      <c r="B479" s="278"/>
      <c r="C479" s="357"/>
      <c r="D479" s="358"/>
      <c r="E479" s="358"/>
      <c r="F479" s="358"/>
      <c r="G479" s="278"/>
      <c r="H479" s="358"/>
      <c r="I479" s="278"/>
    </row>
    <row r="480" spans="1:9" x14ac:dyDescent="0.3">
      <c r="A480" s="356"/>
      <c r="B480" s="278"/>
      <c r="C480" s="357"/>
      <c r="D480" s="358"/>
      <c r="E480" s="358"/>
      <c r="F480" s="358"/>
      <c r="G480" s="278"/>
      <c r="H480" s="358"/>
      <c r="I480" s="278"/>
    </row>
    <row r="481" spans="1:9" x14ac:dyDescent="0.3">
      <c r="A481" s="356"/>
      <c r="B481" s="278"/>
      <c r="C481" s="357"/>
      <c r="D481" s="358"/>
      <c r="E481" s="358"/>
      <c r="F481" s="358"/>
      <c r="G481" s="278"/>
      <c r="H481" s="358"/>
      <c r="I481" s="278"/>
    </row>
    <row r="482" spans="1:9" x14ac:dyDescent="0.3">
      <c r="A482" s="356"/>
      <c r="B482" s="278"/>
      <c r="C482" s="357"/>
      <c r="D482" s="358"/>
      <c r="E482" s="358"/>
      <c r="F482" s="358"/>
      <c r="G482" s="278"/>
      <c r="H482" s="358"/>
      <c r="I482" s="278"/>
    </row>
    <row r="483" spans="1:9" x14ac:dyDescent="0.3">
      <c r="A483" s="356"/>
      <c r="B483" s="278"/>
      <c r="C483" s="357"/>
      <c r="D483" s="358"/>
      <c r="E483" s="358"/>
      <c r="F483" s="358"/>
      <c r="G483" s="278"/>
      <c r="H483" s="358"/>
      <c r="I483" s="278"/>
    </row>
    <row r="484" spans="1:9" x14ac:dyDescent="0.3">
      <c r="A484" s="356"/>
      <c r="B484" s="278"/>
      <c r="C484" s="357"/>
      <c r="D484" s="358"/>
      <c r="E484" s="358"/>
      <c r="F484" s="358"/>
      <c r="G484" s="278"/>
      <c r="H484" s="358"/>
      <c r="I484" s="278"/>
    </row>
    <row r="485" spans="1:9" x14ac:dyDescent="0.3">
      <c r="A485" s="356"/>
      <c r="B485" s="278"/>
      <c r="C485" s="357"/>
      <c r="D485" s="358"/>
      <c r="E485" s="358"/>
      <c r="F485" s="358"/>
      <c r="G485" s="278"/>
      <c r="H485" s="358"/>
      <c r="I485" s="278"/>
    </row>
    <row r="486" spans="1:9" x14ac:dyDescent="0.3">
      <c r="A486" s="356"/>
      <c r="B486" s="278"/>
      <c r="C486" s="357"/>
      <c r="D486" s="358"/>
      <c r="E486" s="358"/>
      <c r="F486" s="358"/>
      <c r="G486" s="278"/>
      <c r="H486" s="358"/>
      <c r="I486" s="278"/>
    </row>
    <row r="487" spans="1:9" x14ac:dyDescent="0.3">
      <c r="A487" s="356"/>
      <c r="B487" s="278"/>
      <c r="C487" s="357"/>
      <c r="D487" s="358"/>
      <c r="E487" s="358"/>
      <c r="F487" s="358"/>
      <c r="G487" s="278"/>
      <c r="H487" s="358"/>
      <c r="I487" s="278"/>
    </row>
    <row r="488" spans="1:9" x14ac:dyDescent="0.3">
      <c r="A488" s="356"/>
      <c r="B488" s="278"/>
      <c r="C488" s="357"/>
      <c r="D488" s="358"/>
      <c r="E488" s="358"/>
      <c r="F488" s="358"/>
      <c r="G488" s="278"/>
      <c r="H488" s="358"/>
      <c r="I488" s="278"/>
    </row>
    <row r="489" spans="1:9" x14ac:dyDescent="0.3">
      <c r="A489" s="356"/>
      <c r="B489" s="278"/>
      <c r="C489" s="357"/>
      <c r="D489" s="358"/>
      <c r="E489" s="358"/>
      <c r="F489" s="358"/>
      <c r="G489" s="278"/>
      <c r="H489" s="358"/>
      <c r="I489" s="278"/>
    </row>
    <row r="490" spans="1:9" x14ac:dyDescent="0.3">
      <c r="A490" s="356"/>
      <c r="B490" s="278"/>
      <c r="C490" s="357"/>
      <c r="D490" s="358"/>
      <c r="E490" s="358"/>
      <c r="F490" s="358"/>
      <c r="G490" s="278"/>
      <c r="H490" s="358"/>
      <c r="I490" s="278"/>
    </row>
    <row r="491" spans="1:9" x14ac:dyDescent="0.3">
      <c r="A491" s="356"/>
      <c r="B491" s="278"/>
      <c r="C491" s="357"/>
      <c r="D491" s="358"/>
      <c r="E491" s="358"/>
      <c r="F491" s="358"/>
      <c r="G491" s="278"/>
      <c r="H491" s="358"/>
      <c r="I491" s="278"/>
    </row>
    <row r="492" spans="1:9" x14ac:dyDescent="0.3">
      <c r="A492" s="356"/>
      <c r="B492" s="278"/>
      <c r="C492" s="357"/>
      <c r="D492" s="358"/>
      <c r="E492" s="358"/>
      <c r="F492" s="358"/>
      <c r="G492" s="278"/>
      <c r="H492" s="358"/>
      <c r="I492" s="278"/>
    </row>
    <row r="493" spans="1:9" x14ac:dyDescent="0.3">
      <c r="A493" s="356"/>
      <c r="B493" s="278"/>
      <c r="C493" s="357"/>
      <c r="D493" s="358"/>
      <c r="E493" s="358"/>
      <c r="F493" s="358"/>
      <c r="G493" s="278"/>
      <c r="H493" s="358"/>
      <c r="I493" s="278"/>
    </row>
    <row r="494" spans="1:9" x14ac:dyDescent="0.3">
      <c r="A494" s="356"/>
      <c r="B494" s="278"/>
      <c r="C494" s="357"/>
      <c r="D494" s="358"/>
      <c r="E494" s="358"/>
      <c r="F494" s="358"/>
      <c r="G494" s="278"/>
      <c r="H494" s="358"/>
      <c r="I494" s="278"/>
    </row>
    <row r="495" spans="1:9" x14ac:dyDescent="0.3">
      <c r="A495" s="356"/>
      <c r="B495" s="278"/>
      <c r="C495" s="357"/>
      <c r="D495" s="358"/>
      <c r="E495" s="358"/>
      <c r="F495" s="358"/>
      <c r="G495" s="278"/>
      <c r="H495" s="358"/>
      <c r="I495" s="278"/>
    </row>
    <row r="496" spans="1:9" x14ac:dyDescent="0.3">
      <c r="A496" s="356"/>
      <c r="B496" s="278"/>
      <c r="C496" s="357"/>
      <c r="D496" s="358"/>
      <c r="E496" s="358"/>
      <c r="F496" s="358"/>
      <c r="G496" s="278"/>
      <c r="H496" s="358"/>
      <c r="I496" s="278"/>
    </row>
    <row r="497" spans="1:9" x14ac:dyDescent="0.3">
      <c r="A497" s="356"/>
      <c r="B497" s="278"/>
      <c r="C497" s="357"/>
      <c r="D497" s="358"/>
      <c r="E497" s="358"/>
      <c r="F497" s="358"/>
      <c r="G497" s="278"/>
      <c r="H497" s="358"/>
      <c r="I497" s="278"/>
    </row>
    <row r="498" spans="1:9" x14ac:dyDescent="0.3">
      <c r="A498" s="356"/>
      <c r="B498" s="278"/>
      <c r="C498" s="357"/>
      <c r="D498" s="358"/>
      <c r="E498" s="358"/>
      <c r="F498" s="358"/>
      <c r="G498" s="278"/>
      <c r="H498" s="358"/>
      <c r="I498" s="278"/>
    </row>
    <row r="499" spans="1:9" x14ac:dyDescent="0.3">
      <c r="A499" s="356"/>
      <c r="B499" s="278"/>
      <c r="C499" s="357"/>
      <c r="D499" s="358"/>
      <c r="E499" s="358"/>
      <c r="F499" s="358"/>
      <c r="G499" s="278"/>
      <c r="H499" s="358"/>
      <c r="I499" s="278"/>
    </row>
    <row r="500" spans="1:9" x14ac:dyDescent="0.3">
      <c r="A500" s="356"/>
      <c r="B500" s="278"/>
      <c r="C500" s="357"/>
      <c r="D500" s="358"/>
      <c r="E500" s="358"/>
      <c r="F500" s="358"/>
      <c r="G500" s="278"/>
      <c r="H500" s="358"/>
      <c r="I500" s="278"/>
    </row>
    <row r="501" spans="1:9" x14ac:dyDescent="0.3">
      <c r="A501" s="356"/>
      <c r="B501" s="278"/>
      <c r="C501" s="357"/>
      <c r="D501" s="358"/>
      <c r="E501" s="358"/>
      <c r="F501" s="358"/>
      <c r="G501" s="278"/>
      <c r="H501" s="358"/>
      <c r="I501" s="278"/>
    </row>
    <row r="502" spans="1:9" x14ac:dyDescent="0.3">
      <c r="A502" s="356"/>
      <c r="B502" s="278"/>
      <c r="C502" s="357"/>
      <c r="D502" s="358"/>
      <c r="E502" s="358"/>
      <c r="F502" s="358"/>
      <c r="G502" s="278"/>
      <c r="H502" s="358"/>
      <c r="I502" s="278"/>
    </row>
    <row r="503" spans="1:9" x14ac:dyDescent="0.3">
      <c r="A503" s="356"/>
      <c r="B503" s="278"/>
      <c r="C503" s="357"/>
      <c r="D503" s="358"/>
      <c r="E503" s="358"/>
      <c r="F503" s="358"/>
      <c r="G503" s="278"/>
      <c r="H503" s="358"/>
      <c r="I503" s="278"/>
    </row>
    <row r="504" spans="1:9" x14ac:dyDescent="0.3">
      <c r="A504" s="356"/>
      <c r="B504" s="278"/>
      <c r="C504" s="357"/>
      <c r="D504" s="358"/>
      <c r="E504" s="358"/>
      <c r="F504" s="358"/>
      <c r="G504" s="278"/>
      <c r="H504" s="358"/>
      <c r="I504" s="278"/>
    </row>
    <row r="505" spans="1:9" x14ac:dyDescent="0.3">
      <c r="A505" s="356"/>
      <c r="B505" s="278"/>
      <c r="C505" s="357"/>
      <c r="D505" s="358"/>
      <c r="E505" s="358"/>
      <c r="F505" s="358"/>
      <c r="G505" s="278"/>
      <c r="H505" s="358"/>
      <c r="I505" s="278"/>
    </row>
    <row r="506" spans="1:9" x14ac:dyDescent="0.3">
      <c r="A506" s="356"/>
      <c r="B506" s="278"/>
      <c r="C506" s="357"/>
      <c r="D506" s="358"/>
      <c r="E506" s="358"/>
      <c r="F506" s="358"/>
      <c r="G506" s="278"/>
      <c r="H506" s="358"/>
      <c r="I506" s="278"/>
    </row>
    <row r="507" spans="1:9" x14ac:dyDescent="0.3">
      <c r="A507" s="356"/>
      <c r="B507" s="278"/>
      <c r="C507" s="357"/>
      <c r="D507" s="358"/>
      <c r="E507" s="358"/>
      <c r="F507" s="358"/>
      <c r="G507" s="278"/>
      <c r="H507" s="358"/>
      <c r="I507" s="278"/>
    </row>
    <row r="508" spans="1:9" x14ac:dyDescent="0.3">
      <c r="A508" s="356"/>
      <c r="B508" s="278"/>
      <c r="C508" s="357"/>
      <c r="D508" s="358"/>
      <c r="E508" s="358"/>
      <c r="F508" s="358"/>
      <c r="G508" s="278"/>
      <c r="H508" s="358"/>
      <c r="I508" s="278"/>
    </row>
    <row r="509" spans="1:9" x14ac:dyDescent="0.3">
      <c r="A509" s="356"/>
      <c r="B509" s="278"/>
      <c r="C509" s="357"/>
      <c r="D509" s="358"/>
      <c r="E509" s="358"/>
      <c r="F509" s="358"/>
      <c r="G509" s="278"/>
      <c r="H509" s="358"/>
      <c r="I509" s="278"/>
    </row>
    <row r="510" spans="1:9" x14ac:dyDescent="0.3">
      <c r="A510" s="356"/>
      <c r="B510" s="278"/>
      <c r="C510" s="357"/>
      <c r="D510" s="358"/>
      <c r="E510" s="358"/>
      <c r="F510" s="358"/>
      <c r="G510" s="278"/>
      <c r="H510" s="358"/>
      <c r="I510" s="278"/>
    </row>
    <row r="511" spans="1:9" x14ac:dyDescent="0.3">
      <c r="A511" s="356"/>
      <c r="B511" s="278"/>
      <c r="C511" s="357"/>
      <c r="D511" s="358"/>
      <c r="E511" s="358"/>
      <c r="F511" s="358"/>
      <c r="G511" s="278"/>
      <c r="H511" s="358"/>
      <c r="I511" s="278"/>
    </row>
    <row r="512" spans="1:9" x14ac:dyDescent="0.3">
      <c r="A512" s="356"/>
      <c r="B512" s="278"/>
      <c r="C512" s="357"/>
      <c r="D512" s="358"/>
      <c r="E512" s="358"/>
      <c r="F512" s="358"/>
      <c r="G512" s="278"/>
      <c r="H512" s="358"/>
      <c r="I512" s="278"/>
    </row>
    <row r="513" spans="1:9" x14ac:dyDescent="0.3">
      <c r="A513" s="356"/>
      <c r="B513" s="278"/>
      <c r="C513" s="357"/>
      <c r="D513" s="358"/>
      <c r="E513" s="358"/>
      <c r="F513" s="358"/>
      <c r="G513" s="278"/>
      <c r="H513" s="358"/>
      <c r="I513" s="278"/>
    </row>
    <row r="514" spans="1:9" x14ac:dyDescent="0.3">
      <c r="A514" s="356"/>
      <c r="B514" s="278"/>
      <c r="C514" s="357"/>
      <c r="D514" s="358"/>
      <c r="E514" s="358"/>
      <c r="F514" s="358"/>
      <c r="G514" s="278"/>
      <c r="H514" s="358"/>
      <c r="I514" s="278"/>
    </row>
    <row r="515" spans="1:9" x14ac:dyDescent="0.3">
      <c r="A515" s="356"/>
      <c r="B515" s="278"/>
      <c r="C515" s="357"/>
      <c r="D515" s="358"/>
      <c r="E515" s="358"/>
      <c r="F515" s="358"/>
      <c r="G515" s="278"/>
      <c r="H515" s="358"/>
      <c r="I515" s="278"/>
    </row>
    <row r="516" spans="1:9" x14ac:dyDescent="0.3">
      <c r="A516" s="356"/>
      <c r="B516" s="278"/>
      <c r="C516" s="357"/>
      <c r="D516" s="358"/>
      <c r="E516" s="358"/>
      <c r="F516" s="358"/>
      <c r="G516" s="278"/>
      <c r="H516" s="358"/>
      <c r="I516" s="278"/>
    </row>
    <row r="517" spans="1:9" x14ac:dyDescent="0.3">
      <c r="A517" s="356"/>
      <c r="B517" s="278"/>
      <c r="C517" s="357"/>
      <c r="D517" s="358"/>
      <c r="E517" s="358"/>
      <c r="F517" s="358"/>
      <c r="G517" s="278"/>
      <c r="H517" s="358"/>
      <c r="I517" s="278"/>
    </row>
    <row r="518" spans="1:9" x14ac:dyDescent="0.3">
      <c r="A518" s="356"/>
      <c r="B518" s="278"/>
      <c r="C518" s="357"/>
      <c r="D518" s="358"/>
      <c r="E518" s="358"/>
      <c r="F518" s="358"/>
      <c r="G518" s="278"/>
      <c r="H518" s="358"/>
      <c r="I518" s="278"/>
    </row>
    <row r="519" spans="1:9" x14ac:dyDescent="0.3">
      <c r="A519" s="356"/>
      <c r="B519" s="278"/>
      <c r="C519" s="357"/>
      <c r="D519" s="358"/>
      <c r="E519" s="358"/>
      <c r="F519" s="358"/>
      <c r="G519" s="278"/>
      <c r="H519" s="358"/>
      <c r="I519" s="278"/>
    </row>
    <row r="520" spans="1:9" x14ac:dyDescent="0.3">
      <c r="A520" s="356"/>
      <c r="B520" s="278"/>
      <c r="C520" s="357"/>
      <c r="D520" s="358"/>
      <c r="E520" s="358"/>
      <c r="F520" s="358"/>
      <c r="G520" s="278"/>
      <c r="H520" s="358"/>
      <c r="I520" s="278"/>
    </row>
    <row r="521" spans="1:9" x14ac:dyDescent="0.3">
      <c r="A521" s="356"/>
      <c r="B521" s="278"/>
      <c r="C521" s="357"/>
      <c r="D521" s="358"/>
      <c r="E521" s="358"/>
      <c r="F521" s="358"/>
      <c r="G521" s="278"/>
      <c r="H521" s="358"/>
      <c r="I521" s="278"/>
    </row>
    <row r="522" spans="1:9" x14ac:dyDescent="0.3">
      <c r="A522" s="356"/>
      <c r="B522" s="278"/>
      <c r="C522" s="357"/>
      <c r="D522" s="358"/>
      <c r="E522" s="358"/>
      <c r="F522" s="358"/>
      <c r="G522" s="278"/>
      <c r="H522" s="358"/>
      <c r="I522" s="278"/>
    </row>
    <row r="523" spans="1:9" x14ac:dyDescent="0.3">
      <c r="A523" s="356"/>
      <c r="B523" s="278"/>
      <c r="C523" s="357"/>
      <c r="D523" s="358"/>
      <c r="E523" s="358"/>
      <c r="F523" s="358"/>
      <c r="G523" s="278"/>
      <c r="H523" s="358"/>
      <c r="I523" s="278"/>
    </row>
    <row r="524" spans="1:9" x14ac:dyDescent="0.3">
      <c r="A524" s="356"/>
      <c r="B524" s="278"/>
      <c r="C524" s="357"/>
      <c r="D524" s="358"/>
      <c r="E524" s="358"/>
      <c r="F524" s="358"/>
      <c r="G524" s="278"/>
      <c r="H524" s="358"/>
      <c r="I524" s="278"/>
    </row>
    <row r="525" spans="1:9" x14ac:dyDescent="0.3">
      <c r="A525" s="356"/>
      <c r="B525" s="278"/>
      <c r="C525" s="357"/>
      <c r="D525" s="358"/>
      <c r="E525" s="358"/>
      <c r="F525" s="358"/>
      <c r="G525" s="278"/>
      <c r="H525" s="358"/>
      <c r="I525" s="278"/>
    </row>
    <row r="526" spans="1:9" x14ac:dyDescent="0.3">
      <c r="A526" s="356"/>
      <c r="B526" s="278"/>
      <c r="C526" s="357"/>
      <c r="D526" s="358"/>
      <c r="E526" s="358"/>
      <c r="F526" s="358"/>
      <c r="G526" s="278"/>
      <c r="H526" s="358"/>
      <c r="I526" s="278"/>
    </row>
    <row r="527" spans="1:9" x14ac:dyDescent="0.3">
      <c r="A527" s="356"/>
      <c r="B527" s="278"/>
      <c r="C527" s="357"/>
      <c r="D527" s="358"/>
      <c r="E527" s="358"/>
      <c r="F527" s="358"/>
      <c r="G527" s="278"/>
      <c r="H527" s="358"/>
      <c r="I527" s="278"/>
    </row>
    <row r="528" spans="1:9" x14ac:dyDescent="0.3">
      <c r="A528" s="356"/>
      <c r="B528" s="278"/>
      <c r="C528" s="357"/>
      <c r="D528" s="358"/>
      <c r="E528" s="358"/>
      <c r="F528" s="358"/>
      <c r="G528" s="278"/>
      <c r="H528" s="358"/>
      <c r="I528" s="278"/>
    </row>
    <row r="529" spans="1:9" x14ac:dyDescent="0.3">
      <c r="A529" s="356"/>
      <c r="B529" s="278"/>
      <c r="C529" s="357"/>
      <c r="D529" s="358"/>
      <c r="E529" s="358"/>
      <c r="F529" s="358"/>
      <c r="G529" s="278"/>
      <c r="H529" s="358"/>
      <c r="I529" s="278"/>
    </row>
    <row r="530" spans="1:9" x14ac:dyDescent="0.3">
      <c r="A530" s="356"/>
      <c r="B530" s="278"/>
      <c r="C530" s="357"/>
      <c r="D530" s="358"/>
      <c r="E530" s="358"/>
      <c r="F530" s="358"/>
      <c r="G530" s="278"/>
      <c r="H530" s="358"/>
      <c r="I530" s="278"/>
    </row>
    <row r="531" spans="1:9" x14ac:dyDescent="0.3">
      <c r="A531" s="356"/>
      <c r="B531" s="278"/>
      <c r="C531" s="357"/>
      <c r="D531" s="358"/>
      <c r="E531" s="358"/>
      <c r="F531" s="358"/>
      <c r="G531" s="278"/>
      <c r="H531" s="358"/>
      <c r="I531" s="278"/>
    </row>
    <row r="532" spans="1:9" x14ac:dyDescent="0.3">
      <c r="A532" s="356"/>
      <c r="B532" s="278"/>
      <c r="C532" s="357"/>
      <c r="D532" s="358"/>
      <c r="E532" s="358"/>
      <c r="F532" s="358"/>
      <c r="G532" s="278"/>
      <c r="H532" s="358"/>
      <c r="I532" s="278"/>
    </row>
    <row r="533" spans="1:9" x14ac:dyDescent="0.3">
      <c r="A533" s="356"/>
      <c r="B533" s="278"/>
      <c r="C533" s="357"/>
      <c r="D533" s="358"/>
      <c r="E533" s="358"/>
      <c r="F533" s="358"/>
      <c r="G533" s="278"/>
      <c r="H533" s="358"/>
      <c r="I533" s="278"/>
    </row>
    <row r="534" spans="1:9" x14ac:dyDescent="0.3">
      <c r="A534" s="356"/>
      <c r="B534" s="278"/>
      <c r="C534" s="357"/>
      <c r="D534" s="358"/>
      <c r="E534" s="358"/>
      <c r="F534" s="358"/>
      <c r="G534" s="278"/>
      <c r="H534" s="358"/>
      <c r="I534" s="278"/>
    </row>
    <row r="535" spans="1:9" x14ac:dyDescent="0.3">
      <c r="A535" s="356"/>
      <c r="B535" s="278"/>
      <c r="C535" s="357"/>
      <c r="D535" s="358"/>
      <c r="E535" s="358"/>
      <c r="F535" s="358"/>
      <c r="G535" s="278"/>
      <c r="H535" s="358"/>
      <c r="I535" s="278"/>
    </row>
    <row r="536" spans="1:9" x14ac:dyDescent="0.3">
      <c r="A536" s="356"/>
      <c r="B536" s="278"/>
      <c r="C536" s="357"/>
      <c r="D536" s="358"/>
      <c r="E536" s="358"/>
      <c r="F536" s="358"/>
      <c r="G536" s="278"/>
      <c r="H536" s="358"/>
      <c r="I536" s="278"/>
    </row>
    <row r="537" spans="1:9" x14ac:dyDescent="0.3">
      <c r="A537" s="356"/>
      <c r="B537" s="278"/>
      <c r="C537" s="357"/>
      <c r="D537" s="358"/>
      <c r="E537" s="358"/>
      <c r="F537" s="358"/>
      <c r="G537" s="278"/>
      <c r="H537" s="358"/>
      <c r="I537" s="278"/>
    </row>
    <row r="538" spans="1:9" x14ac:dyDescent="0.3">
      <c r="A538" s="356"/>
      <c r="B538" s="278"/>
      <c r="C538" s="357"/>
      <c r="D538" s="358"/>
      <c r="E538" s="358"/>
      <c r="F538" s="358"/>
      <c r="G538" s="278"/>
      <c r="H538" s="358"/>
      <c r="I538" s="278"/>
    </row>
    <row r="539" spans="1:9" x14ac:dyDescent="0.3">
      <c r="A539" s="356"/>
      <c r="B539" s="278"/>
      <c r="C539" s="357"/>
      <c r="D539" s="358"/>
      <c r="E539" s="358"/>
      <c r="F539" s="358"/>
      <c r="G539" s="278"/>
      <c r="H539" s="358"/>
      <c r="I539" s="278"/>
    </row>
    <row r="540" spans="1:9" x14ac:dyDescent="0.3">
      <c r="A540" s="356"/>
      <c r="B540" s="278"/>
      <c r="C540" s="357"/>
      <c r="D540" s="358"/>
      <c r="E540" s="358"/>
      <c r="F540" s="358"/>
      <c r="G540" s="278"/>
      <c r="H540" s="358"/>
      <c r="I540" s="278"/>
    </row>
    <row r="541" spans="1:9" x14ac:dyDescent="0.3">
      <c r="A541" s="356"/>
      <c r="B541" s="278"/>
      <c r="C541" s="357"/>
      <c r="D541" s="358"/>
      <c r="E541" s="358"/>
      <c r="F541" s="358"/>
      <c r="G541" s="278"/>
      <c r="H541" s="358"/>
      <c r="I541" s="278"/>
    </row>
    <row r="542" spans="1:9" x14ac:dyDescent="0.3">
      <c r="A542" s="356"/>
      <c r="B542" s="278"/>
      <c r="C542" s="357"/>
      <c r="D542" s="358"/>
      <c r="E542" s="358"/>
      <c r="F542" s="358"/>
      <c r="G542" s="278"/>
      <c r="H542" s="358"/>
      <c r="I542" s="278"/>
    </row>
    <row r="543" spans="1:9" x14ac:dyDescent="0.3">
      <c r="A543" s="356"/>
      <c r="B543" s="278"/>
      <c r="C543" s="357"/>
      <c r="D543" s="358"/>
      <c r="E543" s="358"/>
      <c r="F543" s="358"/>
      <c r="G543" s="278"/>
      <c r="H543" s="358"/>
      <c r="I543" s="278"/>
    </row>
    <row r="544" spans="1:9" x14ac:dyDescent="0.3">
      <c r="A544" s="356"/>
      <c r="B544" s="278"/>
      <c r="C544" s="357"/>
      <c r="D544" s="358"/>
      <c r="E544" s="358"/>
      <c r="F544" s="358"/>
      <c r="G544" s="278"/>
      <c r="H544" s="358"/>
      <c r="I544" s="278"/>
    </row>
    <row r="545" spans="1:9" x14ac:dyDescent="0.3">
      <c r="A545" s="356"/>
      <c r="B545" s="278"/>
      <c r="C545" s="357"/>
      <c r="D545" s="358"/>
      <c r="E545" s="358"/>
      <c r="F545" s="358"/>
      <c r="G545" s="278"/>
      <c r="H545" s="358"/>
      <c r="I545" s="278"/>
    </row>
    <row r="546" spans="1:9" x14ac:dyDescent="0.3">
      <c r="A546" s="356"/>
      <c r="B546" s="278"/>
      <c r="C546" s="357"/>
      <c r="D546" s="358"/>
      <c r="E546" s="358"/>
      <c r="F546" s="358"/>
      <c r="G546" s="278"/>
      <c r="H546" s="358"/>
      <c r="I546" s="278"/>
    </row>
    <row r="547" spans="1:9" x14ac:dyDescent="0.3">
      <c r="A547" s="356"/>
      <c r="B547" s="278"/>
      <c r="C547" s="357"/>
      <c r="D547" s="358"/>
      <c r="E547" s="358"/>
      <c r="F547" s="358"/>
      <c r="G547" s="278"/>
      <c r="H547" s="358"/>
      <c r="I547" s="278"/>
    </row>
    <row r="548" spans="1:9" x14ac:dyDescent="0.3">
      <c r="A548" s="356"/>
      <c r="B548" s="278"/>
      <c r="C548" s="357"/>
      <c r="D548" s="358"/>
      <c r="E548" s="358"/>
      <c r="F548" s="358"/>
      <c r="G548" s="278"/>
      <c r="H548" s="358"/>
      <c r="I548" s="278"/>
    </row>
    <row r="549" spans="1:9" x14ac:dyDescent="0.3">
      <c r="A549" s="356"/>
      <c r="B549" s="278"/>
      <c r="C549" s="357"/>
      <c r="D549" s="358"/>
      <c r="E549" s="358"/>
      <c r="F549" s="358"/>
      <c r="G549" s="278"/>
      <c r="H549" s="358"/>
      <c r="I549" s="278"/>
    </row>
    <row r="550" spans="1:9" x14ac:dyDescent="0.3">
      <c r="A550" s="356"/>
      <c r="B550" s="278"/>
      <c r="C550" s="357"/>
      <c r="D550" s="358"/>
      <c r="E550" s="358"/>
      <c r="F550" s="358"/>
      <c r="G550" s="278"/>
      <c r="H550" s="358"/>
      <c r="I550" s="278"/>
    </row>
    <row r="551" spans="1:9" x14ac:dyDescent="0.3">
      <c r="A551" s="356"/>
      <c r="B551" s="278"/>
      <c r="C551" s="357"/>
      <c r="D551" s="358"/>
      <c r="E551" s="358"/>
      <c r="F551" s="358"/>
      <c r="G551" s="278"/>
      <c r="H551" s="358"/>
      <c r="I551" s="278"/>
    </row>
    <row r="552" spans="1:9" x14ac:dyDescent="0.3">
      <c r="A552" s="356"/>
      <c r="B552" s="278"/>
      <c r="C552" s="357"/>
      <c r="D552" s="358"/>
      <c r="E552" s="358"/>
      <c r="F552" s="358"/>
      <c r="G552" s="278"/>
      <c r="H552" s="358"/>
      <c r="I552" s="278"/>
    </row>
    <row r="553" spans="1:9" x14ac:dyDescent="0.3">
      <c r="A553" s="356"/>
      <c r="B553" s="278"/>
      <c r="C553" s="357"/>
      <c r="D553" s="358"/>
      <c r="E553" s="358"/>
      <c r="F553" s="358"/>
      <c r="G553" s="278"/>
      <c r="H553" s="358"/>
      <c r="I553" s="278"/>
    </row>
    <row r="554" spans="1:9" x14ac:dyDescent="0.3">
      <c r="A554" s="356"/>
      <c r="B554" s="278"/>
      <c r="C554" s="357"/>
      <c r="D554" s="358"/>
      <c r="E554" s="358"/>
      <c r="F554" s="358"/>
      <c r="G554" s="278"/>
      <c r="H554" s="358"/>
      <c r="I554" s="278"/>
    </row>
    <row r="555" spans="1:9" x14ac:dyDescent="0.3">
      <c r="A555" s="356"/>
      <c r="B555" s="278"/>
      <c r="C555" s="357"/>
      <c r="D555" s="358"/>
      <c r="E555" s="358"/>
      <c r="F555" s="358"/>
      <c r="G555" s="278"/>
      <c r="H555" s="358"/>
      <c r="I555" s="278"/>
    </row>
    <row r="556" spans="1:9" x14ac:dyDescent="0.3">
      <c r="A556" s="356"/>
      <c r="B556" s="278"/>
      <c r="C556" s="357"/>
      <c r="D556" s="358"/>
      <c r="E556" s="358"/>
      <c r="F556" s="358"/>
      <c r="G556" s="278"/>
      <c r="H556" s="358"/>
      <c r="I556" s="278"/>
    </row>
    <row r="557" spans="1:9" x14ac:dyDescent="0.3">
      <c r="A557" s="356"/>
      <c r="B557" s="278"/>
      <c r="C557" s="357"/>
      <c r="D557" s="358"/>
      <c r="E557" s="358"/>
      <c r="F557" s="358"/>
      <c r="G557" s="278"/>
      <c r="H557" s="358"/>
      <c r="I557" s="278"/>
    </row>
    <row r="558" spans="1:9" x14ac:dyDescent="0.3">
      <c r="A558" s="356"/>
      <c r="B558" s="278"/>
      <c r="C558" s="357"/>
      <c r="D558" s="358"/>
      <c r="E558" s="358"/>
      <c r="F558" s="358"/>
      <c r="G558" s="278"/>
      <c r="H558" s="358"/>
      <c r="I558" s="278"/>
    </row>
    <row r="559" spans="1:9" x14ac:dyDescent="0.3">
      <c r="A559" s="356"/>
      <c r="B559" s="278"/>
      <c r="C559" s="357"/>
      <c r="D559" s="358"/>
      <c r="E559" s="358"/>
      <c r="F559" s="358"/>
      <c r="G559" s="278"/>
      <c r="H559" s="358"/>
      <c r="I559" s="278"/>
    </row>
    <row r="560" spans="1:9" x14ac:dyDescent="0.3">
      <c r="A560" s="356"/>
      <c r="B560" s="278"/>
      <c r="C560" s="357"/>
      <c r="D560" s="358"/>
      <c r="E560" s="358"/>
      <c r="F560" s="358"/>
      <c r="G560" s="278"/>
      <c r="H560" s="358"/>
      <c r="I560" s="278"/>
    </row>
    <row r="561" spans="1:9" x14ac:dyDescent="0.3">
      <c r="A561" s="356"/>
      <c r="B561" s="278"/>
      <c r="C561" s="357"/>
      <c r="D561" s="358"/>
      <c r="E561" s="358"/>
      <c r="F561" s="358"/>
      <c r="G561" s="278"/>
      <c r="H561" s="358"/>
      <c r="I561" s="278"/>
    </row>
    <row r="562" spans="1:9" x14ac:dyDescent="0.3">
      <c r="A562" s="356"/>
      <c r="B562" s="278"/>
      <c r="C562" s="357"/>
      <c r="D562" s="358"/>
      <c r="E562" s="358"/>
      <c r="F562" s="358"/>
      <c r="G562" s="278"/>
      <c r="H562" s="358"/>
      <c r="I562" s="278"/>
    </row>
    <row r="563" spans="1:9" x14ac:dyDescent="0.3">
      <c r="A563" s="356"/>
      <c r="B563" s="278"/>
      <c r="C563" s="357"/>
      <c r="D563" s="358"/>
      <c r="E563" s="358"/>
      <c r="F563" s="358"/>
      <c r="G563" s="278"/>
      <c r="H563" s="358"/>
      <c r="I563" s="278"/>
    </row>
    <row r="564" spans="1:9" x14ac:dyDescent="0.3">
      <c r="A564" s="356"/>
      <c r="B564" s="278"/>
      <c r="C564" s="357"/>
      <c r="D564" s="358"/>
      <c r="E564" s="358"/>
      <c r="F564" s="358"/>
      <c r="G564" s="278"/>
      <c r="H564" s="358"/>
      <c r="I564" s="278"/>
    </row>
    <row r="565" spans="1:9" x14ac:dyDescent="0.3">
      <c r="A565" s="356"/>
      <c r="B565" s="278"/>
      <c r="C565" s="357"/>
      <c r="D565" s="358"/>
      <c r="E565" s="358"/>
      <c r="F565" s="358"/>
      <c r="G565" s="278"/>
      <c r="H565" s="358"/>
      <c r="I565" s="278"/>
    </row>
    <row r="566" spans="1:9" x14ac:dyDescent="0.3">
      <c r="A566" s="356"/>
      <c r="B566" s="278"/>
      <c r="C566" s="357"/>
      <c r="D566" s="358"/>
      <c r="E566" s="358"/>
      <c r="F566" s="358"/>
      <c r="G566" s="278"/>
      <c r="H566" s="358"/>
      <c r="I566" s="278"/>
    </row>
    <row r="567" spans="1:9" x14ac:dyDescent="0.3">
      <c r="A567" s="356"/>
      <c r="B567" s="278"/>
      <c r="C567" s="357"/>
      <c r="D567" s="358"/>
      <c r="E567" s="358"/>
      <c r="F567" s="358"/>
      <c r="G567" s="278"/>
      <c r="H567" s="358"/>
      <c r="I567" s="278"/>
    </row>
    <row r="568" spans="1:9" x14ac:dyDescent="0.3">
      <c r="A568" s="356"/>
      <c r="B568" s="278"/>
      <c r="C568" s="357"/>
      <c r="D568" s="358"/>
      <c r="E568" s="358"/>
      <c r="F568" s="358"/>
      <c r="G568" s="278"/>
      <c r="H568" s="358"/>
      <c r="I568" s="278"/>
    </row>
    <row r="569" spans="1:9" x14ac:dyDescent="0.3">
      <c r="A569" s="356"/>
      <c r="B569" s="278"/>
      <c r="C569" s="357"/>
      <c r="D569" s="358"/>
      <c r="E569" s="358"/>
      <c r="F569" s="358"/>
      <c r="G569" s="278"/>
      <c r="H569" s="358"/>
      <c r="I569" s="278"/>
    </row>
    <row r="570" spans="1:9" x14ac:dyDescent="0.3">
      <c r="A570" s="356"/>
      <c r="B570" s="278"/>
      <c r="C570" s="357"/>
      <c r="D570" s="358"/>
      <c r="E570" s="358"/>
      <c r="F570" s="358"/>
      <c r="G570" s="278"/>
      <c r="H570" s="358"/>
      <c r="I570" s="278"/>
    </row>
    <row r="571" spans="1:9" x14ac:dyDescent="0.3">
      <c r="A571" s="356"/>
      <c r="B571" s="278"/>
      <c r="C571" s="357"/>
      <c r="D571" s="358"/>
      <c r="E571" s="358"/>
      <c r="F571" s="358"/>
      <c r="G571" s="278"/>
      <c r="H571" s="358"/>
      <c r="I571" s="278"/>
    </row>
    <row r="572" spans="1:9" x14ac:dyDescent="0.3">
      <c r="A572" s="356"/>
      <c r="B572" s="278"/>
      <c r="C572" s="357"/>
      <c r="D572" s="358"/>
      <c r="E572" s="358"/>
      <c r="F572" s="358"/>
      <c r="G572" s="278"/>
      <c r="H572" s="358"/>
      <c r="I572" s="278"/>
    </row>
    <row r="573" spans="1:9" x14ac:dyDescent="0.3">
      <c r="A573" s="356"/>
      <c r="B573" s="278"/>
      <c r="C573" s="357"/>
      <c r="D573" s="358"/>
      <c r="E573" s="358"/>
      <c r="F573" s="358"/>
      <c r="G573" s="278"/>
      <c r="H573" s="358"/>
      <c r="I573" s="278"/>
    </row>
    <row r="574" spans="1:9" x14ac:dyDescent="0.3">
      <c r="A574" s="356"/>
      <c r="B574" s="278"/>
      <c r="C574" s="357"/>
      <c r="D574" s="358"/>
      <c r="E574" s="358"/>
      <c r="F574" s="358"/>
      <c r="G574" s="278"/>
      <c r="H574" s="358"/>
      <c r="I574" s="278"/>
    </row>
    <row r="575" spans="1:9" x14ac:dyDescent="0.3">
      <c r="A575" s="356"/>
      <c r="B575" s="278"/>
      <c r="C575" s="357"/>
      <c r="D575" s="358"/>
      <c r="E575" s="358"/>
      <c r="F575" s="358"/>
      <c r="G575" s="278"/>
      <c r="H575" s="358"/>
      <c r="I575" s="278"/>
    </row>
    <row r="576" spans="1:9" x14ac:dyDescent="0.3">
      <c r="A576" s="356"/>
      <c r="B576" s="278"/>
      <c r="C576" s="357"/>
      <c r="D576" s="358"/>
      <c r="E576" s="358"/>
      <c r="F576" s="358"/>
      <c r="G576" s="278"/>
      <c r="H576" s="358"/>
      <c r="I576" s="278"/>
    </row>
    <row r="577" spans="1:9" x14ac:dyDescent="0.3">
      <c r="A577" s="356"/>
      <c r="B577" s="278"/>
      <c r="C577" s="357"/>
      <c r="D577" s="358"/>
      <c r="E577" s="358"/>
      <c r="F577" s="358"/>
      <c r="G577" s="278"/>
      <c r="H577" s="358"/>
      <c r="I577" s="278"/>
    </row>
    <row r="578" spans="1:9" x14ac:dyDescent="0.3">
      <c r="A578" s="356"/>
      <c r="B578" s="278"/>
      <c r="C578" s="357"/>
      <c r="D578" s="358"/>
      <c r="E578" s="358"/>
      <c r="F578" s="358"/>
      <c r="G578" s="278"/>
      <c r="H578" s="358"/>
      <c r="I578" s="278"/>
    </row>
    <row r="579" spans="1:9" x14ac:dyDescent="0.3">
      <c r="A579" s="356"/>
      <c r="B579" s="278"/>
      <c r="C579" s="357"/>
      <c r="D579" s="358"/>
      <c r="E579" s="358"/>
      <c r="F579" s="358"/>
      <c r="G579" s="278"/>
      <c r="H579" s="358"/>
      <c r="I579" s="278"/>
    </row>
    <row r="580" spans="1:9" x14ac:dyDescent="0.3">
      <c r="A580" s="356"/>
      <c r="B580" s="278"/>
      <c r="C580" s="357"/>
      <c r="D580" s="358"/>
      <c r="E580" s="358"/>
      <c r="F580" s="358"/>
      <c r="G580" s="278"/>
      <c r="H580" s="358"/>
      <c r="I580" s="278"/>
    </row>
    <row r="581" spans="1:9" x14ac:dyDescent="0.3">
      <c r="A581" s="356"/>
      <c r="B581" s="278"/>
      <c r="C581" s="357"/>
      <c r="D581" s="358"/>
      <c r="E581" s="358"/>
      <c r="F581" s="358"/>
      <c r="G581" s="278"/>
      <c r="H581" s="358"/>
      <c r="I581" s="278"/>
    </row>
    <row r="582" spans="1:9" x14ac:dyDescent="0.3">
      <c r="A582" s="356"/>
      <c r="B582" s="278"/>
      <c r="C582" s="357"/>
      <c r="D582" s="358"/>
      <c r="E582" s="358"/>
      <c r="F582" s="358"/>
      <c r="G582" s="278"/>
      <c r="H582" s="358"/>
      <c r="I582" s="278"/>
    </row>
    <row r="583" spans="1:9" x14ac:dyDescent="0.3">
      <c r="A583" s="356"/>
      <c r="B583" s="278"/>
      <c r="C583" s="357"/>
      <c r="D583" s="358"/>
      <c r="E583" s="358"/>
      <c r="F583" s="358"/>
      <c r="G583" s="278"/>
      <c r="H583" s="358"/>
      <c r="I583" s="278"/>
    </row>
    <row r="584" spans="1:9" x14ac:dyDescent="0.3">
      <c r="A584" s="356"/>
      <c r="B584" s="278"/>
      <c r="C584" s="357"/>
      <c r="D584" s="358"/>
      <c r="E584" s="358"/>
      <c r="F584" s="358"/>
      <c r="G584" s="278"/>
      <c r="H584" s="358"/>
      <c r="I584" s="278"/>
    </row>
    <row r="585" spans="1:9" x14ac:dyDescent="0.3">
      <c r="A585" s="356"/>
      <c r="B585" s="278"/>
      <c r="C585" s="357"/>
      <c r="D585" s="358"/>
      <c r="E585" s="358"/>
      <c r="F585" s="358"/>
      <c r="G585" s="278"/>
      <c r="H585" s="358"/>
      <c r="I585" s="278"/>
    </row>
    <row r="586" spans="1:9" x14ac:dyDescent="0.3">
      <c r="A586" s="356"/>
      <c r="B586" s="278"/>
      <c r="C586" s="357"/>
      <c r="D586" s="358"/>
      <c r="E586" s="358"/>
      <c r="F586" s="358"/>
      <c r="G586" s="278"/>
      <c r="H586" s="358"/>
      <c r="I586" s="278"/>
    </row>
    <row r="587" spans="1:9" x14ac:dyDescent="0.3">
      <c r="A587" s="356"/>
      <c r="B587" s="278"/>
      <c r="C587" s="357"/>
      <c r="D587" s="358"/>
      <c r="E587" s="358"/>
      <c r="F587" s="358"/>
      <c r="G587" s="278"/>
      <c r="H587" s="358"/>
      <c r="I587" s="278"/>
    </row>
    <row r="588" spans="1:9" x14ac:dyDescent="0.3">
      <c r="A588" s="356"/>
      <c r="B588" s="278"/>
      <c r="C588" s="357"/>
      <c r="D588" s="358"/>
      <c r="E588" s="358"/>
      <c r="F588" s="358"/>
      <c r="G588" s="278"/>
      <c r="H588" s="358"/>
      <c r="I588" s="278"/>
    </row>
    <row r="589" spans="1:9" x14ac:dyDescent="0.3">
      <c r="A589" s="356"/>
      <c r="B589" s="278"/>
      <c r="C589" s="357"/>
      <c r="D589" s="358"/>
      <c r="E589" s="358"/>
      <c r="F589" s="358"/>
      <c r="G589" s="278"/>
      <c r="H589" s="358"/>
      <c r="I589" s="278"/>
    </row>
    <row r="590" spans="1:9" x14ac:dyDescent="0.3">
      <c r="A590" s="356"/>
      <c r="B590" s="278"/>
      <c r="C590" s="357"/>
      <c r="D590" s="358"/>
      <c r="E590" s="358"/>
      <c r="F590" s="358"/>
      <c r="G590" s="278"/>
      <c r="H590" s="358"/>
      <c r="I590" s="278"/>
    </row>
    <row r="591" spans="1:9" x14ac:dyDescent="0.3">
      <c r="A591" s="356"/>
      <c r="B591" s="278"/>
      <c r="C591" s="357"/>
      <c r="D591" s="358"/>
      <c r="E591" s="358"/>
      <c r="F591" s="358"/>
      <c r="G591" s="278"/>
      <c r="H591" s="358"/>
      <c r="I591" s="278"/>
    </row>
    <row r="592" spans="1:9" x14ac:dyDescent="0.3">
      <c r="A592" s="356"/>
      <c r="B592" s="278"/>
      <c r="C592" s="357"/>
      <c r="D592" s="358"/>
      <c r="E592" s="358"/>
      <c r="F592" s="358"/>
      <c r="G592" s="278"/>
      <c r="H592" s="358"/>
      <c r="I592" s="278"/>
    </row>
    <row r="593" spans="1:9" x14ac:dyDescent="0.3">
      <c r="A593" s="356"/>
      <c r="B593" s="278"/>
      <c r="C593" s="357"/>
      <c r="D593" s="358"/>
      <c r="E593" s="358"/>
      <c r="F593" s="358"/>
      <c r="G593" s="278"/>
      <c r="H593" s="358"/>
      <c r="I593" s="278"/>
    </row>
    <row r="594" spans="1:9" x14ac:dyDescent="0.3">
      <c r="A594" s="356"/>
      <c r="B594" s="278"/>
      <c r="C594" s="357"/>
      <c r="D594" s="358"/>
      <c r="E594" s="358"/>
      <c r="F594" s="358"/>
      <c r="G594" s="278"/>
      <c r="H594" s="358"/>
      <c r="I594" s="278"/>
    </row>
    <row r="595" spans="1:9" x14ac:dyDescent="0.3">
      <c r="A595" s="356"/>
      <c r="B595" s="278"/>
      <c r="C595" s="357"/>
      <c r="D595" s="358"/>
      <c r="E595" s="358"/>
      <c r="F595" s="358"/>
      <c r="G595" s="278"/>
      <c r="H595" s="358"/>
      <c r="I595" s="278"/>
    </row>
    <row r="596" spans="1:9" x14ac:dyDescent="0.3">
      <c r="A596" s="356"/>
      <c r="B596" s="278"/>
      <c r="C596" s="357"/>
      <c r="D596" s="358"/>
      <c r="E596" s="358"/>
      <c r="F596" s="358"/>
      <c r="G596" s="278"/>
      <c r="H596" s="358"/>
      <c r="I596" s="278"/>
    </row>
    <row r="597" spans="1:9" x14ac:dyDescent="0.3">
      <c r="A597" s="356"/>
      <c r="B597" s="278"/>
      <c r="C597" s="357"/>
      <c r="D597" s="358"/>
      <c r="E597" s="358"/>
      <c r="F597" s="358"/>
      <c r="G597" s="278"/>
      <c r="H597" s="358"/>
      <c r="I597" s="278"/>
    </row>
    <row r="598" spans="1:9" x14ac:dyDescent="0.3">
      <c r="A598" s="356"/>
      <c r="B598" s="278"/>
      <c r="C598" s="357"/>
      <c r="D598" s="358"/>
      <c r="E598" s="358"/>
      <c r="F598" s="358"/>
      <c r="G598" s="278"/>
      <c r="H598" s="358"/>
      <c r="I598" s="278"/>
    </row>
    <row r="599" spans="1:9" x14ac:dyDescent="0.3">
      <c r="A599" s="356"/>
      <c r="B599" s="278"/>
      <c r="C599" s="357"/>
      <c r="D599" s="358"/>
      <c r="E599" s="358"/>
      <c r="F599" s="358"/>
      <c r="G599" s="278"/>
      <c r="H599" s="358"/>
      <c r="I599" s="278"/>
    </row>
    <row r="600" spans="1:9" x14ac:dyDescent="0.3">
      <c r="A600" s="356"/>
      <c r="B600" s="278"/>
      <c r="C600" s="357"/>
      <c r="D600" s="358"/>
      <c r="E600" s="358"/>
      <c r="F600" s="358"/>
      <c r="G600" s="278"/>
      <c r="H600" s="358"/>
      <c r="I600" s="278"/>
    </row>
    <row r="601" spans="1:9" x14ac:dyDescent="0.3">
      <c r="A601" s="356"/>
      <c r="B601" s="278"/>
      <c r="C601" s="357"/>
      <c r="D601" s="358"/>
      <c r="E601" s="358"/>
      <c r="F601" s="358"/>
      <c r="G601" s="278"/>
      <c r="H601" s="358"/>
      <c r="I601" s="278"/>
    </row>
    <row r="602" spans="1:9" x14ac:dyDescent="0.3">
      <c r="A602" s="356"/>
      <c r="B602" s="278"/>
      <c r="C602" s="357"/>
      <c r="D602" s="358"/>
      <c r="E602" s="358"/>
      <c r="F602" s="358"/>
      <c r="G602" s="278"/>
      <c r="H602" s="358"/>
      <c r="I602" s="278"/>
    </row>
    <row r="603" spans="1:9" x14ac:dyDescent="0.3">
      <c r="A603" s="356"/>
      <c r="B603" s="278"/>
      <c r="C603" s="357"/>
      <c r="D603" s="358"/>
      <c r="E603" s="358"/>
      <c r="F603" s="358"/>
      <c r="G603" s="278"/>
      <c r="H603" s="358"/>
      <c r="I603" s="278"/>
    </row>
    <row r="604" spans="1:9" x14ac:dyDescent="0.3">
      <c r="A604" s="356"/>
      <c r="B604" s="278"/>
      <c r="C604" s="357"/>
      <c r="D604" s="358"/>
      <c r="E604" s="358"/>
      <c r="F604" s="358"/>
      <c r="G604" s="278"/>
      <c r="H604" s="358"/>
      <c r="I604" s="278"/>
    </row>
    <row r="605" spans="1:9" x14ac:dyDescent="0.3">
      <c r="A605" s="356"/>
      <c r="B605" s="278"/>
      <c r="C605" s="357"/>
      <c r="D605" s="358"/>
      <c r="E605" s="358"/>
      <c r="F605" s="358"/>
      <c r="G605" s="278"/>
      <c r="H605" s="358"/>
      <c r="I605" s="278"/>
    </row>
    <row r="606" spans="1:9" x14ac:dyDescent="0.3">
      <c r="A606" s="356"/>
      <c r="B606" s="278"/>
      <c r="C606" s="357"/>
      <c r="D606" s="358"/>
      <c r="E606" s="358"/>
      <c r="F606" s="358"/>
      <c r="G606" s="278"/>
      <c r="H606" s="358"/>
      <c r="I606" s="278"/>
    </row>
    <row r="607" spans="1:9" x14ac:dyDescent="0.3">
      <c r="A607" s="356"/>
      <c r="B607" s="278"/>
      <c r="C607" s="357"/>
      <c r="D607" s="358"/>
      <c r="E607" s="358"/>
      <c r="F607" s="358"/>
      <c r="G607" s="278"/>
      <c r="H607" s="358"/>
      <c r="I607" s="278"/>
    </row>
    <row r="608" spans="1:9" x14ac:dyDescent="0.3">
      <c r="A608" s="356"/>
      <c r="B608" s="278"/>
      <c r="C608" s="357"/>
      <c r="D608" s="358"/>
      <c r="E608" s="358"/>
      <c r="F608" s="358"/>
      <c r="G608" s="278"/>
      <c r="H608" s="358"/>
      <c r="I608" s="278"/>
    </row>
    <row r="609" spans="1:9" x14ac:dyDescent="0.3">
      <c r="A609" s="356"/>
      <c r="B609" s="278"/>
      <c r="C609" s="357"/>
      <c r="D609" s="358"/>
      <c r="E609" s="358"/>
      <c r="F609" s="358"/>
      <c r="G609" s="278"/>
      <c r="H609" s="358"/>
      <c r="I609" s="278"/>
    </row>
    <row r="610" spans="1:9" x14ac:dyDescent="0.3">
      <c r="A610" s="356"/>
      <c r="B610" s="278"/>
      <c r="C610" s="357"/>
      <c r="D610" s="358"/>
      <c r="E610" s="358"/>
      <c r="F610" s="358"/>
      <c r="G610" s="278"/>
      <c r="H610" s="358"/>
      <c r="I610" s="278"/>
    </row>
    <row r="611" spans="1:9" x14ac:dyDescent="0.3">
      <c r="A611" s="356"/>
      <c r="B611" s="278"/>
      <c r="C611" s="357"/>
      <c r="D611" s="358"/>
      <c r="E611" s="358"/>
      <c r="F611" s="358"/>
      <c r="G611" s="278"/>
      <c r="H611" s="358"/>
      <c r="I611" s="278"/>
    </row>
    <row r="612" spans="1:9" x14ac:dyDescent="0.3">
      <c r="A612" s="356"/>
      <c r="B612" s="278"/>
      <c r="C612" s="357"/>
      <c r="D612" s="358"/>
      <c r="E612" s="358"/>
      <c r="F612" s="358"/>
      <c r="G612" s="278"/>
      <c r="H612" s="358"/>
      <c r="I612" s="278"/>
    </row>
    <row r="613" spans="1:9" x14ac:dyDescent="0.3">
      <c r="A613" s="356"/>
      <c r="B613" s="278"/>
      <c r="C613" s="357"/>
      <c r="D613" s="358"/>
      <c r="E613" s="358"/>
      <c r="F613" s="358"/>
      <c r="G613" s="278"/>
      <c r="H613" s="358"/>
      <c r="I613" s="278"/>
    </row>
    <row r="614" spans="1:9" x14ac:dyDescent="0.3">
      <c r="A614" s="356"/>
      <c r="B614" s="278"/>
      <c r="C614" s="357"/>
      <c r="D614" s="358"/>
      <c r="E614" s="358"/>
      <c r="F614" s="358"/>
      <c r="G614" s="278"/>
      <c r="H614" s="358"/>
      <c r="I614" s="278"/>
    </row>
    <row r="615" spans="1:9" x14ac:dyDescent="0.3">
      <c r="A615" s="356"/>
      <c r="B615" s="278"/>
      <c r="C615" s="357"/>
      <c r="D615" s="358"/>
      <c r="E615" s="358"/>
      <c r="F615" s="358"/>
      <c r="G615" s="278"/>
      <c r="H615" s="358"/>
      <c r="I615" s="278"/>
    </row>
    <row r="616" spans="1:9" x14ac:dyDescent="0.3">
      <c r="A616" s="356"/>
      <c r="B616" s="278"/>
      <c r="C616" s="357"/>
      <c r="D616" s="358"/>
      <c r="E616" s="358"/>
      <c r="F616" s="358"/>
      <c r="G616" s="278"/>
      <c r="H616" s="358"/>
      <c r="I616" s="278"/>
    </row>
    <row r="617" spans="1:9" x14ac:dyDescent="0.3">
      <c r="A617" s="356"/>
      <c r="B617" s="278"/>
      <c r="C617" s="357"/>
      <c r="D617" s="358"/>
      <c r="E617" s="358"/>
      <c r="F617" s="358"/>
      <c r="G617" s="278"/>
      <c r="H617" s="358"/>
      <c r="I617" s="278"/>
    </row>
    <row r="618" spans="1:9" x14ac:dyDescent="0.3">
      <c r="A618" s="356"/>
      <c r="B618" s="278"/>
      <c r="C618" s="357"/>
      <c r="D618" s="358"/>
      <c r="E618" s="358"/>
      <c r="F618" s="358"/>
      <c r="G618" s="278"/>
      <c r="H618" s="358"/>
      <c r="I618" s="278"/>
    </row>
    <row r="619" spans="1:9" x14ac:dyDescent="0.3">
      <c r="A619" s="356"/>
      <c r="B619" s="278"/>
      <c r="C619" s="357"/>
      <c r="D619" s="358"/>
      <c r="E619" s="358"/>
      <c r="F619" s="358"/>
      <c r="G619" s="278"/>
      <c r="H619" s="358"/>
      <c r="I619" s="278"/>
    </row>
    <row r="620" spans="1:9" x14ac:dyDescent="0.3">
      <c r="A620" s="356"/>
      <c r="B620" s="278"/>
      <c r="C620" s="357"/>
      <c r="D620" s="358"/>
      <c r="E620" s="358"/>
      <c r="F620" s="358"/>
      <c r="G620" s="278"/>
      <c r="H620" s="358"/>
      <c r="I620" s="278"/>
    </row>
    <row r="621" spans="1:9" x14ac:dyDescent="0.3">
      <c r="A621" s="356"/>
      <c r="B621" s="278"/>
      <c r="C621" s="357"/>
      <c r="D621" s="358"/>
      <c r="E621" s="358"/>
      <c r="F621" s="358"/>
      <c r="G621" s="278"/>
      <c r="H621" s="358"/>
      <c r="I621" s="278"/>
    </row>
    <row r="622" spans="1:9" x14ac:dyDescent="0.3">
      <c r="A622" s="356"/>
      <c r="B622" s="278"/>
      <c r="C622" s="357"/>
      <c r="D622" s="358"/>
      <c r="E622" s="358"/>
      <c r="F622" s="358"/>
      <c r="G622" s="278"/>
      <c r="H622" s="358"/>
      <c r="I622" s="278"/>
    </row>
    <row r="623" spans="1:9" x14ac:dyDescent="0.3">
      <c r="A623" s="356"/>
      <c r="B623" s="278"/>
      <c r="C623" s="357"/>
      <c r="D623" s="358"/>
      <c r="E623" s="358"/>
      <c r="F623" s="358"/>
      <c r="G623" s="278"/>
      <c r="H623" s="358"/>
      <c r="I623" s="278"/>
    </row>
    <row r="624" spans="1:9" x14ac:dyDescent="0.3">
      <c r="A624" s="356"/>
      <c r="B624" s="278"/>
      <c r="C624" s="357"/>
      <c r="D624" s="358"/>
      <c r="E624" s="358"/>
      <c r="F624" s="358"/>
      <c r="G624" s="278"/>
      <c r="H624" s="358"/>
      <c r="I624" s="278"/>
    </row>
    <row r="625" spans="1:9" x14ac:dyDescent="0.3">
      <c r="A625" s="356"/>
      <c r="B625" s="278"/>
      <c r="C625" s="357"/>
      <c r="D625" s="358"/>
      <c r="E625" s="358"/>
      <c r="F625" s="358"/>
      <c r="G625" s="278"/>
      <c r="H625" s="358"/>
      <c r="I625" s="278"/>
    </row>
    <row r="626" spans="1:9" x14ac:dyDescent="0.3">
      <c r="A626" s="356"/>
      <c r="B626" s="278"/>
      <c r="C626" s="357"/>
      <c r="D626" s="358"/>
      <c r="E626" s="358"/>
      <c r="F626" s="358"/>
      <c r="G626" s="278"/>
      <c r="H626" s="358"/>
      <c r="I626" s="278"/>
    </row>
    <row r="627" spans="1:9" x14ac:dyDescent="0.3">
      <c r="A627" s="356"/>
      <c r="B627" s="278"/>
      <c r="C627" s="357"/>
      <c r="D627" s="358"/>
      <c r="E627" s="358"/>
      <c r="F627" s="358"/>
      <c r="G627" s="278"/>
      <c r="H627" s="358"/>
      <c r="I627" s="278"/>
    </row>
    <row r="628" spans="1:9" x14ac:dyDescent="0.3">
      <c r="A628" s="356"/>
      <c r="B628" s="278"/>
      <c r="C628" s="357"/>
      <c r="D628" s="358"/>
      <c r="E628" s="358"/>
      <c r="F628" s="358"/>
      <c r="G628" s="278"/>
      <c r="H628" s="358"/>
      <c r="I628" s="278"/>
    </row>
    <row r="629" spans="1:9" x14ac:dyDescent="0.3">
      <c r="A629" s="356"/>
      <c r="B629" s="278"/>
      <c r="C629" s="357"/>
      <c r="D629" s="358"/>
      <c r="E629" s="358"/>
      <c r="F629" s="358"/>
      <c r="G629" s="278"/>
      <c r="H629" s="358"/>
      <c r="I629" s="278"/>
    </row>
    <row r="630" spans="1:9" x14ac:dyDescent="0.3">
      <c r="A630" s="356"/>
      <c r="B630" s="278"/>
      <c r="C630" s="357"/>
      <c r="D630" s="358"/>
      <c r="E630" s="358"/>
      <c r="F630" s="358"/>
      <c r="G630" s="278"/>
      <c r="H630" s="358"/>
      <c r="I630" s="278"/>
    </row>
    <row r="631" spans="1:9" x14ac:dyDescent="0.3">
      <c r="A631" s="356"/>
      <c r="B631" s="278"/>
      <c r="C631" s="357"/>
      <c r="D631" s="358"/>
      <c r="E631" s="358"/>
      <c r="F631" s="358"/>
      <c r="G631" s="278"/>
      <c r="H631" s="358"/>
      <c r="I631" s="278"/>
    </row>
    <row r="632" spans="1:9" x14ac:dyDescent="0.3">
      <c r="A632" s="356"/>
      <c r="B632" s="278"/>
      <c r="C632" s="357"/>
      <c r="D632" s="358"/>
      <c r="E632" s="358"/>
      <c r="F632" s="358"/>
      <c r="G632" s="278"/>
      <c r="H632" s="358"/>
      <c r="I632" s="278"/>
    </row>
    <row r="633" spans="1:9" x14ac:dyDescent="0.3">
      <c r="A633" s="356"/>
      <c r="B633" s="278"/>
      <c r="C633" s="357"/>
      <c r="D633" s="358"/>
      <c r="E633" s="358"/>
      <c r="F633" s="358"/>
      <c r="G633" s="278"/>
      <c r="H633" s="358"/>
      <c r="I633" s="278"/>
    </row>
    <row r="634" spans="1:9" x14ac:dyDescent="0.3">
      <c r="A634" s="356"/>
      <c r="B634" s="278"/>
      <c r="C634" s="357"/>
      <c r="D634" s="358"/>
      <c r="E634" s="358"/>
      <c r="F634" s="358"/>
      <c r="G634" s="278"/>
      <c r="H634" s="358"/>
      <c r="I634" s="278"/>
    </row>
    <row r="635" spans="1:9" x14ac:dyDescent="0.3">
      <c r="A635" s="356"/>
      <c r="B635" s="278"/>
      <c r="C635" s="357"/>
      <c r="D635" s="358"/>
      <c r="E635" s="358"/>
      <c r="F635" s="358"/>
      <c r="G635" s="278"/>
      <c r="H635" s="358"/>
      <c r="I635" s="278"/>
    </row>
    <row r="636" spans="1:9" x14ac:dyDescent="0.3">
      <c r="A636" s="356"/>
      <c r="B636" s="278"/>
      <c r="C636" s="357"/>
      <c r="D636" s="358"/>
      <c r="E636" s="358"/>
      <c r="F636" s="358"/>
      <c r="G636" s="278"/>
      <c r="H636" s="358"/>
      <c r="I636" s="278"/>
    </row>
    <row r="637" spans="1:9" x14ac:dyDescent="0.3">
      <c r="A637" s="356"/>
      <c r="B637" s="278"/>
      <c r="C637" s="357"/>
      <c r="D637" s="358"/>
      <c r="E637" s="358"/>
      <c r="F637" s="358"/>
      <c r="G637" s="278"/>
      <c r="H637" s="358"/>
      <c r="I637" s="278"/>
    </row>
    <row r="638" spans="1:9" x14ac:dyDescent="0.3">
      <c r="A638" s="356"/>
      <c r="B638" s="278"/>
      <c r="C638" s="357"/>
      <c r="D638" s="358"/>
      <c r="E638" s="358"/>
      <c r="F638" s="358"/>
      <c r="G638" s="278"/>
      <c r="H638" s="358"/>
      <c r="I638" s="278"/>
    </row>
    <row r="639" spans="1:9" x14ac:dyDescent="0.3">
      <c r="A639" s="356"/>
      <c r="B639" s="278"/>
      <c r="C639" s="357"/>
      <c r="D639" s="358"/>
      <c r="E639" s="358"/>
      <c r="F639" s="358"/>
      <c r="G639" s="278"/>
      <c r="H639" s="358"/>
      <c r="I639" s="278"/>
    </row>
    <row r="640" spans="1:9" x14ac:dyDescent="0.3">
      <c r="A640" s="356"/>
      <c r="B640" s="278"/>
      <c r="C640" s="357"/>
      <c r="D640" s="358"/>
      <c r="E640" s="358"/>
      <c r="F640" s="358"/>
      <c r="G640" s="278"/>
      <c r="H640" s="358"/>
      <c r="I640" s="278"/>
    </row>
    <row r="641" spans="1:9" x14ac:dyDescent="0.3">
      <c r="A641" s="356"/>
      <c r="B641" s="278"/>
      <c r="C641" s="357"/>
      <c r="D641" s="358"/>
      <c r="E641" s="358"/>
      <c r="F641" s="358"/>
      <c r="G641" s="278"/>
      <c r="H641" s="358"/>
      <c r="I641" s="278"/>
    </row>
    <row r="642" spans="1:9" x14ac:dyDescent="0.3">
      <c r="A642" s="356"/>
      <c r="B642" s="278"/>
      <c r="C642" s="357"/>
      <c r="D642" s="358"/>
      <c r="E642" s="358"/>
      <c r="F642" s="358"/>
      <c r="G642" s="278"/>
      <c r="H642" s="358"/>
      <c r="I642" s="278"/>
    </row>
    <row r="643" spans="1:9" x14ac:dyDescent="0.3">
      <c r="A643" s="356"/>
      <c r="B643" s="278"/>
      <c r="C643" s="357"/>
      <c r="D643" s="358"/>
      <c r="E643" s="358"/>
      <c r="F643" s="358"/>
      <c r="G643" s="278"/>
      <c r="H643" s="358"/>
      <c r="I643" s="278"/>
    </row>
    <row r="644" spans="1:9" x14ac:dyDescent="0.3">
      <c r="A644" s="356"/>
      <c r="B644" s="278"/>
      <c r="C644" s="357"/>
      <c r="D644" s="358"/>
      <c r="E644" s="358"/>
      <c r="F644" s="358"/>
      <c r="G644" s="278"/>
      <c r="H644" s="358"/>
      <c r="I644" s="278"/>
    </row>
    <row r="645" spans="1:9" x14ac:dyDescent="0.3">
      <c r="A645" s="356"/>
      <c r="B645" s="278"/>
      <c r="C645" s="357"/>
      <c r="D645" s="358"/>
      <c r="E645" s="358"/>
      <c r="F645" s="358"/>
      <c r="G645" s="278"/>
      <c r="H645" s="358"/>
      <c r="I645" s="278"/>
    </row>
    <row r="646" spans="1:9" x14ac:dyDescent="0.3">
      <c r="A646" s="356"/>
      <c r="B646" s="278"/>
      <c r="C646" s="357"/>
      <c r="D646" s="358"/>
      <c r="E646" s="358"/>
      <c r="F646" s="358"/>
      <c r="G646" s="278"/>
      <c r="H646" s="358"/>
      <c r="I646" s="278"/>
    </row>
    <row r="647" spans="1:9" x14ac:dyDescent="0.3">
      <c r="A647" s="356"/>
      <c r="B647" s="278"/>
      <c r="C647" s="357"/>
      <c r="D647" s="358"/>
      <c r="E647" s="358"/>
      <c r="F647" s="358"/>
      <c r="G647" s="278"/>
      <c r="H647" s="358"/>
      <c r="I647" s="278"/>
    </row>
    <row r="648" spans="1:9" x14ac:dyDescent="0.3">
      <c r="A648" s="356"/>
      <c r="B648" s="278"/>
      <c r="C648" s="357"/>
      <c r="D648" s="358"/>
      <c r="E648" s="358"/>
      <c r="F648" s="358"/>
      <c r="G648" s="278"/>
      <c r="H648" s="358"/>
      <c r="I648" s="278"/>
    </row>
    <row r="649" spans="1:9" x14ac:dyDescent="0.3">
      <c r="A649" s="356"/>
      <c r="B649" s="278"/>
      <c r="C649" s="357"/>
      <c r="D649" s="358"/>
      <c r="E649" s="358"/>
      <c r="F649" s="358"/>
      <c r="G649" s="278"/>
      <c r="H649" s="358"/>
      <c r="I649" s="278"/>
    </row>
    <row r="650" spans="1:9" x14ac:dyDescent="0.3">
      <c r="A650" s="356"/>
      <c r="B650" s="278"/>
      <c r="C650" s="357"/>
      <c r="D650" s="358"/>
      <c r="E650" s="358"/>
      <c r="F650" s="358"/>
      <c r="G650" s="278"/>
      <c r="H650" s="358"/>
      <c r="I650" s="278"/>
    </row>
    <row r="651" spans="1:9" x14ac:dyDescent="0.3">
      <c r="A651" s="356"/>
      <c r="B651" s="278"/>
      <c r="C651" s="357"/>
      <c r="D651" s="358"/>
      <c r="E651" s="358"/>
      <c r="F651" s="358"/>
      <c r="G651" s="278"/>
      <c r="H651" s="358"/>
      <c r="I651" s="278"/>
    </row>
    <row r="652" spans="1:9" x14ac:dyDescent="0.3">
      <c r="A652" s="356"/>
      <c r="B652" s="278"/>
      <c r="C652" s="357"/>
      <c r="D652" s="358"/>
      <c r="E652" s="358"/>
      <c r="F652" s="358"/>
      <c r="G652" s="278"/>
      <c r="H652" s="358"/>
      <c r="I652" s="278"/>
    </row>
    <row r="653" spans="1:9" x14ac:dyDescent="0.3">
      <c r="A653" s="356"/>
      <c r="B653" s="278"/>
      <c r="C653" s="357"/>
      <c r="D653" s="358"/>
      <c r="E653" s="358"/>
      <c r="F653" s="358"/>
      <c r="G653" s="278"/>
      <c r="H653" s="358"/>
      <c r="I653" s="278"/>
    </row>
    <row r="654" spans="1:9" x14ac:dyDescent="0.3">
      <c r="A654" s="356"/>
      <c r="B654" s="278"/>
      <c r="C654" s="357"/>
      <c r="D654" s="358"/>
      <c r="E654" s="358"/>
      <c r="F654" s="358"/>
      <c r="G654" s="278"/>
      <c r="H654" s="358"/>
      <c r="I654" s="278"/>
    </row>
    <row r="655" spans="1:9" x14ac:dyDescent="0.3">
      <c r="A655" s="356"/>
      <c r="B655" s="278"/>
      <c r="C655" s="357"/>
      <c r="D655" s="358"/>
      <c r="E655" s="358"/>
      <c r="F655" s="358"/>
      <c r="G655" s="278"/>
      <c r="H655" s="358"/>
      <c r="I655" s="278"/>
    </row>
    <row r="656" spans="1:9" x14ac:dyDescent="0.3">
      <c r="A656" s="356"/>
      <c r="B656" s="278"/>
      <c r="C656" s="357"/>
      <c r="D656" s="358"/>
      <c r="E656" s="358"/>
      <c r="F656" s="358"/>
      <c r="G656" s="278"/>
      <c r="H656" s="358"/>
      <c r="I656" s="278"/>
    </row>
    <row r="657" spans="1:9" x14ac:dyDescent="0.3">
      <c r="A657" s="356"/>
      <c r="B657" s="278"/>
      <c r="C657" s="357"/>
      <c r="D657" s="358"/>
      <c r="E657" s="358"/>
      <c r="F657" s="358"/>
      <c r="G657" s="278"/>
      <c r="H657" s="358"/>
      <c r="I657" s="278"/>
    </row>
    <row r="658" spans="1:9" x14ac:dyDescent="0.3">
      <c r="A658" s="356"/>
      <c r="B658" s="278"/>
      <c r="C658" s="357"/>
      <c r="D658" s="358"/>
      <c r="E658" s="358"/>
      <c r="F658" s="358"/>
      <c r="G658" s="278"/>
      <c r="H658" s="358"/>
      <c r="I658" s="278"/>
    </row>
    <row r="659" spans="1:9" x14ac:dyDescent="0.3">
      <c r="A659" s="356"/>
      <c r="B659" s="278"/>
      <c r="C659" s="357"/>
      <c r="D659" s="358"/>
      <c r="E659" s="358"/>
      <c r="F659" s="358"/>
      <c r="G659" s="278"/>
      <c r="H659" s="358"/>
      <c r="I659" s="278"/>
    </row>
    <row r="660" spans="1:9" x14ac:dyDescent="0.3">
      <c r="A660" s="356"/>
      <c r="B660" s="278"/>
      <c r="C660" s="357"/>
      <c r="D660" s="358"/>
      <c r="E660" s="358"/>
      <c r="F660" s="358"/>
      <c r="G660" s="278"/>
      <c r="H660" s="358"/>
      <c r="I660" s="278"/>
    </row>
    <row r="661" spans="1:9" x14ac:dyDescent="0.3">
      <c r="A661" s="356"/>
      <c r="B661" s="278"/>
      <c r="C661" s="357"/>
      <c r="D661" s="358"/>
      <c r="E661" s="358"/>
      <c r="F661" s="358"/>
      <c r="G661" s="278"/>
      <c r="H661" s="358"/>
      <c r="I661" s="278"/>
    </row>
    <row r="662" spans="1:9" x14ac:dyDescent="0.3">
      <c r="A662" s="356"/>
      <c r="B662" s="278"/>
      <c r="C662" s="357"/>
      <c r="D662" s="358"/>
      <c r="E662" s="358"/>
      <c r="F662" s="358"/>
      <c r="G662" s="278"/>
      <c r="H662" s="358"/>
      <c r="I662" s="278"/>
    </row>
    <row r="663" spans="1:9" x14ac:dyDescent="0.3">
      <c r="A663" s="356"/>
      <c r="B663" s="278"/>
      <c r="C663" s="357"/>
      <c r="D663" s="358"/>
      <c r="E663" s="358"/>
      <c r="F663" s="358"/>
      <c r="G663" s="278"/>
      <c r="H663" s="358"/>
      <c r="I663" s="278"/>
    </row>
    <row r="664" spans="1:9" x14ac:dyDescent="0.3">
      <c r="A664" s="356"/>
      <c r="B664" s="278"/>
      <c r="C664" s="357"/>
      <c r="D664" s="358"/>
      <c r="E664" s="358"/>
      <c r="F664" s="358"/>
      <c r="G664" s="278"/>
      <c r="H664" s="358"/>
      <c r="I664" s="278"/>
    </row>
    <row r="665" spans="1:9" x14ac:dyDescent="0.3">
      <c r="A665" s="356"/>
      <c r="B665" s="278"/>
      <c r="C665" s="357"/>
      <c r="D665" s="358"/>
      <c r="E665" s="358"/>
      <c r="F665" s="358"/>
      <c r="G665" s="278"/>
      <c r="H665" s="358"/>
      <c r="I665" s="278"/>
    </row>
    <row r="666" spans="1:9" x14ac:dyDescent="0.3">
      <c r="A666" s="356"/>
      <c r="B666" s="278"/>
      <c r="C666" s="357"/>
      <c r="D666" s="358"/>
      <c r="E666" s="358"/>
      <c r="F666" s="358"/>
      <c r="G666" s="278"/>
      <c r="H666" s="358"/>
      <c r="I666" s="278"/>
    </row>
    <row r="667" spans="1:9" x14ac:dyDescent="0.3">
      <c r="A667" s="356"/>
      <c r="B667" s="278"/>
      <c r="C667" s="357"/>
      <c r="D667" s="358"/>
      <c r="E667" s="358"/>
      <c r="F667" s="358"/>
      <c r="G667" s="278"/>
      <c r="H667" s="358"/>
      <c r="I667" s="278"/>
    </row>
    <row r="668" spans="1:9" x14ac:dyDescent="0.3">
      <c r="A668" s="356"/>
      <c r="B668" s="278"/>
      <c r="C668" s="357"/>
      <c r="D668" s="358"/>
      <c r="E668" s="358"/>
      <c r="F668" s="358"/>
      <c r="G668" s="278"/>
      <c r="H668" s="358"/>
      <c r="I668" s="278"/>
    </row>
    <row r="669" spans="1:9" x14ac:dyDescent="0.3">
      <c r="A669" s="356"/>
      <c r="B669" s="278"/>
      <c r="C669" s="357"/>
      <c r="D669" s="358"/>
      <c r="E669" s="358"/>
      <c r="F669" s="358"/>
      <c r="G669" s="278"/>
      <c r="H669" s="358"/>
      <c r="I669" s="278"/>
    </row>
    <row r="670" spans="1:9" x14ac:dyDescent="0.3">
      <c r="A670" s="356"/>
      <c r="B670" s="278"/>
      <c r="C670" s="357"/>
      <c r="D670" s="358"/>
      <c r="E670" s="358"/>
      <c r="F670" s="358"/>
      <c r="G670" s="278"/>
      <c r="H670" s="358"/>
      <c r="I670" s="278"/>
    </row>
    <row r="671" spans="1:9" x14ac:dyDescent="0.3">
      <c r="A671" s="356"/>
      <c r="B671" s="278"/>
      <c r="C671" s="357"/>
      <c r="D671" s="358"/>
      <c r="E671" s="358"/>
      <c r="F671" s="358"/>
      <c r="G671" s="278"/>
      <c r="H671" s="358"/>
      <c r="I671" s="278"/>
    </row>
    <row r="672" spans="1:9" x14ac:dyDescent="0.3">
      <c r="A672" s="356"/>
      <c r="B672" s="278"/>
      <c r="C672" s="357"/>
      <c r="D672" s="358"/>
      <c r="E672" s="358"/>
      <c r="F672" s="358"/>
      <c r="G672" s="278"/>
      <c r="H672" s="358"/>
      <c r="I672" s="278"/>
    </row>
    <row r="673" spans="1:9" x14ac:dyDescent="0.3">
      <c r="A673" s="356"/>
      <c r="B673" s="278"/>
      <c r="C673" s="357"/>
      <c r="D673" s="358"/>
      <c r="E673" s="358"/>
      <c r="F673" s="358"/>
      <c r="G673" s="278"/>
      <c r="H673" s="358"/>
      <c r="I673" s="278"/>
    </row>
    <row r="674" spans="1:9" x14ac:dyDescent="0.3">
      <c r="A674" s="356"/>
      <c r="B674" s="278"/>
      <c r="C674" s="357"/>
      <c r="D674" s="358"/>
      <c r="E674" s="358"/>
      <c r="F674" s="358"/>
      <c r="G674" s="278"/>
      <c r="H674" s="358"/>
      <c r="I674" s="278"/>
    </row>
    <row r="675" spans="1:9" x14ac:dyDescent="0.3">
      <c r="A675" s="356"/>
      <c r="B675" s="278"/>
      <c r="C675" s="357"/>
      <c r="D675" s="358"/>
      <c r="E675" s="358"/>
      <c r="F675" s="358"/>
      <c r="G675" s="278"/>
      <c r="H675" s="358"/>
      <c r="I675" s="278"/>
    </row>
    <row r="676" spans="1:9" x14ac:dyDescent="0.3">
      <c r="A676" s="356"/>
      <c r="B676" s="278"/>
      <c r="C676" s="357"/>
      <c r="D676" s="358"/>
      <c r="E676" s="358"/>
      <c r="F676" s="358"/>
      <c r="G676" s="278"/>
      <c r="H676" s="358"/>
      <c r="I676" s="278"/>
    </row>
    <row r="677" spans="1:9" x14ac:dyDescent="0.3">
      <c r="A677" s="356"/>
      <c r="B677" s="278"/>
      <c r="C677" s="357"/>
      <c r="D677" s="358"/>
      <c r="E677" s="358"/>
      <c r="F677" s="358"/>
      <c r="G677" s="278"/>
      <c r="H677" s="358"/>
      <c r="I677" s="278"/>
    </row>
    <row r="678" spans="1:9" x14ac:dyDescent="0.3">
      <c r="A678" s="356"/>
      <c r="B678" s="278"/>
      <c r="C678" s="357"/>
      <c r="D678" s="358"/>
      <c r="E678" s="358"/>
      <c r="F678" s="358"/>
      <c r="G678" s="278"/>
      <c r="H678" s="358"/>
      <c r="I678" s="278"/>
    </row>
    <row r="679" spans="1:9" x14ac:dyDescent="0.3">
      <c r="A679" s="356"/>
      <c r="B679" s="278"/>
      <c r="C679" s="357"/>
      <c r="D679" s="358"/>
      <c r="E679" s="358"/>
      <c r="F679" s="358"/>
      <c r="G679" s="278"/>
      <c r="H679" s="358"/>
      <c r="I679" s="278"/>
    </row>
    <row r="680" spans="1:9" x14ac:dyDescent="0.3">
      <c r="A680" s="356"/>
      <c r="B680" s="278"/>
      <c r="C680" s="357"/>
      <c r="D680" s="358"/>
      <c r="E680" s="358"/>
      <c r="F680" s="358"/>
      <c r="G680" s="278"/>
      <c r="H680" s="358"/>
      <c r="I680" s="278"/>
    </row>
    <row r="681" spans="1:9" x14ac:dyDescent="0.3">
      <c r="A681" s="356"/>
      <c r="B681" s="278"/>
      <c r="C681" s="357"/>
      <c r="D681" s="358"/>
      <c r="E681" s="358"/>
      <c r="F681" s="358"/>
      <c r="G681" s="278"/>
      <c r="H681" s="358"/>
      <c r="I681" s="278"/>
    </row>
    <row r="682" spans="1:9" x14ac:dyDescent="0.3">
      <c r="A682" s="356"/>
      <c r="B682" s="278"/>
      <c r="C682" s="357"/>
      <c r="D682" s="358"/>
      <c r="E682" s="358"/>
      <c r="F682" s="358"/>
      <c r="G682" s="278"/>
      <c r="H682" s="358"/>
      <c r="I682" s="278"/>
    </row>
    <row r="683" spans="1:9" x14ac:dyDescent="0.3">
      <c r="A683" s="356"/>
      <c r="B683" s="278"/>
      <c r="C683" s="357"/>
      <c r="D683" s="358"/>
      <c r="E683" s="358"/>
      <c r="F683" s="358"/>
      <c r="G683" s="278"/>
      <c r="H683" s="358"/>
      <c r="I683" s="278"/>
    </row>
    <row r="684" spans="1:9" x14ac:dyDescent="0.3">
      <c r="A684" s="356"/>
      <c r="B684" s="278"/>
      <c r="C684" s="357"/>
      <c r="D684" s="358"/>
      <c r="E684" s="358"/>
      <c r="F684" s="358"/>
      <c r="G684" s="278"/>
      <c r="H684" s="358"/>
      <c r="I684" s="278"/>
    </row>
    <row r="685" spans="1:9" x14ac:dyDescent="0.3">
      <c r="A685" s="356"/>
      <c r="B685" s="278"/>
      <c r="C685" s="357"/>
      <c r="D685" s="358"/>
      <c r="E685" s="358"/>
      <c r="F685" s="358"/>
      <c r="G685" s="278"/>
      <c r="H685" s="358"/>
      <c r="I685" s="278"/>
    </row>
    <row r="686" spans="1:9" x14ac:dyDescent="0.3">
      <c r="A686" s="356"/>
      <c r="B686" s="278"/>
      <c r="C686" s="357"/>
      <c r="D686" s="358"/>
      <c r="E686" s="358"/>
      <c r="F686" s="358"/>
      <c r="G686" s="278"/>
      <c r="H686" s="358"/>
      <c r="I686" s="278"/>
    </row>
    <row r="687" spans="1:9" x14ac:dyDescent="0.3">
      <c r="A687" s="356"/>
      <c r="B687" s="278"/>
      <c r="C687" s="357"/>
      <c r="D687" s="358"/>
      <c r="E687" s="358"/>
      <c r="F687" s="358"/>
      <c r="G687" s="278"/>
      <c r="H687" s="358"/>
      <c r="I687" s="278"/>
    </row>
    <row r="688" spans="1:9" x14ac:dyDescent="0.3">
      <c r="A688" s="356"/>
      <c r="B688" s="278"/>
      <c r="C688" s="357"/>
      <c r="D688" s="358"/>
      <c r="E688" s="358"/>
      <c r="F688" s="358"/>
      <c r="G688" s="278"/>
      <c r="H688" s="358"/>
      <c r="I688" s="278"/>
    </row>
    <row r="689" spans="1:9" x14ac:dyDescent="0.3">
      <c r="A689" s="356"/>
      <c r="B689" s="278"/>
      <c r="C689" s="357"/>
      <c r="D689" s="358"/>
      <c r="E689" s="358"/>
      <c r="F689" s="358"/>
      <c r="G689" s="278"/>
      <c r="H689" s="358"/>
      <c r="I689" s="278"/>
    </row>
    <row r="690" spans="1:9" x14ac:dyDescent="0.3">
      <c r="A690" s="356"/>
      <c r="B690" s="278"/>
      <c r="C690" s="357"/>
      <c r="D690" s="358"/>
      <c r="E690" s="358"/>
      <c r="F690" s="358"/>
      <c r="G690" s="278"/>
      <c r="H690" s="358"/>
      <c r="I690" s="278"/>
    </row>
    <row r="691" spans="1:9" x14ac:dyDescent="0.3">
      <c r="A691" s="356"/>
      <c r="B691" s="278"/>
      <c r="C691" s="357"/>
      <c r="D691" s="358"/>
      <c r="E691" s="358"/>
      <c r="F691" s="358"/>
      <c r="G691" s="278"/>
      <c r="H691" s="358"/>
      <c r="I691" s="278"/>
    </row>
    <row r="692" spans="1:9" x14ac:dyDescent="0.3">
      <c r="A692" s="356"/>
      <c r="B692" s="278"/>
      <c r="C692" s="357"/>
      <c r="D692" s="358"/>
      <c r="E692" s="358"/>
      <c r="F692" s="358"/>
      <c r="G692" s="278"/>
      <c r="H692" s="358"/>
      <c r="I692" s="278"/>
    </row>
    <row r="693" spans="1:9" x14ac:dyDescent="0.3">
      <c r="A693" s="356"/>
      <c r="B693" s="278"/>
      <c r="C693" s="357"/>
      <c r="D693" s="358"/>
      <c r="E693" s="358"/>
      <c r="F693" s="358"/>
      <c r="G693" s="278"/>
      <c r="H693" s="358"/>
      <c r="I693" s="278"/>
    </row>
    <row r="694" spans="1:9" x14ac:dyDescent="0.3">
      <c r="A694" s="356"/>
      <c r="B694" s="278"/>
      <c r="C694" s="357"/>
      <c r="D694" s="358"/>
      <c r="E694" s="358"/>
      <c r="F694" s="358"/>
      <c r="G694" s="278"/>
      <c r="H694" s="358"/>
      <c r="I694" s="278"/>
    </row>
    <row r="695" spans="1:9" x14ac:dyDescent="0.3">
      <c r="A695" s="356"/>
      <c r="B695" s="278"/>
      <c r="C695" s="357"/>
      <c r="D695" s="358"/>
      <c r="E695" s="358"/>
      <c r="F695" s="358"/>
      <c r="G695" s="278"/>
      <c r="H695" s="358"/>
      <c r="I695" s="278"/>
    </row>
    <row r="696" spans="1:9" x14ac:dyDescent="0.3">
      <c r="A696" s="356"/>
      <c r="B696" s="278"/>
      <c r="C696" s="357"/>
      <c r="D696" s="358"/>
      <c r="E696" s="358"/>
      <c r="F696" s="358"/>
      <c r="G696" s="278"/>
      <c r="H696" s="358"/>
      <c r="I696" s="278"/>
    </row>
    <row r="697" spans="1:9" x14ac:dyDescent="0.3">
      <c r="A697" s="356"/>
      <c r="B697" s="278"/>
      <c r="C697" s="357"/>
      <c r="D697" s="358"/>
      <c r="E697" s="358"/>
      <c r="F697" s="358"/>
      <c r="G697" s="278"/>
      <c r="H697" s="358"/>
      <c r="I697" s="278"/>
    </row>
    <row r="698" spans="1:9" x14ac:dyDescent="0.3">
      <c r="A698" s="356"/>
      <c r="B698" s="278"/>
      <c r="C698" s="357"/>
      <c r="D698" s="358"/>
      <c r="E698" s="358"/>
      <c r="F698" s="358"/>
      <c r="G698" s="278"/>
      <c r="H698" s="358"/>
      <c r="I698" s="278"/>
    </row>
    <row r="699" spans="1:9" x14ac:dyDescent="0.3">
      <c r="A699" s="356"/>
      <c r="B699" s="278"/>
      <c r="C699" s="357"/>
      <c r="D699" s="358"/>
      <c r="E699" s="358"/>
      <c r="F699" s="358"/>
      <c r="G699" s="278"/>
      <c r="H699" s="358"/>
      <c r="I699" s="278"/>
    </row>
    <row r="700" spans="1:9" x14ac:dyDescent="0.3">
      <c r="A700" s="356"/>
      <c r="B700" s="278"/>
      <c r="C700" s="357"/>
      <c r="D700" s="358"/>
      <c r="E700" s="358"/>
      <c r="F700" s="358"/>
      <c r="G700" s="278"/>
      <c r="H700" s="358"/>
      <c r="I700" s="278"/>
    </row>
    <row r="701" spans="1:9" x14ac:dyDescent="0.3">
      <c r="A701" s="356"/>
      <c r="B701" s="278"/>
      <c r="C701" s="357"/>
      <c r="D701" s="358"/>
      <c r="E701" s="358"/>
      <c r="F701" s="358"/>
      <c r="G701" s="278"/>
      <c r="H701" s="358"/>
      <c r="I701" s="278"/>
    </row>
    <row r="702" spans="1:9" x14ac:dyDescent="0.3">
      <c r="A702" s="356"/>
      <c r="B702" s="278"/>
      <c r="C702" s="357"/>
      <c r="D702" s="358"/>
      <c r="E702" s="358"/>
      <c r="F702" s="358"/>
      <c r="G702" s="278"/>
      <c r="H702" s="358"/>
      <c r="I702" s="278"/>
    </row>
    <row r="703" spans="1:9" x14ac:dyDescent="0.3">
      <c r="A703" s="356"/>
      <c r="B703" s="278"/>
      <c r="C703" s="357"/>
      <c r="D703" s="358"/>
      <c r="E703" s="358"/>
      <c r="F703" s="358"/>
      <c r="G703" s="278"/>
      <c r="H703" s="358"/>
      <c r="I703" s="278"/>
    </row>
    <row r="704" spans="1:9" x14ac:dyDescent="0.3">
      <c r="A704" s="356"/>
      <c r="B704" s="278"/>
      <c r="C704" s="357"/>
      <c r="D704" s="358"/>
      <c r="E704" s="358"/>
      <c r="F704" s="358"/>
      <c r="G704" s="278"/>
      <c r="H704" s="358"/>
      <c r="I704" s="278"/>
    </row>
    <row r="705" spans="1:9" x14ac:dyDescent="0.3">
      <c r="A705" s="356"/>
      <c r="B705" s="278"/>
      <c r="C705" s="357"/>
      <c r="D705" s="358"/>
      <c r="E705" s="358"/>
      <c r="F705" s="358"/>
      <c r="G705" s="278"/>
      <c r="H705" s="358"/>
      <c r="I705" s="278"/>
    </row>
    <row r="706" spans="1:9" x14ac:dyDescent="0.3">
      <c r="A706" s="356"/>
      <c r="B706" s="278"/>
      <c r="C706" s="357"/>
      <c r="D706" s="358"/>
      <c r="E706" s="358"/>
      <c r="F706" s="358"/>
      <c r="G706" s="278"/>
      <c r="H706" s="358"/>
      <c r="I706" s="278"/>
    </row>
    <row r="707" spans="1:9" x14ac:dyDescent="0.3">
      <c r="A707" s="356"/>
      <c r="B707" s="278"/>
      <c r="C707" s="357"/>
      <c r="D707" s="358"/>
      <c r="E707" s="358"/>
      <c r="F707" s="358"/>
      <c r="G707" s="278"/>
      <c r="H707" s="358"/>
      <c r="I707" s="278"/>
    </row>
    <row r="708" spans="1:9" x14ac:dyDescent="0.3">
      <c r="A708" s="356"/>
      <c r="B708" s="278"/>
      <c r="C708" s="357"/>
      <c r="D708" s="358"/>
      <c r="E708" s="358"/>
      <c r="F708" s="358"/>
      <c r="G708" s="278"/>
      <c r="H708" s="358"/>
      <c r="I708" s="278"/>
    </row>
    <row r="709" spans="1:9" x14ac:dyDescent="0.3">
      <c r="A709" s="356"/>
      <c r="B709" s="278"/>
      <c r="C709" s="357"/>
      <c r="D709" s="358"/>
      <c r="E709" s="358"/>
      <c r="F709" s="358"/>
      <c r="G709" s="278"/>
      <c r="H709" s="358"/>
      <c r="I709" s="278"/>
    </row>
    <row r="710" spans="1:9" x14ac:dyDescent="0.3">
      <c r="A710" s="356"/>
      <c r="B710" s="278"/>
      <c r="C710" s="357"/>
      <c r="D710" s="358"/>
      <c r="E710" s="358"/>
      <c r="F710" s="358"/>
      <c r="G710" s="278"/>
      <c r="H710" s="358"/>
      <c r="I710" s="278"/>
    </row>
    <row r="711" spans="1:9" x14ac:dyDescent="0.3">
      <c r="A711" s="356"/>
      <c r="B711" s="278"/>
      <c r="C711" s="357"/>
      <c r="D711" s="358"/>
      <c r="E711" s="358"/>
      <c r="F711" s="358"/>
      <c r="G711" s="278"/>
      <c r="H711" s="358"/>
      <c r="I711" s="278"/>
    </row>
    <row r="712" spans="1:9" x14ac:dyDescent="0.3">
      <c r="A712" s="356"/>
      <c r="B712" s="278"/>
      <c r="C712" s="357"/>
      <c r="D712" s="358"/>
      <c r="E712" s="358"/>
      <c r="F712" s="358"/>
      <c r="G712" s="278"/>
      <c r="H712" s="358"/>
      <c r="I712" s="278"/>
    </row>
    <row r="713" spans="1:9" x14ac:dyDescent="0.3">
      <c r="A713" s="356"/>
      <c r="B713" s="278"/>
      <c r="C713" s="357"/>
      <c r="D713" s="358"/>
      <c r="E713" s="358"/>
      <c r="F713" s="358"/>
      <c r="G713" s="278"/>
      <c r="H713" s="358"/>
      <c r="I713" s="278"/>
    </row>
    <row r="714" spans="1:9" x14ac:dyDescent="0.3">
      <c r="A714" s="356"/>
      <c r="B714" s="278"/>
      <c r="C714" s="357"/>
      <c r="D714" s="358"/>
      <c r="E714" s="358"/>
      <c r="F714" s="358"/>
      <c r="G714" s="278"/>
      <c r="H714" s="358"/>
      <c r="I714" s="278"/>
    </row>
    <row r="715" spans="1:9" x14ac:dyDescent="0.3">
      <c r="A715" s="356"/>
      <c r="B715" s="278"/>
      <c r="C715" s="357"/>
      <c r="D715" s="358"/>
      <c r="E715" s="358"/>
      <c r="F715" s="358"/>
      <c r="G715" s="278"/>
      <c r="H715" s="358"/>
      <c r="I715" s="278"/>
    </row>
    <row r="716" spans="1:9" x14ac:dyDescent="0.3">
      <c r="A716" s="356"/>
      <c r="B716" s="278"/>
      <c r="C716" s="357"/>
      <c r="D716" s="358"/>
      <c r="E716" s="358"/>
      <c r="F716" s="358"/>
      <c r="G716" s="278"/>
      <c r="H716" s="358"/>
      <c r="I716" s="278"/>
    </row>
    <row r="717" spans="1:9" x14ac:dyDescent="0.3">
      <c r="A717" s="356"/>
      <c r="B717" s="278"/>
      <c r="C717" s="357"/>
      <c r="D717" s="358"/>
      <c r="E717" s="358"/>
      <c r="F717" s="358"/>
      <c r="G717" s="278"/>
      <c r="H717" s="358"/>
      <c r="I717" s="278"/>
    </row>
    <row r="718" spans="1:9" x14ac:dyDescent="0.3">
      <c r="A718" s="356"/>
      <c r="B718" s="278"/>
      <c r="C718" s="357"/>
      <c r="D718" s="358"/>
      <c r="E718" s="358"/>
      <c r="F718" s="358"/>
      <c r="G718" s="278"/>
      <c r="H718" s="358"/>
      <c r="I718" s="278"/>
    </row>
    <row r="719" spans="1:9" x14ac:dyDescent="0.3">
      <c r="A719" s="356"/>
      <c r="B719" s="278"/>
      <c r="C719" s="357"/>
      <c r="D719" s="358"/>
      <c r="E719" s="358"/>
      <c r="F719" s="358"/>
      <c r="G719" s="278"/>
      <c r="H719" s="358"/>
      <c r="I719" s="278"/>
    </row>
    <row r="720" spans="1:9" x14ac:dyDescent="0.3">
      <c r="A720" s="356"/>
      <c r="B720" s="278"/>
      <c r="C720" s="357"/>
      <c r="D720" s="358"/>
      <c r="E720" s="358"/>
      <c r="F720" s="358"/>
      <c r="G720" s="278"/>
      <c r="H720" s="358"/>
      <c r="I720" s="278"/>
    </row>
    <row r="721" spans="1:9" x14ac:dyDescent="0.3">
      <c r="A721" s="356"/>
      <c r="B721" s="278"/>
      <c r="C721" s="357"/>
      <c r="D721" s="358"/>
      <c r="E721" s="358"/>
      <c r="F721" s="358"/>
      <c r="G721" s="278"/>
      <c r="H721" s="358"/>
      <c r="I721" s="278"/>
    </row>
    <row r="722" spans="1:9" x14ac:dyDescent="0.3">
      <c r="A722" s="356"/>
      <c r="B722" s="278"/>
      <c r="C722" s="357"/>
      <c r="D722" s="358"/>
      <c r="E722" s="358"/>
      <c r="F722" s="358"/>
      <c r="G722" s="278"/>
      <c r="H722" s="358"/>
      <c r="I722" s="278"/>
    </row>
    <row r="723" spans="1:9" x14ac:dyDescent="0.3">
      <c r="A723" s="356"/>
      <c r="B723" s="278"/>
      <c r="C723" s="357"/>
      <c r="D723" s="358"/>
      <c r="E723" s="358"/>
      <c r="F723" s="358"/>
      <c r="G723" s="278"/>
      <c r="H723" s="358"/>
      <c r="I723" s="278"/>
    </row>
    <row r="724" spans="1:9" x14ac:dyDescent="0.3">
      <c r="A724" s="356"/>
      <c r="B724" s="278"/>
      <c r="C724" s="357"/>
      <c r="D724" s="358"/>
      <c r="E724" s="358"/>
      <c r="F724" s="358"/>
      <c r="G724" s="278"/>
      <c r="H724" s="358"/>
      <c r="I724" s="278"/>
    </row>
    <row r="725" spans="1:9" x14ac:dyDescent="0.3">
      <c r="A725" s="356"/>
      <c r="B725" s="278"/>
      <c r="C725" s="357"/>
      <c r="D725" s="358"/>
      <c r="E725" s="358"/>
      <c r="F725" s="358"/>
      <c r="G725" s="278"/>
      <c r="H725" s="358"/>
      <c r="I725" s="278"/>
    </row>
    <row r="726" spans="1:9" x14ac:dyDescent="0.3">
      <c r="A726" s="356"/>
      <c r="B726" s="278"/>
      <c r="C726" s="357"/>
      <c r="D726" s="358"/>
      <c r="E726" s="358"/>
      <c r="F726" s="358"/>
      <c r="G726" s="278"/>
      <c r="H726" s="358"/>
      <c r="I726" s="278"/>
    </row>
    <row r="727" spans="1:9" x14ac:dyDescent="0.3">
      <c r="A727" s="356"/>
      <c r="B727" s="278"/>
      <c r="C727" s="357"/>
      <c r="D727" s="358"/>
      <c r="E727" s="358"/>
      <c r="F727" s="358"/>
      <c r="G727" s="278"/>
      <c r="H727" s="358"/>
      <c r="I727" s="278"/>
    </row>
    <row r="728" spans="1:9" x14ac:dyDescent="0.3">
      <c r="A728" s="356"/>
      <c r="B728" s="278"/>
      <c r="C728" s="357"/>
      <c r="D728" s="358"/>
      <c r="E728" s="358"/>
      <c r="F728" s="358"/>
      <c r="G728" s="278"/>
      <c r="H728" s="358"/>
      <c r="I728" s="278"/>
    </row>
    <row r="729" spans="1:9" x14ac:dyDescent="0.3">
      <c r="A729" s="356"/>
      <c r="B729" s="278"/>
      <c r="C729" s="357"/>
      <c r="D729" s="358"/>
      <c r="E729" s="358"/>
      <c r="F729" s="358"/>
      <c r="G729" s="278"/>
      <c r="H729" s="358"/>
      <c r="I729" s="278"/>
    </row>
    <row r="730" spans="1:9" x14ac:dyDescent="0.3">
      <c r="A730" s="356"/>
      <c r="B730" s="278"/>
      <c r="C730" s="357"/>
      <c r="D730" s="358"/>
      <c r="E730" s="358"/>
      <c r="F730" s="358"/>
      <c r="G730" s="278"/>
      <c r="H730" s="358"/>
      <c r="I730" s="278"/>
    </row>
    <row r="731" spans="1:9" x14ac:dyDescent="0.3">
      <c r="A731" s="356"/>
      <c r="B731" s="278"/>
      <c r="C731" s="357"/>
      <c r="D731" s="358"/>
      <c r="E731" s="358"/>
      <c r="F731" s="358"/>
      <c r="G731" s="278"/>
      <c r="H731" s="358"/>
      <c r="I731" s="278"/>
    </row>
    <row r="732" spans="1:9" x14ac:dyDescent="0.3">
      <c r="A732" s="356"/>
      <c r="B732" s="278"/>
      <c r="C732" s="357"/>
      <c r="D732" s="358"/>
      <c r="E732" s="358"/>
      <c r="F732" s="358"/>
      <c r="G732" s="278"/>
      <c r="H732" s="358"/>
      <c r="I732" s="278"/>
    </row>
    <row r="733" spans="1:9" x14ac:dyDescent="0.3">
      <c r="A733" s="356"/>
      <c r="B733" s="278"/>
      <c r="C733" s="357"/>
      <c r="D733" s="358"/>
      <c r="E733" s="358"/>
      <c r="F733" s="358"/>
      <c r="G733" s="278"/>
      <c r="H733" s="358"/>
      <c r="I733" s="278"/>
    </row>
    <row r="734" spans="1:9" x14ac:dyDescent="0.3">
      <c r="A734" s="356"/>
      <c r="B734" s="278"/>
      <c r="C734" s="357"/>
      <c r="D734" s="358"/>
      <c r="E734" s="358"/>
      <c r="F734" s="358"/>
      <c r="G734" s="278"/>
      <c r="H734" s="358"/>
      <c r="I734" s="278"/>
    </row>
    <row r="735" spans="1:9" x14ac:dyDescent="0.3">
      <c r="A735" s="356"/>
      <c r="B735" s="278"/>
      <c r="C735" s="357"/>
      <c r="D735" s="358"/>
      <c r="E735" s="358"/>
      <c r="F735" s="358"/>
      <c r="G735" s="278"/>
      <c r="H735" s="358"/>
      <c r="I735" s="278"/>
    </row>
    <row r="736" spans="1:9" x14ac:dyDescent="0.3">
      <c r="A736" s="356"/>
      <c r="B736" s="278"/>
      <c r="C736" s="357"/>
      <c r="D736" s="358"/>
      <c r="E736" s="358"/>
      <c r="F736" s="358"/>
      <c r="G736" s="278"/>
      <c r="H736" s="358"/>
      <c r="I736" s="278"/>
    </row>
    <row r="737" spans="1:9" x14ac:dyDescent="0.3">
      <c r="A737" s="356"/>
      <c r="B737" s="278"/>
      <c r="C737" s="357"/>
      <c r="D737" s="358"/>
      <c r="E737" s="358"/>
      <c r="F737" s="358"/>
      <c r="G737" s="278"/>
      <c r="H737" s="358"/>
      <c r="I737" s="278"/>
    </row>
    <row r="738" spans="1:9" x14ac:dyDescent="0.3">
      <c r="A738" s="356"/>
      <c r="B738" s="278"/>
      <c r="C738" s="357"/>
      <c r="D738" s="358"/>
      <c r="E738" s="358"/>
      <c r="F738" s="358"/>
      <c r="G738" s="278"/>
      <c r="H738" s="358"/>
      <c r="I738" s="278"/>
    </row>
    <row r="739" spans="1:9" x14ac:dyDescent="0.3">
      <c r="A739" s="356"/>
      <c r="B739" s="278"/>
      <c r="C739" s="357"/>
      <c r="D739" s="358"/>
      <c r="E739" s="358"/>
      <c r="F739" s="358"/>
      <c r="G739" s="278"/>
      <c r="H739" s="358"/>
      <c r="I739" s="278"/>
    </row>
    <row r="740" spans="1:9" x14ac:dyDescent="0.3">
      <c r="A740" s="356"/>
      <c r="B740" s="278"/>
      <c r="C740" s="357"/>
      <c r="D740" s="358"/>
      <c r="E740" s="358"/>
      <c r="F740" s="358"/>
      <c r="G740" s="278"/>
      <c r="H740" s="358"/>
      <c r="I740" s="278"/>
    </row>
    <row r="741" spans="1:9" x14ac:dyDescent="0.3">
      <c r="A741" s="356"/>
      <c r="B741" s="278"/>
      <c r="C741" s="357"/>
      <c r="D741" s="358"/>
      <c r="E741" s="358"/>
      <c r="F741" s="358"/>
      <c r="G741" s="278"/>
      <c r="H741" s="358"/>
      <c r="I741" s="278"/>
    </row>
    <row r="742" spans="1:9" x14ac:dyDescent="0.3">
      <c r="A742" s="356"/>
      <c r="B742" s="278"/>
      <c r="C742" s="357"/>
      <c r="D742" s="358"/>
      <c r="E742" s="358"/>
      <c r="F742" s="358"/>
      <c r="G742" s="278"/>
      <c r="H742" s="358"/>
      <c r="I742" s="278"/>
    </row>
    <row r="743" spans="1:9" x14ac:dyDescent="0.3">
      <c r="A743" s="356"/>
      <c r="B743" s="278"/>
      <c r="C743" s="357"/>
      <c r="D743" s="358"/>
      <c r="E743" s="358"/>
      <c r="F743" s="358"/>
      <c r="G743" s="278"/>
      <c r="H743" s="358"/>
      <c r="I743" s="278"/>
    </row>
    <row r="744" spans="1:9" x14ac:dyDescent="0.3">
      <c r="A744" s="356"/>
      <c r="B744" s="278"/>
      <c r="C744" s="357"/>
      <c r="D744" s="358"/>
      <c r="E744" s="358"/>
      <c r="F744" s="358"/>
      <c r="G744" s="278"/>
      <c r="H744" s="358"/>
      <c r="I744" s="278"/>
    </row>
    <row r="745" spans="1:9" x14ac:dyDescent="0.3">
      <c r="A745" s="356"/>
      <c r="B745" s="278"/>
      <c r="C745" s="357"/>
      <c r="D745" s="358"/>
      <c r="E745" s="358"/>
      <c r="F745" s="358"/>
      <c r="G745" s="278"/>
      <c r="H745" s="358"/>
      <c r="I745" s="278"/>
    </row>
    <row r="746" spans="1:9" x14ac:dyDescent="0.3">
      <c r="A746" s="356"/>
      <c r="B746" s="278"/>
      <c r="C746" s="357"/>
      <c r="D746" s="358"/>
      <c r="E746" s="358"/>
      <c r="F746" s="358"/>
      <c r="G746" s="278"/>
      <c r="H746" s="358"/>
      <c r="I746" s="278"/>
    </row>
    <row r="747" spans="1:9" x14ac:dyDescent="0.3">
      <c r="A747" s="356"/>
      <c r="B747" s="278"/>
      <c r="C747" s="357"/>
      <c r="D747" s="358"/>
      <c r="E747" s="358"/>
      <c r="F747" s="358"/>
      <c r="G747" s="278"/>
      <c r="H747" s="358"/>
      <c r="I747" s="278"/>
    </row>
    <row r="748" spans="1:9" x14ac:dyDescent="0.3">
      <c r="A748" s="356"/>
      <c r="B748" s="278"/>
      <c r="C748" s="357"/>
      <c r="D748" s="358"/>
      <c r="E748" s="358"/>
      <c r="F748" s="358"/>
      <c r="G748" s="278"/>
      <c r="H748" s="358"/>
      <c r="I748" s="278"/>
    </row>
    <row r="749" spans="1:9" x14ac:dyDescent="0.3">
      <c r="A749" s="356"/>
      <c r="B749" s="278"/>
      <c r="C749" s="357"/>
      <c r="D749" s="358"/>
      <c r="E749" s="358"/>
      <c r="F749" s="358"/>
      <c r="G749" s="278"/>
      <c r="H749" s="358"/>
      <c r="I749" s="278"/>
    </row>
    <row r="750" spans="1:9" x14ac:dyDescent="0.3">
      <c r="A750" s="356"/>
      <c r="B750" s="278"/>
      <c r="C750" s="357"/>
      <c r="D750" s="358"/>
      <c r="E750" s="358"/>
      <c r="F750" s="358"/>
      <c r="G750" s="278"/>
      <c r="H750" s="358"/>
      <c r="I750" s="278"/>
    </row>
    <row r="751" spans="1:9" x14ac:dyDescent="0.3">
      <c r="A751" s="356"/>
      <c r="B751" s="278"/>
      <c r="C751" s="357"/>
      <c r="D751" s="358"/>
      <c r="E751" s="358"/>
      <c r="F751" s="358"/>
      <c r="G751" s="278"/>
      <c r="H751" s="358"/>
      <c r="I751" s="278"/>
    </row>
    <row r="752" spans="1:9" x14ac:dyDescent="0.3">
      <c r="A752" s="356"/>
      <c r="B752" s="278"/>
      <c r="C752" s="357"/>
      <c r="D752" s="358"/>
      <c r="E752" s="358"/>
      <c r="F752" s="358"/>
      <c r="G752" s="278"/>
      <c r="H752" s="358"/>
      <c r="I752" s="278"/>
    </row>
    <row r="753" spans="1:9" x14ac:dyDescent="0.3">
      <c r="A753" s="356"/>
      <c r="B753" s="278"/>
      <c r="C753" s="357"/>
      <c r="D753" s="358"/>
      <c r="E753" s="358"/>
      <c r="F753" s="358"/>
      <c r="G753" s="278"/>
      <c r="H753" s="358"/>
      <c r="I753" s="278"/>
    </row>
    <row r="754" spans="1:9" x14ac:dyDescent="0.3">
      <c r="A754" s="356"/>
      <c r="B754" s="278"/>
      <c r="C754" s="357"/>
      <c r="D754" s="358"/>
      <c r="E754" s="358"/>
      <c r="F754" s="358"/>
      <c r="G754" s="278"/>
      <c r="H754" s="358"/>
      <c r="I754" s="278"/>
    </row>
    <row r="755" spans="1:9" x14ac:dyDescent="0.3">
      <c r="A755" s="356"/>
      <c r="B755" s="278"/>
      <c r="C755" s="357"/>
      <c r="D755" s="358"/>
      <c r="E755" s="358"/>
      <c r="F755" s="358"/>
      <c r="G755" s="278"/>
      <c r="H755" s="358"/>
      <c r="I755" s="278"/>
    </row>
    <row r="756" spans="1:9" x14ac:dyDescent="0.3">
      <c r="A756" s="356"/>
      <c r="B756" s="278"/>
      <c r="C756" s="357"/>
      <c r="D756" s="358"/>
      <c r="E756" s="358"/>
      <c r="F756" s="358"/>
      <c r="G756" s="278"/>
      <c r="H756" s="358"/>
      <c r="I756" s="278"/>
    </row>
    <row r="757" spans="1:9" x14ac:dyDescent="0.3">
      <c r="A757" s="356"/>
      <c r="B757" s="278"/>
      <c r="C757" s="357"/>
      <c r="D757" s="358"/>
      <c r="E757" s="358"/>
      <c r="F757" s="358"/>
      <c r="G757" s="278"/>
      <c r="H757" s="358"/>
      <c r="I757" s="278"/>
    </row>
    <row r="758" spans="1:9" x14ac:dyDescent="0.3">
      <c r="A758" s="356"/>
      <c r="B758" s="278"/>
      <c r="C758" s="357"/>
      <c r="D758" s="358"/>
      <c r="E758" s="358"/>
      <c r="F758" s="358"/>
      <c r="G758" s="278"/>
      <c r="H758" s="358"/>
      <c r="I758" s="278"/>
    </row>
    <row r="759" spans="1:9" x14ac:dyDescent="0.3">
      <c r="A759" s="356"/>
      <c r="B759" s="278"/>
      <c r="C759" s="357"/>
      <c r="D759" s="358"/>
      <c r="E759" s="358"/>
      <c r="F759" s="358"/>
      <c r="G759" s="278"/>
      <c r="H759" s="358"/>
      <c r="I759" s="278"/>
    </row>
    <row r="760" spans="1:9" x14ac:dyDescent="0.3">
      <c r="A760" s="356"/>
      <c r="B760" s="278"/>
      <c r="C760" s="357"/>
      <c r="D760" s="358"/>
      <c r="E760" s="358"/>
      <c r="F760" s="358"/>
      <c r="G760" s="278"/>
      <c r="H760" s="358"/>
      <c r="I760" s="278"/>
    </row>
    <row r="761" spans="1:9" x14ac:dyDescent="0.3">
      <c r="A761" s="356"/>
      <c r="B761" s="278"/>
      <c r="C761" s="357"/>
      <c r="D761" s="358"/>
      <c r="E761" s="358"/>
      <c r="F761" s="358"/>
      <c r="G761" s="278"/>
      <c r="H761" s="358"/>
      <c r="I761" s="278"/>
    </row>
    <row r="762" spans="1:9" x14ac:dyDescent="0.3">
      <c r="A762" s="356"/>
      <c r="B762" s="278"/>
      <c r="C762" s="357"/>
      <c r="D762" s="358"/>
      <c r="E762" s="358"/>
      <c r="F762" s="358"/>
      <c r="G762" s="278"/>
      <c r="H762" s="358"/>
      <c r="I762" s="278"/>
    </row>
    <row r="763" spans="1:9" x14ac:dyDescent="0.3">
      <c r="A763" s="356"/>
      <c r="B763" s="278"/>
      <c r="C763" s="357"/>
      <c r="D763" s="358"/>
      <c r="E763" s="358"/>
      <c r="F763" s="358"/>
      <c r="G763" s="278"/>
      <c r="H763" s="358"/>
      <c r="I763" s="278"/>
    </row>
    <row r="764" spans="1:9" x14ac:dyDescent="0.3">
      <c r="A764" s="356"/>
      <c r="B764" s="278"/>
      <c r="C764" s="357"/>
      <c r="D764" s="358"/>
      <c r="E764" s="358"/>
      <c r="F764" s="358"/>
      <c r="G764" s="278"/>
      <c r="H764" s="358"/>
      <c r="I764" s="278"/>
    </row>
    <row r="765" spans="1:9" x14ac:dyDescent="0.3">
      <c r="A765" s="356"/>
      <c r="B765" s="278"/>
      <c r="C765" s="357"/>
      <c r="D765" s="358"/>
      <c r="E765" s="358"/>
      <c r="F765" s="358"/>
      <c r="G765" s="278"/>
      <c r="H765" s="358"/>
      <c r="I765" s="278"/>
    </row>
    <row r="766" spans="1:9" x14ac:dyDescent="0.3">
      <c r="A766" s="356"/>
      <c r="B766" s="278"/>
      <c r="C766" s="357"/>
      <c r="D766" s="358"/>
      <c r="E766" s="358"/>
      <c r="F766" s="358"/>
      <c r="G766" s="278"/>
      <c r="H766" s="358"/>
      <c r="I766" s="278"/>
    </row>
    <row r="767" spans="1:9" x14ac:dyDescent="0.3">
      <c r="A767" s="356"/>
      <c r="B767" s="278"/>
      <c r="C767" s="357"/>
      <c r="D767" s="358"/>
      <c r="E767" s="358"/>
      <c r="F767" s="358"/>
      <c r="G767" s="278"/>
      <c r="H767" s="358"/>
      <c r="I767" s="278"/>
    </row>
    <row r="768" spans="1:9" x14ac:dyDescent="0.3">
      <c r="A768" s="356"/>
      <c r="B768" s="278"/>
      <c r="C768" s="357"/>
      <c r="D768" s="358"/>
      <c r="E768" s="358"/>
      <c r="F768" s="358"/>
      <c r="G768" s="278"/>
      <c r="H768" s="358"/>
      <c r="I768" s="278"/>
    </row>
    <row r="769" spans="1:9" x14ac:dyDescent="0.3">
      <c r="A769" s="356"/>
      <c r="B769" s="278"/>
      <c r="C769" s="357"/>
      <c r="D769" s="358"/>
      <c r="E769" s="358"/>
      <c r="F769" s="358"/>
      <c r="G769" s="278"/>
      <c r="H769" s="358"/>
      <c r="I769" s="278"/>
    </row>
    <row r="770" spans="1:9" x14ac:dyDescent="0.3">
      <c r="A770" s="356"/>
      <c r="B770" s="278"/>
      <c r="C770" s="357"/>
      <c r="D770" s="358"/>
      <c r="E770" s="358"/>
      <c r="F770" s="358"/>
      <c r="G770" s="278"/>
      <c r="H770" s="358"/>
      <c r="I770" s="278"/>
    </row>
    <row r="771" spans="1:9" x14ac:dyDescent="0.3">
      <c r="A771" s="356"/>
      <c r="B771" s="278"/>
      <c r="C771" s="357"/>
      <c r="D771" s="358"/>
      <c r="E771" s="358"/>
      <c r="F771" s="358"/>
      <c r="G771" s="278"/>
      <c r="H771" s="358"/>
      <c r="I771" s="278"/>
    </row>
    <row r="772" spans="1:9" x14ac:dyDescent="0.3">
      <c r="A772" s="356"/>
      <c r="B772" s="278"/>
      <c r="C772" s="357"/>
      <c r="D772" s="358"/>
      <c r="E772" s="358"/>
      <c r="F772" s="358"/>
      <c r="G772" s="278"/>
      <c r="H772" s="358"/>
      <c r="I772" s="278"/>
    </row>
    <row r="773" spans="1:9" x14ac:dyDescent="0.3">
      <c r="A773" s="356"/>
      <c r="B773" s="278"/>
      <c r="C773" s="357"/>
      <c r="D773" s="358"/>
      <c r="E773" s="358"/>
      <c r="F773" s="358"/>
      <c r="G773" s="278"/>
      <c r="H773" s="358"/>
      <c r="I773" s="278"/>
    </row>
    <row r="774" spans="1:9" x14ac:dyDescent="0.3">
      <c r="A774" s="356"/>
      <c r="B774" s="278"/>
      <c r="C774" s="357"/>
      <c r="D774" s="358"/>
      <c r="E774" s="358"/>
      <c r="F774" s="358"/>
      <c r="G774" s="278"/>
      <c r="H774" s="358"/>
      <c r="I774" s="278"/>
    </row>
    <row r="775" spans="1:9" x14ac:dyDescent="0.3">
      <c r="A775" s="356"/>
      <c r="B775" s="278"/>
      <c r="C775" s="357"/>
      <c r="D775" s="358"/>
      <c r="E775" s="358"/>
      <c r="F775" s="358"/>
      <c r="G775" s="278"/>
      <c r="H775" s="358"/>
      <c r="I775" s="278"/>
    </row>
    <row r="776" spans="1:9" x14ac:dyDescent="0.3">
      <c r="A776" s="356"/>
      <c r="B776" s="278"/>
      <c r="C776" s="357"/>
      <c r="D776" s="358"/>
      <c r="E776" s="358"/>
      <c r="F776" s="358"/>
      <c r="G776" s="278"/>
      <c r="H776" s="358"/>
      <c r="I776" s="278"/>
    </row>
    <row r="777" spans="1:9" x14ac:dyDescent="0.3">
      <c r="A777" s="356"/>
      <c r="B777" s="278"/>
      <c r="C777" s="357"/>
      <c r="D777" s="358"/>
      <c r="E777" s="358"/>
      <c r="F777" s="358"/>
      <c r="G777" s="278"/>
      <c r="H777" s="358"/>
      <c r="I777" s="278"/>
    </row>
    <row r="778" spans="1:9" x14ac:dyDescent="0.3">
      <c r="A778" s="356"/>
      <c r="B778" s="278"/>
      <c r="C778" s="357"/>
      <c r="D778" s="358"/>
      <c r="E778" s="358"/>
      <c r="F778" s="358"/>
      <c r="G778" s="278"/>
      <c r="H778" s="358"/>
      <c r="I778" s="278"/>
    </row>
    <row r="779" spans="1:9" x14ac:dyDescent="0.3">
      <c r="A779" s="356"/>
      <c r="B779" s="278"/>
      <c r="C779" s="357"/>
      <c r="D779" s="358"/>
      <c r="E779" s="358"/>
      <c r="F779" s="358"/>
      <c r="G779" s="278"/>
      <c r="H779" s="358"/>
      <c r="I779" s="278"/>
    </row>
    <row r="780" spans="1:9" x14ac:dyDescent="0.3">
      <c r="A780" s="356"/>
      <c r="B780" s="278"/>
      <c r="C780" s="357"/>
      <c r="D780" s="358"/>
      <c r="E780" s="358"/>
      <c r="F780" s="358"/>
      <c r="G780" s="278"/>
      <c r="H780" s="358"/>
      <c r="I780" s="278"/>
    </row>
    <row r="781" spans="1:9" x14ac:dyDescent="0.3">
      <c r="A781" s="356"/>
      <c r="B781" s="278"/>
      <c r="C781" s="357"/>
      <c r="D781" s="358"/>
      <c r="E781" s="358"/>
      <c r="F781" s="358"/>
      <c r="G781" s="278"/>
      <c r="H781" s="358"/>
      <c r="I781" s="278"/>
    </row>
    <row r="782" spans="1:9" x14ac:dyDescent="0.3">
      <c r="A782" s="356"/>
      <c r="B782" s="278"/>
      <c r="C782" s="357"/>
      <c r="D782" s="358"/>
      <c r="E782" s="358"/>
      <c r="F782" s="358"/>
      <c r="G782" s="278"/>
      <c r="H782" s="358"/>
      <c r="I782" s="278"/>
    </row>
    <row r="783" spans="1:9" x14ac:dyDescent="0.3">
      <c r="A783" s="356"/>
      <c r="B783" s="278"/>
      <c r="C783" s="357"/>
      <c r="D783" s="358"/>
      <c r="E783" s="358"/>
      <c r="F783" s="358"/>
      <c r="G783" s="278"/>
      <c r="H783" s="358"/>
      <c r="I783" s="278"/>
    </row>
    <row r="784" spans="1:9" x14ac:dyDescent="0.3">
      <c r="A784" s="356"/>
      <c r="B784" s="278"/>
      <c r="C784" s="357"/>
      <c r="D784" s="358"/>
      <c r="E784" s="358"/>
      <c r="F784" s="358"/>
      <c r="G784" s="278"/>
      <c r="H784" s="358"/>
      <c r="I784" s="278"/>
    </row>
    <row r="785" spans="1:9" x14ac:dyDescent="0.3">
      <c r="A785" s="356"/>
      <c r="B785" s="278"/>
      <c r="C785" s="357"/>
      <c r="D785" s="358"/>
      <c r="E785" s="358"/>
      <c r="F785" s="358"/>
      <c r="G785" s="278"/>
      <c r="H785" s="358"/>
      <c r="I785" s="278"/>
    </row>
    <row r="786" spans="1:9" x14ac:dyDescent="0.3">
      <c r="A786" s="356"/>
      <c r="B786" s="278"/>
      <c r="C786" s="357"/>
      <c r="D786" s="358"/>
      <c r="E786" s="358"/>
      <c r="F786" s="358"/>
      <c r="G786" s="278"/>
      <c r="H786" s="358"/>
      <c r="I786" s="278"/>
    </row>
    <row r="787" spans="1:9" x14ac:dyDescent="0.3">
      <c r="A787" s="356"/>
      <c r="B787" s="278"/>
      <c r="C787" s="357"/>
      <c r="D787" s="358"/>
      <c r="E787" s="358"/>
      <c r="F787" s="358"/>
      <c r="G787" s="278"/>
      <c r="H787" s="358"/>
      <c r="I787" s="278"/>
    </row>
    <row r="788" spans="1:9" x14ac:dyDescent="0.3">
      <c r="A788" s="356"/>
      <c r="B788" s="278"/>
      <c r="C788" s="357"/>
      <c r="D788" s="358"/>
      <c r="E788" s="358"/>
      <c r="F788" s="358"/>
      <c r="G788" s="278"/>
      <c r="H788" s="358"/>
      <c r="I788" s="278"/>
    </row>
    <row r="789" spans="1:9" x14ac:dyDescent="0.3">
      <c r="A789" s="356"/>
      <c r="B789" s="278"/>
      <c r="C789" s="357"/>
      <c r="D789" s="358"/>
      <c r="E789" s="358"/>
      <c r="F789" s="358"/>
      <c r="G789" s="278"/>
      <c r="H789" s="358"/>
      <c r="I789" s="278"/>
    </row>
    <row r="790" spans="1:9" x14ac:dyDescent="0.3">
      <c r="A790" s="356"/>
      <c r="B790" s="278"/>
      <c r="C790" s="357"/>
      <c r="D790" s="358"/>
      <c r="E790" s="358"/>
      <c r="F790" s="358"/>
      <c r="G790" s="278"/>
      <c r="H790" s="358"/>
      <c r="I790" s="278"/>
    </row>
    <row r="791" spans="1:9" x14ac:dyDescent="0.3">
      <c r="A791" s="356"/>
      <c r="B791" s="278"/>
      <c r="C791" s="357"/>
      <c r="D791" s="358"/>
      <c r="E791" s="358"/>
      <c r="F791" s="358"/>
      <c r="G791" s="278"/>
      <c r="H791" s="358"/>
      <c r="I791" s="278"/>
    </row>
    <row r="792" spans="1:9" x14ac:dyDescent="0.3">
      <c r="A792" s="356"/>
      <c r="B792" s="278"/>
      <c r="C792" s="357"/>
      <c r="D792" s="358"/>
      <c r="E792" s="358"/>
      <c r="F792" s="358"/>
      <c r="G792" s="278"/>
      <c r="H792" s="358"/>
      <c r="I792" s="278"/>
    </row>
    <row r="793" spans="1:9" x14ac:dyDescent="0.3">
      <c r="A793" s="356"/>
      <c r="B793" s="278"/>
      <c r="C793" s="357"/>
      <c r="D793" s="358"/>
      <c r="E793" s="358"/>
      <c r="F793" s="358"/>
      <c r="G793" s="278"/>
      <c r="H793" s="358"/>
      <c r="I793" s="278"/>
    </row>
    <row r="794" spans="1:9" x14ac:dyDescent="0.3">
      <c r="A794" s="356"/>
      <c r="B794" s="278"/>
      <c r="C794" s="357"/>
      <c r="D794" s="358"/>
      <c r="E794" s="358"/>
      <c r="F794" s="358"/>
      <c r="G794" s="278"/>
      <c r="H794" s="358"/>
      <c r="I794" s="278"/>
    </row>
    <row r="795" spans="1:9" x14ac:dyDescent="0.3">
      <c r="A795" s="356"/>
      <c r="B795" s="278"/>
      <c r="C795" s="357"/>
      <c r="D795" s="358"/>
      <c r="E795" s="358"/>
      <c r="F795" s="358"/>
      <c r="G795" s="278"/>
      <c r="H795" s="358"/>
      <c r="I795" s="278"/>
    </row>
    <row r="796" spans="1:9" x14ac:dyDescent="0.3">
      <c r="A796" s="356"/>
      <c r="B796" s="278"/>
      <c r="C796" s="357"/>
      <c r="D796" s="358"/>
      <c r="E796" s="358"/>
      <c r="F796" s="358"/>
      <c r="G796" s="278"/>
      <c r="H796" s="358"/>
      <c r="I796" s="278"/>
    </row>
    <row r="797" spans="1:9" x14ac:dyDescent="0.3">
      <c r="A797" s="356"/>
      <c r="B797" s="278"/>
      <c r="C797" s="357"/>
      <c r="D797" s="358"/>
      <c r="E797" s="358"/>
      <c r="F797" s="358"/>
      <c r="G797" s="278"/>
      <c r="H797" s="358"/>
      <c r="I797" s="278"/>
    </row>
    <row r="798" spans="1:9" x14ac:dyDescent="0.3">
      <c r="A798" s="356"/>
      <c r="B798" s="278"/>
      <c r="C798" s="357"/>
      <c r="D798" s="358"/>
      <c r="E798" s="358"/>
      <c r="F798" s="358"/>
      <c r="G798" s="278"/>
      <c r="H798" s="358"/>
      <c r="I798" s="278"/>
    </row>
    <row r="799" spans="1:9" x14ac:dyDescent="0.3">
      <c r="A799" s="356"/>
      <c r="B799" s="278"/>
      <c r="C799" s="357"/>
      <c r="D799" s="358"/>
      <c r="E799" s="358"/>
      <c r="F799" s="358"/>
      <c r="G799" s="278"/>
      <c r="H799" s="358"/>
      <c r="I799" s="278"/>
    </row>
    <row r="800" spans="1:9" x14ac:dyDescent="0.3">
      <c r="A800" s="356"/>
      <c r="B800" s="278"/>
      <c r="C800" s="357"/>
      <c r="D800" s="358"/>
      <c r="E800" s="358"/>
      <c r="F800" s="358"/>
      <c r="G800" s="278"/>
      <c r="H800" s="358"/>
      <c r="I800" s="278"/>
    </row>
    <row r="801" spans="1:9" x14ac:dyDescent="0.3">
      <c r="A801" s="356"/>
      <c r="B801" s="278"/>
      <c r="C801" s="357"/>
      <c r="D801" s="358"/>
      <c r="E801" s="358"/>
      <c r="F801" s="358"/>
      <c r="G801" s="278"/>
      <c r="H801" s="358"/>
      <c r="I801" s="278"/>
    </row>
    <row r="802" spans="1:9" x14ac:dyDescent="0.3">
      <c r="A802" s="356"/>
      <c r="B802" s="278"/>
      <c r="C802" s="357"/>
      <c r="D802" s="358"/>
      <c r="E802" s="358"/>
      <c r="F802" s="358"/>
      <c r="G802" s="278"/>
      <c r="H802" s="358"/>
      <c r="I802" s="278"/>
    </row>
    <row r="803" spans="1:9" x14ac:dyDescent="0.3">
      <c r="A803" s="356"/>
      <c r="B803" s="278"/>
      <c r="C803" s="357"/>
      <c r="D803" s="358"/>
      <c r="E803" s="358"/>
      <c r="F803" s="358"/>
      <c r="G803" s="278"/>
      <c r="H803" s="358"/>
      <c r="I803" s="278"/>
    </row>
    <row r="804" spans="1:9" x14ac:dyDescent="0.3">
      <c r="A804" s="356"/>
      <c r="B804" s="278"/>
      <c r="C804" s="357"/>
      <c r="D804" s="358"/>
      <c r="E804" s="358"/>
      <c r="F804" s="358"/>
      <c r="G804" s="278"/>
      <c r="H804" s="358"/>
      <c r="I804" s="278"/>
    </row>
    <row r="805" spans="1:9" x14ac:dyDescent="0.3">
      <c r="A805" s="356"/>
      <c r="B805" s="278"/>
      <c r="C805" s="357"/>
      <c r="D805" s="358"/>
      <c r="E805" s="358"/>
      <c r="F805" s="358"/>
      <c r="G805" s="278"/>
      <c r="H805" s="358"/>
      <c r="I805" s="278"/>
    </row>
    <row r="806" spans="1:9" x14ac:dyDescent="0.3">
      <c r="A806" s="356"/>
      <c r="B806" s="278"/>
      <c r="C806" s="357"/>
      <c r="D806" s="358"/>
      <c r="E806" s="358"/>
      <c r="F806" s="358"/>
      <c r="G806" s="278"/>
      <c r="H806" s="358"/>
      <c r="I806" s="278"/>
    </row>
    <row r="807" spans="1:9" x14ac:dyDescent="0.3">
      <c r="A807" s="356"/>
      <c r="B807" s="278"/>
      <c r="C807" s="357"/>
      <c r="D807" s="358"/>
      <c r="E807" s="358"/>
      <c r="F807" s="358"/>
      <c r="G807" s="278"/>
      <c r="H807" s="358"/>
      <c r="I807" s="278"/>
    </row>
    <row r="808" spans="1:9" x14ac:dyDescent="0.3">
      <c r="A808" s="356"/>
      <c r="B808" s="278"/>
      <c r="C808" s="357"/>
      <c r="D808" s="358"/>
      <c r="E808" s="358"/>
      <c r="F808" s="358"/>
      <c r="G808" s="278"/>
      <c r="H808" s="358"/>
      <c r="I808" s="278"/>
    </row>
    <row r="809" spans="1:9" x14ac:dyDescent="0.3">
      <c r="A809" s="356"/>
      <c r="B809" s="278"/>
      <c r="C809" s="357"/>
      <c r="D809" s="358"/>
      <c r="E809" s="358"/>
      <c r="F809" s="358"/>
      <c r="G809" s="278"/>
      <c r="H809" s="358"/>
      <c r="I809" s="278"/>
    </row>
    <row r="810" spans="1:9" x14ac:dyDescent="0.3">
      <c r="A810" s="356"/>
      <c r="B810" s="278"/>
      <c r="C810" s="357"/>
      <c r="D810" s="358"/>
      <c r="E810" s="358"/>
      <c r="F810" s="358"/>
      <c r="G810" s="278"/>
      <c r="H810" s="358"/>
      <c r="I810" s="278"/>
    </row>
    <row r="811" spans="1:9" x14ac:dyDescent="0.3">
      <c r="A811" s="356"/>
      <c r="B811" s="278"/>
      <c r="C811" s="357"/>
      <c r="D811" s="358"/>
      <c r="E811" s="358"/>
      <c r="F811" s="358"/>
      <c r="G811" s="278"/>
      <c r="H811" s="358"/>
      <c r="I811" s="278"/>
    </row>
    <row r="812" spans="1:9" x14ac:dyDescent="0.3">
      <c r="A812" s="356"/>
      <c r="B812" s="278"/>
      <c r="C812" s="357"/>
      <c r="D812" s="358"/>
      <c r="E812" s="358"/>
      <c r="F812" s="358"/>
      <c r="G812" s="278"/>
      <c r="H812" s="358"/>
      <c r="I812" s="278"/>
    </row>
    <row r="813" spans="1:9" x14ac:dyDescent="0.3">
      <c r="A813" s="356"/>
      <c r="B813" s="278"/>
      <c r="C813" s="357"/>
      <c r="D813" s="358"/>
      <c r="E813" s="358"/>
      <c r="F813" s="358"/>
      <c r="G813" s="278"/>
      <c r="H813" s="358"/>
      <c r="I813" s="278"/>
    </row>
    <row r="814" spans="1:9" x14ac:dyDescent="0.3">
      <c r="A814" s="356"/>
      <c r="B814" s="278"/>
      <c r="C814" s="357"/>
      <c r="D814" s="358"/>
      <c r="E814" s="358"/>
      <c r="F814" s="358"/>
      <c r="G814" s="278"/>
      <c r="H814" s="358"/>
      <c r="I814" s="278"/>
    </row>
    <row r="815" spans="1:9" x14ac:dyDescent="0.3">
      <c r="A815" s="356"/>
      <c r="B815" s="278"/>
      <c r="C815" s="357"/>
      <c r="D815" s="358"/>
      <c r="E815" s="358"/>
      <c r="F815" s="358"/>
      <c r="G815" s="278"/>
      <c r="H815" s="358"/>
      <c r="I815" s="278"/>
    </row>
    <row r="816" spans="1:9" x14ac:dyDescent="0.3">
      <c r="A816" s="356"/>
      <c r="B816" s="278"/>
      <c r="C816" s="357"/>
      <c r="D816" s="358"/>
      <c r="E816" s="358"/>
      <c r="F816" s="358"/>
      <c r="G816" s="278"/>
      <c r="H816" s="358"/>
      <c r="I816" s="278"/>
    </row>
    <row r="817" spans="1:9" x14ac:dyDescent="0.3">
      <c r="A817" s="356"/>
      <c r="B817" s="278"/>
      <c r="C817" s="357"/>
      <c r="D817" s="358"/>
      <c r="E817" s="358"/>
      <c r="F817" s="358"/>
      <c r="G817" s="278"/>
      <c r="H817" s="358"/>
      <c r="I817" s="278"/>
    </row>
    <row r="818" spans="1:9" x14ac:dyDescent="0.3">
      <c r="A818" s="356"/>
      <c r="B818" s="278"/>
      <c r="C818" s="357"/>
      <c r="D818" s="358"/>
      <c r="E818" s="358"/>
      <c r="F818" s="358"/>
      <c r="G818" s="278"/>
      <c r="H818" s="358"/>
      <c r="I818" s="278"/>
    </row>
    <row r="819" spans="1:9" x14ac:dyDescent="0.3">
      <c r="A819" s="356"/>
      <c r="B819" s="278"/>
      <c r="C819" s="357"/>
      <c r="D819" s="358"/>
      <c r="E819" s="358"/>
      <c r="F819" s="358"/>
      <c r="G819" s="278"/>
      <c r="H819" s="358"/>
      <c r="I819" s="278"/>
    </row>
    <row r="820" spans="1:9" x14ac:dyDescent="0.3">
      <c r="A820" s="356"/>
      <c r="B820" s="278"/>
      <c r="C820" s="357"/>
      <c r="D820" s="358"/>
      <c r="E820" s="358"/>
      <c r="F820" s="358"/>
      <c r="G820" s="278"/>
      <c r="H820" s="358"/>
      <c r="I820" s="278"/>
    </row>
    <row r="821" spans="1:9" x14ac:dyDescent="0.3">
      <c r="A821" s="356"/>
      <c r="B821" s="278"/>
      <c r="C821" s="357"/>
      <c r="D821" s="358"/>
      <c r="E821" s="358"/>
      <c r="F821" s="358"/>
      <c r="G821" s="278"/>
      <c r="H821" s="358"/>
      <c r="I821" s="278"/>
    </row>
    <row r="822" spans="1:9" x14ac:dyDescent="0.3">
      <c r="A822" s="356"/>
      <c r="B822" s="278"/>
      <c r="C822" s="357"/>
      <c r="D822" s="358"/>
      <c r="E822" s="358"/>
      <c r="F822" s="358"/>
      <c r="G822" s="278"/>
      <c r="H822" s="358"/>
      <c r="I822" s="278"/>
    </row>
    <row r="823" spans="1:9" x14ac:dyDescent="0.3">
      <c r="A823" s="356"/>
      <c r="B823" s="278"/>
      <c r="C823" s="357"/>
      <c r="D823" s="358"/>
      <c r="E823" s="358"/>
      <c r="F823" s="358"/>
      <c r="G823" s="278"/>
      <c r="H823" s="358"/>
      <c r="I823" s="278"/>
    </row>
    <row r="824" spans="1:9" x14ac:dyDescent="0.3">
      <c r="A824" s="356"/>
      <c r="B824" s="278"/>
      <c r="C824" s="357"/>
      <c r="D824" s="358"/>
      <c r="E824" s="358"/>
      <c r="F824" s="358"/>
      <c r="G824" s="278"/>
      <c r="H824" s="358"/>
      <c r="I824" s="278"/>
    </row>
    <row r="825" spans="1:9" x14ac:dyDescent="0.3">
      <c r="A825" s="356"/>
      <c r="B825" s="278"/>
      <c r="C825" s="357"/>
      <c r="D825" s="358"/>
      <c r="E825" s="358"/>
      <c r="F825" s="358"/>
      <c r="G825" s="278"/>
      <c r="H825" s="358"/>
      <c r="I825" s="278"/>
    </row>
    <row r="826" spans="1:9" x14ac:dyDescent="0.3">
      <c r="A826" s="356"/>
      <c r="B826" s="278"/>
      <c r="C826" s="357"/>
      <c r="D826" s="358"/>
      <c r="E826" s="358"/>
      <c r="F826" s="358"/>
      <c r="G826" s="278"/>
      <c r="H826" s="358"/>
      <c r="I826" s="278"/>
    </row>
    <row r="827" spans="1:9" x14ac:dyDescent="0.3">
      <c r="A827" s="356"/>
      <c r="B827" s="278"/>
      <c r="C827" s="357"/>
      <c r="D827" s="358"/>
      <c r="E827" s="358"/>
      <c r="F827" s="358"/>
      <c r="G827" s="278"/>
      <c r="H827" s="358"/>
      <c r="I827" s="278"/>
    </row>
    <row r="828" spans="1:9" x14ac:dyDescent="0.3">
      <c r="A828" s="356"/>
      <c r="B828" s="278"/>
      <c r="C828" s="357"/>
      <c r="D828" s="358"/>
      <c r="E828" s="358"/>
      <c r="F828" s="358"/>
      <c r="G828" s="278"/>
      <c r="H828" s="358"/>
      <c r="I828" s="278"/>
    </row>
    <row r="829" spans="1:9" x14ac:dyDescent="0.3">
      <c r="A829" s="356"/>
      <c r="B829" s="278"/>
      <c r="C829" s="357"/>
      <c r="D829" s="358"/>
      <c r="E829" s="358"/>
      <c r="F829" s="358"/>
      <c r="G829" s="278"/>
      <c r="H829" s="358"/>
      <c r="I829" s="278"/>
    </row>
    <row r="830" spans="1:9" x14ac:dyDescent="0.3">
      <c r="A830" s="356"/>
      <c r="B830" s="278"/>
      <c r="C830" s="357"/>
      <c r="D830" s="358"/>
      <c r="E830" s="358"/>
      <c r="F830" s="358"/>
      <c r="G830" s="278"/>
      <c r="H830" s="358"/>
      <c r="I830" s="278"/>
    </row>
    <row r="831" spans="1:9" x14ac:dyDescent="0.3">
      <c r="A831" s="356"/>
      <c r="B831" s="278"/>
      <c r="C831" s="357"/>
      <c r="D831" s="358"/>
      <c r="E831" s="358"/>
      <c r="F831" s="358"/>
      <c r="G831" s="278"/>
      <c r="H831" s="358"/>
      <c r="I831" s="278"/>
    </row>
    <row r="832" spans="1:9" x14ac:dyDescent="0.3">
      <c r="A832" s="356"/>
      <c r="B832" s="278"/>
      <c r="C832" s="357"/>
      <c r="D832" s="358"/>
      <c r="E832" s="358"/>
      <c r="F832" s="358"/>
      <c r="G832" s="278"/>
      <c r="H832" s="358"/>
      <c r="I832" s="278"/>
    </row>
    <row r="833" spans="1:9" x14ac:dyDescent="0.3">
      <c r="A833" s="356"/>
      <c r="B833" s="278"/>
      <c r="C833" s="357"/>
      <c r="D833" s="358"/>
      <c r="E833" s="358"/>
      <c r="F833" s="358"/>
      <c r="G833" s="278"/>
      <c r="H833" s="358"/>
      <c r="I833" s="278"/>
    </row>
    <row r="834" spans="1:9" x14ac:dyDescent="0.3">
      <c r="A834" s="356"/>
      <c r="B834" s="278"/>
      <c r="C834" s="357"/>
      <c r="D834" s="358"/>
      <c r="E834" s="358"/>
      <c r="F834" s="358"/>
      <c r="G834" s="278"/>
      <c r="H834" s="358"/>
      <c r="I834" s="278"/>
    </row>
    <row r="835" spans="1:9" x14ac:dyDescent="0.3">
      <c r="A835" s="356"/>
      <c r="B835" s="278"/>
      <c r="C835" s="357"/>
      <c r="D835" s="358"/>
      <c r="E835" s="358"/>
      <c r="F835" s="358"/>
      <c r="G835" s="278"/>
      <c r="H835" s="358"/>
      <c r="I835" s="278"/>
    </row>
    <row r="836" spans="1:9" x14ac:dyDescent="0.3">
      <c r="A836" s="356"/>
      <c r="B836" s="278"/>
      <c r="C836" s="357"/>
      <c r="D836" s="358"/>
      <c r="E836" s="358"/>
      <c r="F836" s="358"/>
      <c r="G836" s="278"/>
      <c r="H836" s="358"/>
      <c r="I836" s="278"/>
    </row>
    <row r="837" spans="1:9" x14ac:dyDescent="0.3">
      <c r="A837" s="356"/>
      <c r="B837" s="278"/>
      <c r="C837" s="357"/>
      <c r="D837" s="358"/>
      <c r="E837" s="358"/>
      <c r="F837" s="358"/>
      <c r="G837" s="278"/>
      <c r="H837" s="358"/>
      <c r="I837" s="278"/>
    </row>
    <row r="838" spans="1:9" x14ac:dyDescent="0.3">
      <c r="A838" s="356"/>
      <c r="B838" s="278"/>
      <c r="C838" s="357"/>
      <c r="D838" s="358"/>
      <c r="E838" s="358"/>
      <c r="F838" s="358"/>
      <c r="G838" s="278"/>
      <c r="H838" s="358"/>
      <c r="I838" s="278"/>
    </row>
    <row r="839" spans="1:9" x14ac:dyDescent="0.3">
      <c r="A839" s="356"/>
      <c r="B839" s="278"/>
      <c r="C839" s="357"/>
      <c r="D839" s="358"/>
      <c r="E839" s="358"/>
      <c r="F839" s="358"/>
      <c r="G839" s="278"/>
      <c r="H839" s="358"/>
      <c r="I839" s="278"/>
    </row>
    <row r="840" spans="1:9" x14ac:dyDescent="0.3">
      <c r="A840" s="356"/>
      <c r="B840" s="278"/>
      <c r="C840" s="357"/>
      <c r="D840" s="358"/>
      <c r="E840" s="358"/>
      <c r="F840" s="358"/>
      <c r="G840" s="278"/>
      <c r="H840" s="358"/>
      <c r="I840" s="278"/>
    </row>
    <row r="841" spans="1:9" x14ac:dyDescent="0.3">
      <c r="A841" s="356"/>
      <c r="B841" s="278"/>
      <c r="C841" s="357"/>
      <c r="D841" s="358"/>
      <c r="E841" s="358"/>
      <c r="F841" s="358"/>
      <c r="G841" s="278"/>
      <c r="H841" s="358"/>
      <c r="I841" s="278"/>
    </row>
    <row r="842" spans="1:9" x14ac:dyDescent="0.3">
      <c r="A842" s="356"/>
      <c r="B842" s="278"/>
      <c r="C842" s="357"/>
      <c r="D842" s="358"/>
      <c r="E842" s="358"/>
      <c r="F842" s="358"/>
      <c r="G842" s="278"/>
      <c r="H842" s="358"/>
      <c r="I842" s="278"/>
    </row>
    <row r="843" spans="1:9" x14ac:dyDescent="0.3">
      <c r="A843" s="356"/>
      <c r="B843" s="278"/>
      <c r="C843" s="357"/>
      <c r="D843" s="358"/>
      <c r="E843" s="358"/>
      <c r="F843" s="358"/>
      <c r="G843" s="278"/>
      <c r="H843" s="358"/>
      <c r="I843" s="278"/>
    </row>
    <row r="844" spans="1:9" x14ac:dyDescent="0.3">
      <c r="A844" s="356"/>
      <c r="B844" s="278"/>
      <c r="C844" s="357"/>
      <c r="D844" s="358"/>
      <c r="E844" s="358"/>
      <c r="F844" s="358"/>
      <c r="G844" s="278"/>
      <c r="H844" s="358"/>
      <c r="I844" s="278"/>
    </row>
    <row r="845" spans="1:9" x14ac:dyDescent="0.3">
      <c r="A845" s="356"/>
      <c r="B845" s="278"/>
      <c r="C845" s="357"/>
      <c r="D845" s="358"/>
      <c r="E845" s="358"/>
      <c r="F845" s="358"/>
      <c r="G845" s="278"/>
      <c r="H845" s="358"/>
      <c r="I845" s="278"/>
    </row>
    <row r="846" spans="1:9" x14ac:dyDescent="0.3">
      <c r="A846" s="356"/>
      <c r="B846" s="278"/>
      <c r="C846" s="357"/>
      <c r="D846" s="358"/>
      <c r="E846" s="358"/>
      <c r="F846" s="358"/>
      <c r="G846" s="278"/>
      <c r="H846" s="358"/>
      <c r="I846" s="278"/>
    </row>
    <row r="847" spans="1:9" x14ac:dyDescent="0.3">
      <c r="A847" s="356"/>
      <c r="B847" s="278"/>
      <c r="C847" s="357"/>
      <c r="D847" s="358"/>
      <c r="E847" s="358"/>
      <c r="F847" s="358"/>
      <c r="G847" s="278"/>
      <c r="H847" s="358"/>
      <c r="I847" s="278"/>
    </row>
    <row r="848" spans="1:9" x14ac:dyDescent="0.3">
      <c r="A848" s="356"/>
      <c r="B848" s="278"/>
      <c r="C848" s="357"/>
      <c r="D848" s="358"/>
      <c r="E848" s="358"/>
      <c r="F848" s="358"/>
      <c r="G848" s="278"/>
      <c r="H848" s="358"/>
      <c r="I848" s="278"/>
    </row>
    <row r="849" spans="1:9" x14ac:dyDescent="0.3">
      <c r="A849" s="356"/>
      <c r="B849" s="278"/>
      <c r="C849" s="357"/>
      <c r="D849" s="358"/>
      <c r="E849" s="358"/>
      <c r="F849" s="358"/>
      <c r="G849" s="278"/>
      <c r="H849" s="358"/>
      <c r="I849" s="278"/>
    </row>
    <row r="850" spans="1:9" x14ac:dyDescent="0.3">
      <c r="A850" s="356"/>
      <c r="B850" s="278"/>
      <c r="C850" s="357"/>
      <c r="D850" s="358"/>
      <c r="E850" s="358"/>
      <c r="F850" s="358"/>
      <c r="G850" s="278"/>
      <c r="H850" s="358"/>
      <c r="I850" s="278"/>
    </row>
    <row r="851" spans="1:9" x14ac:dyDescent="0.3">
      <c r="A851" s="356"/>
      <c r="B851" s="278"/>
      <c r="C851" s="357"/>
      <c r="D851" s="358"/>
      <c r="E851" s="358"/>
      <c r="F851" s="358"/>
      <c r="G851" s="278"/>
      <c r="H851" s="358"/>
      <c r="I851" s="278"/>
    </row>
    <row r="852" spans="1:9" x14ac:dyDescent="0.3">
      <c r="A852" s="356"/>
      <c r="B852" s="278"/>
      <c r="C852" s="357"/>
      <c r="D852" s="358"/>
      <c r="E852" s="358"/>
      <c r="F852" s="358"/>
      <c r="G852" s="278"/>
      <c r="H852" s="358"/>
      <c r="I852" s="278"/>
    </row>
    <row r="853" spans="1:9" x14ac:dyDescent="0.3">
      <c r="A853" s="356"/>
      <c r="B853" s="278"/>
      <c r="C853" s="357"/>
      <c r="D853" s="358"/>
      <c r="E853" s="358"/>
      <c r="F853" s="358"/>
      <c r="G853" s="278"/>
      <c r="H853" s="358"/>
      <c r="I853" s="278"/>
    </row>
    <row r="854" spans="1:9" x14ac:dyDescent="0.3">
      <c r="A854" s="356"/>
      <c r="B854" s="278"/>
      <c r="C854" s="357"/>
      <c r="D854" s="358"/>
      <c r="E854" s="358"/>
      <c r="F854" s="358"/>
      <c r="G854" s="278"/>
      <c r="H854" s="358"/>
      <c r="I854" s="278"/>
    </row>
    <row r="855" spans="1:9" x14ac:dyDescent="0.3">
      <c r="A855" s="356"/>
      <c r="B855" s="278"/>
      <c r="C855" s="357"/>
      <c r="D855" s="358"/>
      <c r="E855" s="358"/>
      <c r="F855" s="358"/>
      <c r="G855" s="278"/>
      <c r="H855" s="358"/>
      <c r="I855" s="278"/>
    </row>
    <row r="856" spans="1:9" x14ac:dyDescent="0.3">
      <c r="A856" s="356"/>
      <c r="B856" s="278"/>
      <c r="C856" s="357"/>
      <c r="D856" s="358"/>
      <c r="E856" s="358"/>
      <c r="F856" s="358"/>
      <c r="G856" s="278"/>
      <c r="H856" s="358"/>
      <c r="I856" s="278"/>
    </row>
    <row r="857" spans="1:9" x14ac:dyDescent="0.3">
      <c r="A857" s="356"/>
      <c r="B857" s="278"/>
      <c r="C857" s="357"/>
      <c r="D857" s="358"/>
      <c r="E857" s="358"/>
      <c r="F857" s="358"/>
      <c r="G857" s="278"/>
      <c r="H857" s="358"/>
      <c r="I857" s="278"/>
    </row>
    <row r="858" spans="1:9" x14ac:dyDescent="0.3">
      <c r="A858" s="356"/>
      <c r="B858" s="278"/>
      <c r="C858" s="357"/>
      <c r="D858" s="358"/>
      <c r="E858" s="358"/>
      <c r="F858" s="358"/>
      <c r="G858" s="278"/>
      <c r="H858" s="358"/>
      <c r="I858" s="278"/>
    </row>
    <row r="859" spans="1:9" x14ac:dyDescent="0.3">
      <c r="A859" s="356"/>
      <c r="B859" s="278"/>
      <c r="C859" s="357"/>
      <c r="D859" s="358"/>
      <c r="E859" s="358"/>
      <c r="F859" s="358"/>
      <c r="G859" s="278"/>
      <c r="H859" s="358"/>
      <c r="I859" s="278"/>
    </row>
    <row r="860" spans="1:9" x14ac:dyDescent="0.3">
      <c r="A860" s="356"/>
      <c r="B860" s="278"/>
      <c r="C860" s="357"/>
      <c r="D860" s="358"/>
      <c r="E860" s="358"/>
      <c r="F860" s="358"/>
      <c r="G860" s="278"/>
      <c r="H860" s="358"/>
      <c r="I860" s="278"/>
    </row>
    <row r="861" spans="1:9" x14ac:dyDescent="0.3">
      <c r="A861" s="356"/>
      <c r="B861" s="278"/>
      <c r="C861" s="357"/>
      <c r="D861" s="358"/>
      <c r="E861" s="358"/>
      <c r="F861" s="358"/>
      <c r="G861" s="278"/>
      <c r="H861" s="358"/>
      <c r="I861" s="278"/>
    </row>
    <row r="862" spans="1:9" x14ac:dyDescent="0.3">
      <c r="A862" s="356"/>
      <c r="B862" s="278"/>
      <c r="C862" s="357"/>
      <c r="D862" s="358"/>
      <c r="E862" s="358"/>
      <c r="F862" s="358"/>
      <c r="G862" s="278"/>
      <c r="H862" s="358"/>
      <c r="I862" s="278"/>
    </row>
    <row r="863" spans="1:9" x14ac:dyDescent="0.3">
      <c r="A863" s="356"/>
      <c r="B863" s="278"/>
      <c r="C863" s="357"/>
      <c r="D863" s="358"/>
      <c r="E863" s="358"/>
      <c r="F863" s="358"/>
      <c r="G863" s="278"/>
      <c r="H863" s="358"/>
      <c r="I863" s="278"/>
    </row>
    <row r="864" spans="1:9" x14ac:dyDescent="0.3">
      <c r="A864" s="356"/>
      <c r="B864" s="278"/>
      <c r="C864" s="357"/>
      <c r="D864" s="358"/>
      <c r="E864" s="358"/>
      <c r="F864" s="358"/>
      <c r="G864" s="278"/>
      <c r="H864" s="358"/>
      <c r="I864" s="278"/>
    </row>
    <row r="865" spans="1:9" x14ac:dyDescent="0.3">
      <c r="A865" s="356"/>
      <c r="B865" s="278"/>
      <c r="C865" s="357"/>
      <c r="D865" s="358"/>
      <c r="E865" s="358"/>
      <c r="F865" s="358"/>
      <c r="G865" s="278"/>
      <c r="H865" s="358"/>
      <c r="I865" s="278"/>
    </row>
    <row r="866" spans="1:9" x14ac:dyDescent="0.3">
      <c r="A866" s="356"/>
      <c r="B866" s="278"/>
      <c r="C866" s="357"/>
      <c r="D866" s="358"/>
      <c r="E866" s="358"/>
      <c r="F866" s="358"/>
      <c r="G866" s="278"/>
      <c r="H866" s="358"/>
      <c r="I866" s="278"/>
    </row>
    <row r="867" spans="1:9" x14ac:dyDescent="0.3">
      <c r="A867" s="356"/>
      <c r="B867" s="278"/>
      <c r="C867" s="357"/>
      <c r="D867" s="358"/>
      <c r="E867" s="358"/>
      <c r="F867" s="358"/>
      <c r="G867" s="278"/>
      <c r="H867" s="358"/>
      <c r="I867" s="278"/>
    </row>
    <row r="868" spans="1:9" x14ac:dyDescent="0.3">
      <c r="A868" s="356"/>
      <c r="B868" s="278"/>
      <c r="C868" s="357"/>
      <c r="D868" s="358"/>
      <c r="E868" s="358"/>
      <c r="F868" s="358"/>
      <c r="G868" s="278"/>
      <c r="H868" s="358"/>
      <c r="I868" s="278"/>
    </row>
    <row r="869" spans="1:9" x14ac:dyDescent="0.3">
      <c r="A869" s="356"/>
      <c r="B869" s="278"/>
      <c r="C869" s="357"/>
      <c r="D869" s="358"/>
      <c r="E869" s="358"/>
      <c r="F869" s="358"/>
      <c r="G869" s="278"/>
      <c r="H869" s="358"/>
      <c r="I869" s="278"/>
    </row>
    <row r="870" spans="1:9" x14ac:dyDescent="0.3">
      <c r="A870" s="356"/>
      <c r="B870" s="278"/>
      <c r="C870" s="357"/>
      <c r="D870" s="358"/>
      <c r="E870" s="358"/>
      <c r="F870" s="358"/>
      <c r="G870" s="278"/>
      <c r="H870" s="358"/>
      <c r="I870" s="278"/>
    </row>
    <row r="871" spans="1:9" x14ac:dyDescent="0.3">
      <c r="A871" s="356"/>
      <c r="B871" s="278"/>
      <c r="C871" s="357"/>
      <c r="D871" s="358"/>
      <c r="E871" s="358"/>
      <c r="F871" s="358"/>
      <c r="G871" s="278"/>
      <c r="H871" s="358"/>
      <c r="I871" s="278"/>
    </row>
    <row r="872" spans="1:9" x14ac:dyDescent="0.3">
      <c r="A872" s="356"/>
      <c r="B872" s="278"/>
      <c r="C872" s="357"/>
      <c r="D872" s="358"/>
      <c r="E872" s="358"/>
      <c r="F872" s="358"/>
      <c r="G872" s="278"/>
      <c r="H872" s="358"/>
      <c r="I872" s="278"/>
    </row>
    <row r="873" spans="1:9" x14ac:dyDescent="0.3">
      <c r="A873" s="356"/>
      <c r="B873" s="278"/>
      <c r="C873" s="357"/>
      <c r="D873" s="358"/>
      <c r="E873" s="358"/>
      <c r="F873" s="358"/>
      <c r="G873" s="278"/>
      <c r="H873" s="358"/>
      <c r="I873" s="278"/>
    </row>
    <row r="874" spans="1:9" x14ac:dyDescent="0.3">
      <c r="A874" s="356"/>
      <c r="B874" s="278"/>
      <c r="C874" s="357"/>
      <c r="D874" s="358"/>
      <c r="E874" s="358"/>
      <c r="F874" s="358"/>
      <c r="G874" s="278"/>
      <c r="H874" s="358"/>
      <c r="I874" s="278"/>
    </row>
    <row r="875" spans="1:9" x14ac:dyDescent="0.3">
      <c r="A875" s="356"/>
      <c r="B875" s="278"/>
      <c r="C875" s="357"/>
      <c r="D875" s="358"/>
      <c r="E875" s="358"/>
      <c r="F875" s="358"/>
      <c r="G875" s="278"/>
      <c r="H875" s="358"/>
      <c r="I875" s="278"/>
    </row>
    <row r="876" spans="1:9" x14ac:dyDescent="0.3">
      <c r="A876" s="356"/>
      <c r="B876" s="278"/>
      <c r="C876" s="357"/>
      <c r="D876" s="358"/>
      <c r="E876" s="358"/>
      <c r="F876" s="358"/>
      <c r="G876" s="278"/>
      <c r="H876" s="358"/>
      <c r="I876" s="278"/>
    </row>
    <row r="877" spans="1:9" x14ac:dyDescent="0.3">
      <c r="A877" s="356"/>
      <c r="B877" s="278"/>
      <c r="C877" s="357"/>
      <c r="D877" s="358"/>
      <c r="E877" s="358"/>
      <c r="F877" s="358"/>
      <c r="G877" s="278"/>
      <c r="H877" s="358"/>
      <c r="I877" s="278"/>
    </row>
    <row r="878" spans="1:9" x14ac:dyDescent="0.3">
      <c r="A878" s="356"/>
      <c r="B878" s="278"/>
      <c r="C878" s="357"/>
      <c r="D878" s="358"/>
      <c r="E878" s="358"/>
      <c r="F878" s="358"/>
      <c r="G878" s="278"/>
      <c r="H878" s="358"/>
      <c r="I878" s="278"/>
    </row>
    <row r="879" spans="1:9" x14ac:dyDescent="0.3">
      <c r="A879" s="356"/>
      <c r="B879" s="278"/>
      <c r="C879" s="357"/>
      <c r="D879" s="358"/>
      <c r="E879" s="358"/>
      <c r="F879" s="358"/>
      <c r="G879" s="278"/>
      <c r="H879" s="358"/>
      <c r="I879" s="278"/>
    </row>
    <row r="880" spans="1:9" x14ac:dyDescent="0.3">
      <c r="A880" s="356"/>
      <c r="B880" s="278"/>
      <c r="C880" s="357"/>
      <c r="D880" s="358"/>
      <c r="E880" s="358"/>
      <c r="F880" s="358"/>
      <c r="G880" s="278"/>
      <c r="H880" s="358"/>
      <c r="I880" s="278"/>
    </row>
    <row r="881" spans="1:9" x14ac:dyDescent="0.3">
      <c r="A881" s="356"/>
      <c r="B881" s="278"/>
      <c r="C881" s="357"/>
      <c r="D881" s="358"/>
      <c r="E881" s="358"/>
      <c r="F881" s="358"/>
      <c r="G881" s="278"/>
      <c r="H881" s="358"/>
      <c r="I881" s="278"/>
    </row>
    <row r="882" spans="1:9" x14ac:dyDescent="0.3">
      <c r="A882" s="356"/>
      <c r="B882" s="278"/>
      <c r="C882" s="357"/>
      <c r="D882" s="358"/>
      <c r="E882" s="358"/>
      <c r="F882" s="358"/>
      <c r="G882" s="278"/>
      <c r="H882" s="358"/>
      <c r="I882" s="278"/>
    </row>
    <row r="883" spans="1:9" x14ac:dyDescent="0.3">
      <c r="A883" s="356"/>
      <c r="B883" s="278"/>
      <c r="C883" s="357"/>
      <c r="D883" s="358"/>
      <c r="E883" s="358"/>
      <c r="F883" s="358"/>
      <c r="G883" s="278"/>
      <c r="H883" s="358"/>
      <c r="I883" s="278"/>
    </row>
    <row r="884" spans="1:9" x14ac:dyDescent="0.3">
      <c r="A884" s="356"/>
      <c r="B884" s="278"/>
      <c r="C884" s="357"/>
      <c r="D884" s="358"/>
      <c r="E884" s="358"/>
      <c r="F884" s="358"/>
      <c r="G884" s="278"/>
      <c r="H884" s="358"/>
      <c r="I884" s="278"/>
    </row>
    <row r="885" spans="1:9" x14ac:dyDescent="0.3">
      <c r="A885" s="356"/>
      <c r="B885" s="278"/>
      <c r="C885" s="357"/>
      <c r="D885" s="358"/>
      <c r="E885" s="358"/>
      <c r="F885" s="358"/>
      <c r="G885" s="278"/>
      <c r="H885" s="358"/>
      <c r="I885" s="278"/>
    </row>
    <row r="886" spans="1:9" x14ac:dyDescent="0.3">
      <c r="A886" s="356"/>
      <c r="B886" s="278"/>
      <c r="C886" s="357"/>
      <c r="D886" s="358"/>
      <c r="E886" s="358"/>
      <c r="F886" s="358"/>
      <c r="G886" s="278"/>
      <c r="H886" s="358"/>
      <c r="I886" s="278"/>
    </row>
    <row r="887" spans="1:9" x14ac:dyDescent="0.3">
      <c r="A887" s="356"/>
      <c r="B887" s="278"/>
      <c r="C887" s="357"/>
      <c r="D887" s="358"/>
      <c r="E887" s="358"/>
      <c r="F887" s="358"/>
      <c r="G887" s="278"/>
      <c r="H887" s="358"/>
      <c r="I887" s="278"/>
    </row>
    <row r="888" spans="1:9" x14ac:dyDescent="0.3">
      <c r="A888" s="356"/>
      <c r="B888" s="278"/>
      <c r="C888" s="357"/>
      <c r="D888" s="358"/>
      <c r="E888" s="358"/>
      <c r="F888" s="358"/>
      <c r="G888" s="278"/>
      <c r="H888" s="358"/>
      <c r="I888" s="278"/>
    </row>
    <row r="889" spans="1:9" x14ac:dyDescent="0.3">
      <c r="A889" s="356"/>
      <c r="B889" s="278"/>
      <c r="C889" s="357"/>
      <c r="D889" s="358"/>
      <c r="E889" s="358"/>
      <c r="F889" s="358"/>
      <c r="G889" s="278"/>
      <c r="H889" s="358"/>
      <c r="I889" s="278"/>
    </row>
    <row r="890" spans="1:9" x14ac:dyDescent="0.3">
      <c r="A890" s="356"/>
      <c r="B890" s="278"/>
      <c r="C890" s="357"/>
      <c r="D890" s="358"/>
      <c r="E890" s="358"/>
      <c r="F890" s="358"/>
      <c r="G890" s="278"/>
      <c r="H890" s="358"/>
      <c r="I890" s="278"/>
    </row>
    <row r="891" spans="1:9" x14ac:dyDescent="0.3">
      <c r="A891" s="356"/>
      <c r="B891" s="278"/>
      <c r="C891" s="357"/>
      <c r="D891" s="358"/>
      <c r="E891" s="358"/>
      <c r="F891" s="358"/>
      <c r="G891" s="278"/>
      <c r="H891" s="358"/>
      <c r="I891" s="278"/>
    </row>
    <row r="892" spans="1:9" x14ac:dyDescent="0.3">
      <c r="A892" s="356"/>
      <c r="B892" s="278"/>
      <c r="C892" s="357"/>
      <c r="D892" s="358"/>
      <c r="E892" s="358"/>
      <c r="F892" s="358"/>
      <c r="G892" s="278"/>
      <c r="H892" s="358"/>
      <c r="I892" s="278"/>
    </row>
    <row r="893" spans="1:9" x14ac:dyDescent="0.3">
      <c r="A893" s="356"/>
      <c r="B893" s="278"/>
      <c r="C893" s="357"/>
      <c r="D893" s="358"/>
      <c r="E893" s="358"/>
      <c r="F893" s="358"/>
      <c r="G893" s="278"/>
      <c r="H893" s="358"/>
      <c r="I893" s="278"/>
    </row>
    <row r="894" spans="1:9" x14ac:dyDescent="0.3">
      <c r="A894" s="356"/>
      <c r="B894" s="278"/>
      <c r="C894" s="357"/>
      <c r="D894" s="358"/>
      <c r="E894" s="358"/>
      <c r="F894" s="358"/>
      <c r="G894" s="278"/>
      <c r="H894" s="358"/>
      <c r="I894" s="278"/>
    </row>
    <row r="895" spans="1:9" x14ac:dyDescent="0.3">
      <c r="A895" s="356"/>
      <c r="B895" s="278"/>
      <c r="C895" s="357"/>
      <c r="D895" s="358"/>
      <c r="E895" s="358"/>
      <c r="F895" s="358"/>
      <c r="G895" s="278"/>
      <c r="H895" s="358"/>
      <c r="I895" s="278"/>
    </row>
    <row r="896" spans="1:9" x14ac:dyDescent="0.3">
      <c r="A896" s="356"/>
      <c r="B896" s="278"/>
      <c r="C896" s="357"/>
      <c r="D896" s="358"/>
      <c r="E896" s="358"/>
      <c r="F896" s="358"/>
      <c r="G896" s="278"/>
      <c r="H896" s="358"/>
      <c r="I896" s="278"/>
    </row>
    <row r="897" spans="1:9" x14ac:dyDescent="0.3">
      <c r="A897" s="356"/>
      <c r="B897" s="278"/>
      <c r="C897" s="357"/>
      <c r="D897" s="358"/>
      <c r="E897" s="358"/>
      <c r="F897" s="358"/>
      <c r="G897" s="278"/>
      <c r="H897" s="358"/>
      <c r="I897" s="278"/>
    </row>
    <row r="898" spans="1:9" x14ac:dyDescent="0.3">
      <c r="A898" s="356"/>
      <c r="B898" s="278"/>
      <c r="C898" s="357"/>
      <c r="D898" s="358"/>
      <c r="E898" s="358"/>
      <c r="F898" s="358"/>
      <c r="G898" s="278"/>
      <c r="H898" s="358"/>
      <c r="I898" s="278"/>
    </row>
    <row r="899" spans="1:9" x14ac:dyDescent="0.3">
      <c r="A899" s="356"/>
      <c r="B899" s="278"/>
      <c r="C899" s="357"/>
      <c r="D899" s="358"/>
      <c r="E899" s="358"/>
      <c r="F899" s="358"/>
      <c r="G899" s="278"/>
      <c r="H899" s="358"/>
      <c r="I899" s="278"/>
    </row>
    <row r="900" spans="1:9" x14ac:dyDescent="0.3">
      <c r="A900" s="356"/>
      <c r="B900" s="278"/>
      <c r="C900" s="357"/>
      <c r="D900" s="358"/>
      <c r="E900" s="358"/>
      <c r="F900" s="358"/>
      <c r="G900" s="278"/>
      <c r="H900" s="358"/>
      <c r="I900" s="278"/>
    </row>
    <row r="901" spans="1:9" x14ac:dyDescent="0.3">
      <c r="A901" s="356"/>
      <c r="B901" s="278"/>
      <c r="C901" s="357"/>
      <c r="D901" s="358"/>
      <c r="E901" s="358"/>
      <c r="F901" s="358"/>
      <c r="G901" s="278"/>
      <c r="H901" s="358"/>
      <c r="I901" s="278"/>
    </row>
    <row r="902" spans="1:9" x14ac:dyDescent="0.3">
      <c r="A902" s="356"/>
      <c r="B902" s="278"/>
      <c r="C902" s="357"/>
      <c r="D902" s="358"/>
      <c r="E902" s="358"/>
      <c r="F902" s="358"/>
      <c r="G902" s="278"/>
      <c r="H902" s="358"/>
      <c r="I902" s="278"/>
    </row>
    <row r="903" spans="1:9" x14ac:dyDescent="0.3">
      <c r="A903" s="356"/>
      <c r="B903" s="278"/>
      <c r="C903" s="357"/>
      <c r="D903" s="358"/>
      <c r="E903" s="358"/>
      <c r="F903" s="358"/>
      <c r="G903" s="278"/>
      <c r="H903" s="358"/>
      <c r="I903" s="278"/>
    </row>
    <row r="904" spans="1:9" x14ac:dyDescent="0.3">
      <c r="A904" s="356"/>
      <c r="B904" s="278"/>
      <c r="C904" s="357"/>
      <c r="D904" s="358"/>
      <c r="E904" s="358"/>
      <c r="F904" s="358"/>
      <c r="G904" s="278"/>
      <c r="H904" s="358"/>
      <c r="I904" s="278"/>
    </row>
    <row r="905" spans="1:9" x14ac:dyDescent="0.3">
      <c r="A905" s="356"/>
      <c r="B905" s="278"/>
      <c r="C905" s="357"/>
      <c r="D905" s="358"/>
      <c r="E905" s="358"/>
      <c r="F905" s="358"/>
      <c r="G905" s="278"/>
      <c r="H905" s="358"/>
      <c r="I905" s="278"/>
    </row>
    <row r="906" spans="1:9" x14ac:dyDescent="0.3">
      <c r="A906" s="356"/>
      <c r="B906" s="278"/>
      <c r="C906" s="357"/>
      <c r="D906" s="358"/>
      <c r="E906" s="358"/>
      <c r="F906" s="358"/>
      <c r="G906" s="278"/>
      <c r="H906" s="358"/>
      <c r="I906" s="278"/>
    </row>
    <row r="907" spans="1:9" x14ac:dyDescent="0.3">
      <c r="A907" s="356"/>
      <c r="B907" s="278"/>
      <c r="C907" s="357"/>
      <c r="D907" s="358"/>
      <c r="E907" s="358"/>
      <c r="F907" s="358"/>
      <c r="G907" s="278"/>
      <c r="H907" s="358"/>
      <c r="I907" s="278"/>
    </row>
    <row r="908" spans="1:9" x14ac:dyDescent="0.3">
      <c r="A908" s="356"/>
      <c r="B908" s="278"/>
      <c r="C908" s="357"/>
      <c r="D908" s="358"/>
      <c r="E908" s="358"/>
      <c r="F908" s="358"/>
      <c r="G908" s="278"/>
      <c r="H908" s="358"/>
      <c r="I908" s="278"/>
    </row>
    <row r="909" spans="1:9" x14ac:dyDescent="0.3">
      <c r="A909" s="356"/>
      <c r="B909" s="278"/>
      <c r="C909" s="357"/>
      <c r="D909" s="358"/>
      <c r="E909" s="358"/>
      <c r="F909" s="358"/>
      <c r="G909" s="278"/>
      <c r="H909" s="358"/>
      <c r="I909" s="278"/>
    </row>
    <row r="910" spans="1:9" x14ac:dyDescent="0.3">
      <c r="A910" s="356"/>
      <c r="B910" s="278"/>
      <c r="C910" s="357"/>
      <c r="D910" s="358"/>
      <c r="E910" s="358"/>
      <c r="F910" s="358"/>
      <c r="G910" s="278"/>
      <c r="H910" s="358"/>
      <c r="I910" s="278"/>
    </row>
    <row r="911" spans="1:9" x14ac:dyDescent="0.3">
      <c r="A911" s="356"/>
      <c r="B911" s="278"/>
      <c r="C911" s="357"/>
      <c r="D911" s="358"/>
      <c r="E911" s="358"/>
      <c r="F911" s="358"/>
      <c r="G911" s="278"/>
      <c r="H911" s="358"/>
      <c r="I911" s="278"/>
    </row>
    <row r="912" spans="1:9" x14ac:dyDescent="0.3">
      <c r="A912" s="356"/>
      <c r="B912" s="278"/>
      <c r="C912" s="357"/>
      <c r="D912" s="358"/>
      <c r="E912" s="358"/>
      <c r="F912" s="358"/>
      <c r="G912" s="278"/>
      <c r="H912" s="358"/>
      <c r="I912" s="278"/>
    </row>
    <row r="913" spans="1:9" x14ac:dyDescent="0.3">
      <c r="A913" s="356"/>
      <c r="B913" s="278"/>
      <c r="C913" s="357"/>
      <c r="D913" s="358"/>
      <c r="E913" s="358"/>
      <c r="F913" s="358"/>
      <c r="G913" s="278"/>
      <c r="H913" s="358"/>
      <c r="I913" s="278"/>
    </row>
    <row r="914" spans="1:9" x14ac:dyDescent="0.3">
      <c r="A914" s="356"/>
      <c r="B914" s="278"/>
      <c r="C914" s="357"/>
      <c r="D914" s="358"/>
      <c r="E914" s="358"/>
      <c r="F914" s="358"/>
      <c r="G914" s="278"/>
      <c r="H914" s="358"/>
      <c r="I914" s="278"/>
    </row>
    <row r="915" spans="1:9" x14ac:dyDescent="0.3">
      <c r="A915" s="356"/>
      <c r="B915" s="278"/>
      <c r="C915" s="357"/>
      <c r="D915" s="358"/>
      <c r="E915" s="358"/>
      <c r="F915" s="358"/>
      <c r="G915" s="278"/>
      <c r="H915" s="358"/>
      <c r="I915" s="278"/>
    </row>
    <row r="916" spans="1:9" x14ac:dyDescent="0.3">
      <c r="A916" s="356"/>
      <c r="B916" s="278"/>
      <c r="C916" s="357"/>
      <c r="D916" s="358"/>
      <c r="E916" s="358"/>
      <c r="F916" s="358"/>
      <c r="G916" s="278"/>
      <c r="H916" s="358"/>
      <c r="I916" s="278"/>
    </row>
    <row r="917" spans="1:9" x14ac:dyDescent="0.3">
      <c r="A917" s="356"/>
      <c r="B917" s="278"/>
      <c r="C917" s="357"/>
      <c r="D917" s="358"/>
      <c r="E917" s="358"/>
      <c r="F917" s="358"/>
      <c r="G917" s="278"/>
      <c r="H917" s="358"/>
      <c r="I917" s="278"/>
    </row>
    <row r="918" spans="1:9" x14ac:dyDescent="0.3">
      <c r="A918" s="356"/>
      <c r="B918" s="278"/>
      <c r="C918" s="357"/>
      <c r="D918" s="358"/>
      <c r="E918" s="358"/>
      <c r="F918" s="358"/>
      <c r="G918" s="278"/>
      <c r="H918" s="358"/>
      <c r="I918" s="278"/>
    </row>
    <row r="919" spans="1:9" x14ac:dyDescent="0.3">
      <c r="A919" s="356"/>
      <c r="B919" s="278"/>
      <c r="C919" s="357"/>
      <c r="D919" s="358"/>
      <c r="E919" s="358"/>
      <c r="F919" s="358"/>
      <c r="G919" s="278"/>
      <c r="H919" s="358"/>
      <c r="I919" s="278"/>
    </row>
    <row r="920" spans="1:9" x14ac:dyDescent="0.3">
      <c r="A920" s="356"/>
      <c r="B920" s="278"/>
      <c r="C920" s="357"/>
      <c r="D920" s="358"/>
      <c r="E920" s="358"/>
      <c r="F920" s="358"/>
      <c r="G920" s="278"/>
      <c r="H920" s="358"/>
      <c r="I920" s="278"/>
    </row>
    <row r="921" spans="1:9" x14ac:dyDescent="0.3">
      <c r="A921" s="356"/>
      <c r="B921" s="278"/>
      <c r="C921" s="357"/>
      <c r="D921" s="358"/>
      <c r="E921" s="358"/>
      <c r="F921" s="358"/>
      <c r="G921" s="278"/>
      <c r="H921" s="358"/>
      <c r="I921" s="278"/>
    </row>
    <row r="922" spans="1:9" x14ac:dyDescent="0.3">
      <c r="A922" s="356"/>
      <c r="B922" s="278"/>
      <c r="C922" s="357"/>
      <c r="D922" s="358"/>
      <c r="E922" s="358"/>
      <c r="F922" s="358"/>
      <c r="G922" s="278"/>
      <c r="H922" s="358"/>
      <c r="I922" s="278"/>
    </row>
    <row r="923" spans="1:9" x14ac:dyDescent="0.3">
      <c r="A923" s="356"/>
      <c r="B923" s="278"/>
      <c r="C923" s="357"/>
      <c r="D923" s="358"/>
      <c r="E923" s="358"/>
      <c r="F923" s="358"/>
      <c r="G923" s="278"/>
      <c r="H923" s="358"/>
      <c r="I923" s="278"/>
    </row>
    <row r="924" spans="1:9" x14ac:dyDescent="0.3">
      <c r="A924" s="356"/>
      <c r="B924" s="278"/>
      <c r="C924" s="357"/>
      <c r="D924" s="358"/>
      <c r="E924" s="358"/>
      <c r="F924" s="358"/>
      <c r="G924" s="278"/>
      <c r="H924" s="358"/>
      <c r="I924" s="278"/>
    </row>
    <row r="925" spans="1:9" x14ac:dyDescent="0.3">
      <c r="A925" s="356"/>
      <c r="B925" s="278"/>
      <c r="C925" s="357"/>
      <c r="D925" s="358"/>
      <c r="E925" s="358"/>
      <c r="F925" s="358"/>
      <c r="G925" s="278"/>
      <c r="H925" s="358"/>
      <c r="I925" s="278"/>
    </row>
    <row r="926" spans="1:9" x14ac:dyDescent="0.3">
      <c r="A926" s="356"/>
      <c r="B926" s="278"/>
      <c r="C926" s="357"/>
      <c r="D926" s="358"/>
      <c r="E926" s="358"/>
      <c r="F926" s="358"/>
      <c r="G926" s="278"/>
      <c r="H926" s="358"/>
      <c r="I926" s="278"/>
    </row>
    <row r="927" spans="1:9" x14ac:dyDescent="0.3">
      <c r="A927" s="356"/>
      <c r="B927" s="278"/>
      <c r="C927" s="357"/>
      <c r="D927" s="358"/>
      <c r="E927" s="358"/>
      <c r="F927" s="358"/>
      <c r="G927" s="278"/>
      <c r="H927" s="358"/>
      <c r="I927" s="278"/>
    </row>
    <row r="928" spans="1:9" x14ac:dyDescent="0.3">
      <c r="A928" s="356"/>
      <c r="B928" s="278"/>
      <c r="C928" s="357"/>
      <c r="D928" s="358"/>
      <c r="E928" s="358"/>
      <c r="F928" s="358"/>
      <c r="G928" s="278"/>
      <c r="H928" s="358"/>
      <c r="I928" s="278"/>
    </row>
    <row r="929" spans="1:9" x14ac:dyDescent="0.3">
      <c r="A929" s="356"/>
      <c r="B929" s="278"/>
      <c r="C929" s="357"/>
      <c r="D929" s="358"/>
      <c r="E929" s="358"/>
      <c r="F929" s="358"/>
      <c r="G929" s="278"/>
      <c r="H929" s="358"/>
      <c r="I929" s="278"/>
    </row>
    <row r="930" spans="1:9" x14ac:dyDescent="0.3">
      <c r="A930" s="356"/>
      <c r="B930" s="278"/>
      <c r="C930" s="357"/>
      <c r="D930" s="358"/>
      <c r="E930" s="358"/>
      <c r="F930" s="358"/>
      <c r="G930" s="278"/>
      <c r="H930" s="358"/>
      <c r="I930" s="278"/>
    </row>
    <row r="931" spans="1:9" x14ac:dyDescent="0.3">
      <c r="A931" s="356"/>
      <c r="B931" s="278"/>
      <c r="C931" s="357"/>
      <c r="D931" s="358"/>
      <c r="E931" s="358"/>
      <c r="F931" s="358"/>
      <c r="G931" s="278"/>
      <c r="H931" s="358"/>
      <c r="I931" s="278"/>
    </row>
    <row r="932" spans="1:9" x14ac:dyDescent="0.3">
      <c r="A932" s="356"/>
      <c r="B932" s="278"/>
      <c r="C932" s="357"/>
      <c r="D932" s="358"/>
      <c r="E932" s="358"/>
      <c r="F932" s="358"/>
      <c r="G932" s="278"/>
      <c r="H932" s="358"/>
      <c r="I932" s="278"/>
    </row>
    <row r="933" spans="1:9" x14ac:dyDescent="0.3">
      <c r="A933" s="356"/>
      <c r="B933" s="278"/>
      <c r="C933" s="357"/>
      <c r="D933" s="358"/>
      <c r="E933" s="358"/>
      <c r="F933" s="358"/>
      <c r="G933" s="278"/>
      <c r="H933" s="358"/>
      <c r="I933" s="278"/>
    </row>
    <row r="934" spans="1:9" x14ac:dyDescent="0.3">
      <c r="A934" s="356"/>
      <c r="B934" s="278"/>
      <c r="C934" s="357"/>
      <c r="D934" s="358"/>
      <c r="E934" s="358"/>
      <c r="F934" s="358"/>
      <c r="G934" s="278"/>
      <c r="H934" s="358"/>
      <c r="I934" s="278"/>
    </row>
    <row r="935" spans="1:9" x14ac:dyDescent="0.3">
      <c r="A935" s="356"/>
      <c r="B935" s="278"/>
      <c r="C935" s="357"/>
      <c r="D935" s="358"/>
      <c r="E935" s="358"/>
      <c r="F935" s="358"/>
      <c r="G935" s="278"/>
      <c r="H935" s="358"/>
      <c r="I935" s="278"/>
    </row>
    <row r="936" spans="1:9" x14ac:dyDescent="0.3">
      <c r="A936" s="356"/>
      <c r="B936" s="278"/>
      <c r="C936" s="357"/>
      <c r="D936" s="358"/>
      <c r="E936" s="358"/>
      <c r="F936" s="358"/>
      <c r="G936" s="278"/>
      <c r="H936" s="358"/>
      <c r="I936" s="278"/>
    </row>
    <row r="937" spans="1:9" x14ac:dyDescent="0.3">
      <c r="A937" s="356"/>
      <c r="B937" s="278"/>
      <c r="C937" s="357"/>
      <c r="D937" s="358"/>
      <c r="E937" s="358"/>
      <c r="F937" s="358"/>
      <c r="G937" s="278"/>
      <c r="H937" s="358"/>
      <c r="I937" s="278"/>
    </row>
    <row r="938" spans="1:9" x14ac:dyDescent="0.3">
      <c r="A938" s="356"/>
      <c r="B938" s="278"/>
      <c r="C938" s="357"/>
      <c r="D938" s="358"/>
      <c r="E938" s="358"/>
      <c r="F938" s="358"/>
      <c r="G938" s="278"/>
      <c r="H938" s="358"/>
      <c r="I938" s="278"/>
    </row>
    <row r="939" spans="1:9" x14ac:dyDescent="0.3">
      <c r="A939" s="356"/>
      <c r="B939" s="278"/>
      <c r="C939" s="357"/>
      <c r="D939" s="358"/>
      <c r="E939" s="358"/>
      <c r="F939" s="358"/>
      <c r="G939" s="278"/>
      <c r="H939" s="358"/>
      <c r="I939" s="278"/>
    </row>
    <row r="940" spans="1:9" x14ac:dyDescent="0.3">
      <c r="A940" s="356"/>
      <c r="B940" s="278"/>
      <c r="C940" s="357"/>
      <c r="D940" s="358"/>
      <c r="E940" s="358"/>
      <c r="F940" s="358"/>
      <c r="G940" s="278"/>
      <c r="H940" s="358"/>
      <c r="I940" s="278"/>
    </row>
    <row r="941" spans="1:9" x14ac:dyDescent="0.3">
      <c r="A941" s="356"/>
      <c r="B941" s="278"/>
      <c r="C941" s="357"/>
      <c r="D941" s="358"/>
      <c r="E941" s="358"/>
      <c r="F941" s="358"/>
      <c r="G941" s="278"/>
      <c r="H941" s="358"/>
      <c r="I941" s="278"/>
    </row>
    <row r="942" spans="1:9" x14ac:dyDescent="0.3">
      <c r="A942" s="356"/>
      <c r="B942" s="278"/>
      <c r="C942" s="357"/>
      <c r="D942" s="358"/>
      <c r="E942" s="358"/>
      <c r="F942" s="358"/>
      <c r="G942" s="278"/>
      <c r="H942" s="358"/>
      <c r="I942" s="278"/>
    </row>
    <row r="943" spans="1:9" x14ac:dyDescent="0.3">
      <c r="A943" s="356"/>
      <c r="B943" s="278"/>
      <c r="C943" s="357"/>
      <c r="D943" s="358"/>
      <c r="E943" s="358"/>
      <c r="F943" s="358"/>
      <c r="G943" s="278"/>
      <c r="H943" s="358"/>
      <c r="I943" s="278"/>
    </row>
    <row r="944" spans="1:9" x14ac:dyDescent="0.3">
      <c r="A944" s="356"/>
      <c r="B944" s="278"/>
      <c r="C944" s="357"/>
      <c r="D944" s="358"/>
      <c r="E944" s="358"/>
      <c r="F944" s="358"/>
      <c r="G944" s="278"/>
      <c r="H944" s="358"/>
      <c r="I944" s="278"/>
    </row>
    <row r="945" spans="1:9" x14ac:dyDescent="0.3">
      <c r="A945" s="356"/>
      <c r="B945" s="278"/>
      <c r="C945" s="357"/>
      <c r="D945" s="358"/>
      <c r="E945" s="358"/>
      <c r="F945" s="358"/>
      <c r="G945" s="278"/>
      <c r="H945" s="358"/>
      <c r="I945" s="278"/>
    </row>
    <row r="946" spans="1:9" x14ac:dyDescent="0.3">
      <c r="A946" s="356"/>
      <c r="B946" s="278"/>
      <c r="C946" s="357"/>
      <c r="D946" s="358"/>
      <c r="E946" s="358"/>
      <c r="F946" s="358"/>
      <c r="G946" s="278"/>
      <c r="H946" s="358"/>
      <c r="I946" s="278"/>
    </row>
    <row r="947" spans="1:9" x14ac:dyDescent="0.3">
      <c r="A947" s="356"/>
      <c r="B947" s="278"/>
      <c r="C947" s="357"/>
      <c r="D947" s="358"/>
      <c r="E947" s="358"/>
      <c r="F947" s="358"/>
      <c r="G947" s="278"/>
      <c r="H947" s="358"/>
      <c r="I947" s="278"/>
    </row>
    <row r="948" spans="1:9" x14ac:dyDescent="0.3">
      <c r="A948" s="356"/>
      <c r="B948" s="278"/>
      <c r="C948" s="357"/>
      <c r="D948" s="358"/>
      <c r="E948" s="358"/>
      <c r="F948" s="358"/>
      <c r="G948" s="278"/>
      <c r="H948" s="358"/>
      <c r="I948" s="278"/>
    </row>
    <row r="949" spans="1:9" x14ac:dyDescent="0.3">
      <c r="A949" s="356"/>
      <c r="B949" s="278"/>
      <c r="C949" s="357"/>
      <c r="D949" s="358"/>
      <c r="E949" s="358"/>
      <c r="F949" s="358"/>
      <c r="G949" s="278"/>
      <c r="H949" s="358"/>
      <c r="I949" s="278"/>
    </row>
    <row r="950" spans="1:9" x14ac:dyDescent="0.3">
      <c r="A950" s="356"/>
      <c r="B950" s="278"/>
      <c r="C950" s="357"/>
      <c r="D950" s="358"/>
      <c r="E950" s="358"/>
      <c r="F950" s="358"/>
      <c r="G950" s="278"/>
      <c r="H950" s="358"/>
      <c r="I950" s="278"/>
    </row>
    <row r="951" spans="1:9" x14ac:dyDescent="0.3">
      <c r="A951" s="356"/>
      <c r="B951" s="278"/>
      <c r="C951" s="357"/>
      <c r="D951" s="358"/>
      <c r="E951" s="358"/>
      <c r="F951" s="358"/>
      <c r="G951" s="278"/>
      <c r="H951" s="358"/>
      <c r="I951" s="278"/>
    </row>
    <row r="952" spans="1:9" x14ac:dyDescent="0.3">
      <c r="A952" s="356"/>
      <c r="B952" s="278"/>
      <c r="C952" s="357"/>
      <c r="D952" s="358"/>
      <c r="E952" s="358"/>
      <c r="F952" s="358"/>
      <c r="G952" s="278"/>
      <c r="H952" s="358"/>
      <c r="I952" s="278"/>
    </row>
    <row r="953" spans="1:9" x14ac:dyDescent="0.3">
      <c r="A953" s="356"/>
      <c r="B953" s="278"/>
      <c r="C953" s="357"/>
      <c r="D953" s="358"/>
      <c r="E953" s="358"/>
      <c r="F953" s="358"/>
      <c r="G953" s="278"/>
      <c r="H953" s="358"/>
      <c r="I953" s="278"/>
    </row>
    <row r="954" spans="1:9" x14ac:dyDescent="0.3">
      <c r="A954" s="356"/>
      <c r="B954" s="278"/>
      <c r="C954" s="357"/>
      <c r="D954" s="358"/>
      <c r="E954" s="358"/>
      <c r="F954" s="358"/>
      <c r="G954" s="278"/>
      <c r="H954" s="358"/>
      <c r="I954" s="278"/>
    </row>
    <row r="955" spans="1:9" x14ac:dyDescent="0.3">
      <c r="A955" s="356"/>
      <c r="B955" s="278"/>
      <c r="C955" s="357"/>
      <c r="D955" s="358"/>
      <c r="E955" s="358"/>
      <c r="F955" s="358"/>
      <c r="G955" s="278"/>
      <c r="H955" s="358"/>
      <c r="I955" s="278"/>
    </row>
    <row r="956" spans="1:9" x14ac:dyDescent="0.3">
      <c r="A956" s="356"/>
      <c r="B956" s="278"/>
      <c r="C956" s="357"/>
      <c r="D956" s="358"/>
      <c r="E956" s="358"/>
      <c r="F956" s="358"/>
      <c r="G956" s="278"/>
      <c r="H956" s="358"/>
      <c r="I956" s="278"/>
    </row>
    <row r="957" spans="1:9" x14ac:dyDescent="0.3">
      <c r="A957" s="356"/>
      <c r="B957" s="278"/>
      <c r="C957" s="357"/>
      <c r="D957" s="358"/>
      <c r="E957" s="358"/>
      <c r="F957" s="358"/>
      <c r="G957" s="278"/>
      <c r="H957" s="358"/>
      <c r="I957" s="278"/>
    </row>
    <row r="958" spans="1:9" x14ac:dyDescent="0.3">
      <c r="A958" s="356"/>
      <c r="B958" s="278"/>
      <c r="C958" s="357"/>
      <c r="D958" s="358"/>
      <c r="E958" s="358"/>
      <c r="F958" s="358"/>
      <c r="G958" s="278"/>
      <c r="H958" s="358"/>
      <c r="I958" s="278"/>
    </row>
    <row r="959" spans="1:9" x14ac:dyDescent="0.3">
      <c r="A959" s="356"/>
      <c r="B959" s="278"/>
      <c r="C959" s="357"/>
      <c r="D959" s="358"/>
      <c r="E959" s="358"/>
      <c r="F959" s="358"/>
      <c r="G959" s="278"/>
      <c r="H959" s="358"/>
      <c r="I959" s="278"/>
    </row>
    <row r="960" spans="1:9" x14ac:dyDescent="0.3">
      <c r="A960" s="356"/>
      <c r="B960" s="278"/>
      <c r="C960" s="357"/>
      <c r="D960" s="358"/>
      <c r="E960" s="358"/>
      <c r="F960" s="358"/>
      <c r="G960" s="278"/>
      <c r="H960" s="358"/>
      <c r="I960" s="278"/>
    </row>
    <row r="961" spans="1:9" x14ac:dyDescent="0.3">
      <c r="A961" s="356"/>
      <c r="B961" s="278"/>
      <c r="C961" s="357"/>
      <c r="D961" s="358"/>
      <c r="E961" s="358"/>
      <c r="F961" s="358"/>
      <c r="G961" s="278"/>
      <c r="H961" s="358"/>
      <c r="I961" s="278"/>
    </row>
    <row r="962" spans="1:9" x14ac:dyDescent="0.3">
      <c r="A962" s="356"/>
      <c r="B962" s="278"/>
      <c r="C962" s="357"/>
      <c r="D962" s="358"/>
      <c r="E962" s="358"/>
      <c r="F962" s="358"/>
      <c r="G962" s="278"/>
      <c r="H962" s="358"/>
      <c r="I962" s="278"/>
    </row>
    <row r="963" spans="1:9" x14ac:dyDescent="0.3">
      <c r="A963" s="356"/>
      <c r="B963" s="278"/>
      <c r="C963" s="357"/>
      <c r="D963" s="358"/>
      <c r="E963" s="358"/>
      <c r="F963" s="358"/>
      <c r="G963" s="278"/>
      <c r="H963" s="358"/>
      <c r="I963" s="278"/>
    </row>
    <row r="964" spans="1:9" x14ac:dyDescent="0.3">
      <c r="A964" s="356"/>
      <c r="B964" s="278"/>
      <c r="C964" s="357"/>
      <c r="D964" s="358"/>
      <c r="E964" s="358"/>
      <c r="F964" s="358"/>
      <c r="G964" s="278"/>
      <c r="H964" s="358"/>
      <c r="I964" s="278"/>
    </row>
    <row r="965" spans="1:9" x14ac:dyDescent="0.3">
      <c r="A965" s="356"/>
      <c r="B965" s="278"/>
      <c r="C965" s="357"/>
      <c r="D965" s="358"/>
      <c r="E965" s="358"/>
      <c r="F965" s="358"/>
      <c r="G965" s="278"/>
      <c r="H965" s="358"/>
      <c r="I965" s="278"/>
    </row>
    <row r="966" spans="1:9" x14ac:dyDescent="0.3">
      <c r="A966" s="356"/>
      <c r="B966" s="278"/>
      <c r="C966" s="357"/>
      <c r="D966" s="358"/>
      <c r="E966" s="358"/>
      <c r="F966" s="358"/>
      <c r="G966" s="278"/>
      <c r="H966" s="358"/>
      <c r="I966" s="278"/>
    </row>
    <row r="967" spans="1:9" x14ac:dyDescent="0.3">
      <c r="A967" s="356"/>
      <c r="B967" s="278"/>
      <c r="C967" s="357"/>
      <c r="D967" s="358"/>
      <c r="E967" s="358"/>
      <c r="F967" s="358"/>
      <c r="G967" s="278"/>
      <c r="H967" s="358"/>
      <c r="I967" s="278"/>
    </row>
    <row r="968" spans="1:9" x14ac:dyDescent="0.3">
      <c r="A968" s="356"/>
      <c r="B968" s="278"/>
      <c r="C968" s="357"/>
      <c r="D968" s="358"/>
      <c r="E968" s="358"/>
      <c r="F968" s="358"/>
      <c r="G968" s="278"/>
      <c r="H968" s="358"/>
      <c r="I968" s="278"/>
    </row>
    <row r="969" spans="1:9" x14ac:dyDescent="0.3">
      <c r="A969" s="356"/>
      <c r="B969" s="278"/>
      <c r="C969" s="357"/>
      <c r="D969" s="358"/>
      <c r="E969" s="358"/>
      <c r="F969" s="358"/>
      <c r="G969" s="278"/>
      <c r="H969" s="358"/>
      <c r="I969" s="278"/>
    </row>
    <row r="970" spans="1:9" x14ac:dyDescent="0.3">
      <c r="A970" s="356"/>
      <c r="B970" s="278"/>
      <c r="C970" s="357"/>
      <c r="D970" s="358"/>
      <c r="E970" s="358"/>
      <c r="F970" s="358"/>
      <c r="G970" s="278"/>
      <c r="H970" s="358"/>
      <c r="I970" s="278"/>
    </row>
    <row r="971" spans="1:9" x14ac:dyDescent="0.3">
      <c r="A971" s="356"/>
      <c r="B971" s="278"/>
      <c r="C971" s="357"/>
      <c r="D971" s="358"/>
      <c r="E971" s="358"/>
      <c r="F971" s="358"/>
      <c r="G971" s="278"/>
      <c r="H971" s="358"/>
      <c r="I971" s="278"/>
    </row>
    <row r="972" spans="1:9" x14ac:dyDescent="0.3">
      <c r="A972" s="356"/>
      <c r="B972" s="278"/>
      <c r="C972" s="357"/>
      <c r="D972" s="358"/>
      <c r="E972" s="358"/>
      <c r="F972" s="358"/>
      <c r="G972" s="278"/>
      <c r="H972" s="358"/>
      <c r="I972" s="278"/>
    </row>
    <row r="973" spans="1:9" x14ac:dyDescent="0.3">
      <c r="A973" s="356"/>
      <c r="B973" s="278"/>
      <c r="C973" s="357"/>
      <c r="D973" s="358"/>
      <c r="E973" s="358"/>
      <c r="F973" s="358"/>
      <c r="G973" s="278"/>
      <c r="H973" s="358"/>
      <c r="I973" s="278"/>
    </row>
    <row r="974" spans="1:9" x14ac:dyDescent="0.3">
      <c r="A974" s="356"/>
      <c r="B974" s="278"/>
      <c r="C974" s="357"/>
      <c r="D974" s="358"/>
      <c r="E974" s="358"/>
      <c r="F974" s="358"/>
      <c r="G974" s="278"/>
      <c r="H974" s="358"/>
      <c r="I974" s="278"/>
    </row>
    <row r="975" spans="1:9" x14ac:dyDescent="0.3">
      <c r="A975" s="356"/>
      <c r="B975" s="278"/>
      <c r="C975" s="357"/>
      <c r="D975" s="358"/>
      <c r="E975" s="358"/>
      <c r="F975" s="358"/>
      <c r="G975" s="278"/>
      <c r="H975" s="358"/>
      <c r="I975" s="278"/>
    </row>
    <row r="976" spans="1:9" x14ac:dyDescent="0.3">
      <c r="A976" s="356"/>
      <c r="B976" s="278"/>
      <c r="C976" s="357"/>
      <c r="D976" s="358"/>
      <c r="E976" s="358"/>
      <c r="F976" s="358"/>
      <c r="G976" s="278"/>
      <c r="H976" s="358"/>
      <c r="I976" s="278"/>
    </row>
    <row r="977" spans="1:9" x14ac:dyDescent="0.3">
      <c r="A977" s="356"/>
      <c r="B977" s="278"/>
      <c r="C977" s="357"/>
      <c r="D977" s="358"/>
      <c r="E977" s="358"/>
      <c r="F977" s="358"/>
      <c r="G977" s="278"/>
      <c r="H977" s="358"/>
      <c r="I977" s="278"/>
    </row>
    <row r="978" spans="1:9" x14ac:dyDescent="0.3">
      <c r="A978" s="356"/>
      <c r="B978" s="278"/>
      <c r="C978" s="357"/>
      <c r="D978" s="358"/>
      <c r="E978" s="358"/>
      <c r="F978" s="358"/>
      <c r="G978" s="278"/>
      <c r="H978" s="358"/>
      <c r="I978" s="278"/>
    </row>
    <row r="979" spans="1:9" x14ac:dyDescent="0.3">
      <c r="A979" s="356"/>
      <c r="B979" s="278"/>
      <c r="C979" s="357"/>
      <c r="D979" s="358"/>
      <c r="E979" s="358"/>
      <c r="F979" s="358"/>
      <c r="G979" s="278"/>
      <c r="H979" s="358"/>
      <c r="I979" s="278"/>
    </row>
    <row r="980" spans="1:9" x14ac:dyDescent="0.3">
      <c r="A980" s="356"/>
      <c r="B980" s="278"/>
      <c r="C980" s="357"/>
      <c r="D980" s="358"/>
      <c r="E980" s="358"/>
      <c r="F980" s="358"/>
      <c r="G980" s="278"/>
      <c r="H980" s="358"/>
      <c r="I980" s="278"/>
    </row>
    <row r="981" spans="1:9" x14ac:dyDescent="0.3">
      <c r="A981" s="356"/>
      <c r="B981" s="278"/>
      <c r="C981" s="357"/>
      <c r="D981" s="358"/>
      <c r="E981" s="358"/>
      <c r="F981" s="358"/>
      <c r="G981" s="278"/>
      <c r="H981" s="358"/>
      <c r="I981" s="278"/>
    </row>
    <row r="982" spans="1:9" x14ac:dyDescent="0.3">
      <c r="A982" s="356"/>
      <c r="B982" s="278"/>
      <c r="C982" s="357"/>
      <c r="D982" s="358"/>
      <c r="E982" s="358"/>
      <c r="F982" s="358"/>
      <c r="G982" s="278"/>
      <c r="H982" s="358"/>
      <c r="I982" s="278"/>
    </row>
    <row r="983" spans="1:9" x14ac:dyDescent="0.3">
      <c r="A983" s="356"/>
      <c r="B983" s="278"/>
      <c r="C983" s="357"/>
      <c r="D983" s="358"/>
      <c r="E983" s="358"/>
      <c r="F983" s="358"/>
      <c r="G983" s="278"/>
      <c r="H983" s="358"/>
      <c r="I983" s="278"/>
    </row>
    <row r="984" spans="1:9" x14ac:dyDescent="0.3">
      <c r="A984" s="356"/>
      <c r="B984" s="278"/>
      <c r="C984" s="357"/>
      <c r="D984" s="358"/>
      <c r="E984" s="358"/>
      <c r="F984" s="358"/>
      <c r="G984" s="278"/>
      <c r="H984" s="358"/>
      <c r="I984" s="278"/>
    </row>
    <row r="985" spans="1:9" x14ac:dyDescent="0.3">
      <c r="A985" s="356"/>
      <c r="B985" s="278"/>
      <c r="C985" s="357"/>
      <c r="D985" s="358"/>
      <c r="E985" s="358"/>
      <c r="F985" s="358"/>
      <c r="G985" s="278"/>
      <c r="H985" s="358"/>
      <c r="I985" s="278"/>
    </row>
    <row r="986" spans="1:9" x14ac:dyDescent="0.3">
      <c r="A986" s="356"/>
      <c r="B986" s="278"/>
      <c r="C986" s="357"/>
      <c r="D986" s="358"/>
      <c r="E986" s="358"/>
      <c r="F986" s="358"/>
      <c r="G986" s="278"/>
      <c r="H986" s="358"/>
      <c r="I986" s="278"/>
    </row>
    <row r="987" spans="1:9" x14ac:dyDescent="0.3">
      <c r="A987" s="356"/>
      <c r="B987" s="278"/>
      <c r="C987" s="357"/>
      <c r="D987" s="358"/>
      <c r="E987" s="358"/>
      <c r="F987" s="358"/>
      <c r="G987" s="278"/>
      <c r="H987" s="358"/>
      <c r="I987" s="278"/>
    </row>
    <row r="988" spans="1:9" x14ac:dyDescent="0.3">
      <c r="A988" s="356"/>
      <c r="B988" s="278"/>
      <c r="C988" s="357"/>
      <c r="D988" s="358"/>
      <c r="E988" s="358"/>
      <c r="F988" s="358"/>
      <c r="G988" s="278"/>
      <c r="H988" s="358"/>
      <c r="I988" s="278"/>
    </row>
    <row r="989" spans="1:9" x14ac:dyDescent="0.3">
      <c r="A989" s="356"/>
      <c r="B989" s="278"/>
      <c r="C989" s="357"/>
      <c r="D989" s="358"/>
      <c r="E989" s="358"/>
      <c r="F989" s="358"/>
      <c r="G989" s="278"/>
      <c r="H989" s="358"/>
      <c r="I989" s="278"/>
    </row>
    <row r="990" spans="1:9" x14ac:dyDescent="0.3">
      <c r="A990" s="356"/>
      <c r="B990" s="278"/>
      <c r="C990" s="357"/>
      <c r="D990" s="358"/>
      <c r="E990" s="358"/>
      <c r="F990" s="358"/>
      <c r="G990" s="278"/>
      <c r="H990" s="358"/>
      <c r="I990" s="278"/>
    </row>
    <row r="991" spans="1:9" x14ac:dyDescent="0.3">
      <c r="A991" s="356"/>
      <c r="B991" s="278"/>
      <c r="C991" s="357"/>
      <c r="D991" s="358"/>
      <c r="E991" s="358"/>
      <c r="F991" s="358"/>
      <c r="G991" s="278"/>
      <c r="H991" s="358"/>
      <c r="I991" s="278"/>
    </row>
    <row r="992" spans="1:9" x14ac:dyDescent="0.3">
      <c r="A992" s="356"/>
      <c r="B992" s="278"/>
      <c r="C992" s="357"/>
      <c r="D992" s="358"/>
      <c r="E992" s="358"/>
      <c r="F992" s="358"/>
      <c r="G992" s="278"/>
      <c r="H992" s="358"/>
      <c r="I992" s="278"/>
    </row>
    <row r="993" spans="1:9" x14ac:dyDescent="0.3">
      <c r="A993" s="356"/>
      <c r="B993" s="278"/>
      <c r="C993" s="357"/>
      <c r="D993" s="358"/>
      <c r="E993" s="358"/>
      <c r="F993" s="358"/>
      <c r="G993" s="278"/>
      <c r="H993" s="358"/>
      <c r="I993" s="278"/>
    </row>
    <row r="994" spans="1:9" x14ac:dyDescent="0.3">
      <c r="A994" s="356"/>
      <c r="B994" s="278"/>
      <c r="C994" s="357"/>
      <c r="D994" s="358"/>
      <c r="E994" s="358"/>
      <c r="F994" s="358"/>
      <c r="G994" s="278"/>
      <c r="H994" s="358"/>
      <c r="I994" s="278"/>
    </row>
    <row r="995" spans="1:9" x14ac:dyDescent="0.3">
      <c r="A995" s="356"/>
      <c r="B995" s="278"/>
      <c r="C995" s="357"/>
      <c r="D995" s="358"/>
      <c r="E995" s="358"/>
      <c r="F995" s="358"/>
      <c r="G995" s="278"/>
      <c r="H995" s="358"/>
      <c r="I995" s="278"/>
    </row>
    <row r="996" spans="1:9" x14ac:dyDescent="0.3">
      <c r="A996" s="356"/>
      <c r="B996" s="278"/>
      <c r="C996" s="357"/>
      <c r="D996" s="358"/>
      <c r="E996" s="358"/>
      <c r="F996" s="358"/>
      <c r="G996" s="278"/>
      <c r="H996" s="358"/>
      <c r="I996" s="278"/>
    </row>
    <row r="997" spans="1:9" x14ac:dyDescent="0.3">
      <c r="A997" s="356"/>
      <c r="B997" s="278"/>
      <c r="C997" s="357"/>
      <c r="D997" s="358"/>
      <c r="E997" s="358"/>
      <c r="F997" s="358"/>
      <c r="G997" s="278"/>
      <c r="H997" s="358"/>
      <c r="I997" s="278"/>
    </row>
    <row r="998" spans="1:9" x14ac:dyDescent="0.3">
      <c r="A998" s="356"/>
      <c r="B998" s="278"/>
      <c r="C998" s="357"/>
      <c r="D998" s="358"/>
      <c r="E998" s="358"/>
      <c r="F998" s="358"/>
      <c r="G998" s="278"/>
      <c r="H998" s="358"/>
      <c r="I998" s="278"/>
    </row>
    <row r="999" spans="1:9" x14ac:dyDescent="0.3">
      <c r="A999" s="356"/>
      <c r="B999" s="278"/>
      <c r="C999" s="357"/>
      <c r="D999" s="358"/>
      <c r="E999" s="358"/>
      <c r="F999" s="358"/>
      <c r="G999" s="278"/>
      <c r="H999" s="358"/>
      <c r="I999" s="278"/>
    </row>
    <row r="1000" spans="1:9" x14ac:dyDescent="0.3">
      <c r="A1000" s="356"/>
      <c r="B1000" s="278"/>
      <c r="C1000" s="357"/>
      <c r="D1000" s="358"/>
      <c r="E1000" s="358"/>
      <c r="F1000" s="358"/>
      <c r="G1000" s="278"/>
      <c r="H1000" s="358"/>
      <c r="I1000" s="278"/>
    </row>
    <row r="1001" spans="1:9" x14ac:dyDescent="0.3">
      <c r="A1001" s="356"/>
      <c r="B1001" s="278"/>
      <c r="C1001" s="357"/>
      <c r="D1001" s="358"/>
      <c r="E1001" s="358"/>
      <c r="F1001" s="358"/>
      <c r="G1001" s="278"/>
      <c r="H1001" s="358"/>
      <c r="I1001" s="278"/>
    </row>
    <row r="1002" spans="1:9" x14ac:dyDescent="0.3">
      <c r="A1002" s="356"/>
      <c r="B1002" s="278"/>
      <c r="C1002" s="357"/>
      <c r="D1002" s="358"/>
      <c r="E1002" s="358"/>
      <c r="F1002" s="358"/>
      <c r="G1002" s="278"/>
      <c r="H1002" s="358"/>
      <c r="I1002" s="278"/>
    </row>
    <row r="1003" spans="1:9" x14ac:dyDescent="0.3">
      <c r="A1003" s="356"/>
      <c r="B1003" s="278"/>
      <c r="C1003" s="357"/>
      <c r="D1003" s="358"/>
      <c r="E1003" s="358"/>
      <c r="F1003" s="358"/>
      <c r="G1003" s="278"/>
      <c r="H1003" s="358"/>
      <c r="I1003" s="278"/>
    </row>
    <row r="1004" spans="1:9" x14ac:dyDescent="0.3">
      <c r="A1004" s="356"/>
      <c r="B1004" s="278"/>
      <c r="C1004" s="357"/>
      <c r="D1004" s="358"/>
      <c r="E1004" s="358"/>
      <c r="F1004" s="358"/>
      <c r="G1004" s="278"/>
      <c r="H1004" s="358"/>
      <c r="I1004" s="278"/>
    </row>
    <row r="1005" spans="1:9" x14ac:dyDescent="0.3">
      <c r="A1005" s="356"/>
      <c r="B1005" s="278"/>
      <c r="C1005" s="357"/>
      <c r="D1005" s="358"/>
      <c r="E1005" s="358"/>
      <c r="F1005" s="358"/>
      <c r="G1005" s="278"/>
      <c r="H1005" s="358"/>
      <c r="I1005" s="278"/>
    </row>
    <row r="1006" spans="1:9" x14ac:dyDescent="0.3">
      <c r="A1006" s="356"/>
      <c r="B1006" s="278"/>
      <c r="C1006" s="357"/>
      <c r="D1006" s="358"/>
      <c r="E1006" s="358"/>
      <c r="F1006" s="358"/>
      <c r="G1006" s="278"/>
      <c r="H1006" s="358"/>
      <c r="I1006" s="278"/>
    </row>
    <row r="1007" spans="1:9" x14ac:dyDescent="0.3">
      <c r="A1007" s="356"/>
      <c r="B1007" s="278"/>
      <c r="C1007" s="357"/>
      <c r="D1007" s="358"/>
      <c r="E1007" s="358"/>
      <c r="F1007" s="358"/>
      <c r="G1007" s="278"/>
      <c r="H1007" s="358"/>
      <c r="I1007" s="278"/>
    </row>
    <row r="1008" spans="1:9" x14ac:dyDescent="0.3">
      <c r="A1008" s="356"/>
      <c r="B1008" s="278"/>
      <c r="C1008" s="357"/>
      <c r="D1008" s="358"/>
      <c r="E1008" s="358"/>
      <c r="F1008" s="358"/>
      <c r="G1008" s="278"/>
      <c r="H1008" s="358"/>
      <c r="I1008" s="278"/>
    </row>
    <row r="1009" spans="1:9" x14ac:dyDescent="0.3">
      <c r="A1009" s="356"/>
      <c r="B1009" s="278"/>
      <c r="C1009" s="357"/>
      <c r="D1009" s="358"/>
      <c r="E1009" s="358"/>
      <c r="F1009" s="358"/>
      <c r="G1009" s="278"/>
      <c r="H1009" s="358"/>
      <c r="I1009" s="278"/>
    </row>
    <row r="1010" spans="1:9" x14ac:dyDescent="0.3">
      <c r="A1010" s="356"/>
      <c r="B1010" s="278"/>
      <c r="C1010" s="357"/>
      <c r="D1010" s="358"/>
      <c r="E1010" s="358"/>
      <c r="F1010" s="358"/>
      <c r="G1010" s="278"/>
      <c r="H1010" s="358"/>
      <c r="I1010" s="278"/>
    </row>
    <row r="1011" spans="1:9" x14ac:dyDescent="0.3">
      <c r="A1011" s="356"/>
      <c r="B1011" s="278"/>
      <c r="C1011" s="357"/>
      <c r="D1011" s="358"/>
      <c r="E1011" s="358"/>
      <c r="F1011" s="358"/>
      <c r="G1011" s="278"/>
      <c r="H1011" s="358"/>
      <c r="I1011" s="278"/>
    </row>
    <row r="1012" spans="1:9" x14ac:dyDescent="0.3">
      <c r="A1012" s="356"/>
      <c r="B1012" s="278"/>
      <c r="C1012" s="357"/>
      <c r="D1012" s="358"/>
      <c r="E1012" s="358"/>
      <c r="F1012" s="358"/>
      <c r="G1012" s="278"/>
      <c r="H1012" s="358"/>
      <c r="I1012" s="278"/>
    </row>
    <row r="1013" spans="1:9" x14ac:dyDescent="0.3">
      <c r="A1013" s="356"/>
      <c r="B1013" s="278"/>
      <c r="C1013" s="357"/>
      <c r="D1013" s="358"/>
      <c r="E1013" s="358"/>
      <c r="F1013" s="358"/>
      <c r="G1013" s="278"/>
      <c r="H1013" s="358"/>
      <c r="I1013" s="278"/>
    </row>
    <row r="1014" spans="1:9" x14ac:dyDescent="0.3">
      <c r="A1014" s="356"/>
      <c r="B1014" s="278"/>
      <c r="C1014" s="357"/>
      <c r="D1014" s="358"/>
      <c r="E1014" s="358"/>
      <c r="F1014" s="358"/>
      <c r="G1014" s="278"/>
      <c r="H1014" s="358"/>
      <c r="I1014" s="278"/>
    </row>
    <row r="1015" spans="1:9" x14ac:dyDescent="0.3">
      <c r="A1015" s="356"/>
      <c r="B1015" s="278"/>
      <c r="C1015" s="357"/>
      <c r="D1015" s="358"/>
      <c r="E1015" s="358"/>
      <c r="F1015" s="358"/>
      <c r="G1015" s="278"/>
      <c r="H1015" s="358"/>
      <c r="I1015" s="278"/>
    </row>
    <row r="1016" spans="1:9" x14ac:dyDescent="0.3">
      <c r="A1016" s="356"/>
      <c r="B1016" s="278"/>
      <c r="C1016" s="357"/>
      <c r="D1016" s="358"/>
      <c r="E1016" s="358"/>
      <c r="F1016" s="358"/>
      <c r="G1016" s="278"/>
      <c r="H1016" s="358"/>
      <c r="I1016" s="278"/>
    </row>
    <row r="1017" spans="1:9" x14ac:dyDescent="0.3">
      <c r="A1017" s="356"/>
      <c r="B1017" s="278"/>
      <c r="C1017" s="357"/>
      <c r="D1017" s="358"/>
      <c r="E1017" s="358"/>
      <c r="F1017" s="358"/>
      <c r="G1017" s="278"/>
      <c r="H1017" s="358"/>
      <c r="I1017" s="278"/>
    </row>
    <row r="1018" spans="1:9" x14ac:dyDescent="0.3">
      <c r="A1018" s="356"/>
      <c r="B1018" s="278"/>
      <c r="C1018" s="357"/>
      <c r="D1018" s="358"/>
      <c r="E1018" s="358"/>
      <c r="F1018" s="358"/>
      <c r="G1018" s="278"/>
      <c r="H1018" s="358"/>
      <c r="I1018" s="278"/>
    </row>
    <row r="1019" spans="1:9" x14ac:dyDescent="0.3">
      <c r="A1019" s="356"/>
      <c r="B1019" s="278"/>
      <c r="C1019" s="357"/>
      <c r="D1019" s="358"/>
      <c r="E1019" s="358"/>
      <c r="F1019" s="358"/>
      <c r="G1019" s="278"/>
      <c r="H1019" s="358"/>
      <c r="I1019" s="278"/>
    </row>
    <row r="1020" spans="1:9" x14ac:dyDescent="0.3">
      <c r="A1020" s="356"/>
      <c r="B1020" s="278"/>
      <c r="C1020" s="357"/>
      <c r="D1020" s="358"/>
      <c r="E1020" s="358"/>
      <c r="F1020" s="358"/>
      <c r="G1020" s="278"/>
      <c r="H1020" s="358"/>
      <c r="I1020" s="278"/>
    </row>
    <row r="1021" spans="1:9" x14ac:dyDescent="0.3">
      <c r="A1021" s="356"/>
      <c r="B1021" s="278"/>
      <c r="C1021" s="357"/>
      <c r="D1021" s="358"/>
      <c r="E1021" s="358"/>
      <c r="F1021" s="358"/>
      <c r="G1021" s="278"/>
      <c r="H1021" s="358"/>
      <c r="I1021" s="278"/>
    </row>
    <row r="1022" spans="1:9" x14ac:dyDescent="0.3">
      <c r="A1022" s="356"/>
      <c r="B1022" s="278"/>
      <c r="C1022" s="357"/>
      <c r="D1022" s="358"/>
      <c r="E1022" s="358"/>
      <c r="F1022" s="358"/>
      <c r="G1022" s="278"/>
      <c r="H1022" s="358"/>
      <c r="I1022" s="278"/>
    </row>
    <row r="1023" spans="1:9" x14ac:dyDescent="0.3">
      <c r="A1023" s="356"/>
      <c r="B1023" s="278"/>
      <c r="C1023" s="357"/>
      <c r="D1023" s="358"/>
      <c r="E1023" s="358"/>
      <c r="F1023" s="358"/>
      <c r="G1023" s="278"/>
      <c r="H1023" s="358"/>
      <c r="I1023" s="278"/>
    </row>
    <row r="1024" spans="1:9" x14ac:dyDescent="0.3">
      <c r="A1024" s="356"/>
      <c r="B1024" s="278"/>
      <c r="C1024" s="357"/>
      <c r="D1024" s="358"/>
      <c r="E1024" s="358"/>
      <c r="F1024" s="358"/>
      <c r="G1024" s="278"/>
      <c r="H1024" s="358"/>
      <c r="I1024" s="278"/>
    </row>
    <row r="1025" spans="1:9" x14ac:dyDescent="0.3">
      <c r="A1025" s="356"/>
      <c r="B1025" s="278"/>
      <c r="C1025" s="357"/>
      <c r="D1025" s="358"/>
      <c r="E1025" s="358"/>
      <c r="F1025" s="358"/>
      <c r="G1025" s="278"/>
      <c r="H1025" s="358"/>
      <c r="I1025" s="278"/>
    </row>
    <row r="1026" spans="1:9" x14ac:dyDescent="0.3">
      <c r="A1026" s="356"/>
      <c r="B1026" s="278"/>
      <c r="C1026" s="357"/>
      <c r="D1026" s="358"/>
      <c r="E1026" s="358"/>
      <c r="F1026" s="358"/>
      <c r="G1026" s="278"/>
      <c r="H1026" s="358"/>
      <c r="I1026" s="278"/>
    </row>
    <row r="1027" spans="1:9" x14ac:dyDescent="0.3">
      <c r="A1027" s="356"/>
      <c r="B1027" s="278"/>
      <c r="C1027" s="357"/>
      <c r="D1027" s="358"/>
      <c r="E1027" s="358"/>
      <c r="F1027" s="358"/>
      <c r="G1027" s="278"/>
      <c r="H1027" s="358"/>
      <c r="I1027" s="278"/>
    </row>
    <row r="1028" spans="1:9" x14ac:dyDescent="0.3">
      <c r="A1028" s="356"/>
      <c r="B1028" s="278"/>
      <c r="C1028" s="357"/>
      <c r="D1028" s="358"/>
      <c r="E1028" s="358"/>
      <c r="F1028" s="358"/>
      <c r="G1028" s="278"/>
      <c r="H1028" s="358"/>
      <c r="I1028" s="278"/>
    </row>
    <row r="1029" spans="1:9" x14ac:dyDescent="0.3">
      <c r="A1029" s="356"/>
      <c r="B1029" s="278"/>
      <c r="C1029" s="357"/>
      <c r="D1029" s="358"/>
      <c r="E1029" s="358"/>
      <c r="F1029" s="358"/>
      <c r="G1029" s="278"/>
      <c r="H1029" s="358"/>
      <c r="I1029" s="278"/>
    </row>
    <row r="1030" spans="1:9" x14ac:dyDescent="0.3">
      <c r="A1030" s="356"/>
      <c r="B1030" s="278"/>
      <c r="C1030" s="357"/>
      <c r="D1030" s="358"/>
      <c r="E1030" s="358"/>
      <c r="F1030" s="358"/>
      <c r="G1030" s="278"/>
      <c r="H1030" s="358"/>
      <c r="I1030" s="278"/>
    </row>
    <row r="1031" spans="1:9" x14ac:dyDescent="0.3">
      <c r="A1031" s="356"/>
      <c r="B1031" s="278"/>
      <c r="C1031" s="357"/>
      <c r="D1031" s="358"/>
      <c r="E1031" s="358"/>
      <c r="F1031" s="358"/>
      <c r="G1031" s="278"/>
      <c r="H1031" s="358"/>
      <c r="I1031" s="278"/>
    </row>
    <row r="1032" spans="1:9" x14ac:dyDescent="0.3">
      <c r="A1032" s="356"/>
      <c r="B1032" s="278"/>
      <c r="C1032" s="357"/>
      <c r="D1032" s="358"/>
      <c r="E1032" s="358"/>
      <c r="F1032" s="358"/>
      <c r="G1032" s="278"/>
      <c r="H1032" s="358"/>
      <c r="I1032" s="278"/>
    </row>
    <row r="1033" spans="1:9" x14ac:dyDescent="0.3">
      <c r="A1033" s="356"/>
      <c r="B1033" s="278"/>
      <c r="C1033" s="357"/>
      <c r="D1033" s="358"/>
      <c r="E1033" s="358"/>
      <c r="F1033" s="358"/>
      <c r="G1033" s="278"/>
      <c r="H1033" s="358"/>
      <c r="I1033" s="278"/>
    </row>
    <row r="1034" spans="1:9" x14ac:dyDescent="0.3">
      <c r="A1034" s="356"/>
      <c r="B1034" s="278"/>
      <c r="C1034" s="357"/>
      <c r="D1034" s="358"/>
      <c r="E1034" s="358"/>
      <c r="F1034" s="358"/>
      <c r="G1034" s="278"/>
      <c r="H1034" s="358"/>
      <c r="I1034" s="278"/>
    </row>
    <row r="1035" spans="1:9" x14ac:dyDescent="0.3">
      <c r="A1035" s="356"/>
      <c r="B1035" s="278"/>
      <c r="C1035" s="357"/>
      <c r="D1035" s="358"/>
      <c r="E1035" s="358"/>
      <c r="F1035" s="358"/>
      <c r="G1035" s="278"/>
      <c r="H1035" s="358"/>
      <c r="I1035" s="278"/>
    </row>
    <row r="1036" spans="1:9" x14ac:dyDescent="0.3">
      <c r="A1036" s="356"/>
      <c r="B1036" s="278"/>
      <c r="C1036" s="357"/>
      <c r="D1036" s="358"/>
      <c r="E1036" s="358"/>
      <c r="F1036" s="358"/>
      <c r="G1036" s="278"/>
      <c r="H1036" s="358"/>
      <c r="I1036" s="278"/>
    </row>
    <row r="1037" spans="1:9" x14ac:dyDescent="0.3">
      <c r="A1037" s="356"/>
      <c r="B1037" s="278"/>
      <c r="C1037" s="357"/>
      <c r="D1037" s="358"/>
      <c r="E1037" s="358"/>
      <c r="F1037" s="358"/>
      <c r="G1037" s="278"/>
      <c r="H1037" s="358"/>
      <c r="I1037" s="278"/>
    </row>
    <row r="1038" spans="1:9" x14ac:dyDescent="0.3">
      <c r="A1038" s="356"/>
      <c r="B1038" s="278"/>
      <c r="C1038" s="357"/>
      <c r="D1038" s="358"/>
      <c r="E1038" s="358"/>
      <c r="F1038" s="358"/>
      <c r="G1038" s="278"/>
      <c r="H1038" s="358"/>
      <c r="I1038" s="278"/>
    </row>
    <row r="1039" spans="1:9" x14ac:dyDescent="0.3">
      <c r="A1039" s="356"/>
      <c r="B1039" s="278"/>
      <c r="C1039" s="357"/>
      <c r="D1039" s="358"/>
      <c r="E1039" s="358"/>
      <c r="F1039" s="358"/>
      <c r="G1039" s="278"/>
      <c r="H1039" s="358"/>
      <c r="I1039" s="278"/>
    </row>
    <row r="1040" spans="1:9" x14ac:dyDescent="0.3">
      <c r="A1040" s="356"/>
      <c r="B1040" s="278"/>
      <c r="C1040" s="357"/>
      <c r="D1040" s="358"/>
      <c r="E1040" s="358"/>
      <c r="F1040" s="358"/>
      <c r="G1040" s="278"/>
      <c r="H1040" s="358"/>
      <c r="I1040" s="278"/>
    </row>
    <row r="1041" spans="1:9" x14ac:dyDescent="0.3">
      <c r="A1041" s="356"/>
      <c r="B1041" s="278"/>
      <c r="C1041" s="357"/>
      <c r="D1041" s="358"/>
      <c r="E1041" s="358"/>
      <c r="F1041" s="358"/>
      <c r="G1041" s="278"/>
      <c r="H1041" s="358"/>
      <c r="I1041" s="278"/>
    </row>
    <row r="1042" spans="1:9" x14ac:dyDescent="0.3">
      <c r="A1042" s="356"/>
      <c r="B1042" s="278"/>
      <c r="C1042" s="357"/>
      <c r="D1042" s="358"/>
      <c r="E1042" s="358"/>
      <c r="F1042" s="358"/>
      <c r="G1042" s="278"/>
      <c r="H1042" s="358"/>
      <c r="I1042" s="278"/>
    </row>
    <row r="1043" spans="1:9" x14ac:dyDescent="0.3">
      <c r="A1043" s="356"/>
      <c r="B1043" s="278"/>
      <c r="C1043" s="357"/>
      <c r="D1043" s="358"/>
      <c r="E1043" s="358"/>
      <c r="F1043" s="358"/>
      <c r="G1043" s="278"/>
      <c r="H1043" s="358"/>
      <c r="I1043" s="278"/>
    </row>
    <row r="1044" spans="1:9" x14ac:dyDescent="0.3">
      <c r="A1044" s="356"/>
      <c r="B1044" s="278"/>
      <c r="C1044" s="357"/>
      <c r="D1044" s="358"/>
      <c r="E1044" s="358"/>
      <c r="F1044" s="358"/>
      <c r="G1044" s="278"/>
      <c r="H1044" s="358"/>
      <c r="I1044" s="278"/>
    </row>
    <row r="1045" spans="1:9" x14ac:dyDescent="0.3">
      <c r="A1045" s="356"/>
      <c r="B1045" s="278"/>
      <c r="C1045" s="357"/>
      <c r="D1045" s="358"/>
      <c r="E1045" s="358"/>
      <c r="F1045" s="358"/>
      <c r="G1045" s="278"/>
      <c r="H1045" s="358"/>
      <c r="I1045" s="278"/>
    </row>
    <row r="1046" spans="1:9" x14ac:dyDescent="0.3">
      <c r="A1046" s="356"/>
      <c r="B1046" s="278"/>
      <c r="C1046" s="357"/>
      <c r="D1046" s="358"/>
      <c r="E1046" s="358"/>
      <c r="F1046" s="358"/>
      <c r="G1046" s="278"/>
      <c r="H1046" s="358"/>
      <c r="I1046" s="278"/>
    </row>
    <row r="1047" spans="1:9" x14ac:dyDescent="0.3">
      <c r="A1047" s="356"/>
      <c r="B1047" s="278"/>
      <c r="C1047" s="357"/>
      <c r="D1047" s="358"/>
      <c r="E1047" s="358"/>
      <c r="F1047" s="358"/>
      <c r="G1047" s="278"/>
      <c r="H1047" s="358"/>
      <c r="I1047" s="278"/>
    </row>
    <row r="1048" spans="1:9" x14ac:dyDescent="0.3">
      <c r="A1048" s="356"/>
      <c r="B1048" s="278"/>
      <c r="C1048" s="357"/>
      <c r="D1048" s="358"/>
      <c r="E1048" s="358"/>
      <c r="F1048" s="358"/>
      <c r="G1048" s="278"/>
      <c r="H1048" s="358"/>
      <c r="I1048" s="278"/>
    </row>
    <row r="1049" spans="1:9" x14ac:dyDescent="0.3">
      <c r="A1049" s="356"/>
      <c r="B1049" s="278"/>
      <c r="C1049" s="357"/>
      <c r="D1049" s="358"/>
      <c r="E1049" s="358"/>
      <c r="F1049" s="358"/>
      <c r="G1049" s="278"/>
      <c r="H1049" s="358"/>
      <c r="I1049" s="278"/>
    </row>
    <row r="1050" spans="1:9" x14ac:dyDescent="0.3">
      <c r="A1050" s="356"/>
      <c r="B1050" s="278"/>
      <c r="C1050" s="357"/>
      <c r="D1050" s="358"/>
      <c r="E1050" s="358"/>
      <c r="F1050" s="358"/>
      <c r="G1050" s="278"/>
      <c r="H1050" s="358"/>
      <c r="I1050" s="278"/>
    </row>
    <row r="1051" spans="1:9" x14ac:dyDescent="0.3">
      <c r="A1051" s="356"/>
      <c r="B1051" s="278"/>
      <c r="C1051" s="357"/>
      <c r="D1051" s="358"/>
      <c r="E1051" s="358"/>
      <c r="F1051" s="358"/>
      <c r="G1051" s="278"/>
      <c r="H1051" s="358"/>
      <c r="I1051" s="278"/>
    </row>
    <row r="1052" spans="1:9" x14ac:dyDescent="0.3">
      <c r="A1052" s="356"/>
      <c r="B1052" s="278"/>
      <c r="C1052" s="357"/>
      <c r="D1052" s="358"/>
      <c r="E1052" s="358"/>
      <c r="F1052" s="358"/>
      <c r="G1052" s="278"/>
      <c r="H1052" s="358"/>
      <c r="I1052" s="278"/>
    </row>
    <row r="1053" spans="1:9" x14ac:dyDescent="0.3">
      <c r="A1053" s="356"/>
      <c r="B1053" s="278"/>
      <c r="C1053" s="357"/>
      <c r="D1053" s="358"/>
      <c r="E1053" s="358"/>
      <c r="F1053" s="358"/>
      <c r="G1053" s="278"/>
      <c r="H1053" s="358"/>
      <c r="I1053" s="278"/>
    </row>
    <row r="1054" spans="1:9" x14ac:dyDescent="0.3">
      <c r="A1054" s="356"/>
      <c r="B1054" s="278"/>
      <c r="C1054" s="357"/>
      <c r="D1054" s="358"/>
      <c r="E1054" s="358"/>
      <c r="F1054" s="358"/>
      <c r="G1054" s="278"/>
      <c r="H1054" s="358"/>
      <c r="I1054" s="278"/>
    </row>
    <row r="1055" spans="1:9" x14ac:dyDescent="0.3">
      <c r="A1055" s="356"/>
      <c r="B1055" s="278"/>
      <c r="C1055" s="357"/>
      <c r="D1055" s="358"/>
      <c r="E1055" s="358"/>
      <c r="F1055" s="358"/>
      <c r="G1055" s="278"/>
      <c r="H1055" s="358"/>
      <c r="I1055" s="278"/>
    </row>
    <row r="1056" spans="1:9" x14ac:dyDescent="0.3">
      <c r="A1056" s="356"/>
      <c r="B1056" s="278"/>
      <c r="C1056" s="357"/>
      <c r="D1056" s="358"/>
      <c r="E1056" s="358"/>
      <c r="F1056" s="358"/>
      <c r="G1056" s="278"/>
      <c r="H1056" s="358"/>
      <c r="I1056" s="278"/>
    </row>
    <row r="1057" spans="1:9" x14ac:dyDescent="0.3">
      <c r="A1057" s="356"/>
      <c r="B1057" s="278"/>
      <c r="C1057" s="357"/>
      <c r="D1057" s="358"/>
      <c r="E1057" s="358"/>
      <c r="F1057" s="358"/>
      <c r="G1057" s="278"/>
      <c r="H1057" s="358"/>
      <c r="I1057" s="278"/>
    </row>
    <row r="1058" spans="1:9" x14ac:dyDescent="0.3">
      <c r="A1058" s="356"/>
      <c r="B1058" s="278"/>
      <c r="C1058" s="357"/>
      <c r="D1058" s="358"/>
      <c r="E1058" s="358"/>
      <c r="F1058" s="358"/>
      <c r="G1058" s="278"/>
      <c r="H1058" s="358"/>
      <c r="I1058" s="278"/>
    </row>
    <row r="1059" spans="1:9" x14ac:dyDescent="0.3">
      <c r="A1059" s="356"/>
      <c r="B1059" s="278"/>
      <c r="C1059" s="357"/>
      <c r="D1059" s="358"/>
      <c r="E1059" s="358"/>
      <c r="F1059" s="358"/>
      <c r="G1059" s="278"/>
      <c r="H1059" s="358"/>
      <c r="I1059" s="278"/>
    </row>
    <row r="1060" spans="1:9" x14ac:dyDescent="0.3">
      <c r="A1060" s="356"/>
      <c r="B1060" s="278"/>
      <c r="C1060" s="357"/>
      <c r="D1060" s="358"/>
      <c r="E1060" s="358"/>
      <c r="F1060" s="358"/>
      <c r="G1060" s="278"/>
      <c r="H1060" s="358"/>
      <c r="I1060" s="278"/>
    </row>
    <row r="1061" spans="1:9" x14ac:dyDescent="0.3">
      <c r="A1061" s="356"/>
      <c r="B1061" s="278"/>
      <c r="C1061" s="357"/>
      <c r="D1061" s="358"/>
      <c r="E1061" s="358"/>
      <c r="F1061" s="358"/>
      <c r="G1061" s="278"/>
      <c r="H1061" s="358"/>
      <c r="I1061" s="278"/>
    </row>
    <row r="1062" spans="1:9" x14ac:dyDescent="0.3">
      <c r="A1062" s="356"/>
      <c r="B1062" s="278"/>
      <c r="C1062" s="357"/>
      <c r="D1062" s="358"/>
      <c r="E1062" s="358"/>
      <c r="F1062" s="358"/>
      <c r="G1062" s="278"/>
      <c r="H1062" s="358"/>
      <c r="I1062" s="278"/>
    </row>
    <row r="1063" spans="1:9" x14ac:dyDescent="0.3">
      <c r="A1063" s="356"/>
      <c r="B1063" s="278"/>
      <c r="C1063" s="357"/>
      <c r="D1063" s="358"/>
      <c r="E1063" s="358"/>
      <c r="F1063" s="358"/>
      <c r="G1063" s="278"/>
      <c r="H1063" s="358"/>
      <c r="I1063" s="278"/>
    </row>
    <row r="1064" spans="1:9" x14ac:dyDescent="0.3">
      <c r="A1064" s="356"/>
      <c r="B1064" s="278"/>
      <c r="C1064" s="357"/>
      <c r="D1064" s="358"/>
      <c r="E1064" s="358"/>
      <c r="F1064" s="358"/>
      <c r="G1064" s="278"/>
      <c r="H1064" s="358"/>
      <c r="I1064" s="278"/>
    </row>
    <row r="1065" spans="1:9" x14ac:dyDescent="0.3">
      <c r="A1065" s="356"/>
      <c r="B1065" s="278"/>
      <c r="C1065" s="357"/>
      <c r="D1065" s="358"/>
      <c r="E1065" s="358"/>
      <c r="F1065" s="358"/>
      <c r="G1065" s="278"/>
      <c r="H1065" s="358"/>
      <c r="I1065" s="278"/>
    </row>
    <row r="1066" spans="1:9" x14ac:dyDescent="0.3">
      <c r="A1066" s="356"/>
      <c r="B1066" s="278"/>
      <c r="C1066" s="357"/>
      <c r="D1066" s="358"/>
      <c r="E1066" s="358"/>
      <c r="F1066" s="358"/>
      <c r="G1066" s="278"/>
      <c r="H1066" s="358"/>
      <c r="I1066" s="278"/>
    </row>
    <row r="1067" spans="1:9" x14ac:dyDescent="0.3">
      <c r="A1067" s="356"/>
      <c r="B1067" s="278"/>
      <c r="C1067" s="357"/>
      <c r="D1067" s="358"/>
      <c r="E1067" s="358"/>
      <c r="F1067" s="358"/>
      <c r="G1067" s="278"/>
      <c r="H1067" s="358"/>
      <c r="I1067" s="278"/>
    </row>
    <row r="1068" spans="1:9" x14ac:dyDescent="0.3">
      <c r="A1068" s="356"/>
      <c r="B1068" s="278"/>
      <c r="C1068" s="357"/>
      <c r="D1068" s="358"/>
      <c r="E1068" s="358"/>
      <c r="F1068" s="358"/>
      <c r="G1068" s="278"/>
      <c r="H1068" s="358"/>
      <c r="I1068" s="278"/>
    </row>
    <row r="1069" spans="1:9" x14ac:dyDescent="0.3">
      <c r="A1069" s="356"/>
      <c r="B1069" s="278"/>
      <c r="C1069" s="357"/>
      <c r="D1069" s="358"/>
      <c r="E1069" s="358"/>
      <c r="F1069" s="358"/>
      <c r="G1069" s="278"/>
      <c r="H1069" s="358"/>
      <c r="I1069" s="278"/>
    </row>
    <row r="1070" spans="1:9" x14ac:dyDescent="0.3">
      <c r="A1070" s="356"/>
      <c r="B1070" s="278"/>
      <c r="C1070" s="357"/>
      <c r="D1070" s="358"/>
      <c r="E1070" s="358"/>
      <c r="F1070" s="358"/>
      <c r="G1070" s="278"/>
      <c r="H1070" s="358"/>
      <c r="I1070" s="278"/>
    </row>
    <row r="1071" spans="1:9" x14ac:dyDescent="0.3">
      <c r="A1071" s="356"/>
      <c r="B1071" s="278"/>
      <c r="C1071" s="357"/>
      <c r="D1071" s="358"/>
      <c r="E1071" s="358"/>
      <c r="F1071" s="358"/>
      <c r="G1071" s="278"/>
      <c r="H1071" s="358"/>
      <c r="I1071" s="278"/>
    </row>
    <row r="1072" spans="1:9" x14ac:dyDescent="0.3">
      <c r="A1072" s="356"/>
      <c r="B1072" s="278"/>
      <c r="C1072" s="357"/>
      <c r="D1072" s="358"/>
      <c r="E1072" s="358"/>
      <c r="F1072" s="358"/>
      <c r="G1072" s="278"/>
      <c r="H1072" s="358"/>
      <c r="I1072" s="278"/>
    </row>
    <row r="1073" spans="1:9" x14ac:dyDescent="0.3">
      <c r="A1073" s="356"/>
      <c r="B1073" s="278"/>
      <c r="C1073" s="357"/>
      <c r="D1073" s="358"/>
      <c r="E1073" s="358"/>
      <c r="F1073" s="358"/>
      <c r="G1073" s="278"/>
      <c r="H1073" s="358"/>
      <c r="I1073" s="278"/>
    </row>
    <row r="1074" spans="1:9" x14ac:dyDescent="0.3">
      <c r="A1074" s="356"/>
      <c r="B1074" s="278"/>
      <c r="C1074" s="357"/>
      <c r="D1074" s="358"/>
      <c r="E1074" s="358"/>
      <c r="F1074" s="358"/>
      <c r="G1074" s="278"/>
      <c r="H1074" s="358"/>
      <c r="I1074" s="278"/>
    </row>
    <row r="1075" spans="1:9" x14ac:dyDescent="0.3">
      <c r="A1075" s="356"/>
      <c r="B1075" s="278"/>
      <c r="C1075" s="357"/>
      <c r="D1075" s="358"/>
      <c r="E1075" s="358"/>
      <c r="F1075" s="358"/>
      <c r="G1075" s="278"/>
      <c r="H1075" s="358"/>
      <c r="I1075" s="278"/>
    </row>
    <row r="1076" spans="1:9" x14ac:dyDescent="0.3">
      <c r="A1076" s="356"/>
      <c r="B1076" s="278"/>
      <c r="C1076" s="357"/>
      <c r="D1076" s="358"/>
      <c r="E1076" s="358"/>
      <c r="F1076" s="358"/>
      <c r="G1076" s="278"/>
      <c r="H1076" s="358"/>
      <c r="I1076" s="278"/>
    </row>
    <row r="1077" spans="1:9" x14ac:dyDescent="0.3">
      <c r="A1077" s="356"/>
      <c r="B1077" s="278"/>
      <c r="C1077" s="357"/>
      <c r="D1077" s="358"/>
      <c r="E1077" s="358"/>
      <c r="F1077" s="358"/>
      <c r="G1077" s="278"/>
      <c r="H1077" s="358"/>
      <c r="I1077" s="278"/>
    </row>
    <row r="1078" spans="1:9" x14ac:dyDescent="0.3">
      <c r="A1078" s="356"/>
      <c r="B1078" s="278"/>
      <c r="C1078" s="357"/>
      <c r="D1078" s="358"/>
      <c r="E1078" s="358"/>
      <c r="F1078" s="358"/>
      <c r="G1078" s="278"/>
      <c r="H1078" s="358"/>
      <c r="I1078" s="278"/>
    </row>
    <row r="1079" spans="1:9" x14ac:dyDescent="0.3">
      <c r="A1079" s="356"/>
      <c r="B1079" s="278"/>
      <c r="C1079" s="357"/>
      <c r="D1079" s="358"/>
      <c r="E1079" s="358"/>
      <c r="F1079" s="358"/>
      <c r="G1079" s="278"/>
      <c r="H1079" s="358"/>
      <c r="I1079" s="278"/>
    </row>
    <row r="1080" spans="1:9" x14ac:dyDescent="0.3">
      <c r="A1080" s="356"/>
      <c r="B1080" s="278"/>
      <c r="C1080" s="357"/>
      <c r="D1080" s="358"/>
      <c r="E1080" s="358"/>
      <c r="F1080" s="358"/>
      <c r="G1080" s="278"/>
      <c r="H1080" s="358"/>
      <c r="I1080" s="278"/>
    </row>
    <row r="1081" spans="1:9" x14ac:dyDescent="0.3">
      <c r="A1081" s="356"/>
      <c r="B1081" s="278"/>
      <c r="C1081" s="357"/>
      <c r="D1081" s="358"/>
      <c r="E1081" s="358"/>
      <c r="F1081" s="358"/>
      <c r="G1081" s="278"/>
      <c r="H1081" s="358"/>
      <c r="I1081" s="278"/>
    </row>
    <row r="1082" spans="1:9" x14ac:dyDescent="0.3">
      <c r="A1082" s="356"/>
      <c r="B1082" s="278"/>
      <c r="C1082" s="357"/>
      <c r="D1082" s="358"/>
      <c r="E1082" s="358"/>
      <c r="F1082" s="358"/>
      <c r="G1082" s="278"/>
      <c r="H1082" s="358"/>
      <c r="I1082" s="278"/>
    </row>
    <row r="1083" spans="1:9" x14ac:dyDescent="0.3">
      <c r="A1083" s="356"/>
      <c r="B1083" s="278"/>
      <c r="C1083" s="357"/>
      <c r="D1083" s="358"/>
      <c r="E1083" s="358"/>
      <c r="F1083" s="358"/>
      <c r="G1083" s="278"/>
      <c r="H1083" s="358"/>
      <c r="I1083" s="278"/>
    </row>
    <row r="1084" spans="1:9" x14ac:dyDescent="0.3">
      <c r="A1084" s="356"/>
      <c r="B1084" s="278"/>
      <c r="C1084" s="357"/>
      <c r="D1084" s="358"/>
      <c r="E1084" s="358"/>
      <c r="F1084" s="358"/>
      <c r="G1084" s="278"/>
      <c r="H1084" s="358"/>
      <c r="I1084" s="278"/>
    </row>
    <row r="1085" spans="1:9" x14ac:dyDescent="0.3">
      <c r="A1085" s="356"/>
      <c r="B1085" s="278"/>
      <c r="C1085" s="357"/>
      <c r="D1085" s="358"/>
      <c r="E1085" s="358"/>
      <c r="F1085" s="358"/>
      <c r="G1085" s="278"/>
      <c r="H1085" s="358"/>
      <c r="I1085" s="278"/>
    </row>
    <row r="1086" spans="1:9" x14ac:dyDescent="0.3">
      <c r="A1086" s="356"/>
      <c r="B1086" s="278"/>
      <c r="C1086" s="357"/>
      <c r="D1086" s="358"/>
      <c r="E1086" s="358"/>
      <c r="F1086" s="358"/>
      <c r="G1086" s="278"/>
      <c r="H1086" s="358"/>
      <c r="I1086" s="278"/>
    </row>
    <row r="1087" spans="1:9" x14ac:dyDescent="0.3">
      <c r="A1087" s="356"/>
      <c r="B1087" s="278"/>
      <c r="C1087" s="357"/>
      <c r="D1087" s="358"/>
      <c r="E1087" s="358"/>
      <c r="F1087" s="358"/>
      <c r="G1087" s="278"/>
      <c r="H1087" s="358"/>
      <c r="I1087" s="278"/>
    </row>
    <row r="1088" spans="1:9" x14ac:dyDescent="0.3">
      <c r="A1088" s="356"/>
      <c r="B1088" s="278"/>
      <c r="C1088" s="357"/>
      <c r="D1088" s="358"/>
      <c r="E1088" s="358"/>
      <c r="F1088" s="358"/>
      <c r="G1088" s="278"/>
      <c r="H1088" s="358"/>
      <c r="I1088" s="278"/>
    </row>
    <row r="1089" spans="1:9" x14ac:dyDescent="0.3">
      <c r="A1089" s="356"/>
      <c r="B1089" s="278"/>
      <c r="C1089" s="357"/>
      <c r="D1089" s="358"/>
      <c r="E1089" s="358"/>
      <c r="F1089" s="358"/>
      <c r="G1089" s="278"/>
      <c r="H1089" s="358"/>
      <c r="I1089" s="278"/>
    </row>
    <row r="1090" spans="1:9" x14ac:dyDescent="0.3">
      <c r="A1090" s="356"/>
      <c r="B1090" s="278"/>
      <c r="C1090" s="357"/>
      <c r="D1090" s="358"/>
      <c r="E1090" s="358"/>
      <c r="F1090" s="358"/>
      <c r="G1090" s="278"/>
      <c r="H1090" s="358"/>
      <c r="I1090" s="278"/>
    </row>
    <row r="1091" spans="1:9" x14ac:dyDescent="0.3">
      <c r="A1091" s="356"/>
      <c r="B1091" s="278"/>
      <c r="C1091" s="357"/>
      <c r="D1091" s="358"/>
      <c r="E1091" s="358"/>
      <c r="F1091" s="358"/>
      <c r="G1091" s="278"/>
      <c r="H1091" s="358"/>
      <c r="I1091" s="278"/>
    </row>
    <row r="1092" spans="1:9" x14ac:dyDescent="0.3">
      <c r="A1092" s="356"/>
      <c r="B1092" s="278"/>
      <c r="C1092" s="357"/>
      <c r="D1092" s="358"/>
      <c r="E1092" s="358"/>
      <c r="F1092" s="358"/>
      <c r="G1092" s="278"/>
      <c r="H1092" s="358"/>
      <c r="I1092" s="278"/>
    </row>
    <row r="1093" spans="1:9" x14ac:dyDescent="0.3">
      <c r="A1093" s="356"/>
      <c r="B1093" s="278"/>
      <c r="C1093" s="357"/>
      <c r="D1093" s="358"/>
      <c r="E1093" s="358"/>
      <c r="F1093" s="358"/>
      <c r="G1093" s="278"/>
      <c r="H1093" s="358"/>
      <c r="I1093" s="278"/>
    </row>
    <row r="1094" spans="1:9" x14ac:dyDescent="0.3">
      <c r="A1094" s="356"/>
      <c r="B1094" s="278"/>
      <c r="C1094" s="357"/>
      <c r="D1094" s="358"/>
      <c r="E1094" s="358"/>
      <c r="F1094" s="358"/>
      <c r="G1094" s="278"/>
      <c r="H1094" s="358"/>
      <c r="I1094" s="278"/>
    </row>
    <row r="1095" spans="1:9" x14ac:dyDescent="0.3">
      <c r="A1095" s="356"/>
      <c r="B1095" s="278"/>
      <c r="C1095" s="357"/>
      <c r="D1095" s="358"/>
      <c r="E1095" s="358"/>
      <c r="F1095" s="358"/>
      <c r="G1095" s="278"/>
      <c r="H1095" s="358"/>
      <c r="I1095" s="278"/>
    </row>
    <row r="1096" spans="1:9" x14ac:dyDescent="0.3">
      <c r="A1096" s="356"/>
      <c r="B1096" s="278"/>
      <c r="C1096" s="357"/>
      <c r="D1096" s="358"/>
      <c r="E1096" s="358"/>
      <c r="F1096" s="358"/>
      <c r="G1096" s="278"/>
      <c r="H1096" s="358"/>
      <c r="I1096" s="278"/>
    </row>
    <row r="1097" spans="1:9" x14ac:dyDescent="0.3">
      <c r="A1097" s="356"/>
      <c r="B1097" s="278"/>
      <c r="C1097" s="357"/>
      <c r="D1097" s="358"/>
      <c r="E1097" s="358"/>
      <c r="F1097" s="358"/>
      <c r="G1097" s="278"/>
      <c r="H1097" s="358"/>
      <c r="I1097" s="278"/>
    </row>
    <row r="1098" spans="1:9" x14ac:dyDescent="0.3">
      <c r="A1098" s="356"/>
      <c r="B1098" s="278"/>
      <c r="C1098" s="357"/>
      <c r="D1098" s="358"/>
      <c r="E1098" s="358"/>
      <c r="F1098" s="358"/>
      <c r="G1098" s="278"/>
      <c r="H1098" s="358"/>
      <c r="I1098" s="278"/>
    </row>
    <row r="1099" spans="1:9" x14ac:dyDescent="0.3">
      <c r="A1099" s="356"/>
      <c r="B1099" s="278"/>
      <c r="C1099" s="357"/>
      <c r="D1099" s="358"/>
      <c r="E1099" s="358"/>
      <c r="F1099" s="358"/>
      <c r="G1099" s="278"/>
      <c r="H1099" s="358"/>
      <c r="I1099" s="278"/>
    </row>
    <row r="1100" spans="1:9" x14ac:dyDescent="0.3">
      <c r="A1100" s="356"/>
      <c r="B1100" s="278"/>
      <c r="C1100" s="357"/>
      <c r="D1100" s="358"/>
      <c r="E1100" s="358"/>
      <c r="F1100" s="358"/>
      <c r="G1100" s="278"/>
      <c r="H1100" s="358"/>
      <c r="I1100" s="278"/>
    </row>
    <row r="1101" spans="1:9" x14ac:dyDescent="0.3">
      <c r="A1101" s="356"/>
      <c r="B1101" s="278"/>
      <c r="C1101" s="357"/>
      <c r="D1101" s="358"/>
      <c r="E1101" s="358"/>
      <c r="F1101" s="358"/>
      <c r="G1101" s="278"/>
      <c r="H1101" s="358"/>
      <c r="I1101" s="278"/>
    </row>
    <row r="1102" spans="1:9" x14ac:dyDescent="0.3">
      <c r="A1102" s="356"/>
      <c r="B1102" s="278"/>
      <c r="C1102" s="357"/>
      <c r="D1102" s="358"/>
      <c r="E1102" s="358"/>
      <c r="F1102" s="358"/>
      <c r="G1102" s="278"/>
      <c r="H1102" s="358"/>
      <c r="I1102" s="278"/>
    </row>
    <row r="1103" spans="1:9" x14ac:dyDescent="0.3">
      <c r="A1103" s="356"/>
      <c r="B1103" s="278"/>
      <c r="C1103" s="357"/>
      <c r="D1103" s="358"/>
      <c r="E1103" s="358"/>
      <c r="F1103" s="358"/>
      <c r="G1103" s="278"/>
      <c r="H1103" s="358"/>
      <c r="I1103" s="278"/>
    </row>
    <row r="1104" spans="1:9" x14ac:dyDescent="0.3">
      <c r="A1104" s="356"/>
      <c r="B1104" s="278"/>
      <c r="C1104" s="357"/>
      <c r="D1104" s="358"/>
      <c r="E1104" s="358"/>
      <c r="F1104" s="358"/>
      <c r="G1104" s="278"/>
      <c r="H1104" s="358"/>
      <c r="I1104" s="278"/>
    </row>
    <row r="1105" spans="1:9" x14ac:dyDescent="0.3">
      <c r="A1105" s="356"/>
      <c r="B1105" s="278"/>
      <c r="C1105" s="357"/>
      <c r="D1105" s="358"/>
      <c r="E1105" s="358"/>
      <c r="F1105" s="358"/>
      <c r="G1105" s="278"/>
      <c r="H1105" s="358"/>
      <c r="I1105" s="278"/>
    </row>
    <row r="1106" spans="1:9" x14ac:dyDescent="0.3">
      <c r="A1106" s="356"/>
      <c r="B1106" s="278"/>
      <c r="C1106" s="357"/>
      <c r="D1106" s="358"/>
      <c r="E1106" s="358"/>
      <c r="F1106" s="358"/>
      <c r="G1106" s="278"/>
      <c r="H1106" s="358"/>
      <c r="I1106" s="278"/>
    </row>
    <row r="1107" spans="1:9" x14ac:dyDescent="0.3">
      <c r="A1107" s="356"/>
      <c r="B1107" s="278"/>
      <c r="C1107" s="357"/>
      <c r="D1107" s="358"/>
      <c r="E1107" s="358"/>
      <c r="F1107" s="358"/>
      <c r="G1107" s="278"/>
      <c r="H1107" s="358"/>
      <c r="I1107" s="278"/>
    </row>
    <row r="1108" spans="1:9" x14ac:dyDescent="0.3">
      <c r="A1108" s="356"/>
      <c r="B1108" s="278"/>
      <c r="C1108" s="357"/>
      <c r="D1108" s="358"/>
      <c r="E1108" s="358"/>
      <c r="F1108" s="358"/>
      <c r="G1108" s="278"/>
      <c r="H1108" s="358"/>
      <c r="I1108" s="278"/>
    </row>
    <row r="1109" spans="1:9" x14ac:dyDescent="0.3">
      <c r="A1109" s="356"/>
      <c r="B1109" s="278"/>
      <c r="C1109" s="357"/>
      <c r="D1109" s="358"/>
      <c r="E1109" s="358"/>
      <c r="F1109" s="358"/>
      <c r="G1109" s="278"/>
      <c r="H1109" s="358"/>
      <c r="I1109" s="278"/>
    </row>
    <row r="1110" spans="1:9" x14ac:dyDescent="0.3">
      <c r="A1110" s="356"/>
      <c r="B1110" s="278"/>
      <c r="C1110" s="357"/>
      <c r="D1110" s="358"/>
      <c r="E1110" s="358"/>
      <c r="F1110" s="358"/>
      <c r="G1110" s="278"/>
      <c r="H1110" s="358"/>
      <c r="I1110" s="278"/>
    </row>
    <row r="1111" spans="1:9" x14ac:dyDescent="0.3">
      <c r="A1111" s="356"/>
      <c r="B1111" s="278"/>
      <c r="C1111" s="357"/>
      <c r="D1111" s="358"/>
      <c r="E1111" s="358"/>
      <c r="F1111" s="358"/>
      <c r="G1111" s="278"/>
      <c r="H1111" s="358"/>
      <c r="I1111" s="278"/>
    </row>
    <row r="1112" spans="1:9" x14ac:dyDescent="0.3">
      <c r="A1112" s="356"/>
      <c r="B1112" s="278"/>
      <c r="C1112" s="357"/>
      <c r="D1112" s="358"/>
      <c r="E1112" s="358"/>
      <c r="F1112" s="358"/>
      <c r="G1112" s="278"/>
      <c r="H1112" s="358"/>
      <c r="I1112" s="278"/>
    </row>
    <row r="1113" spans="1:9" x14ac:dyDescent="0.3">
      <c r="A1113" s="356"/>
      <c r="B1113" s="278"/>
      <c r="C1113" s="357"/>
      <c r="D1113" s="358"/>
      <c r="E1113" s="358"/>
      <c r="F1113" s="358"/>
      <c r="G1113" s="278"/>
      <c r="H1113" s="358"/>
      <c r="I1113" s="278"/>
    </row>
    <row r="1114" spans="1:9" x14ac:dyDescent="0.3">
      <c r="A1114" s="356"/>
      <c r="B1114" s="278"/>
      <c r="C1114" s="357"/>
      <c r="D1114" s="358"/>
      <c r="E1114" s="358"/>
      <c r="F1114" s="358"/>
      <c r="G1114" s="278"/>
      <c r="H1114" s="358"/>
      <c r="I1114" s="278"/>
    </row>
    <row r="1115" spans="1:9" x14ac:dyDescent="0.3">
      <c r="A1115" s="356"/>
      <c r="B1115" s="278"/>
      <c r="C1115" s="357"/>
      <c r="D1115" s="358"/>
      <c r="E1115" s="358"/>
      <c r="F1115" s="358"/>
      <c r="G1115" s="278"/>
      <c r="H1115" s="358"/>
      <c r="I1115" s="278"/>
    </row>
    <row r="1116" spans="1:9" x14ac:dyDescent="0.3">
      <c r="A1116" s="356"/>
      <c r="B1116" s="278"/>
      <c r="C1116" s="357"/>
      <c r="D1116" s="358"/>
      <c r="E1116" s="358"/>
      <c r="F1116" s="358"/>
      <c r="G1116" s="278"/>
      <c r="H1116" s="358"/>
      <c r="I1116" s="278"/>
    </row>
    <row r="1117" spans="1:9" x14ac:dyDescent="0.3">
      <c r="A1117" s="356"/>
      <c r="B1117" s="278"/>
      <c r="C1117" s="357"/>
      <c r="D1117" s="358"/>
      <c r="E1117" s="358"/>
      <c r="F1117" s="358"/>
      <c r="G1117" s="278"/>
      <c r="H1117" s="358"/>
      <c r="I1117" s="278"/>
    </row>
    <row r="1118" spans="1:9" x14ac:dyDescent="0.3">
      <c r="A1118" s="356"/>
      <c r="B1118" s="278"/>
      <c r="C1118" s="357"/>
      <c r="D1118" s="358"/>
      <c r="E1118" s="358"/>
      <c r="F1118" s="358"/>
      <c r="G1118" s="278"/>
      <c r="H1118" s="358"/>
      <c r="I1118" s="278"/>
    </row>
    <row r="1119" spans="1:9" x14ac:dyDescent="0.3">
      <c r="A1119" s="356"/>
      <c r="B1119" s="278"/>
      <c r="C1119" s="357"/>
      <c r="D1119" s="358"/>
      <c r="E1119" s="358"/>
      <c r="F1119" s="358"/>
      <c r="G1119" s="278"/>
      <c r="H1119" s="358"/>
      <c r="I1119" s="278"/>
    </row>
    <row r="1120" spans="1:9" x14ac:dyDescent="0.3">
      <c r="A1120" s="356"/>
      <c r="B1120" s="278"/>
      <c r="C1120" s="357"/>
      <c r="D1120" s="358"/>
      <c r="E1120" s="358"/>
      <c r="F1120" s="358"/>
      <c r="G1120" s="278"/>
      <c r="H1120" s="358"/>
      <c r="I1120" s="278"/>
    </row>
    <row r="1121" spans="1:9" x14ac:dyDescent="0.3">
      <c r="A1121" s="356"/>
      <c r="B1121" s="278"/>
      <c r="C1121" s="357"/>
      <c r="D1121" s="358"/>
      <c r="E1121" s="358"/>
      <c r="F1121" s="358"/>
      <c r="G1121" s="278"/>
      <c r="H1121" s="358"/>
      <c r="I1121" s="278"/>
    </row>
    <row r="1122" spans="1:9" x14ac:dyDescent="0.3">
      <c r="A1122" s="356"/>
      <c r="B1122" s="278"/>
      <c r="C1122" s="357"/>
      <c r="D1122" s="358"/>
      <c r="E1122" s="358"/>
      <c r="F1122" s="358"/>
      <c r="G1122" s="278"/>
      <c r="H1122" s="358"/>
      <c r="I1122" s="278"/>
    </row>
    <row r="1123" spans="1:9" x14ac:dyDescent="0.3">
      <c r="A1123" s="356"/>
      <c r="B1123" s="278"/>
      <c r="C1123" s="357"/>
      <c r="D1123" s="358"/>
      <c r="E1123" s="358"/>
      <c r="F1123" s="358"/>
      <c r="G1123" s="278"/>
      <c r="H1123" s="358"/>
      <c r="I1123" s="278"/>
    </row>
    <row r="1124" spans="1:9" x14ac:dyDescent="0.3">
      <c r="A1124" s="356"/>
      <c r="B1124" s="278"/>
      <c r="C1124" s="357"/>
      <c r="D1124" s="358"/>
      <c r="E1124" s="358"/>
      <c r="F1124" s="358"/>
      <c r="G1124" s="278"/>
      <c r="H1124" s="358"/>
      <c r="I1124" s="278"/>
    </row>
    <row r="1125" spans="1:9" x14ac:dyDescent="0.3">
      <c r="A1125" s="356"/>
      <c r="B1125" s="278"/>
      <c r="C1125" s="357"/>
      <c r="D1125" s="358"/>
      <c r="E1125" s="358"/>
      <c r="F1125" s="358"/>
      <c r="G1125" s="278"/>
      <c r="H1125" s="358"/>
      <c r="I1125" s="278"/>
    </row>
    <row r="1126" spans="1:9" x14ac:dyDescent="0.3">
      <c r="A1126" s="356"/>
      <c r="B1126" s="278"/>
      <c r="C1126" s="357"/>
      <c r="D1126" s="358"/>
      <c r="E1126" s="358"/>
      <c r="F1126" s="358"/>
      <c r="G1126" s="278"/>
      <c r="H1126" s="358"/>
      <c r="I1126" s="278"/>
    </row>
    <row r="1127" spans="1:9" x14ac:dyDescent="0.3">
      <c r="A1127" s="356"/>
      <c r="B1127" s="278"/>
      <c r="C1127" s="357"/>
      <c r="D1127" s="358"/>
      <c r="E1127" s="358"/>
      <c r="F1127" s="358"/>
      <c r="G1127" s="278"/>
      <c r="H1127" s="358"/>
      <c r="I1127" s="278"/>
    </row>
    <row r="1128" spans="1:9" x14ac:dyDescent="0.3">
      <c r="A1128" s="356"/>
      <c r="B1128" s="278"/>
      <c r="C1128" s="357"/>
      <c r="D1128" s="358"/>
      <c r="E1128" s="358"/>
      <c r="F1128" s="358"/>
      <c r="G1128" s="278"/>
      <c r="H1128" s="358"/>
      <c r="I1128" s="278"/>
    </row>
    <row r="1129" spans="1:9" x14ac:dyDescent="0.3">
      <c r="A1129" s="356"/>
      <c r="B1129" s="278"/>
      <c r="C1129" s="357"/>
      <c r="D1129" s="358"/>
      <c r="E1129" s="358"/>
      <c r="F1129" s="358"/>
      <c r="G1129" s="278"/>
      <c r="H1129" s="358"/>
      <c r="I1129" s="278"/>
    </row>
    <row r="1130" spans="1:9" x14ac:dyDescent="0.3">
      <c r="A1130" s="356"/>
      <c r="B1130" s="278"/>
      <c r="C1130" s="357"/>
      <c r="D1130" s="358"/>
      <c r="E1130" s="358"/>
      <c r="F1130" s="358"/>
      <c r="G1130" s="278"/>
      <c r="H1130" s="358"/>
      <c r="I1130" s="278"/>
    </row>
    <row r="1131" spans="1:9" x14ac:dyDescent="0.3">
      <c r="A1131" s="356"/>
      <c r="B1131" s="278"/>
      <c r="C1131" s="357"/>
      <c r="D1131" s="358"/>
      <c r="E1131" s="358"/>
      <c r="F1131" s="358"/>
      <c r="G1131" s="278"/>
      <c r="H1131" s="358"/>
      <c r="I1131" s="278"/>
    </row>
    <row r="1132" spans="1:9" x14ac:dyDescent="0.3">
      <c r="A1132" s="356"/>
      <c r="B1132" s="278"/>
      <c r="C1132" s="357"/>
      <c r="D1132" s="358"/>
      <c r="E1132" s="358"/>
      <c r="F1132" s="358"/>
      <c r="G1132" s="278"/>
      <c r="H1132" s="358"/>
      <c r="I1132" s="278"/>
    </row>
    <row r="1133" spans="1:9" x14ac:dyDescent="0.3">
      <c r="A1133" s="356"/>
      <c r="B1133" s="278"/>
      <c r="C1133" s="357"/>
      <c r="D1133" s="358"/>
      <c r="E1133" s="358"/>
      <c r="F1133" s="358"/>
      <c r="G1133" s="278"/>
      <c r="H1133" s="358"/>
      <c r="I1133" s="278"/>
    </row>
    <row r="1134" spans="1:9" x14ac:dyDescent="0.3">
      <c r="A1134" s="356"/>
      <c r="B1134" s="278"/>
      <c r="C1134" s="357"/>
      <c r="D1134" s="358"/>
      <c r="E1134" s="358"/>
      <c r="F1134" s="358"/>
      <c r="G1134" s="278"/>
      <c r="H1134" s="358"/>
      <c r="I1134" s="278"/>
    </row>
    <row r="1135" spans="1:9" x14ac:dyDescent="0.3">
      <c r="A1135" s="356"/>
      <c r="B1135" s="278"/>
      <c r="C1135" s="357"/>
      <c r="D1135" s="358"/>
      <c r="E1135" s="358"/>
      <c r="F1135" s="358"/>
      <c r="G1135" s="278"/>
      <c r="H1135" s="358"/>
      <c r="I1135" s="278"/>
    </row>
    <row r="1136" spans="1:9" x14ac:dyDescent="0.3">
      <c r="A1136" s="356"/>
      <c r="B1136" s="278"/>
      <c r="C1136" s="357"/>
      <c r="D1136" s="358"/>
      <c r="E1136" s="358"/>
      <c r="F1136" s="358"/>
      <c r="G1136" s="278"/>
      <c r="H1136" s="358"/>
      <c r="I1136" s="278"/>
    </row>
    <row r="1137" spans="1:9" x14ac:dyDescent="0.3">
      <c r="A1137" s="356"/>
      <c r="B1137" s="278"/>
      <c r="C1137" s="357"/>
      <c r="D1137" s="358"/>
      <c r="E1137" s="358"/>
      <c r="F1137" s="358"/>
      <c r="G1137" s="278"/>
      <c r="H1137" s="358"/>
      <c r="I1137" s="278"/>
    </row>
    <row r="1138" spans="1:9" x14ac:dyDescent="0.3">
      <c r="A1138" s="356"/>
      <c r="B1138" s="278"/>
      <c r="C1138" s="357"/>
      <c r="D1138" s="358"/>
      <c r="E1138" s="358"/>
      <c r="F1138" s="358"/>
      <c r="G1138" s="278"/>
      <c r="H1138" s="358"/>
      <c r="I1138" s="278"/>
    </row>
    <row r="1139" spans="1:9" x14ac:dyDescent="0.3">
      <c r="A1139" s="356"/>
      <c r="B1139" s="278"/>
      <c r="C1139" s="357"/>
      <c r="D1139" s="358"/>
      <c r="E1139" s="358"/>
      <c r="F1139" s="358"/>
      <c r="G1139" s="278"/>
      <c r="H1139" s="358"/>
      <c r="I1139" s="278"/>
    </row>
    <row r="1140" spans="1:9" x14ac:dyDescent="0.3">
      <c r="A1140" s="356"/>
      <c r="B1140" s="278"/>
      <c r="C1140" s="357"/>
      <c r="D1140" s="358"/>
      <c r="E1140" s="358"/>
      <c r="F1140" s="358"/>
      <c r="G1140" s="278"/>
      <c r="H1140" s="358"/>
      <c r="I1140" s="278"/>
    </row>
    <row r="1141" spans="1:9" x14ac:dyDescent="0.3">
      <c r="A1141" s="356"/>
      <c r="B1141" s="278"/>
      <c r="C1141" s="357"/>
      <c r="D1141" s="358"/>
      <c r="E1141" s="358"/>
      <c r="F1141" s="358"/>
      <c r="G1141" s="278"/>
      <c r="H1141" s="358"/>
      <c r="I1141" s="278"/>
    </row>
    <row r="1142" spans="1:9" x14ac:dyDescent="0.3">
      <c r="A1142" s="356"/>
      <c r="B1142" s="278"/>
      <c r="C1142" s="357"/>
      <c r="D1142" s="358"/>
      <c r="E1142" s="358"/>
      <c r="F1142" s="358"/>
      <c r="G1142" s="278"/>
      <c r="H1142" s="358"/>
      <c r="I1142" s="278"/>
    </row>
    <row r="1143" spans="1:9" x14ac:dyDescent="0.3">
      <c r="A1143" s="356"/>
      <c r="B1143" s="278"/>
      <c r="C1143" s="357"/>
      <c r="D1143" s="358"/>
      <c r="E1143" s="358"/>
      <c r="F1143" s="358"/>
      <c r="G1143" s="278"/>
      <c r="H1143" s="358"/>
      <c r="I1143" s="278"/>
    </row>
    <row r="1144" spans="1:9" x14ac:dyDescent="0.3">
      <c r="A1144" s="356"/>
      <c r="B1144" s="278"/>
      <c r="C1144" s="357"/>
      <c r="D1144" s="358"/>
      <c r="E1144" s="358"/>
      <c r="F1144" s="358"/>
      <c r="G1144" s="278"/>
      <c r="H1144" s="358"/>
      <c r="I1144" s="278"/>
    </row>
    <row r="1145" spans="1:9" x14ac:dyDescent="0.3">
      <c r="A1145" s="356"/>
      <c r="B1145" s="278"/>
      <c r="C1145" s="357"/>
      <c r="D1145" s="358"/>
      <c r="E1145" s="358"/>
      <c r="F1145" s="358"/>
      <c r="G1145" s="278"/>
      <c r="H1145" s="358"/>
      <c r="I1145" s="278"/>
    </row>
    <row r="1146" spans="1:9" x14ac:dyDescent="0.3">
      <c r="A1146" s="356"/>
      <c r="B1146" s="278"/>
      <c r="C1146" s="357"/>
      <c r="D1146" s="358"/>
      <c r="E1146" s="358"/>
      <c r="F1146" s="358"/>
      <c r="G1146" s="278"/>
      <c r="H1146" s="358"/>
      <c r="I1146" s="278"/>
    </row>
    <row r="1147" spans="1:9" x14ac:dyDescent="0.3">
      <c r="A1147" s="356"/>
      <c r="B1147" s="278"/>
      <c r="C1147" s="357"/>
      <c r="D1147" s="358"/>
      <c r="E1147" s="358"/>
      <c r="F1147" s="358"/>
      <c r="G1147" s="278"/>
      <c r="H1147" s="358"/>
      <c r="I1147" s="278"/>
    </row>
    <row r="1148" spans="1:9" x14ac:dyDescent="0.3">
      <c r="A1148" s="356"/>
      <c r="B1148" s="278"/>
      <c r="C1148" s="357"/>
      <c r="D1148" s="358"/>
      <c r="E1148" s="358"/>
      <c r="F1148" s="358"/>
      <c r="G1148" s="278"/>
      <c r="H1148" s="358"/>
      <c r="I1148" s="278"/>
    </row>
    <row r="1149" spans="1:9" x14ac:dyDescent="0.3">
      <c r="A1149" s="356"/>
      <c r="B1149" s="278"/>
      <c r="C1149" s="357"/>
      <c r="D1149" s="358"/>
      <c r="E1149" s="358"/>
      <c r="F1149" s="358"/>
      <c r="G1149" s="278"/>
      <c r="H1149" s="358"/>
      <c r="I1149" s="278"/>
    </row>
    <row r="1150" spans="1:9" x14ac:dyDescent="0.3">
      <c r="A1150" s="356"/>
      <c r="B1150" s="278"/>
      <c r="C1150" s="357"/>
      <c r="D1150" s="358"/>
      <c r="E1150" s="358"/>
      <c r="F1150" s="358"/>
      <c r="G1150" s="278"/>
      <c r="H1150" s="358"/>
      <c r="I1150" s="278"/>
    </row>
    <row r="1151" spans="1:9" x14ac:dyDescent="0.3">
      <c r="A1151" s="356"/>
      <c r="B1151" s="278"/>
      <c r="C1151" s="357"/>
      <c r="D1151" s="358"/>
      <c r="E1151" s="358"/>
      <c r="F1151" s="358"/>
      <c r="G1151" s="278"/>
      <c r="H1151" s="358"/>
      <c r="I1151" s="278"/>
    </row>
    <row r="1152" spans="1:9" x14ac:dyDescent="0.3">
      <c r="A1152" s="356"/>
      <c r="B1152" s="278"/>
      <c r="C1152" s="357"/>
      <c r="D1152" s="358"/>
      <c r="E1152" s="358"/>
      <c r="F1152" s="358"/>
      <c r="G1152" s="278"/>
      <c r="H1152" s="358"/>
      <c r="I1152" s="278"/>
    </row>
    <row r="1153" spans="1:9" x14ac:dyDescent="0.3">
      <c r="A1153" s="356"/>
      <c r="B1153" s="278"/>
      <c r="C1153" s="357"/>
      <c r="D1153" s="358"/>
      <c r="E1153" s="358"/>
      <c r="F1153" s="358"/>
      <c r="G1153" s="278"/>
      <c r="H1153" s="358"/>
      <c r="I1153" s="278"/>
    </row>
    <row r="1154" spans="1:9" x14ac:dyDescent="0.3">
      <c r="A1154" s="356"/>
      <c r="B1154" s="278"/>
      <c r="C1154" s="357"/>
      <c r="D1154" s="358"/>
      <c r="E1154" s="358"/>
      <c r="F1154" s="358"/>
      <c r="G1154" s="278"/>
      <c r="H1154" s="358"/>
      <c r="I1154" s="278"/>
    </row>
    <row r="1155" spans="1:9" x14ac:dyDescent="0.3">
      <c r="A1155" s="356"/>
      <c r="B1155" s="278"/>
      <c r="C1155" s="357"/>
      <c r="D1155" s="358"/>
      <c r="E1155" s="358"/>
      <c r="F1155" s="358"/>
      <c r="G1155" s="278"/>
      <c r="H1155" s="358"/>
      <c r="I1155" s="278"/>
    </row>
    <row r="1156" spans="1:9" x14ac:dyDescent="0.3">
      <c r="A1156" s="356"/>
      <c r="B1156" s="278"/>
      <c r="C1156" s="357"/>
      <c r="D1156" s="358"/>
      <c r="E1156" s="358"/>
      <c r="F1156" s="358"/>
      <c r="G1156" s="278"/>
      <c r="H1156" s="358"/>
      <c r="I1156" s="278"/>
    </row>
    <row r="1157" spans="1:9" x14ac:dyDescent="0.3">
      <c r="A1157" s="356"/>
      <c r="B1157" s="278"/>
      <c r="C1157" s="357"/>
      <c r="D1157" s="358"/>
      <c r="E1157" s="358"/>
      <c r="F1157" s="358"/>
      <c r="G1157" s="278"/>
      <c r="H1157" s="358"/>
      <c r="I1157" s="278"/>
    </row>
    <row r="1158" spans="1:9" x14ac:dyDescent="0.3">
      <c r="A1158" s="356"/>
      <c r="B1158" s="278"/>
      <c r="C1158" s="357"/>
      <c r="D1158" s="358"/>
      <c r="E1158" s="358"/>
      <c r="F1158" s="358"/>
      <c r="G1158" s="278"/>
      <c r="H1158" s="358"/>
      <c r="I1158" s="278"/>
    </row>
    <row r="1159" spans="1:9" x14ac:dyDescent="0.3">
      <c r="A1159" s="356"/>
      <c r="B1159" s="278"/>
      <c r="C1159" s="357"/>
      <c r="D1159" s="358"/>
      <c r="E1159" s="358"/>
      <c r="F1159" s="358"/>
      <c r="G1159" s="278"/>
      <c r="H1159" s="358"/>
      <c r="I1159" s="278"/>
    </row>
    <row r="1160" spans="1:9" x14ac:dyDescent="0.3">
      <c r="A1160" s="356"/>
      <c r="B1160" s="278"/>
      <c r="C1160" s="357"/>
      <c r="D1160" s="358"/>
      <c r="E1160" s="358"/>
      <c r="F1160" s="358"/>
      <c r="G1160" s="278"/>
      <c r="H1160" s="358"/>
      <c r="I1160" s="278"/>
    </row>
    <row r="1161" spans="1:9" x14ac:dyDescent="0.3">
      <c r="A1161" s="356"/>
      <c r="B1161" s="278"/>
      <c r="C1161" s="357"/>
      <c r="D1161" s="358"/>
      <c r="E1161" s="358"/>
      <c r="F1161" s="358"/>
      <c r="G1161" s="278"/>
      <c r="H1161" s="358"/>
      <c r="I1161" s="278"/>
    </row>
    <row r="1162" spans="1:9" x14ac:dyDescent="0.3">
      <c r="A1162" s="356"/>
      <c r="B1162" s="278"/>
      <c r="C1162" s="357"/>
      <c r="D1162" s="358"/>
      <c r="E1162" s="358"/>
      <c r="F1162" s="358"/>
      <c r="G1162" s="278"/>
      <c r="H1162" s="358"/>
      <c r="I1162" s="278"/>
    </row>
    <row r="1163" spans="1:9" x14ac:dyDescent="0.3">
      <c r="A1163" s="356"/>
      <c r="B1163" s="278"/>
      <c r="C1163" s="357"/>
      <c r="D1163" s="358"/>
      <c r="E1163" s="358"/>
      <c r="F1163" s="358"/>
      <c r="G1163" s="278"/>
      <c r="H1163" s="358"/>
      <c r="I1163" s="278"/>
    </row>
    <row r="1164" spans="1:9" x14ac:dyDescent="0.3">
      <c r="A1164" s="356"/>
      <c r="B1164" s="278"/>
      <c r="C1164" s="357"/>
      <c r="D1164" s="358"/>
      <c r="E1164" s="358"/>
      <c r="F1164" s="358"/>
      <c r="G1164" s="278"/>
      <c r="H1164" s="358"/>
      <c r="I1164" s="278"/>
    </row>
    <row r="1165" spans="1:9" x14ac:dyDescent="0.3">
      <c r="A1165" s="356"/>
      <c r="B1165" s="278"/>
      <c r="C1165" s="357"/>
      <c r="D1165" s="358"/>
      <c r="E1165" s="358"/>
      <c r="F1165" s="358"/>
      <c r="G1165" s="278"/>
      <c r="H1165" s="358"/>
      <c r="I1165" s="278"/>
    </row>
    <row r="1166" spans="1:9" x14ac:dyDescent="0.3">
      <c r="A1166" s="356"/>
      <c r="B1166" s="278"/>
      <c r="C1166" s="357"/>
      <c r="D1166" s="358"/>
      <c r="E1166" s="358"/>
      <c r="F1166" s="358"/>
      <c r="G1166" s="278"/>
      <c r="H1166" s="358"/>
      <c r="I1166" s="278"/>
    </row>
    <row r="1167" spans="1:9" x14ac:dyDescent="0.3">
      <c r="A1167" s="356"/>
      <c r="B1167" s="278"/>
      <c r="C1167" s="357"/>
      <c r="D1167" s="358"/>
      <c r="E1167" s="358"/>
      <c r="F1167" s="358"/>
      <c r="G1167" s="278"/>
      <c r="H1167" s="358"/>
      <c r="I1167" s="278"/>
    </row>
    <row r="1168" spans="1:9" x14ac:dyDescent="0.3">
      <c r="A1168" s="356"/>
      <c r="B1168" s="278"/>
      <c r="C1168" s="357"/>
      <c r="D1168" s="358"/>
      <c r="E1168" s="358"/>
      <c r="F1168" s="358"/>
      <c r="G1168" s="278"/>
      <c r="H1168" s="358"/>
      <c r="I1168" s="278"/>
    </row>
    <row r="1169" spans="1:9" x14ac:dyDescent="0.3">
      <c r="A1169" s="356"/>
      <c r="B1169" s="278"/>
      <c r="C1169" s="357"/>
      <c r="D1169" s="358"/>
      <c r="E1169" s="358"/>
      <c r="F1169" s="358"/>
      <c r="G1169" s="278"/>
      <c r="H1169" s="358"/>
      <c r="I1169" s="278"/>
    </row>
    <row r="1170" spans="1:9" x14ac:dyDescent="0.3">
      <c r="A1170" s="356"/>
      <c r="B1170" s="278"/>
      <c r="C1170" s="357"/>
      <c r="D1170" s="358"/>
      <c r="E1170" s="358"/>
      <c r="F1170" s="358"/>
      <c r="G1170" s="278"/>
      <c r="H1170" s="358"/>
      <c r="I1170" s="278"/>
    </row>
    <row r="1171" spans="1:9" x14ac:dyDescent="0.3">
      <c r="A1171" s="356"/>
      <c r="B1171" s="278"/>
      <c r="C1171" s="357"/>
      <c r="D1171" s="358"/>
      <c r="E1171" s="358"/>
      <c r="F1171" s="358"/>
      <c r="G1171" s="278"/>
      <c r="H1171" s="358"/>
      <c r="I1171" s="278"/>
    </row>
    <row r="1172" spans="1:9" x14ac:dyDescent="0.3">
      <c r="A1172" s="356"/>
      <c r="B1172" s="278"/>
      <c r="C1172" s="357"/>
      <c r="D1172" s="358"/>
      <c r="E1172" s="358"/>
      <c r="F1172" s="358"/>
      <c r="G1172" s="278"/>
      <c r="H1172" s="358"/>
      <c r="I1172" s="278"/>
    </row>
    <row r="1173" spans="1:9" x14ac:dyDescent="0.3">
      <c r="A1173" s="356"/>
      <c r="B1173" s="278"/>
      <c r="C1173" s="357"/>
      <c r="D1173" s="358"/>
      <c r="E1173" s="358"/>
      <c r="F1173" s="358"/>
      <c r="G1173" s="278"/>
      <c r="H1173" s="358"/>
      <c r="I1173" s="278"/>
    </row>
    <row r="1174" spans="1:9" x14ac:dyDescent="0.3">
      <c r="A1174" s="356"/>
      <c r="B1174" s="278"/>
      <c r="C1174" s="357"/>
      <c r="D1174" s="358"/>
      <c r="E1174" s="358"/>
      <c r="F1174" s="358"/>
      <c r="G1174" s="278"/>
      <c r="H1174" s="358"/>
      <c r="I1174" s="278"/>
    </row>
    <row r="1175" spans="1:9" x14ac:dyDescent="0.3">
      <c r="A1175" s="356"/>
      <c r="B1175" s="278"/>
      <c r="C1175" s="357"/>
      <c r="D1175" s="358"/>
      <c r="E1175" s="358"/>
      <c r="F1175" s="358"/>
      <c r="G1175" s="278"/>
      <c r="H1175" s="358"/>
      <c r="I1175" s="278"/>
    </row>
    <row r="1176" spans="1:9" x14ac:dyDescent="0.3">
      <c r="A1176" s="356"/>
      <c r="B1176" s="278"/>
      <c r="C1176" s="357"/>
      <c r="D1176" s="358"/>
      <c r="E1176" s="358"/>
      <c r="F1176" s="358"/>
      <c r="G1176" s="278"/>
      <c r="H1176" s="358"/>
      <c r="I1176" s="278"/>
    </row>
    <row r="1177" spans="1:9" x14ac:dyDescent="0.3">
      <c r="A1177" s="356"/>
      <c r="B1177" s="278"/>
      <c r="C1177" s="357"/>
      <c r="D1177" s="358"/>
      <c r="E1177" s="358"/>
      <c r="F1177" s="358"/>
      <c r="G1177" s="278"/>
      <c r="H1177" s="358"/>
      <c r="I1177" s="278"/>
    </row>
    <row r="1178" spans="1:9" x14ac:dyDescent="0.3">
      <c r="A1178" s="356"/>
      <c r="B1178" s="278"/>
      <c r="C1178" s="357"/>
      <c r="D1178" s="358"/>
      <c r="E1178" s="358"/>
      <c r="F1178" s="358"/>
      <c r="G1178" s="278"/>
      <c r="H1178" s="358"/>
      <c r="I1178" s="278"/>
    </row>
    <row r="1179" spans="1:9" x14ac:dyDescent="0.3">
      <c r="A1179" s="356"/>
      <c r="B1179" s="278"/>
      <c r="C1179" s="357"/>
      <c r="D1179" s="358"/>
      <c r="E1179" s="358"/>
      <c r="F1179" s="358"/>
      <c r="G1179" s="278"/>
      <c r="H1179" s="358"/>
      <c r="I1179" s="278"/>
    </row>
    <row r="1180" spans="1:9" x14ac:dyDescent="0.3">
      <c r="A1180" s="356"/>
      <c r="B1180" s="278"/>
      <c r="C1180" s="357"/>
      <c r="D1180" s="358"/>
      <c r="E1180" s="358"/>
      <c r="F1180" s="358"/>
      <c r="G1180" s="278"/>
      <c r="H1180" s="358"/>
      <c r="I1180" s="278"/>
    </row>
    <row r="1181" spans="1:9" x14ac:dyDescent="0.3">
      <c r="A1181" s="356"/>
      <c r="B1181" s="278"/>
      <c r="C1181" s="357"/>
      <c r="D1181" s="358"/>
      <c r="E1181" s="358"/>
      <c r="F1181" s="358"/>
      <c r="G1181" s="278"/>
      <c r="H1181" s="358"/>
      <c r="I1181" s="278"/>
    </row>
    <row r="1182" spans="1:9" x14ac:dyDescent="0.3">
      <c r="A1182" s="356"/>
      <c r="B1182" s="278"/>
      <c r="C1182" s="357"/>
      <c r="D1182" s="358"/>
      <c r="E1182" s="358"/>
      <c r="F1182" s="358"/>
      <c r="G1182" s="278"/>
      <c r="H1182" s="358"/>
      <c r="I1182" s="278"/>
    </row>
    <row r="1183" spans="1:9" x14ac:dyDescent="0.3">
      <c r="A1183" s="356"/>
      <c r="B1183" s="278"/>
      <c r="C1183" s="357"/>
      <c r="D1183" s="358"/>
      <c r="E1183" s="358"/>
      <c r="F1183" s="358"/>
      <c r="G1183" s="278"/>
      <c r="H1183" s="358"/>
      <c r="I1183" s="278"/>
    </row>
    <row r="1184" spans="1:9" x14ac:dyDescent="0.3">
      <c r="A1184" s="356"/>
      <c r="B1184" s="278"/>
      <c r="C1184" s="357"/>
      <c r="D1184" s="358"/>
      <c r="E1184" s="358"/>
      <c r="F1184" s="358"/>
      <c r="G1184" s="278"/>
      <c r="H1184" s="358"/>
      <c r="I1184" s="278"/>
    </row>
    <row r="1185" spans="1:9" x14ac:dyDescent="0.3">
      <c r="A1185" s="356"/>
      <c r="B1185" s="278"/>
      <c r="C1185" s="357"/>
      <c r="D1185" s="358"/>
      <c r="E1185" s="358"/>
      <c r="F1185" s="358"/>
      <c r="G1185" s="278"/>
      <c r="H1185" s="358"/>
      <c r="I1185" s="278"/>
    </row>
    <row r="1186" spans="1:9" x14ac:dyDescent="0.3">
      <c r="A1186" s="356"/>
      <c r="B1186" s="278"/>
      <c r="C1186" s="357"/>
      <c r="D1186" s="358"/>
      <c r="E1186" s="358"/>
      <c r="F1186" s="358"/>
      <c r="G1186" s="278"/>
      <c r="H1186" s="358"/>
      <c r="I1186" s="278"/>
    </row>
    <row r="1187" spans="1:9" x14ac:dyDescent="0.3">
      <c r="A1187" s="356"/>
      <c r="B1187" s="278"/>
      <c r="C1187" s="357"/>
      <c r="D1187" s="358"/>
      <c r="E1187" s="358"/>
      <c r="F1187" s="358"/>
      <c r="G1187" s="278"/>
      <c r="H1187" s="358"/>
      <c r="I1187" s="278"/>
    </row>
    <row r="1188" spans="1:9" x14ac:dyDescent="0.3">
      <c r="A1188" s="356"/>
      <c r="B1188" s="278"/>
      <c r="C1188" s="357"/>
      <c r="D1188" s="358"/>
      <c r="E1188" s="358"/>
      <c r="F1188" s="358"/>
      <c r="G1188" s="278"/>
      <c r="H1188" s="358"/>
      <c r="I1188" s="278"/>
    </row>
    <row r="1189" spans="1:9" x14ac:dyDescent="0.3">
      <c r="A1189" s="356"/>
      <c r="B1189" s="278"/>
      <c r="C1189" s="357"/>
      <c r="D1189" s="358"/>
      <c r="E1189" s="358"/>
      <c r="F1189" s="358"/>
      <c r="G1189" s="278"/>
      <c r="H1189" s="358"/>
      <c r="I1189" s="278"/>
    </row>
    <row r="1190" spans="1:9" x14ac:dyDescent="0.3">
      <c r="A1190" s="356"/>
      <c r="B1190" s="278"/>
      <c r="C1190" s="357"/>
      <c r="D1190" s="358"/>
      <c r="E1190" s="358"/>
      <c r="F1190" s="358"/>
      <c r="G1190" s="278"/>
      <c r="H1190" s="358"/>
      <c r="I1190" s="278"/>
    </row>
    <row r="1191" spans="1:9" x14ac:dyDescent="0.3">
      <c r="A1191" s="356"/>
      <c r="B1191" s="278"/>
      <c r="C1191" s="357"/>
      <c r="D1191" s="358"/>
      <c r="E1191" s="358"/>
      <c r="F1191" s="358"/>
      <c r="G1191" s="278"/>
      <c r="H1191" s="358"/>
      <c r="I1191" s="278"/>
    </row>
    <row r="1192" spans="1:9" x14ac:dyDescent="0.3">
      <c r="A1192" s="356"/>
      <c r="B1192" s="278"/>
      <c r="C1192" s="357"/>
      <c r="D1192" s="358"/>
      <c r="E1192" s="358"/>
      <c r="F1192" s="358"/>
      <c r="G1192" s="278"/>
      <c r="H1192" s="358"/>
      <c r="I1192" s="278"/>
    </row>
    <row r="1193" spans="1:9" x14ac:dyDescent="0.3">
      <c r="A1193" s="356"/>
      <c r="B1193" s="278"/>
      <c r="C1193" s="357"/>
      <c r="D1193" s="358"/>
      <c r="E1193" s="358"/>
      <c r="F1193" s="358"/>
      <c r="G1193" s="278"/>
      <c r="H1193" s="358"/>
      <c r="I1193" s="278"/>
    </row>
    <row r="1194" spans="1:9" x14ac:dyDescent="0.3">
      <c r="A1194" s="356"/>
      <c r="B1194" s="278"/>
      <c r="C1194" s="357"/>
      <c r="D1194" s="358"/>
      <c r="E1194" s="358"/>
      <c r="F1194" s="358"/>
      <c r="G1194" s="278"/>
      <c r="H1194" s="358"/>
      <c r="I1194" s="278"/>
    </row>
    <row r="1195" spans="1:9" x14ac:dyDescent="0.3">
      <c r="A1195" s="356"/>
      <c r="B1195" s="278"/>
      <c r="C1195" s="357"/>
      <c r="D1195" s="358"/>
      <c r="E1195" s="358"/>
      <c r="F1195" s="358"/>
      <c r="G1195" s="278"/>
      <c r="H1195" s="358"/>
      <c r="I1195" s="278"/>
    </row>
    <row r="1196" spans="1:9" x14ac:dyDescent="0.3">
      <c r="A1196" s="356"/>
      <c r="B1196" s="278"/>
      <c r="C1196" s="357"/>
      <c r="D1196" s="358"/>
      <c r="E1196" s="358"/>
      <c r="F1196" s="358"/>
      <c r="G1196" s="278"/>
      <c r="H1196" s="358"/>
      <c r="I1196" s="278"/>
    </row>
    <row r="1197" spans="1:9" x14ac:dyDescent="0.3">
      <c r="A1197" s="356"/>
      <c r="B1197" s="278"/>
      <c r="C1197" s="357"/>
      <c r="D1197" s="358"/>
      <c r="E1197" s="358"/>
      <c r="F1197" s="358"/>
      <c r="G1197" s="278"/>
      <c r="H1197" s="358"/>
      <c r="I1197" s="278"/>
    </row>
    <row r="1198" spans="1:9" x14ac:dyDescent="0.3">
      <c r="A1198" s="356"/>
      <c r="B1198" s="278"/>
      <c r="C1198" s="357"/>
      <c r="D1198" s="358"/>
      <c r="E1198" s="358"/>
      <c r="F1198" s="358"/>
      <c r="G1198" s="278"/>
      <c r="H1198" s="358"/>
      <c r="I1198" s="278"/>
    </row>
    <row r="1199" spans="1:9" x14ac:dyDescent="0.3">
      <c r="A1199" s="356"/>
      <c r="B1199" s="278"/>
      <c r="C1199" s="357"/>
      <c r="D1199" s="358"/>
      <c r="E1199" s="358"/>
      <c r="F1199" s="358"/>
      <c r="G1199" s="278"/>
      <c r="H1199" s="358"/>
      <c r="I1199" s="278"/>
    </row>
    <row r="1200" spans="1:9" x14ac:dyDescent="0.3">
      <c r="A1200" s="356"/>
      <c r="B1200" s="278"/>
      <c r="C1200" s="357"/>
      <c r="D1200" s="358"/>
      <c r="E1200" s="358"/>
      <c r="F1200" s="358"/>
      <c r="G1200" s="278"/>
      <c r="H1200" s="358"/>
      <c r="I1200" s="278"/>
    </row>
    <row r="1201" spans="1:9" x14ac:dyDescent="0.3">
      <c r="A1201" s="356"/>
      <c r="B1201" s="278"/>
      <c r="C1201" s="357"/>
      <c r="D1201" s="358"/>
      <c r="E1201" s="358"/>
      <c r="F1201" s="358"/>
      <c r="G1201" s="278"/>
      <c r="H1201" s="358"/>
      <c r="I1201" s="278"/>
    </row>
    <row r="1202" spans="1:9" x14ac:dyDescent="0.3">
      <c r="A1202" s="356"/>
      <c r="B1202" s="278"/>
      <c r="C1202" s="357"/>
      <c r="D1202" s="358"/>
      <c r="E1202" s="358"/>
      <c r="F1202" s="358"/>
      <c r="G1202" s="278"/>
      <c r="H1202" s="358"/>
      <c r="I1202" s="278"/>
    </row>
    <row r="1203" spans="1:9" x14ac:dyDescent="0.3">
      <c r="A1203" s="356"/>
      <c r="B1203" s="278"/>
      <c r="C1203" s="357"/>
      <c r="D1203" s="358"/>
      <c r="E1203" s="358"/>
      <c r="F1203" s="358"/>
      <c r="G1203" s="278"/>
      <c r="H1203" s="358"/>
      <c r="I1203" s="278"/>
    </row>
    <row r="1204" spans="1:9" x14ac:dyDescent="0.3">
      <c r="A1204" s="356"/>
      <c r="B1204" s="278"/>
      <c r="C1204" s="357"/>
      <c r="D1204" s="358"/>
      <c r="E1204" s="358"/>
      <c r="F1204" s="358"/>
      <c r="G1204" s="278"/>
      <c r="H1204" s="358"/>
      <c r="I1204" s="278"/>
    </row>
    <row r="1205" spans="1:9" x14ac:dyDescent="0.3">
      <c r="A1205" s="356"/>
      <c r="B1205" s="278"/>
      <c r="C1205" s="357"/>
      <c r="D1205" s="358"/>
      <c r="E1205" s="358"/>
      <c r="F1205" s="358"/>
      <c r="G1205" s="278"/>
      <c r="H1205" s="358"/>
      <c r="I1205" s="278"/>
    </row>
    <row r="1206" spans="1:9" x14ac:dyDescent="0.3">
      <c r="A1206" s="356"/>
      <c r="B1206" s="278"/>
      <c r="C1206" s="357"/>
      <c r="D1206" s="358"/>
      <c r="E1206" s="358"/>
      <c r="F1206" s="358"/>
      <c r="G1206" s="278"/>
      <c r="H1206" s="358"/>
      <c r="I1206" s="278"/>
    </row>
    <row r="1207" spans="1:9" x14ac:dyDescent="0.3">
      <c r="A1207" s="356"/>
      <c r="B1207" s="278"/>
      <c r="C1207" s="357"/>
      <c r="D1207" s="358"/>
      <c r="E1207" s="358"/>
      <c r="F1207" s="358"/>
      <c r="G1207" s="278"/>
      <c r="H1207" s="358"/>
      <c r="I1207" s="278"/>
    </row>
    <row r="1208" spans="1:9" x14ac:dyDescent="0.3">
      <c r="A1208" s="356"/>
      <c r="B1208" s="278"/>
      <c r="C1208" s="357"/>
      <c r="D1208" s="358"/>
      <c r="E1208" s="358"/>
      <c r="F1208" s="358"/>
      <c r="G1208" s="278"/>
      <c r="H1208" s="358"/>
      <c r="I1208" s="278"/>
    </row>
    <row r="1209" spans="1:9" x14ac:dyDescent="0.3">
      <c r="A1209" s="356"/>
      <c r="B1209" s="278"/>
      <c r="C1209" s="357"/>
      <c r="D1209" s="358"/>
      <c r="E1209" s="358"/>
      <c r="F1209" s="358"/>
      <c r="G1209" s="278"/>
      <c r="H1209" s="358"/>
      <c r="I1209" s="278"/>
    </row>
    <row r="1210" spans="1:9" x14ac:dyDescent="0.3">
      <c r="A1210" s="356"/>
      <c r="B1210" s="278"/>
      <c r="C1210" s="357"/>
      <c r="D1210" s="358"/>
      <c r="E1210" s="358"/>
      <c r="F1210" s="358"/>
      <c r="G1210" s="278"/>
      <c r="H1210" s="358"/>
      <c r="I1210" s="278"/>
    </row>
    <row r="1211" spans="1:9" x14ac:dyDescent="0.3">
      <c r="A1211" s="356"/>
      <c r="B1211" s="278"/>
      <c r="C1211" s="357"/>
      <c r="D1211" s="358"/>
      <c r="E1211" s="358"/>
      <c r="F1211" s="358"/>
      <c r="G1211" s="278"/>
      <c r="H1211" s="358"/>
      <c r="I1211" s="278"/>
    </row>
    <row r="1212" spans="1:9" x14ac:dyDescent="0.3">
      <c r="A1212" s="356"/>
      <c r="B1212" s="278"/>
      <c r="C1212" s="357"/>
      <c r="D1212" s="358"/>
      <c r="E1212" s="358"/>
      <c r="F1212" s="358"/>
      <c r="G1212" s="278"/>
      <c r="H1212" s="358"/>
      <c r="I1212" s="278"/>
    </row>
    <row r="1213" spans="1:9" x14ac:dyDescent="0.3">
      <c r="A1213" s="356"/>
      <c r="B1213" s="278"/>
      <c r="C1213" s="357"/>
      <c r="D1213" s="358"/>
      <c r="E1213" s="358"/>
      <c r="F1213" s="358"/>
      <c r="G1213" s="278"/>
      <c r="H1213" s="358"/>
      <c r="I1213" s="278"/>
    </row>
    <row r="1214" spans="1:9" x14ac:dyDescent="0.3">
      <c r="A1214" s="356"/>
      <c r="B1214" s="278"/>
      <c r="C1214" s="357"/>
      <c r="D1214" s="358"/>
      <c r="E1214" s="358"/>
      <c r="F1214" s="358"/>
      <c r="G1214" s="278"/>
      <c r="H1214" s="358"/>
      <c r="I1214" s="278"/>
    </row>
    <row r="1215" spans="1:9" x14ac:dyDescent="0.3">
      <c r="A1215" s="356"/>
      <c r="B1215" s="278"/>
      <c r="C1215" s="357"/>
      <c r="D1215" s="358"/>
      <c r="E1215" s="358"/>
      <c r="F1215" s="358"/>
      <c r="G1215" s="278"/>
      <c r="H1215" s="358"/>
      <c r="I1215" s="278"/>
    </row>
    <row r="1216" spans="1:9" x14ac:dyDescent="0.3">
      <c r="A1216" s="356"/>
      <c r="B1216" s="278"/>
      <c r="C1216" s="357"/>
      <c r="D1216" s="358"/>
      <c r="E1216" s="358"/>
      <c r="F1216" s="358"/>
      <c r="G1216" s="278"/>
      <c r="H1216" s="358"/>
      <c r="I1216" s="278"/>
    </row>
    <row r="1217" spans="1:9" x14ac:dyDescent="0.3">
      <c r="A1217" s="356"/>
      <c r="B1217" s="278"/>
      <c r="C1217" s="357"/>
      <c r="D1217" s="358"/>
      <c r="E1217" s="358"/>
      <c r="F1217" s="358"/>
      <c r="G1217" s="278"/>
      <c r="H1217" s="358"/>
      <c r="I1217" s="278"/>
    </row>
    <row r="1218" spans="1:9" x14ac:dyDescent="0.3">
      <c r="A1218" s="356"/>
      <c r="B1218" s="278"/>
      <c r="C1218" s="357"/>
      <c r="D1218" s="358"/>
      <c r="E1218" s="358"/>
      <c r="F1218" s="358"/>
      <c r="G1218" s="278"/>
      <c r="H1218" s="358"/>
      <c r="I1218" s="278"/>
    </row>
    <row r="1219" spans="1:9" x14ac:dyDescent="0.3">
      <c r="A1219" s="356"/>
      <c r="B1219" s="278"/>
      <c r="C1219" s="357"/>
      <c r="D1219" s="358"/>
      <c r="E1219" s="358"/>
      <c r="F1219" s="358"/>
      <c r="G1219" s="278"/>
      <c r="H1219" s="358"/>
      <c r="I1219" s="278"/>
    </row>
    <row r="1220" spans="1:9" x14ac:dyDescent="0.3">
      <c r="A1220" s="356"/>
      <c r="B1220" s="278"/>
      <c r="C1220" s="357"/>
      <c r="D1220" s="358"/>
      <c r="E1220" s="358"/>
      <c r="F1220" s="358"/>
      <c r="G1220" s="278"/>
      <c r="H1220" s="358"/>
      <c r="I1220" s="278"/>
    </row>
    <row r="1221" spans="1:9" x14ac:dyDescent="0.3">
      <c r="A1221" s="356"/>
      <c r="B1221" s="278"/>
      <c r="C1221" s="357"/>
      <c r="D1221" s="358"/>
      <c r="E1221" s="358"/>
      <c r="F1221" s="358"/>
      <c r="G1221" s="278"/>
      <c r="H1221" s="358"/>
      <c r="I1221" s="278"/>
    </row>
    <row r="1222" spans="1:9" x14ac:dyDescent="0.3">
      <c r="A1222" s="356"/>
      <c r="B1222" s="278"/>
      <c r="C1222" s="357"/>
      <c r="D1222" s="358"/>
      <c r="E1222" s="358"/>
      <c r="F1222" s="358"/>
      <c r="G1222" s="278"/>
      <c r="H1222" s="358"/>
      <c r="I1222" s="278"/>
    </row>
    <row r="1223" spans="1:9" x14ac:dyDescent="0.3">
      <c r="A1223" s="356"/>
      <c r="B1223" s="278"/>
      <c r="C1223" s="357"/>
      <c r="D1223" s="358"/>
      <c r="E1223" s="358"/>
      <c r="F1223" s="358"/>
      <c r="G1223" s="278"/>
      <c r="H1223" s="358"/>
      <c r="I1223" s="278"/>
    </row>
    <row r="1224" spans="1:9" x14ac:dyDescent="0.3">
      <c r="A1224" s="356"/>
      <c r="B1224" s="278"/>
      <c r="C1224" s="357"/>
      <c r="D1224" s="358"/>
      <c r="E1224" s="358"/>
      <c r="F1224" s="358"/>
      <c r="G1224" s="278"/>
      <c r="H1224" s="358"/>
      <c r="I1224" s="278"/>
    </row>
    <row r="1225" spans="1:9" x14ac:dyDescent="0.3">
      <c r="A1225" s="356"/>
      <c r="B1225" s="278"/>
      <c r="C1225" s="357"/>
      <c r="D1225" s="358"/>
      <c r="E1225" s="358"/>
      <c r="F1225" s="358"/>
      <c r="G1225" s="278"/>
      <c r="H1225" s="358"/>
      <c r="I1225" s="278"/>
    </row>
    <row r="1226" spans="1:9" x14ac:dyDescent="0.3">
      <c r="A1226" s="356"/>
      <c r="B1226" s="278"/>
      <c r="C1226" s="357"/>
      <c r="D1226" s="358"/>
      <c r="E1226" s="358"/>
      <c r="F1226" s="358"/>
      <c r="G1226" s="278"/>
      <c r="H1226" s="358"/>
      <c r="I1226" s="278"/>
    </row>
    <row r="1227" spans="1:9" x14ac:dyDescent="0.3">
      <c r="A1227" s="356"/>
      <c r="B1227" s="278"/>
      <c r="C1227" s="357"/>
      <c r="D1227" s="358"/>
      <c r="E1227" s="358"/>
      <c r="F1227" s="358"/>
      <c r="G1227" s="278"/>
      <c r="H1227" s="358"/>
      <c r="I1227" s="278"/>
    </row>
    <row r="1228" spans="1:9" x14ac:dyDescent="0.3">
      <c r="A1228" s="356"/>
      <c r="B1228" s="278"/>
      <c r="C1228" s="357"/>
      <c r="D1228" s="358"/>
      <c r="E1228" s="358"/>
      <c r="F1228" s="358"/>
      <c r="G1228" s="278"/>
      <c r="H1228" s="358"/>
      <c r="I1228" s="278"/>
    </row>
    <row r="1229" spans="1:9" x14ac:dyDescent="0.3">
      <c r="A1229" s="356"/>
      <c r="B1229" s="278"/>
      <c r="C1229" s="357"/>
      <c r="D1229" s="358"/>
      <c r="E1229" s="358"/>
      <c r="F1229" s="358"/>
      <c r="G1229" s="278"/>
      <c r="H1229" s="358"/>
      <c r="I1229" s="278"/>
    </row>
    <row r="1230" spans="1:9" x14ac:dyDescent="0.3">
      <c r="A1230" s="356"/>
      <c r="B1230" s="278"/>
      <c r="C1230" s="357"/>
      <c r="D1230" s="358"/>
      <c r="E1230" s="358"/>
      <c r="F1230" s="358"/>
      <c r="G1230" s="278"/>
      <c r="H1230" s="358"/>
      <c r="I1230" s="278"/>
    </row>
    <row r="1231" spans="1:9" x14ac:dyDescent="0.3">
      <c r="A1231" s="356"/>
      <c r="B1231" s="278"/>
      <c r="C1231" s="357"/>
      <c r="D1231" s="358"/>
      <c r="E1231" s="358"/>
      <c r="F1231" s="358"/>
      <c r="G1231" s="278"/>
      <c r="H1231" s="358"/>
      <c r="I1231" s="278"/>
    </row>
    <row r="1232" spans="1:9" x14ac:dyDescent="0.3">
      <c r="A1232" s="356"/>
      <c r="B1232" s="278"/>
      <c r="C1232" s="357"/>
      <c r="D1232" s="358"/>
      <c r="E1232" s="358"/>
      <c r="F1232" s="358"/>
      <c r="G1232" s="278"/>
      <c r="H1232" s="358"/>
      <c r="I1232" s="278"/>
    </row>
    <row r="1233" spans="1:9" x14ac:dyDescent="0.3">
      <c r="A1233" s="356"/>
      <c r="B1233" s="278"/>
      <c r="C1233" s="357"/>
      <c r="D1233" s="358"/>
      <c r="E1233" s="358"/>
      <c r="F1233" s="358"/>
      <c r="G1233" s="278"/>
      <c r="H1233" s="358"/>
      <c r="I1233" s="278"/>
    </row>
    <row r="1234" spans="1:9" x14ac:dyDescent="0.3">
      <c r="A1234" s="356"/>
      <c r="B1234" s="278"/>
      <c r="C1234" s="357"/>
      <c r="D1234" s="358"/>
      <c r="E1234" s="358"/>
      <c r="F1234" s="358"/>
      <c r="G1234" s="278"/>
      <c r="H1234" s="358"/>
      <c r="I1234" s="278"/>
    </row>
    <row r="1235" spans="1:9" x14ac:dyDescent="0.3">
      <c r="A1235" s="356"/>
      <c r="B1235" s="278"/>
      <c r="C1235" s="357"/>
      <c r="D1235" s="358"/>
      <c r="E1235" s="358"/>
      <c r="F1235" s="358"/>
      <c r="G1235" s="278"/>
      <c r="H1235" s="358"/>
      <c r="I1235" s="278"/>
    </row>
    <row r="1236" spans="1:9" x14ac:dyDescent="0.3">
      <c r="A1236" s="356"/>
      <c r="B1236" s="278"/>
      <c r="C1236" s="357"/>
      <c r="D1236" s="358"/>
      <c r="E1236" s="358"/>
      <c r="F1236" s="358"/>
      <c r="G1236" s="278"/>
      <c r="H1236" s="358"/>
      <c r="I1236" s="278"/>
    </row>
    <row r="1237" spans="1:9" x14ac:dyDescent="0.3">
      <c r="A1237" s="356"/>
      <c r="B1237" s="278"/>
      <c r="C1237" s="357"/>
      <c r="D1237" s="358"/>
      <c r="E1237" s="358"/>
      <c r="F1237" s="358"/>
      <c r="G1237" s="278"/>
      <c r="H1237" s="358"/>
      <c r="I1237" s="278"/>
    </row>
    <row r="1238" spans="1:9" x14ac:dyDescent="0.3">
      <c r="A1238" s="356"/>
      <c r="B1238" s="278"/>
      <c r="C1238" s="357"/>
      <c r="D1238" s="358"/>
      <c r="E1238" s="358"/>
      <c r="F1238" s="358"/>
      <c r="G1238" s="278"/>
      <c r="H1238" s="358"/>
      <c r="I1238" s="278"/>
    </row>
    <row r="1239" spans="1:9" x14ac:dyDescent="0.3">
      <c r="A1239" s="356"/>
      <c r="B1239" s="278"/>
      <c r="C1239" s="357"/>
      <c r="D1239" s="358"/>
      <c r="E1239" s="358"/>
      <c r="F1239" s="358"/>
      <c r="G1239" s="278"/>
      <c r="H1239" s="358"/>
      <c r="I1239" s="278"/>
    </row>
    <row r="1240" spans="1:9" x14ac:dyDescent="0.3">
      <c r="A1240" s="356"/>
      <c r="B1240" s="278"/>
      <c r="C1240" s="357"/>
      <c r="D1240" s="358"/>
      <c r="E1240" s="358"/>
      <c r="F1240" s="358"/>
      <c r="G1240" s="278"/>
      <c r="H1240" s="358"/>
      <c r="I1240" s="278"/>
    </row>
    <row r="1241" spans="1:9" x14ac:dyDescent="0.3">
      <c r="A1241" s="356"/>
      <c r="B1241" s="278"/>
      <c r="C1241" s="357"/>
      <c r="D1241" s="358"/>
      <c r="E1241" s="358"/>
      <c r="F1241" s="358"/>
      <c r="G1241" s="278"/>
      <c r="H1241" s="358"/>
      <c r="I1241" s="278"/>
    </row>
    <row r="1242" spans="1:9" x14ac:dyDescent="0.3">
      <c r="A1242" s="356"/>
      <c r="B1242" s="278"/>
      <c r="C1242" s="357"/>
      <c r="D1242" s="358"/>
      <c r="E1242" s="358"/>
      <c r="F1242" s="358"/>
      <c r="G1242" s="278"/>
      <c r="H1242" s="358"/>
      <c r="I1242" s="278"/>
    </row>
    <row r="1243" spans="1:9" x14ac:dyDescent="0.3">
      <c r="A1243" s="356"/>
      <c r="B1243" s="278"/>
      <c r="C1243" s="357"/>
      <c r="D1243" s="358"/>
      <c r="E1243" s="358"/>
      <c r="F1243" s="358"/>
      <c r="G1243" s="278"/>
      <c r="H1243" s="358"/>
      <c r="I1243" s="278"/>
    </row>
    <row r="1244" spans="1:9" x14ac:dyDescent="0.3">
      <c r="A1244" s="356"/>
      <c r="B1244" s="278"/>
      <c r="C1244" s="357"/>
      <c r="D1244" s="358"/>
      <c r="E1244" s="358"/>
      <c r="F1244" s="358"/>
      <c r="G1244" s="278"/>
      <c r="H1244" s="358"/>
      <c r="I1244" s="278"/>
    </row>
    <row r="1245" spans="1:9" x14ac:dyDescent="0.3">
      <c r="A1245" s="356"/>
      <c r="B1245" s="278"/>
      <c r="C1245" s="357"/>
      <c r="D1245" s="358"/>
      <c r="E1245" s="358"/>
      <c r="F1245" s="358"/>
      <c r="G1245" s="278"/>
      <c r="H1245" s="358"/>
      <c r="I1245" s="278"/>
    </row>
    <row r="1246" spans="1:9" x14ac:dyDescent="0.3">
      <c r="A1246" s="356"/>
      <c r="B1246" s="278"/>
      <c r="C1246" s="357"/>
      <c r="D1246" s="358"/>
      <c r="E1246" s="358"/>
      <c r="F1246" s="358"/>
      <c r="G1246" s="278"/>
      <c r="H1246" s="358"/>
      <c r="I1246" s="278"/>
    </row>
    <row r="1247" spans="1:9" x14ac:dyDescent="0.3">
      <c r="A1247" s="356"/>
      <c r="B1247" s="278"/>
      <c r="C1247" s="357"/>
      <c r="D1247" s="358"/>
      <c r="E1247" s="358"/>
      <c r="F1247" s="358"/>
      <c r="G1247" s="278"/>
      <c r="H1247" s="358"/>
      <c r="I1247" s="278"/>
    </row>
    <row r="1248" spans="1:9" x14ac:dyDescent="0.3">
      <c r="A1248" s="356"/>
      <c r="B1248" s="278"/>
      <c r="C1248" s="357"/>
      <c r="D1248" s="358"/>
      <c r="E1248" s="358"/>
      <c r="F1248" s="358"/>
      <c r="G1248" s="278"/>
      <c r="H1248" s="358"/>
      <c r="I1248" s="278"/>
    </row>
    <row r="1249" spans="1:9" x14ac:dyDescent="0.3">
      <c r="A1249" s="356"/>
      <c r="B1249" s="278"/>
      <c r="C1249" s="357"/>
      <c r="D1249" s="358"/>
      <c r="E1249" s="358"/>
      <c r="F1249" s="358"/>
      <c r="G1249" s="278"/>
      <c r="H1249" s="358"/>
      <c r="I1249" s="278"/>
    </row>
    <row r="1250" spans="1:9" x14ac:dyDescent="0.3">
      <c r="A1250" s="356"/>
      <c r="B1250" s="278"/>
      <c r="C1250" s="357"/>
      <c r="D1250" s="358"/>
      <c r="E1250" s="358"/>
      <c r="F1250" s="358"/>
      <c r="G1250" s="278"/>
      <c r="H1250" s="358"/>
      <c r="I1250" s="278"/>
    </row>
    <row r="1251" spans="1:9" x14ac:dyDescent="0.3">
      <c r="A1251" s="356"/>
      <c r="B1251" s="278"/>
      <c r="C1251" s="357"/>
      <c r="D1251" s="358"/>
      <c r="E1251" s="358"/>
      <c r="F1251" s="358"/>
      <c r="G1251" s="278"/>
      <c r="H1251" s="358"/>
      <c r="I1251" s="278"/>
    </row>
    <row r="1252" spans="1:9" x14ac:dyDescent="0.3">
      <c r="A1252" s="356"/>
      <c r="B1252" s="278"/>
      <c r="C1252" s="357"/>
      <c r="D1252" s="358"/>
      <c r="E1252" s="358"/>
      <c r="F1252" s="358"/>
      <c r="G1252" s="278"/>
      <c r="H1252" s="358"/>
      <c r="I1252" s="278"/>
    </row>
    <row r="1253" spans="1:9" x14ac:dyDescent="0.3">
      <c r="A1253" s="356"/>
      <c r="B1253" s="278"/>
      <c r="C1253" s="357"/>
      <c r="D1253" s="358"/>
      <c r="E1253" s="358"/>
      <c r="F1253" s="358"/>
      <c r="G1253" s="278"/>
      <c r="H1253" s="358"/>
      <c r="I1253" s="278"/>
    </row>
    <row r="1254" spans="1:9" x14ac:dyDescent="0.3">
      <c r="A1254" s="356"/>
      <c r="B1254" s="278"/>
      <c r="C1254" s="357"/>
      <c r="D1254" s="358"/>
      <c r="E1254" s="358"/>
      <c r="F1254" s="358"/>
      <c r="G1254" s="278"/>
      <c r="H1254" s="358"/>
      <c r="I1254" s="278"/>
    </row>
    <row r="1255" spans="1:9" x14ac:dyDescent="0.3">
      <c r="A1255" s="356"/>
      <c r="B1255" s="278"/>
      <c r="C1255" s="357"/>
      <c r="D1255" s="358"/>
      <c r="E1255" s="358"/>
      <c r="F1255" s="358"/>
      <c r="G1255" s="278"/>
      <c r="H1255" s="358"/>
      <c r="I1255" s="278"/>
    </row>
    <row r="1256" spans="1:9" x14ac:dyDescent="0.3">
      <c r="A1256" s="356"/>
      <c r="B1256" s="278"/>
      <c r="C1256" s="357"/>
      <c r="D1256" s="358"/>
      <c r="E1256" s="358"/>
      <c r="F1256" s="358"/>
      <c r="G1256" s="278"/>
      <c r="H1256" s="358"/>
      <c r="I1256" s="278"/>
    </row>
    <row r="1257" spans="1:9" x14ac:dyDescent="0.3">
      <c r="A1257" s="356"/>
      <c r="B1257" s="278"/>
      <c r="C1257" s="357"/>
      <c r="D1257" s="358"/>
      <c r="E1257" s="358"/>
      <c r="F1257" s="358"/>
      <c r="G1257" s="278"/>
      <c r="H1257" s="358"/>
      <c r="I1257" s="278"/>
    </row>
    <row r="1258" spans="1:9" x14ac:dyDescent="0.3">
      <c r="A1258" s="356"/>
      <c r="B1258" s="278"/>
      <c r="C1258" s="357"/>
      <c r="D1258" s="358"/>
      <c r="E1258" s="358"/>
      <c r="F1258" s="358"/>
      <c r="G1258" s="278"/>
      <c r="H1258" s="358"/>
      <c r="I1258" s="278"/>
    </row>
    <row r="1259" spans="1:9" x14ac:dyDescent="0.3">
      <c r="A1259" s="356"/>
      <c r="B1259" s="278"/>
      <c r="C1259" s="357"/>
      <c r="D1259" s="358"/>
      <c r="E1259" s="358"/>
      <c r="F1259" s="358"/>
      <c r="G1259" s="278"/>
      <c r="H1259" s="358"/>
      <c r="I1259" s="278"/>
    </row>
    <row r="1260" spans="1:9" x14ac:dyDescent="0.3">
      <c r="A1260" s="356"/>
      <c r="B1260" s="278"/>
      <c r="C1260" s="357"/>
      <c r="D1260" s="358"/>
      <c r="E1260" s="358"/>
      <c r="F1260" s="358"/>
      <c r="G1260" s="278"/>
      <c r="H1260" s="358"/>
      <c r="I1260" s="278"/>
    </row>
    <row r="1261" spans="1:9" x14ac:dyDescent="0.3">
      <c r="A1261" s="356"/>
      <c r="B1261" s="278"/>
      <c r="C1261" s="357"/>
      <c r="D1261" s="358"/>
      <c r="E1261" s="358"/>
      <c r="F1261" s="358"/>
      <c r="G1261" s="278"/>
      <c r="H1261" s="358"/>
      <c r="I1261" s="278"/>
    </row>
    <row r="1262" spans="1:9" x14ac:dyDescent="0.3">
      <c r="A1262" s="356"/>
      <c r="B1262" s="278"/>
      <c r="C1262" s="357"/>
      <c r="D1262" s="358"/>
      <c r="E1262" s="358"/>
      <c r="F1262" s="358"/>
      <c r="G1262" s="278"/>
      <c r="H1262" s="358"/>
      <c r="I1262" s="278"/>
    </row>
    <row r="1263" spans="1:9" x14ac:dyDescent="0.3">
      <c r="A1263" s="356"/>
      <c r="B1263" s="278"/>
      <c r="C1263" s="357"/>
      <c r="D1263" s="358"/>
      <c r="E1263" s="358"/>
      <c r="F1263" s="358"/>
      <c r="G1263" s="278"/>
      <c r="H1263" s="358"/>
      <c r="I1263" s="278"/>
    </row>
    <row r="1264" spans="1:9" x14ac:dyDescent="0.3">
      <c r="A1264" s="356"/>
      <c r="B1264" s="278"/>
      <c r="C1264" s="357"/>
      <c r="D1264" s="358"/>
      <c r="E1264" s="358"/>
      <c r="F1264" s="358"/>
      <c r="G1264" s="278"/>
      <c r="H1264" s="358"/>
      <c r="I1264" s="278"/>
    </row>
    <row r="1265" spans="1:9" x14ac:dyDescent="0.3">
      <c r="A1265" s="356"/>
      <c r="B1265" s="278"/>
      <c r="C1265" s="357"/>
      <c r="D1265" s="358"/>
      <c r="E1265" s="358"/>
      <c r="F1265" s="358"/>
      <c r="G1265" s="278"/>
      <c r="H1265" s="358"/>
      <c r="I1265" s="278"/>
    </row>
    <row r="1266" spans="1:9" x14ac:dyDescent="0.3">
      <c r="A1266" s="356"/>
      <c r="B1266" s="278"/>
      <c r="C1266" s="357"/>
      <c r="D1266" s="358"/>
      <c r="E1266" s="358"/>
      <c r="F1266" s="358"/>
      <c r="G1266" s="278"/>
      <c r="H1266" s="358"/>
      <c r="I1266" s="278"/>
    </row>
    <row r="1267" spans="1:9" x14ac:dyDescent="0.3">
      <c r="A1267" s="356"/>
      <c r="B1267" s="278"/>
      <c r="C1267" s="357"/>
      <c r="D1267" s="358"/>
      <c r="E1267" s="358"/>
      <c r="F1267" s="358"/>
      <c r="G1267" s="278"/>
      <c r="H1267" s="358"/>
      <c r="I1267" s="278"/>
    </row>
    <row r="1268" spans="1:9" x14ac:dyDescent="0.3">
      <c r="A1268" s="356"/>
      <c r="B1268" s="278"/>
      <c r="C1268" s="357"/>
      <c r="D1268" s="358"/>
      <c r="E1268" s="358"/>
      <c r="F1268" s="358"/>
      <c r="G1268" s="278"/>
      <c r="H1268" s="358"/>
      <c r="I1268" s="278"/>
    </row>
    <row r="1269" spans="1:9" x14ac:dyDescent="0.3">
      <c r="A1269" s="356"/>
      <c r="B1269" s="278"/>
      <c r="C1269" s="357"/>
      <c r="D1269" s="358"/>
      <c r="E1269" s="358"/>
      <c r="F1269" s="358"/>
      <c r="G1269" s="278"/>
      <c r="H1269" s="358"/>
      <c r="I1269" s="278"/>
    </row>
    <row r="1270" spans="1:9" x14ac:dyDescent="0.3">
      <c r="A1270" s="356"/>
      <c r="B1270" s="278"/>
      <c r="C1270" s="357"/>
      <c r="D1270" s="358"/>
      <c r="E1270" s="358"/>
      <c r="F1270" s="358"/>
      <c r="G1270" s="278"/>
      <c r="H1270" s="358"/>
      <c r="I1270" s="278"/>
    </row>
    <row r="1271" spans="1:9" x14ac:dyDescent="0.3">
      <c r="A1271" s="356"/>
      <c r="B1271" s="278"/>
      <c r="C1271" s="357"/>
      <c r="D1271" s="358"/>
      <c r="E1271" s="358"/>
      <c r="F1271" s="358"/>
      <c r="G1271" s="278"/>
      <c r="H1271" s="358"/>
      <c r="I1271" s="278"/>
    </row>
    <row r="1272" spans="1:9" x14ac:dyDescent="0.3">
      <c r="A1272" s="356"/>
      <c r="B1272" s="278"/>
      <c r="C1272" s="357"/>
      <c r="D1272" s="358"/>
      <c r="E1272" s="358"/>
      <c r="F1272" s="358"/>
      <c r="G1272" s="278"/>
      <c r="H1272" s="358"/>
      <c r="I1272" s="278"/>
    </row>
    <row r="1273" spans="1:9" x14ac:dyDescent="0.3">
      <c r="A1273" s="356"/>
      <c r="B1273" s="278"/>
      <c r="C1273" s="357"/>
      <c r="D1273" s="358"/>
      <c r="E1273" s="358"/>
      <c r="F1273" s="358"/>
      <c r="G1273" s="278"/>
      <c r="H1273" s="358"/>
      <c r="I1273" s="278"/>
    </row>
    <row r="1274" spans="1:9" x14ac:dyDescent="0.3">
      <c r="A1274" s="356"/>
      <c r="B1274" s="278"/>
      <c r="C1274" s="357"/>
      <c r="D1274" s="358"/>
      <c r="E1274" s="358"/>
      <c r="F1274" s="358"/>
      <c r="G1274" s="278"/>
      <c r="H1274" s="358"/>
      <c r="I1274" s="278"/>
    </row>
    <row r="1275" spans="1:9" x14ac:dyDescent="0.3">
      <c r="A1275" s="356"/>
      <c r="B1275" s="278"/>
      <c r="C1275" s="357"/>
      <c r="D1275" s="358"/>
      <c r="E1275" s="358"/>
      <c r="F1275" s="358"/>
      <c r="G1275" s="278"/>
      <c r="H1275" s="358"/>
      <c r="I1275" s="278"/>
    </row>
    <row r="1276" spans="1:9" x14ac:dyDescent="0.3">
      <c r="A1276" s="356"/>
      <c r="B1276" s="278"/>
      <c r="C1276" s="357"/>
      <c r="D1276" s="358"/>
      <c r="E1276" s="358"/>
      <c r="F1276" s="358"/>
      <c r="G1276" s="278"/>
      <c r="H1276" s="358"/>
      <c r="I1276" s="278"/>
    </row>
    <row r="1277" spans="1:9" x14ac:dyDescent="0.3">
      <c r="A1277" s="356"/>
      <c r="B1277" s="278"/>
      <c r="C1277" s="357"/>
      <c r="D1277" s="358"/>
      <c r="E1277" s="358"/>
      <c r="F1277" s="358"/>
      <c r="G1277" s="278"/>
      <c r="H1277" s="358"/>
      <c r="I1277" s="278"/>
    </row>
    <row r="1278" spans="1:9" x14ac:dyDescent="0.3">
      <c r="A1278" s="356"/>
      <c r="B1278" s="278"/>
      <c r="C1278" s="357"/>
      <c r="D1278" s="358"/>
      <c r="E1278" s="358"/>
      <c r="F1278" s="358"/>
      <c r="G1278" s="278"/>
      <c r="H1278" s="358"/>
      <c r="I1278" s="278"/>
    </row>
    <row r="1279" spans="1:9" x14ac:dyDescent="0.3">
      <c r="A1279" s="356"/>
      <c r="B1279" s="278"/>
      <c r="C1279" s="357"/>
      <c r="D1279" s="358"/>
      <c r="E1279" s="358"/>
      <c r="F1279" s="358"/>
      <c r="G1279" s="278"/>
      <c r="H1279" s="358"/>
      <c r="I1279" s="278"/>
    </row>
    <row r="1280" spans="1:9" x14ac:dyDescent="0.3">
      <c r="A1280" s="356"/>
      <c r="B1280" s="278"/>
      <c r="C1280" s="357"/>
      <c r="D1280" s="358"/>
      <c r="E1280" s="358"/>
      <c r="F1280" s="358"/>
      <c r="G1280" s="278"/>
      <c r="H1280" s="358"/>
      <c r="I1280" s="278"/>
    </row>
    <row r="1281" spans="1:9" x14ac:dyDescent="0.3">
      <c r="A1281" s="356"/>
      <c r="B1281" s="278"/>
      <c r="C1281" s="357"/>
      <c r="D1281" s="358"/>
      <c r="E1281" s="358"/>
      <c r="F1281" s="358"/>
      <c r="G1281" s="278"/>
      <c r="H1281" s="358"/>
      <c r="I1281" s="278"/>
    </row>
    <row r="1282" spans="1:9" x14ac:dyDescent="0.3">
      <c r="A1282" s="356"/>
      <c r="B1282" s="278"/>
      <c r="C1282" s="357"/>
      <c r="D1282" s="358"/>
      <c r="E1282" s="358"/>
      <c r="F1282" s="358"/>
      <c r="G1282" s="278"/>
      <c r="H1282" s="358"/>
      <c r="I1282" s="278"/>
    </row>
    <row r="1283" spans="1:9" x14ac:dyDescent="0.3">
      <c r="A1283" s="356"/>
      <c r="B1283" s="278"/>
      <c r="C1283" s="357"/>
      <c r="D1283" s="358"/>
      <c r="E1283" s="358"/>
      <c r="F1283" s="358"/>
      <c r="G1283" s="278"/>
      <c r="H1283" s="358"/>
      <c r="I1283" s="278"/>
    </row>
    <row r="1284" spans="1:9" x14ac:dyDescent="0.3">
      <c r="A1284" s="356"/>
      <c r="B1284" s="278"/>
      <c r="C1284" s="357"/>
      <c r="D1284" s="358"/>
      <c r="E1284" s="358"/>
      <c r="F1284" s="358"/>
      <c r="G1284" s="278"/>
      <c r="H1284" s="358"/>
      <c r="I1284" s="278"/>
    </row>
    <row r="1285" spans="1:9" x14ac:dyDescent="0.3">
      <c r="A1285" s="356"/>
      <c r="B1285" s="278"/>
      <c r="C1285" s="357"/>
      <c r="D1285" s="358"/>
      <c r="E1285" s="358"/>
      <c r="F1285" s="358"/>
      <c r="G1285" s="278"/>
      <c r="H1285" s="358"/>
      <c r="I1285" s="278"/>
    </row>
    <row r="1286" spans="1:9" x14ac:dyDescent="0.3">
      <c r="A1286" s="356"/>
      <c r="B1286" s="278"/>
      <c r="C1286" s="357"/>
      <c r="D1286" s="358"/>
      <c r="E1286" s="358"/>
      <c r="F1286" s="358"/>
      <c r="G1286" s="278"/>
      <c r="H1286" s="358"/>
      <c r="I1286" s="278"/>
    </row>
    <row r="1287" spans="1:9" x14ac:dyDescent="0.3">
      <c r="A1287" s="356"/>
      <c r="B1287" s="278"/>
      <c r="C1287" s="357"/>
      <c r="D1287" s="358"/>
      <c r="E1287" s="358"/>
      <c r="F1287" s="358"/>
      <c r="G1287" s="278"/>
      <c r="H1287" s="358"/>
      <c r="I1287" s="278"/>
    </row>
    <row r="1288" spans="1:9" x14ac:dyDescent="0.3">
      <c r="A1288" s="356"/>
      <c r="B1288" s="278"/>
      <c r="C1288" s="357"/>
      <c r="D1288" s="358"/>
      <c r="E1288" s="358"/>
      <c r="F1288" s="358"/>
      <c r="G1288" s="278"/>
      <c r="H1288" s="358"/>
      <c r="I1288" s="278"/>
    </row>
    <row r="1289" spans="1:9" x14ac:dyDescent="0.3">
      <c r="A1289" s="356"/>
      <c r="B1289" s="278"/>
      <c r="C1289" s="357"/>
      <c r="D1289" s="358"/>
      <c r="E1289" s="358"/>
      <c r="F1289" s="358"/>
      <c r="G1289" s="278"/>
      <c r="H1289" s="358"/>
      <c r="I1289" s="278"/>
    </row>
    <row r="1290" spans="1:9" x14ac:dyDescent="0.3">
      <c r="A1290" s="356"/>
      <c r="B1290" s="278"/>
      <c r="C1290" s="357"/>
      <c r="D1290" s="358"/>
      <c r="E1290" s="358"/>
      <c r="F1290" s="358"/>
      <c r="G1290" s="278"/>
      <c r="H1290" s="358"/>
      <c r="I1290" s="278"/>
    </row>
    <row r="1291" spans="1:9" x14ac:dyDescent="0.3">
      <c r="A1291" s="356"/>
      <c r="B1291" s="278"/>
      <c r="C1291" s="357"/>
      <c r="D1291" s="358"/>
      <c r="E1291" s="358"/>
      <c r="F1291" s="358"/>
      <c r="G1291" s="278"/>
      <c r="H1291" s="358"/>
      <c r="I1291" s="278"/>
    </row>
    <row r="1292" spans="1:9" x14ac:dyDescent="0.3">
      <c r="A1292" s="356"/>
      <c r="B1292" s="278"/>
      <c r="C1292" s="357"/>
      <c r="D1292" s="358"/>
      <c r="E1292" s="358"/>
      <c r="F1292" s="358"/>
      <c r="G1292" s="278"/>
      <c r="H1292" s="358"/>
      <c r="I1292" s="278"/>
    </row>
    <row r="1293" spans="1:9" x14ac:dyDescent="0.3">
      <c r="A1293" s="356"/>
      <c r="B1293" s="278"/>
      <c r="C1293" s="357"/>
      <c r="D1293" s="358"/>
      <c r="E1293" s="358"/>
      <c r="F1293" s="358"/>
      <c r="G1293" s="278"/>
      <c r="H1293" s="358"/>
      <c r="I1293" s="278"/>
    </row>
    <row r="1294" spans="1:9" x14ac:dyDescent="0.3">
      <c r="A1294" s="356"/>
      <c r="B1294" s="278"/>
      <c r="C1294" s="357"/>
      <c r="D1294" s="358"/>
      <c r="E1294" s="358"/>
      <c r="F1294" s="358"/>
      <c r="G1294" s="278"/>
      <c r="H1294" s="358"/>
      <c r="I1294" s="278"/>
    </row>
    <row r="1295" spans="1:9" x14ac:dyDescent="0.3">
      <c r="A1295" s="356"/>
      <c r="B1295" s="278"/>
      <c r="C1295" s="357"/>
      <c r="D1295" s="358"/>
      <c r="E1295" s="358"/>
      <c r="F1295" s="358"/>
      <c r="G1295" s="278"/>
      <c r="H1295" s="358"/>
      <c r="I1295" s="278"/>
    </row>
    <row r="1296" spans="1:9" x14ac:dyDescent="0.3">
      <c r="A1296" s="356"/>
      <c r="B1296" s="278"/>
      <c r="C1296" s="357"/>
      <c r="D1296" s="358"/>
      <c r="E1296" s="358"/>
      <c r="F1296" s="358"/>
      <c r="G1296" s="278"/>
      <c r="H1296" s="358"/>
      <c r="I1296" s="278"/>
    </row>
    <row r="1297" spans="1:9" x14ac:dyDescent="0.3">
      <c r="A1297" s="356"/>
      <c r="B1297" s="278"/>
      <c r="C1297" s="357"/>
      <c r="D1297" s="358"/>
      <c r="E1297" s="358"/>
      <c r="F1297" s="358"/>
      <c r="G1297" s="278"/>
      <c r="H1297" s="358"/>
      <c r="I1297" s="278"/>
    </row>
    <row r="1298" spans="1:9" x14ac:dyDescent="0.3">
      <c r="A1298" s="356"/>
      <c r="B1298" s="278"/>
      <c r="C1298" s="357"/>
      <c r="D1298" s="358"/>
      <c r="E1298" s="358"/>
      <c r="F1298" s="358"/>
      <c r="G1298" s="278"/>
      <c r="H1298" s="358"/>
      <c r="I1298" s="278"/>
    </row>
    <row r="1299" spans="1:9" x14ac:dyDescent="0.3">
      <c r="A1299" s="356"/>
      <c r="B1299" s="278"/>
      <c r="C1299" s="357"/>
      <c r="D1299" s="358"/>
      <c r="E1299" s="358"/>
      <c r="F1299" s="358"/>
      <c r="G1299" s="278"/>
      <c r="H1299" s="358"/>
      <c r="I1299" s="278"/>
    </row>
    <row r="1300" spans="1:9" x14ac:dyDescent="0.3">
      <c r="A1300" s="356"/>
      <c r="B1300" s="278"/>
      <c r="C1300" s="357"/>
      <c r="D1300" s="358"/>
      <c r="E1300" s="358"/>
      <c r="F1300" s="358"/>
      <c r="G1300" s="278"/>
      <c r="H1300" s="358"/>
      <c r="I1300" s="278"/>
    </row>
    <row r="1301" spans="1:9" x14ac:dyDescent="0.3">
      <c r="A1301" s="356"/>
      <c r="B1301" s="278"/>
      <c r="C1301" s="357"/>
      <c r="D1301" s="358"/>
      <c r="E1301" s="358"/>
      <c r="F1301" s="358"/>
      <c r="G1301" s="278"/>
      <c r="H1301" s="358"/>
      <c r="I1301" s="278"/>
    </row>
    <row r="1302" spans="1:9" x14ac:dyDescent="0.3">
      <c r="A1302" s="356"/>
      <c r="B1302" s="278"/>
      <c r="C1302" s="357"/>
      <c r="D1302" s="358"/>
      <c r="E1302" s="358"/>
      <c r="F1302" s="358"/>
      <c r="G1302" s="278"/>
      <c r="H1302" s="358"/>
      <c r="I1302" s="278"/>
    </row>
    <row r="1303" spans="1:9" x14ac:dyDescent="0.3">
      <c r="A1303" s="356"/>
      <c r="B1303" s="278"/>
      <c r="C1303" s="357"/>
      <c r="D1303" s="358"/>
      <c r="E1303" s="358"/>
      <c r="F1303" s="358"/>
      <c r="G1303" s="278"/>
      <c r="H1303" s="358"/>
      <c r="I1303" s="278"/>
    </row>
    <row r="1304" spans="1:9" x14ac:dyDescent="0.3">
      <c r="A1304" s="356"/>
      <c r="B1304" s="278"/>
      <c r="C1304" s="357"/>
      <c r="D1304" s="358"/>
      <c r="E1304" s="358"/>
      <c r="F1304" s="358"/>
      <c r="G1304" s="278"/>
      <c r="H1304" s="358"/>
      <c r="I1304" s="278"/>
    </row>
    <row r="1305" spans="1:9" x14ac:dyDescent="0.3">
      <c r="A1305" s="356"/>
      <c r="B1305" s="278"/>
      <c r="C1305" s="357"/>
      <c r="D1305" s="358"/>
      <c r="E1305" s="358"/>
      <c r="F1305" s="358"/>
      <c r="G1305" s="278"/>
      <c r="H1305" s="358"/>
      <c r="I1305" s="278"/>
    </row>
    <row r="1306" spans="1:9" x14ac:dyDescent="0.3">
      <c r="A1306" s="356"/>
      <c r="B1306" s="278"/>
      <c r="C1306" s="357"/>
      <c r="D1306" s="358"/>
      <c r="E1306" s="358"/>
      <c r="F1306" s="358"/>
      <c r="G1306" s="278"/>
      <c r="H1306" s="358"/>
      <c r="I1306" s="278"/>
    </row>
    <row r="1307" spans="1:9" x14ac:dyDescent="0.3">
      <c r="A1307" s="356"/>
      <c r="B1307" s="278"/>
      <c r="C1307" s="357"/>
      <c r="D1307" s="358"/>
      <c r="E1307" s="358"/>
      <c r="F1307" s="358"/>
      <c r="G1307" s="278"/>
      <c r="H1307" s="358"/>
      <c r="I1307" s="278"/>
    </row>
    <row r="1308" spans="1:9" x14ac:dyDescent="0.3">
      <c r="A1308" s="356"/>
      <c r="B1308" s="278"/>
      <c r="C1308" s="357"/>
      <c r="D1308" s="358"/>
      <c r="E1308" s="358"/>
      <c r="F1308" s="358"/>
      <c r="G1308" s="278"/>
      <c r="H1308" s="358"/>
      <c r="I1308" s="278"/>
    </row>
    <row r="1309" spans="1:9" x14ac:dyDescent="0.3">
      <c r="A1309" s="356"/>
      <c r="B1309" s="278"/>
      <c r="C1309" s="357"/>
      <c r="D1309" s="358"/>
      <c r="E1309" s="358"/>
      <c r="F1309" s="358"/>
      <c r="G1309" s="278"/>
      <c r="H1309" s="358"/>
      <c r="I1309" s="278"/>
    </row>
    <row r="1310" spans="1:9" x14ac:dyDescent="0.3">
      <c r="A1310" s="356"/>
      <c r="B1310" s="278"/>
      <c r="C1310" s="357"/>
      <c r="D1310" s="358"/>
      <c r="E1310" s="358"/>
      <c r="F1310" s="358"/>
      <c r="G1310" s="278"/>
      <c r="H1310" s="358"/>
      <c r="I1310" s="278"/>
    </row>
    <row r="1311" spans="1:9" x14ac:dyDescent="0.3">
      <c r="A1311" s="356"/>
      <c r="B1311" s="278"/>
      <c r="C1311" s="357"/>
      <c r="D1311" s="358"/>
      <c r="E1311" s="358"/>
      <c r="F1311" s="358"/>
      <c r="G1311" s="278"/>
      <c r="H1311" s="358"/>
      <c r="I1311" s="278"/>
    </row>
    <row r="1312" spans="1:9" x14ac:dyDescent="0.3">
      <c r="A1312" s="356"/>
      <c r="B1312" s="278"/>
      <c r="C1312" s="357"/>
      <c r="D1312" s="358"/>
      <c r="E1312" s="358"/>
      <c r="F1312" s="358"/>
      <c r="G1312" s="278"/>
      <c r="H1312" s="358"/>
      <c r="I1312" s="278"/>
    </row>
    <row r="1313" spans="1:9" x14ac:dyDescent="0.3">
      <c r="A1313" s="356"/>
      <c r="B1313" s="278"/>
      <c r="C1313" s="357"/>
      <c r="D1313" s="358"/>
      <c r="E1313" s="358"/>
      <c r="F1313" s="358"/>
      <c r="G1313" s="278"/>
      <c r="H1313" s="358"/>
      <c r="I1313" s="278"/>
    </row>
    <row r="1314" spans="1:9" x14ac:dyDescent="0.3">
      <c r="A1314" s="356"/>
      <c r="B1314" s="278"/>
      <c r="C1314" s="357"/>
      <c r="D1314" s="358"/>
      <c r="E1314" s="358"/>
      <c r="F1314" s="358"/>
      <c r="G1314" s="278"/>
      <c r="H1314" s="358"/>
      <c r="I1314" s="278"/>
    </row>
    <row r="1315" spans="1:9" x14ac:dyDescent="0.3">
      <c r="A1315" s="356"/>
      <c r="B1315" s="278"/>
      <c r="C1315" s="357"/>
      <c r="D1315" s="358"/>
      <c r="E1315" s="358"/>
      <c r="F1315" s="358"/>
      <c r="G1315" s="278"/>
      <c r="H1315" s="358"/>
      <c r="I1315" s="278"/>
    </row>
    <row r="1316" spans="1:9" x14ac:dyDescent="0.3">
      <c r="A1316" s="356"/>
      <c r="B1316" s="278"/>
      <c r="C1316" s="357"/>
      <c r="D1316" s="358"/>
      <c r="E1316" s="358"/>
      <c r="F1316" s="358"/>
      <c r="G1316" s="278"/>
      <c r="H1316" s="358"/>
      <c r="I1316" s="278"/>
    </row>
    <row r="1317" spans="1:9" x14ac:dyDescent="0.3">
      <c r="A1317" s="356"/>
      <c r="B1317" s="278"/>
      <c r="C1317" s="357"/>
      <c r="D1317" s="358"/>
      <c r="E1317" s="358"/>
      <c r="F1317" s="358"/>
      <c r="G1317" s="278"/>
      <c r="H1317" s="358"/>
      <c r="I1317" s="278"/>
    </row>
    <row r="1318" spans="1:9" x14ac:dyDescent="0.3">
      <c r="A1318" s="356"/>
      <c r="B1318" s="278"/>
      <c r="C1318" s="357"/>
      <c r="D1318" s="358"/>
      <c r="E1318" s="358"/>
      <c r="F1318" s="358"/>
      <c r="G1318" s="278"/>
      <c r="H1318" s="358"/>
      <c r="I1318" s="278"/>
    </row>
    <row r="1319" spans="1:9" x14ac:dyDescent="0.3">
      <c r="A1319" s="356"/>
      <c r="B1319" s="278"/>
      <c r="C1319" s="357"/>
      <c r="D1319" s="358"/>
      <c r="E1319" s="358"/>
      <c r="F1319" s="358"/>
      <c r="G1319" s="278"/>
      <c r="H1319" s="358"/>
      <c r="I1319" s="278"/>
    </row>
    <row r="1320" spans="1:9" x14ac:dyDescent="0.3">
      <c r="A1320" s="356"/>
      <c r="B1320" s="278"/>
      <c r="C1320" s="357"/>
      <c r="D1320" s="358"/>
      <c r="E1320" s="358"/>
      <c r="F1320" s="358"/>
      <c r="G1320" s="278"/>
      <c r="H1320" s="358"/>
      <c r="I1320" s="278"/>
    </row>
    <row r="1321" spans="1:9" x14ac:dyDescent="0.3">
      <c r="A1321" s="356"/>
      <c r="B1321" s="278"/>
      <c r="C1321" s="357"/>
      <c r="D1321" s="358"/>
      <c r="E1321" s="358"/>
      <c r="F1321" s="358"/>
      <c r="G1321" s="278"/>
      <c r="H1321" s="358"/>
      <c r="I1321" s="278"/>
    </row>
    <row r="1322" spans="1:9" x14ac:dyDescent="0.3">
      <c r="A1322" s="356"/>
      <c r="B1322" s="278"/>
      <c r="C1322" s="357"/>
      <c r="D1322" s="358"/>
      <c r="E1322" s="358"/>
      <c r="F1322" s="358"/>
      <c r="G1322" s="278"/>
      <c r="H1322" s="358"/>
      <c r="I1322" s="278"/>
    </row>
    <row r="1323" spans="1:9" x14ac:dyDescent="0.3">
      <c r="A1323" s="356"/>
      <c r="B1323" s="278"/>
      <c r="C1323" s="357"/>
      <c r="D1323" s="358"/>
      <c r="E1323" s="358"/>
      <c r="F1323" s="358"/>
      <c r="G1323" s="278"/>
      <c r="H1323" s="358"/>
      <c r="I1323" s="278"/>
    </row>
    <row r="1324" spans="1:9" x14ac:dyDescent="0.3">
      <c r="A1324" s="356"/>
      <c r="B1324" s="278"/>
      <c r="C1324" s="357"/>
      <c r="D1324" s="358"/>
      <c r="E1324" s="358"/>
      <c r="F1324" s="358"/>
      <c r="G1324" s="278"/>
      <c r="H1324" s="358"/>
      <c r="I1324" s="278"/>
    </row>
    <row r="1325" spans="1:9" x14ac:dyDescent="0.3">
      <c r="A1325" s="356"/>
      <c r="B1325" s="278"/>
      <c r="C1325" s="357"/>
      <c r="D1325" s="358"/>
      <c r="E1325" s="358"/>
      <c r="F1325" s="358"/>
      <c r="G1325" s="278"/>
      <c r="H1325" s="358"/>
      <c r="I1325" s="278"/>
    </row>
    <row r="1326" spans="1:9" x14ac:dyDescent="0.3">
      <c r="A1326" s="356"/>
      <c r="B1326" s="278"/>
      <c r="C1326" s="357"/>
      <c r="D1326" s="358"/>
      <c r="E1326" s="358"/>
      <c r="F1326" s="358"/>
      <c r="G1326" s="278"/>
      <c r="H1326" s="358"/>
      <c r="I1326" s="278"/>
    </row>
    <row r="1327" spans="1:9" x14ac:dyDescent="0.3">
      <c r="A1327" s="356"/>
      <c r="B1327" s="278"/>
      <c r="C1327" s="357"/>
      <c r="D1327" s="358"/>
      <c r="E1327" s="358"/>
      <c r="F1327" s="358"/>
      <c r="G1327" s="278"/>
      <c r="H1327" s="358"/>
      <c r="I1327" s="278"/>
    </row>
    <row r="1328" spans="1:9" x14ac:dyDescent="0.3">
      <c r="A1328" s="356"/>
      <c r="B1328" s="278"/>
      <c r="C1328" s="357"/>
      <c r="D1328" s="358"/>
      <c r="E1328" s="358"/>
      <c r="F1328" s="358"/>
      <c r="G1328" s="278"/>
      <c r="H1328" s="358"/>
      <c r="I1328" s="278"/>
    </row>
    <row r="1329" spans="1:9" x14ac:dyDescent="0.3">
      <c r="A1329" s="356"/>
      <c r="B1329" s="278"/>
      <c r="C1329" s="357"/>
      <c r="D1329" s="358"/>
      <c r="E1329" s="358"/>
      <c r="F1329" s="358"/>
      <c r="G1329" s="278"/>
      <c r="H1329" s="358"/>
      <c r="I1329" s="278"/>
    </row>
    <row r="1330" spans="1:9" x14ac:dyDescent="0.3">
      <c r="A1330" s="356"/>
      <c r="B1330" s="278"/>
      <c r="C1330" s="357"/>
      <c r="D1330" s="358"/>
      <c r="E1330" s="358"/>
      <c r="F1330" s="358"/>
      <c r="G1330" s="278"/>
      <c r="H1330" s="358"/>
      <c r="I1330" s="278"/>
    </row>
    <row r="1331" spans="1:9" x14ac:dyDescent="0.3">
      <c r="A1331" s="356"/>
      <c r="B1331" s="278"/>
      <c r="C1331" s="357"/>
      <c r="D1331" s="358"/>
      <c r="E1331" s="358"/>
      <c r="F1331" s="358"/>
      <c r="G1331" s="278"/>
      <c r="H1331" s="358"/>
      <c r="I1331" s="278"/>
    </row>
    <row r="1332" spans="1:9" x14ac:dyDescent="0.3">
      <c r="A1332" s="356"/>
      <c r="B1332" s="278"/>
      <c r="C1332" s="357"/>
      <c r="D1332" s="358"/>
      <c r="E1332" s="358"/>
      <c r="F1332" s="358"/>
      <c r="G1332" s="278"/>
      <c r="H1332" s="358"/>
      <c r="I1332" s="278"/>
    </row>
    <row r="1333" spans="1:9" x14ac:dyDescent="0.3">
      <c r="A1333" s="356"/>
      <c r="B1333" s="278"/>
      <c r="C1333" s="357"/>
      <c r="D1333" s="358"/>
      <c r="E1333" s="358"/>
      <c r="F1333" s="358"/>
      <c r="G1333" s="278"/>
      <c r="H1333" s="358"/>
      <c r="I1333" s="278"/>
    </row>
    <row r="1334" spans="1:9" x14ac:dyDescent="0.3">
      <c r="A1334" s="356"/>
      <c r="B1334" s="278"/>
      <c r="C1334" s="357"/>
      <c r="D1334" s="358"/>
      <c r="E1334" s="358"/>
      <c r="F1334" s="358"/>
      <c r="G1334" s="278"/>
      <c r="H1334" s="358"/>
      <c r="I1334" s="278"/>
    </row>
    <row r="1335" spans="1:9" x14ac:dyDescent="0.3">
      <c r="A1335" s="356"/>
      <c r="B1335" s="278"/>
      <c r="C1335" s="357"/>
      <c r="D1335" s="358"/>
      <c r="E1335" s="358"/>
      <c r="F1335" s="358"/>
      <c r="G1335" s="278"/>
      <c r="H1335" s="358"/>
      <c r="I1335" s="278"/>
    </row>
    <row r="1336" spans="1:9" x14ac:dyDescent="0.3">
      <c r="A1336" s="356"/>
      <c r="B1336" s="278"/>
      <c r="C1336" s="357"/>
      <c r="D1336" s="358"/>
      <c r="E1336" s="358"/>
      <c r="F1336" s="358"/>
      <c r="G1336" s="278"/>
      <c r="H1336" s="358"/>
      <c r="I1336" s="278"/>
    </row>
    <row r="1337" spans="1:9" x14ac:dyDescent="0.3">
      <c r="A1337" s="356"/>
      <c r="B1337" s="278"/>
      <c r="C1337" s="357"/>
      <c r="D1337" s="358"/>
      <c r="E1337" s="358"/>
      <c r="F1337" s="358"/>
      <c r="G1337" s="278"/>
      <c r="H1337" s="358"/>
      <c r="I1337" s="278"/>
    </row>
    <row r="1338" spans="1:9" x14ac:dyDescent="0.3">
      <c r="A1338" s="356"/>
      <c r="B1338" s="278"/>
      <c r="C1338" s="357"/>
      <c r="D1338" s="358"/>
      <c r="E1338" s="358"/>
      <c r="F1338" s="358"/>
      <c r="G1338" s="278"/>
      <c r="H1338" s="358"/>
      <c r="I1338" s="278"/>
    </row>
    <row r="1339" spans="1:9" x14ac:dyDescent="0.3">
      <c r="A1339" s="356"/>
      <c r="B1339" s="278"/>
      <c r="C1339" s="357"/>
      <c r="D1339" s="358"/>
      <c r="E1339" s="358"/>
      <c r="F1339" s="358"/>
      <c r="G1339" s="278"/>
      <c r="H1339" s="358"/>
      <c r="I1339" s="278"/>
    </row>
    <row r="1340" spans="1:9" x14ac:dyDescent="0.3">
      <c r="A1340" s="356"/>
      <c r="B1340" s="278"/>
      <c r="C1340" s="357"/>
      <c r="D1340" s="358"/>
      <c r="E1340" s="358"/>
      <c r="F1340" s="358"/>
      <c r="G1340" s="278"/>
      <c r="H1340" s="358"/>
      <c r="I1340" s="278"/>
    </row>
    <row r="1341" spans="1:9" x14ac:dyDescent="0.3">
      <c r="A1341" s="356"/>
      <c r="B1341" s="278"/>
      <c r="C1341" s="357"/>
      <c r="D1341" s="358"/>
      <c r="E1341" s="358"/>
      <c r="F1341" s="358"/>
      <c r="G1341" s="278"/>
      <c r="H1341" s="358"/>
      <c r="I1341" s="278"/>
    </row>
    <row r="1342" spans="1:9" x14ac:dyDescent="0.3">
      <c r="A1342" s="356"/>
      <c r="B1342" s="278"/>
      <c r="C1342" s="357"/>
      <c r="D1342" s="358"/>
      <c r="E1342" s="358"/>
      <c r="F1342" s="358"/>
      <c r="G1342" s="278"/>
      <c r="H1342" s="358"/>
      <c r="I1342" s="278"/>
    </row>
    <row r="1343" spans="1:9" x14ac:dyDescent="0.3">
      <c r="A1343" s="356"/>
      <c r="B1343" s="278"/>
      <c r="C1343" s="357"/>
      <c r="D1343" s="358"/>
      <c r="E1343" s="358"/>
      <c r="F1343" s="358"/>
      <c r="G1343" s="278"/>
      <c r="H1343" s="358"/>
      <c r="I1343" s="278"/>
    </row>
    <row r="1344" spans="1:9" x14ac:dyDescent="0.3">
      <c r="A1344" s="356"/>
      <c r="B1344" s="278"/>
      <c r="C1344" s="357"/>
      <c r="D1344" s="358"/>
      <c r="E1344" s="358"/>
      <c r="F1344" s="358"/>
      <c r="G1344" s="278"/>
      <c r="H1344" s="358"/>
      <c r="I1344" s="278"/>
    </row>
    <row r="1345" spans="1:9" x14ac:dyDescent="0.3">
      <c r="A1345" s="356"/>
      <c r="B1345" s="278"/>
      <c r="C1345" s="357"/>
      <c r="D1345" s="358"/>
      <c r="E1345" s="358"/>
      <c r="F1345" s="358"/>
      <c r="G1345" s="278"/>
      <c r="H1345" s="358"/>
      <c r="I1345" s="278"/>
    </row>
    <row r="1346" spans="1:9" x14ac:dyDescent="0.3">
      <c r="A1346" s="356"/>
      <c r="B1346" s="278"/>
      <c r="C1346" s="357"/>
      <c r="D1346" s="358"/>
      <c r="E1346" s="358"/>
      <c r="F1346" s="358"/>
      <c r="G1346" s="278"/>
      <c r="H1346" s="358"/>
      <c r="I1346" s="278"/>
    </row>
    <row r="1347" spans="1:9" x14ac:dyDescent="0.3">
      <c r="A1347" s="356"/>
      <c r="B1347" s="278"/>
      <c r="C1347" s="357"/>
      <c r="D1347" s="358"/>
      <c r="E1347" s="358"/>
      <c r="F1347" s="358"/>
      <c r="G1347" s="278"/>
      <c r="H1347" s="358"/>
      <c r="I1347" s="278"/>
    </row>
    <row r="1348" spans="1:9" x14ac:dyDescent="0.3">
      <c r="A1348" s="356"/>
      <c r="B1348" s="278"/>
      <c r="C1348" s="357"/>
      <c r="D1348" s="358"/>
      <c r="E1348" s="358"/>
      <c r="F1348" s="358"/>
      <c r="G1348" s="278"/>
      <c r="H1348" s="358"/>
      <c r="I1348" s="278"/>
    </row>
    <row r="1349" spans="1:9" x14ac:dyDescent="0.3">
      <c r="A1349" s="356"/>
      <c r="B1349" s="278"/>
      <c r="C1349" s="357"/>
      <c r="D1349" s="358"/>
      <c r="E1349" s="358"/>
      <c r="F1349" s="358"/>
      <c r="G1349" s="278"/>
      <c r="H1349" s="358"/>
      <c r="I1349" s="278"/>
    </row>
    <row r="1350" spans="1:9" x14ac:dyDescent="0.3">
      <c r="A1350" s="356"/>
      <c r="B1350" s="278"/>
      <c r="C1350" s="357"/>
      <c r="D1350" s="358"/>
      <c r="E1350" s="358"/>
      <c r="F1350" s="358"/>
      <c r="G1350" s="278"/>
      <c r="H1350" s="358"/>
      <c r="I1350" s="278"/>
    </row>
    <row r="1351" spans="1:9" x14ac:dyDescent="0.3">
      <c r="A1351" s="356"/>
      <c r="B1351" s="278"/>
      <c r="C1351" s="357"/>
      <c r="D1351" s="358"/>
      <c r="E1351" s="358"/>
      <c r="F1351" s="358"/>
      <c r="G1351" s="278"/>
      <c r="H1351" s="358"/>
      <c r="I1351" s="278"/>
    </row>
    <row r="1352" spans="1:9" x14ac:dyDescent="0.3">
      <c r="A1352" s="356"/>
      <c r="B1352" s="278"/>
      <c r="C1352" s="357"/>
      <c r="D1352" s="358"/>
      <c r="E1352" s="358"/>
      <c r="F1352" s="358"/>
      <c r="G1352" s="278"/>
      <c r="H1352" s="358"/>
      <c r="I1352" s="278"/>
    </row>
    <row r="1353" spans="1:9" x14ac:dyDescent="0.3">
      <c r="A1353" s="356"/>
      <c r="B1353" s="278"/>
      <c r="C1353" s="357"/>
      <c r="D1353" s="358"/>
      <c r="E1353" s="358"/>
      <c r="F1353" s="358"/>
      <c r="G1353" s="278"/>
      <c r="H1353" s="358"/>
      <c r="I1353" s="278"/>
    </row>
    <row r="1354" spans="1:9" x14ac:dyDescent="0.3">
      <c r="A1354" s="356"/>
      <c r="B1354" s="278"/>
      <c r="C1354" s="357"/>
      <c r="D1354" s="358"/>
      <c r="E1354" s="358"/>
      <c r="F1354" s="358"/>
      <c r="G1354" s="278"/>
      <c r="H1354" s="358"/>
      <c r="I1354" s="278"/>
    </row>
    <row r="1355" spans="1:9" x14ac:dyDescent="0.3">
      <c r="A1355" s="356"/>
      <c r="B1355" s="278"/>
      <c r="C1355" s="357"/>
      <c r="D1355" s="358"/>
      <c r="E1355" s="358"/>
      <c r="F1355" s="358"/>
      <c r="G1355" s="278"/>
      <c r="H1355" s="358"/>
      <c r="I1355" s="278"/>
    </row>
    <row r="1356" spans="1:9" x14ac:dyDescent="0.3">
      <c r="A1356" s="356"/>
      <c r="B1356" s="278"/>
      <c r="C1356" s="357"/>
      <c r="D1356" s="358"/>
      <c r="E1356" s="358"/>
      <c r="F1356" s="358"/>
      <c r="G1356" s="278"/>
      <c r="H1356" s="358"/>
      <c r="I1356" s="278"/>
    </row>
    <row r="1357" spans="1:9" x14ac:dyDescent="0.3">
      <c r="A1357" s="356"/>
      <c r="B1357" s="278"/>
      <c r="C1357" s="357"/>
      <c r="D1357" s="358"/>
      <c r="E1357" s="358"/>
      <c r="F1357" s="358"/>
      <c r="G1357" s="278"/>
      <c r="H1357" s="358"/>
      <c r="I1357" s="278"/>
    </row>
    <row r="1358" spans="1:9" x14ac:dyDescent="0.3">
      <c r="A1358" s="356"/>
      <c r="B1358" s="278"/>
      <c r="C1358" s="357"/>
      <c r="D1358" s="358"/>
      <c r="E1358" s="358"/>
      <c r="F1358" s="358"/>
      <c r="G1358" s="278"/>
      <c r="H1358" s="358"/>
      <c r="I1358" s="278"/>
    </row>
    <row r="1359" spans="1:9" x14ac:dyDescent="0.3">
      <c r="A1359" s="356"/>
      <c r="B1359" s="278"/>
      <c r="C1359" s="357"/>
      <c r="D1359" s="358"/>
      <c r="E1359" s="358"/>
      <c r="F1359" s="358"/>
      <c r="G1359" s="278"/>
      <c r="H1359" s="358"/>
      <c r="I1359" s="278"/>
    </row>
    <row r="1360" spans="1:9" x14ac:dyDescent="0.3">
      <c r="A1360" s="356"/>
      <c r="B1360" s="278"/>
      <c r="C1360" s="357"/>
      <c r="D1360" s="358"/>
      <c r="E1360" s="358"/>
      <c r="F1360" s="358"/>
      <c r="G1360" s="278"/>
      <c r="H1360" s="358"/>
      <c r="I1360" s="278"/>
    </row>
    <row r="1361" spans="1:9" x14ac:dyDescent="0.3">
      <c r="A1361" s="356"/>
      <c r="B1361" s="278"/>
      <c r="C1361" s="357"/>
      <c r="D1361" s="358"/>
      <c r="E1361" s="358"/>
      <c r="F1361" s="358"/>
      <c r="G1361" s="278"/>
      <c r="H1361" s="358"/>
      <c r="I1361" s="278"/>
    </row>
    <row r="1362" spans="1:9" x14ac:dyDescent="0.3">
      <c r="A1362" s="356"/>
      <c r="B1362" s="278"/>
      <c r="C1362" s="357"/>
      <c r="D1362" s="358"/>
      <c r="E1362" s="358"/>
      <c r="F1362" s="358"/>
      <c r="G1362" s="278"/>
      <c r="H1362" s="358"/>
      <c r="I1362" s="278"/>
    </row>
    <row r="1363" spans="1:9" x14ac:dyDescent="0.3">
      <c r="A1363" s="356"/>
      <c r="B1363" s="278"/>
      <c r="C1363" s="357"/>
      <c r="D1363" s="358"/>
      <c r="E1363" s="358"/>
      <c r="F1363" s="358"/>
      <c r="G1363" s="278"/>
      <c r="H1363" s="358"/>
      <c r="I1363" s="278"/>
    </row>
    <row r="1364" spans="1:9" x14ac:dyDescent="0.3">
      <c r="A1364" s="356"/>
      <c r="B1364" s="278"/>
      <c r="C1364" s="357"/>
      <c r="D1364" s="358"/>
      <c r="E1364" s="358"/>
      <c r="F1364" s="358"/>
      <c r="G1364" s="278"/>
      <c r="H1364" s="358"/>
      <c r="I1364" s="278"/>
    </row>
    <row r="1365" spans="1:9" x14ac:dyDescent="0.3">
      <c r="A1365" s="356"/>
      <c r="B1365" s="278"/>
      <c r="C1365" s="357"/>
      <c r="D1365" s="358"/>
      <c r="E1365" s="358"/>
      <c r="F1365" s="358"/>
      <c r="G1365" s="278"/>
      <c r="H1365" s="358"/>
      <c r="I1365" s="278"/>
    </row>
    <row r="1366" spans="1:9" x14ac:dyDescent="0.3">
      <c r="A1366" s="356"/>
      <c r="B1366" s="278"/>
      <c r="C1366" s="357"/>
      <c r="D1366" s="358"/>
      <c r="E1366" s="358"/>
      <c r="F1366" s="358"/>
      <c r="G1366" s="278"/>
      <c r="H1366" s="358"/>
      <c r="I1366" s="278"/>
    </row>
    <row r="1367" spans="1:9" x14ac:dyDescent="0.3">
      <c r="A1367" s="356"/>
      <c r="B1367" s="278"/>
      <c r="C1367" s="357"/>
      <c r="D1367" s="358"/>
      <c r="E1367" s="358"/>
      <c r="F1367" s="358"/>
      <c r="G1367" s="278"/>
      <c r="H1367" s="358"/>
      <c r="I1367" s="278"/>
    </row>
    <row r="1368" spans="1:9" x14ac:dyDescent="0.3">
      <c r="A1368" s="356"/>
      <c r="B1368" s="278"/>
      <c r="C1368" s="357"/>
      <c r="D1368" s="358"/>
      <c r="E1368" s="358"/>
      <c r="F1368" s="358"/>
      <c r="G1368" s="278"/>
      <c r="H1368" s="358"/>
      <c r="I1368" s="278"/>
    </row>
    <row r="1369" spans="1:9" x14ac:dyDescent="0.3">
      <c r="A1369" s="356"/>
      <c r="B1369" s="278"/>
      <c r="C1369" s="357"/>
      <c r="D1369" s="358"/>
      <c r="E1369" s="358"/>
      <c r="F1369" s="358"/>
      <c r="G1369" s="278"/>
      <c r="H1369" s="358"/>
      <c r="I1369" s="278"/>
    </row>
    <row r="1370" spans="1:9" x14ac:dyDescent="0.3">
      <c r="A1370" s="356"/>
      <c r="B1370" s="278"/>
      <c r="C1370" s="357"/>
      <c r="D1370" s="358"/>
      <c r="E1370" s="358"/>
      <c r="F1370" s="358"/>
      <c r="G1370" s="278"/>
      <c r="H1370" s="358"/>
      <c r="I1370" s="278"/>
    </row>
    <row r="1371" spans="1:9" x14ac:dyDescent="0.3">
      <c r="A1371" s="356"/>
      <c r="B1371" s="278"/>
      <c r="C1371" s="357"/>
      <c r="D1371" s="358"/>
      <c r="E1371" s="358"/>
      <c r="F1371" s="358"/>
      <c r="G1371" s="278"/>
      <c r="H1371" s="358"/>
      <c r="I1371" s="278"/>
    </row>
    <row r="1372" spans="1:9" x14ac:dyDescent="0.3">
      <c r="A1372" s="356"/>
      <c r="B1372" s="278"/>
      <c r="C1372" s="357"/>
      <c r="D1372" s="358"/>
      <c r="E1372" s="358"/>
      <c r="F1372" s="358"/>
      <c r="G1372" s="278"/>
      <c r="H1372" s="358"/>
      <c r="I1372" s="278"/>
    </row>
    <row r="1373" spans="1:9" x14ac:dyDescent="0.3">
      <c r="A1373" s="356"/>
      <c r="B1373" s="278"/>
      <c r="C1373" s="357"/>
      <c r="D1373" s="358"/>
      <c r="E1373" s="358"/>
      <c r="F1373" s="358"/>
      <c r="G1373" s="278"/>
      <c r="H1373" s="358"/>
      <c r="I1373" s="278"/>
    </row>
    <row r="1374" spans="1:9" x14ac:dyDescent="0.3">
      <c r="A1374" s="356"/>
      <c r="B1374" s="278"/>
      <c r="C1374" s="357"/>
      <c r="D1374" s="358"/>
      <c r="E1374" s="358"/>
      <c r="F1374" s="358"/>
      <c r="G1374" s="278"/>
      <c r="H1374" s="358"/>
      <c r="I1374" s="278"/>
    </row>
    <row r="1375" spans="1:9" x14ac:dyDescent="0.3">
      <c r="A1375" s="356"/>
      <c r="B1375" s="278"/>
      <c r="C1375" s="357"/>
      <c r="D1375" s="358"/>
      <c r="E1375" s="358"/>
      <c r="F1375" s="358"/>
      <c r="G1375" s="278"/>
      <c r="H1375" s="358"/>
      <c r="I1375" s="278"/>
    </row>
    <row r="1376" spans="1:9" x14ac:dyDescent="0.3">
      <c r="A1376" s="356"/>
      <c r="B1376" s="278"/>
      <c r="C1376" s="357"/>
      <c r="D1376" s="358"/>
      <c r="E1376" s="358"/>
      <c r="F1376" s="358"/>
      <c r="G1376" s="278"/>
      <c r="H1376" s="358"/>
      <c r="I1376" s="278"/>
    </row>
    <row r="1377" spans="1:9" x14ac:dyDescent="0.3">
      <c r="A1377" s="356"/>
      <c r="B1377" s="278"/>
      <c r="C1377" s="357"/>
      <c r="D1377" s="358"/>
      <c r="E1377" s="358"/>
      <c r="F1377" s="358"/>
      <c r="G1377" s="278"/>
      <c r="H1377" s="358"/>
      <c r="I1377" s="278"/>
    </row>
    <row r="1378" spans="1:9" x14ac:dyDescent="0.3">
      <c r="A1378" s="356"/>
      <c r="B1378" s="278"/>
      <c r="C1378" s="357"/>
      <c r="D1378" s="358"/>
      <c r="E1378" s="358"/>
      <c r="F1378" s="358"/>
      <c r="G1378" s="278"/>
      <c r="H1378" s="358"/>
      <c r="I1378" s="278"/>
    </row>
    <row r="1379" spans="1:9" x14ac:dyDescent="0.3">
      <c r="A1379" s="356"/>
      <c r="B1379" s="278"/>
      <c r="C1379" s="357"/>
      <c r="D1379" s="358"/>
      <c r="E1379" s="358"/>
      <c r="F1379" s="358"/>
      <c r="G1379" s="278"/>
      <c r="H1379" s="358"/>
      <c r="I1379" s="278"/>
    </row>
    <row r="1380" spans="1:9" x14ac:dyDescent="0.3">
      <c r="A1380" s="356"/>
      <c r="B1380" s="278"/>
      <c r="C1380" s="357"/>
      <c r="D1380" s="358"/>
      <c r="E1380" s="358"/>
      <c r="F1380" s="358"/>
      <c r="G1380" s="278"/>
      <c r="H1380" s="358"/>
      <c r="I1380" s="278"/>
    </row>
    <row r="1381" spans="1:9" x14ac:dyDescent="0.3">
      <c r="A1381" s="356"/>
      <c r="B1381" s="278"/>
      <c r="C1381" s="357"/>
      <c r="D1381" s="358"/>
      <c r="E1381" s="358"/>
      <c r="F1381" s="358"/>
      <c r="G1381" s="278"/>
      <c r="H1381" s="358"/>
      <c r="I1381" s="278"/>
    </row>
    <row r="1382" spans="1:9" x14ac:dyDescent="0.3">
      <c r="A1382" s="356"/>
      <c r="B1382" s="278"/>
      <c r="C1382" s="357"/>
      <c r="D1382" s="358"/>
      <c r="E1382" s="358"/>
      <c r="F1382" s="358"/>
      <c r="G1382" s="278"/>
      <c r="H1382" s="358"/>
      <c r="I1382" s="278"/>
    </row>
    <row r="1383" spans="1:9" x14ac:dyDescent="0.3">
      <c r="A1383" s="356"/>
      <c r="B1383" s="278"/>
      <c r="C1383" s="357"/>
      <c r="D1383" s="358"/>
      <c r="E1383" s="358"/>
      <c r="F1383" s="358"/>
      <c r="G1383" s="278"/>
      <c r="H1383" s="358"/>
      <c r="I1383" s="278"/>
    </row>
    <row r="1384" spans="1:9" x14ac:dyDescent="0.3">
      <c r="A1384" s="356"/>
      <c r="B1384" s="278"/>
      <c r="C1384" s="357"/>
      <c r="D1384" s="358"/>
      <c r="E1384" s="358"/>
      <c r="F1384" s="358"/>
      <c r="G1384" s="278"/>
      <c r="H1384" s="358"/>
      <c r="I1384" s="278"/>
    </row>
    <row r="1385" spans="1:9" x14ac:dyDescent="0.3">
      <c r="A1385" s="356"/>
      <c r="B1385" s="278"/>
      <c r="C1385" s="357"/>
      <c r="D1385" s="358"/>
      <c r="E1385" s="358"/>
      <c r="F1385" s="358"/>
      <c r="G1385" s="278"/>
      <c r="H1385" s="358"/>
      <c r="I1385" s="278"/>
    </row>
    <row r="1386" spans="1:9" x14ac:dyDescent="0.3">
      <c r="A1386" s="356"/>
      <c r="B1386" s="278"/>
      <c r="C1386" s="357"/>
      <c r="D1386" s="358"/>
      <c r="E1386" s="358"/>
      <c r="F1386" s="358"/>
      <c r="G1386" s="278"/>
      <c r="H1386" s="358"/>
      <c r="I1386" s="278"/>
    </row>
    <row r="1387" spans="1:9" x14ac:dyDescent="0.3">
      <c r="A1387" s="356"/>
      <c r="B1387" s="278"/>
      <c r="C1387" s="357"/>
      <c r="D1387" s="358"/>
      <c r="E1387" s="358"/>
      <c r="F1387" s="358"/>
      <c r="G1387" s="278"/>
      <c r="H1387" s="358"/>
      <c r="I1387" s="278"/>
    </row>
    <row r="1388" spans="1:9" x14ac:dyDescent="0.3">
      <c r="A1388" s="356"/>
      <c r="B1388" s="278"/>
      <c r="C1388" s="357"/>
      <c r="D1388" s="358"/>
      <c r="E1388" s="358"/>
      <c r="F1388" s="358"/>
      <c r="G1388" s="278"/>
      <c r="H1388" s="358"/>
      <c r="I1388" s="278"/>
    </row>
    <row r="1389" spans="1:9" x14ac:dyDescent="0.3">
      <c r="A1389" s="356"/>
      <c r="B1389" s="278"/>
      <c r="C1389" s="357"/>
      <c r="D1389" s="358"/>
      <c r="E1389" s="358"/>
      <c r="F1389" s="358"/>
      <c r="G1389" s="278"/>
      <c r="H1389" s="358"/>
      <c r="I1389" s="278"/>
    </row>
    <row r="1390" spans="1:9" x14ac:dyDescent="0.3">
      <c r="A1390" s="356"/>
      <c r="B1390" s="278"/>
      <c r="C1390" s="357"/>
      <c r="D1390" s="358"/>
      <c r="E1390" s="358"/>
      <c r="F1390" s="358"/>
      <c r="G1390" s="278"/>
      <c r="H1390" s="358"/>
      <c r="I1390" s="278"/>
    </row>
    <row r="1391" spans="1:9" x14ac:dyDescent="0.3">
      <c r="A1391" s="356"/>
      <c r="B1391" s="278"/>
      <c r="C1391" s="357"/>
      <c r="D1391" s="358"/>
      <c r="E1391" s="358"/>
      <c r="F1391" s="358"/>
      <c r="G1391" s="278"/>
      <c r="H1391" s="358"/>
      <c r="I1391" s="278"/>
    </row>
    <row r="1392" spans="1:9" x14ac:dyDescent="0.3">
      <c r="A1392" s="356"/>
      <c r="B1392" s="278"/>
      <c r="C1392" s="357"/>
      <c r="D1392" s="358"/>
      <c r="E1392" s="358"/>
      <c r="F1392" s="358"/>
      <c r="G1392" s="278"/>
      <c r="H1392" s="358"/>
      <c r="I1392" s="278"/>
    </row>
    <row r="1393" spans="1:9" x14ac:dyDescent="0.3">
      <c r="A1393" s="356"/>
      <c r="B1393" s="278"/>
      <c r="C1393" s="357"/>
      <c r="D1393" s="358"/>
      <c r="E1393" s="358"/>
      <c r="F1393" s="358"/>
      <c r="G1393" s="278"/>
      <c r="H1393" s="358"/>
      <c r="I1393" s="278"/>
    </row>
    <row r="1394" spans="1:9" x14ac:dyDescent="0.3">
      <c r="A1394" s="356"/>
      <c r="B1394" s="278"/>
      <c r="C1394" s="357"/>
      <c r="D1394" s="358"/>
      <c r="E1394" s="358"/>
      <c r="F1394" s="358"/>
      <c r="G1394" s="278"/>
      <c r="H1394" s="358"/>
      <c r="I1394" s="278"/>
    </row>
    <row r="1395" spans="1:9" x14ac:dyDescent="0.3">
      <c r="A1395" s="356"/>
      <c r="B1395" s="278"/>
      <c r="C1395" s="357"/>
      <c r="D1395" s="358"/>
      <c r="E1395" s="358"/>
      <c r="F1395" s="358"/>
      <c r="G1395" s="278"/>
      <c r="H1395" s="358"/>
      <c r="I1395" s="278"/>
    </row>
    <row r="1396" spans="1:9" x14ac:dyDescent="0.3">
      <c r="A1396" s="356"/>
      <c r="B1396" s="278"/>
      <c r="C1396" s="357"/>
      <c r="D1396" s="358"/>
      <c r="E1396" s="358"/>
      <c r="F1396" s="358"/>
      <c r="G1396" s="278"/>
      <c r="H1396" s="358"/>
      <c r="I1396" s="278"/>
    </row>
    <row r="1397" spans="1:9" x14ac:dyDescent="0.3">
      <c r="A1397" s="356"/>
      <c r="B1397" s="278"/>
      <c r="C1397" s="357"/>
      <c r="D1397" s="358"/>
      <c r="E1397" s="358"/>
      <c r="F1397" s="358"/>
      <c r="G1397" s="278"/>
      <c r="H1397" s="358"/>
      <c r="I1397" s="278"/>
    </row>
    <row r="1398" spans="1:9" x14ac:dyDescent="0.3">
      <c r="A1398" s="356"/>
      <c r="B1398" s="278"/>
      <c r="C1398" s="357"/>
      <c r="D1398" s="358"/>
      <c r="E1398" s="358"/>
      <c r="F1398" s="358"/>
      <c r="G1398" s="278"/>
      <c r="H1398" s="358"/>
      <c r="I1398" s="278"/>
    </row>
    <row r="1399" spans="1:9" x14ac:dyDescent="0.3">
      <c r="A1399" s="356"/>
      <c r="B1399" s="278"/>
      <c r="C1399" s="357"/>
      <c r="D1399" s="358"/>
      <c r="E1399" s="358"/>
      <c r="F1399" s="358"/>
      <c r="G1399" s="278"/>
      <c r="H1399" s="358"/>
      <c r="I1399" s="278"/>
    </row>
    <row r="1400" spans="1:9" x14ac:dyDescent="0.3">
      <c r="A1400" s="356"/>
      <c r="B1400" s="278"/>
      <c r="C1400" s="357"/>
      <c r="D1400" s="358"/>
      <c r="E1400" s="358"/>
      <c r="F1400" s="358"/>
      <c r="G1400" s="278"/>
      <c r="H1400" s="358"/>
      <c r="I1400" s="278"/>
    </row>
    <row r="1401" spans="1:9" x14ac:dyDescent="0.3">
      <c r="A1401" s="356"/>
      <c r="B1401" s="278"/>
      <c r="C1401" s="357"/>
      <c r="D1401" s="358"/>
      <c r="E1401" s="358"/>
      <c r="F1401" s="358"/>
      <c r="G1401" s="278"/>
      <c r="H1401" s="358"/>
      <c r="I1401" s="278"/>
    </row>
    <row r="1402" spans="1:9" x14ac:dyDescent="0.3">
      <c r="A1402" s="356"/>
      <c r="B1402" s="278"/>
      <c r="C1402" s="357"/>
      <c r="D1402" s="358"/>
      <c r="E1402" s="358"/>
      <c r="F1402" s="358"/>
      <c r="G1402" s="278"/>
      <c r="H1402" s="358"/>
      <c r="I1402" s="278"/>
    </row>
    <row r="1403" spans="1:9" x14ac:dyDescent="0.3">
      <c r="A1403" s="356"/>
      <c r="B1403" s="278"/>
      <c r="C1403" s="357"/>
      <c r="D1403" s="358"/>
      <c r="E1403" s="358"/>
      <c r="F1403" s="358"/>
      <c r="G1403" s="278"/>
      <c r="H1403" s="358"/>
      <c r="I1403" s="278"/>
    </row>
    <row r="1404" spans="1:9" x14ac:dyDescent="0.3">
      <c r="A1404" s="356"/>
      <c r="B1404" s="278"/>
      <c r="C1404" s="357"/>
      <c r="D1404" s="358"/>
      <c r="E1404" s="358"/>
      <c r="F1404" s="358"/>
      <c r="G1404" s="278"/>
      <c r="H1404" s="358"/>
      <c r="I1404" s="278"/>
    </row>
    <row r="1405" spans="1:9" x14ac:dyDescent="0.3">
      <c r="A1405" s="356"/>
      <c r="B1405" s="278"/>
      <c r="C1405" s="357"/>
      <c r="D1405" s="358"/>
      <c r="E1405" s="358"/>
      <c r="F1405" s="358"/>
      <c r="G1405" s="278"/>
      <c r="H1405" s="358"/>
      <c r="I1405" s="278"/>
    </row>
    <row r="1406" spans="1:9" x14ac:dyDescent="0.3">
      <c r="A1406" s="356"/>
      <c r="B1406" s="278"/>
      <c r="C1406" s="357"/>
      <c r="D1406" s="358"/>
      <c r="E1406" s="358"/>
      <c r="F1406" s="358"/>
      <c r="G1406" s="278"/>
      <c r="H1406" s="358"/>
      <c r="I1406" s="278"/>
    </row>
    <row r="1407" spans="1:9" x14ac:dyDescent="0.3">
      <c r="A1407" s="356"/>
      <c r="B1407" s="278"/>
      <c r="C1407" s="357"/>
      <c r="D1407" s="358"/>
      <c r="E1407" s="358"/>
      <c r="F1407" s="358"/>
      <c r="G1407" s="278"/>
      <c r="H1407" s="358"/>
      <c r="I1407" s="278"/>
    </row>
    <row r="1408" spans="1:9" x14ac:dyDescent="0.3">
      <c r="A1408" s="356"/>
      <c r="B1408" s="278"/>
      <c r="C1408" s="357"/>
      <c r="D1408" s="358"/>
      <c r="E1408" s="358"/>
      <c r="F1408" s="358"/>
      <c r="G1408" s="278"/>
      <c r="H1408" s="358"/>
      <c r="I1408" s="278"/>
    </row>
    <row r="1409" spans="1:9" x14ac:dyDescent="0.3">
      <c r="A1409" s="356"/>
      <c r="B1409" s="278"/>
      <c r="C1409" s="357"/>
      <c r="D1409" s="358"/>
      <c r="E1409" s="358"/>
      <c r="F1409" s="358"/>
      <c r="G1409" s="278"/>
      <c r="H1409" s="358"/>
      <c r="I1409" s="278"/>
    </row>
    <row r="1410" spans="1:9" x14ac:dyDescent="0.3">
      <c r="A1410" s="356"/>
      <c r="B1410" s="278"/>
      <c r="C1410" s="357"/>
      <c r="D1410" s="358"/>
      <c r="E1410" s="358"/>
      <c r="F1410" s="358"/>
      <c r="G1410" s="278"/>
      <c r="H1410" s="358"/>
      <c r="I1410" s="278"/>
    </row>
    <row r="1411" spans="1:9" x14ac:dyDescent="0.3">
      <c r="A1411" s="356"/>
      <c r="B1411" s="278"/>
      <c r="C1411" s="357"/>
      <c r="D1411" s="358"/>
      <c r="E1411" s="358"/>
      <c r="F1411" s="358"/>
      <c r="G1411" s="278"/>
      <c r="H1411" s="358"/>
      <c r="I1411" s="278"/>
    </row>
    <row r="1412" spans="1:9" x14ac:dyDescent="0.3">
      <c r="A1412" s="356"/>
      <c r="B1412" s="278"/>
      <c r="C1412" s="357"/>
      <c r="D1412" s="358"/>
      <c r="E1412" s="358"/>
      <c r="F1412" s="358"/>
      <c r="G1412" s="278"/>
      <c r="H1412" s="358"/>
      <c r="I1412" s="278"/>
    </row>
    <row r="1413" spans="1:9" x14ac:dyDescent="0.3">
      <c r="A1413" s="356"/>
      <c r="B1413" s="278"/>
      <c r="C1413" s="357"/>
      <c r="D1413" s="358"/>
      <c r="E1413" s="358"/>
      <c r="F1413" s="358"/>
      <c r="G1413" s="278"/>
      <c r="H1413" s="358"/>
      <c r="I1413" s="278"/>
    </row>
    <row r="1414" spans="1:9" x14ac:dyDescent="0.3">
      <c r="A1414" s="356"/>
      <c r="B1414" s="278"/>
      <c r="C1414" s="357"/>
      <c r="D1414" s="358"/>
      <c r="E1414" s="358"/>
      <c r="F1414" s="358"/>
      <c r="G1414" s="278"/>
      <c r="H1414" s="358"/>
      <c r="I1414" s="278"/>
    </row>
    <row r="1415" spans="1:9" x14ac:dyDescent="0.3">
      <c r="A1415" s="356"/>
      <c r="B1415" s="278"/>
      <c r="C1415" s="357"/>
      <c r="D1415" s="358"/>
      <c r="E1415" s="358"/>
      <c r="F1415" s="358"/>
      <c r="G1415" s="278"/>
      <c r="H1415" s="358"/>
      <c r="I1415" s="278"/>
    </row>
    <row r="1416" spans="1:9" x14ac:dyDescent="0.3">
      <c r="A1416" s="356"/>
      <c r="B1416" s="278"/>
      <c r="C1416" s="357"/>
      <c r="D1416" s="358"/>
      <c r="E1416" s="358"/>
      <c r="F1416" s="358"/>
      <c r="G1416" s="278"/>
      <c r="H1416" s="358"/>
      <c r="I1416" s="278"/>
    </row>
    <row r="1417" spans="1:9" x14ac:dyDescent="0.3">
      <c r="A1417" s="356"/>
      <c r="B1417" s="278"/>
      <c r="C1417" s="357"/>
      <c r="D1417" s="358"/>
      <c r="E1417" s="358"/>
      <c r="F1417" s="358"/>
      <c r="G1417" s="278"/>
      <c r="H1417" s="358"/>
      <c r="I1417" s="278"/>
    </row>
    <row r="1418" spans="1:9" x14ac:dyDescent="0.3">
      <c r="A1418" s="356"/>
      <c r="B1418" s="278"/>
      <c r="C1418" s="357"/>
      <c r="D1418" s="358"/>
      <c r="E1418" s="358"/>
      <c r="F1418" s="358"/>
      <c r="G1418" s="278"/>
      <c r="H1418" s="358"/>
      <c r="I1418" s="278"/>
    </row>
    <row r="1419" spans="1:9" x14ac:dyDescent="0.3">
      <c r="A1419" s="356"/>
      <c r="B1419" s="278"/>
      <c r="C1419" s="357"/>
      <c r="D1419" s="358"/>
      <c r="E1419" s="358"/>
      <c r="F1419" s="358"/>
      <c r="G1419" s="278"/>
      <c r="H1419" s="358"/>
      <c r="I1419" s="278"/>
    </row>
    <row r="1420" spans="1:9" x14ac:dyDescent="0.3">
      <c r="A1420" s="356"/>
      <c r="B1420" s="278"/>
      <c r="C1420" s="357"/>
      <c r="D1420" s="358"/>
      <c r="E1420" s="358"/>
      <c r="F1420" s="358"/>
      <c r="G1420" s="278"/>
      <c r="H1420" s="358"/>
      <c r="I1420" s="278"/>
    </row>
    <row r="1421" spans="1:9" x14ac:dyDescent="0.3">
      <c r="A1421" s="356"/>
      <c r="B1421" s="278"/>
      <c r="C1421" s="357"/>
      <c r="D1421" s="358"/>
      <c r="E1421" s="358"/>
      <c r="F1421" s="358"/>
      <c r="G1421" s="278"/>
      <c r="H1421" s="358"/>
      <c r="I1421" s="278"/>
    </row>
    <row r="1422" spans="1:9" x14ac:dyDescent="0.3">
      <c r="A1422" s="356"/>
      <c r="B1422" s="278"/>
      <c r="C1422" s="357"/>
      <c r="D1422" s="358"/>
      <c r="E1422" s="358"/>
      <c r="F1422" s="358"/>
      <c r="G1422" s="278"/>
      <c r="H1422" s="358"/>
      <c r="I1422" s="278"/>
    </row>
    <row r="1423" spans="1:9" x14ac:dyDescent="0.3">
      <c r="A1423" s="356"/>
      <c r="B1423" s="278"/>
      <c r="C1423" s="357"/>
      <c r="D1423" s="358"/>
      <c r="E1423" s="358"/>
      <c r="F1423" s="358"/>
      <c r="G1423" s="278"/>
      <c r="H1423" s="358"/>
      <c r="I1423" s="278"/>
    </row>
    <row r="1424" spans="1:9" x14ac:dyDescent="0.3">
      <c r="A1424" s="356"/>
      <c r="B1424" s="278"/>
      <c r="C1424" s="357"/>
      <c r="D1424" s="358"/>
      <c r="E1424" s="358"/>
      <c r="F1424" s="358"/>
      <c r="G1424" s="278"/>
      <c r="H1424" s="358"/>
      <c r="I1424" s="278"/>
    </row>
    <row r="1425" spans="1:9" x14ac:dyDescent="0.3">
      <c r="A1425" s="356"/>
      <c r="B1425" s="278"/>
      <c r="C1425" s="357"/>
      <c r="D1425" s="358"/>
      <c r="E1425" s="358"/>
      <c r="F1425" s="358"/>
      <c r="G1425" s="278"/>
      <c r="H1425" s="358"/>
      <c r="I1425" s="278"/>
    </row>
    <row r="1426" spans="1:9" x14ac:dyDescent="0.3">
      <c r="A1426" s="356"/>
      <c r="B1426" s="278"/>
      <c r="C1426" s="357"/>
      <c r="D1426" s="358"/>
      <c r="E1426" s="358"/>
      <c r="F1426" s="358"/>
      <c r="G1426" s="278"/>
      <c r="H1426" s="358"/>
      <c r="I1426" s="278"/>
    </row>
    <row r="1427" spans="1:9" x14ac:dyDescent="0.3">
      <c r="A1427" s="356"/>
      <c r="B1427" s="278"/>
      <c r="C1427" s="357"/>
      <c r="D1427" s="358"/>
      <c r="E1427" s="358"/>
      <c r="F1427" s="358"/>
      <c r="G1427" s="278"/>
      <c r="H1427" s="358"/>
      <c r="I1427" s="278"/>
    </row>
    <row r="1428" spans="1:9" x14ac:dyDescent="0.3">
      <c r="A1428" s="356"/>
      <c r="B1428" s="278"/>
      <c r="C1428" s="357"/>
      <c r="D1428" s="358"/>
      <c r="E1428" s="358"/>
      <c r="F1428" s="358"/>
      <c r="G1428" s="278"/>
      <c r="H1428" s="358"/>
      <c r="I1428" s="278"/>
    </row>
    <row r="1429" spans="1:9" x14ac:dyDescent="0.3">
      <c r="A1429" s="356"/>
      <c r="B1429" s="278"/>
      <c r="C1429" s="357"/>
      <c r="D1429" s="358"/>
      <c r="E1429" s="358"/>
      <c r="F1429" s="358"/>
      <c r="G1429" s="278"/>
      <c r="H1429" s="358"/>
      <c r="I1429" s="278"/>
    </row>
    <row r="1430" spans="1:9" x14ac:dyDescent="0.3">
      <c r="A1430" s="356"/>
      <c r="B1430" s="278"/>
      <c r="C1430" s="357"/>
      <c r="D1430" s="358"/>
      <c r="E1430" s="358"/>
      <c r="F1430" s="358"/>
      <c r="G1430" s="278"/>
      <c r="H1430" s="358"/>
      <c r="I1430" s="278"/>
    </row>
    <row r="1431" spans="1:9" x14ac:dyDescent="0.3">
      <c r="A1431" s="356"/>
      <c r="B1431" s="278"/>
      <c r="C1431" s="357"/>
      <c r="D1431" s="358"/>
      <c r="E1431" s="358"/>
      <c r="F1431" s="358"/>
      <c r="G1431" s="278"/>
      <c r="H1431" s="358"/>
      <c r="I1431" s="278"/>
    </row>
    <row r="1432" spans="1:9" x14ac:dyDescent="0.3">
      <c r="A1432" s="356"/>
      <c r="B1432" s="278"/>
      <c r="C1432" s="357"/>
      <c r="D1432" s="358"/>
      <c r="E1432" s="358"/>
      <c r="F1432" s="358"/>
      <c r="G1432" s="278"/>
      <c r="H1432" s="358"/>
      <c r="I1432" s="278"/>
    </row>
    <row r="1433" spans="1:9" x14ac:dyDescent="0.3">
      <c r="A1433" s="356"/>
      <c r="B1433" s="278"/>
      <c r="C1433" s="357"/>
      <c r="D1433" s="358"/>
      <c r="E1433" s="358"/>
      <c r="F1433" s="358"/>
      <c r="G1433" s="278"/>
      <c r="H1433" s="358"/>
      <c r="I1433" s="278"/>
    </row>
    <row r="1434" spans="1:9" x14ac:dyDescent="0.3">
      <c r="A1434" s="356"/>
      <c r="B1434" s="278"/>
      <c r="C1434" s="357"/>
      <c r="D1434" s="358"/>
      <c r="E1434" s="358"/>
      <c r="F1434" s="358"/>
      <c r="G1434" s="278"/>
      <c r="H1434" s="358"/>
      <c r="I1434" s="278"/>
    </row>
    <row r="1435" spans="1:9" x14ac:dyDescent="0.3">
      <c r="A1435" s="356"/>
      <c r="B1435" s="278"/>
      <c r="C1435" s="357"/>
      <c r="D1435" s="358"/>
      <c r="E1435" s="358"/>
      <c r="F1435" s="358"/>
      <c r="G1435" s="278"/>
      <c r="H1435" s="358"/>
      <c r="I1435" s="278"/>
    </row>
    <row r="1436" spans="1:9" x14ac:dyDescent="0.3">
      <c r="A1436" s="356"/>
      <c r="B1436" s="278"/>
      <c r="C1436" s="357"/>
      <c r="D1436" s="358"/>
      <c r="E1436" s="358"/>
      <c r="F1436" s="358"/>
      <c r="G1436" s="278"/>
      <c r="H1436" s="358"/>
      <c r="I1436" s="278"/>
    </row>
    <row r="1437" spans="1:9" x14ac:dyDescent="0.3">
      <c r="A1437" s="356"/>
      <c r="B1437" s="278"/>
      <c r="C1437" s="357"/>
      <c r="D1437" s="358"/>
      <c r="E1437" s="358"/>
      <c r="F1437" s="358"/>
      <c r="G1437" s="278"/>
      <c r="H1437" s="358"/>
      <c r="I1437" s="278"/>
    </row>
    <row r="1438" spans="1:9" x14ac:dyDescent="0.3">
      <c r="A1438" s="356"/>
      <c r="B1438" s="278"/>
      <c r="C1438" s="357"/>
      <c r="D1438" s="358"/>
      <c r="E1438" s="358"/>
      <c r="F1438" s="358"/>
      <c r="G1438" s="278"/>
      <c r="H1438" s="358"/>
      <c r="I1438" s="278"/>
    </row>
    <row r="1439" spans="1:9" x14ac:dyDescent="0.3">
      <c r="A1439" s="356"/>
      <c r="B1439" s="278"/>
      <c r="C1439" s="357"/>
      <c r="D1439" s="358"/>
      <c r="E1439" s="358"/>
      <c r="F1439" s="358"/>
      <c r="G1439" s="278"/>
      <c r="H1439" s="358"/>
      <c r="I1439" s="278"/>
    </row>
    <row r="1440" spans="1:9" x14ac:dyDescent="0.3">
      <c r="A1440" s="356"/>
      <c r="B1440" s="278"/>
      <c r="C1440" s="357"/>
      <c r="D1440" s="358"/>
      <c r="E1440" s="358"/>
      <c r="F1440" s="358"/>
      <c r="G1440" s="278"/>
      <c r="H1440" s="358"/>
      <c r="I1440" s="278"/>
    </row>
    <row r="1441" spans="1:9" x14ac:dyDescent="0.3">
      <c r="A1441" s="356"/>
      <c r="B1441" s="278"/>
      <c r="C1441" s="357"/>
      <c r="D1441" s="358"/>
      <c r="E1441" s="358"/>
      <c r="F1441" s="358"/>
      <c r="G1441" s="278"/>
      <c r="H1441" s="358"/>
      <c r="I1441" s="278"/>
    </row>
    <row r="1442" spans="1:9" x14ac:dyDescent="0.3">
      <c r="A1442" s="356"/>
      <c r="B1442" s="278"/>
      <c r="C1442" s="357"/>
      <c r="D1442" s="358"/>
      <c r="E1442" s="358"/>
      <c r="F1442" s="358"/>
      <c r="G1442" s="278"/>
      <c r="H1442" s="358"/>
      <c r="I1442" s="278"/>
    </row>
    <row r="1443" spans="1:9" x14ac:dyDescent="0.3">
      <c r="A1443" s="356"/>
      <c r="B1443" s="278"/>
      <c r="C1443" s="357"/>
      <c r="D1443" s="358"/>
      <c r="E1443" s="358"/>
      <c r="F1443" s="358"/>
      <c r="G1443" s="278"/>
      <c r="H1443" s="358"/>
      <c r="I1443" s="278"/>
    </row>
    <row r="1444" spans="1:9" x14ac:dyDescent="0.3">
      <c r="A1444" s="356"/>
      <c r="B1444" s="278"/>
      <c r="C1444" s="357"/>
      <c r="D1444" s="358"/>
      <c r="E1444" s="358"/>
      <c r="F1444" s="358"/>
      <c r="G1444" s="278"/>
      <c r="H1444" s="358"/>
      <c r="I1444" s="278"/>
    </row>
    <row r="1445" spans="1:9" x14ac:dyDescent="0.3">
      <c r="A1445" s="356"/>
      <c r="B1445" s="278"/>
      <c r="C1445" s="357"/>
      <c r="D1445" s="358"/>
      <c r="E1445" s="358"/>
      <c r="F1445" s="358"/>
      <c r="G1445" s="278"/>
      <c r="H1445" s="358"/>
      <c r="I1445" s="278"/>
    </row>
    <row r="1446" spans="1:9" x14ac:dyDescent="0.3">
      <c r="A1446" s="356"/>
      <c r="B1446" s="278"/>
      <c r="C1446" s="357"/>
      <c r="D1446" s="358"/>
      <c r="E1446" s="358"/>
      <c r="F1446" s="358"/>
      <c r="G1446" s="278"/>
      <c r="H1446" s="358"/>
      <c r="I1446" s="278"/>
    </row>
    <row r="1447" spans="1:9" x14ac:dyDescent="0.3">
      <c r="A1447" s="356"/>
      <c r="B1447" s="278"/>
      <c r="C1447" s="357"/>
      <c r="D1447" s="358"/>
      <c r="E1447" s="358"/>
      <c r="F1447" s="358"/>
      <c r="G1447" s="278"/>
      <c r="H1447" s="358"/>
      <c r="I1447" s="278"/>
    </row>
    <row r="1448" spans="1:9" x14ac:dyDescent="0.3">
      <c r="A1448" s="356"/>
      <c r="B1448" s="278"/>
      <c r="C1448" s="357"/>
      <c r="D1448" s="358"/>
      <c r="E1448" s="358"/>
      <c r="F1448" s="358"/>
      <c r="G1448" s="278"/>
      <c r="H1448" s="358"/>
      <c r="I1448" s="278"/>
    </row>
    <row r="1449" spans="1:9" x14ac:dyDescent="0.3">
      <c r="A1449" s="356"/>
      <c r="B1449" s="278"/>
      <c r="C1449" s="357"/>
      <c r="D1449" s="358"/>
      <c r="E1449" s="358"/>
      <c r="F1449" s="358"/>
      <c r="G1449" s="278"/>
      <c r="H1449" s="358"/>
      <c r="I1449" s="278"/>
    </row>
    <row r="1450" spans="1:9" x14ac:dyDescent="0.3">
      <c r="A1450" s="356"/>
      <c r="B1450" s="278"/>
      <c r="C1450" s="357"/>
      <c r="D1450" s="358"/>
      <c r="E1450" s="358"/>
      <c r="F1450" s="358"/>
      <c r="G1450" s="278"/>
      <c r="H1450" s="358"/>
      <c r="I1450" s="278"/>
    </row>
    <row r="1451" spans="1:9" x14ac:dyDescent="0.3">
      <c r="A1451" s="356"/>
      <c r="B1451" s="278"/>
      <c r="C1451" s="357"/>
      <c r="D1451" s="358"/>
      <c r="E1451" s="358"/>
      <c r="F1451" s="358"/>
      <c r="G1451" s="278"/>
      <c r="H1451" s="358"/>
      <c r="I1451" s="278"/>
    </row>
    <row r="1452" spans="1:9" x14ac:dyDescent="0.3">
      <c r="A1452" s="356"/>
      <c r="B1452" s="278"/>
      <c r="C1452" s="357"/>
      <c r="D1452" s="358"/>
      <c r="E1452" s="358"/>
      <c r="F1452" s="358"/>
      <c r="G1452" s="278"/>
      <c r="H1452" s="358"/>
      <c r="I1452" s="278"/>
    </row>
    <row r="1453" spans="1:9" x14ac:dyDescent="0.3">
      <c r="A1453" s="356"/>
      <c r="B1453" s="278"/>
      <c r="C1453" s="357"/>
      <c r="D1453" s="358"/>
      <c r="E1453" s="358"/>
      <c r="F1453" s="358"/>
      <c r="G1453" s="278"/>
      <c r="H1453" s="358"/>
      <c r="I1453" s="278"/>
    </row>
    <row r="1454" spans="1:9" x14ac:dyDescent="0.3">
      <c r="A1454" s="356"/>
      <c r="B1454" s="278"/>
      <c r="C1454" s="357"/>
      <c r="D1454" s="358"/>
      <c r="E1454" s="358"/>
      <c r="F1454" s="358"/>
      <c r="G1454" s="278"/>
      <c r="H1454" s="358"/>
      <c r="I1454" s="278"/>
    </row>
    <row r="1455" spans="1:9" x14ac:dyDescent="0.3">
      <c r="A1455" s="356"/>
      <c r="B1455" s="278"/>
      <c r="C1455" s="357"/>
      <c r="D1455" s="358"/>
      <c r="E1455" s="358"/>
      <c r="F1455" s="358"/>
      <c r="G1455" s="278"/>
      <c r="H1455" s="358"/>
      <c r="I1455" s="278"/>
    </row>
    <row r="1456" spans="1:9" x14ac:dyDescent="0.3">
      <c r="A1456" s="356"/>
      <c r="B1456" s="278"/>
      <c r="C1456" s="357"/>
      <c r="D1456" s="358"/>
      <c r="E1456" s="358"/>
      <c r="F1456" s="358"/>
      <c r="G1456" s="278"/>
      <c r="H1456" s="358"/>
      <c r="I1456" s="278"/>
    </row>
    <row r="1457" spans="1:9" x14ac:dyDescent="0.3">
      <c r="A1457" s="356"/>
      <c r="B1457" s="278"/>
      <c r="C1457" s="357"/>
      <c r="D1457" s="358"/>
      <c r="E1457" s="358"/>
      <c r="F1457" s="358"/>
      <c r="G1457" s="278"/>
      <c r="H1457" s="358"/>
      <c r="I1457" s="278"/>
    </row>
    <row r="1458" spans="1:9" x14ac:dyDescent="0.3">
      <c r="A1458" s="356"/>
      <c r="B1458" s="278"/>
      <c r="C1458" s="357"/>
      <c r="D1458" s="358"/>
      <c r="E1458" s="358"/>
      <c r="F1458" s="358"/>
      <c r="G1458" s="278"/>
      <c r="H1458" s="358"/>
      <c r="I1458" s="278"/>
    </row>
    <row r="1459" spans="1:9" x14ac:dyDescent="0.3">
      <c r="A1459" s="356"/>
      <c r="B1459" s="278"/>
      <c r="C1459" s="357"/>
      <c r="D1459" s="358"/>
      <c r="E1459" s="358"/>
      <c r="F1459" s="358"/>
      <c r="G1459" s="278"/>
      <c r="H1459" s="358"/>
      <c r="I1459" s="278"/>
    </row>
    <row r="1460" spans="1:9" x14ac:dyDescent="0.3">
      <c r="A1460" s="356"/>
      <c r="B1460" s="278"/>
      <c r="C1460" s="357"/>
      <c r="D1460" s="358"/>
      <c r="E1460" s="358"/>
      <c r="F1460" s="358"/>
      <c r="G1460" s="278"/>
      <c r="H1460" s="358"/>
      <c r="I1460" s="278"/>
    </row>
    <row r="1461" spans="1:9" x14ac:dyDescent="0.3">
      <c r="A1461" s="356"/>
      <c r="B1461" s="278"/>
      <c r="C1461" s="357"/>
      <c r="D1461" s="358"/>
      <c r="E1461" s="358"/>
      <c r="F1461" s="358"/>
      <c r="G1461" s="278"/>
      <c r="H1461" s="358"/>
      <c r="I1461" s="278"/>
    </row>
    <row r="1462" spans="1:9" x14ac:dyDescent="0.3">
      <c r="A1462" s="356"/>
      <c r="B1462" s="278"/>
      <c r="C1462" s="357"/>
      <c r="D1462" s="358"/>
      <c r="E1462" s="358"/>
      <c r="F1462" s="358"/>
      <c r="G1462" s="278"/>
      <c r="H1462" s="358"/>
      <c r="I1462" s="278"/>
    </row>
    <row r="1463" spans="1:9" x14ac:dyDescent="0.3">
      <c r="A1463" s="356"/>
      <c r="B1463" s="278"/>
      <c r="C1463" s="357"/>
      <c r="D1463" s="358"/>
      <c r="E1463" s="358"/>
      <c r="F1463" s="358"/>
      <c r="G1463" s="278"/>
      <c r="H1463" s="358"/>
      <c r="I1463" s="278"/>
    </row>
    <row r="1464" spans="1:9" x14ac:dyDescent="0.3">
      <c r="A1464" s="356"/>
      <c r="B1464" s="278"/>
      <c r="C1464" s="357"/>
      <c r="D1464" s="358"/>
      <c r="E1464" s="358"/>
      <c r="F1464" s="358"/>
      <c r="G1464" s="278"/>
      <c r="H1464" s="358"/>
      <c r="I1464" s="278"/>
    </row>
    <row r="1465" spans="1:9" x14ac:dyDescent="0.3">
      <c r="A1465" s="356"/>
      <c r="B1465" s="278"/>
      <c r="C1465" s="357"/>
      <c r="D1465" s="358"/>
      <c r="E1465" s="358"/>
      <c r="F1465" s="358"/>
      <c r="G1465" s="278"/>
      <c r="H1465" s="358"/>
      <c r="I1465" s="278"/>
    </row>
    <row r="1466" spans="1:9" x14ac:dyDescent="0.3">
      <c r="A1466" s="356"/>
      <c r="B1466" s="278"/>
      <c r="C1466" s="357"/>
      <c r="D1466" s="358"/>
      <c r="E1466" s="358"/>
      <c r="F1466" s="358"/>
      <c r="G1466" s="278"/>
      <c r="H1466" s="358"/>
      <c r="I1466" s="278"/>
    </row>
    <row r="1467" spans="1:9" x14ac:dyDescent="0.3">
      <c r="A1467" s="356"/>
      <c r="B1467" s="278"/>
      <c r="C1467" s="357"/>
      <c r="D1467" s="358"/>
      <c r="E1467" s="358"/>
      <c r="F1467" s="358"/>
      <c r="G1467" s="278"/>
      <c r="H1467" s="358"/>
      <c r="I1467" s="278"/>
    </row>
    <row r="1468" spans="1:9" x14ac:dyDescent="0.3">
      <c r="A1468" s="356"/>
      <c r="B1468" s="278"/>
      <c r="C1468" s="357"/>
      <c r="D1468" s="358"/>
      <c r="E1468" s="358"/>
      <c r="F1468" s="358"/>
      <c r="G1468" s="278"/>
      <c r="H1468" s="358"/>
      <c r="I1468" s="278"/>
    </row>
    <row r="1469" spans="1:9" x14ac:dyDescent="0.3">
      <c r="A1469" s="356"/>
      <c r="B1469" s="278"/>
      <c r="C1469" s="357"/>
      <c r="D1469" s="358"/>
      <c r="E1469" s="358"/>
      <c r="F1469" s="358"/>
      <c r="G1469" s="278"/>
      <c r="H1469" s="358"/>
      <c r="I1469" s="278"/>
    </row>
    <row r="1470" spans="1:9" x14ac:dyDescent="0.3">
      <c r="A1470" s="356"/>
      <c r="B1470" s="278"/>
      <c r="C1470" s="357"/>
      <c r="D1470" s="358"/>
      <c r="E1470" s="358"/>
      <c r="F1470" s="358"/>
      <c r="G1470" s="278"/>
      <c r="H1470" s="358"/>
      <c r="I1470" s="278"/>
    </row>
    <row r="1471" spans="1:9" x14ac:dyDescent="0.3">
      <c r="A1471" s="356"/>
      <c r="B1471" s="278"/>
      <c r="C1471" s="357"/>
      <c r="D1471" s="358"/>
      <c r="E1471" s="358"/>
      <c r="F1471" s="358"/>
      <c r="G1471" s="278"/>
      <c r="H1471" s="358"/>
      <c r="I1471" s="278"/>
    </row>
    <row r="1472" spans="1:9" x14ac:dyDescent="0.3">
      <c r="A1472" s="356"/>
      <c r="B1472" s="278"/>
      <c r="C1472" s="357"/>
      <c r="D1472" s="358"/>
      <c r="E1472" s="358"/>
      <c r="F1472" s="358"/>
      <c r="G1472" s="278"/>
      <c r="H1472" s="358"/>
      <c r="I1472" s="278"/>
    </row>
    <row r="1473" spans="1:9" x14ac:dyDescent="0.3">
      <c r="A1473" s="356"/>
      <c r="B1473" s="278"/>
      <c r="C1473" s="357"/>
      <c r="D1473" s="358"/>
      <c r="E1473" s="358"/>
      <c r="F1473" s="358"/>
      <c r="G1473" s="278"/>
      <c r="H1473" s="358"/>
      <c r="I1473" s="278"/>
    </row>
    <row r="1474" spans="1:9" x14ac:dyDescent="0.3">
      <c r="A1474" s="356"/>
      <c r="B1474" s="278"/>
      <c r="C1474" s="357"/>
      <c r="D1474" s="358"/>
      <c r="E1474" s="358"/>
      <c r="F1474" s="358"/>
      <c r="G1474" s="278"/>
      <c r="H1474" s="358"/>
      <c r="I1474" s="278"/>
    </row>
    <row r="1475" spans="1:9" x14ac:dyDescent="0.3">
      <c r="A1475" s="356"/>
      <c r="B1475" s="278"/>
      <c r="C1475" s="357"/>
      <c r="D1475" s="358"/>
      <c r="E1475" s="358"/>
      <c r="F1475" s="358"/>
      <c r="G1475" s="278"/>
      <c r="H1475" s="358"/>
      <c r="I1475" s="278"/>
    </row>
    <row r="1476" spans="1:9" x14ac:dyDescent="0.3">
      <c r="A1476" s="356"/>
      <c r="B1476" s="278"/>
      <c r="C1476" s="357"/>
      <c r="D1476" s="358"/>
      <c r="E1476" s="358"/>
      <c r="F1476" s="358"/>
      <c r="G1476" s="278"/>
      <c r="H1476" s="358"/>
      <c r="I1476" s="278"/>
    </row>
    <row r="1477" spans="1:9" x14ac:dyDescent="0.3">
      <c r="A1477" s="356"/>
      <c r="B1477" s="278"/>
      <c r="C1477" s="357"/>
      <c r="D1477" s="358"/>
      <c r="E1477" s="358"/>
      <c r="F1477" s="358"/>
      <c r="G1477" s="278"/>
      <c r="H1477" s="358"/>
      <c r="I1477" s="278"/>
    </row>
    <row r="1478" spans="1:9" x14ac:dyDescent="0.3">
      <c r="A1478" s="356"/>
      <c r="B1478" s="278"/>
      <c r="C1478" s="357"/>
      <c r="D1478" s="358"/>
      <c r="E1478" s="358"/>
      <c r="F1478" s="358"/>
      <c r="G1478" s="278"/>
      <c r="H1478" s="358"/>
      <c r="I1478" s="278"/>
    </row>
    <row r="1479" spans="1:9" x14ac:dyDescent="0.3">
      <c r="A1479" s="356"/>
      <c r="B1479" s="278"/>
      <c r="C1479" s="357"/>
      <c r="D1479" s="358"/>
      <c r="E1479" s="358"/>
      <c r="F1479" s="358"/>
      <c r="G1479" s="278"/>
      <c r="H1479" s="358"/>
      <c r="I1479" s="278"/>
    </row>
    <row r="1480" spans="1:9" x14ac:dyDescent="0.3">
      <c r="A1480" s="356"/>
      <c r="B1480" s="278"/>
      <c r="C1480" s="357"/>
      <c r="D1480" s="358"/>
      <c r="E1480" s="358"/>
      <c r="F1480" s="358"/>
      <c r="G1480" s="278"/>
      <c r="H1480" s="358"/>
      <c r="I1480" s="278"/>
    </row>
    <row r="1481" spans="1:9" x14ac:dyDescent="0.3">
      <c r="A1481" s="356"/>
      <c r="B1481" s="278"/>
      <c r="C1481" s="357"/>
      <c r="D1481" s="358"/>
      <c r="E1481" s="358"/>
      <c r="F1481" s="358"/>
      <c r="G1481" s="278"/>
      <c r="H1481" s="358"/>
      <c r="I1481" s="278"/>
    </row>
    <row r="1482" spans="1:9" x14ac:dyDescent="0.3">
      <c r="A1482" s="356"/>
      <c r="B1482" s="278"/>
      <c r="C1482" s="357"/>
      <c r="D1482" s="358"/>
      <c r="E1482" s="358"/>
      <c r="F1482" s="358"/>
      <c r="G1482" s="278"/>
      <c r="H1482" s="358"/>
      <c r="I1482" s="278"/>
    </row>
    <row r="1483" spans="1:9" x14ac:dyDescent="0.3">
      <c r="A1483" s="356"/>
      <c r="B1483" s="278"/>
      <c r="C1483" s="357"/>
      <c r="D1483" s="358"/>
      <c r="E1483" s="358"/>
      <c r="F1483" s="358"/>
      <c r="G1483" s="278"/>
      <c r="H1483" s="358"/>
      <c r="I1483" s="278"/>
    </row>
    <row r="1484" spans="1:9" x14ac:dyDescent="0.3">
      <c r="A1484" s="356"/>
      <c r="B1484" s="278"/>
      <c r="C1484" s="357"/>
      <c r="D1484" s="358"/>
      <c r="E1484" s="358"/>
      <c r="F1484" s="358"/>
      <c r="G1484" s="278"/>
      <c r="H1484" s="358"/>
      <c r="I1484" s="278"/>
    </row>
    <row r="1485" spans="1:9" x14ac:dyDescent="0.3">
      <c r="A1485" s="356"/>
      <c r="B1485" s="278"/>
      <c r="C1485" s="357"/>
      <c r="D1485" s="358"/>
      <c r="E1485" s="358"/>
      <c r="F1485" s="358"/>
      <c r="G1485" s="278"/>
      <c r="H1485" s="358"/>
      <c r="I1485" s="278"/>
    </row>
    <row r="1486" spans="1:9" x14ac:dyDescent="0.3">
      <c r="A1486" s="356"/>
      <c r="B1486" s="278"/>
      <c r="C1486" s="357"/>
      <c r="D1486" s="358"/>
      <c r="E1486" s="358"/>
      <c r="F1486" s="358"/>
      <c r="G1486" s="278"/>
      <c r="H1486" s="358"/>
      <c r="I1486" s="278"/>
    </row>
    <row r="1487" spans="1:9" x14ac:dyDescent="0.3">
      <c r="A1487" s="356"/>
      <c r="B1487" s="278"/>
      <c r="C1487" s="357"/>
      <c r="D1487" s="358"/>
      <c r="E1487" s="358"/>
      <c r="F1487" s="358"/>
      <c r="G1487" s="278"/>
      <c r="H1487" s="358"/>
      <c r="I1487" s="278"/>
    </row>
    <row r="1488" spans="1:9" x14ac:dyDescent="0.3">
      <c r="A1488" s="356"/>
      <c r="B1488" s="278"/>
      <c r="C1488" s="357"/>
      <c r="D1488" s="358"/>
      <c r="E1488" s="358"/>
      <c r="F1488" s="358"/>
      <c r="G1488" s="278"/>
      <c r="H1488" s="358"/>
      <c r="I1488" s="278"/>
    </row>
    <row r="1489" spans="1:9" x14ac:dyDescent="0.3">
      <c r="A1489" s="356"/>
      <c r="B1489" s="278"/>
      <c r="C1489" s="357"/>
      <c r="D1489" s="358"/>
      <c r="E1489" s="358"/>
      <c r="F1489" s="358"/>
      <c r="G1489" s="278"/>
      <c r="H1489" s="358"/>
      <c r="I1489" s="278"/>
    </row>
    <row r="1490" spans="1:9" x14ac:dyDescent="0.3">
      <c r="A1490" s="356"/>
      <c r="B1490" s="278"/>
      <c r="C1490" s="357"/>
      <c r="D1490" s="358"/>
      <c r="E1490" s="358"/>
      <c r="F1490" s="358"/>
      <c r="G1490" s="278"/>
      <c r="H1490" s="358"/>
      <c r="I1490" s="278"/>
    </row>
    <row r="1491" spans="1:9" x14ac:dyDescent="0.3">
      <c r="A1491" s="356"/>
      <c r="B1491" s="278"/>
      <c r="C1491" s="357"/>
      <c r="D1491" s="358"/>
      <c r="E1491" s="358"/>
      <c r="F1491" s="358"/>
      <c r="G1491" s="278"/>
      <c r="H1491" s="358"/>
      <c r="I1491" s="278"/>
    </row>
    <row r="1492" spans="1:9" x14ac:dyDescent="0.3">
      <c r="A1492" s="356"/>
      <c r="B1492" s="278"/>
      <c r="C1492" s="357"/>
      <c r="D1492" s="358"/>
      <c r="E1492" s="358"/>
      <c r="F1492" s="358"/>
      <c r="G1492" s="278"/>
      <c r="H1492" s="358"/>
      <c r="I1492" s="278"/>
    </row>
    <row r="1493" spans="1:9" x14ac:dyDescent="0.3">
      <c r="A1493" s="356"/>
      <c r="B1493" s="278"/>
      <c r="C1493" s="357"/>
      <c r="D1493" s="358"/>
      <c r="E1493" s="358"/>
      <c r="F1493" s="358"/>
      <c r="G1493" s="278"/>
      <c r="H1493" s="358"/>
      <c r="I1493" s="278"/>
    </row>
    <row r="1494" spans="1:9" x14ac:dyDescent="0.3">
      <c r="A1494" s="356"/>
      <c r="B1494" s="278"/>
      <c r="C1494" s="357"/>
      <c r="D1494" s="358"/>
      <c r="E1494" s="358"/>
      <c r="F1494" s="358"/>
      <c r="G1494" s="278"/>
      <c r="H1494" s="358"/>
      <c r="I1494" s="278"/>
    </row>
    <row r="1495" spans="1:9" x14ac:dyDescent="0.3">
      <c r="A1495" s="356"/>
      <c r="B1495" s="278"/>
      <c r="C1495" s="357"/>
      <c r="D1495" s="358"/>
      <c r="E1495" s="358"/>
      <c r="F1495" s="358"/>
      <c r="G1495" s="278"/>
      <c r="H1495" s="358"/>
      <c r="I1495" s="278"/>
    </row>
    <row r="1496" spans="1:9" x14ac:dyDescent="0.3">
      <c r="A1496" s="356"/>
      <c r="B1496" s="278"/>
      <c r="C1496" s="357"/>
      <c r="D1496" s="358"/>
      <c r="E1496" s="358"/>
      <c r="F1496" s="358"/>
      <c r="G1496" s="278"/>
      <c r="H1496" s="358"/>
      <c r="I1496" s="278"/>
    </row>
    <row r="1497" spans="1:9" x14ac:dyDescent="0.3">
      <c r="A1497" s="356"/>
      <c r="B1497" s="278"/>
      <c r="C1497" s="357"/>
      <c r="D1497" s="358"/>
      <c r="E1497" s="358"/>
      <c r="F1497" s="358"/>
      <c r="G1497" s="278"/>
      <c r="H1497" s="358"/>
      <c r="I1497" s="278"/>
    </row>
    <row r="1498" spans="1:9" x14ac:dyDescent="0.3">
      <c r="A1498" s="356"/>
      <c r="B1498" s="278"/>
      <c r="C1498" s="357"/>
      <c r="D1498" s="358"/>
      <c r="E1498" s="358"/>
      <c r="F1498" s="358"/>
      <c r="G1498" s="278"/>
      <c r="H1498" s="358"/>
      <c r="I1498" s="278"/>
    </row>
    <row r="1499" spans="1:9" x14ac:dyDescent="0.3">
      <c r="A1499" s="356"/>
      <c r="B1499" s="278"/>
      <c r="C1499" s="357"/>
      <c r="D1499" s="358"/>
      <c r="E1499" s="358"/>
      <c r="F1499" s="358"/>
      <c r="G1499" s="278"/>
      <c r="H1499" s="358"/>
      <c r="I1499" s="278"/>
    </row>
    <row r="1500" spans="1:9" x14ac:dyDescent="0.3">
      <c r="A1500" s="356"/>
      <c r="B1500" s="278"/>
      <c r="C1500" s="357"/>
      <c r="D1500" s="358"/>
      <c r="E1500" s="358"/>
      <c r="F1500" s="358"/>
      <c r="G1500" s="278"/>
      <c r="H1500" s="358"/>
      <c r="I1500" s="278"/>
    </row>
    <row r="1501" spans="1:9" x14ac:dyDescent="0.3">
      <c r="A1501" s="356"/>
      <c r="B1501" s="278"/>
      <c r="C1501" s="357"/>
      <c r="D1501" s="358"/>
      <c r="E1501" s="358"/>
      <c r="F1501" s="358"/>
      <c r="G1501" s="278"/>
      <c r="H1501" s="358"/>
      <c r="I1501" s="278"/>
    </row>
    <row r="1502" spans="1:9" x14ac:dyDescent="0.3">
      <c r="A1502" s="356"/>
      <c r="B1502" s="278"/>
      <c r="C1502" s="357"/>
      <c r="D1502" s="358"/>
      <c r="E1502" s="358"/>
      <c r="F1502" s="358"/>
      <c r="G1502" s="278"/>
      <c r="H1502" s="358"/>
      <c r="I1502" s="278"/>
    </row>
    <row r="1503" spans="1:9" x14ac:dyDescent="0.3">
      <c r="A1503" s="356"/>
      <c r="B1503" s="278"/>
      <c r="C1503" s="357"/>
      <c r="D1503" s="358"/>
      <c r="E1503" s="358"/>
      <c r="F1503" s="358"/>
      <c r="G1503" s="278"/>
      <c r="H1503" s="358"/>
      <c r="I1503" s="278"/>
    </row>
    <row r="1504" spans="1:9" x14ac:dyDescent="0.3">
      <c r="A1504" s="356"/>
      <c r="B1504" s="278"/>
      <c r="C1504" s="357"/>
      <c r="D1504" s="358"/>
      <c r="E1504" s="358"/>
      <c r="F1504" s="358"/>
      <c r="G1504" s="278"/>
      <c r="H1504" s="358"/>
      <c r="I1504" s="278"/>
    </row>
    <row r="1505" spans="1:9" x14ac:dyDescent="0.3">
      <c r="A1505" s="356"/>
      <c r="B1505" s="278"/>
      <c r="C1505" s="357"/>
      <c r="D1505" s="358"/>
      <c r="E1505" s="358"/>
      <c r="F1505" s="358"/>
      <c r="G1505" s="278"/>
      <c r="H1505" s="358"/>
      <c r="I1505" s="278"/>
    </row>
    <row r="1506" spans="1:9" x14ac:dyDescent="0.3">
      <c r="A1506" s="356"/>
      <c r="B1506" s="278"/>
      <c r="C1506" s="357"/>
      <c r="D1506" s="358"/>
      <c r="E1506" s="358"/>
      <c r="F1506" s="358"/>
      <c r="G1506" s="278"/>
      <c r="H1506" s="358"/>
      <c r="I1506" s="278"/>
    </row>
    <row r="1507" spans="1:9" x14ac:dyDescent="0.3">
      <c r="A1507" s="356"/>
      <c r="B1507" s="278"/>
      <c r="C1507" s="357"/>
      <c r="D1507" s="358"/>
      <c r="E1507" s="358"/>
      <c r="F1507" s="358"/>
      <c r="G1507" s="278"/>
      <c r="H1507" s="358"/>
      <c r="I1507" s="278"/>
    </row>
    <row r="1508" spans="1:9" x14ac:dyDescent="0.3">
      <c r="A1508" s="356"/>
      <c r="B1508" s="278"/>
      <c r="C1508" s="357"/>
      <c r="D1508" s="358"/>
      <c r="E1508" s="358"/>
      <c r="F1508" s="358"/>
      <c r="G1508" s="278"/>
      <c r="H1508" s="358"/>
      <c r="I1508" s="278"/>
    </row>
    <row r="1509" spans="1:9" x14ac:dyDescent="0.3">
      <c r="A1509" s="356"/>
      <c r="B1509" s="278"/>
      <c r="C1509" s="357"/>
      <c r="D1509" s="358"/>
      <c r="E1509" s="358"/>
      <c r="F1509" s="358"/>
      <c r="G1509" s="278"/>
      <c r="H1509" s="358"/>
      <c r="I1509" s="278"/>
    </row>
    <row r="1510" spans="1:9" x14ac:dyDescent="0.3">
      <c r="A1510" s="356"/>
      <c r="B1510" s="278"/>
      <c r="C1510" s="357"/>
      <c r="D1510" s="358"/>
      <c r="E1510" s="358"/>
      <c r="F1510" s="358"/>
      <c r="G1510" s="278"/>
      <c r="H1510" s="358"/>
      <c r="I1510" s="278"/>
    </row>
    <row r="1511" spans="1:9" x14ac:dyDescent="0.3">
      <c r="A1511" s="356"/>
      <c r="B1511" s="278"/>
      <c r="C1511" s="357"/>
      <c r="D1511" s="358"/>
      <c r="E1511" s="358"/>
      <c r="F1511" s="358"/>
      <c r="G1511" s="278"/>
      <c r="H1511" s="358"/>
      <c r="I1511" s="278"/>
    </row>
    <row r="1512" spans="1:9" x14ac:dyDescent="0.3">
      <c r="A1512" s="356"/>
      <c r="B1512" s="278"/>
      <c r="C1512" s="357"/>
      <c r="D1512" s="358"/>
      <c r="E1512" s="358"/>
      <c r="F1512" s="358"/>
      <c r="G1512" s="278"/>
      <c r="H1512" s="358"/>
      <c r="I1512" s="278"/>
    </row>
    <row r="1513" spans="1:9" x14ac:dyDescent="0.3">
      <c r="A1513" s="356"/>
      <c r="B1513" s="278"/>
      <c r="C1513" s="357"/>
      <c r="D1513" s="358"/>
      <c r="E1513" s="358"/>
      <c r="F1513" s="358"/>
      <c r="G1513" s="278"/>
      <c r="H1513" s="358"/>
      <c r="I1513" s="278"/>
    </row>
    <row r="1514" spans="1:9" x14ac:dyDescent="0.3">
      <c r="A1514" s="356"/>
      <c r="B1514" s="278"/>
      <c r="C1514" s="357"/>
      <c r="D1514" s="358"/>
      <c r="E1514" s="358"/>
      <c r="F1514" s="358"/>
      <c r="G1514" s="278"/>
      <c r="H1514" s="358"/>
      <c r="I1514" s="278"/>
    </row>
    <row r="1515" spans="1:9" x14ac:dyDescent="0.3">
      <c r="A1515" s="356"/>
      <c r="B1515" s="278"/>
      <c r="C1515" s="357"/>
      <c r="D1515" s="358"/>
      <c r="E1515" s="358"/>
      <c r="F1515" s="358"/>
      <c r="G1515" s="278"/>
      <c r="H1515" s="358"/>
      <c r="I1515" s="278"/>
    </row>
    <row r="1516" spans="1:9" x14ac:dyDescent="0.3">
      <c r="A1516" s="356"/>
      <c r="B1516" s="278"/>
      <c r="C1516" s="357"/>
      <c r="D1516" s="358"/>
      <c r="E1516" s="358"/>
      <c r="F1516" s="358"/>
      <c r="G1516" s="278"/>
      <c r="H1516" s="358"/>
      <c r="I1516" s="278"/>
    </row>
    <row r="1517" spans="1:9" x14ac:dyDescent="0.3">
      <c r="A1517" s="356"/>
      <c r="B1517" s="278"/>
      <c r="C1517" s="357"/>
      <c r="D1517" s="358"/>
      <c r="E1517" s="358"/>
      <c r="F1517" s="358"/>
      <c r="G1517" s="278"/>
      <c r="H1517" s="358"/>
      <c r="I1517" s="278"/>
    </row>
    <row r="1518" spans="1:9" x14ac:dyDescent="0.3">
      <c r="A1518" s="356"/>
      <c r="B1518" s="278"/>
      <c r="C1518" s="357"/>
      <c r="D1518" s="358"/>
      <c r="E1518" s="358"/>
      <c r="F1518" s="358"/>
      <c r="G1518" s="278"/>
      <c r="H1518" s="358"/>
      <c r="I1518" s="278"/>
    </row>
    <row r="1519" spans="1:9" x14ac:dyDescent="0.3">
      <c r="A1519" s="356"/>
      <c r="B1519" s="278"/>
      <c r="C1519" s="357"/>
      <c r="D1519" s="358"/>
      <c r="E1519" s="358"/>
      <c r="F1519" s="358"/>
      <c r="G1519" s="278"/>
      <c r="H1519" s="358"/>
      <c r="I1519" s="278"/>
    </row>
    <row r="1520" spans="1:9" x14ac:dyDescent="0.3">
      <c r="A1520" s="356"/>
      <c r="B1520" s="278"/>
      <c r="C1520" s="357"/>
      <c r="D1520" s="358"/>
      <c r="E1520" s="358"/>
      <c r="F1520" s="358"/>
      <c r="G1520" s="278"/>
      <c r="H1520" s="358"/>
      <c r="I1520" s="278"/>
    </row>
    <row r="1521" spans="1:9" x14ac:dyDescent="0.3">
      <c r="A1521" s="356"/>
      <c r="B1521" s="278"/>
      <c r="C1521" s="357"/>
      <c r="D1521" s="358"/>
      <c r="E1521" s="358"/>
      <c r="F1521" s="358"/>
      <c r="G1521" s="278"/>
      <c r="H1521" s="358"/>
      <c r="I1521" s="278"/>
    </row>
    <row r="1522" spans="1:9" x14ac:dyDescent="0.3">
      <c r="A1522" s="356"/>
      <c r="B1522" s="278"/>
      <c r="C1522" s="357"/>
      <c r="D1522" s="358"/>
      <c r="E1522" s="358"/>
      <c r="F1522" s="358"/>
      <c r="G1522" s="278"/>
      <c r="H1522" s="358"/>
      <c r="I1522" s="278"/>
    </row>
    <row r="1523" spans="1:9" x14ac:dyDescent="0.3">
      <c r="A1523" s="356"/>
      <c r="B1523" s="278"/>
      <c r="C1523" s="357"/>
      <c r="D1523" s="358"/>
      <c r="E1523" s="358"/>
      <c r="F1523" s="358"/>
      <c r="G1523" s="278"/>
      <c r="H1523" s="358"/>
      <c r="I1523" s="278"/>
    </row>
    <row r="1524" spans="1:9" x14ac:dyDescent="0.3">
      <c r="A1524" s="356"/>
      <c r="B1524" s="278"/>
      <c r="C1524" s="357"/>
      <c r="D1524" s="358"/>
      <c r="E1524" s="358"/>
      <c r="F1524" s="358"/>
      <c r="G1524" s="278"/>
      <c r="H1524" s="358"/>
      <c r="I1524" s="278"/>
    </row>
    <row r="1525" spans="1:9" x14ac:dyDescent="0.3">
      <c r="A1525" s="356"/>
      <c r="B1525" s="278"/>
      <c r="C1525" s="357"/>
      <c r="D1525" s="358"/>
      <c r="E1525" s="358"/>
      <c r="F1525" s="358"/>
      <c r="G1525" s="278"/>
      <c r="H1525" s="358"/>
      <c r="I1525" s="278"/>
    </row>
    <row r="1526" spans="1:9" x14ac:dyDescent="0.3">
      <c r="A1526" s="356"/>
      <c r="B1526" s="278"/>
      <c r="C1526" s="357"/>
      <c r="D1526" s="358"/>
      <c r="E1526" s="358"/>
      <c r="F1526" s="358"/>
      <c r="G1526" s="278"/>
      <c r="H1526" s="358"/>
      <c r="I1526" s="278"/>
    </row>
    <row r="1527" spans="1:9" x14ac:dyDescent="0.3">
      <c r="A1527" s="356"/>
      <c r="B1527" s="278"/>
      <c r="C1527" s="357"/>
      <c r="D1527" s="358"/>
      <c r="E1527" s="358"/>
      <c r="F1527" s="358"/>
      <c r="G1527" s="278"/>
      <c r="H1527" s="358"/>
      <c r="I1527" s="278"/>
    </row>
    <row r="1528" spans="1:9" x14ac:dyDescent="0.3">
      <c r="A1528" s="356"/>
      <c r="B1528" s="278"/>
      <c r="C1528" s="357"/>
      <c r="D1528" s="358"/>
      <c r="E1528" s="358"/>
      <c r="F1528" s="358"/>
      <c r="G1528" s="278"/>
      <c r="H1528" s="358"/>
      <c r="I1528" s="278"/>
    </row>
    <row r="1529" spans="1:9" x14ac:dyDescent="0.3">
      <c r="A1529" s="356"/>
      <c r="B1529" s="278"/>
      <c r="C1529" s="357"/>
      <c r="D1529" s="358"/>
      <c r="E1529" s="358"/>
      <c r="F1529" s="358"/>
      <c r="G1529" s="278"/>
      <c r="H1529" s="358"/>
      <c r="I1529" s="278"/>
    </row>
    <row r="1530" spans="1:9" x14ac:dyDescent="0.3">
      <c r="A1530" s="356"/>
      <c r="B1530" s="278"/>
      <c r="C1530" s="357"/>
      <c r="D1530" s="358"/>
      <c r="E1530" s="358"/>
      <c r="F1530" s="358"/>
      <c r="G1530" s="278"/>
      <c r="H1530" s="358"/>
      <c r="I1530" s="278"/>
    </row>
    <row r="1531" spans="1:9" x14ac:dyDescent="0.3">
      <c r="A1531" s="356"/>
      <c r="B1531" s="278"/>
      <c r="C1531" s="357"/>
      <c r="D1531" s="358"/>
      <c r="E1531" s="358"/>
      <c r="F1531" s="358"/>
      <c r="G1531" s="278"/>
      <c r="H1531" s="358"/>
      <c r="I1531" s="278"/>
    </row>
    <row r="1532" spans="1:9" x14ac:dyDescent="0.3">
      <c r="A1532" s="356"/>
      <c r="B1532" s="278"/>
      <c r="C1532" s="357"/>
      <c r="D1532" s="358"/>
      <c r="E1532" s="358"/>
      <c r="F1532" s="358"/>
      <c r="G1532" s="278"/>
      <c r="H1532" s="358"/>
      <c r="I1532" s="278"/>
    </row>
    <row r="1533" spans="1:9" x14ac:dyDescent="0.3">
      <c r="A1533" s="356"/>
      <c r="B1533" s="278"/>
      <c r="C1533" s="357"/>
      <c r="D1533" s="358"/>
      <c r="E1533" s="358"/>
      <c r="F1533" s="358"/>
      <c r="G1533" s="278"/>
      <c r="H1533" s="358"/>
      <c r="I1533" s="278"/>
    </row>
    <row r="1534" spans="1:9" x14ac:dyDescent="0.3">
      <c r="A1534" s="356"/>
      <c r="B1534" s="278"/>
      <c r="C1534" s="357"/>
      <c r="D1534" s="358"/>
      <c r="E1534" s="358"/>
      <c r="F1534" s="358"/>
      <c r="G1534" s="278"/>
      <c r="H1534" s="358"/>
      <c r="I1534" s="278"/>
    </row>
    <row r="1535" spans="1:9" x14ac:dyDescent="0.3">
      <c r="A1535" s="356"/>
      <c r="B1535" s="278"/>
      <c r="C1535" s="357"/>
      <c r="D1535" s="358"/>
      <c r="E1535" s="358"/>
      <c r="F1535" s="358"/>
      <c r="G1535" s="278"/>
      <c r="H1535" s="358"/>
      <c r="I1535" s="278"/>
    </row>
    <row r="1536" spans="1:9" x14ac:dyDescent="0.3">
      <c r="A1536" s="356"/>
      <c r="B1536" s="278"/>
      <c r="C1536" s="357"/>
      <c r="D1536" s="358"/>
      <c r="E1536" s="358"/>
      <c r="F1536" s="358"/>
      <c r="G1536" s="278"/>
      <c r="H1536" s="358"/>
      <c r="I1536" s="278"/>
    </row>
    <row r="1537" spans="1:9" x14ac:dyDescent="0.3">
      <c r="A1537" s="356"/>
      <c r="B1537" s="278"/>
      <c r="C1537" s="357"/>
      <c r="D1537" s="358"/>
      <c r="E1537" s="358"/>
      <c r="F1537" s="358"/>
      <c r="G1537" s="278"/>
      <c r="H1537" s="358"/>
      <c r="I1537" s="278"/>
    </row>
    <row r="1538" spans="1:9" x14ac:dyDescent="0.3">
      <c r="A1538" s="356"/>
      <c r="B1538" s="278"/>
      <c r="C1538" s="357"/>
      <c r="D1538" s="358"/>
      <c r="E1538" s="358"/>
      <c r="F1538" s="358"/>
      <c r="G1538" s="278"/>
      <c r="H1538" s="358"/>
      <c r="I1538" s="278"/>
    </row>
    <row r="1539" spans="1:9" x14ac:dyDescent="0.3">
      <c r="A1539" s="356"/>
      <c r="B1539" s="278"/>
      <c r="C1539" s="357"/>
      <c r="D1539" s="358"/>
      <c r="E1539" s="358"/>
      <c r="F1539" s="358"/>
      <c r="G1539" s="278"/>
      <c r="H1539" s="358"/>
      <c r="I1539" s="278"/>
    </row>
    <row r="1540" spans="1:9" x14ac:dyDescent="0.3">
      <c r="A1540" s="356"/>
      <c r="B1540" s="278"/>
      <c r="C1540" s="357"/>
      <c r="D1540" s="358"/>
      <c r="E1540" s="358"/>
      <c r="F1540" s="358"/>
      <c r="G1540" s="278"/>
      <c r="H1540" s="358"/>
      <c r="I1540" s="278"/>
    </row>
    <row r="1541" spans="1:9" x14ac:dyDescent="0.3">
      <c r="A1541" s="356"/>
      <c r="B1541" s="278"/>
      <c r="C1541" s="357"/>
      <c r="D1541" s="358"/>
      <c r="E1541" s="358"/>
      <c r="F1541" s="358"/>
      <c r="G1541" s="278"/>
      <c r="H1541" s="358"/>
      <c r="I1541" s="278"/>
    </row>
    <row r="1542" spans="1:9" x14ac:dyDescent="0.3">
      <c r="A1542" s="356"/>
      <c r="B1542" s="278"/>
      <c r="C1542" s="357"/>
      <c r="D1542" s="358"/>
      <c r="E1542" s="358"/>
      <c r="F1542" s="358"/>
      <c r="G1542" s="278"/>
      <c r="H1542" s="358"/>
      <c r="I1542" s="278"/>
    </row>
    <row r="1543" spans="1:9" x14ac:dyDescent="0.3">
      <c r="A1543" s="356"/>
      <c r="B1543" s="278"/>
      <c r="C1543" s="357"/>
      <c r="D1543" s="358"/>
      <c r="E1543" s="358"/>
      <c r="F1543" s="358"/>
      <c r="G1543" s="278"/>
      <c r="H1543" s="358"/>
      <c r="I1543" s="278"/>
    </row>
    <row r="1544" spans="1:9" x14ac:dyDescent="0.3">
      <c r="A1544" s="356"/>
      <c r="B1544" s="278"/>
      <c r="C1544" s="357"/>
      <c r="D1544" s="358"/>
      <c r="E1544" s="358"/>
      <c r="F1544" s="358"/>
      <c r="G1544" s="278"/>
      <c r="H1544" s="358"/>
      <c r="I1544" s="278"/>
    </row>
    <row r="1545" spans="1:9" x14ac:dyDescent="0.3">
      <c r="A1545" s="356"/>
      <c r="B1545" s="278"/>
      <c r="C1545" s="357"/>
      <c r="D1545" s="358"/>
      <c r="E1545" s="358"/>
      <c r="F1545" s="358"/>
      <c r="G1545" s="278"/>
      <c r="H1545" s="358"/>
      <c r="I1545" s="278"/>
    </row>
    <row r="1546" spans="1:9" x14ac:dyDescent="0.3">
      <c r="A1546" s="356"/>
      <c r="B1546" s="278"/>
      <c r="C1546" s="357"/>
      <c r="D1546" s="358"/>
      <c r="E1546" s="358"/>
      <c r="F1546" s="358"/>
      <c r="G1546" s="278"/>
      <c r="H1546" s="358"/>
      <c r="I1546" s="278"/>
    </row>
    <row r="1547" spans="1:9" x14ac:dyDescent="0.3">
      <c r="A1547" s="356"/>
      <c r="B1547" s="278"/>
      <c r="C1547" s="357"/>
      <c r="D1547" s="358"/>
      <c r="E1547" s="358"/>
      <c r="F1547" s="358"/>
      <c r="G1547" s="278"/>
      <c r="H1547" s="358"/>
      <c r="I1547" s="278"/>
    </row>
    <row r="1548" spans="1:9" x14ac:dyDescent="0.3">
      <c r="A1548" s="356"/>
      <c r="B1548" s="278"/>
      <c r="C1548" s="357"/>
      <c r="D1548" s="358"/>
      <c r="E1548" s="358"/>
      <c r="F1548" s="358"/>
      <c r="G1548" s="278"/>
      <c r="H1548" s="358"/>
      <c r="I1548" s="278"/>
    </row>
    <row r="1549" spans="1:9" x14ac:dyDescent="0.3">
      <c r="A1549" s="356"/>
      <c r="B1549" s="278"/>
      <c r="C1549" s="357"/>
      <c r="D1549" s="358"/>
      <c r="E1549" s="358"/>
      <c r="F1549" s="358"/>
      <c r="G1549" s="278"/>
      <c r="H1549" s="358"/>
      <c r="I1549" s="278"/>
    </row>
    <row r="1550" spans="1:9" x14ac:dyDescent="0.3">
      <c r="A1550" s="356"/>
      <c r="B1550" s="278"/>
      <c r="C1550" s="357"/>
      <c r="D1550" s="358"/>
      <c r="E1550" s="358"/>
      <c r="F1550" s="358"/>
      <c r="G1550" s="278"/>
      <c r="H1550" s="358"/>
      <c r="I1550" s="278"/>
    </row>
    <row r="1551" spans="1:9" x14ac:dyDescent="0.3">
      <c r="A1551" s="356"/>
      <c r="B1551" s="278"/>
      <c r="C1551" s="357"/>
      <c r="D1551" s="358"/>
      <c r="E1551" s="358"/>
      <c r="F1551" s="358"/>
      <c r="G1551" s="278"/>
      <c r="H1551" s="358"/>
      <c r="I1551" s="278"/>
    </row>
    <row r="1552" spans="1:9" x14ac:dyDescent="0.3">
      <c r="A1552" s="356"/>
      <c r="B1552" s="278"/>
      <c r="C1552" s="357"/>
      <c r="D1552" s="358"/>
      <c r="E1552" s="358"/>
      <c r="F1552" s="358"/>
      <c r="G1552" s="278"/>
      <c r="H1552" s="358"/>
      <c r="I1552" s="278"/>
    </row>
    <row r="1553" spans="1:9" x14ac:dyDescent="0.3">
      <c r="A1553" s="356"/>
      <c r="B1553" s="278"/>
      <c r="C1553" s="357"/>
      <c r="D1553" s="358"/>
      <c r="E1553" s="358"/>
      <c r="F1553" s="358"/>
      <c r="G1553" s="278"/>
      <c r="H1553" s="358"/>
      <c r="I1553" s="278"/>
    </row>
    <row r="1554" spans="1:9" x14ac:dyDescent="0.3">
      <c r="A1554" s="356"/>
      <c r="B1554" s="278"/>
      <c r="C1554" s="357"/>
      <c r="D1554" s="358"/>
      <c r="E1554" s="358"/>
      <c r="F1554" s="358"/>
      <c r="G1554" s="278"/>
      <c r="H1554" s="358"/>
      <c r="I1554" s="278"/>
    </row>
    <row r="1555" spans="1:9" x14ac:dyDescent="0.3">
      <c r="A1555" s="356"/>
      <c r="B1555" s="278"/>
      <c r="C1555" s="357"/>
      <c r="D1555" s="358"/>
      <c r="E1555" s="358"/>
      <c r="F1555" s="358"/>
      <c r="G1555" s="278"/>
      <c r="H1555" s="358"/>
      <c r="I1555" s="278"/>
    </row>
    <row r="1556" spans="1:9" x14ac:dyDescent="0.3">
      <c r="A1556" s="356"/>
      <c r="B1556" s="278"/>
      <c r="C1556" s="357"/>
      <c r="D1556" s="358"/>
      <c r="E1556" s="358"/>
      <c r="F1556" s="358"/>
      <c r="G1556" s="278"/>
      <c r="H1556" s="358"/>
      <c r="I1556" s="278"/>
    </row>
    <row r="1557" spans="1:9" x14ac:dyDescent="0.3">
      <c r="A1557" s="356"/>
      <c r="B1557" s="278"/>
      <c r="C1557" s="357"/>
      <c r="D1557" s="358"/>
      <c r="E1557" s="358"/>
      <c r="F1557" s="358"/>
      <c r="G1557" s="278"/>
      <c r="H1557" s="358"/>
      <c r="I1557" s="278"/>
    </row>
    <row r="1558" spans="1:9" x14ac:dyDescent="0.3">
      <c r="A1558" s="356"/>
      <c r="B1558" s="278"/>
      <c r="C1558" s="357"/>
      <c r="D1558" s="358"/>
      <c r="E1558" s="358"/>
      <c r="F1558" s="358"/>
      <c r="G1558" s="278"/>
      <c r="H1558" s="358"/>
      <c r="I1558" s="278"/>
    </row>
    <row r="1559" spans="1:9" x14ac:dyDescent="0.3">
      <c r="A1559" s="356"/>
      <c r="B1559" s="278"/>
      <c r="C1559" s="357"/>
      <c r="D1559" s="358"/>
      <c r="E1559" s="358"/>
      <c r="F1559" s="358"/>
      <c r="G1559" s="278"/>
      <c r="H1559" s="358"/>
      <c r="I1559" s="278"/>
    </row>
    <row r="1560" spans="1:9" x14ac:dyDescent="0.3">
      <c r="A1560" s="356"/>
      <c r="B1560" s="278"/>
      <c r="C1560" s="357"/>
      <c r="D1560" s="358"/>
      <c r="E1560" s="358"/>
      <c r="F1560" s="358"/>
      <c r="G1560" s="278"/>
      <c r="H1560" s="358"/>
      <c r="I1560" s="278"/>
    </row>
    <row r="1561" spans="1:9" x14ac:dyDescent="0.3">
      <c r="A1561" s="356"/>
      <c r="B1561" s="278"/>
      <c r="C1561" s="357"/>
      <c r="D1561" s="358"/>
      <c r="E1561" s="358"/>
      <c r="F1561" s="358"/>
      <c r="G1561" s="278"/>
      <c r="H1561" s="358"/>
      <c r="I1561" s="278"/>
    </row>
    <row r="1562" spans="1:9" x14ac:dyDescent="0.3">
      <c r="A1562" s="356"/>
      <c r="B1562" s="278"/>
      <c r="C1562" s="357"/>
      <c r="D1562" s="358"/>
      <c r="E1562" s="358"/>
      <c r="F1562" s="358"/>
      <c r="G1562" s="278"/>
      <c r="H1562" s="358"/>
      <c r="I1562" s="278"/>
    </row>
    <row r="1563" spans="1:9" x14ac:dyDescent="0.3">
      <c r="A1563" s="356"/>
      <c r="B1563" s="278"/>
      <c r="C1563" s="357"/>
      <c r="D1563" s="358"/>
      <c r="E1563" s="358"/>
      <c r="F1563" s="358"/>
      <c r="G1563" s="278"/>
      <c r="H1563" s="358"/>
      <c r="I1563" s="278"/>
    </row>
    <row r="1564" spans="1:9" x14ac:dyDescent="0.3">
      <c r="A1564" s="356"/>
      <c r="B1564" s="278"/>
      <c r="C1564" s="357"/>
      <c r="D1564" s="358"/>
      <c r="E1564" s="358"/>
      <c r="F1564" s="358"/>
      <c r="G1564" s="278"/>
      <c r="H1564" s="358"/>
      <c r="I1564" s="278"/>
    </row>
    <row r="1565" spans="1:9" x14ac:dyDescent="0.3">
      <c r="A1565" s="356"/>
      <c r="B1565" s="278"/>
      <c r="C1565" s="357"/>
      <c r="D1565" s="358"/>
      <c r="E1565" s="358"/>
      <c r="F1565" s="358"/>
      <c r="G1565" s="278"/>
      <c r="H1565" s="358"/>
      <c r="I1565" s="278"/>
    </row>
    <row r="1566" spans="1:9" x14ac:dyDescent="0.3">
      <c r="A1566" s="356"/>
      <c r="B1566" s="278"/>
      <c r="C1566" s="357"/>
      <c r="D1566" s="358"/>
      <c r="E1566" s="358"/>
      <c r="F1566" s="358"/>
      <c r="G1566" s="278"/>
      <c r="H1566" s="358"/>
      <c r="I1566" s="278"/>
    </row>
    <row r="1567" spans="1:9" x14ac:dyDescent="0.3">
      <c r="A1567" s="356"/>
      <c r="B1567" s="278"/>
      <c r="C1567" s="357"/>
      <c r="D1567" s="358"/>
      <c r="E1567" s="358"/>
      <c r="F1567" s="358"/>
      <c r="G1567" s="278"/>
      <c r="H1567" s="358"/>
      <c r="I1567" s="278"/>
    </row>
    <row r="1568" spans="1:9" x14ac:dyDescent="0.3">
      <c r="A1568" s="356"/>
      <c r="B1568" s="278"/>
      <c r="C1568" s="357"/>
      <c r="D1568" s="358"/>
      <c r="E1568" s="358"/>
      <c r="F1568" s="358"/>
      <c r="G1568" s="278"/>
      <c r="H1568" s="358"/>
      <c r="I1568" s="278"/>
    </row>
    <row r="1569" spans="1:9" x14ac:dyDescent="0.3">
      <c r="A1569" s="356"/>
      <c r="B1569" s="278"/>
      <c r="C1569" s="357"/>
      <c r="D1569" s="358"/>
      <c r="E1569" s="358"/>
      <c r="F1569" s="358"/>
      <c r="G1569" s="278"/>
      <c r="H1569" s="358"/>
      <c r="I1569" s="278"/>
    </row>
    <row r="1570" spans="1:9" x14ac:dyDescent="0.3">
      <c r="A1570" s="356"/>
      <c r="B1570" s="278"/>
      <c r="C1570" s="357"/>
      <c r="D1570" s="358"/>
      <c r="E1570" s="358"/>
      <c r="F1570" s="358"/>
      <c r="G1570" s="278"/>
      <c r="H1570" s="358"/>
      <c r="I1570" s="278"/>
    </row>
    <row r="1571" spans="1:9" x14ac:dyDescent="0.3">
      <c r="A1571" s="356"/>
      <c r="B1571" s="278"/>
      <c r="C1571" s="357"/>
      <c r="D1571" s="358"/>
      <c r="E1571" s="358"/>
      <c r="F1571" s="358"/>
      <c r="G1571" s="278"/>
      <c r="H1571" s="358"/>
      <c r="I1571" s="278"/>
    </row>
    <row r="1572" spans="1:9" x14ac:dyDescent="0.3">
      <c r="A1572" s="356"/>
      <c r="B1572" s="278"/>
      <c r="C1572" s="357"/>
      <c r="D1572" s="358"/>
      <c r="E1572" s="358"/>
      <c r="F1572" s="358"/>
      <c r="G1572" s="278"/>
      <c r="H1572" s="358"/>
      <c r="I1572" s="278"/>
    </row>
    <row r="1573" spans="1:9" x14ac:dyDescent="0.3">
      <c r="A1573" s="356"/>
      <c r="B1573" s="278"/>
      <c r="C1573" s="357"/>
      <c r="D1573" s="358"/>
      <c r="E1573" s="358"/>
      <c r="F1573" s="358"/>
      <c r="G1573" s="278"/>
      <c r="H1573" s="358"/>
      <c r="I1573" s="278"/>
    </row>
    <row r="1574" spans="1:9" x14ac:dyDescent="0.3">
      <c r="A1574" s="356"/>
      <c r="B1574" s="278"/>
      <c r="C1574" s="357"/>
      <c r="D1574" s="358"/>
      <c r="E1574" s="358"/>
      <c r="F1574" s="358"/>
      <c r="G1574" s="278"/>
      <c r="H1574" s="358"/>
      <c r="I1574" s="278"/>
    </row>
    <row r="1575" spans="1:9" x14ac:dyDescent="0.3">
      <c r="A1575" s="356"/>
      <c r="B1575" s="278"/>
      <c r="C1575" s="357"/>
      <c r="D1575" s="358"/>
      <c r="E1575" s="358"/>
      <c r="F1575" s="358"/>
      <c r="G1575" s="278"/>
      <c r="H1575" s="358"/>
      <c r="I1575" s="278"/>
    </row>
    <row r="1576" spans="1:9" x14ac:dyDescent="0.3">
      <c r="A1576" s="356"/>
      <c r="B1576" s="278"/>
      <c r="C1576" s="357"/>
      <c r="D1576" s="358"/>
      <c r="E1576" s="358"/>
      <c r="F1576" s="358"/>
      <c r="G1576" s="278"/>
      <c r="H1576" s="358"/>
      <c r="I1576" s="278"/>
    </row>
    <row r="1577" spans="1:9" x14ac:dyDescent="0.3">
      <c r="A1577" s="356"/>
      <c r="B1577" s="278"/>
      <c r="C1577" s="357"/>
      <c r="D1577" s="358"/>
      <c r="E1577" s="358"/>
      <c r="F1577" s="358"/>
      <c r="G1577" s="278"/>
      <c r="H1577" s="358"/>
      <c r="I1577" s="278"/>
    </row>
    <row r="1578" spans="1:9" x14ac:dyDescent="0.3">
      <c r="A1578" s="356"/>
      <c r="B1578" s="278"/>
      <c r="C1578" s="357"/>
      <c r="D1578" s="358"/>
      <c r="E1578" s="358"/>
      <c r="F1578" s="358"/>
      <c r="G1578" s="278"/>
      <c r="H1578" s="358"/>
      <c r="I1578" s="278"/>
    </row>
    <row r="1579" spans="1:9" x14ac:dyDescent="0.3">
      <c r="A1579" s="356"/>
      <c r="B1579" s="278"/>
      <c r="C1579" s="357"/>
      <c r="D1579" s="358"/>
      <c r="E1579" s="358"/>
      <c r="F1579" s="358"/>
      <c r="G1579" s="278"/>
      <c r="H1579" s="358"/>
      <c r="I1579" s="278"/>
    </row>
    <row r="1580" spans="1:9" x14ac:dyDescent="0.3">
      <c r="A1580" s="356"/>
      <c r="B1580" s="278"/>
      <c r="C1580" s="357"/>
      <c r="D1580" s="358"/>
      <c r="E1580" s="358"/>
      <c r="F1580" s="358"/>
      <c r="G1580" s="278"/>
      <c r="H1580" s="358"/>
      <c r="I1580" s="278"/>
    </row>
    <row r="1581" spans="1:9" x14ac:dyDescent="0.3">
      <c r="A1581" s="356"/>
      <c r="B1581" s="278"/>
      <c r="C1581" s="357"/>
      <c r="D1581" s="358"/>
      <c r="E1581" s="358"/>
      <c r="F1581" s="358"/>
      <c r="G1581" s="278"/>
      <c r="H1581" s="358"/>
      <c r="I1581" s="278"/>
    </row>
    <row r="1582" spans="1:9" x14ac:dyDescent="0.3">
      <c r="A1582" s="356"/>
      <c r="B1582" s="278"/>
      <c r="C1582" s="357"/>
      <c r="D1582" s="358"/>
      <c r="E1582" s="358"/>
      <c r="F1582" s="358"/>
      <c r="G1582" s="278"/>
      <c r="H1582" s="358"/>
      <c r="I1582" s="278"/>
    </row>
    <row r="1583" spans="1:9" x14ac:dyDescent="0.3">
      <c r="A1583" s="356"/>
      <c r="B1583" s="278"/>
      <c r="C1583" s="357"/>
      <c r="D1583" s="358"/>
      <c r="E1583" s="358"/>
      <c r="F1583" s="358"/>
      <c r="G1583" s="278"/>
      <c r="H1583" s="358"/>
      <c r="I1583" s="278"/>
    </row>
    <row r="1584" spans="1:9" x14ac:dyDescent="0.3">
      <c r="A1584" s="356"/>
      <c r="B1584" s="278"/>
      <c r="C1584" s="357"/>
      <c r="D1584" s="358"/>
      <c r="E1584" s="358"/>
      <c r="F1584" s="358"/>
      <c r="G1584" s="278"/>
      <c r="H1584" s="358"/>
      <c r="I1584" s="278"/>
    </row>
    <row r="1585" spans="1:9" x14ac:dyDescent="0.3">
      <c r="A1585" s="356"/>
      <c r="B1585" s="278"/>
      <c r="C1585" s="357"/>
      <c r="D1585" s="358"/>
      <c r="E1585" s="358"/>
      <c r="F1585" s="358"/>
      <c r="G1585" s="278"/>
      <c r="H1585" s="358"/>
      <c r="I1585" s="278"/>
    </row>
    <row r="1586" spans="1:9" x14ac:dyDescent="0.3">
      <c r="A1586" s="356"/>
      <c r="B1586" s="278"/>
      <c r="C1586" s="357"/>
      <c r="D1586" s="358"/>
      <c r="E1586" s="358"/>
      <c r="F1586" s="358"/>
      <c r="G1586" s="278"/>
      <c r="H1586" s="358"/>
      <c r="I1586" s="278"/>
    </row>
    <row r="1587" spans="1:9" x14ac:dyDescent="0.3">
      <c r="A1587" s="356"/>
      <c r="B1587" s="278"/>
      <c r="C1587" s="357"/>
      <c r="D1587" s="358"/>
      <c r="E1587" s="358"/>
      <c r="F1587" s="358"/>
      <c r="G1587" s="278"/>
      <c r="H1587" s="358"/>
      <c r="I1587" s="278"/>
    </row>
    <row r="1588" spans="1:9" x14ac:dyDescent="0.3">
      <c r="A1588" s="356"/>
      <c r="B1588" s="278"/>
      <c r="C1588" s="357"/>
      <c r="D1588" s="358"/>
      <c r="E1588" s="358"/>
      <c r="F1588" s="358"/>
      <c r="G1588" s="278"/>
      <c r="H1588" s="358"/>
      <c r="I1588" s="278"/>
    </row>
    <row r="1589" spans="1:9" x14ac:dyDescent="0.3">
      <c r="A1589" s="356"/>
      <c r="B1589" s="278"/>
      <c r="C1589" s="357"/>
      <c r="D1589" s="358"/>
      <c r="E1589" s="358"/>
      <c r="F1589" s="358"/>
      <c r="G1589" s="278"/>
      <c r="H1589" s="358"/>
      <c r="I1589" s="278"/>
    </row>
    <row r="1590" spans="1:9" x14ac:dyDescent="0.3">
      <c r="A1590" s="356"/>
      <c r="B1590" s="278"/>
      <c r="C1590" s="357"/>
      <c r="D1590" s="358"/>
      <c r="E1590" s="358"/>
      <c r="F1590" s="358"/>
      <c r="G1590" s="278"/>
      <c r="H1590" s="358"/>
      <c r="I1590" s="278"/>
    </row>
    <row r="1591" spans="1:9" x14ac:dyDescent="0.3">
      <c r="A1591" s="356"/>
      <c r="B1591" s="278"/>
      <c r="C1591" s="357"/>
      <c r="D1591" s="358"/>
      <c r="E1591" s="358"/>
      <c r="F1591" s="358"/>
      <c r="G1591" s="278"/>
      <c r="H1591" s="358"/>
      <c r="I1591" s="278"/>
    </row>
    <row r="1592" spans="1:9" x14ac:dyDescent="0.3">
      <c r="A1592" s="356"/>
      <c r="B1592" s="278"/>
      <c r="C1592" s="357"/>
      <c r="D1592" s="358"/>
      <c r="E1592" s="358"/>
      <c r="F1592" s="358"/>
      <c r="G1592" s="278"/>
      <c r="H1592" s="358"/>
      <c r="I1592" s="278"/>
    </row>
    <row r="1593" spans="1:9" x14ac:dyDescent="0.3">
      <c r="A1593" s="356"/>
      <c r="B1593" s="278"/>
      <c r="C1593" s="357"/>
      <c r="D1593" s="358"/>
      <c r="E1593" s="358"/>
      <c r="F1593" s="358"/>
      <c r="G1593" s="278"/>
      <c r="H1593" s="358"/>
      <c r="I1593" s="278"/>
    </row>
    <row r="1594" spans="1:9" x14ac:dyDescent="0.3">
      <c r="A1594" s="356"/>
      <c r="B1594" s="278"/>
      <c r="C1594" s="357"/>
      <c r="D1594" s="358"/>
      <c r="E1594" s="358"/>
      <c r="F1594" s="358"/>
      <c r="G1594" s="278"/>
      <c r="H1594" s="358"/>
      <c r="I1594" s="278"/>
    </row>
    <row r="1595" spans="1:9" x14ac:dyDescent="0.3">
      <c r="A1595" s="356"/>
      <c r="B1595" s="278"/>
      <c r="C1595" s="357"/>
      <c r="D1595" s="358"/>
      <c r="E1595" s="358"/>
      <c r="F1595" s="358"/>
      <c r="G1595" s="278"/>
      <c r="H1595" s="358"/>
      <c r="I1595" s="278"/>
    </row>
    <row r="1596" spans="1:9" x14ac:dyDescent="0.3">
      <c r="A1596" s="356"/>
      <c r="B1596" s="278"/>
      <c r="C1596" s="357"/>
      <c r="D1596" s="358"/>
      <c r="E1596" s="358"/>
      <c r="F1596" s="358"/>
      <c r="G1596" s="278"/>
      <c r="H1596" s="358"/>
      <c r="I1596" s="278"/>
    </row>
    <row r="1597" spans="1:9" x14ac:dyDescent="0.3">
      <c r="A1597" s="356"/>
      <c r="B1597" s="278"/>
      <c r="C1597" s="357"/>
      <c r="D1597" s="358"/>
      <c r="E1597" s="358"/>
      <c r="F1597" s="358"/>
      <c r="G1597" s="278"/>
      <c r="H1597" s="358"/>
      <c r="I1597" s="278"/>
    </row>
    <row r="1598" spans="1:9" x14ac:dyDescent="0.3">
      <c r="A1598" s="356"/>
      <c r="B1598" s="278"/>
      <c r="C1598" s="357"/>
      <c r="D1598" s="358"/>
      <c r="E1598" s="358"/>
      <c r="F1598" s="358"/>
      <c r="G1598" s="278"/>
      <c r="H1598" s="358"/>
      <c r="I1598" s="278"/>
    </row>
    <row r="1599" spans="1:9" x14ac:dyDescent="0.3">
      <c r="A1599" s="356"/>
      <c r="B1599" s="278"/>
      <c r="C1599" s="357"/>
      <c r="D1599" s="358"/>
      <c r="E1599" s="358"/>
      <c r="F1599" s="358"/>
      <c r="G1599" s="278"/>
      <c r="H1599" s="358"/>
      <c r="I1599" s="278"/>
    </row>
    <row r="1600" spans="1:9" x14ac:dyDescent="0.3">
      <c r="A1600" s="356"/>
      <c r="B1600" s="278"/>
      <c r="C1600" s="357"/>
      <c r="D1600" s="358"/>
      <c r="E1600" s="358"/>
      <c r="F1600" s="358"/>
      <c r="G1600" s="278"/>
      <c r="H1600" s="358"/>
      <c r="I1600" s="278"/>
    </row>
    <row r="1601" spans="1:9" x14ac:dyDescent="0.3">
      <c r="A1601" s="356"/>
      <c r="B1601" s="278"/>
      <c r="C1601" s="357"/>
      <c r="D1601" s="358"/>
      <c r="E1601" s="358"/>
      <c r="F1601" s="358"/>
      <c r="G1601" s="278"/>
      <c r="H1601" s="358"/>
      <c r="I1601" s="278"/>
    </row>
    <row r="1602" spans="1:9" x14ac:dyDescent="0.3">
      <c r="A1602" s="356"/>
      <c r="B1602" s="278"/>
      <c r="C1602" s="357"/>
      <c r="D1602" s="358"/>
      <c r="E1602" s="358"/>
      <c r="F1602" s="358"/>
      <c r="G1602" s="278"/>
      <c r="H1602" s="358"/>
      <c r="I1602" s="278"/>
    </row>
    <row r="1603" spans="1:9" x14ac:dyDescent="0.3">
      <c r="A1603" s="356"/>
      <c r="B1603" s="278"/>
      <c r="C1603" s="357"/>
      <c r="D1603" s="358"/>
      <c r="E1603" s="358"/>
      <c r="F1603" s="358"/>
      <c r="G1603" s="278"/>
      <c r="H1603" s="358"/>
      <c r="I1603" s="278"/>
    </row>
    <row r="1604" spans="1:9" x14ac:dyDescent="0.3">
      <c r="A1604" s="356"/>
      <c r="B1604" s="278"/>
      <c r="C1604" s="357"/>
      <c r="D1604" s="358"/>
      <c r="E1604" s="358"/>
      <c r="F1604" s="358"/>
      <c r="G1604" s="278"/>
      <c r="H1604" s="358"/>
      <c r="I1604" s="278"/>
    </row>
    <row r="1605" spans="1:9" x14ac:dyDescent="0.3">
      <c r="A1605" s="356"/>
      <c r="B1605" s="278"/>
      <c r="C1605" s="357"/>
      <c r="D1605" s="358"/>
      <c r="E1605" s="358"/>
      <c r="F1605" s="358"/>
      <c r="G1605" s="278"/>
      <c r="H1605" s="358"/>
      <c r="I1605" s="278"/>
    </row>
    <row r="1606" spans="1:9" x14ac:dyDescent="0.3">
      <c r="A1606" s="356"/>
      <c r="B1606" s="278"/>
      <c r="C1606" s="357"/>
      <c r="D1606" s="358"/>
      <c r="E1606" s="358"/>
      <c r="F1606" s="358"/>
      <c r="G1606" s="278"/>
      <c r="H1606" s="358"/>
      <c r="I1606" s="278"/>
    </row>
    <row r="1607" spans="1:9" x14ac:dyDescent="0.3">
      <c r="A1607" s="356"/>
      <c r="B1607" s="278"/>
      <c r="C1607" s="357"/>
      <c r="D1607" s="358"/>
      <c r="E1607" s="358"/>
      <c r="F1607" s="358"/>
      <c r="G1607" s="278"/>
      <c r="H1607" s="358"/>
      <c r="I1607" s="278"/>
    </row>
    <row r="1608" spans="1:9" x14ac:dyDescent="0.3">
      <c r="A1608" s="356"/>
      <c r="B1608" s="278"/>
      <c r="C1608" s="357"/>
      <c r="D1608" s="358"/>
      <c r="E1608" s="358"/>
      <c r="F1608" s="358"/>
      <c r="G1608" s="278"/>
      <c r="H1608" s="358"/>
      <c r="I1608" s="278"/>
    </row>
    <row r="1609" spans="1:9" x14ac:dyDescent="0.3">
      <c r="A1609" s="356"/>
      <c r="B1609" s="278"/>
      <c r="C1609" s="357"/>
      <c r="D1609" s="358"/>
      <c r="E1609" s="358"/>
      <c r="F1609" s="358"/>
      <c r="G1609" s="278"/>
      <c r="H1609" s="358"/>
      <c r="I1609" s="278"/>
    </row>
    <row r="1610" spans="1:9" x14ac:dyDescent="0.3">
      <c r="A1610" s="356"/>
      <c r="B1610" s="278"/>
      <c r="C1610" s="357"/>
      <c r="D1610" s="358"/>
      <c r="E1610" s="358"/>
      <c r="F1610" s="358"/>
      <c r="G1610" s="278"/>
      <c r="H1610" s="358"/>
      <c r="I1610" s="278"/>
    </row>
    <row r="1611" spans="1:9" x14ac:dyDescent="0.3">
      <c r="A1611" s="356"/>
      <c r="B1611" s="278"/>
      <c r="C1611" s="357"/>
      <c r="D1611" s="358"/>
      <c r="E1611" s="358"/>
      <c r="F1611" s="358"/>
      <c r="G1611" s="278"/>
      <c r="H1611" s="358"/>
      <c r="I1611" s="278"/>
    </row>
    <row r="1612" spans="1:9" x14ac:dyDescent="0.3">
      <c r="A1612" s="356"/>
      <c r="B1612" s="278"/>
      <c r="C1612" s="357"/>
      <c r="D1612" s="358"/>
      <c r="E1612" s="358"/>
      <c r="F1612" s="358"/>
      <c r="G1612" s="278"/>
      <c r="H1612" s="358"/>
      <c r="I1612" s="278"/>
    </row>
    <row r="1613" spans="1:9" x14ac:dyDescent="0.3">
      <c r="A1613" s="356"/>
      <c r="B1613" s="278"/>
      <c r="C1613" s="357"/>
      <c r="D1613" s="358"/>
      <c r="E1613" s="358"/>
      <c r="F1613" s="358"/>
      <c r="G1613" s="278"/>
      <c r="H1613" s="358"/>
      <c r="I1613" s="278"/>
    </row>
    <row r="1614" spans="1:9" x14ac:dyDescent="0.3">
      <c r="A1614" s="356"/>
      <c r="B1614" s="278"/>
      <c r="C1614" s="357"/>
      <c r="D1614" s="358"/>
      <c r="E1614" s="358"/>
      <c r="F1614" s="358"/>
      <c r="G1614" s="278"/>
      <c r="H1614" s="358"/>
      <c r="I1614" s="278"/>
    </row>
    <row r="1615" spans="1:9" x14ac:dyDescent="0.3">
      <c r="A1615" s="356"/>
      <c r="B1615" s="278"/>
      <c r="C1615" s="357"/>
      <c r="D1615" s="358"/>
      <c r="E1615" s="358"/>
      <c r="F1615" s="358"/>
      <c r="G1615" s="278"/>
      <c r="H1615" s="358"/>
      <c r="I1615" s="278"/>
    </row>
    <row r="1616" spans="1:9" x14ac:dyDescent="0.3">
      <c r="A1616" s="356"/>
      <c r="B1616" s="278"/>
      <c r="C1616" s="357"/>
      <c r="D1616" s="358"/>
      <c r="E1616" s="358"/>
      <c r="F1616" s="358"/>
      <c r="G1616" s="278"/>
      <c r="H1616" s="358"/>
      <c r="I1616" s="278"/>
    </row>
    <row r="1617" spans="1:9" x14ac:dyDescent="0.3">
      <c r="A1617" s="356"/>
      <c r="B1617" s="278"/>
      <c r="C1617" s="357"/>
      <c r="D1617" s="358"/>
      <c r="E1617" s="358"/>
      <c r="F1617" s="358"/>
      <c r="G1617" s="278"/>
      <c r="H1617" s="358"/>
      <c r="I1617" s="278"/>
    </row>
    <row r="1618" spans="1:9" x14ac:dyDescent="0.3">
      <c r="A1618" s="356"/>
      <c r="B1618" s="278"/>
      <c r="C1618" s="357"/>
      <c r="D1618" s="358"/>
      <c r="E1618" s="358"/>
      <c r="F1618" s="358"/>
      <c r="G1618" s="278"/>
      <c r="H1618" s="358"/>
      <c r="I1618" s="278"/>
    </row>
    <row r="1619" spans="1:9" x14ac:dyDescent="0.3">
      <c r="A1619" s="356"/>
      <c r="B1619" s="278"/>
      <c r="C1619" s="357"/>
      <c r="D1619" s="358"/>
      <c r="E1619" s="358"/>
      <c r="F1619" s="358"/>
      <c r="G1619" s="278"/>
      <c r="H1619" s="358"/>
      <c r="I1619" s="278"/>
    </row>
    <row r="1620" spans="1:9" x14ac:dyDescent="0.3">
      <c r="A1620" s="356"/>
      <c r="B1620" s="278"/>
      <c r="C1620" s="357"/>
      <c r="D1620" s="358"/>
      <c r="E1620" s="358"/>
      <c r="F1620" s="358"/>
      <c r="G1620" s="278"/>
      <c r="H1620" s="358"/>
      <c r="I1620" s="278"/>
    </row>
    <row r="1621" spans="1:9" x14ac:dyDescent="0.3">
      <c r="A1621" s="356"/>
      <c r="B1621" s="278"/>
      <c r="C1621" s="357"/>
      <c r="D1621" s="358"/>
      <c r="E1621" s="358"/>
      <c r="F1621" s="358"/>
      <c r="G1621" s="278"/>
      <c r="H1621" s="358"/>
      <c r="I1621" s="278"/>
    </row>
    <row r="1622" spans="1:9" x14ac:dyDescent="0.3">
      <c r="A1622" s="356"/>
      <c r="B1622" s="278"/>
      <c r="C1622" s="357"/>
      <c r="D1622" s="358"/>
      <c r="E1622" s="358"/>
      <c r="F1622" s="358"/>
      <c r="G1622" s="278"/>
      <c r="H1622" s="358"/>
      <c r="I1622" s="278"/>
    </row>
    <row r="1623" spans="1:9" x14ac:dyDescent="0.3">
      <c r="A1623" s="356"/>
      <c r="B1623" s="278"/>
      <c r="C1623" s="357"/>
      <c r="D1623" s="358"/>
      <c r="E1623" s="358"/>
      <c r="F1623" s="358"/>
      <c r="G1623" s="278"/>
      <c r="H1623" s="358"/>
      <c r="I1623" s="278"/>
    </row>
    <row r="1624" spans="1:9" x14ac:dyDescent="0.3">
      <c r="A1624" s="356"/>
      <c r="B1624" s="278"/>
      <c r="C1624" s="357"/>
      <c r="D1624" s="358"/>
      <c r="E1624" s="358"/>
      <c r="F1624" s="358"/>
      <c r="G1624" s="278"/>
      <c r="H1624" s="358"/>
      <c r="I1624" s="278"/>
    </row>
    <row r="1625" spans="1:9" x14ac:dyDescent="0.3">
      <c r="A1625" s="356"/>
      <c r="B1625" s="278"/>
      <c r="C1625" s="357"/>
      <c r="D1625" s="358"/>
      <c r="E1625" s="358"/>
      <c r="F1625" s="358"/>
      <c r="G1625" s="278"/>
      <c r="H1625" s="358"/>
      <c r="I1625" s="278"/>
    </row>
    <row r="1626" spans="1:9" x14ac:dyDescent="0.3">
      <c r="A1626" s="356"/>
      <c r="B1626" s="278"/>
      <c r="C1626" s="357"/>
      <c r="D1626" s="358"/>
      <c r="E1626" s="358"/>
      <c r="F1626" s="358"/>
      <c r="G1626" s="278"/>
      <c r="H1626" s="358"/>
      <c r="I1626" s="278"/>
    </row>
    <row r="1627" spans="1:9" x14ac:dyDescent="0.3">
      <c r="A1627" s="356"/>
      <c r="B1627" s="278"/>
      <c r="C1627" s="357"/>
      <c r="D1627" s="358"/>
      <c r="E1627" s="358"/>
      <c r="F1627" s="358"/>
      <c r="G1627" s="278"/>
      <c r="H1627" s="358"/>
      <c r="I1627" s="278"/>
    </row>
    <row r="1628" spans="1:9" x14ac:dyDescent="0.3">
      <c r="A1628" s="356"/>
      <c r="B1628" s="278"/>
      <c r="C1628" s="357"/>
      <c r="D1628" s="358"/>
      <c r="E1628" s="358"/>
      <c r="F1628" s="358"/>
      <c r="G1628" s="278"/>
      <c r="H1628" s="358"/>
      <c r="I1628" s="278"/>
    </row>
    <row r="1629" spans="1:9" x14ac:dyDescent="0.3">
      <c r="A1629" s="356"/>
      <c r="B1629" s="278"/>
      <c r="C1629" s="357"/>
      <c r="D1629" s="358"/>
      <c r="E1629" s="358"/>
      <c r="F1629" s="358"/>
      <c r="G1629" s="278"/>
      <c r="H1629" s="358"/>
      <c r="I1629" s="278"/>
    </row>
    <row r="1630" spans="1:9" x14ac:dyDescent="0.3">
      <c r="A1630" s="356"/>
      <c r="B1630" s="278"/>
      <c r="C1630" s="357"/>
      <c r="D1630" s="358"/>
      <c r="E1630" s="358"/>
      <c r="F1630" s="358"/>
      <c r="G1630" s="278"/>
      <c r="H1630" s="358"/>
      <c r="I1630" s="278"/>
    </row>
    <row r="1631" spans="1:9" x14ac:dyDescent="0.3">
      <c r="A1631" s="356"/>
      <c r="B1631" s="278"/>
      <c r="C1631" s="357"/>
      <c r="D1631" s="358"/>
      <c r="E1631" s="358"/>
      <c r="F1631" s="358"/>
      <c r="G1631" s="278"/>
      <c r="H1631" s="358"/>
      <c r="I1631" s="278"/>
    </row>
    <row r="1632" spans="1:9" x14ac:dyDescent="0.3">
      <c r="A1632" s="356"/>
      <c r="B1632" s="278"/>
      <c r="C1632" s="357"/>
      <c r="D1632" s="358"/>
      <c r="E1632" s="358"/>
      <c r="F1632" s="358"/>
      <c r="G1632" s="278"/>
      <c r="H1632" s="358"/>
      <c r="I1632" s="278"/>
    </row>
    <row r="1633" spans="1:9" x14ac:dyDescent="0.3">
      <c r="A1633" s="356"/>
      <c r="B1633" s="278"/>
      <c r="C1633" s="357"/>
      <c r="D1633" s="358"/>
      <c r="E1633" s="358"/>
      <c r="F1633" s="358"/>
      <c r="G1633" s="278"/>
      <c r="H1633" s="358"/>
      <c r="I1633" s="278"/>
    </row>
    <row r="1634" spans="1:9" x14ac:dyDescent="0.3">
      <c r="A1634" s="356"/>
      <c r="B1634" s="278"/>
      <c r="C1634" s="357"/>
      <c r="D1634" s="358"/>
      <c r="E1634" s="358"/>
      <c r="F1634" s="358"/>
      <c r="G1634" s="278"/>
      <c r="H1634" s="358"/>
      <c r="I1634" s="278"/>
    </row>
    <row r="1635" spans="1:9" x14ac:dyDescent="0.3">
      <c r="A1635" s="356"/>
      <c r="B1635" s="278"/>
      <c r="C1635" s="357"/>
      <c r="D1635" s="358"/>
      <c r="E1635" s="358"/>
      <c r="F1635" s="358"/>
      <c r="G1635" s="278"/>
      <c r="H1635" s="358"/>
      <c r="I1635" s="278"/>
    </row>
    <row r="1636" spans="1:9" x14ac:dyDescent="0.3">
      <c r="A1636" s="356"/>
      <c r="B1636" s="278"/>
      <c r="C1636" s="357"/>
      <c r="D1636" s="358"/>
      <c r="E1636" s="358"/>
      <c r="F1636" s="358"/>
      <c r="G1636" s="278"/>
      <c r="H1636" s="358"/>
      <c r="I1636" s="278"/>
    </row>
    <row r="1637" spans="1:9" x14ac:dyDescent="0.3">
      <c r="A1637" s="356"/>
      <c r="B1637" s="278"/>
      <c r="C1637" s="357"/>
      <c r="D1637" s="358"/>
      <c r="E1637" s="358"/>
      <c r="F1637" s="358"/>
      <c r="G1637" s="278"/>
      <c r="H1637" s="358"/>
      <c r="I1637" s="278"/>
    </row>
    <row r="1638" spans="1:9" x14ac:dyDescent="0.3">
      <c r="A1638" s="356"/>
      <c r="B1638" s="278"/>
      <c r="C1638" s="357"/>
      <c r="D1638" s="358"/>
      <c r="E1638" s="358"/>
      <c r="F1638" s="358"/>
      <c r="G1638" s="278"/>
      <c r="H1638" s="358"/>
      <c r="I1638" s="278"/>
    </row>
    <row r="1639" spans="1:9" x14ac:dyDescent="0.3">
      <c r="A1639" s="356"/>
      <c r="B1639" s="278"/>
      <c r="C1639" s="357"/>
      <c r="D1639" s="358"/>
      <c r="E1639" s="358"/>
      <c r="F1639" s="358"/>
      <c r="G1639" s="278"/>
      <c r="H1639" s="358"/>
      <c r="I1639" s="278"/>
    </row>
    <row r="1640" spans="1:9" x14ac:dyDescent="0.3">
      <c r="A1640" s="356"/>
      <c r="B1640" s="278"/>
      <c r="C1640" s="357"/>
      <c r="D1640" s="358"/>
      <c r="E1640" s="358"/>
      <c r="F1640" s="358"/>
      <c r="G1640" s="278"/>
      <c r="H1640" s="358"/>
      <c r="I1640" s="278"/>
    </row>
    <row r="1641" spans="1:9" x14ac:dyDescent="0.3">
      <c r="A1641" s="356"/>
      <c r="B1641" s="278"/>
      <c r="C1641" s="357"/>
      <c r="D1641" s="358"/>
      <c r="E1641" s="358"/>
      <c r="F1641" s="358"/>
      <c r="G1641" s="278"/>
      <c r="H1641" s="358"/>
      <c r="I1641" s="278"/>
    </row>
    <row r="1642" spans="1:9" x14ac:dyDescent="0.3">
      <c r="A1642" s="356"/>
      <c r="B1642" s="278"/>
      <c r="C1642" s="357"/>
      <c r="D1642" s="358"/>
      <c r="E1642" s="358"/>
      <c r="F1642" s="358"/>
      <c r="G1642" s="278"/>
      <c r="H1642" s="358"/>
      <c r="I1642" s="278"/>
    </row>
    <row r="1643" spans="1:9" x14ac:dyDescent="0.3">
      <c r="A1643" s="356"/>
      <c r="B1643" s="278"/>
      <c r="C1643" s="357"/>
      <c r="D1643" s="358"/>
      <c r="E1643" s="358"/>
      <c r="F1643" s="358"/>
      <c r="G1643" s="278"/>
      <c r="H1643" s="358"/>
      <c r="I1643" s="278"/>
    </row>
    <row r="1644" spans="1:9" x14ac:dyDescent="0.3">
      <c r="A1644" s="356"/>
      <c r="B1644" s="278"/>
      <c r="C1644" s="357"/>
      <c r="D1644" s="358"/>
      <c r="E1644" s="358"/>
      <c r="F1644" s="358"/>
      <c r="G1644" s="278"/>
      <c r="H1644" s="358"/>
      <c r="I1644" s="278"/>
    </row>
    <row r="1645" spans="1:9" x14ac:dyDescent="0.3">
      <c r="A1645" s="356"/>
      <c r="B1645" s="278"/>
      <c r="C1645" s="357"/>
      <c r="D1645" s="358"/>
      <c r="E1645" s="358"/>
      <c r="F1645" s="358"/>
      <c r="G1645" s="278"/>
      <c r="H1645" s="358"/>
      <c r="I1645" s="278"/>
    </row>
    <row r="1646" spans="1:9" x14ac:dyDescent="0.3">
      <c r="A1646" s="356"/>
      <c r="B1646" s="278"/>
      <c r="C1646" s="357"/>
      <c r="D1646" s="358"/>
      <c r="E1646" s="358"/>
      <c r="F1646" s="358"/>
      <c r="G1646" s="278"/>
      <c r="H1646" s="358"/>
      <c r="I1646" s="278"/>
    </row>
    <row r="1647" spans="1:9" x14ac:dyDescent="0.3">
      <c r="A1647" s="356"/>
      <c r="B1647" s="278"/>
      <c r="C1647" s="357"/>
      <c r="D1647" s="358"/>
      <c r="E1647" s="358"/>
      <c r="F1647" s="358"/>
      <c r="G1647" s="278"/>
      <c r="H1647" s="358"/>
      <c r="I1647" s="278"/>
    </row>
    <row r="1648" spans="1:9" x14ac:dyDescent="0.3">
      <c r="A1648" s="356"/>
      <c r="B1648" s="278"/>
      <c r="C1648" s="357"/>
      <c r="D1648" s="358"/>
      <c r="E1648" s="358"/>
      <c r="F1648" s="358"/>
      <c r="G1648" s="278"/>
      <c r="H1648" s="358"/>
      <c r="I1648" s="278"/>
    </row>
    <row r="1649" spans="1:9" x14ac:dyDescent="0.3">
      <c r="A1649" s="356"/>
      <c r="B1649" s="278"/>
      <c r="C1649" s="357"/>
      <c r="D1649" s="358"/>
      <c r="E1649" s="358"/>
      <c r="F1649" s="358"/>
      <c r="G1649" s="278"/>
      <c r="H1649" s="358"/>
      <c r="I1649" s="278"/>
    </row>
    <row r="1650" spans="1:9" x14ac:dyDescent="0.3">
      <c r="A1650" s="356"/>
      <c r="B1650" s="278"/>
      <c r="C1650" s="357"/>
      <c r="D1650" s="358"/>
      <c r="E1650" s="358"/>
      <c r="F1650" s="358"/>
      <c r="G1650" s="278"/>
      <c r="H1650" s="358"/>
      <c r="I1650" s="278"/>
    </row>
    <row r="1651" spans="1:9" x14ac:dyDescent="0.3">
      <c r="A1651" s="356"/>
      <c r="B1651" s="278"/>
      <c r="C1651" s="357"/>
      <c r="D1651" s="358"/>
      <c r="E1651" s="358"/>
      <c r="F1651" s="358"/>
      <c r="G1651" s="278"/>
      <c r="H1651" s="358"/>
      <c r="I1651" s="278"/>
    </row>
    <row r="1652" spans="1:9" x14ac:dyDescent="0.3">
      <c r="A1652" s="356"/>
      <c r="B1652" s="278"/>
      <c r="C1652" s="357"/>
      <c r="D1652" s="358"/>
      <c r="E1652" s="358"/>
      <c r="F1652" s="358"/>
      <c r="G1652" s="278"/>
      <c r="H1652" s="358"/>
      <c r="I1652" s="278"/>
    </row>
    <row r="1653" spans="1:9" x14ac:dyDescent="0.3">
      <c r="A1653" s="356"/>
      <c r="B1653" s="278"/>
      <c r="C1653" s="357"/>
      <c r="D1653" s="358"/>
      <c r="E1653" s="358"/>
      <c r="F1653" s="358"/>
      <c r="G1653" s="278"/>
      <c r="H1653" s="358"/>
      <c r="I1653" s="278"/>
    </row>
    <row r="1654" spans="1:9" x14ac:dyDescent="0.3">
      <c r="A1654" s="356"/>
      <c r="B1654" s="278"/>
      <c r="C1654" s="357"/>
      <c r="D1654" s="358"/>
      <c r="E1654" s="358"/>
      <c r="F1654" s="358"/>
      <c r="G1654" s="278"/>
      <c r="H1654" s="358"/>
      <c r="I1654" s="278"/>
    </row>
    <row r="1655" spans="1:9" x14ac:dyDescent="0.3">
      <c r="A1655" s="356"/>
      <c r="B1655" s="278"/>
      <c r="C1655" s="357"/>
      <c r="D1655" s="358"/>
      <c r="E1655" s="358"/>
      <c r="F1655" s="358"/>
      <c r="G1655" s="278"/>
      <c r="H1655" s="358"/>
      <c r="I1655" s="278"/>
    </row>
    <row r="1656" spans="1:9" x14ac:dyDescent="0.3">
      <c r="A1656" s="356"/>
      <c r="B1656" s="278"/>
      <c r="C1656" s="357"/>
      <c r="D1656" s="358"/>
      <c r="E1656" s="358"/>
      <c r="F1656" s="358"/>
      <c r="G1656" s="278"/>
      <c r="H1656" s="358"/>
      <c r="I1656" s="278"/>
    </row>
    <row r="1657" spans="1:9" x14ac:dyDescent="0.3">
      <c r="A1657" s="356"/>
      <c r="B1657" s="278"/>
      <c r="C1657" s="357"/>
      <c r="D1657" s="358"/>
      <c r="E1657" s="358"/>
      <c r="F1657" s="358"/>
      <c r="G1657" s="278"/>
      <c r="H1657" s="358"/>
      <c r="I1657" s="278"/>
    </row>
    <row r="1658" spans="1:9" x14ac:dyDescent="0.3">
      <c r="A1658" s="356"/>
      <c r="B1658" s="278"/>
      <c r="C1658" s="357"/>
      <c r="D1658" s="358"/>
      <c r="E1658" s="358"/>
      <c r="F1658" s="358"/>
      <c r="G1658" s="278"/>
      <c r="H1658" s="358"/>
      <c r="I1658" s="278"/>
    </row>
    <row r="1659" spans="1:9" x14ac:dyDescent="0.3">
      <c r="A1659" s="356"/>
      <c r="B1659" s="278"/>
      <c r="C1659" s="357"/>
      <c r="D1659" s="358"/>
      <c r="E1659" s="358"/>
      <c r="F1659" s="358"/>
      <c r="G1659" s="278"/>
      <c r="H1659" s="358"/>
      <c r="I1659" s="278"/>
    </row>
    <row r="1660" spans="1:9" x14ac:dyDescent="0.3">
      <c r="A1660" s="356"/>
      <c r="B1660" s="278"/>
      <c r="C1660" s="357"/>
      <c r="D1660" s="358"/>
      <c r="E1660" s="358"/>
      <c r="F1660" s="358"/>
      <c r="G1660" s="278"/>
      <c r="H1660" s="358"/>
      <c r="I1660" s="278"/>
    </row>
    <row r="1661" spans="1:9" x14ac:dyDescent="0.3">
      <c r="A1661" s="356"/>
      <c r="B1661" s="278"/>
      <c r="C1661" s="357"/>
      <c r="D1661" s="358"/>
      <c r="E1661" s="358"/>
      <c r="F1661" s="358"/>
      <c r="G1661" s="278"/>
      <c r="H1661" s="358"/>
      <c r="I1661" s="278"/>
    </row>
    <row r="1662" spans="1:9" x14ac:dyDescent="0.3">
      <c r="A1662" s="356"/>
      <c r="B1662" s="278"/>
      <c r="C1662" s="357"/>
      <c r="D1662" s="358"/>
      <c r="E1662" s="358"/>
      <c r="F1662" s="358"/>
      <c r="G1662" s="278"/>
      <c r="H1662" s="358"/>
      <c r="I1662" s="278"/>
    </row>
    <row r="1663" spans="1:9" x14ac:dyDescent="0.3">
      <c r="A1663" s="356"/>
      <c r="B1663" s="278"/>
      <c r="C1663" s="357"/>
      <c r="D1663" s="358"/>
      <c r="E1663" s="358"/>
      <c r="F1663" s="358"/>
      <c r="G1663" s="278"/>
      <c r="H1663" s="358"/>
      <c r="I1663" s="278"/>
    </row>
    <row r="1664" spans="1:9" x14ac:dyDescent="0.3">
      <c r="A1664" s="356"/>
      <c r="B1664" s="278"/>
      <c r="C1664" s="357"/>
      <c r="D1664" s="358"/>
      <c r="E1664" s="358"/>
      <c r="F1664" s="358"/>
      <c r="G1664" s="278"/>
      <c r="H1664" s="358"/>
      <c r="I1664" s="278"/>
    </row>
    <row r="1665" spans="1:9" x14ac:dyDescent="0.3">
      <c r="A1665" s="356"/>
      <c r="B1665" s="278"/>
      <c r="C1665" s="357"/>
      <c r="D1665" s="358"/>
      <c r="E1665" s="358"/>
      <c r="F1665" s="358"/>
      <c r="G1665" s="278"/>
      <c r="H1665" s="358"/>
      <c r="I1665" s="278"/>
    </row>
    <row r="1666" spans="1:9" x14ac:dyDescent="0.3">
      <c r="A1666" s="356"/>
      <c r="B1666" s="278"/>
      <c r="C1666" s="357"/>
      <c r="D1666" s="358"/>
      <c r="E1666" s="358"/>
      <c r="F1666" s="358"/>
      <c r="G1666" s="278"/>
      <c r="H1666" s="358"/>
      <c r="I1666" s="278"/>
    </row>
    <row r="1667" spans="1:9" x14ac:dyDescent="0.3">
      <c r="A1667" s="356"/>
      <c r="B1667" s="278"/>
      <c r="C1667" s="357"/>
      <c r="D1667" s="358"/>
      <c r="E1667" s="358"/>
      <c r="F1667" s="358"/>
      <c r="G1667" s="278"/>
      <c r="H1667" s="358"/>
      <c r="I1667" s="278"/>
    </row>
    <row r="1668" spans="1:9" x14ac:dyDescent="0.3">
      <c r="A1668" s="356"/>
      <c r="B1668" s="278"/>
      <c r="C1668" s="357"/>
      <c r="D1668" s="358"/>
      <c r="E1668" s="358"/>
      <c r="F1668" s="358"/>
      <c r="G1668" s="278"/>
      <c r="H1668" s="358"/>
      <c r="I1668" s="278"/>
    </row>
    <row r="1669" spans="1:9" x14ac:dyDescent="0.3">
      <c r="A1669" s="356"/>
      <c r="B1669" s="278"/>
      <c r="C1669" s="357"/>
      <c r="D1669" s="358"/>
      <c r="E1669" s="358"/>
      <c r="F1669" s="358"/>
      <c r="G1669" s="278"/>
      <c r="H1669" s="358"/>
      <c r="I1669" s="278"/>
    </row>
    <row r="1670" spans="1:9" x14ac:dyDescent="0.3">
      <c r="A1670" s="356"/>
      <c r="B1670" s="278"/>
      <c r="C1670" s="357"/>
      <c r="D1670" s="358"/>
      <c r="E1670" s="358"/>
      <c r="F1670" s="358"/>
      <c r="G1670" s="278"/>
      <c r="H1670" s="358"/>
      <c r="I1670" s="278"/>
    </row>
    <row r="1671" spans="1:9" x14ac:dyDescent="0.3">
      <c r="A1671" s="356"/>
      <c r="B1671" s="278"/>
      <c r="C1671" s="357"/>
      <c r="D1671" s="358"/>
      <c r="E1671" s="358"/>
      <c r="F1671" s="358"/>
      <c r="G1671" s="278"/>
      <c r="H1671" s="358"/>
      <c r="I1671" s="278"/>
    </row>
    <row r="1672" spans="1:9" x14ac:dyDescent="0.3">
      <c r="A1672" s="356"/>
      <c r="B1672" s="278"/>
      <c r="C1672" s="357"/>
      <c r="D1672" s="358"/>
      <c r="E1672" s="358"/>
      <c r="F1672" s="358"/>
      <c r="G1672" s="278"/>
      <c r="H1672" s="358"/>
      <c r="I1672" s="278"/>
    </row>
    <row r="1673" spans="1:9" x14ac:dyDescent="0.3">
      <c r="A1673" s="356"/>
      <c r="B1673" s="278"/>
      <c r="C1673" s="357"/>
      <c r="D1673" s="358"/>
      <c r="E1673" s="358"/>
      <c r="F1673" s="358"/>
      <c r="G1673" s="278"/>
      <c r="H1673" s="358"/>
      <c r="I1673" s="278"/>
    </row>
    <row r="1674" spans="1:9" x14ac:dyDescent="0.3">
      <c r="A1674" s="356"/>
      <c r="B1674" s="278"/>
      <c r="C1674" s="357"/>
      <c r="D1674" s="358"/>
      <c r="E1674" s="358"/>
      <c r="F1674" s="358"/>
      <c r="G1674" s="278"/>
      <c r="H1674" s="358"/>
      <c r="I1674" s="278"/>
    </row>
    <row r="1675" spans="1:9" x14ac:dyDescent="0.3">
      <c r="A1675" s="356"/>
      <c r="B1675" s="278"/>
      <c r="C1675" s="357"/>
      <c r="D1675" s="358"/>
      <c r="E1675" s="358"/>
      <c r="F1675" s="358"/>
      <c r="G1675" s="278"/>
      <c r="H1675" s="358"/>
      <c r="I1675" s="278"/>
    </row>
    <row r="1676" spans="1:9" x14ac:dyDescent="0.3">
      <c r="A1676" s="356"/>
      <c r="B1676" s="278"/>
      <c r="C1676" s="357"/>
      <c r="D1676" s="358"/>
      <c r="E1676" s="358"/>
      <c r="F1676" s="358"/>
      <c r="G1676" s="278"/>
      <c r="H1676" s="358"/>
      <c r="I1676" s="278"/>
    </row>
    <row r="1677" spans="1:9" x14ac:dyDescent="0.3">
      <c r="A1677" s="356"/>
      <c r="B1677" s="278"/>
      <c r="C1677" s="357"/>
      <c r="D1677" s="358"/>
      <c r="E1677" s="358"/>
      <c r="F1677" s="358"/>
      <c r="G1677" s="278"/>
      <c r="H1677" s="358"/>
      <c r="I1677" s="278"/>
    </row>
    <row r="1678" spans="1:9" x14ac:dyDescent="0.3">
      <c r="A1678" s="356"/>
      <c r="B1678" s="278"/>
      <c r="C1678" s="357"/>
      <c r="D1678" s="358"/>
      <c r="E1678" s="358"/>
      <c r="F1678" s="358"/>
      <c r="G1678" s="278"/>
      <c r="H1678" s="358"/>
      <c r="I1678" s="278"/>
    </row>
    <row r="1679" spans="1:9" x14ac:dyDescent="0.3">
      <c r="A1679" s="356"/>
      <c r="B1679" s="278"/>
      <c r="C1679" s="357"/>
      <c r="D1679" s="358"/>
      <c r="E1679" s="358"/>
      <c r="F1679" s="358"/>
      <c r="G1679" s="278"/>
      <c r="H1679" s="358"/>
      <c r="I1679" s="278"/>
    </row>
    <row r="1680" spans="1:9" x14ac:dyDescent="0.3">
      <c r="A1680" s="356"/>
      <c r="B1680" s="278"/>
      <c r="C1680" s="357"/>
      <c r="D1680" s="358"/>
      <c r="E1680" s="358"/>
      <c r="F1680" s="358"/>
      <c r="G1680" s="278"/>
      <c r="H1680" s="358"/>
      <c r="I1680" s="278"/>
    </row>
    <row r="1681" spans="1:9" x14ac:dyDescent="0.3">
      <c r="A1681" s="356"/>
      <c r="B1681" s="278"/>
      <c r="C1681" s="357"/>
      <c r="D1681" s="358"/>
      <c r="E1681" s="358"/>
      <c r="F1681" s="358"/>
      <c r="G1681" s="278"/>
      <c r="H1681" s="358"/>
      <c r="I1681" s="278"/>
    </row>
    <row r="1682" spans="1:9" x14ac:dyDescent="0.3">
      <c r="A1682" s="356"/>
      <c r="B1682" s="278"/>
      <c r="C1682" s="357"/>
      <c r="D1682" s="358"/>
      <c r="E1682" s="358"/>
      <c r="F1682" s="358"/>
      <c r="G1682" s="278"/>
      <c r="H1682" s="358"/>
      <c r="I1682" s="278"/>
    </row>
    <row r="1683" spans="1:9" x14ac:dyDescent="0.3">
      <c r="A1683" s="356"/>
      <c r="B1683" s="278"/>
      <c r="C1683" s="357"/>
      <c r="D1683" s="358"/>
      <c r="E1683" s="358"/>
      <c r="F1683" s="358"/>
      <c r="G1683" s="278"/>
      <c r="H1683" s="358"/>
      <c r="I1683" s="278"/>
    </row>
    <row r="1684" spans="1:9" x14ac:dyDescent="0.3">
      <c r="A1684" s="356"/>
      <c r="B1684" s="278"/>
      <c r="C1684" s="357"/>
      <c r="D1684" s="358"/>
      <c r="E1684" s="358"/>
      <c r="F1684" s="358"/>
      <c r="G1684" s="278"/>
      <c r="H1684" s="358"/>
      <c r="I1684" s="278"/>
    </row>
    <row r="1685" spans="1:9" x14ac:dyDescent="0.3">
      <c r="A1685" s="356"/>
      <c r="B1685" s="278"/>
      <c r="C1685" s="357"/>
      <c r="D1685" s="358"/>
      <c r="E1685" s="358"/>
      <c r="F1685" s="358"/>
      <c r="G1685" s="278"/>
      <c r="H1685" s="358"/>
      <c r="I1685" s="278"/>
    </row>
    <row r="1686" spans="1:9" x14ac:dyDescent="0.3">
      <c r="A1686" s="356"/>
      <c r="B1686" s="278"/>
      <c r="C1686" s="357"/>
      <c r="D1686" s="358"/>
      <c r="E1686" s="358"/>
      <c r="F1686" s="358"/>
      <c r="G1686" s="278"/>
      <c r="H1686" s="358"/>
      <c r="I1686" s="278"/>
    </row>
    <row r="1687" spans="1:9" x14ac:dyDescent="0.3">
      <c r="A1687" s="356"/>
      <c r="B1687" s="278"/>
      <c r="C1687" s="357"/>
      <c r="D1687" s="358"/>
      <c r="E1687" s="358"/>
      <c r="F1687" s="358"/>
      <c r="G1687" s="278"/>
      <c r="H1687" s="358"/>
      <c r="I1687" s="278"/>
    </row>
    <row r="1688" spans="1:9" x14ac:dyDescent="0.3">
      <c r="A1688" s="356"/>
      <c r="B1688" s="278"/>
      <c r="C1688" s="357"/>
      <c r="D1688" s="358"/>
      <c r="E1688" s="358"/>
      <c r="F1688" s="358"/>
      <c r="G1688" s="278"/>
      <c r="H1688" s="358"/>
      <c r="I1688" s="278"/>
    </row>
    <row r="1689" spans="1:9" x14ac:dyDescent="0.3">
      <c r="A1689" s="356"/>
      <c r="B1689" s="278"/>
      <c r="C1689" s="357"/>
      <c r="D1689" s="358"/>
      <c r="E1689" s="358"/>
      <c r="F1689" s="358"/>
      <c r="G1689" s="278"/>
      <c r="H1689" s="358"/>
      <c r="I1689" s="278"/>
    </row>
    <row r="1690" spans="1:9" x14ac:dyDescent="0.3">
      <c r="A1690" s="356"/>
      <c r="B1690" s="278"/>
      <c r="C1690" s="357"/>
      <c r="D1690" s="358"/>
      <c r="E1690" s="358"/>
      <c r="F1690" s="358"/>
      <c r="G1690" s="278"/>
      <c r="H1690" s="358"/>
      <c r="I1690" s="278"/>
    </row>
    <row r="1691" spans="1:9" x14ac:dyDescent="0.3">
      <c r="A1691" s="356"/>
      <c r="B1691" s="278"/>
      <c r="C1691" s="357"/>
      <c r="D1691" s="358"/>
      <c r="E1691" s="358"/>
      <c r="F1691" s="358"/>
      <c r="G1691" s="278"/>
      <c r="H1691" s="358"/>
      <c r="I1691" s="278"/>
    </row>
    <row r="1692" spans="1:9" x14ac:dyDescent="0.3">
      <c r="A1692" s="356"/>
      <c r="B1692" s="278"/>
      <c r="C1692" s="357"/>
      <c r="D1692" s="358"/>
      <c r="E1692" s="358"/>
      <c r="F1692" s="358"/>
      <c r="G1692" s="278"/>
      <c r="H1692" s="358"/>
      <c r="I1692" s="278"/>
    </row>
    <row r="1693" spans="1:9" x14ac:dyDescent="0.3">
      <c r="A1693" s="356"/>
      <c r="B1693" s="278"/>
      <c r="C1693" s="357"/>
      <c r="D1693" s="358"/>
      <c r="E1693" s="358"/>
      <c r="F1693" s="358"/>
      <c r="G1693" s="278"/>
      <c r="H1693" s="358"/>
      <c r="I1693" s="278"/>
    </row>
    <row r="1694" spans="1:9" x14ac:dyDescent="0.3">
      <c r="A1694" s="356"/>
      <c r="B1694" s="278"/>
      <c r="C1694" s="357"/>
      <c r="D1694" s="358"/>
      <c r="E1694" s="358"/>
      <c r="F1694" s="358"/>
      <c r="G1694" s="278"/>
      <c r="H1694" s="358"/>
      <c r="I1694" s="278"/>
    </row>
    <row r="1695" spans="1:9" x14ac:dyDescent="0.3">
      <c r="A1695" s="356"/>
      <c r="B1695" s="278"/>
      <c r="C1695" s="357"/>
      <c r="D1695" s="358"/>
      <c r="E1695" s="358"/>
      <c r="F1695" s="358"/>
      <c r="G1695" s="278"/>
      <c r="H1695" s="358"/>
      <c r="I1695" s="278"/>
    </row>
    <row r="1696" spans="1:9" x14ac:dyDescent="0.3">
      <c r="A1696" s="356"/>
      <c r="B1696" s="278"/>
      <c r="C1696" s="357"/>
      <c r="D1696" s="358"/>
      <c r="E1696" s="358"/>
      <c r="F1696" s="358"/>
      <c r="G1696" s="278"/>
      <c r="H1696" s="358"/>
      <c r="I1696" s="278"/>
    </row>
    <row r="1697" spans="1:9" x14ac:dyDescent="0.3">
      <c r="A1697" s="356"/>
      <c r="B1697" s="278"/>
      <c r="C1697" s="357"/>
      <c r="D1697" s="358"/>
      <c r="E1697" s="358"/>
      <c r="F1697" s="358"/>
      <c r="G1697" s="278"/>
      <c r="H1697" s="358"/>
      <c r="I1697" s="278"/>
    </row>
    <row r="1698" spans="1:9" x14ac:dyDescent="0.3">
      <c r="A1698" s="356"/>
      <c r="B1698" s="278"/>
      <c r="C1698" s="357"/>
      <c r="D1698" s="358"/>
      <c r="E1698" s="358"/>
      <c r="F1698" s="358"/>
      <c r="G1698" s="278"/>
      <c r="H1698" s="358"/>
      <c r="I1698" s="278"/>
    </row>
    <row r="1699" spans="1:9" x14ac:dyDescent="0.3">
      <c r="A1699" s="356"/>
      <c r="B1699" s="278"/>
      <c r="C1699" s="357"/>
      <c r="D1699" s="358"/>
      <c r="E1699" s="358"/>
      <c r="F1699" s="358"/>
      <c r="G1699" s="278"/>
      <c r="H1699" s="358"/>
      <c r="I1699" s="278"/>
    </row>
    <row r="1700" spans="1:9" x14ac:dyDescent="0.3">
      <c r="A1700" s="356"/>
      <c r="B1700" s="278"/>
      <c r="C1700" s="357"/>
      <c r="D1700" s="358"/>
      <c r="E1700" s="358"/>
      <c r="F1700" s="358"/>
      <c r="G1700" s="278"/>
      <c r="H1700" s="358"/>
      <c r="I1700" s="278"/>
    </row>
    <row r="1701" spans="1:9" x14ac:dyDescent="0.3">
      <c r="A1701" s="356"/>
      <c r="B1701" s="278"/>
      <c r="C1701" s="357"/>
      <c r="D1701" s="358"/>
      <c r="E1701" s="358"/>
      <c r="F1701" s="358"/>
      <c r="G1701" s="278"/>
      <c r="H1701" s="358"/>
      <c r="I1701" s="278"/>
    </row>
    <row r="1702" spans="1:9" x14ac:dyDescent="0.3">
      <c r="A1702" s="356"/>
      <c r="B1702" s="278"/>
      <c r="C1702" s="357"/>
      <c r="D1702" s="358"/>
      <c r="E1702" s="358"/>
      <c r="F1702" s="358"/>
      <c r="G1702" s="278"/>
      <c r="H1702" s="358"/>
      <c r="I1702" s="278"/>
    </row>
    <row r="1703" spans="1:9" x14ac:dyDescent="0.3">
      <c r="A1703" s="356"/>
      <c r="B1703" s="278"/>
      <c r="C1703" s="357"/>
      <c r="D1703" s="358"/>
      <c r="E1703" s="358"/>
      <c r="F1703" s="358"/>
      <c r="G1703" s="278"/>
      <c r="H1703" s="358"/>
      <c r="I1703" s="278"/>
    </row>
    <row r="1704" spans="1:9" x14ac:dyDescent="0.3">
      <c r="A1704" s="356"/>
      <c r="B1704" s="278"/>
      <c r="C1704" s="357"/>
      <c r="D1704" s="358"/>
      <c r="E1704" s="358"/>
      <c r="F1704" s="358"/>
      <c r="G1704" s="278"/>
      <c r="H1704" s="358"/>
      <c r="I1704" s="278"/>
    </row>
    <row r="1705" spans="1:9" x14ac:dyDescent="0.3">
      <c r="A1705" s="356"/>
      <c r="B1705" s="278"/>
      <c r="C1705" s="357"/>
      <c r="D1705" s="358"/>
      <c r="E1705" s="358"/>
      <c r="F1705" s="358"/>
      <c r="G1705" s="278"/>
      <c r="H1705" s="358"/>
      <c r="I1705" s="278"/>
    </row>
    <row r="1706" spans="1:9" x14ac:dyDescent="0.3">
      <c r="A1706" s="356"/>
      <c r="B1706" s="278"/>
      <c r="C1706" s="357"/>
      <c r="D1706" s="358"/>
      <c r="E1706" s="358"/>
      <c r="F1706" s="358"/>
      <c r="G1706" s="278"/>
      <c r="H1706" s="358"/>
      <c r="I1706" s="278"/>
    </row>
    <row r="1707" spans="1:9" x14ac:dyDescent="0.3">
      <c r="A1707" s="356"/>
      <c r="B1707" s="278"/>
      <c r="C1707" s="357"/>
      <c r="D1707" s="358"/>
      <c r="E1707" s="358"/>
      <c r="F1707" s="358"/>
      <c r="G1707" s="278"/>
      <c r="H1707" s="358"/>
      <c r="I1707" s="278"/>
    </row>
    <row r="1708" spans="1:9" x14ac:dyDescent="0.3">
      <c r="A1708" s="356"/>
      <c r="B1708" s="278"/>
      <c r="C1708" s="357"/>
      <c r="D1708" s="358"/>
      <c r="E1708" s="358"/>
      <c r="F1708" s="358"/>
      <c r="G1708" s="278"/>
      <c r="H1708" s="358"/>
      <c r="I1708" s="278"/>
    </row>
    <row r="1709" spans="1:9" x14ac:dyDescent="0.3">
      <c r="A1709" s="356"/>
      <c r="B1709" s="278"/>
      <c r="C1709" s="357"/>
      <c r="D1709" s="358"/>
      <c r="E1709" s="358"/>
      <c r="F1709" s="358"/>
      <c r="G1709" s="278"/>
      <c r="H1709" s="358"/>
      <c r="I1709" s="278"/>
    </row>
    <row r="1710" spans="1:9" x14ac:dyDescent="0.3">
      <c r="A1710" s="356"/>
      <c r="B1710" s="278"/>
      <c r="C1710" s="357"/>
      <c r="D1710" s="358"/>
      <c r="E1710" s="358"/>
      <c r="F1710" s="358"/>
      <c r="G1710" s="278"/>
      <c r="H1710" s="358"/>
      <c r="I1710" s="278"/>
    </row>
    <row r="1711" spans="1:9" x14ac:dyDescent="0.3">
      <c r="A1711" s="356"/>
      <c r="B1711" s="278"/>
      <c r="C1711" s="357"/>
      <c r="D1711" s="358"/>
      <c r="E1711" s="358"/>
      <c r="F1711" s="358"/>
      <c r="G1711" s="278"/>
      <c r="H1711" s="358"/>
      <c r="I1711" s="278"/>
    </row>
    <row r="1712" spans="1:9" x14ac:dyDescent="0.3">
      <c r="A1712" s="356"/>
      <c r="B1712" s="278"/>
      <c r="C1712" s="357"/>
      <c r="D1712" s="358"/>
      <c r="E1712" s="358"/>
      <c r="F1712" s="358"/>
      <c r="G1712" s="278"/>
      <c r="H1712" s="358"/>
      <c r="I1712" s="278"/>
    </row>
    <row r="1713" spans="1:9" x14ac:dyDescent="0.3">
      <c r="A1713" s="356"/>
      <c r="B1713" s="278"/>
      <c r="C1713" s="357"/>
      <c r="D1713" s="358"/>
      <c r="E1713" s="358"/>
      <c r="F1713" s="358"/>
      <c r="G1713" s="278"/>
      <c r="H1713" s="358"/>
      <c r="I1713" s="278"/>
    </row>
    <row r="1714" spans="1:9" x14ac:dyDescent="0.3">
      <c r="A1714" s="356"/>
      <c r="B1714" s="278"/>
      <c r="C1714" s="357"/>
      <c r="D1714" s="358"/>
      <c r="E1714" s="358"/>
      <c r="F1714" s="358"/>
      <c r="G1714" s="278"/>
      <c r="H1714" s="358"/>
      <c r="I1714" s="278"/>
    </row>
    <row r="1715" spans="1:9" x14ac:dyDescent="0.3">
      <c r="A1715" s="356"/>
      <c r="B1715" s="278"/>
      <c r="C1715" s="357"/>
      <c r="D1715" s="358"/>
      <c r="E1715" s="358"/>
      <c r="F1715" s="358"/>
      <c r="G1715" s="278"/>
      <c r="H1715" s="358"/>
      <c r="I1715" s="278"/>
    </row>
    <row r="1716" spans="1:9" x14ac:dyDescent="0.3">
      <c r="A1716" s="356"/>
      <c r="B1716" s="278"/>
      <c r="C1716" s="357"/>
      <c r="D1716" s="358"/>
      <c r="E1716" s="358"/>
      <c r="F1716" s="358"/>
      <c r="G1716" s="278"/>
      <c r="H1716" s="358"/>
      <c r="I1716" s="278"/>
    </row>
    <row r="1717" spans="1:9" x14ac:dyDescent="0.3">
      <c r="A1717" s="356"/>
      <c r="B1717" s="278"/>
      <c r="C1717" s="357"/>
      <c r="D1717" s="358"/>
      <c r="E1717" s="358"/>
      <c r="F1717" s="358"/>
      <c r="G1717" s="278"/>
      <c r="H1717" s="358"/>
      <c r="I1717" s="278"/>
    </row>
    <row r="1718" spans="1:9" x14ac:dyDescent="0.3">
      <c r="A1718" s="356"/>
      <c r="B1718" s="278"/>
      <c r="C1718" s="357"/>
      <c r="D1718" s="358"/>
      <c r="E1718" s="358"/>
      <c r="F1718" s="358"/>
      <c r="G1718" s="278"/>
      <c r="H1718" s="358"/>
      <c r="I1718" s="278"/>
    </row>
    <row r="1719" spans="1:9" x14ac:dyDescent="0.3">
      <c r="A1719" s="356"/>
      <c r="B1719" s="278"/>
      <c r="C1719" s="357"/>
      <c r="D1719" s="358"/>
      <c r="E1719" s="358"/>
      <c r="F1719" s="358"/>
      <c r="G1719" s="278"/>
      <c r="H1719" s="358"/>
      <c r="I1719" s="278"/>
    </row>
    <row r="1720" spans="1:9" x14ac:dyDescent="0.3">
      <c r="A1720" s="356"/>
      <c r="B1720" s="278"/>
      <c r="C1720" s="357"/>
      <c r="D1720" s="358"/>
      <c r="E1720" s="358"/>
      <c r="F1720" s="358"/>
      <c r="G1720" s="278"/>
      <c r="H1720" s="358"/>
      <c r="I1720" s="278"/>
    </row>
    <row r="1721" spans="1:9" x14ac:dyDescent="0.3">
      <c r="A1721" s="356"/>
      <c r="B1721" s="278"/>
      <c r="C1721" s="357"/>
      <c r="D1721" s="358"/>
      <c r="E1721" s="358"/>
      <c r="F1721" s="358"/>
      <c r="G1721" s="278"/>
      <c r="H1721" s="358"/>
      <c r="I1721" s="278"/>
    </row>
    <row r="1722" spans="1:9" x14ac:dyDescent="0.3">
      <c r="A1722" s="356"/>
      <c r="B1722" s="278"/>
      <c r="C1722" s="357"/>
      <c r="D1722" s="358"/>
      <c r="E1722" s="358"/>
      <c r="F1722" s="358"/>
      <c r="G1722" s="278"/>
      <c r="H1722" s="358"/>
      <c r="I1722" s="278"/>
    </row>
    <row r="1723" spans="1:9" x14ac:dyDescent="0.3">
      <c r="A1723" s="356"/>
      <c r="B1723" s="278"/>
      <c r="C1723" s="357"/>
      <c r="D1723" s="358"/>
      <c r="E1723" s="358"/>
      <c r="F1723" s="358"/>
      <c r="G1723" s="278"/>
      <c r="H1723" s="358"/>
      <c r="I1723" s="278"/>
    </row>
    <row r="1724" spans="1:9" x14ac:dyDescent="0.3">
      <c r="A1724" s="356"/>
      <c r="B1724" s="278"/>
      <c r="C1724" s="357"/>
      <c r="D1724" s="358"/>
      <c r="E1724" s="358"/>
      <c r="F1724" s="358"/>
      <c r="G1724" s="278"/>
      <c r="H1724" s="358"/>
      <c r="I1724" s="278"/>
    </row>
    <row r="1725" spans="1:9" x14ac:dyDescent="0.3">
      <c r="A1725" s="356"/>
      <c r="B1725" s="278"/>
      <c r="C1725" s="357"/>
      <c r="D1725" s="358"/>
      <c r="E1725" s="358"/>
      <c r="F1725" s="358"/>
      <c r="G1725" s="278"/>
      <c r="H1725" s="358"/>
      <c r="I1725" s="278"/>
    </row>
    <row r="1726" spans="1:9" x14ac:dyDescent="0.3">
      <c r="A1726" s="356"/>
      <c r="B1726" s="278"/>
      <c r="C1726" s="357"/>
      <c r="D1726" s="358"/>
      <c r="E1726" s="358"/>
      <c r="F1726" s="358"/>
      <c r="G1726" s="278"/>
      <c r="H1726" s="358"/>
      <c r="I1726" s="278"/>
    </row>
    <row r="1727" spans="1:9" x14ac:dyDescent="0.3">
      <c r="A1727" s="356"/>
      <c r="B1727" s="278"/>
      <c r="C1727" s="357"/>
      <c r="D1727" s="358"/>
      <c r="E1727" s="358"/>
      <c r="F1727" s="358"/>
      <c r="G1727" s="278"/>
      <c r="H1727" s="358"/>
      <c r="I1727" s="278"/>
    </row>
    <row r="1728" spans="1:9" x14ac:dyDescent="0.3">
      <c r="A1728" s="356"/>
      <c r="B1728" s="278"/>
      <c r="C1728" s="357"/>
      <c r="D1728" s="358"/>
      <c r="E1728" s="358"/>
      <c r="F1728" s="358"/>
      <c r="G1728" s="278"/>
      <c r="H1728" s="358"/>
      <c r="I1728" s="278"/>
    </row>
    <row r="1729" spans="1:9" x14ac:dyDescent="0.3">
      <c r="A1729" s="356"/>
      <c r="B1729" s="278"/>
      <c r="C1729" s="357"/>
      <c r="D1729" s="358"/>
      <c r="E1729" s="358"/>
      <c r="F1729" s="358"/>
      <c r="G1729" s="278"/>
      <c r="H1729" s="358"/>
      <c r="I1729" s="278"/>
    </row>
    <row r="1730" spans="1:9" x14ac:dyDescent="0.3">
      <c r="A1730" s="356"/>
      <c r="B1730" s="278"/>
      <c r="C1730" s="357"/>
      <c r="D1730" s="358"/>
      <c r="E1730" s="358"/>
      <c r="F1730" s="358"/>
      <c r="G1730" s="278"/>
      <c r="H1730" s="358"/>
      <c r="I1730" s="278"/>
    </row>
    <row r="1731" spans="1:9" x14ac:dyDescent="0.3">
      <c r="A1731" s="356"/>
      <c r="B1731" s="278"/>
      <c r="C1731" s="357"/>
      <c r="D1731" s="358"/>
      <c r="E1731" s="358"/>
      <c r="F1731" s="358"/>
      <c r="G1731" s="278"/>
      <c r="H1731" s="358"/>
      <c r="I1731" s="278"/>
    </row>
    <row r="1732" spans="1:9" x14ac:dyDescent="0.3">
      <c r="A1732" s="356"/>
      <c r="B1732" s="278"/>
      <c r="C1732" s="357"/>
      <c r="D1732" s="358"/>
      <c r="E1732" s="358"/>
      <c r="F1732" s="358"/>
      <c r="G1732" s="278"/>
      <c r="H1732" s="358"/>
      <c r="I1732" s="278"/>
    </row>
    <row r="1733" spans="1:9" x14ac:dyDescent="0.3">
      <c r="A1733" s="356"/>
      <c r="B1733" s="278"/>
      <c r="C1733" s="357"/>
      <c r="D1733" s="358"/>
      <c r="E1733" s="358"/>
      <c r="F1733" s="358"/>
      <c r="G1733" s="278"/>
      <c r="H1733" s="358"/>
      <c r="I1733" s="278"/>
    </row>
    <row r="1734" spans="1:9" x14ac:dyDescent="0.3">
      <c r="A1734" s="356"/>
      <c r="B1734" s="278"/>
      <c r="C1734" s="357"/>
      <c r="D1734" s="358"/>
      <c r="E1734" s="358"/>
      <c r="F1734" s="358"/>
      <c r="G1734" s="278"/>
      <c r="H1734" s="358"/>
      <c r="I1734" s="278"/>
    </row>
    <row r="1735" spans="1:9" x14ac:dyDescent="0.3">
      <c r="A1735" s="356"/>
      <c r="B1735" s="278"/>
      <c r="C1735" s="357"/>
      <c r="D1735" s="358"/>
      <c r="E1735" s="358"/>
      <c r="F1735" s="358"/>
      <c r="G1735" s="278"/>
      <c r="H1735" s="358"/>
      <c r="I1735" s="278"/>
    </row>
    <row r="1736" spans="1:9" x14ac:dyDescent="0.3">
      <c r="A1736" s="356"/>
      <c r="B1736" s="278"/>
      <c r="C1736" s="357"/>
      <c r="D1736" s="358"/>
      <c r="E1736" s="358"/>
      <c r="F1736" s="358"/>
      <c r="G1736" s="278"/>
      <c r="H1736" s="358"/>
      <c r="I1736" s="278"/>
    </row>
    <row r="1737" spans="1:9" x14ac:dyDescent="0.3">
      <c r="A1737" s="356"/>
      <c r="B1737" s="278"/>
      <c r="C1737" s="357"/>
      <c r="D1737" s="358"/>
      <c r="E1737" s="358"/>
      <c r="F1737" s="358"/>
      <c r="G1737" s="278"/>
      <c r="H1737" s="358"/>
      <c r="I1737" s="278"/>
    </row>
    <row r="1738" spans="1:9" x14ac:dyDescent="0.3">
      <c r="A1738" s="356"/>
      <c r="B1738" s="278"/>
      <c r="C1738" s="357"/>
      <c r="D1738" s="358"/>
      <c r="E1738" s="358"/>
      <c r="F1738" s="358"/>
      <c r="G1738" s="278"/>
      <c r="H1738" s="358"/>
      <c r="I1738" s="278"/>
    </row>
    <row r="1739" spans="1:9" x14ac:dyDescent="0.3">
      <c r="A1739" s="356"/>
      <c r="B1739" s="278"/>
      <c r="C1739" s="357"/>
      <c r="D1739" s="358"/>
      <c r="E1739" s="358"/>
      <c r="F1739" s="358"/>
      <c r="G1739" s="278"/>
      <c r="H1739" s="358"/>
      <c r="I1739" s="278"/>
    </row>
    <row r="1740" spans="1:9" x14ac:dyDescent="0.3">
      <c r="A1740" s="356"/>
      <c r="B1740" s="278"/>
      <c r="C1740" s="357"/>
      <c r="D1740" s="358"/>
      <c r="E1740" s="358"/>
      <c r="F1740" s="358"/>
      <c r="G1740" s="278"/>
      <c r="H1740" s="358"/>
      <c r="I1740" s="278"/>
    </row>
    <row r="1741" spans="1:9" x14ac:dyDescent="0.3">
      <c r="A1741" s="356"/>
      <c r="B1741" s="278"/>
      <c r="C1741" s="357"/>
      <c r="D1741" s="358"/>
      <c r="E1741" s="358"/>
      <c r="F1741" s="358"/>
      <c r="G1741" s="278"/>
      <c r="H1741" s="358"/>
      <c r="I1741" s="278"/>
    </row>
    <row r="1742" spans="1:9" x14ac:dyDescent="0.3">
      <c r="A1742" s="356"/>
      <c r="B1742" s="278"/>
      <c r="C1742" s="357"/>
      <c r="D1742" s="358"/>
      <c r="E1742" s="358"/>
      <c r="F1742" s="358"/>
      <c r="G1742" s="278"/>
      <c r="H1742" s="358"/>
      <c r="I1742" s="278"/>
    </row>
    <row r="1743" spans="1:9" x14ac:dyDescent="0.3">
      <c r="A1743" s="356"/>
      <c r="B1743" s="278"/>
      <c r="C1743" s="357"/>
      <c r="D1743" s="358"/>
      <c r="E1743" s="358"/>
      <c r="F1743" s="358"/>
      <c r="G1743" s="278"/>
      <c r="H1743" s="358"/>
      <c r="I1743" s="278"/>
    </row>
    <row r="1744" spans="1:9" x14ac:dyDescent="0.3">
      <c r="A1744" s="356"/>
      <c r="B1744" s="278"/>
      <c r="C1744" s="357"/>
      <c r="D1744" s="358"/>
      <c r="E1744" s="358"/>
      <c r="F1744" s="358"/>
      <c r="G1744" s="278"/>
      <c r="H1744" s="358"/>
      <c r="I1744" s="278"/>
    </row>
    <row r="1745" spans="1:9" x14ac:dyDescent="0.3">
      <c r="A1745" s="356"/>
      <c r="B1745" s="278"/>
      <c r="C1745" s="357"/>
      <c r="D1745" s="358"/>
      <c r="E1745" s="358"/>
      <c r="F1745" s="358"/>
      <c r="G1745" s="278"/>
      <c r="H1745" s="358"/>
      <c r="I1745" s="278"/>
    </row>
    <row r="1746" spans="1:9" x14ac:dyDescent="0.3">
      <c r="A1746" s="356"/>
      <c r="B1746" s="278"/>
      <c r="C1746" s="357"/>
      <c r="D1746" s="358"/>
      <c r="E1746" s="358"/>
      <c r="F1746" s="358"/>
      <c r="G1746" s="278"/>
      <c r="H1746" s="358"/>
      <c r="I1746" s="278"/>
    </row>
    <row r="1747" spans="1:9" x14ac:dyDescent="0.3">
      <c r="A1747" s="356"/>
      <c r="B1747" s="278"/>
      <c r="C1747" s="357"/>
      <c r="D1747" s="358"/>
      <c r="E1747" s="358"/>
      <c r="F1747" s="358"/>
      <c r="G1747" s="278"/>
      <c r="H1747" s="358"/>
      <c r="I1747" s="278"/>
    </row>
    <row r="1748" spans="1:9" x14ac:dyDescent="0.3">
      <c r="A1748" s="356"/>
      <c r="B1748" s="278"/>
      <c r="C1748" s="357"/>
      <c r="D1748" s="358"/>
      <c r="E1748" s="358"/>
      <c r="F1748" s="358"/>
      <c r="G1748" s="278"/>
      <c r="H1748" s="358"/>
      <c r="I1748" s="278"/>
    </row>
    <row r="1749" spans="1:9" x14ac:dyDescent="0.3">
      <c r="A1749" s="356"/>
      <c r="B1749" s="278"/>
      <c r="C1749" s="357"/>
      <c r="D1749" s="358"/>
      <c r="E1749" s="358"/>
      <c r="F1749" s="358"/>
      <c r="G1749" s="278"/>
      <c r="H1749" s="358"/>
      <c r="I1749" s="278"/>
    </row>
    <row r="1750" spans="1:9" x14ac:dyDescent="0.3">
      <c r="A1750" s="356"/>
      <c r="B1750" s="278"/>
      <c r="C1750" s="357"/>
      <c r="D1750" s="358"/>
      <c r="E1750" s="358"/>
      <c r="F1750" s="358"/>
      <c r="G1750" s="278"/>
      <c r="H1750" s="358"/>
      <c r="I1750" s="278"/>
    </row>
    <row r="1751" spans="1:9" x14ac:dyDescent="0.3">
      <c r="A1751" s="356"/>
      <c r="B1751" s="278"/>
      <c r="C1751" s="357"/>
      <c r="D1751" s="358"/>
      <c r="E1751" s="358"/>
      <c r="F1751" s="358"/>
      <c r="G1751" s="278"/>
      <c r="H1751" s="358"/>
      <c r="I1751" s="278"/>
    </row>
    <row r="1752" spans="1:9" x14ac:dyDescent="0.3">
      <c r="A1752" s="356"/>
      <c r="B1752" s="278"/>
      <c r="C1752" s="357"/>
      <c r="D1752" s="358"/>
      <c r="E1752" s="358"/>
      <c r="F1752" s="358"/>
      <c r="G1752" s="278"/>
      <c r="H1752" s="358"/>
      <c r="I1752" s="278"/>
    </row>
    <row r="1753" spans="1:9" x14ac:dyDescent="0.3">
      <c r="A1753" s="356"/>
      <c r="B1753" s="278"/>
      <c r="C1753" s="357"/>
      <c r="D1753" s="358"/>
      <c r="E1753" s="358"/>
      <c r="F1753" s="358"/>
      <c r="G1753" s="278"/>
      <c r="H1753" s="358"/>
      <c r="I1753" s="278"/>
    </row>
    <row r="1754" spans="1:9" x14ac:dyDescent="0.3">
      <c r="A1754" s="356"/>
      <c r="B1754" s="278"/>
      <c r="C1754" s="357"/>
      <c r="D1754" s="358"/>
      <c r="E1754" s="358"/>
      <c r="F1754" s="358"/>
      <c r="G1754" s="278"/>
      <c r="H1754" s="358"/>
      <c r="I1754" s="278"/>
    </row>
    <row r="1755" spans="1:9" x14ac:dyDescent="0.3">
      <c r="A1755" s="356"/>
      <c r="B1755" s="278"/>
      <c r="C1755" s="357"/>
      <c r="D1755" s="358"/>
      <c r="E1755" s="358"/>
      <c r="F1755" s="358"/>
      <c r="G1755" s="278"/>
      <c r="H1755" s="358"/>
      <c r="I1755" s="278"/>
    </row>
    <row r="1756" spans="1:9" x14ac:dyDescent="0.3">
      <c r="A1756" s="356"/>
      <c r="B1756" s="278"/>
      <c r="C1756" s="357"/>
      <c r="D1756" s="358"/>
      <c r="E1756" s="358"/>
      <c r="F1756" s="358"/>
      <c r="G1756" s="278"/>
      <c r="H1756" s="358"/>
      <c r="I1756" s="278"/>
    </row>
    <row r="1757" spans="1:9" x14ac:dyDescent="0.3">
      <c r="A1757" s="356"/>
      <c r="B1757" s="278"/>
      <c r="C1757" s="357"/>
      <c r="D1757" s="358"/>
      <c r="E1757" s="358"/>
      <c r="F1757" s="358"/>
      <c r="G1757" s="278"/>
      <c r="H1757" s="358"/>
      <c r="I1757" s="278"/>
    </row>
    <row r="1758" spans="1:9" x14ac:dyDescent="0.3">
      <c r="A1758" s="356"/>
      <c r="B1758" s="278"/>
      <c r="C1758" s="357"/>
      <c r="D1758" s="358"/>
      <c r="E1758" s="358"/>
      <c r="F1758" s="358"/>
      <c r="G1758" s="278"/>
      <c r="H1758" s="358"/>
      <c r="I1758" s="278"/>
    </row>
    <row r="1759" spans="1:9" x14ac:dyDescent="0.3">
      <c r="A1759" s="356"/>
      <c r="B1759" s="278"/>
      <c r="C1759" s="357"/>
      <c r="D1759" s="358"/>
      <c r="E1759" s="358"/>
      <c r="F1759" s="358"/>
      <c r="G1759" s="278"/>
      <c r="H1759" s="358"/>
      <c r="I1759" s="278"/>
    </row>
    <row r="1760" spans="1:9" x14ac:dyDescent="0.3">
      <c r="A1760" s="356"/>
      <c r="B1760" s="278"/>
      <c r="C1760" s="357"/>
      <c r="D1760" s="358"/>
      <c r="E1760" s="358"/>
      <c r="F1760" s="358"/>
      <c r="G1760" s="278"/>
      <c r="H1760" s="358"/>
      <c r="I1760" s="278"/>
    </row>
    <row r="1761" spans="1:9" x14ac:dyDescent="0.3">
      <c r="A1761" s="356"/>
      <c r="B1761" s="278"/>
      <c r="C1761" s="357"/>
      <c r="D1761" s="358"/>
      <c r="E1761" s="358"/>
      <c r="F1761" s="358"/>
      <c r="G1761" s="278"/>
      <c r="H1761" s="358"/>
      <c r="I1761" s="278"/>
    </row>
    <row r="1762" spans="1:9" x14ac:dyDescent="0.3">
      <c r="A1762" s="356"/>
      <c r="B1762" s="278"/>
      <c r="C1762" s="357"/>
      <c r="D1762" s="358"/>
      <c r="E1762" s="358"/>
      <c r="F1762" s="358"/>
      <c r="G1762" s="278"/>
      <c r="H1762" s="358"/>
      <c r="I1762" s="278"/>
    </row>
    <row r="1763" spans="1:9" x14ac:dyDescent="0.3">
      <c r="A1763" s="356"/>
      <c r="B1763" s="278"/>
      <c r="C1763" s="357"/>
      <c r="D1763" s="358"/>
      <c r="E1763" s="358"/>
      <c r="F1763" s="358"/>
      <c r="G1763" s="278"/>
      <c r="H1763" s="358"/>
      <c r="I1763" s="278"/>
    </row>
    <row r="1764" spans="1:9" x14ac:dyDescent="0.3">
      <c r="A1764" s="356"/>
      <c r="B1764" s="278"/>
      <c r="C1764" s="357"/>
      <c r="D1764" s="358"/>
      <c r="E1764" s="358"/>
      <c r="F1764" s="358"/>
      <c r="G1764" s="278"/>
      <c r="H1764" s="358"/>
      <c r="I1764" s="278"/>
    </row>
    <row r="1765" spans="1:9" x14ac:dyDescent="0.3">
      <c r="A1765" s="356"/>
      <c r="B1765" s="278"/>
      <c r="C1765" s="357"/>
      <c r="D1765" s="358"/>
      <c r="E1765" s="358"/>
      <c r="F1765" s="358"/>
      <c r="G1765" s="278"/>
      <c r="H1765" s="358"/>
      <c r="I1765" s="278"/>
    </row>
    <row r="1766" spans="1:9" x14ac:dyDescent="0.3">
      <c r="A1766" s="356"/>
      <c r="B1766" s="278"/>
      <c r="C1766" s="357"/>
      <c r="D1766" s="358"/>
      <c r="E1766" s="358"/>
      <c r="F1766" s="358"/>
      <c r="G1766" s="278"/>
      <c r="H1766" s="358"/>
      <c r="I1766" s="278"/>
    </row>
    <row r="1767" spans="1:9" x14ac:dyDescent="0.3">
      <c r="A1767" s="356"/>
      <c r="B1767" s="278"/>
      <c r="C1767" s="357"/>
      <c r="D1767" s="358"/>
      <c r="E1767" s="358"/>
      <c r="F1767" s="358"/>
      <c r="G1767" s="278"/>
      <c r="H1767" s="358"/>
      <c r="I1767" s="278"/>
    </row>
    <row r="1768" spans="1:9" x14ac:dyDescent="0.3">
      <c r="A1768" s="356"/>
      <c r="B1768" s="278"/>
      <c r="C1768" s="357"/>
      <c r="D1768" s="358"/>
      <c r="E1768" s="358"/>
      <c r="F1768" s="358"/>
      <c r="G1768" s="278"/>
      <c r="H1768" s="358"/>
      <c r="I1768" s="278"/>
    </row>
    <row r="1769" spans="1:9" x14ac:dyDescent="0.3">
      <c r="A1769" s="356"/>
      <c r="B1769" s="278"/>
      <c r="C1769" s="357"/>
      <c r="D1769" s="358"/>
      <c r="E1769" s="358"/>
      <c r="F1769" s="358"/>
      <c r="G1769" s="278"/>
      <c r="H1769" s="358"/>
      <c r="I1769" s="278"/>
    </row>
    <row r="1770" spans="1:9" x14ac:dyDescent="0.3">
      <c r="A1770" s="356"/>
      <c r="B1770" s="278"/>
      <c r="C1770" s="357"/>
      <c r="D1770" s="358"/>
      <c r="E1770" s="358"/>
      <c r="F1770" s="358"/>
      <c r="G1770" s="278"/>
      <c r="H1770" s="358"/>
      <c r="I1770" s="278"/>
    </row>
    <row r="1771" spans="1:9" x14ac:dyDescent="0.3">
      <c r="A1771" s="356"/>
      <c r="B1771" s="278"/>
      <c r="C1771" s="357"/>
      <c r="D1771" s="358"/>
      <c r="E1771" s="358"/>
      <c r="F1771" s="358"/>
      <c r="G1771" s="278"/>
      <c r="H1771" s="358"/>
      <c r="I1771" s="278"/>
    </row>
    <row r="1772" spans="1:9" x14ac:dyDescent="0.3">
      <c r="A1772" s="356"/>
      <c r="B1772" s="278"/>
      <c r="C1772" s="357"/>
      <c r="D1772" s="358"/>
      <c r="E1772" s="358"/>
      <c r="F1772" s="358"/>
      <c r="G1772" s="278"/>
      <c r="H1772" s="358"/>
      <c r="I1772" s="278"/>
    </row>
    <row r="1773" spans="1:9" x14ac:dyDescent="0.3">
      <c r="A1773" s="356"/>
      <c r="B1773" s="278"/>
      <c r="C1773" s="357"/>
      <c r="D1773" s="358"/>
      <c r="E1773" s="358"/>
      <c r="F1773" s="358"/>
      <c r="G1773" s="278"/>
      <c r="H1773" s="358"/>
      <c r="I1773" s="278"/>
    </row>
    <row r="1774" spans="1:9" x14ac:dyDescent="0.3">
      <c r="A1774" s="356"/>
      <c r="B1774" s="278"/>
      <c r="C1774" s="357"/>
      <c r="D1774" s="358"/>
      <c r="E1774" s="358"/>
      <c r="F1774" s="358"/>
      <c r="G1774" s="278"/>
      <c r="H1774" s="358"/>
      <c r="I1774" s="278"/>
    </row>
    <row r="1775" spans="1:9" x14ac:dyDescent="0.3">
      <c r="A1775" s="356"/>
      <c r="B1775" s="278"/>
      <c r="C1775" s="357"/>
      <c r="D1775" s="358"/>
      <c r="E1775" s="358"/>
      <c r="F1775" s="358"/>
      <c r="G1775" s="278"/>
      <c r="H1775" s="358"/>
      <c r="I1775" s="278"/>
    </row>
    <row r="1776" spans="1:9" x14ac:dyDescent="0.3">
      <c r="A1776" s="356"/>
      <c r="B1776" s="278"/>
      <c r="C1776" s="357"/>
      <c r="D1776" s="358"/>
      <c r="E1776" s="358"/>
      <c r="F1776" s="358"/>
      <c r="G1776" s="278"/>
      <c r="H1776" s="358"/>
      <c r="I1776" s="278"/>
    </row>
    <row r="1777" spans="1:9" x14ac:dyDescent="0.3">
      <c r="A1777" s="356"/>
      <c r="B1777" s="278"/>
      <c r="C1777" s="357"/>
      <c r="D1777" s="358"/>
      <c r="E1777" s="358"/>
      <c r="F1777" s="358"/>
      <c r="G1777" s="278"/>
      <c r="H1777" s="358"/>
      <c r="I1777" s="278"/>
    </row>
    <row r="1778" spans="1:9" x14ac:dyDescent="0.3">
      <c r="A1778" s="356"/>
      <c r="B1778" s="278"/>
      <c r="C1778" s="357"/>
      <c r="D1778" s="358"/>
      <c r="E1778" s="358"/>
      <c r="F1778" s="358"/>
      <c r="G1778" s="278"/>
      <c r="H1778" s="358"/>
      <c r="I1778" s="278"/>
    </row>
    <row r="1779" spans="1:9" x14ac:dyDescent="0.3">
      <c r="A1779" s="356"/>
      <c r="B1779" s="278"/>
      <c r="C1779" s="357"/>
      <c r="D1779" s="358"/>
      <c r="E1779" s="358"/>
      <c r="F1779" s="358"/>
      <c r="G1779" s="278"/>
      <c r="H1779" s="358"/>
      <c r="I1779" s="278"/>
    </row>
    <row r="1780" spans="1:9" x14ac:dyDescent="0.3">
      <c r="A1780" s="356"/>
      <c r="B1780" s="278"/>
      <c r="C1780" s="357"/>
      <c r="D1780" s="358"/>
      <c r="E1780" s="358"/>
      <c r="F1780" s="358"/>
      <c r="G1780" s="278"/>
      <c r="H1780" s="358"/>
      <c r="I1780" s="278"/>
    </row>
    <row r="1781" spans="1:9" x14ac:dyDescent="0.3">
      <c r="A1781" s="356"/>
      <c r="B1781" s="278"/>
      <c r="C1781" s="357"/>
      <c r="D1781" s="358"/>
      <c r="E1781" s="358"/>
      <c r="F1781" s="358"/>
      <c r="G1781" s="278"/>
      <c r="H1781" s="358"/>
      <c r="I1781" s="278"/>
    </row>
    <row r="1782" spans="1:9" x14ac:dyDescent="0.3">
      <c r="A1782" s="356"/>
      <c r="B1782" s="278"/>
      <c r="C1782" s="357"/>
      <c r="D1782" s="358"/>
      <c r="E1782" s="358"/>
      <c r="F1782" s="358"/>
      <c r="G1782" s="278"/>
      <c r="H1782" s="358"/>
      <c r="I1782" s="278"/>
    </row>
    <row r="1783" spans="1:9" x14ac:dyDescent="0.3">
      <c r="A1783" s="356"/>
      <c r="B1783" s="278"/>
      <c r="C1783" s="357"/>
      <c r="D1783" s="358"/>
      <c r="E1783" s="358"/>
      <c r="F1783" s="358"/>
      <c r="G1783" s="278"/>
      <c r="H1783" s="358"/>
      <c r="I1783" s="278"/>
    </row>
    <row r="1784" spans="1:9" x14ac:dyDescent="0.3">
      <c r="A1784" s="356"/>
      <c r="B1784" s="278"/>
      <c r="C1784" s="357"/>
      <c r="D1784" s="358"/>
      <c r="E1784" s="358"/>
      <c r="F1784" s="358"/>
      <c r="G1784" s="278"/>
      <c r="H1784" s="358"/>
      <c r="I1784" s="278"/>
    </row>
    <row r="1785" spans="1:9" x14ac:dyDescent="0.3">
      <c r="A1785" s="356"/>
      <c r="B1785" s="278"/>
      <c r="C1785" s="357"/>
      <c r="D1785" s="358"/>
      <c r="E1785" s="358"/>
      <c r="F1785" s="358"/>
      <c r="G1785" s="278"/>
      <c r="H1785" s="358"/>
      <c r="I1785" s="278"/>
    </row>
    <row r="1786" spans="1:9" x14ac:dyDescent="0.3">
      <c r="A1786" s="356"/>
      <c r="B1786" s="278"/>
      <c r="C1786" s="357"/>
      <c r="D1786" s="358"/>
      <c r="E1786" s="358"/>
      <c r="F1786" s="358"/>
      <c r="G1786" s="278"/>
      <c r="H1786" s="358"/>
      <c r="I1786" s="278"/>
    </row>
    <row r="1787" spans="1:9" x14ac:dyDescent="0.3">
      <c r="A1787" s="356"/>
      <c r="B1787" s="278"/>
      <c r="C1787" s="357"/>
      <c r="D1787" s="358"/>
      <c r="E1787" s="358"/>
      <c r="F1787" s="358"/>
      <c r="G1787" s="278"/>
      <c r="H1787" s="358"/>
      <c r="I1787" s="278"/>
    </row>
    <row r="1788" spans="1:9" x14ac:dyDescent="0.3">
      <c r="A1788" s="356"/>
      <c r="B1788" s="278"/>
      <c r="C1788" s="357"/>
      <c r="D1788" s="358"/>
      <c r="E1788" s="358"/>
      <c r="F1788" s="358"/>
      <c r="G1788" s="278"/>
      <c r="H1788" s="358"/>
      <c r="I1788" s="278"/>
    </row>
    <row r="1789" spans="1:9" x14ac:dyDescent="0.3">
      <c r="A1789" s="356"/>
      <c r="B1789" s="278"/>
      <c r="C1789" s="357"/>
      <c r="D1789" s="358"/>
      <c r="E1789" s="358"/>
      <c r="F1789" s="358"/>
      <c r="G1789" s="278"/>
      <c r="H1789" s="358"/>
      <c r="I1789" s="278"/>
    </row>
    <row r="1790" spans="1:9" x14ac:dyDescent="0.3">
      <c r="A1790" s="356"/>
      <c r="B1790" s="278"/>
      <c r="C1790" s="357"/>
      <c r="D1790" s="358"/>
      <c r="E1790" s="358"/>
      <c r="F1790" s="358"/>
      <c r="G1790" s="278"/>
      <c r="H1790" s="358"/>
      <c r="I1790" s="278"/>
    </row>
    <row r="1791" spans="1:9" x14ac:dyDescent="0.3">
      <c r="A1791" s="356"/>
      <c r="B1791" s="278"/>
      <c r="C1791" s="357"/>
      <c r="D1791" s="358"/>
      <c r="E1791" s="358"/>
      <c r="F1791" s="358"/>
      <c r="G1791" s="278"/>
      <c r="H1791" s="358"/>
      <c r="I1791" s="278"/>
    </row>
    <row r="1792" spans="1:9" x14ac:dyDescent="0.3">
      <c r="A1792" s="356"/>
      <c r="B1792" s="278"/>
      <c r="C1792" s="357"/>
      <c r="D1792" s="358"/>
      <c r="E1792" s="358"/>
      <c r="F1792" s="358"/>
      <c r="G1792" s="278"/>
      <c r="H1792" s="358"/>
      <c r="I1792" s="278"/>
    </row>
    <row r="1793" spans="1:9" x14ac:dyDescent="0.3">
      <c r="A1793" s="356"/>
      <c r="B1793" s="278"/>
      <c r="C1793" s="357"/>
      <c r="D1793" s="358"/>
      <c r="E1793" s="358"/>
      <c r="F1793" s="358"/>
      <c r="G1793" s="278"/>
      <c r="H1793" s="358"/>
      <c r="I1793" s="278"/>
    </row>
    <row r="1794" spans="1:9" x14ac:dyDescent="0.3">
      <c r="A1794" s="356"/>
      <c r="B1794" s="278"/>
      <c r="C1794" s="357"/>
      <c r="D1794" s="358"/>
      <c r="E1794" s="358"/>
      <c r="F1794" s="358"/>
      <c r="G1794" s="278"/>
      <c r="H1794" s="358"/>
      <c r="I1794" s="278"/>
    </row>
    <row r="1795" spans="1:9" x14ac:dyDescent="0.3">
      <c r="A1795" s="356"/>
      <c r="B1795" s="278"/>
      <c r="C1795" s="357"/>
      <c r="D1795" s="358"/>
      <c r="E1795" s="358"/>
      <c r="F1795" s="358"/>
      <c r="G1795" s="278"/>
      <c r="H1795" s="358"/>
      <c r="I1795" s="278"/>
    </row>
    <row r="1796" spans="1:9" x14ac:dyDescent="0.3">
      <c r="A1796" s="356"/>
      <c r="B1796" s="278"/>
      <c r="C1796" s="357"/>
      <c r="D1796" s="358"/>
      <c r="E1796" s="358"/>
      <c r="F1796" s="358"/>
      <c r="G1796" s="278"/>
      <c r="H1796" s="358"/>
      <c r="I1796" s="278"/>
    </row>
    <row r="1797" spans="1:9" x14ac:dyDescent="0.3">
      <c r="A1797" s="356"/>
      <c r="B1797" s="278"/>
      <c r="C1797" s="357"/>
      <c r="D1797" s="358"/>
      <c r="E1797" s="358"/>
      <c r="F1797" s="358"/>
      <c r="G1797" s="278"/>
      <c r="H1797" s="358"/>
      <c r="I1797" s="278"/>
    </row>
    <row r="1798" spans="1:9" x14ac:dyDescent="0.3">
      <c r="A1798" s="356"/>
      <c r="B1798" s="278"/>
      <c r="C1798" s="357"/>
      <c r="D1798" s="358"/>
      <c r="E1798" s="358"/>
      <c r="F1798" s="358"/>
      <c r="G1798" s="278"/>
      <c r="H1798" s="358"/>
      <c r="I1798" s="278"/>
    </row>
    <row r="1799" spans="1:9" x14ac:dyDescent="0.3">
      <c r="A1799" s="356"/>
      <c r="B1799" s="278"/>
      <c r="C1799" s="357"/>
      <c r="D1799" s="358"/>
      <c r="E1799" s="358"/>
      <c r="F1799" s="358"/>
      <c r="G1799" s="278"/>
      <c r="H1799" s="358"/>
      <c r="I1799" s="278"/>
    </row>
    <row r="1800" spans="1:9" x14ac:dyDescent="0.3">
      <c r="A1800" s="356"/>
      <c r="B1800" s="278"/>
      <c r="C1800" s="357"/>
      <c r="D1800" s="358"/>
      <c r="E1800" s="358"/>
      <c r="F1800" s="358"/>
      <c r="G1800" s="278"/>
      <c r="H1800" s="358"/>
      <c r="I1800" s="278"/>
    </row>
    <row r="1801" spans="1:9" x14ac:dyDescent="0.3">
      <c r="A1801" s="356"/>
      <c r="B1801" s="278"/>
      <c r="C1801" s="357"/>
      <c r="D1801" s="358"/>
      <c r="E1801" s="358"/>
      <c r="F1801" s="358"/>
      <c r="G1801" s="278"/>
      <c r="H1801" s="358"/>
      <c r="I1801" s="278"/>
    </row>
    <row r="1802" spans="1:9" x14ac:dyDescent="0.3">
      <c r="A1802" s="356"/>
      <c r="B1802" s="278"/>
      <c r="C1802" s="357"/>
      <c r="D1802" s="358"/>
      <c r="E1802" s="358"/>
      <c r="F1802" s="358"/>
      <c r="G1802" s="278"/>
      <c r="H1802" s="358"/>
      <c r="I1802" s="278"/>
    </row>
    <row r="1803" spans="1:9" x14ac:dyDescent="0.3">
      <c r="A1803" s="356"/>
      <c r="B1803" s="278"/>
      <c r="C1803" s="357"/>
      <c r="D1803" s="358"/>
      <c r="E1803" s="358"/>
      <c r="F1803" s="358"/>
      <c r="G1803" s="278"/>
      <c r="H1803" s="358"/>
      <c r="I1803" s="278"/>
    </row>
    <row r="1804" spans="1:9" x14ac:dyDescent="0.3">
      <c r="A1804" s="356"/>
      <c r="B1804" s="278"/>
      <c r="C1804" s="357"/>
      <c r="D1804" s="358"/>
      <c r="E1804" s="358"/>
      <c r="F1804" s="358"/>
      <c r="G1804" s="278"/>
      <c r="H1804" s="358"/>
      <c r="I1804" s="278"/>
    </row>
    <row r="1805" spans="1:9" x14ac:dyDescent="0.3">
      <c r="A1805" s="356"/>
      <c r="B1805" s="278"/>
      <c r="C1805" s="357"/>
      <c r="D1805" s="358"/>
      <c r="E1805" s="358"/>
      <c r="F1805" s="358"/>
      <c r="G1805" s="278"/>
      <c r="H1805" s="358"/>
      <c r="I1805" s="278"/>
    </row>
    <row r="1806" spans="1:9" x14ac:dyDescent="0.3">
      <c r="A1806" s="356"/>
      <c r="B1806" s="278"/>
      <c r="C1806" s="357"/>
      <c r="D1806" s="358"/>
      <c r="E1806" s="358"/>
      <c r="F1806" s="358"/>
      <c r="G1806" s="278"/>
      <c r="H1806" s="358"/>
      <c r="I1806" s="278"/>
    </row>
    <row r="1807" spans="1:9" x14ac:dyDescent="0.3">
      <c r="A1807" s="356"/>
      <c r="B1807" s="278"/>
      <c r="C1807" s="357"/>
      <c r="D1807" s="358"/>
      <c r="E1807" s="358"/>
      <c r="F1807" s="358"/>
      <c r="G1807" s="278"/>
      <c r="H1807" s="358"/>
      <c r="I1807" s="278"/>
    </row>
    <row r="1808" spans="1:9" x14ac:dyDescent="0.3">
      <c r="A1808" s="356"/>
      <c r="B1808" s="278"/>
      <c r="C1808" s="357"/>
      <c r="D1808" s="358"/>
      <c r="E1808" s="358"/>
      <c r="F1808" s="358"/>
      <c r="G1808" s="278"/>
      <c r="H1808" s="358"/>
      <c r="I1808" s="278"/>
    </row>
    <row r="1809" spans="1:9" x14ac:dyDescent="0.3">
      <c r="A1809" s="356"/>
      <c r="B1809" s="278"/>
      <c r="C1809" s="357"/>
      <c r="D1809" s="358"/>
      <c r="E1809" s="358"/>
      <c r="F1809" s="358"/>
      <c r="G1809" s="278"/>
      <c r="H1809" s="358"/>
      <c r="I1809" s="278"/>
    </row>
    <row r="1810" spans="1:9" x14ac:dyDescent="0.3">
      <c r="A1810" s="356"/>
      <c r="B1810" s="278"/>
      <c r="C1810" s="357"/>
      <c r="D1810" s="358"/>
      <c r="E1810" s="358"/>
      <c r="F1810" s="358"/>
      <c r="G1810" s="278"/>
      <c r="H1810" s="358"/>
      <c r="I1810" s="278"/>
    </row>
    <row r="1811" spans="1:9" x14ac:dyDescent="0.3">
      <c r="A1811" s="356"/>
      <c r="B1811" s="278"/>
      <c r="C1811" s="357"/>
      <c r="D1811" s="358"/>
      <c r="E1811" s="358"/>
      <c r="F1811" s="358"/>
      <c r="G1811" s="278"/>
      <c r="H1811" s="358"/>
      <c r="I1811" s="278"/>
    </row>
    <row r="1812" spans="1:9" x14ac:dyDescent="0.3">
      <c r="A1812" s="356"/>
      <c r="B1812" s="278"/>
      <c r="C1812" s="357"/>
      <c r="D1812" s="358"/>
      <c r="E1812" s="358"/>
      <c r="F1812" s="358"/>
      <c r="G1812" s="278"/>
      <c r="H1812" s="358"/>
      <c r="I1812" s="278"/>
    </row>
    <row r="1813" spans="1:9" x14ac:dyDescent="0.3">
      <c r="A1813" s="356"/>
      <c r="B1813" s="278"/>
      <c r="C1813" s="357"/>
      <c r="D1813" s="358"/>
      <c r="E1813" s="358"/>
      <c r="F1813" s="358"/>
      <c r="G1813" s="278"/>
      <c r="H1813" s="358"/>
      <c r="I1813" s="278"/>
    </row>
    <row r="1814" spans="1:9" x14ac:dyDescent="0.3">
      <c r="A1814" s="356"/>
      <c r="B1814" s="278"/>
      <c r="C1814" s="357"/>
      <c r="D1814" s="358"/>
      <c r="E1814" s="358"/>
      <c r="F1814" s="358"/>
      <c r="G1814" s="278"/>
      <c r="H1814" s="358"/>
      <c r="I1814" s="278"/>
    </row>
    <row r="1815" spans="1:9" x14ac:dyDescent="0.3">
      <c r="A1815" s="356"/>
      <c r="B1815" s="278"/>
      <c r="C1815" s="357"/>
      <c r="D1815" s="358"/>
      <c r="E1815" s="358"/>
      <c r="F1815" s="358"/>
      <c r="G1815" s="278"/>
      <c r="H1815" s="358"/>
      <c r="I1815" s="278"/>
    </row>
    <row r="1816" spans="1:9" x14ac:dyDescent="0.3">
      <c r="A1816" s="356"/>
      <c r="B1816" s="278"/>
      <c r="C1816" s="357"/>
      <c r="D1816" s="358"/>
      <c r="E1816" s="358"/>
      <c r="F1816" s="358"/>
      <c r="G1816" s="278"/>
      <c r="H1816" s="358"/>
      <c r="I1816" s="278"/>
    </row>
    <row r="1817" spans="1:9" x14ac:dyDescent="0.3">
      <c r="A1817" s="356"/>
      <c r="B1817" s="278"/>
      <c r="C1817" s="357"/>
      <c r="D1817" s="358"/>
      <c r="E1817" s="358"/>
      <c r="F1817" s="358"/>
      <c r="G1817" s="278"/>
      <c r="H1817" s="358"/>
      <c r="I1817" s="278"/>
    </row>
    <row r="1818" spans="1:9" x14ac:dyDescent="0.3">
      <c r="A1818" s="356"/>
      <c r="B1818" s="278"/>
      <c r="C1818" s="357"/>
      <c r="D1818" s="358"/>
      <c r="E1818" s="358"/>
      <c r="F1818" s="358"/>
      <c r="G1818" s="278"/>
      <c r="H1818" s="358"/>
      <c r="I1818" s="278"/>
    </row>
    <row r="1819" spans="1:9" x14ac:dyDescent="0.3">
      <c r="A1819" s="356"/>
      <c r="B1819" s="278"/>
      <c r="C1819" s="357"/>
      <c r="D1819" s="358"/>
      <c r="E1819" s="358"/>
      <c r="F1819" s="358"/>
      <c r="G1819" s="278"/>
      <c r="H1819" s="358"/>
      <c r="I1819" s="278"/>
    </row>
    <row r="1820" spans="1:9" x14ac:dyDescent="0.3">
      <c r="A1820" s="356"/>
      <c r="B1820" s="278"/>
      <c r="C1820" s="357"/>
      <c r="D1820" s="358"/>
      <c r="E1820" s="358"/>
      <c r="F1820" s="358"/>
      <c r="G1820" s="278"/>
      <c r="H1820" s="358"/>
      <c r="I1820" s="278"/>
    </row>
    <row r="1821" spans="1:9" x14ac:dyDescent="0.3">
      <c r="A1821" s="356"/>
      <c r="B1821" s="278"/>
      <c r="C1821" s="357"/>
      <c r="D1821" s="358"/>
      <c r="E1821" s="358"/>
      <c r="F1821" s="358"/>
      <c r="G1821" s="278"/>
      <c r="H1821" s="358"/>
      <c r="I1821" s="278"/>
    </row>
    <row r="1822" spans="1:9" x14ac:dyDescent="0.3">
      <c r="A1822" s="356"/>
      <c r="B1822" s="278"/>
      <c r="C1822" s="357"/>
      <c r="D1822" s="358"/>
      <c r="E1822" s="358"/>
      <c r="F1822" s="358"/>
      <c r="G1822" s="278"/>
      <c r="H1822" s="358"/>
      <c r="I1822" s="278"/>
    </row>
    <row r="1823" spans="1:9" x14ac:dyDescent="0.3">
      <c r="A1823" s="356"/>
      <c r="B1823" s="278"/>
      <c r="C1823" s="357"/>
      <c r="D1823" s="358"/>
      <c r="E1823" s="358"/>
      <c r="F1823" s="358"/>
      <c r="G1823" s="278"/>
      <c r="H1823" s="358"/>
      <c r="I1823" s="278"/>
    </row>
    <row r="1824" spans="1:9" x14ac:dyDescent="0.3">
      <c r="A1824" s="356"/>
      <c r="B1824" s="278"/>
      <c r="C1824" s="357"/>
      <c r="D1824" s="358"/>
      <c r="E1824" s="358"/>
      <c r="F1824" s="358"/>
      <c r="G1824" s="278"/>
      <c r="H1824" s="358"/>
      <c r="I1824" s="278"/>
    </row>
    <row r="1825" spans="1:9" x14ac:dyDescent="0.3">
      <c r="A1825" s="356"/>
      <c r="B1825" s="278"/>
      <c r="C1825" s="357"/>
      <c r="D1825" s="358"/>
      <c r="E1825" s="358"/>
      <c r="F1825" s="358"/>
      <c r="G1825" s="278"/>
      <c r="H1825" s="358"/>
      <c r="I1825" s="278"/>
    </row>
    <row r="1826" spans="1:9" x14ac:dyDescent="0.3">
      <c r="A1826" s="356"/>
      <c r="B1826" s="278"/>
      <c r="C1826" s="357"/>
      <c r="D1826" s="358"/>
      <c r="E1826" s="358"/>
      <c r="F1826" s="358"/>
      <c r="G1826" s="278"/>
      <c r="H1826" s="358"/>
      <c r="I1826" s="278"/>
    </row>
    <row r="1827" spans="1:9" x14ac:dyDescent="0.3">
      <c r="A1827" s="356"/>
      <c r="B1827" s="278"/>
      <c r="C1827" s="357"/>
      <c r="D1827" s="358"/>
      <c r="E1827" s="358"/>
      <c r="F1827" s="358"/>
      <c r="G1827" s="278"/>
      <c r="H1827" s="358"/>
      <c r="I1827" s="278"/>
    </row>
    <row r="1828" spans="1:9" x14ac:dyDescent="0.3">
      <c r="A1828" s="356"/>
      <c r="B1828" s="278"/>
      <c r="C1828" s="357"/>
      <c r="D1828" s="358"/>
      <c r="E1828" s="358"/>
      <c r="F1828" s="358"/>
      <c r="G1828" s="278"/>
      <c r="H1828" s="358"/>
      <c r="I1828" s="278"/>
    </row>
    <row r="1829" spans="1:9" x14ac:dyDescent="0.3">
      <c r="A1829" s="356"/>
      <c r="B1829" s="278"/>
      <c r="C1829" s="357"/>
      <c r="D1829" s="358"/>
      <c r="E1829" s="358"/>
      <c r="F1829" s="358"/>
      <c r="G1829" s="278"/>
      <c r="H1829" s="358"/>
      <c r="I1829" s="278"/>
    </row>
    <row r="1830" spans="1:9" x14ac:dyDescent="0.3">
      <c r="A1830" s="356"/>
      <c r="B1830" s="278"/>
      <c r="C1830" s="357"/>
      <c r="D1830" s="358"/>
      <c r="E1830" s="358"/>
      <c r="F1830" s="358"/>
      <c r="G1830" s="278"/>
      <c r="H1830" s="358"/>
      <c r="I1830" s="278"/>
    </row>
    <row r="1831" spans="1:9" x14ac:dyDescent="0.3">
      <c r="A1831" s="356"/>
      <c r="B1831" s="278"/>
      <c r="C1831" s="357"/>
      <c r="D1831" s="358"/>
      <c r="E1831" s="358"/>
      <c r="F1831" s="358"/>
      <c r="G1831" s="278"/>
      <c r="H1831" s="358"/>
      <c r="I1831" s="278"/>
    </row>
    <row r="1832" spans="1:9" x14ac:dyDescent="0.3">
      <c r="A1832" s="356"/>
      <c r="B1832" s="278"/>
      <c r="C1832" s="357"/>
      <c r="D1832" s="358"/>
      <c r="E1832" s="358"/>
      <c r="F1832" s="358"/>
      <c r="G1832" s="278"/>
      <c r="H1832" s="358"/>
      <c r="I1832" s="278"/>
    </row>
    <row r="1833" spans="1:9" x14ac:dyDescent="0.3">
      <c r="A1833" s="356"/>
      <c r="B1833" s="278"/>
      <c r="C1833" s="357"/>
      <c r="D1833" s="358"/>
      <c r="E1833" s="358"/>
      <c r="F1833" s="358"/>
      <c r="G1833" s="278"/>
      <c r="H1833" s="358"/>
      <c r="I1833" s="278"/>
    </row>
    <row r="1834" spans="1:9" x14ac:dyDescent="0.3">
      <c r="A1834" s="356"/>
      <c r="B1834" s="278"/>
      <c r="C1834" s="357"/>
      <c r="D1834" s="358"/>
      <c r="E1834" s="358"/>
      <c r="F1834" s="358"/>
      <c r="G1834" s="278"/>
      <c r="H1834" s="358"/>
      <c r="I1834" s="278"/>
    </row>
    <row r="1835" spans="1:9" x14ac:dyDescent="0.3">
      <c r="A1835" s="356"/>
      <c r="B1835" s="278"/>
      <c r="C1835" s="357"/>
      <c r="D1835" s="358"/>
      <c r="E1835" s="358"/>
      <c r="F1835" s="358"/>
      <c r="G1835" s="278"/>
      <c r="H1835" s="358"/>
      <c r="I1835" s="278"/>
    </row>
    <row r="1836" spans="1:9" x14ac:dyDescent="0.3">
      <c r="A1836" s="356"/>
      <c r="B1836" s="278"/>
      <c r="C1836" s="357"/>
      <c r="D1836" s="358"/>
      <c r="E1836" s="358"/>
      <c r="F1836" s="358"/>
      <c r="G1836" s="278"/>
      <c r="H1836" s="358"/>
      <c r="I1836" s="278"/>
    </row>
    <row r="1837" spans="1:9" x14ac:dyDescent="0.3">
      <c r="A1837" s="356"/>
      <c r="B1837" s="278"/>
      <c r="C1837" s="357"/>
      <c r="D1837" s="358"/>
      <c r="E1837" s="358"/>
      <c r="F1837" s="358"/>
      <c r="G1837" s="278"/>
      <c r="H1837" s="358"/>
      <c r="I1837" s="278"/>
    </row>
    <row r="1838" spans="1:9" x14ac:dyDescent="0.3">
      <c r="A1838" s="356"/>
      <c r="B1838" s="278"/>
      <c r="C1838" s="357"/>
      <c r="D1838" s="358"/>
      <c r="E1838" s="358"/>
      <c r="F1838" s="358"/>
      <c r="G1838" s="278"/>
      <c r="H1838" s="358"/>
      <c r="I1838" s="278"/>
    </row>
    <row r="1839" spans="1:9" x14ac:dyDescent="0.3">
      <c r="A1839" s="356"/>
      <c r="B1839" s="278"/>
      <c r="C1839" s="357"/>
      <c r="D1839" s="358"/>
      <c r="E1839" s="358"/>
      <c r="F1839" s="358"/>
      <c r="G1839" s="278"/>
      <c r="H1839" s="358"/>
      <c r="I1839" s="278"/>
    </row>
    <row r="1840" spans="1:9" x14ac:dyDescent="0.3">
      <c r="A1840" s="356"/>
      <c r="B1840" s="278"/>
      <c r="C1840" s="357"/>
      <c r="D1840" s="358"/>
      <c r="E1840" s="358"/>
      <c r="F1840" s="358"/>
      <c r="G1840" s="278"/>
      <c r="H1840" s="358"/>
      <c r="I1840" s="278"/>
    </row>
    <row r="1841" spans="1:9" x14ac:dyDescent="0.3">
      <c r="A1841" s="356"/>
      <c r="B1841" s="278"/>
      <c r="C1841" s="357"/>
      <c r="D1841" s="358"/>
      <c r="E1841" s="358"/>
      <c r="F1841" s="358"/>
      <c r="G1841" s="278"/>
      <c r="H1841" s="358"/>
      <c r="I1841" s="278"/>
    </row>
    <row r="1842" spans="1:9" x14ac:dyDescent="0.3">
      <c r="A1842" s="356"/>
      <c r="B1842" s="278"/>
      <c r="C1842" s="357"/>
      <c r="D1842" s="358"/>
      <c r="E1842" s="358"/>
      <c r="F1842" s="358"/>
      <c r="G1842" s="278"/>
      <c r="H1842" s="358"/>
      <c r="I1842" s="278"/>
    </row>
    <row r="1843" spans="1:9" x14ac:dyDescent="0.3">
      <c r="A1843" s="356"/>
      <c r="B1843" s="278"/>
      <c r="C1843" s="357"/>
      <c r="D1843" s="358"/>
      <c r="E1843" s="358"/>
      <c r="F1843" s="358"/>
      <c r="G1843" s="278"/>
      <c r="H1843" s="358"/>
      <c r="I1843" s="278"/>
    </row>
    <row r="1844" spans="1:9" x14ac:dyDescent="0.3">
      <c r="A1844" s="356"/>
      <c r="B1844" s="278"/>
      <c r="C1844" s="357"/>
      <c r="D1844" s="358"/>
      <c r="E1844" s="358"/>
      <c r="F1844" s="358"/>
      <c r="G1844" s="278"/>
      <c r="H1844" s="358"/>
      <c r="I1844" s="278"/>
    </row>
    <row r="1845" spans="1:9" x14ac:dyDescent="0.3">
      <c r="A1845" s="356"/>
      <c r="B1845" s="278"/>
      <c r="C1845" s="357"/>
      <c r="D1845" s="358"/>
      <c r="E1845" s="358"/>
      <c r="F1845" s="358"/>
      <c r="G1845" s="278"/>
      <c r="H1845" s="358"/>
      <c r="I1845" s="278"/>
    </row>
    <row r="1846" spans="1:9" x14ac:dyDescent="0.3">
      <c r="A1846" s="356"/>
      <c r="B1846" s="278"/>
      <c r="C1846" s="357"/>
      <c r="D1846" s="358"/>
      <c r="E1846" s="358"/>
      <c r="F1846" s="358"/>
      <c r="G1846" s="278"/>
      <c r="H1846" s="358"/>
      <c r="I1846" s="278"/>
    </row>
    <row r="1847" spans="1:9" x14ac:dyDescent="0.3">
      <c r="A1847" s="356"/>
      <c r="B1847" s="278"/>
      <c r="C1847" s="357"/>
      <c r="D1847" s="358"/>
      <c r="E1847" s="358"/>
      <c r="F1847" s="358"/>
      <c r="G1847" s="278"/>
      <c r="H1847" s="358"/>
      <c r="I1847" s="278"/>
    </row>
    <row r="1848" spans="1:9" x14ac:dyDescent="0.3">
      <c r="A1848" s="356"/>
      <c r="B1848" s="278"/>
      <c r="C1848" s="357"/>
      <c r="D1848" s="358"/>
      <c r="E1848" s="358"/>
      <c r="F1848" s="358"/>
      <c r="G1848" s="278"/>
      <c r="H1848" s="358"/>
      <c r="I1848" s="278"/>
    </row>
    <row r="1849" spans="1:9" x14ac:dyDescent="0.3">
      <c r="A1849" s="356"/>
      <c r="B1849" s="278"/>
      <c r="C1849" s="357"/>
      <c r="D1849" s="358"/>
      <c r="E1849" s="358"/>
      <c r="F1849" s="358"/>
      <c r="G1849" s="278"/>
      <c r="H1849" s="358"/>
      <c r="I1849" s="278"/>
    </row>
    <row r="1850" spans="1:9" x14ac:dyDescent="0.3">
      <c r="A1850" s="356"/>
      <c r="B1850" s="278"/>
      <c r="C1850" s="357"/>
      <c r="D1850" s="358"/>
      <c r="E1850" s="358"/>
      <c r="F1850" s="358"/>
      <c r="G1850" s="278"/>
      <c r="H1850" s="358"/>
      <c r="I1850" s="278"/>
    </row>
    <row r="1851" spans="1:9" x14ac:dyDescent="0.3">
      <c r="A1851" s="356"/>
      <c r="B1851" s="278"/>
      <c r="C1851" s="357"/>
      <c r="D1851" s="358"/>
      <c r="E1851" s="358"/>
      <c r="F1851" s="358"/>
      <c r="G1851" s="278"/>
      <c r="H1851" s="358"/>
      <c r="I1851" s="278"/>
    </row>
    <row r="1852" spans="1:9" x14ac:dyDescent="0.3">
      <c r="A1852" s="356"/>
      <c r="B1852" s="278"/>
      <c r="C1852" s="357"/>
      <c r="D1852" s="358"/>
      <c r="E1852" s="358"/>
      <c r="F1852" s="358"/>
      <c r="G1852" s="278"/>
      <c r="H1852" s="358"/>
      <c r="I1852" s="278"/>
    </row>
    <row r="1853" spans="1:9" x14ac:dyDescent="0.3">
      <c r="A1853" s="356"/>
      <c r="B1853" s="278"/>
      <c r="C1853" s="357"/>
      <c r="D1853" s="358"/>
      <c r="E1853" s="358"/>
      <c r="F1853" s="358"/>
      <c r="G1853" s="278"/>
      <c r="H1853" s="358"/>
      <c r="I1853" s="278"/>
    </row>
    <row r="1854" spans="1:9" x14ac:dyDescent="0.3">
      <c r="A1854" s="356"/>
      <c r="B1854" s="278"/>
      <c r="C1854" s="357"/>
      <c r="D1854" s="358"/>
      <c r="E1854" s="358"/>
      <c r="F1854" s="358"/>
      <c r="G1854" s="278"/>
      <c r="H1854" s="358"/>
      <c r="I1854" s="278"/>
    </row>
    <row r="1855" spans="1:9" x14ac:dyDescent="0.3">
      <c r="A1855" s="356"/>
      <c r="B1855" s="278"/>
      <c r="C1855" s="357"/>
      <c r="D1855" s="358"/>
      <c r="E1855" s="358"/>
      <c r="F1855" s="358"/>
      <c r="G1855" s="278"/>
      <c r="H1855" s="358"/>
      <c r="I1855" s="278"/>
    </row>
    <row r="1856" spans="1:9" x14ac:dyDescent="0.3">
      <c r="A1856" s="356"/>
      <c r="B1856" s="278"/>
      <c r="C1856" s="357"/>
      <c r="D1856" s="358"/>
      <c r="E1856" s="358"/>
      <c r="F1856" s="358"/>
      <c r="G1856" s="278"/>
      <c r="H1856" s="358"/>
      <c r="I1856" s="278"/>
    </row>
    <row r="1857" spans="1:9" x14ac:dyDescent="0.3">
      <c r="A1857" s="356"/>
      <c r="B1857" s="278"/>
      <c r="C1857" s="357"/>
      <c r="D1857" s="358"/>
      <c r="E1857" s="358"/>
      <c r="F1857" s="358"/>
      <c r="G1857" s="278"/>
      <c r="H1857" s="358"/>
      <c r="I1857" s="278"/>
    </row>
    <row r="1858" spans="1:9" x14ac:dyDescent="0.3">
      <c r="A1858" s="356"/>
      <c r="B1858" s="278"/>
      <c r="C1858" s="357"/>
      <c r="D1858" s="358"/>
      <c r="E1858" s="358"/>
      <c r="F1858" s="358"/>
      <c r="G1858" s="278"/>
      <c r="H1858" s="358"/>
      <c r="I1858" s="278"/>
    </row>
    <row r="1859" spans="1:9" x14ac:dyDescent="0.3">
      <c r="A1859" s="356"/>
      <c r="B1859" s="278"/>
      <c r="C1859" s="357"/>
      <c r="D1859" s="358"/>
      <c r="E1859" s="358"/>
      <c r="F1859" s="358"/>
      <c r="G1859" s="278"/>
      <c r="H1859" s="358"/>
      <c r="I1859" s="278"/>
    </row>
    <row r="1860" spans="1:9" x14ac:dyDescent="0.3">
      <c r="A1860" s="356"/>
      <c r="B1860" s="278"/>
      <c r="C1860" s="357"/>
      <c r="D1860" s="358"/>
      <c r="E1860" s="358"/>
      <c r="F1860" s="358"/>
      <c r="G1860" s="278"/>
      <c r="H1860" s="358"/>
      <c r="I1860" s="278"/>
    </row>
    <row r="1861" spans="1:9" x14ac:dyDescent="0.3">
      <c r="A1861" s="356"/>
      <c r="B1861" s="278"/>
      <c r="C1861" s="357"/>
      <c r="D1861" s="358"/>
      <c r="E1861" s="358"/>
      <c r="F1861" s="358"/>
      <c r="G1861" s="278"/>
      <c r="H1861" s="358"/>
      <c r="I1861" s="278"/>
    </row>
    <row r="1862" spans="1:9" x14ac:dyDescent="0.3">
      <c r="A1862" s="356"/>
      <c r="B1862" s="278"/>
      <c r="C1862" s="357"/>
      <c r="D1862" s="358"/>
      <c r="E1862" s="358"/>
      <c r="F1862" s="358"/>
      <c r="G1862" s="278"/>
      <c r="H1862" s="358"/>
      <c r="I1862" s="278"/>
    </row>
    <row r="1863" spans="1:9" x14ac:dyDescent="0.3">
      <c r="A1863" s="356"/>
      <c r="B1863" s="278"/>
      <c r="C1863" s="357"/>
      <c r="D1863" s="358"/>
      <c r="E1863" s="358"/>
      <c r="F1863" s="358"/>
      <c r="G1863" s="278"/>
      <c r="H1863" s="358"/>
      <c r="I1863" s="278"/>
    </row>
    <row r="1864" spans="1:9" x14ac:dyDescent="0.3">
      <c r="A1864" s="356"/>
      <c r="B1864" s="278"/>
      <c r="C1864" s="357"/>
      <c r="D1864" s="358"/>
      <c r="E1864" s="358"/>
      <c r="F1864" s="358"/>
      <c r="G1864" s="278"/>
      <c r="H1864" s="358"/>
      <c r="I1864" s="278"/>
    </row>
    <row r="1865" spans="1:9" x14ac:dyDescent="0.3">
      <c r="A1865" s="356"/>
      <c r="B1865" s="278"/>
      <c r="C1865" s="357"/>
      <c r="D1865" s="358"/>
      <c r="E1865" s="358"/>
      <c r="F1865" s="358"/>
      <c r="G1865" s="278"/>
      <c r="H1865" s="358"/>
      <c r="I1865" s="278"/>
    </row>
    <row r="1866" spans="1:9" x14ac:dyDescent="0.3">
      <c r="A1866" s="356"/>
      <c r="B1866" s="278"/>
      <c r="C1866" s="357"/>
      <c r="D1866" s="358"/>
      <c r="E1866" s="358"/>
      <c r="F1866" s="358"/>
      <c r="G1866" s="278"/>
      <c r="H1866" s="358"/>
      <c r="I1866" s="278"/>
    </row>
    <row r="1867" spans="1:9" x14ac:dyDescent="0.3">
      <c r="A1867" s="356"/>
      <c r="B1867" s="278"/>
      <c r="C1867" s="357"/>
      <c r="D1867" s="358"/>
      <c r="E1867" s="358"/>
      <c r="F1867" s="358"/>
      <c r="G1867" s="278"/>
      <c r="H1867" s="358"/>
      <c r="I1867" s="278"/>
    </row>
    <row r="1868" spans="1:9" x14ac:dyDescent="0.3">
      <c r="A1868" s="356"/>
      <c r="B1868" s="278"/>
      <c r="C1868" s="357"/>
      <c r="D1868" s="358"/>
      <c r="E1868" s="358"/>
      <c r="F1868" s="358"/>
      <c r="G1868" s="278"/>
      <c r="H1868" s="358"/>
      <c r="I1868" s="278"/>
    </row>
    <row r="1869" spans="1:9" x14ac:dyDescent="0.3">
      <c r="A1869" s="356"/>
      <c r="B1869" s="278"/>
      <c r="C1869" s="357"/>
      <c r="D1869" s="358"/>
      <c r="E1869" s="358"/>
      <c r="F1869" s="358"/>
      <c r="G1869" s="278"/>
      <c r="H1869" s="358"/>
      <c r="I1869" s="278"/>
    </row>
    <row r="1870" spans="1:9" x14ac:dyDescent="0.3">
      <c r="A1870" s="356"/>
      <c r="B1870" s="278"/>
      <c r="C1870" s="357"/>
      <c r="D1870" s="358"/>
      <c r="E1870" s="358"/>
      <c r="F1870" s="358"/>
      <c r="G1870" s="278"/>
      <c r="H1870" s="358"/>
      <c r="I1870" s="278"/>
    </row>
    <row r="1871" spans="1:9" x14ac:dyDescent="0.3">
      <c r="A1871" s="356"/>
      <c r="B1871" s="278"/>
      <c r="C1871" s="357"/>
      <c r="D1871" s="358"/>
      <c r="E1871" s="358"/>
      <c r="F1871" s="358"/>
      <c r="G1871" s="278"/>
      <c r="H1871" s="358"/>
      <c r="I1871" s="278"/>
    </row>
    <row r="1872" spans="1:9" x14ac:dyDescent="0.3">
      <c r="A1872" s="356"/>
      <c r="B1872" s="278"/>
      <c r="C1872" s="357"/>
      <c r="D1872" s="358"/>
      <c r="E1872" s="358"/>
      <c r="F1872" s="358"/>
      <c r="G1872" s="278"/>
      <c r="H1872" s="358"/>
      <c r="I1872" s="278"/>
    </row>
    <row r="1873" spans="1:9" x14ac:dyDescent="0.3">
      <c r="A1873" s="356"/>
      <c r="B1873" s="278"/>
      <c r="C1873" s="357"/>
      <c r="D1873" s="358"/>
      <c r="E1873" s="358"/>
      <c r="F1873" s="358"/>
      <c r="G1873" s="278"/>
      <c r="H1873" s="358"/>
      <c r="I1873" s="278"/>
    </row>
    <row r="1874" spans="1:9" x14ac:dyDescent="0.3">
      <c r="A1874" s="356"/>
      <c r="B1874" s="278"/>
      <c r="C1874" s="357"/>
      <c r="D1874" s="358"/>
      <c r="E1874" s="358"/>
      <c r="F1874" s="358"/>
      <c r="G1874" s="278"/>
      <c r="H1874" s="358"/>
      <c r="I1874" s="278"/>
    </row>
    <row r="1875" spans="1:9" x14ac:dyDescent="0.3">
      <c r="A1875" s="356"/>
      <c r="B1875" s="278"/>
      <c r="C1875" s="357"/>
      <c r="D1875" s="358"/>
      <c r="E1875" s="358"/>
      <c r="F1875" s="358"/>
      <c r="G1875" s="278"/>
      <c r="H1875" s="358"/>
      <c r="I1875" s="278"/>
    </row>
    <row r="1876" spans="1:9" x14ac:dyDescent="0.3">
      <c r="A1876" s="356"/>
      <c r="B1876" s="278"/>
      <c r="C1876" s="357"/>
      <c r="D1876" s="358"/>
      <c r="E1876" s="358"/>
      <c r="F1876" s="358"/>
      <c r="G1876" s="278"/>
      <c r="H1876" s="358"/>
      <c r="I1876" s="278"/>
    </row>
    <row r="1877" spans="1:9" x14ac:dyDescent="0.3">
      <c r="A1877" s="356"/>
      <c r="B1877" s="278"/>
      <c r="C1877" s="357"/>
      <c r="D1877" s="358"/>
      <c r="E1877" s="358"/>
      <c r="F1877" s="358"/>
      <c r="G1877" s="278"/>
      <c r="H1877" s="358"/>
      <c r="I1877" s="278"/>
    </row>
    <row r="1878" spans="1:9" x14ac:dyDescent="0.3">
      <c r="A1878" s="356"/>
      <c r="B1878" s="278"/>
      <c r="C1878" s="357"/>
      <c r="D1878" s="358"/>
      <c r="E1878" s="358"/>
      <c r="F1878" s="358"/>
      <c r="G1878" s="278"/>
      <c r="H1878" s="358"/>
      <c r="I1878" s="278"/>
    </row>
    <row r="1879" spans="1:9" x14ac:dyDescent="0.3">
      <c r="A1879" s="356"/>
      <c r="B1879" s="278"/>
      <c r="C1879" s="357"/>
      <c r="D1879" s="358"/>
      <c r="E1879" s="358"/>
      <c r="F1879" s="358"/>
      <c r="G1879" s="278"/>
      <c r="H1879" s="358"/>
      <c r="I1879" s="278"/>
    </row>
    <row r="1880" spans="1:9" x14ac:dyDescent="0.3">
      <c r="A1880" s="356"/>
      <c r="B1880" s="278"/>
      <c r="C1880" s="357"/>
      <c r="D1880" s="358"/>
      <c r="E1880" s="358"/>
      <c r="F1880" s="358"/>
      <c r="G1880" s="278"/>
      <c r="H1880" s="358"/>
      <c r="I1880" s="278"/>
    </row>
    <row r="1881" spans="1:9" x14ac:dyDescent="0.3">
      <c r="A1881" s="356"/>
      <c r="B1881" s="278"/>
      <c r="C1881" s="357"/>
      <c r="D1881" s="358"/>
      <c r="E1881" s="358"/>
      <c r="F1881" s="358"/>
      <c r="G1881" s="278"/>
      <c r="H1881" s="358"/>
      <c r="I1881" s="278"/>
    </row>
    <row r="1882" spans="1:9" x14ac:dyDescent="0.3">
      <c r="A1882" s="356"/>
      <c r="B1882" s="278"/>
      <c r="C1882" s="357"/>
      <c r="D1882" s="358"/>
      <c r="E1882" s="358"/>
      <c r="F1882" s="358"/>
      <c r="G1882" s="278"/>
      <c r="H1882" s="358"/>
      <c r="I1882" s="278"/>
    </row>
    <row r="1883" spans="1:9" x14ac:dyDescent="0.3">
      <c r="A1883" s="356"/>
      <c r="B1883" s="278"/>
      <c r="C1883" s="357"/>
      <c r="D1883" s="358"/>
      <c r="E1883" s="358"/>
      <c r="F1883" s="358"/>
      <c r="G1883" s="278"/>
      <c r="H1883" s="358"/>
      <c r="I1883" s="278"/>
    </row>
    <row r="1884" spans="1:9" x14ac:dyDescent="0.3">
      <c r="A1884" s="356"/>
      <c r="B1884" s="278"/>
      <c r="C1884" s="357"/>
      <c r="D1884" s="358"/>
      <c r="E1884" s="358"/>
      <c r="F1884" s="358"/>
      <c r="G1884" s="278"/>
      <c r="H1884" s="358"/>
      <c r="I1884" s="278"/>
    </row>
    <row r="1885" spans="1:9" x14ac:dyDescent="0.3">
      <c r="A1885" s="356"/>
      <c r="B1885" s="278"/>
      <c r="C1885" s="357"/>
      <c r="D1885" s="358"/>
      <c r="E1885" s="358"/>
      <c r="F1885" s="358"/>
      <c r="G1885" s="278"/>
      <c r="H1885" s="358"/>
      <c r="I1885" s="278"/>
    </row>
    <row r="1886" spans="1:9" x14ac:dyDescent="0.3">
      <c r="A1886" s="356"/>
      <c r="B1886" s="278"/>
      <c r="C1886" s="357"/>
      <c r="D1886" s="358"/>
      <c r="E1886" s="358"/>
      <c r="F1886" s="358"/>
      <c r="G1886" s="278"/>
      <c r="H1886" s="358"/>
      <c r="I1886" s="278"/>
    </row>
    <row r="1887" spans="1:9" x14ac:dyDescent="0.3">
      <c r="A1887" s="356"/>
      <c r="B1887" s="278"/>
      <c r="C1887" s="357"/>
      <c r="D1887" s="358"/>
      <c r="E1887" s="358"/>
      <c r="F1887" s="358"/>
      <c r="G1887" s="278"/>
      <c r="H1887" s="358"/>
      <c r="I1887" s="278"/>
    </row>
    <row r="1888" spans="1:9" x14ac:dyDescent="0.3">
      <c r="A1888" s="356"/>
      <c r="B1888" s="278"/>
      <c r="C1888" s="357"/>
      <c r="D1888" s="358"/>
      <c r="E1888" s="358"/>
      <c r="F1888" s="358"/>
      <c r="G1888" s="278"/>
      <c r="H1888" s="358"/>
      <c r="I1888" s="278"/>
    </row>
    <row r="1889" spans="1:9" x14ac:dyDescent="0.3">
      <c r="A1889" s="356"/>
      <c r="B1889" s="278"/>
      <c r="C1889" s="357"/>
      <c r="D1889" s="358"/>
      <c r="E1889" s="358"/>
      <c r="F1889" s="358"/>
      <c r="G1889" s="278"/>
      <c r="H1889" s="358"/>
      <c r="I1889" s="278"/>
    </row>
    <row r="1890" spans="1:9" x14ac:dyDescent="0.3">
      <c r="A1890" s="356"/>
      <c r="B1890" s="278"/>
      <c r="C1890" s="357"/>
      <c r="D1890" s="358"/>
      <c r="E1890" s="358"/>
      <c r="F1890" s="358"/>
      <c r="G1890" s="278"/>
      <c r="H1890" s="358"/>
      <c r="I1890" s="278"/>
    </row>
    <row r="1891" spans="1:9" x14ac:dyDescent="0.3">
      <c r="A1891" s="356"/>
      <c r="B1891" s="278"/>
      <c r="C1891" s="357"/>
      <c r="D1891" s="358"/>
      <c r="E1891" s="358"/>
      <c r="F1891" s="358"/>
      <c r="G1891" s="278"/>
      <c r="H1891" s="358"/>
      <c r="I1891" s="278"/>
    </row>
    <row r="1892" spans="1:9" x14ac:dyDescent="0.3">
      <c r="A1892" s="356"/>
      <c r="B1892" s="278"/>
      <c r="C1892" s="357"/>
      <c r="D1892" s="358"/>
      <c r="E1892" s="358"/>
      <c r="F1892" s="358"/>
      <c r="G1892" s="278"/>
      <c r="H1892" s="358"/>
      <c r="I1892" s="278"/>
    </row>
    <row r="1893" spans="1:9" x14ac:dyDescent="0.3">
      <c r="A1893" s="356"/>
      <c r="B1893" s="278"/>
      <c r="C1893" s="357"/>
      <c r="D1893" s="358"/>
      <c r="E1893" s="358"/>
      <c r="F1893" s="358"/>
      <c r="G1893" s="278"/>
      <c r="H1893" s="358"/>
      <c r="I1893" s="278"/>
    </row>
    <row r="1894" spans="1:9" x14ac:dyDescent="0.3">
      <c r="A1894" s="356"/>
      <c r="B1894" s="278"/>
      <c r="C1894" s="357"/>
      <c r="D1894" s="358"/>
      <c r="E1894" s="358"/>
      <c r="F1894" s="358"/>
      <c r="G1894" s="278"/>
      <c r="H1894" s="358"/>
      <c r="I1894" s="278"/>
    </row>
    <row r="1895" spans="1:9" x14ac:dyDescent="0.3">
      <c r="A1895" s="356"/>
      <c r="B1895" s="278"/>
      <c r="C1895" s="357"/>
      <c r="D1895" s="358"/>
      <c r="E1895" s="358"/>
      <c r="F1895" s="358"/>
      <c r="G1895" s="278"/>
      <c r="H1895" s="358"/>
      <c r="I1895" s="278"/>
    </row>
    <row r="1896" spans="1:9" x14ac:dyDescent="0.3">
      <c r="A1896" s="356"/>
      <c r="B1896" s="278"/>
      <c r="C1896" s="357"/>
      <c r="D1896" s="358"/>
      <c r="E1896" s="358"/>
      <c r="F1896" s="358"/>
      <c r="G1896" s="278"/>
      <c r="H1896" s="358"/>
      <c r="I1896" s="278"/>
    </row>
    <row r="1897" spans="1:9" x14ac:dyDescent="0.3">
      <c r="A1897" s="356"/>
      <c r="B1897" s="278"/>
      <c r="C1897" s="357"/>
      <c r="D1897" s="358"/>
      <c r="E1897" s="358"/>
      <c r="F1897" s="358"/>
      <c r="G1897" s="278"/>
      <c r="H1897" s="358"/>
      <c r="I1897" s="278"/>
    </row>
    <row r="1898" spans="1:9" x14ac:dyDescent="0.3">
      <c r="A1898" s="356"/>
      <c r="B1898" s="278"/>
      <c r="C1898" s="357"/>
      <c r="D1898" s="358"/>
      <c r="E1898" s="358"/>
      <c r="F1898" s="358"/>
      <c r="G1898" s="278"/>
      <c r="H1898" s="358"/>
      <c r="I1898" s="278"/>
    </row>
    <row r="1899" spans="1:9" x14ac:dyDescent="0.3">
      <c r="A1899" s="356"/>
      <c r="B1899" s="278"/>
      <c r="C1899" s="357"/>
      <c r="D1899" s="358"/>
      <c r="E1899" s="358"/>
      <c r="F1899" s="358"/>
      <c r="G1899" s="278"/>
      <c r="H1899" s="358"/>
      <c r="I1899" s="278"/>
    </row>
    <row r="1900" spans="1:9" x14ac:dyDescent="0.3">
      <c r="A1900" s="356"/>
      <c r="B1900" s="278"/>
      <c r="C1900" s="357"/>
      <c r="D1900" s="358"/>
      <c r="E1900" s="358"/>
      <c r="F1900" s="358"/>
      <c r="G1900" s="278"/>
      <c r="H1900" s="358"/>
      <c r="I1900" s="278"/>
    </row>
    <row r="1901" spans="1:9" x14ac:dyDescent="0.3">
      <c r="A1901" s="356"/>
      <c r="B1901" s="278"/>
      <c r="C1901" s="357"/>
      <c r="D1901" s="358"/>
      <c r="E1901" s="358"/>
      <c r="F1901" s="358"/>
      <c r="G1901" s="278"/>
      <c r="H1901" s="358"/>
      <c r="I1901" s="278"/>
    </row>
    <row r="1902" spans="1:9" x14ac:dyDescent="0.3">
      <c r="A1902" s="356"/>
      <c r="B1902" s="278"/>
      <c r="C1902" s="357"/>
      <c r="D1902" s="358"/>
      <c r="E1902" s="358"/>
      <c r="F1902" s="358"/>
      <c r="G1902" s="278"/>
      <c r="H1902" s="358"/>
      <c r="I1902" s="278"/>
    </row>
    <row r="1903" spans="1:9" x14ac:dyDescent="0.3">
      <c r="A1903" s="356"/>
      <c r="B1903" s="278"/>
      <c r="C1903" s="357"/>
      <c r="D1903" s="358"/>
      <c r="E1903" s="358"/>
      <c r="F1903" s="358"/>
      <c r="G1903" s="278"/>
      <c r="H1903" s="358"/>
      <c r="I1903" s="278"/>
    </row>
    <row r="1904" spans="1:9" x14ac:dyDescent="0.3">
      <c r="A1904" s="356"/>
      <c r="B1904" s="278"/>
      <c r="C1904" s="357"/>
      <c r="D1904" s="358"/>
      <c r="E1904" s="358"/>
      <c r="F1904" s="358"/>
      <c r="G1904" s="278"/>
      <c r="H1904" s="358"/>
      <c r="I1904" s="278"/>
    </row>
    <row r="1905" spans="1:9" x14ac:dyDescent="0.3">
      <c r="A1905" s="356"/>
      <c r="B1905" s="278"/>
      <c r="C1905" s="357"/>
      <c r="D1905" s="358"/>
      <c r="E1905" s="358"/>
      <c r="F1905" s="358"/>
      <c r="G1905" s="278"/>
      <c r="H1905" s="358"/>
      <c r="I1905" s="278"/>
    </row>
    <row r="1906" spans="1:9" x14ac:dyDescent="0.3">
      <c r="A1906" s="356"/>
      <c r="B1906" s="278"/>
      <c r="C1906" s="357"/>
      <c r="D1906" s="358"/>
      <c r="E1906" s="358"/>
      <c r="F1906" s="358"/>
      <c r="G1906" s="278"/>
      <c r="H1906" s="358"/>
      <c r="I1906" s="278"/>
    </row>
    <row r="1907" spans="1:9" x14ac:dyDescent="0.3">
      <c r="A1907" s="356"/>
      <c r="B1907" s="278"/>
      <c r="C1907" s="357"/>
      <c r="D1907" s="358"/>
      <c r="E1907" s="358"/>
      <c r="F1907" s="358"/>
      <c r="G1907" s="278"/>
      <c r="H1907" s="358"/>
      <c r="I1907" s="278"/>
    </row>
    <row r="1908" spans="1:9" x14ac:dyDescent="0.3">
      <c r="A1908" s="356"/>
      <c r="B1908" s="278"/>
      <c r="C1908" s="357"/>
      <c r="D1908" s="358"/>
      <c r="E1908" s="358"/>
      <c r="F1908" s="358"/>
      <c r="G1908" s="278"/>
      <c r="H1908" s="358"/>
      <c r="I1908" s="278"/>
    </row>
    <row r="1909" spans="1:9" x14ac:dyDescent="0.3">
      <c r="A1909" s="356"/>
      <c r="B1909" s="278"/>
      <c r="C1909" s="357"/>
      <c r="D1909" s="358"/>
      <c r="E1909" s="358"/>
      <c r="F1909" s="358"/>
      <c r="G1909" s="278"/>
      <c r="H1909" s="358"/>
      <c r="I1909" s="278"/>
    </row>
    <row r="1910" spans="1:9" x14ac:dyDescent="0.3">
      <c r="A1910" s="356"/>
      <c r="B1910" s="278"/>
      <c r="C1910" s="357"/>
      <c r="D1910" s="358"/>
      <c r="E1910" s="358"/>
      <c r="F1910" s="358"/>
      <c r="G1910" s="278"/>
      <c r="H1910" s="358"/>
      <c r="I1910" s="278"/>
    </row>
    <row r="1911" spans="1:9" x14ac:dyDescent="0.3">
      <c r="A1911" s="356"/>
      <c r="B1911" s="278"/>
      <c r="C1911" s="357"/>
      <c r="D1911" s="358"/>
      <c r="E1911" s="358"/>
      <c r="F1911" s="358"/>
      <c r="G1911" s="278"/>
      <c r="H1911" s="358"/>
      <c r="I1911" s="278"/>
    </row>
    <row r="1912" spans="1:9" x14ac:dyDescent="0.3">
      <c r="A1912" s="356"/>
      <c r="B1912" s="278"/>
      <c r="C1912" s="357"/>
      <c r="D1912" s="358"/>
      <c r="E1912" s="358"/>
      <c r="F1912" s="358"/>
      <c r="G1912" s="278"/>
      <c r="H1912" s="358"/>
      <c r="I1912" s="278"/>
    </row>
    <row r="1913" spans="1:9" x14ac:dyDescent="0.3">
      <c r="A1913" s="356"/>
      <c r="B1913" s="278"/>
      <c r="C1913" s="357"/>
      <c r="D1913" s="358"/>
      <c r="E1913" s="358"/>
      <c r="F1913" s="358"/>
      <c r="G1913" s="278"/>
      <c r="H1913" s="358"/>
      <c r="I1913" s="278"/>
    </row>
    <row r="1914" spans="1:9" x14ac:dyDescent="0.3">
      <c r="A1914" s="356"/>
      <c r="B1914" s="278"/>
      <c r="C1914" s="357"/>
      <c r="D1914" s="358"/>
      <c r="E1914" s="358"/>
      <c r="F1914" s="358"/>
      <c r="G1914" s="278"/>
      <c r="H1914" s="358"/>
      <c r="I1914" s="278"/>
    </row>
    <row r="1915" spans="1:9" x14ac:dyDescent="0.3">
      <c r="A1915" s="356"/>
      <c r="B1915" s="278"/>
      <c r="C1915" s="357"/>
      <c r="D1915" s="358"/>
      <c r="E1915" s="358"/>
      <c r="F1915" s="358"/>
      <c r="G1915" s="278"/>
      <c r="H1915" s="358"/>
      <c r="I1915" s="278"/>
    </row>
    <row r="1916" spans="1:9" x14ac:dyDescent="0.3">
      <c r="A1916" s="356"/>
      <c r="B1916" s="278"/>
      <c r="C1916" s="357"/>
      <c r="D1916" s="358"/>
      <c r="E1916" s="358"/>
      <c r="F1916" s="358"/>
      <c r="G1916" s="278"/>
      <c r="H1916" s="358"/>
      <c r="I1916" s="278"/>
    </row>
    <row r="1917" spans="1:9" x14ac:dyDescent="0.3">
      <c r="A1917" s="356"/>
      <c r="B1917" s="278"/>
      <c r="C1917" s="357"/>
      <c r="D1917" s="358"/>
      <c r="E1917" s="358"/>
      <c r="F1917" s="358"/>
      <c r="G1917" s="278"/>
      <c r="H1917" s="358"/>
      <c r="I1917" s="278"/>
    </row>
    <row r="1918" spans="1:9" x14ac:dyDescent="0.3">
      <c r="A1918" s="356"/>
      <c r="B1918" s="278"/>
      <c r="C1918" s="357"/>
      <c r="D1918" s="358"/>
      <c r="E1918" s="358"/>
      <c r="F1918" s="358"/>
      <c r="G1918" s="278"/>
      <c r="H1918" s="358"/>
      <c r="I1918" s="278"/>
    </row>
    <row r="1919" spans="1:9" x14ac:dyDescent="0.3">
      <c r="A1919" s="356"/>
      <c r="B1919" s="278"/>
      <c r="C1919" s="357"/>
      <c r="D1919" s="358"/>
      <c r="E1919" s="358"/>
      <c r="F1919" s="358"/>
      <c r="G1919" s="278"/>
      <c r="H1919" s="358"/>
      <c r="I1919" s="278"/>
    </row>
    <row r="1920" spans="1:9" x14ac:dyDescent="0.3">
      <c r="A1920" s="356"/>
      <c r="B1920" s="278"/>
      <c r="C1920" s="357"/>
      <c r="D1920" s="358"/>
      <c r="E1920" s="358"/>
      <c r="F1920" s="358"/>
      <c r="G1920" s="278"/>
      <c r="H1920" s="358"/>
      <c r="I1920" s="278"/>
    </row>
    <row r="1921" spans="1:9" x14ac:dyDescent="0.3">
      <c r="A1921" s="356"/>
      <c r="B1921" s="278"/>
      <c r="C1921" s="357"/>
      <c r="D1921" s="358"/>
      <c r="E1921" s="358"/>
      <c r="F1921" s="358"/>
      <c r="G1921" s="278"/>
      <c r="H1921" s="358"/>
      <c r="I1921" s="278"/>
    </row>
    <row r="1922" spans="1:9" x14ac:dyDescent="0.3">
      <c r="A1922" s="356"/>
      <c r="B1922" s="278"/>
      <c r="C1922" s="357"/>
      <c r="D1922" s="358"/>
      <c r="E1922" s="358"/>
      <c r="F1922" s="358"/>
      <c r="G1922" s="278"/>
      <c r="H1922" s="358"/>
      <c r="I1922" s="278"/>
    </row>
    <row r="1923" spans="1:9" x14ac:dyDescent="0.3">
      <c r="A1923" s="356"/>
      <c r="B1923" s="278"/>
      <c r="C1923" s="357"/>
      <c r="D1923" s="358"/>
      <c r="E1923" s="358"/>
      <c r="F1923" s="358"/>
      <c r="G1923" s="278"/>
      <c r="H1923" s="358"/>
      <c r="I1923" s="278"/>
    </row>
    <row r="1924" spans="1:9" x14ac:dyDescent="0.3">
      <c r="A1924" s="356"/>
      <c r="B1924" s="278"/>
      <c r="C1924" s="357"/>
      <c r="D1924" s="358"/>
      <c r="E1924" s="358"/>
      <c r="F1924" s="358"/>
      <c r="G1924" s="278"/>
      <c r="H1924" s="358"/>
      <c r="I1924" s="278"/>
    </row>
    <row r="1925" spans="1:9" x14ac:dyDescent="0.3">
      <c r="A1925" s="356"/>
      <c r="B1925" s="278"/>
      <c r="C1925" s="357"/>
      <c r="D1925" s="358"/>
      <c r="E1925" s="358"/>
      <c r="F1925" s="358"/>
      <c r="G1925" s="278"/>
      <c r="H1925" s="358"/>
      <c r="I1925" s="278"/>
    </row>
    <row r="1926" spans="1:9" x14ac:dyDescent="0.3">
      <c r="A1926" s="356"/>
      <c r="B1926" s="278"/>
      <c r="C1926" s="357"/>
      <c r="D1926" s="358"/>
      <c r="E1926" s="358"/>
      <c r="F1926" s="358"/>
      <c r="G1926" s="278"/>
      <c r="H1926" s="358"/>
      <c r="I1926" s="278"/>
    </row>
    <row r="1927" spans="1:9" x14ac:dyDescent="0.3">
      <c r="A1927" s="356"/>
      <c r="B1927" s="278"/>
      <c r="C1927" s="357"/>
      <c r="D1927" s="358"/>
      <c r="E1927" s="358"/>
      <c r="F1927" s="358"/>
      <c r="G1927" s="278"/>
      <c r="H1927" s="358"/>
      <c r="I1927" s="278"/>
    </row>
    <row r="1928" spans="1:9" x14ac:dyDescent="0.3">
      <c r="A1928" s="356"/>
      <c r="B1928" s="278"/>
      <c r="C1928" s="357"/>
      <c r="D1928" s="358"/>
      <c r="E1928" s="358"/>
      <c r="F1928" s="358"/>
      <c r="G1928" s="278"/>
      <c r="H1928" s="358"/>
      <c r="I1928" s="278"/>
    </row>
    <row r="1929" spans="1:9" x14ac:dyDescent="0.3">
      <c r="A1929" s="356"/>
      <c r="B1929" s="278"/>
      <c r="C1929" s="357"/>
      <c r="D1929" s="358"/>
      <c r="E1929" s="358"/>
      <c r="F1929" s="358"/>
      <c r="G1929" s="278"/>
      <c r="H1929" s="358"/>
      <c r="I1929" s="278"/>
    </row>
    <row r="1930" spans="1:9" x14ac:dyDescent="0.3">
      <c r="A1930" s="356"/>
      <c r="B1930" s="278"/>
      <c r="C1930" s="357"/>
      <c r="D1930" s="358"/>
      <c r="E1930" s="358"/>
      <c r="F1930" s="358"/>
      <c r="G1930" s="278"/>
      <c r="H1930" s="358"/>
      <c r="I1930" s="278"/>
    </row>
    <row r="1931" spans="1:9" x14ac:dyDescent="0.3">
      <c r="A1931" s="356"/>
      <c r="B1931" s="278"/>
      <c r="C1931" s="357"/>
      <c r="D1931" s="358"/>
      <c r="E1931" s="358"/>
      <c r="F1931" s="358"/>
      <c r="G1931" s="278"/>
      <c r="H1931" s="358"/>
      <c r="I1931" s="278"/>
    </row>
    <row r="1932" spans="1:9" x14ac:dyDescent="0.3">
      <c r="A1932" s="356"/>
      <c r="B1932" s="278"/>
      <c r="C1932" s="357"/>
      <c r="D1932" s="358"/>
      <c r="E1932" s="358"/>
      <c r="F1932" s="358"/>
      <c r="G1932" s="278"/>
      <c r="H1932" s="358"/>
      <c r="I1932" s="278"/>
    </row>
    <row r="1933" spans="1:9" x14ac:dyDescent="0.3">
      <c r="A1933" s="356"/>
      <c r="B1933" s="278"/>
      <c r="C1933" s="357"/>
      <c r="D1933" s="358"/>
      <c r="E1933" s="358"/>
      <c r="F1933" s="358"/>
      <c r="G1933" s="278"/>
      <c r="H1933" s="358"/>
      <c r="I1933" s="278"/>
    </row>
    <row r="1934" spans="1:9" x14ac:dyDescent="0.3">
      <c r="A1934" s="356"/>
      <c r="B1934" s="278"/>
      <c r="C1934" s="357"/>
      <c r="D1934" s="358"/>
      <c r="E1934" s="358"/>
      <c r="F1934" s="358"/>
      <c r="G1934" s="278"/>
      <c r="H1934" s="358"/>
      <c r="I1934" s="278"/>
    </row>
    <row r="1935" spans="1:9" x14ac:dyDescent="0.3">
      <c r="A1935" s="356"/>
      <c r="B1935" s="278"/>
      <c r="C1935" s="357"/>
      <c r="D1935" s="358"/>
      <c r="E1935" s="358"/>
      <c r="F1935" s="358"/>
      <c r="G1935" s="278"/>
      <c r="H1935" s="358"/>
      <c r="I1935" s="278"/>
    </row>
    <row r="1936" spans="1:9" x14ac:dyDescent="0.3">
      <c r="A1936" s="356"/>
      <c r="B1936" s="278"/>
      <c r="C1936" s="357"/>
      <c r="D1936" s="358"/>
      <c r="E1936" s="358"/>
      <c r="F1936" s="358"/>
      <c r="G1936" s="278"/>
      <c r="H1936" s="358"/>
      <c r="I1936" s="278"/>
    </row>
    <row r="1937" spans="1:9" x14ac:dyDescent="0.3">
      <c r="A1937" s="356"/>
      <c r="B1937" s="278"/>
      <c r="C1937" s="357"/>
      <c r="D1937" s="358"/>
      <c r="E1937" s="358"/>
      <c r="F1937" s="358"/>
      <c r="G1937" s="278"/>
      <c r="H1937" s="358"/>
      <c r="I1937" s="278"/>
    </row>
    <row r="1938" spans="1:9" x14ac:dyDescent="0.3">
      <c r="A1938" s="356"/>
      <c r="B1938" s="278"/>
      <c r="C1938" s="357"/>
      <c r="D1938" s="358"/>
      <c r="E1938" s="358"/>
      <c r="F1938" s="358"/>
      <c r="G1938" s="278"/>
      <c r="H1938" s="358"/>
      <c r="I1938" s="278"/>
    </row>
    <row r="1939" spans="1:9" x14ac:dyDescent="0.3">
      <c r="A1939" s="356"/>
      <c r="B1939" s="278"/>
      <c r="C1939" s="357"/>
      <c r="D1939" s="358"/>
      <c r="E1939" s="358"/>
      <c r="F1939" s="358"/>
      <c r="G1939" s="278"/>
      <c r="H1939" s="358"/>
      <c r="I1939" s="278"/>
    </row>
    <row r="1940" spans="1:9" x14ac:dyDescent="0.3">
      <c r="A1940" s="356"/>
      <c r="B1940" s="278"/>
      <c r="C1940" s="357"/>
      <c r="D1940" s="358"/>
      <c r="E1940" s="358"/>
      <c r="F1940" s="358"/>
      <c r="G1940" s="278"/>
      <c r="H1940" s="358"/>
      <c r="I1940" s="278"/>
    </row>
    <row r="1941" spans="1:9" x14ac:dyDescent="0.3">
      <c r="A1941" s="356"/>
      <c r="B1941" s="278"/>
      <c r="C1941" s="357"/>
      <c r="D1941" s="358"/>
      <c r="E1941" s="358"/>
      <c r="F1941" s="358"/>
      <c r="G1941" s="278"/>
      <c r="H1941" s="358"/>
      <c r="I1941" s="278"/>
    </row>
    <row r="1942" spans="1:9" x14ac:dyDescent="0.3">
      <c r="A1942" s="356"/>
      <c r="B1942" s="278"/>
      <c r="C1942" s="357"/>
      <c r="D1942" s="358"/>
      <c r="E1942" s="358"/>
      <c r="F1942" s="358"/>
      <c r="G1942" s="278"/>
      <c r="H1942" s="358"/>
      <c r="I1942" s="278"/>
    </row>
    <row r="1943" spans="1:9" x14ac:dyDescent="0.3">
      <c r="A1943" s="356"/>
      <c r="B1943" s="278"/>
      <c r="C1943" s="357"/>
      <c r="D1943" s="358"/>
      <c r="E1943" s="358"/>
      <c r="F1943" s="358"/>
      <c r="G1943" s="278"/>
      <c r="H1943" s="358"/>
      <c r="I1943" s="278"/>
    </row>
    <row r="1944" spans="1:9" x14ac:dyDescent="0.3">
      <c r="A1944" s="356"/>
      <c r="B1944" s="278"/>
      <c r="C1944" s="357"/>
      <c r="D1944" s="358"/>
      <c r="E1944" s="358"/>
      <c r="F1944" s="358"/>
      <c r="G1944" s="278"/>
      <c r="H1944" s="358"/>
      <c r="I1944" s="278"/>
    </row>
    <row r="1945" spans="1:9" x14ac:dyDescent="0.3">
      <c r="A1945" s="356"/>
      <c r="B1945" s="278"/>
      <c r="C1945" s="357"/>
      <c r="D1945" s="358"/>
      <c r="E1945" s="358"/>
      <c r="F1945" s="358"/>
      <c r="G1945" s="278"/>
      <c r="H1945" s="358"/>
      <c r="I1945" s="278"/>
    </row>
    <row r="1946" spans="1:9" x14ac:dyDescent="0.3">
      <c r="A1946" s="356"/>
      <c r="B1946" s="278"/>
      <c r="C1946" s="357"/>
      <c r="D1946" s="358"/>
      <c r="E1946" s="358"/>
      <c r="F1946" s="358"/>
      <c r="G1946" s="278"/>
      <c r="H1946" s="358"/>
      <c r="I1946" s="278"/>
    </row>
    <row r="1947" spans="1:9" x14ac:dyDescent="0.3">
      <c r="A1947" s="356"/>
      <c r="B1947" s="278"/>
      <c r="C1947" s="357"/>
      <c r="D1947" s="358"/>
      <c r="E1947" s="358"/>
      <c r="F1947" s="358"/>
      <c r="G1947" s="278"/>
      <c r="H1947" s="358"/>
      <c r="I1947" s="278"/>
    </row>
    <row r="1948" spans="1:9" x14ac:dyDescent="0.3">
      <c r="A1948" s="356"/>
      <c r="B1948" s="278"/>
      <c r="C1948" s="357"/>
      <c r="D1948" s="358"/>
      <c r="E1948" s="358"/>
      <c r="F1948" s="358"/>
      <c r="G1948" s="278"/>
      <c r="H1948" s="358"/>
      <c r="I1948" s="278"/>
    </row>
    <row r="1949" spans="1:9" x14ac:dyDescent="0.3">
      <c r="A1949" s="356"/>
      <c r="B1949" s="278"/>
      <c r="C1949" s="357"/>
      <c r="D1949" s="358"/>
      <c r="E1949" s="358"/>
      <c r="F1949" s="358"/>
      <c r="G1949" s="278"/>
      <c r="H1949" s="358"/>
      <c r="I1949" s="278"/>
    </row>
    <row r="1950" spans="1:9" x14ac:dyDescent="0.3">
      <c r="A1950" s="356"/>
      <c r="B1950" s="278"/>
      <c r="C1950" s="357"/>
      <c r="D1950" s="358"/>
      <c r="E1950" s="358"/>
      <c r="F1950" s="358"/>
      <c r="G1950" s="278"/>
      <c r="H1950" s="358"/>
      <c r="I1950" s="278"/>
    </row>
    <row r="1951" spans="1:9" x14ac:dyDescent="0.3">
      <c r="A1951" s="356"/>
      <c r="B1951" s="278"/>
      <c r="C1951" s="357"/>
      <c r="D1951" s="358"/>
      <c r="E1951" s="358"/>
      <c r="F1951" s="358"/>
      <c r="G1951" s="278"/>
      <c r="H1951" s="358"/>
      <c r="I1951" s="278"/>
    </row>
    <row r="1952" spans="1:9" x14ac:dyDescent="0.3">
      <c r="A1952" s="356"/>
      <c r="B1952" s="278"/>
      <c r="C1952" s="357"/>
      <c r="D1952" s="358"/>
      <c r="E1952" s="358"/>
      <c r="F1952" s="358"/>
      <c r="G1952" s="278"/>
      <c r="H1952" s="358"/>
      <c r="I1952" s="278"/>
    </row>
    <row r="1953" spans="1:9" x14ac:dyDescent="0.3">
      <c r="A1953" s="356"/>
      <c r="B1953" s="278"/>
      <c r="C1953" s="357"/>
      <c r="D1953" s="358"/>
      <c r="E1953" s="358"/>
      <c r="F1953" s="358"/>
      <c r="G1953" s="278"/>
      <c r="H1953" s="358"/>
      <c r="I1953" s="278"/>
    </row>
    <row r="1954" spans="1:9" x14ac:dyDescent="0.3">
      <c r="A1954" s="356"/>
      <c r="B1954" s="278"/>
      <c r="C1954" s="357"/>
      <c r="D1954" s="358"/>
      <c r="E1954" s="358"/>
      <c r="F1954" s="358"/>
      <c r="G1954" s="278"/>
      <c r="H1954" s="358"/>
      <c r="I1954" s="278"/>
    </row>
    <row r="1955" spans="1:9" x14ac:dyDescent="0.3">
      <c r="A1955" s="356"/>
      <c r="B1955" s="278"/>
      <c r="C1955" s="357"/>
      <c r="D1955" s="358"/>
      <c r="E1955" s="358"/>
      <c r="F1955" s="358"/>
      <c r="G1955" s="278"/>
      <c r="H1955" s="358"/>
      <c r="I1955" s="278"/>
    </row>
    <row r="1956" spans="1:9" x14ac:dyDescent="0.3">
      <c r="A1956" s="356"/>
      <c r="B1956" s="278"/>
      <c r="C1956" s="357"/>
      <c r="D1956" s="358"/>
      <c r="E1956" s="358"/>
      <c r="F1956" s="358"/>
      <c r="G1956" s="278"/>
      <c r="H1956" s="358"/>
      <c r="I1956" s="278"/>
    </row>
    <row r="1957" spans="1:9" x14ac:dyDescent="0.3">
      <c r="A1957" s="356"/>
      <c r="B1957" s="278"/>
      <c r="C1957" s="357"/>
      <c r="D1957" s="358"/>
      <c r="E1957" s="358"/>
      <c r="F1957" s="358"/>
      <c r="G1957" s="278"/>
      <c r="H1957" s="358"/>
      <c r="I1957" s="278"/>
    </row>
    <row r="1958" spans="1:9" x14ac:dyDescent="0.3">
      <c r="A1958" s="356"/>
      <c r="B1958" s="278"/>
      <c r="C1958" s="357"/>
      <c r="D1958" s="358"/>
      <c r="E1958" s="358"/>
      <c r="F1958" s="358"/>
      <c r="G1958" s="278"/>
      <c r="H1958" s="358"/>
      <c r="I1958" s="278"/>
    </row>
    <row r="1959" spans="1:9" x14ac:dyDescent="0.3">
      <c r="A1959" s="356"/>
      <c r="B1959" s="278"/>
      <c r="C1959" s="357"/>
      <c r="D1959" s="358"/>
      <c r="E1959" s="358"/>
      <c r="F1959" s="358"/>
      <c r="G1959" s="278"/>
      <c r="H1959" s="358"/>
      <c r="I1959" s="278"/>
    </row>
    <row r="1960" spans="1:9" x14ac:dyDescent="0.3">
      <c r="A1960" s="356"/>
      <c r="B1960" s="278"/>
      <c r="C1960" s="357"/>
      <c r="D1960" s="358"/>
      <c r="E1960" s="358"/>
      <c r="F1960" s="358"/>
      <c r="G1960" s="278"/>
      <c r="H1960" s="358"/>
      <c r="I1960" s="278"/>
    </row>
    <row r="1961" spans="1:9" x14ac:dyDescent="0.3">
      <c r="A1961" s="356"/>
      <c r="B1961" s="278"/>
      <c r="C1961" s="357"/>
      <c r="D1961" s="358"/>
      <c r="E1961" s="358"/>
      <c r="F1961" s="358"/>
      <c r="G1961" s="278"/>
      <c r="H1961" s="358"/>
      <c r="I1961" s="278"/>
    </row>
    <row r="1962" spans="1:9" x14ac:dyDescent="0.3">
      <c r="A1962" s="356"/>
      <c r="B1962" s="278"/>
      <c r="C1962" s="357"/>
      <c r="D1962" s="358"/>
      <c r="E1962" s="358"/>
      <c r="F1962" s="358"/>
      <c r="G1962" s="278"/>
      <c r="H1962" s="358"/>
      <c r="I1962" s="278"/>
    </row>
    <row r="1963" spans="1:9" x14ac:dyDescent="0.3">
      <c r="A1963" s="356"/>
      <c r="B1963" s="278"/>
      <c r="C1963" s="357"/>
      <c r="D1963" s="358"/>
      <c r="E1963" s="358"/>
      <c r="F1963" s="358"/>
      <c r="G1963" s="278"/>
      <c r="H1963" s="358"/>
      <c r="I1963" s="278"/>
    </row>
    <row r="1964" spans="1:9" x14ac:dyDescent="0.3">
      <c r="A1964" s="356"/>
      <c r="B1964" s="278"/>
      <c r="C1964" s="357"/>
      <c r="D1964" s="358"/>
      <c r="E1964" s="358"/>
      <c r="F1964" s="358"/>
      <c r="G1964" s="278"/>
      <c r="H1964" s="358"/>
      <c r="I1964" s="278"/>
    </row>
    <row r="1965" spans="1:9" x14ac:dyDescent="0.3">
      <c r="A1965" s="356"/>
      <c r="B1965" s="278"/>
      <c r="C1965" s="357"/>
      <c r="D1965" s="358"/>
      <c r="E1965" s="358"/>
      <c r="F1965" s="358"/>
      <c r="G1965" s="278"/>
      <c r="H1965" s="358"/>
      <c r="I1965" s="278"/>
    </row>
    <row r="1966" spans="1:9" x14ac:dyDescent="0.3">
      <c r="A1966" s="356"/>
      <c r="B1966" s="278"/>
      <c r="C1966" s="357"/>
      <c r="D1966" s="358"/>
      <c r="E1966" s="358"/>
      <c r="F1966" s="358"/>
      <c r="G1966" s="278"/>
      <c r="H1966" s="358"/>
      <c r="I1966" s="278"/>
    </row>
    <row r="1967" spans="1:9" x14ac:dyDescent="0.3">
      <c r="A1967" s="356"/>
      <c r="B1967" s="278"/>
      <c r="C1967" s="357"/>
      <c r="D1967" s="358"/>
      <c r="E1967" s="358"/>
      <c r="F1967" s="358"/>
      <c r="G1967" s="278"/>
      <c r="H1967" s="358"/>
      <c r="I1967" s="278"/>
    </row>
    <row r="1968" spans="1:9" x14ac:dyDescent="0.3">
      <c r="A1968" s="356"/>
      <c r="B1968" s="278"/>
      <c r="C1968" s="357"/>
      <c r="D1968" s="358"/>
      <c r="E1968" s="358"/>
      <c r="F1968" s="358"/>
      <c r="G1968" s="278"/>
      <c r="H1968" s="358"/>
      <c r="I1968" s="278"/>
    </row>
    <row r="1969" spans="1:9" x14ac:dyDescent="0.3">
      <c r="A1969" s="356"/>
      <c r="B1969" s="278"/>
      <c r="C1969" s="357"/>
      <c r="D1969" s="358"/>
      <c r="E1969" s="358"/>
      <c r="F1969" s="358"/>
      <c r="G1969" s="278"/>
      <c r="H1969" s="358"/>
      <c r="I1969" s="278"/>
    </row>
    <row r="1970" spans="1:9" x14ac:dyDescent="0.3">
      <c r="A1970" s="356"/>
      <c r="B1970" s="278"/>
      <c r="C1970" s="357"/>
      <c r="D1970" s="358"/>
      <c r="E1970" s="358"/>
      <c r="F1970" s="358"/>
      <c r="G1970" s="278"/>
      <c r="H1970" s="358"/>
      <c r="I1970" s="278"/>
    </row>
    <row r="1971" spans="1:9" x14ac:dyDescent="0.3">
      <c r="A1971" s="356"/>
      <c r="B1971" s="278"/>
      <c r="C1971" s="357"/>
      <c r="D1971" s="358"/>
      <c r="E1971" s="358"/>
      <c r="F1971" s="358"/>
      <c r="G1971" s="278"/>
      <c r="H1971" s="358"/>
      <c r="I1971" s="278"/>
    </row>
    <row r="1972" spans="1:9" x14ac:dyDescent="0.3">
      <c r="A1972" s="356"/>
      <c r="B1972" s="278"/>
      <c r="C1972" s="357"/>
      <c r="D1972" s="358"/>
      <c r="E1972" s="358"/>
      <c r="F1972" s="358"/>
      <c r="G1972" s="278"/>
      <c r="H1972" s="358"/>
      <c r="I1972" s="278"/>
    </row>
    <row r="1973" spans="1:9" x14ac:dyDescent="0.3">
      <c r="A1973" s="356"/>
      <c r="B1973" s="278"/>
      <c r="C1973" s="357"/>
      <c r="D1973" s="358"/>
      <c r="E1973" s="358"/>
      <c r="F1973" s="358"/>
      <c r="G1973" s="278"/>
      <c r="H1973" s="358"/>
      <c r="I1973" s="278"/>
    </row>
    <row r="1974" spans="1:9" x14ac:dyDescent="0.3">
      <c r="A1974" s="356"/>
      <c r="B1974" s="278"/>
      <c r="C1974" s="357"/>
      <c r="D1974" s="358"/>
      <c r="E1974" s="358"/>
      <c r="F1974" s="358"/>
      <c r="G1974" s="278"/>
      <c r="H1974" s="358"/>
      <c r="I1974" s="278"/>
    </row>
    <row r="1975" spans="1:9" x14ac:dyDescent="0.3">
      <c r="A1975" s="356"/>
      <c r="B1975" s="278"/>
      <c r="C1975" s="357"/>
      <c r="D1975" s="358"/>
      <c r="E1975" s="358"/>
      <c r="F1975" s="358"/>
      <c r="G1975" s="278"/>
      <c r="H1975" s="358"/>
      <c r="I1975" s="278"/>
    </row>
    <row r="1976" spans="1:9" x14ac:dyDescent="0.3">
      <c r="A1976" s="356"/>
      <c r="B1976" s="278"/>
      <c r="C1976" s="357"/>
      <c r="D1976" s="358"/>
      <c r="E1976" s="358"/>
      <c r="F1976" s="358"/>
      <c r="G1976" s="278"/>
      <c r="H1976" s="358"/>
      <c r="I1976" s="278"/>
    </row>
    <row r="1977" spans="1:9" x14ac:dyDescent="0.3">
      <c r="A1977" s="356"/>
      <c r="B1977" s="278"/>
      <c r="C1977" s="357"/>
      <c r="D1977" s="358"/>
      <c r="E1977" s="358"/>
      <c r="F1977" s="358"/>
      <c r="G1977" s="278"/>
      <c r="H1977" s="358"/>
      <c r="I1977" s="278"/>
    </row>
    <row r="1978" spans="1:9" x14ac:dyDescent="0.3">
      <c r="A1978" s="356"/>
      <c r="B1978" s="278"/>
      <c r="C1978" s="357"/>
      <c r="D1978" s="358"/>
      <c r="E1978" s="358"/>
      <c r="F1978" s="358"/>
      <c r="G1978" s="278"/>
      <c r="H1978" s="358"/>
      <c r="I1978" s="278"/>
    </row>
    <row r="1979" spans="1:9" x14ac:dyDescent="0.3">
      <c r="A1979" s="356"/>
      <c r="B1979" s="278"/>
      <c r="C1979" s="357"/>
      <c r="D1979" s="358"/>
      <c r="E1979" s="358"/>
      <c r="F1979" s="358"/>
      <c r="G1979" s="278"/>
      <c r="H1979" s="358"/>
      <c r="I1979" s="278"/>
    </row>
    <row r="1980" spans="1:9" x14ac:dyDescent="0.3">
      <c r="A1980" s="356"/>
      <c r="B1980" s="278"/>
      <c r="C1980" s="357"/>
      <c r="D1980" s="358"/>
      <c r="E1980" s="358"/>
      <c r="F1980" s="358"/>
      <c r="G1980" s="278"/>
      <c r="H1980" s="358"/>
      <c r="I1980" s="278"/>
    </row>
    <row r="1981" spans="1:9" x14ac:dyDescent="0.3">
      <c r="A1981" s="356"/>
      <c r="B1981" s="278"/>
      <c r="C1981" s="357"/>
      <c r="D1981" s="358"/>
      <c r="E1981" s="358"/>
      <c r="F1981" s="358"/>
      <c r="G1981" s="278"/>
      <c r="H1981" s="358"/>
      <c r="I1981" s="278"/>
    </row>
    <row r="1982" spans="1:9" x14ac:dyDescent="0.3">
      <c r="A1982" s="356"/>
      <c r="B1982" s="278"/>
      <c r="C1982" s="357"/>
      <c r="D1982" s="358"/>
      <c r="E1982" s="358"/>
      <c r="F1982" s="358"/>
      <c r="G1982" s="278"/>
      <c r="H1982" s="358"/>
      <c r="I1982" s="278"/>
    </row>
    <row r="1983" spans="1:9" x14ac:dyDescent="0.3">
      <c r="A1983" s="356"/>
      <c r="B1983" s="278"/>
      <c r="C1983" s="357"/>
      <c r="D1983" s="358"/>
      <c r="E1983" s="358"/>
      <c r="F1983" s="358"/>
      <c r="G1983" s="278"/>
      <c r="H1983" s="358"/>
      <c r="I1983" s="278"/>
    </row>
    <row r="1984" spans="1:9" x14ac:dyDescent="0.3">
      <c r="A1984" s="356"/>
      <c r="B1984" s="278"/>
      <c r="C1984" s="357"/>
      <c r="D1984" s="358"/>
      <c r="E1984" s="358"/>
      <c r="F1984" s="358"/>
      <c r="G1984" s="278"/>
      <c r="H1984" s="358"/>
      <c r="I1984" s="278"/>
    </row>
    <row r="1985" spans="1:9" x14ac:dyDescent="0.3">
      <c r="A1985" s="356"/>
      <c r="B1985" s="278"/>
      <c r="C1985" s="357"/>
      <c r="D1985" s="358"/>
      <c r="E1985" s="358"/>
      <c r="F1985" s="358"/>
      <c r="G1985" s="278"/>
      <c r="H1985" s="358"/>
      <c r="I1985" s="278"/>
    </row>
    <row r="1986" spans="1:9" x14ac:dyDescent="0.3">
      <c r="A1986" s="356"/>
      <c r="B1986" s="278"/>
      <c r="C1986" s="357"/>
      <c r="D1986" s="358"/>
      <c r="E1986" s="358"/>
      <c r="F1986" s="358"/>
      <c r="G1986" s="278"/>
      <c r="H1986" s="358"/>
      <c r="I1986" s="278"/>
    </row>
    <row r="1987" spans="1:9" x14ac:dyDescent="0.3">
      <c r="A1987" s="356"/>
      <c r="B1987" s="278"/>
      <c r="C1987" s="357"/>
      <c r="D1987" s="358"/>
      <c r="E1987" s="358"/>
      <c r="F1987" s="358"/>
      <c r="G1987" s="278"/>
      <c r="H1987" s="358"/>
      <c r="I1987" s="278"/>
    </row>
    <row r="1988" spans="1:9" x14ac:dyDescent="0.3">
      <c r="A1988" s="356"/>
      <c r="B1988" s="278"/>
      <c r="C1988" s="357"/>
      <c r="D1988" s="358"/>
      <c r="E1988" s="358"/>
      <c r="F1988" s="358"/>
      <c r="G1988" s="278"/>
      <c r="H1988" s="358"/>
      <c r="I1988" s="278"/>
    </row>
    <row r="1989" spans="1:9" x14ac:dyDescent="0.3">
      <c r="A1989" s="356"/>
      <c r="B1989" s="278"/>
      <c r="C1989" s="357"/>
      <c r="D1989" s="358"/>
      <c r="E1989" s="358"/>
      <c r="F1989" s="358"/>
      <c r="G1989" s="278"/>
      <c r="H1989" s="358"/>
      <c r="I1989" s="278"/>
    </row>
    <row r="1990" spans="1:9" x14ac:dyDescent="0.3">
      <c r="A1990" s="356"/>
      <c r="B1990" s="278"/>
      <c r="C1990" s="357"/>
      <c r="D1990" s="358"/>
      <c r="E1990" s="358"/>
      <c r="F1990" s="358"/>
      <c r="G1990" s="278"/>
      <c r="H1990" s="358"/>
      <c r="I1990" s="278"/>
    </row>
    <row r="1991" spans="1:9" x14ac:dyDescent="0.3">
      <c r="A1991" s="356"/>
      <c r="B1991" s="278"/>
      <c r="C1991" s="357"/>
      <c r="D1991" s="358"/>
      <c r="E1991" s="358"/>
      <c r="F1991" s="358"/>
      <c r="G1991" s="278"/>
      <c r="H1991" s="358"/>
      <c r="I1991" s="278"/>
    </row>
    <row r="1992" spans="1:9" x14ac:dyDescent="0.3">
      <c r="A1992" s="356"/>
      <c r="B1992" s="278"/>
      <c r="C1992" s="357"/>
      <c r="D1992" s="358"/>
      <c r="E1992" s="358"/>
      <c r="F1992" s="358"/>
      <c r="G1992" s="278"/>
      <c r="H1992" s="358"/>
      <c r="I1992" s="278"/>
    </row>
    <row r="1993" spans="1:9" x14ac:dyDescent="0.3">
      <c r="A1993" s="356"/>
      <c r="B1993" s="278"/>
      <c r="C1993" s="357"/>
      <c r="D1993" s="358"/>
      <c r="E1993" s="358"/>
      <c r="F1993" s="358"/>
      <c r="G1993" s="278"/>
      <c r="H1993" s="358"/>
      <c r="I1993" s="278"/>
    </row>
    <row r="1994" spans="1:9" x14ac:dyDescent="0.3">
      <c r="A1994" s="356"/>
      <c r="B1994" s="278"/>
      <c r="C1994" s="357"/>
      <c r="D1994" s="358"/>
      <c r="E1994" s="358"/>
      <c r="F1994" s="358"/>
      <c r="G1994" s="278"/>
      <c r="H1994" s="358"/>
      <c r="I1994" s="278"/>
    </row>
    <row r="1995" spans="1:9" x14ac:dyDescent="0.3">
      <c r="A1995" s="356"/>
      <c r="B1995" s="278"/>
      <c r="C1995" s="357"/>
      <c r="D1995" s="358"/>
      <c r="E1995" s="358"/>
      <c r="F1995" s="358"/>
      <c r="G1995" s="278"/>
      <c r="H1995" s="358"/>
      <c r="I1995" s="278"/>
    </row>
    <row r="1996" spans="1:9" x14ac:dyDescent="0.3">
      <c r="A1996" s="356"/>
      <c r="B1996" s="278"/>
      <c r="C1996" s="357"/>
      <c r="D1996" s="358"/>
      <c r="E1996" s="358"/>
      <c r="F1996" s="358"/>
      <c r="G1996" s="278"/>
      <c r="H1996" s="358"/>
      <c r="I1996" s="278"/>
    </row>
    <row r="1997" spans="1:9" x14ac:dyDescent="0.3">
      <c r="A1997" s="356"/>
      <c r="B1997" s="278"/>
      <c r="C1997" s="357"/>
      <c r="D1997" s="358"/>
      <c r="E1997" s="358"/>
      <c r="F1997" s="358"/>
      <c r="G1997" s="278"/>
      <c r="H1997" s="358"/>
      <c r="I1997" s="278"/>
    </row>
    <row r="1998" spans="1:9" x14ac:dyDescent="0.3">
      <c r="A1998" s="356"/>
      <c r="B1998" s="278"/>
      <c r="C1998" s="357"/>
      <c r="D1998" s="358"/>
      <c r="E1998" s="358"/>
      <c r="F1998" s="358"/>
      <c r="G1998" s="278"/>
      <c r="H1998" s="358"/>
      <c r="I1998" s="278"/>
    </row>
    <row r="1999" spans="1:9" x14ac:dyDescent="0.3">
      <c r="A1999" s="356"/>
      <c r="B1999" s="278"/>
      <c r="C1999" s="357"/>
      <c r="D1999" s="358"/>
      <c r="E1999" s="358"/>
      <c r="F1999" s="358"/>
      <c r="G1999" s="278"/>
      <c r="H1999" s="358"/>
      <c r="I1999" s="278"/>
    </row>
    <row r="2000" spans="1:9" x14ac:dyDescent="0.3">
      <c r="A2000" s="356"/>
      <c r="B2000" s="278"/>
      <c r="C2000" s="357"/>
      <c r="D2000" s="358"/>
      <c r="E2000" s="358"/>
      <c r="F2000" s="358"/>
      <c r="G2000" s="278"/>
      <c r="H2000" s="358"/>
      <c r="I2000" s="278"/>
    </row>
  </sheetData>
  <sheetProtection algorithmName="SHA-512" hashValue="8afe7yiOIQV6ZH3XUH7bkNLMIpAckUWX8JSirYF9fiIl9O1GerEowPLfEDUQ/k0fqDFgguviDz44ZP2mbDcuOA==" saltValue="exPhTrcTfz3xcnmBFlVHqg==" spinCount="100000" sheet="1" objects="1" scenarios="1" sort="0" autoFilter="0"/>
  <mergeCells count="1">
    <mergeCell ref="A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B126-4912-44EE-92CD-64C3C766C478}">
  <dimension ref="A1:AM109"/>
  <sheetViews>
    <sheetView workbookViewId="0">
      <pane ySplit="9" topLeftCell="A10" activePane="bottomLeft" state="frozen"/>
      <selection pane="bottomLeft"/>
    </sheetView>
  </sheetViews>
  <sheetFormatPr defaultRowHeight="14.4" x14ac:dyDescent="0.3"/>
  <cols>
    <col min="1" max="1" width="15.77734375" customWidth="1"/>
    <col min="2" max="3" width="16.33203125" customWidth="1"/>
    <col min="4" max="5" width="20.33203125" customWidth="1"/>
    <col min="6" max="7" width="16.33203125" customWidth="1"/>
    <col min="8" max="8" width="17.5546875" customWidth="1"/>
    <col min="9" max="9" width="16.33203125" customWidth="1"/>
    <col min="10" max="10" width="22.21875" customWidth="1"/>
    <col min="11" max="11" width="16.33203125" customWidth="1"/>
    <col min="12" max="12" width="30.5546875" customWidth="1"/>
    <col min="13" max="13" width="9.21875" customWidth="1"/>
    <col min="14" max="17" width="16.33203125" customWidth="1"/>
    <col min="19" max="20" width="13" customWidth="1"/>
    <col min="22" max="23" width="13" customWidth="1"/>
    <col min="25" max="26" width="13" customWidth="1"/>
    <col min="28" max="30" width="13" customWidth="1"/>
    <col min="32" max="33" width="13" customWidth="1"/>
    <col min="35" max="36" width="13" customWidth="1"/>
    <col min="38" max="39" width="13" customWidth="1"/>
  </cols>
  <sheetData>
    <row r="1" spans="1:39" ht="21" x14ac:dyDescent="0.4">
      <c r="A1" s="14" t="s">
        <v>232</v>
      </c>
    </row>
    <row r="2" spans="1:39" x14ac:dyDescent="0.3">
      <c r="A2" s="2" t="s">
        <v>233</v>
      </c>
    </row>
    <row r="3" spans="1:39" x14ac:dyDescent="0.3">
      <c r="A3" s="32" t="s">
        <v>234</v>
      </c>
      <c r="B3" s="33" t="str">
        <f>Settings!$C$14</f>
        <v>CRDB</v>
      </c>
      <c r="C3" t="str">
        <f>IFERROR(INDEX(Symbols!$B$4:$B$43,MATCH($B$3,Symbols!$A$4:$A$43,0)),"— not in Symbols master —")</f>
        <v>CRDB Bank PLC</v>
      </c>
      <c r="D3" t="str">
        <f>"Observations: "&amp;COUNTIF('Daily Data'!$B$4:$B$503,$B$3)</f>
        <v>Observations: 5</v>
      </c>
    </row>
    <row r="5" spans="1:39" ht="43.2" x14ac:dyDescent="0.3">
      <c r="A5" s="78" t="s">
        <v>235</v>
      </c>
      <c r="B5" s="79" t="s">
        <v>236</v>
      </c>
      <c r="C5" s="79" t="s">
        <v>237</v>
      </c>
      <c r="D5" s="79" t="s">
        <v>238</v>
      </c>
      <c r="E5" s="79" t="s">
        <v>239</v>
      </c>
      <c r="F5" s="79" t="s">
        <v>240</v>
      </c>
      <c r="G5" s="79" t="s">
        <v>174</v>
      </c>
      <c r="H5" s="79" t="s">
        <v>241</v>
      </c>
      <c r="I5" s="80" t="s">
        <v>178</v>
      </c>
    </row>
    <row r="6" spans="1:39" ht="17.399999999999999" x14ac:dyDescent="0.35">
      <c r="A6" s="81">
        <f>IF($B$3="","",$B$109)</f>
        <v>2700</v>
      </c>
      <c r="B6" s="82" t="str">
        <f>IF($B$3="","",$N$109)</f>
        <v/>
      </c>
      <c r="C6" s="82" t="str">
        <f>IF($B$3="","",$O$109)</f>
        <v/>
      </c>
      <c r="D6" s="83">
        <f>IF($B$3="","",$F$109)</f>
        <v>4.8377019800970382</v>
      </c>
      <c r="E6" s="83" t="str">
        <f>IF($B$3="","",$P$109)</f>
        <v/>
      </c>
      <c r="F6" s="82" t="str">
        <f>IF($B$3="","",$G$109)</f>
        <v/>
      </c>
      <c r="G6" s="83" t="str">
        <f>IF($B$3="","",$I$109)</f>
        <v/>
      </c>
      <c r="H6" s="84">
        <f>IF($B$3="","",$K$109)</f>
        <v>70.599999999999994</v>
      </c>
      <c r="I6" s="85">
        <f>IF($B$3="","",$Q$109)</f>
        <v>92.7</v>
      </c>
    </row>
    <row r="8" spans="1:39" x14ac:dyDescent="0.3">
      <c r="A8" s="86" t="s">
        <v>242</v>
      </c>
      <c r="S8" s="119" t="s">
        <v>245</v>
      </c>
    </row>
    <row r="9" spans="1:39" ht="42" customHeight="1" x14ac:dyDescent="0.3">
      <c r="A9" s="21" t="s">
        <v>147</v>
      </c>
      <c r="B9" s="21" t="s">
        <v>150</v>
      </c>
      <c r="C9" s="21" t="s">
        <v>153</v>
      </c>
      <c r="D9" s="21" t="s">
        <v>157</v>
      </c>
      <c r="E9" s="21" t="s">
        <v>158</v>
      </c>
      <c r="F9" s="21" t="s">
        <v>164</v>
      </c>
      <c r="G9" s="21" t="s">
        <v>172</v>
      </c>
      <c r="H9" s="21" t="s">
        <v>156</v>
      </c>
      <c r="I9" s="21" t="s">
        <v>174</v>
      </c>
      <c r="J9" s="21" t="s">
        <v>154</v>
      </c>
      <c r="K9" s="21" t="s">
        <v>241</v>
      </c>
      <c r="L9" s="21" t="s">
        <v>181</v>
      </c>
      <c r="M9" s="21" t="s">
        <v>243</v>
      </c>
      <c r="N9" s="21" t="s">
        <v>236</v>
      </c>
      <c r="O9" s="21" t="s">
        <v>237</v>
      </c>
      <c r="P9" s="21" t="s">
        <v>239</v>
      </c>
      <c r="Q9" s="21" t="s">
        <v>244</v>
      </c>
      <c r="S9" s="114" t="s">
        <v>147</v>
      </c>
      <c r="T9" s="114" t="s">
        <v>150</v>
      </c>
      <c r="V9" s="118" t="s">
        <v>147</v>
      </c>
      <c r="W9" s="118" t="s">
        <v>156</v>
      </c>
      <c r="Y9" s="118" t="s">
        <v>147</v>
      </c>
      <c r="Z9" s="118" t="s">
        <v>154</v>
      </c>
      <c r="AB9" s="118" t="s">
        <v>147</v>
      </c>
      <c r="AC9" s="118" t="s">
        <v>157</v>
      </c>
      <c r="AD9" s="118" t="s">
        <v>158</v>
      </c>
      <c r="AF9" s="118" t="s">
        <v>147</v>
      </c>
      <c r="AG9" s="118" t="s">
        <v>164</v>
      </c>
      <c r="AI9" s="118" t="s">
        <v>147</v>
      </c>
      <c r="AJ9" s="118" t="s">
        <v>179</v>
      </c>
      <c r="AL9" s="118" t="s">
        <v>147</v>
      </c>
      <c r="AM9" s="118" t="s">
        <v>172</v>
      </c>
    </row>
    <row r="10" spans="1:39" x14ac:dyDescent="0.3">
      <c r="A10" s="88" t="str">
        <f>IF($M10="","",SUMIFS('Daily Data'!$A$4:$A$503,'Daily Data'!$B$4:$B$503,$B$3,'Daily Data'!$AK$4:$AK$503,$M10))</f>
        <v/>
      </c>
      <c r="B10" s="89" t="str">
        <f>IF($M10="","",SUMIFS('Daily Data'!$E$4:$E$503,'Daily Data'!$B$4:$B$503,$B$3,'Daily Data'!$AK$4:$AK$503,$M10))</f>
        <v/>
      </c>
      <c r="C10" s="90" t="str">
        <f>IF($M10="","",SUMIFS('Daily Data'!$H$4:$H$503,'Daily Data'!$B$4:$B$503,$B$3,'Daily Data'!$AK$4:$AK$503,$M10))</f>
        <v/>
      </c>
      <c r="D10" s="91" t="str">
        <f>IF($M10="","",SUMIFS('Daily Data'!$L$4:$L$503,'Daily Data'!$B$4:$B$503,$B$3,'Daily Data'!$AK$4:$AK$503,$M10))</f>
        <v/>
      </c>
      <c r="E10" s="91" t="str">
        <f>IF($M10="","",SUMIFS('Daily Data'!$M$4:$M$503,'Daily Data'!$B$4:$B$503,$B$3,'Daily Data'!$AK$4:$AK$503,$M10))</f>
        <v/>
      </c>
      <c r="F10" s="92" t="str">
        <f>IF($M10="","",SUMIFS('Daily Data'!$S$4:$S$503,'Daily Data'!$B$4:$B$503,$B$3,'Daily Data'!$AK$4:$AK$503,$M10))</f>
        <v/>
      </c>
      <c r="G10" s="90" t="str">
        <f>IF($M10="","",IF(COUNTIFS('Daily Data'!$B$4:$B$503,$B$3,'Daily Data'!$AK$4:$AK$503,$M10,'Daily Data'!$AA$4:$AA$503,"&gt;=-1E+300")=0,"",SUMIFS('Daily Data'!$AA$4:$AA$503,'Daily Data'!$B$4:$B$503,$B$3,'Daily Data'!$AK$4:$AK$503,$M10)))</f>
        <v/>
      </c>
      <c r="H10" s="91" t="str">
        <f>IF($M10="","",SUMIFS('Daily Data'!$K$4:$K$503,'Daily Data'!$B$4:$B$503,$B$3,'Daily Data'!$AK$4:$AK$503,$M10))</f>
        <v/>
      </c>
      <c r="I10" s="92" t="str">
        <f>IF($M10="","",IF(COUNTIFS('Daily Data'!$B$4:$B$503,$B$3,'Daily Data'!$AK$4:$AK$503,$M10,'Daily Data'!$AC$4:$AC$503,"&gt;=-1E+300")=0,"",SUMIFS('Daily Data'!$AC$4:$AC$503,'Daily Data'!$B$4:$B$503,$B$3,'Daily Data'!$AK$4:$AK$503,$M10)))</f>
        <v/>
      </c>
      <c r="J10" s="91" t="str">
        <f>IF($M10="","",SUMIFS('Daily Data'!$I$4:$I$503,'Daily Data'!$B$4:$B$503,$B$3,'Daily Data'!$AK$4:$AK$503,$M10))</f>
        <v/>
      </c>
      <c r="K10" s="93" t="str">
        <f>IF($M10="","",SUMIFS('Daily Data'!$AH$4:$AH$503,'Daily Data'!$B$4:$B$503,$B$3,'Daily Data'!$AK$4:$AK$503,$M10))</f>
        <v/>
      </c>
      <c r="L10" s="94" t="str">
        <f>IF($K10="","",IF($K10&lt;Settings!$C$46,"Extreme Sell Pressure",IF($K10&lt;Settings!$C$47,"Sell Pressure",IF($K10&lt;=Settings!$C$48,"Neutral",IF($K10&lt;=Settings!$C$49,"Buy Pressure","Extreme Buy Pressure")))))</f>
        <v/>
      </c>
      <c r="M10" s="111" t="str">
        <f>IF(COUNTIF('Daily Data'!$B$4:$B$503,$B$3)-100+ROW()-9&lt;1,"",COUNTIF('Daily Data'!$B$4:$B$503,$B$3)-100+ROW()-9)</f>
        <v/>
      </c>
      <c r="N10" s="90" t="str">
        <f>IF($M10="","",IF(COUNTIFS('Daily Data'!$B$4:$B$503,$B$3,'Daily Data'!$AK$4:$AK$503,$M10,'Daily Data'!$AD$4:$AD$503,"&gt;=-1E+300")=0,"",SUMIFS('Daily Data'!$AD$4:$AD$503,'Daily Data'!$B$4:$B$503,$B$3,'Daily Data'!$AK$4:$AK$503,$M10)))</f>
        <v/>
      </c>
      <c r="O10" s="90" t="str">
        <f>IF($M10="","",IF(COUNTIFS('Daily Data'!$B$4:$B$503,$B$3,'Daily Data'!$AK$4:$AK$503,$M10,'Daily Data'!$AE$4:$AE$503,"&gt;=-1E+300")=0,"",SUMIFS('Daily Data'!$AE$4:$AE$503,'Daily Data'!$B$4:$B$503,$B$3,'Daily Data'!$AK$4:$AK$503,$M10)))</f>
        <v/>
      </c>
      <c r="P10" s="92" t="str">
        <f>IF($M10="","",IF(COUNTIFS('Daily Data'!$B$4:$B$503,$B$3,'Daily Data'!$AK$4:$AK$503,$M10,'Daily Data'!$Z$4:$Z$503,"&gt;=-1E+300")=0,"",SUMIFS('Daily Data'!$Z$4:$Z$503,'Daily Data'!$B$4:$B$503,$B$3,'Daily Data'!$AK$4:$AK$503,$M10)))</f>
        <v/>
      </c>
      <c r="Q10" s="93" t="str">
        <f>IF($M10="","",SUMIFS('Daily Data'!$AG$4:$AG$503,'Daily Data'!$B$4:$B$503,$B$3,'Daily Data'!$AK$4:$AK$503,$M10))</f>
        <v/>
      </c>
      <c r="S10" s="117" t="e">
        <f>IF($A10="",NA(),$A10)</f>
        <v>#N/A</v>
      </c>
      <c r="T10" s="116" t="e">
        <f>IF($A10="",NA(),$B10)</f>
        <v>#N/A</v>
      </c>
      <c r="V10" s="117" t="e">
        <f>IF($A10="",NA(),$A10)</f>
        <v>#N/A</v>
      </c>
      <c r="W10" s="116" t="e">
        <f>IF($A10="",NA(),$H10)</f>
        <v>#N/A</v>
      </c>
      <c r="Y10" s="117" t="e">
        <f>IF($A10="",NA(),$A10)</f>
        <v>#N/A</v>
      </c>
      <c r="Z10" s="116" t="e">
        <f>IF($A10="",NA(),$J10)</f>
        <v>#N/A</v>
      </c>
      <c r="AB10" s="117" t="e">
        <f>IF($A10="",NA(),$A10)</f>
        <v>#N/A</v>
      </c>
      <c r="AC10" s="116" t="e">
        <f>IF($A10="",NA(),$D10)</f>
        <v>#N/A</v>
      </c>
      <c r="AD10" s="116" t="e">
        <f>IF($A10="",NA(),$E10)</f>
        <v>#N/A</v>
      </c>
      <c r="AF10" s="117" t="e">
        <f>IF($A10="",NA(),$A10)</f>
        <v>#N/A</v>
      </c>
      <c r="AG10" s="116" t="e">
        <f>IF($A10="",NA(),$F10)</f>
        <v>#N/A</v>
      </c>
      <c r="AI10" s="117" t="e">
        <f>IF($A10="",NA(),$A10)</f>
        <v>#N/A</v>
      </c>
      <c r="AJ10" s="116" t="e">
        <f>IF($A10="",NA(),$K10)</f>
        <v>#N/A</v>
      </c>
      <c r="AL10" s="117" t="e">
        <f>IF($A10="",NA(),$A10)</f>
        <v>#N/A</v>
      </c>
      <c r="AM10" s="116" t="e">
        <f>IF($A10="",NA(),$G10)</f>
        <v>#N/A</v>
      </c>
    </row>
    <row r="11" spans="1:39" x14ac:dyDescent="0.3">
      <c r="A11" s="95" t="str">
        <f>IF($M11="","",SUMIFS('Daily Data'!$A$4:$A$503,'Daily Data'!$B$4:$B$503,$B$3,'Daily Data'!$AK$4:$AK$503,$M11))</f>
        <v/>
      </c>
      <c r="B11" s="96" t="str">
        <f>IF($M11="","",SUMIFS('Daily Data'!$E$4:$E$503,'Daily Data'!$B$4:$B$503,$B$3,'Daily Data'!$AK$4:$AK$503,$M11))</f>
        <v/>
      </c>
      <c r="C11" s="97" t="str">
        <f>IF($M11="","",SUMIFS('Daily Data'!$H$4:$H$503,'Daily Data'!$B$4:$B$503,$B$3,'Daily Data'!$AK$4:$AK$503,$M11))</f>
        <v/>
      </c>
      <c r="D11" s="98" t="str">
        <f>IF($M11="","",SUMIFS('Daily Data'!$L$4:$L$503,'Daily Data'!$B$4:$B$503,$B$3,'Daily Data'!$AK$4:$AK$503,$M11))</f>
        <v/>
      </c>
      <c r="E11" s="98" t="str">
        <f>IF($M11="","",SUMIFS('Daily Data'!$M$4:$M$503,'Daily Data'!$B$4:$B$503,$B$3,'Daily Data'!$AK$4:$AK$503,$M11))</f>
        <v/>
      </c>
      <c r="F11" s="99" t="str">
        <f>IF($M11="","",SUMIFS('Daily Data'!$S$4:$S$503,'Daily Data'!$B$4:$B$503,$B$3,'Daily Data'!$AK$4:$AK$503,$M11))</f>
        <v/>
      </c>
      <c r="G11" s="97" t="str">
        <f>IF($M11="","",IF(COUNTIFS('Daily Data'!$B$4:$B$503,$B$3,'Daily Data'!$AK$4:$AK$503,$M11,'Daily Data'!$AA$4:$AA$503,"&gt;=-1E+300")=0,"",SUMIFS('Daily Data'!$AA$4:$AA$503,'Daily Data'!$B$4:$B$503,$B$3,'Daily Data'!$AK$4:$AK$503,$M11)))</f>
        <v/>
      </c>
      <c r="H11" s="98" t="str">
        <f>IF($M11="","",SUMIFS('Daily Data'!$K$4:$K$503,'Daily Data'!$B$4:$B$503,$B$3,'Daily Data'!$AK$4:$AK$503,$M11))</f>
        <v/>
      </c>
      <c r="I11" s="99" t="str">
        <f>IF($M11="","",IF(COUNTIFS('Daily Data'!$B$4:$B$503,$B$3,'Daily Data'!$AK$4:$AK$503,$M11,'Daily Data'!$AC$4:$AC$503,"&gt;=-1E+300")=0,"",SUMIFS('Daily Data'!$AC$4:$AC$503,'Daily Data'!$B$4:$B$503,$B$3,'Daily Data'!$AK$4:$AK$503,$M11)))</f>
        <v/>
      </c>
      <c r="J11" s="98" t="str">
        <f>IF($M11="","",SUMIFS('Daily Data'!$I$4:$I$503,'Daily Data'!$B$4:$B$503,$B$3,'Daily Data'!$AK$4:$AK$503,$M11))</f>
        <v/>
      </c>
      <c r="K11" s="100" t="str">
        <f>IF($M11="","",SUMIFS('Daily Data'!$AH$4:$AH$503,'Daily Data'!$B$4:$B$503,$B$3,'Daily Data'!$AK$4:$AK$503,$M11))</f>
        <v/>
      </c>
      <c r="L11" s="101" t="str">
        <f>IF($K11="","",IF($K11&lt;Settings!$C$46,"Extreme Sell Pressure",IF($K11&lt;Settings!$C$47,"Sell Pressure",IF($K11&lt;=Settings!$C$48,"Neutral",IF($K11&lt;=Settings!$C$49,"Buy Pressure","Extreme Buy Pressure")))))</f>
        <v/>
      </c>
      <c r="M11" s="112" t="str">
        <f>IF(COUNTIF('Daily Data'!$B$4:$B$503,$B$3)-100+ROW()-9&lt;1,"",COUNTIF('Daily Data'!$B$4:$B$503,$B$3)-100+ROW()-9)</f>
        <v/>
      </c>
      <c r="N11" s="97" t="str">
        <f>IF($M11="","",IF(COUNTIFS('Daily Data'!$B$4:$B$503,$B$3,'Daily Data'!$AK$4:$AK$503,$M11,'Daily Data'!$AD$4:$AD$503,"&gt;=-1E+300")=0,"",SUMIFS('Daily Data'!$AD$4:$AD$503,'Daily Data'!$B$4:$B$503,$B$3,'Daily Data'!$AK$4:$AK$503,$M11)))</f>
        <v/>
      </c>
      <c r="O11" s="97" t="str">
        <f>IF($M11="","",IF(COUNTIFS('Daily Data'!$B$4:$B$503,$B$3,'Daily Data'!$AK$4:$AK$503,$M11,'Daily Data'!$AE$4:$AE$503,"&gt;=-1E+300")=0,"",SUMIFS('Daily Data'!$AE$4:$AE$503,'Daily Data'!$B$4:$B$503,$B$3,'Daily Data'!$AK$4:$AK$503,$M11)))</f>
        <v/>
      </c>
      <c r="P11" s="99" t="str">
        <f>IF($M11="","",IF(COUNTIFS('Daily Data'!$B$4:$B$503,$B$3,'Daily Data'!$AK$4:$AK$503,$M11,'Daily Data'!$Z$4:$Z$503,"&gt;=-1E+300")=0,"",SUMIFS('Daily Data'!$Z$4:$Z$503,'Daily Data'!$B$4:$B$503,$B$3,'Daily Data'!$AK$4:$AK$503,$M11)))</f>
        <v/>
      </c>
      <c r="Q11" s="100" t="str">
        <f>IF($M11="","",SUMIFS('Daily Data'!$AG$4:$AG$503,'Daily Data'!$B$4:$B$503,$B$3,'Daily Data'!$AK$4:$AK$503,$M11))</f>
        <v/>
      </c>
      <c r="S11" s="117" t="e">
        <f>IF($A11="",NA(),$A11)</f>
        <v>#N/A</v>
      </c>
      <c r="T11" s="116" t="e">
        <f>IF($A11="",NA(),$B11)</f>
        <v>#N/A</v>
      </c>
      <c r="V11" s="117" t="e">
        <f>IF($A11="",NA(),$A11)</f>
        <v>#N/A</v>
      </c>
      <c r="W11" s="116" t="e">
        <f>IF($A11="",NA(),$H11)</f>
        <v>#N/A</v>
      </c>
      <c r="Y11" s="117" t="e">
        <f>IF($A11="",NA(),$A11)</f>
        <v>#N/A</v>
      </c>
      <c r="Z11" s="116" t="e">
        <f>IF($A11="",NA(),$J11)</f>
        <v>#N/A</v>
      </c>
      <c r="AB11" s="117" t="e">
        <f>IF($A11="",NA(),$A11)</f>
        <v>#N/A</v>
      </c>
      <c r="AC11" s="116" t="e">
        <f>IF($A11="",NA(),$D11)</f>
        <v>#N/A</v>
      </c>
      <c r="AD11" s="116" t="e">
        <f>IF($A11="",NA(),$E11)</f>
        <v>#N/A</v>
      </c>
      <c r="AF11" s="117" t="e">
        <f>IF($A11="",NA(),$A11)</f>
        <v>#N/A</v>
      </c>
      <c r="AG11" s="116" t="e">
        <f>IF($A11="",NA(),$F11)</f>
        <v>#N/A</v>
      </c>
      <c r="AI11" s="117" t="e">
        <f>IF($A11="",NA(),$A11)</f>
        <v>#N/A</v>
      </c>
      <c r="AJ11" s="116" t="e">
        <f>IF($A11="",NA(),$K11)</f>
        <v>#N/A</v>
      </c>
      <c r="AL11" s="117" t="e">
        <f>IF($A11="",NA(),$A11)</f>
        <v>#N/A</v>
      </c>
      <c r="AM11" s="116" t="e">
        <f>IF($A11="",NA(),$G11)</f>
        <v>#N/A</v>
      </c>
    </row>
    <row r="12" spans="1:39" x14ac:dyDescent="0.3">
      <c r="A12" s="95" t="str">
        <f>IF($M12="","",SUMIFS('Daily Data'!$A$4:$A$503,'Daily Data'!$B$4:$B$503,$B$3,'Daily Data'!$AK$4:$AK$503,$M12))</f>
        <v/>
      </c>
      <c r="B12" s="96" t="str">
        <f>IF($M12="","",SUMIFS('Daily Data'!$E$4:$E$503,'Daily Data'!$B$4:$B$503,$B$3,'Daily Data'!$AK$4:$AK$503,$M12))</f>
        <v/>
      </c>
      <c r="C12" s="97" t="str">
        <f>IF($M12="","",SUMIFS('Daily Data'!$H$4:$H$503,'Daily Data'!$B$4:$B$503,$B$3,'Daily Data'!$AK$4:$AK$503,$M12))</f>
        <v/>
      </c>
      <c r="D12" s="98" t="str">
        <f>IF($M12="","",SUMIFS('Daily Data'!$L$4:$L$503,'Daily Data'!$B$4:$B$503,$B$3,'Daily Data'!$AK$4:$AK$503,$M12))</f>
        <v/>
      </c>
      <c r="E12" s="98" t="str">
        <f>IF($M12="","",SUMIFS('Daily Data'!$M$4:$M$503,'Daily Data'!$B$4:$B$503,$B$3,'Daily Data'!$AK$4:$AK$503,$M12))</f>
        <v/>
      </c>
      <c r="F12" s="99" t="str">
        <f>IF($M12="","",SUMIFS('Daily Data'!$S$4:$S$503,'Daily Data'!$B$4:$B$503,$B$3,'Daily Data'!$AK$4:$AK$503,$M12))</f>
        <v/>
      </c>
      <c r="G12" s="97" t="str">
        <f>IF($M12="","",IF(COUNTIFS('Daily Data'!$B$4:$B$503,$B$3,'Daily Data'!$AK$4:$AK$503,$M12,'Daily Data'!$AA$4:$AA$503,"&gt;=-1E+300")=0,"",SUMIFS('Daily Data'!$AA$4:$AA$503,'Daily Data'!$B$4:$B$503,$B$3,'Daily Data'!$AK$4:$AK$503,$M12)))</f>
        <v/>
      </c>
      <c r="H12" s="98" t="str">
        <f>IF($M12="","",SUMIFS('Daily Data'!$K$4:$K$503,'Daily Data'!$B$4:$B$503,$B$3,'Daily Data'!$AK$4:$AK$503,$M12))</f>
        <v/>
      </c>
      <c r="I12" s="99" t="str">
        <f>IF($M12="","",IF(COUNTIFS('Daily Data'!$B$4:$B$503,$B$3,'Daily Data'!$AK$4:$AK$503,$M12,'Daily Data'!$AC$4:$AC$503,"&gt;=-1E+300")=0,"",SUMIFS('Daily Data'!$AC$4:$AC$503,'Daily Data'!$B$4:$B$503,$B$3,'Daily Data'!$AK$4:$AK$503,$M12)))</f>
        <v/>
      </c>
      <c r="J12" s="98" t="str">
        <f>IF($M12="","",SUMIFS('Daily Data'!$I$4:$I$503,'Daily Data'!$B$4:$B$503,$B$3,'Daily Data'!$AK$4:$AK$503,$M12))</f>
        <v/>
      </c>
      <c r="K12" s="100" t="str">
        <f>IF($M12="","",SUMIFS('Daily Data'!$AH$4:$AH$503,'Daily Data'!$B$4:$B$503,$B$3,'Daily Data'!$AK$4:$AK$503,$M12))</f>
        <v/>
      </c>
      <c r="L12" s="101" t="str">
        <f>IF($K12="","",IF($K12&lt;Settings!$C$46,"Extreme Sell Pressure",IF($K12&lt;Settings!$C$47,"Sell Pressure",IF($K12&lt;=Settings!$C$48,"Neutral",IF($K12&lt;=Settings!$C$49,"Buy Pressure","Extreme Buy Pressure")))))</f>
        <v/>
      </c>
      <c r="M12" s="112" t="str">
        <f>IF(COUNTIF('Daily Data'!$B$4:$B$503,$B$3)-100+ROW()-9&lt;1,"",COUNTIF('Daily Data'!$B$4:$B$503,$B$3)-100+ROW()-9)</f>
        <v/>
      </c>
      <c r="N12" s="97" t="str">
        <f>IF($M12="","",IF(COUNTIFS('Daily Data'!$B$4:$B$503,$B$3,'Daily Data'!$AK$4:$AK$503,$M12,'Daily Data'!$AD$4:$AD$503,"&gt;=-1E+300")=0,"",SUMIFS('Daily Data'!$AD$4:$AD$503,'Daily Data'!$B$4:$B$503,$B$3,'Daily Data'!$AK$4:$AK$503,$M12)))</f>
        <v/>
      </c>
      <c r="O12" s="97" t="str">
        <f>IF($M12="","",IF(COUNTIFS('Daily Data'!$B$4:$B$503,$B$3,'Daily Data'!$AK$4:$AK$503,$M12,'Daily Data'!$AE$4:$AE$503,"&gt;=-1E+300")=0,"",SUMIFS('Daily Data'!$AE$4:$AE$503,'Daily Data'!$B$4:$B$503,$B$3,'Daily Data'!$AK$4:$AK$503,$M12)))</f>
        <v/>
      </c>
      <c r="P12" s="99" t="str">
        <f>IF($M12="","",IF(COUNTIFS('Daily Data'!$B$4:$B$503,$B$3,'Daily Data'!$AK$4:$AK$503,$M12,'Daily Data'!$Z$4:$Z$503,"&gt;=-1E+300")=0,"",SUMIFS('Daily Data'!$Z$4:$Z$503,'Daily Data'!$B$4:$B$503,$B$3,'Daily Data'!$AK$4:$AK$503,$M12)))</f>
        <v/>
      </c>
      <c r="Q12" s="100" t="str">
        <f>IF($M12="","",SUMIFS('Daily Data'!$AG$4:$AG$503,'Daily Data'!$B$4:$B$503,$B$3,'Daily Data'!$AK$4:$AK$503,$M12))</f>
        <v/>
      </c>
      <c r="S12" s="117" t="e">
        <f>IF($A12="",NA(),$A12)</f>
        <v>#N/A</v>
      </c>
      <c r="T12" s="116" t="e">
        <f>IF($A12="",NA(),$B12)</f>
        <v>#N/A</v>
      </c>
      <c r="V12" s="117" t="e">
        <f>IF($A12="",NA(),$A12)</f>
        <v>#N/A</v>
      </c>
      <c r="W12" s="116" t="e">
        <f>IF($A12="",NA(),$H12)</f>
        <v>#N/A</v>
      </c>
      <c r="Y12" s="117" t="e">
        <f>IF($A12="",NA(),$A12)</f>
        <v>#N/A</v>
      </c>
      <c r="Z12" s="116" t="e">
        <f>IF($A12="",NA(),$J12)</f>
        <v>#N/A</v>
      </c>
      <c r="AB12" s="117" t="e">
        <f>IF($A12="",NA(),$A12)</f>
        <v>#N/A</v>
      </c>
      <c r="AC12" s="116" t="e">
        <f>IF($A12="",NA(),$D12)</f>
        <v>#N/A</v>
      </c>
      <c r="AD12" s="116" t="e">
        <f>IF($A12="",NA(),$E12)</f>
        <v>#N/A</v>
      </c>
      <c r="AF12" s="117" t="e">
        <f>IF($A12="",NA(),$A12)</f>
        <v>#N/A</v>
      </c>
      <c r="AG12" s="116" t="e">
        <f>IF($A12="",NA(),$F12)</f>
        <v>#N/A</v>
      </c>
      <c r="AI12" s="117" t="e">
        <f>IF($A12="",NA(),$A12)</f>
        <v>#N/A</v>
      </c>
      <c r="AJ12" s="116" t="e">
        <f>IF($A12="",NA(),$K12)</f>
        <v>#N/A</v>
      </c>
      <c r="AL12" s="117" t="e">
        <f>IF($A12="",NA(),$A12)</f>
        <v>#N/A</v>
      </c>
      <c r="AM12" s="116" t="e">
        <f>IF($A12="",NA(),$G12)</f>
        <v>#N/A</v>
      </c>
    </row>
    <row r="13" spans="1:39" x14ac:dyDescent="0.3">
      <c r="A13" s="95" t="str">
        <f>IF($M13="","",SUMIFS('Daily Data'!$A$4:$A$503,'Daily Data'!$B$4:$B$503,$B$3,'Daily Data'!$AK$4:$AK$503,$M13))</f>
        <v/>
      </c>
      <c r="B13" s="96" t="str">
        <f>IF($M13="","",SUMIFS('Daily Data'!$E$4:$E$503,'Daily Data'!$B$4:$B$503,$B$3,'Daily Data'!$AK$4:$AK$503,$M13))</f>
        <v/>
      </c>
      <c r="C13" s="97" t="str">
        <f>IF($M13="","",SUMIFS('Daily Data'!$H$4:$H$503,'Daily Data'!$B$4:$B$503,$B$3,'Daily Data'!$AK$4:$AK$503,$M13))</f>
        <v/>
      </c>
      <c r="D13" s="98" t="str">
        <f>IF($M13="","",SUMIFS('Daily Data'!$L$4:$L$503,'Daily Data'!$B$4:$B$503,$B$3,'Daily Data'!$AK$4:$AK$503,$M13))</f>
        <v/>
      </c>
      <c r="E13" s="98" t="str">
        <f>IF($M13="","",SUMIFS('Daily Data'!$M$4:$M$503,'Daily Data'!$B$4:$B$503,$B$3,'Daily Data'!$AK$4:$AK$503,$M13))</f>
        <v/>
      </c>
      <c r="F13" s="99" t="str">
        <f>IF($M13="","",SUMIFS('Daily Data'!$S$4:$S$503,'Daily Data'!$B$4:$B$503,$B$3,'Daily Data'!$AK$4:$AK$503,$M13))</f>
        <v/>
      </c>
      <c r="G13" s="97" t="str">
        <f>IF($M13="","",IF(COUNTIFS('Daily Data'!$B$4:$B$503,$B$3,'Daily Data'!$AK$4:$AK$503,$M13,'Daily Data'!$AA$4:$AA$503,"&gt;=-1E+300")=0,"",SUMIFS('Daily Data'!$AA$4:$AA$503,'Daily Data'!$B$4:$B$503,$B$3,'Daily Data'!$AK$4:$AK$503,$M13)))</f>
        <v/>
      </c>
      <c r="H13" s="98" t="str">
        <f>IF($M13="","",SUMIFS('Daily Data'!$K$4:$K$503,'Daily Data'!$B$4:$B$503,$B$3,'Daily Data'!$AK$4:$AK$503,$M13))</f>
        <v/>
      </c>
      <c r="I13" s="99" t="str">
        <f>IF($M13="","",IF(COUNTIFS('Daily Data'!$B$4:$B$503,$B$3,'Daily Data'!$AK$4:$AK$503,$M13,'Daily Data'!$AC$4:$AC$503,"&gt;=-1E+300")=0,"",SUMIFS('Daily Data'!$AC$4:$AC$503,'Daily Data'!$B$4:$B$503,$B$3,'Daily Data'!$AK$4:$AK$503,$M13)))</f>
        <v/>
      </c>
      <c r="J13" s="98" t="str">
        <f>IF($M13="","",SUMIFS('Daily Data'!$I$4:$I$503,'Daily Data'!$B$4:$B$503,$B$3,'Daily Data'!$AK$4:$AK$503,$M13))</f>
        <v/>
      </c>
      <c r="K13" s="100" t="str">
        <f>IF($M13="","",SUMIFS('Daily Data'!$AH$4:$AH$503,'Daily Data'!$B$4:$B$503,$B$3,'Daily Data'!$AK$4:$AK$503,$M13))</f>
        <v/>
      </c>
      <c r="L13" s="101" t="str">
        <f>IF($K13="","",IF($K13&lt;Settings!$C$46,"Extreme Sell Pressure",IF($K13&lt;Settings!$C$47,"Sell Pressure",IF($K13&lt;=Settings!$C$48,"Neutral",IF($K13&lt;=Settings!$C$49,"Buy Pressure","Extreme Buy Pressure")))))</f>
        <v/>
      </c>
      <c r="M13" s="112" t="str">
        <f>IF(COUNTIF('Daily Data'!$B$4:$B$503,$B$3)-100+ROW()-9&lt;1,"",COUNTIF('Daily Data'!$B$4:$B$503,$B$3)-100+ROW()-9)</f>
        <v/>
      </c>
      <c r="N13" s="97" t="str">
        <f>IF($M13="","",IF(COUNTIFS('Daily Data'!$B$4:$B$503,$B$3,'Daily Data'!$AK$4:$AK$503,$M13,'Daily Data'!$AD$4:$AD$503,"&gt;=-1E+300")=0,"",SUMIFS('Daily Data'!$AD$4:$AD$503,'Daily Data'!$B$4:$B$503,$B$3,'Daily Data'!$AK$4:$AK$503,$M13)))</f>
        <v/>
      </c>
      <c r="O13" s="97" t="str">
        <f>IF($M13="","",IF(COUNTIFS('Daily Data'!$B$4:$B$503,$B$3,'Daily Data'!$AK$4:$AK$503,$M13,'Daily Data'!$AE$4:$AE$503,"&gt;=-1E+300")=0,"",SUMIFS('Daily Data'!$AE$4:$AE$503,'Daily Data'!$B$4:$B$503,$B$3,'Daily Data'!$AK$4:$AK$503,$M13)))</f>
        <v/>
      </c>
      <c r="P13" s="99" t="str">
        <f>IF($M13="","",IF(COUNTIFS('Daily Data'!$B$4:$B$503,$B$3,'Daily Data'!$AK$4:$AK$503,$M13,'Daily Data'!$Z$4:$Z$503,"&gt;=-1E+300")=0,"",SUMIFS('Daily Data'!$Z$4:$Z$503,'Daily Data'!$B$4:$B$503,$B$3,'Daily Data'!$AK$4:$AK$503,$M13)))</f>
        <v/>
      </c>
      <c r="Q13" s="100" t="str">
        <f>IF($M13="","",SUMIFS('Daily Data'!$AG$4:$AG$503,'Daily Data'!$B$4:$B$503,$B$3,'Daily Data'!$AK$4:$AK$503,$M13))</f>
        <v/>
      </c>
      <c r="S13" s="117" t="e">
        <f>IF($A13="",NA(),$A13)</f>
        <v>#N/A</v>
      </c>
      <c r="T13" s="116" t="e">
        <f>IF($A13="",NA(),$B13)</f>
        <v>#N/A</v>
      </c>
      <c r="V13" s="117" t="e">
        <f>IF($A13="",NA(),$A13)</f>
        <v>#N/A</v>
      </c>
      <c r="W13" s="116" t="e">
        <f>IF($A13="",NA(),$H13)</f>
        <v>#N/A</v>
      </c>
      <c r="Y13" s="117" t="e">
        <f>IF($A13="",NA(),$A13)</f>
        <v>#N/A</v>
      </c>
      <c r="Z13" s="116" t="e">
        <f>IF($A13="",NA(),$J13)</f>
        <v>#N/A</v>
      </c>
      <c r="AB13" s="117" t="e">
        <f>IF($A13="",NA(),$A13)</f>
        <v>#N/A</v>
      </c>
      <c r="AC13" s="116" t="e">
        <f>IF($A13="",NA(),$D13)</f>
        <v>#N/A</v>
      </c>
      <c r="AD13" s="116" t="e">
        <f>IF($A13="",NA(),$E13)</f>
        <v>#N/A</v>
      </c>
      <c r="AF13" s="117" t="e">
        <f>IF($A13="",NA(),$A13)</f>
        <v>#N/A</v>
      </c>
      <c r="AG13" s="116" t="e">
        <f>IF($A13="",NA(),$F13)</f>
        <v>#N/A</v>
      </c>
      <c r="AI13" s="117" t="e">
        <f>IF($A13="",NA(),$A13)</f>
        <v>#N/A</v>
      </c>
      <c r="AJ13" s="116" t="e">
        <f>IF($A13="",NA(),$K13)</f>
        <v>#N/A</v>
      </c>
      <c r="AL13" s="117" t="e">
        <f>IF($A13="",NA(),$A13)</f>
        <v>#N/A</v>
      </c>
      <c r="AM13" s="116" t="e">
        <f>IF($A13="",NA(),$G13)</f>
        <v>#N/A</v>
      </c>
    </row>
    <row r="14" spans="1:39" x14ac:dyDescent="0.3">
      <c r="A14" s="95" t="str">
        <f>IF($M14="","",SUMIFS('Daily Data'!$A$4:$A$503,'Daily Data'!$B$4:$B$503,$B$3,'Daily Data'!$AK$4:$AK$503,$M14))</f>
        <v/>
      </c>
      <c r="B14" s="96" t="str">
        <f>IF($M14="","",SUMIFS('Daily Data'!$E$4:$E$503,'Daily Data'!$B$4:$B$503,$B$3,'Daily Data'!$AK$4:$AK$503,$M14))</f>
        <v/>
      </c>
      <c r="C14" s="97" t="str">
        <f>IF($M14="","",SUMIFS('Daily Data'!$H$4:$H$503,'Daily Data'!$B$4:$B$503,$B$3,'Daily Data'!$AK$4:$AK$503,$M14))</f>
        <v/>
      </c>
      <c r="D14" s="98" t="str">
        <f>IF($M14="","",SUMIFS('Daily Data'!$L$4:$L$503,'Daily Data'!$B$4:$B$503,$B$3,'Daily Data'!$AK$4:$AK$503,$M14))</f>
        <v/>
      </c>
      <c r="E14" s="98" t="str">
        <f>IF($M14="","",SUMIFS('Daily Data'!$M$4:$M$503,'Daily Data'!$B$4:$B$503,$B$3,'Daily Data'!$AK$4:$AK$503,$M14))</f>
        <v/>
      </c>
      <c r="F14" s="99" t="str">
        <f>IF($M14="","",SUMIFS('Daily Data'!$S$4:$S$503,'Daily Data'!$B$4:$B$503,$B$3,'Daily Data'!$AK$4:$AK$503,$M14))</f>
        <v/>
      </c>
      <c r="G14" s="97" t="str">
        <f>IF($M14="","",IF(COUNTIFS('Daily Data'!$B$4:$B$503,$B$3,'Daily Data'!$AK$4:$AK$503,$M14,'Daily Data'!$AA$4:$AA$503,"&gt;=-1E+300")=0,"",SUMIFS('Daily Data'!$AA$4:$AA$503,'Daily Data'!$B$4:$B$503,$B$3,'Daily Data'!$AK$4:$AK$503,$M14)))</f>
        <v/>
      </c>
      <c r="H14" s="98" t="str">
        <f>IF($M14="","",SUMIFS('Daily Data'!$K$4:$K$503,'Daily Data'!$B$4:$B$503,$B$3,'Daily Data'!$AK$4:$AK$503,$M14))</f>
        <v/>
      </c>
      <c r="I14" s="99" t="str">
        <f>IF($M14="","",IF(COUNTIFS('Daily Data'!$B$4:$B$503,$B$3,'Daily Data'!$AK$4:$AK$503,$M14,'Daily Data'!$AC$4:$AC$503,"&gt;=-1E+300")=0,"",SUMIFS('Daily Data'!$AC$4:$AC$503,'Daily Data'!$B$4:$B$503,$B$3,'Daily Data'!$AK$4:$AK$503,$M14)))</f>
        <v/>
      </c>
      <c r="J14" s="98" t="str">
        <f>IF($M14="","",SUMIFS('Daily Data'!$I$4:$I$503,'Daily Data'!$B$4:$B$503,$B$3,'Daily Data'!$AK$4:$AK$503,$M14))</f>
        <v/>
      </c>
      <c r="K14" s="100" t="str">
        <f>IF($M14="","",SUMIFS('Daily Data'!$AH$4:$AH$503,'Daily Data'!$B$4:$B$503,$B$3,'Daily Data'!$AK$4:$AK$503,$M14))</f>
        <v/>
      </c>
      <c r="L14" s="101" t="str">
        <f>IF($K14="","",IF($K14&lt;Settings!$C$46,"Extreme Sell Pressure",IF($K14&lt;Settings!$C$47,"Sell Pressure",IF($K14&lt;=Settings!$C$48,"Neutral",IF($K14&lt;=Settings!$C$49,"Buy Pressure","Extreme Buy Pressure")))))</f>
        <v/>
      </c>
      <c r="M14" s="112" t="str">
        <f>IF(COUNTIF('Daily Data'!$B$4:$B$503,$B$3)-100+ROW()-9&lt;1,"",COUNTIF('Daily Data'!$B$4:$B$503,$B$3)-100+ROW()-9)</f>
        <v/>
      </c>
      <c r="N14" s="97" t="str">
        <f>IF($M14="","",IF(COUNTIFS('Daily Data'!$B$4:$B$503,$B$3,'Daily Data'!$AK$4:$AK$503,$M14,'Daily Data'!$AD$4:$AD$503,"&gt;=-1E+300")=0,"",SUMIFS('Daily Data'!$AD$4:$AD$503,'Daily Data'!$B$4:$B$503,$B$3,'Daily Data'!$AK$4:$AK$503,$M14)))</f>
        <v/>
      </c>
      <c r="O14" s="97" t="str">
        <f>IF($M14="","",IF(COUNTIFS('Daily Data'!$B$4:$B$503,$B$3,'Daily Data'!$AK$4:$AK$503,$M14,'Daily Data'!$AE$4:$AE$503,"&gt;=-1E+300")=0,"",SUMIFS('Daily Data'!$AE$4:$AE$503,'Daily Data'!$B$4:$B$503,$B$3,'Daily Data'!$AK$4:$AK$503,$M14)))</f>
        <v/>
      </c>
      <c r="P14" s="99" t="str">
        <f>IF($M14="","",IF(COUNTIFS('Daily Data'!$B$4:$B$503,$B$3,'Daily Data'!$AK$4:$AK$503,$M14,'Daily Data'!$Z$4:$Z$503,"&gt;=-1E+300")=0,"",SUMIFS('Daily Data'!$Z$4:$Z$503,'Daily Data'!$B$4:$B$503,$B$3,'Daily Data'!$AK$4:$AK$503,$M14)))</f>
        <v/>
      </c>
      <c r="Q14" s="100" t="str">
        <f>IF($M14="","",SUMIFS('Daily Data'!$AG$4:$AG$503,'Daily Data'!$B$4:$B$503,$B$3,'Daily Data'!$AK$4:$AK$503,$M14))</f>
        <v/>
      </c>
      <c r="S14" s="117" t="e">
        <f>IF($A14="",NA(),$A14)</f>
        <v>#N/A</v>
      </c>
      <c r="T14" s="116" t="e">
        <f>IF($A14="",NA(),$B14)</f>
        <v>#N/A</v>
      </c>
      <c r="V14" s="117" t="e">
        <f>IF($A14="",NA(),$A14)</f>
        <v>#N/A</v>
      </c>
      <c r="W14" s="116" t="e">
        <f>IF($A14="",NA(),$H14)</f>
        <v>#N/A</v>
      </c>
      <c r="Y14" s="117" t="e">
        <f>IF($A14="",NA(),$A14)</f>
        <v>#N/A</v>
      </c>
      <c r="Z14" s="116" t="e">
        <f>IF($A14="",NA(),$J14)</f>
        <v>#N/A</v>
      </c>
      <c r="AB14" s="117" t="e">
        <f>IF($A14="",NA(),$A14)</f>
        <v>#N/A</v>
      </c>
      <c r="AC14" s="116" t="e">
        <f>IF($A14="",NA(),$D14)</f>
        <v>#N/A</v>
      </c>
      <c r="AD14" s="116" t="e">
        <f>IF($A14="",NA(),$E14)</f>
        <v>#N/A</v>
      </c>
      <c r="AF14" s="117" t="e">
        <f>IF($A14="",NA(),$A14)</f>
        <v>#N/A</v>
      </c>
      <c r="AG14" s="116" t="e">
        <f>IF($A14="",NA(),$F14)</f>
        <v>#N/A</v>
      </c>
      <c r="AI14" s="117" t="e">
        <f>IF($A14="",NA(),$A14)</f>
        <v>#N/A</v>
      </c>
      <c r="AJ14" s="116" t="e">
        <f>IF($A14="",NA(),$K14)</f>
        <v>#N/A</v>
      </c>
      <c r="AL14" s="117" t="e">
        <f>IF($A14="",NA(),$A14)</f>
        <v>#N/A</v>
      </c>
      <c r="AM14" s="116" t="e">
        <f>IF($A14="",NA(),$G14)</f>
        <v>#N/A</v>
      </c>
    </row>
    <row r="15" spans="1:39" x14ac:dyDescent="0.3">
      <c r="A15" s="95" t="str">
        <f>IF($M15="","",SUMIFS('Daily Data'!$A$4:$A$503,'Daily Data'!$B$4:$B$503,$B$3,'Daily Data'!$AK$4:$AK$503,$M15))</f>
        <v/>
      </c>
      <c r="B15" s="96" t="str">
        <f>IF($M15="","",SUMIFS('Daily Data'!$E$4:$E$503,'Daily Data'!$B$4:$B$503,$B$3,'Daily Data'!$AK$4:$AK$503,$M15))</f>
        <v/>
      </c>
      <c r="C15" s="97" t="str">
        <f>IF($M15="","",SUMIFS('Daily Data'!$H$4:$H$503,'Daily Data'!$B$4:$B$503,$B$3,'Daily Data'!$AK$4:$AK$503,$M15))</f>
        <v/>
      </c>
      <c r="D15" s="98" t="str">
        <f>IF($M15="","",SUMIFS('Daily Data'!$L$4:$L$503,'Daily Data'!$B$4:$B$503,$B$3,'Daily Data'!$AK$4:$AK$503,$M15))</f>
        <v/>
      </c>
      <c r="E15" s="98" t="str">
        <f>IF($M15="","",SUMIFS('Daily Data'!$M$4:$M$503,'Daily Data'!$B$4:$B$503,$B$3,'Daily Data'!$AK$4:$AK$503,$M15))</f>
        <v/>
      </c>
      <c r="F15" s="99" t="str">
        <f>IF($M15="","",SUMIFS('Daily Data'!$S$4:$S$503,'Daily Data'!$B$4:$B$503,$B$3,'Daily Data'!$AK$4:$AK$503,$M15))</f>
        <v/>
      </c>
      <c r="G15" s="97" t="str">
        <f>IF($M15="","",IF(COUNTIFS('Daily Data'!$B$4:$B$503,$B$3,'Daily Data'!$AK$4:$AK$503,$M15,'Daily Data'!$AA$4:$AA$503,"&gt;=-1E+300")=0,"",SUMIFS('Daily Data'!$AA$4:$AA$503,'Daily Data'!$B$4:$B$503,$B$3,'Daily Data'!$AK$4:$AK$503,$M15)))</f>
        <v/>
      </c>
      <c r="H15" s="98" t="str">
        <f>IF($M15="","",SUMIFS('Daily Data'!$K$4:$K$503,'Daily Data'!$B$4:$B$503,$B$3,'Daily Data'!$AK$4:$AK$503,$M15))</f>
        <v/>
      </c>
      <c r="I15" s="99" t="str">
        <f>IF($M15="","",IF(COUNTIFS('Daily Data'!$B$4:$B$503,$B$3,'Daily Data'!$AK$4:$AK$503,$M15,'Daily Data'!$AC$4:$AC$503,"&gt;=-1E+300")=0,"",SUMIFS('Daily Data'!$AC$4:$AC$503,'Daily Data'!$B$4:$B$503,$B$3,'Daily Data'!$AK$4:$AK$503,$M15)))</f>
        <v/>
      </c>
      <c r="J15" s="98" t="str">
        <f>IF($M15="","",SUMIFS('Daily Data'!$I$4:$I$503,'Daily Data'!$B$4:$B$503,$B$3,'Daily Data'!$AK$4:$AK$503,$M15))</f>
        <v/>
      </c>
      <c r="K15" s="100" t="str">
        <f>IF($M15="","",SUMIFS('Daily Data'!$AH$4:$AH$503,'Daily Data'!$B$4:$B$503,$B$3,'Daily Data'!$AK$4:$AK$503,$M15))</f>
        <v/>
      </c>
      <c r="L15" s="101" t="str">
        <f>IF($K15="","",IF($K15&lt;Settings!$C$46,"Extreme Sell Pressure",IF($K15&lt;Settings!$C$47,"Sell Pressure",IF($K15&lt;=Settings!$C$48,"Neutral",IF($K15&lt;=Settings!$C$49,"Buy Pressure","Extreme Buy Pressure")))))</f>
        <v/>
      </c>
      <c r="M15" s="112" t="str">
        <f>IF(COUNTIF('Daily Data'!$B$4:$B$503,$B$3)-100+ROW()-9&lt;1,"",COUNTIF('Daily Data'!$B$4:$B$503,$B$3)-100+ROW()-9)</f>
        <v/>
      </c>
      <c r="N15" s="97" t="str">
        <f>IF($M15="","",IF(COUNTIFS('Daily Data'!$B$4:$B$503,$B$3,'Daily Data'!$AK$4:$AK$503,$M15,'Daily Data'!$AD$4:$AD$503,"&gt;=-1E+300")=0,"",SUMIFS('Daily Data'!$AD$4:$AD$503,'Daily Data'!$B$4:$B$503,$B$3,'Daily Data'!$AK$4:$AK$503,$M15)))</f>
        <v/>
      </c>
      <c r="O15" s="97" t="str">
        <f>IF($M15="","",IF(COUNTIFS('Daily Data'!$B$4:$B$503,$B$3,'Daily Data'!$AK$4:$AK$503,$M15,'Daily Data'!$AE$4:$AE$503,"&gt;=-1E+300")=0,"",SUMIFS('Daily Data'!$AE$4:$AE$503,'Daily Data'!$B$4:$B$503,$B$3,'Daily Data'!$AK$4:$AK$503,$M15)))</f>
        <v/>
      </c>
      <c r="P15" s="99" t="str">
        <f>IF($M15="","",IF(COUNTIFS('Daily Data'!$B$4:$B$503,$B$3,'Daily Data'!$AK$4:$AK$503,$M15,'Daily Data'!$Z$4:$Z$503,"&gt;=-1E+300")=0,"",SUMIFS('Daily Data'!$Z$4:$Z$503,'Daily Data'!$B$4:$B$503,$B$3,'Daily Data'!$AK$4:$AK$503,$M15)))</f>
        <v/>
      </c>
      <c r="Q15" s="100" t="str">
        <f>IF($M15="","",SUMIFS('Daily Data'!$AG$4:$AG$503,'Daily Data'!$B$4:$B$503,$B$3,'Daily Data'!$AK$4:$AK$503,$M15))</f>
        <v/>
      </c>
      <c r="S15" s="117" t="e">
        <f>IF($A15="",NA(),$A15)</f>
        <v>#N/A</v>
      </c>
      <c r="T15" s="116" t="e">
        <f>IF($A15="",NA(),$B15)</f>
        <v>#N/A</v>
      </c>
      <c r="V15" s="117" t="e">
        <f>IF($A15="",NA(),$A15)</f>
        <v>#N/A</v>
      </c>
      <c r="W15" s="116" t="e">
        <f>IF($A15="",NA(),$H15)</f>
        <v>#N/A</v>
      </c>
      <c r="Y15" s="117" t="e">
        <f>IF($A15="",NA(),$A15)</f>
        <v>#N/A</v>
      </c>
      <c r="Z15" s="116" t="e">
        <f>IF($A15="",NA(),$J15)</f>
        <v>#N/A</v>
      </c>
      <c r="AB15" s="117" t="e">
        <f>IF($A15="",NA(),$A15)</f>
        <v>#N/A</v>
      </c>
      <c r="AC15" s="116" t="e">
        <f>IF($A15="",NA(),$D15)</f>
        <v>#N/A</v>
      </c>
      <c r="AD15" s="116" t="e">
        <f>IF($A15="",NA(),$E15)</f>
        <v>#N/A</v>
      </c>
      <c r="AF15" s="117" t="e">
        <f>IF($A15="",NA(),$A15)</f>
        <v>#N/A</v>
      </c>
      <c r="AG15" s="116" t="e">
        <f>IF($A15="",NA(),$F15)</f>
        <v>#N/A</v>
      </c>
      <c r="AI15" s="117" t="e">
        <f>IF($A15="",NA(),$A15)</f>
        <v>#N/A</v>
      </c>
      <c r="AJ15" s="116" t="e">
        <f>IF($A15="",NA(),$K15)</f>
        <v>#N/A</v>
      </c>
      <c r="AL15" s="117" t="e">
        <f>IF($A15="",NA(),$A15)</f>
        <v>#N/A</v>
      </c>
      <c r="AM15" s="116" t="e">
        <f>IF($A15="",NA(),$G15)</f>
        <v>#N/A</v>
      </c>
    </row>
    <row r="16" spans="1:39" x14ac:dyDescent="0.3">
      <c r="A16" s="95" t="str">
        <f>IF($M16="","",SUMIFS('Daily Data'!$A$4:$A$503,'Daily Data'!$B$4:$B$503,$B$3,'Daily Data'!$AK$4:$AK$503,$M16))</f>
        <v/>
      </c>
      <c r="B16" s="96" t="str">
        <f>IF($M16="","",SUMIFS('Daily Data'!$E$4:$E$503,'Daily Data'!$B$4:$B$503,$B$3,'Daily Data'!$AK$4:$AK$503,$M16))</f>
        <v/>
      </c>
      <c r="C16" s="97" t="str">
        <f>IF($M16="","",SUMIFS('Daily Data'!$H$4:$H$503,'Daily Data'!$B$4:$B$503,$B$3,'Daily Data'!$AK$4:$AK$503,$M16))</f>
        <v/>
      </c>
      <c r="D16" s="98" t="str">
        <f>IF($M16="","",SUMIFS('Daily Data'!$L$4:$L$503,'Daily Data'!$B$4:$B$503,$B$3,'Daily Data'!$AK$4:$AK$503,$M16))</f>
        <v/>
      </c>
      <c r="E16" s="98" t="str">
        <f>IF($M16="","",SUMIFS('Daily Data'!$M$4:$M$503,'Daily Data'!$B$4:$B$503,$B$3,'Daily Data'!$AK$4:$AK$503,$M16))</f>
        <v/>
      </c>
      <c r="F16" s="99" t="str">
        <f>IF($M16="","",SUMIFS('Daily Data'!$S$4:$S$503,'Daily Data'!$B$4:$B$503,$B$3,'Daily Data'!$AK$4:$AK$503,$M16))</f>
        <v/>
      </c>
      <c r="G16" s="97" t="str">
        <f>IF($M16="","",IF(COUNTIFS('Daily Data'!$B$4:$B$503,$B$3,'Daily Data'!$AK$4:$AK$503,$M16,'Daily Data'!$AA$4:$AA$503,"&gt;=-1E+300")=0,"",SUMIFS('Daily Data'!$AA$4:$AA$503,'Daily Data'!$B$4:$B$503,$B$3,'Daily Data'!$AK$4:$AK$503,$M16)))</f>
        <v/>
      </c>
      <c r="H16" s="98" t="str">
        <f>IF($M16="","",SUMIFS('Daily Data'!$K$4:$K$503,'Daily Data'!$B$4:$B$503,$B$3,'Daily Data'!$AK$4:$AK$503,$M16))</f>
        <v/>
      </c>
      <c r="I16" s="99" t="str">
        <f>IF($M16="","",IF(COUNTIFS('Daily Data'!$B$4:$B$503,$B$3,'Daily Data'!$AK$4:$AK$503,$M16,'Daily Data'!$AC$4:$AC$503,"&gt;=-1E+300")=0,"",SUMIFS('Daily Data'!$AC$4:$AC$503,'Daily Data'!$B$4:$B$503,$B$3,'Daily Data'!$AK$4:$AK$503,$M16)))</f>
        <v/>
      </c>
      <c r="J16" s="98" t="str">
        <f>IF($M16="","",SUMIFS('Daily Data'!$I$4:$I$503,'Daily Data'!$B$4:$B$503,$B$3,'Daily Data'!$AK$4:$AK$503,$M16))</f>
        <v/>
      </c>
      <c r="K16" s="100" t="str">
        <f>IF($M16="","",SUMIFS('Daily Data'!$AH$4:$AH$503,'Daily Data'!$B$4:$B$503,$B$3,'Daily Data'!$AK$4:$AK$503,$M16))</f>
        <v/>
      </c>
      <c r="L16" s="101" t="str">
        <f>IF($K16="","",IF($K16&lt;Settings!$C$46,"Extreme Sell Pressure",IF($K16&lt;Settings!$C$47,"Sell Pressure",IF($K16&lt;=Settings!$C$48,"Neutral",IF($K16&lt;=Settings!$C$49,"Buy Pressure","Extreme Buy Pressure")))))</f>
        <v/>
      </c>
      <c r="M16" s="112" t="str">
        <f>IF(COUNTIF('Daily Data'!$B$4:$B$503,$B$3)-100+ROW()-9&lt;1,"",COUNTIF('Daily Data'!$B$4:$B$503,$B$3)-100+ROW()-9)</f>
        <v/>
      </c>
      <c r="N16" s="97" t="str">
        <f>IF($M16="","",IF(COUNTIFS('Daily Data'!$B$4:$B$503,$B$3,'Daily Data'!$AK$4:$AK$503,$M16,'Daily Data'!$AD$4:$AD$503,"&gt;=-1E+300")=0,"",SUMIFS('Daily Data'!$AD$4:$AD$503,'Daily Data'!$B$4:$B$503,$B$3,'Daily Data'!$AK$4:$AK$503,$M16)))</f>
        <v/>
      </c>
      <c r="O16" s="97" t="str">
        <f>IF($M16="","",IF(COUNTIFS('Daily Data'!$B$4:$B$503,$B$3,'Daily Data'!$AK$4:$AK$503,$M16,'Daily Data'!$AE$4:$AE$503,"&gt;=-1E+300")=0,"",SUMIFS('Daily Data'!$AE$4:$AE$503,'Daily Data'!$B$4:$B$503,$B$3,'Daily Data'!$AK$4:$AK$503,$M16)))</f>
        <v/>
      </c>
      <c r="P16" s="99" t="str">
        <f>IF($M16="","",IF(COUNTIFS('Daily Data'!$B$4:$B$503,$B$3,'Daily Data'!$AK$4:$AK$503,$M16,'Daily Data'!$Z$4:$Z$503,"&gt;=-1E+300")=0,"",SUMIFS('Daily Data'!$Z$4:$Z$503,'Daily Data'!$B$4:$B$503,$B$3,'Daily Data'!$AK$4:$AK$503,$M16)))</f>
        <v/>
      </c>
      <c r="Q16" s="100" t="str">
        <f>IF($M16="","",SUMIFS('Daily Data'!$AG$4:$AG$503,'Daily Data'!$B$4:$B$503,$B$3,'Daily Data'!$AK$4:$AK$503,$M16))</f>
        <v/>
      </c>
      <c r="S16" s="117" t="e">
        <f>IF($A16="",NA(),$A16)</f>
        <v>#N/A</v>
      </c>
      <c r="T16" s="116" t="e">
        <f>IF($A16="",NA(),$B16)</f>
        <v>#N/A</v>
      </c>
      <c r="V16" s="117" t="e">
        <f>IF($A16="",NA(),$A16)</f>
        <v>#N/A</v>
      </c>
      <c r="W16" s="116" t="e">
        <f>IF($A16="",NA(),$H16)</f>
        <v>#N/A</v>
      </c>
      <c r="Y16" s="117" t="e">
        <f>IF($A16="",NA(),$A16)</f>
        <v>#N/A</v>
      </c>
      <c r="Z16" s="116" t="e">
        <f>IF($A16="",NA(),$J16)</f>
        <v>#N/A</v>
      </c>
      <c r="AB16" s="117" t="e">
        <f>IF($A16="",NA(),$A16)</f>
        <v>#N/A</v>
      </c>
      <c r="AC16" s="116" t="e">
        <f>IF($A16="",NA(),$D16)</f>
        <v>#N/A</v>
      </c>
      <c r="AD16" s="116" t="e">
        <f>IF($A16="",NA(),$E16)</f>
        <v>#N/A</v>
      </c>
      <c r="AF16" s="117" t="e">
        <f>IF($A16="",NA(),$A16)</f>
        <v>#N/A</v>
      </c>
      <c r="AG16" s="116" t="e">
        <f>IF($A16="",NA(),$F16)</f>
        <v>#N/A</v>
      </c>
      <c r="AI16" s="117" t="e">
        <f>IF($A16="",NA(),$A16)</f>
        <v>#N/A</v>
      </c>
      <c r="AJ16" s="116" t="e">
        <f>IF($A16="",NA(),$K16)</f>
        <v>#N/A</v>
      </c>
      <c r="AL16" s="117" t="e">
        <f>IF($A16="",NA(),$A16)</f>
        <v>#N/A</v>
      </c>
      <c r="AM16" s="116" t="e">
        <f>IF($A16="",NA(),$G16)</f>
        <v>#N/A</v>
      </c>
    </row>
    <row r="17" spans="1:39" x14ac:dyDescent="0.3">
      <c r="A17" s="95" t="str">
        <f>IF($M17="","",SUMIFS('Daily Data'!$A$4:$A$503,'Daily Data'!$B$4:$B$503,$B$3,'Daily Data'!$AK$4:$AK$503,$M17))</f>
        <v/>
      </c>
      <c r="B17" s="96" t="str">
        <f>IF($M17="","",SUMIFS('Daily Data'!$E$4:$E$503,'Daily Data'!$B$4:$B$503,$B$3,'Daily Data'!$AK$4:$AK$503,$M17))</f>
        <v/>
      </c>
      <c r="C17" s="97" t="str">
        <f>IF($M17="","",SUMIFS('Daily Data'!$H$4:$H$503,'Daily Data'!$B$4:$B$503,$B$3,'Daily Data'!$AK$4:$AK$503,$M17))</f>
        <v/>
      </c>
      <c r="D17" s="98" t="str">
        <f>IF($M17="","",SUMIFS('Daily Data'!$L$4:$L$503,'Daily Data'!$B$4:$B$503,$B$3,'Daily Data'!$AK$4:$AK$503,$M17))</f>
        <v/>
      </c>
      <c r="E17" s="98" t="str">
        <f>IF($M17="","",SUMIFS('Daily Data'!$M$4:$M$503,'Daily Data'!$B$4:$B$503,$B$3,'Daily Data'!$AK$4:$AK$503,$M17))</f>
        <v/>
      </c>
      <c r="F17" s="99" t="str">
        <f>IF($M17="","",SUMIFS('Daily Data'!$S$4:$S$503,'Daily Data'!$B$4:$B$503,$B$3,'Daily Data'!$AK$4:$AK$503,$M17))</f>
        <v/>
      </c>
      <c r="G17" s="97" t="str">
        <f>IF($M17="","",IF(COUNTIFS('Daily Data'!$B$4:$B$503,$B$3,'Daily Data'!$AK$4:$AK$503,$M17,'Daily Data'!$AA$4:$AA$503,"&gt;=-1E+300")=0,"",SUMIFS('Daily Data'!$AA$4:$AA$503,'Daily Data'!$B$4:$B$503,$B$3,'Daily Data'!$AK$4:$AK$503,$M17)))</f>
        <v/>
      </c>
      <c r="H17" s="98" t="str">
        <f>IF($M17="","",SUMIFS('Daily Data'!$K$4:$K$503,'Daily Data'!$B$4:$B$503,$B$3,'Daily Data'!$AK$4:$AK$503,$M17))</f>
        <v/>
      </c>
      <c r="I17" s="99" t="str">
        <f>IF($M17="","",IF(COUNTIFS('Daily Data'!$B$4:$B$503,$B$3,'Daily Data'!$AK$4:$AK$503,$M17,'Daily Data'!$AC$4:$AC$503,"&gt;=-1E+300")=0,"",SUMIFS('Daily Data'!$AC$4:$AC$503,'Daily Data'!$B$4:$B$503,$B$3,'Daily Data'!$AK$4:$AK$503,$M17)))</f>
        <v/>
      </c>
      <c r="J17" s="98" t="str">
        <f>IF($M17="","",SUMIFS('Daily Data'!$I$4:$I$503,'Daily Data'!$B$4:$B$503,$B$3,'Daily Data'!$AK$4:$AK$503,$M17))</f>
        <v/>
      </c>
      <c r="K17" s="100" t="str">
        <f>IF($M17="","",SUMIFS('Daily Data'!$AH$4:$AH$503,'Daily Data'!$B$4:$B$503,$B$3,'Daily Data'!$AK$4:$AK$503,$M17))</f>
        <v/>
      </c>
      <c r="L17" s="101" t="str">
        <f>IF($K17="","",IF($K17&lt;Settings!$C$46,"Extreme Sell Pressure",IF($K17&lt;Settings!$C$47,"Sell Pressure",IF($K17&lt;=Settings!$C$48,"Neutral",IF($K17&lt;=Settings!$C$49,"Buy Pressure","Extreme Buy Pressure")))))</f>
        <v/>
      </c>
      <c r="M17" s="112" t="str">
        <f>IF(COUNTIF('Daily Data'!$B$4:$B$503,$B$3)-100+ROW()-9&lt;1,"",COUNTIF('Daily Data'!$B$4:$B$503,$B$3)-100+ROW()-9)</f>
        <v/>
      </c>
      <c r="N17" s="97" t="str">
        <f>IF($M17="","",IF(COUNTIFS('Daily Data'!$B$4:$B$503,$B$3,'Daily Data'!$AK$4:$AK$503,$M17,'Daily Data'!$AD$4:$AD$503,"&gt;=-1E+300")=0,"",SUMIFS('Daily Data'!$AD$4:$AD$503,'Daily Data'!$B$4:$B$503,$B$3,'Daily Data'!$AK$4:$AK$503,$M17)))</f>
        <v/>
      </c>
      <c r="O17" s="97" t="str">
        <f>IF($M17="","",IF(COUNTIFS('Daily Data'!$B$4:$B$503,$B$3,'Daily Data'!$AK$4:$AK$503,$M17,'Daily Data'!$AE$4:$AE$503,"&gt;=-1E+300")=0,"",SUMIFS('Daily Data'!$AE$4:$AE$503,'Daily Data'!$B$4:$B$503,$B$3,'Daily Data'!$AK$4:$AK$503,$M17)))</f>
        <v/>
      </c>
      <c r="P17" s="99" t="str">
        <f>IF($M17="","",IF(COUNTIFS('Daily Data'!$B$4:$B$503,$B$3,'Daily Data'!$AK$4:$AK$503,$M17,'Daily Data'!$Z$4:$Z$503,"&gt;=-1E+300")=0,"",SUMIFS('Daily Data'!$Z$4:$Z$503,'Daily Data'!$B$4:$B$503,$B$3,'Daily Data'!$AK$4:$AK$503,$M17)))</f>
        <v/>
      </c>
      <c r="Q17" s="100" t="str">
        <f>IF($M17="","",SUMIFS('Daily Data'!$AG$4:$AG$503,'Daily Data'!$B$4:$B$503,$B$3,'Daily Data'!$AK$4:$AK$503,$M17))</f>
        <v/>
      </c>
      <c r="S17" s="117" t="e">
        <f>IF($A17="",NA(),$A17)</f>
        <v>#N/A</v>
      </c>
      <c r="T17" s="116" t="e">
        <f>IF($A17="",NA(),$B17)</f>
        <v>#N/A</v>
      </c>
      <c r="V17" s="117" t="e">
        <f>IF($A17="",NA(),$A17)</f>
        <v>#N/A</v>
      </c>
      <c r="W17" s="116" t="e">
        <f>IF($A17="",NA(),$H17)</f>
        <v>#N/A</v>
      </c>
      <c r="Y17" s="117" t="e">
        <f>IF($A17="",NA(),$A17)</f>
        <v>#N/A</v>
      </c>
      <c r="Z17" s="116" t="e">
        <f>IF($A17="",NA(),$J17)</f>
        <v>#N/A</v>
      </c>
      <c r="AB17" s="117" t="e">
        <f>IF($A17="",NA(),$A17)</f>
        <v>#N/A</v>
      </c>
      <c r="AC17" s="116" t="e">
        <f>IF($A17="",NA(),$D17)</f>
        <v>#N/A</v>
      </c>
      <c r="AD17" s="116" t="e">
        <f>IF($A17="",NA(),$E17)</f>
        <v>#N/A</v>
      </c>
      <c r="AF17" s="117" t="e">
        <f>IF($A17="",NA(),$A17)</f>
        <v>#N/A</v>
      </c>
      <c r="AG17" s="116" t="e">
        <f>IF($A17="",NA(),$F17)</f>
        <v>#N/A</v>
      </c>
      <c r="AI17" s="117" t="e">
        <f>IF($A17="",NA(),$A17)</f>
        <v>#N/A</v>
      </c>
      <c r="AJ17" s="116" t="e">
        <f>IF($A17="",NA(),$K17)</f>
        <v>#N/A</v>
      </c>
      <c r="AL17" s="117" t="e">
        <f>IF($A17="",NA(),$A17)</f>
        <v>#N/A</v>
      </c>
      <c r="AM17" s="116" t="e">
        <f>IF($A17="",NA(),$G17)</f>
        <v>#N/A</v>
      </c>
    </row>
    <row r="18" spans="1:39" x14ac:dyDescent="0.3">
      <c r="A18" s="95" t="str">
        <f>IF($M18="","",SUMIFS('Daily Data'!$A$4:$A$503,'Daily Data'!$B$4:$B$503,$B$3,'Daily Data'!$AK$4:$AK$503,$M18))</f>
        <v/>
      </c>
      <c r="B18" s="96" t="str">
        <f>IF($M18="","",SUMIFS('Daily Data'!$E$4:$E$503,'Daily Data'!$B$4:$B$503,$B$3,'Daily Data'!$AK$4:$AK$503,$M18))</f>
        <v/>
      </c>
      <c r="C18" s="97" t="str">
        <f>IF($M18="","",SUMIFS('Daily Data'!$H$4:$H$503,'Daily Data'!$B$4:$B$503,$B$3,'Daily Data'!$AK$4:$AK$503,$M18))</f>
        <v/>
      </c>
      <c r="D18" s="98" t="str">
        <f>IF($M18="","",SUMIFS('Daily Data'!$L$4:$L$503,'Daily Data'!$B$4:$B$503,$B$3,'Daily Data'!$AK$4:$AK$503,$M18))</f>
        <v/>
      </c>
      <c r="E18" s="98" t="str">
        <f>IF($M18="","",SUMIFS('Daily Data'!$M$4:$M$503,'Daily Data'!$B$4:$B$503,$B$3,'Daily Data'!$AK$4:$AK$503,$M18))</f>
        <v/>
      </c>
      <c r="F18" s="99" t="str">
        <f>IF($M18="","",SUMIFS('Daily Data'!$S$4:$S$503,'Daily Data'!$B$4:$B$503,$B$3,'Daily Data'!$AK$4:$AK$503,$M18))</f>
        <v/>
      </c>
      <c r="G18" s="97" t="str">
        <f>IF($M18="","",IF(COUNTIFS('Daily Data'!$B$4:$B$503,$B$3,'Daily Data'!$AK$4:$AK$503,$M18,'Daily Data'!$AA$4:$AA$503,"&gt;=-1E+300")=0,"",SUMIFS('Daily Data'!$AA$4:$AA$503,'Daily Data'!$B$4:$B$503,$B$3,'Daily Data'!$AK$4:$AK$503,$M18)))</f>
        <v/>
      </c>
      <c r="H18" s="98" t="str">
        <f>IF($M18="","",SUMIFS('Daily Data'!$K$4:$K$503,'Daily Data'!$B$4:$B$503,$B$3,'Daily Data'!$AK$4:$AK$503,$M18))</f>
        <v/>
      </c>
      <c r="I18" s="99" t="str">
        <f>IF($M18="","",IF(COUNTIFS('Daily Data'!$B$4:$B$503,$B$3,'Daily Data'!$AK$4:$AK$503,$M18,'Daily Data'!$AC$4:$AC$503,"&gt;=-1E+300")=0,"",SUMIFS('Daily Data'!$AC$4:$AC$503,'Daily Data'!$B$4:$B$503,$B$3,'Daily Data'!$AK$4:$AK$503,$M18)))</f>
        <v/>
      </c>
      <c r="J18" s="98" t="str">
        <f>IF($M18="","",SUMIFS('Daily Data'!$I$4:$I$503,'Daily Data'!$B$4:$B$503,$B$3,'Daily Data'!$AK$4:$AK$503,$M18))</f>
        <v/>
      </c>
      <c r="K18" s="100" t="str">
        <f>IF($M18="","",SUMIFS('Daily Data'!$AH$4:$AH$503,'Daily Data'!$B$4:$B$503,$B$3,'Daily Data'!$AK$4:$AK$503,$M18))</f>
        <v/>
      </c>
      <c r="L18" s="101" t="str">
        <f>IF($K18="","",IF($K18&lt;Settings!$C$46,"Extreme Sell Pressure",IF($K18&lt;Settings!$C$47,"Sell Pressure",IF($K18&lt;=Settings!$C$48,"Neutral",IF($K18&lt;=Settings!$C$49,"Buy Pressure","Extreme Buy Pressure")))))</f>
        <v/>
      </c>
      <c r="M18" s="112" t="str">
        <f>IF(COUNTIF('Daily Data'!$B$4:$B$503,$B$3)-100+ROW()-9&lt;1,"",COUNTIF('Daily Data'!$B$4:$B$503,$B$3)-100+ROW()-9)</f>
        <v/>
      </c>
      <c r="N18" s="97" t="str">
        <f>IF($M18="","",IF(COUNTIFS('Daily Data'!$B$4:$B$503,$B$3,'Daily Data'!$AK$4:$AK$503,$M18,'Daily Data'!$AD$4:$AD$503,"&gt;=-1E+300")=0,"",SUMIFS('Daily Data'!$AD$4:$AD$503,'Daily Data'!$B$4:$B$503,$B$3,'Daily Data'!$AK$4:$AK$503,$M18)))</f>
        <v/>
      </c>
      <c r="O18" s="97" t="str">
        <f>IF($M18="","",IF(COUNTIFS('Daily Data'!$B$4:$B$503,$B$3,'Daily Data'!$AK$4:$AK$503,$M18,'Daily Data'!$AE$4:$AE$503,"&gt;=-1E+300")=0,"",SUMIFS('Daily Data'!$AE$4:$AE$503,'Daily Data'!$B$4:$B$503,$B$3,'Daily Data'!$AK$4:$AK$503,$M18)))</f>
        <v/>
      </c>
      <c r="P18" s="99" t="str">
        <f>IF($M18="","",IF(COUNTIFS('Daily Data'!$B$4:$B$503,$B$3,'Daily Data'!$AK$4:$AK$503,$M18,'Daily Data'!$Z$4:$Z$503,"&gt;=-1E+300")=0,"",SUMIFS('Daily Data'!$Z$4:$Z$503,'Daily Data'!$B$4:$B$503,$B$3,'Daily Data'!$AK$4:$AK$503,$M18)))</f>
        <v/>
      </c>
      <c r="Q18" s="100" t="str">
        <f>IF($M18="","",SUMIFS('Daily Data'!$AG$4:$AG$503,'Daily Data'!$B$4:$B$503,$B$3,'Daily Data'!$AK$4:$AK$503,$M18))</f>
        <v/>
      </c>
      <c r="S18" s="117" t="e">
        <f>IF($A18="",NA(),$A18)</f>
        <v>#N/A</v>
      </c>
      <c r="T18" s="116" t="e">
        <f>IF($A18="",NA(),$B18)</f>
        <v>#N/A</v>
      </c>
      <c r="V18" s="117" t="e">
        <f>IF($A18="",NA(),$A18)</f>
        <v>#N/A</v>
      </c>
      <c r="W18" s="116" t="e">
        <f>IF($A18="",NA(),$H18)</f>
        <v>#N/A</v>
      </c>
      <c r="Y18" s="117" t="e">
        <f>IF($A18="",NA(),$A18)</f>
        <v>#N/A</v>
      </c>
      <c r="Z18" s="116" t="e">
        <f>IF($A18="",NA(),$J18)</f>
        <v>#N/A</v>
      </c>
      <c r="AB18" s="117" t="e">
        <f>IF($A18="",NA(),$A18)</f>
        <v>#N/A</v>
      </c>
      <c r="AC18" s="116" t="e">
        <f>IF($A18="",NA(),$D18)</f>
        <v>#N/A</v>
      </c>
      <c r="AD18" s="116" t="e">
        <f>IF($A18="",NA(),$E18)</f>
        <v>#N/A</v>
      </c>
      <c r="AF18" s="117" t="e">
        <f>IF($A18="",NA(),$A18)</f>
        <v>#N/A</v>
      </c>
      <c r="AG18" s="116" t="e">
        <f>IF($A18="",NA(),$F18)</f>
        <v>#N/A</v>
      </c>
      <c r="AI18" s="117" t="e">
        <f>IF($A18="",NA(),$A18)</f>
        <v>#N/A</v>
      </c>
      <c r="AJ18" s="116" t="e">
        <f>IF($A18="",NA(),$K18)</f>
        <v>#N/A</v>
      </c>
      <c r="AL18" s="117" t="e">
        <f>IF($A18="",NA(),$A18)</f>
        <v>#N/A</v>
      </c>
      <c r="AM18" s="116" t="e">
        <f>IF($A18="",NA(),$G18)</f>
        <v>#N/A</v>
      </c>
    </row>
    <row r="19" spans="1:39" x14ac:dyDescent="0.3">
      <c r="A19" s="95" t="str">
        <f>IF($M19="","",SUMIFS('Daily Data'!$A$4:$A$503,'Daily Data'!$B$4:$B$503,$B$3,'Daily Data'!$AK$4:$AK$503,$M19))</f>
        <v/>
      </c>
      <c r="B19" s="96" t="str">
        <f>IF($M19="","",SUMIFS('Daily Data'!$E$4:$E$503,'Daily Data'!$B$4:$B$503,$B$3,'Daily Data'!$AK$4:$AK$503,$M19))</f>
        <v/>
      </c>
      <c r="C19" s="97" t="str">
        <f>IF($M19="","",SUMIFS('Daily Data'!$H$4:$H$503,'Daily Data'!$B$4:$B$503,$B$3,'Daily Data'!$AK$4:$AK$503,$M19))</f>
        <v/>
      </c>
      <c r="D19" s="98" t="str">
        <f>IF($M19="","",SUMIFS('Daily Data'!$L$4:$L$503,'Daily Data'!$B$4:$B$503,$B$3,'Daily Data'!$AK$4:$AK$503,$M19))</f>
        <v/>
      </c>
      <c r="E19" s="98" t="str">
        <f>IF($M19="","",SUMIFS('Daily Data'!$M$4:$M$503,'Daily Data'!$B$4:$B$503,$B$3,'Daily Data'!$AK$4:$AK$503,$M19))</f>
        <v/>
      </c>
      <c r="F19" s="99" t="str">
        <f>IF($M19="","",SUMIFS('Daily Data'!$S$4:$S$503,'Daily Data'!$B$4:$B$503,$B$3,'Daily Data'!$AK$4:$AK$503,$M19))</f>
        <v/>
      </c>
      <c r="G19" s="97" t="str">
        <f>IF($M19="","",IF(COUNTIFS('Daily Data'!$B$4:$B$503,$B$3,'Daily Data'!$AK$4:$AK$503,$M19,'Daily Data'!$AA$4:$AA$503,"&gt;=-1E+300")=0,"",SUMIFS('Daily Data'!$AA$4:$AA$503,'Daily Data'!$B$4:$B$503,$B$3,'Daily Data'!$AK$4:$AK$503,$M19)))</f>
        <v/>
      </c>
      <c r="H19" s="98" t="str">
        <f>IF($M19="","",SUMIFS('Daily Data'!$K$4:$K$503,'Daily Data'!$B$4:$B$503,$B$3,'Daily Data'!$AK$4:$AK$503,$M19))</f>
        <v/>
      </c>
      <c r="I19" s="99" t="str">
        <f>IF($M19="","",IF(COUNTIFS('Daily Data'!$B$4:$B$503,$B$3,'Daily Data'!$AK$4:$AK$503,$M19,'Daily Data'!$AC$4:$AC$503,"&gt;=-1E+300")=0,"",SUMIFS('Daily Data'!$AC$4:$AC$503,'Daily Data'!$B$4:$B$503,$B$3,'Daily Data'!$AK$4:$AK$503,$M19)))</f>
        <v/>
      </c>
      <c r="J19" s="98" t="str">
        <f>IF($M19="","",SUMIFS('Daily Data'!$I$4:$I$503,'Daily Data'!$B$4:$B$503,$B$3,'Daily Data'!$AK$4:$AK$503,$M19))</f>
        <v/>
      </c>
      <c r="K19" s="100" t="str">
        <f>IF($M19="","",SUMIFS('Daily Data'!$AH$4:$AH$503,'Daily Data'!$B$4:$B$503,$B$3,'Daily Data'!$AK$4:$AK$503,$M19))</f>
        <v/>
      </c>
      <c r="L19" s="101" t="str">
        <f>IF($K19="","",IF($K19&lt;Settings!$C$46,"Extreme Sell Pressure",IF($K19&lt;Settings!$C$47,"Sell Pressure",IF($K19&lt;=Settings!$C$48,"Neutral",IF($K19&lt;=Settings!$C$49,"Buy Pressure","Extreme Buy Pressure")))))</f>
        <v/>
      </c>
      <c r="M19" s="112" t="str">
        <f>IF(COUNTIF('Daily Data'!$B$4:$B$503,$B$3)-100+ROW()-9&lt;1,"",COUNTIF('Daily Data'!$B$4:$B$503,$B$3)-100+ROW()-9)</f>
        <v/>
      </c>
      <c r="N19" s="97" t="str">
        <f>IF($M19="","",IF(COUNTIFS('Daily Data'!$B$4:$B$503,$B$3,'Daily Data'!$AK$4:$AK$503,$M19,'Daily Data'!$AD$4:$AD$503,"&gt;=-1E+300")=0,"",SUMIFS('Daily Data'!$AD$4:$AD$503,'Daily Data'!$B$4:$B$503,$B$3,'Daily Data'!$AK$4:$AK$503,$M19)))</f>
        <v/>
      </c>
      <c r="O19" s="97" t="str">
        <f>IF($M19="","",IF(COUNTIFS('Daily Data'!$B$4:$B$503,$B$3,'Daily Data'!$AK$4:$AK$503,$M19,'Daily Data'!$AE$4:$AE$503,"&gt;=-1E+300")=0,"",SUMIFS('Daily Data'!$AE$4:$AE$503,'Daily Data'!$B$4:$B$503,$B$3,'Daily Data'!$AK$4:$AK$503,$M19)))</f>
        <v/>
      </c>
      <c r="P19" s="99" t="str">
        <f>IF($M19="","",IF(COUNTIFS('Daily Data'!$B$4:$B$503,$B$3,'Daily Data'!$AK$4:$AK$503,$M19,'Daily Data'!$Z$4:$Z$503,"&gt;=-1E+300")=0,"",SUMIFS('Daily Data'!$Z$4:$Z$503,'Daily Data'!$B$4:$B$503,$B$3,'Daily Data'!$AK$4:$AK$503,$M19)))</f>
        <v/>
      </c>
      <c r="Q19" s="100" t="str">
        <f>IF($M19="","",SUMIFS('Daily Data'!$AG$4:$AG$503,'Daily Data'!$B$4:$B$503,$B$3,'Daily Data'!$AK$4:$AK$503,$M19))</f>
        <v/>
      </c>
      <c r="S19" s="117" t="e">
        <f>IF($A19="",NA(),$A19)</f>
        <v>#N/A</v>
      </c>
      <c r="T19" s="116" t="e">
        <f>IF($A19="",NA(),$B19)</f>
        <v>#N/A</v>
      </c>
      <c r="V19" s="117" t="e">
        <f>IF($A19="",NA(),$A19)</f>
        <v>#N/A</v>
      </c>
      <c r="W19" s="116" t="e">
        <f>IF($A19="",NA(),$H19)</f>
        <v>#N/A</v>
      </c>
      <c r="Y19" s="117" t="e">
        <f>IF($A19="",NA(),$A19)</f>
        <v>#N/A</v>
      </c>
      <c r="Z19" s="116" t="e">
        <f>IF($A19="",NA(),$J19)</f>
        <v>#N/A</v>
      </c>
      <c r="AB19" s="117" t="e">
        <f>IF($A19="",NA(),$A19)</f>
        <v>#N/A</v>
      </c>
      <c r="AC19" s="116" t="e">
        <f>IF($A19="",NA(),$D19)</f>
        <v>#N/A</v>
      </c>
      <c r="AD19" s="116" t="e">
        <f>IF($A19="",NA(),$E19)</f>
        <v>#N/A</v>
      </c>
      <c r="AF19" s="117" t="e">
        <f>IF($A19="",NA(),$A19)</f>
        <v>#N/A</v>
      </c>
      <c r="AG19" s="116" t="e">
        <f>IF($A19="",NA(),$F19)</f>
        <v>#N/A</v>
      </c>
      <c r="AI19" s="117" t="e">
        <f>IF($A19="",NA(),$A19)</f>
        <v>#N/A</v>
      </c>
      <c r="AJ19" s="116" t="e">
        <f>IF($A19="",NA(),$K19)</f>
        <v>#N/A</v>
      </c>
      <c r="AL19" s="117" t="e">
        <f>IF($A19="",NA(),$A19)</f>
        <v>#N/A</v>
      </c>
      <c r="AM19" s="116" t="e">
        <f>IF($A19="",NA(),$G19)</f>
        <v>#N/A</v>
      </c>
    </row>
    <row r="20" spans="1:39" x14ac:dyDescent="0.3">
      <c r="A20" s="95" t="str">
        <f>IF($M20="","",SUMIFS('Daily Data'!$A$4:$A$503,'Daily Data'!$B$4:$B$503,$B$3,'Daily Data'!$AK$4:$AK$503,$M20))</f>
        <v/>
      </c>
      <c r="B20" s="96" t="str">
        <f>IF($M20="","",SUMIFS('Daily Data'!$E$4:$E$503,'Daily Data'!$B$4:$B$503,$B$3,'Daily Data'!$AK$4:$AK$503,$M20))</f>
        <v/>
      </c>
      <c r="C20" s="97" t="str">
        <f>IF($M20="","",SUMIFS('Daily Data'!$H$4:$H$503,'Daily Data'!$B$4:$B$503,$B$3,'Daily Data'!$AK$4:$AK$503,$M20))</f>
        <v/>
      </c>
      <c r="D20" s="98" t="str">
        <f>IF($M20="","",SUMIFS('Daily Data'!$L$4:$L$503,'Daily Data'!$B$4:$B$503,$B$3,'Daily Data'!$AK$4:$AK$503,$M20))</f>
        <v/>
      </c>
      <c r="E20" s="98" t="str">
        <f>IF($M20="","",SUMIFS('Daily Data'!$M$4:$M$503,'Daily Data'!$B$4:$B$503,$B$3,'Daily Data'!$AK$4:$AK$503,$M20))</f>
        <v/>
      </c>
      <c r="F20" s="99" t="str">
        <f>IF($M20="","",SUMIFS('Daily Data'!$S$4:$S$503,'Daily Data'!$B$4:$B$503,$B$3,'Daily Data'!$AK$4:$AK$503,$M20))</f>
        <v/>
      </c>
      <c r="G20" s="97" t="str">
        <f>IF($M20="","",IF(COUNTIFS('Daily Data'!$B$4:$B$503,$B$3,'Daily Data'!$AK$4:$AK$503,$M20,'Daily Data'!$AA$4:$AA$503,"&gt;=-1E+300")=0,"",SUMIFS('Daily Data'!$AA$4:$AA$503,'Daily Data'!$B$4:$B$503,$B$3,'Daily Data'!$AK$4:$AK$503,$M20)))</f>
        <v/>
      </c>
      <c r="H20" s="98" t="str">
        <f>IF($M20="","",SUMIFS('Daily Data'!$K$4:$K$503,'Daily Data'!$B$4:$B$503,$B$3,'Daily Data'!$AK$4:$AK$503,$M20))</f>
        <v/>
      </c>
      <c r="I20" s="99" t="str">
        <f>IF($M20="","",IF(COUNTIFS('Daily Data'!$B$4:$B$503,$B$3,'Daily Data'!$AK$4:$AK$503,$M20,'Daily Data'!$AC$4:$AC$503,"&gt;=-1E+300")=0,"",SUMIFS('Daily Data'!$AC$4:$AC$503,'Daily Data'!$B$4:$B$503,$B$3,'Daily Data'!$AK$4:$AK$503,$M20)))</f>
        <v/>
      </c>
      <c r="J20" s="98" t="str">
        <f>IF($M20="","",SUMIFS('Daily Data'!$I$4:$I$503,'Daily Data'!$B$4:$B$503,$B$3,'Daily Data'!$AK$4:$AK$503,$M20))</f>
        <v/>
      </c>
      <c r="K20" s="100" t="str">
        <f>IF($M20="","",SUMIFS('Daily Data'!$AH$4:$AH$503,'Daily Data'!$B$4:$B$503,$B$3,'Daily Data'!$AK$4:$AK$503,$M20))</f>
        <v/>
      </c>
      <c r="L20" s="101" t="str">
        <f>IF($K20="","",IF($K20&lt;Settings!$C$46,"Extreme Sell Pressure",IF($K20&lt;Settings!$C$47,"Sell Pressure",IF($K20&lt;=Settings!$C$48,"Neutral",IF($K20&lt;=Settings!$C$49,"Buy Pressure","Extreme Buy Pressure")))))</f>
        <v/>
      </c>
      <c r="M20" s="112" t="str">
        <f>IF(COUNTIF('Daily Data'!$B$4:$B$503,$B$3)-100+ROW()-9&lt;1,"",COUNTIF('Daily Data'!$B$4:$B$503,$B$3)-100+ROW()-9)</f>
        <v/>
      </c>
      <c r="N20" s="97" t="str">
        <f>IF($M20="","",IF(COUNTIFS('Daily Data'!$B$4:$B$503,$B$3,'Daily Data'!$AK$4:$AK$503,$M20,'Daily Data'!$AD$4:$AD$503,"&gt;=-1E+300")=0,"",SUMIFS('Daily Data'!$AD$4:$AD$503,'Daily Data'!$B$4:$B$503,$B$3,'Daily Data'!$AK$4:$AK$503,$M20)))</f>
        <v/>
      </c>
      <c r="O20" s="97" t="str">
        <f>IF($M20="","",IF(COUNTIFS('Daily Data'!$B$4:$B$503,$B$3,'Daily Data'!$AK$4:$AK$503,$M20,'Daily Data'!$AE$4:$AE$503,"&gt;=-1E+300")=0,"",SUMIFS('Daily Data'!$AE$4:$AE$503,'Daily Data'!$B$4:$B$503,$B$3,'Daily Data'!$AK$4:$AK$503,$M20)))</f>
        <v/>
      </c>
      <c r="P20" s="99" t="str">
        <f>IF($M20="","",IF(COUNTIFS('Daily Data'!$B$4:$B$503,$B$3,'Daily Data'!$AK$4:$AK$503,$M20,'Daily Data'!$Z$4:$Z$503,"&gt;=-1E+300")=0,"",SUMIFS('Daily Data'!$Z$4:$Z$503,'Daily Data'!$B$4:$B$503,$B$3,'Daily Data'!$AK$4:$AK$503,$M20)))</f>
        <v/>
      </c>
      <c r="Q20" s="100" t="str">
        <f>IF($M20="","",SUMIFS('Daily Data'!$AG$4:$AG$503,'Daily Data'!$B$4:$B$503,$B$3,'Daily Data'!$AK$4:$AK$503,$M20))</f>
        <v/>
      </c>
      <c r="S20" s="117" t="e">
        <f>IF($A20="",NA(),$A20)</f>
        <v>#N/A</v>
      </c>
      <c r="T20" s="116" t="e">
        <f>IF($A20="",NA(),$B20)</f>
        <v>#N/A</v>
      </c>
      <c r="V20" s="117" t="e">
        <f>IF($A20="",NA(),$A20)</f>
        <v>#N/A</v>
      </c>
      <c r="W20" s="116" t="e">
        <f>IF($A20="",NA(),$H20)</f>
        <v>#N/A</v>
      </c>
      <c r="Y20" s="117" t="e">
        <f>IF($A20="",NA(),$A20)</f>
        <v>#N/A</v>
      </c>
      <c r="Z20" s="116" t="e">
        <f>IF($A20="",NA(),$J20)</f>
        <v>#N/A</v>
      </c>
      <c r="AB20" s="117" t="e">
        <f>IF($A20="",NA(),$A20)</f>
        <v>#N/A</v>
      </c>
      <c r="AC20" s="116" t="e">
        <f>IF($A20="",NA(),$D20)</f>
        <v>#N/A</v>
      </c>
      <c r="AD20" s="116" t="e">
        <f>IF($A20="",NA(),$E20)</f>
        <v>#N/A</v>
      </c>
      <c r="AF20" s="117" t="e">
        <f>IF($A20="",NA(),$A20)</f>
        <v>#N/A</v>
      </c>
      <c r="AG20" s="116" t="e">
        <f>IF($A20="",NA(),$F20)</f>
        <v>#N/A</v>
      </c>
      <c r="AI20" s="117" t="e">
        <f>IF($A20="",NA(),$A20)</f>
        <v>#N/A</v>
      </c>
      <c r="AJ20" s="116" t="e">
        <f>IF($A20="",NA(),$K20)</f>
        <v>#N/A</v>
      </c>
      <c r="AL20" s="117" t="e">
        <f>IF($A20="",NA(),$A20)</f>
        <v>#N/A</v>
      </c>
      <c r="AM20" s="116" t="e">
        <f>IF($A20="",NA(),$G20)</f>
        <v>#N/A</v>
      </c>
    </row>
    <row r="21" spans="1:39" x14ac:dyDescent="0.3">
      <c r="A21" s="95" t="str">
        <f>IF($M21="","",SUMIFS('Daily Data'!$A$4:$A$503,'Daily Data'!$B$4:$B$503,$B$3,'Daily Data'!$AK$4:$AK$503,$M21))</f>
        <v/>
      </c>
      <c r="B21" s="96" t="str">
        <f>IF($M21="","",SUMIFS('Daily Data'!$E$4:$E$503,'Daily Data'!$B$4:$B$503,$B$3,'Daily Data'!$AK$4:$AK$503,$M21))</f>
        <v/>
      </c>
      <c r="C21" s="97" t="str">
        <f>IF($M21="","",SUMIFS('Daily Data'!$H$4:$H$503,'Daily Data'!$B$4:$B$503,$B$3,'Daily Data'!$AK$4:$AK$503,$M21))</f>
        <v/>
      </c>
      <c r="D21" s="98" t="str">
        <f>IF($M21="","",SUMIFS('Daily Data'!$L$4:$L$503,'Daily Data'!$B$4:$B$503,$B$3,'Daily Data'!$AK$4:$AK$503,$M21))</f>
        <v/>
      </c>
      <c r="E21" s="98" t="str">
        <f>IF($M21="","",SUMIFS('Daily Data'!$M$4:$M$503,'Daily Data'!$B$4:$B$503,$B$3,'Daily Data'!$AK$4:$AK$503,$M21))</f>
        <v/>
      </c>
      <c r="F21" s="99" t="str">
        <f>IF($M21="","",SUMIFS('Daily Data'!$S$4:$S$503,'Daily Data'!$B$4:$B$503,$B$3,'Daily Data'!$AK$4:$AK$503,$M21))</f>
        <v/>
      </c>
      <c r="G21" s="97" t="str">
        <f>IF($M21="","",IF(COUNTIFS('Daily Data'!$B$4:$B$503,$B$3,'Daily Data'!$AK$4:$AK$503,$M21,'Daily Data'!$AA$4:$AA$503,"&gt;=-1E+300")=0,"",SUMIFS('Daily Data'!$AA$4:$AA$503,'Daily Data'!$B$4:$B$503,$B$3,'Daily Data'!$AK$4:$AK$503,$M21)))</f>
        <v/>
      </c>
      <c r="H21" s="98" t="str">
        <f>IF($M21="","",SUMIFS('Daily Data'!$K$4:$K$503,'Daily Data'!$B$4:$B$503,$B$3,'Daily Data'!$AK$4:$AK$503,$M21))</f>
        <v/>
      </c>
      <c r="I21" s="99" t="str">
        <f>IF($M21="","",IF(COUNTIFS('Daily Data'!$B$4:$B$503,$B$3,'Daily Data'!$AK$4:$AK$503,$M21,'Daily Data'!$AC$4:$AC$503,"&gt;=-1E+300")=0,"",SUMIFS('Daily Data'!$AC$4:$AC$503,'Daily Data'!$B$4:$B$503,$B$3,'Daily Data'!$AK$4:$AK$503,$M21)))</f>
        <v/>
      </c>
      <c r="J21" s="98" t="str">
        <f>IF($M21="","",SUMIFS('Daily Data'!$I$4:$I$503,'Daily Data'!$B$4:$B$503,$B$3,'Daily Data'!$AK$4:$AK$503,$M21))</f>
        <v/>
      </c>
      <c r="K21" s="100" t="str">
        <f>IF($M21="","",SUMIFS('Daily Data'!$AH$4:$AH$503,'Daily Data'!$B$4:$B$503,$B$3,'Daily Data'!$AK$4:$AK$503,$M21))</f>
        <v/>
      </c>
      <c r="L21" s="101" t="str">
        <f>IF($K21="","",IF($K21&lt;Settings!$C$46,"Extreme Sell Pressure",IF($K21&lt;Settings!$C$47,"Sell Pressure",IF($K21&lt;=Settings!$C$48,"Neutral",IF($K21&lt;=Settings!$C$49,"Buy Pressure","Extreme Buy Pressure")))))</f>
        <v/>
      </c>
      <c r="M21" s="112" t="str">
        <f>IF(COUNTIF('Daily Data'!$B$4:$B$503,$B$3)-100+ROW()-9&lt;1,"",COUNTIF('Daily Data'!$B$4:$B$503,$B$3)-100+ROW()-9)</f>
        <v/>
      </c>
      <c r="N21" s="97" t="str">
        <f>IF($M21="","",IF(COUNTIFS('Daily Data'!$B$4:$B$503,$B$3,'Daily Data'!$AK$4:$AK$503,$M21,'Daily Data'!$AD$4:$AD$503,"&gt;=-1E+300")=0,"",SUMIFS('Daily Data'!$AD$4:$AD$503,'Daily Data'!$B$4:$B$503,$B$3,'Daily Data'!$AK$4:$AK$503,$M21)))</f>
        <v/>
      </c>
      <c r="O21" s="97" t="str">
        <f>IF($M21="","",IF(COUNTIFS('Daily Data'!$B$4:$B$503,$B$3,'Daily Data'!$AK$4:$AK$503,$M21,'Daily Data'!$AE$4:$AE$503,"&gt;=-1E+300")=0,"",SUMIFS('Daily Data'!$AE$4:$AE$503,'Daily Data'!$B$4:$B$503,$B$3,'Daily Data'!$AK$4:$AK$503,$M21)))</f>
        <v/>
      </c>
      <c r="P21" s="99" t="str">
        <f>IF($M21="","",IF(COUNTIFS('Daily Data'!$B$4:$B$503,$B$3,'Daily Data'!$AK$4:$AK$503,$M21,'Daily Data'!$Z$4:$Z$503,"&gt;=-1E+300")=0,"",SUMIFS('Daily Data'!$Z$4:$Z$503,'Daily Data'!$B$4:$B$503,$B$3,'Daily Data'!$AK$4:$AK$503,$M21)))</f>
        <v/>
      </c>
      <c r="Q21" s="100" t="str">
        <f>IF($M21="","",SUMIFS('Daily Data'!$AG$4:$AG$503,'Daily Data'!$B$4:$B$503,$B$3,'Daily Data'!$AK$4:$AK$503,$M21))</f>
        <v/>
      </c>
      <c r="S21" s="117" t="e">
        <f>IF($A21="",NA(),$A21)</f>
        <v>#N/A</v>
      </c>
      <c r="T21" s="116" t="e">
        <f>IF($A21="",NA(),$B21)</f>
        <v>#N/A</v>
      </c>
      <c r="V21" s="117" t="e">
        <f>IF($A21="",NA(),$A21)</f>
        <v>#N/A</v>
      </c>
      <c r="W21" s="116" t="e">
        <f>IF($A21="",NA(),$H21)</f>
        <v>#N/A</v>
      </c>
      <c r="Y21" s="117" t="e">
        <f>IF($A21="",NA(),$A21)</f>
        <v>#N/A</v>
      </c>
      <c r="Z21" s="116" t="e">
        <f>IF($A21="",NA(),$J21)</f>
        <v>#N/A</v>
      </c>
      <c r="AB21" s="117" t="e">
        <f>IF($A21="",NA(),$A21)</f>
        <v>#N/A</v>
      </c>
      <c r="AC21" s="116" t="e">
        <f>IF($A21="",NA(),$D21)</f>
        <v>#N/A</v>
      </c>
      <c r="AD21" s="116" t="e">
        <f>IF($A21="",NA(),$E21)</f>
        <v>#N/A</v>
      </c>
      <c r="AF21" s="117" t="e">
        <f>IF($A21="",NA(),$A21)</f>
        <v>#N/A</v>
      </c>
      <c r="AG21" s="116" t="e">
        <f>IF($A21="",NA(),$F21)</f>
        <v>#N/A</v>
      </c>
      <c r="AI21" s="117" t="e">
        <f>IF($A21="",NA(),$A21)</f>
        <v>#N/A</v>
      </c>
      <c r="AJ21" s="116" t="e">
        <f>IF($A21="",NA(),$K21)</f>
        <v>#N/A</v>
      </c>
      <c r="AL21" s="117" t="e">
        <f>IF($A21="",NA(),$A21)</f>
        <v>#N/A</v>
      </c>
      <c r="AM21" s="116" t="e">
        <f>IF($A21="",NA(),$G21)</f>
        <v>#N/A</v>
      </c>
    </row>
    <row r="22" spans="1:39" x14ac:dyDescent="0.3">
      <c r="A22" s="95" t="str">
        <f>IF($M22="","",SUMIFS('Daily Data'!$A$4:$A$503,'Daily Data'!$B$4:$B$503,$B$3,'Daily Data'!$AK$4:$AK$503,$M22))</f>
        <v/>
      </c>
      <c r="B22" s="96" t="str">
        <f>IF($M22="","",SUMIFS('Daily Data'!$E$4:$E$503,'Daily Data'!$B$4:$B$503,$B$3,'Daily Data'!$AK$4:$AK$503,$M22))</f>
        <v/>
      </c>
      <c r="C22" s="97" t="str">
        <f>IF($M22="","",SUMIFS('Daily Data'!$H$4:$H$503,'Daily Data'!$B$4:$B$503,$B$3,'Daily Data'!$AK$4:$AK$503,$M22))</f>
        <v/>
      </c>
      <c r="D22" s="98" t="str">
        <f>IF($M22="","",SUMIFS('Daily Data'!$L$4:$L$503,'Daily Data'!$B$4:$B$503,$B$3,'Daily Data'!$AK$4:$AK$503,$M22))</f>
        <v/>
      </c>
      <c r="E22" s="98" t="str">
        <f>IF($M22="","",SUMIFS('Daily Data'!$M$4:$M$503,'Daily Data'!$B$4:$B$503,$B$3,'Daily Data'!$AK$4:$AK$503,$M22))</f>
        <v/>
      </c>
      <c r="F22" s="99" t="str">
        <f>IF($M22="","",SUMIFS('Daily Data'!$S$4:$S$503,'Daily Data'!$B$4:$B$503,$B$3,'Daily Data'!$AK$4:$AK$503,$M22))</f>
        <v/>
      </c>
      <c r="G22" s="97" t="str">
        <f>IF($M22="","",IF(COUNTIFS('Daily Data'!$B$4:$B$503,$B$3,'Daily Data'!$AK$4:$AK$503,$M22,'Daily Data'!$AA$4:$AA$503,"&gt;=-1E+300")=0,"",SUMIFS('Daily Data'!$AA$4:$AA$503,'Daily Data'!$B$4:$B$503,$B$3,'Daily Data'!$AK$4:$AK$503,$M22)))</f>
        <v/>
      </c>
      <c r="H22" s="98" t="str">
        <f>IF($M22="","",SUMIFS('Daily Data'!$K$4:$K$503,'Daily Data'!$B$4:$B$503,$B$3,'Daily Data'!$AK$4:$AK$503,$M22))</f>
        <v/>
      </c>
      <c r="I22" s="99" t="str">
        <f>IF($M22="","",IF(COUNTIFS('Daily Data'!$B$4:$B$503,$B$3,'Daily Data'!$AK$4:$AK$503,$M22,'Daily Data'!$AC$4:$AC$503,"&gt;=-1E+300")=0,"",SUMIFS('Daily Data'!$AC$4:$AC$503,'Daily Data'!$B$4:$B$503,$B$3,'Daily Data'!$AK$4:$AK$503,$M22)))</f>
        <v/>
      </c>
      <c r="J22" s="98" t="str">
        <f>IF($M22="","",SUMIFS('Daily Data'!$I$4:$I$503,'Daily Data'!$B$4:$B$503,$B$3,'Daily Data'!$AK$4:$AK$503,$M22))</f>
        <v/>
      </c>
      <c r="K22" s="100" t="str">
        <f>IF($M22="","",SUMIFS('Daily Data'!$AH$4:$AH$503,'Daily Data'!$B$4:$B$503,$B$3,'Daily Data'!$AK$4:$AK$503,$M22))</f>
        <v/>
      </c>
      <c r="L22" s="101" t="str">
        <f>IF($K22="","",IF($K22&lt;Settings!$C$46,"Extreme Sell Pressure",IF($K22&lt;Settings!$C$47,"Sell Pressure",IF($K22&lt;=Settings!$C$48,"Neutral",IF($K22&lt;=Settings!$C$49,"Buy Pressure","Extreme Buy Pressure")))))</f>
        <v/>
      </c>
      <c r="M22" s="112" t="str">
        <f>IF(COUNTIF('Daily Data'!$B$4:$B$503,$B$3)-100+ROW()-9&lt;1,"",COUNTIF('Daily Data'!$B$4:$B$503,$B$3)-100+ROW()-9)</f>
        <v/>
      </c>
      <c r="N22" s="97" t="str">
        <f>IF($M22="","",IF(COUNTIFS('Daily Data'!$B$4:$B$503,$B$3,'Daily Data'!$AK$4:$AK$503,$M22,'Daily Data'!$AD$4:$AD$503,"&gt;=-1E+300")=0,"",SUMIFS('Daily Data'!$AD$4:$AD$503,'Daily Data'!$B$4:$B$503,$B$3,'Daily Data'!$AK$4:$AK$503,$M22)))</f>
        <v/>
      </c>
      <c r="O22" s="97" t="str">
        <f>IF($M22="","",IF(COUNTIFS('Daily Data'!$B$4:$B$503,$B$3,'Daily Data'!$AK$4:$AK$503,$M22,'Daily Data'!$AE$4:$AE$503,"&gt;=-1E+300")=0,"",SUMIFS('Daily Data'!$AE$4:$AE$503,'Daily Data'!$B$4:$B$503,$B$3,'Daily Data'!$AK$4:$AK$503,$M22)))</f>
        <v/>
      </c>
      <c r="P22" s="99" t="str">
        <f>IF($M22="","",IF(COUNTIFS('Daily Data'!$B$4:$B$503,$B$3,'Daily Data'!$AK$4:$AK$503,$M22,'Daily Data'!$Z$4:$Z$503,"&gt;=-1E+300")=0,"",SUMIFS('Daily Data'!$Z$4:$Z$503,'Daily Data'!$B$4:$B$503,$B$3,'Daily Data'!$AK$4:$AK$503,$M22)))</f>
        <v/>
      </c>
      <c r="Q22" s="100" t="str">
        <f>IF($M22="","",SUMIFS('Daily Data'!$AG$4:$AG$503,'Daily Data'!$B$4:$B$503,$B$3,'Daily Data'!$AK$4:$AK$503,$M22))</f>
        <v/>
      </c>
      <c r="S22" s="117" t="e">
        <f>IF($A22="",NA(),$A22)</f>
        <v>#N/A</v>
      </c>
      <c r="T22" s="116" t="e">
        <f>IF($A22="",NA(),$B22)</f>
        <v>#N/A</v>
      </c>
      <c r="V22" s="117" t="e">
        <f>IF($A22="",NA(),$A22)</f>
        <v>#N/A</v>
      </c>
      <c r="W22" s="116" t="e">
        <f>IF($A22="",NA(),$H22)</f>
        <v>#N/A</v>
      </c>
      <c r="Y22" s="117" t="e">
        <f>IF($A22="",NA(),$A22)</f>
        <v>#N/A</v>
      </c>
      <c r="Z22" s="116" t="e">
        <f>IF($A22="",NA(),$J22)</f>
        <v>#N/A</v>
      </c>
      <c r="AB22" s="117" t="e">
        <f>IF($A22="",NA(),$A22)</f>
        <v>#N/A</v>
      </c>
      <c r="AC22" s="116" t="e">
        <f>IF($A22="",NA(),$D22)</f>
        <v>#N/A</v>
      </c>
      <c r="AD22" s="116" t="e">
        <f>IF($A22="",NA(),$E22)</f>
        <v>#N/A</v>
      </c>
      <c r="AF22" s="117" t="e">
        <f>IF($A22="",NA(),$A22)</f>
        <v>#N/A</v>
      </c>
      <c r="AG22" s="116" t="e">
        <f>IF($A22="",NA(),$F22)</f>
        <v>#N/A</v>
      </c>
      <c r="AI22" s="117" t="e">
        <f>IF($A22="",NA(),$A22)</f>
        <v>#N/A</v>
      </c>
      <c r="AJ22" s="116" t="e">
        <f>IF($A22="",NA(),$K22)</f>
        <v>#N/A</v>
      </c>
      <c r="AL22" s="117" t="e">
        <f>IF($A22="",NA(),$A22)</f>
        <v>#N/A</v>
      </c>
      <c r="AM22" s="116" t="e">
        <f>IF($A22="",NA(),$G22)</f>
        <v>#N/A</v>
      </c>
    </row>
    <row r="23" spans="1:39" x14ac:dyDescent="0.3">
      <c r="A23" s="95" t="str">
        <f>IF($M23="","",SUMIFS('Daily Data'!$A$4:$A$503,'Daily Data'!$B$4:$B$503,$B$3,'Daily Data'!$AK$4:$AK$503,$M23))</f>
        <v/>
      </c>
      <c r="B23" s="96" t="str">
        <f>IF($M23="","",SUMIFS('Daily Data'!$E$4:$E$503,'Daily Data'!$B$4:$B$503,$B$3,'Daily Data'!$AK$4:$AK$503,$M23))</f>
        <v/>
      </c>
      <c r="C23" s="97" t="str">
        <f>IF($M23="","",SUMIFS('Daily Data'!$H$4:$H$503,'Daily Data'!$B$4:$B$503,$B$3,'Daily Data'!$AK$4:$AK$503,$M23))</f>
        <v/>
      </c>
      <c r="D23" s="98" t="str">
        <f>IF($M23="","",SUMIFS('Daily Data'!$L$4:$L$503,'Daily Data'!$B$4:$B$503,$B$3,'Daily Data'!$AK$4:$AK$503,$M23))</f>
        <v/>
      </c>
      <c r="E23" s="98" t="str">
        <f>IF($M23="","",SUMIFS('Daily Data'!$M$4:$M$503,'Daily Data'!$B$4:$B$503,$B$3,'Daily Data'!$AK$4:$AK$503,$M23))</f>
        <v/>
      </c>
      <c r="F23" s="99" t="str">
        <f>IF($M23="","",SUMIFS('Daily Data'!$S$4:$S$503,'Daily Data'!$B$4:$B$503,$B$3,'Daily Data'!$AK$4:$AK$503,$M23))</f>
        <v/>
      </c>
      <c r="G23" s="97" t="str">
        <f>IF($M23="","",IF(COUNTIFS('Daily Data'!$B$4:$B$503,$B$3,'Daily Data'!$AK$4:$AK$503,$M23,'Daily Data'!$AA$4:$AA$503,"&gt;=-1E+300")=0,"",SUMIFS('Daily Data'!$AA$4:$AA$503,'Daily Data'!$B$4:$B$503,$B$3,'Daily Data'!$AK$4:$AK$503,$M23)))</f>
        <v/>
      </c>
      <c r="H23" s="98" t="str">
        <f>IF($M23="","",SUMIFS('Daily Data'!$K$4:$K$503,'Daily Data'!$B$4:$B$503,$B$3,'Daily Data'!$AK$4:$AK$503,$M23))</f>
        <v/>
      </c>
      <c r="I23" s="99" t="str">
        <f>IF($M23="","",IF(COUNTIFS('Daily Data'!$B$4:$B$503,$B$3,'Daily Data'!$AK$4:$AK$503,$M23,'Daily Data'!$AC$4:$AC$503,"&gt;=-1E+300")=0,"",SUMIFS('Daily Data'!$AC$4:$AC$503,'Daily Data'!$B$4:$B$503,$B$3,'Daily Data'!$AK$4:$AK$503,$M23)))</f>
        <v/>
      </c>
      <c r="J23" s="98" t="str">
        <f>IF($M23="","",SUMIFS('Daily Data'!$I$4:$I$503,'Daily Data'!$B$4:$B$503,$B$3,'Daily Data'!$AK$4:$AK$503,$M23))</f>
        <v/>
      </c>
      <c r="K23" s="100" t="str">
        <f>IF($M23="","",SUMIFS('Daily Data'!$AH$4:$AH$503,'Daily Data'!$B$4:$B$503,$B$3,'Daily Data'!$AK$4:$AK$503,$M23))</f>
        <v/>
      </c>
      <c r="L23" s="101" t="str">
        <f>IF($K23="","",IF($K23&lt;Settings!$C$46,"Extreme Sell Pressure",IF($K23&lt;Settings!$C$47,"Sell Pressure",IF($K23&lt;=Settings!$C$48,"Neutral",IF($K23&lt;=Settings!$C$49,"Buy Pressure","Extreme Buy Pressure")))))</f>
        <v/>
      </c>
      <c r="M23" s="112" t="str">
        <f>IF(COUNTIF('Daily Data'!$B$4:$B$503,$B$3)-100+ROW()-9&lt;1,"",COUNTIF('Daily Data'!$B$4:$B$503,$B$3)-100+ROW()-9)</f>
        <v/>
      </c>
      <c r="N23" s="97" t="str">
        <f>IF($M23="","",IF(COUNTIFS('Daily Data'!$B$4:$B$503,$B$3,'Daily Data'!$AK$4:$AK$503,$M23,'Daily Data'!$AD$4:$AD$503,"&gt;=-1E+300")=0,"",SUMIFS('Daily Data'!$AD$4:$AD$503,'Daily Data'!$B$4:$B$503,$B$3,'Daily Data'!$AK$4:$AK$503,$M23)))</f>
        <v/>
      </c>
      <c r="O23" s="97" t="str">
        <f>IF($M23="","",IF(COUNTIFS('Daily Data'!$B$4:$B$503,$B$3,'Daily Data'!$AK$4:$AK$503,$M23,'Daily Data'!$AE$4:$AE$503,"&gt;=-1E+300")=0,"",SUMIFS('Daily Data'!$AE$4:$AE$503,'Daily Data'!$B$4:$B$503,$B$3,'Daily Data'!$AK$4:$AK$503,$M23)))</f>
        <v/>
      </c>
      <c r="P23" s="99" t="str">
        <f>IF($M23="","",IF(COUNTIFS('Daily Data'!$B$4:$B$503,$B$3,'Daily Data'!$AK$4:$AK$503,$M23,'Daily Data'!$Z$4:$Z$503,"&gt;=-1E+300")=0,"",SUMIFS('Daily Data'!$Z$4:$Z$503,'Daily Data'!$B$4:$B$503,$B$3,'Daily Data'!$AK$4:$AK$503,$M23)))</f>
        <v/>
      </c>
      <c r="Q23" s="100" t="str">
        <f>IF($M23="","",SUMIFS('Daily Data'!$AG$4:$AG$503,'Daily Data'!$B$4:$B$503,$B$3,'Daily Data'!$AK$4:$AK$503,$M23))</f>
        <v/>
      </c>
      <c r="S23" s="117" t="e">
        <f>IF($A23="",NA(),$A23)</f>
        <v>#N/A</v>
      </c>
      <c r="T23" s="116" t="e">
        <f>IF($A23="",NA(),$B23)</f>
        <v>#N/A</v>
      </c>
      <c r="V23" s="117" t="e">
        <f>IF($A23="",NA(),$A23)</f>
        <v>#N/A</v>
      </c>
      <c r="W23" s="116" t="e">
        <f>IF($A23="",NA(),$H23)</f>
        <v>#N/A</v>
      </c>
      <c r="Y23" s="117" t="e">
        <f>IF($A23="",NA(),$A23)</f>
        <v>#N/A</v>
      </c>
      <c r="Z23" s="116" t="e">
        <f>IF($A23="",NA(),$J23)</f>
        <v>#N/A</v>
      </c>
      <c r="AB23" s="117" t="e">
        <f>IF($A23="",NA(),$A23)</f>
        <v>#N/A</v>
      </c>
      <c r="AC23" s="116" t="e">
        <f>IF($A23="",NA(),$D23)</f>
        <v>#N/A</v>
      </c>
      <c r="AD23" s="116" t="e">
        <f>IF($A23="",NA(),$E23)</f>
        <v>#N/A</v>
      </c>
      <c r="AF23" s="117" t="e">
        <f>IF($A23="",NA(),$A23)</f>
        <v>#N/A</v>
      </c>
      <c r="AG23" s="116" t="e">
        <f>IF($A23="",NA(),$F23)</f>
        <v>#N/A</v>
      </c>
      <c r="AI23" s="117" t="e">
        <f>IF($A23="",NA(),$A23)</f>
        <v>#N/A</v>
      </c>
      <c r="AJ23" s="116" t="e">
        <f>IF($A23="",NA(),$K23)</f>
        <v>#N/A</v>
      </c>
      <c r="AL23" s="117" t="e">
        <f>IF($A23="",NA(),$A23)</f>
        <v>#N/A</v>
      </c>
      <c r="AM23" s="116" t="e">
        <f>IF($A23="",NA(),$G23)</f>
        <v>#N/A</v>
      </c>
    </row>
    <row r="24" spans="1:39" x14ac:dyDescent="0.3">
      <c r="A24" s="95" t="str">
        <f>IF($M24="","",SUMIFS('Daily Data'!$A$4:$A$503,'Daily Data'!$B$4:$B$503,$B$3,'Daily Data'!$AK$4:$AK$503,$M24))</f>
        <v/>
      </c>
      <c r="B24" s="96" t="str">
        <f>IF($M24="","",SUMIFS('Daily Data'!$E$4:$E$503,'Daily Data'!$B$4:$B$503,$B$3,'Daily Data'!$AK$4:$AK$503,$M24))</f>
        <v/>
      </c>
      <c r="C24" s="97" t="str">
        <f>IF($M24="","",SUMIFS('Daily Data'!$H$4:$H$503,'Daily Data'!$B$4:$B$503,$B$3,'Daily Data'!$AK$4:$AK$503,$M24))</f>
        <v/>
      </c>
      <c r="D24" s="98" t="str">
        <f>IF($M24="","",SUMIFS('Daily Data'!$L$4:$L$503,'Daily Data'!$B$4:$B$503,$B$3,'Daily Data'!$AK$4:$AK$503,$M24))</f>
        <v/>
      </c>
      <c r="E24" s="98" t="str">
        <f>IF($M24="","",SUMIFS('Daily Data'!$M$4:$M$503,'Daily Data'!$B$4:$B$503,$B$3,'Daily Data'!$AK$4:$AK$503,$M24))</f>
        <v/>
      </c>
      <c r="F24" s="99" t="str">
        <f>IF($M24="","",SUMIFS('Daily Data'!$S$4:$S$503,'Daily Data'!$B$4:$B$503,$B$3,'Daily Data'!$AK$4:$AK$503,$M24))</f>
        <v/>
      </c>
      <c r="G24" s="97" t="str">
        <f>IF($M24="","",IF(COUNTIFS('Daily Data'!$B$4:$B$503,$B$3,'Daily Data'!$AK$4:$AK$503,$M24,'Daily Data'!$AA$4:$AA$503,"&gt;=-1E+300")=0,"",SUMIFS('Daily Data'!$AA$4:$AA$503,'Daily Data'!$B$4:$B$503,$B$3,'Daily Data'!$AK$4:$AK$503,$M24)))</f>
        <v/>
      </c>
      <c r="H24" s="98" t="str">
        <f>IF($M24="","",SUMIFS('Daily Data'!$K$4:$K$503,'Daily Data'!$B$4:$B$503,$B$3,'Daily Data'!$AK$4:$AK$503,$M24))</f>
        <v/>
      </c>
      <c r="I24" s="99" t="str">
        <f>IF($M24="","",IF(COUNTIFS('Daily Data'!$B$4:$B$503,$B$3,'Daily Data'!$AK$4:$AK$503,$M24,'Daily Data'!$AC$4:$AC$503,"&gt;=-1E+300")=0,"",SUMIFS('Daily Data'!$AC$4:$AC$503,'Daily Data'!$B$4:$B$503,$B$3,'Daily Data'!$AK$4:$AK$503,$M24)))</f>
        <v/>
      </c>
      <c r="J24" s="98" t="str">
        <f>IF($M24="","",SUMIFS('Daily Data'!$I$4:$I$503,'Daily Data'!$B$4:$B$503,$B$3,'Daily Data'!$AK$4:$AK$503,$M24))</f>
        <v/>
      </c>
      <c r="K24" s="100" t="str">
        <f>IF($M24="","",SUMIFS('Daily Data'!$AH$4:$AH$503,'Daily Data'!$B$4:$B$503,$B$3,'Daily Data'!$AK$4:$AK$503,$M24))</f>
        <v/>
      </c>
      <c r="L24" s="101" t="str">
        <f>IF($K24="","",IF($K24&lt;Settings!$C$46,"Extreme Sell Pressure",IF($K24&lt;Settings!$C$47,"Sell Pressure",IF($K24&lt;=Settings!$C$48,"Neutral",IF($K24&lt;=Settings!$C$49,"Buy Pressure","Extreme Buy Pressure")))))</f>
        <v/>
      </c>
      <c r="M24" s="112" t="str">
        <f>IF(COUNTIF('Daily Data'!$B$4:$B$503,$B$3)-100+ROW()-9&lt;1,"",COUNTIF('Daily Data'!$B$4:$B$503,$B$3)-100+ROW()-9)</f>
        <v/>
      </c>
      <c r="N24" s="97" t="str">
        <f>IF($M24="","",IF(COUNTIFS('Daily Data'!$B$4:$B$503,$B$3,'Daily Data'!$AK$4:$AK$503,$M24,'Daily Data'!$AD$4:$AD$503,"&gt;=-1E+300")=0,"",SUMIFS('Daily Data'!$AD$4:$AD$503,'Daily Data'!$B$4:$B$503,$B$3,'Daily Data'!$AK$4:$AK$503,$M24)))</f>
        <v/>
      </c>
      <c r="O24" s="97" t="str">
        <f>IF($M24="","",IF(COUNTIFS('Daily Data'!$B$4:$B$503,$B$3,'Daily Data'!$AK$4:$AK$503,$M24,'Daily Data'!$AE$4:$AE$503,"&gt;=-1E+300")=0,"",SUMIFS('Daily Data'!$AE$4:$AE$503,'Daily Data'!$B$4:$B$503,$B$3,'Daily Data'!$AK$4:$AK$503,$M24)))</f>
        <v/>
      </c>
      <c r="P24" s="99" t="str">
        <f>IF($M24="","",IF(COUNTIFS('Daily Data'!$B$4:$B$503,$B$3,'Daily Data'!$AK$4:$AK$503,$M24,'Daily Data'!$Z$4:$Z$503,"&gt;=-1E+300")=0,"",SUMIFS('Daily Data'!$Z$4:$Z$503,'Daily Data'!$B$4:$B$503,$B$3,'Daily Data'!$AK$4:$AK$503,$M24)))</f>
        <v/>
      </c>
      <c r="Q24" s="100" t="str">
        <f>IF($M24="","",SUMIFS('Daily Data'!$AG$4:$AG$503,'Daily Data'!$B$4:$B$503,$B$3,'Daily Data'!$AK$4:$AK$503,$M24))</f>
        <v/>
      </c>
      <c r="S24" s="117" t="e">
        <f>IF($A24="",NA(),$A24)</f>
        <v>#N/A</v>
      </c>
      <c r="T24" s="116" t="e">
        <f>IF($A24="",NA(),$B24)</f>
        <v>#N/A</v>
      </c>
      <c r="V24" s="117" t="e">
        <f>IF($A24="",NA(),$A24)</f>
        <v>#N/A</v>
      </c>
      <c r="W24" s="116" t="e">
        <f>IF($A24="",NA(),$H24)</f>
        <v>#N/A</v>
      </c>
      <c r="Y24" s="117" t="e">
        <f>IF($A24="",NA(),$A24)</f>
        <v>#N/A</v>
      </c>
      <c r="Z24" s="116" t="e">
        <f>IF($A24="",NA(),$J24)</f>
        <v>#N/A</v>
      </c>
      <c r="AB24" s="117" t="e">
        <f>IF($A24="",NA(),$A24)</f>
        <v>#N/A</v>
      </c>
      <c r="AC24" s="116" t="e">
        <f>IF($A24="",NA(),$D24)</f>
        <v>#N/A</v>
      </c>
      <c r="AD24" s="116" t="e">
        <f>IF($A24="",NA(),$E24)</f>
        <v>#N/A</v>
      </c>
      <c r="AF24" s="117" t="e">
        <f>IF($A24="",NA(),$A24)</f>
        <v>#N/A</v>
      </c>
      <c r="AG24" s="116" t="e">
        <f>IF($A24="",NA(),$F24)</f>
        <v>#N/A</v>
      </c>
      <c r="AI24" s="117" t="e">
        <f>IF($A24="",NA(),$A24)</f>
        <v>#N/A</v>
      </c>
      <c r="AJ24" s="116" t="e">
        <f>IF($A24="",NA(),$K24)</f>
        <v>#N/A</v>
      </c>
      <c r="AL24" s="117" t="e">
        <f>IF($A24="",NA(),$A24)</f>
        <v>#N/A</v>
      </c>
      <c r="AM24" s="116" t="e">
        <f>IF($A24="",NA(),$G24)</f>
        <v>#N/A</v>
      </c>
    </row>
    <row r="25" spans="1:39" x14ac:dyDescent="0.3">
      <c r="A25" s="95" t="str">
        <f>IF($M25="","",SUMIFS('Daily Data'!$A$4:$A$503,'Daily Data'!$B$4:$B$503,$B$3,'Daily Data'!$AK$4:$AK$503,$M25))</f>
        <v/>
      </c>
      <c r="B25" s="96" t="str">
        <f>IF($M25="","",SUMIFS('Daily Data'!$E$4:$E$503,'Daily Data'!$B$4:$B$503,$B$3,'Daily Data'!$AK$4:$AK$503,$M25))</f>
        <v/>
      </c>
      <c r="C25" s="97" t="str">
        <f>IF($M25="","",SUMIFS('Daily Data'!$H$4:$H$503,'Daily Data'!$B$4:$B$503,$B$3,'Daily Data'!$AK$4:$AK$503,$M25))</f>
        <v/>
      </c>
      <c r="D25" s="98" t="str">
        <f>IF($M25="","",SUMIFS('Daily Data'!$L$4:$L$503,'Daily Data'!$B$4:$B$503,$B$3,'Daily Data'!$AK$4:$AK$503,$M25))</f>
        <v/>
      </c>
      <c r="E25" s="98" t="str">
        <f>IF($M25="","",SUMIFS('Daily Data'!$M$4:$M$503,'Daily Data'!$B$4:$B$503,$B$3,'Daily Data'!$AK$4:$AK$503,$M25))</f>
        <v/>
      </c>
      <c r="F25" s="99" t="str">
        <f>IF($M25="","",SUMIFS('Daily Data'!$S$4:$S$503,'Daily Data'!$B$4:$B$503,$B$3,'Daily Data'!$AK$4:$AK$503,$M25))</f>
        <v/>
      </c>
      <c r="G25" s="97" t="str">
        <f>IF($M25="","",IF(COUNTIFS('Daily Data'!$B$4:$B$503,$B$3,'Daily Data'!$AK$4:$AK$503,$M25,'Daily Data'!$AA$4:$AA$503,"&gt;=-1E+300")=0,"",SUMIFS('Daily Data'!$AA$4:$AA$503,'Daily Data'!$B$4:$B$503,$B$3,'Daily Data'!$AK$4:$AK$503,$M25)))</f>
        <v/>
      </c>
      <c r="H25" s="98" t="str">
        <f>IF($M25="","",SUMIFS('Daily Data'!$K$4:$K$503,'Daily Data'!$B$4:$B$503,$B$3,'Daily Data'!$AK$4:$AK$503,$M25))</f>
        <v/>
      </c>
      <c r="I25" s="99" t="str">
        <f>IF($M25="","",IF(COUNTIFS('Daily Data'!$B$4:$B$503,$B$3,'Daily Data'!$AK$4:$AK$503,$M25,'Daily Data'!$AC$4:$AC$503,"&gt;=-1E+300")=0,"",SUMIFS('Daily Data'!$AC$4:$AC$503,'Daily Data'!$B$4:$B$503,$B$3,'Daily Data'!$AK$4:$AK$503,$M25)))</f>
        <v/>
      </c>
      <c r="J25" s="98" t="str">
        <f>IF($M25="","",SUMIFS('Daily Data'!$I$4:$I$503,'Daily Data'!$B$4:$B$503,$B$3,'Daily Data'!$AK$4:$AK$503,$M25))</f>
        <v/>
      </c>
      <c r="K25" s="100" t="str">
        <f>IF($M25="","",SUMIFS('Daily Data'!$AH$4:$AH$503,'Daily Data'!$B$4:$B$503,$B$3,'Daily Data'!$AK$4:$AK$503,$M25))</f>
        <v/>
      </c>
      <c r="L25" s="101" t="str">
        <f>IF($K25="","",IF($K25&lt;Settings!$C$46,"Extreme Sell Pressure",IF($K25&lt;Settings!$C$47,"Sell Pressure",IF($K25&lt;=Settings!$C$48,"Neutral",IF($K25&lt;=Settings!$C$49,"Buy Pressure","Extreme Buy Pressure")))))</f>
        <v/>
      </c>
      <c r="M25" s="112" t="str">
        <f>IF(COUNTIF('Daily Data'!$B$4:$B$503,$B$3)-100+ROW()-9&lt;1,"",COUNTIF('Daily Data'!$B$4:$B$503,$B$3)-100+ROW()-9)</f>
        <v/>
      </c>
      <c r="N25" s="97" t="str">
        <f>IF($M25="","",IF(COUNTIFS('Daily Data'!$B$4:$B$503,$B$3,'Daily Data'!$AK$4:$AK$503,$M25,'Daily Data'!$AD$4:$AD$503,"&gt;=-1E+300")=0,"",SUMIFS('Daily Data'!$AD$4:$AD$503,'Daily Data'!$B$4:$B$503,$B$3,'Daily Data'!$AK$4:$AK$503,$M25)))</f>
        <v/>
      </c>
      <c r="O25" s="97" t="str">
        <f>IF($M25="","",IF(COUNTIFS('Daily Data'!$B$4:$B$503,$B$3,'Daily Data'!$AK$4:$AK$503,$M25,'Daily Data'!$AE$4:$AE$503,"&gt;=-1E+300")=0,"",SUMIFS('Daily Data'!$AE$4:$AE$503,'Daily Data'!$B$4:$B$503,$B$3,'Daily Data'!$AK$4:$AK$503,$M25)))</f>
        <v/>
      </c>
      <c r="P25" s="99" t="str">
        <f>IF($M25="","",IF(COUNTIFS('Daily Data'!$B$4:$B$503,$B$3,'Daily Data'!$AK$4:$AK$503,$M25,'Daily Data'!$Z$4:$Z$503,"&gt;=-1E+300")=0,"",SUMIFS('Daily Data'!$Z$4:$Z$503,'Daily Data'!$B$4:$B$503,$B$3,'Daily Data'!$AK$4:$AK$503,$M25)))</f>
        <v/>
      </c>
      <c r="Q25" s="100" t="str">
        <f>IF($M25="","",SUMIFS('Daily Data'!$AG$4:$AG$503,'Daily Data'!$B$4:$B$503,$B$3,'Daily Data'!$AK$4:$AK$503,$M25))</f>
        <v/>
      </c>
      <c r="S25" s="117" t="e">
        <f>IF($A25="",NA(),$A25)</f>
        <v>#N/A</v>
      </c>
      <c r="T25" s="116" t="e">
        <f>IF($A25="",NA(),$B25)</f>
        <v>#N/A</v>
      </c>
      <c r="V25" s="117" t="e">
        <f>IF($A25="",NA(),$A25)</f>
        <v>#N/A</v>
      </c>
      <c r="W25" s="116" t="e">
        <f>IF($A25="",NA(),$H25)</f>
        <v>#N/A</v>
      </c>
      <c r="Y25" s="117" t="e">
        <f>IF($A25="",NA(),$A25)</f>
        <v>#N/A</v>
      </c>
      <c r="Z25" s="116" t="e">
        <f>IF($A25="",NA(),$J25)</f>
        <v>#N/A</v>
      </c>
      <c r="AB25" s="117" t="e">
        <f>IF($A25="",NA(),$A25)</f>
        <v>#N/A</v>
      </c>
      <c r="AC25" s="116" t="e">
        <f>IF($A25="",NA(),$D25)</f>
        <v>#N/A</v>
      </c>
      <c r="AD25" s="116" t="e">
        <f>IF($A25="",NA(),$E25)</f>
        <v>#N/A</v>
      </c>
      <c r="AF25" s="117" t="e">
        <f>IF($A25="",NA(),$A25)</f>
        <v>#N/A</v>
      </c>
      <c r="AG25" s="116" t="e">
        <f>IF($A25="",NA(),$F25)</f>
        <v>#N/A</v>
      </c>
      <c r="AI25" s="117" t="e">
        <f>IF($A25="",NA(),$A25)</f>
        <v>#N/A</v>
      </c>
      <c r="AJ25" s="116" t="e">
        <f>IF($A25="",NA(),$K25)</f>
        <v>#N/A</v>
      </c>
      <c r="AL25" s="117" t="e">
        <f>IF($A25="",NA(),$A25)</f>
        <v>#N/A</v>
      </c>
      <c r="AM25" s="116" t="e">
        <f>IF($A25="",NA(),$G25)</f>
        <v>#N/A</v>
      </c>
    </row>
    <row r="26" spans="1:39" x14ac:dyDescent="0.3">
      <c r="A26" s="95" t="str">
        <f>IF($M26="","",SUMIFS('Daily Data'!$A$4:$A$503,'Daily Data'!$B$4:$B$503,$B$3,'Daily Data'!$AK$4:$AK$503,$M26))</f>
        <v/>
      </c>
      <c r="B26" s="96" t="str">
        <f>IF($M26="","",SUMIFS('Daily Data'!$E$4:$E$503,'Daily Data'!$B$4:$B$503,$B$3,'Daily Data'!$AK$4:$AK$503,$M26))</f>
        <v/>
      </c>
      <c r="C26" s="97" t="str">
        <f>IF($M26="","",SUMIFS('Daily Data'!$H$4:$H$503,'Daily Data'!$B$4:$B$503,$B$3,'Daily Data'!$AK$4:$AK$503,$M26))</f>
        <v/>
      </c>
      <c r="D26" s="98" t="str">
        <f>IF($M26="","",SUMIFS('Daily Data'!$L$4:$L$503,'Daily Data'!$B$4:$B$503,$B$3,'Daily Data'!$AK$4:$AK$503,$M26))</f>
        <v/>
      </c>
      <c r="E26" s="98" t="str">
        <f>IF($M26="","",SUMIFS('Daily Data'!$M$4:$M$503,'Daily Data'!$B$4:$B$503,$B$3,'Daily Data'!$AK$4:$AK$503,$M26))</f>
        <v/>
      </c>
      <c r="F26" s="99" t="str">
        <f>IF($M26="","",SUMIFS('Daily Data'!$S$4:$S$503,'Daily Data'!$B$4:$B$503,$B$3,'Daily Data'!$AK$4:$AK$503,$M26))</f>
        <v/>
      </c>
      <c r="G26" s="97" t="str">
        <f>IF($M26="","",IF(COUNTIFS('Daily Data'!$B$4:$B$503,$B$3,'Daily Data'!$AK$4:$AK$503,$M26,'Daily Data'!$AA$4:$AA$503,"&gt;=-1E+300")=0,"",SUMIFS('Daily Data'!$AA$4:$AA$503,'Daily Data'!$B$4:$B$503,$B$3,'Daily Data'!$AK$4:$AK$503,$M26)))</f>
        <v/>
      </c>
      <c r="H26" s="98" t="str">
        <f>IF($M26="","",SUMIFS('Daily Data'!$K$4:$K$503,'Daily Data'!$B$4:$B$503,$B$3,'Daily Data'!$AK$4:$AK$503,$M26))</f>
        <v/>
      </c>
      <c r="I26" s="99" t="str">
        <f>IF($M26="","",IF(COUNTIFS('Daily Data'!$B$4:$B$503,$B$3,'Daily Data'!$AK$4:$AK$503,$M26,'Daily Data'!$AC$4:$AC$503,"&gt;=-1E+300")=0,"",SUMIFS('Daily Data'!$AC$4:$AC$503,'Daily Data'!$B$4:$B$503,$B$3,'Daily Data'!$AK$4:$AK$503,$M26)))</f>
        <v/>
      </c>
      <c r="J26" s="98" t="str">
        <f>IF($M26="","",SUMIFS('Daily Data'!$I$4:$I$503,'Daily Data'!$B$4:$B$503,$B$3,'Daily Data'!$AK$4:$AK$503,$M26))</f>
        <v/>
      </c>
      <c r="K26" s="100" t="str">
        <f>IF($M26="","",SUMIFS('Daily Data'!$AH$4:$AH$503,'Daily Data'!$B$4:$B$503,$B$3,'Daily Data'!$AK$4:$AK$503,$M26))</f>
        <v/>
      </c>
      <c r="L26" s="101" t="str">
        <f>IF($K26="","",IF($K26&lt;Settings!$C$46,"Extreme Sell Pressure",IF($K26&lt;Settings!$C$47,"Sell Pressure",IF($K26&lt;=Settings!$C$48,"Neutral",IF($K26&lt;=Settings!$C$49,"Buy Pressure","Extreme Buy Pressure")))))</f>
        <v/>
      </c>
      <c r="M26" s="112" t="str">
        <f>IF(COUNTIF('Daily Data'!$B$4:$B$503,$B$3)-100+ROW()-9&lt;1,"",COUNTIF('Daily Data'!$B$4:$B$503,$B$3)-100+ROW()-9)</f>
        <v/>
      </c>
      <c r="N26" s="97" t="str">
        <f>IF($M26="","",IF(COUNTIFS('Daily Data'!$B$4:$B$503,$B$3,'Daily Data'!$AK$4:$AK$503,$M26,'Daily Data'!$AD$4:$AD$503,"&gt;=-1E+300")=0,"",SUMIFS('Daily Data'!$AD$4:$AD$503,'Daily Data'!$B$4:$B$503,$B$3,'Daily Data'!$AK$4:$AK$503,$M26)))</f>
        <v/>
      </c>
      <c r="O26" s="97" t="str">
        <f>IF($M26="","",IF(COUNTIFS('Daily Data'!$B$4:$B$503,$B$3,'Daily Data'!$AK$4:$AK$503,$M26,'Daily Data'!$AE$4:$AE$503,"&gt;=-1E+300")=0,"",SUMIFS('Daily Data'!$AE$4:$AE$503,'Daily Data'!$B$4:$B$503,$B$3,'Daily Data'!$AK$4:$AK$503,$M26)))</f>
        <v/>
      </c>
      <c r="P26" s="99" t="str">
        <f>IF($M26="","",IF(COUNTIFS('Daily Data'!$B$4:$B$503,$B$3,'Daily Data'!$AK$4:$AK$503,$M26,'Daily Data'!$Z$4:$Z$503,"&gt;=-1E+300")=0,"",SUMIFS('Daily Data'!$Z$4:$Z$503,'Daily Data'!$B$4:$B$503,$B$3,'Daily Data'!$AK$4:$AK$503,$M26)))</f>
        <v/>
      </c>
      <c r="Q26" s="100" t="str">
        <f>IF($M26="","",SUMIFS('Daily Data'!$AG$4:$AG$503,'Daily Data'!$B$4:$B$503,$B$3,'Daily Data'!$AK$4:$AK$503,$M26))</f>
        <v/>
      </c>
      <c r="S26" s="117" t="e">
        <f>IF($A26="",NA(),$A26)</f>
        <v>#N/A</v>
      </c>
      <c r="T26" s="116" t="e">
        <f>IF($A26="",NA(),$B26)</f>
        <v>#N/A</v>
      </c>
      <c r="V26" s="117" t="e">
        <f>IF($A26="",NA(),$A26)</f>
        <v>#N/A</v>
      </c>
      <c r="W26" s="116" t="e">
        <f>IF($A26="",NA(),$H26)</f>
        <v>#N/A</v>
      </c>
      <c r="Y26" s="117" t="e">
        <f>IF($A26="",NA(),$A26)</f>
        <v>#N/A</v>
      </c>
      <c r="Z26" s="116" t="e">
        <f>IF($A26="",NA(),$J26)</f>
        <v>#N/A</v>
      </c>
      <c r="AB26" s="117" t="e">
        <f>IF($A26="",NA(),$A26)</f>
        <v>#N/A</v>
      </c>
      <c r="AC26" s="116" t="e">
        <f>IF($A26="",NA(),$D26)</f>
        <v>#N/A</v>
      </c>
      <c r="AD26" s="116" t="e">
        <f>IF($A26="",NA(),$E26)</f>
        <v>#N/A</v>
      </c>
      <c r="AF26" s="117" t="e">
        <f>IF($A26="",NA(),$A26)</f>
        <v>#N/A</v>
      </c>
      <c r="AG26" s="116" t="e">
        <f>IF($A26="",NA(),$F26)</f>
        <v>#N/A</v>
      </c>
      <c r="AI26" s="117" t="e">
        <f>IF($A26="",NA(),$A26)</f>
        <v>#N/A</v>
      </c>
      <c r="AJ26" s="116" t="e">
        <f>IF($A26="",NA(),$K26)</f>
        <v>#N/A</v>
      </c>
      <c r="AL26" s="117" t="e">
        <f>IF($A26="",NA(),$A26)</f>
        <v>#N/A</v>
      </c>
      <c r="AM26" s="116" t="e">
        <f>IF($A26="",NA(),$G26)</f>
        <v>#N/A</v>
      </c>
    </row>
    <row r="27" spans="1:39" x14ac:dyDescent="0.3">
      <c r="A27" s="95" t="str">
        <f>IF($M27="","",SUMIFS('Daily Data'!$A$4:$A$503,'Daily Data'!$B$4:$B$503,$B$3,'Daily Data'!$AK$4:$AK$503,$M27))</f>
        <v/>
      </c>
      <c r="B27" s="96" t="str">
        <f>IF($M27="","",SUMIFS('Daily Data'!$E$4:$E$503,'Daily Data'!$B$4:$B$503,$B$3,'Daily Data'!$AK$4:$AK$503,$M27))</f>
        <v/>
      </c>
      <c r="C27" s="97" t="str">
        <f>IF($M27="","",SUMIFS('Daily Data'!$H$4:$H$503,'Daily Data'!$B$4:$B$503,$B$3,'Daily Data'!$AK$4:$AK$503,$M27))</f>
        <v/>
      </c>
      <c r="D27" s="98" t="str">
        <f>IF($M27="","",SUMIFS('Daily Data'!$L$4:$L$503,'Daily Data'!$B$4:$B$503,$B$3,'Daily Data'!$AK$4:$AK$503,$M27))</f>
        <v/>
      </c>
      <c r="E27" s="98" t="str">
        <f>IF($M27="","",SUMIFS('Daily Data'!$M$4:$M$503,'Daily Data'!$B$4:$B$503,$B$3,'Daily Data'!$AK$4:$AK$503,$M27))</f>
        <v/>
      </c>
      <c r="F27" s="99" t="str">
        <f>IF($M27="","",SUMIFS('Daily Data'!$S$4:$S$503,'Daily Data'!$B$4:$B$503,$B$3,'Daily Data'!$AK$4:$AK$503,$M27))</f>
        <v/>
      </c>
      <c r="G27" s="97" t="str">
        <f>IF($M27="","",IF(COUNTIFS('Daily Data'!$B$4:$B$503,$B$3,'Daily Data'!$AK$4:$AK$503,$M27,'Daily Data'!$AA$4:$AA$503,"&gt;=-1E+300")=0,"",SUMIFS('Daily Data'!$AA$4:$AA$503,'Daily Data'!$B$4:$B$503,$B$3,'Daily Data'!$AK$4:$AK$503,$M27)))</f>
        <v/>
      </c>
      <c r="H27" s="98" t="str">
        <f>IF($M27="","",SUMIFS('Daily Data'!$K$4:$K$503,'Daily Data'!$B$4:$B$503,$B$3,'Daily Data'!$AK$4:$AK$503,$M27))</f>
        <v/>
      </c>
      <c r="I27" s="99" t="str">
        <f>IF($M27="","",IF(COUNTIFS('Daily Data'!$B$4:$B$503,$B$3,'Daily Data'!$AK$4:$AK$503,$M27,'Daily Data'!$AC$4:$AC$503,"&gt;=-1E+300")=0,"",SUMIFS('Daily Data'!$AC$4:$AC$503,'Daily Data'!$B$4:$B$503,$B$3,'Daily Data'!$AK$4:$AK$503,$M27)))</f>
        <v/>
      </c>
      <c r="J27" s="98" t="str">
        <f>IF($M27="","",SUMIFS('Daily Data'!$I$4:$I$503,'Daily Data'!$B$4:$B$503,$B$3,'Daily Data'!$AK$4:$AK$503,$M27))</f>
        <v/>
      </c>
      <c r="K27" s="100" t="str">
        <f>IF($M27="","",SUMIFS('Daily Data'!$AH$4:$AH$503,'Daily Data'!$B$4:$B$503,$B$3,'Daily Data'!$AK$4:$AK$503,$M27))</f>
        <v/>
      </c>
      <c r="L27" s="101" t="str">
        <f>IF($K27="","",IF($K27&lt;Settings!$C$46,"Extreme Sell Pressure",IF($K27&lt;Settings!$C$47,"Sell Pressure",IF($K27&lt;=Settings!$C$48,"Neutral",IF($K27&lt;=Settings!$C$49,"Buy Pressure","Extreme Buy Pressure")))))</f>
        <v/>
      </c>
      <c r="M27" s="112" t="str">
        <f>IF(COUNTIF('Daily Data'!$B$4:$B$503,$B$3)-100+ROW()-9&lt;1,"",COUNTIF('Daily Data'!$B$4:$B$503,$B$3)-100+ROW()-9)</f>
        <v/>
      </c>
      <c r="N27" s="97" t="str">
        <f>IF($M27="","",IF(COUNTIFS('Daily Data'!$B$4:$B$503,$B$3,'Daily Data'!$AK$4:$AK$503,$M27,'Daily Data'!$AD$4:$AD$503,"&gt;=-1E+300")=0,"",SUMIFS('Daily Data'!$AD$4:$AD$503,'Daily Data'!$B$4:$B$503,$B$3,'Daily Data'!$AK$4:$AK$503,$M27)))</f>
        <v/>
      </c>
      <c r="O27" s="97" t="str">
        <f>IF($M27="","",IF(COUNTIFS('Daily Data'!$B$4:$B$503,$B$3,'Daily Data'!$AK$4:$AK$503,$M27,'Daily Data'!$AE$4:$AE$503,"&gt;=-1E+300")=0,"",SUMIFS('Daily Data'!$AE$4:$AE$503,'Daily Data'!$B$4:$B$503,$B$3,'Daily Data'!$AK$4:$AK$503,$M27)))</f>
        <v/>
      </c>
      <c r="P27" s="99" t="str">
        <f>IF($M27="","",IF(COUNTIFS('Daily Data'!$B$4:$B$503,$B$3,'Daily Data'!$AK$4:$AK$503,$M27,'Daily Data'!$Z$4:$Z$503,"&gt;=-1E+300")=0,"",SUMIFS('Daily Data'!$Z$4:$Z$503,'Daily Data'!$B$4:$B$503,$B$3,'Daily Data'!$AK$4:$AK$503,$M27)))</f>
        <v/>
      </c>
      <c r="Q27" s="100" t="str">
        <f>IF($M27="","",SUMIFS('Daily Data'!$AG$4:$AG$503,'Daily Data'!$B$4:$B$503,$B$3,'Daily Data'!$AK$4:$AK$503,$M27))</f>
        <v/>
      </c>
      <c r="S27" s="117" t="e">
        <f>IF($A27="",NA(),$A27)</f>
        <v>#N/A</v>
      </c>
      <c r="T27" s="116" t="e">
        <f>IF($A27="",NA(),$B27)</f>
        <v>#N/A</v>
      </c>
      <c r="V27" s="117" t="e">
        <f>IF($A27="",NA(),$A27)</f>
        <v>#N/A</v>
      </c>
      <c r="W27" s="116" t="e">
        <f>IF($A27="",NA(),$H27)</f>
        <v>#N/A</v>
      </c>
      <c r="Y27" s="117" t="e">
        <f>IF($A27="",NA(),$A27)</f>
        <v>#N/A</v>
      </c>
      <c r="Z27" s="116" t="e">
        <f>IF($A27="",NA(),$J27)</f>
        <v>#N/A</v>
      </c>
      <c r="AB27" s="117" t="e">
        <f>IF($A27="",NA(),$A27)</f>
        <v>#N/A</v>
      </c>
      <c r="AC27" s="116" t="e">
        <f>IF($A27="",NA(),$D27)</f>
        <v>#N/A</v>
      </c>
      <c r="AD27" s="116" t="e">
        <f>IF($A27="",NA(),$E27)</f>
        <v>#N/A</v>
      </c>
      <c r="AF27" s="117" t="e">
        <f>IF($A27="",NA(),$A27)</f>
        <v>#N/A</v>
      </c>
      <c r="AG27" s="116" t="e">
        <f>IF($A27="",NA(),$F27)</f>
        <v>#N/A</v>
      </c>
      <c r="AI27" s="117" t="e">
        <f>IF($A27="",NA(),$A27)</f>
        <v>#N/A</v>
      </c>
      <c r="AJ27" s="116" t="e">
        <f>IF($A27="",NA(),$K27)</f>
        <v>#N/A</v>
      </c>
      <c r="AL27" s="117" t="e">
        <f>IF($A27="",NA(),$A27)</f>
        <v>#N/A</v>
      </c>
      <c r="AM27" s="116" t="e">
        <f>IF($A27="",NA(),$G27)</f>
        <v>#N/A</v>
      </c>
    </row>
    <row r="28" spans="1:39" x14ac:dyDescent="0.3">
      <c r="A28" s="95" t="str">
        <f>IF($M28="","",SUMIFS('Daily Data'!$A$4:$A$503,'Daily Data'!$B$4:$B$503,$B$3,'Daily Data'!$AK$4:$AK$503,$M28))</f>
        <v/>
      </c>
      <c r="B28" s="96" t="str">
        <f>IF($M28="","",SUMIFS('Daily Data'!$E$4:$E$503,'Daily Data'!$B$4:$B$503,$B$3,'Daily Data'!$AK$4:$AK$503,$M28))</f>
        <v/>
      </c>
      <c r="C28" s="97" t="str">
        <f>IF($M28="","",SUMIFS('Daily Data'!$H$4:$H$503,'Daily Data'!$B$4:$B$503,$B$3,'Daily Data'!$AK$4:$AK$503,$M28))</f>
        <v/>
      </c>
      <c r="D28" s="98" t="str">
        <f>IF($M28="","",SUMIFS('Daily Data'!$L$4:$L$503,'Daily Data'!$B$4:$B$503,$B$3,'Daily Data'!$AK$4:$AK$503,$M28))</f>
        <v/>
      </c>
      <c r="E28" s="98" t="str">
        <f>IF($M28="","",SUMIFS('Daily Data'!$M$4:$M$503,'Daily Data'!$B$4:$B$503,$B$3,'Daily Data'!$AK$4:$AK$503,$M28))</f>
        <v/>
      </c>
      <c r="F28" s="99" t="str">
        <f>IF($M28="","",SUMIFS('Daily Data'!$S$4:$S$503,'Daily Data'!$B$4:$B$503,$B$3,'Daily Data'!$AK$4:$AK$503,$M28))</f>
        <v/>
      </c>
      <c r="G28" s="97" t="str">
        <f>IF($M28="","",IF(COUNTIFS('Daily Data'!$B$4:$B$503,$B$3,'Daily Data'!$AK$4:$AK$503,$M28,'Daily Data'!$AA$4:$AA$503,"&gt;=-1E+300")=0,"",SUMIFS('Daily Data'!$AA$4:$AA$503,'Daily Data'!$B$4:$B$503,$B$3,'Daily Data'!$AK$4:$AK$503,$M28)))</f>
        <v/>
      </c>
      <c r="H28" s="98" t="str">
        <f>IF($M28="","",SUMIFS('Daily Data'!$K$4:$K$503,'Daily Data'!$B$4:$B$503,$B$3,'Daily Data'!$AK$4:$AK$503,$M28))</f>
        <v/>
      </c>
      <c r="I28" s="99" t="str">
        <f>IF($M28="","",IF(COUNTIFS('Daily Data'!$B$4:$B$503,$B$3,'Daily Data'!$AK$4:$AK$503,$M28,'Daily Data'!$AC$4:$AC$503,"&gt;=-1E+300")=0,"",SUMIFS('Daily Data'!$AC$4:$AC$503,'Daily Data'!$B$4:$B$503,$B$3,'Daily Data'!$AK$4:$AK$503,$M28)))</f>
        <v/>
      </c>
      <c r="J28" s="98" t="str">
        <f>IF($M28="","",SUMIFS('Daily Data'!$I$4:$I$503,'Daily Data'!$B$4:$B$503,$B$3,'Daily Data'!$AK$4:$AK$503,$M28))</f>
        <v/>
      </c>
      <c r="K28" s="100" t="str">
        <f>IF($M28="","",SUMIFS('Daily Data'!$AH$4:$AH$503,'Daily Data'!$B$4:$B$503,$B$3,'Daily Data'!$AK$4:$AK$503,$M28))</f>
        <v/>
      </c>
      <c r="L28" s="101" t="str">
        <f>IF($K28="","",IF($K28&lt;Settings!$C$46,"Extreme Sell Pressure",IF($K28&lt;Settings!$C$47,"Sell Pressure",IF($K28&lt;=Settings!$C$48,"Neutral",IF($K28&lt;=Settings!$C$49,"Buy Pressure","Extreme Buy Pressure")))))</f>
        <v/>
      </c>
      <c r="M28" s="112" t="str">
        <f>IF(COUNTIF('Daily Data'!$B$4:$B$503,$B$3)-100+ROW()-9&lt;1,"",COUNTIF('Daily Data'!$B$4:$B$503,$B$3)-100+ROW()-9)</f>
        <v/>
      </c>
      <c r="N28" s="97" t="str">
        <f>IF($M28="","",IF(COUNTIFS('Daily Data'!$B$4:$B$503,$B$3,'Daily Data'!$AK$4:$AK$503,$M28,'Daily Data'!$AD$4:$AD$503,"&gt;=-1E+300")=0,"",SUMIFS('Daily Data'!$AD$4:$AD$503,'Daily Data'!$B$4:$B$503,$B$3,'Daily Data'!$AK$4:$AK$503,$M28)))</f>
        <v/>
      </c>
      <c r="O28" s="97" t="str">
        <f>IF($M28="","",IF(COUNTIFS('Daily Data'!$B$4:$B$503,$B$3,'Daily Data'!$AK$4:$AK$503,$M28,'Daily Data'!$AE$4:$AE$503,"&gt;=-1E+300")=0,"",SUMIFS('Daily Data'!$AE$4:$AE$503,'Daily Data'!$B$4:$B$503,$B$3,'Daily Data'!$AK$4:$AK$503,$M28)))</f>
        <v/>
      </c>
      <c r="P28" s="99" t="str">
        <f>IF($M28="","",IF(COUNTIFS('Daily Data'!$B$4:$B$503,$B$3,'Daily Data'!$AK$4:$AK$503,$M28,'Daily Data'!$Z$4:$Z$503,"&gt;=-1E+300")=0,"",SUMIFS('Daily Data'!$Z$4:$Z$503,'Daily Data'!$B$4:$B$503,$B$3,'Daily Data'!$AK$4:$AK$503,$M28)))</f>
        <v/>
      </c>
      <c r="Q28" s="100" t="str">
        <f>IF($M28="","",SUMIFS('Daily Data'!$AG$4:$AG$503,'Daily Data'!$B$4:$B$503,$B$3,'Daily Data'!$AK$4:$AK$503,$M28))</f>
        <v/>
      </c>
      <c r="S28" s="117" t="e">
        <f>IF($A28="",NA(),$A28)</f>
        <v>#N/A</v>
      </c>
      <c r="T28" s="116" t="e">
        <f>IF($A28="",NA(),$B28)</f>
        <v>#N/A</v>
      </c>
      <c r="V28" s="117" t="e">
        <f>IF($A28="",NA(),$A28)</f>
        <v>#N/A</v>
      </c>
      <c r="W28" s="116" t="e">
        <f>IF($A28="",NA(),$H28)</f>
        <v>#N/A</v>
      </c>
      <c r="Y28" s="117" t="e">
        <f>IF($A28="",NA(),$A28)</f>
        <v>#N/A</v>
      </c>
      <c r="Z28" s="116" t="e">
        <f>IF($A28="",NA(),$J28)</f>
        <v>#N/A</v>
      </c>
      <c r="AB28" s="117" t="e">
        <f>IF($A28="",NA(),$A28)</f>
        <v>#N/A</v>
      </c>
      <c r="AC28" s="116" t="e">
        <f>IF($A28="",NA(),$D28)</f>
        <v>#N/A</v>
      </c>
      <c r="AD28" s="116" t="e">
        <f>IF($A28="",NA(),$E28)</f>
        <v>#N/A</v>
      </c>
      <c r="AF28" s="117" t="e">
        <f>IF($A28="",NA(),$A28)</f>
        <v>#N/A</v>
      </c>
      <c r="AG28" s="116" t="e">
        <f>IF($A28="",NA(),$F28)</f>
        <v>#N/A</v>
      </c>
      <c r="AI28" s="117" t="e">
        <f>IF($A28="",NA(),$A28)</f>
        <v>#N/A</v>
      </c>
      <c r="AJ28" s="116" t="e">
        <f>IF($A28="",NA(),$K28)</f>
        <v>#N/A</v>
      </c>
      <c r="AL28" s="117" t="e">
        <f>IF($A28="",NA(),$A28)</f>
        <v>#N/A</v>
      </c>
      <c r="AM28" s="116" t="e">
        <f>IF($A28="",NA(),$G28)</f>
        <v>#N/A</v>
      </c>
    </row>
    <row r="29" spans="1:39" x14ac:dyDescent="0.3">
      <c r="A29" s="95" t="str">
        <f>IF($M29="","",SUMIFS('Daily Data'!$A$4:$A$503,'Daily Data'!$B$4:$B$503,$B$3,'Daily Data'!$AK$4:$AK$503,$M29))</f>
        <v/>
      </c>
      <c r="B29" s="96" t="str">
        <f>IF($M29="","",SUMIFS('Daily Data'!$E$4:$E$503,'Daily Data'!$B$4:$B$503,$B$3,'Daily Data'!$AK$4:$AK$503,$M29))</f>
        <v/>
      </c>
      <c r="C29" s="97" t="str">
        <f>IF($M29="","",SUMIFS('Daily Data'!$H$4:$H$503,'Daily Data'!$B$4:$B$503,$B$3,'Daily Data'!$AK$4:$AK$503,$M29))</f>
        <v/>
      </c>
      <c r="D29" s="98" t="str">
        <f>IF($M29="","",SUMIFS('Daily Data'!$L$4:$L$503,'Daily Data'!$B$4:$B$503,$B$3,'Daily Data'!$AK$4:$AK$503,$M29))</f>
        <v/>
      </c>
      <c r="E29" s="98" t="str">
        <f>IF($M29="","",SUMIFS('Daily Data'!$M$4:$M$503,'Daily Data'!$B$4:$B$503,$B$3,'Daily Data'!$AK$4:$AK$503,$M29))</f>
        <v/>
      </c>
      <c r="F29" s="99" t="str">
        <f>IF($M29="","",SUMIFS('Daily Data'!$S$4:$S$503,'Daily Data'!$B$4:$B$503,$B$3,'Daily Data'!$AK$4:$AK$503,$M29))</f>
        <v/>
      </c>
      <c r="G29" s="97" t="str">
        <f>IF($M29="","",IF(COUNTIFS('Daily Data'!$B$4:$B$503,$B$3,'Daily Data'!$AK$4:$AK$503,$M29,'Daily Data'!$AA$4:$AA$503,"&gt;=-1E+300")=0,"",SUMIFS('Daily Data'!$AA$4:$AA$503,'Daily Data'!$B$4:$B$503,$B$3,'Daily Data'!$AK$4:$AK$503,$M29)))</f>
        <v/>
      </c>
      <c r="H29" s="98" t="str">
        <f>IF($M29="","",SUMIFS('Daily Data'!$K$4:$K$503,'Daily Data'!$B$4:$B$503,$B$3,'Daily Data'!$AK$4:$AK$503,$M29))</f>
        <v/>
      </c>
      <c r="I29" s="99" t="str">
        <f>IF($M29="","",IF(COUNTIFS('Daily Data'!$B$4:$B$503,$B$3,'Daily Data'!$AK$4:$AK$503,$M29,'Daily Data'!$AC$4:$AC$503,"&gt;=-1E+300")=0,"",SUMIFS('Daily Data'!$AC$4:$AC$503,'Daily Data'!$B$4:$B$503,$B$3,'Daily Data'!$AK$4:$AK$503,$M29)))</f>
        <v/>
      </c>
      <c r="J29" s="98" t="str">
        <f>IF($M29="","",SUMIFS('Daily Data'!$I$4:$I$503,'Daily Data'!$B$4:$B$503,$B$3,'Daily Data'!$AK$4:$AK$503,$M29))</f>
        <v/>
      </c>
      <c r="K29" s="100" t="str">
        <f>IF($M29="","",SUMIFS('Daily Data'!$AH$4:$AH$503,'Daily Data'!$B$4:$B$503,$B$3,'Daily Data'!$AK$4:$AK$503,$M29))</f>
        <v/>
      </c>
      <c r="L29" s="101" t="str">
        <f>IF($K29="","",IF($K29&lt;Settings!$C$46,"Extreme Sell Pressure",IF($K29&lt;Settings!$C$47,"Sell Pressure",IF($K29&lt;=Settings!$C$48,"Neutral",IF($K29&lt;=Settings!$C$49,"Buy Pressure","Extreme Buy Pressure")))))</f>
        <v/>
      </c>
      <c r="M29" s="112" t="str">
        <f>IF(COUNTIF('Daily Data'!$B$4:$B$503,$B$3)-100+ROW()-9&lt;1,"",COUNTIF('Daily Data'!$B$4:$B$503,$B$3)-100+ROW()-9)</f>
        <v/>
      </c>
      <c r="N29" s="97" t="str">
        <f>IF($M29="","",IF(COUNTIFS('Daily Data'!$B$4:$B$503,$B$3,'Daily Data'!$AK$4:$AK$503,$M29,'Daily Data'!$AD$4:$AD$503,"&gt;=-1E+300")=0,"",SUMIFS('Daily Data'!$AD$4:$AD$503,'Daily Data'!$B$4:$B$503,$B$3,'Daily Data'!$AK$4:$AK$503,$M29)))</f>
        <v/>
      </c>
      <c r="O29" s="97" t="str">
        <f>IF($M29="","",IF(COUNTIFS('Daily Data'!$B$4:$B$503,$B$3,'Daily Data'!$AK$4:$AK$503,$M29,'Daily Data'!$AE$4:$AE$503,"&gt;=-1E+300")=0,"",SUMIFS('Daily Data'!$AE$4:$AE$503,'Daily Data'!$B$4:$B$503,$B$3,'Daily Data'!$AK$4:$AK$503,$M29)))</f>
        <v/>
      </c>
      <c r="P29" s="99" t="str">
        <f>IF($M29="","",IF(COUNTIFS('Daily Data'!$B$4:$B$503,$B$3,'Daily Data'!$AK$4:$AK$503,$M29,'Daily Data'!$Z$4:$Z$503,"&gt;=-1E+300")=0,"",SUMIFS('Daily Data'!$Z$4:$Z$503,'Daily Data'!$B$4:$B$503,$B$3,'Daily Data'!$AK$4:$AK$503,$M29)))</f>
        <v/>
      </c>
      <c r="Q29" s="100" t="str">
        <f>IF($M29="","",SUMIFS('Daily Data'!$AG$4:$AG$503,'Daily Data'!$B$4:$B$503,$B$3,'Daily Data'!$AK$4:$AK$503,$M29))</f>
        <v/>
      </c>
      <c r="S29" s="117" t="e">
        <f>IF($A29="",NA(),$A29)</f>
        <v>#N/A</v>
      </c>
      <c r="T29" s="116" t="e">
        <f>IF($A29="",NA(),$B29)</f>
        <v>#N/A</v>
      </c>
      <c r="V29" s="117" t="e">
        <f>IF($A29="",NA(),$A29)</f>
        <v>#N/A</v>
      </c>
      <c r="W29" s="116" t="e">
        <f>IF($A29="",NA(),$H29)</f>
        <v>#N/A</v>
      </c>
      <c r="Y29" s="117" t="e">
        <f>IF($A29="",NA(),$A29)</f>
        <v>#N/A</v>
      </c>
      <c r="Z29" s="116" t="e">
        <f>IF($A29="",NA(),$J29)</f>
        <v>#N/A</v>
      </c>
      <c r="AB29" s="117" t="e">
        <f>IF($A29="",NA(),$A29)</f>
        <v>#N/A</v>
      </c>
      <c r="AC29" s="116" t="e">
        <f>IF($A29="",NA(),$D29)</f>
        <v>#N/A</v>
      </c>
      <c r="AD29" s="116" t="e">
        <f>IF($A29="",NA(),$E29)</f>
        <v>#N/A</v>
      </c>
      <c r="AF29" s="117" t="e">
        <f>IF($A29="",NA(),$A29)</f>
        <v>#N/A</v>
      </c>
      <c r="AG29" s="116" t="e">
        <f>IF($A29="",NA(),$F29)</f>
        <v>#N/A</v>
      </c>
      <c r="AI29" s="117" t="e">
        <f>IF($A29="",NA(),$A29)</f>
        <v>#N/A</v>
      </c>
      <c r="AJ29" s="116" t="e">
        <f>IF($A29="",NA(),$K29)</f>
        <v>#N/A</v>
      </c>
      <c r="AL29" s="117" t="e">
        <f>IF($A29="",NA(),$A29)</f>
        <v>#N/A</v>
      </c>
      <c r="AM29" s="116" t="e">
        <f>IF($A29="",NA(),$G29)</f>
        <v>#N/A</v>
      </c>
    </row>
    <row r="30" spans="1:39" x14ac:dyDescent="0.3">
      <c r="A30" s="95" t="str">
        <f>IF($M30="","",SUMIFS('Daily Data'!$A$4:$A$503,'Daily Data'!$B$4:$B$503,$B$3,'Daily Data'!$AK$4:$AK$503,$M30))</f>
        <v/>
      </c>
      <c r="B30" s="96" t="str">
        <f>IF($M30="","",SUMIFS('Daily Data'!$E$4:$E$503,'Daily Data'!$B$4:$B$503,$B$3,'Daily Data'!$AK$4:$AK$503,$M30))</f>
        <v/>
      </c>
      <c r="C30" s="97" t="str">
        <f>IF($M30="","",SUMIFS('Daily Data'!$H$4:$H$503,'Daily Data'!$B$4:$B$503,$B$3,'Daily Data'!$AK$4:$AK$503,$M30))</f>
        <v/>
      </c>
      <c r="D30" s="98" t="str">
        <f>IF($M30="","",SUMIFS('Daily Data'!$L$4:$L$503,'Daily Data'!$B$4:$B$503,$B$3,'Daily Data'!$AK$4:$AK$503,$M30))</f>
        <v/>
      </c>
      <c r="E30" s="98" t="str">
        <f>IF($M30="","",SUMIFS('Daily Data'!$M$4:$M$503,'Daily Data'!$B$4:$B$503,$B$3,'Daily Data'!$AK$4:$AK$503,$M30))</f>
        <v/>
      </c>
      <c r="F30" s="99" t="str">
        <f>IF($M30="","",SUMIFS('Daily Data'!$S$4:$S$503,'Daily Data'!$B$4:$B$503,$B$3,'Daily Data'!$AK$4:$AK$503,$M30))</f>
        <v/>
      </c>
      <c r="G30" s="97" t="str">
        <f>IF($M30="","",IF(COUNTIFS('Daily Data'!$B$4:$B$503,$B$3,'Daily Data'!$AK$4:$AK$503,$M30,'Daily Data'!$AA$4:$AA$503,"&gt;=-1E+300")=0,"",SUMIFS('Daily Data'!$AA$4:$AA$503,'Daily Data'!$B$4:$B$503,$B$3,'Daily Data'!$AK$4:$AK$503,$M30)))</f>
        <v/>
      </c>
      <c r="H30" s="98" t="str">
        <f>IF($M30="","",SUMIFS('Daily Data'!$K$4:$K$503,'Daily Data'!$B$4:$B$503,$B$3,'Daily Data'!$AK$4:$AK$503,$M30))</f>
        <v/>
      </c>
      <c r="I30" s="99" t="str">
        <f>IF($M30="","",IF(COUNTIFS('Daily Data'!$B$4:$B$503,$B$3,'Daily Data'!$AK$4:$AK$503,$M30,'Daily Data'!$AC$4:$AC$503,"&gt;=-1E+300")=0,"",SUMIFS('Daily Data'!$AC$4:$AC$503,'Daily Data'!$B$4:$B$503,$B$3,'Daily Data'!$AK$4:$AK$503,$M30)))</f>
        <v/>
      </c>
      <c r="J30" s="98" t="str">
        <f>IF($M30="","",SUMIFS('Daily Data'!$I$4:$I$503,'Daily Data'!$B$4:$B$503,$B$3,'Daily Data'!$AK$4:$AK$503,$M30))</f>
        <v/>
      </c>
      <c r="K30" s="100" t="str">
        <f>IF($M30="","",SUMIFS('Daily Data'!$AH$4:$AH$503,'Daily Data'!$B$4:$B$503,$B$3,'Daily Data'!$AK$4:$AK$503,$M30))</f>
        <v/>
      </c>
      <c r="L30" s="101" t="str">
        <f>IF($K30="","",IF($K30&lt;Settings!$C$46,"Extreme Sell Pressure",IF($K30&lt;Settings!$C$47,"Sell Pressure",IF($K30&lt;=Settings!$C$48,"Neutral",IF($K30&lt;=Settings!$C$49,"Buy Pressure","Extreme Buy Pressure")))))</f>
        <v/>
      </c>
      <c r="M30" s="112" t="str">
        <f>IF(COUNTIF('Daily Data'!$B$4:$B$503,$B$3)-100+ROW()-9&lt;1,"",COUNTIF('Daily Data'!$B$4:$B$503,$B$3)-100+ROW()-9)</f>
        <v/>
      </c>
      <c r="N30" s="97" t="str">
        <f>IF($M30="","",IF(COUNTIFS('Daily Data'!$B$4:$B$503,$B$3,'Daily Data'!$AK$4:$AK$503,$M30,'Daily Data'!$AD$4:$AD$503,"&gt;=-1E+300")=0,"",SUMIFS('Daily Data'!$AD$4:$AD$503,'Daily Data'!$B$4:$B$503,$B$3,'Daily Data'!$AK$4:$AK$503,$M30)))</f>
        <v/>
      </c>
      <c r="O30" s="97" t="str">
        <f>IF($M30="","",IF(COUNTIFS('Daily Data'!$B$4:$B$503,$B$3,'Daily Data'!$AK$4:$AK$503,$M30,'Daily Data'!$AE$4:$AE$503,"&gt;=-1E+300")=0,"",SUMIFS('Daily Data'!$AE$4:$AE$503,'Daily Data'!$B$4:$B$503,$B$3,'Daily Data'!$AK$4:$AK$503,$M30)))</f>
        <v/>
      </c>
      <c r="P30" s="99" t="str">
        <f>IF($M30="","",IF(COUNTIFS('Daily Data'!$B$4:$B$503,$B$3,'Daily Data'!$AK$4:$AK$503,$M30,'Daily Data'!$Z$4:$Z$503,"&gt;=-1E+300")=0,"",SUMIFS('Daily Data'!$Z$4:$Z$503,'Daily Data'!$B$4:$B$503,$B$3,'Daily Data'!$AK$4:$AK$503,$M30)))</f>
        <v/>
      </c>
      <c r="Q30" s="100" t="str">
        <f>IF($M30="","",SUMIFS('Daily Data'!$AG$4:$AG$503,'Daily Data'!$B$4:$B$503,$B$3,'Daily Data'!$AK$4:$AK$503,$M30))</f>
        <v/>
      </c>
      <c r="S30" s="117" t="e">
        <f>IF($A30="",NA(),$A30)</f>
        <v>#N/A</v>
      </c>
      <c r="T30" s="116" t="e">
        <f>IF($A30="",NA(),$B30)</f>
        <v>#N/A</v>
      </c>
      <c r="V30" s="117" t="e">
        <f>IF($A30="",NA(),$A30)</f>
        <v>#N/A</v>
      </c>
      <c r="W30" s="116" t="e">
        <f>IF($A30="",NA(),$H30)</f>
        <v>#N/A</v>
      </c>
      <c r="Y30" s="117" t="e">
        <f>IF($A30="",NA(),$A30)</f>
        <v>#N/A</v>
      </c>
      <c r="Z30" s="116" t="e">
        <f>IF($A30="",NA(),$J30)</f>
        <v>#N/A</v>
      </c>
      <c r="AB30" s="117" t="e">
        <f>IF($A30="",NA(),$A30)</f>
        <v>#N/A</v>
      </c>
      <c r="AC30" s="116" t="e">
        <f>IF($A30="",NA(),$D30)</f>
        <v>#N/A</v>
      </c>
      <c r="AD30" s="116" t="e">
        <f>IF($A30="",NA(),$E30)</f>
        <v>#N/A</v>
      </c>
      <c r="AF30" s="117" t="e">
        <f>IF($A30="",NA(),$A30)</f>
        <v>#N/A</v>
      </c>
      <c r="AG30" s="116" t="e">
        <f>IF($A30="",NA(),$F30)</f>
        <v>#N/A</v>
      </c>
      <c r="AI30" s="117" t="e">
        <f>IF($A30="",NA(),$A30)</f>
        <v>#N/A</v>
      </c>
      <c r="AJ30" s="116" t="e">
        <f>IF($A30="",NA(),$K30)</f>
        <v>#N/A</v>
      </c>
      <c r="AL30" s="117" t="e">
        <f>IF($A30="",NA(),$A30)</f>
        <v>#N/A</v>
      </c>
      <c r="AM30" s="116" t="e">
        <f>IF($A30="",NA(),$G30)</f>
        <v>#N/A</v>
      </c>
    </row>
    <row r="31" spans="1:39" x14ac:dyDescent="0.3">
      <c r="A31" s="95" t="str">
        <f>IF($M31="","",SUMIFS('Daily Data'!$A$4:$A$503,'Daily Data'!$B$4:$B$503,$B$3,'Daily Data'!$AK$4:$AK$503,$M31))</f>
        <v/>
      </c>
      <c r="B31" s="96" t="str">
        <f>IF($M31="","",SUMIFS('Daily Data'!$E$4:$E$503,'Daily Data'!$B$4:$B$503,$B$3,'Daily Data'!$AK$4:$AK$503,$M31))</f>
        <v/>
      </c>
      <c r="C31" s="97" t="str">
        <f>IF($M31="","",SUMIFS('Daily Data'!$H$4:$H$503,'Daily Data'!$B$4:$B$503,$B$3,'Daily Data'!$AK$4:$AK$503,$M31))</f>
        <v/>
      </c>
      <c r="D31" s="98" t="str">
        <f>IF($M31="","",SUMIFS('Daily Data'!$L$4:$L$503,'Daily Data'!$B$4:$B$503,$B$3,'Daily Data'!$AK$4:$AK$503,$M31))</f>
        <v/>
      </c>
      <c r="E31" s="98" t="str">
        <f>IF($M31="","",SUMIFS('Daily Data'!$M$4:$M$503,'Daily Data'!$B$4:$B$503,$B$3,'Daily Data'!$AK$4:$AK$503,$M31))</f>
        <v/>
      </c>
      <c r="F31" s="99" t="str">
        <f>IF($M31="","",SUMIFS('Daily Data'!$S$4:$S$503,'Daily Data'!$B$4:$B$503,$B$3,'Daily Data'!$AK$4:$AK$503,$M31))</f>
        <v/>
      </c>
      <c r="G31" s="97" t="str">
        <f>IF($M31="","",IF(COUNTIFS('Daily Data'!$B$4:$B$503,$B$3,'Daily Data'!$AK$4:$AK$503,$M31,'Daily Data'!$AA$4:$AA$503,"&gt;=-1E+300")=0,"",SUMIFS('Daily Data'!$AA$4:$AA$503,'Daily Data'!$B$4:$B$503,$B$3,'Daily Data'!$AK$4:$AK$503,$M31)))</f>
        <v/>
      </c>
      <c r="H31" s="98" t="str">
        <f>IF($M31="","",SUMIFS('Daily Data'!$K$4:$K$503,'Daily Data'!$B$4:$B$503,$B$3,'Daily Data'!$AK$4:$AK$503,$M31))</f>
        <v/>
      </c>
      <c r="I31" s="99" t="str">
        <f>IF($M31="","",IF(COUNTIFS('Daily Data'!$B$4:$B$503,$B$3,'Daily Data'!$AK$4:$AK$503,$M31,'Daily Data'!$AC$4:$AC$503,"&gt;=-1E+300")=0,"",SUMIFS('Daily Data'!$AC$4:$AC$503,'Daily Data'!$B$4:$B$503,$B$3,'Daily Data'!$AK$4:$AK$503,$M31)))</f>
        <v/>
      </c>
      <c r="J31" s="98" t="str">
        <f>IF($M31="","",SUMIFS('Daily Data'!$I$4:$I$503,'Daily Data'!$B$4:$B$503,$B$3,'Daily Data'!$AK$4:$AK$503,$M31))</f>
        <v/>
      </c>
      <c r="K31" s="100" t="str">
        <f>IF($M31="","",SUMIFS('Daily Data'!$AH$4:$AH$503,'Daily Data'!$B$4:$B$503,$B$3,'Daily Data'!$AK$4:$AK$503,$M31))</f>
        <v/>
      </c>
      <c r="L31" s="101" t="str">
        <f>IF($K31="","",IF($K31&lt;Settings!$C$46,"Extreme Sell Pressure",IF($K31&lt;Settings!$C$47,"Sell Pressure",IF($K31&lt;=Settings!$C$48,"Neutral",IF($K31&lt;=Settings!$C$49,"Buy Pressure","Extreme Buy Pressure")))))</f>
        <v/>
      </c>
      <c r="M31" s="112" t="str">
        <f>IF(COUNTIF('Daily Data'!$B$4:$B$503,$B$3)-100+ROW()-9&lt;1,"",COUNTIF('Daily Data'!$B$4:$B$503,$B$3)-100+ROW()-9)</f>
        <v/>
      </c>
      <c r="N31" s="97" t="str">
        <f>IF($M31="","",IF(COUNTIFS('Daily Data'!$B$4:$B$503,$B$3,'Daily Data'!$AK$4:$AK$503,$M31,'Daily Data'!$AD$4:$AD$503,"&gt;=-1E+300")=0,"",SUMIFS('Daily Data'!$AD$4:$AD$503,'Daily Data'!$B$4:$B$503,$B$3,'Daily Data'!$AK$4:$AK$503,$M31)))</f>
        <v/>
      </c>
      <c r="O31" s="97" t="str">
        <f>IF($M31="","",IF(COUNTIFS('Daily Data'!$B$4:$B$503,$B$3,'Daily Data'!$AK$4:$AK$503,$M31,'Daily Data'!$AE$4:$AE$503,"&gt;=-1E+300")=0,"",SUMIFS('Daily Data'!$AE$4:$AE$503,'Daily Data'!$B$4:$B$503,$B$3,'Daily Data'!$AK$4:$AK$503,$M31)))</f>
        <v/>
      </c>
      <c r="P31" s="99" t="str">
        <f>IF($M31="","",IF(COUNTIFS('Daily Data'!$B$4:$B$503,$B$3,'Daily Data'!$AK$4:$AK$503,$M31,'Daily Data'!$Z$4:$Z$503,"&gt;=-1E+300")=0,"",SUMIFS('Daily Data'!$Z$4:$Z$503,'Daily Data'!$B$4:$B$503,$B$3,'Daily Data'!$AK$4:$AK$503,$M31)))</f>
        <v/>
      </c>
      <c r="Q31" s="100" t="str">
        <f>IF($M31="","",SUMIFS('Daily Data'!$AG$4:$AG$503,'Daily Data'!$B$4:$B$503,$B$3,'Daily Data'!$AK$4:$AK$503,$M31))</f>
        <v/>
      </c>
      <c r="S31" s="117" t="e">
        <f>IF($A31="",NA(),$A31)</f>
        <v>#N/A</v>
      </c>
      <c r="T31" s="116" t="e">
        <f>IF($A31="",NA(),$B31)</f>
        <v>#N/A</v>
      </c>
      <c r="V31" s="117" t="e">
        <f>IF($A31="",NA(),$A31)</f>
        <v>#N/A</v>
      </c>
      <c r="W31" s="116" t="e">
        <f>IF($A31="",NA(),$H31)</f>
        <v>#N/A</v>
      </c>
      <c r="Y31" s="117" t="e">
        <f>IF($A31="",NA(),$A31)</f>
        <v>#N/A</v>
      </c>
      <c r="Z31" s="116" t="e">
        <f>IF($A31="",NA(),$J31)</f>
        <v>#N/A</v>
      </c>
      <c r="AB31" s="117" t="e">
        <f>IF($A31="",NA(),$A31)</f>
        <v>#N/A</v>
      </c>
      <c r="AC31" s="116" t="e">
        <f>IF($A31="",NA(),$D31)</f>
        <v>#N/A</v>
      </c>
      <c r="AD31" s="116" t="e">
        <f>IF($A31="",NA(),$E31)</f>
        <v>#N/A</v>
      </c>
      <c r="AF31" s="117" t="e">
        <f>IF($A31="",NA(),$A31)</f>
        <v>#N/A</v>
      </c>
      <c r="AG31" s="116" t="e">
        <f>IF($A31="",NA(),$F31)</f>
        <v>#N/A</v>
      </c>
      <c r="AI31" s="117" t="e">
        <f>IF($A31="",NA(),$A31)</f>
        <v>#N/A</v>
      </c>
      <c r="AJ31" s="116" t="e">
        <f>IF($A31="",NA(),$K31)</f>
        <v>#N/A</v>
      </c>
      <c r="AL31" s="117" t="e">
        <f>IF($A31="",NA(),$A31)</f>
        <v>#N/A</v>
      </c>
      <c r="AM31" s="116" t="e">
        <f>IF($A31="",NA(),$G31)</f>
        <v>#N/A</v>
      </c>
    </row>
    <row r="32" spans="1:39" x14ac:dyDescent="0.3">
      <c r="A32" s="95" t="str">
        <f>IF($M32="","",SUMIFS('Daily Data'!$A$4:$A$503,'Daily Data'!$B$4:$B$503,$B$3,'Daily Data'!$AK$4:$AK$503,$M32))</f>
        <v/>
      </c>
      <c r="B32" s="96" t="str">
        <f>IF($M32="","",SUMIFS('Daily Data'!$E$4:$E$503,'Daily Data'!$B$4:$B$503,$B$3,'Daily Data'!$AK$4:$AK$503,$M32))</f>
        <v/>
      </c>
      <c r="C32" s="97" t="str">
        <f>IF($M32="","",SUMIFS('Daily Data'!$H$4:$H$503,'Daily Data'!$B$4:$B$503,$B$3,'Daily Data'!$AK$4:$AK$503,$M32))</f>
        <v/>
      </c>
      <c r="D32" s="98" t="str">
        <f>IF($M32="","",SUMIFS('Daily Data'!$L$4:$L$503,'Daily Data'!$B$4:$B$503,$B$3,'Daily Data'!$AK$4:$AK$503,$M32))</f>
        <v/>
      </c>
      <c r="E32" s="98" t="str">
        <f>IF($M32="","",SUMIFS('Daily Data'!$M$4:$M$503,'Daily Data'!$B$4:$B$503,$B$3,'Daily Data'!$AK$4:$AK$503,$M32))</f>
        <v/>
      </c>
      <c r="F32" s="99" t="str">
        <f>IF($M32="","",SUMIFS('Daily Data'!$S$4:$S$503,'Daily Data'!$B$4:$B$503,$B$3,'Daily Data'!$AK$4:$AK$503,$M32))</f>
        <v/>
      </c>
      <c r="G32" s="97" t="str">
        <f>IF($M32="","",IF(COUNTIFS('Daily Data'!$B$4:$B$503,$B$3,'Daily Data'!$AK$4:$AK$503,$M32,'Daily Data'!$AA$4:$AA$503,"&gt;=-1E+300")=0,"",SUMIFS('Daily Data'!$AA$4:$AA$503,'Daily Data'!$B$4:$B$503,$B$3,'Daily Data'!$AK$4:$AK$503,$M32)))</f>
        <v/>
      </c>
      <c r="H32" s="98" t="str">
        <f>IF($M32="","",SUMIFS('Daily Data'!$K$4:$K$503,'Daily Data'!$B$4:$B$503,$B$3,'Daily Data'!$AK$4:$AK$503,$M32))</f>
        <v/>
      </c>
      <c r="I32" s="99" t="str">
        <f>IF($M32="","",IF(COUNTIFS('Daily Data'!$B$4:$B$503,$B$3,'Daily Data'!$AK$4:$AK$503,$M32,'Daily Data'!$AC$4:$AC$503,"&gt;=-1E+300")=0,"",SUMIFS('Daily Data'!$AC$4:$AC$503,'Daily Data'!$B$4:$B$503,$B$3,'Daily Data'!$AK$4:$AK$503,$M32)))</f>
        <v/>
      </c>
      <c r="J32" s="98" t="str">
        <f>IF($M32="","",SUMIFS('Daily Data'!$I$4:$I$503,'Daily Data'!$B$4:$B$503,$B$3,'Daily Data'!$AK$4:$AK$503,$M32))</f>
        <v/>
      </c>
      <c r="K32" s="100" t="str">
        <f>IF($M32="","",SUMIFS('Daily Data'!$AH$4:$AH$503,'Daily Data'!$B$4:$B$503,$B$3,'Daily Data'!$AK$4:$AK$503,$M32))</f>
        <v/>
      </c>
      <c r="L32" s="101" t="str">
        <f>IF($K32="","",IF($K32&lt;Settings!$C$46,"Extreme Sell Pressure",IF($K32&lt;Settings!$C$47,"Sell Pressure",IF($K32&lt;=Settings!$C$48,"Neutral",IF($K32&lt;=Settings!$C$49,"Buy Pressure","Extreme Buy Pressure")))))</f>
        <v/>
      </c>
      <c r="M32" s="112" t="str">
        <f>IF(COUNTIF('Daily Data'!$B$4:$B$503,$B$3)-100+ROW()-9&lt;1,"",COUNTIF('Daily Data'!$B$4:$B$503,$B$3)-100+ROW()-9)</f>
        <v/>
      </c>
      <c r="N32" s="97" t="str">
        <f>IF($M32="","",IF(COUNTIFS('Daily Data'!$B$4:$B$503,$B$3,'Daily Data'!$AK$4:$AK$503,$M32,'Daily Data'!$AD$4:$AD$503,"&gt;=-1E+300")=0,"",SUMIFS('Daily Data'!$AD$4:$AD$503,'Daily Data'!$B$4:$B$503,$B$3,'Daily Data'!$AK$4:$AK$503,$M32)))</f>
        <v/>
      </c>
      <c r="O32" s="97" t="str">
        <f>IF($M32="","",IF(COUNTIFS('Daily Data'!$B$4:$B$503,$B$3,'Daily Data'!$AK$4:$AK$503,$M32,'Daily Data'!$AE$4:$AE$503,"&gt;=-1E+300")=0,"",SUMIFS('Daily Data'!$AE$4:$AE$503,'Daily Data'!$B$4:$B$503,$B$3,'Daily Data'!$AK$4:$AK$503,$M32)))</f>
        <v/>
      </c>
      <c r="P32" s="99" t="str">
        <f>IF($M32="","",IF(COUNTIFS('Daily Data'!$B$4:$B$503,$B$3,'Daily Data'!$AK$4:$AK$503,$M32,'Daily Data'!$Z$4:$Z$503,"&gt;=-1E+300")=0,"",SUMIFS('Daily Data'!$Z$4:$Z$503,'Daily Data'!$B$4:$B$503,$B$3,'Daily Data'!$AK$4:$AK$503,$M32)))</f>
        <v/>
      </c>
      <c r="Q32" s="100" t="str">
        <f>IF($M32="","",SUMIFS('Daily Data'!$AG$4:$AG$503,'Daily Data'!$B$4:$B$503,$B$3,'Daily Data'!$AK$4:$AK$503,$M32))</f>
        <v/>
      </c>
      <c r="S32" s="117" t="e">
        <f>IF($A32="",NA(),$A32)</f>
        <v>#N/A</v>
      </c>
      <c r="T32" s="116" t="e">
        <f>IF($A32="",NA(),$B32)</f>
        <v>#N/A</v>
      </c>
      <c r="V32" s="117" t="e">
        <f>IF($A32="",NA(),$A32)</f>
        <v>#N/A</v>
      </c>
      <c r="W32" s="116" t="e">
        <f>IF($A32="",NA(),$H32)</f>
        <v>#N/A</v>
      </c>
      <c r="Y32" s="117" t="e">
        <f>IF($A32="",NA(),$A32)</f>
        <v>#N/A</v>
      </c>
      <c r="Z32" s="116" t="e">
        <f>IF($A32="",NA(),$J32)</f>
        <v>#N/A</v>
      </c>
      <c r="AB32" s="117" t="e">
        <f>IF($A32="",NA(),$A32)</f>
        <v>#N/A</v>
      </c>
      <c r="AC32" s="116" t="e">
        <f>IF($A32="",NA(),$D32)</f>
        <v>#N/A</v>
      </c>
      <c r="AD32" s="116" t="e">
        <f>IF($A32="",NA(),$E32)</f>
        <v>#N/A</v>
      </c>
      <c r="AF32" s="117" t="e">
        <f>IF($A32="",NA(),$A32)</f>
        <v>#N/A</v>
      </c>
      <c r="AG32" s="116" t="e">
        <f>IF($A32="",NA(),$F32)</f>
        <v>#N/A</v>
      </c>
      <c r="AI32" s="117" t="e">
        <f>IF($A32="",NA(),$A32)</f>
        <v>#N/A</v>
      </c>
      <c r="AJ32" s="116" t="e">
        <f>IF($A32="",NA(),$K32)</f>
        <v>#N/A</v>
      </c>
      <c r="AL32" s="117" t="e">
        <f>IF($A32="",NA(),$A32)</f>
        <v>#N/A</v>
      </c>
      <c r="AM32" s="116" t="e">
        <f>IF($A32="",NA(),$G32)</f>
        <v>#N/A</v>
      </c>
    </row>
    <row r="33" spans="1:39" x14ac:dyDescent="0.3">
      <c r="A33" s="95" t="str">
        <f>IF($M33="","",SUMIFS('Daily Data'!$A$4:$A$503,'Daily Data'!$B$4:$B$503,$B$3,'Daily Data'!$AK$4:$AK$503,$M33))</f>
        <v/>
      </c>
      <c r="B33" s="96" t="str">
        <f>IF($M33="","",SUMIFS('Daily Data'!$E$4:$E$503,'Daily Data'!$B$4:$B$503,$B$3,'Daily Data'!$AK$4:$AK$503,$M33))</f>
        <v/>
      </c>
      <c r="C33" s="97" t="str">
        <f>IF($M33="","",SUMIFS('Daily Data'!$H$4:$H$503,'Daily Data'!$B$4:$B$503,$B$3,'Daily Data'!$AK$4:$AK$503,$M33))</f>
        <v/>
      </c>
      <c r="D33" s="98" t="str">
        <f>IF($M33="","",SUMIFS('Daily Data'!$L$4:$L$503,'Daily Data'!$B$4:$B$503,$B$3,'Daily Data'!$AK$4:$AK$503,$M33))</f>
        <v/>
      </c>
      <c r="E33" s="98" t="str">
        <f>IF($M33="","",SUMIFS('Daily Data'!$M$4:$M$503,'Daily Data'!$B$4:$B$503,$B$3,'Daily Data'!$AK$4:$AK$503,$M33))</f>
        <v/>
      </c>
      <c r="F33" s="99" t="str">
        <f>IF($M33="","",SUMIFS('Daily Data'!$S$4:$S$503,'Daily Data'!$B$4:$B$503,$B$3,'Daily Data'!$AK$4:$AK$503,$M33))</f>
        <v/>
      </c>
      <c r="G33" s="97" t="str">
        <f>IF($M33="","",IF(COUNTIFS('Daily Data'!$B$4:$B$503,$B$3,'Daily Data'!$AK$4:$AK$503,$M33,'Daily Data'!$AA$4:$AA$503,"&gt;=-1E+300")=0,"",SUMIFS('Daily Data'!$AA$4:$AA$503,'Daily Data'!$B$4:$B$503,$B$3,'Daily Data'!$AK$4:$AK$503,$M33)))</f>
        <v/>
      </c>
      <c r="H33" s="98" t="str">
        <f>IF($M33="","",SUMIFS('Daily Data'!$K$4:$K$503,'Daily Data'!$B$4:$B$503,$B$3,'Daily Data'!$AK$4:$AK$503,$M33))</f>
        <v/>
      </c>
      <c r="I33" s="99" t="str">
        <f>IF($M33="","",IF(COUNTIFS('Daily Data'!$B$4:$B$503,$B$3,'Daily Data'!$AK$4:$AK$503,$M33,'Daily Data'!$AC$4:$AC$503,"&gt;=-1E+300")=0,"",SUMIFS('Daily Data'!$AC$4:$AC$503,'Daily Data'!$B$4:$B$503,$B$3,'Daily Data'!$AK$4:$AK$503,$M33)))</f>
        <v/>
      </c>
      <c r="J33" s="98" t="str">
        <f>IF($M33="","",SUMIFS('Daily Data'!$I$4:$I$503,'Daily Data'!$B$4:$B$503,$B$3,'Daily Data'!$AK$4:$AK$503,$M33))</f>
        <v/>
      </c>
      <c r="K33" s="100" t="str">
        <f>IF($M33="","",SUMIFS('Daily Data'!$AH$4:$AH$503,'Daily Data'!$B$4:$B$503,$B$3,'Daily Data'!$AK$4:$AK$503,$M33))</f>
        <v/>
      </c>
      <c r="L33" s="101" t="str">
        <f>IF($K33="","",IF($K33&lt;Settings!$C$46,"Extreme Sell Pressure",IF($K33&lt;Settings!$C$47,"Sell Pressure",IF($K33&lt;=Settings!$C$48,"Neutral",IF($K33&lt;=Settings!$C$49,"Buy Pressure","Extreme Buy Pressure")))))</f>
        <v/>
      </c>
      <c r="M33" s="112" t="str">
        <f>IF(COUNTIF('Daily Data'!$B$4:$B$503,$B$3)-100+ROW()-9&lt;1,"",COUNTIF('Daily Data'!$B$4:$B$503,$B$3)-100+ROW()-9)</f>
        <v/>
      </c>
      <c r="N33" s="97" t="str">
        <f>IF($M33="","",IF(COUNTIFS('Daily Data'!$B$4:$B$503,$B$3,'Daily Data'!$AK$4:$AK$503,$M33,'Daily Data'!$AD$4:$AD$503,"&gt;=-1E+300")=0,"",SUMIFS('Daily Data'!$AD$4:$AD$503,'Daily Data'!$B$4:$B$503,$B$3,'Daily Data'!$AK$4:$AK$503,$M33)))</f>
        <v/>
      </c>
      <c r="O33" s="97" t="str">
        <f>IF($M33="","",IF(COUNTIFS('Daily Data'!$B$4:$B$503,$B$3,'Daily Data'!$AK$4:$AK$503,$M33,'Daily Data'!$AE$4:$AE$503,"&gt;=-1E+300")=0,"",SUMIFS('Daily Data'!$AE$4:$AE$503,'Daily Data'!$B$4:$B$503,$B$3,'Daily Data'!$AK$4:$AK$503,$M33)))</f>
        <v/>
      </c>
      <c r="P33" s="99" t="str">
        <f>IF($M33="","",IF(COUNTIFS('Daily Data'!$B$4:$B$503,$B$3,'Daily Data'!$AK$4:$AK$503,$M33,'Daily Data'!$Z$4:$Z$503,"&gt;=-1E+300")=0,"",SUMIFS('Daily Data'!$Z$4:$Z$503,'Daily Data'!$B$4:$B$503,$B$3,'Daily Data'!$AK$4:$AK$503,$M33)))</f>
        <v/>
      </c>
      <c r="Q33" s="100" t="str">
        <f>IF($M33="","",SUMIFS('Daily Data'!$AG$4:$AG$503,'Daily Data'!$B$4:$B$503,$B$3,'Daily Data'!$AK$4:$AK$503,$M33))</f>
        <v/>
      </c>
      <c r="S33" s="117" t="e">
        <f>IF($A33="",NA(),$A33)</f>
        <v>#N/A</v>
      </c>
      <c r="T33" s="116" t="e">
        <f>IF($A33="",NA(),$B33)</f>
        <v>#N/A</v>
      </c>
      <c r="V33" s="117" t="e">
        <f>IF($A33="",NA(),$A33)</f>
        <v>#N/A</v>
      </c>
      <c r="W33" s="116" t="e">
        <f>IF($A33="",NA(),$H33)</f>
        <v>#N/A</v>
      </c>
      <c r="Y33" s="117" t="e">
        <f>IF($A33="",NA(),$A33)</f>
        <v>#N/A</v>
      </c>
      <c r="Z33" s="116" t="e">
        <f>IF($A33="",NA(),$J33)</f>
        <v>#N/A</v>
      </c>
      <c r="AB33" s="117" t="e">
        <f>IF($A33="",NA(),$A33)</f>
        <v>#N/A</v>
      </c>
      <c r="AC33" s="116" t="e">
        <f>IF($A33="",NA(),$D33)</f>
        <v>#N/A</v>
      </c>
      <c r="AD33" s="116" t="e">
        <f>IF($A33="",NA(),$E33)</f>
        <v>#N/A</v>
      </c>
      <c r="AF33" s="117" t="e">
        <f>IF($A33="",NA(),$A33)</f>
        <v>#N/A</v>
      </c>
      <c r="AG33" s="116" t="e">
        <f>IF($A33="",NA(),$F33)</f>
        <v>#N/A</v>
      </c>
      <c r="AI33" s="117" t="e">
        <f>IF($A33="",NA(),$A33)</f>
        <v>#N/A</v>
      </c>
      <c r="AJ33" s="116" t="e">
        <f>IF($A33="",NA(),$K33)</f>
        <v>#N/A</v>
      </c>
      <c r="AL33" s="117" t="e">
        <f>IF($A33="",NA(),$A33)</f>
        <v>#N/A</v>
      </c>
      <c r="AM33" s="116" t="e">
        <f>IF($A33="",NA(),$G33)</f>
        <v>#N/A</v>
      </c>
    </row>
    <row r="34" spans="1:39" x14ac:dyDescent="0.3">
      <c r="A34" s="95" t="str">
        <f>IF($M34="","",SUMIFS('Daily Data'!$A$4:$A$503,'Daily Data'!$B$4:$B$503,$B$3,'Daily Data'!$AK$4:$AK$503,$M34))</f>
        <v/>
      </c>
      <c r="B34" s="96" t="str">
        <f>IF($M34="","",SUMIFS('Daily Data'!$E$4:$E$503,'Daily Data'!$B$4:$B$503,$B$3,'Daily Data'!$AK$4:$AK$503,$M34))</f>
        <v/>
      </c>
      <c r="C34" s="97" t="str">
        <f>IF($M34="","",SUMIFS('Daily Data'!$H$4:$H$503,'Daily Data'!$B$4:$B$503,$B$3,'Daily Data'!$AK$4:$AK$503,$M34))</f>
        <v/>
      </c>
      <c r="D34" s="98" t="str">
        <f>IF($M34="","",SUMIFS('Daily Data'!$L$4:$L$503,'Daily Data'!$B$4:$B$503,$B$3,'Daily Data'!$AK$4:$AK$503,$M34))</f>
        <v/>
      </c>
      <c r="E34" s="98" t="str">
        <f>IF($M34="","",SUMIFS('Daily Data'!$M$4:$M$503,'Daily Data'!$B$4:$B$503,$B$3,'Daily Data'!$AK$4:$AK$503,$M34))</f>
        <v/>
      </c>
      <c r="F34" s="99" t="str">
        <f>IF($M34="","",SUMIFS('Daily Data'!$S$4:$S$503,'Daily Data'!$B$4:$B$503,$B$3,'Daily Data'!$AK$4:$AK$503,$M34))</f>
        <v/>
      </c>
      <c r="G34" s="97" t="str">
        <f>IF($M34="","",IF(COUNTIFS('Daily Data'!$B$4:$B$503,$B$3,'Daily Data'!$AK$4:$AK$503,$M34,'Daily Data'!$AA$4:$AA$503,"&gt;=-1E+300")=0,"",SUMIFS('Daily Data'!$AA$4:$AA$503,'Daily Data'!$B$4:$B$503,$B$3,'Daily Data'!$AK$4:$AK$503,$M34)))</f>
        <v/>
      </c>
      <c r="H34" s="98" t="str">
        <f>IF($M34="","",SUMIFS('Daily Data'!$K$4:$K$503,'Daily Data'!$B$4:$B$503,$B$3,'Daily Data'!$AK$4:$AK$503,$M34))</f>
        <v/>
      </c>
      <c r="I34" s="99" t="str">
        <f>IF($M34="","",IF(COUNTIFS('Daily Data'!$B$4:$B$503,$B$3,'Daily Data'!$AK$4:$AK$503,$M34,'Daily Data'!$AC$4:$AC$503,"&gt;=-1E+300")=0,"",SUMIFS('Daily Data'!$AC$4:$AC$503,'Daily Data'!$B$4:$B$503,$B$3,'Daily Data'!$AK$4:$AK$503,$M34)))</f>
        <v/>
      </c>
      <c r="J34" s="98" t="str">
        <f>IF($M34="","",SUMIFS('Daily Data'!$I$4:$I$503,'Daily Data'!$B$4:$B$503,$B$3,'Daily Data'!$AK$4:$AK$503,$M34))</f>
        <v/>
      </c>
      <c r="K34" s="100" t="str">
        <f>IF($M34="","",SUMIFS('Daily Data'!$AH$4:$AH$503,'Daily Data'!$B$4:$B$503,$B$3,'Daily Data'!$AK$4:$AK$503,$M34))</f>
        <v/>
      </c>
      <c r="L34" s="101" t="str">
        <f>IF($K34="","",IF($K34&lt;Settings!$C$46,"Extreme Sell Pressure",IF($K34&lt;Settings!$C$47,"Sell Pressure",IF($K34&lt;=Settings!$C$48,"Neutral",IF($K34&lt;=Settings!$C$49,"Buy Pressure","Extreme Buy Pressure")))))</f>
        <v/>
      </c>
      <c r="M34" s="112" t="str">
        <f>IF(COUNTIF('Daily Data'!$B$4:$B$503,$B$3)-100+ROW()-9&lt;1,"",COUNTIF('Daily Data'!$B$4:$B$503,$B$3)-100+ROW()-9)</f>
        <v/>
      </c>
      <c r="N34" s="97" t="str">
        <f>IF($M34="","",IF(COUNTIFS('Daily Data'!$B$4:$B$503,$B$3,'Daily Data'!$AK$4:$AK$503,$M34,'Daily Data'!$AD$4:$AD$503,"&gt;=-1E+300")=0,"",SUMIFS('Daily Data'!$AD$4:$AD$503,'Daily Data'!$B$4:$B$503,$B$3,'Daily Data'!$AK$4:$AK$503,$M34)))</f>
        <v/>
      </c>
      <c r="O34" s="97" t="str">
        <f>IF($M34="","",IF(COUNTIFS('Daily Data'!$B$4:$B$503,$B$3,'Daily Data'!$AK$4:$AK$503,$M34,'Daily Data'!$AE$4:$AE$503,"&gt;=-1E+300")=0,"",SUMIFS('Daily Data'!$AE$4:$AE$503,'Daily Data'!$B$4:$B$503,$B$3,'Daily Data'!$AK$4:$AK$503,$M34)))</f>
        <v/>
      </c>
      <c r="P34" s="99" t="str">
        <f>IF($M34="","",IF(COUNTIFS('Daily Data'!$B$4:$B$503,$B$3,'Daily Data'!$AK$4:$AK$503,$M34,'Daily Data'!$Z$4:$Z$503,"&gt;=-1E+300")=0,"",SUMIFS('Daily Data'!$Z$4:$Z$503,'Daily Data'!$B$4:$B$503,$B$3,'Daily Data'!$AK$4:$AK$503,$M34)))</f>
        <v/>
      </c>
      <c r="Q34" s="100" t="str">
        <f>IF($M34="","",SUMIFS('Daily Data'!$AG$4:$AG$503,'Daily Data'!$B$4:$B$503,$B$3,'Daily Data'!$AK$4:$AK$503,$M34))</f>
        <v/>
      </c>
      <c r="S34" s="117" t="e">
        <f>IF($A34="",NA(),$A34)</f>
        <v>#N/A</v>
      </c>
      <c r="T34" s="116" t="e">
        <f>IF($A34="",NA(),$B34)</f>
        <v>#N/A</v>
      </c>
      <c r="V34" s="117" t="e">
        <f>IF($A34="",NA(),$A34)</f>
        <v>#N/A</v>
      </c>
      <c r="W34" s="116" t="e">
        <f>IF($A34="",NA(),$H34)</f>
        <v>#N/A</v>
      </c>
      <c r="Y34" s="117" t="e">
        <f>IF($A34="",NA(),$A34)</f>
        <v>#N/A</v>
      </c>
      <c r="Z34" s="116" t="e">
        <f>IF($A34="",NA(),$J34)</f>
        <v>#N/A</v>
      </c>
      <c r="AB34" s="117" t="e">
        <f>IF($A34="",NA(),$A34)</f>
        <v>#N/A</v>
      </c>
      <c r="AC34" s="116" t="e">
        <f>IF($A34="",NA(),$D34)</f>
        <v>#N/A</v>
      </c>
      <c r="AD34" s="116" t="e">
        <f>IF($A34="",NA(),$E34)</f>
        <v>#N/A</v>
      </c>
      <c r="AF34" s="117" t="e">
        <f>IF($A34="",NA(),$A34)</f>
        <v>#N/A</v>
      </c>
      <c r="AG34" s="116" t="e">
        <f>IF($A34="",NA(),$F34)</f>
        <v>#N/A</v>
      </c>
      <c r="AI34" s="117" t="e">
        <f>IF($A34="",NA(),$A34)</f>
        <v>#N/A</v>
      </c>
      <c r="AJ34" s="116" t="e">
        <f>IF($A34="",NA(),$K34)</f>
        <v>#N/A</v>
      </c>
      <c r="AL34" s="117" t="e">
        <f>IF($A34="",NA(),$A34)</f>
        <v>#N/A</v>
      </c>
      <c r="AM34" s="116" t="e">
        <f>IF($A34="",NA(),$G34)</f>
        <v>#N/A</v>
      </c>
    </row>
    <row r="35" spans="1:39" x14ac:dyDescent="0.3">
      <c r="A35" s="95" t="str">
        <f>IF($M35="","",SUMIFS('Daily Data'!$A$4:$A$503,'Daily Data'!$B$4:$B$503,$B$3,'Daily Data'!$AK$4:$AK$503,$M35))</f>
        <v/>
      </c>
      <c r="B35" s="96" t="str">
        <f>IF($M35="","",SUMIFS('Daily Data'!$E$4:$E$503,'Daily Data'!$B$4:$B$503,$B$3,'Daily Data'!$AK$4:$AK$503,$M35))</f>
        <v/>
      </c>
      <c r="C35" s="97" t="str">
        <f>IF($M35="","",SUMIFS('Daily Data'!$H$4:$H$503,'Daily Data'!$B$4:$B$503,$B$3,'Daily Data'!$AK$4:$AK$503,$M35))</f>
        <v/>
      </c>
      <c r="D35" s="98" t="str">
        <f>IF($M35="","",SUMIFS('Daily Data'!$L$4:$L$503,'Daily Data'!$B$4:$B$503,$B$3,'Daily Data'!$AK$4:$AK$503,$M35))</f>
        <v/>
      </c>
      <c r="E35" s="98" t="str">
        <f>IF($M35="","",SUMIFS('Daily Data'!$M$4:$M$503,'Daily Data'!$B$4:$B$503,$B$3,'Daily Data'!$AK$4:$AK$503,$M35))</f>
        <v/>
      </c>
      <c r="F35" s="99" t="str">
        <f>IF($M35="","",SUMIFS('Daily Data'!$S$4:$S$503,'Daily Data'!$B$4:$B$503,$B$3,'Daily Data'!$AK$4:$AK$503,$M35))</f>
        <v/>
      </c>
      <c r="G35" s="97" t="str">
        <f>IF($M35="","",IF(COUNTIFS('Daily Data'!$B$4:$B$503,$B$3,'Daily Data'!$AK$4:$AK$503,$M35,'Daily Data'!$AA$4:$AA$503,"&gt;=-1E+300")=0,"",SUMIFS('Daily Data'!$AA$4:$AA$503,'Daily Data'!$B$4:$B$503,$B$3,'Daily Data'!$AK$4:$AK$503,$M35)))</f>
        <v/>
      </c>
      <c r="H35" s="98" t="str">
        <f>IF($M35="","",SUMIFS('Daily Data'!$K$4:$K$503,'Daily Data'!$B$4:$B$503,$B$3,'Daily Data'!$AK$4:$AK$503,$M35))</f>
        <v/>
      </c>
      <c r="I35" s="99" t="str">
        <f>IF($M35="","",IF(COUNTIFS('Daily Data'!$B$4:$B$503,$B$3,'Daily Data'!$AK$4:$AK$503,$M35,'Daily Data'!$AC$4:$AC$503,"&gt;=-1E+300")=0,"",SUMIFS('Daily Data'!$AC$4:$AC$503,'Daily Data'!$B$4:$B$503,$B$3,'Daily Data'!$AK$4:$AK$503,$M35)))</f>
        <v/>
      </c>
      <c r="J35" s="98" t="str">
        <f>IF($M35="","",SUMIFS('Daily Data'!$I$4:$I$503,'Daily Data'!$B$4:$B$503,$B$3,'Daily Data'!$AK$4:$AK$503,$M35))</f>
        <v/>
      </c>
      <c r="K35" s="100" t="str">
        <f>IF($M35="","",SUMIFS('Daily Data'!$AH$4:$AH$503,'Daily Data'!$B$4:$B$503,$B$3,'Daily Data'!$AK$4:$AK$503,$M35))</f>
        <v/>
      </c>
      <c r="L35" s="101" t="str">
        <f>IF($K35="","",IF($K35&lt;Settings!$C$46,"Extreme Sell Pressure",IF($K35&lt;Settings!$C$47,"Sell Pressure",IF($K35&lt;=Settings!$C$48,"Neutral",IF($K35&lt;=Settings!$C$49,"Buy Pressure","Extreme Buy Pressure")))))</f>
        <v/>
      </c>
      <c r="M35" s="112" t="str">
        <f>IF(COUNTIF('Daily Data'!$B$4:$B$503,$B$3)-100+ROW()-9&lt;1,"",COUNTIF('Daily Data'!$B$4:$B$503,$B$3)-100+ROW()-9)</f>
        <v/>
      </c>
      <c r="N35" s="97" t="str">
        <f>IF($M35="","",IF(COUNTIFS('Daily Data'!$B$4:$B$503,$B$3,'Daily Data'!$AK$4:$AK$503,$M35,'Daily Data'!$AD$4:$AD$503,"&gt;=-1E+300")=0,"",SUMIFS('Daily Data'!$AD$4:$AD$503,'Daily Data'!$B$4:$B$503,$B$3,'Daily Data'!$AK$4:$AK$503,$M35)))</f>
        <v/>
      </c>
      <c r="O35" s="97" t="str">
        <f>IF($M35="","",IF(COUNTIFS('Daily Data'!$B$4:$B$503,$B$3,'Daily Data'!$AK$4:$AK$503,$M35,'Daily Data'!$AE$4:$AE$503,"&gt;=-1E+300")=0,"",SUMIFS('Daily Data'!$AE$4:$AE$503,'Daily Data'!$B$4:$B$503,$B$3,'Daily Data'!$AK$4:$AK$503,$M35)))</f>
        <v/>
      </c>
      <c r="P35" s="99" t="str">
        <f>IF($M35="","",IF(COUNTIFS('Daily Data'!$B$4:$B$503,$B$3,'Daily Data'!$AK$4:$AK$503,$M35,'Daily Data'!$Z$4:$Z$503,"&gt;=-1E+300")=0,"",SUMIFS('Daily Data'!$Z$4:$Z$503,'Daily Data'!$B$4:$B$503,$B$3,'Daily Data'!$AK$4:$AK$503,$M35)))</f>
        <v/>
      </c>
      <c r="Q35" s="100" t="str">
        <f>IF($M35="","",SUMIFS('Daily Data'!$AG$4:$AG$503,'Daily Data'!$B$4:$B$503,$B$3,'Daily Data'!$AK$4:$AK$503,$M35))</f>
        <v/>
      </c>
      <c r="S35" s="117" t="e">
        <f>IF($A35="",NA(),$A35)</f>
        <v>#N/A</v>
      </c>
      <c r="T35" s="116" t="e">
        <f>IF($A35="",NA(),$B35)</f>
        <v>#N/A</v>
      </c>
      <c r="V35" s="117" t="e">
        <f>IF($A35="",NA(),$A35)</f>
        <v>#N/A</v>
      </c>
      <c r="W35" s="116" t="e">
        <f>IF($A35="",NA(),$H35)</f>
        <v>#N/A</v>
      </c>
      <c r="Y35" s="117" t="e">
        <f>IF($A35="",NA(),$A35)</f>
        <v>#N/A</v>
      </c>
      <c r="Z35" s="116" t="e">
        <f>IF($A35="",NA(),$J35)</f>
        <v>#N/A</v>
      </c>
      <c r="AB35" s="117" t="e">
        <f>IF($A35="",NA(),$A35)</f>
        <v>#N/A</v>
      </c>
      <c r="AC35" s="116" t="e">
        <f>IF($A35="",NA(),$D35)</f>
        <v>#N/A</v>
      </c>
      <c r="AD35" s="116" t="e">
        <f>IF($A35="",NA(),$E35)</f>
        <v>#N/A</v>
      </c>
      <c r="AF35" s="117" t="e">
        <f>IF($A35="",NA(),$A35)</f>
        <v>#N/A</v>
      </c>
      <c r="AG35" s="116" t="e">
        <f>IF($A35="",NA(),$F35)</f>
        <v>#N/A</v>
      </c>
      <c r="AI35" s="117" t="e">
        <f>IF($A35="",NA(),$A35)</f>
        <v>#N/A</v>
      </c>
      <c r="AJ35" s="116" t="e">
        <f>IF($A35="",NA(),$K35)</f>
        <v>#N/A</v>
      </c>
      <c r="AL35" s="117" t="e">
        <f>IF($A35="",NA(),$A35)</f>
        <v>#N/A</v>
      </c>
      <c r="AM35" s="116" t="e">
        <f>IF($A35="",NA(),$G35)</f>
        <v>#N/A</v>
      </c>
    </row>
    <row r="36" spans="1:39" x14ac:dyDescent="0.3">
      <c r="A36" s="95" t="str">
        <f>IF($M36="","",SUMIFS('Daily Data'!$A$4:$A$503,'Daily Data'!$B$4:$B$503,$B$3,'Daily Data'!$AK$4:$AK$503,$M36))</f>
        <v/>
      </c>
      <c r="B36" s="96" t="str">
        <f>IF($M36="","",SUMIFS('Daily Data'!$E$4:$E$503,'Daily Data'!$B$4:$B$503,$B$3,'Daily Data'!$AK$4:$AK$503,$M36))</f>
        <v/>
      </c>
      <c r="C36" s="97" t="str">
        <f>IF($M36="","",SUMIFS('Daily Data'!$H$4:$H$503,'Daily Data'!$B$4:$B$503,$B$3,'Daily Data'!$AK$4:$AK$503,$M36))</f>
        <v/>
      </c>
      <c r="D36" s="98" t="str">
        <f>IF($M36="","",SUMIFS('Daily Data'!$L$4:$L$503,'Daily Data'!$B$4:$B$503,$B$3,'Daily Data'!$AK$4:$AK$503,$M36))</f>
        <v/>
      </c>
      <c r="E36" s="98" t="str">
        <f>IF($M36="","",SUMIFS('Daily Data'!$M$4:$M$503,'Daily Data'!$B$4:$B$503,$B$3,'Daily Data'!$AK$4:$AK$503,$M36))</f>
        <v/>
      </c>
      <c r="F36" s="99" t="str">
        <f>IF($M36="","",SUMIFS('Daily Data'!$S$4:$S$503,'Daily Data'!$B$4:$B$503,$B$3,'Daily Data'!$AK$4:$AK$503,$M36))</f>
        <v/>
      </c>
      <c r="G36" s="97" t="str">
        <f>IF($M36="","",IF(COUNTIFS('Daily Data'!$B$4:$B$503,$B$3,'Daily Data'!$AK$4:$AK$503,$M36,'Daily Data'!$AA$4:$AA$503,"&gt;=-1E+300")=0,"",SUMIFS('Daily Data'!$AA$4:$AA$503,'Daily Data'!$B$4:$B$503,$B$3,'Daily Data'!$AK$4:$AK$503,$M36)))</f>
        <v/>
      </c>
      <c r="H36" s="98" t="str">
        <f>IF($M36="","",SUMIFS('Daily Data'!$K$4:$K$503,'Daily Data'!$B$4:$B$503,$B$3,'Daily Data'!$AK$4:$AK$503,$M36))</f>
        <v/>
      </c>
      <c r="I36" s="99" t="str">
        <f>IF($M36="","",IF(COUNTIFS('Daily Data'!$B$4:$B$503,$B$3,'Daily Data'!$AK$4:$AK$503,$M36,'Daily Data'!$AC$4:$AC$503,"&gt;=-1E+300")=0,"",SUMIFS('Daily Data'!$AC$4:$AC$503,'Daily Data'!$B$4:$B$503,$B$3,'Daily Data'!$AK$4:$AK$503,$M36)))</f>
        <v/>
      </c>
      <c r="J36" s="98" t="str">
        <f>IF($M36="","",SUMIFS('Daily Data'!$I$4:$I$503,'Daily Data'!$B$4:$B$503,$B$3,'Daily Data'!$AK$4:$AK$503,$M36))</f>
        <v/>
      </c>
      <c r="K36" s="100" t="str">
        <f>IF($M36="","",SUMIFS('Daily Data'!$AH$4:$AH$503,'Daily Data'!$B$4:$B$503,$B$3,'Daily Data'!$AK$4:$AK$503,$M36))</f>
        <v/>
      </c>
      <c r="L36" s="101" t="str">
        <f>IF($K36="","",IF($K36&lt;Settings!$C$46,"Extreme Sell Pressure",IF($K36&lt;Settings!$C$47,"Sell Pressure",IF($K36&lt;=Settings!$C$48,"Neutral",IF($K36&lt;=Settings!$C$49,"Buy Pressure","Extreme Buy Pressure")))))</f>
        <v/>
      </c>
      <c r="M36" s="112" t="str">
        <f>IF(COUNTIF('Daily Data'!$B$4:$B$503,$B$3)-100+ROW()-9&lt;1,"",COUNTIF('Daily Data'!$B$4:$B$503,$B$3)-100+ROW()-9)</f>
        <v/>
      </c>
      <c r="N36" s="97" t="str">
        <f>IF($M36="","",IF(COUNTIFS('Daily Data'!$B$4:$B$503,$B$3,'Daily Data'!$AK$4:$AK$503,$M36,'Daily Data'!$AD$4:$AD$503,"&gt;=-1E+300")=0,"",SUMIFS('Daily Data'!$AD$4:$AD$503,'Daily Data'!$B$4:$B$503,$B$3,'Daily Data'!$AK$4:$AK$503,$M36)))</f>
        <v/>
      </c>
      <c r="O36" s="97" t="str">
        <f>IF($M36="","",IF(COUNTIFS('Daily Data'!$B$4:$B$503,$B$3,'Daily Data'!$AK$4:$AK$503,$M36,'Daily Data'!$AE$4:$AE$503,"&gt;=-1E+300")=0,"",SUMIFS('Daily Data'!$AE$4:$AE$503,'Daily Data'!$B$4:$B$503,$B$3,'Daily Data'!$AK$4:$AK$503,$M36)))</f>
        <v/>
      </c>
      <c r="P36" s="99" t="str">
        <f>IF($M36="","",IF(COUNTIFS('Daily Data'!$B$4:$B$503,$B$3,'Daily Data'!$AK$4:$AK$503,$M36,'Daily Data'!$Z$4:$Z$503,"&gt;=-1E+300")=0,"",SUMIFS('Daily Data'!$Z$4:$Z$503,'Daily Data'!$B$4:$B$503,$B$3,'Daily Data'!$AK$4:$AK$503,$M36)))</f>
        <v/>
      </c>
      <c r="Q36" s="100" t="str">
        <f>IF($M36="","",SUMIFS('Daily Data'!$AG$4:$AG$503,'Daily Data'!$B$4:$B$503,$B$3,'Daily Data'!$AK$4:$AK$503,$M36))</f>
        <v/>
      </c>
      <c r="S36" s="117" t="e">
        <f>IF($A36="",NA(),$A36)</f>
        <v>#N/A</v>
      </c>
      <c r="T36" s="116" t="e">
        <f>IF($A36="",NA(),$B36)</f>
        <v>#N/A</v>
      </c>
      <c r="V36" s="117" t="e">
        <f>IF($A36="",NA(),$A36)</f>
        <v>#N/A</v>
      </c>
      <c r="W36" s="116" t="e">
        <f>IF($A36="",NA(),$H36)</f>
        <v>#N/A</v>
      </c>
      <c r="Y36" s="117" t="e">
        <f>IF($A36="",NA(),$A36)</f>
        <v>#N/A</v>
      </c>
      <c r="Z36" s="116" t="e">
        <f>IF($A36="",NA(),$J36)</f>
        <v>#N/A</v>
      </c>
      <c r="AB36" s="117" t="e">
        <f>IF($A36="",NA(),$A36)</f>
        <v>#N/A</v>
      </c>
      <c r="AC36" s="116" t="e">
        <f>IF($A36="",NA(),$D36)</f>
        <v>#N/A</v>
      </c>
      <c r="AD36" s="116" t="e">
        <f>IF($A36="",NA(),$E36)</f>
        <v>#N/A</v>
      </c>
      <c r="AF36" s="117" t="e">
        <f>IF($A36="",NA(),$A36)</f>
        <v>#N/A</v>
      </c>
      <c r="AG36" s="116" t="e">
        <f>IF($A36="",NA(),$F36)</f>
        <v>#N/A</v>
      </c>
      <c r="AI36" s="117" t="e">
        <f>IF($A36="",NA(),$A36)</f>
        <v>#N/A</v>
      </c>
      <c r="AJ36" s="116" t="e">
        <f>IF($A36="",NA(),$K36)</f>
        <v>#N/A</v>
      </c>
      <c r="AL36" s="117" t="e">
        <f>IF($A36="",NA(),$A36)</f>
        <v>#N/A</v>
      </c>
      <c r="AM36" s="116" t="e">
        <f>IF($A36="",NA(),$G36)</f>
        <v>#N/A</v>
      </c>
    </row>
    <row r="37" spans="1:39" x14ac:dyDescent="0.3">
      <c r="A37" s="95" t="str">
        <f>IF($M37="","",SUMIFS('Daily Data'!$A$4:$A$503,'Daily Data'!$B$4:$B$503,$B$3,'Daily Data'!$AK$4:$AK$503,$M37))</f>
        <v/>
      </c>
      <c r="B37" s="96" t="str">
        <f>IF($M37="","",SUMIFS('Daily Data'!$E$4:$E$503,'Daily Data'!$B$4:$B$503,$B$3,'Daily Data'!$AK$4:$AK$503,$M37))</f>
        <v/>
      </c>
      <c r="C37" s="97" t="str">
        <f>IF($M37="","",SUMIFS('Daily Data'!$H$4:$H$503,'Daily Data'!$B$4:$B$503,$B$3,'Daily Data'!$AK$4:$AK$503,$M37))</f>
        <v/>
      </c>
      <c r="D37" s="98" t="str">
        <f>IF($M37="","",SUMIFS('Daily Data'!$L$4:$L$503,'Daily Data'!$B$4:$B$503,$B$3,'Daily Data'!$AK$4:$AK$503,$M37))</f>
        <v/>
      </c>
      <c r="E37" s="98" t="str">
        <f>IF($M37="","",SUMIFS('Daily Data'!$M$4:$M$503,'Daily Data'!$B$4:$B$503,$B$3,'Daily Data'!$AK$4:$AK$503,$M37))</f>
        <v/>
      </c>
      <c r="F37" s="99" t="str">
        <f>IF($M37="","",SUMIFS('Daily Data'!$S$4:$S$503,'Daily Data'!$B$4:$B$503,$B$3,'Daily Data'!$AK$4:$AK$503,$M37))</f>
        <v/>
      </c>
      <c r="G37" s="97" t="str">
        <f>IF($M37="","",IF(COUNTIFS('Daily Data'!$B$4:$B$503,$B$3,'Daily Data'!$AK$4:$AK$503,$M37,'Daily Data'!$AA$4:$AA$503,"&gt;=-1E+300")=0,"",SUMIFS('Daily Data'!$AA$4:$AA$503,'Daily Data'!$B$4:$B$503,$B$3,'Daily Data'!$AK$4:$AK$503,$M37)))</f>
        <v/>
      </c>
      <c r="H37" s="98" t="str">
        <f>IF($M37="","",SUMIFS('Daily Data'!$K$4:$K$503,'Daily Data'!$B$4:$B$503,$B$3,'Daily Data'!$AK$4:$AK$503,$M37))</f>
        <v/>
      </c>
      <c r="I37" s="99" t="str">
        <f>IF($M37="","",IF(COUNTIFS('Daily Data'!$B$4:$B$503,$B$3,'Daily Data'!$AK$4:$AK$503,$M37,'Daily Data'!$AC$4:$AC$503,"&gt;=-1E+300")=0,"",SUMIFS('Daily Data'!$AC$4:$AC$503,'Daily Data'!$B$4:$B$503,$B$3,'Daily Data'!$AK$4:$AK$503,$M37)))</f>
        <v/>
      </c>
      <c r="J37" s="98" t="str">
        <f>IF($M37="","",SUMIFS('Daily Data'!$I$4:$I$503,'Daily Data'!$B$4:$B$503,$B$3,'Daily Data'!$AK$4:$AK$503,$M37))</f>
        <v/>
      </c>
      <c r="K37" s="100" t="str">
        <f>IF($M37="","",SUMIFS('Daily Data'!$AH$4:$AH$503,'Daily Data'!$B$4:$B$503,$B$3,'Daily Data'!$AK$4:$AK$503,$M37))</f>
        <v/>
      </c>
      <c r="L37" s="101" t="str">
        <f>IF($K37="","",IF($K37&lt;Settings!$C$46,"Extreme Sell Pressure",IF($K37&lt;Settings!$C$47,"Sell Pressure",IF($K37&lt;=Settings!$C$48,"Neutral",IF($K37&lt;=Settings!$C$49,"Buy Pressure","Extreme Buy Pressure")))))</f>
        <v/>
      </c>
      <c r="M37" s="112" t="str">
        <f>IF(COUNTIF('Daily Data'!$B$4:$B$503,$B$3)-100+ROW()-9&lt;1,"",COUNTIF('Daily Data'!$B$4:$B$503,$B$3)-100+ROW()-9)</f>
        <v/>
      </c>
      <c r="N37" s="97" t="str">
        <f>IF($M37="","",IF(COUNTIFS('Daily Data'!$B$4:$B$503,$B$3,'Daily Data'!$AK$4:$AK$503,$M37,'Daily Data'!$AD$4:$AD$503,"&gt;=-1E+300")=0,"",SUMIFS('Daily Data'!$AD$4:$AD$503,'Daily Data'!$B$4:$B$503,$B$3,'Daily Data'!$AK$4:$AK$503,$M37)))</f>
        <v/>
      </c>
      <c r="O37" s="97" t="str">
        <f>IF($M37="","",IF(COUNTIFS('Daily Data'!$B$4:$B$503,$B$3,'Daily Data'!$AK$4:$AK$503,$M37,'Daily Data'!$AE$4:$AE$503,"&gt;=-1E+300")=0,"",SUMIFS('Daily Data'!$AE$4:$AE$503,'Daily Data'!$B$4:$B$503,$B$3,'Daily Data'!$AK$4:$AK$503,$M37)))</f>
        <v/>
      </c>
      <c r="P37" s="99" t="str">
        <f>IF($M37="","",IF(COUNTIFS('Daily Data'!$B$4:$B$503,$B$3,'Daily Data'!$AK$4:$AK$503,$M37,'Daily Data'!$Z$4:$Z$503,"&gt;=-1E+300")=0,"",SUMIFS('Daily Data'!$Z$4:$Z$503,'Daily Data'!$B$4:$B$503,$B$3,'Daily Data'!$AK$4:$AK$503,$M37)))</f>
        <v/>
      </c>
      <c r="Q37" s="100" t="str">
        <f>IF($M37="","",SUMIFS('Daily Data'!$AG$4:$AG$503,'Daily Data'!$B$4:$B$503,$B$3,'Daily Data'!$AK$4:$AK$503,$M37))</f>
        <v/>
      </c>
      <c r="S37" s="117" t="e">
        <f>IF($A37="",NA(),$A37)</f>
        <v>#N/A</v>
      </c>
      <c r="T37" s="116" t="e">
        <f>IF($A37="",NA(),$B37)</f>
        <v>#N/A</v>
      </c>
      <c r="V37" s="117" t="e">
        <f>IF($A37="",NA(),$A37)</f>
        <v>#N/A</v>
      </c>
      <c r="W37" s="116" t="e">
        <f>IF($A37="",NA(),$H37)</f>
        <v>#N/A</v>
      </c>
      <c r="Y37" s="117" t="e">
        <f>IF($A37="",NA(),$A37)</f>
        <v>#N/A</v>
      </c>
      <c r="Z37" s="116" t="e">
        <f>IF($A37="",NA(),$J37)</f>
        <v>#N/A</v>
      </c>
      <c r="AB37" s="117" t="e">
        <f>IF($A37="",NA(),$A37)</f>
        <v>#N/A</v>
      </c>
      <c r="AC37" s="116" t="e">
        <f>IF($A37="",NA(),$D37)</f>
        <v>#N/A</v>
      </c>
      <c r="AD37" s="116" t="e">
        <f>IF($A37="",NA(),$E37)</f>
        <v>#N/A</v>
      </c>
      <c r="AF37" s="117" t="e">
        <f>IF($A37="",NA(),$A37)</f>
        <v>#N/A</v>
      </c>
      <c r="AG37" s="116" t="e">
        <f>IF($A37="",NA(),$F37)</f>
        <v>#N/A</v>
      </c>
      <c r="AI37" s="117" t="e">
        <f>IF($A37="",NA(),$A37)</f>
        <v>#N/A</v>
      </c>
      <c r="AJ37" s="116" t="e">
        <f>IF($A37="",NA(),$K37)</f>
        <v>#N/A</v>
      </c>
      <c r="AL37" s="117" t="e">
        <f>IF($A37="",NA(),$A37)</f>
        <v>#N/A</v>
      </c>
      <c r="AM37" s="116" t="e">
        <f>IF($A37="",NA(),$G37)</f>
        <v>#N/A</v>
      </c>
    </row>
    <row r="38" spans="1:39" x14ac:dyDescent="0.3">
      <c r="A38" s="95" t="str">
        <f>IF($M38="","",SUMIFS('Daily Data'!$A$4:$A$503,'Daily Data'!$B$4:$B$503,$B$3,'Daily Data'!$AK$4:$AK$503,$M38))</f>
        <v/>
      </c>
      <c r="B38" s="96" t="str">
        <f>IF($M38="","",SUMIFS('Daily Data'!$E$4:$E$503,'Daily Data'!$B$4:$B$503,$B$3,'Daily Data'!$AK$4:$AK$503,$M38))</f>
        <v/>
      </c>
      <c r="C38" s="97" t="str">
        <f>IF($M38="","",SUMIFS('Daily Data'!$H$4:$H$503,'Daily Data'!$B$4:$B$503,$B$3,'Daily Data'!$AK$4:$AK$503,$M38))</f>
        <v/>
      </c>
      <c r="D38" s="98" t="str">
        <f>IF($M38="","",SUMIFS('Daily Data'!$L$4:$L$503,'Daily Data'!$B$4:$B$503,$B$3,'Daily Data'!$AK$4:$AK$503,$M38))</f>
        <v/>
      </c>
      <c r="E38" s="98" t="str">
        <f>IF($M38="","",SUMIFS('Daily Data'!$M$4:$M$503,'Daily Data'!$B$4:$B$503,$B$3,'Daily Data'!$AK$4:$AK$503,$M38))</f>
        <v/>
      </c>
      <c r="F38" s="99" t="str">
        <f>IF($M38="","",SUMIFS('Daily Data'!$S$4:$S$503,'Daily Data'!$B$4:$B$503,$B$3,'Daily Data'!$AK$4:$AK$503,$M38))</f>
        <v/>
      </c>
      <c r="G38" s="97" t="str">
        <f>IF($M38="","",IF(COUNTIFS('Daily Data'!$B$4:$B$503,$B$3,'Daily Data'!$AK$4:$AK$503,$M38,'Daily Data'!$AA$4:$AA$503,"&gt;=-1E+300")=0,"",SUMIFS('Daily Data'!$AA$4:$AA$503,'Daily Data'!$B$4:$B$503,$B$3,'Daily Data'!$AK$4:$AK$503,$M38)))</f>
        <v/>
      </c>
      <c r="H38" s="98" t="str">
        <f>IF($M38="","",SUMIFS('Daily Data'!$K$4:$K$503,'Daily Data'!$B$4:$B$503,$B$3,'Daily Data'!$AK$4:$AK$503,$M38))</f>
        <v/>
      </c>
      <c r="I38" s="99" t="str">
        <f>IF($M38="","",IF(COUNTIFS('Daily Data'!$B$4:$B$503,$B$3,'Daily Data'!$AK$4:$AK$503,$M38,'Daily Data'!$AC$4:$AC$503,"&gt;=-1E+300")=0,"",SUMIFS('Daily Data'!$AC$4:$AC$503,'Daily Data'!$B$4:$B$503,$B$3,'Daily Data'!$AK$4:$AK$503,$M38)))</f>
        <v/>
      </c>
      <c r="J38" s="98" t="str">
        <f>IF($M38="","",SUMIFS('Daily Data'!$I$4:$I$503,'Daily Data'!$B$4:$B$503,$B$3,'Daily Data'!$AK$4:$AK$503,$M38))</f>
        <v/>
      </c>
      <c r="K38" s="100" t="str">
        <f>IF($M38="","",SUMIFS('Daily Data'!$AH$4:$AH$503,'Daily Data'!$B$4:$B$503,$B$3,'Daily Data'!$AK$4:$AK$503,$M38))</f>
        <v/>
      </c>
      <c r="L38" s="101" t="str">
        <f>IF($K38="","",IF($K38&lt;Settings!$C$46,"Extreme Sell Pressure",IF($K38&lt;Settings!$C$47,"Sell Pressure",IF($K38&lt;=Settings!$C$48,"Neutral",IF($K38&lt;=Settings!$C$49,"Buy Pressure","Extreme Buy Pressure")))))</f>
        <v/>
      </c>
      <c r="M38" s="112" t="str">
        <f>IF(COUNTIF('Daily Data'!$B$4:$B$503,$B$3)-100+ROW()-9&lt;1,"",COUNTIF('Daily Data'!$B$4:$B$503,$B$3)-100+ROW()-9)</f>
        <v/>
      </c>
      <c r="N38" s="97" t="str">
        <f>IF($M38="","",IF(COUNTIFS('Daily Data'!$B$4:$B$503,$B$3,'Daily Data'!$AK$4:$AK$503,$M38,'Daily Data'!$AD$4:$AD$503,"&gt;=-1E+300")=0,"",SUMIFS('Daily Data'!$AD$4:$AD$503,'Daily Data'!$B$4:$B$503,$B$3,'Daily Data'!$AK$4:$AK$503,$M38)))</f>
        <v/>
      </c>
      <c r="O38" s="97" t="str">
        <f>IF($M38="","",IF(COUNTIFS('Daily Data'!$B$4:$B$503,$B$3,'Daily Data'!$AK$4:$AK$503,$M38,'Daily Data'!$AE$4:$AE$503,"&gt;=-1E+300")=0,"",SUMIFS('Daily Data'!$AE$4:$AE$503,'Daily Data'!$B$4:$B$503,$B$3,'Daily Data'!$AK$4:$AK$503,$M38)))</f>
        <v/>
      </c>
      <c r="P38" s="99" t="str">
        <f>IF($M38="","",IF(COUNTIFS('Daily Data'!$B$4:$B$503,$B$3,'Daily Data'!$AK$4:$AK$503,$M38,'Daily Data'!$Z$4:$Z$503,"&gt;=-1E+300")=0,"",SUMIFS('Daily Data'!$Z$4:$Z$503,'Daily Data'!$B$4:$B$503,$B$3,'Daily Data'!$AK$4:$AK$503,$M38)))</f>
        <v/>
      </c>
      <c r="Q38" s="100" t="str">
        <f>IF($M38="","",SUMIFS('Daily Data'!$AG$4:$AG$503,'Daily Data'!$B$4:$B$503,$B$3,'Daily Data'!$AK$4:$AK$503,$M38))</f>
        <v/>
      </c>
      <c r="S38" s="117" t="e">
        <f>IF($A38="",NA(),$A38)</f>
        <v>#N/A</v>
      </c>
      <c r="T38" s="116" t="e">
        <f>IF($A38="",NA(),$B38)</f>
        <v>#N/A</v>
      </c>
      <c r="V38" s="117" t="e">
        <f>IF($A38="",NA(),$A38)</f>
        <v>#N/A</v>
      </c>
      <c r="W38" s="116" t="e">
        <f>IF($A38="",NA(),$H38)</f>
        <v>#N/A</v>
      </c>
      <c r="Y38" s="117" t="e">
        <f>IF($A38="",NA(),$A38)</f>
        <v>#N/A</v>
      </c>
      <c r="Z38" s="116" t="e">
        <f>IF($A38="",NA(),$J38)</f>
        <v>#N/A</v>
      </c>
      <c r="AB38" s="117" t="e">
        <f>IF($A38="",NA(),$A38)</f>
        <v>#N/A</v>
      </c>
      <c r="AC38" s="116" t="e">
        <f>IF($A38="",NA(),$D38)</f>
        <v>#N/A</v>
      </c>
      <c r="AD38" s="116" t="e">
        <f>IF($A38="",NA(),$E38)</f>
        <v>#N/A</v>
      </c>
      <c r="AF38" s="117" t="e">
        <f>IF($A38="",NA(),$A38)</f>
        <v>#N/A</v>
      </c>
      <c r="AG38" s="116" t="e">
        <f>IF($A38="",NA(),$F38)</f>
        <v>#N/A</v>
      </c>
      <c r="AI38" s="117" t="e">
        <f>IF($A38="",NA(),$A38)</f>
        <v>#N/A</v>
      </c>
      <c r="AJ38" s="116" t="e">
        <f>IF($A38="",NA(),$K38)</f>
        <v>#N/A</v>
      </c>
      <c r="AL38" s="117" t="e">
        <f>IF($A38="",NA(),$A38)</f>
        <v>#N/A</v>
      </c>
      <c r="AM38" s="116" t="e">
        <f>IF($A38="",NA(),$G38)</f>
        <v>#N/A</v>
      </c>
    </row>
    <row r="39" spans="1:39" x14ac:dyDescent="0.3">
      <c r="A39" s="95" t="str">
        <f>IF($M39="","",SUMIFS('Daily Data'!$A$4:$A$503,'Daily Data'!$B$4:$B$503,$B$3,'Daily Data'!$AK$4:$AK$503,$M39))</f>
        <v/>
      </c>
      <c r="B39" s="96" t="str">
        <f>IF($M39="","",SUMIFS('Daily Data'!$E$4:$E$503,'Daily Data'!$B$4:$B$503,$B$3,'Daily Data'!$AK$4:$AK$503,$M39))</f>
        <v/>
      </c>
      <c r="C39" s="97" t="str">
        <f>IF($M39="","",SUMIFS('Daily Data'!$H$4:$H$503,'Daily Data'!$B$4:$B$503,$B$3,'Daily Data'!$AK$4:$AK$503,$M39))</f>
        <v/>
      </c>
      <c r="D39" s="98" t="str">
        <f>IF($M39="","",SUMIFS('Daily Data'!$L$4:$L$503,'Daily Data'!$B$4:$B$503,$B$3,'Daily Data'!$AK$4:$AK$503,$M39))</f>
        <v/>
      </c>
      <c r="E39" s="98" t="str">
        <f>IF($M39="","",SUMIFS('Daily Data'!$M$4:$M$503,'Daily Data'!$B$4:$B$503,$B$3,'Daily Data'!$AK$4:$AK$503,$M39))</f>
        <v/>
      </c>
      <c r="F39" s="99" t="str">
        <f>IF($M39="","",SUMIFS('Daily Data'!$S$4:$S$503,'Daily Data'!$B$4:$B$503,$B$3,'Daily Data'!$AK$4:$AK$503,$M39))</f>
        <v/>
      </c>
      <c r="G39" s="97" t="str">
        <f>IF($M39="","",IF(COUNTIFS('Daily Data'!$B$4:$B$503,$B$3,'Daily Data'!$AK$4:$AK$503,$M39,'Daily Data'!$AA$4:$AA$503,"&gt;=-1E+300")=0,"",SUMIFS('Daily Data'!$AA$4:$AA$503,'Daily Data'!$B$4:$B$503,$B$3,'Daily Data'!$AK$4:$AK$503,$M39)))</f>
        <v/>
      </c>
      <c r="H39" s="98" t="str">
        <f>IF($M39="","",SUMIFS('Daily Data'!$K$4:$K$503,'Daily Data'!$B$4:$B$503,$B$3,'Daily Data'!$AK$4:$AK$503,$M39))</f>
        <v/>
      </c>
      <c r="I39" s="99" t="str">
        <f>IF($M39="","",IF(COUNTIFS('Daily Data'!$B$4:$B$503,$B$3,'Daily Data'!$AK$4:$AK$503,$M39,'Daily Data'!$AC$4:$AC$503,"&gt;=-1E+300")=0,"",SUMIFS('Daily Data'!$AC$4:$AC$503,'Daily Data'!$B$4:$B$503,$B$3,'Daily Data'!$AK$4:$AK$503,$M39)))</f>
        <v/>
      </c>
      <c r="J39" s="98" t="str">
        <f>IF($M39="","",SUMIFS('Daily Data'!$I$4:$I$503,'Daily Data'!$B$4:$B$503,$B$3,'Daily Data'!$AK$4:$AK$503,$M39))</f>
        <v/>
      </c>
      <c r="K39" s="100" t="str">
        <f>IF($M39="","",SUMIFS('Daily Data'!$AH$4:$AH$503,'Daily Data'!$B$4:$B$503,$B$3,'Daily Data'!$AK$4:$AK$503,$M39))</f>
        <v/>
      </c>
      <c r="L39" s="101" t="str">
        <f>IF($K39="","",IF($K39&lt;Settings!$C$46,"Extreme Sell Pressure",IF($K39&lt;Settings!$C$47,"Sell Pressure",IF($K39&lt;=Settings!$C$48,"Neutral",IF($K39&lt;=Settings!$C$49,"Buy Pressure","Extreme Buy Pressure")))))</f>
        <v/>
      </c>
      <c r="M39" s="112" t="str">
        <f>IF(COUNTIF('Daily Data'!$B$4:$B$503,$B$3)-100+ROW()-9&lt;1,"",COUNTIF('Daily Data'!$B$4:$B$503,$B$3)-100+ROW()-9)</f>
        <v/>
      </c>
      <c r="N39" s="97" t="str">
        <f>IF($M39="","",IF(COUNTIFS('Daily Data'!$B$4:$B$503,$B$3,'Daily Data'!$AK$4:$AK$503,$M39,'Daily Data'!$AD$4:$AD$503,"&gt;=-1E+300")=0,"",SUMIFS('Daily Data'!$AD$4:$AD$503,'Daily Data'!$B$4:$B$503,$B$3,'Daily Data'!$AK$4:$AK$503,$M39)))</f>
        <v/>
      </c>
      <c r="O39" s="97" t="str">
        <f>IF($M39="","",IF(COUNTIFS('Daily Data'!$B$4:$B$503,$B$3,'Daily Data'!$AK$4:$AK$503,$M39,'Daily Data'!$AE$4:$AE$503,"&gt;=-1E+300")=0,"",SUMIFS('Daily Data'!$AE$4:$AE$503,'Daily Data'!$B$4:$B$503,$B$3,'Daily Data'!$AK$4:$AK$503,$M39)))</f>
        <v/>
      </c>
      <c r="P39" s="99" t="str">
        <f>IF($M39="","",IF(COUNTIFS('Daily Data'!$B$4:$B$503,$B$3,'Daily Data'!$AK$4:$AK$503,$M39,'Daily Data'!$Z$4:$Z$503,"&gt;=-1E+300")=0,"",SUMIFS('Daily Data'!$Z$4:$Z$503,'Daily Data'!$B$4:$B$503,$B$3,'Daily Data'!$AK$4:$AK$503,$M39)))</f>
        <v/>
      </c>
      <c r="Q39" s="100" t="str">
        <f>IF($M39="","",SUMIFS('Daily Data'!$AG$4:$AG$503,'Daily Data'!$B$4:$B$503,$B$3,'Daily Data'!$AK$4:$AK$503,$M39))</f>
        <v/>
      </c>
      <c r="S39" s="117" t="e">
        <f>IF($A39="",NA(),$A39)</f>
        <v>#N/A</v>
      </c>
      <c r="T39" s="116" t="e">
        <f>IF($A39="",NA(),$B39)</f>
        <v>#N/A</v>
      </c>
      <c r="V39" s="117" t="e">
        <f>IF($A39="",NA(),$A39)</f>
        <v>#N/A</v>
      </c>
      <c r="W39" s="116" t="e">
        <f>IF($A39="",NA(),$H39)</f>
        <v>#N/A</v>
      </c>
      <c r="Y39" s="117" t="e">
        <f>IF($A39="",NA(),$A39)</f>
        <v>#N/A</v>
      </c>
      <c r="Z39" s="116" t="e">
        <f>IF($A39="",NA(),$J39)</f>
        <v>#N/A</v>
      </c>
      <c r="AB39" s="117" t="e">
        <f>IF($A39="",NA(),$A39)</f>
        <v>#N/A</v>
      </c>
      <c r="AC39" s="116" t="e">
        <f>IF($A39="",NA(),$D39)</f>
        <v>#N/A</v>
      </c>
      <c r="AD39" s="116" t="e">
        <f>IF($A39="",NA(),$E39)</f>
        <v>#N/A</v>
      </c>
      <c r="AF39" s="117" t="e">
        <f>IF($A39="",NA(),$A39)</f>
        <v>#N/A</v>
      </c>
      <c r="AG39" s="116" t="e">
        <f>IF($A39="",NA(),$F39)</f>
        <v>#N/A</v>
      </c>
      <c r="AI39" s="117" t="e">
        <f>IF($A39="",NA(),$A39)</f>
        <v>#N/A</v>
      </c>
      <c r="AJ39" s="116" t="e">
        <f>IF($A39="",NA(),$K39)</f>
        <v>#N/A</v>
      </c>
      <c r="AL39" s="117" t="e">
        <f>IF($A39="",NA(),$A39)</f>
        <v>#N/A</v>
      </c>
      <c r="AM39" s="116" t="e">
        <f>IF($A39="",NA(),$G39)</f>
        <v>#N/A</v>
      </c>
    </row>
    <row r="40" spans="1:39" x14ac:dyDescent="0.3">
      <c r="A40" s="95" t="str">
        <f>IF($M40="","",SUMIFS('Daily Data'!$A$4:$A$503,'Daily Data'!$B$4:$B$503,$B$3,'Daily Data'!$AK$4:$AK$503,$M40))</f>
        <v/>
      </c>
      <c r="B40" s="96" t="str">
        <f>IF($M40="","",SUMIFS('Daily Data'!$E$4:$E$503,'Daily Data'!$B$4:$B$503,$B$3,'Daily Data'!$AK$4:$AK$503,$M40))</f>
        <v/>
      </c>
      <c r="C40" s="97" t="str">
        <f>IF($M40="","",SUMIFS('Daily Data'!$H$4:$H$503,'Daily Data'!$B$4:$B$503,$B$3,'Daily Data'!$AK$4:$AK$503,$M40))</f>
        <v/>
      </c>
      <c r="D40" s="98" t="str">
        <f>IF($M40="","",SUMIFS('Daily Data'!$L$4:$L$503,'Daily Data'!$B$4:$B$503,$B$3,'Daily Data'!$AK$4:$AK$503,$M40))</f>
        <v/>
      </c>
      <c r="E40" s="98" t="str">
        <f>IF($M40="","",SUMIFS('Daily Data'!$M$4:$M$503,'Daily Data'!$B$4:$B$503,$B$3,'Daily Data'!$AK$4:$AK$503,$M40))</f>
        <v/>
      </c>
      <c r="F40" s="99" t="str">
        <f>IF($M40="","",SUMIFS('Daily Data'!$S$4:$S$503,'Daily Data'!$B$4:$B$503,$B$3,'Daily Data'!$AK$4:$AK$503,$M40))</f>
        <v/>
      </c>
      <c r="G40" s="97" t="str">
        <f>IF($M40="","",IF(COUNTIFS('Daily Data'!$B$4:$B$503,$B$3,'Daily Data'!$AK$4:$AK$503,$M40,'Daily Data'!$AA$4:$AA$503,"&gt;=-1E+300")=0,"",SUMIFS('Daily Data'!$AA$4:$AA$503,'Daily Data'!$B$4:$B$503,$B$3,'Daily Data'!$AK$4:$AK$503,$M40)))</f>
        <v/>
      </c>
      <c r="H40" s="98" t="str">
        <f>IF($M40="","",SUMIFS('Daily Data'!$K$4:$K$503,'Daily Data'!$B$4:$B$503,$B$3,'Daily Data'!$AK$4:$AK$503,$M40))</f>
        <v/>
      </c>
      <c r="I40" s="99" t="str">
        <f>IF($M40="","",IF(COUNTIFS('Daily Data'!$B$4:$B$503,$B$3,'Daily Data'!$AK$4:$AK$503,$M40,'Daily Data'!$AC$4:$AC$503,"&gt;=-1E+300")=0,"",SUMIFS('Daily Data'!$AC$4:$AC$503,'Daily Data'!$B$4:$B$503,$B$3,'Daily Data'!$AK$4:$AK$503,$M40)))</f>
        <v/>
      </c>
      <c r="J40" s="98" t="str">
        <f>IF($M40="","",SUMIFS('Daily Data'!$I$4:$I$503,'Daily Data'!$B$4:$B$503,$B$3,'Daily Data'!$AK$4:$AK$503,$M40))</f>
        <v/>
      </c>
      <c r="K40" s="100" t="str">
        <f>IF($M40="","",SUMIFS('Daily Data'!$AH$4:$AH$503,'Daily Data'!$B$4:$B$503,$B$3,'Daily Data'!$AK$4:$AK$503,$M40))</f>
        <v/>
      </c>
      <c r="L40" s="101" t="str">
        <f>IF($K40="","",IF($K40&lt;Settings!$C$46,"Extreme Sell Pressure",IF($K40&lt;Settings!$C$47,"Sell Pressure",IF($K40&lt;=Settings!$C$48,"Neutral",IF($K40&lt;=Settings!$C$49,"Buy Pressure","Extreme Buy Pressure")))))</f>
        <v/>
      </c>
      <c r="M40" s="112" t="str">
        <f>IF(COUNTIF('Daily Data'!$B$4:$B$503,$B$3)-100+ROW()-9&lt;1,"",COUNTIF('Daily Data'!$B$4:$B$503,$B$3)-100+ROW()-9)</f>
        <v/>
      </c>
      <c r="N40" s="97" t="str">
        <f>IF($M40="","",IF(COUNTIFS('Daily Data'!$B$4:$B$503,$B$3,'Daily Data'!$AK$4:$AK$503,$M40,'Daily Data'!$AD$4:$AD$503,"&gt;=-1E+300")=0,"",SUMIFS('Daily Data'!$AD$4:$AD$503,'Daily Data'!$B$4:$B$503,$B$3,'Daily Data'!$AK$4:$AK$503,$M40)))</f>
        <v/>
      </c>
      <c r="O40" s="97" t="str">
        <f>IF($M40="","",IF(COUNTIFS('Daily Data'!$B$4:$B$503,$B$3,'Daily Data'!$AK$4:$AK$503,$M40,'Daily Data'!$AE$4:$AE$503,"&gt;=-1E+300")=0,"",SUMIFS('Daily Data'!$AE$4:$AE$503,'Daily Data'!$B$4:$B$503,$B$3,'Daily Data'!$AK$4:$AK$503,$M40)))</f>
        <v/>
      </c>
      <c r="P40" s="99" t="str">
        <f>IF($M40="","",IF(COUNTIFS('Daily Data'!$B$4:$B$503,$B$3,'Daily Data'!$AK$4:$AK$503,$M40,'Daily Data'!$Z$4:$Z$503,"&gt;=-1E+300")=0,"",SUMIFS('Daily Data'!$Z$4:$Z$503,'Daily Data'!$B$4:$B$503,$B$3,'Daily Data'!$AK$4:$AK$503,$M40)))</f>
        <v/>
      </c>
      <c r="Q40" s="100" t="str">
        <f>IF($M40="","",SUMIFS('Daily Data'!$AG$4:$AG$503,'Daily Data'!$B$4:$B$503,$B$3,'Daily Data'!$AK$4:$AK$503,$M40))</f>
        <v/>
      </c>
      <c r="S40" s="117" t="e">
        <f>IF($A40="",NA(),$A40)</f>
        <v>#N/A</v>
      </c>
      <c r="T40" s="116" t="e">
        <f>IF($A40="",NA(),$B40)</f>
        <v>#N/A</v>
      </c>
      <c r="V40" s="117" t="e">
        <f>IF($A40="",NA(),$A40)</f>
        <v>#N/A</v>
      </c>
      <c r="W40" s="116" t="e">
        <f>IF($A40="",NA(),$H40)</f>
        <v>#N/A</v>
      </c>
      <c r="Y40" s="117" t="e">
        <f>IF($A40="",NA(),$A40)</f>
        <v>#N/A</v>
      </c>
      <c r="Z40" s="116" t="e">
        <f>IF($A40="",NA(),$J40)</f>
        <v>#N/A</v>
      </c>
      <c r="AB40" s="117" t="e">
        <f>IF($A40="",NA(),$A40)</f>
        <v>#N/A</v>
      </c>
      <c r="AC40" s="116" t="e">
        <f>IF($A40="",NA(),$D40)</f>
        <v>#N/A</v>
      </c>
      <c r="AD40" s="116" t="e">
        <f>IF($A40="",NA(),$E40)</f>
        <v>#N/A</v>
      </c>
      <c r="AF40" s="117" t="e">
        <f>IF($A40="",NA(),$A40)</f>
        <v>#N/A</v>
      </c>
      <c r="AG40" s="116" t="e">
        <f>IF($A40="",NA(),$F40)</f>
        <v>#N/A</v>
      </c>
      <c r="AI40" s="117" t="e">
        <f>IF($A40="",NA(),$A40)</f>
        <v>#N/A</v>
      </c>
      <c r="AJ40" s="116" t="e">
        <f>IF($A40="",NA(),$K40)</f>
        <v>#N/A</v>
      </c>
      <c r="AL40" s="117" t="e">
        <f>IF($A40="",NA(),$A40)</f>
        <v>#N/A</v>
      </c>
      <c r="AM40" s="116" t="e">
        <f>IF($A40="",NA(),$G40)</f>
        <v>#N/A</v>
      </c>
    </row>
    <row r="41" spans="1:39" x14ac:dyDescent="0.3">
      <c r="A41" s="95" t="str">
        <f>IF($M41="","",SUMIFS('Daily Data'!$A$4:$A$503,'Daily Data'!$B$4:$B$503,$B$3,'Daily Data'!$AK$4:$AK$503,$M41))</f>
        <v/>
      </c>
      <c r="B41" s="96" t="str">
        <f>IF($M41="","",SUMIFS('Daily Data'!$E$4:$E$503,'Daily Data'!$B$4:$B$503,$B$3,'Daily Data'!$AK$4:$AK$503,$M41))</f>
        <v/>
      </c>
      <c r="C41" s="97" t="str">
        <f>IF($M41="","",SUMIFS('Daily Data'!$H$4:$H$503,'Daily Data'!$B$4:$B$503,$B$3,'Daily Data'!$AK$4:$AK$503,$M41))</f>
        <v/>
      </c>
      <c r="D41" s="98" t="str">
        <f>IF($M41="","",SUMIFS('Daily Data'!$L$4:$L$503,'Daily Data'!$B$4:$B$503,$B$3,'Daily Data'!$AK$4:$AK$503,$M41))</f>
        <v/>
      </c>
      <c r="E41" s="98" t="str">
        <f>IF($M41="","",SUMIFS('Daily Data'!$M$4:$M$503,'Daily Data'!$B$4:$B$503,$B$3,'Daily Data'!$AK$4:$AK$503,$M41))</f>
        <v/>
      </c>
      <c r="F41" s="99" t="str">
        <f>IF($M41="","",SUMIFS('Daily Data'!$S$4:$S$503,'Daily Data'!$B$4:$B$503,$B$3,'Daily Data'!$AK$4:$AK$503,$M41))</f>
        <v/>
      </c>
      <c r="G41" s="97" t="str">
        <f>IF($M41="","",IF(COUNTIFS('Daily Data'!$B$4:$B$503,$B$3,'Daily Data'!$AK$4:$AK$503,$M41,'Daily Data'!$AA$4:$AA$503,"&gt;=-1E+300")=0,"",SUMIFS('Daily Data'!$AA$4:$AA$503,'Daily Data'!$B$4:$B$503,$B$3,'Daily Data'!$AK$4:$AK$503,$M41)))</f>
        <v/>
      </c>
      <c r="H41" s="98" t="str">
        <f>IF($M41="","",SUMIFS('Daily Data'!$K$4:$K$503,'Daily Data'!$B$4:$B$503,$B$3,'Daily Data'!$AK$4:$AK$503,$M41))</f>
        <v/>
      </c>
      <c r="I41" s="99" t="str">
        <f>IF($M41="","",IF(COUNTIFS('Daily Data'!$B$4:$B$503,$B$3,'Daily Data'!$AK$4:$AK$503,$M41,'Daily Data'!$AC$4:$AC$503,"&gt;=-1E+300")=0,"",SUMIFS('Daily Data'!$AC$4:$AC$503,'Daily Data'!$B$4:$B$503,$B$3,'Daily Data'!$AK$4:$AK$503,$M41)))</f>
        <v/>
      </c>
      <c r="J41" s="98" t="str">
        <f>IF($M41="","",SUMIFS('Daily Data'!$I$4:$I$503,'Daily Data'!$B$4:$B$503,$B$3,'Daily Data'!$AK$4:$AK$503,$M41))</f>
        <v/>
      </c>
      <c r="K41" s="100" t="str">
        <f>IF($M41="","",SUMIFS('Daily Data'!$AH$4:$AH$503,'Daily Data'!$B$4:$B$503,$B$3,'Daily Data'!$AK$4:$AK$503,$M41))</f>
        <v/>
      </c>
      <c r="L41" s="101" t="str">
        <f>IF($K41="","",IF($K41&lt;Settings!$C$46,"Extreme Sell Pressure",IF($K41&lt;Settings!$C$47,"Sell Pressure",IF($K41&lt;=Settings!$C$48,"Neutral",IF($K41&lt;=Settings!$C$49,"Buy Pressure","Extreme Buy Pressure")))))</f>
        <v/>
      </c>
      <c r="M41" s="112" t="str">
        <f>IF(COUNTIF('Daily Data'!$B$4:$B$503,$B$3)-100+ROW()-9&lt;1,"",COUNTIF('Daily Data'!$B$4:$B$503,$B$3)-100+ROW()-9)</f>
        <v/>
      </c>
      <c r="N41" s="97" t="str">
        <f>IF($M41="","",IF(COUNTIFS('Daily Data'!$B$4:$B$503,$B$3,'Daily Data'!$AK$4:$AK$503,$M41,'Daily Data'!$AD$4:$AD$503,"&gt;=-1E+300")=0,"",SUMIFS('Daily Data'!$AD$4:$AD$503,'Daily Data'!$B$4:$B$503,$B$3,'Daily Data'!$AK$4:$AK$503,$M41)))</f>
        <v/>
      </c>
      <c r="O41" s="97" t="str">
        <f>IF($M41="","",IF(COUNTIFS('Daily Data'!$B$4:$B$503,$B$3,'Daily Data'!$AK$4:$AK$503,$M41,'Daily Data'!$AE$4:$AE$503,"&gt;=-1E+300")=0,"",SUMIFS('Daily Data'!$AE$4:$AE$503,'Daily Data'!$B$4:$B$503,$B$3,'Daily Data'!$AK$4:$AK$503,$M41)))</f>
        <v/>
      </c>
      <c r="P41" s="99" t="str">
        <f>IF($M41="","",IF(COUNTIFS('Daily Data'!$B$4:$B$503,$B$3,'Daily Data'!$AK$4:$AK$503,$M41,'Daily Data'!$Z$4:$Z$503,"&gt;=-1E+300")=0,"",SUMIFS('Daily Data'!$Z$4:$Z$503,'Daily Data'!$B$4:$B$503,$B$3,'Daily Data'!$AK$4:$AK$503,$M41)))</f>
        <v/>
      </c>
      <c r="Q41" s="100" t="str">
        <f>IF($M41="","",SUMIFS('Daily Data'!$AG$4:$AG$503,'Daily Data'!$B$4:$B$503,$B$3,'Daily Data'!$AK$4:$AK$503,$M41))</f>
        <v/>
      </c>
      <c r="S41" s="117" t="e">
        <f>IF($A41="",NA(),$A41)</f>
        <v>#N/A</v>
      </c>
      <c r="T41" s="116" t="e">
        <f>IF($A41="",NA(),$B41)</f>
        <v>#N/A</v>
      </c>
      <c r="V41" s="117" t="e">
        <f>IF($A41="",NA(),$A41)</f>
        <v>#N/A</v>
      </c>
      <c r="W41" s="116" t="e">
        <f>IF($A41="",NA(),$H41)</f>
        <v>#N/A</v>
      </c>
      <c r="Y41" s="117" t="e">
        <f>IF($A41="",NA(),$A41)</f>
        <v>#N/A</v>
      </c>
      <c r="Z41" s="116" t="e">
        <f>IF($A41="",NA(),$J41)</f>
        <v>#N/A</v>
      </c>
      <c r="AB41" s="117" t="e">
        <f>IF($A41="",NA(),$A41)</f>
        <v>#N/A</v>
      </c>
      <c r="AC41" s="116" t="e">
        <f>IF($A41="",NA(),$D41)</f>
        <v>#N/A</v>
      </c>
      <c r="AD41" s="116" t="e">
        <f>IF($A41="",NA(),$E41)</f>
        <v>#N/A</v>
      </c>
      <c r="AF41" s="117" t="e">
        <f>IF($A41="",NA(),$A41)</f>
        <v>#N/A</v>
      </c>
      <c r="AG41" s="116" t="e">
        <f>IF($A41="",NA(),$F41)</f>
        <v>#N/A</v>
      </c>
      <c r="AI41" s="117" t="e">
        <f>IF($A41="",NA(),$A41)</f>
        <v>#N/A</v>
      </c>
      <c r="AJ41" s="116" t="e">
        <f>IF($A41="",NA(),$K41)</f>
        <v>#N/A</v>
      </c>
      <c r="AL41" s="117" t="e">
        <f>IF($A41="",NA(),$A41)</f>
        <v>#N/A</v>
      </c>
      <c r="AM41" s="116" t="e">
        <f>IF($A41="",NA(),$G41)</f>
        <v>#N/A</v>
      </c>
    </row>
    <row r="42" spans="1:39" x14ac:dyDescent="0.3">
      <c r="A42" s="95" t="str">
        <f>IF($M42="","",SUMIFS('Daily Data'!$A$4:$A$503,'Daily Data'!$B$4:$B$503,$B$3,'Daily Data'!$AK$4:$AK$503,$M42))</f>
        <v/>
      </c>
      <c r="B42" s="96" t="str">
        <f>IF($M42="","",SUMIFS('Daily Data'!$E$4:$E$503,'Daily Data'!$B$4:$B$503,$B$3,'Daily Data'!$AK$4:$AK$503,$M42))</f>
        <v/>
      </c>
      <c r="C42" s="97" t="str">
        <f>IF($M42="","",SUMIFS('Daily Data'!$H$4:$H$503,'Daily Data'!$B$4:$B$503,$B$3,'Daily Data'!$AK$4:$AK$503,$M42))</f>
        <v/>
      </c>
      <c r="D42" s="98" t="str">
        <f>IF($M42="","",SUMIFS('Daily Data'!$L$4:$L$503,'Daily Data'!$B$4:$B$503,$B$3,'Daily Data'!$AK$4:$AK$503,$M42))</f>
        <v/>
      </c>
      <c r="E42" s="98" t="str">
        <f>IF($M42="","",SUMIFS('Daily Data'!$M$4:$M$503,'Daily Data'!$B$4:$B$503,$B$3,'Daily Data'!$AK$4:$AK$503,$M42))</f>
        <v/>
      </c>
      <c r="F42" s="99" t="str">
        <f>IF($M42="","",SUMIFS('Daily Data'!$S$4:$S$503,'Daily Data'!$B$4:$B$503,$B$3,'Daily Data'!$AK$4:$AK$503,$M42))</f>
        <v/>
      </c>
      <c r="G42" s="97" t="str">
        <f>IF($M42="","",IF(COUNTIFS('Daily Data'!$B$4:$B$503,$B$3,'Daily Data'!$AK$4:$AK$503,$M42,'Daily Data'!$AA$4:$AA$503,"&gt;=-1E+300")=0,"",SUMIFS('Daily Data'!$AA$4:$AA$503,'Daily Data'!$B$4:$B$503,$B$3,'Daily Data'!$AK$4:$AK$503,$M42)))</f>
        <v/>
      </c>
      <c r="H42" s="98" t="str">
        <f>IF($M42="","",SUMIFS('Daily Data'!$K$4:$K$503,'Daily Data'!$B$4:$B$503,$B$3,'Daily Data'!$AK$4:$AK$503,$M42))</f>
        <v/>
      </c>
      <c r="I42" s="99" t="str">
        <f>IF($M42="","",IF(COUNTIFS('Daily Data'!$B$4:$B$503,$B$3,'Daily Data'!$AK$4:$AK$503,$M42,'Daily Data'!$AC$4:$AC$503,"&gt;=-1E+300")=0,"",SUMIFS('Daily Data'!$AC$4:$AC$503,'Daily Data'!$B$4:$B$503,$B$3,'Daily Data'!$AK$4:$AK$503,$M42)))</f>
        <v/>
      </c>
      <c r="J42" s="98" t="str">
        <f>IF($M42="","",SUMIFS('Daily Data'!$I$4:$I$503,'Daily Data'!$B$4:$B$503,$B$3,'Daily Data'!$AK$4:$AK$503,$M42))</f>
        <v/>
      </c>
      <c r="K42" s="100" t="str">
        <f>IF($M42="","",SUMIFS('Daily Data'!$AH$4:$AH$503,'Daily Data'!$B$4:$B$503,$B$3,'Daily Data'!$AK$4:$AK$503,$M42))</f>
        <v/>
      </c>
      <c r="L42" s="101" t="str">
        <f>IF($K42="","",IF($K42&lt;Settings!$C$46,"Extreme Sell Pressure",IF($K42&lt;Settings!$C$47,"Sell Pressure",IF($K42&lt;=Settings!$C$48,"Neutral",IF($K42&lt;=Settings!$C$49,"Buy Pressure","Extreme Buy Pressure")))))</f>
        <v/>
      </c>
      <c r="M42" s="112" t="str">
        <f>IF(COUNTIF('Daily Data'!$B$4:$B$503,$B$3)-100+ROW()-9&lt;1,"",COUNTIF('Daily Data'!$B$4:$B$503,$B$3)-100+ROW()-9)</f>
        <v/>
      </c>
      <c r="N42" s="97" t="str">
        <f>IF($M42="","",IF(COUNTIFS('Daily Data'!$B$4:$B$503,$B$3,'Daily Data'!$AK$4:$AK$503,$M42,'Daily Data'!$AD$4:$AD$503,"&gt;=-1E+300")=0,"",SUMIFS('Daily Data'!$AD$4:$AD$503,'Daily Data'!$B$4:$B$503,$B$3,'Daily Data'!$AK$4:$AK$503,$M42)))</f>
        <v/>
      </c>
      <c r="O42" s="97" t="str">
        <f>IF($M42="","",IF(COUNTIFS('Daily Data'!$B$4:$B$503,$B$3,'Daily Data'!$AK$4:$AK$503,$M42,'Daily Data'!$AE$4:$AE$503,"&gt;=-1E+300")=0,"",SUMIFS('Daily Data'!$AE$4:$AE$503,'Daily Data'!$B$4:$B$503,$B$3,'Daily Data'!$AK$4:$AK$503,$M42)))</f>
        <v/>
      </c>
      <c r="P42" s="99" t="str">
        <f>IF($M42="","",IF(COUNTIFS('Daily Data'!$B$4:$B$503,$B$3,'Daily Data'!$AK$4:$AK$503,$M42,'Daily Data'!$Z$4:$Z$503,"&gt;=-1E+300")=0,"",SUMIFS('Daily Data'!$Z$4:$Z$503,'Daily Data'!$B$4:$B$503,$B$3,'Daily Data'!$AK$4:$AK$503,$M42)))</f>
        <v/>
      </c>
      <c r="Q42" s="100" t="str">
        <f>IF($M42="","",SUMIFS('Daily Data'!$AG$4:$AG$503,'Daily Data'!$B$4:$B$503,$B$3,'Daily Data'!$AK$4:$AK$503,$M42))</f>
        <v/>
      </c>
      <c r="S42" s="117" t="e">
        <f>IF($A42="",NA(),$A42)</f>
        <v>#N/A</v>
      </c>
      <c r="T42" s="116" t="e">
        <f>IF($A42="",NA(),$B42)</f>
        <v>#N/A</v>
      </c>
      <c r="V42" s="117" t="e">
        <f>IF($A42="",NA(),$A42)</f>
        <v>#N/A</v>
      </c>
      <c r="W42" s="116" t="e">
        <f>IF($A42="",NA(),$H42)</f>
        <v>#N/A</v>
      </c>
      <c r="Y42" s="117" t="e">
        <f>IF($A42="",NA(),$A42)</f>
        <v>#N/A</v>
      </c>
      <c r="Z42" s="116" t="e">
        <f>IF($A42="",NA(),$J42)</f>
        <v>#N/A</v>
      </c>
      <c r="AB42" s="117" t="e">
        <f>IF($A42="",NA(),$A42)</f>
        <v>#N/A</v>
      </c>
      <c r="AC42" s="116" t="e">
        <f>IF($A42="",NA(),$D42)</f>
        <v>#N/A</v>
      </c>
      <c r="AD42" s="116" t="e">
        <f>IF($A42="",NA(),$E42)</f>
        <v>#N/A</v>
      </c>
      <c r="AF42" s="117" t="e">
        <f>IF($A42="",NA(),$A42)</f>
        <v>#N/A</v>
      </c>
      <c r="AG42" s="116" t="e">
        <f>IF($A42="",NA(),$F42)</f>
        <v>#N/A</v>
      </c>
      <c r="AI42" s="117" t="e">
        <f>IF($A42="",NA(),$A42)</f>
        <v>#N/A</v>
      </c>
      <c r="AJ42" s="116" t="e">
        <f>IF($A42="",NA(),$K42)</f>
        <v>#N/A</v>
      </c>
      <c r="AL42" s="117" t="e">
        <f>IF($A42="",NA(),$A42)</f>
        <v>#N/A</v>
      </c>
      <c r="AM42" s="116" t="e">
        <f>IF($A42="",NA(),$G42)</f>
        <v>#N/A</v>
      </c>
    </row>
    <row r="43" spans="1:39" x14ac:dyDescent="0.3">
      <c r="A43" s="95" t="str">
        <f>IF($M43="","",SUMIFS('Daily Data'!$A$4:$A$503,'Daily Data'!$B$4:$B$503,$B$3,'Daily Data'!$AK$4:$AK$503,$M43))</f>
        <v/>
      </c>
      <c r="B43" s="96" t="str">
        <f>IF($M43="","",SUMIFS('Daily Data'!$E$4:$E$503,'Daily Data'!$B$4:$B$503,$B$3,'Daily Data'!$AK$4:$AK$503,$M43))</f>
        <v/>
      </c>
      <c r="C43" s="97" t="str">
        <f>IF($M43="","",SUMIFS('Daily Data'!$H$4:$H$503,'Daily Data'!$B$4:$B$503,$B$3,'Daily Data'!$AK$4:$AK$503,$M43))</f>
        <v/>
      </c>
      <c r="D43" s="98" t="str">
        <f>IF($M43="","",SUMIFS('Daily Data'!$L$4:$L$503,'Daily Data'!$B$4:$B$503,$B$3,'Daily Data'!$AK$4:$AK$503,$M43))</f>
        <v/>
      </c>
      <c r="E43" s="98" t="str">
        <f>IF($M43="","",SUMIFS('Daily Data'!$M$4:$M$503,'Daily Data'!$B$4:$B$503,$B$3,'Daily Data'!$AK$4:$AK$503,$M43))</f>
        <v/>
      </c>
      <c r="F43" s="99" t="str">
        <f>IF($M43="","",SUMIFS('Daily Data'!$S$4:$S$503,'Daily Data'!$B$4:$B$503,$B$3,'Daily Data'!$AK$4:$AK$503,$M43))</f>
        <v/>
      </c>
      <c r="G43" s="97" t="str">
        <f>IF($M43="","",IF(COUNTIFS('Daily Data'!$B$4:$B$503,$B$3,'Daily Data'!$AK$4:$AK$503,$M43,'Daily Data'!$AA$4:$AA$503,"&gt;=-1E+300")=0,"",SUMIFS('Daily Data'!$AA$4:$AA$503,'Daily Data'!$B$4:$B$503,$B$3,'Daily Data'!$AK$4:$AK$503,$M43)))</f>
        <v/>
      </c>
      <c r="H43" s="98" t="str">
        <f>IF($M43="","",SUMIFS('Daily Data'!$K$4:$K$503,'Daily Data'!$B$4:$B$503,$B$3,'Daily Data'!$AK$4:$AK$503,$M43))</f>
        <v/>
      </c>
      <c r="I43" s="99" t="str">
        <f>IF($M43="","",IF(COUNTIFS('Daily Data'!$B$4:$B$503,$B$3,'Daily Data'!$AK$4:$AK$503,$M43,'Daily Data'!$AC$4:$AC$503,"&gt;=-1E+300")=0,"",SUMIFS('Daily Data'!$AC$4:$AC$503,'Daily Data'!$B$4:$B$503,$B$3,'Daily Data'!$AK$4:$AK$503,$M43)))</f>
        <v/>
      </c>
      <c r="J43" s="98" t="str">
        <f>IF($M43="","",SUMIFS('Daily Data'!$I$4:$I$503,'Daily Data'!$B$4:$B$503,$B$3,'Daily Data'!$AK$4:$AK$503,$M43))</f>
        <v/>
      </c>
      <c r="K43" s="100" t="str">
        <f>IF($M43="","",SUMIFS('Daily Data'!$AH$4:$AH$503,'Daily Data'!$B$4:$B$503,$B$3,'Daily Data'!$AK$4:$AK$503,$M43))</f>
        <v/>
      </c>
      <c r="L43" s="101" t="str">
        <f>IF($K43="","",IF($K43&lt;Settings!$C$46,"Extreme Sell Pressure",IF($K43&lt;Settings!$C$47,"Sell Pressure",IF($K43&lt;=Settings!$C$48,"Neutral",IF($K43&lt;=Settings!$C$49,"Buy Pressure","Extreme Buy Pressure")))))</f>
        <v/>
      </c>
      <c r="M43" s="112" t="str">
        <f>IF(COUNTIF('Daily Data'!$B$4:$B$503,$B$3)-100+ROW()-9&lt;1,"",COUNTIF('Daily Data'!$B$4:$B$503,$B$3)-100+ROW()-9)</f>
        <v/>
      </c>
      <c r="N43" s="97" t="str">
        <f>IF($M43="","",IF(COUNTIFS('Daily Data'!$B$4:$B$503,$B$3,'Daily Data'!$AK$4:$AK$503,$M43,'Daily Data'!$AD$4:$AD$503,"&gt;=-1E+300")=0,"",SUMIFS('Daily Data'!$AD$4:$AD$503,'Daily Data'!$B$4:$B$503,$B$3,'Daily Data'!$AK$4:$AK$503,$M43)))</f>
        <v/>
      </c>
      <c r="O43" s="97" t="str">
        <f>IF($M43="","",IF(COUNTIFS('Daily Data'!$B$4:$B$503,$B$3,'Daily Data'!$AK$4:$AK$503,$M43,'Daily Data'!$AE$4:$AE$503,"&gt;=-1E+300")=0,"",SUMIFS('Daily Data'!$AE$4:$AE$503,'Daily Data'!$B$4:$B$503,$B$3,'Daily Data'!$AK$4:$AK$503,$M43)))</f>
        <v/>
      </c>
      <c r="P43" s="99" t="str">
        <f>IF($M43="","",IF(COUNTIFS('Daily Data'!$B$4:$B$503,$B$3,'Daily Data'!$AK$4:$AK$503,$M43,'Daily Data'!$Z$4:$Z$503,"&gt;=-1E+300")=0,"",SUMIFS('Daily Data'!$Z$4:$Z$503,'Daily Data'!$B$4:$B$503,$B$3,'Daily Data'!$AK$4:$AK$503,$M43)))</f>
        <v/>
      </c>
      <c r="Q43" s="100" t="str">
        <f>IF($M43="","",SUMIFS('Daily Data'!$AG$4:$AG$503,'Daily Data'!$B$4:$B$503,$B$3,'Daily Data'!$AK$4:$AK$503,$M43))</f>
        <v/>
      </c>
      <c r="S43" s="117" t="e">
        <f>IF($A43="",NA(),$A43)</f>
        <v>#N/A</v>
      </c>
      <c r="T43" s="116" t="e">
        <f>IF($A43="",NA(),$B43)</f>
        <v>#N/A</v>
      </c>
      <c r="V43" s="117" t="e">
        <f>IF($A43="",NA(),$A43)</f>
        <v>#N/A</v>
      </c>
      <c r="W43" s="116" t="e">
        <f>IF($A43="",NA(),$H43)</f>
        <v>#N/A</v>
      </c>
      <c r="Y43" s="117" t="e">
        <f>IF($A43="",NA(),$A43)</f>
        <v>#N/A</v>
      </c>
      <c r="Z43" s="116" t="e">
        <f>IF($A43="",NA(),$J43)</f>
        <v>#N/A</v>
      </c>
      <c r="AB43" s="117" t="e">
        <f>IF($A43="",NA(),$A43)</f>
        <v>#N/A</v>
      </c>
      <c r="AC43" s="116" t="e">
        <f>IF($A43="",NA(),$D43)</f>
        <v>#N/A</v>
      </c>
      <c r="AD43" s="116" t="e">
        <f>IF($A43="",NA(),$E43)</f>
        <v>#N/A</v>
      </c>
      <c r="AF43" s="117" t="e">
        <f>IF($A43="",NA(),$A43)</f>
        <v>#N/A</v>
      </c>
      <c r="AG43" s="116" t="e">
        <f>IF($A43="",NA(),$F43)</f>
        <v>#N/A</v>
      </c>
      <c r="AI43" s="117" t="e">
        <f>IF($A43="",NA(),$A43)</f>
        <v>#N/A</v>
      </c>
      <c r="AJ43" s="116" t="e">
        <f>IF($A43="",NA(),$K43)</f>
        <v>#N/A</v>
      </c>
      <c r="AL43" s="117" t="e">
        <f>IF($A43="",NA(),$A43)</f>
        <v>#N/A</v>
      </c>
      <c r="AM43" s="116" t="e">
        <f>IF($A43="",NA(),$G43)</f>
        <v>#N/A</v>
      </c>
    </row>
    <row r="44" spans="1:39" x14ac:dyDescent="0.3">
      <c r="A44" s="95" t="str">
        <f>IF($M44="","",SUMIFS('Daily Data'!$A$4:$A$503,'Daily Data'!$B$4:$B$503,$B$3,'Daily Data'!$AK$4:$AK$503,$M44))</f>
        <v/>
      </c>
      <c r="B44" s="96" t="str">
        <f>IF($M44="","",SUMIFS('Daily Data'!$E$4:$E$503,'Daily Data'!$B$4:$B$503,$B$3,'Daily Data'!$AK$4:$AK$503,$M44))</f>
        <v/>
      </c>
      <c r="C44" s="97" t="str">
        <f>IF($M44="","",SUMIFS('Daily Data'!$H$4:$H$503,'Daily Data'!$B$4:$B$503,$B$3,'Daily Data'!$AK$4:$AK$503,$M44))</f>
        <v/>
      </c>
      <c r="D44" s="98" t="str">
        <f>IF($M44="","",SUMIFS('Daily Data'!$L$4:$L$503,'Daily Data'!$B$4:$B$503,$B$3,'Daily Data'!$AK$4:$AK$503,$M44))</f>
        <v/>
      </c>
      <c r="E44" s="98" t="str">
        <f>IF($M44="","",SUMIFS('Daily Data'!$M$4:$M$503,'Daily Data'!$B$4:$B$503,$B$3,'Daily Data'!$AK$4:$AK$503,$M44))</f>
        <v/>
      </c>
      <c r="F44" s="99" t="str">
        <f>IF($M44="","",SUMIFS('Daily Data'!$S$4:$S$503,'Daily Data'!$B$4:$B$503,$B$3,'Daily Data'!$AK$4:$AK$503,$M44))</f>
        <v/>
      </c>
      <c r="G44" s="97" t="str">
        <f>IF($M44="","",IF(COUNTIFS('Daily Data'!$B$4:$B$503,$B$3,'Daily Data'!$AK$4:$AK$503,$M44,'Daily Data'!$AA$4:$AA$503,"&gt;=-1E+300")=0,"",SUMIFS('Daily Data'!$AA$4:$AA$503,'Daily Data'!$B$4:$B$503,$B$3,'Daily Data'!$AK$4:$AK$503,$M44)))</f>
        <v/>
      </c>
      <c r="H44" s="98" t="str">
        <f>IF($M44="","",SUMIFS('Daily Data'!$K$4:$K$503,'Daily Data'!$B$4:$B$503,$B$3,'Daily Data'!$AK$4:$AK$503,$M44))</f>
        <v/>
      </c>
      <c r="I44" s="99" t="str">
        <f>IF($M44="","",IF(COUNTIFS('Daily Data'!$B$4:$B$503,$B$3,'Daily Data'!$AK$4:$AK$503,$M44,'Daily Data'!$AC$4:$AC$503,"&gt;=-1E+300")=0,"",SUMIFS('Daily Data'!$AC$4:$AC$503,'Daily Data'!$B$4:$B$503,$B$3,'Daily Data'!$AK$4:$AK$503,$M44)))</f>
        <v/>
      </c>
      <c r="J44" s="98" t="str">
        <f>IF($M44="","",SUMIFS('Daily Data'!$I$4:$I$503,'Daily Data'!$B$4:$B$503,$B$3,'Daily Data'!$AK$4:$AK$503,$M44))</f>
        <v/>
      </c>
      <c r="K44" s="100" t="str">
        <f>IF($M44="","",SUMIFS('Daily Data'!$AH$4:$AH$503,'Daily Data'!$B$4:$B$503,$B$3,'Daily Data'!$AK$4:$AK$503,$M44))</f>
        <v/>
      </c>
      <c r="L44" s="101" t="str">
        <f>IF($K44="","",IF($K44&lt;Settings!$C$46,"Extreme Sell Pressure",IF($K44&lt;Settings!$C$47,"Sell Pressure",IF($K44&lt;=Settings!$C$48,"Neutral",IF($K44&lt;=Settings!$C$49,"Buy Pressure","Extreme Buy Pressure")))))</f>
        <v/>
      </c>
      <c r="M44" s="112" t="str">
        <f>IF(COUNTIF('Daily Data'!$B$4:$B$503,$B$3)-100+ROW()-9&lt;1,"",COUNTIF('Daily Data'!$B$4:$B$503,$B$3)-100+ROW()-9)</f>
        <v/>
      </c>
      <c r="N44" s="97" t="str">
        <f>IF($M44="","",IF(COUNTIFS('Daily Data'!$B$4:$B$503,$B$3,'Daily Data'!$AK$4:$AK$503,$M44,'Daily Data'!$AD$4:$AD$503,"&gt;=-1E+300")=0,"",SUMIFS('Daily Data'!$AD$4:$AD$503,'Daily Data'!$B$4:$B$503,$B$3,'Daily Data'!$AK$4:$AK$503,$M44)))</f>
        <v/>
      </c>
      <c r="O44" s="97" t="str">
        <f>IF($M44="","",IF(COUNTIFS('Daily Data'!$B$4:$B$503,$B$3,'Daily Data'!$AK$4:$AK$503,$M44,'Daily Data'!$AE$4:$AE$503,"&gt;=-1E+300")=0,"",SUMIFS('Daily Data'!$AE$4:$AE$503,'Daily Data'!$B$4:$B$503,$B$3,'Daily Data'!$AK$4:$AK$503,$M44)))</f>
        <v/>
      </c>
      <c r="P44" s="99" t="str">
        <f>IF($M44="","",IF(COUNTIFS('Daily Data'!$B$4:$B$503,$B$3,'Daily Data'!$AK$4:$AK$503,$M44,'Daily Data'!$Z$4:$Z$503,"&gt;=-1E+300")=0,"",SUMIFS('Daily Data'!$Z$4:$Z$503,'Daily Data'!$B$4:$B$503,$B$3,'Daily Data'!$AK$4:$AK$503,$M44)))</f>
        <v/>
      </c>
      <c r="Q44" s="100" t="str">
        <f>IF($M44="","",SUMIFS('Daily Data'!$AG$4:$AG$503,'Daily Data'!$B$4:$B$503,$B$3,'Daily Data'!$AK$4:$AK$503,$M44))</f>
        <v/>
      </c>
      <c r="S44" s="117" t="e">
        <f>IF($A44="",NA(),$A44)</f>
        <v>#N/A</v>
      </c>
      <c r="T44" s="116" t="e">
        <f>IF($A44="",NA(),$B44)</f>
        <v>#N/A</v>
      </c>
      <c r="V44" s="117" t="e">
        <f>IF($A44="",NA(),$A44)</f>
        <v>#N/A</v>
      </c>
      <c r="W44" s="116" t="e">
        <f>IF($A44="",NA(),$H44)</f>
        <v>#N/A</v>
      </c>
      <c r="Y44" s="117" t="e">
        <f>IF($A44="",NA(),$A44)</f>
        <v>#N/A</v>
      </c>
      <c r="Z44" s="116" t="e">
        <f>IF($A44="",NA(),$J44)</f>
        <v>#N/A</v>
      </c>
      <c r="AB44" s="117" t="e">
        <f>IF($A44="",NA(),$A44)</f>
        <v>#N/A</v>
      </c>
      <c r="AC44" s="116" t="e">
        <f>IF($A44="",NA(),$D44)</f>
        <v>#N/A</v>
      </c>
      <c r="AD44" s="116" t="e">
        <f>IF($A44="",NA(),$E44)</f>
        <v>#N/A</v>
      </c>
      <c r="AF44" s="117" t="e">
        <f>IF($A44="",NA(),$A44)</f>
        <v>#N/A</v>
      </c>
      <c r="AG44" s="116" t="e">
        <f>IF($A44="",NA(),$F44)</f>
        <v>#N/A</v>
      </c>
      <c r="AI44" s="117" t="e">
        <f>IF($A44="",NA(),$A44)</f>
        <v>#N/A</v>
      </c>
      <c r="AJ44" s="116" t="e">
        <f>IF($A44="",NA(),$K44)</f>
        <v>#N/A</v>
      </c>
      <c r="AL44" s="117" t="e">
        <f>IF($A44="",NA(),$A44)</f>
        <v>#N/A</v>
      </c>
      <c r="AM44" s="116" t="e">
        <f>IF($A44="",NA(),$G44)</f>
        <v>#N/A</v>
      </c>
    </row>
    <row r="45" spans="1:39" x14ac:dyDescent="0.3">
      <c r="A45" s="95" t="str">
        <f>IF($M45="","",SUMIFS('Daily Data'!$A$4:$A$503,'Daily Data'!$B$4:$B$503,$B$3,'Daily Data'!$AK$4:$AK$503,$M45))</f>
        <v/>
      </c>
      <c r="B45" s="96" t="str">
        <f>IF($M45="","",SUMIFS('Daily Data'!$E$4:$E$503,'Daily Data'!$B$4:$B$503,$B$3,'Daily Data'!$AK$4:$AK$503,$M45))</f>
        <v/>
      </c>
      <c r="C45" s="97" t="str">
        <f>IF($M45="","",SUMIFS('Daily Data'!$H$4:$H$503,'Daily Data'!$B$4:$B$503,$B$3,'Daily Data'!$AK$4:$AK$503,$M45))</f>
        <v/>
      </c>
      <c r="D45" s="98" t="str">
        <f>IF($M45="","",SUMIFS('Daily Data'!$L$4:$L$503,'Daily Data'!$B$4:$B$503,$B$3,'Daily Data'!$AK$4:$AK$503,$M45))</f>
        <v/>
      </c>
      <c r="E45" s="98" t="str">
        <f>IF($M45="","",SUMIFS('Daily Data'!$M$4:$M$503,'Daily Data'!$B$4:$B$503,$B$3,'Daily Data'!$AK$4:$AK$503,$M45))</f>
        <v/>
      </c>
      <c r="F45" s="99" t="str">
        <f>IF($M45="","",SUMIFS('Daily Data'!$S$4:$S$503,'Daily Data'!$B$4:$B$503,$B$3,'Daily Data'!$AK$4:$AK$503,$M45))</f>
        <v/>
      </c>
      <c r="G45" s="97" t="str">
        <f>IF($M45="","",IF(COUNTIFS('Daily Data'!$B$4:$B$503,$B$3,'Daily Data'!$AK$4:$AK$503,$M45,'Daily Data'!$AA$4:$AA$503,"&gt;=-1E+300")=0,"",SUMIFS('Daily Data'!$AA$4:$AA$503,'Daily Data'!$B$4:$B$503,$B$3,'Daily Data'!$AK$4:$AK$503,$M45)))</f>
        <v/>
      </c>
      <c r="H45" s="98" t="str">
        <f>IF($M45="","",SUMIFS('Daily Data'!$K$4:$K$503,'Daily Data'!$B$4:$B$503,$B$3,'Daily Data'!$AK$4:$AK$503,$M45))</f>
        <v/>
      </c>
      <c r="I45" s="99" t="str">
        <f>IF($M45="","",IF(COUNTIFS('Daily Data'!$B$4:$B$503,$B$3,'Daily Data'!$AK$4:$AK$503,$M45,'Daily Data'!$AC$4:$AC$503,"&gt;=-1E+300")=0,"",SUMIFS('Daily Data'!$AC$4:$AC$503,'Daily Data'!$B$4:$B$503,$B$3,'Daily Data'!$AK$4:$AK$503,$M45)))</f>
        <v/>
      </c>
      <c r="J45" s="98" t="str">
        <f>IF($M45="","",SUMIFS('Daily Data'!$I$4:$I$503,'Daily Data'!$B$4:$B$503,$B$3,'Daily Data'!$AK$4:$AK$503,$M45))</f>
        <v/>
      </c>
      <c r="K45" s="100" t="str">
        <f>IF($M45="","",SUMIFS('Daily Data'!$AH$4:$AH$503,'Daily Data'!$B$4:$B$503,$B$3,'Daily Data'!$AK$4:$AK$503,$M45))</f>
        <v/>
      </c>
      <c r="L45" s="101" t="str">
        <f>IF($K45="","",IF($K45&lt;Settings!$C$46,"Extreme Sell Pressure",IF($K45&lt;Settings!$C$47,"Sell Pressure",IF($K45&lt;=Settings!$C$48,"Neutral",IF($K45&lt;=Settings!$C$49,"Buy Pressure","Extreme Buy Pressure")))))</f>
        <v/>
      </c>
      <c r="M45" s="112" t="str">
        <f>IF(COUNTIF('Daily Data'!$B$4:$B$503,$B$3)-100+ROW()-9&lt;1,"",COUNTIF('Daily Data'!$B$4:$B$503,$B$3)-100+ROW()-9)</f>
        <v/>
      </c>
      <c r="N45" s="97" t="str">
        <f>IF($M45="","",IF(COUNTIFS('Daily Data'!$B$4:$B$503,$B$3,'Daily Data'!$AK$4:$AK$503,$M45,'Daily Data'!$AD$4:$AD$503,"&gt;=-1E+300")=0,"",SUMIFS('Daily Data'!$AD$4:$AD$503,'Daily Data'!$B$4:$B$503,$B$3,'Daily Data'!$AK$4:$AK$503,$M45)))</f>
        <v/>
      </c>
      <c r="O45" s="97" t="str">
        <f>IF($M45="","",IF(COUNTIFS('Daily Data'!$B$4:$B$503,$B$3,'Daily Data'!$AK$4:$AK$503,$M45,'Daily Data'!$AE$4:$AE$503,"&gt;=-1E+300")=0,"",SUMIFS('Daily Data'!$AE$4:$AE$503,'Daily Data'!$B$4:$B$503,$B$3,'Daily Data'!$AK$4:$AK$503,$M45)))</f>
        <v/>
      </c>
      <c r="P45" s="99" t="str">
        <f>IF($M45="","",IF(COUNTIFS('Daily Data'!$B$4:$B$503,$B$3,'Daily Data'!$AK$4:$AK$503,$M45,'Daily Data'!$Z$4:$Z$503,"&gt;=-1E+300")=0,"",SUMIFS('Daily Data'!$Z$4:$Z$503,'Daily Data'!$B$4:$B$503,$B$3,'Daily Data'!$AK$4:$AK$503,$M45)))</f>
        <v/>
      </c>
      <c r="Q45" s="100" t="str">
        <f>IF($M45="","",SUMIFS('Daily Data'!$AG$4:$AG$503,'Daily Data'!$B$4:$B$503,$B$3,'Daily Data'!$AK$4:$AK$503,$M45))</f>
        <v/>
      </c>
      <c r="S45" s="117" t="e">
        <f>IF($A45="",NA(),$A45)</f>
        <v>#N/A</v>
      </c>
      <c r="T45" s="116" t="e">
        <f>IF($A45="",NA(),$B45)</f>
        <v>#N/A</v>
      </c>
      <c r="V45" s="117" t="e">
        <f>IF($A45="",NA(),$A45)</f>
        <v>#N/A</v>
      </c>
      <c r="W45" s="116" t="e">
        <f>IF($A45="",NA(),$H45)</f>
        <v>#N/A</v>
      </c>
      <c r="Y45" s="117" t="e">
        <f>IF($A45="",NA(),$A45)</f>
        <v>#N/A</v>
      </c>
      <c r="Z45" s="116" t="e">
        <f>IF($A45="",NA(),$J45)</f>
        <v>#N/A</v>
      </c>
      <c r="AB45" s="117" t="e">
        <f>IF($A45="",NA(),$A45)</f>
        <v>#N/A</v>
      </c>
      <c r="AC45" s="116" t="e">
        <f>IF($A45="",NA(),$D45)</f>
        <v>#N/A</v>
      </c>
      <c r="AD45" s="116" t="e">
        <f>IF($A45="",NA(),$E45)</f>
        <v>#N/A</v>
      </c>
      <c r="AF45" s="117" t="e">
        <f>IF($A45="",NA(),$A45)</f>
        <v>#N/A</v>
      </c>
      <c r="AG45" s="116" t="e">
        <f>IF($A45="",NA(),$F45)</f>
        <v>#N/A</v>
      </c>
      <c r="AI45" s="117" t="e">
        <f>IF($A45="",NA(),$A45)</f>
        <v>#N/A</v>
      </c>
      <c r="AJ45" s="116" t="e">
        <f>IF($A45="",NA(),$K45)</f>
        <v>#N/A</v>
      </c>
      <c r="AL45" s="117" t="e">
        <f>IF($A45="",NA(),$A45)</f>
        <v>#N/A</v>
      </c>
      <c r="AM45" s="116" t="e">
        <f>IF($A45="",NA(),$G45)</f>
        <v>#N/A</v>
      </c>
    </row>
    <row r="46" spans="1:39" x14ac:dyDescent="0.3">
      <c r="A46" s="95" t="str">
        <f>IF($M46="","",SUMIFS('Daily Data'!$A$4:$A$503,'Daily Data'!$B$4:$B$503,$B$3,'Daily Data'!$AK$4:$AK$503,$M46))</f>
        <v/>
      </c>
      <c r="B46" s="96" t="str">
        <f>IF($M46="","",SUMIFS('Daily Data'!$E$4:$E$503,'Daily Data'!$B$4:$B$503,$B$3,'Daily Data'!$AK$4:$AK$503,$M46))</f>
        <v/>
      </c>
      <c r="C46" s="97" t="str">
        <f>IF($M46="","",SUMIFS('Daily Data'!$H$4:$H$503,'Daily Data'!$B$4:$B$503,$B$3,'Daily Data'!$AK$4:$AK$503,$M46))</f>
        <v/>
      </c>
      <c r="D46" s="98" t="str">
        <f>IF($M46="","",SUMIFS('Daily Data'!$L$4:$L$503,'Daily Data'!$B$4:$B$503,$B$3,'Daily Data'!$AK$4:$AK$503,$M46))</f>
        <v/>
      </c>
      <c r="E46" s="98" t="str">
        <f>IF($M46="","",SUMIFS('Daily Data'!$M$4:$M$503,'Daily Data'!$B$4:$B$503,$B$3,'Daily Data'!$AK$4:$AK$503,$M46))</f>
        <v/>
      </c>
      <c r="F46" s="99" t="str">
        <f>IF($M46="","",SUMIFS('Daily Data'!$S$4:$S$503,'Daily Data'!$B$4:$B$503,$B$3,'Daily Data'!$AK$4:$AK$503,$M46))</f>
        <v/>
      </c>
      <c r="G46" s="97" t="str">
        <f>IF($M46="","",IF(COUNTIFS('Daily Data'!$B$4:$B$503,$B$3,'Daily Data'!$AK$4:$AK$503,$M46,'Daily Data'!$AA$4:$AA$503,"&gt;=-1E+300")=0,"",SUMIFS('Daily Data'!$AA$4:$AA$503,'Daily Data'!$B$4:$B$503,$B$3,'Daily Data'!$AK$4:$AK$503,$M46)))</f>
        <v/>
      </c>
      <c r="H46" s="98" t="str">
        <f>IF($M46="","",SUMIFS('Daily Data'!$K$4:$K$503,'Daily Data'!$B$4:$B$503,$B$3,'Daily Data'!$AK$4:$AK$503,$M46))</f>
        <v/>
      </c>
      <c r="I46" s="99" t="str">
        <f>IF($M46="","",IF(COUNTIFS('Daily Data'!$B$4:$B$503,$B$3,'Daily Data'!$AK$4:$AK$503,$M46,'Daily Data'!$AC$4:$AC$503,"&gt;=-1E+300")=0,"",SUMIFS('Daily Data'!$AC$4:$AC$503,'Daily Data'!$B$4:$B$503,$B$3,'Daily Data'!$AK$4:$AK$503,$M46)))</f>
        <v/>
      </c>
      <c r="J46" s="98" t="str">
        <f>IF($M46="","",SUMIFS('Daily Data'!$I$4:$I$503,'Daily Data'!$B$4:$B$503,$B$3,'Daily Data'!$AK$4:$AK$503,$M46))</f>
        <v/>
      </c>
      <c r="K46" s="100" t="str">
        <f>IF($M46="","",SUMIFS('Daily Data'!$AH$4:$AH$503,'Daily Data'!$B$4:$B$503,$B$3,'Daily Data'!$AK$4:$AK$503,$M46))</f>
        <v/>
      </c>
      <c r="L46" s="101" t="str">
        <f>IF($K46="","",IF($K46&lt;Settings!$C$46,"Extreme Sell Pressure",IF($K46&lt;Settings!$C$47,"Sell Pressure",IF($K46&lt;=Settings!$C$48,"Neutral",IF($K46&lt;=Settings!$C$49,"Buy Pressure","Extreme Buy Pressure")))))</f>
        <v/>
      </c>
      <c r="M46" s="112" t="str">
        <f>IF(COUNTIF('Daily Data'!$B$4:$B$503,$B$3)-100+ROW()-9&lt;1,"",COUNTIF('Daily Data'!$B$4:$B$503,$B$3)-100+ROW()-9)</f>
        <v/>
      </c>
      <c r="N46" s="97" t="str">
        <f>IF($M46="","",IF(COUNTIFS('Daily Data'!$B$4:$B$503,$B$3,'Daily Data'!$AK$4:$AK$503,$M46,'Daily Data'!$AD$4:$AD$503,"&gt;=-1E+300")=0,"",SUMIFS('Daily Data'!$AD$4:$AD$503,'Daily Data'!$B$4:$B$503,$B$3,'Daily Data'!$AK$4:$AK$503,$M46)))</f>
        <v/>
      </c>
      <c r="O46" s="97" t="str">
        <f>IF($M46="","",IF(COUNTIFS('Daily Data'!$B$4:$B$503,$B$3,'Daily Data'!$AK$4:$AK$503,$M46,'Daily Data'!$AE$4:$AE$503,"&gt;=-1E+300")=0,"",SUMIFS('Daily Data'!$AE$4:$AE$503,'Daily Data'!$B$4:$B$503,$B$3,'Daily Data'!$AK$4:$AK$503,$M46)))</f>
        <v/>
      </c>
      <c r="P46" s="99" t="str">
        <f>IF($M46="","",IF(COUNTIFS('Daily Data'!$B$4:$B$503,$B$3,'Daily Data'!$AK$4:$AK$503,$M46,'Daily Data'!$Z$4:$Z$503,"&gt;=-1E+300")=0,"",SUMIFS('Daily Data'!$Z$4:$Z$503,'Daily Data'!$B$4:$B$503,$B$3,'Daily Data'!$AK$4:$AK$503,$M46)))</f>
        <v/>
      </c>
      <c r="Q46" s="100" t="str">
        <f>IF($M46="","",SUMIFS('Daily Data'!$AG$4:$AG$503,'Daily Data'!$B$4:$B$503,$B$3,'Daily Data'!$AK$4:$AK$503,$M46))</f>
        <v/>
      </c>
      <c r="S46" s="117" t="e">
        <f>IF($A46="",NA(),$A46)</f>
        <v>#N/A</v>
      </c>
      <c r="T46" s="116" t="e">
        <f>IF($A46="",NA(),$B46)</f>
        <v>#N/A</v>
      </c>
      <c r="V46" s="117" t="e">
        <f>IF($A46="",NA(),$A46)</f>
        <v>#N/A</v>
      </c>
      <c r="W46" s="116" t="e">
        <f>IF($A46="",NA(),$H46)</f>
        <v>#N/A</v>
      </c>
      <c r="Y46" s="117" t="e">
        <f>IF($A46="",NA(),$A46)</f>
        <v>#N/A</v>
      </c>
      <c r="Z46" s="116" t="e">
        <f>IF($A46="",NA(),$J46)</f>
        <v>#N/A</v>
      </c>
      <c r="AB46" s="117" t="e">
        <f>IF($A46="",NA(),$A46)</f>
        <v>#N/A</v>
      </c>
      <c r="AC46" s="116" t="e">
        <f>IF($A46="",NA(),$D46)</f>
        <v>#N/A</v>
      </c>
      <c r="AD46" s="116" t="e">
        <f>IF($A46="",NA(),$E46)</f>
        <v>#N/A</v>
      </c>
      <c r="AF46" s="117" t="e">
        <f>IF($A46="",NA(),$A46)</f>
        <v>#N/A</v>
      </c>
      <c r="AG46" s="116" t="e">
        <f>IF($A46="",NA(),$F46)</f>
        <v>#N/A</v>
      </c>
      <c r="AI46" s="117" t="e">
        <f>IF($A46="",NA(),$A46)</f>
        <v>#N/A</v>
      </c>
      <c r="AJ46" s="116" t="e">
        <f>IF($A46="",NA(),$K46)</f>
        <v>#N/A</v>
      </c>
      <c r="AL46" s="117" t="e">
        <f>IF($A46="",NA(),$A46)</f>
        <v>#N/A</v>
      </c>
      <c r="AM46" s="116" t="e">
        <f>IF($A46="",NA(),$G46)</f>
        <v>#N/A</v>
      </c>
    </row>
    <row r="47" spans="1:39" x14ac:dyDescent="0.3">
      <c r="A47" s="95" t="str">
        <f>IF($M47="","",SUMIFS('Daily Data'!$A$4:$A$503,'Daily Data'!$B$4:$B$503,$B$3,'Daily Data'!$AK$4:$AK$503,$M47))</f>
        <v/>
      </c>
      <c r="B47" s="96" t="str">
        <f>IF($M47="","",SUMIFS('Daily Data'!$E$4:$E$503,'Daily Data'!$B$4:$B$503,$B$3,'Daily Data'!$AK$4:$AK$503,$M47))</f>
        <v/>
      </c>
      <c r="C47" s="97" t="str">
        <f>IF($M47="","",SUMIFS('Daily Data'!$H$4:$H$503,'Daily Data'!$B$4:$B$503,$B$3,'Daily Data'!$AK$4:$AK$503,$M47))</f>
        <v/>
      </c>
      <c r="D47" s="98" t="str">
        <f>IF($M47="","",SUMIFS('Daily Data'!$L$4:$L$503,'Daily Data'!$B$4:$B$503,$B$3,'Daily Data'!$AK$4:$AK$503,$M47))</f>
        <v/>
      </c>
      <c r="E47" s="98" t="str">
        <f>IF($M47="","",SUMIFS('Daily Data'!$M$4:$M$503,'Daily Data'!$B$4:$B$503,$B$3,'Daily Data'!$AK$4:$AK$503,$M47))</f>
        <v/>
      </c>
      <c r="F47" s="99" t="str">
        <f>IF($M47="","",SUMIFS('Daily Data'!$S$4:$S$503,'Daily Data'!$B$4:$B$503,$B$3,'Daily Data'!$AK$4:$AK$503,$M47))</f>
        <v/>
      </c>
      <c r="G47" s="97" t="str">
        <f>IF($M47="","",IF(COUNTIFS('Daily Data'!$B$4:$B$503,$B$3,'Daily Data'!$AK$4:$AK$503,$M47,'Daily Data'!$AA$4:$AA$503,"&gt;=-1E+300")=0,"",SUMIFS('Daily Data'!$AA$4:$AA$503,'Daily Data'!$B$4:$B$503,$B$3,'Daily Data'!$AK$4:$AK$503,$M47)))</f>
        <v/>
      </c>
      <c r="H47" s="98" t="str">
        <f>IF($M47="","",SUMIFS('Daily Data'!$K$4:$K$503,'Daily Data'!$B$4:$B$503,$B$3,'Daily Data'!$AK$4:$AK$503,$M47))</f>
        <v/>
      </c>
      <c r="I47" s="99" t="str">
        <f>IF($M47="","",IF(COUNTIFS('Daily Data'!$B$4:$B$503,$B$3,'Daily Data'!$AK$4:$AK$503,$M47,'Daily Data'!$AC$4:$AC$503,"&gt;=-1E+300")=0,"",SUMIFS('Daily Data'!$AC$4:$AC$503,'Daily Data'!$B$4:$B$503,$B$3,'Daily Data'!$AK$4:$AK$503,$M47)))</f>
        <v/>
      </c>
      <c r="J47" s="98" t="str">
        <f>IF($M47="","",SUMIFS('Daily Data'!$I$4:$I$503,'Daily Data'!$B$4:$B$503,$B$3,'Daily Data'!$AK$4:$AK$503,$M47))</f>
        <v/>
      </c>
      <c r="K47" s="100" t="str">
        <f>IF($M47="","",SUMIFS('Daily Data'!$AH$4:$AH$503,'Daily Data'!$B$4:$B$503,$B$3,'Daily Data'!$AK$4:$AK$503,$M47))</f>
        <v/>
      </c>
      <c r="L47" s="101" t="str">
        <f>IF($K47="","",IF($K47&lt;Settings!$C$46,"Extreme Sell Pressure",IF($K47&lt;Settings!$C$47,"Sell Pressure",IF($K47&lt;=Settings!$C$48,"Neutral",IF($K47&lt;=Settings!$C$49,"Buy Pressure","Extreme Buy Pressure")))))</f>
        <v/>
      </c>
      <c r="M47" s="112" t="str">
        <f>IF(COUNTIF('Daily Data'!$B$4:$B$503,$B$3)-100+ROW()-9&lt;1,"",COUNTIF('Daily Data'!$B$4:$B$503,$B$3)-100+ROW()-9)</f>
        <v/>
      </c>
      <c r="N47" s="97" t="str">
        <f>IF($M47="","",IF(COUNTIFS('Daily Data'!$B$4:$B$503,$B$3,'Daily Data'!$AK$4:$AK$503,$M47,'Daily Data'!$AD$4:$AD$503,"&gt;=-1E+300")=0,"",SUMIFS('Daily Data'!$AD$4:$AD$503,'Daily Data'!$B$4:$B$503,$B$3,'Daily Data'!$AK$4:$AK$503,$M47)))</f>
        <v/>
      </c>
      <c r="O47" s="97" t="str">
        <f>IF($M47="","",IF(COUNTIFS('Daily Data'!$B$4:$B$503,$B$3,'Daily Data'!$AK$4:$AK$503,$M47,'Daily Data'!$AE$4:$AE$503,"&gt;=-1E+300")=0,"",SUMIFS('Daily Data'!$AE$4:$AE$503,'Daily Data'!$B$4:$B$503,$B$3,'Daily Data'!$AK$4:$AK$503,$M47)))</f>
        <v/>
      </c>
      <c r="P47" s="99" t="str">
        <f>IF($M47="","",IF(COUNTIFS('Daily Data'!$B$4:$B$503,$B$3,'Daily Data'!$AK$4:$AK$503,$M47,'Daily Data'!$Z$4:$Z$503,"&gt;=-1E+300")=0,"",SUMIFS('Daily Data'!$Z$4:$Z$503,'Daily Data'!$B$4:$B$503,$B$3,'Daily Data'!$AK$4:$AK$503,$M47)))</f>
        <v/>
      </c>
      <c r="Q47" s="100" t="str">
        <f>IF($M47="","",SUMIFS('Daily Data'!$AG$4:$AG$503,'Daily Data'!$B$4:$B$503,$B$3,'Daily Data'!$AK$4:$AK$503,$M47))</f>
        <v/>
      </c>
      <c r="S47" s="117" t="e">
        <f>IF($A47="",NA(),$A47)</f>
        <v>#N/A</v>
      </c>
      <c r="T47" s="116" t="e">
        <f>IF($A47="",NA(),$B47)</f>
        <v>#N/A</v>
      </c>
      <c r="V47" s="117" t="e">
        <f>IF($A47="",NA(),$A47)</f>
        <v>#N/A</v>
      </c>
      <c r="W47" s="116" t="e">
        <f>IF($A47="",NA(),$H47)</f>
        <v>#N/A</v>
      </c>
      <c r="Y47" s="117" t="e">
        <f>IF($A47="",NA(),$A47)</f>
        <v>#N/A</v>
      </c>
      <c r="Z47" s="116" t="e">
        <f>IF($A47="",NA(),$J47)</f>
        <v>#N/A</v>
      </c>
      <c r="AB47" s="117" t="e">
        <f>IF($A47="",NA(),$A47)</f>
        <v>#N/A</v>
      </c>
      <c r="AC47" s="116" t="e">
        <f>IF($A47="",NA(),$D47)</f>
        <v>#N/A</v>
      </c>
      <c r="AD47" s="116" t="e">
        <f>IF($A47="",NA(),$E47)</f>
        <v>#N/A</v>
      </c>
      <c r="AF47" s="117" t="e">
        <f>IF($A47="",NA(),$A47)</f>
        <v>#N/A</v>
      </c>
      <c r="AG47" s="116" t="e">
        <f>IF($A47="",NA(),$F47)</f>
        <v>#N/A</v>
      </c>
      <c r="AI47" s="117" t="e">
        <f>IF($A47="",NA(),$A47)</f>
        <v>#N/A</v>
      </c>
      <c r="AJ47" s="116" t="e">
        <f>IF($A47="",NA(),$K47)</f>
        <v>#N/A</v>
      </c>
      <c r="AL47" s="117" t="e">
        <f>IF($A47="",NA(),$A47)</f>
        <v>#N/A</v>
      </c>
      <c r="AM47" s="116" t="e">
        <f>IF($A47="",NA(),$G47)</f>
        <v>#N/A</v>
      </c>
    </row>
    <row r="48" spans="1:39" x14ac:dyDescent="0.3">
      <c r="A48" s="95" t="str">
        <f>IF($M48="","",SUMIFS('Daily Data'!$A$4:$A$503,'Daily Data'!$B$4:$B$503,$B$3,'Daily Data'!$AK$4:$AK$503,$M48))</f>
        <v/>
      </c>
      <c r="B48" s="96" t="str">
        <f>IF($M48="","",SUMIFS('Daily Data'!$E$4:$E$503,'Daily Data'!$B$4:$B$503,$B$3,'Daily Data'!$AK$4:$AK$503,$M48))</f>
        <v/>
      </c>
      <c r="C48" s="97" t="str">
        <f>IF($M48="","",SUMIFS('Daily Data'!$H$4:$H$503,'Daily Data'!$B$4:$B$503,$B$3,'Daily Data'!$AK$4:$AK$503,$M48))</f>
        <v/>
      </c>
      <c r="D48" s="98" t="str">
        <f>IF($M48="","",SUMIFS('Daily Data'!$L$4:$L$503,'Daily Data'!$B$4:$B$503,$B$3,'Daily Data'!$AK$4:$AK$503,$M48))</f>
        <v/>
      </c>
      <c r="E48" s="98" t="str">
        <f>IF($M48="","",SUMIFS('Daily Data'!$M$4:$M$503,'Daily Data'!$B$4:$B$503,$B$3,'Daily Data'!$AK$4:$AK$503,$M48))</f>
        <v/>
      </c>
      <c r="F48" s="99" t="str">
        <f>IF($M48="","",SUMIFS('Daily Data'!$S$4:$S$503,'Daily Data'!$B$4:$B$503,$B$3,'Daily Data'!$AK$4:$AK$503,$M48))</f>
        <v/>
      </c>
      <c r="G48" s="97" t="str">
        <f>IF($M48="","",IF(COUNTIFS('Daily Data'!$B$4:$B$503,$B$3,'Daily Data'!$AK$4:$AK$503,$M48,'Daily Data'!$AA$4:$AA$503,"&gt;=-1E+300")=0,"",SUMIFS('Daily Data'!$AA$4:$AA$503,'Daily Data'!$B$4:$B$503,$B$3,'Daily Data'!$AK$4:$AK$503,$M48)))</f>
        <v/>
      </c>
      <c r="H48" s="98" t="str">
        <f>IF($M48="","",SUMIFS('Daily Data'!$K$4:$K$503,'Daily Data'!$B$4:$B$503,$B$3,'Daily Data'!$AK$4:$AK$503,$M48))</f>
        <v/>
      </c>
      <c r="I48" s="99" t="str">
        <f>IF($M48="","",IF(COUNTIFS('Daily Data'!$B$4:$B$503,$B$3,'Daily Data'!$AK$4:$AK$503,$M48,'Daily Data'!$AC$4:$AC$503,"&gt;=-1E+300")=0,"",SUMIFS('Daily Data'!$AC$4:$AC$503,'Daily Data'!$B$4:$B$503,$B$3,'Daily Data'!$AK$4:$AK$503,$M48)))</f>
        <v/>
      </c>
      <c r="J48" s="98" t="str">
        <f>IF($M48="","",SUMIFS('Daily Data'!$I$4:$I$503,'Daily Data'!$B$4:$B$503,$B$3,'Daily Data'!$AK$4:$AK$503,$M48))</f>
        <v/>
      </c>
      <c r="K48" s="100" t="str">
        <f>IF($M48="","",SUMIFS('Daily Data'!$AH$4:$AH$503,'Daily Data'!$B$4:$B$503,$B$3,'Daily Data'!$AK$4:$AK$503,$M48))</f>
        <v/>
      </c>
      <c r="L48" s="101" t="str">
        <f>IF($K48="","",IF($K48&lt;Settings!$C$46,"Extreme Sell Pressure",IF($K48&lt;Settings!$C$47,"Sell Pressure",IF($K48&lt;=Settings!$C$48,"Neutral",IF($K48&lt;=Settings!$C$49,"Buy Pressure","Extreme Buy Pressure")))))</f>
        <v/>
      </c>
      <c r="M48" s="112" t="str">
        <f>IF(COUNTIF('Daily Data'!$B$4:$B$503,$B$3)-100+ROW()-9&lt;1,"",COUNTIF('Daily Data'!$B$4:$B$503,$B$3)-100+ROW()-9)</f>
        <v/>
      </c>
      <c r="N48" s="97" t="str">
        <f>IF($M48="","",IF(COUNTIFS('Daily Data'!$B$4:$B$503,$B$3,'Daily Data'!$AK$4:$AK$503,$M48,'Daily Data'!$AD$4:$AD$503,"&gt;=-1E+300")=0,"",SUMIFS('Daily Data'!$AD$4:$AD$503,'Daily Data'!$B$4:$B$503,$B$3,'Daily Data'!$AK$4:$AK$503,$M48)))</f>
        <v/>
      </c>
      <c r="O48" s="97" t="str">
        <f>IF($M48="","",IF(COUNTIFS('Daily Data'!$B$4:$B$503,$B$3,'Daily Data'!$AK$4:$AK$503,$M48,'Daily Data'!$AE$4:$AE$503,"&gt;=-1E+300")=0,"",SUMIFS('Daily Data'!$AE$4:$AE$503,'Daily Data'!$B$4:$B$503,$B$3,'Daily Data'!$AK$4:$AK$503,$M48)))</f>
        <v/>
      </c>
      <c r="P48" s="99" t="str">
        <f>IF($M48="","",IF(COUNTIFS('Daily Data'!$B$4:$B$503,$B$3,'Daily Data'!$AK$4:$AK$503,$M48,'Daily Data'!$Z$4:$Z$503,"&gt;=-1E+300")=0,"",SUMIFS('Daily Data'!$Z$4:$Z$503,'Daily Data'!$B$4:$B$503,$B$3,'Daily Data'!$AK$4:$AK$503,$M48)))</f>
        <v/>
      </c>
      <c r="Q48" s="100" t="str">
        <f>IF($M48="","",SUMIFS('Daily Data'!$AG$4:$AG$503,'Daily Data'!$B$4:$B$503,$B$3,'Daily Data'!$AK$4:$AK$503,$M48))</f>
        <v/>
      </c>
      <c r="S48" s="117" t="e">
        <f>IF($A48="",NA(),$A48)</f>
        <v>#N/A</v>
      </c>
      <c r="T48" s="116" t="e">
        <f>IF($A48="",NA(),$B48)</f>
        <v>#N/A</v>
      </c>
      <c r="V48" s="117" t="e">
        <f>IF($A48="",NA(),$A48)</f>
        <v>#N/A</v>
      </c>
      <c r="W48" s="116" t="e">
        <f>IF($A48="",NA(),$H48)</f>
        <v>#N/A</v>
      </c>
      <c r="Y48" s="117" t="e">
        <f>IF($A48="",NA(),$A48)</f>
        <v>#N/A</v>
      </c>
      <c r="Z48" s="116" t="e">
        <f>IF($A48="",NA(),$J48)</f>
        <v>#N/A</v>
      </c>
      <c r="AB48" s="117" t="e">
        <f>IF($A48="",NA(),$A48)</f>
        <v>#N/A</v>
      </c>
      <c r="AC48" s="116" t="e">
        <f>IF($A48="",NA(),$D48)</f>
        <v>#N/A</v>
      </c>
      <c r="AD48" s="116" t="e">
        <f>IF($A48="",NA(),$E48)</f>
        <v>#N/A</v>
      </c>
      <c r="AF48" s="117" t="e">
        <f>IF($A48="",NA(),$A48)</f>
        <v>#N/A</v>
      </c>
      <c r="AG48" s="116" t="e">
        <f>IF($A48="",NA(),$F48)</f>
        <v>#N/A</v>
      </c>
      <c r="AI48" s="117" t="e">
        <f>IF($A48="",NA(),$A48)</f>
        <v>#N/A</v>
      </c>
      <c r="AJ48" s="116" t="e">
        <f>IF($A48="",NA(),$K48)</f>
        <v>#N/A</v>
      </c>
      <c r="AL48" s="117" t="e">
        <f>IF($A48="",NA(),$A48)</f>
        <v>#N/A</v>
      </c>
      <c r="AM48" s="116" t="e">
        <f>IF($A48="",NA(),$G48)</f>
        <v>#N/A</v>
      </c>
    </row>
    <row r="49" spans="1:39" x14ac:dyDescent="0.3">
      <c r="A49" s="95" t="str">
        <f>IF($M49="","",SUMIFS('Daily Data'!$A$4:$A$503,'Daily Data'!$B$4:$B$503,$B$3,'Daily Data'!$AK$4:$AK$503,$M49))</f>
        <v/>
      </c>
      <c r="B49" s="96" t="str">
        <f>IF($M49="","",SUMIFS('Daily Data'!$E$4:$E$503,'Daily Data'!$B$4:$B$503,$B$3,'Daily Data'!$AK$4:$AK$503,$M49))</f>
        <v/>
      </c>
      <c r="C49" s="97" t="str">
        <f>IF($M49="","",SUMIFS('Daily Data'!$H$4:$H$503,'Daily Data'!$B$4:$B$503,$B$3,'Daily Data'!$AK$4:$AK$503,$M49))</f>
        <v/>
      </c>
      <c r="D49" s="98" t="str">
        <f>IF($M49="","",SUMIFS('Daily Data'!$L$4:$L$503,'Daily Data'!$B$4:$B$503,$B$3,'Daily Data'!$AK$4:$AK$503,$M49))</f>
        <v/>
      </c>
      <c r="E49" s="98" t="str">
        <f>IF($M49="","",SUMIFS('Daily Data'!$M$4:$M$503,'Daily Data'!$B$4:$B$503,$B$3,'Daily Data'!$AK$4:$AK$503,$M49))</f>
        <v/>
      </c>
      <c r="F49" s="99" t="str">
        <f>IF($M49="","",SUMIFS('Daily Data'!$S$4:$S$503,'Daily Data'!$B$4:$B$503,$B$3,'Daily Data'!$AK$4:$AK$503,$M49))</f>
        <v/>
      </c>
      <c r="G49" s="97" t="str">
        <f>IF($M49="","",IF(COUNTIFS('Daily Data'!$B$4:$B$503,$B$3,'Daily Data'!$AK$4:$AK$503,$M49,'Daily Data'!$AA$4:$AA$503,"&gt;=-1E+300")=0,"",SUMIFS('Daily Data'!$AA$4:$AA$503,'Daily Data'!$B$4:$B$503,$B$3,'Daily Data'!$AK$4:$AK$503,$M49)))</f>
        <v/>
      </c>
      <c r="H49" s="98" t="str">
        <f>IF($M49="","",SUMIFS('Daily Data'!$K$4:$K$503,'Daily Data'!$B$4:$B$503,$B$3,'Daily Data'!$AK$4:$AK$503,$M49))</f>
        <v/>
      </c>
      <c r="I49" s="99" t="str">
        <f>IF($M49="","",IF(COUNTIFS('Daily Data'!$B$4:$B$503,$B$3,'Daily Data'!$AK$4:$AK$503,$M49,'Daily Data'!$AC$4:$AC$503,"&gt;=-1E+300")=0,"",SUMIFS('Daily Data'!$AC$4:$AC$503,'Daily Data'!$B$4:$B$503,$B$3,'Daily Data'!$AK$4:$AK$503,$M49)))</f>
        <v/>
      </c>
      <c r="J49" s="98" t="str">
        <f>IF($M49="","",SUMIFS('Daily Data'!$I$4:$I$503,'Daily Data'!$B$4:$B$503,$B$3,'Daily Data'!$AK$4:$AK$503,$M49))</f>
        <v/>
      </c>
      <c r="K49" s="100" t="str">
        <f>IF($M49="","",SUMIFS('Daily Data'!$AH$4:$AH$503,'Daily Data'!$B$4:$B$503,$B$3,'Daily Data'!$AK$4:$AK$503,$M49))</f>
        <v/>
      </c>
      <c r="L49" s="101" t="str">
        <f>IF($K49="","",IF($K49&lt;Settings!$C$46,"Extreme Sell Pressure",IF($K49&lt;Settings!$C$47,"Sell Pressure",IF($K49&lt;=Settings!$C$48,"Neutral",IF($K49&lt;=Settings!$C$49,"Buy Pressure","Extreme Buy Pressure")))))</f>
        <v/>
      </c>
      <c r="M49" s="112" t="str">
        <f>IF(COUNTIF('Daily Data'!$B$4:$B$503,$B$3)-100+ROW()-9&lt;1,"",COUNTIF('Daily Data'!$B$4:$B$503,$B$3)-100+ROW()-9)</f>
        <v/>
      </c>
      <c r="N49" s="97" t="str">
        <f>IF($M49="","",IF(COUNTIFS('Daily Data'!$B$4:$B$503,$B$3,'Daily Data'!$AK$4:$AK$503,$M49,'Daily Data'!$AD$4:$AD$503,"&gt;=-1E+300")=0,"",SUMIFS('Daily Data'!$AD$4:$AD$503,'Daily Data'!$B$4:$B$503,$B$3,'Daily Data'!$AK$4:$AK$503,$M49)))</f>
        <v/>
      </c>
      <c r="O49" s="97" t="str">
        <f>IF($M49="","",IF(COUNTIFS('Daily Data'!$B$4:$B$503,$B$3,'Daily Data'!$AK$4:$AK$503,$M49,'Daily Data'!$AE$4:$AE$503,"&gt;=-1E+300")=0,"",SUMIFS('Daily Data'!$AE$4:$AE$503,'Daily Data'!$B$4:$B$503,$B$3,'Daily Data'!$AK$4:$AK$503,$M49)))</f>
        <v/>
      </c>
      <c r="P49" s="99" t="str">
        <f>IF($M49="","",IF(COUNTIFS('Daily Data'!$B$4:$B$503,$B$3,'Daily Data'!$AK$4:$AK$503,$M49,'Daily Data'!$Z$4:$Z$503,"&gt;=-1E+300")=0,"",SUMIFS('Daily Data'!$Z$4:$Z$503,'Daily Data'!$B$4:$B$503,$B$3,'Daily Data'!$AK$4:$AK$503,$M49)))</f>
        <v/>
      </c>
      <c r="Q49" s="100" t="str">
        <f>IF($M49="","",SUMIFS('Daily Data'!$AG$4:$AG$503,'Daily Data'!$B$4:$B$503,$B$3,'Daily Data'!$AK$4:$AK$503,$M49))</f>
        <v/>
      </c>
      <c r="S49" s="117" t="e">
        <f>IF($A49="",NA(),$A49)</f>
        <v>#N/A</v>
      </c>
      <c r="T49" s="116" t="e">
        <f>IF($A49="",NA(),$B49)</f>
        <v>#N/A</v>
      </c>
      <c r="V49" s="117" t="e">
        <f>IF($A49="",NA(),$A49)</f>
        <v>#N/A</v>
      </c>
      <c r="W49" s="116" t="e">
        <f>IF($A49="",NA(),$H49)</f>
        <v>#N/A</v>
      </c>
      <c r="Y49" s="117" t="e">
        <f>IF($A49="",NA(),$A49)</f>
        <v>#N/A</v>
      </c>
      <c r="Z49" s="116" t="e">
        <f>IF($A49="",NA(),$J49)</f>
        <v>#N/A</v>
      </c>
      <c r="AB49" s="117" t="e">
        <f>IF($A49="",NA(),$A49)</f>
        <v>#N/A</v>
      </c>
      <c r="AC49" s="116" t="e">
        <f>IF($A49="",NA(),$D49)</f>
        <v>#N/A</v>
      </c>
      <c r="AD49" s="116" t="e">
        <f>IF($A49="",NA(),$E49)</f>
        <v>#N/A</v>
      </c>
      <c r="AF49" s="117" t="e">
        <f>IF($A49="",NA(),$A49)</f>
        <v>#N/A</v>
      </c>
      <c r="AG49" s="116" t="e">
        <f>IF($A49="",NA(),$F49)</f>
        <v>#N/A</v>
      </c>
      <c r="AI49" s="117" t="e">
        <f>IF($A49="",NA(),$A49)</f>
        <v>#N/A</v>
      </c>
      <c r="AJ49" s="116" t="e">
        <f>IF($A49="",NA(),$K49)</f>
        <v>#N/A</v>
      </c>
      <c r="AL49" s="117" t="e">
        <f>IF($A49="",NA(),$A49)</f>
        <v>#N/A</v>
      </c>
      <c r="AM49" s="116" t="e">
        <f>IF($A49="",NA(),$G49)</f>
        <v>#N/A</v>
      </c>
    </row>
    <row r="50" spans="1:39" x14ac:dyDescent="0.3">
      <c r="A50" s="95" t="str">
        <f>IF($M50="","",SUMIFS('Daily Data'!$A$4:$A$503,'Daily Data'!$B$4:$B$503,$B$3,'Daily Data'!$AK$4:$AK$503,$M50))</f>
        <v/>
      </c>
      <c r="B50" s="96" t="str">
        <f>IF($M50="","",SUMIFS('Daily Data'!$E$4:$E$503,'Daily Data'!$B$4:$B$503,$B$3,'Daily Data'!$AK$4:$AK$503,$M50))</f>
        <v/>
      </c>
      <c r="C50" s="97" t="str">
        <f>IF($M50="","",SUMIFS('Daily Data'!$H$4:$H$503,'Daily Data'!$B$4:$B$503,$B$3,'Daily Data'!$AK$4:$AK$503,$M50))</f>
        <v/>
      </c>
      <c r="D50" s="98" t="str">
        <f>IF($M50="","",SUMIFS('Daily Data'!$L$4:$L$503,'Daily Data'!$B$4:$B$503,$B$3,'Daily Data'!$AK$4:$AK$503,$M50))</f>
        <v/>
      </c>
      <c r="E50" s="98" t="str">
        <f>IF($M50="","",SUMIFS('Daily Data'!$M$4:$M$503,'Daily Data'!$B$4:$B$503,$B$3,'Daily Data'!$AK$4:$AK$503,$M50))</f>
        <v/>
      </c>
      <c r="F50" s="99" t="str">
        <f>IF($M50="","",SUMIFS('Daily Data'!$S$4:$S$503,'Daily Data'!$B$4:$B$503,$B$3,'Daily Data'!$AK$4:$AK$503,$M50))</f>
        <v/>
      </c>
      <c r="G50" s="97" t="str">
        <f>IF($M50="","",IF(COUNTIFS('Daily Data'!$B$4:$B$503,$B$3,'Daily Data'!$AK$4:$AK$503,$M50,'Daily Data'!$AA$4:$AA$503,"&gt;=-1E+300")=0,"",SUMIFS('Daily Data'!$AA$4:$AA$503,'Daily Data'!$B$4:$B$503,$B$3,'Daily Data'!$AK$4:$AK$503,$M50)))</f>
        <v/>
      </c>
      <c r="H50" s="98" t="str">
        <f>IF($M50="","",SUMIFS('Daily Data'!$K$4:$K$503,'Daily Data'!$B$4:$B$503,$B$3,'Daily Data'!$AK$4:$AK$503,$M50))</f>
        <v/>
      </c>
      <c r="I50" s="99" t="str">
        <f>IF($M50="","",IF(COUNTIFS('Daily Data'!$B$4:$B$503,$B$3,'Daily Data'!$AK$4:$AK$503,$M50,'Daily Data'!$AC$4:$AC$503,"&gt;=-1E+300")=0,"",SUMIFS('Daily Data'!$AC$4:$AC$503,'Daily Data'!$B$4:$B$503,$B$3,'Daily Data'!$AK$4:$AK$503,$M50)))</f>
        <v/>
      </c>
      <c r="J50" s="98" t="str">
        <f>IF($M50="","",SUMIFS('Daily Data'!$I$4:$I$503,'Daily Data'!$B$4:$B$503,$B$3,'Daily Data'!$AK$4:$AK$503,$M50))</f>
        <v/>
      </c>
      <c r="K50" s="100" t="str">
        <f>IF($M50="","",SUMIFS('Daily Data'!$AH$4:$AH$503,'Daily Data'!$B$4:$B$503,$B$3,'Daily Data'!$AK$4:$AK$503,$M50))</f>
        <v/>
      </c>
      <c r="L50" s="101" t="str">
        <f>IF($K50="","",IF($K50&lt;Settings!$C$46,"Extreme Sell Pressure",IF($K50&lt;Settings!$C$47,"Sell Pressure",IF($K50&lt;=Settings!$C$48,"Neutral",IF($K50&lt;=Settings!$C$49,"Buy Pressure","Extreme Buy Pressure")))))</f>
        <v/>
      </c>
      <c r="M50" s="112" t="str">
        <f>IF(COUNTIF('Daily Data'!$B$4:$B$503,$B$3)-100+ROW()-9&lt;1,"",COUNTIF('Daily Data'!$B$4:$B$503,$B$3)-100+ROW()-9)</f>
        <v/>
      </c>
      <c r="N50" s="97" t="str">
        <f>IF($M50="","",IF(COUNTIFS('Daily Data'!$B$4:$B$503,$B$3,'Daily Data'!$AK$4:$AK$503,$M50,'Daily Data'!$AD$4:$AD$503,"&gt;=-1E+300")=0,"",SUMIFS('Daily Data'!$AD$4:$AD$503,'Daily Data'!$B$4:$B$503,$B$3,'Daily Data'!$AK$4:$AK$503,$M50)))</f>
        <v/>
      </c>
      <c r="O50" s="97" t="str">
        <f>IF($M50="","",IF(COUNTIFS('Daily Data'!$B$4:$B$503,$B$3,'Daily Data'!$AK$4:$AK$503,$M50,'Daily Data'!$AE$4:$AE$503,"&gt;=-1E+300")=0,"",SUMIFS('Daily Data'!$AE$4:$AE$503,'Daily Data'!$B$4:$B$503,$B$3,'Daily Data'!$AK$4:$AK$503,$M50)))</f>
        <v/>
      </c>
      <c r="P50" s="99" t="str">
        <f>IF($M50="","",IF(COUNTIFS('Daily Data'!$B$4:$B$503,$B$3,'Daily Data'!$AK$4:$AK$503,$M50,'Daily Data'!$Z$4:$Z$503,"&gt;=-1E+300")=0,"",SUMIFS('Daily Data'!$Z$4:$Z$503,'Daily Data'!$B$4:$B$503,$B$3,'Daily Data'!$AK$4:$AK$503,$M50)))</f>
        <v/>
      </c>
      <c r="Q50" s="100" t="str">
        <f>IF($M50="","",SUMIFS('Daily Data'!$AG$4:$AG$503,'Daily Data'!$B$4:$B$503,$B$3,'Daily Data'!$AK$4:$AK$503,$M50))</f>
        <v/>
      </c>
      <c r="S50" s="117" t="e">
        <f>IF($A50="",NA(),$A50)</f>
        <v>#N/A</v>
      </c>
      <c r="T50" s="116" t="e">
        <f>IF($A50="",NA(),$B50)</f>
        <v>#N/A</v>
      </c>
      <c r="V50" s="117" t="e">
        <f>IF($A50="",NA(),$A50)</f>
        <v>#N/A</v>
      </c>
      <c r="W50" s="116" t="e">
        <f>IF($A50="",NA(),$H50)</f>
        <v>#N/A</v>
      </c>
      <c r="Y50" s="117" t="e">
        <f>IF($A50="",NA(),$A50)</f>
        <v>#N/A</v>
      </c>
      <c r="Z50" s="116" t="e">
        <f>IF($A50="",NA(),$J50)</f>
        <v>#N/A</v>
      </c>
      <c r="AB50" s="117" t="e">
        <f>IF($A50="",NA(),$A50)</f>
        <v>#N/A</v>
      </c>
      <c r="AC50" s="116" t="e">
        <f>IF($A50="",NA(),$D50)</f>
        <v>#N/A</v>
      </c>
      <c r="AD50" s="116" t="e">
        <f>IF($A50="",NA(),$E50)</f>
        <v>#N/A</v>
      </c>
      <c r="AF50" s="117" t="e">
        <f>IF($A50="",NA(),$A50)</f>
        <v>#N/A</v>
      </c>
      <c r="AG50" s="116" t="e">
        <f>IF($A50="",NA(),$F50)</f>
        <v>#N/A</v>
      </c>
      <c r="AI50" s="117" t="e">
        <f>IF($A50="",NA(),$A50)</f>
        <v>#N/A</v>
      </c>
      <c r="AJ50" s="116" t="e">
        <f>IF($A50="",NA(),$K50)</f>
        <v>#N/A</v>
      </c>
      <c r="AL50" s="117" t="e">
        <f>IF($A50="",NA(),$A50)</f>
        <v>#N/A</v>
      </c>
      <c r="AM50" s="116" t="e">
        <f>IF($A50="",NA(),$G50)</f>
        <v>#N/A</v>
      </c>
    </row>
    <row r="51" spans="1:39" x14ac:dyDescent="0.3">
      <c r="A51" s="95" t="str">
        <f>IF($M51="","",SUMIFS('Daily Data'!$A$4:$A$503,'Daily Data'!$B$4:$B$503,$B$3,'Daily Data'!$AK$4:$AK$503,$M51))</f>
        <v/>
      </c>
      <c r="B51" s="96" t="str">
        <f>IF($M51="","",SUMIFS('Daily Data'!$E$4:$E$503,'Daily Data'!$B$4:$B$503,$B$3,'Daily Data'!$AK$4:$AK$503,$M51))</f>
        <v/>
      </c>
      <c r="C51" s="97" t="str">
        <f>IF($M51="","",SUMIFS('Daily Data'!$H$4:$H$503,'Daily Data'!$B$4:$B$503,$B$3,'Daily Data'!$AK$4:$AK$503,$M51))</f>
        <v/>
      </c>
      <c r="D51" s="98" t="str">
        <f>IF($M51="","",SUMIFS('Daily Data'!$L$4:$L$503,'Daily Data'!$B$4:$B$503,$B$3,'Daily Data'!$AK$4:$AK$503,$M51))</f>
        <v/>
      </c>
      <c r="E51" s="98" t="str">
        <f>IF($M51="","",SUMIFS('Daily Data'!$M$4:$M$503,'Daily Data'!$B$4:$B$503,$B$3,'Daily Data'!$AK$4:$AK$503,$M51))</f>
        <v/>
      </c>
      <c r="F51" s="99" t="str">
        <f>IF($M51="","",SUMIFS('Daily Data'!$S$4:$S$503,'Daily Data'!$B$4:$B$503,$B$3,'Daily Data'!$AK$4:$AK$503,$M51))</f>
        <v/>
      </c>
      <c r="G51" s="97" t="str">
        <f>IF($M51="","",IF(COUNTIFS('Daily Data'!$B$4:$B$503,$B$3,'Daily Data'!$AK$4:$AK$503,$M51,'Daily Data'!$AA$4:$AA$503,"&gt;=-1E+300")=0,"",SUMIFS('Daily Data'!$AA$4:$AA$503,'Daily Data'!$B$4:$B$503,$B$3,'Daily Data'!$AK$4:$AK$503,$M51)))</f>
        <v/>
      </c>
      <c r="H51" s="98" t="str">
        <f>IF($M51="","",SUMIFS('Daily Data'!$K$4:$K$503,'Daily Data'!$B$4:$B$503,$B$3,'Daily Data'!$AK$4:$AK$503,$M51))</f>
        <v/>
      </c>
      <c r="I51" s="99" t="str">
        <f>IF($M51="","",IF(COUNTIFS('Daily Data'!$B$4:$B$503,$B$3,'Daily Data'!$AK$4:$AK$503,$M51,'Daily Data'!$AC$4:$AC$503,"&gt;=-1E+300")=0,"",SUMIFS('Daily Data'!$AC$4:$AC$503,'Daily Data'!$B$4:$B$503,$B$3,'Daily Data'!$AK$4:$AK$503,$M51)))</f>
        <v/>
      </c>
      <c r="J51" s="98" t="str">
        <f>IF($M51="","",SUMIFS('Daily Data'!$I$4:$I$503,'Daily Data'!$B$4:$B$503,$B$3,'Daily Data'!$AK$4:$AK$503,$M51))</f>
        <v/>
      </c>
      <c r="K51" s="100" t="str">
        <f>IF($M51="","",SUMIFS('Daily Data'!$AH$4:$AH$503,'Daily Data'!$B$4:$B$503,$B$3,'Daily Data'!$AK$4:$AK$503,$M51))</f>
        <v/>
      </c>
      <c r="L51" s="101" t="str">
        <f>IF($K51="","",IF($K51&lt;Settings!$C$46,"Extreme Sell Pressure",IF($K51&lt;Settings!$C$47,"Sell Pressure",IF($K51&lt;=Settings!$C$48,"Neutral",IF($K51&lt;=Settings!$C$49,"Buy Pressure","Extreme Buy Pressure")))))</f>
        <v/>
      </c>
      <c r="M51" s="112" t="str">
        <f>IF(COUNTIF('Daily Data'!$B$4:$B$503,$B$3)-100+ROW()-9&lt;1,"",COUNTIF('Daily Data'!$B$4:$B$503,$B$3)-100+ROW()-9)</f>
        <v/>
      </c>
      <c r="N51" s="97" t="str">
        <f>IF($M51="","",IF(COUNTIFS('Daily Data'!$B$4:$B$503,$B$3,'Daily Data'!$AK$4:$AK$503,$M51,'Daily Data'!$AD$4:$AD$503,"&gt;=-1E+300")=0,"",SUMIFS('Daily Data'!$AD$4:$AD$503,'Daily Data'!$B$4:$B$503,$B$3,'Daily Data'!$AK$4:$AK$503,$M51)))</f>
        <v/>
      </c>
      <c r="O51" s="97" t="str">
        <f>IF($M51="","",IF(COUNTIFS('Daily Data'!$B$4:$B$503,$B$3,'Daily Data'!$AK$4:$AK$503,$M51,'Daily Data'!$AE$4:$AE$503,"&gt;=-1E+300")=0,"",SUMIFS('Daily Data'!$AE$4:$AE$503,'Daily Data'!$B$4:$B$503,$B$3,'Daily Data'!$AK$4:$AK$503,$M51)))</f>
        <v/>
      </c>
      <c r="P51" s="99" t="str">
        <f>IF($M51="","",IF(COUNTIFS('Daily Data'!$B$4:$B$503,$B$3,'Daily Data'!$AK$4:$AK$503,$M51,'Daily Data'!$Z$4:$Z$503,"&gt;=-1E+300")=0,"",SUMIFS('Daily Data'!$Z$4:$Z$503,'Daily Data'!$B$4:$B$503,$B$3,'Daily Data'!$AK$4:$AK$503,$M51)))</f>
        <v/>
      </c>
      <c r="Q51" s="100" t="str">
        <f>IF($M51="","",SUMIFS('Daily Data'!$AG$4:$AG$503,'Daily Data'!$B$4:$B$503,$B$3,'Daily Data'!$AK$4:$AK$503,$M51))</f>
        <v/>
      </c>
      <c r="S51" s="117" t="e">
        <f>IF($A51="",NA(),$A51)</f>
        <v>#N/A</v>
      </c>
      <c r="T51" s="116" t="e">
        <f>IF($A51="",NA(),$B51)</f>
        <v>#N/A</v>
      </c>
      <c r="V51" s="117" t="e">
        <f>IF($A51="",NA(),$A51)</f>
        <v>#N/A</v>
      </c>
      <c r="W51" s="116" t="e">
        <f>IF($A51="",NA(),$H51)</f>
        <v>#N/A</v>
      </c>
      <c r="Y51" s="117" t="e">
        <f>IF($A51="",NA(),$A51)</f>
        <v>#N/A</v>
      </c>
      <c r="Z51" s="116" t="e">
        <f>IF($A51="",NA(),$J51)</f>
        <v>#N/A</v>
      </c>
      <c r="AB51" s="117" t="e">
        <f>IF($A51="",NA(),$A51)</f>
        <v>#N/A</v>
      </c>
      <c r="AC51" s="116" t="e">
        <f>IF($A51="",NA(),$D51)</f>
        <v>#N/A</v>
      </c>
      <c r="AD51" s="116" t="e">
        <f>IF($A51="",NA(),$E51)</f>
        <v>#N/A</v>
      </c>
      <c r="AF51" s="117" t="e">
        <f>IF($A51="",NA(),$A51)</f>
        <v>#N/A</v>
      </c>
      <c r="AG51" s="116" t="e">
        <f>IF($A51="",NA(),$F51)</f>
        <v>#N/A</v>
      </c>
      <c r="AI51" s="117" t="e">
        <f>IF($A51="",NA(),$A51)</f>
        <v>#N/A</v>
      </c>
      <c r="AJ51" s="116" t="e">
        <f>IF($A51="",NA(),$K51)</f>
        <v>#N/A</v>
      </c>
      <c r="AL51" s="117" t="e">
        <f>IF($A51="",NA(),$A51)</f>
        <v>#N/A</v>
      </c>
      <c r="AM51" s="116" t="e">
        <f>IF($A51="",NA(),$G51)</f>
        <v>#N/A</v>
      </c>
    </row>
    <row r="52" spans="1:39" x14ac:dyDescent="0.3">
      <c r="A52" s="95" t="str">
        <f>IF($M52="","",SUMIFS('Daily Data'!$A$4:$A$503,'Daily Data'!$B$4:$B$503,$B$3,'Daily Data'!$AK$4:$AK$503,$M52))</f>
        <v/>
      </c>
      <c r="B52" s="96" t="str">
        <f>IF($M52="","",SUMIFS('Daily Data'!$E$4:$E$503,'Daily Data'!$B$4:$B$503,$B$3,'Daily Data'!$AK$4:$AK$503,$M52))</f>
        <v/>
      </c>
      <c r="C52" s="97" t="str">
        <f>IF($M52="","",SUMIFS('Daily Data'!$H$4:$H$503,'Daily Data'!$B$4:$B$503,$B$3,'Daily Data'!$AK$4:$AK$503,$M52))</f>
        <v/>
      </c>
      <c r="D52" s="98" t="str">
        <f>IF($M52="","",SUMIFS('Daily Data'!$L$4:$L$503,'Daily Data'!$B$4:$B$503,$B$3,'Daily Data'!$AK$4:$AK$503,$M52))</f>
        <v/>
      </c>
      <c r="E52" s="98" t="str">
        <f>IF($M52="","",SUMIFS('Daily Data'!$M$4:$M$503,'Daily Data'!$B$4:$B$503,$B$3,'Daily Data'!$AK$4:$AK$503,$M52))</f>
        <v/>
      </c>
      <c r="F52" s="99" t="str">
        <f>IF($M52="","",SUMIFS('Daily Data'!$S$4:$S$503,'Daily Data'!$B$4:$B$503,$B$3,'Daily Data'!$AK$4:$AK$503,$M52))</f>
        <v/>
      </c>
      <c r="G52" s="97" t="str">
        <f>IF($M52="","",IF(COUNTIFS('Daily Data'!$B$4:$B$503,$B$3,'Daily Data'!$AK$4:$AK$503,$M52,'Daily Data'!$AA$4:$AA$503,"&gt;=-1E+300")=0,"",SUMIFS('Daily Data'!$AA$4:$AA$503,'Daily Data'!$B$4:$B$503,$B$3,'Daily Data'!$AK$4:$AK$503,$M52)))</f>
        <v/>
      </c>
      <c r="H52" s="98" t="str">
        <f>IF($M52="","",SUMIFS('Daily Data'!$K$4:$K$503,'Daily Data'!$B$4:$B$503,$B$3,'Daily Data'!$AK$4:$AK$503,$M52))</f>
        <v/>
      </c>
      <c r="I52" s="99" t="str">
        <f>IF($M52="","",IF(COUNTIFS('Daily Data'!$B$4:$B$503,$B$3,'Daily Data'!$AK$4:$AK$503,$M52,'Daily Data'!$AC$4:$AC$503,"&gt;=-1E+300")=0,"",SUMIFS('Daily Data'!$AC$4:$AC$503,'Daily Data'!$B$4:$B$503,$B$3,'Daily Data'!$AK$4:$AK$503,$M52)))</f>
        <v/>
      </c>
      <c r="J52" s="98" t="str">
        <f>IF($M52="","",SUMIFS('Daily Data'!$I$4:$I$503,'Daily Data'!$B$4:$B$503,$B$3,'Daily Data'!$AK$4:$AK$503,$M52))</f>
        <v/>
      </c>
      <c r="K52" s="100" t="str">
        <f>IF($M52="","",SUMIFS('Daily Data'!$AH$4:$AH$503,'Daily Data'!$B$4:$B$503,$B$3,'Daily Data'!$AK$4:$AK$503,$M52))</f>
        <v/>
      </c>
      <c r="L52" s="101" t="str">
        <f>IF($K52="","",IF($K52&lt;Settings!$C$46,"Extreme Sell Pressure",IF($K52&lt;Settings!$C$47,"Sell Pressure",IF($K52&lt;=Settings!$C$48,"Neutral",IF($K52&lt;=Settings!$C$49,"Buy Pressure","Extreme Buy Pressure")))))</f>
        <v/>
      </c>
      <c r="M52" s="112" t="str">
        <f>IF(COUNTIF('Daily Data'!$B$4:$B$503,$B$3)-100+ROW()-9&lt;1,"",COUNTIF('Daily Data'!$B$4:$B$503,$B$3)-100+ROW()-9)</f>
        <v/>
      </c>
      <c r="N52" s="97" t="str">
        <f>IF($M52="","",IF(COUNTIFS('Daily Data'!$B$4:$B$503,$B$3,'Daily Data'!$AK$4:$AK$503,$M52,'Daily Data'!$AD$4:$AD$503,"&gt;=-1E+300")=0,"",SUMIFS('Daily Data'!$AD$4:$AD$503,'Daily Data'!$B$4:$B$503,$B$3,'Daily Data'!$AK$4:$AK$503,$M52)))</f>
        <v/>
      </c>
      <c r="O52" s="97" t="str">
        <f>IF($M52="","",IF(COUNTIFS('Daily Data'!$B$4:$B$503,$B$3,'Daily Data'!$AK$4:$AK$503,$M52,'Daily Data'!$AE$4:$AE$503,"&gt;=-1E+300")=0,"",SUMIFS('Daily Data'!$AE$4:$AE$503,'Daily Data'!$B$4:$B$503,$B$3,'Daily Data'!$AK$4:$AK$503,$M52)))</f>
        <v/>
      </c>
      <c r="P52" s="99" t="str">
        <f>IF($M52="","",IF(COUNTIFS('Daily Data'!$B$4:$B$503,$B$3,'Daily Data'!$AK$4:$AK$503,$M52,'Daily Data'!$Z$4:$Z$503,"&gt;=-1E+300")=0,"",SUMIFS('Daily Data'!$Z$4:$Z$503,'Daily Data'!$B$4:$B$503,$B$3,'Daily Data'!$AK$4:$AK$503,$M52)))</f>
        <v/>
      </c>
      <c r="Q52" s="100" t="str">
        <f>IF($M52="","",SUMIFS('Daily Data'!$AG$4:$AG$503,'Daily Data'!$B$4:$B$503,$B$3,'Daily Data'!$AK$4:$AK$503,$M52))</f>
        <v/>
      </c>
      <c r="S52" s="117" t="e">
        <f>IF($A52="",NA(),$A52)</f>
        <v>#N/A</v>
      </c>
      <c r="T52" s="116" t="e">
        <f>IF($A52="",NA(),$B52)</f>
        <v>#N/A</v>
      </c>
      <c r="V52" s="117" t="e">
        <f>IF($A52="",NA(),$A52)</f>
        <v>#N/A</v>
      </c>
      <c r="W52" s="116" t="e">
        <f>IF($A52="",NA(),$H52)</f>
        <v>#N/A</v>
      </c>
      <c r="Y52" s="117" t="e">
        <f>IF($A52="",NA(),$A52)</f>
        <v>#N/A</v>
      </c>
      <c r="Z52" s="116" t="e">
        <f>IF($A52="",NA(),$J52)</f>
        <v>#N/A</v>
      </c>
      <c r="AB52" s="117" t="e">
        <f>IF($A52="",NA(),$A52)</f>
        <v>#N/A</v>
      </c>
      <c r="AC52" s="116" t="e">
        <f>IF($A52="",NA(),$D52)</f>
        <v>#N/A</v>
      </c>
      <c r="AD52" s="116" t="e">
        <f>IF($A52="",NA(),$E52)</f>
        <v>#N/A</v>
      </c>
      <c r="AF52" s="117" t="e">
        <f>IF($A52="",NA(),$A52)</f>
        <v>#N/A</v>
      </c>
      <c r="AG52" s="116" t="e">
        <f>IF($A52="",NA(),$F52)</f>
        <v>#N/A</v>
      </c>
      <c r="AI52" s="117" t="e">
        <f>IF($A52="",NA(),$A52)</f>
        <v>#N/A</v>
      </c>
      <c r="AJ52" s="116" t="e">
        <f>IF($A52="",NA(),$K52)</f>
        <v>#N/A</v>
      </c>
      <c r="AL52" s="117" t="e">
        <f>IF($A52="",NA(),$A52)</f>
        <v>#N/A</v>
      </c>
      <c r="AM52" s="116" t="e">
        <f>IF($A52="",NA(),$G52)</f>
        <v>#N/A</v>
      </c>
    </row>
    <row r="53" spans="1:39" x14ac:dyDescent="0.3">
      <c r="A53" s="95" t="str">
        <f>IF($M53="","",SUMIFS('Daily Data'!$A$4:$A$503,'Daily Data'!$B$4:$B$503,$B$3,'Daily Data'!$AK$4:$AK$503,$M53))</f>
        <v/>
      </c>
      <c r="B53" s="96" t="str">
        <f>IF($M53="","",SUMIFS('Daily Data'!$E$4:$E$503,'Daily Data'!$B$4:$B$503,$B$3,'Daily Data'!$AK$4:$AK$503,$M53))</f>
        <v/>
      </c>
      <c r="C53" s="97" t="str">
        <f>IF($M53="","",SUMIFS('Daily Data'!$H$4:$H$503,'Daily Data'!$B$4:$B$503,$B$3,'Daily Data'!$AK$4:$AK$503,$M53))</f>
        <v/>
      </c>
      <c r="D53" s="98" t="str">
        <f>IF($M53="","",SUMIFS('Daily Data'!$L$4:$L$503,'Daily Data'!$B$4:$B$503,$B$3,'Daily Data'!$AK$4:$AK$503,$M53))</f>
        <v/>
      </c>
      <c r="E53" s="98" t="str">
        <f>IF($M53="","",SUMIFS('Daily Data'!$M$4:$M$503,'Daily Data'!$B$4:$B$503,$B$3,'Daily Data'!$AK$4:$AK$503,$M53))</f>
        <v/>
      </c>
      <c r="F53" s="99" t="str">
        <f>IF($M53="","",SUMIFS('Daily Data'!$S$4:$S$503,'Daily Data'!$B$4:$B$503,$B$3,'Daily Data'!$AK$4:$AK$503,$M53))</f>
        <v/>
      </c>
      <c r="G53" s="97" t="str">
        <f>IF($M53="","",IF(COUNTIFS('Daily Data'!$B$4:$B$503,$B$3,'Daily Data'!$AK$4:$AK$503,$M53,'Daily Data'!$AA$4:$AA$503,"&gt;=-1E+300")=0,"",SUMIFS('Daily Data'!$AA$4:$AA$503,'Daily Data'!$B$4:$B$503,$B$3,'Daily Data'!$AK$4:$AK$503,$M53)))</f>
        <v/>
      </c>
      <c r="H53" s="98" t="str">
        <f>IF($M53="","",SUMIFS('Daily Data'!$K$4:$K$503,'Daily Data'!$B$4:$B$503,$B$3,'Daily Data'!$AK$4:$AK$503,$M53))</f>
        <v/>
      </c>
      <c r="I53" s="99" t="str">
        <f>IF($M53="","",IF(COUNTIFS('Daily Data'!$B$4:$B$503,$B$3,'Daily Data'!$AK$4:$AK$503,$M53,'Daily Data'!$AC$4:$AC$503,"&gt;=-1E+300")=0,"",SUMIFS('Daily Data'!$AC$4:$AC$503,'Daily Data'!$B$4:$B$503,$B$3,'Daily Data'!$AK$4:$AK$503,$M53)))</f>
        <v/>
      </c>
      <c r="J53" s="98" t="str">
        <f>IF($M53="","",SUMIFS('Daily Data'!$I$4:$I$503,'Daily Data'!$B$4:$B$503,$B$3,'Daily Data'!$AK$4:$AK$503,$M53))</f>
        <v/>
      </c>
      <c r="K53" s="100" t="str">
        <f>IF($M53="","",SUMIFS('Daily Data'!$AH$4:$AH$503,'Daily Data'!$B$4:$B$503,$B$3,'Daily Data'!$AK$4:$AK$503,$M53))</f>
        <v/>
      </c>
      <c r="L53" s="101" t="str">
        <f>IF($K53="","",IF($K53&lt;Settings!$C$46,"Extreme Sell Pressure",IF($K53&lt;Settings!$C$47,"Sell Pressure",IF($K53&lt;=Settings!$C$48,"Neutral",IF($K53&lt;=Settings!$C$49,"Buy Pressure","Extreme Buy Pressure")))))</f>
        <v/>
      </c>
      <c r="M53" s="112" t="str">
        <f>IF(COUNTIF('Daily Data'!$B$4:$B$503,$B$3)-100+ROW()-9&lt;1,"",COUNTIF('Daily Data'!$B$4:$B$503,$B$3)-100+ROW()-9)</f>
        <v/>
      </c>
      <c r="N53" s="97" t="str">
        <f>IF($M53="","",IF(COUNTIFS('Daily Data'!$B$4:$B$503,$B$3,'Daily Data'!$AK$4:$AK$503,$M53,'Daily Data'!$AD$4:$AD$503,"&gt;=-1E+300")=0,"",SUMIFS('Daily Data'!$AD$4:$AD$503,'Daily Data'!$B$4:$B$503,$B$3,'Daily Data'!$AK$4:$AK$503,$M53)))</f>
        <v/>
      </c>
      <c r="O53" s="97" t="str">
        <f>IF($M53="","",IF(COUNTIFS('Daily Data'!$B$4:$B$503,$B$3,'Daily Data'!$AK$4:$AK$503,$M53,'Daily Data'!$AE$4:$AE$503,"&gt;=-1E+300")=0,"",SUMIFS('Daily Data'!$AE$4:$AE$503,'Daily Data'!$B$4:$B$503,$B$3,'Daily Data'!$AK$4:$AK$503,$M53)))</f>
        <v/>
      </c>
      <c r="P53" s="99" t="str">
        <f>IF($M53="","",IF(COUNTIFS('Daily Data'!$B$4:$B$503,$B$3,'Daily Data'!$AK$4:$AK$503,$M53,'Daily Data'!$Z$4:$Z$503,"&gt;=-1E+300")=0,"",SUMIFS('Daily Data'!$Z$4:$Z$503,'Daily Data'!$B$4:$B$503,$B$3,'Daily Data'!$AK$4:$AK$503,$M53)))</f>
        <v/>
      </c>
      <c r="Q53" s="100" t="str">
        <f>IF($M53="","",SUMIFS('Daily Data'!$AG$4:$AG$503,'Daily Data'!$B$4:$B$503,$B$3,'Daily Data'!$AK$4:$AK$503,$M53))</f>
        <v/>
      </c>
      <c r="S53" s="117" t="e">
        <f>IF($A53="",NA(),$A53)</f>
        <v>#N/A</v>
      </c>
      <c r="T53" s="116" t="e">
        <f>IF($A53="",NA(),$B53)</f>
        <v>#N/A</v>
      </c>
      <c r="V53" s="117" t="e">
        <f>IF($A53="",NA(),$A53)</f>
        <v>#N/A</v>
      </c>
      <c r="W53" s="116" t="e">
        <f>IF($A53="",NA(),$H53)</f>
        <v>#N/A</v>
      </c>
      <c r="Y53" s="117" t="e">
        <f>IF($A53="",NA(),$A53)</f>
        <v>#N/A</v>
      </c>
      <c r="Z53" s="116" t="e">
        <f>IF($A53="",NA(),$J53)</f>
        <v>#N/A</v>
      </c>
      <c r="AB53" s="117" t="e">
        <f>IF($A53="",NA(),$A53)</f>
        <v>#N/A</v>
      </c>
      <c r="AC53" s="116" t="e">
        <f>IF($A53="",NA(),$D53)</f>
        <v>#N/A</v>
      </c>
      <c r="AD53" s="116" t="e">
        <f>IF($A53="",NA(),$E53)</f>
        <v>#N/A</v>
      </c>
      <c r="AF53" s="117" t="e">
        <f>IF($A53="",NA(),$A53)</f>
        <v>#N/A</v>
      </c>
      <c r="AG53" s="116" t="e">
        <f>IF($A53="",NA(),$F53)</f>
        <v>#N/A</v>
      </c>
      <c r="AI53" s="117" t="e">
        <f>IF($A53="",NA(),$A53)</f>
        <v>#N/A</v>
      </c>
      <c r="AJ53" s="116" t="e">
        <f>IF($A53="",NA(),$K53)</f>
        <v>#N/A</v>
      </c>
      <c r="AL53" s="117" t="e">
        <f>IF($A53="",NA(),$A53)</f>
        <v>#N/A</v>
      </c>
      <c r="AM53" s="116" t="e">
        <f>IF($A53="",NA(),$G53)</f>
        <v>#N/A</v>
      </c>
    </row>
    <row r="54" spans="1:39" x14ac:dyDescent="0.3">
      <c r="A54" s="95" t="str">
        <f>IF($M54="","",SUMIFS('Daily Data'!$A$4:$A$503,'Daily Data'!$B$4:$B$503,$B$3,'Daily Data'!$AK$4:$AK$503,$M54))</f>
        <v/>
      </c>
      <c r="B54" s="96" t="str">
        <f>IF($M54="","",SUMIFS('Daily Data'!$E$4:$E$503,'Daily Data'!$B$4:$B$503,$B$3,'Daily Data'!$AK$4:$AK$503,$M54))</f>
        <v/>
      </c>
      <c r="C54" s="97" t="str">
        <f>IF($M54="","",SUMIFS('Daily Data'!$H$4:$H$503,'Daily Data'!$B$4:$B$503,$B$3,'Daily Data'!$AK$4:$AK$503,$M54))</f>
        <v/>
      </c>
      <c r="D54" s="98" t="str">
        <f>IF($M54="","",SUMIFS('Daily Data'!$L$4:$L$503,'Daily Data'!$B$4:$B$503,$B$3,'Daily Data'!$AK$4:$AK$503,$M54))</f>
        <v/>
      </c>
      <c r="E54" s="98" t="str">
        <f>IF($M54="","",SUMIFS('Daily Data'!$M$4:$M$503,'Daily Data'!$B$4:$B$503,$B$3,'Daily Data'!$AK$4:$AK$503,$M54))</f>
        <v/>
      </c>
      <c r="F54" s="99" t="str">
        <f>IF($M54="","",SUMIFS('Daily Data'!$S$4:$S$503,'Daily Data'!$B$4:$B$503,$B$3,'Daily Data'!$AK$4:$AK$503,$M54))</f>
        <v/>
      </c>
      <c r="G54" s="97" t="str">
        <f>IF($M54="","",IF(COUNTIFS('Daily Data'!$B$4:$B$503,$B$3,'Daily Data'!$AK$4:$AK$503,$M54,'Daily Data'!$AA$4:$AA$503,"&gt;=-1E+300")=0,"",SUMIFS('Daily Data'!$AA$4:$AA$503,'Daily Data'!$B$4:$B$503,$B$3,'Daily Data'!$AK$4:$AK$503,$M54)))</f>
        <v/>
      </c>
      <c r="H54" s="98" t="str">
        <f>IF($M54="","",SUMIFS('Daily Data'!$K$4:$K$503,'Daily Data'!$B$4:$B$503,$B$3,'Daily Data'!$AK$4:$AK$503,$M54))</f>
        <v/>
      </c>
      <c r="I54" s="99" t="str">
        <f>IF($M54="","",IF(COUNTIFS('Daily Data'!$B$4:$B$503,$B$3,'Daily Data'!$AK$4:$AK$503,$M54,'Daily Data'!$AC$4:$AC$503,"&gt;=-1E+300")=0,"",SUMIFS('Daily Data'!$AC$4:$AC$503,'Daily Data'!$B$4:$B$503,$B$3,'Daily Data'!$AK$4:$AK$503,$M54)))</f>
        <v/>
      </c>
      <c r="J54" s="98" t="str">
        <f>IF($M54="","",SUMIFS('Daily Data'!$I$4:$I$503,'Daily Data'!$B$4:$B$503,$B$3,'Daily Data'!$AK$4:$AK$503,$M54))</f>
        <v/>
      </c>
      <c r="K54" s="100" t="str">
        <f>IF($M54="","",SUMIFS('Daily Data'!$AH$4:$AH$503,'Daily Data'!$B$4:$B$503,$B$3,'Daily Data'!$AK$4:$AK$503,$M54))</f>
        <v/>
      </c>
      <c r="L54" s="101" t="str">
        <f>IF($K54="","",IF($K54&lt;Settings!$C$46,"Extreme Sell Pressure",IF($K54&lt;Settings!$C$47,"Sell Pressure",IF($K54&lt;=Settings!$C$48,"Neutral",IF($K54&lt;=Settings!$C$49,"Buy Pressure","Extreme Buy Pressure")))))</f>
        <v/>
      </c>
      <c r="M54" s="112" t="str">
        <f>IF(COUNTIF('Daily Data'!$B$4:$B$503,$B$3)-100+ROW()-9&lt;1,"",COUNTIF('Daily Data'!$B$4:$B$503,$B$3)-100+ROW()-9)</f>
        <v/>
      </c>
      <c r="N54" s="97" t="str">
        <f>IF($M54="","",IF(COUNTIFS('Daily Data'!$B$4:$B$503,$B$3,'Daily Data'!$AK$4:$AK$503,$M54,'Daily Data'!$AD$4:$AD$503,"&gt;=-1E+300")=0,"",SUMIFS('Daily Data'!$AD$4:$AD$503,'Daily Data'!$B$4:$B$503,$B$3,'Daily Data'!$AK$4:$AK$503,$M54)))</f>
        <v/>
      </c>
      <c r="O54" s="97" t="str">
        <f>IF($M54="","",IF(COUNTIFS('Daily Data'!$B$4:$B$503,$B$3,'Daily Data'!$AK$4:$AK$503,$M54,'Daily Data'!$AE$4:$AE$503,"&gt;=-1E+300")=0,"",SUMIFS('Daily Data'!$AE$4:$AE$503,'Daily Data'!$B$4:$B$503,$B$3,'Daily Data'!$AK$4:$AK$503,$M54)))</f>
        <v/>
      </c>
      <c r="P54" s="99" t="str">
        <f>IF($M54="","",IF(COUNTIFS('Daily Data'!$B$4:$B$503,$B$3,'Daily Data'!$AK$4:$AK$503,$M54,'Daily Data'!$Z$4:$Z$503,"&gt;=-1E+300")=0,"",SUMIFS('Daily Data'!$Z$4:$Z$503,'Daily Data'!$B$4:$B$503,$B$3,'Daily Data'!$AK$4:$AK$503,$M54)))</f>
        <v/>
      </c>
      <c r="Q54" s="100" t="str">
        <f>IF($M54="","",SUMIFS('Daily Data'!$AG$4:$AG$503,'Daily Data'!$B$4:$B$503,$B$3,'Daily Data'!$AK$4:$AK$503,$M54))</f>
        <v/>
      </c>
      <c r="S54" s="117" t="e">
        <f>IF($A54="",NA(),$A54)</f>
        <v>#N/A</v>
      </c>
      <c r="T54" s="116" t="e">
        <f>IF($A54="",NA(),$B54)</f>
        <v>#N/A</v>
      </c>
      <c r="V54" s="117" t="e">
        <f>IF($A54="",NA(),$A54)</f>
        <v>#N/A</v>
      </c>
      <c r="W54" s="116" t="e">
        <f>IF($A54="",NA(),$H54)</f>
        <v>#N/A</v>
      </c>
      <c r="Y54" s="117" t="e">
        <f>IF($A54="",NA(),$A54)</f>
        <v>#N/A</v>
      </c>
      <c r="Z54" s="116" t="e">
        <f>IF($A54="",NA(),$J54)</f>
        <v>#N/A</v>
      </c>
      <c r="AB54" s="117" t="e">
        <f>IF($A54="",NA(),$A54)</f>
        <v>#N/A</v>
      </c>
      <c r="AC54" s="116" t="e">
        <f>IF($A54="",NA(),$D54)</f>
        <v>#N/A</v>
      </c>
      <c r="AD54" s="116" t="e">
        <f>IF($A54="",NA(),$E54)</f>
        <v>#N/A</v>
      </c>
      <c r="AF54" s="117" t="e">
        <f>IF($A54="",NA(),$A54)</f>
        <v>#N/A</v>
      </c>
      <c r="AG54" s="116" t="e">
        <f>IF($A54="",NA(),$F54)</f>
        <v>#N/A</v>
      </c>
      <c r="AI54" s="117" t="e">
        <f>IF($A54="",NA(),$A54)</f>
        <v>#N/A</v>
      </c>
      <c r="AJ54" s="116" t="e">
        <f>IF($A54="",NA(),$K54)</f>
        <v>#N/A</v>
      </c>
      <c r="AL54" s="117" t="e">
        <f>IF($A54="",NA(),$A54)</f>
        <v>#N/A</v>
      </c>
      <c r="AM54" s="116" t="e">
        <f>IF($A54="",NA(),$G54)</f>
        <v>#N/A</v>
      </c>
    </row>
    <row r="55" spans="1:39" x14ac:dyDescent="0.3">
      <c r="A55" s="95" t="str">
        <f>IF($M55="","",SUMIFS('Daily Data'!$A$4:$A$503,'Daily Data'!$B$4:$B$503,$B$3,'Daily Data'!$AK$4:$AK$503,$M55))</f>
        <v/>
      </c>
      <c r="B55" s="96" t="str">
        <f>IF($M55="","",SUMIFS('Daily Data'!$E$4:$E$503,'Daily Data'!$B$4:$B$503,$B$3,'Daily Data'!$AK$4:$AK$503,$M55))</f>
        <v/>
      </c>
      <c r="C55" s="97" t="str">
        <f>IF($M55="","",SUMIFS('Daily Data'!$H$4:$H$503,'Daily Data'!$B$4:$B$503,$B$3,'Daily Data'!$AK$4:$AK$503,$M55))</f>
        <v/>
      </c>
      <c r="D55" s="98" t="str">
        <f>IF($M55="","",SUMIFS('Daily Data'!$L$4:$L$503,'Daily Data'!$B$4:$B$503,$B$3,'Daily Data'!$AK$4:$AK$503,$M55))</f>
        <v/>
      </c>
      <c r="E55" s="98" t="str">
        <f>IF($M55="","",SUMIFS('Daily Data'!$M$4:$M$503,'Daily Data'!$B$4:$B$503,$B$3,'Daily Data'!$AK$4:$AK$503,$M55))</f>
        <v/>
      </c>
      <c r="F55" s="99" t="str">
        <f>IF($M55="","",SUMIFS('Daily Data'!$S$4:$S$503,'Daily Data'!$B$4:$B$503,$B$3,'Daily Data'!$AK$4:$AK$503,$M55))</f>
        <v/>
      </c>
      <c r="G55" s="97" t="str">
        <f>IF($M55="","",IF(COUNTIFS('Daily Data'!$B$4:$B$503,$B$3,'Daily Data'!$AK$4:$AK$503,$M55,'Daily Data'!$AA$4:$AA$503,"&gt;=-1E+300")=0,"",SUMIFS('Daily Data'!$AA$4:$AA$503,'Daily Data'!$B$4:$B$503,$B$3,'Daily Data'!$AK$4:$AK$503,$M55)))</f>
        <v/>
      </c>
      <c r="H55" s="98" t="str">
        <f>IF($M55="","",SUMIFS('Daily Data'!$K$4:$K$503,'Daily Data'!$B$4:$B$503,$B$3,'Daily Data'!$AK$4:$AK$503,$M55))</f>
        <v/>
      </c>
      <c r="I55" s="99" t="str">
        <f>IF($M55="","",IF(COUNTIFS('Daily Data'!$B$4:$B$503,$B$3,'Daily Data'!$AK$4:$AK$503,$M55,'Daily Data'!$AC$4:$AC$503,"&gt;=-1E+300")=0,"",SUMIFS('Daily Data'!$AC$4:$AC$503,'Daily Data'!$B$4:$B$503,$B$3,'Daily Data'!$AK$4:$AK$503,$M55)))</f>
        <v/>
      </c>
      <c r="J55" s="98" t="str">
        <f>IF($M55="","",SUMIFS('Daily Data'!$I$4:$I$503,'Daily Data'!$B$4:$B$503,$B$3,'Daily Data'!$AK$4:$AK$503,$M55))</f>
        <v/>
      </c>
      <c r="K55" s="100" t="str">
        <f>IF($M55="","",SUMIFS('Daily Data'!$AH$4:$AH$503,'Daily Data'!$B$4:$B$503,$B$3,'Daily Data'!$AK$4:$AK$503,$M55))</f>
        <v/>
      </c>
      <c r="L55" s="101" t="str">
        <f>IF($K55="","",IF($K55&lt;Settings!$C$46,"Extreme Sell Pressure",IF($K55&lt;Settings!$C$47,"Sell Pressure",IF($K55&lt;=Settings!$C$48,"Neutral",IF($K55&lt;=Settings!$C$49,"Buy Pressure","Extreme Buy Pressure")))))</f>
        <v/>
      </c>
      <c r="M55" s="112" t="str">
        <f>IF(COUNTIF('Daily Data'!$B$4:$B$503,$B$3)-100+ROW()-9&lt;1,"",COUNTIF('Daily Data'!$B$4:$B$503,$B$3)-100+ROW()-9)</f>
        <v/>
      </c>
      <c r="N55" s="97" t="str">
        <f>IF($M55="","",IF(COUNTIFS('Daily Data'!$B$4:$B$503,$B$3,'Daily Data'!$AK$4:$AK$503,$M55,'Daily Data'!$AD$4:$AD$503,"&gt;=-1E+300")=0,"",SUMIFS('Daily Data'!$AD$4:$AD$503,'Daily Data'!$B$4:$B$503,$B$3,'Daily Data'!$AK$4:$AK$503,$M55)))</f>
        <v/>
      </c>
      <c r="O55" s="97" t="str">
        <f>IF($M55="","",IF(COUNTIFS('Daily Data'!$B$4:$B$503,$B$3,'Daily Data'!$AK$4:$AK$503,$M55,'Daily Data'!$AE$4:$AE$503,"&gt;=-1E+300")=0,"",SUMIFS('Daily Data'!$AE$4:$AE$503,'Daily Data'!$B$4:$B$503,$B$3,'Daily Data'!$AK$4:$AK$503,$M55)))</f>
        <v/>
      </c>
      <c r="P55" s="99" t="str">
        <f>IF($M55="","",IF(COUNTIFS('Daily Data'!$B$4:$B$503,$B$3,'Daily Data'!$AK$4:$AK$503,$M55,'Daily Data'!$Z$4:$Z$503,"&gt;=-1E+300")=0,"",SUMIFS('Daily Data'!$Z$4:$Z$503,'Daily Data'!$B$4:$B$503,$B$3,'Daily Data'!$AK$4:$AK$503,$M55)))</f>
        <v/>
      </c>
      <c r="Q55" s="100" t="str">
        <f>IF($M55="","",SUMIFS('Daily Data'!$AG$4:$AG$503,'Daily Data'!$B$4:$B$503,$B$3,'Daily Data'!$AK$4:$AK$503,$M55))</f>
        <v/>
      </c>
      <c r="S55" s="117" t="e">
        <f>IF($A55="",NA(),$A55)</f>
        <v>#N/A</v>
      </c>
      <c r="T55" s="116" t="e">
        <f>IF($A55="",NA(),$B55)</f>
        <v>#N/A</v>
      </c>
      <c r="V55" s="117" t="e">
        <f>IF($A55="",NA(),$A55)</f>
        <v>#N/A</v>
      </c>
      <c r="W55" s="116" t="e">
        <f>IF($A55="",NA(),$H55)</f>
        <v>#N/A</v>
      </c>
      <c r="Y55" s="117" t="e">
        <f>IF($A55="",NA(),$A55)</f>
        <v>#N/A</v>
      </c>
      <c r="Z55" s="116" t="e">
        <f>IF($A55="",NA(),$J55)</f>
        <v>#N/A</v>
      </c>
      <c r="AB55" s="117" t="e">
        <f>IF($A55="",NA(),$A55)</f>
        <v>#N/A</v>
      </c>
      <c r="AC55" s="116" t="e">
        <f>IF($A55="",NA(),$D55)</f>
        <v>#N/A</v>
      </c>
      <c r="AD55" s="116" t="e">
        <f>IF($A55="",NA(),$E55)</f>
        <v>#N/A</v>
      </c>
      <c r="AF55" s="117" t="e">
        <f>IF($A55="",NA(),$A55)</f>
        <v>#N/A</v>
      </c>
      <c r="AG55" s="116" t="e">
        <f>IF($A55="",NA(),$F55)</f>
        <v>#N/A</v>
      </c>
      <c r="AI55" s="117" t="e">
        <f>IF($A55="",NA(),$A55)</f>
        <v>#N/A</v>
      </c>
      <c r="AJ55" s="116" t="e">
        <f>IF($A55="",NA(),$K55)</f>
        <v>#N/A</v>
      </c>
      <c r="AL55" s="117" t="e">
        <f>IF($A55="",NA(),$A55)</f>
        <v>#N/A</v>
      </c>
      <c r="AM55" s="116" t="e">
        <f>IF($A55="",NA(),$G55)</f>
        <v>#N/A</v>
      </c>
    </row>
    <row r="56" spans="1:39" x14ac:dyDescent="0.3">
      <c r="A56" s="95" t="str">
        <f>IF($M56="","",SUMIFS('Daily Data'!$A$4:$A$503,'Daily Data'!$B$4:$B$503,$B$3,'Daily Data'!$AK$4:$AK$503,$M56))</f>
        <v/>
      </c>
      <c r="B56" s="96" t="str">
        <f>IF($M56="","",SUMIFS('Daily Data'!$E$4:$E$503,'Daily Data'!$B$4:$B$503,$B$3,'Daily Data'!$AK$4:$AK$503,$M56))</f>
        <v/>
      </c>
      <c r="C56" s="97" t="str">
        <f>IF($M56="","",SUMIFS('Daily Data'!$H$4:$H$503,'Daily Data'!$B$4:$B$503,$B$3,'Daily Data'!$AK$4:$AK$503,$M56))</f>
        <v/>
      </c>
      <c r="D56" s="98" t="str">
        <f>IF($M56="","",SUMIFS('Daily Data'!$L$4:$L$503,'Daily Data'!$B$4:$B$503,$B$3,'Daily Data'!$AK$4:$AK$503,$M56))</f>
        <v/>
      </c>
      <c r="E56" s="98" t="str">
        <f>IF($M56="","",SUMIFS('Daily Data'!$M$4:$M$503,'Daily Data'!$B$4:$B$503,$B$3,'Daily Data'!$AK$4:$AK$503,$M56))</f>
        <v/>
      </c>
      <c r="F56" s="99" t="str">
        <f>IF($M56="","",SUMIFS('Daily Data'!$S$4:$S$503,'Daily Data'!$B$4:$B$503,$B$3,'Daily Data'!$AK$4:$AK$503,$M56))</f>
        <v/>
      </c>
      <c r="G56" s="97" t="str">
        <f>IF($M56="","",IF(COUNTIFS('Daily Data'!$B$4:$B$503,$B$3,'Daily Data'!$AK$4:$AK$503,$M56,'Daily Data'!$AA$4:$AA$503,"&gt;=-1E+300")=0,"",SUMIFS('Daily Data'!$AA$4:$AA$503,'Daily Data'!$B$4:$B$503,$B$3,'Daily Data'!$AK$4:$AK$503,$M56)))</f>
        <v/>
      </c>
      <c r="H56" s="98" t="str">
        <f>IF($M56="","",SUMIFS('Daily Data'!$K$4:$K$503,'Daily Data'!$B$4:$B$503,$B$3,'Daily Data'!$AK$4:$AK$503,$M56))</f>
        <v/>
      </c>
      <c r="I56" s="99" t="str">
        <f>IF($M56="","",IF(COUNTIFS('Daily Data'!$B$4:$B$503,$B$3,'Daily Data'!$AK$4:$AK$503,$M56,'Daily Data'!$AC$4:$AC$503,"&gt;=-1E+300")=0,"",SUMIFS('Daily Data'!$AC$4:$AC$503,'Daily Data'!$B$4:$B$503,$B$3,'Daily Data'!$AK$4:$AK$503,$M56)))</f>
        <v/>
      </c>
      <c r="J56" s="98" t="str">
        <f>IF($M56="","",SUMIFS('Daily Data'!$I$4:$I$503,'Daily Data'!$B$4:$B$503,$B$3,'Daily Data'!$AK$4:$AK$503,$M56))</f>
        <v/>
      </c>
      <c r="K56" s="100" t="str">
        <f>IF($M56="","",SUMIFS('Daily Data'!$AH$4:$AH$503,'Daily Data'!$B$4:$B$503,$B$3,'Daily Data'!$AK$4:$AK$503,$M56))</f>
        <v/>
      </c>
      <c r="L56" s="101" t="str">
        <f>IF($K56="","",IF($K56&lt;Settings!$C$46,"Extreme Sell Pressure",IF($K56&lt;Settings!$C$47,"Sell Pressure",IF($K56&lt;=Settings!$C$48,"Neutral",IF($K56&lt;=Settings!$C$49,"Buy Pressure","Extreme Buy Pressure")))))</f>
        <v/>
      </c>
      <c r="M56" s="112" t="str">
        <f>IF(COUNTIF('Daily Data'!$B$4:$B$503,$B$3)-100+ROW()-9&lt;1,"",COUNTIF('Daily Data'!$B$4:$B$503,$B$3)-100+ROW()-9)</f>
        <v/>
      </c>
      <c r="N56" s="97" t="str">
        <f>IF($M56="","",IF(COUNTIFS('Daily Data'!$B$4:$B$503,$B$3,'Daily Data'!$AK$4:$AK$503,$M56,'Daily Data'!$AD$4:$AD$503,"&gt;=-1E+300")=0,"",SUMIFS('Daily Data'!$AD$4:$AD$503,'Daily Data'!$B$4:$B$503,$B$3,'Daily Data'!$AK$4:$AK$503,$M56)))</f>
        <v/>
      </c>
      <c r="O56" s="97" t="str">
        <f>IF($M56="","",IF(COUNTIFS('Daily Data'!$B$4:$B$503,$B$3,'Daily Data'!$AK$4:$AK$503,$M56,'Daily Data'!$AE$4:$AE$503,"&gt;=-1E+300")=0,"",SUMIFS('Daily Data'!$AE$4:$AE$503,'Daily Data'!$B$4:$B$503,$B$3,'Daily Data'!$AK$4:$AK$503,$M56)))</f>
        <v/>
      </c>
      <c r="P56" s="99" t="str">
        <f>IF($M56="","",IF(COUNTIFS('Daily Data'!$B$4:$B$503,$B$3,'Daily Data'!$AK$4:$AK$503,$M56,'Daily Data'!$Z$4:$Z$503,"&gt;=-1E+300")=0,"",SUMIFS('Daily Data'!$Z$4:$Z$503,'Daily Data'!$B$4:$B$503,$B$3,'Daily Data'!$AK$4:$AK$503,$M56)))</f>
        <v/>
      </c>
      <c r="Q56" s="100" t="str">
        <f>IF($M56="","",SUMIFS('Daily Data'!$AG$4:$AG$503,'Daily Data'!$B$4:$B$503,$B$3,'Daily Data'!$AK$4:$AK$503,$M56))</f>
        <v/>
      </c>
      <c r="S56" s="117" t="e">
        <f>IF($A56="",NA(),$A56)</f>
        <v>#N/A</v>
      </c>
      <c r="T56" s="116" t="e">
        <f>IF($A56="",NA(),$B56)</f>
        <v>#N/A</v>
      </c>
      <c r="V56" s="117" t="e">
        <f>IF($A56="",NA(),$A56)</f>
        <v>#N/A</v>
      </c>
      <c r="W56" s="116" t="e">
        <f>IF($A56="",NA(),$H56)</f>
        <v>#N/A</v>
      </c>
      <c r="Y56" s="117" t="e">
        <f>IF($A56="",NA(),$A56)</f>
        <v>#N/A</v>
      </c>
      <c r="Z56" s="116" t="e">
        <f>IF($A56="",NA(),$J56)</f>
        <v>#N/A</v>
      </c>
      <c r="AB56" s="117" t="e">
        <f>IF($A56="",NA(),$A56)</f>
        <v>#N/A</v>
      </c>
      <c r="AC56" s="116" t="e">
        <f>IF($A56="",NA(),$D56)</f>
        <v>#N/A</v>
      </c>
      <c r="AD56" s="116" t="e">
        <f>IF($A56="",NA(),$E56)</f>
        <v>#N/A</v>
      </c>
      <c r="AF56" s="117" t="e">
        <f>IF($A56="",NA(),$A56)</f>
        <v>#N/A</v>
      </c>
      <c r="AG56" s="116" t="e">
        <f>IF($A56="",NA(),$F56)</f>
        <v>#N/A</v>
      </c>
      <c r="AI56" s="117" t="e">
        <f>IF($A56="",NA(),$A56)</f>
        <v>#N/A</v>
      </c>
      <c r="AJ56" s="116" t="e">
        <f>IF($A56="",NA(),$K56)</f>
        <v>#N/A</v>
      </c>
      <c r="AL56" s="117" t="e">
        <f>IF($A56="",NA(),$A56)</f>
        <v>#N/A</v>
      </c>
      <c r="AM56" s="116" t="e">
        <f>IF($A56="",NA(),$G56)</f>
        <v>#N/A</v>
      </c>
    </row>
    <row r="57" spans="1:39" x14ac:dyDescent="0.3">
      <c r="A57" s="95" t="str">
        <f>IF($M57="","",SUMIFS('Daily Data'!$A$4:$A$503,'Daily Data'!$B$4:$B$503,$B$3,'Daily Data'!$AK$4:$AK$503,$M57))</f>
        <v/>
      </c>
      <c r="B57" s="96" t="str">
        <f>IF($M57="","",SUMIFS('Daily Data'!$E$4:$E$503,'Daily Data'!$B$4:$B$503,$B$3,'Daily Data'!$AK$4:$AK$503,$M57))</f>
        <v/>
      </c>
      <c r="C57" s="97" t="str">
        <f>IF($M57="","",SUMIFS('Daily Data'!$H$4:$H$503,'Daily Data'!$B$4:$B$503,$B$3,'Daily Data'!$AK$4:$AK$503,$M57))</f>
        <v/>
      </c>
      <c r="D57" s="98" t="str">
        <f>IF($M57="","",SUMIFS('Daily Data'!$L$4:$L$503,'Daily Data'!$B$4:$B$503,$B$3,'Daily Data'!$AK$4:$AK$503,$M57))</f>
        <v/>
      </c>
      <c r="E57" s="98" t="str">
        <f>IF($M57="","",SUMIFS('Daily Data'!$M$4:$M$503,'Daily Data'!$B$4:$B$503,$B$3,'Daily Data'!$AK$4:$AK$503,$M57))</f>
        <v/>
      </c>
      <c r="F57" s="99" t="str">
        <f>IF($M57="","",SUMIFS('Daily Data'!$S$4:$S$503,'Daily Data'!$B$4:$B$503,$B$3,'Daily Data'!$AK$4:$AK$503,$M57))</f>
        <v/>
      </c>
      <c r="G57" s="97" t="str">
        <f>IF($M57="","",IF(COUNTIFS('Daily Data'!$B$4:$B$503,$B$3,'Daily Data'!$AK$4:$AK$503,$M57,'Daily Data'!$AA$4:$AA$503,"&gt;=-1E+300")=0,"",SUMIFS('Daily Data'!$AA$4:$AA$503,'Daily Data'!$B$4:$B$503,$B$3,'Daily Data'!$AK$4:$AK$503,$M57)))</f>
        <v/>
      </c>
      <c r="H57" s="98" t="str">
        <f>IF($M57="","",SUMIFS('Daily Data'!$K$4:$K$503,'Daily Data'!$B$4:$B$503,$B$3,'Daily Data'!$AK$4:$AK$503,$M57))</f>
        <v/>
      </c>
      <c r="I57" s="99" t="str">
        <f>IF($M57="","",IF(COUNTIFS('Daily Data'!$B$4:$B$503,$B$3,'Daily Data'!$AK$4:$AK$503,$M57,'Daily Data'!$AC$4:$AC$503,"&gt;=-1E+300")=0,"",SUMIFS('Daily Data'!$AC$4:$AC$503,'Daily Data'!$B$4:$B$503,$B$3,'Daily Data'!$AK$4:$AK$503,$M57)))</f>
        <v/>
      </c>
      <c r="J57" s="98" t="str">
        <f>IF($M57="","",SUMIFS('Daily Data'!$I$4:$I$503,'Daily Data'!$B$4:$B$503,$B$3,'Daily Data'!$AK$4:$AK$503,$M57))</f>
        <v/>
      </c>
      <c r="K57" s="100" t="str">
        <f>IF($M57="","",SUMIFS('Daily Data'!$AH$4:$AH$503,'Daily Data'!$B$4:$B$503,$B$3,'Daily Data'!$AK$4:$AK$503,$M57))</f>
        <v/>
      </c>
      <c r="L57" s="101" t="str">
        <f>IF($K57="","",IF($K57&lt;Settings!$C$46,"Extreme Sell Pressure",IF($K57&lt;Settings!$C$47,"Sell Pressure",IF($K57&lt;=Settings!$C$48,"Neutral",IF($K57&lt;=Settings!$C$49,"Buy Pressure","Extreme Buy Pressure")))))</f>
        <v/>
      </c>
      <c r="M57" s="112" t="str">
        <f>IF(COUNTIF('Daily Data'!$B$4:$B$503,$B$3)-100+ROW()-9&lt;1,"",COUNTIF('Daily Data'!$B$4:$B$503,$B$3)-100+ROW()-9)</f>
        <v/>
      </c>
      <c r="N57" s="97" t="str">
        <f>IF($M57="","",IF(COUNTIFS('Daily Data'!$B$4:$B$503,$B$3,'Daily Data'!$AK$4:$AK$503,$M57,'Daily Data'!$AD$4:$AD$503,"&gt;=-1E+300")=0,"",SUMIFS('Daily Data'!$AD$4:$AD$503,'Daily Data'!$B$4:$B$503,$B$3,'Daily Data'!$AK$4:$AK$503,$M57)))</f>
        <v/>
      </c>
      <c r="O57" s="97" t="str">
        <f>IF($M57="","",IF(COUNTIFS('Daily Data'!$B$4:$B$503,$B$3,'Daily Data'!$AK$4:$AK$503,$M57,'Daily Data'!$AE$4:$AE$503,"&gt;=-1E+300")=0,"",SUMIFS('Daily Data'!$AE$4:$AE$503,'Daily Data'!$B$4:$B$503,$B$3,'Daily Data'!$AK$4:$AK$503,$M57)))</f>
        <v/>
      </c>
      <c r="P57" s="99" t="str">
        <f>IF($M57="","",IF(COUNTIFS('Daily Data'!$B$4:$B$503,$B$3,'Daily Data'!$AK$4:$AK$503,$M57,'Daily Data'!$Z$4:$Z$503,"&gt;=-1E+300")=0,"",SUMIFS('Daily Data'!$Z$4:$Z$503,'Daily Data'!$B$4:$B$503,$B$3,'Daily Data'!$AK$4:$AK$503,$M57)))</f>
        <v/>
      </c>
      <c r="Q57" s="100" t="str">
        <f>IF($M57="","",SUMIFS('Daily Data'!$AG$4:$AG$503,'Daily Data'!$B$4:$B$503,$B$3,'Daily Data'!$AK$4:$AK$503,$M57))</f>
        <v/>
      </c>
      <c r="S57" s="117" t="e">
        <f>IF($A57="",NA(),$A57)</f>
        <v>#N/A</v>
      </c>
      <c r="T57" s="116" t="e">
        <f>IF($A57="",NA(),$B57)</f>
        <v>#N/A</v>
      </c>
      <c r="V57" s="117" t="e">
        <f>IF($A57="",NA(),$A57)</f>
        <v>#N/A</v>
      </c>
      <c r="W57" s="116" t="e">
        <f>IF($A57="",NA(),$H57)</f>
        <v>#N/A</v>
      </c>
      <c r="Y57" s="117" t="e">
        <f>IF($A57="",NA(),$A57)</f>
        <v>#N/A</v>
      </c>
      <c r="Z57" s="116" t="e">
        <f>IF($A57="",NA(),$J57)</f>
        <v>#N/A</v>
      </c>
      <c r="AB57" s="117" t="e">
        <f>IF($A57="",NA(),$A57)</f>
        <v>#N/A</v>
      </c>
      <c r="AC57" s="116" t="e">
        <f>IF($A57="",NA(),$D57)</f>
        <v>#N/A</v>
      </c>
      <c r="AD57" s="116" t="e">
        <f>IF($A57="",NA(),$E57)</f>
        <v>#N/A</v>
      </c>
      <c r="AF57" s="117" t="e">
        <f>IF($A57="",NA(),$A57)</f>
        <v>#N/A</v>
      </c>
      <c r="AG57" s="116" t="e">
        <f>IF($A57="",NA(),$F57)</f>
        <v>#N/A</v>
      </c>
      <c r="AI57" s="117" t="e">
        <f>IF($A57="",NA(),$A57)</f>
        <v>#N/A</v>
      </c>
      <c r="AJ57" s="116" t="e">
        <f>IF($A57="",NA(),$K57)</f>
        <v>#N/A</v>
      </c>
      <c r="AL57" s="117" t="e">
        <f>IF($A57="",NA(),$A57)</f>
        <v>#N/A</v>
      </c>
      <c r="AM57" s="116" t="e">
        <f>IF($A57="",NA(),$G57)</f>
        <v>#N/A</v>
      </c>
    </row>
    <row r="58" spans="1:39" x14ac:dyDescent="0.3">
      <c r="A58" s="95" t="str">
        <f>IF($M58="","",SUMIFS('Daily Data'!$A$4:$A$503,'Daily Data'!$B$4:$B$503,$B$3,'Daily Data'!$AK$4:$AK$503,$M58))</f>
        <v/>
      </c>
      <c r="B58" s="96" t="str">
        <f>IF($M58="","",SUMIFS('Daily Data'!$E$4:$E$503,'Daily Data'!$B$4:$B$503,$B$3,'Daily Data'!$AK$4:$AK$503,$M58))</f>
        <v/>
      </c>
      <c r="C58" s="97" t="str">
        <f>IF($M58="","",SUMIFS('Daily Data'!$H$4:$H$503,'Daily Data'!$B$4:$B$503,$B$3,'Daily Data'!$AK$4:$AK$503,$M58))</f>
        <v/>
      </c>
      <c r="D58" s="98" t="str">
        <f>IF($M58="","",SUMIFS('Daily Data'!$L$4:$L$503,'Daily Data'!$B$4:$B$503,$B$3,'Daily Data'!$AK$4:$AK$503,$M58))</f>
        <v/>
      </c>
      <c r="E58" s="98" t="str">
        <f>IF($M58="","",SUMIFS('Daily Data'!$M$4:$M$503,'Daily Data'!$B$4:$B$503,$B$3,'Daily Data'!$AK$4:$AK$503,$M58))</f>
        <v/>
      </c>
      <c r="F58" s="99" t="str">
        <f>IF($M58="","",SUMIFS('Daily Data'!$S$4:$S$503,'Daily Data'!$B$4:$B$503,$B$3,'Daily Data'!$AK$4:$AK$503,$M58))</f>
        <v/>
      </c>
      <c r="G58" s="97" t="str">
        <f>IF($M58="","",IF(COUNTIFS('Daily Data'!$B$4:$B$503,$B$3,'Daily Data'!$AK$4:$AK$503,$M58,'Daily Data'!$AA$4:$AA$503,"&gt;=-1E+300")=0,"",SUMIFS('Daily Data'!$AA$4:$AA$503,'Daily Data'!$B$4:$B$503,$B$3,'Daily Data'!$AK$4:$AK$503,$M58)))</f>
        <v/>
      </c>
      <c r="H58" s="98" t="str">
        <f>IF($M58="","",SUMIFS('Daily Data'!$K$4:$K$503,'Daily Data'!$B$4:$B$503,$B$3,'Daily Data'!$AK$4:$AK$503,$M58))</f>
        <v/>
      </c>
      <c r="I58" s="99" t="str">
        <f>IF($M58="","",IF(COUNTIFS('Daily Data'!$B$4:$B$503,$B$3,'Daily Data'!$AK$4:$AK$503,$M58,'Daily Data'!$AC$4:$AC$503,"&gt;=-1E+300")=0,"",SUMIFS('Daily Data'!$AC$4:$AC$503,'Daily Data'!$B$4:$B$503,$B$3,'Daily Data'!$AK$4:$AK$503,$M58)))</f>
        <v/>
      </c>
      <c r="J58" s="98" t="str">
        <f>IF($M58="","",SUMIFS('Daily Data'!$I$4:$I$503,'Daily Data'!$B$4:$B$503,$B$3,'Daily Data'!$AK$4:$AK$503,$M58))</f>
        <v/>
      </c>
      <c r="K58" s="100" t="str">
        <f>IF($M58="","",SUMIFS('Daily Data'!$AH$4:$AH$503,'Daily Data'!$B$4:$B$503,$B$3,'Daily Data'!$AK$4:$AK$503,$M58))</f>
        <v/>
      </c>
      <c r="L58" s="101" t="str">
        <f>IF($K58="","",IF($K58&lt;Settings!$C$46,"Extreme Sell Pressure",IF($K58&lt;Settings!$C$47,"Sell Pressure",IF($K58&lt;=Settings!$C$48,"Neutral",IF($K58&lt;=Settings!$C$49,"Buy Pressure","Extreme Buy Pressure")))))</f>
        <v/>
      </c>
      <c r="M58" s="112" t="str">
        <f>IF(COUNTIF('Daily Data'!$B$4:$B$503,$B$3)-100+ROW()-9&lt;1,"",COUNTIF('Daily Data'!$B$4:$B$503,$B$3)-100+ROW()-9)</f>
        <v/>
      </c>
      <c r="N58" s="97" t="str">
        <f>IF($M58="","",IF(COUNTIFS('Daily Data'!$B$4:$B$503,$B$3,'Daily Data'!$AK$4:$AK$503,$M58,'Daily Data'!$AD$4:$AD$503,"&gt;=-1E+300")=0,"",SUMIFS('Daily Data'!$AD$4:$AD$503,'Daily Data'!$B$4:$B$503,$B$3,'Daily Data'!$AK$4:$AK$503,$M58)))</f>
        <v/>
      </c>
      <c r="O58" s="97" t="str">
        <f>IF($M58="","",IF(COUNTIFS('Daily Data'!$B$4:$B$503,$B$3,'Daily Data'!$AK$4:$AK$503,$M58,'Daily Data'!$AE$4:$AE$503,"&gt;=-1E+300")=0,"",SUMIFS('Daily Data'!$AE$4:$AE$503,'Daily Data'!$B$4:$B$503,$B$3,'Daily Data'!$AK$4:$AK$503,$M58)))</f>
        <v/>
      </c>
      <c r="P58" s="99" t="str">
        <f>IF($M58="","",IF(COUNTIFS('Daily Data'!$B$4:$B$503,$B$3,'Daily Data'!$AK$4:$AK$503,$M58,'Daily Data'!$Z$4:$Z$503,"&gt;=-1E+300")=0,"",SUMIFS('Daily Data'!$Z$4:$Z$503,'Daily Data'!$B$4:$B$503,$B$3,'Daily Data'!$AK$4:$AK$503,$M58)))</f>
        <v/>
      </c>
      <c r="Q58" s="100" t="str">
        <f>IF($M58="","",SUMIFS('Daily Data'!$AG$4:$AG$503,'Daily Data'!$B$4:$B$503,$B$3,'Daily Data'!$AK$4:$AK$503,$M58))</f>
        <v/>
      </c>
      <c r="S58" s="117" t="e">
        <f>IF($A58="",NA(),$A58)</f>
        <v>#N/A</v>
      </c>
      <c r="T58" s="116" t="e">
        <f>IF($A58="",NA(),$B58)</f>
        <v>#N/A</v>
      </c>
      <c r="V58" s="117" t="e">
        <f>IF($A58="",NA(),$A58)</f>
        <v>#N/A</v>
      </c>
      <c r="W58" s="116" t="e">
        <f>IF($A58="",NA(),$H58)</f>
        <v>#N/A</v>
      </c>
      <c r="Y58" s="117" t="e">
        <f>IF($A58="",NA(),$A58)</f>
        <v>#N/A</v>
      </c>
      <c r="Z58" s="116" t="e">
        <f>IF($A58="",NA(),$J58)</f>
        <v>#N/A</v>
      </c>
      <c r="AB58" s="117" t="e">
        <f>IF($A58="",NA(),$A58)</f>
        <v>#N/A</v>
      </c>
      <c r="AC58" s="116" t="e">
        <f>IF($A58="",NA(),$D58)</f>
        <v>#N/A</v>
      </c>
      <c r="AD58" s="116" t="e">
        <f>IF($A58="",NA(),$E58)</f>
        <v>#N/A</v>
      </c>
      <c r="AF58" s="117" t="e">
        <f>IF($A58="",NA(),$A58)</f>
        <v>#N/A</v>
      </c>
      <c r="AG58" s="116" t="e">
        <f>IF($A58="",NA(),$F58)</f>
        <v>#N/A</v>
      </c>
      <c r="AI58" s="117" t="e">
        <f>IF($A58="",NA(),$A58)</f>
        <v>#N/A</v>
      </c>
      <c r="AJ58" s="116" t="e">
        <f>IF($A58="",NA(),$K58)</f>
        <v>#N/A</v>
      </c>
      <c r="AL58" s="117" t="e">
        <f>IF($A58="",NA(),$A58)</f>
        <v>#N/A</v>
      </c>
      <c r="AM58" s="116" t="e">
        <f>IF($A58="",NA(),$G58)</f>
        <v>#N/A</v>
      </c>
    </row>
    <row r="59" spans="1:39" x14ac:dyDescent="0.3">
      <c r="A59" s="95" t="str">
        <f>IF($M59="","",SUMIFS('Daily Data'!$A$4:$A$503,'Daily Data'!$B$4:$B$503,$B$3,'Daily Data'!$AK$4:$AK$503,$M59))</f>
        <v/>
      </c>
      <c r="B59" s="96" t="str">
        <f>IF($M59="","",SUMIFS('Daily Data'!$E$4:$E$503,'Daily Data'!$B$4:$B$503,$B$3,'Daily Data'!$AK$4:$AK$503,$M59))</f>
        <v/>
      </c>
      <c r="C59" s="97" t="str">
        <f>IF($M59="","",SUMIFS('Daily Data'!$H$4:$H$503,'Daily Data'!$B$4:$B$503,$B$3,'Daily Data'!$AK$4:$AK$503,$M59))</f>
        <v/>
      </c>
      <c r="D59" s="98" t="str">
        <f>IF($M59="","",SUMIFS('Daily Data'!$L$4:$L$503,'Daily Data'!$B$4:$B$503,$B$3,'Daily Data'!$AK$4:$AK$503,$M59))</f>
        <v/>
      </c>
      <c r="E59" s="98" t="str">
        <f>IF($M59="","",SUMIFS('Daily Data'!$M$4:$M$503,'Daily Data'!$B$4:$B$503,$B$3,'Daily Data'!$AK$4:$AK$503,$M59))</f>
        <v/>
      </c>
      <c r="F59" s="99" t="str">
        <f>IF($M59="","",SUMIFS('Daily Data'!$S$4:$S$503,'Daily Data'!$B$4:$B$503,$B$3,'Daily Data'!$AK$4:$AK$503,$M59))</f>
        <v/>
      </c>
      <c r="G59" s="97" t="str">
        <f>IF($M59="","",IF(COUNTIFS('Daily Data'!$B$4:$B$503,$B$3,'Daily Data'!$AK$4:$AK$503,$M59,'Daily Data'!$AA$4:$AA$503,"&gt;=-1E+300")=0,"",SUMIFS('Daily Data'!$AA$4:$AA$503,'Daily Data'!$B$4:$B$503,$B$3,'Daily Data'!$AK$4:$AK$503,$M59)))</f>
        <v/>
      </c>
      <c r="H59" s="98" t="str">
        <f>IF($M59="","",SUMIFS('Daily Data'!$K$4:$K$503,'Daily Data'!$B$4:$B$503,$B$3,'Daily Data'!$AK$4:$AK$503,$M59))</f>
        <v/>
      </c>
      <c r="I59" s="99" t="str">
        <f>IF($M59="","",IF(COUNTIFS('Daily Data'!$B$4:$B$503,$B$3,'Daily Data'!$AK$4:$AK$503,$M59,'Daily Data'!$AC$4:$AC$503,"&gt;=-1E+300")=0,"",SUMIFS('Daily Data'!$AC$4:$AC$503,'Daily Data'!$B$4:$B$503,$B$3,'Daily Data'!$AK$4:$AK$503,$M59)))</f>
        <v/>
      </c>
      <c r="J59" s="98" t="str">
        <f>IF($M59="","",SUMIFS('Daily Data'!$I$4:$I$503,'Daily Data'!$B$4:$B$503,$B$3,'Daily Data'!$AK$4:$AK$503,$M59))</f>
        <v/>
      </c>
      <c r="K59" s="100" t="str">
        <f>IF($M59="","",SUMIFS('Daily Data'!$AH$4:$AH$503,'Daily Data'!$B$4:$B$503,$B$3,'Daily Data'!$AK$4:$AK$503,$M59))</f>
        <v/>
      </c>
      <c r="L59" s="101" t="str">
        <f>IF($K59="","",IF($K59&lt;Settings!$C$46,"Extreme Sell Pressure",IF($K59&lt;Settings!$C$47,"Sell Pressure",IF($K59&lt;=Settings!$C$48,"Neutral",IF($K59&lt;=Settings!$C$49,"Buy Pressure","Extreme Buy Pressure")))))</f>
        <v/>
      </c>
      <c r="M59" s="112" t="str">
        <f>IF(COUNTIF('Daily Data'!$B$4:$B$503,$B$3)-100+ROW()-9&lt;1,"",COUNTIF('Daily Data'!$B$4:$B$503,$B$3)-100+ROW()-9)</f>
        <v/>
      </c>
      <c r="N59" s="97" t="str">
        <f>IF($M59="","",IF(COUNTIFS('Daily Data'!$B$4:$B$503,$B$3,'Daily Data'!$AK$4:$AK$503,$M59,'Daily Data'!$AD$4:$AD$503,"&gt;=-1E+300")=0,"",SUMIFS('Daily Data'!$AD$4:$AD$503,'Daily Data'!$B$4:$B$503,$B$3,'Daily Data'!$AK$4:$AK$503,$M59)))</f>
        <v/>
      </c>
      <c r="O59" s="97" t="str">
        <f>IF($M59="","",IF(COUNTIFS('Daily Data'!$B$4:$B$503,$B$3,'Daily Data'!$AK$4:$AK$503,$M59,'Daily Data'!$AE$4:$AE$503,"&gt;=-1E+300")=0,"",SUMIFS('Daily Data'!$AE$4:$AE$503,'Daily Data'!$B$4:$B$503,$B$3,'Daily Data'!$AK$4:$AK$503,$M59)))</f>
        <v/>
      </c>
      <c r="P59" s="99" t="str">
        <f>IF($M59="","",IF(COUNTIFS('Daily Data'!$B$4:$B$503,$B$3,'Daily Data'!$AK$4:$AK$503,$M59,'Daily Data'!$Z$4:$Z$503,"&gt;=-1E+300")=0,"",SUMIFS('Daily Data'!$Z$4:$Z$503,'Daily Data'!$B$4:$B$503,$B$3,'Daily Data'!$AK$4:$AK$503,$M59)))</f>
        <v/>
      </c>
      <c r="Q59" s="100" t="str">
        <f>IF($M59="","",SUMIFS('Daily Data'!$AG$4:$AG$503,'Daily Data'!$B$4:$B$503,$B$3,'Daily Data'!$AK$4:$AK$503,$M59))</f>
        <v/>
      </c>
      <c r="S59" s="117" t="e">
        <f>IF($A59="",NA(),$A59)</f>
        <v>#N/A</v>
      </c>
      <c r="T59" s="116" t="e">
        <f>IF($A59="",NA(),$B59)</f>
        <v>#N/A</v>
      </c>
      <c r="V59" s="117" t="e">
        <f>IF($A59="",NA(),$A59)</f>
        <v>#N/A</v>
      </c>
      <c r="W59" s="116" t="e">
        <f>IF($A59="",NA(),$H59)</f>
        <v>#N/A</v>
      </c>
      <c r="Y59" s="117" t="e">
        <f>IF($A59="",NA(),$A59)</f>
        <v>#N/A</v>
      </c>
      <c r="Z59" s="116" t="e">
        <f>IF($A59="",NA(),$J59)</f>
        <v>#N/A</v>
      </c>
      <c r="AB59" s="117" t="e">
        <f>IF($A59="",NA(),$A59)</f>
        <v>#N/A</v>
      </c>
      <c r="AC59" s="116" t="e">
        <f>IF($A59="",NA(),$D59)</f>
        <v>#N/A</v>
      </c>
      <c r="AD59" s="116" t="e">
        <f>IF($A59="",NA(),$E59)</f>
        <v>#N/A</v>
      </c>
      <c r="AF59" s="117" t="e">
        <f>IF($A59="",NA(),$A59)</f>
        <v>#N/A</v>
      </c>
      <c r="AG59" s="116" t="e">
        <f>IF($A59="",NA(),$F59)</f>
        <v>#N/A</v>
      </c>
      <c r="AI59" s="117" t="e">
        <f>IF($A59="",NA(),$A59)</f>
        <v>#N/A</v>
      </c>
      <c r="AJ59" s="116" t="e">
        <f>IF($A59="",NA(),$K59)</f>
        <v>#N/A</v>
      </c>
      <c r="AL59" s="117" t="e">
        <f>IF($A59="",NA(),$A59)</f>
        <v>#N/A</v>
      </c>
      <c r="AM59" s="116" t="e">
        <f>IF($A59="",NA(),$G59)</f>
        <v>#N/A</v>
      </c>
    </row>
    <row r="60" spans="1:39" x14ac:dyDescent="0.3">
      <c r="A60" s="95" t="str">
        <f>IF($M60="","",SUMIFS('Daily Data'!$A$4:$A$503,'Daily Data'!$B$4:$B$503,$B$3,'Daily Data'!$AK$4:$AK$503,$M60))</f>
        <v/>
      </c>
      <c r="B60" s="96" t="str">
        <f>IF($M60="","",SUMIFS('Daily Data'!$E$4:$E$503,'Daily Data'!$B$4:$B$503,$B$3,'Daily Data'!$AK$4:$AK$503,$M60))</f>
        <v/>
      </c>
      <c r="C60" s="97" t="str">
        <f>IF($M60="","",SUMIFS('Daily Data'!$H$4:$H$503,'Daily Data'!$B$4:$B$503,$B$3,'Daily Data'!$AK$4:$AK$503,$M60))</f>
        <v/>
      </c>
      <c r="D60" s="98" t="str">
        <f>IF($M60="","",SUMIFS('Daily Data'!$L$4:$L$503,'Daily Data'!$B$4:$B$503,$B$3,'Daily Data'!$AK$4:$AK$503,$M60))</f>
        <v/>
      </c>
      <c r="E60" s="98" t="str">
        <f>IF($M60="","",SUMIFS('Daily Data'!$M$4:$M$503,'Daily Data'!$B$4:$B$503,$B$3,'Daily Data'!$AK$4:$AK$503,$M60))</f>
        <v/>
      </c>
      <c r="F60" s="99" t="str">
        <f>IF($M60="","",SUMIFS('Daily Data'!$S$4:$S$503,'Daily Data'!$B$4:$B$503,$B$3,'Daily Data'!$AK$4:$AK$503,$M60))</f>
        <v/>
      </c>
      <c r="G60" s="97" t="str">
        <f>IF($M60="","",IF(COUNTIFS('Daily Data'!$B$4:$B$503,$B$3,'Daily Data'!$AK$4:$AK$503,$M60,'Daily Data'!$AA$4:$AA$503,"&gt;=-1E+300")=0,"",SUMIFS('Daily Data'!$AA$4:$AA$503,'Daily Data'!$B$4:$B$503,$B$3,'Daily Data'!$AK$4:$AK$503,$M60)))</f>
        <v/>
      </c>
      <c r="H60" s="98" t="str">
        <f>IF($M60="","",SUMIFS('Daily Data'!$K$4:$K$503,'Daily Data'!$B$4:$B$503,$B$3,'Daily Data'!$AK$4:$AK$503,$M60))</f>
        <v/>
      </c>
      <c r="I60" s="99" t="str">
        <f>IF($M60="","",IF(COUNTIFS('Daily Data'!$B$4:$B$503,$B$3,'Daily Data'!$AK$4:$AK$503,$M60,'Daily Data'!$AC$4:$AC$503,"&gt;=-1E+300")=0,"",SUMIFS('Daily Data'!$AC$4:$AC$503,'Daily Data'!$B$4:$B$503,$B$3,'Daily Data'!$AK$4:$AK$503,$M60)))</f>
        <v/>
      </c>
      <c r="J60" s="98" t="str">
        <f>IF($M60="","",SUMIFS('Daily Data'!$I$4:$I$503,'Daily Data'!$B$4:$B$503,$B$3,'Daily Data'!$AK$4:$AK$503,$M60))</f>
        <v/>
      </c>
      <c r="K60" s="100" t="str">
        <f>IF($M60="","",SUMIFS('Daily Data'!$AH$4:$AH$503,'Daily Data'!$B$4:$B$503,$B$3,'Daily Data'!$AK$4:$AK$503,$M60))</f>
        <v/>
      </c>
      <c r="L60" s="101" t="str">
        <f>IF($K60="","",IF($K60&lt;Settings!$C$46,"Extreme Sell Pressure",IF($K60&lt;Settings!$C$47,"Sell Pressure",IF($K60&lt;=Settings!$C$48,"Neutral",IF($K60&lt;=Settings!$C$49,"Buy Pressure","Extreme Buy Pressure")))))</f>
        <v/>
      </c>
      <c r="M60" s="112" t="str">
        <f>IF(COUNTIF('Daily Data'!$B$4:$B$503,$B$3)-100+ROW()-9&lt;1,"",COUNTIF('Daily Data'!$B$4:$B$503,$B$3)-100+ROW()-9)</f>
        <v/>
      </c>
      <c r="N60" s="97" t="str">
        <f>IF($M60="","",IF(COUNTIFS('Daily Data'!$B$4:$B$503,$B$3,'Daily Data'!$AK$4:$AK$503,$M60,'Daily Data'!$AD$4:$AD$503,"&gt;=-1E+300")=0,"",SUMIFS('Daily Data'!$AD$4:$AD$503,'Daily Data'!$B$4:$B$503,$B$3,'Daily Data'!$AK$4:$AK$503,$M60)))</f>
        <v/>
      </c>
      <c r="O60" s="97" t="str">
        <f>IF($M60="","",IF(COUNTIFS('Daily Data'!$B$4:$B$503,$B$3,'Daily Data'!$AK$4:$AK$503,$M60,'Daily Data'!$AE$4:$AE$503,"&gt;=-1E+300")=0,"",SUMIFS('Daily Data'!$AE$4:$AE$503,'Daily Data'!$B$4:$B$503,$B$3,'Daily Data'!$AK$4:$AK$503,$M60)))</f>
        <v/>
      </c>
      <c r="P60" s="99" t="str">
        <f>IF($M60="","",IF(COUNTIFS('Daily Data'!$B$4:$B$503,$B$3,'Daily Data'!$AK$4:$AK$503,$M60,'Daily Data'!$Z$4:$Z$503,"&gt;=-1E+300")=0,"",SUMIFS('Daily Data'!$Z$4:$Z$503,'Daily Data'!$B$4:$B$503,$B$3,'Daily Data'!$AK$4:$AK$503,$M60)))</f>
        <v/>
      </c>
      <c r="Q60" s="100" t="str">
        <f>IF($M60="","",SUMIFS('Daily Data'!$AG$4:$AG$503,'Daily Data'!$B$4:$B$503,$B$3,'Daily Data'!$AK$4:$AK$503,$M60))</f>
        <v/>
      </c>
      <c r="S60" s="117" t="e">
        <f>IF($A60="",NA(),$A60)</f>
        <v>#N/A</v>
      </c>
      <c r="T60" s="116" t="e">
        <f>IF($A60="",NA(),$B60)</f>
        <v>#N/A</v>
      </c>
      <c r="V60" s="117" t="e">
        <f>IF($A60="",NA(),$A60)</f>
        <v>#N/A</v>
      </c>
      <c r="W60" s="116" t="e">
        <f>IF($A60="",NA(),$H60)</f>
        <v>#N/A</v>
      </c>
      <c r="Y60" s="117" t="e">
        <f>IF($A60="",NA(),$A60)</f>
        <v>#N/A</v>
      </c>
      <c r="Z60" s="116" t="e">
        <f>IF($A60="",NA(),$J60)</f>
        <v>#N/A</v>
      </c>
      <c r="AB60" s="117" t="e">
        <f>IF($A60="",NA(),$A60)</f>
        <v>#N/A</v>
      </c>
      <c r="AC60" s="116" t="e">
        <f>IF($A60="",NA(),$D60)</f>
        <v>#N/A</v>
      </c>
      <c r="AD60" s="116" t="e">
        <f>IF($A60="",NA(),$E60)</f>
        <v>#N/A</v>
      </c>
      <c r="AF60" s="117" t="e">
        <f>IF($A60="",NA(),$A60)</f>
        <v>#N/A</v>
      </c>
      <c r="AG60" s="116" t="e">
        <f>IF($A60="",NA(),$F60)</f>
        <v>#N/A</v>
      </c>
      <c r="AI60" s="117" t="e">
        <f>IF($A60="",NA(),$A60)</f>
        <v>#N/A</v>
      </c>
      <c r="AJ60" s="116" t="e">
        <f>IF($A60="",NA(),$K60)</f>
        <v>#N/A</v>
      </c>
      <c r="AL60" s="117" t="e">
        <f>IF($A60="",NA(),$A60)</f>
        <v>#N/A</v>
      </c>
      <c r="AM60" s="116" t="e">
        <f>IF($A60="",NA(),$G60)</f>
        <v>#N/A</v>
      </c>
    </row>
    <row r="61" spans="1:39" x14ac:dyDescent="0.3">
      <c r="A61" s="95" t="str">
        <f>IF($M61="","",SUMIFS('Daily Data'!$A$4:$A$503,'Daily Data'!$B$4:$B$503,$B$3,'Daily Data'!$AK$4:$AK$503,$M61))</f>
        <v/>
      </c>
      <c r="B61" s="96" t="str">
        <f>IF($M61="","",SUMIFS('Daily Data'!$E$4:$E$503,'Daily Data'!$B$4:$B$503,$B$3,'Daily Data'!$AK$4:$AK$503,$M61))</f>
        <v/>
      </c>
      <c r="C61" s="97" t="str">
        <f>IF($M61="","",SUMIFS('Daily Data'!$H$4:$H$503,'Daily Data'!$B$4:$B$503,$B$3,'Daily Data'!$AK$4:$AK$503,$M61))</f>
        <v/>
      </c>
      <c r="D61" s="98" t="str">
        <f>IF($M61="","",SUMIFS('Daily Data'!$L$4:$L$503,'Daily Data'!$B$4:$B$503,$B$3,'Daily Data'!$AK$4:$AK$503,$M61))</f>
        <v/>
      </c>
      <c r="E61" s="98" t="str">
        <f>IF($M61="","",SUMIFS('Daily Data'!$M$4:$M$503,'Daily Data'!$B$4:$B$503,$B$3,'Daily Data'!$AK$4:$AK$503,$M61))</f>
        <v/>
      </c>
      <c r="F61" s="99" t="str">
        <f>IF($M61="","",SUMIFS('Daily Data'!$S$4:$S$503,'Daily Data'!$B$4:$B$503,$B$3,'Daily Data'!$AK$4:$AK$503,$M61))</f>
        <v/>
      </c>
      <c r="G61" s="97" t="str">
        <f>IF($M61="","",IF(COUNTIFS('Daily Data'!$B$4:$B$503,$B$3,'Daily Data'!$AK$4:$AK$503,$M61,'Daily Data'!$AA$4:$AA$503,"&gt;=-1E+300")=0,"",SUMIFS('Daily Data'!$AA$4:$AA$503,'Daily Data'!$B$4:$B$503,$B$3,'Daily Data'!$AK$4:$AK$503,$M61)))</f>
        <v/>
      </c>
      <c r="H61" s="98" t="str">
        <f>IF($M61="","",SUMIFS('Daily Data'!$K$4:$K$503,'Daily Data'!$B$4:$B$503,$B$3,'Daily Data'!$AK$4:$AK$503,$M61))</f>
        <v/>
      </c>
      <c r="I61" s="99" t="str">
        <f>IF($M61="","",IF(COUNTIFS('Daily Data'!$B$4:$B$503,$B$3,'Daily Data'!$AK$4:$AK$503,$M61,'Daily Data'!$AC$4:$AC$503,"&gt;=-1E+300")=0,"",SUMIFS('Daily Data'!$AC$4:$AC$503,'Daily Data'!$B$4:$B$503,$B$3,'Daily Data'!$AK$4:$AK$503,$M61)))</f>
        <v/>
      </c>
      <c r="J61" s="98" t="str">
        <f>IF($M61="","",SUMIFS('Daily Data'!$I$4:$I$503,'Daily Data'!$B$4:$B$503,$B$3,'Daily Data'!$AK$4:$AK$503,$M61))</f>
        <v/>
      </c>
      <c r="K61" s="100" t="str">
        <f>IF($M61="","",SUMIFS('Daily Data'!$AH$4:$AH$503,'Daily Data'!$B$4:$B$503,$B$3,'Daily Data'!$AK$4:$AK$503,$M61))</f>
        <v/>
      </c>
      <c r="L61" s="101" t="str">
        <f>IF($K61="","",IF($K61&lt;Settings!$C$46,"Extreme Sell Pressure",IF($K61&lt;Settings!$C$47,"Sell Pressure",IF($K61&lt;=Settings!$C$48,"Neutral",IF($K61&lt;=Settings!$C$49,"Buy Pressure","Extreme Buy Pressure")))))</f>
        <v/>
      </c>
      <c r="M61" s="112" t="str">
        <f>IF(COUNTIF('Daily Data'!$B$4:$B$503,$B$3)-100+ROW()-9&lt;1,"",COUNTIF('Daily Data'!$B$4:$B$503,$B$3)-100+ROW()-9)</f>
        <v/>
      </c>
      <c r="N61" s="97" t="str">
        <f>IF($M61="","",IF(COUNTIFS('Daily Data'!$B$4:$B$503,$B$3,'Daily Data'!$AK$4:$AK$503,$M61,'Daily Data'!$AD$4:$AD$503,"&gt;=-1E+300")=0,"",SUMIFS('Daily Data'!$AD$4:$AD$503,'Daily Data'!$B$4:$B$503,$B$3,'Daily Data'!$AK$4:$AK$503,$M61)))</f>
        <v/>
      </c>
      <c r="O61" s="97" t="str">
        <f>IF($M61="","",IF(COUNTIFS('Daily Data'!$B$4:$B$503,$B$3,'Daily Data'!$AK$4:$AK$503,$M61,'Daily Data'!$AE$4:$AE$503,"&gt;=-1E+300")=0,"",SUMIFS('Daily Data'!$AE$4:$AE$503,'Daily Data'!$B$4:$B$503,$B$3,'Daily Data'!$AK$4:$AK$503,$M61)))</f>
        <v/>
      </c>
      <c r="P61" s="99" t="str">
        <f>IF($M61="","",IF(COUNTIFS('Daily Data'!$B$4:$B$503,$B$3,'Daily Data'!$AK$4:$AK$503,$M61,'Daily Data'!$Z$4:$Z$503,"&gt;=-1E+300")=0,"",SUMIFS('Daily Data'!$Z$4:$Z$503,'Daily Data'!$B$4:$B$503,$B$3,'Daily Data'!$AK$4:$AK$503,$M61)))</f>
        <v/>
      </c>
      <c r="Q61" s="100" t="str">
        <f>IF($M61="","",SUMIFS('Daily Data'!$AG$4:$AG$503,'Daily Data'!$B$4:$B$503,$B$3,'Daily Data'!$AK$4:$AK$503,$M61))</f>
        <v/>
      </c>
      <c r="S61" s="117" t="e">
        <f>IF($A61="",NA(),$A61)</f>
        <v>#N/A</v>
      </c>
      <c r="T61" s="116" t="e">
        <f>IF($A61="",NA(),$B61)</f>
        <v>#N/A</v>
      </c>
      <c r="V61" s="117" t="e">
        <f>IF($A61="",NA(),$A61)</f>
        <v>#N/A</v>
      </c>
      <c r="W61" s="116" t="e">
        <f>IF($A61="",NA(),$H61)</f>
        <v>#N/A</v>
      </c>
      <c r="Y61" s="117" t="e">
        <f>IF($A61="",NA(),$A61)</f>
        <v>#N/A</v>
      </c>
      <c r="Z61" s="116" t="e">
        <f>IF($A61="",NA(),$J61)</f>
        <v>#N/A</v>
      </c>
      <c r="AB61" s="117" t="e">
        <f>IF($A61="",NA(),$A61)</f>
        <v>#N/A</v>
      </c>
      <c r="AC61" s="116" t="e">
        <f>IF($A61="",NA(),$D61)</f>
        <v>#N/A</v>
      </c>
      <c r="AD61" s="116" t="e">
        <f>IF($A61="",NA(),$E61)</f>
        <v>#N/A</v>
      </c>
      <c r="AF61" s="117" t="e">
        <f>IF($A61="",NA(),$A61)</f>
        <v>#N/A</v>
      </c>
      <c r="AG61" s="116" t="e">
        <f>IF($A61="",NA(),$F61)</f>
        <v>#N/A</v>
      </c>
      <c r="AI61" s="117" t="e">
        <f>IF($A61="",NA(),$A61)</f>
        <v>#N/A</v>
      </c>
      <c r="AJ61" s="116" t="e">
        <f>IF($A61="",NA(),$K61)</f>
        <v>#N/A</v>
      </c>
      <c r="AL61" s="117" t="e">
        <f>IF($A61="",NA(),$A61)</f>
        <v>#N/A</v>
      </c>
      <c r="AM61" s="116" t="e">
        <f>IF($A61="",NA(),$G61)</f>
        <v>#N/A</v>
      </c>
    </row>
    <row r="62" spans="1:39" x14ac:dyDescent="0.3">
      <c r="A62" s="95" t="str">
        <f>IF($M62="","",SUMIFS('Daily Data'!$A$4:$A$503,'Daily Data'!$B$4:$B$503,$B$3,'Daily Data'!$AK$4:$AK$503,$M62))</f>
        <v/>
      </c>
      <c r="B62" s="96" t="str">
        <f>IF($M62="","",SUMIFS('Daily Data'!$E$4:$E$503,'Daily Data'!$B$4:$B$503,$B$3,'Daily Data'!$AK$4:$AK$503,$M62))</f>
        <v/>
      </c>
      <c r="C62" s="97" t="str">
        <f>IF($M62="","",SUMIFS('Daily Data'!$H$4:$H$503,'Daily Data'!$B$4:$B$503,$B$3,'Daily Data'!$AK$4:$AK$503,$M62))</f>
        <v/>
      </c>
      <c r="D62" s="98" t="str">
        <f>IF($M62="","",SUMIFS('Daily Data'!$L$4:$L$503,'Daily Data'!$B$4:$B$503,$B$3,'Daily Data'!$AK$4:$AK$503,$M62))</f>
        <v/>
      </c>
      <c r="E62" s="98" t="str">
        <f>IF($M62="","",SUMIFS('Daily Data'!$M$4:$M$503,'Daily Data'!$B$4:$B$503,$B$3,'Daily Data'!$AK$4:$AK$503,$M62))</f>
        <v/>
      </c>
      <c r="F62" s="99" t="str">
        <f>IF($M62="","",SUMIFS('Daily Data'!$S$4:$S$503,'Daily Data'!$B$4:$B$503,$B$3,'Daily Data'!$AK$4:$AK$503,$M62))</f>
        <v/>
      </c>
      <c r="G62" s="97" t="str">
        <f>IF($M62="","",IF(COUNTIFS('Daily Data'!$B$4:$B$503,$B$3,'Daily Data'!$AK$4:$AK$503,$M62,'Daily Data'!$AA$4:$AA$503,"&gt;=-1E+300")=0,"",SUMIFS('Daily Data'!$AA$4:$AA$503,'Daily Data'!$B$4:$B$503,$B$3,'Daily Data'!$AK$4:$AK$503,$M62)))</f>
        <v/>
      </c>
      <c r="H62" s="98" t="str">
        <f>IF($M62="","",SUMIFS('Daily Data'!$K$4:$K$503,'Daily Data'!$B$4:$B$503,$B$3,'Daily Data'!$AK$4:$AK$503,$M62))</f>
        <v/>
      </c>
      <c r="I62" s="99" t="str">
        <f>IF($M62="","",IF(COUNTIFS('Daily Data'!$B$4:$B$503,$B$3,'Daily Data'!$AK$4:$AK$503,$M62,'Daily Data'!$AC$4:$AC$503,"&gt;=-1E+300")=0,"",SUMIFS('Daily Data'!$AC$4:$AC$503,'Daily Data'!$B$4:$B$503,$B$3,'Daily Data'!$AK$4:$AK$503,$M62)))</f>
        <v/>
      </c>
      <c r="J62" s="98" t="str">
        <f>IF($M62="","",SUMIFS('Daily Data'!$I$4:$I$503,'Daily Data'!$B$4:$B$503,$B$3,'Daily Data'!$AK$4:$AK$503,$M62))</f>
        <v/>
      </c>
      <c r="K62" s="100" t="str">
        <f>IF($M62="","",SUMIFS('Daily Data'!$AH$4:$AH$503,'Daily Data'!$B$4:$B$503,$B$3,'Daily Data'!$AK$4:$AK$503,$M62))</f>
        <v/>
      </c>
      <c r="L62" s="101" t="str">
        <f>IF($K62="","",IF($K62&lt;Settings!$C$46,"Extreme Sell Pressure",IF($K62&lt;Settings!$C$47,"Sell Pressure",IF($K62&lt;=Settings!$C$48,"Neutral",IF($K62&lt;=Settings!$C$49,"Buy Pressure","Extreme Buy Pressure")))))</f>
        <v/>
      </c>
      <c r="M62" s="112" t="str">
        <f>IF(COUNTIF('Daily Data'!$B$4:$B$503,$B$3)-100+ROW()-9&lt;1,"",COUNTIF('Daily Data'!$B$4:$B$503,$B$3)-100+ROW()-9)</f>
        <v/>
      </c>
      <c r="N62" s="97" t="str">
        <f>IF($M62="","",IF(COUNTIFS('Daily Data'!$B$4:$B$503,$B$3,'Daily Data'!$AK$4:$AK$503,$M62,'Daily Data'!$AD$4:$AD$503,"&gt;=-1E+300")=0,"",SUMIFS('Daily Data'!$AD$4:$AD$503,'Daily Data'!$B$4:$B$503,$B$3,'Daily Data'!$AK$4:$AK$503,$M62)))</f>
        <v/>
      </c>
      <c r="O62" s="97" t="str">
        <f>IF($M62="","",IF(COUNTIFS('Daily Data'!$B$4:$B$503,$B$3,'Daily Data'!$AK$4:$AK$503,$M62,'Daily Data'!$AE$4:$AE$503,"&gt;=-1E+300")=0,"",SUMIFS('Daily Data'!$AE$4:$AE$503,'Daily Data'!$B$4:$B$503,$B$3,'Daily Data'!$AK$4:$AK$503,$M62)))</f>
        <v/>
      </c>
      <c r="P62" s="99" t="str">
        <f>IF($M62="","",IF(COUNTIFS('Daily Data'!$B$4:$B$503,$B$3,'Daily Data'!$AK$4:$AK$503,$M62,'Daily Data'!$Z$4:$Z$503,"&gt;=-1E+300")=0,"",SUMIFS('Daily Data'!$Z$4:$Z$503,'Daily Data'!$B$4:$B$503,$B$3,'Daily Data'!$AK$4:$AK$503,$M62)))</f>
        <v/>
      </c>
      <c r="Q62" s="100" t="str">
        <f>IF($M62="","",SUMIFS('Daily Data'!$AG$4:$AG$503,'Daily Data'!$B$4:$B$503,$B$3,'Daily Data'!$AK$4:$AK$503,$M62))</f>
        <v/>
      </c>
      <c r="S62" s="117" t="e">
        <f>IF($A62="",NA(),$A62)</f>
        <v>#N/A</v>
      </c>
      <c r="T62" s="116" t="e">
        <f>IF($A62="",NA(),$B62)</f>
        <v>#N/A</v>
      </c>
      <c r="V62" s="117" t="e">
        <f>IF($A62="",NA(),$A62)</f>
        <v>#N/A</v>
      </c>
      <c r="W62" s="116" t="e">
        <f>IF($A62="",NA(),$H62)</f>
        <v>#N/A</v>
      </c>
      <c r="Y62" s="117" t="e">
        <f>IF($A62="",NA(),$A62)</f>
        <v>#N/A</v>
      </c>
      <c r="Z62" s="116" t="e">
        <f>IF($A62="",NA(),$J62)</f>
        <v>#N/A</v>
      </c>
      <c r="AB62" s="117" t="e">
        <f>IF($A62="",NA(),$A62)</f>
        <v>#N/A</v>
      </c>
      <c r="AC62" s="116" t="e">
        <f>IF($A62="",NA(),$D62)</f>
        <v>#N/A</v>
      </c>
      <c r="AD62" s="116" t="e">
        <f>IF($A62="",NA(),$E62)</f>
        <v>#N/A</v>
      </c>
      <c r="AF62" s="117" t="e">
        <f>IF($A62="",NA(),$A62)</f>
        <v>#N/A</v>
      </c>
      <c r="AG62" s="116" t="e">
        <f>IF($A62="",NA(),$F62)</f>
        <v>#N/A</v>
      </c>
      <c r="AI62" s="117" t="e">
        <f>IF($A62="",NA(),$A62)</f>
        <v>#N/A</v>
      </c>
      <c r="AJ62" s="116" t="e">
        <f>IF($A62="",NA(),$K62)</f>
        <v>#N/A</v>
      </c>
      <c r="AL62" s="117" t="e">
        <f>IF($A62="",NA(),$A62)</f>
        <v>#N/A</v>
      </c>
      <c r="AM62" s="116" t="e">
        <f>IF($A62="",NA(),$G62)</f>
        <v>#N/A</v>
      </c>
    </row>
    <row r="63" spans="1:39" x14ac:dyDescent="0.3">
      <c r="A63" s="95" t="str">
        <f>IF($M63="","",SUMIFS('Daily Data'!$A$4:$A$503,'Daily Data'!$B$4:$B$503,$B$3,'Daily Data'!$AK$4:$AK$503,$M63))</f>
        <v/>
      </c>
      <c r="B63" s="96" t="str">
        <f>IF($M63="","",SUMIFS('Daily Data'!$E$4:$E$503,'Daily Data'!$B$4:$B$503,$B$3,'Daily Data'!$AK$4:$AK$503,$M63))</f>
        <v/>
      </c>
      <c r="C63" s="97" t="str">
        <f>IF($M63="","",SUMIFS('Daily Data'!$H$4:$H$503,'Daily Data'!$B$4:$B$503,$B$3,'Daily Data'!$AK$4:$AK$503,$M63))</f>
        <v/>
      </c>
      <c r="D63" s="98" t="str">
        <f>IF($M63="","",SUMIFS('Daily Data'!$L$4:$L$503,'Daily Data'!$B$4:$B$503,$B$3,'Daily Data'!$AK$4:$AK$503,$M63))</f>
        <v/>
      </c>
      <c r="E63" s="98" t="str">
        <f>IF($M63="","",SUMIFS('Daily Data'!$M$4:$M$503,'Daily Data'!$B$4:$B$503,$B$3,'Daily Data'!$AK$4:$AK$503,$M63))</f>
        <v/>
      </c>
      <c r="F63" s="99" t="str">
        <f>IF($M63="","",SUMIFS('Daily Data'!$S$4:$S$503,'Daily Data'!$B$4:$B$503,$B$3,'Daily Data'!$AK$4:$AK$503,$M63))</f>
        <v/>
      </c>
      <c r="G63" s="97" t="str">
        <f>IF($M63="","",IF(COUNTIFS('Daily Data'!$B$4:$B$503,$B$3,'Daily Data'!$AK$4:$AK$503,$M63,'Daily Data'!$AA$4:$AA$503,"&gt;=-1E+300")=0,"",SUMIFS('Daily Data'!$AA$4:$AA$503,'Daily Data'!$B$4:$B$503,$B$3,'Daily Data'!$AK$4:$AK$503,$M63)))</f>
        <v/>
      </c>
      <c r="H63" s="98" t="str">
        <f>IF($M63="","",SUMIFS('Daily Data'!$K$4:$K$503,'Daily Data'!$B$4:$B$503,$B$3,'Daily Data'!$AK$4:$AK$503,$M63))</f>
        <v/>
      </c>
      <c r="I63" s="99" t="str">
        <f>IF($M63="","",IF(COUNTIFS('Daily Data'!$B$4:$B$503,$B$3,'Daily Data'!$AK$4:$AK$503,$M63,'Daily Data'!$AC$4:$AC$503,"&gt;=-1E+300")=0,"",SUMIFS('Daily Data'!$AC$4:$AC$503,'Daily Data'!$B$4:$B$503,$B$3,'Daily Data'!$AK$4:$AK$503,$M63)))</f>
        <v/>
      </c>
      <c r="J63" s="98" t="str">
        <f>IF($M63="","",SUMIFS('Daily Data'!$I$4:$I$503,'Daily Data'!$B$4:$B$503,$B$3,'Daily Data'!$AK$4:$AK$503,$M63))</f>
        <v/>
      </c>
      <c r="K63" s="100" t="str">
        <f>IF($M63="","",SUMIFS('Daily Data'!$AH$4:$AH$503,'Daily Data'!$B$4:$B$503,$B$3,'Daily Data'!$AK$4:$AK$503,$M63))</f>
        <v/>
      </c>
      <c r="L63" s="101" t="str">
        <f>IF($K63="","",IF($K63&lt;Settings!$C$46,"Extreme Sell Pressure",IF($K63&lt;Settings!$C$47,"Sell Pressure",IF($K63&lt;=Settings!$C$48,"Neutral",IF($K63&lt;=Settings!$C$49,"Buy Pressure","Extreme Buy Pressure")))))</f>
        <v/>
      </c>
      <c r="M63" s="112" t="str">
        <f>IF(COUNTIF('Daily Data'!$B$4:$B$503,$B$3)-100+ROW()-9&lt;1,"",COUNTIF('Daily Data'!$B$4:$B$503,$B$3)-100+ROW()-9)</f>
        <v/>
      </c>
      <c r="N63" s="97" t="str">
        <f>IF($M63="","",IF(COUNTIFS('Daily Data'!$B$4:$B$503,$B$3,'Daily Data'!$AK$4:$AK$503,$M63,'Daily Data'!$AD$4:$AD$503,"&gt;=-1E+300")=0,"",SUMIFS('Daily Data'!$AD$4:$AD$503,'Daily Data'!$B$4:$B$503,$B$3,'Daily Data'!$AK$4:$AK$503,$M63)))</f>
        <v/>
      </c>
      <c r="O63" s="97" t="str">
        <f>IF($M63="","",IF(COUNTIFS('Daily Data'!$B$4:$B$503,$B$3,'Daily Data'!$AK$4:$AK$503,$M63,'Daily Data'!$AE$4:$AE$503,"&gt;=-1E+300")=0,"",SUMIFS('Daily Data'!$AE$4:$AE$503,'Daily Data'!$B$4:$B$503,$B$3,'Daily Data'!$AK$4:$AK$503,$M63)))</f>
        <v/>
      </c>
      <c r="P63" s="99" t="str">
        <f>IF($M63="","",IF(COUNTIFS('Daily Data'!$B$4:$B$503,$B$3,'Daily Data'!$AK$4:$AK$503,$M63,'Daily Data'!$Z$4:$Z$503,"&gt;=-1E+300")=0,"",SUMIFS('Daily Data'!$Z$4:$Z$503,'Daily Data'!$B$4:$B$503,$B$3,'Daily Data'!$AK$4:$AK$503,$M63)))</f>
        <v/>
      </c>
      <c r="Q63" s="100" t="str">
        <f>IF($M63="","",SUMIFS('Daily Data'!$AG$4:$AG$503,'Daily Data'!$B$4:$B$503,$B$3,'Daily Data'!$AK$4:$AK$503,$M63))</f>
        <v/>
      </c>
      <c r="S63" s="117" t="e">
        <f>IF($A63="",NA(),$A63)</f>
        <v>#N/A</v>
      </c>
      <c r="T63" s="116" t="e">
        <f>IF($A63="",NA(),$B63)</f>
        <v>#N/A</v>
      </c>
      <c r="V63" s="117" t="e">
        <f>IF($A63="",NA(),$A63)</f>
        <v>#N/A</v>
      </c>
      <c r="W63" s="116" t="e">
        <f>IF($A63="",NA(),$H63)</f>
        <v>#N/A</v>
      </c>
      <c r="Y63" s="117" t="e">
        <f>IF($A63="",NA(),$A63)</f>
        <v>#N/A</v>
      </c>
      <c r="Z63" s="116" t="e">
        <f>IF($A63="",NA(),$J63)</f>
        <v>#N/A</v>
      </c>
      <c r="AB63" s="117" t="e">
        <f>IF($A63="",NA(),$A63)</f>
        <v>#N/A</v>
      </c>
      <c r="AC63" s="116" t="e">
        <f>IF($A63="",NA(),$D63)</f>
        <v>#N/A</v>
      </c>
      <c r="AD63" s="116" t="e">
        <f>IF($A63="",NA(),$E63)</f>
        <v>#N/A</v>
      </c>
      <c r="AF63" s="117" t="e">
        <f>IF($A63="",NA(),$A63)</f>
        <v>#N/A</v>
      </c>
      <c r="AG63" s="116" t="e">
        <f>IF($A63="",NA(),$F63)</f>
        <v>#N/A</v>
      </c>
      <c r="AI63" s="117" t="e">
        <f>IF($A63="",NA(),$A63)</f>
        <v>#N/A</v>
      </c>
      <c r="AJ63" s="116" t="e">
        <f>IF($A63="",NA(),$K63)</f>
        <v>#N/A</v>
      </c>
      <c r="AL63" s="117" t="e">
        <f>IF($A63="",NA(),$A63)</f>
        <v>#N/A</v>
      </c>
      <c r="AM63" s="116" t="e">
        <f>IF($A63="",NA(),$G63)</f>
        <v>#N/A</v>
      </c>
    </row>
    <row r="64" spans="1:39" x14ac:dyDescent="0.3">
      <c r="A64" s="95" t="str">
        <f>IF($M64="","",SUMIFS('Daily Data'!$A$4:$A$503,'Daily Data'!$B$4:$B$503,$B$3,'Daily Data'!$AK$4:$AK$503,$M64))</f>
        <v/>
      </c>
      <c r="B64" s="96" t="str">
        <f>IF($M64="","",SUMIFS('Daily Data'!$E$4:$E$503,'Daily Data'!$B$4:$B$503,$B$3,'Daily Data'!$AK$4:$AK$503,$M64))</f>
        <v/>
      </c>
      <c r="C64" s="97" t="str">
        <f>IF($M64="","",SUMIFS('Daily Data'!$H$4:$H$503,'Daily Data'!$B$4:$B$503,$B$3,'Daily Data'!$AK$4:$AK$503,$M64))</f>
        <v/>
      </c>
      <c r="D64" s="98" t="str">
        <f>IF($M64="","",SUMIFS('Daily Data'!$L$4:$L$503,'Daily Data'!$B$4:$B$503,$B$3,'Daily Data'!$AK$4:$AK$503,$M64))</f>
        <v/>
      </c>
      <c r="E64" s="98" t="str">
        <f>IF($M64="","",SUMIFS('Daily Data'!$M$4:$M$503,'Daily Data'!$B$4:$B$503,$B$3,'Daily Data'!$AK$4:$AK$503,$M64))</f>
        <v/>
      </c>
      <c r="F64" s="99" t="str">
        <f>IF($M64="","",SUMIFS('Daily Data'!$S$4:$S$503,'Daily Data'!$B$4:$B$503,$B$3,'Daily Data'!$AK$4:$AK$503,$M64))</f>
        <v/>
      </c>
      <c r="G64" s="97" t="str">
        <f>IF($M64="","",IF(COUNTIFS('Daily Data'!$B$4:$B$503,$B$3,'Daily Data'!$AK$4:$AK$503,$M64,'Daily Data'!$AA$4:$AA$503,"&gt;=-1E+300")=0,"",SUMIFS('Daily Data'!$AA$4:$AA$503,'Daily Data'!$B$4:$B$503,$B$3,'Daily Data'!$AK$4:$AK$503,$M64)))</f>
        <v/>
      </c>
      <c r="H64" s="98" t="str">
        <f>IF($M64="","",SUMIFS('Daily Data'!$K$4:$K$503,'Daily Data'!$B$4:$B$503,$B$3,'Daily Data'!$AK$4:$AK$503,$M64))</f>
        <v/>
      </c>
      <c r="I64" s="99" t="str">
        <f>IF($M64="","",IF(COUNTIFS('Daily Data'!$B$4:$B$503,$B$3,'Daily Data'!$AK$4:$AK$503,$M64,'Daily Data'!$AC$4:$AC$503,"&gt;=-1E+300")=0,"",SUMIFS('Daily Data'!$AC$4:$AC$503,'Daily Data'!$B$4:$B$503,$B$3,'Daily Data'!$AK$4:$AK$503,$M64)))</f>
        <v/>
      </c>
      <c r="J64" s="98" t="str">
        <f>IF($M64="","",SUMIFS('Daily Data'!$I$4:$I$503,'Daily Data'!$B$4:$B$503,$B$3,'Daily Data'!$AK$4:$AK$503,$M64))</f>
        <v/>
      </c>
      <c r="K64" s="100" t="str">
        <f>IF($M64="","",SUMIFS('Daily Data'!$AH$4:$AH$503,'Daily Data'!$B$4:$B$503,$B$3,'Daily Data'!$AK$4:$AK$503,$M64))</f>
        <v/>
      </c>
      <c r="L64" s="101" t="str">
        <f>IF($K64="","",IF($K64&lt;Settings!$C$46,"Extreme Sell Pressure",IF($K64&lt;Settings!$C$47,"Sell Pressure",IF($K64&lt;=Settings!$C$48,"Neutral",IF($K64&lt;=Settings!$C$49,"Buy Pressure","Extreme Buy Pressure")))))</f>
        <v/>
      </c>
      <c r="M64" s="112" t="str">
        <f>IF(COUNTIF('Daily Data'!$B$4:$B$503,$B$3)-100+ROW()-9&lt;1,"",COUNTIF('Daily Data'!$B$4:$B$503,$B$3)-100+ROW()-9)</f>
        <v/>
      </c>
      <c r="N64" s="97" t="str">
        <f>IF($M64="","",IF(COUNTIFS('Daily Data'!$B$4:$B$503,$B$3,'Daily Data'!$AK$4:$AK$503,$M64,'Daily Data'!$AD$4:$AD$503,"&gt;=-1E+300")=0,"",SUMIFS('Daily Data'!$AD$4:$AD$503,'Daily Data'!$B$4:$B$503,$B$3,'Daily Data'!$AK$4:$AK$503,$M64)))</f>
        <v/>
      </c>
      <c r="O64" s="97" t="str">
        <f>IF($M64="","",IF(COUNTIFS('Daily Data'!$B$4:$B$503,$B$3,'Daily Data'!$AK$4:$AK$503,$M64,'Daily Data'!$AE$4:$AE$503,"&gt;=-1E+300")=0,"",SUMIFS('Daily Data'!$AE$4:$AE$503,'Daily Data'!$B$4:$B$503,$B$3,'Daily Data'!$AK$4:$AK$503,$M64)))</f>
        <v/>
      </c>
      <c r="P64" s="99" t="str">
        <f>IF($M64="","",IF(COUNTIFS('Daily Data'!$B$4:$B$503,$B$3,'Daily Data'!$AK$4:$AK$503,$M64,'Daily Data'!$Z$4:$Z$503,"&gt;=-1E+300")=0,"",SUMIFS('Daily Data'!$Z$4:$Z$503,'Daily Data'!$B$4:$B$503,$B$3,'Daily Data'!$AK$4:$AK$503,$M64)))</f>
        <v/>
      </c>
      <c r="Q64" s="100" t="str">
        <f>IF($M64="","",SUMIFS('Daily Data'!$AG$4:$AG$503,'Daily Data'!$B$4:$B$503,$B$3,'Daily Data'!$AK$4:$AK$503,$M64))</f>
        <v/>
      </c>
      <c r="S64" s="117" t="e">
        <f>IF($A64="",NA(),$A64)</f>
        <v>#N/A</v>
      </c>
      <c r="T64" s="116" t="e">
        <f>IF($A64="",NA(),$B64)</f>
        <v>#N/A</v>
      </c>
      <c r="V64" s="117" t="e">
        <f>IF($A64="",NA(),$A64)</f>
        <v>#N/A</v>
      </c>
      <c r="W64" s="116" t="e">
        <f>IF($A64="",NA(),$H64)</f>
        <v>#N/A</v>
      </c>
      <c r="Y64" s="117" t="e">
        <f>IF($A64="",NA(),$A64)</f>
        <v>#N/A</v>
      </c>
      <c r="Z64" s="116" t="e">
        <f>IF($A64="",NA(),$J64)</f>
        <v>#N/A</v>
      </c>
      <c r="AB64" s="117" t="e">
        <f>IF($A64="",NA(),$A64)</f>
        <v>#N/A</v>
      </c>
      <c r="AC64" s="116" t="e">
        <f>IF($A64="",NA(),$D64)</f>
        <v>#N/A</v>
      </c>
      <c r="AD64" s="116" t="e">
        <f>IF($A64="",NA(),$E64)</f>
        <v>#N/A</v>
      </c>
      <c r="AF64" s="117" t="e">
        <f>IF($A64="",NA(),$A64)</f>
        <v>#N/A</v>
      </c>
      <c r="AG64" s="116" t="e">
        <f>IF($A64="",NA(),$F64)</f>
        <v>#N/A</v>
      </c>
      <c r="AI64" s="117" t="e">
        <f>IF($A64="",NA(),$A64)</f>
        <v>#N/A</v>
      </c>
      <c r="AJ64" s="116" t="e">
        <f>IF($A64="",NA(),$K64)</f>
        <v>#N/A</v>
      </c>
      <c r="AL64" s="117" t="e">
        <f>IF($A64="",NA(),$A64)</f>
        <v>#N/A</v>
      </c>
      <c r="AM64" s="116" t="e">
        <f>IF($A64="",NA(),$G64)</f>
        <v>#N/A</v>
      </c>
    </row>
    <row r="65" spans="1:39" x14ac:dyDescent="0.3">
      <c r="A65" s="95" t="str">
        <f>IF($M65="","",SUMIFS('Daily Data'!$A$4:$A$503,'Daily Data'!$B$4:$B$503,$B$3,'Daily Data'!$AK$4:$AK$503,$M65))</f>
        <v/>
      </c>
      <c r="B65" s="96" t="str">
        <f>IF($M65="","",SUMIFS('Daily Data'!$E$4:$E$503,'Daily Data'!$B$4:$B$503,$B$3,'Daily Data'!$AK$4:$AK$503,$M65))</f>
        <v/>
      </c>
      <c r="C65" s="97" t="str">
        <f>IF($M65="","",SUMIFS('Daily Data'!$H$4:$H$503,'Daily Data'!$B$4:$B$503,$B$3,'Daily Data'!$AK$4:$AK$503,$M65))</f>
        <v/>
      </c>
      <c r="D65" s="98" t="str">
        <f>IF($M65="","",SUMIFS('Daily Data'!$L$4:$L$503,'Daily Data'!$B$4:$B$503,$B$3,'Daily Data'!$AK$4:$AK$503,$M65))</f>
        <v/>
      </c>
      <c r="E65" s="98" t="str">
        <f>IF($M65="","",SUMIFS('Daily Data'!$M$4:$M$503,'Daily Data'!$B$4:$B$503,$B$3,'Daily Data'!$AK$4:$AK$503,$M65))</f>
        <v/>
      </c>
      <c r="F65" s="99" t="str">
        <f>IF($M65="","",SUMIFS('Daily Data'!$S$4:$S$503,'Daily Data'!$B$4:$B$503,$B$3,'Daily Data'!$AK$4:$AK$503,$M65))</f>
        <v/>
      </c>
      <c r="G65" s="97" t="str">
        <f>IF($M65="","",IF(COUNTIFS('Daily Data'!$B$4:$B$503,$B$3,'Daily Data'!$AK$4:$AK$503,$M65,'Daily Data'!$AA$4:$AA$503,"&gt;=-1E+300")=0,"",SUMIFS('Daily Data'!$AA$4:$AA$503,'Daily Data'!$B$4:$B$503,$B$3,'Daily Data'!$AK$4:$AK$503,$M65)))</f>
        <v/>
      </c>
      <c r="H65" s="98" t="str">
        <f>IF($M65="","",SUMIFS('Daily Data'!$K$4:$K$503,'Daily Data'!$B$4:$B$503,$B$3,'Daily Data'!$AK$4:$AK$503,$M65))</f>
        <v/>
      </c>
      <c r="I65" s="99" t="str">
        <f>IF($M65="","",IF(COUNTIFS('Daily Data'!$B$4:$B$503,$B$3,'Daily Data'!$AK$4:$AK$503,$M65,'Daily Data'!$AC$4:$AC$503,"&gt;=-1E+300")=0,"",SUMIFS('Daily Data'!$AC$4:$AC$503,'Daily Data'!$B$4:$B$503,$B$3,'Daily Data'!$AK$4:$AK$503,$M65)))</f>
        <v/>
      </c>
      <c r="J65" s="98" t="str">
        <f>IF($M65="","",SUMIFS('Daily Data'!$I$4:$I$503,'Daily Data'!$B$4:$B$503,$B$3,'Daily Data'!$AK$4:$AK$503,$M65))</f>
        <v/>
      </c>
      <c r="K65" s="100" t="str">
        <f>IF($M65="","",SUMIFS('Daily Data'!$AH$4:$AH$503,'Daily Data'!$B$4:$B$503,$B$3,'Daily Data'!$AK$4:$AK$503,$M65))</f>
        <v/>
      </c>
      <c r="L65" s="101" t="str">
        <f>IF($K65="","",IF($K65&lt;Settings!$C$46,"Extreme Sell Pressure",IF($K65&lt;Settings!$C$47,"Sell Pressure",IF($K65&lt;=Settings!$C$48,"Neutral",IF($K65&lt;=Settings!$C$49,"Buy Pressure","Extreme Buy Pressure")))))</f>
        <v/>
      </c>
      <c r="M65" s="112" t="str">
        <f>IF(COUNTIF('Daily Data'!$B$4:$B$503,$B$3)-100+ROW()-9&lt;1,"",COUNTIF('Daily Data'!$B$4:$B$503,$B$3)-100+ROW()-9)</f>
        <v/>
      </c>
      <c r="N65" s="97" t="str">
        <f>IF($M65="","",IF(COUNTIFS('Daily Data'!$B$4:$B$503,$B$3,'Daily Data'!$AK$4:$AK$503,$M65,'Daily Data'!$AD$4:$AD$503,"&gt;=-1E+300")=0,"",SUMIFS('Daily Data'!$AD$4:$AD$503,'Daily Data'!$B$4:$B$503,$B$3,'Daily Data'!$AK$4:$AK$503,$M65)))</f>
        <v/>
      </c>
      <c r="O65" s="97" t="str">
        <f>IF($M65="","",IF(COUNTIFS('Daily Data'!$B$4:$B$503,$B$3,'Daily Data'!$AK$4:$AK$503,$M65,'Daily Data'!$AE$4:$AE$503,"&gt;=-1E+300")=0,"",SUMIFS('Daily Data'!$AE$4:$AE$503,'Daily Data'!$B$4:$B$503,$B$3,'Daily Data'!$AK$4:$AK$503,$M65)))</f>
        <v/>
      </c>
      <c r="P65" s="99" t="str">
        <f>IF($M65="","",IF(COUNTIFS('Daily Data'!$B$4:$B$503,$B$3,'Daily Data'!$AK$4:$AK$503,$M65,'Daily Data'!$Z$4:$Z$503,"&gt;=-1E+300")=0,"",SUMIFS('Daily Data'!$Z$4:$Z$503,'Daily Data'!$B$4:$B$503,$B$3,'Daily Data'!$AK$4:$AK$503,$M65)))</f>
        <v/>
      </c>
      <c r="Q65" s="100" t="str">
        <f>IF($M65="","",SUMIFS('Daily Data'!$AG$4:$AG$503,'Daily Data'!$B$4:$B$503,$B$3,'Daily Data'!$AK$4:$AK$503,$M65))</f>
        <v/>
      </c>
      <c r="S65" s="117" t="e">
        <f>IF($A65="",NA(),$A65)</f>
        <v>#N/A</v>
      </c>
      <c r="T65" s="116" t="e">
        <f>IF($A65="",NA(),$B65)</f>
        <v>#N/A</v>
      </c>
      <c r="V65" s="117" t="e">
        <f>IF($A65="",NA(),$A65)</f>
        <v>#N/A</v>
      </c>
      <c r="W65" s="116" t="e">
        <f>IF($A65="",NA(),$H65)</f>
        <v>#N/A</v>
      </c>
      <c r="Y65" s="117" t="e">
        <f>IF($A65="",NA(),$A65)</f>
        <v>#N/A</v>
      </c>
      <c r="Z65" s="116" t="e">
        <f>IF($A65="",NA(),$J65)</f>
        <v>#N/A</v>
      </c>
      <c r="AB65" s="117" t="e">
        <f>IF($A65="",NA(),$A65)</f>
        <v>#N/A</v>
      </c>
      <c r="AC65" s="116" t="e">
        <f>IF($A65="",NA(),$D65)</f>
        <v>#N/A</v>
      </c>
      <c r="AD65" s="116" t="e">
        <f>IF($A65="",NA(),$E65)</f>
        <v>#N/A</v>
      </c>
      <c r="AF65" s="117" t="e">
        <f>IF($A65="",NA(),$A65)</f>
        <v>#N/A</v>
      </c>
      <c r="AG65" s="116" t="e">
        <f>IF($A65="",NA(),$F65)</f>
        <v>#N/A</v>
      </c>
      <c r="AI65" s="117" t="e">
        <f>IF($A65="",NA(),$A65)</f>
        <v>#N/A</v>
      </c>
      <c r="AJ65" s="116" t="e">
        <f>IF($A65="",NA(),$K65)</f>
        <v>#N/A</v>
      </c>
      <c r="AL65" s="117" t="e">
        <f>IF($A65="",NA(),$A65)</f>
        <v>#N/A</v>
      </c>
      <c r="AM65" s="116" t="e">
        <f>IF($A65="",NA(),$G65)</f>
        <v>#N/A</v>
      </c>
    </row>
    <row r="66" spans="1:39" x14ac:dyDescent="0.3">
      <c r="A66" s="95" t="str">
        <f>IF($M66="","",SUMIFS('Daily Data'!$A$4:$A$503,'Daily Data'!$B$4:$B$503,$B$3,'Daily Data'!$AK$4:$AK$503,$M66))</f>
        <v/>
      </c>
      <c r="B66" s="96" t="str">
        <f>IF($M66="","",SUMIFS('Daily Data'!$E$4:$E$503,'Daily Data'!$B$4:$B$503,$B$3,'Daily Data'!$AK$4:$AK$503,$M66))</f>
        <v/>
      </c>
      <c r="C66" s="97" t="str">
        <f>IF($M66="","",SUMIFS('Daily Data'!$H$4:$H$503,'Daily Data'!$B$4:$B$503,$B$3,'Daily Data'!$AK$4:$AK$503,$M66))</f>
        <v/>
      </c>
      <c r="D66" s="98" t="str">
        <f>IF($M66="","",SUMIFS('Daily Data'!$L$4:$L$503,'Daily Data'!$B$4:$B$503,$B$3,'Daily Data'!$AK$4:$AK$503,$M66))</f>
        <v/>
      </c>
      <c r="E66" s="98" t="str">
        <f>IF($M66="","",SUMIFS('Daily Data'!$M$4:$M$503,'Daily Data'!$B$4:$B$503,$B$3,'Daily Data'!$AK$4:$AK$503,$M66))</f>
        <v/>
      </c>
      <c r="F66" s="99" t="str">
        <f>IF($M66="","",SUMIFS('Daily Data'!$S$4:$S$503,'Daily Data'!$B$4:$B$503,$B$3,'Daily Data'!$AK$4:$AK$503,$M66))</f>
        <v/>
      </c>
      <c r="G66" s="97" t="str">
        <f>IF($M66="","",IF(COUNTIFS('Daily Data'!$B$4:$B$503,$B$3,'Daily Data'!$AK$4:$AK$503,$M66,'Daily Data'!$AA$4:$AA$503,"&gt;=-1E+300")=0,"",SUMIFS('Daily Data'!$AA$4:$AA$503,'Daily Data'!$B$4:$B$503,$B$3,'Daily Data'!$AK$4:$AK$503,$M66)))</f>
        <v/>
      </c>
      <c r="H66" s="98" t="str">
        <f>IF($M66="","",SUMIFS('Daily Data'!$K$4:$K$503,'Daily Data'!$B$4:$B$503,$B$3,'Daily Data'!$AK$4:$AK$503,$M66))</f>
        <v/>
      </c>
      <c r="I66" s="99" t="str">
        <f>IF($M66="","",IF(COUNTIFS('Daily Data'!$B$4:$B$503,$B$3,'Daily Data'!$AK$4:$AK$503,$M66,'Daily Data'!$AC$4:$AC$503,"&gt;=-1E+300")=0,"",SUMIFS('Daily Data'!$AC$4:$AC$503,'Daily Data'!$B$4:$B$503,$B$3,'Daily Data'!$AK$4:$AK$503,$M66)))</f>
        <v/>
      </c>
      <c r="J66" s="98" t="str">
        <f>IF($M66="","",SUMIFS('Daily Data'!$I$4:$I$503,'Daily Data'!$B$4:$B$503,$B$3,'Daily Data'!$AK$4:$AK$503,$M66))</f>
        <v/>
      </c>
      <c r="K66" s="100" t="str">
        <f>IF($M66="","",SUMIFS('Daily Data'!$AH$4:$AH$503,'Daily Data'!$B$4:$B$503,$B$3,'Daily Data'!$AK$4:$AK$503,$M66))</f>
        <v/>
      </c>
      <c r="L66" s="101" t="str">
        <f>IF($K66="","",IF($K66&lt;Settings!$C$46,"Extreme Sell Pressure",IF($K66&lt;Settings!$C$47,"Sell Pressure",IF($K66&lt;=Settings!$C$48,"Neutral",IF($K66&lt;=Settings!$C$49,"Buy Pressure","Extreme Buy Pressure")))))</f>
        <v/>
      </c>
      <c r="M66" s="112" t="str">
        <f>IF(COUNTIF('Daily Data'!$B$4:$B$503,$B$3)-100+ROW()-9&lt;1,"",COUNTIF('Daily Data'!$B$4:$B$503,$B$3)-100+ROW()-9)</f>
        <v/>
      </c>
      <c r="N66" s="97" t="str">
        <f>IF($M66="","",IF(COUNTIFS('Daily Data'!$B$4:$B$503,$B$3,'Daily Data'!$AK$4:$AK$503,$M66,'Daily Data'!$AD$4:$AD$503,"&gt;=-1E+300")=0,"",SUMIFS('Daily Data'!$AD$4:$AD$503,'Daily Data'!$B$4:$B$503,$B$3,'Daily Data'!$AK$4:$AK$503,$M66)))</f>
        <v/>
      </c>
      <c r="O66" s="97" t="str">
        <f>IF($M66="","",IF(COUNTIFS('Daily Data'!$B$4:$B$503,$B$3,'Daily Data'!$AK$4:$AK$503,$M66,'Daily Data'!$AE$4:$AE$503,"&gt;=-1E+300")=0,"",SUMIFS('Daily Data'!$AE$4:$AE$503,'Daily Data'!$B$4:$B$503,$B$3,'Daily Data'!$AK$4:$AK$503,$M66)))</f>
        <v/>
      </c>
      <c r="P66" s="99" t="str">
        <f>IF($M66="","",IF(COUNTIFS('Daily Data'!$B$4:$B$503,$B$3,'Daily Data'!$AK$4:$AK$503,$M66,'Daily Data'!$Z$4:$Z$503,"&gt;=-1E+300")=0,"",SUMIFS('Daily Data'!$Z$4:$Z$503,'Daily Data'!$B$4:$B$503,$B$3,'Daily Data'!$AK$4:$AK$503,$M66)))</f>
        <v/>
      </c>
      <c r="Q66" s="100" t="str">
        <f>IF($M66="","",SUMIFS('Daily Data'!$AG$4:$AG$503,'Daily Data'!$B$4:$B$503,$B$3,'Daily Data'!$AK$4:$AK$503,$M66))</f>
        <v/>
      </c>
      <c r="S66" s="117" t="e">
        <f>IF($A66="",NA(),$A66)</f>
        <v>#N/A</v>
      </c>
      <c r="T66" s="116" t="e">
        <f>IF($A66="",NA(),$B66)</f>
        <v>#N/A</v>
      </c>
      <c r="V66" s="117" t="e">
        <f>IF($A66="",NA(),$A66)</f>
        <v>#N/A</v>
      </c>
      <c r="W66" s="116" t="e">
        <f>IF($A66="",NA(),$H66)</f>
        <v>#N/A</v>
      </c>
      <c r="Y66" s="117" t="e">
        <f>IF($A66="",NA(),$A66)</f>
        <v>#N/A</v>
      </c>
      <c r="Z66" s="116" t="e">
        <f>IF($A66="",NA(),$J66)</f>
        <v>#N/A</v>
      </c>
      <c r="AB66" s="117" t="e">
        <f>IF($A66="",NA(),$A66)</f>
        <v>#N/A</v>
      </c>
      <c r="AC66" s="116" t="e">
        <f>IF($A66="",NA(),$D66)</f>
        <v>#N/A</v>
      </c>
      <c r="AD66" s="116" t="e">
        <f>IF($A66="",NA(),$E66)</f>
        <v>#N/A</v>
      </c>
      <c r="AF66" s="117" t="e">
        <f>IF($A66="",NA(),$A66)</f>
        <v>#N/A</v>
      </c>
      <c r="AG66" s="116" t="e">
        <f>IF($A66="",NA(),$F66)</f>
        <v>#N/A</v>
      </c>
      <c r="AI66" s="117" t="e">
        <f>IF($A66="",NA(),$A66)</f>
        <v>#N/A</v>
      </c>
      <c r="AJ66" s="116" t="e">
        <f>IF($A66="",NA(),$K66)</f>
        <v>#N/A</v>
      </c>
      <c r="AL66" s="117" t="e">
        <f>IF($A66="",NA(),$A66)</f>
        <v>#N/A</v>
      </c>
      <c r="AM66" s="116" t="e">
        <f>IF($A66="",NA(),$G66)</f>
        <v>#N/A</v>
      </c>
    </row>
    <row r="67" spans="1:39" x14ac:dyDescent="0.3">
      <c r="A67" s="95" t="str">
        <f>IF($M67="","",SUMIFS('Daily Data'!$A$4:$A$503,'Daily Data'!$B$4:$B$503,$B$3,'Daily Data'!$AK$4:$AK$503,$M67))</f>
        <v/>
      </c>
      <c r="B67" s="96" t="str">
        <f>IF($M67="","",SUMIFS('Daily Data'!$E$4:$E$503,'Daily Data'!$B$4:$B$503,$B$3,'Daily Data'!$AK$4:$AK$503,$M67))</f>
        <v/>
      </c>
      <c r="C67" s="97" t="str">
        <f>IF($M67="","",SUMIFS('Daily Data'!$H$4:$H$503,'Daily Data'!$B$4:$B$503,$B$3,'Daily Data'!$AK$4:$AK$503,$M67))</f>
        <v/>
      </c>
      <c r="D67" s="98" t="str">
        <f>IF($M67="","",SUMIFS('Daily Data'!$L$4:$L$503,'Daily Data'!$B$4:$B$503,$B$3,'Daily Data'!$AK$4:$AK$503,$M67))</f>
        <v/>
      </c>
      <c r="E67" s="98" t="str">
        <f>IF($M67="","",SUMIFS('Daily Data'!$M$4:$M$503,'Daily Data'!$B$4:$B$503,$B$3,'Daily Data'!$AK$4:$AK$503,$M67))</f>
        <v/>
      </c>
      <c r="F67" s="99" t="str">
        <f>IF($M67="","",SUMIFS('Daily Data'!$S$4:$S$503,'Daily Data'!$B$4:$B$503,$B$3,'Daily Data'!$AK$4:$AK$503,$M67))</f>
        <v/>
      </c>
      <c r="G67" s="97" t="str">
        <f>IF($M67="","",IF(COUNTIFS('Daily Data'!$B$4:$B$503,$B$3,'Daily Data'!$AK$4:$AK$503,$M67,'Daily Data'!$AA$4:$AA$503,"&gt;=-1E+300")=0,"",SUMIFS('Daily Data'!$AA$4:$AA$503,'Daily Data'!$B$4:$B$503,$B$3,'Daily Data'!$AK$4:$AK$503,$M67)))</f>
        <v/>
      </c>
      <c r="H67" s="98" t="str">
        <f>IF($M67="","",SUMIFS('Daily Data'!$K$4:$K$503,'Daily Data'!$B$4:$B$503,$B$3,'Daily Data'!$AK$4:$AK$503,$M67))</f>
        <v/>
      </c>
      <c r="I67" s="99" t="str">
        <f>IF($M67="","",IF(COUNTIFS('Daily Data'!$B$4:$B$503,$B$3,'Daily Data'!$AK$4:$AK$503,$M67,'Daily Data'!$AC$4:$AC$503,"&gt;=-1E+300")=0,"",SUMIFS('Daily Data'!$AC$4:$AC$503,'Daily Data'!$B$4:$B$503,$B$3,'Daily Data'!$AK$4:$AK$503,$M67)))</f>
        <v/>
      </c>
      <c r="J67" s="98" t="str">
        <f>IF($M67="","",SUMIFS('Daily Data'!$I$4:$I$503,'Daily Data'!$B$4:$B$503,$B$3,'Daily Data'!$AK$4:$AK$503,$M67))</f>
        <v/>
      </c>
      <c r="K67" s="100" t="str">
        <f>IF($M67="","",SUMIFS('Daily Data'!$AH$4:$AH$503,'Daily Data'!$B$4:$B$503,$B$3,'Daily Data'!$AK$4:$AK$503,$M67))</f>
        <v/>
      </c>
      <c r="L67" s="101" t="str">
        <f>IF($K67="","",IF($K67&lt;Settings!$C$46,"Extreme Sell Pressure",IF($K67&lt;Settings!$C$47,"Sell Pressure",IF($K67&lt;=Settings!$C$48,"Neutral",IF($K67&lt;=Settings!$C$49,"Buy Pressure","Extreme Buy Pressure")))))</f>
        <v/>
      </c>
      <c r="M67" s="112" t="str">
        <f>IF(COUNTIF('Daily Data'!$B$4:$B$503,$B$3)-100+ROW()-9&lt;1,"",COUNTIF('Daily Data'!$B$4:$B$503,$B$3)-100+ROW()-9)</f>
        <v/>
      </c>
      <c r="N67" s="97" t="str">
        <f>IF($M67="","",IF(COUNTIFS('Daily Data'!$B$4:$B$503,$B$3,'Daily Data'!$AK$4:$AK$503,$M67,'Daily Data'!$AD$4:$AD$503,"&gt;=-1E+300")=0,"",SUMIFS('Daily Data'!$AD$4:$AD$503,'Daily Data'!$B$4:$B$503,$B$3,'Daily Data'!$AK$4:$AK$503,$M67)))</f>
        <v/>
      </c>
      <c r="O67" s="97" t="str">
        <f>IF($M67="","",IF(COUNTIFS('Daily Data'!$B$4:$B$503,$B$3,'Daily Data'!$AK$4:$AK$503,$M67,'Daily Data'!$AE$4:$AE$503,"&gt;=-1E+300")=0,"",SUMIFS('Daily Data'!$AE$4:$AE$503,'Daily Data'!$B$4:$B$503,$B$3,'Daily Data'!$AK$4:$AK$503,$M67)))</f>
        <v/>
      </c>
      <c r="P67" s="99" t="str">
        <f>IF($M67="","",IF(COUNTIFS('Daily Data'!$B$4:$B$503,$B$3,'Daily Data'!$AK$4:$AK$503,$M67,'Daily Data'!$Z$4:$Z$503,"&gt;=-1E+300")=0,"",SUMIFS('Daily Data'!$Z$4:$Z$503,'Daily Data'!$B$4:$B$503,$B$3,'Daily Data'!$AK$4:$AK$503,$M67)))</f>
        <v/>
      </c>
      <c r="Q67" s="100" t="str">
        <f>IF($M67="","",SUMIFS('Daily Data'!$AG$4:$AG$503,'Daily Data'!$B$4:$B$503,$B$3,'Daily Data'!$AK$4:$AK$503,$M67))</f>
        <v/>
      </c>
      <c r="S67" s="117" t="e">
        <f>IF($A67="",NA(),$A67)</f>
        <v>#N/A</v>
      </c>
      <c r="T67" s="116" t="e">
        <f>IF($A67="",NA(),$B67)</f>
        <v>#N/A</v>
      </c>
      <c r="V67" s="117" t="e">
        <f>IF($A67="",NA(),$A67)</f>
        <v>#N/A</v>
      </c>
      <c r="W67" s="116" t="e">
        <f>IF($A67="",NA(),$H67)</f>
        <v>#N/A</v>
      </c>
      <c r="Y67" s="117" t="e">
        <f>IF($A67="",NA(),$A67)</f>
        <v>#N/A</v>
      </c>
      <c r="Z67" s="116" t="e">
        <f>IF($A67="",NA(),$J67)</f>
        <v>#N/A</v>
      </c>
      <c r="AB67" s="117" t="e">
        <f>IF($A67="",NA(),$A67)</f>
        <v>#N/A</v>
      </c>
      <c r="AC67" s="116" t="e">
        <f>IF($A67="",NA(),$D67)</f>
        <v>#N/A</v>
      </c>
      <c r="AD67" s="116" t="e">
        <f>IF($A67="",NA(),$E67)</f>
        <v>#N/A</v>
      </c>
      <c r="AF67" s="117" t="e">
        <f>IF($A67="",NA(),$A67)</f>
        <v>#N/A</v>
      </c>
      <c r="AG67" s="116" t="e">
        <f>IF($A67="",NA(),$F67)</f>
        <v>#N/A</v>
      </c>
      <c r="AI67" s="117" t="e">
        <f>IF($A67="",NA(),$A67)</f>
        <v>#N/A</v>
      </c>
      <c r="AJ67" s="116" t="e">
        <f>IF($A67="",NA(),$K67)</f>
        <v>#N/A</v>
      </c>
      <c r="AL67" s="117" t="e">
        <f>IF($A67="",NA(),$A67)</f>
        <v>#N/A</v>
      </c>
      <c r="AM67" s="116" t="e">
        <f>IF($A67="",NA(),$G67)</f>
        <v>#N/A</v>
      </c>
    </row>
    <row r="68" spans="1:39" x14ac:dyDescent="0.3">
      <c r="A68" s="95" t="str">
        <f>IF($M68="","",SUMIFS('Daily Data'!$A$4:$A$503,'Daily Data'!$B$4:$B$503,$B$3,'Daily Data'!$AK$4:$AK$503,$M68))</f>
        <v/>
      </c>
      <c r="B68" s="96" t="str">
        <f>IF($M68="","",SUMIFS('Daily Data'!$E$4:$E$503,'Daily Data'!$B$4:$B$503,$B$3,'Daily Data'!$AK$4:$AK$503,$M68))</f>
        <v/>
      </c>
      <c r="C68" s="97" t="str">
        <f>IF($M68="","",SUMIFS('Daily Data'!$H$4:$H$503,'Daily Data'!$B$4:$B$503,$B$3,'Daily Data'!$AK$4:$AK$503,$M68))</f>
        <v/>
      </c>
      <c r="D68" s="98" t="str">
        <f>IF($M68="","",SUMIFS('Daily Data'!$L$4:$L$503,'Daily Data'!$B$4:$B$503,$B$3,'Daily Data'!$AK$4:$AK$503,$M68))</f>
        <v/>
      </c>
      <c r="E68" s="98" t="str">
        <f>IF($M68="","",SUMIFS('Daily Data'!$M$4:$M$503,'Daily Data'!$B$4:$B$503,$B$3,'Daily Data'!$AK$4:$AK$503,$M68))</f>
        <v/>
      </c>
      <c r="F68" s="99" t="str">
        <f>IF($M68="","",SUMIFS('Daily Data'!$S$4:$S$503,'Daily Data'!$B$4:$B$503,$B$3,'Daily Data'!$AK$4:$AK$503,$M68))</f>
        <v/>
      </c>
      <c r="G68" s="97" t="str">
        <f>IF($M68="","",IF(COUNTIFS('Daily Data'!$B$4:$B$503,$B$3,'Daily Data'!$AK$4:$AK$503,$M68,'Daily Data'!$AA$4:$AA$503,"&gt;=-1E+300")=0,"",SUMIFS('Daily Data'!$AA$4:$AA$503,'Daily Data'!$B$4:$B$503,$B$3,'Daily Data'!$AK$4:$AK$503,$M68)))</f>
        <v/>
      </c>
      <c r="H68" s="98" t="str">
        <f>IF($M68="","",SUMIFS('Daily Data'!$K$4:$K$503,'Daily Data'!$B$4:$B$503,$B$3,'Daily Data'!$AK$4:$AK$503,$M68))</f>
        <v/>
      </c>
      <c r="I68" s="99" t="str">
        <f>IF($M68="","",IF(COUNTIFS('Daily Data'!$B$4:$B$503,$B$3,'Daily Data'!$AK$4:$AK$503,$M68,'Daily Data'!$AC$4:$AC$503,"&gt;=-1E+300")=0,"",SUMIFS('Daily Data'!$AC$4:$AC$503,'Daily Data'!$B$4:$B$503,$B$3,'Daily Data'!$AK$4:$AK$503,$M68)))</f>
        <v/>
      </c>
      <c r="J68" s="98" t="str">
        <f>IF($M68="","",SUMIFS('Daily Data'!$I$4:$I$503,'Daily Data'!$B$4:$B$503,$B$3,'Daily Data'!$AK$4:$AK$503,$M68))</f>
        <v/>
      </c>
      <c r="K68" s="100" t="str">
        <f>IF($M68="","",SUMIFS('Daily Data'!$AH$4:$AH$503,'Daily Data'!$B$4:$B$503,$B$3,'Daily Data'!$AK$4:$AK$503,$M68))</f>
        <v/>
      </c>
      <c r="L68" s="101" t="str">
        <f>IF($K68="","",IF($K68&lt;Settings!$C$46,"Extreme Sell Pressure",IF($K68&lt;Settings!$C$47,"Sell Pressure",IF($K68&lt;=Settings!$C$48,"Neutral",IF($K68&lt;=Settings!$C$49,"Buy Pressure","Extreme Buy Pressure")))))</f>
        <v/>
      </c>
      <c r="M68" s="112" t="str">
        <f>IF(COUNTIF('Daily Data'!$B$4:$B$503,$B$3)-100+ROW()-9&lt;1,"",COUNTIF('Daily Data'!$B$4:$B$503,$B$3)-100+ROW()-9)</f>
        <v/>
      </c>
      <c r="N68" s="97" t="str">
        <f>IF($M68="","",IF(COUNTIFS('Daily Data'!$B$4:$B$503,$B$3,'Daily Data'!$AK$4:$AK$503,$M68,'Daily Data'!$AD$4:$AD$503,"&gt;=-1E+300")=0,"",SUMIFS('Daily Data'!$AD$4:$AD$503,'Daily Data'!$B$4:$B$503,$B$3,'Daily Data'!$AK$4:$AK$503,$M68)))</f>
        <v/>
      </c>
      <c r="O68" s="97" t="str">
        <f>IF($M68="","",IF(COUNTIFS('Daily Data'!$B$4:$B$503,$B$3,'Daily Data'!$AK$4:$AK$503,$M68,'Daily Data'!$AE$4:$AE$503,"&gt;=-1E+300")=0,"",SUMIFS('Daily Data'!$AE$4:$AE$503,'Daily Data'!$B$4:$B$503,$B$3,'Daily Data'!$AK$4:$AK$503,$M68)))</f>
        <v/>
      </c>
      <c r="P68" s="99" t="str">
        <f>IF($M68="","",IF(COUNTIFS('Daily Data'!$B$4:$B$503,$B$3,'Daily Data'!$AK$4:$AK$503,$M68,'Daily Data'!$Z$4:$Z$503,"&gt;=-1E+300")=0,"",SUMIFS('Daily Data'!$Z$4:$Z$503,'Daily Data'!$B$4:$B$503,$B$3,'Daily Data'!$AK$4:$AK$503,$M68)))</f>
        <v/>
      </c>
      <c r="Q68" s="100" t="str">
        <f>IF($M68="","",SUMIFS('Daily Data'!$AG$4:$AG$503,'Daily Data'!$B$4:$B$503,$B$3,'Daily Data'!$AK$4:$AK$503,$M68))</f>
        <v/>
      </c>
      <c r="S68" s="117" t="e">
        <f>IF($A68="",NA(),$A68)</f>
        <v>#N/A</v>
      </c>
      <c r="T68" s="116" t="e">
        <f>IF($A68="",NA(),$B68)</f>
        <v>#N/A</v>
      </c>
      <c r="V68" s="117" t="e">
        <f>IF($A68="",NA(),$A68)</f>
        <v>#N/A</v>
      </c>
      <c r="W68" s="116" t="e">
        <f>IF($A68="",NA(),$H68)</f>
        <v>#N/A</v>
      </c>
      <c r="Y68" s="117" t="e">
        <f>IF($A68="",NA(),$A68)</f>
        <v>#N/A</v>
      </c>
      <c r="Z68" s="116" t="e">
        <f>IF($A68="",NA(),$J68)</f>
        <v>#N/A</v>
      </c>
      <c r="AB68" s="117" t="e">
        <f>IF($A68="",NA(),$A68)</f>
        <v>#N/A</v>
      </c>
      <c r="AC68" s="116" t="e">
        <f>IF($A68="",NA(),$D68)</f>
        <v>#N/A</v>
      </c>
      <c r="AD68" s="116" t="e">
        <f>IF($A68="",NA(),$E68)</f>
        <v>#N/A</v>
      </c>
      <c r="AF68" s="117" t="e">
        <f>IF($A68="",NA(),$A68)</f>
        <v>#N/A</v>
      </c>
      <c r="AG68" s="116" t="e">
        <f>IF($A68="",NA(),$F68)</f>
        <v>#N/A</v>
      </c>
      <c r="AI68" s="117" t="e">
        <f>IF($A68="",NA(),$A68)</f>
        <v>#N/A</v>
      </c>
      <c r="AJ68" s="116" t="e">
        <f>IF($A68="",NA(),$K68)</f>
        <v>#N/A</v>
      </c>
      <c r="AL68" s="117" t="e">
        <f>IF($A68="",NA(),$A68)</f>
        <v>#N/A</v>
      </c>
      <c r="AM68" s="116" t="e">
        <f>IF($A68="",NA(),$G68)</f>
        <v>#N/A</v>
      </c>
    </row>
    <row r="69" spans="1:39" x14ac:dyDescent="0.3">
      <c r="A69" s="95" t="str">
        <f>IF($M69="","",SUMIFS('Daily Data'!$A$4:$A$503,'Daily Data'!$B$4:$B$503,$B$3,'Daily Data'!$AK$4:$AK$503,$M69))</f>
        <v/>
      </c>
      <c r="B69" s="96" t="str">
        <f>IF($M69="","",SUMIFS('Daily Data'!$E$4:$E$503,'Daily Data'!$B$4:$B$503,$B$3,'Daily Data'!$AK$4:$AK$503,$M69))</f>
        <v/>
      </c>
      <c r="C69" s="97" t="str">
        <f>IF($M69="","",SUMIFS('Daily Data'!$H$4:$H$503,'Daily Data'!$B$4:$B$503,$B$3,'Daily Data'!$AK$4:$AK$503,$M69))</f>
        <v/>
      </c>
      <c r="D69" s="98" t="str">
        <f>IF($M69="","",SUMIFS('Daily Data'!$L$4:$L$503,'Daily Data'!$B$4:$B$503,$B$3,'Daily Data'!$AK$4:$AK$503,$M69))</f>
        <v/>
      </c>
      <c r="E69" s="98" t="str">
        <f>IF($M69="","",SUMIFS('Daily Data'!$M$4:$M$503,'Daily Data'!$B$4:$B$503,$B$3,'Daily Data'!$AK$4:$AK$503,$M69))</f>
        <v/>
      </c>
      <c r="F69" s="99" t="str">
        <f>IF($M69="","",SUMIFS('Daily Data'!$S$4:$S$503,'Daily Data'!$B$4:$B$503,$B$3,'Daily Data'!$AK$4:$AK$503,$M69))</f>
        <v/>
      </c>
      <c r="G69" s="97" t="str">
        <f>IF($M69="","",IF(COUNTIFS('Daily Data'!$B$4:$B$503,$B$3,'Daily Data'!$AK$4:$AK$503,$M69,'Daily Data'!$AA$4:$AA$503,"&gt;=-1E+300")=0,"",SUMIFS('Daily Data'!$AA$4:$AA$503,'Daily Data'!$B$4:$B$503,$B$3,'Daily Data'!$AK$4:$AK$503,$M69)))</f>
        <v/>
      </c>
      <c r="H69" s="98" t="str">
        <f>IF($M69="","",SUMIFS('Daily Data'!$K$4:$K$503,'Daily Data'!$B$4:$B$503,$B$3,'Daily Data'!$AK$4:$AK$503,$M69))</f>
        <v/>
      </c>
      <c r="I69" s="99" t="str">
        <f>IF($M69="","",IF(COUNTIFS('Daily Data'!$B$4:$B$503,$B$3,'Daily Data'!$AK$4:$AK$503,$M69,'Daily Data'!$AC$4:$AC$503,"&gt;=-1E+300")=0,"",SUMIFS('Daily Data'!$AC$4:$AC$503,'Daily Data'!$B$4:$B$503,$B$3,'Daily Data'!$AK$4:$AK$503,$M69)))</f>
        <v/>
      </c>
      <c r="J69" s="98" t="str">
        <f>IF($M69="","",SUMIFS('Daily Data'!$I$4:$I$503,'Daily Data'!$B$4:$B$503,$B$3,'Daily Data'!$AK$4:$AK$503,$M69))</f>
        <v/>
      </c>
      <c r="K69" s="100" t="str">
        <f>IF($M69="","",SUMIFS('Daily Data'!$AH$4:$AH$503,'Daily Data'!$B$4:$B$503,$B$3,'Daily Data'!$AK$4:$AK$503,$M69))</f>
        <v/>
      </c>
      <c r="L69" s="101" t="str">
        <f>IF($K69="","",IF($K69&lt;Settings!$C$46,"Extreme Sell Pressure",IF($K69&lt;Settings!$C$47,"Sell Pressure",IF($K69&lt;=Settings!$C$48,"Neutral",IF($K69&lt;=Settings!$C$49,"Buy Pressure","Extreme Buy Pressure")))))</f>
        <v/>
      </c>
      <c r="M69" s="112" t="str">
        <f>IF(COUNTIF('Daily Data'!$B$4:$B$503,$B$3)-100+ROW()-9&lt;1,"",COUNTIF('Daily Data'!$B$4:$B$503,$B$3)-100+ROW()-9)</f>
        <v/>
      </c>
      <c r="N69" s="97" t="str">
        <f>IF($M69="","",IF(COUNTIFS('Daily Data'!$B$4:$B$503,$B$3,'Daily Data'!$AK$4:$AK$503,$M69,'Daily Data'!$AD$4:$AD$503,"&gt;=-1E+300")=0,"",SUMIFS('Daily Data'!$AD$4:$AD$503,'Daily Data'!$B$4:$B$503,$B$3,'Daily Data'!$AK$4:$AK$503,$M69)))</f>
        <v/>
      </c>
      <c r="O69" s="97" t="str">
        <f>IF($M69="","",IF(COUNTIFS('Daily Data'!$B$4:$B$503,$B$3,'Daily Data'!$AK$4:$AK$503,$M69,'Daily Data'!$AE$4:$AE$503,"&gt;=-1E+300")=0,"",SUMIFS('Daily Data'!$AE$4:$AE$503,'Daily Data'!$B$4:$B$503,$B$3,'Daily Data'!$AK$4:$AK$503,$M69)))</f>
        <v/>
      </c>
      <c r="P69" s="99" t="str">
        <f>IF($M69="","",IF(COUNTIFS('Daily Data'!$B$4:$B$503,$B$3,'Daily Data'!$AK$4:$AK$503,$M69,'Daily Data'!$Z$4:$Z$503,"&gt;=-1E+300")=0,"",SUMIFS('Daily Data'!$Z$4:$Z$503,'Daily Data'!$B$4:$B$503,$B$3,'Daily Data'!$AK$4:$AK$503,$M69)))</f>
        <v/>
      </c>
      <c r="Q69" s="100" t="str">
        <f>IF($M69="","",SUMIFS('Daily Data'!$AG$4:$AG$503,'Daily Data'!$B$4:$B$503,$B$3,'Daily Data'!$AK$4:$AK$503,$M69))</f>
        <v/>
      </c>
      <c r="S69" s="117" t="e">
        <f>IF($A69="",NA(),$A69)</f>
        <v>#N/A</v>
      </c>
      <c r="T69" s="116" t="e">
        <f>IF($A69="",NA(),$B69)</f>
        <v>#N/A</v>
      </c>
      <c r="V69" s="117" t="e">
        <f>IF($A69="",NA(),$A69)</f>
        <v>#N/A</v>
      </c>
      <c r="W69" s="116" t="e">
        <f>IF($A69="",NA(),$H69)</f>
        <v>#N/A</v>
      </c>
      <c r="Y69" s="117" t="e">
        <f>IF($A69="",NA(),$A69)</f>
        <v>#N/A</v>
      </c>
      <c r="Z69" s="116" t="e">
        <f>IF($A69="",NA(),$J69)</f>
        <v>#N/A</v>
      </c>
      <c r="AB69" s="117" t="e">
        <f>IF($A69="",NA(),$A69)</f>
        <v>#N/A</v>
      </c>
      <c r="AC69" s="116" t="e">
        <f>IF($A69="",NA(),$D69)</f>
        <v>#N/A</v>
      </c>
      <c r="AD69" s="116" t="e">
        <f>IF($A69="",NA(),$E69)</f>
        <v>#N/A</v>
      </c>
      <c r="AF69" s="117" t="e">
        <f>IF($A69="",NA(),$A69)</f>
        <v>#N/A</v>
      </c>
      <c r="AG69" s="116" t="e">
        <f>IF($A69="",NA(),$F69)</f>
        <v>#N/A</v>
      </c>
      <c r="AI69" s="117" t="e">
        <f>IF($A69="",NA(),$A69)</f>
        <v>#N/A</v>
      </c>
      <c r="AJ69" s="116" t="e">
        <f>IF($A69="",NA(),$K69)</f>
        <v>#N/A</v>
      </c>
      <c r="AL69" s="117" t="e">
        <f>IF($A69="",NA(),$A69)</f>
        <v>#N/A</v>
      </c>
      <c r="AM69" s="116" t="e">
        <f>IF($A69="",NA(),$G69)</f>
        <v>#N/A</v>
      </c>
    </row>
    <row r="70" spans="1:39" x14ac:dyDescent="0.3">
      <c r="A70" s="95" t="str">
        <f>IF($M70="","",SUMIFS('Daily Data'!$A$4:$A$503,'Daily Data'!$B$4:$B$503,$B$3,'Daily Data'!$AK$4:$AK$503,$M70))</f>
        <v/>
      </c>
      <c r="B70" s="96" t="str">
        <f>IF($M70="","",SUMIFS('Daily Data'!$E$4:$E$503,'Daily Data'!$B$4:$B$503,$B$3,'Daily Data'!$AK$4:$AK$503,$M70))</f>
        <v/>
      </c>
      <c r="C70" s="97" t="str">
        <f>IF($M70="","",SUMIFS('Daily Data'!$H$4:$H$503,'Daily Data'!$B$4:$B$503,$B$3,'Daily Data'!$AK$4:$AK$503,$M70))</f>
        <v/>
      </c>
      <c r="D70" s="98" t="str">
        <f>IF($M70="","",SUMIFS('Daily Data'!$L$4:$L$503,'Daily Data'!$B$4:$B$503,$B$3,'Daily Data'!$AK$4:$AK$503,$M70))</f>
        <v/>
      </c>
      <c r="E70" s="98" t="str">
        <f>IF($M70="","",SUMIFS('Daily Data'!$M$4:$M$503,'Daily Data'!$B$4:$B$503,$B$3,'Daily Data'!$AK$4:$AK$503,$M70))</f>
        <v/>
      </c>
      <c r="F70" s="99" t="str">
        <f>IF($M70="","",SUMIFS('Daily Data'!$S$4:$S$503,'Daily Data'!$B$4:$B$503,$B$3,'Daily Data'!$AK$4:$AK$503,$M70))</f>
        <v/>
      </c>
      <c r="G70" s="97" t="str">
        <f>IF($M70="","",IF(COUNTIFS('Daily Data'!$B$4:$B$503,$B$3,'Daily Data'!$AK$4:$AK$503,$M70,'Daily Data'!$AA$4:$AA$503,"&gt;=-1E+300")=0,"",SUMIFS('Daily Data'!$AA$4:$AA$503,'Daily Data'!$B$4:$B$503,$B$3,'Daily Data'!$AK$4:$AK$503,$M70)))</f>
        <v/>
      </c>
      <c r="H70" s="98" t="str">
        <f>IF($M70="","",SUMIFS('Daily Data'!$K$4:$K$503,'Daily Data'!$B$4:$B$503,$B$3,'Daily Data'!$AK$4:$AK$503,$M70))</f>
        <v/>
      </c>
      <c r="I70" s="99" t="str">
        <f>IF($M70="","",IF(COUNTIFS('Daily Data'!$B$4:$B$503,$B$3,'Daily Data'!$AK$4:$AK$503,$M70,'Daily Data'!$AC$4:$AC$503,"&gt;=-1E+300")=0,"",SUMIFS('Daily Data'!$AC$4:$AC$503,'Daily Data'!$B$4:$B$503,$B$3,'Daily Data'!$AK$4:$AK$503,$M70)))</f>
        <v/>
      </c>
      <c r="J70" s="98" t="str">
        <f>IF($M70="","",SUMIFS('Daily Data'!$I$4:$I$503,'Daily Data'!$B$4:$B$503,$B$3,'Daily Data'!$AK$4:$AK$503,$M70))</f>
        <v/>
      </c>
      <c r="K70" s="100" t="str">
        <f>IF($M70="","",SUMIFS('Daily Data'!$AH$4:$AH$503,'Daily Data'!$B$4:$B$503,$B$3,'Daily Data'!$AK$4:$AK$503,$M70))</f>
        <v/>
      </c>
      <c r="L70" s="101" t="str">
        <f>IF($K70="","",IF($K70&lt;Settings!$C$46,"Extreme Sell Pressure",IF($K70&lt;Settings!$C$47,"Sell Pressure",IF($K70&lt;=Settings!$C$48,"Neutral",IF($K70&lt;=Settings!$C$49,"Buy Pressure","Extreme Buy Pressure")))))</f>
        <v/>
      </c>
      <c r="M70" s="112" t="str">
        <f>IF(COUNTIF('Daily Data'!$B$4:$B$503,$B$3)-100+ROW()-9&lt;1,"",COUNTIF('Daily Data'!$B$4:$B$503,$B$3)-100+ROW()-9)</f>
        <v/>
      </c>
      <c r="N70" s="97" t="str">
        <f>IF($M70="","",IF(COUNTIFS('Daily Data'!$B$4:$B$503,$B$3,'Daily Data'!$AK$4:$AK$503,$M70,'Daily Data'!$AD$4:$AD$503,"&gt;=-1E+300")=0,"",SUMIFS('Daily Data'!$AD$4:$AD$503,'Daily Data'!$B$4:$B$503,$B$3,'Daily Data'!$AK$4:$AK$503,$M70)))</f>
        <v/>
      </c>
      <c r="O70" s="97" t="str">
        <f>IF($M70="","",IF(COUNTIFS('Daily Data'!$B$4:$B$503,$B$3,'Daily Data'!$AK$4:$AK$503,$M70,'Daily Data'!$AE$4:$AE$503,"&gt;=-1E+300")=0,"",SUMIFS('Daily Data'!$AE$4:$AE$503,'Daily Data'!$B$4:$B$503,$B$3,'Daily Data'!$AK$4:$AK$503,$M70)))</f>
        <v/>
      </c>
      <c r="P70" s="99" t="str">
        <f>IF($M70="","",IF(COUNTIFS('Daily Data'!$B$4:$B$503,$B$3,'Daily Data'!$AK$4:$AK$503,$M70,'Daily Data'!$Z$4:$Z$503,"&gt;=-1E+300")=0,"",SUMIFS('Daily Data'!$Z$4:$Z$503,'Daily Data'!$B$4:$B$503,$B$3,'Daily Data'!$AK$4:$AK$503,$M70)))</f>
        <v/>
      </c>
      <c r="Q70" s="100" t="str">
        <f>IF($M70="","",SUMIFS('Daily Data'!$AG$4:$AG$503,'Daily Data'!$B$4:$B$503,$B$3,'Daily Data'!$AK$4:$AK$503,$M70))</f>
        <v/>
      </c>
      <c r="S70" s="117" t="e">
        <f>IF($A70="",NA(),$A70)</f>
        <v>#N/A</v>
      </c>
      <c r="T70" s="116" t="e">
        <f>IF($A70="",NA(),$B70)</f>
        <v>#N/A</v>
      </c>
      <c r="V70" s="117" t="e">
        <f>IF($A70="",NA(),$A70)</f>
        <v>#N/A</v>
      </c>
      <c r="W70" s="116" t="e">
        <f>IF($A70="",NA(),$H70)</f>
        <v>#N/A</v>
      </c>
      <c r="Y70" s="117" t="e">
        <f>IF($A70="",NA(),$A70)</f>
        <v>#N/A</v>
      </c>
      <c r="Z70" s="116" t="e">
        <f>IF($A70="",NA(),$J70)</f>
        <v>#N/A</v>
      </c>
      <c r="AB70" s="117" t="e">
        <f>IF($A70="",NA(),$A70)</f>
        <v>#N/A</v>
      </c>
      <c r="AC70" s="116" t="e">
        <f>IF($A70="",NA(),$D70)</f>
        <v>#N/A</v>
      </c>
      <c r="AD70" s="116" t="e">
        <f>IF($A70="",NA(),$E70)</f>
        <v>#N/A</v>
      </c>
      <c r="AF70" s="117" t="e">
        <f>IF($A70="",NA(),$A70)</f>
        <v>#N/A</v>
      </c>
      <c r="AG70" s="116" t="e">
        <f>IF($A70="",NA(),$F70)</f>
        <v>#N/A</v>
      </c>
      <c r="AI70" s="117" t="e">
        <f>IF($A70="",NA(),$A70)</f>
        <v>#N/A</v>
      </c>
      <c r="AJ70" s="116" t="e">
        <f>IF($A70="",NA(),$K70)</f>
        <v>#N/A</v>
      </c>
      <c r="AL70" s="117" t="e">
        <f>IF($A70="",NA(),$A70)</f>
        <v>#N/A</v>
      </c>
      <c r="AM70" s="116" t="e">
        <f>IF($A70="",NA(),$G70)</f>
        <v>#N/A</v>
      </c>
    </row>
    <row r="71" spans="1:39" x14ac:dyDescent="0.3">
      <c r="A71" s="95" t="str">
        <f>IF($M71="","",SUMIFS('Daily Data'!$A$4:$A$503,'Daily Data'!$B$4:$B$503,$B$3,'Daily Data'!$AK$4:$AK$503,$M71))</f>
        <v/>
      </c>
      <c r="B71" s="96" t="str">
        <f>IF($M71="","",SUMIFS('Daily Data'!$E$4:$E$503,'Daily Data'!$B$4:$B$503,$B$3,'Daily Data'!$AK$4:$AK$503,$M71))</f>
        <v/>
      </c>
      <c r="C71" s="97" t="str">
        <f>IF($M71="","",SUMIFS('Daily Data'!$H$4:$H$503,'Daily Data'!$B$4:$B$503,$B$3,'Daily Data'!$AK$4:$AK$503,$M71))</f>
        <v/>
      </c>
      <c r="D71" s="98" t="str">
        <f>IF($M71="","",SUMIFS('Daily Data'!$L$4:$L$503,'Daily Data'!$B$4:$B$503,$B$3,'Daily Data'!$AK$4:$AK$503,$M71))</f>
        <v/>
      </c>
      <c r="E71" s="98" t="str">
        <f>IF($M71="","",SUMIFS('Daily Data'!$M$4:$M$503,'Daily Data'!$B$4:$B$503,$B$3,'Daily Data'!$AK$4:$AK$503,$M71))</f>
        <v/>
      </c>
      <c r="F71" s="99" t="str">
        <f>IF($M71="","",SUMIFS('Daily Data'!$S$4:$S$503,'Daily Data'!$B$4:$B$503,$B$3,'Daily Data'!$AK$4:$AK$503,$M71))</f>
        <v/>
      </c>
      <c r="G71" s="97" t="str">
        <f>IF($M71="","",IF(COUNTIFS('Daily Data'!$B$4:$B$503,$B$3,'Daily Data'!$AK$4:$AK$503,$M71,'Daily Data'!$AA$4:$AA$503,"&gt;=-1E+300")=0,"",SUMIFS('Daily Data'!$AA$4:$AA$503,'Daily Data'!$B$4:$B$503,$B$3,'Daily Data'!$AK$4:$AK$503,$M71)))</f>
        <v/>
      </c>
      <c r="H71" s="98" t="str">
        <f>IF($M71="","",SUMIFS('Daily Data'!$K$4:$K$503,'Daily Data'!$B$4:$B$503,$B$3,'Daily Data'!$AK$4:$AK$503,$M71))</f>
        <v/>
      </c>
      <c r="I71" s="99" t="str">
        <f>IF($M71="","",IF(COUNTIFS('Daily Data'!$B$4:$B$503,$B$3,'Daily Data'!$AK$4:$AK$503,$M71,'Daily Data'!$AC$4:$AC$503,"&gt;=-1E+300")=0,"",SUMIFS('Daily Data'!$AC$4:$AC$503,'Daily Data'!$B$4:$B$503,$B$3,'Daily Data'!$AK$4:$AK$503,$M71)))</f>
        <v/>
      </c>
      <c r="J71" s="98" t="str">
        <f>IF($M71="","",SUMIFS('Daily Data'!$I$4:$I$503,'Daily Data'!$B$4:$B$503,$B$3,'Daily Data'!$AK$4:$AK$503,$M71))</f>
        <v/>
      </c>
      <c r="K71" s="100" t="str">
        <f>IF($M71="","",SUMIFS('Daily Data'!$AH$4:$AH$503,'Daily Data'!$B$4:$B$503,$B$3,'Daily Data'!$AK$4:$AK$503,$M71))</f>
        <v/>
      </c>
      <c r="L71" s="101" t="str">
        <f>IF($K71="","",IF($K71&lt;Settings!$C$46,"Extreme Sell Pressure",IF($K71&lt;Settings!$C$47,"Sell Pressure",IF($K71&lt;=Settings!$C$48,"Neutral",IF($K71&lt;=Settings!$C$49,"Buy Pressure","Extreme Buy Pressure")))))</f>
        <v/>
      </c>
      <c r="M71" s="112" t="str">
        <f>IF(COUNTIF('Daily Data'!$B$4:$B$503,$B$3)-100+ROW()-9&lt;1,"",COUNTIF('Daily Data'!$B$4:$B$503,$B$3)-100+ROW()-9)</f>
        <v/>
      </c>
      <c r="N71" s="97" t="str">
        <f>IF($M71="","",IF(COUNTIFS('Daily Data'!$B$4:$B$503,$B$3,'Daily Data'!$AK$4:$AK$503,$M71,'Daily Data'!$AD$4:$AD$503,"&gt;=-1E+300")=0,"",SUMIFS('Daily Data'!$AD$4:$AD$503,'Daily Data'!$B$4:$B$503,$B$3,'Daily Data'!$AK$4:$AK$503,$M71)))</f>
        <v/>
      </c>
      <c r="O71" s="97" t="str">
        <f>IF($M71="","",IF(COUNTIFS('Daily Data'!$B$4:$B$503,$B$3,'Daily Data'!$AK$4:$AK$503,$M71,'Daily Data'!$AE$4:$AE$503,"&gt;=-1E+300")=0,"",SUMIFS('Daily Data'!$AE$4:$AE$503,'Daily Data'!$B$4:$B$503,$B$3,'Daily Data'!$AK$4:$AK$503,$M71)))</f>
        <v/>
      </c>
      <c r="P71" s="99" t="str">
        <f>IF($M71="","",IF(COUNTIFS('Daily Data'!$B$4:$B$503,$B$3,'Daily Data'!$AK$4:$AK$503,$M71,'Daily Data'!$Z$4:$Z$503,"&gt;=-1E+300")=0,"",SUMIFS('Daily Data'!$Z$4:$Z$503,'Daily Data'!$B$4:$B$503,$B$3,'Daily Data'!$AK$4:$AK$503,$M71)))</f>
        <v/>
      </c>
      <c r="Q71" s="100" t="str">
        <f>IF($M71="","",SUMIFS('Daily Data'!$AG$4:$AG$503,'Daily Data'!$B$4:$B$503,$B$3,'Daily Data'!$AK$4:$AK$503,$M71))</f>
        <v/>
      </c>
      <c r="S71" s="117" t="e">
        <f>IF($A71="",NA(),$A71)</f>
        <v>#N/A</v>
      </c>
      <c r="T71" s="116" t="e">
        <f>IF($A71="",NA(),$B71)</f>
        <v>#N/A</v>
      </c>
      <c r="V71" s="117" t="e">
        <f>IF($A71="",NA(),$A71)</f>
        <v>#N/A</v>
      </c>
      <c r="W71" s="116" t="e">
        <f>IF($A71="",NA(),$H71)</f>
        <v>#N/A</v>
      </c>
      <c r="Y71" s="117" t="e">
        <f>IF($A71="",NA(),$A71)</f>
        <v>#N/A</v>
      </c>
      <c r="Z71" s="116" t="e">
        <f>IF($A71="",NA(),$J71)</f>
        <v>#N/A</v>
      </c>
      <c r="AB71" s="117" t="e">
        <f>IF($A71="",NA(),$A71)</f>
        <v>#N/A</v>
      </c>
      <c r="AC71" s="116" t="e">
        <f>IF($A71="",NA(),$D71)</f>
        <v>#N/A</v>
      </c>
      <c r="AD71" s="116" t="e">
        <f>IF($A71="",NA(),$E71)</f>
        <v>#N/A</v>
      </c>
      <c r="AF71" s="117" t="e">
        <f>IF($A71="",NA(),$A71)</f>
        <v>#N/A</v>
      </c>
      <c r="AG71" s="116" t="e">
        <f>IF($A71="",NA(),$F71)</f>
        <v>#N/A</v>
      </c>
      <c r="AI71" s="117" t="e">
        <f>IF($A71="",NA(),$A71)</f>
        <v>#N/A</v>
      </c>
      <c r="AJ71" s="116" t="e">
        <f>IF($A71="",NA(),$K71)</f>
        <v>#N/A</v>
      </c>
      <c r="AL71" s="117" t="e">
        <f>IF($A71="",NA(),$A71)</f>
        <v>#N/A</v>
      </c>
      <c r="AM71" s="116" t="e">
        <f>IF($A71="",NA(),$G71)</f>
        <v>#N/A</v>
      </c>
    </row>
    <row r="72" spans="1:39" x14ac:dyDescent="0.3">
      <c r="A72" s="95" t="str">
        <f>IF($M72="","",SUMIFS('Daily Data'!$A$4:$A$503,'Daily Data'!$B$4:$B$503,$B$3,'Daily Data'!$AK$4:$AK$503,$M72))</f>
        <v/>
      </c>
      <c r="B72" s="96" t="str">
        <f>IF($M72="","",SUMIFS('Daily Data'!$E$4:$E$503,'Daily Data'!$B$4:$B$503,$B$3,'Daily Data'!$AK$4:$AK$503,$M72))</f>
        <v/>
      </c>
      <c r="C72" s="97" t="str">
        <f>IF($M72="","",SUMIFS('Daily Data'!$H$4:$H$503,'Daily Data'!$B$4:$B$503,$B$3,'Daily Data'!$AK$4:$AK$503,$M72))</f>
        <v/>
      </c>
      <c r="D72" s="98" t="str">
        <f>IF($M72="","",SUMIFS('Daily Data'!$L$4:$L$503,'Daily Data'!$B$4:$B$503,$B$3,'Daily Data'!$AK$4:$AK$503,$M72))</f>
        <v/>
      </c>
      <c r="E72" s="98" t="str">
        <f>IF($M72="","",SUMIFS('Daily Data'!$M$4:$M$503,'Daily Data'!$B$4:$B$503,$B$3,'Daily Data'!$AK$4:$AK$503,$M72))</f>
        <v/>
      </c>
      <c r="F72" s="99" t="str">
        <f>IF($M72="","",SUMIFS('Daily Data'!$S$4:$S$503,'Daily Data'!$B$4:$B$503,$B$3,'Daily Data'!$AK$4:$AK$503,$M72))</f>
        <v/>
      </c>
      <c r="G72" s="97" t="str">
        <f>IF($M72="","",IF(COUNTIFS('Daily Data'!$B$4:$B$503,$B$3,'Daily Data'!$AK$4:$AK$503,$M72,'Daily Data'!$AA$4:$AA$503,"&gt;=-1E+300")=0,"",SUMIFS('Daily Data'!$AA$4:$AA$503,'Daily Data'!$B$4:$B$503,$B$3,'Daily Data'!$AK$4:$AK$503,$M72)))</f>
        <v/>
      </c>
      <c r="H72" s="98" t="str">
        <f>IF($M72="","",SUMIFS('Daily Data'!$K$4:$K$503,'Daily Data'!$B$4:$B$503,$B$3,'Daily Data'!$AK$4:$AK$503,$M72))</f>
        <v/>
      </c>
      <c r="I72" s="99" t="str">
        <f>IF($M72="","",IF(COUNTIFS('Daily Data'!$B$4:$B$503,$B$3,'Daily Data'!$AK$4:$AK$503,$M72,'Daily Data'!$AC$4:$AC$503,"&gt;=-1E+300")=0,"",SUMIFS('Daily Data'!$AC$4:$AC$503,'Daily Data'!$B$4:$B$503,$B$3,'Daily Data'!$AK$4:$AK$503,$M72)))</f>
        <v/>
      </c>
      <c r="J72" s="98" t="str">
        <f>IF($M72="","",SUMIFS('Daily Data'!$I$4:$I$503,'Daily Data'!$B$4:$B$503,$B$3,'Daily Data'!$AK$4:$AK$503,$M72))</f>
        <v/>
      </c>
      <c r="K72" s="100" t="str">
        <f>IF($M72="","",SUMIFS('Daily Data'!$AH$4:$AH$503,'Daily Data'!$B$4:$B$503,$B$3,'Daily Data'!$AK$4:$AK$503,$M72))</f>
        <v/>
      </c>
      <c r="L72" s="101" t="str">
        <f>IF($K72="","",IF($K72&lt;Settings!$C$46,"Extreme Sell Pressure",IF($K72&lt;Settings!$C$47,"Sell Pressure",IF($K72&lt;=Settings!$C$48,"Neutral",IF($K72&lt;=Settings!$C$49,"Buy Pressure","Extreme Buy Pressure")))))</f>
        <v/>
      </c>
      <c r="M72" s="112" t="str">
        <f>IF(COUNTIF('Daily Data'!$B$4:$B$503,$B$3)-100+ROW()-9&lt;1,"",COUNTIF('Daily Data'!$B$4:$B$503,$B$3)-100+ROW()-9)</f>
        <v/>
      </c>
      <c r="N72" s="97" t="str">
        <f>IF($M72="","",IF(COUNTIFS('Daily Data'!$B$4:$B$503,$B$3,'Daily Data'!$AK$4:$AK$503,$M72,'Daily Data'!$AD$4:$AD$503,"&gt;=-1E+300")=0,"",SUMIFS('Daily Data'!$AD$4:$AD$503,'Daily Data'!$B$4:$B$503,$B$3,'Daily Data'!$AK$4:$AK$503,$M72)))</f>
        <v/>
      </c>
      <c r="O72" s="97" t="str">
        <f>IF($M72="","",IF(COUNTIFS('Daily Data'!$B$4:$B$503,$B$3,'Daily Data'!$AK$4:$AK$503,$M72,'Daily Data'!$AE$4:$AE$503,"&gt;=-1E+300")=0,"",SUMIFS('Daily Data'!$AE$4:$AE$503,'Daily Data'!$B$4:$B$503,$B$3,'Daily Data'!$AK$4:$AK$503,$M72)))</f>
        <v/>
      </c>
      <c r="P72" s="99" t="str">
        <f>IF($M72="","",IF(COUNTIFS('Daily Data'!$B$4:$B$503,$B$3,'Daily Data'!$AK$4:$AK$503,$M72,'Daily Data'!$Z$4:$Z$503,"&gt;=-1E+300")=0,"",SUMIFS('Daily Data'!$Z$4:$Z$503,'Daily Data'!$B$4:$B$503,$B$3,'Daily Data'!$AK$4:$AK$503,$M72)))</f>
        <v/>
      </c>
      <c r="Q72" s="100" t="str">
        <f>IF($M72="","",SUMIFS('Daily Data'!$AG$4:$AG$503,'Daily Data'!$B$4:$B$503,$B$3,'Daily Data'!$AK$4:$AK$503,$M72))</f>
        <v/>
      </c>
      <c r="S72" s="117" t="e">
        <f>IF($A72="",NA(),$A72)</f>
        <v>#N/A</v>
      </c>
      <c r="T72" s="116" t="e">
        <f>IF($A72="",NA(),$B72)</f>
        <v>#N/A</v>
      </c>
      <c r="V72" s="117" t="e">
        <f>IF($A72="",NA(),$A72)</f>
        <v>#N/A</v>
      </c>
      <c r="W72" s="116" t="e">
        <f>IF($A72="",NA(),$H72)</f>
        <v>#N/A</v>
      </c>
      <c r="Y72" s="117" t="e">
        <f>IF($A72="",NA(),$A72)</f>
        <v>#N/A</v>
      </c>
      <c r="Z72" s="116" t="e">
        <f>IF($A72="",NA(),$J72)</f>
        <v>#N/A</v>
      </c>
      <c r="AB72" s="117" t="e">
        <f>IF($A72="",NA(),$A72)</f>
        <v>#N/A</v>
      </c>
      <c r="AC72" s="116" t="e">
        <f>IF($A72="",NA(),$D72)</f>
        <v>#N/A</v>
      </c>
      <c r="AD72" s="116" t="e">
        <f>IF($A72="",NA(),$E72)</f>
        <v>#N/A</v>
      </c>
      <c r="AF72" s="117" t="e">
        <f>IF($A72="",NA(),$A72)</f>
        <v>#N/A</v>
      </c>
      <c r="AG72" s="116" t="e">
        <f>IF($A72="",NA(),$F72)</f>
        <v>#N/A</v>
      </c>
      <c r="AI72" s="117" t="e">
        <f>IF($A72="",NA(),$A72)</f>
        <v>#N/A</v>
      </c>
      <c r="AJ72" s="116" t="e">
        <f>IF($A72="",NA(),$K72)</f>
        <v>#N/A</v>
      </c>
      <c r="AL72" s="117" t="e">
        <f>IF($A72="",NA(),$A72)</f>
        <v>#N/A</v>
      </c>
      <c r="AM72" s="116" t="e">
        <f>IF($A72="",NA(),$G72)</f>
        <v>#N/A</v>
      </c>
    </row>
    <row r="73" spans="1:39" x14ac:dyDescent="0.3">
      <c r="A73" s="95" t="str">
        <f>IF($M73="","",SUMIFS('Daily Data'!$A$4:$A$503,'Daily Data'!$B$4:$B$503,$B$3,'Daily Data'!$AK$4:$AK$503,$M73))</f>
        <v/>
      </c>
      <c r="B73" s="96" t="str">
        <f>IF($M73="","",SUMIFS('Daily Data'!$E$4:$E$503,'Daily Data'!$B$4:$B$503,$B$3,'Daily Data'!$AK$4:$AK$503,$M73))</f>
        <v/>
      </c>
      <c r="C73" s="97" t="str">
        <f>IF($M73="","",SUMIFS('Daily Data'!$H$4:$H$503,'Daily Data'!$B$4:$B$503,$B$3,'Daily Data'!$AK$4:$AK$503,$M73))</f>
        <v/>
      </c>
      <c r="D73" s="98" t="str">
        <f>IF($M73="","",SUMIFS('Daily Data'!$L$4:$L$503,'Daily Data'!$B$4:$B$503,$B$3,'Daily Data'!$AK$4:$AK$503,$M73))</f>
        <v/>
      </c>
      <c r="E73" s="98" t="str">
        <f>IF($M73="","",SUMIFS('Daily Data'!$M$4:$M$503,'Daily Data'!$B$4:$B$503,$B$3,'Daily Data'!$AK$4:$AK$503,$M73))</f>
        <v/>
      </c>
      <c r="F73" s="99" t="str">
        <f>IF($M73="","",SUMIFS('Daily Data'!$S$4:$S$503,'Daily Data'!$B$4:$B$503,$B$3,'Daily Data'!$AK$4:$AK$503,$M73))</f>
        <v/>
      </c>
      <c r="G73" s="97" t="str">
        <f>IF($M73="","",IF(COUNTIFS('Daily Data'!$B$4:$B$503,$B$3,'Daily Data'!$AK$4:$AK$503,$M73,'Daily Data'!$AA$4:$AA$503,"&gt;=-1E+300")=0,"",SUMIFS('Daily Data'!$AA$4:$AA$503,'Daily Data'!$B$4:$B$503,$B$3,'Daily Data'!$AK$4:$AK$503,$M73)))</f>
        <v/>
      </c>
      <c r="H73" s="98" t="str">
        <f>IF($M73="","",SUMIFS('Daily Data'!$K$4:$K$503,'Daily Data'!$B$4:$B$503,$B$3,'Daily Data'!$AK$4:$AK$503,$M73))</f>
        <v/>
      </c>
      <c r="I73" s="99" t="str">
        <f>IF($M73="","",IF(COUNTIFS('Daily Data'!$B$4:$B$503,$B$3,'Daily Data'!$AK$4:$AK$503,$M73,'Daily Data'!$AC$4:$AC$503,"&gt;=-1E+300")=0,"",SUMIFS('Daily Data'!$AC$4:$AC$503,'Daily Data'!$B$4:$B$503,$B$3,'Daily Data'!$AK$4:$AK$503,$M73)))</f>
        <v/>
      </c>
      <c r="J73" s="98" t="str">
        <f>IF($M73="","",SUMIFS('Daily Data'!$I$4:$I$503,'Daily Data'!$B$4:$B$503,$B$3,'Daily Data'!$AK$4:$AK$503,$M73))</f>
        <v/>
      </c>
      <c r="K73" s="100" t="str">
        <f>IF($M73="","",SUMIFS('Daily Data'!$AH$4:$AH$503,'Daily Data'!$B$4:$B$503,$B$3,'Daily Data'!$AK$4:$AK$503,$M73))</f>
        <v/>
      </c>
      <c r="L73" s="101" t="str">
        <f>IF($K73="","",IF($K73&lt;Settings!$C$46,"Extreme Sell Pressure",IF($K73&lt;Settings!$C$47,"Sell Pressure",IF($K73&lt;=Settings!$C$48,"Neutral",IF($K73&lt;=Settings!$C$49,"Buy Pressure","Extreme Buy Pressure")))))</f>
        <v/>
      </c>
      <c r="M73" s="112" t="str">
        <f>IF(COUNTIF('Daily Data'!$B$4:$B$503,$B$3)-100+ROW()-9&lt;1,"",COUNTIF('Daily Data'!$B$4:$B$503,$B$3)-100+ROW()-9)</f>
        <v/>
      </c>
      <c r="N73" s="97" t="str">
        <f>IF($M73="","",IF(COUNTIFS('Daily Data'!$B$4:$B$503,$B$3,'Daily Data'!$AK$4:$AK$503,$M73,'Daily Data'!$AD$4:$AD$503,"&gt;=-1E+300")=0,"",SUMIFS('Daily Data'!$AD$4:$AD$503,'Daily Data'!$B$4:$B$503,$B$3,'Daily Data'!$AK$4:$AK$503,$M73)))</f>
        <v/>
      </c>
      <c r="O73" s="97" t="str">
        <f>IF($M73="","",IF(COUNTIFS('Daily Data'!$B$4:$B$503,$B$3,'Daily Data'!$AK$4:$AK$503,$M73,'Daily Data'!$AE$4:$AE$503,"&gt;=-1E+300")=0,"",SUMIFS('Daily Data'!$AE$4:$AE$503,'Daily Data'!$B$4:$B$503,$B$3,'Daily Data'!$AK$4:$AK$503,$M73)))</f>
        <v/>
      </c>
      <c r="P73" s="99" t="str">
        <f>IF($M73="","",IF(COUNTIFS('Daily Data'!$B$4:$B$503,$B$3,'Daily Data'!$AK$4:$AK$503,$M73,'Daily Data'!$Z$4:$Z$503,"&gt;=-1E+300")=0,"",SUMIFS('Daily Data'!$Z$4:$Z$503,'Daily Data'!$B$4:$B$503,$B$3,'Daily Data'!$AK$4:$AK$503,$M73)))</f>
        <v/>
      </c>
      <c r="Q73" s="100" t="str">
        <f>IF($M73="","",SUMIFS('Daily Data'!$AG$4:$AG$503,'Daily Data'!$B$4:$B$503,$B$3,'Daily Data'!$AK$4:$AK$503,$M73))</f>
        <v/>
      </c>
      <c r="S73" s="117" t="e">
        <f>IF($A73="",NA(),$A73)</f>
        <v>#N/A</v>
      </c>
      <c r="T73" s="116" t="e">
        <f>IF($A73="",NA(),$B73)</f>
        <v>#N/A</v>
      </c>
      <c r="V73" s="117" t="e">
        <f>IF($A73="",NA(),$A73)</f>
        <v>#N/A</v>
      </c>
      <c r="W73" s="116" t="e">
        <f>IF($A73="",NA(),$H73)</f>
        <v>#N/A</v>
      </c>
      <c r="Y73" s="117" t="e">
        <f>IF($A73="",NA(),$A73)</f>
        <v>#N/A</v>
      </c>
      <c r="Z73" s="116" t="e">
        <f>IF($A73="",NA(),$J73)</f>
        <v>#N/A</v>
      </c>
      <c r="AB73" s="117" t="e">
        <f>IF($A73="",NA(),$A73)</f>
        <v>#N/A</v>
      </c>
      <c r="AC73" s="116" t="e">
        <f>IF($A73="",NA(),$D73)</f>
        <v>#N/A</v>
      </c>
      <c r="AD73" s="116" t="e">
        <f>IF($A73="",NA(),$E73)</f>
        <v>#N/A</v>
      </c>
      <c r="AF73" s="117" t="e">
        <f>IF($A73="",NA(),$A73)</f>
        <v>#N/A</v>
      </c>
      <c r="AG73" s="116" t="e">
        <f>IF($A73="",NA(),$F73)</f>
        <v>#N/A</v>
      </c>
      <c r="AI73" s="117" t="e">
        <f>IF($A73="",NA(),$A73)</f>
        <v>#N/A</v>
      </c>
      <c r="AJ73" s="116" t="e">
        <f>IF($A73="",NA(),$K73)</f>
        <v>#N/A</v>
      </c>
      <c r="AL73" s="117" t="e">
        <f>IF($A73="",NA(),$A73)</f>
        <v>#N/A</v>
      </c>
      <c r="AM73" s="116" t="e">
        <f>IF($A73="",NA(),$G73)</f>
        <v>#N/A</v>
      </c>
    </row>
    <row r="74" spans="1:39" x14ac:dyDescent="0.3">
      <c r="A74" s="95" t="str">
        <f>IF($M74="","",SUMIFS('Daily Data'!$A$4:$A$503,'Daily Data'!$B$4:$B$503,$B$3,'Daily Data'!$AK$4:$AK$503,$M74))</f>
        <v/>
      </c>
      <c r="B74" s="96" t="str">
        <f>IF($M74="","",SUMIFS('Daily Data'!$E$4:$E$503,'Daily Data'!$B$4:$B$503,$B$3,'Daily Data'!$AK$4:$AK$503,$M74))</f>
        <v/>
      </c>
      <c r="C74" s="97" t="str">
        <f>IF($M74="","",SUMIFS('Daily Data'!$H$4:$H$503,'Daily Data'!$B$4:$B$503,$B$3,'Daily Data'!$AK$4:$AK$503,$M74))</f>
        <v/>
      </c>
      <c r="D74" s="98" t="str">
        <f>IF($M74="","",SUMIFS('Daily Data'!$L$4:$L$503,'Daily Data'!$B$4:$B$503,$B$3,'Daily Data'!$AK$4:$AK$503,$M74))</f>
        <v/>
      </c>
      <c r="E74" s="98" t="str">
        <f>IF($M74="","",SUMIFS('Daily Data'!$M$4:$M$503,'Daily Data'!$B$4:$B$503,$B$3,'Daily Data'!$AK$4:$AK$503,$M74))</f>
        <v/>
      </c>
      <c r="F74" s="99" t="str">
        <f>IF($M74="","",SUMIFS('Daily Data'!$S$4:$S$503,'Daily Data'!$B$4:$B$503,$B$3,'Daily Data'!$AK$4:$AK$503,$M74))</f>
        <v/>
      </c>
      <c r="G74" s="97" t="str">
        <f>IF($M74="","",IF(COUNTIFS('Daily Data'!$B$4:$B$503,$B$3,'Daily Data'!$AK$4:$AK$503,$M74,'Daily Data'!$AA$4:$AA$503,"&gt;=-1E+300")=0,"",SUMIFS('Daily Data'!$AA$4:$AA$503,'Daily Data'!$B$4:$B$503,$B$3,'Daily Data'!$AK$4:$AK$503,$M74)))</f>
        <v/>
      </c>
      <c r="H74" s="98" t="str">
        <f>IF($M74="","",SUMIFS('Daily Data'!$K$4:$K$503,'Daily Data'!$B$4:$B$503,$B$3,'Daily Data'!$AK$4:$AK$503,$M74))</f>
        <v/>
      </c>
      <c r="I74" s="99" t="str">
        <f>IF($M74="","",IF(COUNTIFS('Daily Data'!$B$4:$B$503,$B$3,'Daily Data'!$AK$4:$AK$503,$M74,'Daily Data'!$AC$4:$AC$503,"&gt;=-1E+300")=0,"",SUMIFS('Daily Data'!$AC$4:$AC$503,'Daily Data'!$B$4:$B$503,$B$3,'Daily Data'!$AK$4:$AK$503,$M74)))</f>
        <v/>
      </c>
      <c r="J74" s="98" t="str">
        <f>IF($M74="","",SUMIFS('Daily Data'!$I$4:$I$503,'Daily Data'!$B$4:$B$503,$B$3,'Daily Data'!$AK$4:$AK$503,$M74))</f>
        <v/>
      </c>
      <c r="K74" s="100" t="str">
        <f>IF($M74="","",SUMIFS('Daily Data'!$AH$4:$AH$503,'Daily Data'!$B$4:$B$503,$B$3,'Daily Data'!$AK$4:$AK$503,$M74))</f>
        <v/>
      </c>
      <c r="L74" s="101" t="str">
        <f>IF($K74="","",IF($K74&lt;Settings!$C$46,"Extreme Sell Pressure",IF($K74&lt;Settings!$C$47,"Sell Pressure",IF($K74&lt;=Settings!$C$48,"Neutral",IF($K74&lt;=Settings!$C$49,"Buy Pressure","Extreme Buy Pressure")))))</f>
        <v/>
      </c>
      <c r="M74" s="112" t="str">
        <f>IF(COUNTIF('Daily Data'!$B$4:$B$503,$B$3)-100+ROW()-9&lt;1,"",COUNTIF('Daily Data'!$B$4:$B$503,$B$3)-100+ROW()-9)</f>
        <v/>
      </c>
      <c r="N74" s="97" t="str">
        <f>IF($M74="","",IF(COUNTIFS('Daily Data'!$B$4:$B$503,$B$3,'Daily Data'!$AK$4:$AK$503,$M74,'Daily Data'!$AD$4:$AD$503,"&gt;=-1E+300")=0,"",SUMIFS('Daily Data'!$AD$4:$AD$503,'Daily Data'!$B$4:$B$503,$B$3,'Daily Data'!$AK$4:$AK$503,$M74)))</f>
        <v/>
      </c>
      <c r="O74" s="97" t="str">
        <f>IF($M74="","",IF(COUNTIFS('Daily Data'!$B$4:$B$503,$B$3,'Daily Data'!$AK$4:$AK$503,$M74,'Daily Data'!$AE$4:$AE$503,"&gt;=-1E+300")=0,"",SUMIFS('Daily Data'!$AE$4:$AE$503,'Daily Data'!$B$4:$B$503,$B$3,'Daily Data'!$AK$4:$AK$503,$M74)))</f>
        <v/>
      </c>
      <c r="P74" s="99" t="str">
        <f>IF($M74="","",IF(COUNTIFS('Daily Data'!$B$4:$B$503,$B$3,'Daily Data'!$AK$4:$AK$503,$M74,'Daily Data'!$Z$4:$Z$503,"&gt;=-1E+300")=0,"",SUMIFS('Daily Data'!$Z$4:$Z$503,'Daily Data'!$B$4:$B$503,$B$3,'Daily Data'!$AK$4:$AK$503,$M74)))</f>
        <v/>
      </c>
      <c r="Q74" s="100" t="str">
        <f>IF($M74="","",SUMIFS('Daily Data'!$AG$4:$AG$503,'Daily Data'!$B$4:$B$503,$B$3,'Daily Data'!$AK$4:$AK$503,$M74))</f>
        <v/>
      </c>
      <c r="S74" s="117" t="e">
        <f>IF($A74="",NA(),$A74)</f>
        <v>#N/A</v>
      </c>
      <c r="T74" s="116" t="e">
        <f>IF($A74="",NA(),$B74)</f>
        <v>#N/A</v>
      </c>
      <c r="V74" s="117" t="e">
        <f>IF($A74="",NA(),$A74)</f>
        <v>#N/A</v>
      </c>
      <c r="W74" s="116" t="e">
        <f>IF($A74="",NA(),$H74)</f>
        <v>#N/A</v>
      </c>
      <c r="Y74" s="117" t="e">
        <f>IF($A74="",NA(),$A74)</f>
        <v>#N/A</v>
      </c>
      <c r="Z74" s="116" t="e">
        <f>IF($A74="",NA(),$J74)</f>
        <v>#N/A</v>
      </c>
      <c r="AB74" s="117" t="e">
        <f>IF($A74="",NA(),$A74)</f>
        <v>#N/A</v>
      </c>
      <c r="AC74" s="116" t="e">
        <f>IF($A74="",NA(),$D74)</f>
        <v>#N/A</v>
      </c>
      <c r="AD74" s="116" t="e">
        <f>IF($A74="",NA(),$E74)</f>
        <v>#N/A</v>
      </c>
      <c r="AF74" s="117" t="e">
        <f>IF($A74="",NA(),$A74)</f>
        <v>#N/A</v>
      </c>
      <c r="AG74" s="116" t="e">
        <f>IF($A74="",NA(),$F74)</f>
        <v>#N/A</v>
      </c>
      <c r="AI74" s="117" t="e">
        <f>IF($A74="",NA(),$A74)</f>
        <v>#N/A</v>
      </c>
      <c r="AJ74" s="116" t="e">
        <f>IF($A74="",NA(),$K74)</f>
        <v>#N/A</v>
      </c>
      <c r="AL74" s="117" t="e">
        <f>IF($A74="",NA(),$A74)</f>
        <v>#N/A</v>
      </c>
      <c r="AM74" s="116" t="e">
        <f>IF($A74="",NA(),$G74)</f>
        <v>#N/A</v>
      </c>
    </row>
    <row r="75" spans="1:39" x14ac:dyDescent="0.3">
      <c r="A75" s="95" t="str">
        <f>IF($M75="","",SUMIFS('Daily Data'!$A$4:$A$503,'Daily Data'!$B$4:$B$503,$B$3,'Daily Data'!$AK$4:$AK$503,$M75))</f>
        <v/>
      </c>
      <c r="B75" s="96" t="str">
        <f>IF($M75="","",SUMIFS('Daily Data'!$E$4:$E$503,'Daily Data'!$B$4:$B$503,$B$3,'Daily Data'!$AK$4:$AK$503,$M75))</f>
        <v/>
      </c>
      <c r="C75" s="97" t="str">
        <f>IF($M75="","",SUMIFS('Daily Data'!$H$4:$H$503,'Daily Data'!$B$4:$B$503,$B$3,'Daily Data'!$AK$4:$AK$503,$M75))</f>
        <v/>
      </c>
      <c r="D75" s="98" t="str">
        <f>IF($M75="","",SUMIFS('Daily Data'!$L$4:$L$503,'Daily Data'!$B$4:$B$503,$B$3,'Daily Data'!$AK$4:$AK$503,$M75))</f>
        <v/>
      </c>
      <c r="E75" s="98" t="str">
        <f>IF($M75="","",SUMIFS('Daily Data'!$M$4:$M$503,'Daily Data'!$B$4:$B$503,$B$3,'Daily Data'!$AK$4:$AK$503,$M75))</f>
        <v/>
      </c>
      <c r="F75" s="99" t="str">
        <f>IF($M75="","",SUMIFS('Daily Data'!$S$4:$S$503,'Daily Data'!$B$4:$B$503,$B$3,'Daily Data'!$AK$4:$AK$503,$M75))</f>
        <v/>
      </c>
      <c r="G75" s="97" t="str">
        <f>IF($M75="","",IF(COUNTIFS('Daily Data'!$B$4:$B$503,$B$3,'Daily Data'!$AK$4:$AK$503,$M75,'Daily Data'!$AA$4:$AA$503,"&gt;=-1E+300")=0,"",SUMIFS('Daily Data'!$AA$4:$AA$503,'Daily Data'!$B$4:$B$503,$B$3,'Daily Data'!$AK$4:$AK$503,$M75)))</f>
        <v/>
      </c>
      <c r="H75" s="98" t="str">
        <f>IF($M75="","",SUMIFS('Daily Data'!$K$4:$K$503,'Daily Data'!$B$4:$B$503,$B$3,'Daily Data'!$AK$4:$AK$503,$M75))</f>
        <v/>
      </c>
      <c r="I75" s="99" t="str">
        <f>IF($M75="","",IF(COUNTIFS('Daily Data'!$B$4:$B$503,$B$3,'Daily Data'!$AK$4:$AK$503,$M75,'Daily Data'!$AC$4:$AC$503,"&gt;=-1E+300")=0,"",SUMIFS('Daily Data'!$AC$4:$AC$503,'Daily Data'!$B$4:$B$503,$B$3,'Daily Data'!$AK$4:$AK$503,$M75)))</f>
        <v/>
      </c>
      <c r="J75" s="98" t="str">
        <f>IF($M75="","",SUMIFS('Daily Data'!$I$4:$I$503,'Daily Data'!$B$4:$B$503,$B$3,'Daily Data'!$AK$4:$AK$503,$M75))</f>
        <v/>
      </c>
      <c r="K75" s="100" t="str">
        <f>IF($M75="","",SUMIFS('Daily Data'!$AH$4:$AH$503,'Daily Data'!$B$4:$B$503,$B$3,'Daily Data'!$AK$4:$AK$503,$M75))</f>
        <v/>
      </c>
      <c r="L75" s="101" t="str">
        <f>IF($K75="","",IF($K75&lt;Settings!$C$46,"Extreme Sell Pressure",IF($K75&lt;Settings!$C$47,"Sell Pressure",IF($K75&lt;=Settings!$C$48,"Neutral",IF($K75&lt;=Settings!$C$49,"Buy Pressure","Extreme Buy Pressure")))))</f>
        <v/>
      </c>
      <c r="M75" s="112" t="str">
        <f>IF(COUNTIF('Daily Data'!$B$4:$B$503,$B$3)-100+ROW()-9&lt;1,"",COUNTIF('Daily Data'!$B$4:$B$503,$B$3)-100+ROW()-9)</f>
        <v/>
      </c>
      <c r="N75" s="97" t="str">
        <f>IF($M75="","",IF(COUNTIFS('Daily Data'!$B$4:$B$503,$B$3,'Daily Data'!$AK$4:$AK$503,$M75,'Daily Data'!$AD$4:$AD$503,"&gt;=-1E+300")=0,"",SUMIFS('Daily Data'!$AD$4:$AD$503,'Daily Data'!$B$4:$B$503,$B$3,'Daily Data'!$AK$4:$AK$503,$M75)))</f>
        <v/>
      </c>
      <c r="O75" s="97" t="str">
        <f>IF($M75="","",IF(COUNTIFS('Daily Data'!$B$4:$B$503,$B$3,'Daily Data'!$AK$4:$AK$503,$M75,'Daily Data'!$AE$4:$AE$503,"&gt;=-1E+300")=0,"",SUMIFS('Daily Data'!$AE$4:$AE$503,'Daily Data'!$B$4:$B$503,$B$3,'Daily Data'!$AK$4:$AK$503,$M75)))</f>
        <v/>
      </c>
      <c r="P75" s="99" t="str">
        <f>IF($M75="","",IF(COUNTIFS('Daily Data'!$B$4:$B$503,$B$3,'Daily Data'!$AK$4:$AK$503,$M75,'Daily Data'!$Z$4:$Z$503,"&gt;=-1E+300")=0,"",SUMIFS('Daily Data'!$Z$4:$Z$503,'Daily Data'!$B$4:$B$503,$B$3,'Daily Data'!$AK$4:$AK$503,$M75)))</f>
        <v/>
      </c>
      <c r="Q75" s="100" t="str">
        <f>IF($M75="","",SUMIFS('Daily Data'!$AG$4:$AG$503,'Daily Data'!$B$4:$B$503,$B$3,'Daily Data'!$AK$4:$AK$503,$M75))</f>
        <v/>
      </c>
      <c r="S75" s="117" t="e">
        <f>IF($A75="",NA(),$A75)</f>
        <v>#N/A</v>
      </c>
      <c r="T75" s="116" t="e">
        <f>IF($A75="",NA(),$B75)</f>
        <v>#N/A</v>
      </c>
      <c r="V75" s="117" t="e">
        <f>IF($A75="",NA(),$A75)</f>
        <v>#N/A</v>
      </c>
      <c r="W75" s="116" t="e">
        <f>IF($A75="",NA(),$H75)</f>
        <v>#N/A</v>
      </c>
      <c r="Y75" s="117" t="e">
        <f>IF($A75="",NA(),$A75)</f>
        <v>#N/A</v>
      </c>
      <c r="Z75" s="116" t="e">
        <f>IF($A75="",NA(),$J75)</f>
        <v>#N/A</v>
      </c>
      <c r="AB75" s="117" t="e">
        <f>IF($A75="",NA(),$A75)</f>
        <v>#N/A</v>
      </c>
      <c r="AC75" s="116" t="e">
        <f>IF($A75="",NA(),$D75)</f>
        <v>#N/A</v>
      </c>
      <c r="AD75" s="116" t="e">
        <f>IF($A75="",NA(),$E75)</f>
        <v>#N/A</v>
      </c>
      <c r="AF75" s="117" t="e">
        <f>IF($A75="",NA(),$A75)</f>
        <v>#N/A</v>
      </c>
      <c r="AG75" s="116" t="e">
        <f>IF($A75="",NA(),$F75)</f>
        <v>#N/A</v>
      </c>
      <c r="AI75" s="117" t="e">
        <f>IF($A75="",NA(),$A75)</f>
        <v>#N/A</v>
      </c>
      <c r="AJ75" s="116" t="e">
        <f>IF($A75="",NA(),$K75)</f>
        <v>#N/A</v>
      </c>
      <c r="AL75" s="117" t="e">
        <f>IF($A75="",NA(),$A75)</f>
        <v>#N/A</v>
      </c>
      <c r="AM75" s="116" t="e">
        <f>IF($A75="",NA(),$G75)</f>
        <v>#N/A</v>
      </c>
    </row>
    <row r="76" spans="1:39" x14ac:dyDescent="0.3">
      <c r="A76" s="95" t="str">
        <f>IF($M76="","",SUMIFS('Daily Data'!$A$4:$A$503,'Daily Data'!$B$4:$B$503,$B$3,'Daily Data'!$AK$4:$AK$503,$M76))</f>
        <v/>
      </c>
      <c r="B76" s="96" t="str">
        <f>IF($M76="","",SUMIFS('Daily Data'!$E$4:$E$503,'Daily Data'!$B$4:$B$503,$B$3,'Daily Data'!$AK$4:$AK$503,$M76))</f>
        <v/>
      </c>
      <c r="C76" s="97" t="str">
        <f>IF($M76="","",SUMIFS('Daily Data'!$H$4:$H$503,'Daily Data'!$B$4:$B$503,$B$3,'Daily Data'!$AK$4:$AK$503,$M76))</f>
        <v/>
      </c>
      <c r="D76" s="98" t="str">
        <f>IF($M76="","",SUMIFS('Daily Data'!$L$4:$L$503,'Daily Data'!$B$4:$B$503,$B$3,'Daily Data'!$AK$4:$AK$503,$M76))</f>
        <v/>
      </c>
      <c r="E76" s="98" t="str">
        <f>IF($M76="","",SUMIFS('Daily Data'!$M$4:$M$503,'Daily Data'!$B$4:$B$503,$B$3,'Daily Data'!$AK$4:$AK$503,$M76))</f>
        <v/>
      </c>
      <c r="F76" s="99" t="str">
        <f>IF($M76="","",SUMIFS('Daily Data'!$S$4:$S$503,'Daily Data'!$B$4:$B$503,$B$3,'Daily Data'!$AK$4:$AK$503,$M76))</f>
        <v/>
      </c>
      <c r="G76" s="97" t="str">
        <f>IF($M76="","",IF(COUNTIFS('Daily Data'!$B$4:$B$503,$B$3,'Daily Data'!$AK$4:$AK$503,$M76,'Daily Data'!$AA$4:$AA$503,"&gt;=-1E+300")=0,"",SUMIFS('Daily Data'!$AA$4:$AA$503,'Daily Data'!$B$4:$B$503,$B$3,'Daily Data'!$AK$4:$AK$503,$M76)))</f>
        <v/>
      </c>
      <c r="H76" s="98" t="str">
        <f>IF($M76="","",SUMIFS('Daily Data'!$K$4:$K$503,'Daily Data'!$B$4:$B$503,$B$3,'Daily Data'!$AK$4:$AK$503,$M76))</f>
        <v/>
      </c>
      <c r="I76" s="99" t="str">
        <f>IF($M76="","",IF(COUNTIFS('Daily Data'!$B$4:$B$503,$B$3,'Daily Data'!$AK$4:$AK$503,$M76,'Daily Data'!$AC$4:$AC$503,"&gt;=-1E+300")=0,"",SUMIFS('Daily Data'!$AC$4:$AC$503,'Daily Data'!$B$4:$B$503,$B$3,'Daily Data'!$AK$4:$AK$503,$M76)))</f>
        <v/>
      </c>
      <c r="J76" s="98" t="str">
        <f>IF($M76="","",SUMIFS('Daily Data'!$I$4:$I$503,'Daily Data'!$B$4:$B$503,$B$3,'Daily Data'!$AK$4:$AK$503,$M76))</f>
        <v/>
      </c>
      <c r="K76" s="100" t="str">
        <f>IF($M76="","",SUMIFS('Daily Data'!$AH$4:$AH$503,'Daily Data'!$B$4:$B$503,$B$3,'Daily Data'!$AK$4:$AK$503,$M76))</f>
        <v/>
      </c>
      <c r="L76" s="101" t="str">
        <f>IF($K76="","",IF($K76&lt;Settings!$C$46,"Extreme Sell Pressure",IF($K76&lt;Settings!$C$47,"Sell Pressure",IF($K76&lt;=Settings!$C$48,"Neutral",IF($K76&lt;=Settings!$C$49,"Buy Pressure","Extreme Buy Pressure")))))</f>
        <v/>
      </c>
      <c r="M76" s="112" t="str">
        <f>IF(COUNTIF('Daily Data'!$B$4:$B$503,$B$3)-100+ROW()-9&lt;1,"",COUNTIF('Daily Data'!$B$4:$B$503,$B$3)-100+ROW()-9)</f>
        <v/>
      </c>
      <c r="N76" s="97" t="str">
        <f>IF($M76="","",IF(COUNTIFS('Daily Data'!$B$4:$B$503,$B$3,'Daily Data'!$AK$4:$AK$503,$M76,'Daily Data'!$AD$4:$AD$503,"&gt;=-1E+300")=0,"",SUMIFS('Daily Data'!$AD$4:$AD$503,'Daily Data'!$B$4:$B$503,$B$3,'Daily Data'!$AK$4:$AK$503,$M76)))</f>
        <v/>
      </c>
      <c r="O76" s="97" t="str">
        <f>IF($M76="","",IF(COUNTIFS('Daily Data'!$B$4:$B$503,$B$3,'Daily Data'!$AK$4:$AK$503,$M76,'Daily Data'!$AE$4:$AE$503,"&gt;=-1E+300")=0,"",SUMIFS('Daily Data'!$AE$4:$AE$503,'Daily Data'!$B$4:$B$503,$B$3,'Daily Data'!$AK$4:$AK$503,$M76)))</f>
        <v/>
      </c>
      <c r="P76" s="99" t="str">
        <f>IF($M76="","",IF(COUNTIFS('Daily Data'!$B$4:$B$503,$B$3,'Daily Data'!$AK$4:$AK$503,$M76,'Daily Data'!$Z$4:$Z$503,"&gt;=-1E+300")=0,"",SUMIFS('Daily Data'!$Z$4:$Z$503,'Daily Data'!$B$4:$B$503,$B$3,'Daily Data'!$AK$4:$AK$503,$M76)))</f>
        <v/>
      </c>
      <c r="Q76" s="100" t="str">
        <f>IF($M76="","",SUMIFS('Daily Data'!$AG$4:$AG$503,'Daily Data'!$B$4:$B$503,$B$3,'Daily Data'!$AK$4:$AK$503,$M76))</f>
        <v/>
      </c>
      <c r="S76" s="117" t="e">
        <f>IF($A76="",NA(),$A76)</f>
        <v>#N/A</v>
      </c>
      <c r="T76" s="116" t="e">
        <f>IF($A76="",NA(),$B76)</f>
        <v>#N/A</v>
      </c>
      <c r="V76" s="117" t="e">
        <f>IF($A76="",NA(),$A76)</f>
        <v>#N/A</v>
      </c>
      <c r="W76" s="116" t="e">
        <f>IF($A76="",NA(),$H76)</f>
        <v>#N/A</v>
      </c>
      <c r="Y76" s="117" t="e">
        <f>IF($A76="",NA(),$A76)</f>
        <v>#N/A</v>
      </c>
      <c r="Z76" s="116" t="e">
        <f>IF($A76="",NA(),$J76)</f>
        <v>#N/A</v>
      </c>
      <c r="AB76" s="117" t="e">
        <f>IF($A76="",NA(),$A76)</f>
        <v>#N/A</v>
      </c>
      <c r="AC76" s="116" t="e">
        <f>IF($A76="",NA(),$D76)</f>
        <v>#N/A</v>
      </c>
      <c r="AD76" s="116" t="e">
        <f>IF($A76="",NA(),$E76)</f>
        <v>#N/A</v>
      </c>
      <c r="AF76" s="117" t="e">
        <f>IF($A76="",NA(),$A76)</f>
        <v>#N/A</v>
      </c>
      <c r="AG76" s="116" t="e">
        <f>IF($A76="",NA(),$F76)</f>
        <v>#N/A</v>
      </c>
      <c r="AI76" s="117" t="e">
        <f>IF($A76="",NA(),$A76)</f>
        <v>#N/A</v>
      </c>
      <c r="AJ76" s="116" t="e">
        <f>IF($A76="",NA(),$K76)</f>
        <v>#N/A</v>
      </c>
      <c r="AL76" s="117" t="e">
        <f>IF($A76="",NA(),$A76)</f>
        <v>#N/A</v>
      </c>
      <c r="AM76" s="116" t="e">
        <f>IF($A76="",NA(),$G76)</f>
        <v>#N/A</v>
      </c>
    </row>
    <row r="77" spans="1:39" x14ac:dyDescent="0.3">
      <c r="A77" s="95" t="str">
        <f>IF($M77="","",SUMIFS('Daily Data'!$A$4:$A$503,'Daily Data'!$B$4:$B$503,$B$3,'Daily Data'!$AK$4:$AK$503,$M77))</f>
        <v/>
      </c>
      <c r="B77" s="96" t="str">
        <f>IF($M77="","",SUMIFS('Daily Data'!$E$4:$E$503,'Daily Data'!$B$4:$B$503,$B$3,'Daily Data'!$AK$4:$AK$503,$M77))</f>
        <v/>
      </c>
      <c r="C77" s="97" t="str">
        <f>IF($M77="","",SUMIFS('Daily Data'!$H$4:$H$503,'Daily Data'!$B$4:$B$503,$B$3,'Daily Data'!$AK$4:$AK$503,$M77))</f>
        <v/>
      </c>
      <c r="D77" s="98" t="str">
        <f>IF($M77="","",SUMIFS('Daily Data'!$L$4:$L$503,'Daily Data'!$B$4:$B$503,$B$3,'Daily Data'!$AK$4:$AK$503,$M77))</f>
        <v/>
      </c>
      <c r="E77" s="98" t="str">
        <f>IF($M77="","",SUMIFS('Daily Data'!$M$4:$M$503,'Daily Data'!$B$4:$B$503,$B$3,'Daily Data'!$AK$4:$AK$503,$M77))</f>
        <v/>
      </c>
      <c r="F77" s="99" t="str">
        <f>IF($M77="","",SUMIFS('Daily Data'!$S$4:$S$503,'Daily Data'!$B$4:$B$503,$B$3,'Daily Data'!$AK$4:$AK$503,$M77))</f>
        <v/>
      </c>
      <c r="G77" s="97" t="str">
        <f>IF($M77="","",IF(COUNTIFS('Daily Data'!$B$4:$B$503,$B$3,'Daily Data'!$AK$4:$AK$503,$M77,'Daily Data'!$AA$4:$AA$503,"&gt;=-1E+300")=0,"",SUMIFS('Daily Data'!$AA$4:$AA$503,'Daily Data'!$B$4:$B$503,$B$3,'Daily Data'!$AK$4:$AK$503,$M77)))</f>
        <v/>
      </c>
      <c r="H77" s="98" t="str">
        <f>IF($M77="","",SUMIFS('Daily Data'!$K$4:$K$503,'Daily Data'!$B$4:$B$503,$B$3,'Daily Data'!$AK$4:$AK$503,$M77))</f>
        <v/>
      </c>
      <c r="I77" s="99" t="str">
        <f>IF($M77="","",IF(COUNTIFS('Daily Data'!$B$4:$B$503,$B$3,'Daily Data'!$AK$4:$AK$503,$M77,'Daily Data'!$AC$4:$AC$503,"&gt;=-1E+300")=0,"",SUMIFS('Daily Data'!$AC$4:$AC$503,'Daily Data'!$B$4:$B$503,$B$3,'Daily Data'!$AK$4:$AK$503,$M77)))</f>
        <v/>
      </c>
      <c r="J77" s="98" t="str">
        <f>IF($M77="","",SUMIFS('Daily Data'!$I$4:$I$503,'Daily Data'!$B$4:$B$503,$B$3,'Daily Data'!$AK$4:$AK$503,$M77))</f>
        <v/>
      </c>
      <c r="K77" s="100" t="str">
        <f>IF($M77="","",SUMIFS('Daily Data'!$AH$4:$AH$503,'Daily Data'!$B$4:$B$503,$B$3,'Daily Data'!$AK$4:$AK$503,$M77))</f>
        <v/>
      </c>
      <c r="L77" s="101" t="str">
        <f>IF($K77="","",IF($K77&lt;Settings!$C$46,"Extreme Sell Pressure",IF($K77&lt;Settings!$C$47,"Sell Pressure",IF($K77&lt;=Settings!$C$48,"Neutral",IF($K77&lt;=Settings!$C$49,"Buy Pressure","Extreme Buy Pressure")))))</f>
        <v/>
      </c>
      <c r="M77" s="112" t="str">
        <f>IF(COUNTIF('Daily Data'!$B$4:$B$503,$B$3)-100+ROW()-9&lt;1,"",COUNTIF('Daily Data'!$B$4:$B$503,$B$3)-100+ROW()-9)</f>
        <v/>
      </c>
      <c r="N77" s="97" t="str">
        <f>IF($M77="","",IF(COUNTIFS('Daily Data'!$B$4:$B$503,$B$3,'Daily Data'!$AK$4:$AK$503,$M77,'Daily Data'!$AD$4:$AD$503,"&gt;=-1E+300")=0,"",SUMIFS('Daily Data'!$AD$4:$AD$503,'Daily Data'!$B$4:$B$503,$B$3,'Daily Data'!$AK$4:$AK$503,$M77)))</f>
        <v/>
      </c>
      <c r="O77" s="97" t="str">
        <f>IF($M77="","",IF(COUNTIFS('Daily Data'!$B$4:$B$503,$B$3,'Daily Data'!$AK$4:$AK$503,$M77,'Daily Data'!$AE$4:$AE$503,"&gt;=-1E+300")=0,"",SUMIFS('Daily Data'!$AE$4:$AE$503,'Daily Data'!$B$4:$B$503,$B$3,'Daily Data'!$AK$4:$AK$503,$M77)))</f>
        <v/>
      </c>
      <c r="P77" s="99" t="str">
        <f>IF($M77="","",IF(COUNTIFS('Daily Data'!$B$4:$B$503,$B$3,'Daily Data'!$AK$4:$AK$503,$M77,'Daily Data'!$Z$4:$Z$503,"&gt;=-1E+300")=0,"",SUMIFS('Daily Data'!$Z$4:$Z$503,'Daily Data'!$B$4:$B$503,$B$3,'Daily Data'!$AK$4:$AK$503,$M77)))</f>
        <v/>
      </c>
      <c r="Q77" s="100" t="str">
        <f>IF($M77="","",SUMIFS('Daily Data'!$AG$4:$AG$503,'Daily Data'!$B$4:$B$503,$B$3,'Daily Data'!$AK$4:$AK$503,$M77))</f>
        <v/>
      </c>
      <c r="S77" s="117" t="e">
        <f>IF($A77="",NA(),$A77)</f>
        <v>#N/A</v>
      </c>
      <c r="T77" s="116" t="e">
        <f>IF($A77="",NA(),$B77)</f>
        <v>#N/A</v>
      </c>
      <c r="V77" s="117" t="e">
        <f>IF($A77="",NA(),$A77)</f>
        <v>#N/A</v>
      </c>
      <c r="W77" s="116" t="e">
        <f>IF($A77="",NA(),$H77)</f>
        <v>#N/A</v>
      </c>
      <c r="Y77" s="117" t="e">
        <f>IF($A77="",NA(),$A77)</f>
        <v>#N/A</v>
      </c>
      <c r="Z77" s="116" t="e">
        <f>IF($A77="",NA(),$J77)</f>
        <v>#N/A</v>
      </c>
      <c r="AB77" s="117" t="e">
        <f>IF($A77="",NA(),$A77)</f>
        <v>#N/A</v>
      </c>
      <c r="AC77" s="116" t="e">
        <f>IF($A77="",NA(),$D77)</f>
        <v>#N/A</v>
      </c>
      <c r="AD77" s="116" t="e">
        <f>IF($A77="",NA(),$E77)</f>
        <v>#N/A</v>
      </c>
      <c r="AF77" s="117" t="e">
        <f>IF($A77="",NA(),$A77)</f>
        <v>#N/A</v>
      </c>
      <c r="AG77" s="116" t="e">
        <f>IF($A77="",NA(),$F77)</f>
        <v>#N/A</v>
      </c>
      <c r="AI77" s="117" t="e">
        <f>IF($A77="",NA(),$A77)</f>
        <v>#N/A</v>
      </c>
      <c r="AJ77" s="116" t="e">
        <f>IF($A77="",NA(),$K77)</f>
        <v>#N/A</v>
      </c>
      <c r="AL77" s="117" t="e">
        <f>IF($A77="",NA(),$A77)</f>
        <v>#N/A</v>
      </c>
      <c r="AM77" s="116" t="e">
        <f>IF($A77="",NA(),$G77)</f>
        <v>#N/A</v>
      </c>
    </row>
    <row r="78" spans="1:39" x14ac:dyDescent="0.3">
      <c r="A78" s="95" t="str">
        <f>IF($M78="","",SUMIFS('Daily Data'!$A$4:$A$503,'Daily Data'!$B$4:$B$503,$B$3,'Daily Data'!$AK$4:$AK$503,$M78))</f>
        <v/>
      </c>
      <c r="B78" s="96" t="str">
        <f>IF($M78="","",SUMIFS('Daily Data'!$E$4:$E$503,'Daily Data'!$B$4:$B$503,$B$3,'Daily Data'!$AK$4:$AK$503,$M78))</f>
        <v/>
      </c>
      <c r="C78" s="97" t="str">
        <f>IF($M78="","",SUMIFS('Daily Data'!$H$4:$H$503,'Daily Data'!$B$4:$B$503,$B$3,'Daily Data'!$AK$4:$AK$503,$M78))</f>
        <v/>
      </c>
      <c r="D78" s="98" t="str">
        <f>IF($M78="","",SUMIFS('Daily Data'!$L$4:$L$503,'Daily Data'!$B$4:$B$503,$B$3,'Daily Data'!$AK$4:$AK$503,$M78))</f>
        <v/>
      </c>
      <c r="E78" s="98" t="str">
        <f>IF($M78="","",SUMIFS('Daily Data'!$M$4:$M$503,'Daily Data'!$B$4:$B$503,$B$3,'Daily Data'!$AK$4:$AK$503,$M78))</f>
        <v/>
      </c>
      <c r="F78" s="99" t="str">
        <f>IF($M78="","",SUMIFS('Daily Data'!$S$4:$S$503,'Daily Data'!$B$4:$B$503,$B$3,'Daily Data'!$AK$4:$AK$503,$M78))</f>
        <v/>
      </c>
      <c r="G78" s="97" t="str">
        <f>IF($M78="","",IF(COUNTIFS('Daily Data'!$B$4:$B$503,$B$3,'Daily Data'!$AK$4:$AK$503,$M78,'Daily Data'!$AA$4:$AA$503,"&gt;=-1E+300")=0,"",SUMIFS('Daily Data'!$AA$4:$AA$503,'Daily Data'!$B$4:$B$503,$B$3,'Daily Data'!$AK$4:$AK$503,$M78)))</f>
        <v/>
      </c>
      <c r="H78" s="98" t="str">
        <f>IF($M78="","",SUMIFS('Daily Data'!$K$4:$K$503,'Daily Data'!$B$4:$B$503,$B$3,'Daily Data'!$AK$4:$AK$503,$M78))</f>
        <v/>
      </c>
      <c r="I78" s="99" t="str">
        <f>IF($M78="","",IF(COUNTIFS('Daily Data'!$B$4:$B$503,$B$3,'Daily Data'!$AK$4:$AK$503,$M78,'Daily Data'!$AC$4:$AC$503,"&gt;=-1E+300")=0,"",SUMIFS('Daily Data'!$AC$4:$AC$503,'Daily Data'!$B$4:$B$503,$B$3,'Daily Data'!$AK$4:$AK$503,$M78)))</f>
        <v/>
      </c>
      <c r="J78" s="98" t="str">
        <f>IF($M78="","",SUMIFS('Daily Data'!$I$4:$I$503,'Daily Data'!$B$4:$B$503,$B$3,'Daily Data'!$AK$4:$AK$503,$M78))</f>
        <v/>
      </c>
      <c r="K78" s="100" t="str">
        <f>IF($M78="","",SUMIFS('Daily Data'!$AH$4:$AH$503,'Daily Data'!$B$4:$B$503,$B$3,'Daily Data'!$AK$4:$AK$503,$M78))</f>
        <v/>
      </c>
      <c r="L78" s="101" t="str">
        <f>IF($K78="","",IF($K78&lt;Settings!$C$46,"Extreme Sell Pressure",IF($K78&lt;Settings!$C$47,"Sell Pressure",IF($K78&lt;=Settings!$C$48,"Neutral",IF($K78&lt;=Settings!$C$49,"Buy Pressure","Extreme Buy Pressure")))))</f>
        <v/>
      </c>
      <c r="M78" s="112" t="str">
        <f>IF(COUNTIF('Daily Data'!$B$4:$B$503,$B$3)-100+ROW()-9&lt;1,"",COUNTIF('Daily Data'!$B$4:$B$503,$B$3)-100+ROW()-9)</f>
        <v/>
      </c>
      <c r="N78" s="97" t="str">
        <f>IF($M78="","",IF(COUNTIFS('Daily Data'!$B$4:$B$503,$B$3,'Daily Data'!$AK$4:$AK$503,$M78,'Daily Data'!$AD$4:$AD$503,"&gt;=-1E+300")=0,"",SUMIFS('Daily Data'!$AD$4:$AD$503,'Daily Data'!$B$4:$B$503,$B$3,'Daily Data'!$AK$4:$AK$503,$M78)))</f>
        <v/>
      </c>
      <c r="O78" s="97" t="str">
        <f>IF($M78="","",IF(COUNTIFS('Daily Data'!$B$4:$B$503,$B$3,'Daily Data'!$AK$4:$AK$503,$M78,'Daily Data'!$AE$4:$AE$503,"&gt;=-1E+300")=0,"",SUMIFS('Daily Data'!$AE$4:$AE$503,'Daily Data'!$B$4:$B$503,$B$3,'Daily Data'!$AK$4:$AK$503,$M78)))</f>
        <v/>
      </c>
      <c r="P78" s="99" t="str">
        <f>IF($M78="","",IF(COUNTIFS('Daily Data'!$B$4:$B$503,$B$3,'Daily Data'!$AK$4:$AK$503,$M78,'Daily Data'!$Z$4:$Z$503,"&gt;=-1E+300")=0,"",SUMIFS('Daily Data'!$Z$4:$Z$503,'Daily Data'!$B$4:$B$503,$B$3,'Daily Data'!$AK$4:$AK$503,$M78)))</f>
        <v/>
      </c>
      <c r="Q78" s="100" t="str">
        <f>IF($M78="","",SUMIFS('Daily Data'!$AG$4:$AG$503,'Daily Data'!$B$4:$B$503,$B$3,'Daily Data'!$AK$4:$AK$503,$M78))</f>
        <v/>
      </c>
      <c r="S78" s="117" t="e">
        <f>IF($A78="",NA(),$A78)</f>
        <v>#N/A</v>
      </c>
      <c r="T78" s="116" t="e">
        <f>IF($A78="",NA(),$B78)</f>
        <v>#N/A</v>
      </c>
      <c r="V78" s="117" t="e">
        <f>IF($A78="",NA(),$A78)</f>
        <v>#N/A</v>
      </c>
      <c r="W78" s="116" t="e">
        <f>IF($A78="",NA(),$H78)</f>
        <v>#N/A</v>
      </c>
      <c r="Y78" s="117" t="e">
        <f>IF($A78="",NA(),$A78)</f>
        <v>#N/A</v>
      </c>
      <c r="Z78" s="116" t="e">
        <f>IF($A78="",NA(),$J78)</f>
        <v>#N/A</v>
      </c>
      <c r="AB78" s="117" t="e">
        <f>IF($A78="",NA(),$A78)</f>
        <v>#N/A</v>
      </c>
      <c r="AC78" s="116" t="e">
        <f>IF($A78="",NA(),$D78)</f>
        <v>#N/A</v>
      </c>
      <c r="AD78" s="116" t="e">
        <f>IF($A78="",NA(),$E78)</f>
        <v>#N/A</v>
      </c>
      <c r="AF78" s="117" t="e">
        <f>IF($A78="",NA(),$A78)</f>
        <v>#N/A</v>
      </c>
      <c r="AG78" s="116" t="e">
        <f>IF($A78="",NA(),$F78)</f>
        <v>#N/A</v>
      </c>
      <c r="AI78" s="117" t="e">
        <f>IF($A78="",NA(),$A78)</f>
        <v>#N/A</v>
      </c>
      <c r="AJ78" s="116" t="e">
        <f>IF($A78="",NA(),$K78)</f>
        <v>#N/A</v>
      </c>
      <c r="AL78" s="117" t="e">
        <f>IF($A78="",NA(),$A78)</f>
        <v>#N/A</v>
      </c>
      <c r="AM78" s="116" t="e">
        <f>IF($A78="",NA(),$G78)</f>
        <v>#N/A</v>
      </c>
    </row>
    <row r="79" spans="1:39" x14ac:dyDescent="0.3">
      <c r="A79" s="95" t="str">
        <f>IF($M79="","",SUMIFS('Daily Data'!$A$4:$A$503,'Daily Data'!$B$4:$B$503,$B$3,'Daily Data'!$AK$4:$AK$503,$M79))</f>
        <v/>
      </c>
      <c r="B79" s="96" t="str">
        <f>IF($M79="","",SUMIFS('Daily Data'!$E$4:$E$503,'Daily Data'!$B$4:$B$503,$B$3,'Daily Data'!$AK$4:$AK$503,$M79))</f>
        <v/>
      </c>
      <c r="C79" s="97" t="str">
        <f>IF($M79="","",SUMIFS('Daily Data'!$H$4:$H$503,'Daily Data'!$B$4:$B$503,$B$3,'Daily Data'!$AK$4:$AK$503,$M79))</f>
        <v/>
      </c>
      <c r="D79" s="98" t="str">
        <f>IF($M79="","",SUMIFS('Daily Data'!$L$4:$L$503,'Daily Data'!$B$4:$B$503,$B$3,'Daily Data'!$AK$4:$AK$503,$M79))</f>
        <v/>
      </c>
      <c r="E79" s="98" t="str">
        <f>IF($M79="","",SUMIFS('Daily Data'!$M$4:$M$503,'Daily Data'!$B$4:$B$503,$B$3,'Daily Data'!$AK$4:$AK$503,$M79))</f>
        <v/>
      </c>
      <c r="F79" s="99" t="str">
        <f>IF($M79="","",SUMIFS('Daily Data'!$S$4:$S$503,'Daily Data'!$B$4:$B$503,$B$3,'Daily Data'!$AK$4:$AK$503,$M79))</f>
        <v/>
      </c>
      <c r="G79" s="97" t="str">
        <f>IF($M79="","",IF(COUNTIFS('Daily Data'!$B$4:$B$503,$B$3,'Daily Data'!$AK$4:$AK$503,$M79,'Daily Data'!$AA$4:$AA$503,"&gt;=-1E+300")=0,"",SUMIFS('Daily Data'!$AA$4:$AA$503,'Daily Data'!$B$4:$B$503,$B$3,'Daily Data'!$AK$4:$AK$503,$M79)))</f>
        <v/>
      </c>
      <c r="H79" s="98" t="str">
        <f>IF($M79="","",SUMIFS('Daily Data'!$K$4:$K$503,'Daily Data'!$B$4:$B$503,$B$3,'Daily Data'!$AK$4:$AK$503,$M79))</f>
        <v/>
      </c>
      <c r="I79" s="99" t="str">
        <f>IF($M79="","",IF(COUNTIFS('Daily Data'!$B$4:$B$503,$B$3,'Daily Data'!$AK$4:$AK$503,$M79,'Daily Data'!$AC$4:$AC$503,"&gt;=-1E+300")=0,"",SUMIFS('Daily Data'!$AC$4:$AC$503,'Daily Data'!$B$4:$B$503,$B$3,'Daily Data'!$AK$4:$AK$503,$M79)))</f>
        <v/>
      </c>
      <c r="J79" s="98" t="str">
        <f>IF($M79="","",SUMIFS('Daily Data'!$I$4:$I$503,'Daily Data'!$B$4:$B$503,$B$3,'Daily Data'!$AK$4:$AK$503,$M79))</f>
        <v/>
      </c>
      <c r="K79" s="100" t="str">
        <f>IF($M79="","",SUMIFS('Daily Data'!$AH$4:$AH$503,'Daily Data'!$B$4:$B$503,$B$3,'Daily Data'!$AK$4:$AK$503,$M79))</f>
        <v/>
      </c>
      <c r="L79" s="101" t="str">
        <f>IF($K79="","",IF($K79&lt;Settings!$C$46,"Extreme Sell Pressure",IF($K79&lt;Settings!$C$47,"Sell Pressure",IF($K79&lt;=Settings!$C$48,"Neutral",IF($K79&lt;=Settings!$C$49,"Buy Pressure","Extreme Buy Pressure")))))</f>
        <v/>
      </c>
      <c r="M79" s="112" t="str">
        <f>IF(COUNTIF('Daily Data'!$B$4:$B$503,$B$3)-100+ROW()-9&lt;1,"",COUNTIF('Daily Data'!$B$4:$B$503,$B$3)-100+ROW()-9)</f>
        <v/>
      </c>
      <c r="N79" s="97" t="str">
        <f>IF($M79="","",IF(COUNTIFS('Daily Data'!$B$4:$B$503,$B$3,'Daily Data'!$AK$4:$AK$503,$M79,'Daily Data'!$AD$4:$AD$503,"&gt;=-1E+300")=0,"",SUMIFS('Daily Data'!$AD$4:$AD$503,'Daily Data'!$B$4:$B$503,$B$3,'Daily Data'!$AK$4:$AK$503,$M79)))</f>
        <v/>
      </c>
      <c r="O79" s="97" t="str">
        <f>IF($M79="","",IF(COUNTIFS('Daily Data'!$B$4:$B$503,$B$3,'Daily Data'!$AK$4:$AK$503,$M79,'Daily Data'!$AE$4:$AE$503,"&gt;=-1E+300")=0,"",SUMIFS('Daily Data'!$AE$4:$AE$503,'Daily Data'!$B$4:$B$503,$B$3,'Daily Data'!$AK$4:$AK$503,$M79)))</f>
        <v/>
      </c>
      <c r="P79" s="99" t="str">
        <f>IF($M79="","",IF(COUNTIFS('Daily Data'!$B$4:$B$503,$B$3,'Daily Data'!$AK$4:$AK$503,$M79,'Daily Data'!$Z$4:$Z$503,"&gt;=-1E+300")=0,"",SUMIFS('Daily Data'!$Z$4:$Z$503,'Daily Data'!$B$4:$B$503,$B$3,'Daily Data'!$AK$4:$AK$503,$M79)))</f>
        <v/>
      </c>
      <c r="Q79" s="100" t="str">
        <f>IF($M79="","",SUMIFS('Daily Data'!$AG$4:$AG$503,'Daily Data'!$B$4:$B$503,$B$3,'Daily Data'!$AK$4:$AK$503,$M79))</f>
        <v/>
      </c>
      <c r="S79" s="117" t="e">
        <f>IF($A79="",NA(),$A79)</f>
        <v>#N/A</v>
      </c>
      <c r="T79" s="116" t="e">
        <f>IF($A79="",NA(),$B79)</f>
        <v>#N/A</v>
      </c>
      <c r="V79" s="117" t="e">
        <f>IF($A79="",NA(),$A79)</f>
        <v>#N/A</v>
      </c>
      <c r="W79" s="116" t="e">
        <f>IF($A79="",NA(),$H79)</f>
        <v>#N/A</v>
      </c>
      <c r="Y79" s="117" t="e">
        <f>IF($A79="",NA(),$A79)</f>
        <v>#N/A</v>
      </c>
      <c r="Z79" s="116" t="e">
        <f>IF($A79="",NA(),$J79)</f>
        <v>#N/A</v>
      </c>
      <c r="AB79" s="117" t="e">
        <f>IF($A79="",NA(),$A79)</f>
        <v>#N/A</v>
      </c>
      <c r="AC79" s="116" t="e">
        <f>IF($A79="",NA(),$D79)</f>
        <v>#N/A</v>
      </c>
      <c r="AD79" s="116" t="e">
        <f>IF($A79="",NA(),$E79)</f>
        <v>#N/A</v>
      </c>
      <c r="AF79" s="117" t="e">
        <f>IF($A79="",NA(),$A79)</f>
        <v>#N/A</v>
      </c>
      <c r="AG79" s="116" t="e">
        <f>IF($A79="",NA(),$F79)</f>
        <v>#N/A</v>
      </c>
      <c r="AI79" s="117" t="e">
        <f>IF($A79="",NA(),$A79)</f>
        <v>#N/A</v>
      </c>
      <c r="AJ79" s="116" t="e">
        <f>IF($A79="",NA(),$K79)</f>
        <v>#N/A</v>
      </c>
      <c r="AL79" s="117" t="e">
        <f>IF($A79="",NA(),$A79)</f>
        <v>#N/A</v>
      </c>
      <c r="AM79" s="116" t="e">
        <f>IF($A79="",NA(),$G79)</f>
        <v>#N/A</v>
      </c>
    </row>
    <row r="80" spans="1:39" x14ac:dyDescent="0.3">
      <c r="A80" s="95" t="str">
        <f>IF($M80="","",SUMIFS('Daily Data'!$A$4:$A$503,'Daily Data'!$B$4:$B$503,$B$3,'Daily Data'!$AK$4:$AK$503,$M80))</f>
        <v/>
      </c>
      <c r="B80" s="96" t="str">
        <f>IF($M80="","",SUMIFS('Daily Data'!$E$4:$E$503,'Daily Data'!$B$4:$B$503,$B$3,'Daily Data'!$AK$4:$AK$503,$M80))</f>
        <v/>
      </c>
      <c r="C80" s="97" t="str">
        <f>IF($M80="","",SUMIFS('Daily Data'!$H$4:$H$503,'Daily Data'!$B$4:$B$503,$B$3,'Daily Data'!$AK$4:$AK$503,$M80))</f>
        <v/>
      </c>
      <c r="D80" s="98" t="str">
        <f>IF($M80="","",SUMIFS('Daily Data'!$L$4:$L$503,'Daily Data'!$B$4:$B$503,$B$3,'Daily Data'!$AK$4:$AK$503,$M80))</f>
        <v/>
      </c>
      <c r="E80" s="98" t="str">
        <f>IF($M80="","",SUMIFS('Daily Data'!$M$4:$M$503,'Daily Data'!$B$4:$B$503,$B$3,'Daily Data'!$AK$4:$AK$503,$M80))</f>
        <v/>
      </c>
      <c r="F80" s="99" t="str">
        <f>IF($M80="","",SUMIFS('Daily Data'!$S$4:$S$503,'Daily Data'!$B$4:$B$503,$B$3,'Daily Data'!$AK$4:$AK$503,$M80))</f>
        <v/>
      </c>
      <c r="G80" s="97" t="str">
        <f>IF($M80="","",IF(COUNTIFS('Daily Data'!$B$4:$B$503,$B$3,'Daily Data'!$AK$4:$AK$503,$M80,'Daily Data'!$AA$4:$AA$503,"&gt;=-1E+300")=0,"",SUMIFS('Daily Data'!$AA$4:$AA$503,'Daily Data'!$B$4:$B$503,$B$3,'Daily Data'!$AK$4:$AK$503,$M80)))</f>
        <v/>
      </c>
      <c r="H80" s="98" t="str">
        <f>IF($M80="","",SUMIFS('Daily Data'!$K$4:$K$503,'Daily Data'!$B$4:$B$503,$B$3,'Daily Data'!$AK$4:$AK$503,$M80))</f>
        <v/>
      </c>
      <c r="I80" s="99" t="str">
        <f>IF($M80="","",IF(COUNTIFS('Daily Data'!$B$4:$B$503,$B$3,'Daily Data'!$AK$4:$AK$503,$M80,'Daily Data'!$AC$4:$AC$503,"&gt;=-1E+300")=0,"",SUMIFS('Daily Data'!$AC$4:$AC$503,'Daily Data'!$B$4:$B$503,$B$3,'Daily Data'!$AK$4:$AK$503,$M80)))</f>
        <v/>
      </c>
      <c r="J80" s="98" t="str">
        <f>IF($M80="","",SUMIFS('Daily Data'!$I$4:$I$503,'Daily Data'!$B$4:$B$503,$B$3,'Daily Data'!$AK$4:$AK$503,$M80))</f>
        <v/>
      </c>
      <c r="K80" s="100" t="str">
        <f>IF($M80="","",SUMIFS('Daily Data'!$AH$4:$AH$503,'Daily Data'!$B$4:$B$503,$B$3,'Daily Data'!$AK$4:$AK$503,$M80))</f>
        <v/>
      </c>
      <c r="L80" s="101" t="str">
        <f>IF($K80="","",IF($K80&lt;Settings!$C$46,"Extreme Sell Pressure",IF($K80&lt;Settings!$C$47,"Sell Pressure",IF($K80&lt;=Settings!$C$48,"Neutral",IF($K80&lt;=Settings!$C$49,"Buy Pressure","Extreme Buy Pressure")))))</f>
        <v/>
      </c>
      <c r="M80" s="112" t="str">
        <f>IF(COUNTIF('Daily Data'!$B$4:$B$503,$B$3)-100+ROW()-9&lt;1,"",COUNTIF('Daily Data'!$B$4:$B$503,$B$3)-100+ROW()-9)</f>
        <v/>
      </c>
      <c r="N80" s="97" t="str">
        <f>IF($M80="","",IF(COUNTIFS('Daily Data'!$B$4:$B$503,$B$3,'Daily Data'!$AK$4:$AK$503,$M80,'Daily Data'!$AD$4:$AD$503,"&gt;=-1E+300")=0,"",SUMIFS('Daily Data'!$AD$4:$AD$503,'Daily Data'!$B$4:$B$503,$B$3,'Daily Data'!$AK$4:$AK$503,$M80)))</f>
        <v/>
      </c>
      <c r="O80" s="97" t="str">
        <f>IF($M80="","",IF(COUNTIFS('Daily Data'!$B$4:$B$503,$B$3,'Daily Data'!$AK$4:$AK$503,$M80,'Daily Data'!$AE$4:$AE$503,"&gt;=-1E+300")=0,"",SUMIFS('Daily Data'!$AE$4:$AE$503,'Daily Data'!$B$4:$B$503,$B$3,'Daily Data'!$AK$4:$AK$503,$M80)))</f>
        <v/>
      </c>
      <c r="P80" s="99" t="str">
        <f>IF($M80="","",IF(COUNTIFS('Daily Data'!$B$4:$B$503,$B$3,'Daily Data'!$AK$4:$AK$503,$M80,'Daily Data'!$Z$4:$Z$503,"&gt;=-1E+300")=0,"",SUMIFS('Daily Data'!$Z$4:$Z$503,'Daily Data'!$B$4:$B$503,$B$3,'Daily Data'!$AK$4:$AK$503,$M80)))</f>
        <v/>
      </c>
      <c r="Q80" s="100" t="str">
        <f>IF($M80="","",SUMIFS('Daily Data'!$AG$4:$AG$503,'Daily Data'!$B$4:$B$503,$B$3,'Daily Data'!$AK$4:$AK$503,$M80))</f>
        <v/>
      </c>
      <c r="S80" s="117" t="e">
        <f>IF($A80="",NA(),$A80)</f>
        <v>#N/A</v>
      </c>
      <c r="T80" s="116" t="e">
        <f>IF($A80="",NA(),$B80)</f>
        <v>#N/A</v>
      </c>
      <c r="V80" s="117" t="e">
        <f>IF($A80="",NA(),$A80)</f>
        <v>#N/A</v>
      </c>
      <c r="W80" s="116" t="e">
        <f>IF($A80="",NA(),$H80)</f>
        <v>#N/A</v>
      </c>
      <c r="Y80" s="117" t="e">
        <f>IF($A80="",NA(),$A80)</f>
        <v>#N/A</v>
      </c>
      <c r="Z80" s="116" t="e">
        <f>IF($A80="",NA(),$J80)</f>
        <v>#N/A</v>
      </c>
      <c r="AB80" s="117" t="e">
        <f>IF($A80="",NA(),$A80)</f>
        <v>#N/A</v>
      </c>
      <c r="AC80" s="116" t="e">
        <f>IF($A80="",NA(),$D80)</f>
        <v>#N/A</v>
      </c>
      <c r="AD80" s="116" t="e">
        <f>IF($A80="",NA(),$E80)</f>
        <v>#N/A</v>
      </c>
      <c r="AF80" s="117" t="e">
        <f>IF($A80="",NA(),$A80)</f>
        <v>#N/A</v>
      </c>
      <c r="AG80" s="116" t="e">
        <f>IF($A80="",NA(),$F80)</f>
        <v>#N/A</v>
      </c>
      <c r="AI80" s="117" t="e">
        <f>IF($A80="",NA(),$A80)</f>
        <v>#N/A</v>
      </c>
      <c r="AJ80" s="116" t="e">
        <f>IF($A80="",NA(),$K80)</f>
        <v>#N/A</v>
      </c>
      <c r="AL80" s="117" t="e">
        <f>IF($A80="",NA(),$A80)</f>
        <v>#N/A</v>
      </c>
      <c r="AM80" s="116" t="e">
        <f>IF($A80="",NA(),$G80)</f>
        <v>#N/A</v>
      </c>
    </row>
    <row r="81" spans="1:39" x14ac:dyDescent="0.3">
      <c r="A81" s="95" t="str">
        <f>IF($M81="","",SUMIFS('Daily Data'!$A$4:$A$503,'Daily Data'!$B$4:$B$503,$B$3,'Daily Data'!$AK$4:$AK$503,$M81))</f>
        <v/>
      </c>
      <c r="B81" s="96" t="str">
        <f>IF($M81="","",SUMIFS('Daily Data'!$E$4:$E$503,'Daily Data'!$B$4:$B$503,$B$3,'Daily Data'!$AK$4:$AK$503,$M81))</f>
        <v/>
      </c>
      <c r="C81" s="97" t="str">
        <f>IF($M81="","",SUMIFS('Daily Data'!$H$4:$H$503,'Daily Data'!$B$4:$B$503,$B$3,'Daily Data'!$AK$4:$AK$503,$M81))</f>
        <v/>
      </c>
      <c r="D81" s="98" t="str">
        <f>IF($M81="","",SUMIFS('Daily Data'!$L$4:$L$503,'Daily Data'!$B$4:$B$503,$B$3,'Daily Data'!$AK$4:$AK$503,$M81))</f>
        <v/>
      </c>
      <c r="E81" s="98" t="str">
        <f>IF($M81="","",SUMIFS('Daily Data'!$M$4:$M$503,'Daily Data'!$B$4:$B$503,$B$3,'Daily Data'!$AK$4:$AK$503,$M81))</f>
        <v/>
      </c>
      <c r="F81" s="99" t="str">
        <f>IF($M81="","",SUMIFS('Daily Data'!$S$4:$S$503,'Daily Data'!$B$4:$B$503,$B$3,'Daily Data'!$AK$4:$AK$503,$M81))</f>
        <v/>
      </c>
      <c r="G81" s="97" t="str">
        <f>IF($M81="","",IF(COUNTIFS('Daily Data'!$B$4:$B$503,$B$3,'Daily Data'!$AK$4:$AK$503,$M81,'Daily Data'!$AA$4:$AA$503,"&gt;=-1E+300")=0,"",SUMIFS('Daily Data'!$AA$4:$AA$503,'Daily Data'!$B$4:$B$503,$B$3,'Daily Data'!$AK$4:$AK$503,$M81)))</f>
        <v/>
      </c>
      <c r="H81" s="98" t="str">
        <f>IF($M81="","",SUMIFS('Daily Data'!$K$4:$K$503,'Daily Data'!$B$4:$B$503,$B$3,'Daily Data'!$AK$4:$AK$503,$M81))</f>
        <v/>
      </c>
      <c r="I81" s="99" t="str">
        <f>IF($M81="","",IF(COUNTIFS('Daily Data'!$B$4:$B$503,$B$3,'Daily Data'!$AK$4:$AK$503,$M81,'Daily Data'!$AC$4:$AC$503,"&gt;=-1E+300")=0,"",SUMIFS('Daily Data'!$AC$4:$AC$503,'Daily Data'!$B$4:$B$503,$B$3,'Daily Data'!$AK$4:$AK$503,$M81)))</f>
        <v/>
      </c>
      <c r="J81" s="98" t="str">
        <f>IF($M81="","",SUMIFS('Daily Data'!$I$4:$I$503,'Daily Data'!$B$4:$B$503,$B$3,'Daily Data'!$AK$4:$AK$503,$M81))</f>
        <v/>
      </c>
      <c r="K81" s="100" t="str">
        <f>IF($M81="","",SUMIFS('Daily Data'!$AH$4:$AH$503,'Daily Data'!$B$4:$B$503,$B$3,'Daily Data'!$AK$4:$AK$503,$M81))</f>
        <v/>
      </c>
      <c r="L81" s="101" t="str">
        <f>IF($K81="","",IF($K81&lt;Settings!$C$46,"Extreme Sell Pressure",IF($K81&lt;Settings!$C$47,"Sell Pressure",IF($K81&lt;=Settings!$C$48,"Neutral",IF($K81&lt;=Settings!$C$49,"Buy Pressure","Extreme Buy Pressure")))))</f>
        <v/>
      </c>
      <c r="M81" s="112" t="str">
        <f>IF(COUNTIF('Daily Data'!$B$4:$B$503,$B$3)-100+ROW()-9&lt;1,"",COUNTIF('Daily Data'!$B$4:$B$503,$B$3)-100+ROW()-9)</f>
        <v/>
      </c>
      <c r="N81" s="97" t="str">
        <f>IF($M81="","",IF(COUNTIFS('Daily Data'!$B$4:$B$503,$B$3,'Daily Data'!$AK$4:$AK$503,$M81,'Daily Data'!$AD$4:$AD$503,"&gt;=-1E+300")=0,"",SUMIFS('Daily Data'!$AD$4:$AD$503,'Daily Data'!$B$4:$B$503,$B$3,'Daily Data'!$AK$4:$AK$503,$M81)))</f>
        <v/>
      </c>
      <c r="O81" s="97" t="str">
        <f>IF($M81="","",IF(COUNTIFS('Daily Data'!$B$4:$B$503,$B$3,'Daily Data'!$AK$4:$AK$503,$M81,'Daily Data'!$AE$4:$AE$503,"&gt;=-1E+300")=0,"",SUMIFS('Daily Data'!$AE$4:$AE$503,'Daily Data'!$B$4:$B$503,$B$3,'Daily Data'!$AK$4:$AK$503,$M81)))</f>
        <v/>
      </c>
      <c r="P81" s="99" t="str">
        <f>IF($M81="","",IF(COUNTIFS('Daily Data'!$B$4:$B$503,$B$3,'Daily Data'!$AK$4:$AK$503,$M81,'Daily Data'!$Z$4:$Z$503,"&gt;=-1E+300")=0,"",SUMIFS('Daily Data'!$Z$4:$Z$503,'Daily Data'!$B$4:$B$503,$B$3,'Daily Data'!$AK$4:$AK$503,$M81)))</f>
        <v/>
      </c>
      <c r="Q81" s="100" t="str">
        <f>IF($M81="","",SUMIFS('Daily Data'!$AG$4:$AG$503,'Daily Data'!$B$4:$B$503,$B$3,'Daily Data'!$AK$4:$AK$503,$M81))</f>
        <v/>
      </c>
      <c r="S81" s="117" t="e">
        <f>IF($A81="",NA(),$A81)</f>
        <v>#N/A</v>
      </c>
      <c r="T81" s="116" t="e">
        <f>IF($A81="",NA(),$B81)</f>
        <v>#N/A</v>
      </c>
      <c r="V81" s="117" t="e">
        <f>IF($A81="",NA(),$A81)</f>
        <v>#N/A</v>
      </c>
      <c r="W81" s="116" t="e">
        <f>IF($A81="",NA(),$H81)</f>
        <v>#N/A</v>
      </c>
      <c r="Y81" s="117" t="e">
        <f>IF($A81="",NA(),$A81)</f>
        <v>#N/A</v>
      </c>
      <c r="Z81" s="116" t="e">
        <f>IF($A81="",NA(),$J81)</f>
        <v>#N/A</v>
      </c>
      <c r="AB81" s="117" t="e">
        <f>IF($A81="",NA(),$A81)</f>
        <v>#N/A</v>
      </c>
      <c r="AC81" s="116" t="e">
        <f>IF($A81="",NA(),$D81)</f>
        <v>#N/A</v>
      </c>
      <c r="AD81" s="116" t="e">
        <f>IF($A81="",NA(),$E81)</f>
        <v>#N/A</v>
      </c>
      <c r="AF81" s="117" t="e">
        <f>IF($A81="",NA(),$A81)</f>
        <v>#N/A</v>
      </c>
      <c r="AG81" s="116" t="e">
        <f>IF($A81="",NA(),$F81)</f>
        <v>#N/A</v>
      </c>
      <c r="AI81" s="117" t="e">
        <f>IF($A81="",NA(),$A81)</f>
        <v>#N/A</v>
      </c>
      <c r="AJ81" s="116" t="e">
        <f>IF($A81="",NA(),$K81)</f>
        <v>#N/A</v>
      </c>
      <c r="AL81" s="117" t="e">
        <f>IF($A81="",NA(),$A81)</f>
        <v>#N/A</v>
      </c>
      <c r="AM81" s="116" t="e">
        <f>IF($A81="",NA(),$G81)</f>
        <v>#N/A</v>
      </c>
    </row>
    <row r="82" spans="1:39" x14ac:dyDescent="0.3">
      <c r="A82" s="95" t="str">
        <f>IF($M82="","",SUMIFS('Daily Data'!$A$4:$A$503,'Daily Data'!$B$4:$B$503,$B$3,'Daily Data'!$AK$4:$AK$503,$M82))</f>
        <v/>
      </c>
      <c r="B82" s="96" t="str">
        <f>IF($M82="","",SUMIFS('Daily Data'!$E$4:$E$503,'Daily Data'!$B$4:$B$503,$B$3,'Daily Data'!$AK$4:$AK$503,$M82))</f>
        <v/>
      </c>
      <c r="C82" s="97" t="str">
        <f>IF($M82="","",SUMIFS('Daily Data'!$H$4:$H$503,'Daily Data'!$B$4:$B$503,$B$3,'Daily Data'!$AK$4:$AK$503,$M82))</f>
        <v/>
      </c>
      <c r="D82" s="98" t="str">
        <f>IF($M82="","",SUMIFS('Daily Data'!$L$4:$L$503,'Daily Data'!$B$4:$B$503,$B$3,'Daily Data'!$AK$4:$AK$503,$M82))</f>
        <v/>
      </c>
      <c r="E82" s="98" t="str">
        <f>IF($M82="","",SUMIFS('Daily Data'!$M$4:$M$503,'Daily Data'!$B$4:$B$503,$B$3,'Daily Data'!$AK$4:$AK$503,$M82))</f>
        <v/>
      </c>
      <c r="F82" s="99" t="str">
        <f>IF($M82="","",SUMIFS('Daily Data'!$S$4:$S$503,'Daily Data'!$B$4:$B$503,$B$3,'Daily Data'!$AK$4:$AK$503,$M82))</f>
        <v/>
      </c>
      <c r="G82" s="97" t="str">
        <f>IF($M82="","",IF(COUNTIFS('Daily Data'!$B$4:$B$503,$B$3,'Daily Data'!$AK$4:$AK$503,$M82,'Daily Data'!$AA$4:$AA$503,"&gt;=-1E+300")=0,"",SUMIFS('Daily Data'!$AA$4:$AA$503,'Daily Data'!$B$4:$B$503,$B$3,'Daily Data'!$AK$4:$AK$503,$M82)))</f>
        <v/>
      </c>
      <c r="H82" s="98" t="str">
        <f>IF($M82="","",SUMIFS('Daily Data'!$K$4:$K$503,'Daily Data'!$B$4:$B$503,$B$3,'Daily Data'!$AK$4:$AK$503,$M82))</f>
        <v/>
      </c>
      <c r="I82" s="99" t="str">
        <f>IF($M82="","",IF(COUNTIFS('Daily Data'!$B$4:$B$503,$B$3,'Daily Data'!$AK$4:$AK$503,$M82,'Daily Data'!$AC$4:$AC$503,"&gt;=-1E+300")=0,"",SUMIFS('Daily Data'!$AC$4:$AC$503,'Daily Data'!$B$4:$B$503,$B$3,'Daily Data'!$AK$4:$AK$503,$M82)))</f>
        <v/>
      </c>
      <c r="J82" s="98" t="str">
        <f>IF($M82="","",SUMIFS('Daily Data'!$I$4:$I$503,'Daily Data'!$B$4:$B$503,$B$3,'Daily Data'!$AK$4:$AK$503,$M82))</f>
        <v/>
      </c>
      <c r="K82" s="100" t="str">
        <f>IF($M82="","",SUMIFS('Daily Data'!$AH$4:$AH$503,'Daily Data'!$B$4:$B$503,$B$3,'Daily Data'!$AK$4:$AK$503,$M82))</f>
        <v/>
      </c>
      <c r="L82" s="101" t="str">
        <f>IF($K82="","",IF($K82&lt;Settings!$C$46,"Extreme Sell Pressure",IF($K82&lt;Settings!$C$47,"Sell Pressure",IF($K82&lt;=Settings!$C$48,"Neutral",IF($K82&lt;=Settings!$C$49,"Buy Pressure","Extreme Buy Pressure")))))</f>
        <v/>
      </c>
      <c r="M82" s="112" t="str">
        <f>IF(COUNTIF('Daily Data'!$B$4:$B$503,$B$3)-100+ROW()-9&lt;1,"",COUNTIF('Daily Data'!$B$4:$B$503,$B$3)-100+ROW()-9)</f>
        <v/>
      </c>
      <c r="N82" s="97" t="str">
        <f>IF($M82="","",IF(COUNTIFS('Daily Data'!$B$4:$B$503,$B$3,'Daily Data'!$AK$4:$AK$503,$M82,'Daily Data'!$AD$4:$AD$503,"&gt;=-1E+300")=0,"",SUMIFS('Daily Data'!$AD$4:$AD$503,'Daily Data'!$B$4:$B$503,$B$3,'Daily Data'!$AK$4:$AK$503,$M82)))</f>
        <v/>
      </c>
      <c r="O82" s="97" t="str">
        <f>IF($M82="","",IF(COUNTIFS('Daily Data'!$B$4:$B$503,$B$3,'Daily Data'!$AK$4:$AK$503,$M82,'Daily Data'!$AE$4:$AE$503,"&gt;=-1E+300")=0,"",SUMIFS('Daily Data'!$AE$4:$AE$503,'Daily Data'!$B$4:$B$503,$B$3,'Daily Data'!$AK$4:$AK$503,$M82)))</f>
        <v/>
      </c>
      <c r="P82" s="99" t="str">
        <f>IF($M82="","",IF(COUNTIFS('Daily Data'!$B$4:$B$503,$B$3,'Daily Data'!$AK$4:$AK$503,$M82,'Daily Data'!$Z$4:$Z$503,"&gt;=-1E+300")=0,"",SUMIFS('Daily Data'!$Z$4:$Z$503,'Daily Data'!$B$4:$B$503,$B$3,'Daily Data'!$AK$4:$AK$503,$M82)))</f>
        <v/>
      </c>
      <c r="Q82" s="100" t="str">
        <f>IF($M82="","",SUMIFS('Daily Data'!$AG$4:$AG$503,'Daily Data'!$B$4:$B$503,$B$3,'Daily Data'!$AK$4:$AK$503,$M82))</f>
        <v/>
      </c>
      <c r="S82" s="117" t="e">
        <f>IF($A82="",NA(),$A82)</f>
        <v>#N/A</v>
      </c>
      <c r="T82" s="116" t="e">
        <f>IF($A82="",NA(),$B82)</f>
        <v>#N/A</v>
      </c>
      <c r="V82" s="117" t="e">
        <f>IF($A82="",NA(),$A82)</f>
        <v>#N/A</v>
      </c>
      <c r="W82" s="116" t="e">
        <f>IF($A82="",NA(),$H82)</f>
        <v>#N/A</v>
      </c>
      <c r="Y82" s="117" t="e">
        <f>IF($A82="",NA(),$A82)</f>
        <v>#N/A</v>
      </c>
      <c r="Z82" s="116" t="e">
        <f>IF($A82="",NA(),$J82)</f>
        <v>#N/A</v>
      </c>
      <c r="AB82" s="117" t="e">
        <f>IF($A82="",NA(),$A82)</f>
        <v>#N/A</v>
      </c>
      <c r="AC82" s="116" t="e">
        <f>IF($A82="",NA(),$D82)</f>
        <v>#N/A</v>
      </c>
      <c r="AD82" s="116" t="e">
        <f>IF($A82="",NA(),$E82)</f>
        <v>#N/A</v>
      </c>
      <c r="AF82" s="117" t="e">
        <f>IF($A82="",NA(),$A82)</f>
        <v>#N/A</v>
      </c>
      <c r="AG82" s="116" t="e">
        <f>IF($A82="",NA(),$F82)</f>
        <v>#N/A</v>
      </c>
      <c r="AI82" s="117" t="e">
        <f>IF($A82="",NA(),$A82)</f>
        <v>#N/A</v>
      </c>
      <c r="AJ82" s="116" t="e">
        <f>IF($A82="",NA(),$K82)</f>
        <v>#N/A</v>
      </c>
      <c r="AL82" s="117" t="e">
        <f>IF($A82="",NA(),$A82)</f>
        <v>#N/A</v>
      </c>
      <c r="AM82" s="116" t="e">
        <f>IF($A82="",NA(),$G82)</f>
        <v>#N/A</v>
      </c>
    </row>
    <row r="83" spans="1:39" x14ac:dyDescent="0.3">
      <c r="A83" s="95" t="str">
        <f>IF($M83="","",SUMIFS('Daily Data'!$A$4:$A$503,'Daily Data'!$B$4:$B$503,$B$3,'Daily Data'!$AK$4:$AK$503,$M83))</f>
        <v/>
      </c>
      <c r="B83" s="96" t="str">
        <f>IF($M83="","",SUMIFS('Daily Data'!$E$4:$E$503,'Daily Data'!$B$4:$B$503,$B$3,'Daily Data'!$AK$4:$AK$503,$M83))</f>
        <v/>
      </c>
      <c r="C83" s="97" t="str">
        <f>IF($M83="","",SUMIFS('Daily Data'!$H$4:$H$503,'Daily Data'!$B$4:$B$503,$B$3,'Daily Data'!$AK$4:$AK$503,$M83))</f>
        <v/>
      </c>
      <c r="D83" s="98" t="str">
        <f>IF($M83="","",SUMIFS('Daily Data'!$L$4:$L$503,'Daily Data'!$B$4:$B$503,$B$3,'Daily Data'!$AK$4:$AK$503,$M83))</f>
        <v/>
      </c>
      <c r="E83" s="98" t="str">
        <f>IF($M83="","",SUMIFS('Daily Data'!$M$4:$M$503,'Daily Data'!$B$4:$B$503,$B$3,'Daily Data'!$AK$4:$AK$503,$M83))</f>
        <v/>
      </c>
      <c r="F83" s="99" t="str">
        <f>IF($M83="","",SUMIFS('Daily Data'!$S$4:$S$503,'Daily Data'!$B$4:$B$503,$B$3,'Daily Data'!$AK$4:$AK$503,$M83))</f>
        <v/>
      </c>
      <c r="G83" s="97" t="str">
        <f>IF($M83="","",IF(COUNTIFS('Daily Data'!$B$4:$B$503,$B$3,'Daily Data'!$AK$4:$AK$503,$M83,'Daily Data'!$AA$4:$AA$503,"&gt;=-1E+300")=0,"",SUMIFS('Daily Data'!$AA$4:$AA$503,'Daily Data'!$B$4:$B$503,$B$3,'Daily Data'!$AK$4:$AK$503,$M83)))</f>
        <v/>
      </c>
      <c r="H83" s="98" t="str">
        <f>IF($M83="","",SUMIFS('Daily Data'!$K$4:$K$503,'Daily Data'!$B$4:$B$503,$B$3,'Daily Data'!$AK$4:$AK$503,$M83))</f>
        <v/>
      </c>
      <c r="I83" s="99" t="str">
        <f>IF($M83="","",IF(COUNTIFS('Daily Data'!$B$4:$B$503,$B$3,'Daily Data'!$AK$4:$AK$503,$M83,'Daily Data'!$AC$4:$AC$503,"&gt;=-1E+300")=0,"",SUMIFS('Daily Data'!$AC$4:$AC$503,'Daily Data'!$B$4:$B$503,$B$3,'Daily Data'!$AK$4:$AK$503,$M83)))</f>
        <v/>
      </c>
      <c r="J83" s="98" t="str">
        <f>IF($M83="","",SUMIFS('Daily Data'!$I$4:$I$503,'Daily Data'!$B$4:$B$503,$B$3,'Daily Data'!$AK$4:$AK$503,$M83))</f>
        <v/>
      </c>
      <c r="K83" s="100" t="str">
        <f>IF($M83="","",SUMIFS('Daily Data'!$AH$4:$AH$503,'Daily Data'!$B$4:$B$503,$B$3,'Daily Data'!$AK$4:$AK$503,$M83))</f>
        <v/>
      </c>
      <c r="L83" s="101" t="str">
        <f>IF($K83="","",IF($K83&lt;Settings!$C$46,"Extreme Sell Pressure",IF($K83&lt;Settings!$C$47,"Sell Pressure",IF($K83&lt;=Settings!$C$48,"Neutral",IF($K83&lt;=Settings!$C$49,"Buy Pressure","Extreme Buy Pressure")))))</f>
        <v/>
      </c>
      <c r="M83" s="112" t="str">
        <f>IF(COUNTIF('Daily Data'!$B$4:$B$503,$B$3)-100+ROW()-9&lt;1,"",COUNTIF('Daily Data'!$B$4:$B$503,$B$3)-100+ROW()-9)</f>
        <v/>
      </c>
      <c r="N83" s="97" t="str">
        <f>IF($M83="","",IF(COUNTIFS('Daily Data'!$B$4:$B$503,$B$3,'Daily Data'!$AK$4:$AK$503,$M83,'Daily Data'!$AD$4:$AD$503,"&gt;=-1E+300")=0,"",SUMIFS('Daily Data'!$AD$4:$AD$503,'Daily Data'!$B$4:$B$503,$B$3,'Daily Data'!$AK$4:$AK$503,$M83)))</f>
        <v/>
      </c>
      <c r="O83" s="97" t="str">
        <f>IF($M83="","",IF(COUNTIFS('Daily Data'!$B$4:$B$503,$B$3,'Daily Data'!$AK$4:$AK$503,$M83,'Daily Data'!$AE$4:$AE$503,"&gt;=-1E+300")=0,"",SUMIFS('Daily Data'!$AE$4:$AE$503,'Daily Data'!$B$4:$B$503,$B$3,'Daily Data'!$AK$4:$AK$503,$M83)))</f>
        <v/>
      </c>
      <c r="P83" s="99" t="str">
        <f>IF($M83="","",IF(COUNTIFS('Daily Data'!$B$4:$B$503,$B$3,'Daily Data'!$AK$4:$AK$503,$M83,'Daily Data'!$Z$4:$Z$503,"&gt;=-1E+300")=0,"",SUMIFS('Daily Data'!$Z$4:$Z$503,'Daily Data'!$B$4:$B$503,$B$3,'Daily Data'!$AK$4:$AK$503,$M83)))</f>
        <v/>
      </c>
      <c r="Q83" s="100" t="str">
        <f>IF($M83="","",SUMIFS('Daily Data'!$AG$4:$AG$503,'Daily Data'!$B$4:$B$503,$B$3,'Daily Data'!$AK$4:$AK$503,$M83))</f>
        <v/>
      </c>
      <c r="S83" s="117" t="e">
        <f>IF($A83="",NA(),$A83)</f>
        <v>#N/A</v>
      </c>
      <c r="T83" s="116" t="e">
        <f>IF($A83="",NA(),$B83)</f>
        <v>#N/A</v>
      </c>
      <c r="V83" s="117" t="e">
        <f>IF($A83="",NA(),$A83)</f>
        <v>#N/A</v>
      </c>
      <c r="W83" s="116" t="e">
        <f>IF($A83="",NA(),$H83)</f>
        <v>#N/A</v>
      </c>
      <c r="Y83" s="117" t="e">
        <f>IF($A83="",NA(),$A83)</f>
        <v>#N/A</v>
      </c>
      <c r="Z83" s="116" t="e">
        <f>IF($A83="",NA(),$J83)</f>
        <v>#N/A</v>
      </c>
      <c r="AB83" s="117" t="e">
        <f>IF($A83="",NA(),$A83)</f>
        <v>#N/A</v>
      </c>
      <c r="AC83" s="116" t="e">
        <f>IF($A83="",NA(),$D83)</f>
        <v>#N/A</v>
      </c>
      <c r="AD83" s="116" t="e">
        <f>IF($A83="",NA(),$E83)</f>
        <v>#N/A</v>
      </c>
      <c r="AF83" s="117" t="e">
        <f>IF($A83="",NA(),$A83)</f>
        <v>#N/A</v>
      </c>
      <c r="AG83" s="116" t="e">
        <f>IF($A83="",NA(),$F83)</f>
        <v>#N/A</v>
      </c>
      <c r="AI83" s="117" t="e">
        <f>IF($A83="",NA(),$A83)</f>
        <v>#N/A</v>
      </c>
      <c r="AJ83" s="116" t="e">
        <f>IF($A83="",NA(),$K83)</f>
        <v>#N/A</v>
      </c>
      <c r="AL83" s="117" t="e">
        <f>IF($A83="",NA(),$A83)</f>
        <v>#N/A</v>
      </c>
      <c r="AM83" s="116" t="e">
        <f>IF($A83="",NA(),$G83)</f>
        <v>#N/A</v>
      </c>
    </row>
    <row r="84" spans="1:39" x14ac:dyDescent="0.3">
      <c r="A84" s="95" t="str">
        <f>IF($M84="","",SUMIFS('Daily Data'!$A$4:$A$503,'Daily Data'!$B$4:$B$503,$B$3,'Daily Data'!$AK$4:$AK$503,$M84))</f>
        <v/>
      </c>
      <c r="B84" s="96" t="str">
        <f>IF($M84="","",SUMIFS('Daily Data'!$E$4:$E$503,'Daily Data'!$B$4:$B$503,$B$3,'Daily Data'!$AK$4:$AK$503,$M84))</f>
        <v/>
      </c>
      <c r="C84" s="97" t="str">
        <f>IF($M84="","",SUMIFS('Daily Data'!$H$4:$H$503,'Daily Data'!$B$4:$B$503,$B$3,'Daily Data'!$AK$4:$AK$503,$M84))</f>
        <v/>
      </c>
      <c r="D84" s="98" t="str">
        <f>IF($M84="","",SUMIFS('Daily Data'!$L$4:$L$503,'Daily Data'!$B$4:$B$503,$B$3,'Daily Data'!$AK$4:$AK$503,$M84))</f>
        <v/>
      </c>
      <c r="E84" s="98" t="str">
        <f>IF($M84="","",SUMIFS('Daily Data'!$M$4:$M$503,'Daily Data'!$B$4:$B$503,$B$3,'Daily Data'!$AK$4:$AK$503,$M84))</f>
        <v/>
      </c>
      <c r="F84" s="99" t="str">
        <f>IF($M84="","",SUMIFS('Daily Data'!$S$4:$S$503,'Daily Data'!$B$4:$B$503,$B$3,'Daily Data'!$AK$4:$AK$503,$M84))</f>
        <v/>
      </c>
      <c r="G84" s="97" t="str">
        <f>IF($M84="","",IF(COUNTIFS('Daily Data'!$B$4:$B$503,$B$3,'Daily Data'!$AK$4:$AK$503,$M84,'Daily Data'!$AA$4:$AA$503,"&gt;=-1E+300")=0,"",SUMIFS('Daily Data'!$AA$4:$AA$503,'Daily Data'!$B$4:$B$503,$B$3,'Daily Data'!$AK$4:$AK$503,$M84)))</f>
        <v/>
      </c>
      <c r="H84" s="98" t="str">
        <f>IF($M84="","",SUMIFS('Daily Data'!$K$4:$K$503,'Daily Data'!$B$4:$B$503,$B$3,'Daily Data'!$AK$4:$AK$503,$M84))</f>
        <v/>
      </c>
      <c r="I84" s="99" t="str">
        <f>IF($M84="","",IF(COUNTIFS('Daily Data'!$B$4:$B$503,$B$3,'Daily Data'!$AK$4:$AK$503,$M84,'Daily Data'!$AC$4:$AC$503,"&gt;=-1E+300")=0,"",SUMIFS('Daily Data'!$AC$4:$AC$503,'Daily Data'!$B$4:$B$503,$B$3,'Daily Data'!$AK$4:$AK$503,$M84)))</f>
        <v/>
      </c>
      <c r="J84" s="98" t="str">
        <f>IF($M84="","",SUMIFS('Daily Data'!$I$4:$I$503,'Daily Data'!$B$4:$B$503,$B$3,'Daily Data'!$AK$4:$AK$503,$M84))</f>
        <v/>
      </c>
      <c r="K84" s="100" t="str">
        <f>IF($M84="","",SUMIFS('Daily Data'!$AH$4:$AH$503,'Daily Data'!$B$4:$B$503,$B$3,'Daily Data'!$AK$4:$AK$503,$M84))</f>
        <v/>
      </c>
      <c r="L84" s="101" t="str">
        <f>IF($K84="","",IF($K84&lt;Settings!$C$46,"Extreme Sell Pressure",IF($K84&lt;Settings!$C$47,"Sell Pressure",IF($K84&lt;=Settings!$C$48,"Neutral",IF($K84&lt;=Settings!$C$49,"Buy Pressure","Extreme Buy Pressure")))))</f>
        <v/>
      </c>
      <c r="M84" s="112" t="str">
        <f>IF(COUNTIF('Daily Data'!$B$4:$B$503,$B$3)-100+ROW()-9&lt;1,"",COUNTIF('Daily Data'!$B$4:$B$503,$B$3)-100+ROW()-9)</f>
        <v/>
      </c>
      <c r="N84" s="97" t="str">
        <f>IF($M84="","",IF(COUNTIFS('Daily Data'!$B$4:$B$503,$B$3,'Daily Data'!$AK$4:$AK$503,$M84,'Daily Data'!$AD$4:$AD$503,"&gt;=-1E+300")=0,"",SUMIFS('Daily Data'!$AD$4:$AD$503,'Daily Data'!$B$4:$B$503,$B$3,'Daily Data'!$AK$4:$AK$503,$M84)))</f>
        <v/>
      </c>
      <c r="O84" s="97" t="str">
        <f>IF($M84="","",IF(COUNTIFS('Daily Data'!$B$4:$B$503,$B$3,'Daily Data'!$AK$4:$AK$503,$M84,'Daily Data'!$AE$4:$AE$503,"&gt;=-1E+300")=0,"",SUMIFS('Daily Data'!$AE$4:$AE$503,'Daily Data'!$B$4:$B$503,$B$3,'Daily Data'!$AK$4:$AK$503,$M84)))</f>
        <v/>
      </c>
      <c r="P84" s="99" t="str">
        <f>IF($M84="","",IF(COUNTIFS('Daily Data'!$B$4:$B$503,$B$3,'Daily Data'!$AK$4:$AK$503,$M84,'Daily Data'!$Z$4:$Z$503,"&gt;=-1E+300")=0,"",SUMIFS('Daily Data'!$Z$4:$Z$503,'Daily Data'!$B$4:$B$503,$B$3,'Daily Data'!$AK$4:$AK$503,$M84)))</f>
        <v/>
      </c>
      <c r="Q84" s="100" t="str">
        <f>IF($M84="","",SUMIFS('Daily Data'!$AG$4:$AG$503,'Daily Data'!$B$4:$B$503,$B$3,'Daily Data'!$AK$4:$AK$503,$M84))</f>
        <v/>
      </c>
      <c r="S84" s="117" t="e">
        <f>IF($A84="",NA(),$A84)</f>
        <v>#N/A</v>
      </c>
      <c r="T84" s="116" t="e">
        <f>IF($A84="",NA(),$B84)</f>
        <v>#N/A</v>
      </c>
      <c r="V84" s="117" t="e">
        <f>IF($A84="",NA(),$A84)</f>
        <v>#N/A</v>
      </c>
      <c r="W84" s="116" t="e">
        <f>IF($A84="",NA(),$H84)</f>
        <v>#N/A</v>
      </c>
      <c r="Y84" s="117" t="e">
        <f>IF($A84="",NA(),$A84)</f>
        <v>#N/A</v>
      </c>
      <c r="Z84" s="116" t="e">
        <f>IF($A84="",NA(),$J84)</f>
        <v>#N/A</v>
      </c>
      <c r="AB84" s="117" t="e">
        <f>IF($A84="",NA(),$A84)</f>
        <v>#N/A</v>
      </c>
      <c r="AC84" s="116" t="e">
        <f>IF($A84="",NA(),$D84)</f>
        <v>#N/A</v>
      </c>
      <c r="AD84" s="116" t="e">
        <f>IF($A84="",NA(),$E84)</f>
        <v>#N/A</v>
      </c>
      <c r="AF84" s="117" t="e">
        <f>IF($A84="",NA(),$A84)</f>
        <v>#N/A</v>
      </c>
      <c r="AG84" s="116" t="e">
        <f>IF($A84="",NA(),$F84)</f>
        <v>#N/A</v>
      </c>
      <c r="AI84" s="117" t="e">
        <f>IF($A84="",NA(),$A84)</f>
        <v>#N/A</v>
      </c>
      <c r="AJ84" s="116" t="e">
        <f>IF($A84="",NA(),$K84)</f>
        <v>#N/A</v>
      </c>
      <c r="AL84" s="117" t="e">
        <f>IF($A84="",NA(),$A84)</f>
        <v>#N/A</v>
      </c>
      <c r="AM84" s="116" t="e">
        <f>IF($A84="",NA(),$G84)</f>
        <v>#N/A</v>
      </c>
    </row>
    <row r="85" spans="1:39" x14ac:dyDescent="0.3">
      <c r="A85" s="95" t="str">
        <f>IF($M85="","",SUMIFS('Daily Data'!$A$4:$A$503,'Daily Data'!$B$4:$B$503,$B$3,'Daily Data'!$AK$4:$AK$503,$M85))</f>
        <v/>
      </c>
      <c r="B85" s="96" t="str">
        <f>IF($M85="","",SUMIFS('Daily Data'!$E$4:$E$503,'Daily Data'!$B$4:$B$503,$B$3,'Daily Data'!$AK$4:$AK$503,$M85))</f>
        <v/>
      </c>
      <c r="C85" s="97" t="str">
        <f>IF($M85="","",SUMIFS('Daily Data'!$H$4:$H$503,'Daily Data'!$B$4:$B$503,$B$3,'Daily Data'!$AK$4:$AK$503,$M85))</f>
        <v/>
      </c>
      <c r="D85" s="98" t="str">
        <f>IF($M85="","",SUMIFS('Daily Data'!$L$4:$L$503,'Daily Data'!$B$4:$B$503,$B$3,'Daily Data'!$AK$4:$AK$503,$M85))</f>
        <v/>
      </c>
      <c r="E85" s="98" t="str">
        <f>IF($M85="","",SUMIFS('Daily Data'!$M$4:$M$503,'Daily Data'!$B$4:$B$503,$B$3,'Daily Data'!$AK$4:$AK$503,$M85))</f>
        <v/>
      </c>
      <c r="F85" s="99" t="str">
        <f>IF($M85="","",SUMIFS('Daily Data'!$S$4:$S$503,'Daily Data'!$B$4:$B$503,$B$3,'Daily Data'!$AK$4:$AK$503,$M85))</f>
        <v/>
      </c>
      <c r="G85" s="97" t="str">
        <f>IF($M85="","",IF(COUNTIFS('Daily Data'!$B$4:$B$503,$B$3,'Daily Data'!$AK$4:$AK$503,$M85,'Daily Data'!$AA$4:$AA$503,"&gt;=-1E+300")=0,"",SUMIFS('Daily Data'!$AA$4:$AA$503,'Daily Data'!$B$4:$B$503,$B$3,'Daily Data'!$AK$4:$AK$503,$M85)))</f>
        <v/>
      </c>
      <c r="H85" s="98" t="str">
        <f>IF($M85="","",SUMIFS('Daily Data'!$K$4:$K$503,'Daily Data'!$B$4:$B$503,$B$3,'Daily Data'!$AK$4:$AK$503,$M85))</f>
        <v/>
      </c>
      <c r="I85" s="99" t="str">
        <f>IF($M85="","",IF(COUNTIFS('Daily Data'!$B$4:$B$503,$B$3,'Daily Data'!$AK$4:$AK$503,$M85,'Daily Data'!$AC$4:$AC$503,"&gt;=-1E+300")=0,"",SUMIFS('Daily Data'!$AC$4:$AC$503,'Daily Data'!$B$4:$B$503,$B$3,'Daily Data'!$AK$4:$AK$503,$M85)))</f>
        <v/>
      </c>
      <c r="J85" s="98" t="str">
        <f>IF($M85="","",SUMIFS('Daily Data'!$I$4:$I$503,'Daily Data'!$B$4:$B$503,$B$3,'Daily Data'!$AK$4:$AK$503,$M85))</f>
        <v/>
      </c>
      <c r="K85" s="100" t="str">
        <f>IF($M85="","",SUMIFS('Daily Data'!$AH$4:$AH$503,'Daily Data'!$B$4:$B$503,$B$3,'Daily Data'!$AK$4:$AK$503,$M85))</f>
        <v/>
      </c>
      <c r="L85" s="101" t="str">
        <f>IF($K85="","",IF($K85&lt;Settings!$C$46,"Extreme Sell Pressure",IF($K85&lt;Settings!$C$47,"Sell Pressure",IF($K85&lt;=Settings!$C$48,"Neutral",IF($K85&lt;=Settings!$C$49,"Buy Pressure","Extreme Buy Pressure")))))</f>
        <v/>
      </c>
      <c r="M85" s="112" t="str">
        <f>IF(COUNTIF('Daily Data'!$B$4:$B$503,$B$3)-100+ROW()-9&lt;1,"",COUNTIF('Daily Data'!$B$4:$B$503,$B$3)-100+ROW()-9)</f>
        <v/>
      </c>
      <c r="N85" s="97" t="str">
        <f>IF($M85="","",IF(COUNTIFS('Daily Data'!$B$4:$B$503,$B$3,'Daily Data'!$AK$4:$AK$503,$M85,'Daily Data'!$AD$4:$AD$503,"&gt;=-1E+300")=0,"",SUMIFS('Daily Data'!$AD$4:$AD$503,'Daily Data'!$B$4:$B$503,$B$3,'Daily Data'!$AK$4:$AK$503,$M85)))</f>
        <v/>
      </c>
      <c r="O85" s="97" t="str">
        <f>IF($M85="","",IF(COUNTIFS('Daily Data'!$B$4:$B$503,$B$3,'Daily Data'!$AK$4:$AK$503,$M85,'Daily Data'!$AE$4:$AE$503,"&gt;=-1E+300")=0,"",SUMIFS('Daily Data'!$AE$4:$AE$503,'Daily Data'!$B$4:$B$503,$B$3,'Daily Data'!$AK$4:$AK$503,$M85)))</f>
        <v/>
      </c>
      <c r="P85" s="99" t="str">
        <f>IF($M85="","",IF(COUNTIFS('Daily Data'!$B$4:$B$503,$B$3,'Daily Data'!$AK$4:$AK$503,$M85,'Daily Data'!$Z$4:$Z$503,"&gt;=-1E+300")=0,"",SUMIFS('Daily Data'!$Z$4:$Z$503,'Daily Data'!$B$4:$B$503,$B$3,'Daily Data'!$AK$4:$AK$503,$M85)))</f>
        <v/>
      </c>
      <c r="Q85" s="100" t="str">
        <f>IF($M85="","",SUMIFS('Daily Data'!$AG$4:$AG$503,'Daily Data'!$B$4:$B$503,$B$3,'Daily Data'!$AK$4:$AK$503,$M85))</f>
        <v/>
      </c>
      <c r="S85" s="117" t="e">
        <f>IF($A85="",NA(),$A85)</f>
        <v>#N/A</v>
      </c>
      <c r="T85" s="116" t="e">
        <f>IF($A85="",NA(),$B85)</f>
        <v>#N/A</v>
      </c>
      <c r="V85" s="117" t="e">
        <f>IF($A85="",NA(),$A85)</f>
        <v>#N/A</v>
      </c>
      <c r="W85" s="116" t="e">
        <f>IF($A85="",NA(),$H85)</f>
        <v>#N/A</v>
      </c>
      <c r="Y85" s="117" t="e">
        <f>IF($A85="",NA(),$A85)</f>
        <v>#N/A</v>
      </c>
      <c r="Z85" s="116" t="e">
        <f>IF($A85="",NA(),$J85)</f>
        <v>#N/A</v>
      </c>
      <c r="AB85" s="117" t="e">
        <f>IF($A85="",NA(),$A85)</f>
        <v>#N/A</v>
      </c>
      <c r="AC85" s="116" t="e">
        <f>IF($A85="",NA(),$D85)</f>
        <v>#N/A</v>
      </c>
      <c r="AD85" s="116" t="e">
        <f>IF($A85="",NA(),$E85)</f>
        <v>#N/A</v>
      </c>
      <c r="AF85" s="117" t="e">
        <f>IF($A85="",NA(),$A85)</f>
        <v>#N/A</v>
      </c>
      <c r="AG85" s="116" t="e">
        <f>IF($A85="",NA(),$F85)</f>
        <v>#N/A</v>
      </c>
      <c r="AI85" s="117" t="e">
        <f>IF($A85="",NA(),$A85)</f>
        <v>#N/A</v>
      </c>
      <c r="AJ85" s="116" t="e">
        <f>IF($A85="",NA(),$K85)</f>
        <v>#N/A</v>
      </c>
      <c r="AL85" s="117" t="e">
        <f>IF($A85="",NA(),$A85)</f>
        <v>#N/A</v>
      </c>
      <c r="AM85" s="116" t="e">
        <f>IF($A85="",NA(),$G85)</f>
        <v>#N/A</v>
      </c>
    </row>
    <row r="86" spans="1:39" x14ac:dyDescent="0.3">
      <c r="A86" s="95" t="str">
        <f>IF($M86="","",SUMIFS('Daily Data'!$A$4:$A$503,'Daily Data'!$B$4:$B$503,$B$3,'Daily Data'!$AK$4:$AK$503,$M86))</f>
        <v/>
      </c>
      <c r="B86" s="96" t="str">
        <f>IF($M86="","",SUMIFS('Daily Data'!$E$4:$E$503,'Daily Data'!$B$4:$B$503,$B$3,'Daily Data'!$AK$4:$AK$503,$M86))</f>
        <v/>
      </c>
      <c r="C86" s="97" t="str">
        <f>IF($M86="","",SUMIFS('Daily Data'!$H$4:$H$503,'Daily Data'!$B$4:$B$503,$B$3,'Daily Data'!$AK$4:$AK$503,$M86))</f>
        <v/>
      </c>
      <c r="D86" s="98" t="str">
        <f>IF($M86="","",SUMIFS('Daily Data'!$L$4:$L$503,'Daily Data'!$B$4:$B$503,$B$3,'Daily Data'!$AK$4:$AK$503,$M86))</f>
        <v/>
      </c>
      <c r="E86" s="98" t="str">
        <f>IF($M86="","",SUMIFS('Daily Data'!$M$4:$M$503,'Daily Data'!$B$4:$B$503,$B$3,'Daily Data'!$AK$4:$AK$503,$M86))</f>
        <v/>
      </c>
      <c r="F86" s="99" t="str">
        <f>IF($M86="","",SUMIFS('Daily Data'!$S$4:$S$503,'Daily Data'!$B$4:$B$503,$B$3,'Daily Data'!$AK$4:$AK$503,$M86))</f>
        <v/>
      </c>
      <c r="G86" s="97" t="str">
        <f>IF($M86="","",IF(COUNTIFS('Daily Data'!$B$4:$B$503,$B$3,'Daily Data'!$AK$4:$AK$503,$M86,'Daily Data'!$AA$4:$AA$503,"&gt;=-1E+300")=0,"",SUMIFS('Daily Data'!$AA$4:$AA$503,'Daily Data'!$B$4:$B$503,$B$3,'Daily Data'!$AK$4:$AK$503,$M86)))</f>
        <v/>
      </c>
      <c r="H86" s="98" t="str">
        <f>IF($M86="","",SUMIFS('Daily Data'!$K$4:$K$503,'Daily Data'!$B$4:$B$503,$B$3,'Daily Data'!$AK$4:$AK$503,$M86))</f>
        <v/>
      </c>
      <c r="I86" s="99" t="str">
        <f>IF($M86="","",IF(COUNTIFS('Daily Data'!$B$4:$B$503,$B$3,'Daily Data'!$AK$4:$AK$503,$M86,'Daily Data'!$AC$4:$AC$503,"&gt;=-1E+300")=0,"",SUMIFS('Daily Data'!$AC$4:$AC$503,'Daily Data'!$B$4:$B$503,$B$3,'Daily Data'!$AK$4:$AK$503,$M86)))</f>
        <v/>
      </c>
      <c r="J86" s="98" t="str">
        <f>IF($M86="","",SUMIFS('Daily Data'!$I$4:$I$503,'Daily Data'!$B$4:$B$503,$B$3,'Daily Data'!$AK$4:$AK$503,$M86))</f>
        <v/>
      </c>
      <c r="K86" s="100" t="str">
        <f>IF($M86="","",SUMIFS('Daily Data'!$AH$4:$AH$503,'Daily Data'!$B$4:$B$503,$B$3,'Daily Data'!$AK$4:$AK$503,$M86))</f>
        <v/>
      </c>
      <c r="L86" s="101" t="str">
        <f>IF($K86="","",IF($K86&lt;Settings!$C$46,"Extreme Sell Pressure",IF($K86&lt;Settings!$C$47,"Sell Pressure",IF($K86&lt;=Settings!$C$48,"Neutral",IF($K86&lt;=Settings!$C$49,"Buy Pressure","Extreme Buy Pressure")))))</f>
        <v/>
      </c>
      <c r="M86" s="112" t="str">
        <f>IF(COUNTIF('Daily Data'!$B$4:$B$503,$B$3)-100+ROW()-9&lt;1,"",COUNTIF('Daily Data'!$B$4:$B$503,$B$3)-100+ROW()-9)</f>
        <v/>
      </c>
      <c r="N86" s="97" t="str">
        <f>IF($M86="","",IF(COUNTIFS('Daily Data'!$B$4:$B$503,$B$3,'Daily Data'!$AK$4:$AK$503,$M86,'Daily Data'!$AD$4:$AD$503,"&gt;=-1E+300")=0,"",SUMIFS('Daily Data'!$AD$4:$AD$503,'Daily Data'!$B$4:$B$503,$B$3,'Daily Data'!$AK$4:$AK$503,$M86)))</f>
        <v/>
      </c>
      <c r="O86" s="97" t="str">
        <f>IF($M86="","",IF(COUNTIFS('Daily Data'!$B$4:$B$503,$B$3,'Daily Data'!$AK$4:$AK$503,$M86,'Daily Data'!$AE$4:$AE$503,"&gt;=-1E+300")=0,"",SUMIFS('Daily Data'!$AE$4:$AE$503,'Daily Data'!$B$4:$B$503,$B$3,'Daily Data'!$AK$4:$AK$503,$M86)))</f>
        <v/>
      </c>
      <c r="P86" s="99" t="str">
        <f>IF($M86="","",IF(COUNTIFS('Daily Data'!$B$4:$B$503,$B$3,'Daily Data'!$AK$4:$AK$503,$M86,'Daily Data'!$Z$4:$Z$503,"&gt;=-1E+300")=0,"",SUMIFS('Daily Data'!$Z$4:$Z$503,'Daily Data'!$B$4:$B$503,$B$3,'Daily Data'!$AK$4:$AK$503,$M86)))</f>
        <v/>
      </c>
      <c r="Q86" s="100" t="str">
        <f>IF($M86="","",SUMIFS('Daily Data'!$AG$4:$AG$503,'Daily Data'!$B$4:$B$503,$B$3,'Daily Data'!$AK$4:$AK$503,$M86))</f>
        <v/>
      </c>
      <c r="S86" s="117" t="e">
        <f>IF($A86="",NA(),$A86)</f>
        <v>#N/A</v>
      </c>
      <c r="T86" s="116" t="e">
        <f>IF($A86="",NA(),$B86)</f>
        <v>#N/A</v>
      </c>
      <c r="V86" s="117" t="e">
        <f>IF($A86="",NA(),$A86)</f>
        <v>#N/A</v>
      </c>
      <c r="W86" s="116" t="e">
        <f>IF($A86="",NA(),$H86)</f>
        <v>#N/A</v>
      </c>
      <c r="Y86" s="117" t="e">
        <f>IF($A86="",NA(),$A86)</f>
        <v>#N/A</v>
      </c>
      <c r="Z86" s="116" t="e">
        <f>IF($A86="",NA(),$J86)</f>
        <v>#N/A</v>
      </c>
      <c r="AB86" s="117" t="e">
        <f>IF($A86="",NA(),$A86)</f>
        <v>#N/A</v>
      </c>
      <c r="AC86" s="116" t="e">
        <f>IF($A86="",NA(),$D86)</f>
        <v>#N/A</v>
      </c>
      <c r="AD86" s="116" t="e">
        <f>IF($A86="",NA(),$E86)</f>
        <v>#N/A</v>
      </c>
      <c r="AF86" s="117" t="e">
        <f>IF($A86="",NA(),$A86)</f>
        <v>#N/A</v>
      </c>
      <c r="AG86" s="116" t="e">
        <f>IF($A86="",NA(),$F86)</f>
        <v>#N/A</v>
      </c>
      <c r="AI86" s="117" t="e">
        <f>IF($A86="",NA(),$A86)</f>
        <v>#N/A</v>
      </c>
      <c r="AJ86" s="116" t="e">
        <f>IF($A86="",NA(),$K86)</f>
        <v>#N/A</v>
      </c>
      <c r="AL86" s="117" t="e">
        <f>IF($A86="",NA(),$A86)</f>
        <v>#N/A</v>
      </c>
      <c r="AM86" s="116" t="e">
        <f>IF($A86="",NA(),$G86)</f>
        <v>#N/A</v>
      </c>
    </row>
    <row r="87" spans="1:39" x14ac:dyDescent="0.3">
      <c r="A87" s="95" t="str">
        <f>IF($M87="","",SUMIFS('Daily Data'!$A$4:$A$503,'Daily Data'!$B$4:$B$503,$B$3,'Daily Data'!$AK$4:$AK$503,$M87))</f>
        <v/>
      </c>
      <c r="B87" s="96" t="str">
        <f>IF($M87="","",SUMIFS('Daily Data'!$E$4:$E$503,'Daily Data'!$B$4:$B$503,$B$3,'Daily Data'!$AK$4:$AK$503,$M87))</f>
        <v/>
      </c>
      <c r="C87" s="97" t="str">
        <f>IF($M87="","",SUMIFS('Daily Data'!$H$4:$H$503,'Daily Data'!$B$4:$B$503,$B$3,'Daily Data'!$AK$4:$AK$503,$M87))</f>
        <v/>
      </c>
      <c r="D87" s="98" t="str">
        <f>IF($M87="","",SUMIFS('Daily Data'!$L$4:$L$503,'Daily Data'!$B$4:$B$503,$B$3,'Daily Data'!$AK$4:$AK$503,$M87))</f>
        <v/>
      </c>
      <c r="E87" s="98" t="str">
        <f>IF($M87="","",SUMIFS('Daily Data'!$M$4:$M$503,'Daily Data'!$B$4:$B$503,$B$3,'Daily Data'!$AK$4:$AK$503,$M87))</f>
        <v/>
      </c>
      <c r="F87" s="99" t="str">
        <f>IF($M87="","",SUMIFS('Daily Data'!$S$4:$S$503,'Daily Data'!$B$4:$B$503,$B$3,'Daily Data'!$AK$4:$AK$503,$M87))</f>
        <v/>
      </c>
      <c r="G87" s="97" t="str">
        <f>IF($M87="","",IF(COUNTIFS('Daily Data'!$B$4:$B$503,$B$3,'Daily Data'!$AK$4:$AK$503,$M87,'Daily Data'!$AA$4:$AA$503,"&gt;=-1E+300")=0,"",SUMIFS('Daily Data'!$AA$4:$AA$503,'Daily Data'!$B$4:$B$503,$B$3,'Daily Data'!$AK$4:$AK$503,$M87)))</f>
        <v/>
      </c>
      <c r="H87" s="98" t="str">
        <f>IF($M87="","",SUMIFS('Daily Data'!$K$4:$K$503,'Daily Data'!$B$4:$B$503,$B$3,'Daily Data'!$AK$4:$AK$503,$M87))</f>
        <v/>
      </c>
      <c r="I87" s="99" t="str">
        <f>IF($M87="","",IF(COUNTIFS('Daily Data'!$B$4:$B$503,$B$3,'Daily Data'!$AK$4:$AK$503,$M87,'Daily Data'!$AC$4:$AC$503,"&gt;=-1E+300")=0,"",SUMIFS('Daily Data'!$AC$4:$AC$503,'Daily Data'!$B$4:$B$503,$B$3,'Daily Data'!$AK$4:$AK$503,$M87)))</f>
        <v/>
      </c>
      <c r="J87" s="98" t="str">
        <f>IF($M87="","",SUMIFS('Daily Data'!$I$4:$I$503,'Daily Data'!$B$4:$B$503,$B$3,'Daily Data'!$AK$4:$AK$503,$M87))</f>
        <v/>
      </c>
      <c r="K87" s="100" t="str">
        <f>IF($M87="","",SUMIFS('Daily Data'!$AH$4:$AH$503,'Daily Data'!$B$4:$B$503,$B$3,'Daily Data'!$AK$4:$AK$503,$M87))</f>
        <v/>
      </c>
      <c r="L87" s="101" t="str">
        <f>IF($K87="","",IF($K87&lt;Settings!$C$46,"Extreme Sell Pressure",IF($K87&lt;Settings!$C$47,"Sell Pressure",IF($K87&lt;=Settings!$C$48,"Neutral",IF($K87&lt;=Settings!$C$49,"Buy Pressure","Extreme Buy Pressure")))))</f>
        <v/>
      </c>
      <c r="M87" s="112" t="str">
        <f>IF(COUNTIF('Daily Data'!$B$4:$B$503,$B$3)-100+ROW()-9&lt;1,"",COUNTIF('Daily Data'!$B$4:$B$503,$B$3)-100+ROW()-9)</f>
        <v/>
      </c>
      <c r="N87" s="97" t="str">
        <f>IF($M87="","",IF(COUNTIFS('Daily Data'!$B$4:$B$503,$B$3,'Daily Data'!$AK$4:$AK$503,$M87,'Daily Data'!$AD$4:$AD$503,"&gt;=-1E+300")=0,"",SUMIFS('Daily Data'!$AD$4:$AD$503,'Daily Data'!$B$4:$B$503,$B$3,'Daily Data'!$AK$4:$AK$503,$M87)))</f>
        <v/>
      </c>
      <c r="O87" s="97" t="str">
        <f>IF($M87="","",IF(COUNTIFS('Daily Data'!$B$4:$B$503,$B$3,'Daily Data'!$AK$4:$AK$503,$M87,'Daily Data'!$AE$4:$AE$503,"&gt;=-1E+300")=0,"",SUMIFS('Daily Data'!$AE$4:$AE$503,'Daily Data'!$B$4:$B$503,$B$3,'Daily Data'!$AK$4:$AK$503,$M87)))</f>
        <v/>
      </c>
      <c r="P87" s="99" t="str">
        <f>IF($M87="","",IF(COUNTIFS('Daily Data'!$B$4:$B$503,$B$3,'Daily Data'!$AK$4:$AK$503,$M87,'Daily Data'!$Z$4:$Z$503,"&gt;=-1E+300")=0,"",SUMIFS('Daily Data'!$Z$4:$Z$503,'Daily Data'!$B$4:$B$503,$B$3,'Daily Data'!$AK$4:$AK$503,$M87)))</f>
        <v/>
      </c>
      <c r="Q87" s="100" t="str">
        <f>IF($M87="","",SUMIFS('Daily Data'!$AG$4:$AG$503,'Daily Data'!$B$4:$B$503,$B$3,'Daily Data'!$AK$4:$AK$503,$M87))</f>
        <v/>
      </c>
      <c r="S87" s="117" t="e">
        <f>IF($A87="",NA(),$A87)</f>
        <v>#N/A</v>
      </c>
      <c r="T87" s="116" t="e">
        <f>IF($A87="",NA(),$B87)</f>
        <v>#N/A</v>
      </c>
      <c r="V87" s="117" t="e">
        <f>IF($A87="",NA(),$A87)</f>
        <v>#N/A</v>
      </c>
      <c r="W87" s="116" t="e">
        <f>IF($A87="",NA(),$H87)</f>
        <v>#N/A</v>
      </c>
      <c r="Y87" s="117" t="e">
        <f>IF($A87="",NA(),$A87)</f>
        <v>#N/A</v>
      </c>
      <c r="Z87" s="116" t="e">
        <f>IF($A87="",NA(),$J87)</f>
        <v>#N/A</v>
      </c>
      <c r="AB87" s="117" t="e">
        <f>IF($A87="",NA(),$A87)</f>
        <v>#N/A</v>
      </c>
      <c r="AC87" s="116" t="e">
        <f>IF($A87="",NA(),$D87)</f>
        <v>#N/A</v>
      </c>
      <c r="AD87" s="116" t="e">
        <f>IF($A87="",NA(),$E87)</f>
        <v>#N/A</v>
      </c>
      <c r="AF87" s="117" t="e">
        <f>IF($A87="",NA(),$A87)</f>
        <v>#N/A</v>
      </c>
      <c r="AG87" s="116" t="e">
        <f>IF($A87="",NA(),$F87)</f>
        <v>#N/A</v>
      </c>
      <c r="AI87" s="117" t="e">
        <f>IF($A87="",NA(),$A87)</f>
        <v>#N/A</v>
      </c>
      <c r="AJ87" s="116" t="e">
        <f>IF($A87="",NA(),$K87)</f>
        <v>#N/A</v>
      </c>
      <c r="AL87" s="117" t="e">
        <f>IF($A87="",NA(),$A87)</f>
        <v>#N/A</v>
      </c>
      <c r="AM87" s="116" t="e">
        <f>IF($A87="",NA(),$G87)</f>
        <v>#N/A</v>
      </c>
    </row>
    <row r="88" spans="1:39" x14ac:dyDescent="0.3">
      <c r="A88" s="95" t="str">
        <f>IF($M88="","",SUMIFS('Daily Data'!$A$4:$A$503,'Daily Data'!$B$4:$B$503,$B$3,'Daily Data'!$AK$4:$AK$503,$M88))</f>
        <v/>
      </c>
      <c r="B88" s="96" t="str">
        <f>IF($M88="","",SUMIFS('Daily Data'!$E$4:$E$503,'Daily Data'!$B$4:$B$503,$B$3,'Daily Data'!$AK$4:$AK$503,$M88))</f>
        <v/>
      </c>
      <c r="C88" s="97" t="str">
        <f>IF($M88="","",SUMIFS('Daily Data'!$H$4:$H$503,'Daily Data'!$B$4:$B$503,$B$3,'Daily Data'!$AK$4:$AK$503,$M88))</f>
        <v/>
      </c>
      <c r="D88" s="98" t="str">
        <f>IF($M88="","",SUMIFS('Daily Data'!$L$4:$L$503,'Daily Data'!$B$4:$B$503,$B$3,'Daily Data'!$AK$4:$AK$503,$M88))</f>
        <v/>
      </c>
      <c r="E88" s="98" t="str">
        <f>IF($M88="","",SUMIFS('Daily Data'!$M$4:$M$503,'Daily Data'!$B$4:$B$503,$B$3,'Daily Data'!$AK$4:$AK$503,$M88))</f>
        <v/>
      </c>
      <c r="F88" s="99" t="str">
        <f>IF($M88="","",SUMIFS('Daily Data'!$S$4:$S$503,'Daily Data'!$B$4:$B$503,$B$3,'Daily Data'!$AK$4:$AK$503,$M88))</f>
        <v/>
      </c>
      <c r="G88" s="97" t="str">
        <f>IF($M88="","",IF(COUNTIFS('Daily Data'!$B$4:$B$503,$B$3,'Daily Data'!$AK$4:$AK$503,$M88,'Daily Data'!$AA$4:$AA$503,"&gt;=-1E+300")=0,"",SUMIFS('Daily Data'!$AA$4:$AA$503,'Daily Data'!$B$4:$B$503,$B$3,'Daily Data'!$AK$4:$AK$503,$M88)))</f>
        <v/>
      </c>
      <c r="H88" s="98" t="str">
        <f>IF($M88="","",SUMIFS('Daily Data'!$K$4:$K$503,'Daily Data'!$B$4:$B$503,$B$3,'Daily Data'!$AK$4:$AK$503,$M88))</f>
        <v/>
      </c>
      <c r="I88" s="99" t="str">
        <f>IF($M88="","",IF(COUNTIFS('Daily Data'!$B$4:$B$503,$B$3,'Daily Data'!$AK$4:$AK$503,$M88,'Daily Data'!$AC$4:$AC$503,"&gt;=-1E+300")=0,"",SUMIFS('Daily Data'!$AC$4:$AC$503,'Daily Data'!$B$4:$B$503,$B$3,'Daily Data'!$AK$4:$AK$503,$M88)))</f>
        <v/>
      </c>
      <c r="J88" s="98" t="str">
        <f>IF($M88="","",SUMIFS('Daily Data'!$I$4:$I$503,'Daily Data'!$B$4:$B$503,$B$3,'Daily Data'!$AK$4:$AK$503,$M88))</f>
        <v/>
      </c>
      <c r="K88" s="100" t="str">
        <f>IF($M88="","",SUMIFS('Daily Data'!$AH$4:$AH$503,'Daily Data'!$B$4:$B$503,$B$3,'Daily Data'!$AK$4:$AK$503,$M88))</f>
        <v/>
      </c>
      <c r="L88" s="101" t="str">
        <f>IF($K88="","",IF($K88&lt;Settings!$C$46,"Extreme Sell Pressure",IF($K88&lt;Settings!$C$47,"Sell Pressure",IF($K88&lt;=Settings!$C$48,"Neutral",IF($K88&lt;=Settings!$C$49,"Buy Pressure","Extreme Buy Pressure")))))</f>
        <v/>
      </c>
      <c r="M88" s="112" t="str">
        <f>IF(COUNTIF('Daily Data'!$B$4:$B$503,$B$3)-100+ROW()-9&lt;1,"",COUNTIF('Daily Data'!$B$4:$B$503,$B$3)-100+ROW()-9)</f>
        <v/>
      </c>
      <c r="N88" s="97" t="str">
        <f>IF($M88="","",IF(COUNTIFS('Daily Data'!$B$4:$B$503,$B$3,'Daily Data'!$AK$4:$AK$503,$M88,'Daily Data'!$AD$4:$AD$503,"&gt;=-1E+300")=0,"",SUMIFS('Daily Data'!$AD$4:$AD$503,'Daily Data'!$B$4:$B$503,$B$3,'Daily Data'!$AK$4:$AK$503,$M88)))</f>
        <v/>
      </c>
      <c r="O88" s="97" t="str">
        <f>IF($M88="","",IF(COUNTIFS('Daily Data'!$B$4:$B$503,$B$3,'Daily Data'!$AK$4:$AK$503,$M88,'Daily Data'!$AE$4:$AE$503,"&gt;=-1E+300")=0,"",SUMIFS('Daily Data'!$AE$4:$AE$503,'Daily Data'!$B$4:$B$503,$B$3,'Daily Data'!$AK$4:$AK$503,$M88)))</f>
        <v/>
      </c>
      <c r="P88" s="99" t="str">
        <f>IF($M88="","",IF(COUNTIFS('Daily Data'!$B$4:$B$503,$B$3,'Daily Data'!$AK$4:$AK$503,$M88,'Daily Data'!$Z$4:$Z$503,"&gt;=-1E+300")=0,"",SUMIFS('Daily Data'!$Z$4:$Z$503,'Daily Data'!$B$4:$B$503,$B$3,'Daily Data'!$AK$4:$AK$503,$M88)))</f>
        <v/>
      </c>
      <c r="Q88" s="100" t="str">
        <f>IF($M88="","",SUMIFS('Daily Data'!$AG$4:$AG$503,'Daily Data'!$B$4:$B$503,$B$3,'Daily Data'!$AK$4:$AK$503,$M88))</f>
        <v/>
      </c>
      <c r="S88" s="117" t="e">
        <f>IF($A88="",NA(),$A88)</f>
        <v>#N/A</v>
      </c>
      <c r="T88" s="116" t="e">
        <f>IF($A88="",NA(),$B88)</f>
        <v>#N/A</v>
      </c>
      <c r="V88" s="117" t="e">
        <f>IF($A88="",NA(),$A88)</f>
        <v>#N/A</v>
      </c>
      <c r="W88" s="116" t="e">
        <f>IF($A88="",NA(),$H88)</f>
        <v>#N/A</v>
      </c>
      <c r="Y88" s="117" t="e">
        <f>IF($A88="",NA(),$A88)</f>
        <v>#N/A</v>
      </c>
      <c r="Z88" s="116" t="e">
        <f>IF($A88="",NA(),$J88)</f>
        <v>#N/A</v>
      </c>
      <c r="AB88" s="117" t="e">
        <f>IF($A88="",NA(),$A88)</f>
        <v>#N/A</v>
      </c>
      <c r="AC88" s="116" t="e">
        <f>IF($A88="",NA(),$D88)</f>
        <v>#N/A</v>
      </c>
      <c r="AD88" s="116" t="e">
        <f>IF($A88="",NA(),$E88)</f>
        <v>#N/A</v>
      </c>
      <c r="AF88" s="117" t="e">
        <f>IF($A88="",NA(),$A88)</f>
        <v>#N/A</v>
      </c>
      <c r="AG88" s="116" t="e">
        <f>IF($A88="",NA(),$F88)</f>
        <v>#N/A</v>
      </c>
      <c r="AI88" s="117" t="e">
        <f>IF($A88="",NA(),$A88)</f>
        <v>#N/A</v>
      </c>
      <c r="AJ88" s="116" t="e">
        <f>IF($A88="",NA(),$K88)</f>
        <v>#N/A</v>
      </c>
      <c r="AL88" s="117" t="e">
        <f>IF($A88="",NA(),$A88)</f>
        <v>#N/A</v>
      </c>
      <c r="AM88" s="116" t="e">
        <f>IF($A88="",NA(),$G88)</f>
        <v>#N/A</v>
      </c>
    </row>
    <row r="89" spans="1:39" x14ac:dyDescent="0.3">
      <c r="A89" s="95" t="str">
        <f>IF($M89="","",SUMIFS('Daily Data'!$A$4:$A$503,'Daily Data'!$B$4:$B$503,$B$3,'Daily Data'!$AK$4:$AK$503,$M89))</f>
        <v/>
      </c>
      <c r="B89" s="96" t="str">
        <f>IF($M89="","",SUMIFS('Daily Data'!$E$4:$E$503,'Daily Data'!$B$4:$B$503,$B$3,'Daily Data'!$AK$4:$AK$503,$M89))</f>
        <v/>
      </c>
      <c r="C89" s="97" t="str">
        <f>IF($M89="","",SUMIFS('Daily Data'!$H$4:$H$503,'Daily Data'!$B$4:$B$503,$B$3,'Daily Data'!$AK$4:$AK$503,$M89))</f>
        <v/>
      </c>
      <c r="D89" s="98" t="str">
        <f>IF($M89="","",SUMIFS('Daily Data'!$L$4:$L$503,'Daily Data'!$B$4:$B$503,$B$3,'Daily Data'!$AK$4:$AK$503,$M89))</f>
        <v/>
      </c>
      <c r="E89" s="98" t="str">
        <f>IF($M89="","",SUMIFS('Daily Data'!$M$4:$M$503,'Daily Data'!$B$4:$B$503,$B$3,'Daily Data'!$AK$4:$AK$503,$M89))</f>
        <v/>
      </c>
      <c r="F89" s="99" t="str">
        <f>IF($M89="","",SUMIFS('Daily Data'!$S$4:$S$503,'Daily Data'!$B$4:$B$503,$B$3,'Daily Data'!$AK$4:$AK$503,$M89))</f>
        <v/>
      </c>
      <c r="G89" s="97" t="str">
        <f>IF($M89="","",IF(COUNTIFS('Daily Data'!$B$4:$B$503,$B$3,'Daily Data'!$AK$4:$AK$503,$M89,'Daily Data'!$AA$4:$AA$503,"&gt;=-1E+300")=0,"",SUMIFS('Daily Data'!$AA$4:$AA$503,'Daily Data'!$B$4:$B$503,$B$3,'Daily Data'!$AK$4:$AK$503,$M89)))</f>
        <v/>
      </c>
      <c r="H89" s="98" t="str">
        <f>IF($M89="","",SUMIFS('Daily Data'!$K$4:$K$503,'Daily Data'!$B$4:$B$503,$B$3,'Daily Data'!$AK$4:$AK$503,$M89))</f>
        <v/>
      </c>
      <c r="I89" s="99" t="str">
        <f>IF($M89="","",IF(COUNTIFS('Daily Data'!$B$4:$B$503,$B$3,'Daily Data'!$AK$4:$AK$503,$M89,'Daily Data'!$AC$4:$AC$503,"&gt;=-1E+300")=0,"",SUMIFS('Daily Data'!$AC$4:$AC$503,'Daily Data'!$B$4:$B$503,$B$3,'Daily Data'!$AK$4:$AK$503,$M89)))</f>
        <v/>
      </c>
      <c r="J89" s="98" t="str">
        <f>IF($M89="","",SUMIFS('Daily Data'!$I$4:$I$503,'Daily Data'!$B$4:$B$503,$B$3,'Daily Data'!$AK$4:$AK$503,$M89))</f>
        <v/>
      </c>
      <c r="K89" s="100" t="str">
        <f>IF($M89="","",SUMIFS('Daily Data'!$AH$4:$AH$503,'Daily Data'!$B$4:$B$503,$B$3,'Daily Data'!$AK$4:$AK$503,$M89))</f>
        <v/>
      </c>
      <c r="L89" s="101" t="str">
        <f>IF($K89="","",IF($K89&lt;Settings!$C$46,"Extreme Sell Pressure",IF($K89&lt;Settings!$C$47,"Sell Pressure",IF($K89&lt;=Settings!$C$48,"Neutral",IF($K89&lt;=Settings!$C$49,"Buy Pressure","Extreme Buy Pressure")))))</f>
        <v/>
      </c>
      <c r="M89" s="112" t="str">
        <f>IF(COUNTIF('Daily Data'!$B$4:$B$503,$B$3)-100+ROW()-9&lt;1,"",COUNTIF('Daily Data'!$B$4:$B$503,$B$3)-100+ROW()-9)</f>
        <v/>
      </c>
      <c r="N89" s="97" t="str">
        <f>IF($M89="","",IF(COUNTIFS('Daily Data'!$B$4:$B$503,$B$3,'Daily Data'!$AK$4:$AK$503,$M89,'Daily Data'!$AD$4:$AD$503,"&gt;=-1E+300")=0,"",SUMIFS('Daily Data'!$AD$4:$AD$503,'Daily Data'!$B$4:$B$503,$B$3,'Daily Data'!$AK$4:$AK$503,$M89)))</f>
        <v/>
      </c>
      <c r="O89" s="97" t="str">
        <f>IF($M89="","",IF(COUNTIFS('Daily Data'!$B$4:$B$503,$B$3,'Daily Data'!$AK$4:$AK$503,$M89,'Daily Data'!$AE$4:$AE$503,"&gt;=-1E+300")=0,"",SUMIFS('Daily Data'!$AE$4:$AE$503,'Daily Data'!$B$4:$B$503,$B$3,'Daily Data'!$AK$4:$AK$503,$M89)))</f>
        <v/>
      </c>
      <c r="P89" s="99" t="str">
        <f>IF($M89="","",IF(COUNTIFS('Daily Data'!$B$4:$B$503,$B$3,'Daily Data'!$AK$4:$AK$503,$M89,'Daily Data'!$Z$4:$Z$503,"&gt;=-1E+300")=0,"",SUMIFS('Daily Data'!$Z$4:$Z$503,'Daily Data'!$B$4:$B$503,$B$3,'Daily Data'!$AK$4:$AK$503,$M89)))</f>
        <v/>
      </c>
      <c r="Q89" s="100" t="str">
        <f>IF($M89="","",SUMIFS('Daily Data'!$AG$4:$AG$503,'Daily Data'!$B$4:$B$503,$B$3,'Daily Data'!$AK$4:$AK$503,$M89))</f>
        <v/>
      </c>
      <c r="S89" s="117" t="e">
        <f>IF($A89="",NA(),$A89)</f>
        <v>#N/A</v>
      </c>
      <c r="T89" s="116" t="e">
        <f>IF($A89="",NA(),$B89)</f>
        <v>#N/A</v>
      </c>
      <c r="V89" s="117" t="e">
        <f>IF($A89="",NA(),$A89)</f>
        <v>#N/A</v>
      </c>
      <c r="W89" s="116" t="e">
        <f>IF($A89="",NA(),$H89)</f>
        <v>#N/A</v>
      </c>
      <c r="Y89" s="117" t="e">
        <f>IF($A89="",NA(),$A89)</f>
        <v>#N/A</v>
      </c>
      <c r="Z89" s="116" t="e">
        <f>IF($A89="",NA(),$J89)</f>
        <v>#N/A</v>
      </c>
      <c r="AB89" s="117" t="e">
        <f>IF($A89="",NA(),$A89)</f>
        <v>#N/A</v>
      </c>
      <c r="AC89" s="116" t="e">
        <f>IF($A89="",NA(),$D89)</f>
        <v>#N/A</v>
      </c>
      <c r="AD89" s="116" t="e">
        <f>IF($A89="",NA(),$E89)</f>
        <v>#N/A</v>
      </c>
      <c r="AF89" s="117" t="e">
        <f>IF($A89="",NA(),$A89)</f>
        <v>#N/A</v>
      </c>
      <c r="AG89" s="116" t="e">
        <f>IF($A89="",NA(),$F89)</f>
        <v>#N/A</v>
      </c>
      <c r="AI89" s="117" t="e">
        <f>IF($A89="",NA(),$A89)</f>
        <v>#N/A</v>
      </c>
      <c r="AJ89" s="116" t="e">
        <f>IF($A89="",NA(),$K89)</f>
        <v>#N/A</v>
      </c>
      <c r="AL89" s="117" t="e">
        <f>IF($A89="",NA(),$A89)</f>
        <v>#N/A</v>
      </c>
      <c r="AM89" s="116" t="e">
        <f>IF($A89="",NA(),$G89)</f>
        <v>#N/A</v>
      </c>
    </row>
    <row r="90" spans="1:39" x14ac:dyDescent="0.3">
      <c r="A90" s="95" t="str">
        <f>IF($M90="","",SUMIFS('Daily Data'!$A$4:$A$503,'Daily Data'!$B$4:$B$503,$B$3,'Daily Data'!$AK$4:$AK$503,$M90))</f>
        <v/>
      </c>
      <c r="B90" s="96" t="str">
        <f>IF($M90="","",SUMIFS('Daily Data'!$E$4:$E$503,'Daily Data'!$B$4:$B$503,$B$3,'Daily Data'!$AK$4:$AK$503,$M90))</f>
        <v/>
      </c>
      <c r="C90" s="97" t="str">
        <f>IF($M90="","",SUMIFS('Daily Data'!$H$4:$H$503,'Daily Data'!$B$4:$B$503,$B$3,'Daily Data'!$AK$4:$AK$503,$M90))</f>
        <v/>
      </c>
      <c r="D90" s="98" t="str">
        <f>IF($M90="","",SUMIFS('Daily Data'!$L$4:$L$503,'Daily Data'!$B$4:$B$503,$B$3,'Daily Data'!$AK$4:$AK$503,$M90))</f>
        <v/>
      </c>
      <c r="E90" s="98" t="str">
        <f>IF($M90="","",SUMIFS('Daily Data'!$M$4:$M$503,'Daily Data'!$B$4:$B$503,$B$3,'Daily Data'!$AK$4:$AK$503,$M90))</f>
        <v/>
      </c>
      <c r="F90" s="99" t="str">
        <f>IF($M90="","",SUMIFS('Daily Data'!$S$4:$S$503,'Daily Data'!$B$4:$B$503,$B$3,'Daily Data'!$AK$4:$AK$503,$M90))</f>
        <v/>
      </c>
      <c r="G90" s="97" t="str">
        <f>IF($M90="","",IF(COUNTIFS('Daily Data'!$B$4:$B$503,$B$3,'Daily Data'!$AK$4:$AK$503,$M90,'Daily Data'!$AA$4:$AA$503,"&gt;=-1E+300")=0,"",SUMIFS('Daily Data'!$AA$4:$AA$503,'Daily Data'!$B$4:$B$503,$B$3,'Daily Data'!$AK$4:$AK$503,$M90)))</f>
        <v/>
      </c>
      <c r="H90" s="98" t="str">
        <f>IF($M90="","",SUMIFS('Daily Data'!$K$4:$K$503,'Daily Data'!$B$4:$B$503,$B$3,'Daily Data'!$AK$4:$AK$503,$M90))</f>
        <v/>
      </c>
      <c r="I90" s="99" t="str">
        <f>IF($M90="","",IF(COUNTIFS('Daily Data'!$B$4:$B$503,$B$3,'Daily Data'!$AK$4:$AK$503,$M90,'Daily Data'!$AC$4:$AC$503,"&gt;=-1E+300")=0,"",SUMIFS('Daily Data'!$AC$4:$AC$503,'Daily Data'!$B$4:$B$503,$B$3,'Daily Data'!$AK$4:$AK$503,$M90)))</f>
        <v/>
      </c>
      <c r="J90" s="98" t="str">
        <f>IF($M90="","",SUMIFS('Daily Data'!$I$4:$I$503,'Daily Data'!$B$4:$B$503,$B$3,'Daily Data'!$AK$4:$AK$503,$M90))</f>
        <v/>
      </c>
      <c r="K90" s="100" t="str">
        <f>IF($M90="","",SUMIFS('Daily Data'!$AH$4:$AH$503,'Daily Data'!$B$4:$B$503,$B$3,'Daily Data'!$AK$4:$AK$503,$M90))</f>
        <v/>
      </c>
      <c r="L90" s="101" t="str">
        <f>IF($K90="","",IF($K90&lt;Settings!$C$46,"Extreme Sell Pressure",IF($K90&lt;Settings!$C$47,"Sell Pressure",IF($K90&lt;=Settings!$C$48,"Neutral",IF($K90&lt;=Settings!$C$49,"Buy Pressure","Extreme Buy Pressure")))))</f>
        <v/>
      </c>
      <c r="M90" s="112" t="str">
        <f>IF(COUNTIF('Daily Data'!$B$4:$B$503,$B$3)-100+ROW()-9&lt;1,"",COUNTIF('Daily Data'!$B$4:$B$503,$B$3)-100+ROW()-9)</f>
        <v/>
      </c>
      <c r="N90" s="97" t="str">
        <f>IF($M90="","",IF(COUNTIFS('Daily Data'!$B$4:$B$503,$B$3,'Daily Data'!$AK$4:$AK$503,$M90,'Daily Data'!$AD$4:$AD$503,"&gt;=-1E+300")=0,"",SUMIFS('Daily Data'!$AD$4:$AD$503,'Daily Data'!$B$4:$B$503,$B$3,'Daily Data'!$AK$4:$AK$503,$M90)))</f>
        <v/>
      </c>
      <c r="O90" s="97" t="str">
        <f>IF($M90="","",IF(COUNTIFS('Daily Data'!$B$4:$B$503,$B$3,'Daily Data'!$AK$4:$AK$503,$M90,'Daily Data'!$AE$4:$AE$503,"&gt;=-1E+300")=0,"",SUMIFS('Daily Data'!$AE$4:$AE$503,'Daily Data'!$B$4:$B$503,$B$3,'Daily Data'!$AK$4:$AK$503,$M90)))</f>
        <v/>
      </c>
      <c r="P90" s="99" t="str">
        <f>IF($M90="","",IF(COUNTIFS('Daily Data'!$B$4:$B$503,$B$3,'Daily Data'!$AK$4:$AK$503,$M90,'Daily Data'!$Z$4:$Z$503,"&gt;=-1E+300")=0,"",SUMIFS('Daily Data'!$Z$4:$Z$503,'Daily Data'!$B$4:$B$503,$B$3,'Daily Data'!$AK$4:$AK$503,$M90)))</f>
        <v/>
      </c>
      <c r="Q90" s="100" t="str">
        <f>IF($M90="","",SUMIFS('Daily Data'!$AG$4:$AG$503,'Daily Data'!$B$4:$B$503,$B$3,'Daily Data'!$AK$4:$AK$503,$M90))</f>
        <v/>
      </c>
      <c r="S90" s="117" t="e">
        <f>IF($A90="",NA(),$A90)</f>
        <v>#N/A</v>
      </c>
      <c r="T90" s="116" t="e">
        <f>IF($A90="",NA(),$B90)</f>
        <v>#N/A</v>
      </c>
      <c r="V90" s="117" t="e">
        <f>IF($A90="",NA(),$A90)</f>
        <v>#N/A</v>
      </c>
      <c r="W90" s="116" t="e">
        <f>IF($A90="",NA(),$H90)</f>
        <v>#N/A</v>
      </c>
      <c r="Y90" s="117" t="e">
        <f>IF($A90="",NA(),$A90)</f>
        <v>#N/A</v>
      </c>
      <c r="Z90" s="116" t="e">
        <f>IF($A90="",NA(),$J90)</f>
        <v>#N/A</v>
      </c>
      <c r="AB90" s="117" t="e">
        <f>IF($A90="",NA(),$A90)</f>
        <v>#N/A</v>
      </c>
      <c r="AC90" s="116" t="e">
        <f>IF($A90="",NA(),$D90)</f>
        <v>#N/A</v>
      </c>
      <c r="AD90" s="116" t="e">
        <f>IF($A90="",NA(),$E90)</f>
        <v>#N/A</v>
      </c>
      <c r="AF90" s="117" t="e">
        <f>IF($A90="",NA(),$A90)</f>
        <v>#N/A</v>
      </c>
      <c r="AG90" s="116" t="e">
        <f>IF($A90="",NA(),$F90)</f>
        <v>#N/A</v>
      </c>
      <c r="AI90" s="117" t="e">
        <f>IF($A90="",NA(),$A90)</f>
        <v>#N/A</v>
      </c>
      <c r="AJ90" s="116" t="e">
        <f>IF($A90="",NA(),$K90)</f>
        <v>#N/A</v>
      </c>
      <c r="AL90" s="117" t="e">
        <f>IF($A90="",NA(),$A90)</f>
        <v>#N/A</v>
      </c>
      <c r="AM90" s="116" t="e">
        <f>IF($A90="",NA(),$G90)</f>
        <v>#N/A</v>
      </c>
    </row>
    <row r="91" spans="1:39" x14ac:dyDescent="0.3">
      <c r="A91" s="95" t="str">
        <f>IF($M91="","",SUMIFS('Daily Data'!$A$4:$A$503,'Daily Data'!$B$4:$B$503,$B$3,'Daily Data'!$AK$4:$AK$503,$M91))</f>
        <v/>
      </c>
      <c r="B91" s="96" t="str">
        <f>IF($M91="","",SUMIFS('Daily Data'!$E$4:$E$503,'Daily Data'!$B$4:$B$503,$B$3,'Daily Data'!$AK$4:$AK$503,$M91))</f>
        <v/>
      </c>
      <c r="C91" s="97" t="str">
        <f>IF($M91="","",SUMIFS('Daily Data'!$H$4:$H$503,'Daily Data'!$B$4:$B$503,$B$3,'Daily Data'!$AK$4:$AK$503,$M91))</f>
        <v/>
      </c>
      <c r="D91" s="98" t="str">
        <f>IF($M91="","",SUMIFS('Daily Data'!$L$4:$L$503,'Daily Data'!$B$4:$B$503,$B$3,'Daily Data'!$AK$4:$AK$503,$M91))</f>
        <v/>
      </c>
      <c r="E91" s="98" t="str">
        <f>IF($M91="","",SUMIFS('Daily Data'!$M$4:$M$503,'Daily Data'!$B$4:$B$503,$B$3,'Daily Data'!$AK$4:$AK$503,$M91))</f>
        <v/>
      </c>
      <c r="F91" s="99" t="str">
        <f>IF($M91="","",SUMIFS('Daily Data'!$S$4:$S$503,'Daily Data'!$B$4:$B$503,$B$3,'Daily Data'!$AK$4:$AK$503,$M91))</f>
        <v/>
      </c>
      <c r="G91" s="97" t="str">
        <f>IF($M91="","",IF(COUNTIFS('Daily Data'!$B$4:$B$503,$B$3,'Daily Data'!$AK$4:$AK$503,$M91,'Daily Data'!$AA$4:$AA$503,"&gt;=-1E+300")=0,"",SUMIFS('Daily Data'!$AA$4:$AA$503,'Daily Data'!$B$4:$B$503,$B$3,'Daily Data'!$AK$4:$AK$503,$M91)))</f>
        <v/>
      </c>
      <c r="H91" s="98" t="str">
        <f>IF($M91="","",SUMIFS('Daily Data'!$K$4:$K$503,'Daily Data'!$B$4:$B$503,$B$3,'Daily Data'!$AK$4:$AK$503,$M91))</f>
        <v/>
      </c>
      <c r="I91" s="99" t="str">
        <f>IF($M91="","",IF(COUNTIFS('Daily Data'!$B$4:$B$503,$B$3,'Daily Data'!$AK$4:$AK$503,$M91,'Daily Data'!$AC$4:$AC$503,"&gt;=-1E+300")=0,"",SUMIFS('Daily Data'!$AC$4:$AC$503,'Daily Data'!$B$4:$B$503,$B$3,'Daily Data'!$AK$4:$AK$503,$M91)))</f>
        <v/>
      </c>
      <c r="J91" s="98" t="str">
        <f>IF($M91="","",SUMIFS('Daily Data'!$I$4:$I$503,'Daily Data'!$B$4:$B$503,$B$3,'Daily Data'!$AK$4:$AK$503,$M91))</f>
        <v/>
      </c>
      <c r="K91" s="100" t="str">
        <f>IF($M91="","",SUMIFS('Daily Data'!$AH$4:$AH$503,'Daily Data'!$B$4:$B$503,$B$3,'Daily Data'!$AK$4:$AK$503,$M91))</f>
        <v/>
      </c>
      <c r="L91" s="101" t="str">
        <f>IF($K91="","",IF($K91&lt;Settings!$C$46,"Extreme Sell Pressure",IF($K91&lt;Settings!$C$47,"Sell Pressure",IF($K91&lt;=Settings!$C$48,"Neutral",IF($K91&lt;=Settings!$C$49,"Buy Pressure","Extreme Buy Pressure")))))</f>
        <v/>
      </c>
      <c r="M91" s="112" t="str">
        <f>IF(COUNTIF('Daily Data'!$B$4:$B$503,$B$3)-100+ROW()-9&lt;1,"",COUNTIF('Daily Data'!$B$4:$B$503,$B$3)-100+ROW()-9)</f>
        <v/>
      </c>
      <c r="N91" s="97" t="str">
        <f>IF($M91="","",IF(COUNTIFS('Daily Data'!$B$4:$B$503,$B$3,'Daily Data'!$AK$4:$AK$503,$M91,'Daily Data'!$AD$4:$AD$503,"&gt;=-1E+300")=0,"",SUMIFS('Daily Data'!$AD$4:$AD$503,'Daily Data'!$B$4:$B$503,$B$3,'Daily Data'!$AK$4:$AK$503,$M91)))</f>
        <v/>
      </c>
      <c r="O91" s="97" t="str">
        <f>IF($M91="","",IF(COUNTIFS('Daily Data'!$B$4:$B$503,$B$3,'Daily Data'!$AK$4:$AK$503,$M91,'Daily Data'!$AE$4:$AE$503,"&gt;=-1E+300")=0,"",SUMIFS('Daily Data'!$AE$4:$AE$503,'Daily Data'!$B$4:$B$503,$B$3,'Daily Data'!$AK$4:$AK$503,$M91)))</f>
        <v/>
      </c>
      <c r="P91" s="99" t="str">
        <f>IF($M91="","",IF(COUNTIFS('Daily Data'!$B$4:$B$503,$B$3,'Daily Data'!$AK$4:$AK$503,$M91,'Daily Data'!$Z$4:$Z$503,"&gt;=-1E+300")=0,"",SUMIFS('Daily Data'!$Z$4:$Z$503,'Daily Data'!$B$4:$B$503,$B$3,'Daily Data'!$AK$4:$AK$503,$M91)))</f>
        <v/>
      </c>
      <c r="Q91" s="100" t="str">
        <f>IF($M91="","",SUMIFS('Daily Data'!$AG$4:$AG$503,'Daily Data'!$B$4:$B$503,$B$3,'Daily Data'!$AK$4:$AK$503,$M91))</f>
        <v/>
      </c>
      <c r="S91" s="117" t="e">
        <f>IF($A91="",NA(),$A91)</f>
        <v>#N/A</v>
      </c>
      <c r="T91" s="116" t="e">
        <f>IF($A91="",NA(),$B91)</f>
        <v>#N/A</v>
      </c>
      <c r="V91" s="117" t="e">
        <f>IF($A91="",NA(),$A91)</f>
        <v>#N/A</v>
      </c>
      <c r="W91" s="116" t="e">
        <f>IF($A91="",NA(),$H91)</f>
        <v>#N/A</v>
      </c>
      <c r="Y91" s="117" t="e">
        <f>IF($A91="",NA(),$A91)</f>
        <v>#N/A</v>
      </c>
      <c r="Z91" s="116" t="e">
        <f>IF($A91="",NA(),$J91)</f>
        <v>#N/A</v>
      </c>
      <c r="AB91" s="117" t="e">
        <f>IF($A91="",NA(),$A91)</f>
        <v>#N/A</v>
      </c>
      <c r="AC91" s="116" t="e">
        <f>IF($A91="",NA(),$D91)</f>
        <v>#N/A</v>
      </c>
      <c r="AD91" s="116" t="e">
        <f>IF($A91="",NA(),$E91)</f>
        <v>#N/A</v>
      </c>
      <c r="AF91" s="117" t="e">
        <f>IF($A91="",NA(),$A91)</f>
        <v>#N/A</v>
      </c>
      <c r="AG91" s="116" t="e">
        <f>IF($A91="",NA(),$F91)</f>
        <v>#N/A</v>
      </c>
      <c r="AI91" s="117" t="e">
        <f>IF($A91="",NA(),$A91)</f>
        <v>#N/A</v>
      </c>
      <c r="AJ91" s="116" t="e">
        <f>IF($A91="",NA(),$K91)</f>
        <v>#N/A</v>
      </c>
      <c r="AL91" s="117" t="e">
        <f>IF($A91="",NA(),$A91)</f>
        <v>#N/A</v>
      </c>
      <c r="AM91" s="116" t="e">
        <f>IF($A91="",NA(),$G91)</f>
        <v>#N/A</v>
      </c>
    </row>
    <row r="92" spans="1:39" x14ac:dyDescent="0.3">
      <c r="A92" s="95" t="str">
        <f>IF($M92="","",SUMIFS('Daily Data'!$A$4:$A$503,'Daily Data'!$B$4:$B$503,$B$3,'Daily Data'!$AK$4:$AK$503,$M92))</f>
        <v/>
      </c>
      <c r="B92" s="96" t="str">
        <f>IF($M92="","",SUMIFS('Daily Data'!$E$4:$E$503,'Daily Data'!$B$4:$B$503,$B$3,'Daily Data'!$AK$4:$AK$503,$M92))</f>
        <v/>
      </c>
      <c r="C92" s="97" t="str">
        <f>IF($M92="","",SUMIFS('Daily Data'!$H$4:$H$503,'Daily Data'!$B$4:$B$503,$B$3,'Daily Data'!$AK$4:$AK$503,$M92))</f>
        <v/>
      </c>
      <c r="D92" s="98" t="str">
        <f>IF($M92="","",SUMIFS('Daily Data'!$L$4:$L$503,'Daily Data'!$B$4:$B$503,$B$3,'Daily Data'!$AK$4:$AK$503,$M92))</f>
        <v/>
      </c>
      <c r="E92" s="98" t="str">
        <f>IF($M92="","",SUMIFS('Daily Data'!$M$4:$M$503,'Daily Data'!$B$4:$B$503,$B$3,'Daily Data'!$AK$4:$AK$503,$M92))</f>
        <v/>
      </c>
      <c r="F92" s="99" t="str">
        <f>IF($M92="","",SUMIFS('Daily Data'!$S$4:$S$503,'Daily Data'!$B$4:$B$503,$B$3,'Daily Data'!$AK$4:$AK$503,$M92))</f>
        <v/>
      </c>
      <c r="G92" s="97" t="str">
        <f>IF($M92="","",IF(COUNTIFS('Daily Data'!$B$4:$B$503,$B$3,'Daily Data'!$AK$4:$AK$503,$M92,'Daily Data'!$AA$4:$AA$503,"&gt;=-1E+300")=0,"",SUMIFS('Daily Data'!$AA$4:$AA$503,'Daily Data'!$B$4:$B$503,$B$3,'Daily Data'!$AK$4:$AK$503,$M92)))</f>
        <v/>
      </c>
      <c r="H92" s="98" t="str">
        <f>IF($M92="","",SUMIFS('Daily Data'!$K$4:$K$503,'Daily Data'!$B$4:$B$503,$B$3,'Daily Data'!$AK$4:$AK$503,$M92))</f>
        <v/>
      </c>
      <c r="I92" s="99" t="str">
        <f>IF($M92="","",IF(COUNTIFS('Daily Data'!$B$4:$B$503,$B$3,'Daily Data'!$AK$4:$AK$503,$M92,'Daily Data'!$AC$4:$AC$503,"&gt;=-1E+300")=0,"",SUMIFS('Daily Data'!$AC$4:$AC$503,'Daily Data'!$B$4:$B$503,$B$3,'Daily Data'!$AK$4:$AK$503,$M92)))</f>
        <v/>
      </c>
      <c r="J92" s="98" t="str">
        <f>IF($M92="","",SUMIFS('Daily Data'!$I$4:$I$503,'Daily Data'!$B$4:$B$503,$B$3,'Daily Data'!$AK$4:$AK$503,$M92))</f>
        <v/>
      </c>
      <c r="K92" s="100" t="str">
        <f>IF($M92="","",SUMIFS('Daily Data'!$AH$4:$AH$503,'Daily Data'!$B$4:$B$503,$B$3,'Daily Data'!$AK$4:$AK$503,$M92))</f>
        <v/>
      </c>
      <c r="L92" s="101" t="str">
        <f>IF($K92="","",IF($K92&lt;Settings!$C$46,"Extreme Sell Pressure",IF($K92&lt;Settings!$C$47,"Sell Pressure",IF($K92&lt;=Settings!$C$48,"Neutral",IF($K92&lt;=Settings!$C$49,"Buy Pressure","Extreme Buy Pressure")))))</f>
        <v/>
      </c>
      <c r="M92" s="112" t="str">
        <f>IF(COUNTIF('Daily Data'!$B$4:$B$503,$B$3)-100+ROW()-9&lt;1,"",COUNTIF('Daily Data'!$B$4:$B$503,$B$3)-100+ROW()-9)</f>
        <v/>
      </c>
      <c r="N92" s="97" t="str">
        <f>IF($M92="","",IF(COUNTIFS('Daily Data'!$B$4:$B$503,$B$3,'Daily Data'!$AK$4:$AK$503,$M92,'Daily Data'!$AD$4:$AD$503,"&gt;=-1E+300")=0,"",SUMIFS('Daily Data'!$AD$4:$AD$503,'Daily Data'!$B$4:$B$503,$B$3,'Daily Data'!$AK$4:$AK$503,$M92)))</f>
        <v/>
      </c>
      <c r="O92" s="97" t="str">
        <f>IF($M92="","",IF(COUNTIFS('Daily Data'!$B$4:$B$503,$B$3,'Daily Data'!$AK$4:$AK$503,$M92,'Daily Data'!$AE$4:$AE$503,"&gt;=-1E+300")=0,"",SUMIFS('Daily Data'!$AE$4:$AE$503,'Daily Data'!$B$4:$B$503,$B$3,'Daily Data'!$AK$4:$AK$503,$M92)))</f>
        <v/>
      </c>
      <c r="P92" s="99" t="str">
        <f>IF($M92="","",IF(COUNTIFS('Daily Data'!$B$4:$B$503,$B$3,'Daily Data'!$AK$4:$AK$503,$M92,'Daily Data'!$Z$4:$Z$503,"&gt;=-1E+300")=0,"",SUMIFS('Daily Data'!$Z$4:$Z$503,'Daily Data'!$B$4:$B$503,$B$3,'Daily Data'!$AK$4:$AK$503,$M92)))</f>
        <v/>
      </c>
      <c r="Q92" s="100" t="str">
        <f>IF($M92="","",SUMIFS('Daily Data'!$AG$4:$AG$503,'Daily Data'!$B$4:$B$503,$B$3,'Daily Data'!$AK$4:$AK$503,$M92))</f>
        <v/>
      </c>
      <c r="S92" s="117" t="e">
        <f>IF($A92="",NA(),$A92)</f>
        <v>#N/A</v>
      </c>
      <c r="T92" s="116" t="e">
        <f>IF($A92="",NA(),$B92)</f>
        <v>#N/A</v>
      </c>
      <c r="V92" s="117" t="e">
        <f>IF($A92="",NA(),$A92)</f>
        <v>#N/A</v>
      </c>
      <c r="W92" s="116" t="e">
        <f>IF($A92="",NA(),$H92)</f>
        <v>#N/A</v>
      </c>
      <c r="Y92" s="117" t="e">
        <f>IF($A92="",NA(),$A92)</f>
        <v>#N/A</v>
      </c>
      <c r="Z92" s="116" t="e">
        <f>IF($A92="",NA(),$J92)</f>
        <v>#N/A</v>
      </c>
      <c r="AB92" s="117" t="e">
        <f>IF($A92="",NA(),$A92)</f>
        <v>#N/A</v>
      </c>
      <c r="AC92" s="116" t="e">
        <f>IF($A92="",NA(),$D92)</f>
        <v>#N/A</v>
      </c>
      <c r="AD92" s="116" t="e">
        <f>IF($A92="",NA(),$E92)</f>
        <v>#N/A</v>
      </c>
      <c r="AF92" s="117" t="e">
        <f>IF($A92="",NA(),$A92)</f>
        <v>#N/A</v>
      </c>
      <c r="AG92" s="116" t="e">
        <f>IF($A92="",NA(),$F92)</f>
        <v>#N/A</v>
      </c>
      <c r="AI92" s="117" t="e">
        <f>IF($A92="",NA(),$A92)</f>
        <v>#N/A</v>
      </c>
      <c r="AJ92" s="116" t="e">
        <f>IF($A92="",NA(),$K92)</f>
        <v>#N/A</v>
      </c>
      <c r="AL92" s="117" t="e">
        <f>IF($A92="",NA(),$A92)</f>
        <v>#N/A</v>
      </c>
      <c r="AM92" s="116" t="e">
        <f>IF($A92="",NA(),$G92)</f>
        <v>#N/A</v>
      </c>
    </row>
    <row r="93" spans="1:39" x14ac:dyDescent="0.3">
      <c r="A93" s="95" t="str">
        <f>IF($M93="","",SUMIFS('Daily Data'!$A$4:$A$503,'Daily Data'!$B$4:$B$503,$B$3,'Daily Data'!$AK$4:$AK$503,$M93))</f>
        <v/>
      </c>
      <c r="B93" s="96" t="str">
        <f>IF($M93="","",SUMIFS('Daily Data'!$E$4:$E$503,'Daily Data'!$B$4:$B$503,$B$3,'Daily Data'!$AK$4:$AK$503,$M93))</f>
        <v/>
      </c>
      <c r="C93" s="97" t="str">
        <f>IF($M93="","",SUMIFS('Daily Data'!$H$4:$H$503,'Daily Data'!$B$4:$B$503,$B$3,'Daily Data'!$AK$4:$AK$503,$M93))</f>
        <v/>
      </c>
      <c r="D93" s="98" t="str">
        <f>IF($M93="","",SUMIFS('Daily Data'!$L$4:$L$503,'Daily Data'!$B$4:$B$503,$B$3,'Daily Data'!$AK$4:$AK$503,$M93))</f>
        <v/>
      </c>
      <c r="E93" s="98" t="str">
        <f>IF($M93="","",SUMIFS('Daily Data'!$M$4:$M$503,'Daily Data'!$B$4:$B$503,$B$3,'Daily Data'!$AK$4:$AK$503,$M93))</f>
        <v/>
      </c>
      <c r="F93" s="99" t="str">
        <f>IF($M93="","",SUMIFS('Daily Data'!$S$4:$S$503,'Daily Data'!$B$4:$B$503,$B$3,'Daily Data'!$AK$4:$AK$503,$M93))</f>
        <v/>
      </c>
      <c r="G93" s="97" t="str">
        <f>IF($M93="","",IF(COUNTIFS('Daily Data'!$B$4:$B$503,$B$3,'Daily Data'!$AK$4:$AK$503,$M93,'Daily Data'!$AA$4:$AA$503,"&gt;=-1E+300")=0,"",SUMIFS('Daily Data'!$AA$4:$AA$503,'Daily Data'!$B$4:$B$503,$B$3,'Daily Data'!$AK$4:$AK$503,$M93)))</f>
        <v/>
      </c>
      <c r="H93" s="98" t="str">
        <f>IF($M93="","",SUMIFS('Daily Data'!$K$4:$K$503,'Daily Data'!$B$4:$B$503,$B$3,'Daily Data'!$AK$4:$AK$503,$M93))</f>
        <v/>
      </c>
      <c r="I93" s="99" t="str">
        <f>IF($M93="","",IF(COUNTIFS('Daily Data'!$B$4:$B$503,$B$3,'Daily Data'!$AK$4:$AK$503,$M93,'Daily Data'!$AC$4:$AC$503,"&gt;=-1E+300")=0,"",SUMIFS('Daily Data'!$AC$4:$AC$503,'Daily Data'!$B$4:$B$503,$B$3,'Daily Data'!$AK$4:$AK$503,$M93)))</f>
        <v/>
      </c>
      <c r="J93" s="98" t="str">
        <f>IF($M93="","",SUMIFS('Daily Data'!$I$4:$I$503,'Daily Data'!$B$4:$B$503,$B$3,'Daily Data'!$AK$4:$AK$503,$M93))</f>
        <v/>
      </c>
      <c r="K93" s="100" t="str">
        <f>IF($M93="","",SUMIFS('Daily Data'!$AH$4:$AH$503,'Daily Data'!$B$4:$B$503,$B$3,'Daily Data'!$AK$4:$AK$503,$M93))</f>
        <v/>
      </c>
      <c r="L93" s="101" t="str">
        <f>IF($K93="","",IF($K93&lt;Settings!$C$46,"Extreme Sell Pressure",IF($K93&lt;Settings!$C$47,"Sell Pressure",IF($K93&lt;=Settings!$C$48,"Neutral",IF($K93&lt;=Settings!$C$49,"Buy Pressure","Extreme Buy Pressure")))))</f>
        <v/>
      </c>
      <c r="M93" s="112" t="str">
        <f>IF(COUNTIF('Daily Data'!$B$4:$B$503,$B$3)-100+ROW()-9&lt;1,"",COUNTIF('Daily Data'!$B$4:$B$503,$B$3)-100+ROW()-9)</f>
        <v/>
      </c>
      <c r="N93" s="97" t="str">
        <f>IF($M93="","",IF(COUNTIFS('Daily Data'!$B$4:$B$503,$B$3,'Daily Data'!$AK$4:$AK$503,$M93,'Daily Data'!$AD$4:$AD$503,"&gt;=-1E+300")=0,"",SUMIFS('Daily Data'!$AD$4:$AD$503,'Daily Data'!$B$4:$B$503,$B$3,'Daily Data'!$AK$4:$AK$503,$M93)))</f>
        <v/>
      </c>
      <c r="O93" s="97" t="str">
        <f>IF($M93="","",IF(COUNTIFS('Daily Data'!$B$4:$B$503,$B$3,'Daily Data'!$AK$4:$AK$503,$M93,'Daily Data'!$AE$4:$AE$503,"&gt;=-1E+300")=0,"",SUMIFS('Daily Data'!$AE$4:$AE$503,'Daily Data'!$B$4:$B$503,$B$3,'Daily Data'!$AK$4:$AK$503,$M93)))</f>
        <v/>
      </c>
      <c r="P93" s="99" t="str">
        <f>IF($M93="","",IF(COUNTIFS('Daily Data'!$B$4:$B$503,$B$3,'Daily Data'!$AK$4:$AK$503,$M93,'Daily Data'!$Z$4:$Z$503,"&gt;=-1E+300")=0,"",SUMIFS('Daily Data'!$Z$4:$Z$503,'Daily Data'!$B$4:$B$503,$B$3,'Daily Data'!$AK$4:$AK$503,$M93)))</f>
        <v/>
      </c>
      <c r="Q93" s="100" t="str">
        <f>IF($M93="","",SUMIFS('Daily Data'!$AG$4:$AG$503,'Daily Data'!$B$4:$B$503,$B$3,'Daily Data'!$AK$4:$AK$503,$M93))</f>
        <v/>
      </c>
      <c r="S93" s="117" t="e">
        <f>IF($A93="",NA(),$A93)</f>
        <v>#N/A</v>
      </c>
      <c r="T93" s="116" t="e">
        <f>IF($A93="",NA(),$B93)</f>
        <v>#N/A</v>
      </c>
      <c r="V93" s="117" t="e">
        <f>IF($A93="",NA(),$A93)</f>
        <v>#N/A</v>
      </c>
      <c r="W93" s="116" t="e">
        <f>IF($A93="",NA(),$H93)</f>
        <v>#N/A</v>
      </c>
      <c r="Y93" s="117" t="e">
        <f>IF($A93="",NA(),$A93)</f>
        <v>#N/A</v>
      </c>
      <c r="Z93" s="116" t="e">
        <f>IF($A93="",NA(),$J93)</f>
        <v>#N/A</v>
      </c>
      <c r="AB93" s="117" t="e">
        <f>IF($A93="",NA(),$A93)</f>
        <v>#N/A</v>
      </c>
      <c r="AC93" s="116" t="e">
        <f>IF($A93="",NA(),$D93)</f>
        <v>#N/A</v>
      </c>
      <c r="AD93" s="116" t="e">
        <f>IF($A93="",NA(),$E93)</f>
        <v>#N/A</v>
      </c>
      <c r="AF93" s="117" t="e">
        <f>IF($A93="",NA(),$A93)</f>
        <v>#N/A</v>
      </c>
      <c r="AG93" s="116" t="e">
        <f>IF($A93="",NA(),$F93)</f>
        <v>#N/A</v>
      </c>
      <c r="AI93" s="117" t="e">
        <f>IF($A93="",NA(),$A93)</f>
        <v>#N/A</v>
      </c>
      <c r="AJ93" s="116" t="e">
        <f>IF($A93="",NA(),$K93)</f>
        <v>#N/A</v>
      </c>
      <c r="AL93" s="117" t="e">
        <f>IF($A93="",NA(),$A93)</f>
        <v>#N/A</v>
      </c>
      <c r="AM93" s="116" t="e">
        <f>IF($A93="",NA(),$G93)</f>
        <v>#N/A</v>
      </c>
    </row>
    <row r="94" spans="1:39" x14ac:dyDescent="0.3">
      <c r="A94" s="95" t="str">
        <f>IF($M94="","",SUMIFS('Daily Data'!$A$4:$A$503,'Daily Data'!$B$4:$B$503,$B$3,'Daily Data'!$AK$4:$AK$503,$M94))</f>
        <v/>
      </c>
      <c r="B94" s="96" t="str">
        <f>IF($M94="","",SUMIFS('Daily Data'!$E$4:$E$503,'Daily Data'!$B$4:$B$503,$B$3,'Daily Data'!$AK$4:$AK$503,$M94))</f>
        <v/>
      </c>
      <c r="C94" s="97" t="str">
        <f>IF($M94="","",SUMIFS('Daily Data'!$H$4:$H$503,'Daily Data'!$B$4:$B$503,$B$3,'Daily Data'!$AK$4:$AK$503,$M94))</f>
        <v/>
      </c>
      <c r="D94" s="98" t="str">
        <f>IF($M94="","",SUMIFS('Daily Data'!$L$4:$L$503,'Daily Data'!$B$4:$B$503,$B$3,'Daily Data'!$AK$4:$AK$503,$M94))</f>
        <v/>
      </c>
      <c r="E94" s="98" t="str">
        <f>IF($M94="","",SUMIFS('Daily Data'!$M$4:$M$503,'Daily Data'!$B$4:$B$503,$B$3,'Daily Data'!$AK$4:$AK$503,$M94))</f>
        <v/>
      </c>
      <c r="F94" s="99" t="str">
        <f>IF($M94="","",SUMIFS('Daily Data'!$S$4:$S$503,'Daily Data'!$B$4:$B$503,$B$3,'Daily Data'!$AK$4:$AK$503,$M94))</f>
        <v/>
      </c>
      <c r="G94" s="97" t="str">
        <f>IF($M94="","",IF(COUNTIFS('Daily Data'!$B$4:$B$503,$B$3,'Daily Data'!$AK$4:$AK$503,$M94,'Daily Data'!$AA$4:$AA$503,"&gt;=-1E+300")=0,"",SUMIFS('Daily Data'!$AA$4:$AA$503,'Daily Data'!$B$4:$B$503,$B$3,'Daily Data'!$AK$4:$AK$503,$M94)))</f>
        <v/>
      </c>
      <c r="H94" s="98" t="str">
        <f>IF($M94="","",SUMIFS('Daily Data'!$K$4:$K$503,'Daily Data'!$B$4:$B$503,$B$3,'Daily Data'!$AK$4:$AK$503,$M94))</f>
        <v/>
      </c>
      <c r="I94" s="99" t="str">
        <f>IF($M94="","",IF(COUNTIFS('Daily Data'!$B$4:$B$503,$B$3,'Daily Data'!$AK$4:$AK$503,$M94,'Daily Data'!$AC$4:$AC$503,"&gt;=-1E+300")=0,"",SUMIFS('Daily Data'!$AC$4:$AC$503,'Daily Data'!$B$4:$B$503,$B$3,'Daily Data'!$AK$4:$AK$503,$M94)))</f>
        <v/>
      </c>
      <c r="J94" s="98" t="str">
        <f>IF($M94="","",SUMIFS('Daily Data'!$I$4:$I$503,'Daily Data'!$B$4:$B$503,$B$3,'Daily Data'!$AK$4:$AK$503,$M94))</f>
        <v/>
      </c>
      <c r="K94" s="100" t="str">
        <f>IF($M94="","",SUMIFS('Daily Data'!$AH$4:$AH$503,'Daily Data'!$B$4:$B$503,$B$3,'Daily Data'!$AK$4:$AK$503,$M94))</f>
        <v/>
      </c>
      <c r="L94" s="101" t="str">
        <f>IF($K94="","",IF($K94&lt;Settings!$C$46,"Extreme Sell Pressure",IF($K94&lt;Settings!$C$47,"Sell Pressure",IF($K94&lt;=Settings!$C$48,"Neutral",IF($K94&lt;=Settings!$C$49,"Buy Pressure","Extreme Buy Pressure")))))</f>
        <v/>
      </c>
      <c r="M94" s="112" t="str">
        <f>IF(COUNTIF('Daily Data'!$B$4:$B$503,$B$3)-100+ROW()-9&lt;1,"",COUNTIF('Daily Data'!$B$4:$B$503,$B$3)-100+ROW()-9)</f>
        <v/>
      </c>
      <c r="N94" s="97" t="str">
        <f>IF($M94="","",IF(COUNTIFS('Daily Data'!$B$4:$B$503,$B$3,'Daily Data'!$AK$4:$AK$503,$M94,'Daily Data'!$AD$4:$AD$503,"&gt;=-1E+300")=0,"",SUMIFS('Daily Data'!$AD$4:$AD$503,'Daily Data'!$B$4:$B$503,$B$3,'Daily Data'!$AK$4:$AK$503,$M94)))</f>
        <v/>
      </c>
      <c r="O94" s="97" t="str">
        <f>IF($M94="","",IF(COUNTIFS('Daily Data'!$B$4:$B$503,$B$3,'Daily Data'!$AK$4:$AK$503,$M94,'Daily Data'!$AE$4:$AE$503,"&gt;=-1E+300")=0,"",SUMIFS('Daily Data'!$AE$4:$AE$503,'Daily Data'!$B$4:$B$503,$B$3,'Daily Data'!$AK$4:$AK$503,$M94)))</f>
        <v/>
      </c>
      <c r="P94" s="99" t="str">
        <f>IF($M94="","",IF(COUNTIFS('Daily Data'!$B$4:$B$503,$B$3,'Daily Data'!$AK$4:$AK$503,$M94,'Daily Data'!$Z$4:$Z$503,"&gt;=-1E+300")=0,"",SUMIFS('Daily Data'!$Z$4:$Z$503,'Daily Data'!$B$4:$B$503,$B$3,'Daily Data'!$AK$4:$AK$503,$M94)))</f>
        <v/>
      </c>
      <c r="Q94" s="100" t="str">
        <f>IF($M94="","",SUMIFS('Daily Data'!$AG$4:$AG$503,'Daily Data'!$B$4:$B$503,$B$3,'Daily Data'!$AK$4:$AK$503,$M94))</f>
        <v/>
      </c>
      <c r="S94" s="117" t="e">
        <f>IF($A94="",NA(),$A94)</f>
        <v>#N/A</v>
      </c>
      <c r="T94" s="116" t="e">
        <f>IF($A94="",NA(),$B94)</f>
        <v>#N/A</v>
      </c>
      <c r="V94" s="117" t="e">
        <f>IF($A94="",NA(),$A94)</f>
        <v>#N/A</v>
      </c>
      <c r="W94" s="116" t="e">
        <f>IF($A94="",NA(),$H94)</f>
        <v>#N/A</v>
      </c>
      <c r="Y94" s="117" t="e">
        <f>IF($A94="",NA(),$A94)</f>
        <v>#N/A</v>
      </c>
      <c r="Z94" s="116" t="e">
        <f>IF($A94="",NA(),$J94)</f>
        <v>#N/A</v>
      </c>
      <c r="AB94" s="117" t="e">
        <f>IF($A94="",NA(),$A94)</f>
        <v>#N/A</v>
      </c>
      <c r="AC94" s="116" t="e">
        <f>IF($A94="",NA(),$D94)</f>
        <v>#N/A</v>
      </c>
      <c r="AD94" s="116" t="e">
        <f>IF($A94="",NA(),$E94)</f>
        <v>#N/A</v>
      </c>
      <c r="AF94" s="117" t="e">
        <f>IF($A94="",NA(),$A94)</f>
        <v>#N/A</v>
      </c>
      <c r="AG94" s="116" t="e">
        <f>IF($A94="",NA(),$F94)</f>
        <v>#N/A</v>
      </c>
      <c r="AI94" s="117" t="e">
        <f>IF($A94="",NA(),$A94)</f>
        <v>#N/A</v>
      </c>
      <c r="AJ94" s="116" t="e">
        <f>IF($A94="",NA(),$K94)</f>
        <v>#N/A</v>
      </c>
      <c r="AL94" s="117" t="e">
        <f>IF($A94="",NA(),$A94)</f>
        <v>#N/A</v>
      </c>
      <c r="AM94" s="116" t="e">
        <f>IF($A94="",NA(),$G94)</f>
        <v>#N/A</v>
      </c>
    </row>
    <row r="95" spans="1:39" x14ac:dyDescent="0.3">
      <c r="A95" s="95" t="str">
        <f>IF($M95="","",SUMIFS('Daily Data'!$A$4:$A$503,'Daily Data'!$B$4:$B$503,$B$3,'Daily Data'!$AK$4:$AK$503,$M95))</f>
        <v/>
      </c>
      <c r="B95" s="96" t="str">
        <f>IF($M95="","",SUMIFS('Daily Data'!$E$4:$E$503,'Daily Data'!$B$4:$B$503,$B$3,'Daily Data'!$AK$4:$AK$503,$M95))</f>
        <v/>
      </c>
      <c r="C95" s="97" t="str">
        <f>IF($M95="","",SUMIFS('Daily Data'!$H$4:$H$503,'Daily Data'!$B$4:$B$503,$B$3,'Daily Data'!$AK$4:$AK$503,$M95))</f>
        <v/>
      </c>
      <c r="D95" s="98" t="str">
        <f>IF($M95="","",SUMIFS('Daily Data'!$L$4:$L$503,'Daily Data'!$B$4:$B$503,$B$3,'Daily Data'!$AK$4:$AK$503,$M95))</f>
        <v/>
      </c>
      <c r="E95" s="98" t="str">
        <f>IF($M95="","",SUMIFS('Daily Data'!$M$4:$M$503,'Daily Data'!$B$4:$B$503,$B$3,'Daily Data'!$AK$4:$AK$503,$M95))</f>
        <v/>
      </c>
      <c r="F95" s="99" t="str">
        <f>IF($M95="","",SUMIFS('Daily Data'!$S$4:$S$503,'Daily Data'!$B$4:$B$503,$B$3,'Daily Data'!$AK$4:$AK$503,$M95))</f>
        <v/>
      </c>
      <c r="G95" s="97" t="str">
        <f>IF($M95="","",IF(COUNTIFS('Daily Data'!$B$4:$B$503,$B$3,'Daily Data'!$AK$4:$AK$503,$M95,'Daily Data'!$AA$4:$AA$503,"&gt;=-1E+300")=0,"",SUMIFS('Daily Data'!$AA$4:$AA$503,'Daily Data'!$B$4:$B$503,$B$3,'Daily Data'!$AK$4:$AK$503,$M95)))</f>
        <v/>
      </c>
      <c r="H95" s="98" t="str">
        <f>IF($M95="","",SUMIFS('Daily Data'!$K$4:$K$503,'Daily Data'!$B$4:$B$503,$B$3,'Daily Data'!$AK$4:$AK$503,$M95))</f>
        <v/>
      </c>
      <c r="I95" s="99" t="str">
        <f>IF($M95="","",IF(COUNTIFS('Daily Data'!$B$4:$B$503,$B$3,'Daily Data'!$AK$4:$AK$503,$M95,'Daily Data'!$AC$4:$AC$503,"&gt;=-1E+300")=0,"",SUMIFS('Daily Data'!$AC$4:$AC$503,'Daily Data'!$B$4:$B$503,$B$3,'Daily Data'!$AK$4:$AK$503,$M95)))</f>
        <v/>
      </c>
      <c r="J95" s="98" t="str">
        <f>IF($M95="","",SUMIFS('Daily Data'!$I$4:$I$503,'Daily Data'!$B$4:$B$503,$B$3,'Daily Data'!$AK$4:$AK$503,$M95))</f>
        <v/>
      </c>
      <c r="K95" s="100" t="str">
        <f>IF($M95="","",SUMIFS('Daily Data'!$AH$4:$AH$503,'Daily Data'!$B$4:$B$503,$B$3,'Daily Data'!$AK$4:$AK$503,$M95))</f>
        <v/>
      </c>
      <c r="L95" s="101" t="str">
        <f>IF($K95="","",IF($K95&lt;Settings!$C$46,"Extreme Sell Pressure",IF($K95&lt;Settings!$C$47,"Sell Pressure",IF($K95&lt;=Settings!$C$48,"Neutral",IF($K95&lt;=Settings!$C$49,"Buy Pressure","Extreme Buy Pressure")))))</f>
        <v/>
      </c>
      <c r="M95" s="112" t="str">
        <f>IF(COUNTIF('Daily Data'!$B$4:$B$503,$B$3)-100+ROW()-9&lt;1,"",COUNTIF('Daily Data'!$B$4:$B$503,$B$3)-100+ROW()-9)</f>
        <v/>
      </c>
      <c r="N95" s="97" t="str">
        <f>IF($M95="","",IF(COUNTIFS('Daily Data'!$B$4:$B$503,$B$3,'Daily Data'!$AK$4:$AK$503,$M95,'Daily Data'!$AD$4:$AD$503,"&gt;=-1E+300")=0,"",SUMIFS('Daily Data'!$AD$4:$AD$503,'Daily Data'!$B$4:$B$503,$B$3,'Daily Data'!$AK$4:$AK$503,$M95)))</f>
        <v/>
      </c>
      <c r="O95" s="97" t="str">
        <f>IF($M95="","",IF(COUNTIFS('Daily Data'!$B$4:$B$503,$B$3,'Daily Data'!$AK$4:$AK$503,$M95,'Daily Data'!$AE$4:$AE$503,"&gt;=-1E+300")=0,"",SUMIFS('Daily Data'!$AE$4:$AE$503,'Daily Data'!$B$4:$B$503,$B$3,'Daily Data'!$AK$4:$AK$503,$M95)))</f>
        <v/>
      </c>
      <c r="P95" s="99" t="str">
        <f>IF($M95="","",IF(COUNTIFS('Daily Data'!$B$4:$B$503,$B$3,'Daily Data'!$AK$4:$AK$503,$M95,'Daily Data'!$Z$4:$Z$503,"&gt;=-1E+300")=0,"",SUMIFS('Daily Data'!$Z$4:$Z$503,'Daily Data'!$B$4:$B$503,$B$3,'Daily Data'!$AK$4:$AK$503,$M95)))</f>
        <v/>
      </c>
      <c r="Q95" s="100" t="str">
        <f>IF($M95="","",SUMIFS('Daily Data'!$AG$4:$AG$503,'Daily Data'!$B$4:$B$503,$B$3,'Daily Data'!$AK$4:$AK$503,$M95))</f>
        <v/>
      </c>
      <c r="S95" s="117" t="e">
        <f>IF($A95="",NA(),$A95)</f>
        <v>#N/A</v>
      </c>
      <c r="T95" s="116" t="e">
        <f>IF($A95="",NA(),$B95)</f>
        <v>#N/A</v>
      </c>
      <c r="V95" s="117" t="e">
        <f>IF($A95="",NA(),$A95)</f>
        <v>#N/A</v>
      </c>
      <c r="W95" s="116" t="e">
        <f>IF($A95="",NA(),$H95)</f>
        <v>#N/A</v>
      </c>
      <c r="Y95" s="117" t="e">
        <f>IF($A95="",NA(),$A95)</f>
        <v>#N/A</v>
      </c>
      <c r="Z95" s="116" t="e">
        <f>IF($A95="",NA(),$J95)</f>
        <v>#N/A</v>
      </c>
      <c r="AB95" s="117" t="e">
        <f>IF($A95="",NA(),$A95)</f>
        <v>#N/A</v>
      </c>
      <c r="AC95" s="116" t="e">
        <f>IF($A95="",NA(),$D95)</f>
        <v>#N/A</v>
      </c>
      <c r="AD95" s="116" t="e">
        <f>IF($A95="",NA(),$E95)</f>
        <v>#N/A</v>
      </c>
      <c r="AF95" s="117" t="e">
        <f>IF($A95="",NA(),$A95)</f>
        <v>#N/A</v>
      </c>
      <c r="AG95" s="116" t="e">
        <f>IF($A95="",NA(),$F95)</f>
        <v>#N/A</v>
      </c>
      <c r="AI95" s="117" t="e">
        <f>IF($A95="",NA(),$A95)</f>
        <v>#N/A</v>
      </c>
      <c r="AJ95" s="116" t="e">
        <f>IF($A95="",NA(),$K95)</f>
        <v>#N/A</v>
      </c>
      <c r="AL95" s="117" t="e">
        <f>IF($A95="",NA(),$A95)</f>
        <v>#N/A</v>
      </c>
      <c r="AM95" s="116" t="e">
        <f>IF($A95="",NA(),$G95)</f>
        <v>#N/A</v>
      </c>
    </row>
    <row r="96" spans="1:39" x14ac:dyDescent="0.3">
      <c r="A96" s="95" t="str">
        <f>IF($M96="","",SUMIFS('Daily Data'!$A$4:$A$503,'Daily Data'!$B$4:$B$503,$B$3,'Daily Data'!$AK$4:$AK$503,$M96))</f>
        <v/>
      </c>
      <c r="B96" s="96" t="str">
        <f>IF($M96="","",SUMIFS('Daily Data'!$E$4:$E$503,'Daily Data'!$B$4:$B$503,$B$3,'Daily Data'!$AK$4:$AK$503,$M96))</f>
        <v/>
      </c>
      <c r="C96" s="97" t="str">
        <f>IF($M96="","",SUMIFS('Daily Data'!$H$4:$H$503,'Daily Data'!$B$4:$B$503,$B$3,'Daily Data'!$AK$4:$AK$503,$M96))</f>
        <v/>
      </c>
      <c r="D96" s="98" t="str">
        <f>IF($M96="","",SUMIFS('Daily Data'!$L$4:$L$503,'Daily Data'!$B$4:$B$503,$B$3,'Daily Data'!$AK$4:$AK$503,$M96))</f>
        <v/>
      </c>
      <c r="E96" s="98" t="str">
        <f>IF($M96="","",SUMIFS('Daily Data'!$M$4:$M$503,'Daily Data'!$B$4:$B$503,$B$3,'Daily Data'!$AK$4:$AK$503,$M96))</f>
        <v/>
      </c>
      <c r="F96" s="99" t="str">
        <f>IF($M96="","",SUMIFS('Daily Data'!$S$4:$S$503,'Daily Data'!$B$4:$B$503,$B$3,'Daily Data'!$AK$4:$AK$503,$M96))</f>
        <v/>
      </c>
      <c r="G96" s="97" t="str">
        <f>IF($M96="","",IF(COUNTIFS('Daily Data'!$B$4:$B$503,$B$3,'Daily Data'!$AK$4:$AK$503,$M96,'Daily Data'!$AA$4:$AA$503,"&gt;=-1E+300")=0,"",SUMIFS('Daily Data'!$AA$4:$AA$503,'Daily Data'!$B$4:$B$503,$B$3,'Daily Data'!$AK$4:$AK$503,$M96)))</f>
        <v/>
      </c>
      <c r="H96" s="98" t="str">
        <f>IF($M96="","",SUMIFS('Daily Data'!$K$4:$K$503,'Daily Data'!$B$4:$B$503,$B$3,'Daily Data'!$AK$4:$AK$503,$M96))</f>
        <v/>
      </c>
      <c r="I96" s="99" t="str">
        <f>IF($M96="","",IF(COUNTIFS('Daily Data'!$B$4:$B$503,$B$3,'Daily Data'!$AK$4:$AK$503,$M96,'Daily Data'!$AC$4:$AC$503,"&gt;=-1E+300")=0,"",SUMIFS('Daily Data'!$AC$4:$AC$503,'Daily Data'!$B$4:$B$503,$B$3,'Daily Data'!$AK$4:$AK$503,$M96)))</f>
        <v/>
      </c>
      <c r="J96" s="98" t="str">
        <f>IF($M96="","",SUMIFS('Daily Data'!$I$4:$I$503,'Daily Data'!$B$4:$B$503,$B$3,'Daily Data'!$AK$4:$AK$503,$M96))</f>
        <v/>
      </c>
      <c r="K96" s="100" t="str">
        <f>IF($M96="","",SUMIFS('Daily Data'!$AH$4:$AH$503,'Daily Data'!$B$4:$B$503,$B$3,'Daily Data'!$AK$4:$AK$503,$M96))</f>
        <v/>
      </c>
      <c r="L96" s="101" t="str">
        <f>IF($K96="","",IF($K96&lt;Settings!$C$46,"Extreme Sell Pressure",IF($K96&lt;Settings!$C$47,"Sell Pressure",IF($K96&lt;=Settings!$C$48,"Neutral",IF($K96&lt;=Settings!$C$49,"Buy Pressure","Extreme Buy Pressure")))))</f>
        <v/>
      </c>
      <c r="M96" s="112" t="str">
        <f>IF(COUNTIF('Daily Data'!$B$4:$B$503,$B$3)-100+ROW()-9&lt;1,"",COUNTIF('Daily Data'!$B$4:$B$503,$B$3)-100+ROW()-9)</f>
        <v/>
      </c>
      <c r="N96" s="97" t="str">
        <f>IF($M96="","",IF(COUNTIFS('Daily Data'!$B$4:$B$503,$B$3,'Daily Data'!$AK$4:$AK$503,$M96,'Daily Data'!$AD$4:$AD$503,"&gt;=-1E+300")=0,"",SUMIFS('Daily Data'!$AD$4:$AD$503,'Daily Data'!$B$4:$B$503,$B$3,'Daily Data'!$AK$4:$AK$503,$M96)))</f>
        <v/>
      </c>
      <c r="O96" s="97" t="str">
        <f>IF($M96="","",IF(COUNTIFS('Daily Data'!$B$4:$B$503,$B$3,'Daily Data'!$AK$4:$AK$503,$M96,'Daily Data'!$AE$4:$AE$503,"&gt;=-1E+300")=0,"",SUMIFS('Daily Data'!$AE$4:$AE$503,'Daily Data'!$B$4:$B$503,$B$3,'Daily Data'!$AK$4:$AK$503,$M96)))</f>
        <v/>
      </c>
      <c r="P96" s="99" t="str">
        <f>IF($M96="","",IF(COUNTIFS('Daily Data'!$B$4:$B$503,$B$3,'Daily Data'!$AK$4:$AK$503,$M96,'Daily Data'!$Z$4:$Z$503,"&gt;=-1E+300")=0,"",SUMIFS('Daily Data'!$Z$4:$Z$503,'Daily Data'!$B$4:$B$503,$B$3,'Daily Data'!$AK$4:$AK$503,$M96)))</f>
        <v/>
      </c>
      <c r="Q96" s="100" t="str">
        <f>IF($M96="","",SUMIFS('Daily Data'!$AG$4:$AG$503,'Daily Data'!$B$4:$B$503,$B$3,'Daily Data'!$AK$4:$AK$503,$M96))</f>
        <v/>
      </c>
      <c r="S96" s="117" t="e">
        <f>IF($A96="",NA(),$A96)</f>
        <v>#N/A</v>
      </c>
      <c r="T96" s="116" t="e">
        <f>IF($A96="",NA(),$B96)</f>
        <v>#N/A</v>
      </c>
      <c r="V96" s="117" t="e">
        <f>IF($A96="",NA(),$A96)</f>
        <v>#N/A</v>
      </c>
      <c r="W96" s="116" t="e">
        <f>IF($A96="",NA(),$H96)</f>
        <v>#N/A</v>
      </c>
      <c r="Y96" s="117" t="e">
        <f>IF($A96="",NA(),$A96)</f>
        <v>#N/A</v>
      </c>
      <c r="Z96" s="116" t="e">
        <f>IF($A96="",NA(),$J96)</f>
        <v>#N/A</v>
      </c>
      <c r="AB96" s="117" t="e">
        <f>IF($A96="",NA(),$A96)</f>
        <v>#N/A</v>
      </c>
      <c r="AC96" s="116" t="e">
        <f>IF($A96="",NA(),$D96)</f>
        <v>#N/A</v>
      </c>
      <c r="AD96" s="116" t="e">
        <f>IF($A96="",NA(),$E96)</f>
        <v>#N/A</v>
      </c>
      <c r="AF96" s="117" t="e">
        <f>IF($A96="",NA(),$A96)</f>
        <v>#N/A</v>
      </c>
      <c r="AG96" s="116" t="e">
        <f>IF($A96="",NA(),$F96)</f>
        <v>#N/A</v>
      </c>
      <c r="AI96" s="117" t="e">
        <f>IF($A96="",NA(),$A96)</f>
        <v>#N/A</v>
      </c>
      <c r="AJ96" s="116" t="e">
        <f>IF($A96="",NA(),$K96)</f>
        <v>#N/A</v>
      </c>
      <c r="AL96" s="117" t="e">
        <f>IF($A96="",NA(),$A96)</f>
        <v>#N/A</v>
      </c>
      <c r="AM96" s="116" t="e">
        <f>IF($A96="",NA(),$G96)</f>
        <v>#N/A</v>
      </c>
    </row>
    <row r="97" spans="1:39" x14ac:dyDescent="0.3">
      <c r="A97" s="95" t="str">
        <f>IF($M97="","",SUMIFS('Daily Data'!$A$4:$A$503,'Daily Data'!$B$4:$B$503,$B$3,'Daily Data'!$AK$4:$AK$503,$M97))</f>
        <v/>
      </c>
      <c r="B97" s="96" t="str">
        <f>IF($M97="","",SUMIFS('Daily Data'!$E$4:$E$503,'Daily Data'!$B$4:$B$503,$B$3,'Daily Data'!$AK$4:$AK$503,$M97))</f>
        <v/>
      </c>
      <c r="C97" s="97" t="str">
        <f>IF($M97="","",SUMIFS('Daily Data'!$H$4:$H$503,'Daily Data'!$B$4:$B$503,$B$3,'Daily Data'!$AK$4:$AK$503,$M97))</f>
        <v/>
      </c>
      <c r="D97" s="98" t="str">
        <f>IF($M97="","",SUMIFS('Daily Data'!$L$4:$L$503,'Daily Data'!$B$4:$B$503,$B$3,'Daily Data'!$AK$4:$AK$503,$M97))</f>
        <v/>
      </c>
      <c r="E97" s="98" t="str">
        <f>IF($M97="","",SUMIFS('Daily Data'!$M$4:$M$503,'Daily Data'!$B$4:$B$503,$B$3,'Daily Data'!$AK$4:$AK$503,$M97))</f>
        <v/>
      </c>
      <c r="F97" s="99" t="str">
        <f>IF($M97="","",SUMIFS('Daily Data'!$S$4:$S$503,'Daily Data'!$B$4:$B$503,$B$3,'Daily Data'!$AK$4:$AK$503,$M97))</f>
        <v/>
      </c>
      <c r="G97" s="97" t="str">
        <f>IF($M97="","",IF(COUNTIFS('Daily Data'!$B$4:$B$503,$B$3,'Daily Data'!$AK$4:$AK$503,$M97,'Daily Data'!$AA$4:$AA$503,"&gt;=-1E+300")=0,"",SUMIFS('Daily Data'!$AA$4:$AA$503,'Daily Data'!$B$4:$B$503,$B$3,'Daily Data'!$AK$4:$AK$503,$M97)))</f>
        <v/>
      </c>
      <c r="H97" s="98" t="str">
        <f>IF($M97="","",SUMIFS('Daily Data'!$K$4:$K$503,'Daily Data'!$B$4:$B$503,$B$3,'Daily Data'!$AK$4:$AK$503,$M97))</f>
        <v/>
      </c>
      <c r="I97" s="99" t="str">
        <f>IF($M97="","",IF(COUNTIFS('Daily Data'!$B$4:$B$503,$B$3,'Daily Data'!$AK$4:$AK$503,$M97,'Daily Data'!$AC$4:$AC$503,"&gt;=-1E+300")=0,"",SUMIFS('Daily Data'!$AC$4:$AC$503,'Daily Data'!$B$4:$B$503,$B$3,'Daily Data'!$AK$4:$AK$503,$M97)))</f>
        <v/>
      </c>
      <c r="J97" s="98" t="str">
        <f>IF($M97="","",SUMIFS('Daily Data'!$I$4:$I$503,'Daily Data'!$B$4:$B$503,$B$3,'Daily Data'!$AK$4:$AK$503,$M97))</f>
        <v/>
      </c>
      <c r="K97" s="100" t="str">
        <f>IF($M97="","",SUMIFS('Daily Data'!$AH$4:$AH$503,'Daily Data'!$B$4:$B$503,$B$3,'Daily Data'!$AK$4:$AK$503,$M97))</f>
        <v/>
      </c>
      <c r="L97" s="101" t="str">
        <f>IF($K97="","",IF($K97&lt;Settings!$C$46,"Extreme Sell Pressure",IF($K97&lt;Settings!$C$47,"Sell Pressure",IF($K97&lt;=Settings!$C$48,"Neutral",IF($K97&lt;=Settings!$C$49,"Buy Pressure","Extreme Buy Pressure")))))</f>
        <v/>
      </c>
      <c r="M97" s="112" t="str">
        <f>IF(COUNTIF('Daily Data'!$B$4:$B$503,$B$3)-100+ROW()-9&lt;1,"",COUNTIF('Daily Data'!$B$4:$B$503,$B$3)-100+ROW()-9)</f>
        <v/>
      </c>
      <c r="N97" s="97" t="str">
        <f>IF($M97="","",IF(COUNTIFS('Daily Data'!$B$4:$B$503,$B$3,'Daily Data'!$AK$4:$AK$503,$M97,'Daily Data'!$AD$4:$AD$503,"&gt;=-1E+300")=0,"",SUMIFS('Daily Data'!$AD$4:$AD$503,'Daily Data'!$B$4:$B$503,$B$3,'Daily Data'!$AK$4:$AK$503,$M97)))</f>
        <v/>
      </c>
      <c r="O97" s="97" t="str">
        <f>IF($M97="","",IF(COUNTIFS('Daily Data'!$B$4:$B$503,$B$3,'Daily Data'!$AK$4:$AK$503,$M97,'Daily Data'!$AE$4:$AE$503,"&gt;=-1E+300")=0,"",SUMIFS('Daily Data'!$AE$4:$AE$503,'Daily Data'!$B$4:$B$503,$B$3,'Daily Data'!$AK$4:$AK$503,$M97)))</f>
        <v/>
      </c>
      <c r="P97" s="99" t="str">
        <f>IF($M97="","",IF(COUNTIFS('Daily Data'!$B$4:$B$503,$B$3,'Daily Data'!$AK$4:$AK$503,$M97,'Daily Data'!$Z$4:$Z$503,"&gt;=-1E+300")=0,"",SUMIFS('Daily Data'!$Z$4:$Z$503,'Daily Data'!$B$4:$B$503,$B$3,'Daily Data'!$AK$4:$AK$503,$M97)))</f>
        <v/>
      </c>
      <c r="Q97" s="100" t="str">
        <f>IF($M97="","",SUMIFS('Daily Data'!$AG$4:$AG$503,'Daily Data'!$B$4:$B$503,$B$3,'Daily Data'!$AK$4:$AK$503,$M97))</f>
        <v/>
      </c>
      <c r="S97" s="117" t="e">
        <f>IF($A97="",NA(),$A97)</f>
        <v>#N/A</v>
      </c>
      <c r="T97" s="116" t="e">
        <f>IF($A97="",NA(),$B97)</f>
        <v>#N/A</v>
      </c>
      <c r="V97" s="117" t="e">
        <f>IF($A97="",NA(),$A97)</f>
        <v>#N/A</v>
      </c>
      <c r="W97" s="116" t="e">
        <f>IF($A97="",NA(),$H97)</f>
        <v>#N/A</v>
      </c>
      <c r="Y97" s="117" t="e">
        <f>IF($A97="",NA(),$A97)</f>
        <v>#N/A</v>
      </c>
      <c r="Z97" s="116" t="e">
        <f>IF($A97="",NA(),$J97)</f>
        <v>#N/A</v>
      </c>
      <c r="AB97" s="117" t="e">
        <f>IF($A97="",NA(),$A97)</f>
        <v>#N/A</v>
      </c>
      <c r="AC97" s="116" t="e">
        <f>IF($A97="",NA(),$D97)</f>
        <v>#N/A</v>
      </c>
      <c r="AD97" s="116" t="e">
        <f>IF($A97="",NA(),$E97)</f>
        <v>#N/A</v>
      </c>
      <c r="AF97" s="117" t="e">
        <f>IF($A97="",NA(),$A97)</f>
        <v>#N/A</v>
      </c>
      <c r="AG97" s="116" t="e">
        <f>IF($A97="",NA(),$F97)</f>
        <v>#N/A</v>
      </c>
      <c r="AI97" s="117" t="e">
        <f>IF($A97="",NA(),$A97)</f>
        <v>#N/A</v>
      </c>
      <c r="AJ97" s="116" t="e">
        <f>IF($A97="",NA(),$K97)</f>
        <v>#N/A</v>
      </c>
      <c r="AL97" s="117" t="e">
        <f>IF($A97="",NA(),$A97)</f>
        <v>#N/A</v>
      </c>
      <c r="AM97" s="116" t="e">
        <f>IF($A97="",NA(),$G97)</f>
        <v>#N/A</v>
      </c>
    </row>
    <row r="98" spans="1:39" x14ac:dyDescent="0.3">
      <c r="A98" s="95" t="str">
        <f>IF($M98="","",SUMIFS('Daily Data'!$A$4:$A$503,'Daily Data'!$B$4:$B$503,$B$3,'Daily Data'!$AK$4:$AK$503,$M98))</f>
        <v/>
      </c>
      <c r="B98" s="96" t="str">
        <f>IF($M98="","",SUMIFS('Daily Data'!$E$4:$E$503,'Daily Data'!$B$4:$B$503,$B$3,'Daily Data'!$AK$4:$AK$503,$M98))</f>
        <v/>
      </c>
      <c r="C98" s="97" t="str">
        <f>IF($M98="","",SUMIFS('Daily Data'!$H$4:$H$503,'Daily Data'!$B$4:$B$503,$B$3,'Daily Data'!$AK$4:$AK$503,$M98))</f>
        <v/>
      </c>
      <c r="D98" s="98" t="str">
        <f>IF($M98="","",SUMIFS('Daily Data'!$L$4:$L$503,'Daily Data'!$B$4:$B$503,$B$3,'Daily Data'!$AK$4:$AK$503,$M98))</f>
        <v/>
      </c>
      <c r="E98" s="98" t="str">
        <f>IF($M98="","",SUMIFS('Daily Data'!$M$4:$M$503,'Daily Data'!$B$4:$B$503,$B$3,'Daily Data'!$AK$4:$AK$503,$M98))</f>
        <v/>
      </c>
      <c r="F98" s="99" t="str">
        <f>IF($M98="","",SUMIFS('Daily Data'!$S$4:$S$503,'Daily Data'!$B$4:$B$503,$B$3,'Daily Data'!$AK$4:$AK$503,$M98))</f>
        <v/>
      </c>
      <c r="G98" s="97" t="str">
        <f>IF($M98="","",IF(COUNTIFS('Daily Data'!$B$4:$B$503,$B$3,'Daily Data'!$AK$4:$AK$503,$M98,'Daily Data'!$AA$4:$AA$503,"&gt;=-1E+300")=0,"",SUMIFS('Daily Data'!$AA$4:$AA$503,'Daily Data'!$B$4:$B$503,$B$3,'Daily Data'!$AK$4:$AK$503,$M98)))</f>
        <v/>
      </c>
      <c r="H98" s="98" t="str">
        <f>IF($M98="","",SUMIFS('Daily Data'!$K$4:$K$503,'Daily Data'!$B$4:$B$503,$B$3,'Daily Data'!$AK$4:$AK$503,$M98))</f>
        <v/>
      </c>
      <c r="I98" s="99" t="str">
        <f>IF($M98="","",IF(COUNTIFS('Daily Data'!$B$4:$B$503,$B$3,'Daily Data'!$AK$4:$AK$503,$M98,'Daily Data'!$AC$4:$AC$503,"&gt;=-1E+300")=0,"",SUMIFS('Daily Data'!$AC$4:$AC$503,'Daily Data'!$B$4:$B$503,$B$3,'Daily Data'!$AK$4:$AK$503,$M98)))</f>
        <v/>
      </c>
      <c r="J98" s="98" t="str">
        <f>IF($M98="","",SUMIFS('Daily Data'!$I$4:$I$503,'Daily Data'!$B$4:$B$503,$B$3,'Daily Data'!$AK$4:$AK$503,$M98))</f>
        <v/>
      </c>
      <c r="K98" s="100" t="str">
        <f>IF($M98="","",SUMIFS('Daily Data'!$AH$4:$AH$503,'Daily Data'!$B$4:$B$503,$B$3,'Daily Data'!$AK$4:$AK$503,$M98))</f>
        <v/>
      </c>
      <c r="L98" s="101" t="str">
        <f>IF($K98="","",IF($K98&lt;Settings!$C$46,"Extreme Sell Pressure",IF($K98&lt;Settings!$C$47,"Sell Pressure",IF($K98&lt;=Settings!$C$48,"Neutral",IF($K98&lt;=Settings!$C$49,"Buy Pressure","Extreme Buy Pressure")))))</f>
        <v/>
      </c>
      <c r="M98" s="112" t="str">
        <f>IF(COUNTIF('Daily Data'!$B$4:$B$503,$B$3)-100+ROW()-9&lt;1,"",COUNTIF('Daily Data'!$B$4:$B$503,$B$3)-100+ROW()-9)</f>
        <v/>
      </c>
      <c r="N98" s="97" t="str">
        <f>IF($M98="","",IF(COUNTIFS('Daily Data'!$B$4:$B$503,$B$3,'Daily Data'!$AK$4:$AK$503,$M98,'Daily Data'!$AD$4:$AD$503,"&gt;=-1E+300")=0,"",SUMIFS('Daily Data'!$AD$4:$AD$503,'Daily Data'!$B$4:$B$503,$B$3,'Daily Data'!$AK$4:$AK$503,$M98)))</f>
        <v/>
      </c>
      <c r="O98" s="97" t="str">
        <f>IF($M98="","",IF(COUNTIFS('Daily Data'!$B$4:$B$503,$B$3,'Daily Data'!$AK$4:$AK$503,$M98,'Daily Data'!$AE$4:$AE$503,"&gt;=-1E+300")=0,"",SUMIFS('Daily Data'!$AE$4:$AE$503,'Daily Data'!$B$4:$B$503,$B$3,'Daily Data'!$AK$4:$AK$503,$M98)))</f>
        <v/>
      </c>
      <c r="P98" s="99" t="str">
        <f>IF($M98="","",IF(COUNTIFS('Daily Data'!$B$4:$B$503,$B$3,'Daily Data'!$AK$4:$AK$503,$M98,'Daily Data'!$Z$4:$Z$503,"&gt;=-1E+300")=0,"",SUMIFS('Daily Data'!$Z$4:$Z$503,'Daily Data'!$B$4:$B$503,$B$3,'Daily Data'!$AK$4:$AK$503,$M98)))</f>
        <v/>
      </c>
      <c r="Q98" s="100" t="str">
        <f>IF($M98="","",SUMIFS('Daily Data'!$AG$4:$AG$503,'Daily Data'!$B$4:$B$503,$B$3,'Daily Data'!$AK$4:$AK$503,$M98))</f>
        <v/>
      </c>
      <c r="S98" s="117" t="e">
        <f>IF($A98="",NA(),$A98)</f>
        <v>#N/A</v>
      </c>
      <c r="T98" s="116" t="e">
        <f>IF($A98="",NA(),$B98)</f>
        <v>#N/A</v>
      </c>
      <c r="V98" s="117" t="e">
        <f>IF($A98="",NA(),$A98)</f>
        <v>#N/A</v>
      </c>
      <c r="W98" s="116" t="e">
        <f>IF($A98="",NA(),$H98)</f>
        <v>#N/A</v>
      </c>
      <c r="Y98" s="117" t="e">
        <f>IF($A98="",NA(),$A98)</f>
        <v>#N/A</v>
      </c>
      <c r="Z98" s="116" t="e">
        <f>IF($A98="",NA(),$J98)</f>
        <v>#N/A</v>
      </c>
      <c r="AB98" s="117" t="e">
        <f>IF($A98="",NA(),$A98)</f>
        <v>#N/A</v>
      </c>
      <c r="AC98" s="116" t="e">
        <f>IF($A98="",NA(),$D98)</f>
        <v>#N/A</v>
      </c>
      <c r="AD98" s="116" t="e">
        <f>IF($A98="",NA(),$E98)</f>
        <v>#N/A</v>
      </c>
      <c r="AF98" s="117" t="e">
        <f>IF($A98="",NA(),$A98)</f>
        <v>#N/A</v>
      </c>
      <c r="AG98" s="116" t="e">
        <f>IF($A98="",NA(),$F98)</f>
        <v>#N/A</v>
      </c>
      <c r="AI98" s="117" t="e">
        <f>IF($A98="",NA(),$A98)</f>
        <v>#N/A</v>
      </c>
      <c r="AJ98" s="116" t="e">
        <f>IF($A98="",NA(),$K98)</f>
        <v>#N/A</v>
      </c>
      <c r="AL98" s="117" t="e">
        <f>IF($A98="",NA(),$A98)</f>
        <v>#N/A</v>
      </c>
      <c r="AM98" s="116" t="e">
        <f>IF($A98="",NA(),$G98)</f>
        <v>#N/A</v>
      </c>
    </row>
    <row r="99" spans="1:39" x14ac:dyDescent="0.3">
      <c r="A99" s="95" t="str">
        <f>IF($M99="","",SUMIFS('Daily Data'!$A$4:$A$503,'Daily Data'!$B$4:$B$503,$B$3,'Daily Data'!$AK$4:$AK$503,$M99))</f>
        <v/>
      </c>
      <c r="B99" s="96" t="str">
        <f>IF($M99="","",SUMIFS('Daily Data'!$E$4:$E$503,'Daily Data'!$B$4:$B$503,$B$3,'Daily Data'!$AK$4:$AK$503,$M99))</f>
        <v/>
      </c>
      <c r="C99" s="97" t="str">
        <f>IF($M99="","",SUMIFS('Daily Data'!$H$4:$H$503,'Daily Data'!$B$4:$B$503,$B$3,'Daily Data'!$AK$4:$AK$503,$M99))</f>
        <v/>
      </c>
      <c r="D99" s="98" t="str">
        <f>IF($M99="","",SUMIFS('Daily Data'!$L$4:$L$503,'Daily Data'!$B$4:$B$503,$B$3,'Daily Data'!$AK$4:$AK$503,$M99))</f>
        <v/>
      </c>
      <c r="E99" s="98" t="str">
        <f>IF($M99="","",SUMIFS('Daily Data'!$M$4:$M$503,'Daily Data'!$B$4:$B$503,$B$3,'Daily Data'!$AK$4:$AK$503,$M99))</f>
        <v/>
      </c>
      <c r="F99" s="99" t="str">
        <f>IF($M99="","",SUMIFS('Daily Data'!$S$4:$S$503,'Daily Data'!$B$4:$B$503,$B$3,'Daily Data'!$AK$4:$AK$503,$M99))</f>
        <v/>
      </c>
      <c r="G99" s="97" t="str">
        <f>IF($M99="","",IF(COUNTIFS('Daily Data'!$B$4:$B$503,$B$3,'Daily Data'!$AK$4:$AK$503,$M99,'Daily Data'!$AA$4:$AA$503,"&gt;=-1E+300")=0,"",SUMIFS('Daily Data'!$AA$4:$AA$503,'Daily Data'!$B$4:$B$503,$B$3,'Daily Data'!$AK$4:$AK$503,$M99)))</f>
        <v/>
      </c>
      <c r="H99" s="98" t="str">
        <f>IF($M99="","",SUMIFS('Daily Data'!$K$4:$K$503,'Daily Data'!$B$4:$B$503,$B$3,'Daily Data'!$AK$4:$AK$503,$M99))</f>
        <v/>
      </c>
      <c r="I99" s="99" t="str">
        <f>IF($M99="","",IF(COUNTIFS('Daily Data'!$B$4:$B$503,$B$3,'Daily Data'!$AK$4:$AK$503,$M99,'Daily Data'!$AC$4:$AC$503,"&gt;=-1E+300")=0,"",SUMIFS('Daily Data'!$AC$4:$AC$503,'Daily Data'!$B$4:$B$503,$B$3,'Daily Data'!$AK$4:$AK$503,$M99)))</f>
        <v/>
      </c>
      <c r="J99" s="98" t="str">
        <f>IF($M99="","",SUMIFS('Daily Data'!$I$4:$I$503,'Daily Data'!$B$4:$B$503,$B$3,'Daily Data'!$AK$4:$AK$503,$M99))</f>
        <v/>
      </c>
      <c r="K99" s="100" t="str">
        <f>IF($M99="","",SUMIFS('Daily Data'!$AH$4:$AH$503,'Daily Data'!$B$4:$B$503,$B$3,'Daily Data'!$AK$4:$AK$503,$M99))</f>
        <v/>
      </c>
      <c r="L99" s="101" t="str">
        <f>IF($K99="","",IF($K99&lt;Settings!$C$46,"Extreme Sell Pressure",IF($K99&lt;Settings!$C$47,"Sell Pressure",IF($K99&lt;=Settings!$C$48,"Neutral",IF($K99&lt;=Settings!$C$49,"Buy Pressure","Extreme Buy Pressure")))))</f>
        <v/>
      </c>
      <c r="M99" s="112" t="str">
        <f>IF(COUNTIF('Daily Data'!$B$4:$B$503,$B$3)-100+ROW()-9&lt;1,"",COUNTIF('Daily Data'!$B$4:$B$503,$B$3)-100+ROW()-9)</f>
        <v/>
      </c>
      <c r="N99" s="97" t="str">
        <f>IF($M99="","",IF(COUNTIFS('Daily Data'!$B$4:$B$503,$B$3,'Daily Data'!$AK$4:$AK$503,$M99,'Daily Data'!$AD$4:$AD$503,"&gt;=-1E+300")=0,"",SUMIFS('Daily Data'!$AD$4:$AD$503,'Daily Data'!$B$4:$B$503,$B$3,'Daily Data'!$AK$4:$AK$503,$M99)))</f>
        <v/>
      </c>
      <c r="O99" s="97" t="str">
        <f>IF($M99="","",IF(COUNTIFS('Daily Data'!$B$4:$B$503,$B$3,'Daily Data'!$AK$4:$AK$503,$M99,'Daily Data'!$AE$4:$AE$503,"&gt;=-1E+300")=0,"",SUMIFS('Daily Data'!$AE$4:$AE$503,'Daily Data'!$B$4:$B$503,$B$3,'Daily Data'!$AK$4:$AK$503,$M99)))</f>
        <v/>
      </c>
      <c r="P99" s="99" t="str">
        <f>IF($M99="","",IF(COUNTIFS('Daily Data'!$B$4:$B$503,$B$3,'Daily Data'!$AK$4:$AK$503,$M99,'Daily Data'!$Z$4:$Z$503,"&gt;=-1E+300")=0,"",SUMIFS('Daily Data'!$Z$4:$Z$503,'Daily Data'!$B$4:$B$503,$B$3,'Daily Data'!$AK$4:$AK$503,$M99)))</f>
        <v/>
      </c>
      <c r="Q99" s="100" t="str">
        <f>IF($M99="","",SUMIFS('Daily Data'!$AG$4:$AG$503,'Daily Data'!$B$4:$B$503,$B$3,'Daily Data'!$AK$4:$AK$503,$M99))</f>
        <v/>
      </c>
      <c r="S99" s="117" t="e">
        <f>IF($A99="",NA(),$A99)</f>
        <v>#N/A</v>
      </c>
      <c r="T99" s="116" t="e">
        <f>IF($A99="",NA(),$B99)</f>
        <v>#N/A</v>
      </c>
      <c r="V99" s="117" t="e">
        <f>IF($A99="",NA(),$A99)</f>
        <v>#N/A</v>
      </c>
      <c r="W99" s="116" t="e">
        <f>IF($A99="",NA(),$H99)</f>
        <v>#N/A</v>
      </c>
      <c r="Y99" s="117" t="e">
        <f>IF($A99="",NA(),$A99)</f>
        <v>#N/A</v>
      </c>
      <c r="Z99" s="116" t="e">
        <f>IF($A99="",NA(),$J99)</f>
        <v>#N/A</v>
      </c>
      <c r="AB99" s="117" t="e">
        <f>IF($A99="",NA(),$A99)</f>
        <v>#N/A</v>
      </c>
      <c r="AC99" s="116" t="e">
        <f>IF($A99="",NA(),$D99)</f>
        <v>#N/A</v>
      </c>
      <c r="AD99" s="116" t="e">
        <f>IF($A99="",NA(),$E99)</f>
        <v>#N/A</v>
      </c>
      <c r="AF99" s="117" t="e">
        <f>IF($A99="",NA(),$A99)</f>
        <v>#N/A</v>
      </c>
      <c r="AG99" s="116" t="e">
        <f>IF($A99="",NA(),$F99)</f>
        <v>#N/A</v>
      </c>
      <c r="AI99" s="117" t="e">
        <f>IF($A99="",NA(),$A99)</f>
        <v>#N/A</v>
      </c>
      <c r="AJ99" s="116" t="e">
        <f>IF($A99="",NA(),$K99)</f>
        <v>#N/A</v>
      </c>
      <c r="AL99" s="117" t="e">
        <f>IF($A99="",NA(),$A99)</f>
        <v>#N/A</v>
      </c>
      <c r="AM99" s="116" t="e">
        <f>IF($A99="",NA(),$G99)</f>
        <v>#N/A</v>
      </c>
    </row>
    <row r="100" spans="1:39" x14ac:dyDescent="0.3">
      <c r="A100" s="95" t="str">
        <f>IF($M100="","",SUMIFS('Daily Data'!$A$4:$A$503,'Daily Data'!$B$4:$B$503,$B$3,'Daily Data'!$AK$4:$AK$503,$M100))</f>
        <v/>
      </c>
      <c r="B100" s="96" t="str">
        <f>IF($M100="","",SUMIFS('Daily Data'!$E$4:$E$503,'Daily Data'!$B$4:$B$503,$B$3,'Daily Data'!$AK$4:$AK$503,$M100))</f>
        <v/>
      </c>
      <c r="C100" s="97" t="str">
        <f>IF($M100="","",SUMIFS('Daily Data'!$H$4:$H$503,'Daily Data'!$B$4:$B$503,$B$3,'Daily Data'!$AK$4:$AK$503,$M100))</f>
        <v/>
      </c>
      <c r="D100" s="98" t="str">
        <f>IF($M100="","",SUMIFS('Daily Data'!$L$4:$L$503,'Daily Data'!$B$4:$B$503,$B$3,'Daily Data'!$AK$4:$AK$503,$M100))</f>
        <v/>
      </c>
      <c r="E100" s="98" t="str">
        <f>IF($M100="","",SUMIFS('Daily Data'!$M$4:$M$503,'Daily Data'!$B$4:$B$503,$B$3,'Daily Data'!$AK$4:$AK$503,$M100))</f>
        <v/>
      </c>
      <c r="F100" s="99" t="str">
        <f>IF($M100="","",SUMIFS('Daily Data'!$S$4:$S$503,'Daily Data'!$B$4:$B$503,$B$3,'Daily Data'!$AK$4:$AK$503,$M100))</f>
        <v/>
      </c>
      <c r="G100" s="97" t="str">
        <f>IF($M100="","",IF(COUNTIFS('Daily Data'!$B$4:$B$503,$B$3,'Daily Data'!$AK$4:$AK$503,$M100,'Daily Data'!$AA$4:$AA$503,"&gt;=-1E+300")=0,"",SUMIFS('Daily Data'!$AA$4:$AA$503,'Daily Data'!$B$4:$B$503,$B$3,'Daily Data'!$AK$4:$AK$503,$M100)))</f>
        <v/>
      </c>
      <c r="H100" s="98" t="str">
        <f>IF($M100="","",SUMIFS('Daily Data'!$K$4:$K$503,'Daily Data'!$B$4:$B$503,$B$3,'Daily Data'!$AK$4:$AK$503,$M100))</f>
        <v/>
      </c>
      <c r="I100" s="99" t="str">
        <f>IF($M100="","",IF(COUNTIFS('Daily Data'!$B$4:$B$503,$B$3,'Daily Data'!$AK$4:$AK$503,$M100,'Daily Data'!$AC$4:$AC$503,"&gt;=-1E+300")=0,"",SUMIFS('Daily Data'!$AC$4:$AC$503,'Daily Data'!$B$4:$B$503,$B$3,'Daily Data'!$AK$4:$AK$503,$M100)))</f>
        <v/>
      </c>
      <c r="J100" s="98" t="str">
        <f>IF($M100="","",SUMIFS('Daily Data'!$I$4:$I$503,'Daily Data'!$B$4:$B$503,$B$3,'Daily Data'!$AK$4:$AK$503,$M100))</f>
        <v/>
      </c>
      <c r="K100" s="100" t="str">
        <f>IF($M100="","",SUMIFS('Daily Data'!$AH$4:$AH$503,'Daily Data'!$B$4:$B$503,$B$3,'Daily Data'!$AK$4:$AK$503,$M100))</f>
        <v/>
      </c>
      <c r="L100" s="101" t="str">
        <f>IF($K100="","",IF($K100&lt;Settings!$C$46,"Extreme Sell Pressure",IF($K100&lt;Settings!$C$47,"Sell Pressure",IF($K100&lt;=Settings!$C$48,"Neutral",IF($K100&lt;=Settings!$C$49,"Buy Pressure","Extreme Buy Pressure")))))</f>
        <v/>
      </c>
      <c r="M100" s="112" t="str">
        <f>IF(COUNTIF('Daily Data'!$B$4:$B$503,$B$3)-100+ROW()-9&lt;1,"",COUNTIF('Daily Data'!$B$4:$B$503,$B$3)-100+ROW()-9)</f>
        <v/>
      </c>
      <c r="N100" s="97" t="str">
        <f>IF($M100="","",IF(COUNTIFS('Daily Data'!$B$4:$B$503,$B$3,'Daily Data'!$AK$4:$AK$503,$M100,'Daily Data'!$AD$4:$AD$503,"&gt;=-1E+300")=0,"",SUMIFS('Daily Data'!$AD$4:$AD$503,'Daily Data'!$B$4:$B$503,$B$3,'Daily Data'!$AK$4:$AK$503,$M100)))</f>
        <v/>
      </c>
      <c r="O100" s="97" t="str">
        <f>IF($M100="","",IF(COUNTIFS('Daily Data'!$B$4:$B$503,$B$3,'Daily Data'!$AK$4:$AK$503,$M100,'Daily Data'!$AE$4:$AE$503,"&gt;=-1E+300")=0,"",SUMIFS('Daily Data'!$AE$4:$AE$503,'Daily Data'!$B$4:$B$503,$B$3,'Daily Data'!$AK$4:$AK$503,$M100)))</f>
        <v/>
      </c>
      <c r="P100" s="99" t="str">
        <f>IF($M100="","",IF(COUNTIFS('Daily Data'!$B$4:$B$503,$B$3,'Daily Data'!$AK$4:$AK$503,$M100,'Daily Data'!$Z$4:$Z$503,"&gt;=-1E+300")=0,"",SUMIFS('Daily Data'!$Z$4:$Z$503,'Daily Data'!$B$4:$B$503,$B$3,'Daily Data'!$AK$4:$AK$503,$M100)))</f>
        <v/>
      </c>
      <c r="Q100" s="100" t="str">
        <f>IF($M100="","",SUMIFS('Daily Data'!$AG$4:$AG$503,'Daily Data'!$B$4:$B$503,$B$3,'Daily Data'!$AK$4:$AK$503,$M100))</f>
        <v/>
      </c>
      <c r="S100" s="117" t="e">
        <f>IF($A100="",NA(),$A100)</f>
        <v>#N/A</v>
      </c>
      <c r="T100" s="116" t="e">
        <f>IF($A100="",NA(),$B100)</f>
        <v>#N/A</v>
      </c>
      <c r="V100" s="117" t="e">
        <f>IF($A100="",NA(),$A100)</f>
        <v>#N/A</v>
      </c>
      <c r="W100" s="116" t="e">
        <f>IF($A100="",NA(),$H100)</f>
        <v>#N/A</v>
      </c>
      <c r="Y100" s="117" t="e">
        <f>IF($A100="",NA(),$A100)</f>
        <v>#N/A</v>
      </c>
      <c r="Z100" s="116" t="e">
        <f>IF($A100="",NA(),$J100)</f>
        <v>#N/A</v>
      </c>
      <c r="AB100" s="117" t="e">
        <f>IF($A100="",NA(),$A100)</f>
        <v>#N/A</v>
      </c>
      <c r="AC100" s="116" t="e">
        <f>IF($A100="",NA(),$D100)</f>
        <v>#N/A</v>
      </c>
      <c r="AD100" s="116" t="e">
        <f>IF($A100="",NA(),$E100)</f>
        <v>#N/A</v>
      </c>
      <c r="AF100" s="117" t="e">
        <f>IF($A100="",NA(),$A100)</f>
        <v>#N/A</v>
      </c>
      <c r="AG100" s="116" t="e">
        <f>IF($A100="",NA(),$F100)</f>
        <v>#N/A</v>
      </c>
      <c r="AI100" s="117" t="e">
        <f>IF($A100="",NA(),$A100)</f>
        <v>#N/A</v>
      </c>
      <c r="AJ100" s="116" t="e">
        <f>IF($A100="",NA(),$K100)</f>
        <v>#N/A</v>
      </c>
      <c r="AL100" s="117" t="e">
        <f>IF($A100="",NA(),$A100)</f>
        <v>#N/A</v>
      </c>
      <c r="AM100" s="116" t="e">
        <f>IF($A100="",NA(),$G100)</f>
        <v>#N/A</v>
      </c>
    </row>
    <row r="101" spans="1:39" x14ac:dyDescent="0.3">
      <c r="A101" s="95" t="str">
        <f>IF($M101="","",SUMIFS('Daily Data'!$A$4:$A$503,'Daily Data'!$B$4:$B$503,$B$3,'Daily Data'!$AK$4:$AK$503,$M101))</f>
        <v/>
      </c>
      <c r="B101" s="96" t="str">
        <f>IF($M101="","",SUMIFS('Daily Data'!$E$4:$E$503,'Daily Data'!$B$4:$B$503,$B$3,'Daily Data'!$AK$4:$AK$503,$M101))</f>
        <v/>
      </c>
      <c r="C101" s="97" t="str">
        <f>IF($M101="","",SUMIFS('Daily Data'!$H$4:$H$503,'Daily Data'!$B$4:$B$503,$B$3,'Daily Data'!$AK$4:$AK$503,$M101))</f>
        <v/>
      </c>
      <c r="D101" s="98" t="str">
        <f>IF($M101="","",SUMIFS('Daily Data'!$L$4:$L$503,'Daily Data'!$B$4:$B$503,$B$3,'Daily Data'!$AK$4:$AK$503,$M101))</f>
        <v/>
      </c>
      <c r="E101" s="98" t="str">
        <f>IF($M101="","",SUMIFS('Daily Data'!$M$4:$M$503,'Daily Data'!$B$4:$B$503,$B$3,'Daily Data'!$AK$4:$AK$503,$M101))</f>
        <v/>
      </c>
      <c r="F101" s="99" t="str">
        <f>IF($M101="","",SUMIFS('Daily Data'!$S$4:$S$503,'Daily Data'!$B$4:$B$503,$B$3,'Daily Data'!$AK$4:$AK$503,$M101))</f>
        <v/>
      </c>
      <c r="G101" s="97" t="str">
        <f>IF($M101="","",IF(COUNTIFS('Daily Data'!$B$4:$B$503,$B$3,'Daily Data'!$AK$4:$AK$503,$M101,'Daily Data'!$AA$4:$AA$503,"&gt;=-1E+300")=0,"",SUMIFS('Daily Data'!$AA$4:$AA$503,'Daily Data'!$B$4:$B$503,$B$3,'Daily Data'!$AK$4:$AK$503,$M101)))</f>
        <v/>
      </c>
      <c r="H101" s="98" t="str">
        <f>IF($M101="","",SUMIFS('Daily Data'!$K$4:$K$503,'Daily Data'!$B$4:$B$503,$B$3,'Daily Data'!$AK$4:$AK$503,$M101))</f>
        <v/>
      </c>
      <c r="I101" s="99" t="str">
        <f>IF($M101="","",IF(COUNTIFS('Daily Data'!$B$4:$B$503,$B$3,'Daily Data'!$AK$4:$AK$503,$M101,'Daily Data'!$AC$4:$AC$503,"&gt;=-1E+300")=0,"",SUMIFS('Daily Data'!$AC$4:$AC$503,'Daily Data'!$B$4:$B$503,$B$3,'Daily Data'!$AK$4:$AK$503,$M101)))</f>
        <v/>
      </c>
      <c r="J101" s="98" t="str">
        <f>IF($M101="","",SUMIFS('Daily Data'!$I$4:$I$503,'Daily Data'!$B$4:$B$503,$B$3,'Daily Data'!$AK$4:$AK$503,$M101))</f>
        <v/>
      </c>
      <c r="K101" s="100" t="str">
        <f>IF($M101="","",SUMIFS('Daily Data'!$AH$4:$AH$503,'Daily Data'!$B$4:$B$503,$B$3,'Daily Data'!$AK$4:$AK$503,$M101))</f>
        <v/>
      </c>
      <c r="L101" s="101" t="str">
        <f>IF($K101="","",IF($K101&lt;Settings!$C$46,"Extreme Sell Pressure",IF($K101&lt;Settings!$C$47,"Sell Pressure",IF($K101&lt;=Settings!$C$48,"Neutral",IF($K101&lt;=Settings!$C$49,"Buy Pressure","Extreme Buy Pressure")))))</f>
        <v/>
      </c>
      <c r="M101" s="112" t="str">
        <f>IF(COUNTIF('Daily Data'!$B$4:$B$503,$B$3)-100+ROW()-9&lt;1,"",COUNTIF('Daily Data'!$B$4:$B$503,$B$3)-100+ROW()-9)</f>
        <v/>
      </c>
      <c r="N101" s="97" t="str">
        <f>IF($M101="","",IF(COUNTIFS('Daily Data'!$B$4:$B$503,$B$3,'Daily Data'!$AK$4:$AK$503,$M101,'Daily Data'!$AD$4:$AD$503,"&gt;=-1E+300")=0,"",SUMIFS('Daily Data'!$AD$4:$AD$503,'Daily Data'!$B$4:$B$503,$B$3,'Daily Data'!$AK$4:$AK$503,$M101)))</f>
        <v/>
      </c>
      <c r="O101" s="97" t="str">
        <f>IF($M101="","",IF(COUNTIFS('Daily Data'!$B$4:$B$503,$B$3,'Daily Data'!$AK$4:$AK$503,$M101,'Daily Data'!$AE$4:$AE$503,"&gt;=-1E+300")=0,"",SUMIFS('Daily Data'!$AE$4:$AE$503,'Daily Data'!$B$4:$B$503,$B$3,'Daily Data'!$AK$4:$AK$503,$M101)))</f>
        <v/>
      </c>
      <c r="P101" s="99" t="str">
        <f>IF($M101="","",IF(COUNTIFS('Daily Data'!$B$4:$B$503,$B$3,'Daily Data'!$AK$4:$AK$503,$M101,'Daily Data'!$Z$4:$Z$503,"&gt;=-1E+300")=0,"",SUMIFS('Daily Data'!$Z$4:$Z$503,'Daily Data'!$B$4:$B$503,$B$3,'Daily Data'!$AK$4:$AK$503,$M101)))</f>
        <v/>
      </c>
      <c r="Q101" s="100" t="str">
        <f>IF($M101="","",SUMIFS('Daily Data'!$AG$4:$AG$503,'Daily Data'!$B$4:$B$503,$B$3,'Daily Data'!$AK$4:$AK$503,$M101))</f>
        <v/>
      </c>
      <c r="S101" s="117" t="e">
        <f>IF($A101="",NA(),$A101)</f>
        <v>#N/A</v>
      </c>
      <c r="T101" s="116" t="e">
        <f>IF($A101="",NA(),$B101)</f>
        <v>#N/A</v>
      </c>
      <c r="V101" s="117" t="e">
        <f>IF($A101="",NA(),$A101)</f>
        <v>#N/A</v>
      </c>
      <c r="W101" s="116" t="e">
        <f>IF($A101="",NA(),$H101)</f>
        <v>#N/A</v>
      </c>
      <c r="Y101" s="117" t="e">
        <f>IF($A101="",NA(),$A101)</f>
        <v>#N/A</v>
      </c>
      <c r="Z101" s="116" t="e">
        <f>IF($A101="",NA(),$J101)</f>
        <v>#N/A</v>
      </c>
      <c r="AB101" s="117" t="e">
        <f>IF($A101="",NA(),$A101)</f>
        <v>#N/A</v>
      </c>
      <c r="AC101" s="116" t="e">
        <f>IF($A101="",NA(),$D101)</f>
        <v>#N/A</v>
      </c>
      <c r="AD101" s="116" t="e">
        <f>IF($A101="",NA(),$E101)</f>
        <v>#N/A</v>
      </c>
      <c r="AF101" s="117" t="e">
        <f>IF($A101="",NA(),$A101)</f>
        <v>#N/A</v>
      </c>
      <c r="AG101" s="116" t="e">
        <f>IF($A101="",NA(),$F101)</f>
        <v>#N/A</v>
      </c>
      <c r="AI101" s="117" t="e">
        <f>IF($A101="",NA(),$A101)</f>
        <v>#N/A</v>
      </c>
      <c r="AJ101" s="116" t="e">
        <f>IF($A101="",NA(),$K101)</f>
        <v>#N/A</v>
      </c>
      <c r="AL101" s="117" t="e">
        <f>IF($A101="",NA(),$A101)</f>
        <v>#N/A</v>
      </c>
      <c r="AM101" s="116" t="e">
        <f>IF($A101="",NA(),$G101)</f>
        <v>#N/A</v>
      </c>
    </row>
    <row r="102" spans="1:39" x14ac:dyDescent="0.3">
      <c r="A102" s="95" t="str">
        <f>IF($M102="","",SUMIFS('Daily Data'!$A$4:$A$503,'Daily Data'!$B$4:$B$503,$B$3,'Daily Data'!$AK$4:$AK$503,$M102))</f>
        <v/>
      </c>
      <c r="B102" s="96" t="str">
        <f>IF($M102="","",SUMIFS('Daily Data'!$E$4:$E$503,'Daily Data'!$B$4:$B$503,$B$3,'Daily Data'!$AK$4:$AK$503,$M102))</f>
        <v/>
      </c>
      <c r="C102" s="97" t="str">
        <f>IF($M102="","",SUMIFS('Daily Data'!$H$4:$H$503,'Daily Data'!$B$4:$B$503,$B$3,'Daily Data'!$AK$4:$AK$503,$M102))</f>
        <v/>
      </c>
      <c r="D102" s="98" t="str">
        <f>IF($M102="","",SUMIFS('Daily Data'!$L$4:$L$503,'Daily Data'!$B$4:$B$503,$B$3,'Daily Data'!$AK$4:$AK$503,$M102))</f>
        <v/>
      </c>
      <c r="E102" s="98" t="str">
        <f>IF($M102="","",SUMIFS('Daily Data'!$M$4:$M$503,'Daily Data'!$B$4:$B$503,$B$3,'Daily Data'!$AK$4:$AK$503,$M102))</f>
        <v/>
      </c>
      <c r="F102" s="99" t="str">
        <f>IF($M102="","",SUMIFS('Daily Data'!$S$4:$S$503,'Daily Data'!$B$4:$B$503,$B$3,'Daily Data'!$AK$4:$AK$503,$M102))</f>
        <v/>
      </c>
      <c r="G102" s="97" t="str">
        <f>IF($M102="","",IF(COUNTIFS('Daily Data'!$B$4:$B$503,$B$3,'Daily Data'!$AK$4:$AK$503,$M102,'Daily Data'!$AA$4:$AA$503,"&gt;=-1E+300")=0,"",SUMIFS('Daily Data'!$AA$4:$AA$503,'Daily Data'!$B$4:$B$503,$B$3,'Daily Data'!$AK$4:$AK$503,$M102)))</f>
        <v/>
      </c>
      <c r="H102" s="98" t="str">
        <f>IF($M102="","",SUMIFS('Daily Data'!$K$4:$K$503,'Daily Data'!$B$4:$B$503,$B$3,'Daily Data'!$AK$4:$AK$503,$M102))</f>
        <v/>
      </c>
      <c r="I102" s="99" t="str">
        <f>IF($M102="","",IF(COUNTIFS('Daily Data'!$B$4:$B$503,$B$3,'Daily Data'!$AK$4:$AK$503,$M102,'Daily Data'!$AC$4:$AC$503,"&gt;=-1E+300")=0,"",SUMIFS('Daily Data'!$AC$4:$AC$503,'Daily Data'!$B$4:$B$503,$B$3,'Daily Data'!$AK$4:$AK$503,$M102)))</f>
        <v/>
      </c>
      <c r="J102" s="98" t="str">
        <f>IF($M102="","",SUMIFS('Daily Data'!$I$4:$I$503,'Daily Data'!$B$4:$B$503,$B$3,'Daily Data'!$AK$4:$AK$503,$M102))</f>
        <v/>
      </c>
      <c r="K102" s="100" t="str">
        <f>IF($M102="","",SUMIFS('Daily Data'!$AH$4:$AH$503,'Daily Data'!$B$4:$B$503,$B$3,'Daily Data'!$AK$4:$AK$503,$M102))</f>
        <v/>
      </c>
      <c r="L102" s="101" t="str">
        <f>IF($K102="","",IF($K102&lt;Settings!$C$46,"Extreme Sell Pressure",IF($K102&lt;Settings!$C$47,"Sell Pressure",IF($K102&lt;=Settings!$C$48,"Neutral",IF($K102&lt;=Settings!$C$49,"Buy Pressure","Extreme Buy Pressure")))))</f>
        <v/>
      </c>
      <c r="M102" s="112" t="str">
        <f>IF(COUNTIF('Daily Data'!$B$4:$B$503,$B$3)-100+ROW()-9&lt;1,"",COUNTIF('Daily Data'!$B$4:$B$503,$B$3)-100+ROW()-9)</f>
        <v/>
      </c>
      <c r="N102" s="97" t="str">
        <f>IF($M102="","",IF(COUNTIFS('Daily Data'!$B$4:$B$503,$B$3,'Daily Data'!$AK$4:$AK$503,$M102,'Daily Data'!$AD$4:$AD$503,"&gt;=-1E+300")=0,"",SUMIFS('Daily Data'!$AD$4:$AD$503,'Daily Data'!$B$4:$B$503,$B$3,'Daily Data'!$AK$4:$AK$503,$M102)))</f>
        <v/>
      </c>
      <c r="O102" s="97" t="str">
        <f>IF($M102="","",IF(COUNTIFS('Daily Data'!$B$4:$B$503,$B$3,'Daily Data'!$AK$4:$AK$503,$M102,'Daily Data'!$AE$4:$AE$503,"&gt;=-1E+300")=0,"",SUMIFS('Daily Data'!$AE$4:$AE$503,'Daily Data'!$B$4:$B$503,$B$3,'Daily Data'!$AK$4:$AK$503,$M102)))</f>
        <v/>
      </c>
      <c r="P102" s="99" t="str">
        <f>IF($M102="","",IF(COUNTIFS('Daily Data'!$B$4:$B$503,$B$3,'Daily Data'!$AK$4:$AK$503,$M102,'Daily Data'!$Z$4:$Z$503,"&gt;=-1E+300")=0,"",SUMIFS('Daily Data'!$Z$4:$Z$503,'Daily Data'!$B$4:$B$503,$B$3,'Daily Data'!$AK$4:$AK$503,$M102)))</f>
        <v/>
      </c>
      <c r="Q102" s="100" t="str">
        <f>IF($M102="","",SUMIFS('Daily Data'!$AG$4:$AG$503,'Daily Data'!$B$4:$B$503,$B$3,'Daily Data'!$AK$4:$AK$503,$M102))</f>
        <v/>
      </c>
      <c r="S102" s="117" t="e">
        <f>IF($A102="",NA(),$A102)</f>
        <v>#N/A</v>
      </c>
      <c r="T102" s="116" t="e">
        <f>IF($A102="",NA(),$B102)</f>
        <v>#N/A</v>
      </c>
      <c r="V102" s="117" t="e">
        <f>IF($A102="",NA(),$A102)</f>
        <v>#N/A</v>
      </c>
      <c r="W102" s="116" t="e">
        <f>IF($A102="",NA(),$H102)</f>
        <v>#N/A</v>
      </c>
      <c r="Y102" s="117" t="e">
        <f>IF($A102="",NA(),$A102)</f>
        <v>#N/A</v>
      </c>
      <c r="Z102" s="116" t="e">
        <f>IF($A102="",NA(),$J102)</f>
        <v>#N/A</v>
      </c>
      <c r="AB102" s="117" t="e">
        <f>IF($A102="",NA(),$A102)</f>
        <v>#N/A</v>
      </c>
      <c r="AC102" s="116" t="e">
        <f>IF($A102="",NA(),$D102)</f>
        <v>#N/A</v>
      </c>
      <c r="AD102" s="116" t="e">
        <f>IF($A102="",NA(),$E102)</f>
        <v>#N/A</v>
      </c>
      <c r="AF102" s="117" t="e">
        <f>IF($A102="",NA(),$A102)</f>
        <v>#N/A</v>
      </c>
      <c r="AG102" s="116" t="e">
        <f>IF($A102="",NA(),$F102)</f>
        <v>#N/A</v>
      </c>
      <c r="AI102" s="117" t="e">
        <f>IF($A102="",NA(),$A102)</f>
        <v>#N/A</v>
      </c>
      <c r="AJ102" s="116" t="e">
        <f>IF($A102="",NA(),$K102)</f>
        <v>#N/A</v>
      </c>
      <c r="AL102" s="117" t="e">
        <f>IF($A102="",NA(),$A102)</f>
        <v>#N/A</v>
      </c>
      <c r="AM102" s="116" t="e">
        <f>IF($A102="",NA(),$G102)</f>
        <v>#N/A</v>
      </c>
    </row>
    <row r="103" spans="1:39" x14ac:dyDescent="0.3">
      <c r="A103" s="95" t="str">
        <f>IF($M103="","",SUMIFS('Daily Data'!$A$4:$A$503,'Daily Data'!$B$4:$B$503,$B$3,'Daily Data'!$AK$4:$AK$503,$M103))</f>
        <v/>
      </c>
      <c r="B103" s="96" t="str">
        <f>IF($M103="","",SUMIFS('Daily Data'!$E$4:$E$503,'Daily Data'!$B$4:$B$503,$B$3,'Daily Data'!$AK$4:$AK$503,$M103))</f>
        <v/>
      </c>
      <c r="C103" s="97" t="str">
        <f>IF($M103="","",SUMIFS('Daily Data'!$H$4:$H$503,'Daily Data'!$B$4:$B$503,$B$3,'Daily Data'!$AK$4:$AK$503,$M103))</f>
        <v/>
      </c>
      <c r="D103" s="98" t="str">
        <f>IF($M103="","",SUMIFS('Daily Data'!$L$4:$L$503,'Daily Data'!$B$4:$B$503,$B$3,'Daily Data'!$AK$4:$AK$503,$M103))</f>
        <v/>
      </c>
      <c r="E103" s="98" t="str">
        <f>IF($M103="","",SUMIFS('Daily Data'!$M$4:$M$503,'Daily Data'!$B$4:$B$503,$B$3,'Daily Data'!$AK$4:$AK$503,$M103))</f>
        <v/>
      </c>
      <c r="F103" s="99" t="str">
        <f>IF($M103="","",SUMIFS('Daily Data'!$S$4:$S$503,'Daily Data'!$B$4:$B$503,$B$3,'Daily Data'!$AK$4:$AK$503,$M103))</f>
        <v/>
      </c>
      <c r="G103" s="97" t="str">
        <f>IF($M103="","",IF(COUNTIFS('Daily Data'!$B$4:$B$503,$B$3,'Daily Data'!$AK$4:$AK$503,$M103,'Daily Data'!$AA$4:$AA$503,"&gt;=-1E+300")=0,"",SUMIFS('Daily Data'!$AA$4:$AA$503,'Daily Data'!$B$4:$B$503,$B$3,'Daily Data'!$AK$4:$AK$503,$M103)))</f>
        <v/>
      </c>
      <c r="H103" s="98" t="str">
        <f>IF($M103="","",SUMIFS('Daily Data'!$K$4:$K$503,'Daily Data'!$B$4:$B$503,$B$3,'Daily Data'!$AK$4:$AK$503,$M103))</f>
        <v/>
      </c>
      <c r="I103" s="99" t="str">
        <f>IF($M103="","",IF(COUNTIFS('Daily Data'!$B$4:$B$503,$B$3,'Daily Data'!$AK$4:$AK$503,$M103,'Daily Data'!$AC$4:$AC$503,"&gt;=-1E+300")=0,"",SUMIFS('Daily Data'!$AC$4:$AC$503,'Daily Data'!$B$4:$B$503,$B$3,'Daily Data'!$AK$4:$AK$503,$M103)))</f>
        <v/>
      </c>
      <c r="J103" s="98" t="str">
        <f>IF($M103="","",SUMIFS('Daily Data'!$I$4:$I$503,'Daily Data'!$B$4:$B$503,$B$3,'Daily Data'!$AK$4:$AK$503,$M103))</f>
        <v/>
      </c>
      <c r="K103" s="100" t="str">
        <f>IF($M103="","",SUMIFS('Daily Data'!$AH$4:$AH$503,'Daily Data'!$B$4:$B$503,$B$3,'Daily Data'!$AK$4:$AK$503,$M103))</f>
        <v/>
      </c>
      <c r="L103" s="101" t="str">
        <f>IF($K103="","",IF($K103&lt;Settings!$C$46,"Extreme Sell Pressure",IF($K103&lt;Settings!$C$47,"Sell Pressure",IF($K103&lt;=Settings!$C$48,"Neutral",IF($K103&lt;=Settings!$C$49,"Buy Pressure","Extreme Buy Pressure")))))</f>
        <v/>
      </c>
      <c r="M103" s="112" t="str">
        <f>IF(COUNTIF('Daily Data'!$B$4:$B$503,$B$3)-100+ROW()-9&lt;1,"",COUNTIF('Daily Data'!$B$4:$B$503,$B$3)-100+ROW()-9)</f>
        <v/>
      </c>
      <c r="N103" s="97" t="str">
        <f>IF($M103="","",IF(COUNTIFS('Daily Data'!$B$4:$B$503,$B$3,'Daily Data'!$AK$4:$AK$503,$M103,'Daily Data'!$AD$4:$AD$503,"&gt;=-1E+300")=0,"",SUMIFS('Daily Data'!$AD$4:$AD$503,'Daily Data'!$B$4:$B$503,$B$3,'Daily Data'!$AK$4:$AK$503,$M103)))</f>
        <v/>
      </c>
      <c r="O103" s="97" t="str">
        <f>IF($M103="","",IF(COUNTIFS('Daily Data'!$B$4:$B$503,$B$3,'Daily Data'!$AK$4:$AK$503,$M103,'Daily Data'!$AE$4:$AE$503,"&gt;=-1E+300")=0,"",SUMIFS('Daily Data'!$AE$4:$AE$503,'Daily Data'!$B$4:$B$503,$B$3,'Daily Data'!$AK$4:$AK$503,$M103)))</f>
        <v/>
      </c>
      <c r="P103" s="99" t="str">
        <f>IF($M103="","",IF(COUNTIFS('Daily Data'!$B$4:$B$503,$B$3,'Daily Data'!$AK$4:$AK$503,$M103,'Daily Data'!$Z$4:$Z$503,"&gt;=-1E+300")=0,"",SUMIFS('Daily Data'!$Z$4:$Z$503,'Daily Data'!$B$4:$B$503,$B$3,'Daily Data'!$AK$4:$AK$503,$M103)))</f>
        <v/>
      </c>
      <c r="Q103" s="100" t="str">
        <f>IF($M103="","",SUMIFS('Daily Data'!$AG$4:$AG$503,'Daily Data'!$B$4:$B$503,$B$3,'Daily Data'!$AK$4:$AK$503,$M103))</f>
        <v/>
      </c>
      <c r="S103" s="117" t="e">
        <f>IF($A103="",NA(),$A103)</f>
        <v>#N/A</v>
      </c>
      <c r="T103" s="116" t="e">
        <f>IF($A103="",NA(),$B103)</f>
        <v>#N/A</v>
      </c>
      <c r="V103" s="117" t="e">
        <f>IF($A103="",NA(),$A103)</f>
        <v>#N/A</v>
      </c>
      <c r="W103" s="116" t="e">
        <f>IF($A103="",NA(),$H103)</f>
        <v>#N/A</v>
      </c>
      <c r="Y103" s="117" t="e">
        <f>IF($A103="",NA(),$A103)</f>
        <v>#N/A</v>
      </c>
      <c r="Z103" s="116" t="e">
        <f>IF($A103="",NA(),$J103)</f>
        <v>#N/A</v>
      </c>
      <c r="AB103" s="117" t="e">
        <f>IF($A103="",NA(),$A103)</f>
        <v>#N/A</v>
      </c>
      <c r="AC103" s="116" t="e">
        <f>IF($A103="",NA(),$D103)</f>
        <v>#N/A</v>
      </c>
      <c r="AD103" s="116" t="e">
        <f>IF($A103="",NA(),$E103)</f>
        <v>#N/A</v>
      </c>
      <c r="AF103" s="117" t="e">
        <f>IF($A103="",NA(),$A103)</f>
        <v>#N/A</v>
      </c>
      <c r="AG103" s="116" t="e">
        <f>IF($A103="",NA(),$F103)</f>
        <v>#N/A</v>
      </c>
      <c r="AI103" s="117" t="e">
        <f>IF($A103="",NA(),$A103)</f>
        <v>#N/A</v>
      </c>
      <c r="AJ103" s="116" t="e">
        <f>IF($A103="",NA(),$K103)</f>
        <v>#N/A</v>
      </c>
      <c r="AL103" s="117" t="e">
        <f>IF($A103="",NA(),$A103)</f>
        <v>#N/A</v>
      </c>
      <c r="AM103" s="116" t="e">
        <f>IF($A103="",NA(),$G103)</f>
        <v>#N/A</v>
      </c>
    </row>
    <row r="104" spans="1:39" x14ac:dyDescent="0.3">
      <c r="A104" s="95" t="str">
        <f>IF($M104="","",SUMIFS('Daily Data'!$A$4:$A$503,'Daily Data'!$B$4:$B$503,$B$3,'Daily Data'!$AK$4:$AK$503,$M104))</f>
        <v/>
      </c>
      <c r="B104" s="96" t="str">
        <f>IF($M104="","",SUMIFS('Daily Data'!$E$4:$E$503,'Daily Data'!$B$4:$B$503,$B$3,'Daily Data'!$AK$4:$AK$503,$M104))</f>
        <v/>
      </c>
      <c r="C104" s="97" t="str">
        <f>IF($M104="","",SUMIFS('Daily Data'!$H$4:$H$503,'Daily Data'!$B$4:$B$503,$B$3,'Daily Data'!$AK$4:$AK$503,$M104))</f>
        <v/>
      </c>
      <c r="D104" s="98" t="str">
        <f>IF($M104="","",SUMIFS('Daily Data'!$L$4:$L$503,'Daily Data'!$B$4:$B$503,$B$3,'Daily Data'!$AK$4:$AK$503,$M104))</f>
        <v/>
      </c>
      <c r="E104" s="98" t="str">
        <f>IF($M104="","",SUMIFS('Daily Data'!$M$4:$M$503,'Daily Data'!$B$4:$B$503,$B$3,'Daily Data'!$AK$4:$AK$503,$M104))</f>
        <v/>
      </c>
      <c r="F104" s="99" t="str">
        <f>IF($M104="","",SUMIFS('Daily Data'!$S$4:$S$503,'Daily Data'!$B$4:$B$503,$B$3,'Daily Data'!$AK$4:$AK$503,$M104))</f>
        <v/>
      </c>
      <c r="G104" s="97" t="str">
        <f>IF($M104="","",IF(COUNTIFS('Daily Data'!$B$4:$B$503,$B$3,'Daily Data'!$AK$4:$AK$503,$M104,'Daily Data'!$AA$4:$AA$503,"&gt;=-1E+300")=0,"",SUMIFS('Daily Data'!$AA$4:$AA$503,'Daily Data'!$B$4:$B$503,$B$3,'Daily Data'!$AK$4:$AK$503,$M104)))</f>
        <v/>
      </c>
      <c r="H104" s="98" t="str">
        <f>IF($M104="","",SUMIFS('Daily Data'!$K$4:$K$503,'Daily Data'!$B$4:$B$503,$B$3,'Daily Data'!$AK$4:$AK$503,$M104))</f>
        <v/>
      </c>
      <c r="I104" s="99" t="str">
        <f>IF($M104="","",IF(COUNTIFS('Daily Data'!$B$4:$B$503,$B$3,'Daily Data'!$AK$4:$AK$503,$M104,'Daily Data'!$AC$4:$AC$503,"&gt;=-1E+300")=0,"",SUMIFS('Daily Data'!$AC$4:$AC$503,'Daily Data'!$B$4:$B$503,$B$3,'Daily Data'!$AK$4:$AK$503,$M104)))</f>
        <v/>
      </c>
      <c r="J104" s="98" t="str">
        <f>IF($M104="","",SUMIFS('Daily Data'!$I$4:$I$503,'Daily Data'!$B$4:$B$503,$B$3,'Daily Data'!$AK$4:$AK$503,$M104))</f>
        <v/>
      </c>
      <c r="K104" s="100" t="str">
        <f>IF($M104="","",SUMIFS('Daily Data'!$AH$4:$AH$503,'Daily Data'!$B$4:$B$503,$B$3,'Daily Data'!$AK$4:$AK$503,$M104))</f>
        <v/>
      </c>
      <c r="L104" s="101" t="str">
        <f>IF($K104="","",IF($K104&lt;Settings!$C$46,"Extreme Sell Pressure",IF($K104&lt;Settings!$C$47,"Sell Pressure",IF($K104&lt;=Settings!$C$48,"Neutral",IF($K104&lt;=Settings!$C$49,"Buy Pressure","Extreme Buy Pressure")))))</f>
        <v/>
      </c>
      <c r="M104" s="112" t="str">
        <f>IF(COUNTIF('Daily Data'!$B$4:$B$503,$B$3)-100+ROW()-9&lt;1,"",COUNTIF('Daily Data'!$B$4:$B$503,$B$3)-100+ROW()-9)</f>
        <v/>
      </c>
      <c r="N104" s="97" t="str">
        <f>IF($M104="","",IF(COUNTIFS('Daily Data'!$B$4:$B$503,$B$3,'Daily Data'!$AK$4:$AK$503,$M104,'Daily Data'!$AD$4:$AD$503,"&gt;=-1E+300")=0,"",SUMIFS('Daily Data'!$AD$4:$AD$503,'Daily Data'!$B$4:$B$503,$B$3,'Daily Data'!$AK$4:$AK$503,$M104)))</f>
        <v/>
      </c>
      <c r="O104" s="97" t="str">
        <f>IF($M104="","",IF(COUNTIFS('Daily Data'!$B$4:$B$503,$B$3,'Daily Data'!$AK$4:$AK$503,$M104,'Daily Data'!$AE$4:$AE$503,"&gt;=-1E+300")=0,"",SUMIFS('Daily Data'!$AE$4:$AE$503,'Daily Data'!$B$4:$B$503,$B$3,'Daily Data'!$AK$4:$AK$503,$M104)))</f>
        <v/>
      </c>
      <c r="P104" s="99" t="str">
        <f>IF($M104="","",IF(COUNTIFS('Daily Data'!$B$4:$B$503,$B$3,'Daily Data'!$AK$4:$AK$503,$M104,'Daily Data'!$Z$4:$Z$503,"&gt;=-1E+300")=0,"",SUMIFS('Daily Data'!$Z$4:$Z$503,'Daily Data'!$B$4:$B$503,$B$3,'Daily Data'!$AK$4:$AK$503,$M104)))</f>
        <v/>
      </c>
      <c r="Q104" s="100" t="str">
        <f>IF($M104="","",SUMIFS('Daily Data'!$AG$4:$AG$503,'Daily Data'!$B$4:$B$503,$B$3,'Daily Data'!$AK$4:$AK$503,$M104))</f>
        <v/>
      </c>
      <c r="S104" s="117" t="e">
        <f>IF($A104="",NA(),$A104)</f>
        <v>#N/A</v>
      </c>
      <c r="T104" s="116" t="e">
        <f>IF($A104="",NA(),$B104)</f>
        <v>#N/A</v>
      </c>
      <c r="V104" s="117" t="e">
        <f>IF($A104="",NA(),$A104)</f>
        <v>#N/A</v>
      </c>
      <c r="W104" s="116" t="e">
        <f>IF($A104="",NA(),$H104)</f>
        <v>#N/A</v>
      </c>
      <c r="Y104" s="117" t="e">
        <f>IF($A104="",NA(),$A104)</f>
        <v>#N/A</v>
      </c>
      <c r="Z104" s="116" t="e">
        <f>IF($A104="",NA(),$J104)</f>
        <v>#N/A</v>
      </c>
      <c r="AB104" s="117" t="e">
        <f>IF($A104="",NA(),$A104)</f>
        <v>#N/A</v>
      </c>
      <c r="AC104" s="116" t="e">
        <f>IF($A104="",NA(),$D104)</f>
        <v>#N/A</v>
      </c>
      <c r="AD104" s="116" t="e">
        <f>IF($A104="",NA(),$E104)</f>
        <v>#N/A</v>
      </c>
      <c r="AF104" s="117" t="e">
        <f>IF($A104="",NA(),$A104)</f>
        <v>#N/A</v>
      </c>
      <c r="AG104" s="116" t="e">
        <f>IF($A104="",NA(),$F104)</f>
        <v>#N/A</v>
      </c>
      <c r="AI104" s="117" t="e">
        <f>IF($A104="",NA(),$A104)</f>
        <v>#N/A</v>
      </c>
      <c r="AJ104" s="116" t="e">
        <f>IF($A104="",NA(),$K104)</f>
        <v>#N/A</v>
      </c>
      <c r="AL104" s="117" t="e">
        <f>IF($A104="",NA(),$A104)</f>
        <v>#N/A</v>
      </c>
      <c r="AM104" s="116" t="e">
        <f>IF($A104="",NA(),$G104)</f>
        <v>#N/A</v>
      </c>
    </row>
    <row r="105" spans="1:39" x14ac:dyDescent="0.3">
      <c r="A105" s="95">
        <f>IF($M105="","",SUMIFS('Daily Data'!$A$4:$A$503,'Daily Data'!$B$4:$B$503,$B$3,'Daily Data'!$AK$4:$AK$503,$M105))</f>
        <v>46244</v>
      </c>
      <c r="B105" s="96">
        <f>IF($M105="","",SUMIFS('Daily Data'!$E$4:$E$503,'Daily Data'!$B$4:$B$503,$B$3,'Daily Data'!$AK$4:$AK$503,$M105))</f>
        <v>2600</v>
      </c>
      <c r="C105" s="97">
        <f>IF($M105="","",SUMIFS('Daily Data'!$H$4:$H$503,'Daily Data'!$B$4:$B$503,$B$3,'Daily Data'!$AK$4:$AK$503,$M105))</f>
        <v>0</v>
      </c>
      <c r="D105" s="98">
        <f>IF($M105="","",SUMIFS('Daily Data'!$L$4:$L$503,'Daily Data'!$B$4:$B$503,$B$3,'Daily Data'!$AK$4:$AK$503,$M105))</f>
        <v>129405</v>
      </c>
      <c r="E105" s="98">
        <f>IF($M105="","",SUMIFS('Daily Data'!$M$4:$M$503,'Daily Data'!$B$4:$B$503,$B$3,'Daily Data'!$AK$4:$AK$503,$M105))</f>
        <v>58236</v>
      </c>
      <c r="F105" s="99">
        <f>IF($M105="","",SUMIFS('Daily Data'!$S$4:$S$503,'Daily Data'!$B$4:$B$503,$B$3,'Daily Data'!$AK$4:$AK$503,$M105))</f>
        <v>2.2220791263136204</v>
      </c>
      <c r="G105" s="97" t="str">
        <f>IF($M105="","",IF(COUNTIFS('Daily Data'!$B$4:$B$503,$B$3,'Daily Data'!$AK$4:$AK$503,$M105,'Daily Data'!$AA$4:$AA$503,"&gt;=-1E+300")=0,"",SUMIFS('Daily Data'!$AA$4:$AA$503,'Daily Data'!$B$4:$B$503,$B$3,'Daily Data'!$AK$4:$AK$503,$M105)))</f>
        <v/>
      </c>
      <c r="H105" s="98">
        <f>IF($M105="","",SUMIFS('Daily Data'!$K$4:$K$503,'Daily Data'!$B$4:$B$503,$B$3,'Daily Data'!$AK$4:$AK$503,$M105))</f>
        <v>2869227</v>
      </c>
      <c r="I105" s="99" t="str">
        <f>IF($M105="","",IF(COUNTIFS('Daily Data'!$B$4:$B$503,$B$3,'Daily Data'!$AK$4:$AK$503,$M105,'Daily Data'!$AC$4:$AC$503,"&gt;=-1E+300")=0,"",SUMIFS('Daily Data'!$AC$4:$AC$503,'Daily Data'!$B$4:$B$503,$B$3,'Daily Data'!$AK$4:$AK$503,$M105)))</f>
        <v/>
      </c>
      <c r="J105" s="98">
        <f>IF($M105="","",SUMIFS('Daily Data'!$I$4:$I$503,'Daily Data'!$B$4:$B$503,$B$3,'Daily Data'!$AK$4:$AK$503,$M105))</f>
        <v>7453641800</v>
      </c>
      <c r="K105" s="100">
        <f>IF($M105="","",SUMIFS('Daily Data'!$AH$4:$AH$503,'Daily Data'!$B$4:$B$503,$B$3,'Daily Data'!$AK$4:$AK$503,$M105))</f>
        <v>61.8</v>
      </c>
      <c r="L105" s="101" t="str">
        <f>IF($K105="","",IF($K105&lt;Settings!$C$46,"Extreme Sell Pressure",IF($K105&lt;Settings!$C$47,"Sell Pressure",IF($K105&lt;=Settings!$C$48,"Neutral",IF($K105&lt;=Settings!$C$49,"Buy Pressure","Extreme Buy Pressure")))))</f>
        <v>Buy Pressure</v>
      </c>
      <c r="M105" s="112">
        <f>IF(COUNTIF('Daily Data'!$B$4:$B$503,$B$3)-100+ROW()-9&lt;1,"",COUNTIF('Daily Data'!$B$4:$B$503,$B$3)-100+ROW()-9)</f>
        <v>1</v>
      </c>
      <c r="N105" s="97" t="str">
        <f>IF($M105="","",IF(COUNTIFS('Daily Data'!$B$4:$B$503,$B$3,'Daily Data'!$AK$4:$AK$503,$M105,'Daily Data'!$AD$4:$AD$503,"&gt;=-1E+300")=0,"",SUMIFS('Daily Data'!$AD$4:$AD$503,'Daily Data'!$B$4:$B$503,$B$3,'Daily Data'!$AK$4:$AK$503,$M105)))</f>
        <v/>
      </c>
      <c r="O105" s="97" t="str">
        <f>IF($M105="","",IF(COUNTIFS('Daily Data'!$B$4:$B$503,$B$3,'Daily Data'!$AK$4:$AK$503,$M105,'Daily Data'!$AE$4:$AE$503,"&gt;=-1E+300")=0,"",SUMIFS('Daily Data'!$AE$4:$AE$503,'Daily Data'!$B$4:$B$503,$B$3,'Daily Data'!$AK$4:$AK$503,$M105)))</f>
        <v/>
      </c>
      <c r="P105" s="99" t="str">
        <f>IF($M105="","",IF(COUNTIFS('Daily Data'!$B$4:$B$503,$B$3,'Daily Data'!$AK$4:$AK$503,$M105,'Daily Data'!$Z$4:$Z$503,"&gt;=-1E+300")=0,"",SUMIFS('Daily Data'!$Z$4:$Z$503,'Daily Data'!$B$4:$B$503,$B$3,'Daily Data'!$AK$4:$AK$503,$M105)))</f>
        <v/>
      </c>
      <c r="Q105" s="100">
        <f>IF($M105="","",SUMIFS('Daily Data'!$AG$4:$AG$503,'Daily Data'!$B$4:$B$503,$B$3,'Daily Data'!$AK$4:$AK$503,$M105))</f>
        <v>100</v>
      </c>
      <c r="S105" s="117">
        <f>IF($A105="",NA(),$A105)</f>
        <v>46244</v>
      </c>
      <c r="T105" s="116">
        <f>IF($A105="",NA(),$B105)</f>
        <v>2600</v>
      </c>
      <c r="V105" s="117">
        <f>IF($A105="",NA(),$A105)</f>
        <v>46244</v>
      </c>
      <c r="W105" s="116">
        <f>IF($A105="",NA(),$H105)</f>
        <v>2869227</v>
      </c>
      <c r="Y105" s="117">
        <f>IF($A105="",NA(),$A105)</f>
        <v>46244</v>
      </c>
      <c r="Z105" s="116">
        <f>IF($A105="",NA(),$J105)</f>
        <v>7453641800</v>
      </c>
      <c r="AB105" s="117">
        <f>IF($A105="",NA(),$A105)</f>
        <v>46244</v>
      </c>
      <c r="AC105" s="116">
        <f>IF($A105="",NA(),$D105)</f>
        <v>129405</v>
      </c>
      <c r="AD105" s="116">
        <f>IF($A105="",NA(),$E105)</f>
        <v>58236</v>
      </c>
      <c r="AF105" s="117">
        <f>IF($A105="",NA(),$A105)</f>
        <v>46244</v>
      </c>
      <c r="AG105" s="116">
        <f>IF($A105="",NA(),$F105)</f>
        <v>2.2220791263136204</v>
      </c>
      <c r="AI105" s="117">
        <f>IF($A105="",NA(),$A105)</f>
        <v>46244</v>
      </c>
      <c r="AJ105" s="116">
        <f>IF($A105="",NA(),$K105)</f>
        <v>61.8</v>
      </c>
      <c r="AL105" s="117">
        <f>IF($A105="",NA(),$A105)</f>
        <v>46244</v>
      </c>
      <c r="AM105" s="116" t="str">
        <f>IF($A105="",NA(),$G105)</f>
        <v/>
      </c>
    </row>
    <row r="106" spans="1:39" x14ac:dyDescent="0.3">
      <c r="A106" s="95">
        <f>IF($M106="","",SUMIFS('Daily Data'!$A$4:$A$503,'Daily Data'!$B$4:$B$503,$B$3,'Daily Data'!$AK$4:$AK$503,$M106))</f>
        <v>46245</v>
      </c>
      <c r="B106" s="96">
        <f>IF($M106="","",SUMIFS('Daily Data'!$E$4:$E$503,'Daily Data'!$B$4:$B$503,$B$3,'Daily Data'!$AK$4:$AK$503,$M106))</f>
        <v>2600</v>
      </c>
      <c r="C106" s="97">
        <f>IF($M106="","",SUMIFS('Daily Data'!$H$4:$H$503,'Daily Data'!$B$4:$B$503,$B$3,'Daily Data'!$AK$4:$AK$503,$M106))</f>
        <v>0</v>
      </c>
      <c r="D106" s="98">
        <f>IF($M106="","",SUMIFS('Daily Data'!$L$4:$L$503,'Daily Data'!$B$4:$B$503,$B$3,'Daily Data'!$AK$4:$AK$503,$M106))</f>
        <v>435736</v>
      </c>
      <c r="E106" s="98">
        <f>IF($M106="","",SUMIFS('Daily Data'!$M$4:$M$503,'Daily Data'!$B$4:$B$503,$B$3,'Daily Data'!$AK$4:$AK$503,$M106))</f>
        <v>138838</v>
      </c>
      <c r="F106" s="99">
        <f>IF($M106="","",SUMIFS('Daily Data'!$S$4:$S$503,'Daily Data'!$B$4:$B$503,$B$3,'Daily Data'!$AK$4:$AK$503,$M106))</f>
        <v>3.1384491277604116</v>
      </c>
      <c r="G106" s="97" t="str">
        <f>IF($M106="","",IF(COUNTIFS('Daily Data'!$B$4:$B$503,$B$3,'Daily Data'!$AK$4:$AK$503,$M106,'Daily Data'!$AA$4:$AA$503,"&gt;=-1E+300")=0,"",SUMIFS('Daily Data'!$AA$4:$AA$503,'Daily Data'!$B$4:$B$503,$B$3,'Daily Data'!$AK$4:$AK$503,$M106)))</f>
        <v/>
      </c>
      <c r="H106" s="98">
        <f>IF($M106="","",SUMIFS('Daily Data'!$K$4:$K$503,'Daily Data'!$B$4:$B$503,$B$3,'Daily Data'!$AK$4:$AK$503,$M106))</f>
        <v>553818</v>
      </c>
      <c r="I106" s="99" t="str">
        <f>IF($M106="","",IF(COUNTIFS('Daily Data'!$B$4:$B$503,$B$3,'Daily Data'!$AK$4:$AK$503,$M106,'Daily Data'!$AC$4:$AC$503,"&gt;=-1E+300")=0,"",SUMIFS('Daily Data'!$AC$4:$AC$503,'Daily Data'!$B$4:$B$503,$B$3,'Daily Data'!$AK$4:$AK$503,$M106)))</f>
        <v/>
      </c>
      <c r="J106" s="98">
        <f>IF($M106="","",SUMIFS('Daily Data'!$I$4:$I$503,'Daily Data'!$B$4:$B$503,$B$3,'Daily Data'!$AK$4:$AK$503,$M106))</f>
        <v>1442616130</v>
      </c>
      <c r="K106" s="100">
        <f>IF($M106="","",SUMIFS('Daily Data'!$AH$4:$AH$503,'Daily Data'!$B$4:$B$503,$B$3,'Daily Data'!$AK$4:$AK$503,$M106))</f>
        <v>67.599999999999994</v>
      </c>
      <c r="L106" s="101" t="str">
        <f>IF($K106="","",IF($K106&lt;Settings!$C$46,"Extreme Sell Pressure",IF($K106&lt;Settings!$C$47,"Sell Pressure",IF($K106&lt;=Settings!$C$48,"Neutral",IF($K106&lt;=Settings!$C$49,"Buy Pressure","Extreme Buy Pressure")))))</f>
        <v>Buy Pressure</v>
      </c>
      <c r="M106" s="112">
        <f>IF(COUNTIF('Daily Data'!$B$4:$B$503,$B$3)-100+ROW()-9&lt;1,"",COUNTIF('Daily Data'!$B$4:$B$503,$B$3)-100+ROW()-9)</f>
        <v>2</v>
      </c>
      <c r="N106" s="97" t="str">
        <f>IF($M106="","",IF(COUNTIFS('Daily Data'!$B$4:$B$503,$B$3,'Daily Data'!$AK$4:$AK$503,$M106,'Daily Data'!$AD$4:$AD$503,"&gt;=-1E+300")=0,"",SUMIFS('Daily Data'!$AD$4:$AD$503,'Daily Data'!$B$4:$B$503,$B$3,'Daily Data'!$AK$4:$AK$503,$M106)))</f>
        <v/>
      </c>
      <c r="O106" s="97" t="str">
        <f>IF($M106="","",IF(COUNTIFS('Daily Data'!$B$4:$B$503,$B$3,'Daily Data'!$AK$4:$AK$503,$M106,'Daily Data'!$AE$4:$AE$503,"&gt;=-1E+300")=0,"",SUMIFS('Daily Data'!$AE$4:$AE$503,'Daily Data'!$B$4:$B$503,$B$3,'Daily Data'!$AK$4:$AK$503,$M106)))</f>
        <v/>
      </c>
      <c r="P106" s="99" t="str">
        <f>IF($M106="","",IF(COUNTIFS('Daily Data'!$B$4:$B$503,$B$3,'Daily Data'!$AK$4:$AK$503,$M106,'Daily Data'!$Z$4:$Z$503,"&gt;=-1E+300")=0,"",SUMIFS('Daily Data'!$Z$4:$Z$503,'Daily Data'!$B$4:$B$503,$B$3,'Daily Data'!$AK$4:$AK$503,$M106)))</f>
        <v/>
      </c>
      <c r="Q106" s="100">
        <f>IF($M106="","",SUMIFS('Daily Data'!$AG$4:$AG$503,'Daily Data'!$B$4:$B$503,$B$3,'Daily Data'!$AK$4:$AK$503,$M106))</f>
        <v>100</v>
      </c>
      <c r="S106" s="117">
        <f>IF($A106="",NA(),$A106)</f>
        <v>46245</v>
      </c>
      <c r="T106" s="116">
        <f>IF($A106="",NA(),$B106)</f>
        <v>2600</v>
      </c>
      <c r="V106" s="117">
        <f>IF($A106="",NA(),$A106)</f>
        <v>46245</v>
      </c>
      <c r="W106" s="116">
        <f>IF($A106="",NA(),$H106)</f>
        <v>553818</v>
      </c>
      <c r="Y106" s="117">
        <f>IF($A106="",NA(),$A106)</f>
        <v>46245</v>
      </c>
      <c r="Z106" s="116">
        <f>IF($A106="",NA(),$J106)</f>
        <v>1442616130</v>
      </c>
      <c r="AB106" s="117">
        <f>IF($A106="",NA(),$A106)</f>
        <v>46245</v>
      </c>
      <c r="AC106" s="116">
        <f>IF($A106="",NA(),$D106)</f>
        <v>435736</v>
      </c>
      <c r="AD106" s="116">
        <f>IF($A106="",NA(),$E106)</f>
        <v>138838</v>
      </c>
      <c r="AF106" s="117">
        <f>IF($A106="",NA(),$A106)</f>
        <v>46245</v>
      </c>
      <c r="AG106" s="116">
        <f>IF($A106="",NA(),$F106)</f>
        <v>3.1384491277604116</v>
      </c>
      <c r="AI106" s="117">
        <f>IF($A106="",NA(),$A106)</f>
        <v>46245</v>
      </c>
      <c r="AJ106" s="116">
        <f>IF($A106="",NA(),$K106)</f>
        <v>67.599999999999994</v>
      </c>
      <c r="AL106" s="117">
        <f>IF($A106="",NA(),$A106)</f>
        <v>46245</v>
      </c>
      <c r="AM106" s="116" t="str">
        <f>IF($A106="",NA(),$G106)</f>
        <v/>
      </c>
    </row>
    <row r="107" spans="1:39" x14ac:dyDescent="0.3">
      <c r="A107" s="95">
        <f>IF($M107="","",SUMIFS('Daily Data'!$A$4:$A$503,'Daily Data'!$B$4:$B$503,$B$3,'Daily Data'!$AK$4:$AK$503,$M107))</f>
        <v>46246</v>
      </c>
      <c r="B107" s="96">
        <f>IF($M107="","",SUMIFS('Daily Data'!$E$4:$E$503,'Daily Data'!$B$4:$B$503,$B$3,'Daily Data'!$AK$4:$AK$503,$M107))</f>
        <v>2620</v>
      </c>
      <c r="C107" s="97">
        <f>IF($M107="","",SUMIFS('Daily Data'!$H$4:$H$503,'Daily Data'!$B$4:$B$503,$B$3,'Daily Data'!$AK$4:$AK$503,$M107))</f>
        <v>7.692307692307665E-3</v>
      </c>
      <c r="D107" s="98">
        <f>IF($M107="","",SUMIFS('Daily Data'!$L$4:$L$503,'Daily Data'!$B$4:$B$503,$B$3,'Daily Data'!$AK$4:$AK$503,$M107))</f>
        <v>431200</v>
      </c>
      <c r="E107" s="98">
        <f>IF($M107="","",SUMIFS('Daily Data'!$M$4:$M$503,'Daily Data'!$B$4:$B$503,$B$3,'Daily Data'!$AK$4:$AK$503,$M107))</f>
        <v>35034</v>
      </c>
      <c r="F107" s="99">
        <f>IF($M107="","",SUMIFS('Daily Data'!$S$4:$S$503,'Daily Data'!$B$4:$B$503,$B$3,'Daily Data'!$AK$4:$AK$503,$M107))</f>
        <v>12.308043614774219</v>
      </c>
      <c r="G107" s="97" t="str">
        <f>IF($M107="","",IF(COUNTIFS('Daily Data'!$B$4:$B$503,$B$3,'Daily Data'!$AK$4:$AK$503,$M107,'Daily Data'!$AA$4:$AA$503,"&gt;=-1E+300")=0,"",SUMIFS('Daily Data'!$AA$4:$AA$503,'Daily Data'!$B$4:$B$503,$B$3,'Daily Data'!$AK$4:$AK$503,$M107)))</f>
        <v/>
      </c>
      <c r="H107" s="98">
        <f>IF($M107="","",SUMIFS('Daily Data'!$K$4:$K$503,'Daily Data'!$B$4:$B$503,$B$3,'Daily Data'!$AK$4:$AK$503,$M107))</f>
        <v>340739</v>
      </c>
      <c r="I107" s="99" t="str">
        <f>IF($M107="","",IF(COUNTIFS('Daily Data'!$B$4:$B$503,$B$3,'Daily Data'!$AK$4:$AK$503,$M107,'Daily Data'!$AC$4:$AC$503,"&gt;=-1E+300")=0,"",SUMIFS('Daily Data'!$AC$4:$AC$503,'Daily Data'!$B$4:$B$503,$B$3,'Daily Data'!$AK$4:$AK$503,$M107)))</f>
        <v/>
      </c>
      <c r="J107" s="98">
        <f>IF($M107="","",SUMIFS('Daily Data'!$I$4:$I$503,'Daily Data'!$B$4:$B$503,$B$3,'Daily Data'!$AK$4:$AK$503,$M107))</f>
        <v>894277490</v>
      </c>
      <c r="K107" s="100">
        <f>IF($M107="","",SUMIFS('Daily Data'!$AH$4:$AH$503,'Daily Data'!$B$4:$B$503,$B$3,'Daily Data'!$AK$4:$AK$503,$M107))</f>
        <v>72</v>
      </c>
      <c r="L107" s="101" t="str">
        <f>IF($K107="","",IF($K107&lt;Settings!$C$46,"Extreme Sell Pressure",IF($K107&lt;Settings!$C$47,"Sell Pressure",IF($K107&lt;=Settings!$C$48,"Neutral",IF($K107&lt;=Settings!$C$49,"Buy Pressure","Extreme Buy Pressure")))))</f>
        <v>Buy Pressure</v>
      </c>
      <c r="M107" s="112">
        <f>IF(COUNTIF('Daily Data'!$B$4:$B$503,$B$3)-100+ROW()-9&lt;1,"",COUNTIF('Daily Data'!$B$4:$B$503,$B$3)-100+ROW()-9)</f>
        <v>3</v>
      </c>
      <c r="N107" s="97" t="str">
        <f>IF($M107="","",IF(COUNTIFS('Daily Data'!$B$4:$B$503,$B$3,'Daily Data'!$AK$4:$AK$503,$M107,'Daily Data'!$AD$4:$AD$503,"&gt;=-1E+300")=0,"",SUMIFS('Daily Data'!$AD$4:$AD$503,'Daily Data'!$B$4:$B$503,$B$3,'Daily Data'!$AK$4:$AK$503,$M107)))</f>
        <v/>
      </c>
      <c r="O107" s="97" t="str">
        <f>IF($M107="","",IF(COUNTIFS('Daily Data'!$B$4:$B$503,$B$3,'Daily Data'!$AK$4:$AK$503,$M107,'Daily Data'!$AE$4:$AE$503,"&gt;=-1E+300")=0,"",SUMIFS('Daily Data'!$AE$4:$AE$503,'Daily Data'!$B$4:$B$503,$B$3,'Daily Data'!$AK$4:$AK$503,$M107)))</f>
        <v/>
      </c>
      <c r="P107" s="99" t="str">
        <f>IF($M107="","",IF(COUNTIFS('Daily Data'!$B$4:$B$503,$B$3,'Daily Data'!$AK$4:$AK$503,$M107,'Daily Data'!$Z$4:$Z$503,"&gt;=-1E+300")=0,"",SUMIFS('Daily Data'!$Z$4:$Z$503,'Daily Data'!$B$4:$B$503,$B$3,'Daily Data'!$AK$4:$AK$503,$M107)))</f>
        <v/>
      </c>
      <c r="Q107" s="100">
        <f>IF($M107="","",SUMIFS('Daily Data'!$AG$4:$AG$503,'Daily Data'!$B$4:$B$503,$B$3,'Daily Data'!$AK$4:$AK$503,$M107))</f>
        <v>85.9</v>
      </c>
      <c r="S107" s="117">
        <f>IF($A107="",NA(),$A107)</f>
        <v>46246</v>
      </c>
      <c r="T107" s="116">
        <f>IF($A107="",NA(),$B107)</f>
        <v>2620</v>
      </c>
      <c r="V107" s="117">
        <f>IF($A107="",NA(),$A107)</f>
        <v>46246</v>
      </c>
      <c r="W107" s="116">
        <f>IF($A107="",NA(),$H107)</f>
        <v>340739</v>
      </c>
      <c r="Y107" s="117">
        <f>IF($A107="",NA(),$A107)</f>
        <v>46246</v>
      </c>
      <c r="Z107" s="116">
        <f>IF($A107="",NA(),$J107)</f>
        <v>894277490</v>
      </c>
      <c r="AB107" s="117">
        <f>IF($A107="",NA(),$A107)</f>
        <v>46246</v>
      </c>
      <c r="AC107" s="116">
        <f>IF($A107="",NA(),$D107)</f>
        <v>431200</v>
      </c>
      <c r="AD107" s="116">
        <f>IF($A107="",NA(),$E107)</f>
        <v>35034</v>
      </c>
      <c r="AF107" s="117">
        <f>IF($A107="",NA(),$A107)</f>
        <v>46246</v>
      </c>
      <c r="AG107" s="116">
        <f>IF($A107="",NA(),$F107)</f>
        <v>12.308043614774219</v>
      </c>
      <c r="AI107" s="117">
        <f>IF($A107="",NA(),$A107)</f>
        <v>46246</v>
      </c>
      <c r="AJ107" s="116">
        <f>IF($A107="",NA(),$K107)</f>
        <v>72</v>
      </c>
      <c r="AL107" s="117">
        <f>IF($A107="",NA(),$A107)</f>
        <v>46246</v>
      </c>
      <c r="AM107" s="116" t="str">
        <f>IF($A107="",NA(),$G107)</f>
        <v/>
      </c>
    </row>
    <row r="108" spans="1:39" x14ac:dyDescent="0.3">
      <c r="A108" s="95">
        <f>IF($M108="","",SUMIFS('Daily Data'!$A$4:$A$503,'Daily Data'!$B$4:$B$503,$B$3,'Daily Data'!$AK$4:$AK$503,$M108))</f>
        <v>46247</v>
      </c>
      <c r="B108" s="96">
        <f>IF($M108="","",SUMIFS('Daily Data'!$E$4:$E$503,'Daily Data'!$B$4:$B$503,$B$3,'Daily Data'!$AK$4:$AK$503,$M108))</f>
        <v>2700</v>
      </c>
      <c r="C108" s="97">
        <f>IF($M108="","",SUMIFS('Daily Data'!$H$4:$H$503,'Daily Data'!$B$4:$B$503,$B$3,'Daily Data'!$AK$4:$AK$503,$M108))</f>
        <v>3.0534351145038219E-2</v>
      </c>
      <c r="D108" s="98">
        <f>IF($M108="","",SUMIFS('Daily Data'!$L$4:$L$503,'Daily Data'!$B$4:$B$503,$B$3,'Daily Data'!$AK$4:$AK$503,$M108))</f>
        <v>462792</v>
      </c>
      <c r="E108" s="98">
        <f>IF($M108="","",SUMIFS('Daily Data'!$M$4:$M$503,'Daily Data'!$B$4:$B$503,$B$3,'Daily Data'!$AK$4:$AK$503,$M108))</f>
        <v>85287</v>
      </c>
      <c r="F108" s="99">
        <f>IF($M108="","",SUMIFS('Daily Data'!$S$4:$S$503,'Daily Data'!$B$4:$B$503,$B$3,'Daily Data'!$AK$4:$AK$503,$M108))</f>
        <v>5.4262900559288054</v>
      </c>
      <c r="G108" s="97" t="str">
        <f>IF($M108="","",IF(COUNTIFS('Daily Data'!$B$4:$B$503,$B$3,'Daily Data'!$AK$4:$AK$503,$M108,'Daily Data'!$AA$4:$AA$503,"&gt;=-1E+300")=0,"",SUMIFS('Daily Data'!$AA$4:$AA$503,'Daily Data'!$B$4:$B$503,$B$3,'Daily Data'!$AK$4:$AK$503,$M108)))</f>
        <v/>
      </c>
      <c r="H108" s="98">
        <f>IF($M108="","",SUMIFS('Daily Data'!$K$4:$K$503,'Daily Data'!$B$4:$B$503,$B$3,'Daily Data'!$AK$4:$AK$503,$M108))</f>
        <v>299605</v>
      </c>
      <c r="I108" s="99" t="str">
        <f>IF($M108="","",IF(COUNTIFS('Daily Data'!$B$4:$B$503,$B$3,'Daily Data'!$AK$4:$AK$503,$M108,'Daily Data'!$AC$4:$AC$503,"&gt;=-1E+300")=0,"",SUMIFS('Daily Data'!$AC$4:$AC$503,'Daily Data'!$B$4:$B$503,$B$3,'Daily Data'!$AK$4:$AK$503,$M108)))</f>
        <v/>
      </c>
      <c r="J108" s="98">
        <f>IF($M108="","",SUMIFS('Daily Data'!$I$4:$I$503,'Daily Data'!$B$4:$B$503,$B$3,'Daily Data'!$AK$4:$AK$503,$M108))</f>
        <v>807856780</v>
      </c>
      <c r="K108" s="100">
        <f>IF($M108="","",SUMIFS('Daily Data'!$AH$4:$AH$503,'Daily Data'!$B$4:$B$503,$B$3,'Daily Data'!$AK$4:$AK$503,$M108))</f>
        <v>75</v>
      </c>
      <c r="L108" s="101" t="str">
        <f>IF($K108="","",IF($K108&lt;Settings!$C$46,"Extreme Sell Pressure",IF($K108&lt;Settings!$C$47,"Sell Pressure",IF($K108&lt;=Settings!$C$48,"Neutral",IF($K108&lt;=Settings!$C$49,"Buy Pressure","Extreme Buy Pressure")))))</f>
        <v>Buy Pressure</v>
      </c>
      <c r="M108" s="112">
        <f>IF(COUNTIF('Daily Data'!$B$4:$B$503,$B$3)-100+ROW()-9&lt;1,"",COUNTIF('Daily Data'!$B$4:$B$503,$B$3)-100+ROW()-9)</f>
        <v>4</v>
      </c>
      <c r="N108" s="97" t="str">
        <f>IF($M108="","",IF(COUNTIFS('Daily Data'!$B$4:$B$503,$B$3,'Daily Data'!$AK$4:$AK$503,$M108,'Daily Data'!$AD$4:$AD$503,"&gt;=-1E+300")=0,"",SUMIFS('Daily Data'!$AD$4:$AD$503,'Daily Data'!$B$4:$B$503,$B$3,'Daily Data'!$AK$4:$AK$503,$M108)))</f>
        <v/>
      </c>
      <c r="O108" s="97" t="str">
        <f>IF($M108="","",IF(COUNTIFS('Daily Data'!$B$4:$B$503,$B$3,'Daily Data'!$AK$4:$AK$503,$M108,'Daily Data'!$AE$4:$AE$503,"&gt;=-1E+300")=0,"",SUMIFS('Daily Data'!$AE$4:$AE$503,'Daily Data'!$B$4:$B$503,$B$3,'Daily Data'!$AK$4:$AK$503,$M108)))</f>
        <v/>
      </c>
      <c r="P108" s="99" t="str">
        <f>IF($M108="","",IF(COUNTIFS('Daily Data'!$B$4:$B$503,$B$3,'Daily Data'!$AK$4:$AK$503,$M108,'Daily Data'!$Z$4:$Z$503,"&gt;=-1E+300")=0,"",SUMIFS('Daily Data'!$Z$4:$Z$503,'Daily Data'!$B$4:$B$503,$B$3,'Daily Data'!$AK$4:$AK$503,$M108)))</f>
        <v/>
      </c>
      <c r="Q108" s="100">
        <f>IF($M108="","",SUMIFS('Daily Data'!$AG$4:$AG$503,'Daily Data'!$B$4:$B$503,$B$3,'Daily Data'!$AK$4:$AK$503,$M108))</f>
        <v>80.2</v>
      </c>
      <c r="S108" s="117">
        <f>IF($A108="",NA(),$A108)</f>
        <v>46247</v>
      </c>
      <c r="T108" s="116">
        <f>IF($A108="",NA(),$B108)</f>
        <v>2700</v>
      </c>
      <c r="V108" s="117">
        <f>IF($A108="",NA(),$A108)</f>
        <v>46247</v>
      </c>
      <c r="W108" s="116">
        <f>IF($A108="",NA(),$H108)</f>
        <v>299605</v>
      </c>
      <c r="Y108" s="117">
        <f>IF($A108="",NA(),$A108)</f>
        <v>46247</v>
      </c>
      <c r="Z108" s="116">
        <f>IF($A108="",NA(),$J108)</f>
        <v>807856780</v>
      </c>
      <c r="AB108" s="117">
        <f>IF($A108="",NA(),$A108)</f>
        <v>46247</v>
      </c>
      <c r="AC108" s="116">
        <f>IF($A108="",NA(),$D108)</f>
        <v>462792</v>
      </c>
      <c r="AD108" s="116">
        <f>IF($A108="",NA(),$E108)</f>
        <v>85287</v>
      </c>
      <c r="AF108" s="117">
        <f>IF($A108="",NA(),$A108)</f>
        <v>46247</v>
      </c>
      <c r="AG108" s="116">
        <f>IF($A108="",NA(),$F108)</f>
        <v>5.4262900559288054</v>
      </c>
      <c r="AI108" s="117">
        <f>IF($A108="",NA(),$A108)</f>
        <v>46247</v>
      </c>
      <c r="AJ108" s="116">
        <f>IF($A108="",NA(),$K108)</f>
        <v>75</v>
      </c>
      <c r="AL108" s="117">
        <f>IF($A108="",NA(),$A108)</f>
        <v>46247</v>
      </c>
      <c r="AM108" s="116" t="str">
        <f>IF($A108="",NA(),$G108)</f>
        <v/>
      </c>
    </row>
    <row r="109" spans="1:39" x14ac:dyDescent="0.3">
      <c r="A109" s="103">
        <f>IF($M109="","",SUMIFS('Daily Data'!$A$4:$A$503,'Daily Data'!$B$4:$B$503,$B$3,'Daily Data'!$AK$4:$AK$503,$M109))</f>
        <v>46248</v>
      </c>
      <c r="B109" s="104">
        <f>IF($M109="","",SUMIFS('Daily Data'!$E$4:$E$503,'Daily Data'!$B$4:$B$503,$B$3,'Daily Data'!$AK$4:$AK$503,$M109))</f>
        <v>2700</v>
      </c>
      <c r="C109" s="105">
        <f>IF($M109="","",SUMIFS('Daily Data'!$H$4:$H$503,'Daily Data'!$B$4:$B$503,$B$3,'Daily Data'!$AK$4:$AK$503,$M109))</f>
        <v>0</v>
      </c>
      <c r="D109" s="106">
        <f>IF($M109="","",SUMIFS('Daily Data'!$L$4:$L$503,'Daily Data'!$B$4:$B$503,$B$3,'Daily Data'!$AK$4:$AK$503,$M109))</f>
        <v>332026</v>
      </c>
      <c r="E109" s="106">
        <f>IF($M109="","",SUMIFS('Daily Data'!$M$4:$M$503,'Daily Data'!$B$4:$B$503,$B$3,'Daily Data'!$AK$4:$AK$503,$M109))</f>
        <v>68633</v>
      </c>
      <c r="F109" s="107">
        <f>IF($M109="","",SUMIFS('Daily Data'!$S$4:$S$503,'Daily Data'!$B$4:$B$503,$B$3,'Daily Data'!$AK$4:$AK$503,$M109))</f>
        <v>4.8377019800970382</v>
      </c>
      <c r="G109" s="105" t="str">
        <f>IF($M109="","",IF(COUNTIFS('Daily Data'!$B$4:$B$503,$B$3,'Daily Data'!$AK$4:$AK$503,$M109,'Daily Data'!$AA$4:$AA$503,"&gt;=-1E+300")=0,"",SUMIFS('Daily Data'!$AA$4:$AA$503,'Daily Data'!$B$4:$B$503,$B$3,'Daily Data'!$AK$4:$AK$503,$M109)))</f>
        <v/>
      </c>
      <c r="H109" s="106">
        <f>IF($M109="","",SUMIFS('Daily Data'!$K$4:$K$503,'Daily Data'!$B$4:$B$503,$B$3,'Daily Data'!$AK$4:$AK$503,$M109))</f>
        <v>390325</v>
      </c>
      <c r="I109" s="107" t="str">
        <f>IF($M109="","",IF(COUNTIFS('Daily Data'!$B$4:$B$503,$B$3,'Daily Data'!$AK$4:$AK$503,$M109,'Daily Data'!$AC$4:$AC$503,"&gt;=-1E+300")=0,"",SUMIFS('Daily Data'!$AC$4:$AC$503,'Daily Data'!$B$4:$B$503,$B$3,'Daily Data'!$AK$4:$AK$503,$M109)))</f>
        <v/>
      </c>
      <c r="J109" s="106">
        <f>IF($M109="","",SUMIFS('Daily Data'!$I$4:$I$503,'Daily Data'!$B$4:$B$503,$B$3,'Daily Data'!$AK$4:$AK$503,$M109))</f>
        <v>1052659120</v>
      </c>
      <c r="K109" s="108">
        <f>IF($M109="","",SUMIFS('Daily Data'!$AH$4:$AH$503,'Daily Data'!$B$4:$B$503,$B$3,'Daily Data'!$AK$4:$AK$503,$M109))</f>
        <v>70.599999999999994</v>
      </c>
      <c r="L109" s="109" t="str">
        <f>IF($K109="","",IF($K109&lt;Settings!$C$46,"Extreme Sell Pressure",IF($K109&lt;Settings!$C$47,"Sell Pressure",IF($K109&lt;=Settings!$C$48,"Neutral",IF($K109&lt;=Settings!$C$49,"Buy Pressure","Extreme Buy Pressure")))))</f>
        <v>Buy Pressure</v>
      </c>
      <c r="M109" s="113">
        <f>IF(COUNTIF('Daily Data'!$B$4:$B$503,$B$3)-100+ROW()-9&lt;1,"",COUNTIF('Daily Data'!$B$4:$B$503,$B$3)-100+ROW()-9)</f>
        <v>5</v>
      </c>
      <c r="N109" s="105" t="str">
        <f>IF($M109="","",IF(COUNTIFS('Daily Data'!$B$4:$B$503,$B$3,'Daily Data'!$AK$4:$AK$503,$M109,'Daily Data'!$AD$4:$AD$503,"&gt;=-1E+300")=0,"",SUMIFS('Daily Data'!$AD$4:$AD$503,'Daily Data'!$B$4:$B$503,$B$3,'Daily Data'!$AK$4:$AK$503,$M109)))</f>
        <v/>
      </c>
      <c r="O109" s="105" t="str">
        <f>IF($M109="","",IF(COUNTIFS('Daily Data'!$B$4:$B$503,$B$3,'Daily Data'!$AK$4:$AK$503,$M109,'Daily Data'!$AE$4:$AE$503,"&gt;=-1E+300")=0,"",SUMIFS('Daily Data'!$AE$4:$AE$503,'Daily Data'!$B$4:$B$503,$B$3,'Daily Data'!$AK$4:$AK$503,$M109)))</f>
        <v/>
      </c>
      <c r="P109" s="107" t="str">
        <f>IF($M109="","",IF(COUNTIFS('Daily Data'!$B$4:$B$503,$B$3,'Daily Data'!$AK$4:$AK$503,$M109,'Daily Data'!$Z$4:$Z$503,"&gt;=-1E+300")=0,"",SUMIFS('Daily Data'!$Z$4:$Z$503,'Daily Data'!$B$4:$B$503,$B$3,'Daily Data'!$AK$4:$AK$503,$M109)))</f>
        <v/>
      </c>
      <c r="Q109" s="108">
        <f>IF($M109="","",SUMIFS('Daily Data'!$AG$4:$AG$503,'Daily Data'!$B$4:$B$503,$B$3,'Daily Data'!$AK$4:$AK$503,$M109))</f>
        <v>92.7</v>
      </c>
      <c r="S109" s="117">
        <f>IF($A109="",NA(),$A109)</f>
        <v>46248</v>
      </c>
      <c r="T109" s="116">
        <f>IF($A109="",NA(),$B109)</f>
        <v>2700</v>
      </c>
      <c r="V109" s="117">
        <f>IF($A109="",NA(),$A109)</f>
        <v>46248</v>
      </c>
      <c r="W109" s="116">
        <f>IF($A109="",NA(),$H109)</f>
        <v>390325</v>
      </c>
      <c r="Y109" s="117">
        <f>IF($A109="",NA(),$A109)</f>
        <v>46248</v>
      </c>
      <c r="Z109" s="116">
        <f>IF($A109="",NA(),$J109)</f>
        <v>1052659120</v>
      </c>
      <c r="AB109" s="117">
        <f>IF($A109="",NA(),$A109)</f>
        <v>46248</v>
      </c>
      <c r="AC109" s="116">
        <f>IF($A109="",NA(),$D109)</f>
        <v>332026</v>
      </c>
      <c r="AD109" s="116">
        <f>IF($A109="",NA(),$E109)</f>
        <v>68633</v>
      </c>
      <c r="AF109" s="117">
        <f>IF($A109="",NA(),$A109)</f>
        <v>46248</v>
      </c>
      <c r="AG109" s="116">
        <f>IF($A109="",NA(),$F109)</f>
        <v>4.8377019800970382</v>
      </c>
      <c r="AI109" s="117">
        <f>IF($A109="",NA(),$A109)</f>
        <v>46248</v>
      </c>
      <c r="AJ109" s="116">
        <f>IF($A109="",NA(),$K109)</f>
        <v>70.599999999999994</v>
      </c>
      <c r="AL109" s="117">
        <f>IF($A109="",NA(),$A109)</f>
        <v>46248</v>
      </c>
      <c r="AM109" s="116" t="str">
        <f>IF($A109="",NA(),$G109)</f>
        <v/>
      </c>
    </row>
  </sheetData>
  <sheetProtection algorithmName="SHA-512" hashValue="LnAayY6BfhJPA9j9vsz4prnorp4qhCrybPhBw94stfN7+frxFq5Jh903GGBUitDrd+UiXt+vZc3AxltMNiXZiA==" saltValue="NpWwtCmy6x0jMjhrs28Qgg==" spinCount="100000" sheet="1" objects="1" scenarios="1" sort="0" autoFilter="0"/>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9EEC-3F4D-4F48-B550-EC6156C8B6FF}">
  <dimension ref="A1:O45"/>
  <sheetViews>
    <sheetView workbookViewId="0">
      <pane ySplit="5" topLeftCell="A6" activePane="bottomLeft" state="frozen"/>
      <selection pane="bottomLeft"/>
    </sheetView>
  </sheetViews>
  <sheetFormatPr defaultRowHeight="14.4" x14ac:dyDescent="0.3"/>
  <cols>
    <col min="1" max="1" width="16.6640625" customWidth="1"/>
    <col min="2" max="4" width="17" customWidth="1"/>
    <col min="5" max="6" width="20.33203125" customWidth="1"/>
    <col min="7" max="11" width="17" customWidth="1"/>
    <col min="12" max="12" width="29.6640625" customWidth="1"/>
    <col min="13" max="15" width="10.21875" customWidth="1"/>
  </cols>
  <sheetData>
    <row r="1" spans="1:15" ht="21" x14ac:dyDescent="0.4">
      <c r="A1" s="14" t="s">
        <v>246</v>
      </c>
    </row>
    <row r="2" spans="1:15" x14ac:dyDescent="0.3">
      <c r="A2" s="2" t="s">
        <v>247</v>
      </c>
    </row>
    <row r="3" spans="1:15" x14ac:dyDescent="0.3">
      <c r="A3" s="32" t="s">
        <v>195</v>
      </c>
      <c r="B3" s="35">
        <f>Settings!$C$13</f>
        <v>46248</v>
      </c>
    </row>
    <row r="5" spans="1:15" ht="43.95" customHeight="1" x14ac:dyDescent="0.3">
      <c r="A5" s="21" t="s">
        <v>96</v>
      </c>
      <c r="B5" s="21" t="s">
        <v>238</v>
      </c>
      <c r="C5" s="21" t="s">
        <v>171</v>
      </c>
      <c r="D5" s="21" t="s">
        <v>172</v>
      </c>
      <c r="E5" s="21" t="s">
        <v>248</v>
      </c>
      <c r="F5" s="21" t="s">
        <v>249</v>
      </c>
      <c r="G5" s="21" t="s">
        <v>174</v>
      </c>
      <c r="H5" s="21" t="s">
        <v>175</v>
      </c>
      <c r="I5" s="21" t="s">
        <v>176</v>
      </c>
      <c r="J5" s="21" t="s">
        <v>241</v>
      </c>
      <c r="K5" s="21" t="s">
        <v>178</v>
      </c>
      <c r="L5" s="21" t="s">
        <v>250</v>
      </c>
      <c r="M5" s="21" t="s">
        <v>251</v>
      </c>
      <c r="N5" s="21" t="s">
        <v>252</v>
      </c>
      <c r="O5" s="21" t="s">
        <v>231</v>
      </c>
    </row>
    <row r="6" spans="1:15" x14ac:dyDescent="0.3">
      <c r="A6" s="58" t="str">
        <f>IF(Symbols!A4="","",Symbols!A4)</f>
        <v>AFRIPRISE</v>
      </c>
      <c r="B6" s="64" cm="1">
        <f t="array" ref="B6">IF($O6="","",INDEX('Daily Data'!$S$4:$S$503,$O6))</f>
        <v>0.26965565349736825</v>
      </c>
      <c r="C6" s="64" t="str" cm="1">
        <f t="array" ref="C6">IF($O6="","",INDEX('Daily Data'!$Z$4:$Z$503,$O6))</f>
        <v/>
      </c>
      <c r="D6" s="60" t="str" cm="1">
        <f t="array" ref="D6">IF($O6="","",INDEX('Daily Data'!$AA$4:$AA$503,$O6))</f>
        <v/>
      </c>
      <c r="E6" s="61" cm="1">
        <f t="array" ref="E6">IF($O6="","",INDEX('Daily Data'!$K$4:$K$503,$O6))</f>
        <v>51667</v>
      </c>
      <c r="F6" s="61" t="str" cm="1">
        <f t="array" ref="F6">IF($O6="","",INDEX('Daily Data'!$AB$4:$AB$503,$O6))</f>
        <v/>
      </c>
      <c r="G6" s="64" t="str" cm="1">
        <f t="array" ref="G6">IF($O6="","",INDEX('Daily Data'!$AC$4:$AC$503,$O6))</f>
        <v/>
      </c>
      <c r="H6" s="60" t="str" cm="1">
        <f t="array" ref="H6">IF($O6="","",INDEX('Daily Data'!$AD$4:$AD$503,$O6))</f>
        <v/>
      </c>
      <c r="I6" s="60" t="str" cm="1">
        <f t="array" ref="I6">IF($O6="","",INDEX('Daily Data'!$AE$4:$AE$503,$O6))</f>
        <v/>
      </c>
      <c r="J6" s="66" cm="1">
        <f t="array" ref="J6">IF($O6="","",INDEX('Daily Data'!$AH$4:$AH$503,$O6))</f>
        <v>30.1</v>
      </c>
      <c r="K6" s="65" cm="1">
        <f t="array" ref="K6">IF($O6="","",INDEX('Daily Data'!$AG$4:$AG$503,$O6))</f>
        <v>37.9</v>
      </c>
      <c r="L6" s="44" t="str">
        <f>IF($O6="","No Observation",IF(OR(N($K6)&lt;Settings!$C$30,N($E6)&lt;Settings!$C$25),"Illiquid",IF(OR($D6="",$C6=""),"Insufficient Data",IF($D6&gt;Settings!$C$51,"Strong Acceleration",IF($D6&gt;Settings!$C$52,"Improving",IF($D6&lt;Settings!$C$54,"Strong Deterioration",IF($D6&lt;Settings!$C$53,"Weakening","Neutral")))))))</f>
        <v>Insufficient Data</v>
      </c>
      <c r="M6" s="120" t="str" cm="1">
        <f t="array" ref="M6">IF($N6&lt;&gt;1,"",SUMPRODUCT(($N$6:$N$45=1)*($D$6:$D$45&gt;$D6))+1)</f>
        <v/>
      </c>
      <c r="N6" s="121">
        <f>IF(OR($L6="Illiquid",$L6="Insufficient Data",$L6="No Observation",$L6=""),0,1)</f>
        <v>0</v>
      </c>
      <c r="O6" s="67">
        <f>IF($A6="","",IFERROR(MATCH($A6&amp;"|"&amp;TEXT($B$3,"yyyy-mm-dd"),'Daily Data'!$AU$4:$AU$503,0),""))</f>
        <v>119</v>
      </c>
    </row>
    <row r="7" spans="1:15" x14ac:dyDescent="0.3">
      <c r="A7" s="38" t="str">
        <f>IF(Symbols!A5="","",Symbols!A5)</f>
        <v>CRDB</v>
      </c>
      <c r="B7" s="54" cm="1">
        <f t="array" ref="B7">IF($O7="","",INDEX('Daily Data'!$S$4:$S$503,$O7))</f>
        <v>4.8377019800970382</v>
      </c>
      <c r="C7" s="54" t="str" cm="1">
        <f t="array" ref="C7">IF($O7="","",INDEX('Daily Data'!$Z$4:$Z$503,$O7))</f>
        <v/>
      </c>
      <c r="D7" s="42" t="str" cm="1">
        <f t="array" ref="D7">IF($O7="","",INDEX('Daily Data'!$AA$4:$AA$503,$O7))</f>
        <v/>
      </c>
      <c r="E7" s="39" cm="1">
        <f t="array" ref="E7">IF($O7="","",INDEX('Daily Data'!$K$4:$K$503,$O7))</f>
        <v>390325</v>
      </c>
      <c r="F7" s="39" t="str" cm="1">
        <f t="array" ref="F7">IF($O7="","",INDEX('Daily Data'!$AB$4:$AB$503,$O7))</f>
        <v/>
      </c>
      <c r="G7" s="54" t="str" cm="1">
        <f t="array" ref="G7">IF($O7="","",INDEX('Daily Data'!$AC$4:$AC$503,$O7))</f>
        <v/>
      </c>
      <c r="H7" s="42" t="str" cm="1">
        <f t="array" ref="H7">IF($O7="","",INDEX('Daily Data'!$AD$4:$AD$503,$O7))</f>
        <v/>
      </c>
      <c r="I7" s="42" t="str" cm="1">
        <f t="array" ref="I7">IF($O7="","",INDEX('Daily Data'!$AE$4:$AE$503,$O7))</f>
        <v/>
      </c>
      <c r="J7" s="49" cm="1">
        <f t="array" ref="J7">IF($O7="","",INDEX('Daily Data'!$AH$4:$AH$503,$O7))</f>
        <v>70.599999999999994</v>
      </c>
      <c r="K7" s="50" cm="1">
        <f t="array" ref="K7">IF($O7="","",INDEX('Daily Data'!$AG$4:$AG$503,$O7))</f>
        <v>92.7</v>
      </c>
      <c r="L7" s="9" t="str">
        <f>IF($O7="","No Observation",IF(OR(N($K7)&lt;Settings!$C$30,N($E7)&lt;Settings!$C$25),"Illiquid",IF(OR($D7="",$C7=""),"Insufficient Data",IF($D7&gt;Settings!$C$51,"Strong Acceleration",IF($D7&gt;Settings!$C$52,"Improving",IF($D7&lt;Settings!$C$54,"Strong Deterioration",IF($D7&lt;Settings!$C$53,"Weakening","Neutral")))))))</f>
        <v>Insufficient Data</v>
      </c>
      <c r="M7" s="122" t="str" cm="1">
        <f t="array" ref="M7">IF($N7&lt;&gt;1,"",SUMPRODUCT(($N$6:$N$45=1)*($D$6:$D$45&gt;$D7))+1)</f>
        <v/>
      </c>
      <c r="N7" s="123">
        <f t="shared" ref="N7:N45" si="0">IF(OR($L7="Illiquid",$L7="Insufficient Data",$L7="No Observation",$L7=""),0,1)</f>
        <v>0</v>
      </c>
      <c r="O7" s="70">
        <f>IF($A7="","",IFERROR(MATCH($A7&amp;"|"&amp;TEXT($B$3,"yyyy-mm-dd"),'Daily Data'!$AU$4:$AU$503,0),""))</f>
        <v>120</v>
      </c>
    </row>
    <row r="8" spans="1:15" x14ac:dyDescent="0.3">
      <c r="A8" s="38" t="str">
        <f>IF(Symbols!A6="","",Symbols!A6)</f>
        <v>DCB</v>
      </c>
      <c r="B8" s="54" t="str" cm="1">
        <f t="array" ref="B8">IF($O8="","",INDEX('Daily Data'!$S$4:$S$503,$O8))</f>
        <v/>
      </c>
      <c r="C8" s="54" t="str" cm="1">
        <f t="array" ref="C8">IF($O8="","",INDEX('Daily Data'!$Z$4:$Z$503,$O8))</f>
        <v/>
      </c>
      <c r="D8" s="42" t="str" cm="1">
        <f t="array" ref="D8">IF($O8="","",INDEX('Daily Data'!$AA$4:$AA$503,$O8))</f>
        <v/>
      </c>
      <c r="E8" s="39" cm="1">
        <f t="array" ref="E8">IF($O8="","",INDEX('Daily Data'!$K$4:$K$503,$O8))</f>
        <v>61036</v>
      </c>
      <c r="F8" s="39" t="str" cm="1">
        <f t="array" ref="F8">IF($O8="","",INDEX('Daily Data'!$AB$4:$AB$503,$O8))</f>
        <v/>
      </c>
      <c r="G8" s="54" t="str" cm="1">
        <f t="array" ref="G8">IF($O8="","",INDEX('Daily Data'!$AC$4:$AC$503,$O8))</f>
        <v/>
      </c>
      <c r="H8" s="42" t="str" cm="1">
        <f t="array" ref="H8">IF($O8="","",INDEX('Daily Data'!$AD$4:$AD$503,$O8))</f>
        <v/>
      </c>
      <c r="I8" s="42" t="str" cm="1">
        <f t="array" ref="I8">IF($O8="","",INDEX('Daily Data'!$AE$4:$AE$503,$O8))</f>
        <v/>
      </c>
      <c r="J8" s="49" cm="1">
        <f t="array" ref="J8">IF($O8="","",INDEX('Daily Data'!$AH$4:$AH$503,$O8))</f>
        <v>79.099999999999994</v>
      </c>
      <c r="K8" s="50" cm="1">
        <f t="array" ref="K8">IF($O8="","",INDEX('Daily Data'!$AG$4:$AG$503,$O8))</f>
        <v>31.3</v>
      </c>
      <c r="L8" s="9" t="str">
        <f>IF($O8="","No Observation",IF(OR(N($K8)&lt;Settings!$C$30,N($E8)&lt;Settings!$C$25),"Illiquid",IF(OR($D8="",$C8=""),"Insufficient Data",IF($D8&gt;Settings!$C$51,"Strong Acceleration",IF($D8&gt;Settings!$C$52,"Improving",IF($D8&lt;Settings!$C$54,"Strong Deterioration",IF($D8&lt;Settings!$C$53,"Weakening","Neutral")))))))</f>
        <v>Insufficient Data</v>
      </c>
      <c r="M8" s="122" t="str" cm="1">
        <f t="array" ref="M8">IF($N8&lt;&gt;1,"",SUMPRODUCT(($N$6:$N$45=1)*($D$6:$D$45&gt;$D8))+1)</f>
        <v/>
      </c>
      <c r="N8" s="123">
        <f t="shared" si="0"/>
        <v>0</v>
      </c>
      <c r="O8" s="70">
        <f>IF($A8="","",IFERROR(MATCH($A8&amp;"|"&amp;TEXT($B$3,"yyyy-mm-dd"),'Daily Data'!$AU$4:$AU$503,0),""))</f>
        <v>121</v>
      </c>
    </row>
    <row r="9" spans="1:15" x14ac:dyDescent="0.3">
      <c r="A9" s="38" t="str">
        <f>IF(Symbols!A7="","",Symbols!A7)</f>
        <v>DSE</v>
      </c>
      <c r="B9" s="54" cm="1">
        <f t="array" ref="B9">IF($O9="","",INDEX('Daily Data'!$S$4:$S$503,$O9))</f>
        <v>6.7363834422657956</v>
      </c>
      <c r="C9" s="54" t="str" cm="1">
        <f t="array" ref="C9">IF($O9="","",INDEX('Daily Data'!$Z$4:$Z$503,$O9))</f>
        <v/>
      </c>
      <c r="D9" s="42" t="str" cm="1">
        <f t="array" ref="D9">IF($O9="","",INDEX('Daily Data'!$AA$4:$AA$503,$O9))</f>
        <v/>
      </c>
      <c r="E9" s="39" cm="1">
        <f t="array" ref="E9">IF($O9="","",INDEX('Daily Data'!$K$4:$K$503,$O9))</f>
        <v>285</v>
      </c>
      <c r="F9" s="39" t="str" cm="1">
        <f t="array" ref="F9">IF($O9="","",INDEX('Daily Data'!$AB$4:$AB$503,$O9))</f>
        <v/>
      </c>
      <c r="G9" s="54" t="str" cm="1">
        <f t="array" ref="G9">IF($O9="","",INDEX('Daily Data'!$AC$4:$AC$503,$O9))</f>
        <v/>
      </c>
      <c r="H9" s="42" t="str" cm="1">
        <f t="array" ref="H9">IF($O9="","",INDEX('Daily Data'!$AD$4:$AD$503,$O9))</f>
        <v/>
      </c>
      <c r="I9" s="42" t="str" cm="1">
        <f t="array" ref="I9">IF($O9="","",INDEX('Daily Data'!$AE$4:$AE$503,$O9))</f>
        <v/>
      </c>
      <c r="J9" s="49" cm="1">
        <f t="array" ref="J9">IF($O9="","",INDEX('Daily Data'!$AH$4:$AH$503,$O9))</f>
        <v>72.8</v>
      </c>
      <c r="K9" s="50" cm="1">
        <f t="array" ref="K9">IF($O9="","",INDEX('Daily Data'!$AG$4:$AG$503,$O9))</f>
        <v>4.4000000000000004</v>
      </c>
      <c r="L9" s="9" t="str">
        <f>IF($O9="","No Observation",IF(OR(N($K9)&lt;Settings!$C$30,N($E9)&lt;Settings!$C$25),"Illiquid",IF(OR($D9="",$C9=""),"Insufficient Data",IF($D9&gt;Settings!$C$51,"Strong Acceleration",IF($D9&gt;Settings!$C$52,"Improving",IF($D9&lt;Settings!$C$54,"Strong Deterioration",IF($D9&lt;Settings!$C$53,"Weakening","Neutral")))))))</f>
        <v>Illiquid</v>
      </c>
      <c r="M9" s="122" t="str" cm="1">
        <f t="array" ref="M9">IF($N9&lt;&gt;1,"",SUMPRODUCT(($N$6:$N$45=1)*($D$6:$D$45&gt;$D9))+1)</f>
        <v/>
      </c>
      <c r="N9" s="123">
        <f t="shared" si="0"/>
        <v>0</v>
      </c>
      <c r="O9" s="70">
        <f>IF($A9="","",IFERROR(MATCH($A9&amp;"|"&amp;TEXT($B$3,"yyyy-mm-dd"),'Daily Data'!$AU$4:$AU$503,0),""))</f>
        <v>122</v>
      </c>
    </row>
    <row r="10" spans="1:15" x14ac:dyDescent="0.3">
      <c r="A10" s="38" t="str">
        <f>IF(Symbols!A8="","",Symbols!A8)</f>
        <v>EABL</v>
      </c>
      <c r="B10" s="54" t="str" cm="1">
        <f t="array" ref="B10">IF($O10="","",INDEX('Daily Data'!$S$4:$S$503,$O10))</f>
        <v/>
      </c>
      <c r="C10" s="54" t="str" cm="1">
        <f t="array" ref="C10">IF($O10="","",INDEX('Daily Data'!$Z$4:$Z$503,$O10))</f>
        <v/>
      </c>
      <c r="D10" s="42" t="str" cm="1">
        <f t="array" ref="D10">IF($O10="","",INDEX('Daily Data'!$AA$4:$AA$503,$O10))</f>
        <v/>
      </c>
      <c r="E10" s="39" cm="1">
        <f t="array" ref="E10">IF($O10="","",INDEX('Daily Data'!$K$4:$K$503,$O10))</f>
        <v>0</v>
      </c>
      <c r="F10" s="39" t="str" cm="1">
        <f t="array" ref="F10">IF($O10="","",INDEX('Daily Data'!$AB$4:$AB$503,$O10))</f>
        <v/>
      </c>
      <c r="G10" s="54" t="str" cm="1">
        <f t="array" ref="G10">IF($O10="","",INDEX('Daily Data'!$AC$4:$AC$503,$O10))</f>
        <v/>
      </c>
      <c r="H10" s="42" t="str" cm="1">
        <f t="array" ref="H10">IF($O10="","",INDEX('Daily Data'!$AD$4:$AD$503,$O10))</f>
        <v/>
      </c>
      <c r="I10" s="42" t="str" cm="1">
        <f t="array" ref="I10">IF($O10="","",INDEX('Daily Data'!$AE$4:$AE$503,$O10))</f>
        <v/>
      </c>
      <c r="J10" s="49" cm="1">
        <f t="array" ref="J10">IF($O10="","",INDEX('Daily Data'!$AH$4:$AH$503,$O10))</f>
        <v>65.3</v>
      </c>
      <c r="K10" s="50" cm="1">
        <f t="array" ref="K10">IF($O10="","",INDEX('Daily Data'!$AG$4:$AG$503,$O10))</f>
        <v>0</v>
      </c>
      <c r="L10" s="9" t="str">
        <f>IF($O10="","No Observation",IF(OR(N($K10)&lt;Settings!$C$30,N($E10)&lt;Settings!$C$25),"Illiquid",IF(OR($D10="",$C10=""),"Insufficient Data",IF($D10&gt;Settings!$C$51,"Strong Acceleration",IF($D10&gt;Settings!$C$52,"Improving",IF($D10&lt;Settings!$C$54,"Strong Deterioration",IF($D10&lt;Settings!$C$53,"Weakening","Neutral")))))))</f>
        <v>Illiquid</v>
      </c>
      <c r="M10" s="122" t="str" cm="1">
        <f t="array" ref="M10">IF($N10&lt;&gt;1,"",SUMPRODUCT(($N$6:$N$45=1)*($D$6:$D$45&gt;$D10))+1)</f>
        <v/>
      </c>
      <c r="N10" s="123">
        <f t="shared" si="0"/>
        <v>0</v>
      </c>
      <c r="O10" s="70">
        <f>IF($A10="","",IFERROR(MATCH($A10&amp;"|"&amp;TEXT($B$3,"yyyy-mm-dd"),'Daily Data'!$AU$4:$AU$503,0),""))</f>
        <v>123</v>
      </c>
    </row>
    <row r="11" spans="1:15" x14ac:dyDescent="0.3">
      <c r="A11" s="38" t="str">
        <f>IF(Symbols!A9="","",Symbols!A9)</f>
        <v>JATU</v>
      </c>
      <c r="B11" s="54" cm="1">
        <f t="array" ref="B11">IF($O11="","",INDEX('Daily Data'!$S$4:$S$503,$O11))</f>
        <v>0</v>
      </c>
      <c r="C11" s="54" t="str" cm="1">
        <f t="array" ref="C11">IF($O11="","",INDEX('Daily Data'!$Z$4:$Z$503,$O11))</f>
        <v/>
      </c>
      <c r="D11" s="42" t="str" cm="1">
        <f t="array" ref="D11">IF($O11="","",INDEX('Daily Data'!$AA$4:$AA$503,$O11))</f>
        <v/>
      </c>
      <c r="E11" s="39" cm="1">
        <f t="array" ref="E11">IF($O11="","",INDEX('Daily Data'!$K$4:$K$503,$O11))</f>
        <v>0</v>
      </c>
      <c r="F11" s="39" t="str" cm="1">
        <f t="array" ref="F11">IF($O11="","",INDEX('Daily Data'!$AB$4:$AB$503,$O11))</f>
        <v/>
      </c>
      <c r="G11" s="54" t="str" cm="1">
        <f t="array" ref="G11">IF($O11="","",INDEX('Daily Data'!$AC$4:$AC$503,$O11))</f>
        <v/>
      </c>
      <c r="H11" s="42" t="str" cm="1">
        <f t="array" ref="H11">IF($O11="","",INDEX('Daily Data'!$AD$4:$AD$503,$O11))</f>
        <v/>
      </c>
      <c r="I11" s="42" t="str" cm="1">
        <f t="array" ref="I11">IF($O11="","",INDEX('Daily Data'!$AE$4:$AE$503,$O11))</f>
        <v/>
      </c>
      <c r="J11" s="49" cm="1">
        <f t="array" ref="J11">IF($O11="","",INDEX('Daily Data'!$AH$4:$AH$503,$O11))</f>
        <v>34.799999999999997</v>
      </c>
      <c r="K11" s="50" cm="1">
        <f t="array" ref="K11">IF($O11="","",INDEX('Daily Data'!$AG$4:$AG$503,$O11))</f>
        <v>0</v>
      </c>
      <c r="L11" s="9" t="str">
        <f>IF($O11="","No Observation",IF(OR(N($K11)&lt;Settings!$C$30,N($E11)&lt;Settings!$C$25),"Illiquid",IF(OR($D11="",$C11=""),"Insufficient Data",IF($D11&gt;Settings!$C$51,"Strong Acceleration",IF($D11&gt;Settings!$C$52,"Improving",IF($D11&lt;Settings!$C$54,"Strong Deterioration",IF($D11&lt;Settings!$C$53,"Weakening","Neutral")))))))</f>
        <v>Illiquid</v>
      </c>
      <c r="M11" s="122" t="str" cm="1">
        <f t="array" ref="M11">IF($N11&lt;&gt;1,"",SUMPRODUCT(($N$6:$N$45=1)*($D$6:$D$45&gt;$D11))+1)</f>
        <v/>
      </c>
      <c r="N11" s="123">
        <f t="shared" si="0"/>
        <v>0</v>
      </c>
      <c r="O11" s="70">
        <f>IF($A11="","",IFERROR(MATCH($A11&amp;"|"&amp;TEXT($B$3,"yyyy-mm-dd"),'Daily Data'!$AU$4:$AU$503,0),""))</f>
        <v>124</v>
      </c>
    </row>
    <row r="12" spans="1:15" x14ac:dyDescent="0.3">
      <c r="A12" s="38" t="str">
        <f>IF(Symbols!A10="","",Symbols!A10)</f>
        <v>JHL</v>
      </c>
      <c r="B12" s="54" t="str" cm="1">
        <f t="array" ref="B12">IF($O12="","",INDEX('Daily Data'!$S$4:$S$503,$O12))</f>
        <v/>
      </c>
      <c r="C12" s="54" t="str" cm="1">
        <f t="array" ref="C12">IF($O12="","",INDEX('Daily Data'!$Z$4:$Z$503,$O12))</f>
        <v/>
      </c>
      <c r="D12" s="42" t="str" cm="1">
        <f t="array" ref="D12">IF($O12="","",INDEX('Daily Data'!$AA$4:$AA$503,$O12))</f>
        <v/>
      </c>
      <c r="E12" s="39" cm="1">
        <f t="array" ref="E12">IF($O12="","",INDEX('Daily Data'!$K$4:$K$503,$O12))</f>
        <v>0</v>
      </c>
      <c r="F12" s="39" t="str" cm="1">
        <f t="array" ref="F12">IF($O12="","",INDEX('Daily Data'!$AB$4:$AB$503,$O12))</f>
        <v/>
      </c>
      <c r="G12" s="54" t="str" cm="1">
        <f t="array" ref="G12">IF($O12="","",INDEX('Daily Data'!$AC$4:$AC$503,$O12))</f>
        <v/>
      </c>
      <c r="H12" s="42" t="str" cm="1">
        <f t="array" ref="H12">IF($O12="","",INDEX('Daily Data'!$AD$4:$AD$503,$O12))</f>
        <v/>
      </c>
      <c r="I12" s="42" t="str" cm="1">
        <f t="array" ref="I12">IF($O12="","",INDEX('Daily Data'!$AE$4:$AE$503,$O12))</f>
        <v/>
      </c>
      <c r="J12" s="49" cm="1">
        <f t="array" ref="J12">IF($O12="","",INDEX('Daily Data'!$AH$4:$AH$503,$O12))</f>
        <v>65</v>
      </c>
      <c r="K12" s="50" cm="1">
        <f t="array" ref="K12">IF($O12="","",INDEX('Daily Data'!$AG$4:$AG$503,$O12))</f>
        <v>0</v>
      </c>
      <c r="L12" s="9" t="str">
        <f>IF($O12="","No Observation",IF(OR(N($K12)&lt;Settings!$C$30,N($E12)&lt;Settings!$C$25),"Illiquid",IF(OR($D12="",$C12=""),"Insufficient Data",IF($D12&gt;Settings!$C$51,"Strong Acceleration",IF($D12&gt;Settings!$C$52,"Improving",IF($D12&lt;Settings!$C$54,"Strong Deterioration",IF($D12&lt;Settings!$C$53,"Weakening","Neutral")))))))</f>
        <v>Illiquid</v>
      </c>
      <c r="M12" s="122" t="str" cm="1">
        <f t="array" ref="M12">IF($N12&lt;&gt;1,"",SUMPRODUCT(($N$6:$N$45=1)*($D$6:$D$45&gt;$D12))+1)</f>
        <v/>
      </c>
      <c r="N12" s="123">
        <f t="shared" si="0"/>
        <v>0</v>
      </c>
      <c r="O12" s="70">
        <f>IF($A12="","",IFERROR(MATCH($A12&amp;"|"&amp;TEXT($B$3,"yyyy-mm-dd"),'Daily Data'!$AU$4:$AU$503,0),""))</f>
        <v>125</v>
      </c>
    </row>
    <row r="13" spans="1:15" x14ac:dyDescent="0.3">
      <c r="A13" s="38" t="str">
        <f>IF(Symbols!A11="","",Symbols!A11)</f>
        <v>KA</v>
      </c>
      <c r="B13" s="54" t="str" cm="1">
        <f t="array" ref="B13">IF($O13="","",INDEX('Daily Data'!$S$4:$S$503,$O13))</f>
        <v/>
      </c>
      <c r="C13" s="54" t="str" cm="1">
        <f t="array" ref="C13">IF($O13="","",INDEX('Daily Data'!$Z$4:$Z$503,$O13))</f>
        <v/>
      </c>
      <c r="D13" s="42" t="str" cm="1">
        <f t="array" ref="D13">IF($O13="","",INDEX('Daily Data'!$AA$4:$AA$503,$O13))</f>
        <v/>
      </c>
      <c r="E13" s="39" cm="1">
        <f t="array" ref="E13">IF($O13="","",INDEX('Daily Data'!$K$4:$K$503,$O13))</f>
        <v>0</v>
      </c>
      <c r="F13" s="39" t="str" cm="1">
        <f t="array" ref="F13">IF($O13="","",INDEX('Daily Data'!$AB$4:$AB$503,$O13))</f>
        <v/>
      </c>
      <c r="G13" s="54" t="str" cm="1">
        <f t="array" ref="G13">IF($O13="","",INDEX('Daily Data'!$AC$4:$AC$503,$O13))</f>
        <v/>
      </c>
      <c r="H13" s="42" t="str" cm="1">
        <f t="array" ref="H13">IF($O13="","",INDEX('Daily Data'!$AD$4:$AD$503,$O13))</f>
        <v/>
      </c>
      <c r="I13" s="42" t="str" cm="1">
        <f t="array" ref="I13">IF($O13="","",INDEX('Daily Data'!$AE$4:$AE$503,$O13))</f>
        <v/>
      </c>
      <c r="J13" s="49" cm="1">
        <f t="array" ref="J13">IF($O13="","",INDEX('Daily Data'!$AH$4:$AH$503,$O13))</f>
        <v>65</v>
      </c>
      <c r="K13" s="50" cm="1">
        <f t="array" ref="K13">IF($O13="","",INDEX('Daily Data'!$AG$4:$AG$503,$O13))</f>
        <v>0</v>
      </c>
      <c r="L13" s="9" t="str">
        <f>IF($O13="","No Observation",IF(OR(N($K13)&lt;Settings!$C$30,N($E13)&lt;Settings!$C$25),"Illiquid",IF(OR($D13="",$C13=""),"Insufficient Data",IF($D13&gt;Settings!$C$51,"Strong Acceleration",IF($D13&gt;Settings!$C$52,"Improving",IF($D13&lt;Settings!$C$54,"Strong Deterioration",IF($D13&lt;Settings!$C$53,"Weakening","Neutral")))))))</f>
        <v>Illiquid</v>
      </c>
      <c r="M13" s="122" t="str" cm="1">
        <f t="array" ref="M13">IF($N13&lt;&gt;1,"",SUMPRODUCT(($N$6:$N$45=1)*($D$6:$D$45&gt;$D13))+1)</f>
        <v/>
      </c>
      <c r="N13" s="123">
        <f t="shared" si="0"/>
        <v>0</v>
      </c>
      <c r="O13" s="70">
        <f>IF($A13="","",IFERROR(MATCH($A13&amp;"|"&amp;TEXT($B$3,"yyyy-mm-dd"),'Daily Data'!$AU$4:$AU$503,0),""))</f>
        <v>126</v>
      </c>
    </row>
    <row r="14" spans="1:15" x14ac:dyDescent="0.3">
      <c r="A14" s="38" t="str">
        <f>IF(Symbols!A12="","",Symbols!A12)</f>
        <v>KCB</v>
      </c>
      <c r="B14" s="54" cm="1">
        <f t="array" ref="B14">IF($O14="","",INDEX('Daily Data'!$S$4:$S$503,$O14))</f>
        <v>0.43361096184846859</v>
      </c>
      <c r="C14" s="54" t="str" cm="1">
        <f t="array" ref="C14">IF($O14="","",INDEX('Daily Data'!$Z$4:$Z$503,$O14))</f>
        <v/>
      </c>
      <c r="D14" s="42" t="str" cm="1">
        <f t="array" ref="D14">IF($O14="","",INDEX('Daily Data'!$AA$4:$AA$503,$O14))</f>
        <v/>
      </c>
      <c r="E14" s="39" cm="1">
        <f t="array" ref="E14">IF($O14="","",INDEX('Daily Data'!$K$4:$K$503,$O14))</f>
        <v>22888</v>
      </c>
      <c r="F14" s="39" t="str" cm="1">
        <f t="array" ref="F14">IF($O14="","",INDEX('Daily Data'!$AB$4:$AB$503,$O14))</f>
        <v/>
      </c>
      <c r="G14" s="54" t="str" cm="1">
        <f t="array" ref="G14">IF($O14="","",INDEX('Daily Data'!$AC$4:$AC$503,$O14))</f>
        <v/>
      </c>
      <c r="H14" s="42" t="str" cm="1">
        <f t="array" ref="H14">IF($O14="","",INDEX('Daily Data'!$AD$4:$AD$503,$O14))</f>
        <v/>
      </c>
      <c r="I14" s="42" t="str" cm="1">
        <f t="array" ref="I14">IF($O14="","",INDEX('Daily Data'!$AE$4:$AE$503,$O14))</f>
        <v/>
      </c>
      <c r="J14" s="49" cm="1">
        <f t="array" ref="J14">IF($O14="","",INDEX('Daily Data'!$AH$4:$AH$503,$O14))</f>
        <v>38.9</v>
      </c>
      <c r="K14" s="50" cm="1">
        <f t="array" ref="K14">IF($O14="","",INDEX('Daily Data'!$AG$4:$AG$503,$O14))</f>
        <v>16.7</v>
      </c>
      <c r="L14" s="9" t="str">
        <f>IF($O14="","No Observation",IF(OR(N($K14)&lt;Settings!$C$30,N($E14)&lt;Settings!$C$25),"Illiquid",IF(OR($D14="",$C14=""),"Insufficient Data",IF($D14&gt;Settings!$C$51,"Strong Acceleration",IF($D14&gt;Settings!$C$52,"Improving",IF($D14&lt;Settings!$C$54,"Strong Deterioration",IF($D14&lt;Settings!$C$53,"Weakening","Neutral")))))))</f>
        <v>Illiquid</v>
      </c>
      <c r="M14" s="122" t="str" cm="1">
        <f t="array" ref="M14">IF($N14&lt;&gt;1,"",SUMPRODUCT(($N$6:$N$45=1)*($D$6:$D$45&gt;$D14))+1)</f>
        <v/>
      </c>
      <c r="N14" s="123">
        <f t="shared" si="0"/>
        <v>0</v>
      </c>
      <c r="O14" s="70">
        <f>IF($A14="","",IFERROR(MATCH($A14&amp;"|"&amp;TEXT($B$3,"yyyy-mm-dd"),'Daily Data'!$AU$4:$AU$503,0),""))</f>
        <v>127</v>
      </c>
    </row>
    <row r="15" spans="1:15" x14ac:dyDescent="0.3">
      <c r="A15" s="38" t="str">
        <f>IF(Symbols!A13="","",Symbols!A13)</f>
        <v>MBP</v>
      </c>
      <c r="B15" s="54" cm="1">
        <f t="array" ref="B15">IF($O15="","",INDEX('Daily Data'!$S$4:$S$503,$O15))</f>
        <v>0.31320158102766799</v>
      </c>
      <c r="C15" s="54" t="str" cm="1">
        <f t="array" ref="C15">IF($O15="","",INDEX('Daily Data'!$Z$4:$Z$503,$O15))</f>
        <v/>
      </c>
      <c r="D15" s="42" t="str" cm="1">
        <f t="array" ref="D15">IF($O15="","",INDEX('Daily Data'!$AA$4:$AA$503,$O15))</f>
        <v/>
      </c>
      <c r="E15" s="39" cm="1">
        <f t="array" ref="E15">IF($O15="","",INDEX('Daily Data'!$K$4:$K$503,$O15))</f>
        <v>6307</v>
      </c>
      <c r="F15" s="39" t="str" cm="1">
        <f t="array" ref="F15">IF($O15="","",INDEX('Daily Data'!$AB$4:$AB$503,$O15))</f>
        <v/>
      </c>
      <c r="G15" s="54" t="str" cm="1">
        <f t="array" ref="G15">IF($O15="","",INDEX('Daily Data'!$AC$4:$AC$503,$O15))</f>
        <v/>
      </c>
      <c r="H15" s="42" t="str" cm="1">
        <f t="array" ref="H15">IF($O15="","",INDEX('Daily Data'!$AD$4:$AD$503,$O15))</f>
        <v/>
      </c>
      <c r="I15" s="42" t="str" cm="1">
        <f t="array" ref="I15">IF($O15="","",INDEX('Daily Data'!$AE$4:$AE$503,$O15))</f>
        <v/>
      </c>
      <c r="J15" s="49" cm="1">
        <f t="array" ref="J15">IF($O15="","",INDEX('Daily Data'!$AH$4:$AH$503,$O15))</f>
        <v>34.5</v>
      </c>
      <c r="K15" s="50" cm="1">
        <f t="array" ref="K15">IF($O15="","",INDEX('Daily Data'!$AG$4:$AG$503,$O15))</f>
        <v>14.8</v>
      </c>
      <c r="L15" s="9" t="str">
        <f>IF($O15="","No Observation",IF(OR(N($K15)&lt;Settings!$C$30,N($E15)&lt;Settings!$C$25),"Illiquid",IF(OR($D15="",$C15=""),"Insufficient Data",IF($D15&gt;Settings!$C$51,"Strong Acceleration",IF($D15&gt;Settings!$C$52,"Improving",IF($D15&lt;Settings!$C$54,"Strong Deterioration",IF($D15&lt;Settings!$C$53,"Weakening","Neutral")))))))</f>
        <v>Illiquid</v>
      </c>
      <c r="M15" s="122" t="str" cm="1">
        <f t="array" ref="M15">IF($N15&lt;&gt;1,"",SUMPRODUCT(($N$6:$N$45=1)*($D$6:$D$45&gt;$D15))+1)</f>
        <v/>
      </c>
      <c r="N15" s="123">
        <f t="shared" si="0"/>
        <v>0</v>
      </c>
      <c r="O15" s="70">
        <f>IF($A15="","",IFERROR(MATCH($A15&amp;"|"&amp;TEXT($B$3,"yyyy-mm-dd"),'Daily Data'!$AU$4:$AU$503,0),""))</f>
        <v>128</v>
      </c>
    </row>
    <row r="16" spans="1:15" x14ac:dyDescent="0.3">
      <c r="A16" s="38" t="str">
        <f>IF(Symbols!A14="","",Symbols!A14)</f>
        <v>MCB</v>
      </c>
      <c r="B16" s="54" cm="1">
        <f t="array" ref="B16">IF($O16="","",INDEX('Daily Data'!$S$4:$S$503,$O16))</f>
        <v>0.54235267140564092</v>
      </c>
      <c r="C16" s="54" t="str" cm="1">
        <f t="array" ref="C16">IF($O16="","",INDEX('Daily Data'!$Z$4:$Z$503,$O16))</f>
        <v/>
      </c>
      <c r="D16" s="42" t="str" cm="1">
        <f t="array" ref="D16">IF($O16="","",INDEX('Daily Data'!$AA$4:$AA$503,$O16))</f>
        <v/>
      </c>
      <c r="E16" s="39" cm="1">
        <f t="array" ref="E16">IF($O16="","",INDEX('Daily Data'!$K$4:$K$503,$O16))</f>
        <v>189296</v>
      </c>
      <c r="F16" s="39" t="str" cm="1">
        <f t="array" ref="F16">IF($O16="","",INDEX('Daily Data'!$AB$4:$AB$503,$O16))</f>
        <v/>
      </c>
      <c r="G16" s="54" t="str" cm="1">
        <f t="array" ref="G16">IF($O16="","",INDEX('Daily Data'!$AC$4:$AC$503,$O16))</f>
        <v/>
      </c>
      <c r="H16" s="42" t="str" cm="1">
        <f t="array" ref="H16">IF($O16="","",INDEX('Daily Data'!$AD$4:$AD$503,$O16))</f>
        <v/>
      </c>
      <c r="I16" s="42" t="str" cm="1">
        <f t="array" ref="I16">IF($O16="","",INDEX('Daily Data'!$AE$4:$AE$503,$O16))</f>
        <v/>
      </c>
      <c r="J16" s="49" cm="1">
        <f t="array" ref="J16">IF($O16="","",INDEX('Daily Data'!$AH$4:$AH$503,$O16))</f>
        <v>34</v>
      </c>
      <c r="K16" s="50" cm="1">
        <f t="array" ref="K16">IF($O16="","",INDEX('Daily Data'!$AG$4:$AG$503,$O16))</f>
        <v>48.5</v>
      </c>
      <c r="L16" s="9" t="str">
        <f>IF($O16="","No Observation",IF(OR(N($K16)&lt;Settings!$C$30,N($E16)&lt;Settings!$C$25),"Illiquid",IF(OR($D16="",$C16=""),"Insufficient Data",IF($D16&gt;Settings!$C$51,"Strong Acceleration",IF($D16&gt;Settings!$C$52,"Improving",IF($D16&lt;Settings!$C$54,"Strong Deterioration",IF($D16&lt;Settings!$C$53,"Weakening","Neutral")))))))</f>
        <v>Insufficient Data</v>
      </c>
      <c r="M16" s="122" t="str" cm="1">
        <f t="array" ref="M16">IF($N16&lt;&gt;1,"",SUMPRODUCT(($N$6:$N$45=1)*($D$6:$D$45&gt;$D16))+1)</f>
        <v/>
      </c>
      <c r="N16" s="123">
        <f t="shared" si="0"/>
        <v>0</v>
      </c>
      <c r="O16" s="70">
        <f>IF($A16="","",IFERROR(MATCH($A16&amp;"|"&amp;TEXT($B$3,"yyyy-mm-dd"),'Daily Data'!$AU$4:$AU$503,0),""))</f>
        <v>129</v>
      </c>
    </row>
    <row r="17" spans="1:15" x14ac:dyDescent="0.3">
      <c r="A17" s="38" t="str">
        <f>IF(Symbols!A15="","",Symbols!A15)</f>
        <v>MKCB</v>
      </c>
      <c r="B17" s="54" cm="1">
        <f t="array" ref="B17">IF($O17="","",INDEX('Daily Data'!$S$4:$S$503,$O17))</f>
        <v>0.12751677852348994</v>
      </c>
      <c r="C17" s="54" t="str" cm="1">
        <f t="array" ref="C17">IF($O17="","",INDEX('Daily Data'!$Z$4:$Z$503,$O17))</f>
        <v/>
      </c>
      <c r="D17" s="42" t="str" cm="1">
        <f t="array" ref="D17">IF($O17="","",INDEX('Daily Data'!$AA$4:$AA$503,$O17))</f>
        <v/>
      </c>
      <c r="E17" s="39" cm="1">
        <f t="array" ref="E17">IF($O17="","",INDEX('Daily Data'!$K$4:$K$503,$O17))</f>
        <v>2079</v>
      </c>
      <c r="F17" s="39" t="str" cm="1">
        <f t="array" ref="F17">IF($O17="","",INDEX('Daily Data'!$AB$4:$AB$503,$O17))</f>
        <v/>
      </c>
      <c r="G17" s="54" t="str" cm="1">
        <f t="array" ref="G17">IF($O17="","",INDEX('Daily Data'!$AC$4:$AC$503,$O17))</f>
        <v/>
      </c>
      <c r="H17" s="42" t="str" cm="1">
        <f t="array" ref="H17">IF($O17="","",INDEX('Daily Data'!$AD$4:$AD$503,$O17))</f>
        <v/>
      </c>
      <c r="I17" s="42" t="str" cm="1">
        <f t="array" ref="I17">IF($O17="","",INDEX('Daily Data'!$AE$4:$AE$503,$O17))</f>
        <v/>
      </c>
      <c r="J17" s="49" cm="1">
        <f t="array" ref="J17">IF($O17="","",INDEX('Daily Data'!$AH$4:$AH$503,$O17))</f>
        <v>29.8</v>
      </c>
      <c r="K17" s="50" cm="1">
        <f t="array" ref="K17">IF($O17="","",INDEX('Daily Data'!$AG$4:$AG$503,$O17))</f>
        <v>7.1</v>
      </c>
      <c r="L17" s="9" t="str">
        <f>IF($O17="","No Observation",IF(OR(N($K17)&lt;Settings!$C$30,N($E17)&lt;Settings!$C$25),"Illiquid",IF(OR($D17="",$C17=""),"Insufficient Data",IF($D17&gt;Settings!$C$51,"Strong Acceleration",IF($D17&gt;Settings!$C$52,"Improving",IF($D17&lt;Settings!$C$54,"Strong Deterioration",IF($D17&lt;Settings!$C$53,"Weakening","Neutral")))))))</f>
        <v>Illiquid</v>
      </c>
      <c r="M17" s="122" t="str" cm="1">
        <f t="array" ref="M17">IF($N17&lt;&gt;1,"",SUMPRODUCT(($N$6:$N$45=1)*($D$6:$D$45&gt;$D17))+1)</f>
        <v/>
      </c>
      <c r="N17" s="123">
        <f t="shared" si="0"/>
        <v>0</v>
      </c>
      <c r="O17" s="70">
        <f>IF($A17="","",IFERROR(MATCH($A17&amp;"|"&amp;TEXT($B$3,"yyyy-mm-dd"),'Daily Data'!$AU$4:$AU$503,0),""))</f>
        <v>130</v>
      </c>
    </row>
    <row r="18" spans="1:15" x14ac:dyDescent="0.3">
      <c r="A18" s="38" t="str">
        <f>IF(Symbols!A16="","",Symbols!A16)</f>
        <v>MUCOBA</v>
      </c>
      <c r="B18" s="54" cm="1">
        <f t="array" ref="B18">IF($O18="","",INDEX('Daily Data'!$S$4:$S$503,$O18))</f>
        <v>0.1908644491800241</v>
      </c>
      <c r="C18" s="54" t="str" cm="1">
        <f t="array" ref="C18">IF($O18="","",INDEX('Daily Data'!$Z$4:$Z$503,$O18))</f>
        <v/>
      </c>
      <c r="D18" s="42" t="str" cm="1">
        <f t="array" ref="D18">IF($O18="","",INDEX('Daily Data'!$AA$4:$AA$503,$O18))</f>
        <v/>
      </c>
      <c r="E18" s="39" cm="1">
        <f t="array" ref="E18">IF($O18="","",INDEX('Daily Data'!$K$4:$K$503,$O18))</f>
        <v>747</v>
      </c>
      <c r="F18" s="39" t="str" cm="1">
        <f t="array" ref="F18">IF($O18="","",INDEX('Daily Data'!$AB$4:$AB$503,$O18))</f>
        <v/>
      </c>
      <c r="G18" s="54" t="str" cm="1">
        <f t="array" ref="G18">IF($O18="","",INDEX('Daily Data'!$AC$4:$AC$503,$O18))</f>
        <v/>
      </c>
      <c r="H18" s="42" t="str" cm="1">
        <f t="array" ref="H18">IF($O18="","",INDEX('Daily Data'!$AD$4:$AD$503,$O18))</f>
        <v/>
      </c>
      <c r="I18" s="42" t="str" cm="1">
        <f t="array" ref="I18">IF($O18="","",INDEX('Daily Data'!$AE$4:$AE$503,$O18))</f>
        <v/>
      </c>
      <c r="J18" s="49" cm="1">
        <f t="array" ref="J18">IF($O18="","",INDEX('Daily Data'!$AH$4:$AH$503,$O18))</f>
        <v>28.9</v>
      </c>
      <c r="K18" s="50" cm="1">
        <f t="array" ref="K18">IF($O18="","",INDEX('Daily Data'!$AG$4:$AG$503,$O18))</f>
        <v>4.0999999999999996</v>
      </c>
      <c r="L18" s="9" t="str">
        <f>IF($O18="","No Observation",IF(OR(N($K18)&lt;Settings!$C$30,N($E18)&lt;Settings!$C$25),"Illiquid",IF(OR($D18="",$C18=""),"Insufficient Data",IF($D18&gt;Settings!$C$51,"Strong Acceleration",IF($D18&gt;Settings!$C$52,"Improving",IF($D18&lt;Settings!$C$54,"Strong Deterioration",IF($D18&lt;Settings!$C$53,"Weakening","Neutral")))))))</f>
        <v>Illiquid</v>
      </c>
      <c r="M18" s="122" t="str" cm="1">
        <f t="array" ref="M18">IF($N18&lt;&gt;1,"",SUMPRODUCT(($N$6:$N$45=1)*($D$6:$D$45&gt;$D18))+1)</f>
        <v/>
      </c>
      <c r="N18" s="123">
        <f t="shared" si="0"/>
        <v>0</v>
      </c>
      <c r="O18" s="70">
        <f>IF($A18="","",IFERROR(MATCH($A18&amp;"|"&amp;TEXT($B$3,"yyyy-mm-dd"),'Daily Data'!$AU$4:$AU$503,0),""))</f>
        <v>131</v>
      </c>
    </row>
    <row r="19" spans="1:15" x14ac:dyDescent="0.3">
      <c r="A19" s="38" t="str">
        <f>IF(Symbols!A17="","",Symbols!A17)</f>
        <v>NICO</v>
      </c>
      <c r="B19" s="54" cm="1">
        <f t="array" ref="B19">IF($O19="","",INDEX('Daily Data'!$S$4:$S$503,$O19))</f>
        <v>6.4548426644871268</v>
      </c>
      <c r="C19" s="54" t="str" cm="1">
        <f t="array" ref="C19">IF($O19="","",INDEX('Daily Data'!$Z$4:$Z$503,$O19))</f>
        <v/>
      </c>
      <c r="D19" s="42" t="str" cm="1">
        <f t="array" ref="D19">IF($O19="","",INDEX('Daily Data'!$AA$4:$AA$503,$O19))</f>
        <v/>
      </c>
      <c r="E19" s="39" cm="1">
        <f t="array" ref="E19">IF($O19="","",INDEX('Daily Data'!$K$4:$K$503,$O19))</f>
        <v>26571</v>
      </c>
      <c r="F19" s="39" t="str" cm="1">
        <f t="array" ref="F19">IF($O19="","",INDEX('Daily Data'!$AB$4:$AB$503,$O19))</f>
        <v/>
      </c>
      <c r="G19" s="54" t="str" cm="1">
        <f t="array" ref="G19">IF($O19="","",INDEX('Daily Data'!$AC$4:$AC$503,$O19))</f>
        <v/>
      </c>
      <c r="H19" s="42" t="str" cm="1">
        <f t="array" ref="H19">IF($O19="","",INDEX('Daily Data'!$AD$4:$AD$503,$O19))</f>
        <v/>
      </c>
      <c r="I19" s="42" t="str" cm="1">
        <f t="array" ref="I19">IF($O19="","",INDEX('Daily Data'!$AE$4:$AE$503,$O19))</f>
        <v/>
      </c>
      <c r="J19" s="49" cm="1">
        <f t="array" ref="J19">IF($O19="","",INDEX('Daily Data'!$AH$4:$AH$503,$O19))</f>
        <v>76.5</v>
      </c>
      <c r="K19" s="50" cm="1">
        <f t="array" ref="K19">IF($O19="","",INDEX('Daily Data'!$AG$4:$AG$503,$O19))</f>
        <v>38.5</v>
      </c>
      <c r="L19" s="9" t="str">
        <f>IF($O19="","No Observation",IF(OR(N($K19)&lt;Settings!$C$30,N($E19)&lt;Settings!$C$25),"Illiquid",IF(OR($D19="",$C19=""),"Insufficient Data",IF($D19&gt;Settings!$C$51,"Strong Acceleration",IF($D19&gt;Settings!$C$52,"Improving",IF($D19&lt;Settings!$C$54,"Strong Deterioration",IF($D19&lt;Settings!$C$53,"Weakening","Neutral")))))))</f>
        <v>Insufficient Data</v>
      </c>
      <c r="M19" s="122" t="str" cm="1">
        <f t="array" ref="M19">IF($N19&lt;&gt;1,"",SUMPRODUCT(($N$6:$N$45=1)*($D$6:$D$45&gt;$D19))+1)</f>
        <v/>
      </c>
      <c r="N19" s="123">
        <f t="shared" si="0"/>
        <v>0</v>
      </c>
      <c r="O19" s="70">
        <f>IF($A19="","",IFERROR(MATCH($A19&amp;"|"&amp;TEXT($B$3,"yyyy-mm-dd"),'Daily Data'!$AU$4:$AU$503,0),""))</f>
        <v>132</v>
      </c>
    </row>
    <row r="20" spans="1:15" x14ac:dyDescent="0.3">
      <c r="A20" s="38" t="str">
        <f>IF(Symbols!A18="","",Symbols!A18)</f>
        <v>NMB</v>
      </c>
      <c r="B20" s="54" cm="1">
        <f t="array" ref="B20">IF($O20="","",INDEX('Daily Data'!$S$4:$S$503,$O20))</f>
        <v>293.21457489878543</v>
      </c>
      <c r="C20" s="54" t="str" cm="1">
        <f t="array" ref="C20">IF($O20="","",INDEX('Daily Data'!$Z$4:$Z$503,$O20))</f>
        <v/>
      </c>
      <c r="D20" s="42" t="str" cm="1">
        <f t="array" ref="D20">IF($O20="","",INDEX('Daily Data'!$AA$4:$AA$503,$O20))</f>
        <v/>
      </c>
      <c r="E20" s="39" cm="1">
        <f t="array" ref="E20">IF($O20="","",INDEX('Daily Data'!$K$4:$K$503,$O20))</f>
        <v>202667</v>
      </c>
      <c r="F20" s="39" t="str" cm="1">
        <f t="array" ref="F20">IF($O20="","",INDEX('Daily Data'!$AB$4:$AB$503,$O20))</f>
        <v/>
      </c>
      <c r="G20" s="54" t="str" cm="1">
        <f t="array" ref="G20">IF($O20="","",INDEX('Daily Data'!$AC$4:$AC$503,$O20))</f>
        <v/>
      </c>
      <c r="H20" s="42" t="str" cm="1">
        <f t="array" ref="H20">IF($O20="","",INDEX('Daily Data'!$AD$4:$AD$503,$O20))</f>
        <v/>
      </c>
      <c r="I20" s="42" t="str" cm="1">
        <f t="array" ref="I20">IF($O20="","",INDEX('Daily Data'!$AE$4:$AE$503,$O20))</f>
        <v/>
      </c>
      <c r="J20" s="49" cm="1">
        <f t="array" ref="J20">IF($O20="","",INDEX('Daily Data'!$AH$4:$AH$503,$O20))</f>
        <v>70.900000000000006</v>
      </c>
      <c r="K20" s="50" cm="1">
        <f t="array" ref="K20">IF($O20="","",INDEX('Daily Data'!$AG$4:$AG$503,$O20))</f>
        <v>80.2</v>
      </c>
      <c r="L20" s="9" t="str">
        <f>IF($O20="","No Observation",IF(OR(N($K20)&lt;Settings!$C$30,N($E20)&lt;Settings!$C$25),"Illiquid",IF(OR($D20="",$C20=""),"Insufficient Data",IF($D20&gt;Settings!$C$51,"Strong Acceleration",IF($D20&gt;Settings!$C$52,"Improving",IF($D20&lt;Settings!$C$54,"Strong Deterioration",IF($D20&lt;Settings!$C$53,"Weakening","Neutral")))))))</f>
        <v>Insufficient Data</v>
      </c>
      <c r="M20" s="122" t="str" cm="1">
        <f t="array" ref="M20">IF($N20&lt;&gt;1,"",SUMPRODUCT(($N$6:$N$45=1)*($D$6:$D$45&gt;$D20))+1)</f>
        <v/>
      </c>
      <c r="N20" s="123">
        <f t="shared" si="0"/>
        <v>0</v>
      </c>
      <c r="O20" s="70">
        <f>IF($A20="","",IFERROR(MATCH($A20&amp;"|"&amp;TEXT($B$3,"yyyy-mm-dd"),'Daily Data'!$AU$4:$AU$503,0),""))</f>
        <v>133</v>
      </c>
    </row>
    <row r="21" spans="1:15" x14ac:dyDescent="0.3">
      <c r="A21" s="38" t="str">
        <f>IF(Symbols!A19="","",Symbols!A19)</f>
        <v>NMG</v>
      </c>
      <c r="B21" s="54" t="str" cm="1">
        <f t="array" ref="B21">IF($O21="","",INDEX('Daily Data'!$S$4:$S$503,$O21))</f>
        <v/>
      </c>
      <c r="C21" s="54" t="str" cm="1">
        <f t="array" ref="C21">IF($O21="","",INDEX('Daily Data'!$Z$4:$Z$503,$O21))</f>
        <v/>
      </c>
      <c r="D21" s="42" t="str" cm="1">
        <f t="array" ref="D21">IF($O21="","",INDEX('Daily Data'!$AA$4:$AA$503,$O21))</f>
        <v/>
      </c>
      <c r="E21" s="39" cm="1">
        <f t="array" ref="E21">IF($O21="","",INDEX('Daily Data'!$K$4:$K$503,$O21))</f>
        <v>0</v>
      </c>
      <c r="F21" s="39" t="str" cm="1">
        <f t="array" ref="F21">IF($O21="","",INDEX('Daily Data'!$AB$4:$AB$503,$O21))</f>
        <v/>
      </c>
      <c r="G21" s="54" t="str" cm="1">
        <f t="array" ref="G21">IF($O21="","",INDEX('Daily Data'!$AC$4:$AC$503,$O21))</f>
        <v/>
      </c>
      <c r="H21" s="42" t="str" cm="1">
        <f t="array" ref="H21">IF($O21="","",INDEX('Daily Data'!$AD$4:$AD$503,$O21))</f>
        <v/>
      </c>
      <c r="I21" s="42" t="str" cm="1">
        <f t="array" ref="I21">IF($O21="","",INDEX('Daily Data'!$AE$4:$AE$503,$O21))</f>
        <v/>
      </c>
      <c r="J21" s="49" cm="1">
        <f t="array" ref="J21">IF($O21="","",INDEX('Daily Data'!$AH$4:$AH$503,$O21))</f>
        <v>62.3</v>
      </c>
      <c r="K21" s="50" cm="1">
        <f t="array" ref="K21">IF($O21="","",INDEX('Daily Data'!$AG$4:$AG$503,$O21))</f>
        <v>0</v>
      </c>
      <c r="L21" s="9" t="str">
        <f>IF($O21="","No Observation",IF(OR(N($K21)&lt;Settings!$C$30,N($E21)&lt;Settings!$C$25),"Illiquid",IF(OR($D21="",$C21=""),"Insufficient Data",IF($D21&gt;Settings!$C$51,"Strong Acceleration",IF($D21&gt;Settings!$C$52,"Improving",IF($D21&lt;Settings!$C$54,"Strong Deterioration",IF($D21&lt;Settings!$C$53,"Weakening","Neutral")))))))</f>
        <v>Illiquid</v>
      </c>
      <c r="M21" s="122" t="str" cm="1">
        <f t="array" ref="M21">IF($N21&lt;&gt;1,"",SUMPRODUCT(($N$6:$N$45=1)*($D$6:$D$45&gt;$D21))+1)</f>
        <v/>
      </c>
      <c r="N21" s="123">
        <f t="shared" si="0"/>
        <v>0</v>
      </c>
      <c r="O21" s="70">
        <f>IF($A21="","",IFERROR(MATCH($A21&amp;"|"&amp;TEXT($B$3,"yyyy-mm-dd"),'Daily Data'!$AU$4:$AU$503,0),""))</f>
        <v>134</v>
      </c>
    </row>
    <row r="22" spans="1:15" x14ac:dyDescent="0.3">
      <c r="A22" s="38" t="str">
        <f>IF(Symbols!A20="","",Symbols!A20)</f>
        <v>PAL</v>
      </c>
      <c r="B22" s="54" cm="1">
        <f t="array" ref="B22">IF($O22="","",INDEX('Daily Data'!$S$4:$S$503,$O22))</f>
        <v>9.5109146172975959E-2</v>
      </c>
      <c r="C22" s="54" t="str" cm="1">
        <f t="array" ref="C22">IF($O22="","",INDEX('Daily Data'!$Z$4:$Z$503,$O22))</f>
        <v/>
      </c>
      <c r="D22" s="42" t="str" cm="1">
        <f t="array" ref="D22">IF($O22="","",INDEX('Daily Data'!$AA$4:$AA$503,$O22))</f>
        <v/>
      </c>
      <c r="E22" s="39" cm="1">
        <f t="array" ref="E22">IF($O22="","",INDEX('Daily Data'!$K$4:$K$503,$O22))</f>
        <v>3560</v>
      </c>
      <c r="F22" s="39" t="str" cm="1">
        <f t="array" ref="F22">IF($O22="","",INDEX('Daily Data'!$AB$4:$AB$503,$O22))</f>
        <v/>
      </c>
      <c r="G22" s="54" t="str" cm="1">
        <f t="array" ref="G22">IF($O22="","",INDEX('Daily Data'!$AC$4:$AC$503,$O22))</f>
        <v/>
      </c>
      <c r="H22" s="42" t="str" cm="1">
        <f t="array" ref="H22">IF($O22="","",INDEX('Daily Data'!$AD$4:$AD$503,$O22))</f>
        <v/>
      </c>
      <c r="I22" s="42" t="str" cm="1">
        <f t="array" ref="I22">IF($O22="","",INDEX('Daily Data'!$AE$4:$AE$503,$O22))</f>
        <v/>
      </c>
      <c r="J22" s="49" cm="1">
        <f t="array" ref="J22">IF($O22="","",INDEX('Daily Data'!$AH$4:$AH$503,$O22))</f>
        <v>35.700000000000003</v>
      </c>
      <c r="K22" s="50" cm="1">
        <f t="array" ref="K22">IF($O22="","",INDEX('Daily Data'!$AG$4:$AG$503,$O22))</f>
        <v>9.9</v>
      </c>
      <c r="L22" s="9" t="str">
        <f>IF($O22="","No Observation",IF(OR(N($K22)&lt;Settings!$C$30,N($E22)&lt;Settings!$C$25),"Illiquid",IF(OR($D22="",$C22=""),"Insufficient Data",IF($D22&gt;Settings!$C$51,"Strong Acceleration",IF($D22&gt;Settings!$C$52,"Improving",IF($D22&lt;Settings!$C$54,"Strong Deterioration",IF($D22&lt;Settings!$C$53,"Weakening","Neutral")))))))</f>
        <v>Illiquid</v>
      </c>
      <c r="M22" s="122" t="str" cm="1">
        <f t="array" ref="M22">IF($N22&lt;&gt;1,"",SUMPRODUCT(($N$6:$N$45=1)*($D$6:$D$45&gt;$D22))+1)</f>
        <v/>
      </c>
      <c r="N22" s="123">
        <f t="shared" si="0"/>
        <v>0</v>
      </c>
      <c r="O22" s="70">
        <f>IF($A22="","",IFERROR(MATCH($A22&amp;"|"&amp;TEXT($B$3,"yyyy-mm-dd"),'Daily Data'!$AU$4:$AU$503,0),""))</f>
        <v>135</v>
      </c>
    </row>
    <row r="23" spans="1:15" x14ac:dyDescent="0.3">
      <c r="A23" s="38" t="str">
        <f>IF(Symbols!A21="","",Symbols!A21)</f>
        <v>SWALA</v>
      </c>
      <c r="B23" s="54" t="str" cm="1">
        <f t="array" ref="B23">IF($O23="","",INDEX('Daily Data'!$S$4:$S$503,$O23))</f>
        <v/>
      </c>
      <c r="C23" s="54" t="str" cm="1">
        <f t="array" ref="C23">IF($O23="","",INDEX('Daily Data'!$Z$4:$Z$503,$O23))</f>
        <v/>
      </c>
      <c r="D23" s="42" t="str" cm="1">
        <f t="array" ref="D23">IF($O23="","",INDEX('Daily Data'!$AA$4:$AA$503,$O23))</f>
        <v/>
      </c>
      <c r="E23" s="39" cm="1">
        <f t="array" ref="E23">IF($O23="","",INDEX('Daily Data'!$K$4:$K$503,$O23))</f>
        <v>0</v>
      </c>
      <c r="F23" s="39" t="str" cm="1">
        <f t="array" ref="F23">IF($O23="","",INDEX('Daily Data'!$AB$4:$AB$503,$O23))</f>
        <v/>
      </c>
      <c r="G23" s="54" t="str" cm="1">
        <f t="array" ref="G23">IF($O23="","",INDEX('Daily Data'!$AC$4:$AC$503,$O23))</f>
        <v/>
      </c>
      <c r="H23" s="42" t="str" cm="1">
        <f t="array" ref="H23">IF($O23="","",INDEX('Daily Data'!$AD$4:$AD$503,$O23))</f>
        <v/>
      </c>
      <c r="I23" s="42" t="str" cm="1">
        <f t="array" ref="I23">IF($O23="","",INDEX('Daily Data'!$AE$4:$AE$503,$O23))</f>
        <v/>
      </c>
      <c r="J23" s="49" cm="1">
        <f t="array" ref="J23">IF($O23="","",INDEX('Daily Data'!$AH$4:$AH$503,$O23))</f>
        <v>50</v>
      </c>
      <c r="K23" s="50" cm="1">
        <f t="array" ref="K23">IF($O23="","",INDEX('Daily Data'!$AG$4:$AG$503,$O23))</f>
        <v>0</v>
      </c>
      <c r="L23" s="9" t="str">
        <f>IF($O23="","No Observation",IF(OR(N($K23)&lt;Settings!$C$30,N($E23)&lt;Settings!$C$25),"Illiquid",IF(OR($D23="",$C23=""),"Insufficient Data",IF($D23&gt;Settings!$C$51,"Strong Acceleration",IF($D23&gt;Settings!$C$52,"Improving",IF($D23&lt;Settings!$C$54,"Strong Deterioration",IF($D23&lt;Settings!$C$53,"Weakening","Neutral")))))))</f>
        <v>Illiquid</v>
      </c>
      <c r="M23" s="122" t="str" cm="1">
        <f t="array" ref="M23">IF($N23&lt;&gt;1,"",SUMPRODUCT(($N$6:$N$45=1)*($D$6:$D$45&gt;$D23))+1)</f>
        <v/>
      </c>
      <c r="N23" s="123">
        <f t="shared" si="0"/>
        <v>0</v>
      </c>
      <c r="O23" s="70">
        <f>IF($A23="","",IFERROR(MATCH($A23&amp;"|"&amp;TEXT($B$3,"yyyy-mm-dd"),'Daily Data'!$AU$4:$AU$503,0),""))</f>
        <v>136</v>
      </c>
    </row>
    <row r="24" spans="1:15" x14ac:dyDescent="0.3">
      <c r="A24" s="38" t="str">
        <f>IF(Symbols!A22="","",Symbols!A22)</f>
        <v>SWIS</v>
      </c>
      <c r="B24" s="54" cm="1">
        <f t="array" ref="B24">IF($O24="","",INDEX('Daily Data'!$S$4:$S$503,$O24))</f>
        <v>9.2116736990154706</v>
      </c>
      <c r="C24" s="54" t="str" cm="1">
        <f t="array" ref="C24">IF($O24="","",INDEX('Daily Data'!$Z$4:$Z$503,$O24))</f>
        <v/>
      </c>
      <c r="D24" s="42" t="str" cm="1">
        <f t="array" ref="D24">IF($O24="","",INDEX('Daily Data'!$AA$4:$AA$503,$O24))</f>
        <v/>
      </c>
      <c r="E24" s="39" cm="1">
        <f t="array" ref="E24">IF($O24="","",INDEX('Daily Data'!$K$4:$K$503,$O24))</f>
        <v>587</v>
      </c>
      <c r="F24" s="39" t="str" cm="1">
        <f t="array" ref="F24">IF($O24="","",INDEX('Daily Data'!$AB$4:$AB$503,$O24))</f>
        <v/>
      </c>
      <c r="G24" s="54" t="str" cm="1">
        <f t="array" ref="G24">IF($O24="","",INDEX('Daily Data'!$AC$4:$AC$503,$O24))</f>
        <v/>
      </c>
      <c r="H24" s="42" t="str" cm="1">
        <f t="array" ref="H24">IF($O24="","",INDEX('Daily Data'!$AD$4:$AD$503,$O24))</f>
        <v/>
      </c>
      <c r="I24" s="42" t="str" cm="1">
        <f t="array" ref="I24">IF($O24="","",INDEX('Daily Data'!$AE$4:$AE$503,$O24))</f>
        <v/>
      </c>
      <c r="J24" s="49" cm="1">
        <f t="array" ref="J24">IF($O24="","",INDEX('Daily Data'!$AH$4:$AH$503,$O24))</f>
        <v>68.599999999999994</v>
      </c>
      <c r="K24" s="50" cm="1">
        <f t="array" ref="K24">IF($O24="","",INDEX('Daily Data'!$AG$4:$AG$503,$O24))</f>
        <v>6.8</v>
      </c>
      <c r="L24" s="9" t="str">
        <f>IF($O24="","No Observation",IF(OR(N($K24)&lt;Settings!$C$30,N($E24)&lt;Settings!$C$25),"Illiquid",IF(OR($D24="",$C24=""),"Insufficient Data",IF($D24&gt;Settings!$C$51,"Strong Acceleration",IF($D24&gt;Settings!$C$52,"Improving",IF($D24&lt;Settings!$C$54,"Strong Deterioration",IF($D24&lt;Settings!$C$53,"Weakening","Neutral")))))))</f>
        <v>Illiquid</v>
      </c>
      <c r="M24" s="122" t="str" cm="1">
        <f t="array" ref="M24">IF($N24&lt;&gt;1,"",SUMPRODUCT(($N$6:$N$45=1)*($D$6:$D$45&gt;$D24))+1)</f>
        <v/>
      </c>
      <c r="N24" s="123">
        <f t="shared" si="0"/>
        <v>0</v>
      </c>
      <c r="O24" s="70">
        <f>IF($A24="","",IFERROR(MATCH($A24&amp;"|"&amp;TEXT($B$3,"yyyy-mm-dd"),'Daily Data'!$AU$4:$AU$503,0),""))</f>
        <v>137</v>
      </c>
    </row>
    <row r="25" spans="1:15" x14ac:dyDescent="0.3">
      <c r="A25" s="38" t="str">
        <f>IF(Symbols!A23="","",Symbols!A23)</f>
        <v>TBL</v>
      </c>
      <c r="B25" s="54" cm="1">
        <f t="array" ref="B25">IF($O25="","",INDEX('Daily Data'!$S$4:$S$503,$O25))</f>
        <v>0.56907216494845358</v>
      </c>
      <c r="C25" s="54" t="str" cm="1">
        <f t="array" ref="C25">IF($O25="","",INDEX('Daily Data'!$Z$4:$Z$503,$O25))</f>
        <v/>
      </c>
      <c r="D25" s="42" t="str" cm="1">
        <f t="array" ref="D25">IF($O25="","",INDEX('Daily Data'!$AA$4:$AA$503,$O25))</f>
        <v/>
      </c>
      <c r="E25" s="39" cm="1">
        <f t="array" ref="E25">IF($O25="","",INDEX('Daily Data'!$K$4:$K$503,$O25))</f>
        <v>1444</v>
      </c>
      <c r="F25" s="39" t="str" cm="1">
        <f t="array" ref="F25">IF($O25="","",INDEX('Daily Data'!$AB$4:$AB$503,$O25))</f>
        <v/>
      </c>
      <c r="G25" s="54" t="str" cm="1">
        <f t="array" ref="G25">IF($O25="","",INDEX('Daily Data'!$AC$4:$AC$503,$O25))</f>
        <v/>
      </c>
      <c r="H25" s="42" t="str" cm="1">
        <f t="array" ref="H25">IF($O25="","",INDEX('Daily Data'!$AD$4:$AD$503,$O25))</f>
        <v/>
      </c>
      <c r="I25" s="42" t="str" cm="1">
        <f t="array" ref="I25">IF($O25="","",INDEX('Daily Data'!$AE$4:$AE$503,$O25))</f>
        <v/>
      </c>
      <c r="J25" s="49" cm="1">
        <f t="array" ref="J25">IF($O25="","",INDEX('Daily Data'!$AH$4:$AH$503,$O25))</f>
        <v>43.4</v>
      </c>
      <c r="K25" s="50" cm="1">
        <f t="array" ref="K25">IF($O25="","",INDEX('Daily Data'!$AG$4:$AG$503,$O25))</f>
        <v>10.199999999999999</v>
      </c>
      <c r="L25" s="9" t="str">
        <f>IF($O25="","No Observation",IF(OR(N($K25)&lt;Settings!$C$30,N($E25)&lt;Settings!$C$25),"Illiquid",IF(OR($D25="",$C25=""),"Insufficient Data",IF($D25&gt;Settings!$C$51,"Strong Acceleration",IF($D25&gt;Settings!$C$52,"Improving",IF($D25&lt;Settings!$C$54,"Strong Deterioration",IF($D25&lt;Settings!$C$53,"Weakening","Neutral")))))))</f>
        <v>Illiquid</v>
      </c>
      <c r="M25" s="122" t="str" cm="1">
        <f t="array" ref="M25">IF($N25&lt;&gt;1,"",SUMPRODUCT(($N$6:$N$45=1)*($D$6:$D$45&gt;$D25))+1)</f>
        <v/>
      </c>
      <c r="N25" s="123">
        <f t="shared" si="0"/>
        <v>0</v>
      </c>
      <c r="O25" s="70">
        <f>IF($A25="","",IFERROR(MATCH($A25&amp;"|"&amp;TEXT($B$3,"yyyy-mm-dd"),'Daily Data'!$AU$4:$AU$503,0),""))</f>
        <v>138</v>
      </c>
    </row>
    <row r="26" spans="1:15" x14ac:dyDescent="0.3">
      <c r="A26" s="38" t="str">
        <f>IF(Symbols!A24="","",Symbols!A24)</f>
        <v>TCC</v>
      </c>
      <c r="B26" s="54" t="str" cm="1">
        <f t="array" ref="B26">IF($O26="","",INDEX('Daily Data'!$S$4:$S$503,$O26))</f>
        <v/>
      </c>
      <c r="C26" s="54" t="str" cm="1">
        <f t="array" ref="C26">IF($O26="","",INDEX('Daily Data'!$Z$4:$Z$503,$O26))</f>
        <v/>
      </c>
      <c r="D26" s="42" t="str" cm="1">
        <f t="array" ref="D26">IF($O26="","",INDEX('Daily Data'!$AA$4:$AA$503,$O26))</f>
        <v/>
      </c>
      <c r="E26" s="39" cm="1">
        <f t="array" ref="E26">IF($O26="","",INDEX('Daily Data'!$K$4:$K$503,$O26))</f>
        <v>1069</v>
      </c>
      <c r="F26" s="39" t="str" cm="1">
        <f t="array" ref="F26">IF($O26="","",INDEX('Daily Data'!$AB$4:$AB$503,$O26))</f>
        <v/>
      </c>
      <c r="G26" s="54" t="str" cm="1">
        <f t="array" ref="G26">IF($O26="","",INDEX('Daily Data'!$AC$4:$AC$503,$O26))</f>
        <v/>
      </c>
      <c r="H26" s="42" t="str" cm="1">
        <f t="array" ref="H26">IF($O26="","",INDEX('Daily Data'!$AD$4:$AD$503,$O26))</f>
        <v/>
      </c>
      <c r="I26" s="42" t="str" cm="1">
        <f t="array" ref="I26">IF($O26="","",INDEX('Daily Data'!$AE$4:$AE$503,$O26))</f>
        <v/>
      </c>
      <c r="J26" s="49" cm="1">
        <f t="array" ref="J26">IF($O26="","",INDEX('Daily Data'!$AH$4:$AH$503,$O26))</f>
        <v>66.099999999999994</v>
      </c>
      <c r="K26" s="50" cm="1">
        <f t="array" ref="K26">IF($O26="","",INDEX('Daily Data'!$AG$4:$AG$503,$O26))</f>
        <v>1.2</v>
      </c>
      <c r="L26" s="9" t="str">
        <f>IF($O26="","No Observation",IF(OR(N($K26)&lt;Settings!$C$30,N($E26)&lt;Settings!$C$25),"Illiquid",IF(OR($D26="",$C26=""),"Insufficient Data",IF($D26&gt;Settings!$C$51,"Strong Acceleration",IF($D26&gt;Settings!$C$52,"Improving",IF($D26&lt;Settings!$C$54,"Strong Deterioration",IF($D26&lt;Settings!$C$53,"Weakening","Neutral")))))))</f>
        <v>Illiquid</v>
      </c>
      <c r="M26" s="122" t="str" cm="1">
        <f t="array" ref="M26">IF($N26&lt;&gt;1,"",SUMPRODUCT(($N$6:$N$45=1)*($D$6:$D$45&gt;$D26))+1)</f>
        <v/>
      </c>
      <c r="N26" s="123">
        <f t="shared" si="0"/>
        <v>0</v>
      </c>
      <c r="O26" s="70">
        <f>IF($A26="","",IFERROR(MATCH($A26&amp;"|"&amp;TEXT($B$3,"yyyy-mm-dd"),'Daily Data'!$AU$4:$AU$503,0),""))</f>
        <v>139</v>
      </c>
    </row>
    <row r="27" spans="1:15" x14ac:dyDescent="0.3">
      <c r="A27" s="38" t="str">
        <f>IF(Symbols!A25="","",Symbols!A25)</f>
        <v>TCCL</v>
      </c>
      <c r="B27" s="54" cm="1">
        <f t="array" ref="B27">IF($O27="","",INDEX('Daily Data'!$S$4:$S$503,$O27))</f>
        <v>2.6261373035566584</v>
      </c>
      <c r="C27" s="54" t="str" cm="1">
        <f t="array" ref="C27">IF($O27="","",INDEX('Daily Data'!$Z$4:$Z$503,$O27))</f>
        <v/>
      </c>
      <c r="D27" s="42" t="str" cm="1">
        <f t="array" ref="D27">IF($O27="","",INDEX('Daily Data'!$AA$4:$AA$503,$O27))</f>
        <v/>
      </c>
      <c r="E27" s="39" cm="1">
        <f t="array" ref="E27">IF($O27="","",INDEX('Daily Data'!$K$4:$K$503,$O27))</f>
        <v>200840</v>
      </c>
      <c r="F27" s="39" t="str" cm="1">
        <f t="array" ref="F27">IF($O27="","",INDEX('Daily Data'!$AB$4:$AB$503,$O27))</f>
        <v/>
      </c>
      <c r="G27" s="54" t="str" cm="1">
        <f t="array" ref="G27">IF($O27="","",INDEX('Daily Data'!$AC$4:$AC$503,$O27))</f>
        <v/>
      </c>
      <c r="H27" s="42" t="str" cm="1">
        <f t="array" ref="H27">IF($O27="","",INDEX('Daily Data'!$AD$4:$AD$503,$O27))</f>
        <v/>
      </c>
      <c r="I27" s="42" t="str" cm="1">
        <f t="array" ref="I27">IF($O27="","",INDEX('Daily Data'!$AE$4:$AE$503,$O27))</f>
        <v/>
      </c>
      <c r="J27" s="49" cm="1">
        <f t="array" ref="J27">IF($O27="","",INDEX('Daily Data'!$AH$4:$AH$503,$O27))</f>
        <v>64.099999999999994</v>
      </c>
      <c r="K27" s="50" cm="1">
        <f t="array" ref="K27">IF($O27="","",INDEX('Daily Data'!$AG$4:$AG$503,$O27))</f>
        <v>41.2</v>
      </c>
      <c r="L27" s="9" t="str">
        <f>IF($O27="","No Observation",IF(OR(N($K27)&lt;Settings!$C$30,N($E27)&lt;Settings!$C$25),"Illiquid",IF(OR($D27="",$C27=""),"Insufficient Data",IF($D27&gt;Settings!$C$51,"Strong Acceleration",IF($D27&gt;Settings!$C$52,"Improving",IF($D27&lt;Settings!$C$54,"Strong Deterioration",IF($D27&lt;Settings!$C$53,"Weakening","Neutral")))))))</f>
        <v>Insufficient Data</v>
      </c>
      <c r="M27" s="122" t="str" cm="1">
        <f t="array" ref="M27">IF($N27&lt;&gt;1,"",SUMPRODUCT(($N$6:$N$45=1)*($D$6:$D$45&gt;$D27))+1)</f>
        <v/>
      </c>
      <c r="N27" s="123">
        <f t="shared" si="0"/>
        <v>0</v>
      </c>
      <c r="O27" s="70">
        <f>IF($A27="","",IFERROR(MATCH($A27&amp;"|"&amp;TEXT($B$3,"yyyy-mm-dd"),'Daily Data'!$AU$4:$AU$503,0),""))</f>
        <v>140</v>
      </c>
    </row>
    <row r="28" spans="1:15" x14ac:dyDescent="0.3">
      <c r="A28" s="38" t="str">
        <f>IF(Symbols!A26="","",Symbols!A26)</f>
        <v>TOL</v>
      </c>
      <c r="B28" s="54" cm="1">
        <f t="array" ref="B28">IF($O28="","",INDEX('Daily Data'!$S$4:$S$503,$O28))</f>
        <v>0.7302564102564103</v>
      </c>
      <c r="C28" s="54" t="str" cm="1">
        <f t="array" ref="C28">IF($O28="","",INDEX('Daily Data'!$Z$4:$Z$503,$O28))</f>
        <v/>
      </c>
      <c r="D28" s="42" t="str" cm="1">
        <f t="array" ref="D28">IF($O28="","",INDEX('Daily Data'!$AA$4:$AA$503,$O28))</f>
        <v/>
      </c>
      <c r="E28" s="39" cm="1">
        <f t="array" ref="E28">IF($O28="","",INDEX('Daily Data'!$K$4:$K$503,$O28))</f>
        <v>1686</v>
      </c>
      <c r="F28" s="39" t="str" cm="1">
        <f t="array" ref="F28">IF($O28="","",INDEX('Daily Data'!$AB$4:$AB$503,$O28))</f>
        <v/>
      </c>
      <c r="G28" s="54" t="str" cm="1">
        <f t="array" ref="G28">IF($O28="","",INDEX('Daily Data'!$AC$4:$AC$503,$O28))</f>
        <v/>
      </c>
      <c r="H28" s="42" t="str" cm="1">
        <f t="array" ref="H28">IF($O28="","",INDEX('Daily Data'!$AD$4:$AD$503,$O28))</f>
        <v/>
      </c>
      <c r="I28" s="42" t="str" cm="1">
        <f t="array" ref="I28">IF($O28="","",INDEX('Daily Data'!$AE$4:$AE$503,$O28))</f>
        <v/>
      </c>
      <c r="J28" s="49" cm="1">
        <f t="array" ref="J28">IF($O28="","",INDEX('Daily Data'!$AH$4:$AH$503,$O28))</f>
        <v>49.4</v>
      </c>
      <c r="K28" s="50" cm="1">
        <f t="array" ref="K28">IF($O28="","",INDEX('Daily Data'!$AG$4:$AG$503,$O28))</f>
        <v>9.1999999999999993</v>
      </c>
      <c r="L28" s="9" t="str">
        <f>IF($O28="","No Observation",IF(OR(N($K28)&lt;Settings!$C$30,N($E28)&lt;Settings!$C$25),"Illiquid",IF(OR($D28="",$C28=""),"Insufficient Data",IF($D28&gt;Settings!$C$51,"Strong Acceleration",IF($D28&gt;Settings!$C$52,"Improving",IF($D28&lt;Settings!$C$54,"Strong Deterioration",IF($D28&lt;Settings!$C$53,"Weakening","Neutral")))))))</f>
        <v>Illiquid</v>
      </c>
      <c r="M28" s="122" t="str" cm="1">
        <f t="array" ref="M28">IF($N28&lt;&gt;1,"",SUMPRODUCT(($N$6:$N$45=1)*($D$6:$D$45&gt;$D28))+1)</f>
        <v/>
      </c>
      <c r="N28" s="123">
        <f t="shared" si="0"/>
        <v>0</v>
      </c>
      <c r="O28" s="70">
        <f>IF($A28="","",IFERROR(MATCH($A28&amp;"|"&amp;TEXT($B$3,"yyyy-mm-dd"),'Daily Data'!$AU$4:$AU$503,0),""))</f>
        <v>141</v>
      </c>
    </row>
    <row r="29" spans="1:15" x14ac:dyDescent="0.3">
      <c r="A29" s="38" t="str">
        <f>IF(Symbols!A27="","",Symbols!A27)</f>
        <v>TPCC</v>
      </c>
      <c r="B29" s="54" cm="1">
        <f t="array" ref="B29">IF($O29="","",INDEX('Daily Data'!$S$4:$S$503,$O29))</f>
        <v>866</v>
      </c>
      <c r="C29" s="54" t="str" cm="1">
        <f t="array" ref="C29">IF($O29="","",INDEX('Daily Data'!$Z$4:$Z$503,$O29))</f>
        <v/>
      </c>
      <c r="D29" s="42" t="str" cm="1">
        <f t="array" ref="D29">IF($O29="","",INDEX('Daily Data'!$AA$4:$AA$503,$O29))</f>
        <v/>
      </c>
      <c r="E29" s="39" cm="1">
        <f t="array" ref="E29">IF($O29="","",INDEX('Daily Data'!$K$4:$K$503,$O29))</f>
        <v>252884</v>
      </c>
      <c r="F29" s="39" t="str" cm="1">
        <f t="array" ref="F29">IF($O29="","",INDEX('Daily Data'!$AB$4:$AB$503,$O29))</f>
        <v/>
      </c>
      <c r="G29" s="54" t="str" cm="1">
        <f t="array" ref="G29">IF($O29="","",INDEX('Daily Data'!$AC$4:$AC$503,$O29))</f>
        <v/>
      </c>
      <c r="H29" s="42" t="str" cm="1">
        <f t="array" ref="H29">IF($O29="","",INDEX('Daily Data'!$AD$4:$AD$503,$O29))</f>
        <v/>
      </c>
      <c r="I29" s="42" t="str" cm="1">
        <f t="array" ref="I29">IF($O29="","",INDEX('Daily Data'!$AE$4:$AE$503,$O29))</f>
        <v/>
      </c>
      <c r="J29" s="49" cm="1">
        <f t="array" ref="J29">IF($O29="","",INDEX('Daily Data'!$AH$4:$AH$503,$O29))</f>
        <v>70.900000000000006</v>
      </c>
      <c r="K29" s="50" cm="1">
        <f t="array" ref="K29">IF($O29="","",INDEX('Daily Data'!$AG$4:$AG$503,$O29))</f>
        <v>57.9</v>
      </c>
      <c r="L29" s="9" t="str">
        <f>IF($O29="","No Observation",IF(OR(N($K29)&lt;Settings!$C$30,N($E29)&lt;Settings!$C$25),"Illiquid",IF(OR($D29="",$C29=""),"Insufficient Data",IF($D29&gt;Settings!$C$51,"Strong Acceleration",IF($D29&gt;Settings!$C$52,"Improving",IF($D29&lt;Settings!$C$54,"Strong Deterioration",IF($D29&lt;Settings!$C$53,"Weakening","Neutral")))))))</f>
        <v>Insufficient Data</v>
      </c>
      <c r="M29" s="122" t="str" cm="1">
        <f t="array" ref="M29">IF($N29&lt;&gt;1,"",SUMPRODUCT(($N$6:$N$45=1)*($D$6:$D$45&gt;$D29))+1)</f>
        <v/>
      </c>
      <c r="N29" s="123">
        <f t="shared" si="0"/>
        <v>0</v>
      </c>
      <c r="O29" s="70">
        <f>IF($A29="","",IFERROR(MATCH($A29&amp;"|"&amp;TEXT($B$3,"yyyy-mm-dd"),'Daily Data'!$AU$4:$AU$503,0),""))</f>
        <v>142</v>
      </c>
    </row>
    <row r="30" spans="1:15" x14ac:dyDescent="0.3">
      <c r="A30" s="38" t="str">
        <f>IF(Symbols!A28="","",Symbols!A28)</f>
        <v>TTP</v>
      </c>
      <c r="B30" s="54" cm="1">
        <f t="array" ref="B30">IF($O30="","",INDEX('Daily Data'!$S$4:$S$503,$O30))</f>
        <v>1.0760118460019743</v>
      </c>
      <c r="C30" s="54" t="str" cm="1">
        <f t="array" ref="C30">IF($O30="","",INDEX('Daily Data'!$Z$4:$Z$503,$O30))</f>
        <v/>
      </c>
      <c r="D30" s="42" t="str" cm="1">
        <f t="array" ref="D30">IF($O30="","",INDEX('Daily Data'!$AA$4:$AA$503,$O30))</f>
        <v/>
      </c>
      <c r="E30" s="39" cm="1">
        <f t="array" ref="E30">IF($O30="","",INDEX('Daily Data'!$K$4:$K$503,$O30))</f>
        <v>236</v>
      </c>
      <c r="F30" s="39" t="str" cm="1">
        <f t="array" ref="F30">IF($O30="","",INDEX('Daily Data'!$AB$4:$AB$503,$O30))</f>
        <v/>
      </c>
      <c r="G30" s="54" t="str" cm="1">
        <f t="array" ref="G30">IF($O30="","",INDEX('Daily Data'!$AC$4:$AC$503,$O30))</f>
        <v/>
      </c>
      <c r="H30" s="42" t="str" cm="1">
        <f t="array" ref="H30">IF($O30="","",INDEX('Daily Data'!$AD$4:$AD$503,$O30))</f>
        <v/>
      </c>
      <c r="I30" s="42" t="str" cm="1">
        <f t="array" ref="I30">IF($O30="","",INDEX('Daily Data'!$AE$4:$AE$503,$O30))</f>
        <v/>
      </c>
      <c r="J30" s="49" cm="1">
        <f t="array" ref="J30">IF($O30="","",INDEX('Daily Data'!$AH$4:$AH$503,$O30))</f>
        <v>50.8</v>
      </c>
      <c r="K30" s="50" cm="1">
        <f t="array" ref="K30">IF($O30="","",INDEX('Daily Data'!$AG$4:$AG$503,$O30))</f>
        <v>4.7</v>
      </c>
      <c r="L30" s="9" t="str">
        <f>IF($O30="","No Observation",IF(OR(N($K30)&lt;Settings!$C$30,N($E30)&lt;Settings!$C$25),"Illiquid",IF(OR($D30="",$C30=""),"Insufficient Data",IF($D30&gt;Settings!$C$51,"Strong Acceleration",IF($D30&gt;Settings!$C$52,"Improving",IF($D30&lt;Settings!$C$54,"Strong Deterioration",IF($D30&lt;Settings!$C$53,"Weakening","Neutral")))))))</f>
        <v>Illiquid</v>
      </c>
      <c r="M30" s="122" t="str" cm="1">
        <f t="array" ref="M30">IF($N30&lt;&gt;1,"",SUMPRODUCT(($N$6:$N$45=1)*($D$6:$D$45&gt;$D30))+1)</f>
        <v/>
      </c>
      <c r="N30" s="123">
        <f t="shared" si="0"/>
        <v>0</v>
      </c>
      <c r="O30" s="70">
        <f>IF($A30="","",IFERROR(MATCH($A30&amp;"|"&amp;TEXT($B$3,"yyyy-mm-dd"),'Daily Data'!$AU$4:$AU$503,0),""))</f>
        <v>143</v>
      </c>
    </row>
    <row r="31" spans="1:15" x14ac:dyDescent="0.3">
      <c r="A31" s="38" t="str">
        <f>IF(Symbols!A29="","",Symbols!A29)</f>
        <v>USL</v>
      </c>
      <c r="B31" s="54" t="str" cm="1">
        <f t="array" ref="B31">IF($O31="","",INDEX('Daily Data'!$S$4:$S$503,$O31))</f>
        <v/>
      </c>
      <c r="C31" s="54" t="str" cm="1">
        <f t="array" ref="C31">IF($O31="","",INDEX('Daily Data'!$Z$4:$Z$503,$O31))</f>
        <v/>
      </c>
      <c r="D31" s="42" t="str" cm="1">
        <f t="array" ref="D31">IF($O31="","",INDEX('Daily Data'!$AA$4:$AA$503,$O31))</f>
        <v/>
      </c>
      <c r="E31" s="39" cm="1">
        <f t="array" ref="E31">IF($O31="","",INDEX('Daily Data'!$K$4:$K$503,$O31))</f>
        <v>0</v>
      </c>
      <c r="F31" s="39" t="str" cm="1">
        <f t="array" ref="F31">IF($O31="","",INDEX('Daily Data'!$AB$4:$AB$503,$O31))</f>
        <v/>
      </c>
      <c r="G31" s="54" t="str" cm="1">
        <f t="array" ref="G31">IF($O31="","",INDEX('Daily Data'!$AC$4:$AC$503,$O31))</f>
        <v/>
      </c>
      <c r="H31" s="42" t="str" cm="1">
        <f t="array" ref="H31">IF($O31="","",INDEX('Daily Data'!$AD$4:$AD$503,$O31))</f>
        <v/>
      </c>
      <c r="I31" s="42" t="str" cm="1">
        <f t="array" ref="I31">IF($O31="","",INDEX('Daily Data'!$AE$4:$AE$503,$O31))</f>
        <v/>
      </c>
      <c r="J31" s="49" cm="1">
        <f t="array" ref="J31">IF($O31="","",INDEX('Daily Data'!$AH$4:$AH$503,$O31))</f>
        <v>65.099999999999994</v>
      </c>
      <c r="K31" s="50" cm="1">
        <f t="array" ref="K31">IF($O31="","",INDEX('Daily Data'!$AG$4:$AG$503,$O31))</f>
        <v>0</v>
      </c>
      <c r="L31" s="9" t="str">
        <f>IF($O31="","No Observation",IF(OR(N($K31)&lt;Settings!$C$30,N($E31)&lt;Settings!$C$25),"Illiquid",IF(OR($D31="",$C31=""),"Insufficient Data",IF($D31&gt;Settings!$C$51,"Strong Acceleration",IF($D31&gt;Settings!$C$52,"Improving",IF($D31&lt;Settings!$C$54,"Strong Deterioration",IF($D31&lt;Settings!$C$53,"Weakening","Neutral")))))))</f>
        <v>Illiquid</v>
      </c>
      <c r="M31" s="122" t="str" cm="1">
        <f t="array" ref="M31">IF($N31&lt;&gt;1,"",SUMPRODUCT(($N$6:$N$45=1)*($D$6:$D$45&gt;$D31))+1)</f>
        <v/>
      </c>
      <c r="N31" s="123">
        <f t="shared" si="0"/>
        <v>0</v>
      </c>
      <c r="O31" s="70">
        <f>IF($A31="","",IFERROR(MATCH($A31&amp;"|"&amp;TEXT($B$3,"yyyy-mm-dd"),'Daily Data'!$AU$4:$AU$503,0),""))</f>
        <v>144</v>
      </c>
    </row>
    <row r="32" spans="1:15" x14ac:dyDescent="0.3">
      <c r="A32" s="38" t="str">
        <f>IF(Symbols!A30="","",Symbols!A30)</f>
        <v>VODA</v>
      </c>
      <c r="B32" s="54" cm="1">
        <f t="array" ref="B32">IF($O32="","",INDEX('Daily Data'!$S$4:$S$503,$O32))</f>
        <v>0.90458469685830833</v>
      </c>
      <c r="C32" s="54" t="str" cm="1">
        <f t="array" ref="C32">IF($O32="","",INDEX('Daily Data'!$Z$4:$Z$503,$O32))</f>
        <v/>
      </c>
      <c r="D32" s="42" t="str" cm="1">
        <f t="array" ref="D32">IF($O32="","",INDEX('Daily Data'!$AA$4:$AA$503,$O32))</f>
        <v/>
      </c>
      <c r="E32" s="39" cm="1">
        <f t="array" ref="E32">IF($O32="","",INDEX('Daily Data'!$K$4:$K$503,$O32))</f>
        <v>123675</v>
      </c>
      <c r="F32" s="39" t="str" cm="1">
        <f t="array" ref="F32">IF($O32="","",INDEX('Daily Data'!$AB$4:$AB$503,$O32))</f>
        <v/>
      </c>
      <c r="G32" s="54" t="str" cm="1">
        <f t="array" ref="G32">IF($O32="","",INDEX('Daily Data'!$AC$4:$AC$503,$O32))</f>
        <v/>
      </c>
      <c r="H32" s="42" t="str" cm="1">
        <f t="array" ref="H32">IF($O32="","",INDEX('Daily Data'!$AD$4:$AD$503,$O32))</f>
        <v/>
      </c>
      <c r="I32" s="42" t="str" cm="1">
        <f t="array" ref="I32">IF($O32="","",INDEX('Daily Data'!$AE$4:$AE$503,$O32))</f>
        <v/>
      </c>
      <c r="J32" s="49" cm="1">
        <f t="array" ref="J32">IF($O32="","",INDEX('Daily Data'!$AH$4:$AH$503,$O32))</f>
        <v>50.2</v>
      </c>
      <c r="K32" s="50" cm="1">
        <f t="array" ref="K32">IF($O32="","",INDEX('Daily Data'!$AG$4:$AG$503,$O32))</f>
        <v>45.8</v>
      </c>
      <c r="L32" s="9" t="str">
        <f>IF($O32="","No Observation",IF(OR(N($K32)&lt;Settings!$C$30,N($E32)&lt;Settings!$C$25),"Illiquid",IF(OR($D32="",$C32=""),"Insufficient Data",IF($D32&gt;Settings!$C$51,"Strong Acceleration",IF($D32&gt;Settings!$C$52,"Improving",IF($D32&lt;Settings!$C$54,"Strong Deterioration",IF($D32&lt;Settings!$C$53,"Weakening","Neutral")))))))</f>
        <v>Insufficient Data</v>
      </c>
      <c r="M32" s="122" t="str" cm="1">
        <f t="array" ref="M32">IF($N32&lt;&gt;1,"",SUMPRODUCT(($N$6:$N$45=1)*($D$6:$D$45&gt;$D32))+1)</f>
        <v/>
      </c>
      <c r="N32" s="123">
        <f t="shared" si="0"/>
        <v>0</v>
      </c>
      <c r="O32" s="70">
        <f>IF($A32="","",IFERROR(MATCH($A32&amp;"|"&amp;TEXT($B$3,"yyyy-mm-dd"),'Daily Data'!$AU$4:$AU$503,0),""))</f>
        <v>145</v>
      </c>
    </row>
    <row r="33" spans="1:15" x14ac:dyDescent="0.3">
      <c r="A33" s="38" t="str">
        <f>IF(Symbols!A31="","",Symbols!A31)</f>
        <v>YETU</v>
      </c>
      <c r="B33" s="54" t="str" cm="1">
        <f t="array" ref="B33">IF($O33="","",INDEX('Daily Data'!$S$4:$S$503,$O33))</f>
        <v/>
      </c>
      <c r="C33" s="54" t="str" cm="1">
        <f t="array" ref="C33">IF($O33="","",INDEX('Daily Data'!$Z$4:$Z$503,$O33))</f>
        <v/>
      </c>
      <c r="D33" s="42" t="str" cm="1">
        <f t="array" ref="D33">IF($O33="","",INDEX('Daily Data'!$AA$4:$AA$503,$O33))</f>
        <v/>
      </c>
      <c r="E33" s="39" cm="1">
        <f t="array" ref="E33">IF($O33="","",INDEX('Daily Data'!$K$4:$K$503,$O33))</f>
        <v>0</v>
      </c>
      <c r="F33" s="39" t="str" cm="1">
        <f t="array" ref="F33">IF($O33="","",INDEX('Daily Data'!$AB$4:$AB$503,$O33))</f>
        <v/>
      </c>
      <c r="G33" s="54" t="str" cm="1">
        <f t="array" ref="G33">IF($O33="","",INDEX('Daily Data'!$AC$4:$AC$503,$O33))</f>
        <v/>
      </c>
      <c r="H33" s="42" t="str" cm="1">
        <f t="array" ref="H33">IF($O33="","",INDEX('Daily Data'!$AD$4:$AD$503,$O33))</f>
        <v/>
      </c>
      <c r="I33" s="42" t="str" cm="1">
        <f t="array" ref="I33">IF($O33="","",INDEX('Daily Data'!$AE$4:$AE$503,$O33))</f>
        <v/>
      </c>
      <c r="J33" s="49" cm="1">
        <f t="array" ref="J33">IF($O33="","",INDEX('Daily Data'!$AH$4:$AH$503,$O33))</f>
        <v>50</v>
      </c>
      <c r="K33" s="50" cm="1">
        <f t="array" ref="K33">IF($O33="","",INDEX('Daily Data'!$AG$4:$AG$503,$O33))</f>
        <v>0</v>
      </c>
      <c r="L33" s="9" t="str">
        <f>IF($O33="","No Observation",IF(OR(N($K33)&lt;Settings!$C$30,N($E33)&lt;Settings!$C$25),"Illiquid",IF(OR($D33="",$C33=""),"Insufficient Data",IF($D33&gt;Settings!$C$51,"Strong Acceleration",IF($D33&gt;Settings!$C$52,"Improving",IF($D33&lt;Settings!$C$54,"Strong Deterioration",IF($D33&lt;Settings!$C$53,"Weakening","Neutral")))))))</f>
        <v>Illiquid</v>
      </c>
      <c r="M33" s="122" t="str" cm="1">
        <f t="array" ref="M33">IF($N33&lt;&gt;1,"",SUMPRODUCT(($N$6:$N$45=1)*($D$6:$D$45&gt;$D33))+1)</f>
        <v/>
      </c>
      <c r="N33" s="123">
        <f t="shared" si="0"/>
        <v>0</v>
      </c>
      <c r="O33" s="70">
        <f>IF($A33="","",IFERROR(MATCH($A33&amp;"|"&amp;TEXT($B$3,"yyyy-mm-dd"),'Daily Data'!$AU$4:$AU$503,0),""))</f>
        <v>146</v>
      </c>
    </row>
    <row r="34" spans="1:15" x14ac:dyDescent="0.3">
      <c r="A34" s="38" t="str">
        <f>IF(Symbols!A32="","",Symbols!A32)</f>
        <v>IEACLC-ETF</v>
      </c>
      <c r="B34" s="54" cm="1">
        <f t="array" ref="B34">IF($O34="","",INDEX('Daily Data'!$S$4:$S$503,$O34))</f>
        <v>1.5606898209349838</v>
      </c>
      <c r="C34" s="54" t="str" cm="1">
        <f t="array" ref="C34">IF($O34="","",INDEX('Daily Data'!$Z$4:$Z$503,$O34))</f>
        <v/>
      </c>
      <c r="D34" s="42" t="str" cm="1">
        <f t="array" ref="D34">IF($O34="","",INDEX('Daily Data'!$AA$4:$AA$503,$O34))</f>
        <v/>
      </c>
      <c r="E34" s="39" cm="1">
        <f t="array" ref="E34">IF($O34="","",INDEX('Daily Data'!$K$4:$K$503,$O34))</f>
        <v>10632</v>
      </c>
      <c r="F34" s="39" t="str" cm="1">
        <f t="array" ref="F34">IF($O34="","",INDEX('Daily Data'!$AB$4:$AB$503,$O34))</f>
        <v/>
      </c>
      <c r="G34" s="54" t="str" cm="1">
        <f t="array" ref="G34">IF($O34="","",INDEX('Daily Data'!$AC$4:$AC$503,$O34))</f>
        <v/>
      </c>
      <c r="H34" s="42" t="str" cm="1">
        <f t="array" ref="H34">IF($O34="","",INDEX('Daily Data'!$AD$4:$AD$503,$O34))</f>
        <v/>
      </c>
      <c r="I34" s="42" t="str" cm="1">
        <f t="array" ref="I34">IF($O34="","",INDEX('Daily Data'!$AE$4:$AE$503,$O34))</f>
        <v/>
      </c>
      <c r="J34" s="49" cm="1">
        <f t="array" ref="J34">IF($O34="","",INDEX('Daily Data'!$AH$4:$AH$503,$O34))</f>
        <v>57.7</v>
      </c>
      <c r="K34" s="50" cm="1">
        <f t="array" ref="K34">IF($O34="","",INDEX('Daily Data'!$AG$4:$AG$503,$O34))</f>
        <v>16.5</v>
      </c>
      <c r="L34" s="9" t="str">
        <f>IF($O34="","No Observation",IF(OR(N($K34)&lt;Settings!$C$30,N($E34)&lt;Settings!$C$25),"Illiquid",IF(OR($D34="",$C34=""),"Insufficient Data",IF($D34&gt;Settings!$C$51,"Strong Acceleration",IF($D34&gt;Settings!$C$52,"Improving",IF($D34&lt;Settings!$C$54,"Strong Deterioration",IF($D34&lt;Settings!$C$53,"Weakening","Neutral")))))))</f>
        <v>Illiquid</v>
      </c>
      <c r="M34" s="122" t="str" cm="1">
        <f t="array" ref="M34">IF($N34&lt;&gt;1,"",SUMPRODUCT(($N$6:$N$45=1)*($D$6:$D$45&gt;$D34))+1)</f>
        <v/>
      </c>
      <c r="N34" s="123">
        <f t="shared" si="0"/>
        <v>0</v>
      </c>
      <c r="O34" s="70">
        <f>IF($A34="","",IFERROR(MATCH($A34&amp;"|"&amp;TEXT($B$3,"yyyy-mm-dd"),'Daily Data'!$AU$4:$AU$503,0),""))</f>
        <v>147</v>
      </c>
    </row>
    <row r="35" spans="1:15" x14ac:dyDescent="0.3">
      <c r="A35" s="38" t="str">
        <f>IF(Symbols!A33="","",Symbols!A33)</f>
        <v>VERTEX-ETF</v>
      </c>
      <c r="B35" s="54" cm="1">
        <f t="array" ref="B35">IF($O35="","",INDEX('Daily Data'!$S$4:$S$503,$O35))</f>
        <v>0.21222859351845885</v>
      </c>
      <c r="C35" s="54" t="str" cm="1">
        <f t="array" ref="C35">IF($O35="","",INDEX('Daily Data'!$Z$4:$Z$503,$O35))</f>
        <v/>
      </c>
      <c r="D35" s="42" t="str" cm="1">
        <f t="array" ref="D35">IF($O35="","",INDEX('Daily Data'!$AA$4:$AA$503,$O35))</f>
        <v/>
      </c>
      <c r="E35" s="39" cm="1">
        <f t="array" ref="E35">IF($O35="","",INDEX('Daily Data'!$K$4:$K$503,$O35))</f>
        <v>47907</v>
      </c>
      <c r="F35" s="39" t="str" cm="1">
        <f t="array" ref="F35">IF($O35="","",INDEX('Daily Data'!$AB$4:$AB$503,$O35))</f>
        <v/>
      </c>
      <c r="G35" s="54" t="str" cm="1">
        <f t="array" ref="G35">IF($O35="","",INDEX('Daily Data'!$AC$4:$AC$503,$O35))</f>
        <v/>
      </c>
      <c r="H35" s="42" t="str" cm="1">
        <f t="array" ref="H35">IF($O35="","",INDEX('Daily Data'!$AD$4:$AD$503,$O35))</f>
        <v/>
      </c>
      <c r="I35" s="42" t="str" cm="1">
        <f t="array" ref="I35">IF($O35="","",INDEX('Daily Data'!$AE$4:$AE$503,$O35))</f>
        <v/>
      </c>
      <c r="J35" s="49" cm="1">
        <f t="array" ref="J35">IF($O35="","",INDEX('Daily Data'!$AH$4:$AH$503,$O35))</f>
        <v>33.200000000000003</v>
      </c>
      <c r="K35" s="50" cm="1">
        <f t="array" ref="K35">IF($O35="","",INDEX('Daily Data'!$AG$4:$AG$503,$O35))</f>
        <v>37.1</v>
      </c>
      <c r="L35" s="9" t="str">
        <f>IF($O35="","No Observation",IF(OR(N($K35)&lt;Settings!$C$30,N($E35)&lt;Settings!$C$25),"Illiquid",IF(OR($D35="",$C35=""),"Insufficient Data",IF($D35&gt;Settings!$C$51,"Strong Acceleration",IF($D35&gt;Settings!$C$52,"Improving",IF($D35&lt;Settings!$C$54,"Strong Deterioration",IF($D35&lt;Settings!$C$53,"Weakening","Neutral")))))))</f>
        <v>Insufficient Data</v>
      </c>
      <c r="M35" s="122" t="str" cm="1">
        <f t="array" ref="M35">IF($N35&lt;&gt;1,"",SUMPRODUCT(($N$6:$N$45=1)*($D$6:$D$45&gt;$D35))+1)</f>
        <v/>
      </c>
      <c r="N35" s="123">
        <f t="shared" si="0"/>
        <v>0</v>
      </c>
      <c r="O35" s="70">
        <f>IF($A35="","",IFERROR(MATCH($A35&amp;"|"&amp;TEXT($B$3,"yyyy-mm-dd"),'Daily Data'!$AU$4:$AU$503,0),""))</f>
        <v>148</v>
      </c>
    </row>
    <row r="36" spans="1:15" x14ac:dyDescent="0.3">
      <c r="A36" s="38" t="str">
        <f>IF(Symbols!A34="","",Symbols!A34)</f>
        <v/>
      </c>
      <c r="B36" s="54" t="str" cm="1">
        <f t="array" ref="B36">IF($O36="","",INDEX('Daily Data'!$S$4:$S$503,$O36))</f>
        <v/>
      </c>
      <c r="C36" s="54" t="str" cm="1">
        <f t="array" ref="C36">IF($O36="","",INDEX('Daily Data'!$Z$4:$Z$503,$O36))</f>
        <v/>
      </c>
      <c r="D36" s="42" t="str" cm="1">
        <f t="array" ref="D36">IF($O36="","",INDEX('Daily Data'!$AA$4:$AA$503,$O36))</f>
        <v/>
      </c>
      <c r="E36" s="39" t="str" cm="1">
        <f t="array" ref="E36">IF($O36="","",INDEX('Daily Data'!$K$4:$K$503,$O36))</f>
        <v/>
      </c>
      <c r="F36" s="39" t="str" cm="1">
        <f t="array" ref="F36">IF($O36="","",INDEX('Daily Data'!$AB$4:$AB$503,$O36))</f>
        <v/>
      </c>
      <c r="G36" s="54" t="str" cm="1">
        <f t="array" ref="G36">IF($O36="","",INDEX('Daily Data'!$AC$4:$AC$503,$O36))</f>
        <v/>
      </c>
      <c r="H36" s="42" t="str" cm="1">
        <f t="array" ref="H36">IF($O36="","",INDEX('Daily Data'!$AD$4:$AD$503,$O36))</f>
        <v/>
      </c>
      <c r="I36" s="42" t="str" cm="1">
        <f t="array" ref="I36">IF($O36="","",INDEX('Daily Data'!$AE$4:$AE$503,$O36))</f>
        <v/>
      </c>
      <c r="J36" s="49" t="str" cm="1">
        <f t="array" ref="J36">IF($O36="","",INDEX('Daily Data'!$AH$4:$AH$503,$O36))</f>
        <v/>
      </c>
      <c r="K36" s="50" t="str" cm="1">
        <f t="array" ref="K36">IF($O36="","",INDEX('Daily Data'!$AG$4:$AG$503,$O36))</f>
        <v/>
      </c>
      <c r="L36" s="9" t="str">
        <f>IF($O36="","No Observation",IF(OR(N($K36)&lt;Settings!$C$30,N($E36)&lt;Settings!$C$25),"Illiquid",IF(OR($D36="",$C36=""),"Insufficient Data",IF($D36&gt;Settings!$C$51,"Strong Acceleration",IF($D36&gt;Settings!$C$52,"Improving",IF($D36&lt;Settings!$C$54,"Strong Deterioration",IF($D36&lt;Settings!$C$53,"Weakening","Neutral")))))))</f>
        <v>No Observation</v>
      </c>
      <c r="M36" s="122" t="str" cm="1">
        <f t="array" ref="M36">IF($N36&lt;&gt;1,"",SUMPRODUCT(($N$6:$N$45=1)*($D$6:$D$45&gt;$D36))+1)</f>
        <v/>
      </c>
      <c r="N36" s="123">
        <f t="shared" si="0"/>
        <v>0</v>
      </c>
      <c r="O36" s="70" t="str">
        <f>IF($A36="","",IFERROR(MATCH($A36&amp;"|"&amp;TEXT($B$3,"yyyy-mm-dd"),'Daily Data'!$AU$4:$AU$503,0),""))</f>
        <v/>
      </c>
    </row>
    <row r="37" spans="1:15" x14ac:dyDescent="0.3">
      <c r="A37" s="38" t="str">
        <f>IF(Symbols!A35="","",Symbols!A35)</f>
        <v/>
      </c>
      <c r="B37" s="54" t="str" cm="1">
        <f t="array" ref="B37">IF($O37="","",INDEX('Daily Data'!$S$4:$S$503,$O37))</f>
        <v/>
      </c>
      <c r="C37" s="54" t="str" cm="1">
        <f t="array" ref="C37">IF($O37="","",INDEX('Daily Data'!$Z$4:$Z$503,$O37))</f>
        <v/>
      </c>
      <c r="D37" s="42" t="str" cm="1">
        <f t="array" ref="D37">IF($O37="","",INDEX('Daily Data'!$AA$4:$AA$503,$O37))</f>
        <v/>
      </c>
      <c r="E37" s="39" t="str" cm="1">
        <f t="array" ref="E37">IF($O37="","",INDEX('Daily Data'!$K$4:$K$503,$O37))</f>
        <v/>
      </c>
      <c r="F37" s="39" t="str" cm="1">
        <f t="array" ref="F37">IF($O37="","",INDEX('Daily Data'!$AB$4:$AB$503,$O37))</f>
        <v/>
      </c>
      <c r="G37" s="54" t="str" cm="1">
        <f t="array" ref="G37">IF($O37="","",INDEX('Daily Data'!$AC$4:$AC$503,$O37))</f>
        <v/>
      </c>
      <c r="H37" s="42" t="str" cm="1">
        <f t="array" ref="H37">IF($O37="","",INDEX('Daily Data'!$AD$4:$AD$503,$O37))</f>
        <v/>
      </c>
      <c r="I37" s="42" t="str" cm="1">
        <f t="array" ref="I37">IF($O37="","",INDEX('Daily Data'!$AE$4:$AE$503,$O37))</f>
        <v/>
      </c>
      <c r="J37" s="49" t="str" cm="1">
        <f t="array" ref="J37">IF($O37="","",INDEX('Daily Data'!$AH$4:$AH$503,$O37))</f>
        <v/>
      </c>
      <c r="K37" s="50" t="str" cm="1">
        <f t="array" ref="K37">IF($O37="","",INDEX('Daily Data'!$AG$4:$AG$503,$O37))</f>
        <v/>
      </c>
      <c r="L37" s="9" t="str">
        <f>IF($O37="","No Observation",IF(OR(N($K37)&lt;Settings!$C$30,N($E37)&lt;Settings!$C$25),"Illiquid",IF(OR($D37="",$C37=""),"Insufficient Data",IF($D37&gt;Settings!$C$51,"Strong Acceleration",IF($D37&gt;Settings!$C$52,"Improving",IF($D37&lt;Settings!$C$54,"Strong Deterioration",IF($D37&lt;Settings!$C$53,"Weakening","Neutral")))))))</f>
        <v>No Observation</v>
      </c>
      <c r="M37" s="122" t="str" cm="1">
        <f t="array" ref="M37">IF($N37&lt;&gt;1,"",SUMPRODUCT(($N$6:$N$45=1)*($D$6:$D$45&gt;$D37))+1)</f>
        <v/>
      </c>
      <c r="N37" s="123">
        <f t="shared" si="0"/>
        <v>0</v>
      </c>
      <c r="O37" s="70" t="str">
        <f>IF($A37="","",IFERROR(MATCH($A37&amp;"|"&amp;TEXT($B$3,"yyyy-mm-dd"),'Daily Data'!$AU$4:$AU$503,0),""))</f>
        <v/>
      </c>
    </row>
    <row r="38" spans="1:15" x14ac:dyDescent="0.3">
      <c r="A38" s="38" t="str">
        <f>IF(Symbols!A36="","",Symbols!A36)</f>
        <v/>
      </c>
      <c r="B38" s="54" t="str" cm="1">
        <f t="array" ref="B38">IF($O38="","",INDEX('Daily Data'!$S$4:$S$503,$O38))</f>
        <v/>
      </c>
      <c r="C38" s="54" t="str" cm="1">
        <f t="array" ref="C38">IF($O38="","",INDEX('Daily Data'!$Z$4:$Z$503,$O38))</f>
        <v/>
      </c>
      <c r="D38" s="42" t="str" cm="1">
        <f t="array" ref="D38">IF($O38="","",INDEX('Daily Data'!$AA$4:$AA$503,$O38))</f>
        <v/>
      </c>
      <c r="E38" s="39" t="str" cm="1">
        <f t="array" ref="E38">IF($O38="","",INDEX('Daily Data'!$K$4:$K$503,$O38))</f>
        <v/>
      </c>
      <c r="F38" s="39" t="str" cm="1">
        <f t="array" ref="F38">IF($O38="","",INDEX('Daily Data'!$AB$4:$AB$503,$O38))</f>
        <v/>
      </c>
      <c r="G38" s="54" t="str" cm="1">
        <f t="array" ref="G38">IF($O38="","",INDEX('Daily Data'!$AC$4:$AC$503,$O38))</f>
        <v/>
      </c>
      <c r="H38" s="42" t="str" cm="1">
        <f t="array" ref="H38">IF($O38="","",INDEX('Daily Data'!$AD$4:$AD$503,$O38))</f>
        <v/>
      </c>
      <c r="I38" s="42" t="str" cm="1">
        <f t="array" ref="I38">IF($O38="","",INDEX('Daily Data'!$AE$4:$AE$503,$O38))</f>
        <v/>
      </c>
      <c r="J38" s="49" t="str" cm="1">
        <f t="array" ref="J38">IF($O38="","",INDEX('Daily Data'!$AH$4:$AH$503,$O38))</f>
        <v/>
      </c>
      <c r="K38" s="50" t="str" cm="1">
        <f t="array" ref="K38">IF($O38="","",INDEX('Daily Data'!$AG$4:$AG$503,$O38))</f>
        <v/>
      </c>
      <c r="L38" s="9" t="str">
        <f>IF($O38="","No Observation",IF(OR(N($K38)&lt;Settings!$C$30,N($E38)&lt;Settings!$C$25),"Illiquid",IF(OR($D38="",$C38=""),"Insufficient Data",IF($D38&gt;Settings!$C$51,"Strong Acceleration",IF($D38&gt;Settings!$C$52,"Improving",IF($D38&lt;Settings!$C$54,"Strong Deterioration",IF($D38&lt;Settings!$C$53,"Weakening","Neutral")))))))</f>
        <v>No Observation</v>
      </c>
      <c r="M38" s="122" t="str" cm="1">
        <f t="array" ref="M38">IF($N38&lt;&gt;1,"",SUMPRODUCT(($N$6:$N$45=1)*($D$6:$D$45&gt;$D38))+1)</f>
        <v/>
      </c>
      <c r="N38" s="123">
        <f t="shared" si="0"/>
        <v>0</v>
      </c>
      <c r="O38" s="70" t="str">
        <f>IF($A38="","",IFERROR(MATCH($A38&amp;"|"&amp;TEXT($B$3,"yyyy-mm-dd"),'Daily Data'!$AU$4:$AU$503,0),""))</f>
        <v/>
      </c>
    </row>
    <row r="39" spans="1:15" x14ac:dyDescent="0.3">
      <c r="A39" s="38" t="str">
        <f>IF(Symbols!A37="","",Symbols!A37)</f>
        <v/>
      </c>
      <c r="B39" s="54" t="str" cm="1">
        <f t="array" ref="B39">IF($O39="","",INDEX('Daily Data'!$S$4:$S$503,$O39))</f>
        <v/>
      </c>
      <c r="C39" s="54" t="str" cm="1">
        <f t="array" ref="C39">IF($O39="","",INDEX('Daily Data'!$Z$4:$Z$503,$O39))</f>
        <v/>
      </c>
      <c r="D39" s="42" t="str" cm="1">
        <f t="array" ref="D39">IF($O39="","",INDEX('Daily Data'!$AA$4:$AA$503,$O39))</f>
        <v/>
      </c>
      <c r="E39" s="39" t="str" cm="1">
        <f t="array" ref="E39">IF($O39="","",INDEX('Daily Data'!$K$4:$K$503,$O39))</f>
        <v/>
      </c>
      <c r="F39" s="39" t="str" cm="1">
        <f t="array" ref="F39">IF($O39="","",INDEX('Daily Data'!$AB$4:$AB$503,$O39))</f>
        <v/>
      </c>
      <c r="G39" s="54" t="str" cm="1">
        <f t="array" ref="G39">IF($O39="","",INDEX('Daily Data'!$AC$4:$AC$503,$O39))</f>
        <v/>
      </c>
      <c r="H39" s="42" t="str" cm="1">
        <f t="array" ref="H39">IF($O39="","",INDEX('Daily Data'!$AD$4:$AD$503,$O39))</f>
        <v/>
      </c>
      <c r="I39" s="42" t="str" cm="1">
        <f t="array" ref="I39">IF($O39="","",INDEX('Daily Data'!$AE$4:$AE$503,$O39))</f>
        <v/>
      </c>
      <c r="J39" s="49" t="str" cm="1">
        <f t="array" ref="J39">IF($O39="","",INDEX('Daily Data'!$AH$4:$AH$503,$O39))</f>
        <v/>
      </c>
      <c r="K39" s="50" t="str" cm="1">
        <f t="array" ref="K39">IF($O39="","",INDEX('Daily Data'!$AG$4:$AG$503,$O39))</f>
        <v/>
      </c>
      <c r="L39" s="9" t="str">
        <f>IF($O39="","No Observation",IF(OR(N($K39)&lt;Settings!$C$30,N($E39)&lt;Settings!$C$25),"Illiquid",IF(OR($D39="",$C39=""),"Insufficient Data",IF($D39&gt;Settings!$C$51,"Strong Acceleration",IF($D39&gt;Settings!$C$52,"Improving",IF($D39&lt;Settings!$C$54,"Strong Deterioration",IF($D39&lt;Settings!$C$53,"Weakening","Neutral")))))))</f>
        <v>No Observation</v>
      </c>
      <c r="M39" s="122" t="str" cm="1">
        <f t="array" ref="M39">IF($N39&lt;&gt;1,"",SUMPRODUCT(($N$6:$N$45=1)*($D$6:$D$45&gt;$D39))+1)</f>
        <v/>
      </c>
      <c r="N39" s="123">
        <f t="shared" si="0"/>
        <v>0</v>
      </c>
      <c r="O39" s="70" t="str">
        <f>IF($A39="","",IFERROR(MATCH($A39&amp;"|"&amp;TEXT($B$3,"yyyy-mm-dd"),'Daily Data'!$AU$4:$AU$503,0),""))</f>
        <v/>
      </c>
    </row>
    <row r="40" spans="1:15" x14ac:dyDescent="0.3">
      <c r="A40" s="38" t="str">
        <f>IF(Symbols!A38="","",Symbols!A38)</f>
        <v/>
      </c>
      <c r="B40" s="54" t="str" cm="1">
        <f t="array" ref="B40">IF($O40="","",INDEX('Daily Data'!$S$4:$S$503,$O40))</f>
        <v/>
      </c>
      <c r="C40" s="54" t="str" cm="1">
        <f t="array" ref="C40">IF($O40="","",INDEX('Daily Data'!$Z$4:$Z$503,$O40))</f>
        <v/>
      </c>
      <c r="D40" s="42" t="str" cm="1">
        <f t="array" ref="D40">IF($O40="","",INDEX('Daily Data'!$AA$4:$AA$503,$O40))</f>
        <v/>
      </c>
      <c r="E40" s="39" t="str" cm="1">
        <f t="array" ref="E40">IF($O40="","",INDEX('Daily Data'!$K$4:$K$503,$O40))</f>
        <v/>
      </c>
      <c r="F40" s="39" t="str" cm="1">
        <f t="array" ref="F40">IF($O40="","",INDEX('Daily Data'!$AB$4:$AB$503,$O40))</f>
        <v/>
      </c>
      <c r="G40" s="54" t="str" cm="1">
        <f t="array" ref="G40">IF($O40="","",INDEX('Daily Data'!$AC$4:$AC$503,$O40))</f>
        <v/>
      </c>
      <c r="H40" s="42" t="str" cm="1">
        <f t="array" ref="H40">IF($O40="","",INDEX('Daily Data'!$AD$4:$AD$503,$O40))</f>
        <v/>
      </c>
      <c r="I40" s="42" t="str" cm="1">
        <f t="array" ref="I40">IF($O40="","",INDEX('Daily Data'!$AE$4:$AE$503,$O40))</f>
        <v/>
      </c>
      <c r="J40" s="49" t="str" cm="1">
        <f t="array" ref="J40">IF($O40="","",INDEX('Daily Data'!$AH$4:$AH$503,$O40))</f>
        <v/>
      </c>
      <c r="K40" s="50" t="str" cm="1">
        <f t="array" ref="K40">IF($O40="","",INDEX('Daily Data'!$AG$4:$AG$503,$O40))</f>
        <v/>
      </c>
      <c r="L40" s="9" t="str">
        <f>IF($O40="","No Observation",IF(OR(N($K40)&lt;Settings!$C$30,N($E40)&lt;Settings!$C$25),"Illiquid",IF(OR($D40="",$C40=""),"Insufficient Data",IF($D40&gt;Settings!$C$51,"Strong Acceleration",IF($D40&gt;Settings!$C$52,"Improving",IF($D40&lt;Settings!$C$54,"Strong Deterioration",IF($D40&lt;Settings!$C$53,"Weakening","Neutral")))))))</f>
        <v>No Observation</v>
      </c>
      <c r="M40" s="122" t="str" cm="1">
        <f t="array" ref="M40">IF($N40&lt;&gt;1,"",SUMPRODUCT(($N$6:$N$45=1)*($D$6:$D$45&gt;$D40))+1)</f>
        <v/>
      </c>
      <c r="N40" s="123">
        <f t="shared" si="0"/>
        <v>0</v>
      </c>
      <c r="O40" s="70" t="str">
        <f>IF($A40="","",IFERROR(MATCH($A40&amp;"|"&amp;TEXT($B$3,"yyyy-mm-dd"),'Daily Data'!$AU$4:$AU$503,0),""))</f>
        <v/>
      </c>
    </row>
    <row r="41" spans="1:15" x14ac:dyDescent="0.3">
      <c r="A41" s="38" t="str">
        <f>IF(Symbols!A39="","",Symbols!A39)</f>
        <v/>
      </c>
      <c r="B41" s="54" t="str" cm="1">
        <f t="array" ref="B41">IF($O41="","",INDEX('Daily Data'!$S$4:$S$503,$O41))</f>
        <v/>
      </c>
      <c r="C41" s="54" t="str" cm="1">
        <f t="array" ref="C41">IF($O41="","",INDEX('Daily Data'!$Z$4:$Z$503,$O41))</f>
        <v/>
      </c>
      <c r="D41" s="42" t="str" cm="1">
        <f t="array" ref="D41">IF($O41="","",INDEX('Daily Data'!$AA$4:$AA$503,$O41))</f>
        <v/>
      </c>
      <c r="E41" s="39" t="str" cm="1">
        <f t="array" ref="E41">IF($O41="","",INDEX('Daily Data'!$K$4:$K$503,$O41))</f>
        <v/>
      </c>
      <c r="F41" s="39" t="str" cm="1">
        <f t="array" ref="F41">IF($O41="","",INDEX('Daily Data'!$AB$4:$AB$503,$O41))</f>
        <v/>
      </c>
      <c r="G41" s="54" t="str" cm="1">
        <f t="array" ref="G41">IF($O41="","",INDEX('Daily Data'!$AC$4:$AC$503,$O41))</f>
        <v/>
      </c>
      <c r="H41" s="42" t="str" cm="1">
        <f t="array" ref="H41">IF($O41="","",INDEX('Daily Data'!$AD$4:$AD$503,$O41))</f>
        <v/>
      </c>
      <c r="I41" s="42" t="str" cm="1">
        <f t="array" ref="I41">IF($O41="","",INDEX('Daily Data'!$AE$4:$AE$503,$O41))</f>
        <v/>
      </c>
      <c r="J41" s="49" t="str" cm="1">
        <f t="array" ref="J41">IF($O41="","",INDEX('Daily Data'!$AH$4:$AH$503,$O41))</f>
        <v/>
      </c>
      <c r="K41" s="50" t="str" cm="1">
        <f t="array" ref="K41">IF($O41="","",INDEX('Daily Data'!$AG$4:$AG$503,$O41))</f>
        <v/>
      </c>
      <c r="L41" s="9" t="str">
        <f>IF($O41="","No Observation",IF(OR(N($K41)&lt;Settings!$C$30,N($E41)&lt;Settings!$C$25),"Illiquid",IF(OR($D41="",$C41=""),"Insufficient Data",IF($D41&gt;Settings!$C$51,"Strong Acceleration",IF($D41&gt;Settings!$C$52,"Improving",IF($D41&lt;Settings!$C$54,"Strong Deterioration",IF($D41&lt;Settings!$C$53,"Weakening","Neutral")))))))</f>
        <v>No Observation</v>
      </c>
      <c r="M41" s="122" t="str" cm="1">
        <f t="array" ref="M41">IF($N41&lt;&gt;1,"",SUMPRODUCT(($N$6:$N$45=1)*($D$6:$D$45&gt;$D41))+1)</f>
        <v/>
      </c>
      <c r="N41" s="123">
        <f t="shared" si="0"/>
        <v>0</v>
      </c>
      <c r="O41" s="70" t="str">
        <f>IF($A41="","",IFERROR(MATCH($A41&amp;"|"&amp;TEXT($B$3,"yyyy-mm-dd"),'Daily Data'!$AU$4:$AU$503,0),""))</f>
        <v/>
      </c>
    </row>
    <row r="42" spans="1:15" x14ac:dyDescent="0.3">
      <c r="A42" s="38" t="str">
        <f>IF(Symbols!A40="","",Symbols!A40)</f>
        <v/>
      </c>
      <c r="B42" s="54" t="str" cm="1">
        <f t="array" ref="B42">IF($O42="","",INDEX('Daily Data'!$S$4:$S$503,$O42))</f>
        <v/>
      </c>
      <c r="C42" s="54" t="str" cm="1">
        <f t="array" ref="C42">IF($O42="","",INDEX('Daily Data'!$Z$4:$Z$503,$O42))</f>
        <v/>
      </c>
      <c r="D42" s="42" t="str" cm="1">
        <f t="array" ref="D42">IF($O42="","",INDEX('Daily Data'!$AA$4:$AA$503,$O42))</f>
        <v/>
      </c>
      <c r="E42" s="39" t="str" cm="1">
        <f t="array" ref="E42">IF($O42="","",INDEX('Daily Data'!$K$4:$K$503,$O42))</f>
        <v/>
      </c>
      <c r="F42" s="39" t="str" cm="1">
        <f t="array" ref="F42">IF($O42="","",INDEX('Daily Data'!$AB$4:$AB$503,$O42))</f>
        <v/>
      </c>
      <c r="G42" s="54" t="str" cm="1">
        <f t="array" ref="G42">IF($O42="","",INDEX('Daily Data'!$AC$4:$AC$503,$O42))</f>
        <v/>
      </c>
      <c r="H42" s="42" t="str" cm="1">
        <f t="array" ref="H42">IF($O42="","",INDEX('Daily Data'!$AD$4:$AD$503,$O42))</f>
        <v/>
      </c>
      <c r="I42" s="42" t="str" cm="1">
        <f t="array" ref="I42">IF($O42="","",INDEX('Daily Data'!$AE$4:$AE$503,$O42))</f>
        <v/>
      </c>
      <c r="J42" s="49" t="str" cm="1">
        <f t="array" ref="J42">IF($O42="","",INDEX('Daily Data'!$AH$4:$AH$503,$O42))</f>
        <v/>
      </c>
      <c r="K42" s="50" t="str" cm="1">
        <f t="array" ref="K42">IF($O42="","",INDEX('Daily Data'!$AG$4:$AG$503,$O42))</f>
        <v/>
      </c>
      <c r="L42" s="9" t="str">
        <f>IF($O42="","No Observation",IF(OR(N($K42)&lt;Settings!$C$30,N($E42)&lt;Settings!$C$25),"Illiquid",IF(OR($D42="",$C42=""),"Insufficient Data",IF($D42&gt;Settings!$C$51,"Strong Acceleration",IF($D42&gt;Settings!$C$52,"Improving",IF($D42&lt;Settings!$C$54,"Strong Deterioration",IF($D42&lt;Settings!$C$53,"Weakening","Neutral")))))))</f>
        <v>No Observation</v>
      </c>
      <c r="M42" s="122" t="str" cm="1">
        <f t="array" ref="M42">IF($N42&lt;&gt;1,"",SUMPRODUCT(($N$6:$N$45=1)*($D$6:$D$45&gt;$D42))+1)</f>
        <v/>
      </c>
      <c r="N42" s="123">
        <f t="shared" si="0"/>
        <v>0</v>
      </c>
      <c r="O42" s="70" t="str">
        <f>IF($A42="","",IFERROR(MATCH($A42&amp;"|"&amp;TEXT($B$3,"yyyy-mm-dd"),'Daily Data'!$AU$4:$AU$503,0),""))</f>
        <v/>
      </c>
    </row>
    <row r="43" spans="1:15" x14ac:dyDescent="0.3">
      <c r="A43" s="38" t="str">
        <f>IF(Symbols!A41="","",Symbols!A41)</f>
        <v/>
      </c>
      <c r="B43" s="54" t="str" cm="1">
        <f t="array" ref="B43">IF($O43="","",INDEX('Daily Data'!$S$4:$S$503,$O43))</f>
        <v/>
      </c>
      <c r="C43" s="54" t="str" cm="1">
        <f t="array" ref="C43">IF($O43="","",INDEX('Daily Data'!$Z$4:$Z$503,$O43))</f>
        <v/>
      </c>
      <c r="D43" s="42" t="str" cm="1">
        <f t="array" ref="D43">IF($O43="","",INDEX('Daily Data'!$AA$4:$AA$503,$O43))</f>
        <v/>
      </c>
      <c r="E43" s="39" t="str" cm="1">
        <f t="array" ref="E43">IF($O43="","",INDEX('Daily Data'!$K$4:$K$503,$O43))</f>
        <v/>
      </c>
      <c r="F43" s="39" t="str" cm="1">
        <f t="array" ref="F43">IF($O43="","",INDEX('Daily Data'!$AB$4:$AB$503,$O43))</f>
        <v/>
      </c>
      <c r="G43" s="54" t="str" cm="1">
        <f t="array" ref="G43">IF($O43="","",INDEX('Daily Data'!$AC$4:$AC$503,$O43))</f>
        <v/>
      </c>
      <c r="H43" s="42" t="str" cm="1">
        <f t="array" ref="H43">IF($O43="","",INDEX('Daily Data'!$AD$4:$AD$503,$O43))</f>
        <v/>
      </c>
      <c r="I43" s="42" t="str" cm="1">
        <f t="array" ref="I43">IF($O43="","",INDEX('Daily Data'!$AE$4:$AE$503,$O43))</f>
        <v/>
      </c>
      <c r="J43" s="49" t="str" cm="1">
        <f t="array" ref="J43">IF($O43="","",INDEX('Daily Data'!$AH$4:$AH$503,$O43))</f>
        <v/>
      </c>
      <c r="K43" s="50" t="str" cm="1">
        <f t="array" ref="K43">IF($O43="","",INDEX('Daily Data'!$AG$4:$AG$503,$O43))</f>
        <v/>
      </c>
      <c r="L43" s="9" t="str">
        <f>IF($O43="","No Observation",IF(OR(N($K43)&lt;Settings!$C$30,N($E43)&lt;Settings!$C$25),"Illiquid",IF(OR($D43="",$C43=""),"Insufficient Data",IF($D43&gt;Settings!$C$51,"Strong Acceleration",IF($D43&gt;Settings!$C$52,"Improving",IF($D43&lt;Settings!$C$54,"Strong Deterioration",IF($D43&lt;Settings!$C$53,"Weakening","Neutral")))))))</f>
        <v>No Observation</v>
      </c>
      <c r="M43" s="122" t="str" cm="1">
        <f t="array" ref="M43">IF($N43&lt;&gt;1,"",SUMPRODUCT(($N$6:$N$45=1)*($D$6:$D$45&gt;$D43))+1)</f>
        <v/>
      </c>
      <c r="N43" s="123">
        <f t="shared" si="0"/>
        <v>0</v>
      </c>
      <c r="O43" s="70" t="str">
        <f>IF($A43="","",IFERROR(MATCH($A43&amp;"|"&amp;TEXT($B$3,"yyyy-mm-dd"),'Daily Data'!$AU$4:$AU$503,0),""))</f>
        <v/>
      </c>
    </row>
    <row r="44" spans="1:15" x14ac:dyDescent="0.3">
      <c r="A44" s="38" t="str">
        <f>IF(Symbols!A42="","",Symbols!A42)</f>
        <v/>
      </c>
      <c r="B44" s="54" t="str" cm="1">
        <f t="array" ref="B44">IF($O44="","",INDEX('Daily Data'!$S$4:$S$503,$O44))</f>
        <v/>
      </c>
      <c r="C44" s="54" t="str" cm="1">
        <f t="array" ref="C44">IF($O44="","",INDEX('Daily Data'!$Z$4:$Z$503,$O44))</f>
        <v/>
      </c>
      <c r="D44" s="42" t="str" cm="1">
        <f t="array" ref="D44">IF($O44="","",INDEX('Daily Data'!$AA$4:$AA$503,$O44))</f>
        <v/>
      </c>
      <c r="E44" s="39" t="str" cm="1">
        <f t="array" ref="E44">IF($O44="","",INDEX('Daily Data'!$K$4:$K$503,$O44))</f>
        <v/>
      </c>
      <c r="F44" s="39" t="str" cm="1">
        <f t="array" ref="F44">IF($O44="","",INDEX('Daily Data'!$AB$4:$AB$503,$O44))</f>
        <v/>
      </c>
      <c r="G44" s="54" t="str" cm="1">
        <f t="array" ref="G44">IF($O44="","",INDEX('Daily Data'!$AC$4:$AC$503,$O44))</f>
        <v/>
      </c>
      <c r="H44" s="42" t="str" cm="1">
        <f t="array" ref="H44">IF($O44="","",INDEX('Daily Data'!$AD$4:$AD$503,$O44))</f>
        <v/>
      </c>
      <c r="I44" s="42" t="str" cm="1">
        <f t="array" ref="I44">IF($O44="","",INDEX('Daily Data'!$AE$4:$AE$503,$O44))</f>
        <v/>
      </c>
      <c r="J44" s="49" t="str" cm="1">
        <f t="array" ref="J44">IF($O44="","",INDEX('Daily Data'!$AH$4:$AH$503,$O44))</f>
        <v/>
      </c>
      <c r="K44" s="50" t="str" cm="1">
        <f t="array" ref="K44">IF($O44="","",INDEX('Daily Data'!$AG$4:$AG$503,$O44))</f>
        <v/>
      </c>
      <c r="L44" s="9" t="str">
        <f>IF($O44="","No Observation",IF(OR(N($K44)&lt;Settings!$C$30,N($E44)&lt;Settings!$C$25),"Illiquid",IF(OR($D44="",$C44=""),"Insufficient Data",IF($D44&gt;Settings!$C$51,"Strong Acceleration",IF($D44&gt;Settings!$C$52,"Improving",IF($D44&lt;Settings!$C$54,"Strong Deterioration",IF($D44&lt;Settings!$C$53,"Weakening","Neutral")))))))</f>
        <v>No Observation</v>
      </c>
      <c r="M44" s="122" t="str" cm="1">
        <f t="array" ref="M44">IF($N44&lt;&gt;1,"",SUMPRODUCT(($N$6:$N$45=1)*($D$6:$D$45&gt;$D44))+1)</f>
        <v/>
      </c>
      <c r="N44" s="123">
        <f t="shared" si="0"/>
        <v>0</v>
      </c>
      <c r="O44" s="70" t="str">
        <f>IF($A44="","",IFERROR(MATCH($A44&amp;"|"&amp;TEXT($B$3,"yyyy-mm-dd"),'Daily Data'!$AU$4:$AU$503,0),""))</f>
        <v/>
      </c>
    </row>
    <row r="45" spans="1:15" x14ac:dyDescent="0.3">
      <c r="A45" s="40" t="str">
        <f>IF(Symbols!A43="","",Symbols!A43)</f>
        <v/>
      </c>
      <c r="B45" s="74" t="str" cm="1">
        <f t="array" ref="B45">IF($O45="","",INDEX('Daily Data'!$S$4:$S$503,$O45))</f>
        <v/>
      </c>
      <c r="C45" s="74" t="str" cm="1">
        <f t="array" ref="C45">IF($O45="","",INDEX('Daily Data'!$Z$4:$Z$503,$O45))</f>
        <v/>
      </c>
      <c r="D45" s="43" t="str" cm="1">
        <f t="array" ref="D45">IF($O45="","",INDEX('Daily Data'!$AA$4:$AA$503,$O45))</f>
        <v/>
      </c>
      <c r="E45" s="41" t="str" cm="1">
        <f t="array" ref="E45">IF($O45="","",INDEX('Daily Data'!$K$4:$K$503,$O45))</f>
        <v/>
      </c>
      <c r="F45" s="41" t="str" cm="1">
        <f t="array" ref="F45">IF($O45="","",INDEX('Daily Data'!$AB$4:$AB$503,$O45))</f>
        <v/>
      </c>
      <c r="G45" s="74" t="str" cm="1">
        <f t="array" ref="G45">IF($O45="","",INDEX('Daily Data'!$AC$4:$AC$503,$O45))</f>
        <v/>
      </c>
      <c r="H45" s="43" t="str" cm="1">
        <f t="array" ref="H45">IF($O45="","",INDEX('Daily Data'!$AD$4:$AD$503,$O45))</f>
        <v/>
      </c>
      <c r="I45" s="43" t="str" cm="1">
        <f t="array" ref="I45">IF($O45="","",INDEX('Daily Data'!$AE$4:$AE$503,$O45))</f>
        <v/>
      </c>
      <c r="J45" s="75" t="str" cm="1">
        <f t="array" ref="J45">IF($O45="","",INDEX('Daily Data'!$AH$4:$AH$503,$O45))</f>
        <v/>
      </c>
      <c r="K45" s="56" t="str" cm="1">
        <f t="array" ref="K45">IF($O45="","",INDEX('Daily Data'!$AG$4:$AG$503,$O45))</f>
        <v/>
      </c>
      <c r="L45" s="12" t="str">
        <f>IF($O45="","No Observation",IF(OR(N($K45)&lt;Settings!$C$30,N($E45)&lt;Settings!$C$25),"Illiquid",IF(OR($D45="",$C45=""),"Insufficient Data",IF($D45&gt;Settings!$C$51,"Strong Acceleration",IF($D45&gt;Settings!$C$52,"Improving",IF($D45&lt;Settings!$C$54,"Strong Deterioration",IF($D45&lt;Settings!$C$53,"Weakening","Neutral")))))))</f>
        <v>No Observation</v>
      </c>
      <c r="M45" s="124" t="str" cm="1">
        <f t="array" ref="M45">IF($N45&lt;&gt;1,"",SUMPRODUCT(($N$6:$N$45=1)*($D$6:$D$45&gt;$D45))+1)</f>
        <v/>
      </c>
      <c r="N45" s="125">
        <f t="shared" si="0"/>
        <v>0</v>
      </c>
      <c r="O45" s="76" t="str">
        <f>IF($A45="","",IFERROR(MATCH($A45&amp;"|"&amp;TEXT($B$3,"yyyy-mm-dd"),'Daily Data'!$AU$4:$AU$503,0),""))</f>
        <v/>
      </c>
    </row>
  </sheetData>
  <sheetProtection algorithmName="SHA-512" hashValue="Fw0OxmXlCMXEYaSWCjYoSHal8wI8NnmsV5DgAfpagRVyHK+peckVB+zVuM2i/2pL8iOnrgO9iSQDZw0Jfiedag==" saltValue="A+Zl54wluodlcYMsnv0BXw==" spinCount="100000" sheet="1" objects="1" scenarios="1" sort="0" autoFilter="0"/>
  <conditionalFormatting sqref="L6:L45">
    <cfRule type="containsText" dxfId="53" priority="1" operator="containsText" text="Strong Acceleration">
      <formula>NOT(ISERROR(SEARCH("Strong Acceleration",L6)))</formula>
    </cfRule>
  </conditionalFormatting>
  <conditionalFormatting sqref="L6:L45">
    <cfRule type="containsText" dxfId="52" priority="2" operator="containsText" text="Improving">
      <formula>NOT(ISERROR(SEARCH("Improving",L6)))</formula>
    </cfRule>
  </conditionalFormatting>
  <conditionalFormatting sqref="L6:L45">
    <cfRule type="containsText" dxfId="51" priority="3" operator="containsText" text="Weakening">
      <formula>NOT(ISERROR(SEARCH("Weakening",L6)))</formula>
    </cfRule>
  </conditionalFormatting>
  <conditionalFormatting sqref="L6:L45">
    <cfRule type="containsText" dxfId="50" priority="4" operator="containsText" text="Strong Deterioration">
      <formula>NOT(ISERROR(SEARCH("Strong Deterioration",L6)))</formula>
    </cfRule>
  </conditionalFormatting>
  <conditionalFormatting sqref="L6:L45">
    <cfRule type="containsText" dxfId="49" priority="5" operator="containsText" text="Illiquid">
      <formula>NOT(ISERROR(SEARCH("Illiquid",L6)))</formula>
    </cfRule>
  </conditionalFormatting>
  <conditionalFormatting sqref="L6:L45">
    <cfRule type="containsText" dxfId="48" priority="6" operator="containsText" text="Insufficient Data">
      <formula>NOT(ISERROR(SEARCH("Insufficient Data",L6)))</formula>
    </cfRule>
  </conditionalFormatting>
  <conditionalFormatting sqref="D6:D45">
    <cfRule type="cellIs" dxfId="47" priority="7" operator="greaterThan">
      <formula>0</formula>
    </cfRule>
  </conditionalFormatting>
  <conditionalFormatting sqref="D6:D45">
    <cfRule type="cellIs" dxfId="46" priority="8" operator="lessThan">
      <formula>0</formula>
    </cfRule>
  </conditionalFormatting>
  <conditionalFormatting sqref="H6:H45">
    <cfRule type="cellIs" dxfId="45" priority="9" operator="greaterThan">
      <formula>0</formula>
    </cfRule>
  </conditionalFormatting>
  <conditionalFormatting sqref="H6:H45">
    <cfRule type="cellIs" dxfId="44" priority="10" operator="lessThan">
      <formula>0</formula>
    </cfRule>
  </conditionalFormatting>
  <conditionalFormatting sqref="I6:I45">
    <cfRule type="cellIs" dxfId="43" priority="11" operator="greaterThan">
      <formula>0</formula>
    </cfRule>
  </conditionalFormatting>
  <conditionalFormatting sqref="I6:I45">
    <cfRule type="cellIs" dxfId="42" priority="12" operator="lessThan">
      <formula>0</formula>
    </cfRule>
  </conditionalFormatting>
  <conditionalFormatting sqref="J6:J45">
    <cfRule type="colorScale" priority="13">
      <colorScale>
        <cfvo type="num" val="0"/>
        <cfvo type="num" val="50"/>
        <cfvo type="num" val="100"/>
        <color rgb="FFE8A6A0"/>
        <color rgb="FFFFF2CC"/>
        <color rgb="FFA9D5B2"/>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43E2-0270-4A9C-80A3-A0E8E8B88284}">
  <dimension ref="A1:AE57"/>
  <sheetViews>
    <sheetView workbookViewId="0"/>
  </sheetViews>
  <sheetFormatPr defaultRowHeight="14.4" x14ac:dyDescent="0.3"/>
  <cols>
    <col min="1" max="1" width="42.5546875" customWidth="1"/>
    <col min="2" max="4" width="25.88671875" customWidth="1"/>
    <col min="5" max="5" width="13" customWidth="1"/>
    <col min="6" max="6" width="11.109375" customWidth="1"/>
    <col min="8" max="10" width="12.5546875" customWidth="1"/>
    <col min="12" max="14" width="12.5546875" customWidth="1"/>
    <col min="16" max="18" width="12.5546875" customWidth="1"/>
    <col min="20" max="22" width="12.5546875" customWidth="1"/>
  </cols>
  <sheetData>
    <row r="1" spans="1:6" ht="21" x14ac:dyDescent="0.4">
      <c r="A1" s="14" t="s">
        <v>253</v>
      </c>
    </row>
    <row r="2" spans="1:6" x14ac:dyDescent="0.3">
      <c r="A2" s="2" t="s">
        <v>254</v>
      </c>
    </row>
    <row r="4" spans="1:6" x14ac:dyDescent="0.3">
      <c r="A4" s="32" t="s">
        <v>255</v>
      </c>
      <c r="B4" s="34" t="str">
        <f>Settings!$C$15</f>
        <v>CRDB</v>
      </c>
      <c r="C4" t="str">
        <f>IFERROR(INDEX(Symbols!$B$4:$B$43,MATCH($B$4,Symbols!$A$4:$A$43,0)),"— not in Symbols master —")</f>
        <v>CRDB Bank PLC</v>
      </c>
      <c r="E4" s="57" t="s">
        <v>257</v>
      </c>
      <c r="F4" s="57">
        <f>IFERROR(MATCH($B$4&amp;"|"&amp;TEXT($B$6,"yyyy-mm-dd"),'Daily Data'!$AU$4:$AU$503,0),"")</f>
        <v>120</v>
      </c>
    </row>
    <row r="5" spans="1:6" x14ac:dyDescent="0.3">
      <c r="A5" s="32" t="s">
        <v>256</v>
      </c>
      <c r="B5" s="34" t="str">
        <f>Settings!$C$16</f>
        <v>NMB</v>
      </c>
      <c r="C5" t="str">
        <f>IFERROR(INDEX(Symbols!$B$4:$B$43,MATCH($B$5,Symbols!$A$4:$A$43,0)),"— not in Symbols master —")</f>
        <v>NMB Bank PLC</v>
      </c>
      <c r="E5" s="57" t="s">
        <v>258</v>
      </c>
      <c r="F5" s="57">
        <f>IFERROR(MATCH($B$5&amp;"|"&amp;TEXT($B$6,"yyyy-mm-dd"),'Daily Data'!$AU$4:$AU$503,0),"")</f>
        <v>133</v>
      </c>
    </row>
    <row r="6" spans="1:6" x14ac:dyDescent="0.3">
      <c r="A6" s="32" t="s">
        <v>195</v>
      </c>
      <c r="B6" s="35">
        <f>Settings!$C$13</f>
        <v>46248</v>
      </c>
    </row>
    <row r="8" spans="1:6" x14ac:dyDescent="0.3">
      <c r="A8" s="17" t="s">
        <v>259</v>
      </c>
      <c r="B8" s="17" t="str">
        <f>IF($B$4="","Security A",$B$4)</f>
        <v>CRDB</v>
      </c>
      <c r="C8" s="17" t="str">
        <f>IF($B$5="","Security B",$B$5)</f>
        <v>NMB</v>
      </c>
      <c r="D8" s="17" t="s">
        <v>260</v>
      </c>
    </row>
    <row r="9" spans="1:6" x14ac:dyDescent="0.3">
      <c r="A9" s="38" t="s">
        <v>261</v>
      </c>
      <c r="B9" s="135" cm="1">
        <f t="array" ref="B9">IF($F$4="","",INDEX('Daily Data'!$E$4:$E$503,$F$4))</f>
        <v>2700</v>
      </c>
      <c r="C9" s="135" cm="1">
        <f t="array" ref="C9">IF($F$5="","",INDEX('Daily Data'!$E$4:$E$503,$F$5))</f>
        <v>17700</v>
      </c>
      <c r="D9" s="135">
        <f>IF(OR(NOT(ISNUMBER($B9)),NOT(ISNUMBER($C9))),"",$B9-$C9)</f>
        <v>-15000</v>
      </c>
    </row>
    <row r="10" spans="1:6" x14ac:dyDescent="0.3">
      <c r="A10" s="136" t="s">
        <v>262</v>
      </c>
      <c r="B10" s="137" cm="1">
        <f t="array" ref="B10">IF($F$4="","",INDEX('Daily Data'!$N$4:$N$503,$F$4))</f>
        <v>7051960000000</v>
      </c>
      <c r="C10" s="137" cm="1">
        <f t="array" ref="C10">IF($F$5="","",INDEX('Daily Data'!$N$4:$N$503,$F$5))</f>
        <v>8850000000000</v>
      </c>
      <c r="D10" s="137">
        <f>IF(OR(NOT(ISNUMBER($B10)),NOT(ISNUMBER($C10))),"",$B10-$C10)</f>
        <v>-1798040000000</v>
      </c>
    </row>
    <row r="11" spans="1:6" x14ac:dyDescent="0.3">
      <c r="A11" s="9" t="s">
        <v>263</v>
      </c>
      <c r="B11" s="138" cm="1">
        <f t="array" ref="B11">IF($F$4="","",INDEX('Daily Data'!$H$4:$H$503,$F$4))</f>
        <v>0</v>
      </c>
      <c r="C11" s="138" cm="1">
        <f t="array" ref="C11">IF($F$5="","",INDEX('Daily Data'!$H$4:$H$503,$F$5))</f>
        <v>2.8328611898016387E-3</v>
      </c>
      <c r="D11" s="138">
        <f>IF(OR(NOT(ISNUMBER($B11)),NOT(ISNUMBER($C11))),"",$B11-$C11)</f>
        <v>-2.8328611898016387E-3</v>
      </c>
    </row>
    <row r="12" spans="1:6" x14ac:dyDescent="0.3">
      <c r="A12" s="139" t="s">
        <v>175</v>
      </c>
      <c r="B12" s="140" t="str" cm="1">
        <f t="array" ref="B12">IF($F$4="","",INDEX('Daily Data'!$AD$4:$AD$503,$F$4))</f>
        <v/>
      </c>
      <c r="C12" s="140" t="str" cm="1">
        <f t="array" ref="C12">IF($F$5="","",INDEX('Daily Data'!$AD$4:$AD$503,$F$5))</f>
        <v/>
      </c>
      <c r="D12" s="140" t="str">
        <f>IF(OR(NOT(ISNUMBER($B12)),NOT(ISNUMBER($C12))),"",$B12-$C12)</f>
        <v/>
      </c>
    </row>
    <row r="13" spans="1:6" x14ac:dyDescent="0.3">
      <c r="A13" s="9" t="s">
        <v>176</v>
      </c>
      <c r="B13" s="138" t="str" cm="1">
        <f t="array" ref="B13">IF($F$4="","",INDEX('Daily Data'!$AE$4:$AE$503,$F$4))</f>
        <v/>
      </c>
      <c r="C13" s="138" t="str" cm="1">
        <f t="array" ref="C13">IF($F$5="","",INDEX('Daily Data'!$AE$4:$AE$503,$F$5))</f>
        <v/>
      </c>
      <c r="D13" s="138" t="str">
        <f>IF(OR(NOT(ISNUMBER($B13)),NOT(ISNUMBER($C13))),"",$B13-$C13)</f>
        <v/>
      </c>
    </row>
    <row r="14" spans="1:6" x14ac:dyDescent="0.3">
      <c r="A14" s="139" t="s">
        <v>221</v>
      </c>
      <c r="B14" s="137" cm="1">
        <f t="array" ref="B14">IF($F$4="","",INDEX('Daily Data'!$I$4:$I$503,$F$4))</f>
        <v>1052659120</v>
      </c>
      <c r="C14" s="137" cm="1">
        <f t="array" ref="C14">IF($F$5="","",INDEX('Daily Data'!$I$4:$I$503,$F$5))</f>
        <v>3582788330</v>
      </c>
      <c r="D14" s="137">
        <f>IF(OR(NOT(ISNUMBER($B14)),NOT(ISNUMBER($C14))),"",$B14-$C14)</f>
        <v>-2530129210</v>
      </c>
    </row>
    <row r="15" spans="1:6" x14ac:dyDescent="0.3">
      <c r="A15" s="9" t="s">
        <v>156</v>
      </c>
      <c r="B15" s="141" cm="1">
        <f t="array" ref="B15">IF($F$4="","",INDEX('Daily Data'!$K$4:$K$503,$F$4))</f>
        <v>390325</v>
      </c>
      <c r="C15" s="141" cm="1">
        <f t="array" ref="C15">IF($F$5="","",INDEX('Daily Data'!$K$4:$K$503,$F$5))</f>
        <v>202667</v>
      </c>
      <c r="D15" s="141">
        <f>IF(OR(NOT(ISNUMBER($B15)),NOT(ISNUMBER($C15))),"",$B15-$C15)</f>
        <v>187658</v>
      </c>
    </row>
    <row r="16" spans="1:6" x14ac:dyDescent="0.3">
      <c r="A16" s="139" t="s">
        <v>174</v>
      </c>
      <c r="B16" s="142" t="str" cm="1">
        <f t="array" ref="B16">IF($F$4="","",INDEX('Daily Data'!$AC$4:$AC$503,$F$4))</f>
        <v/>
      </c>
      <c r="C16" s="142" t="str" cm="1">
        <f t="array" ref="C16">IF($F$5="","",INDEX('Daily Data'!$AC$4:$AC$503,$F$5))</f>
        <v/>
      </c>
      <c r="D16" s="142" t="str">
        <f>IF(OR(NOT(ISNUMBER($B16)),NOT(ISNUMBER($C16))),"",$B16-$C16)</f>
        <v/>
      </c>
    </row>
    <row r="17" spans="1:31" x14ac:dyDescent="0.3">
      <c r="A17" s="9" t="s">
        <v>157</v>
      </c>
      <c r="B17" s="141" cm="1">
        <f t="array" ref="B17">IF($F$4="","",INDEX('Daily Data'!$L$4:$L$503,$F$4))</f>
        <v>332026</v>
      </c>
      <c r="C17" s="141" cm="1">
        <f t="array" ref="C17">IF($F$5="","",INDEX('Daily Data'!$L$4:$L$503,$F$5))</f>
        <v>72424</v>
      </c>
      <c r="D17" s="141">
        <f>IF(OR(NOT(ISNUMBER($B17)),NOT(ISNUMBER($C17))),"",$B17-$C17)</f>
        <v>259602</v>
      </c>
    </row>
    <row r="18" spans="1:31" x14ac:dyDescent="0.3">
      <c r="A18" s="139" t="s">
        <v>158</v>
      </c>
      <c r="B18" s="137" cm="1">
        <f t="array" ref="B18">IF($F$4="","",INDEX('Daily Data'!$M$4:$M$503,$F$4))</f>
        <v>68633</v>
      </c>
      <c r="C18" s="137" cm="1">
        <f t="array" ref="C18">IF($F$5="","",INDEX('Daily Data'!$M$4:$M$503,$F$5))</f>
        <v>247</v>
      </c>
      <c r="D18" s="137">
        <f>IF(OR(NOT(ISNUMBER($B18)),NOT(ISNUMBER($C18))),"",$B18-$C18)</f>
        <v>68386</v>
      </c>
    </row>
    <row r="19" spans="1:31" x14ac:dyDescent="0.3">
      <c r="A19" s="9" t="s">
        <v>164</v>
      </c>
      <c r="B19" s="143" cm="1">
        <f t="array" ref="B19">IF($F$4="","",INDEX('Daily Data'!$S$4:$S$503,$F$4))</f>
        <v>4.8377019800970382</v>
      </c>
      <c r="C19" s="143" cm="1">
        <f t="array" ref="C19">IF($F$5="","",INDEX('Daily Data'!$S$4:$S$503,$F$5))</f>
        <v>293.21457489878543</v>
      </c>
      <c r="D19" s="143">
        <f>IF(OR(NOT(ISNUMBER($B19)),NOT(ISNUMBER($C19))),"",$B19-$C19)</f>
        <v>-288.37687291868838</v>
      </c>
    </row>
    <row r="20" spans="1:31" x14ac:dyDescent="0.3">
      <c r="A20" s="139" t="s">
        <v>172</v>
      </c>
      <c r="B20" s="140" t="str" cm="1">
        <f t="array" ref="B20">IF($F$4="","",INDEX('Daily Data'!$AA$4:$AA$503,$F$4))</f>
        <v/>
      </c>
      <c r="C20" s="140" t="str" cm="1">
        <f t="array" ref="C20">IF($F$5="","",INDEX('Daily Data'!$AA$4:$AA$503,$F$5))</f>
        <v/>
      </c>
      <c r="D20" s="140" t="str">
        <f>IF(OR(NOT(ISNUMBER($B20)),NOT(ISNUMBER($C20))),"",$B20-$C20)</f>
        <v/>
      </c>
    </row>
    <row r="21" spans="1:31" x14ac:dyDescent="0.3">
      <c r="A21" s="9" t="s">
        <v>178</v>
      </c>
      <c r="B21" s="144" cm="1">
        <f t="array" ref="B21">IF($F$4="","",INDEX('Daily Data'!$AG$4:$AG$503,$F$4))</f>
        <v>92.7</v>
      </c>
      <c r="C21" s="144" cm="1">
        <f t="array" ref="C21">IF($F$5="","",INDEX('Daily Data'!$AG$4:$AG$503,$F$5))</f>
        <v>80.2</v>
      </c>
      <c r="D21" s="144">
        <f>IF(OR(NOT(ISNUMBER($B21)),NOT(ISNUMBER($C21))),"",$B21-$C21)</f>
        <v>12.5</v>
      </c>
    </row>
    <row r="22" spans="1:31" x14ac:dyDescent="0.3">
      <c r="A22" s="139" t="s">
        <v>179</v>
      </c>
      <c r="B22" s="145" cm="1">
        <f t="array" ref="B22">IF($F$4="","",INDEX('Daily Data'!$AH$4:$AH$503,$F$4))</f>
        <v>70.599999999999994</v>
      </c>
      <c r="C22" s="145" cm="1">
        <f t="array" ref="C22">IF($F$5="","",INDEX('Daily Data'!$AH$4:$AH$503,$F$5))</f>
        <v>70.900000000000006</v>
      </c>
      <c r="D22" s="145">
        <f>IF(OR(NOT(ISNUMBER($B22)),NOT(ISNUMBER($C22))),"",$B22-$C22)</f>
        <v>-0.30000000000001137</v>
      </c>
    </row>
    <row r="23" spans="1:31" x14ac:dyDescent="0.3">
      <c r="A23" s="9" t="s">
        <v>180</v>
      </c>
      <c r="B23" s="144" cm="1">
        <f t="array" ref="B23">IF($F$4="","",INDEX('Daily Data'!$AI$4:$AI$503,$F$4))</f>
        <v>75</v>
      </c>
      <c r="C23" s="144" cm="1">
        <f t="array" ref="C23">IF($F$5="","",INDEX('Daily Data'!$AI$4:$AI$503,$F$5))</f>
        <v>75</v>
      </c>
      <c r="D23" s="144">
        <f>IF(OR(NOT(ISNUMBER($B23)),NOT(ISNUMBER($C23))),"",$B23-$C23)</f>
        <v>0</v>
      </c>
    </row>
    <row r="24" spans="1:31" x14ac:dyDescent="0.3">
      <c r="A24" s="146" t="s">
        <v>229</v>
      </c>
      <c r="B24" s="147" t="str" cm="1">
        <f t="array" ref="B24">IF($F$4="","",INDEX('Daily Data'!$AJ$4:$AJ$503,$F$4))</f>
        <v>Buy Pressure</v>
      </c>
      <c r="C24" s="147" t="str" cm="1">
        <f t="array" ref="C24">IF($F$5="","",INDEX('Daily Data'!$AJ$4:$AJ$503,$F$5))</f>
        <v>Buy Pressure</v>
      </c>
      <c r="D24" s="147" t="str">
        <f>""</f>
        <v/>
      </c>
    </row>
    <row r="26" spans="1:31" x14ac:dyDescent="0.3">
      <c r="A26" s="5" t="str">
        <f>"A: "&amp;$B$4&amp;"     vs     B: "&amp;$B$5&amp;"     ·     "&amp;TEXT($B$6,"yyyy-mm-dd")</f>
        <v>A: CRDB     vs     B: NMB     ·     2026-08-14</v>
      </c>
      <c r="H26" s="119" t="s">
        <v>245</v>
      </c>
    </row>
    <row r="27" spans="1:31" x14ac:dyDescent="0.3">
      <c r="H27" s="118" t="s">
        <v>147</v>
      </c>
      <c r="I27" s="118" t="str">
        <f>IF($B$4="","A",$B$4)</f>
        <v>CRDB</v>
      </c>
      <c r="J27" s="118" t="str">
        <f>IF($B$5="","B",$B$5)</f>
        <v>NMB</v>
      </c>
      <c r="L27" s="118" t="s">
        <v>147</v>
      </c>
      <c r="M27" s="118" t="str">
        <f>IF($B$4="","A",$B$4)</f>
        <v>CRDB</v>
      </c>
      <c r="N27" s="118" t="str">
        <f>IF($B$5="","B",$B$5)</f>
        <v>NMB</v>
      </c>
      <c r="P27" s="118" t="s">
        <v>147</v>
      </c>
      <c r="Q27" s="118" t="str">
        <f>IF($B$4="","A",$B$4)</f>
        <v>CRDB</v>
      </c>
      <c r="R27" s="118" t="str">
        <f>IF($B$5="","B",$B$5)</f>
        <v>NMB</v>
      </c>
      <c r="T27" s="118" t="s">
        <v>147</v>
      </c>
      <c r="U27" s="118" t="str">
        <f>IF($B$4="","A",$B$4)</f>
        <v>CRDB</v>
      </c>
      <c r="V27" s="118" t="str">
        <f>IF($B$5="","B",$B$5)</f>
        <v>NMB</v>
      </c>
      <c r="Z27" s="148" t="s">
        <v>243</v>
      </c>
      <c r="AA27" s="148" t="s">
        <v>147</v>
      </c>
      <c r="AB27" s="148" t="s">
        <v>264</v>
      </c>
      <c r="AC27" s="148" t="s">
        <v>265</v>
      </c>
      <c r="AE27" s="148" t="s">
        <v>266</v>
      </c>
    </row>
    <row r="28" spans="1:31" x14ac:dyDescent="0.3">
      <c r="H28" s="117" t="e">
        <f>IF($AA28="",NA(),$AA28)</f>
        <v>#N/A</v>
      </c>
      <c r="I28" s="149" t="e">
        <f>IF(OR($AB28="",N($AB28)=0,N($AE$28)=0),NA(),$AB28/$AE$28*100)</f>
        <v>#N/A</v>
      </c>
      <c r="J28" s="149" t="e">
        <f>IF(OR($AC28="",N($AC28)=0,N($AE$29)=0),NA(),$AC28/$AE$29*100)</f>
        <v>#N/A</v>
      </c>
      <c r="L28" s="117" t="e">
        <f>IF($AA28="",NA(),$AA28)</f>
        <v>#N/A</v>
      </c>
      <c r="M28" s="116" t="e">
        <f>IF($AA28="",NA(),IF(COUNTIFS('Daily Data'!$B$4:$B$503,$B$4,'Daily Data'!$A$4:$A$503,$AA28)=0,NA(),SUMIFS('Daily Data'!$K$4:$K$503,'Daily Data'!$B$4:$B$503,$B$4,'Daily Data'!$A$4:$A$503,$AA28)))</f>
        <v>#N/A</v>
      </c>
      <c r="N28" s="116" t="e">
        <f>IF($AA28="",NA(),IF(COUNTIFS('Daily Data'!$B$4:$B$503,$B$5,'Daily Data'!$A$4:$A$503,$AA28)=0,NA(),SUMIFS('Daily Data'!$K$4:$K$503,'Daily Data'!$B$4:$B$503,$B$5,'Daily Data'!$A$4:$A$503,$AA28)))</f>
        <v>#N/A</v>
      </c>
      <c r="P28" s="117" t="e">
        <f>IF($AA28="",NA(),$AA28)</f>
        <v>#N/A</v>
      </c>
      <c r="Q28" s="116" t="e">
        <f>IF($AA28="",NA(),IF(COUNTIFS('Daily Data'!$B$4:$B$503,$B$4,'Daily Data'!$A$4:$A$503,$AA28)=0,NA(),SUMIFS('Daily Data'!$S$4:$S$503,'Daily Data'!$B$4:$B$503,$B$4,'Daily Data'!$A$4:$A$503,$AA28)))</f>
        <v>#N/A</v>
      </c>
      <c r="R28" s="116" t="e">
        <f>IF($AA28="",NA(),IF(COUNTIFS('Daily Data'!$B$4:$B$503,$B$5,'Daily Data'!$A$4:$A$503,$AA28)=0,NA(),SUMIFS('Daily Data'!$S$4:$S$503,'Daily Data'!$B$4:$B$503,$B$5,'Daily Data'!$A$4:$A$503,$AA28)))</f>
        <v>#N/A</v>
      </c>
      <c r="T28" s="117" t="e">
        <f>IF($AA28="",NA(),$AA28)</f>
        <v>#N/A</v>
      </c>
      <c r="U28" s="116" t="e">
        <f>IF($AA28="",NA(),IF(COUNTIFS('Daily Data'!$B$4:$B$503,$B$4,'Daily Data'!$A$4:$A$503,$AA28)=0,NA(),SUMIFS('Daily Data'!$AH$4:$AH$503,'Daily Data'!$B$4:$B$503,$B$4,'Daily Data'!$A$4:$A$503,$AA28)))</f>
        <v>#N/A</v>
      </c>
      <c r="V28" s="116" t="e">
        <f>IF($AA28="",NA(),IF(COUNTIFS('Daily Data'!$B$4:$B$503,$B$5,'Daily Data'!$A$4:$A$503,$AA28)=0,NA(),SUMIFS('Daily Data'!$AH$4:$AH$503,'Daily Data'!$B$4:$B$503,$B$5,'Daily Data'!$A$4:$A$503,$AA28)))</f>
        <v>#N/A</v>
      </c>
      <c r="Z28" s="116" t="str">
        <f>IF(COUNTIF('Daily Data'!$B$4:$B$503,$B$4)-30+ROW()-27&lt;1,"",COUNTIF('Daily Data'!$B$4:$B$503,$B$4)-30+ROW()-27)</f>
        <v/>
      </c>
      <c r="AA28" s="117" t="str">
        <f>IF($Z28="","",SUMIFS('Daily Data'!$A$4:$A$503,'Daily Data'!$B$4:$B$503,$B$4,'Daily Data'!$AK$4:$AK$503,$Z28))</f>
        <v/>
      </c>
      <c r="AB28" s="116" t="str">
        <f>IF($AA28="","",SUMIFS('Daily Data'!$E$4:$E$503,'Daily Data'!$B$4:$B$503,$B$4,'Daily Data'!$A$4:$A$503,$AA28))</f>
        <v/>
      </c>
      <c r="AC28" s="116" t="str">
        <f>IF($AA28="","",SUMIFS('Daily Data'!$E$4:$E$503,'Daily Data'!$B$4:$B$503,$B$5,'Daily Data'!$A$4:$A$503,$AA28))</f>
        <v/>
      </c>
      <c r="AE28" s="115">
        <f>IFERROR(SUMIFS('Daily Data'!$E$4:$E$503,'Daily Data'!$B$4:$B$503,$B$4,'Daily Data'!$AK$4:$AK$503,MAX(1,COUNTIF('Daily Data'!$B$4:$B$503,$B$4)-29)),0)</f>
        <v>2600</v>
      </c>
    </row>
    <row r="29" spans="1:31" x14ac:dyDescent="0.3">
      <c r="H29" s="117" t="e">
        <f>IF($AA29="",NA(),$AA29)</f>
        <v>#N/A</v>
      </c>
      <c r="I29" s="149" t="e">
        <f>IF(OR($AB29="",N($AB29)=0,N($AE$28)=0),NA(),$AB29/$AE$28*100)</f>
        <v>#N/A</v>
      </c>
      <c r="J29" s="149" t="e">
        <f>IF(OR($AC29="",N($AC29)=0,N($AE$29)=0),NA(),$AC29/$AE$29*100)</f>
        <v>#N/A</v>
      </c>
      <c r="L29" s="117" t="e">
        <f>IF($AA29="",NA(),$AA29)</f>
        <v>#N/A</v>
      </c>
      <c r="M29" s="116" t="e">
        <f>IF($AA29="",NA(),IF(COUNTIFS('Daily Data'!$B$4:$B$503,$B$4,'Daily Data'!$A$4:$A$503,$AA29)=0,NA(),SUMIFS('Daily Data'!$K$4:$K$503,'Daily Data'!$B$4:$B$503,$B$4,'Daily Data'!$A$4:$A$503,$AA29)))</f>
        <v>#N/A</v>
      </c>
      <c r="N29" s="116" t="e">
        <f>IF($AA29="",NA(),IF(COUNTIFS('Daily Data'!$B$4:$B$503,$B$5,'Daily Data'!$A$4:$A$503,$AA29)=0,NA(),SUMIFS('Daily Data'!$K$4:$K$503,'Daily Data'!$B$4:$B$503,$B$5,'Daily Data'!$A$4:$A$503,$AA29)))</f>
        <v>#N/A</v>
      </c>
      <c r="P29" s="117" t="e">
        <f>IF($AA29="",NA(),$AA29)</f>
        <v>#N/A</v>
      </c>
      <c r="Q29" s="116" t="e">
        <f>IF($AA29="",NA(),IF(COUNTIFS('Daily Data'!$B$4:$B$503,$B$4,'Daily Data'!$A$4:$A$503,$AA29)=0,NA(),SUMIFS('Daily Data'!$S$4:$S$503,'Daily Data'!$B$4:$B$503,$B$4,'Daily Data'!$A$4:$A$503,$AA29)))</f>
        <v>#N/A</v>
      </c>
      <c r="R29" s="116" t="e">
        <f>IF($AA29="",NA(),IF(COUNTIFS('Daily Data'!$B$4:$B$503,$B$5,'Daily Data'!$A$4:$A$503,$AA29)=0,NA(),SUMIFS('Daily Data'!$S$4:$S$503,'Daily Data'!$B$4:$B$503,$B$5,'Daily Data'!$A$4:$A$503,$AA29)))</f>
        <v>#N/A</v>
      </c>
      <c r="T29" s="117" t="e">
        <f>IF($AA29="",NA(),$AA29)</f>
        <v>#N/A</v>
      </c>
      <c r="U29" s="116" t="e">
        <f>IF($AA29="",NA(),IF(COUNTIFS('Daily Data'!$B$4:$B$503,$B$4,'Daily Data'!$A$4:$A$503,$AA29)=0,NA(),SUMIFS('Daily Data'!$AH$4:$AH$503,'Daily Data'!$B$4:$B$503,$B$4,'Daily Data'!$A$4:$A$503,$AA29)))</f>
        <v>#N/A</v>
      </c>
      <c r="V29" s="116" t="e">
        <f>IF($AA29="",NA(),IF(COUNTIFS('Daily Data'!$B$4:$B$503,$B$5,'Daily Data'!$A$4:$A$503,$AA29)=0,NA(),SUMIFS('Daily Data'!$AH$4:$AH$503,'Daily Data'!$B$4:$B$503,$B$5,'Daily Data'!$A$4:$A$503,$AA29)))</f>
        <v>#N/A</v>
      </c>
      <c r="Z29" s="116" t="str">
        <f>IF(COUNTIF('Daily Data'!$B$4:$B$503,$B$4)-30+ROW()-27&lt;1,"",COUNTIF('Daily Data'!$B$4:$B$503,$B$4)-30+ROW()-27)</f>
        <v/>
      </c>
      <c r="AA29" s="117" t="str">
        <f>IF($Z29="","",SUMIFS('Daily Data'!$A$4:$A$503,'Daily Data'!$B$4:$B$503,$B$4,'Daily Data'!$AK$4:$AK$503,$Z29))</f>
        <v/>
      </c>
      <c r="AB29" s="116" t="str">
        <f>IF($AA29="","",SUMIFS('Daily Data'!$E$4:$E$503,'Daily Data'!$B$4:$B$503,$B$4,'Daily Data'!$A$4:$A$503,$AA29))</f>
        <v/>
      </c>
      <c r="AC29" s="116" t="str">
        <f>IF($AA29="","",SUMIFS('Daily Data'!$E$4:$E$503,'Daily Data'!$B$4:$B$503,$B$5,'Daily Data'!$A$4:$A$503,$AA29))</f>
        <v/>
      </c>
      <c r="AE29" s="115">
        <f>IFERROR(SUMIFS('Daily Data'!$E$4:$E$503,'Daily Data'!$B$4:$B$503,$B$5,'Daily Data'!$AK$4:$AK$503,MAX(1,COUNTIF('Daily Data'!$B$4:$B$503,$B$5)-29)),0)</f>
        <v>17600</v>
      </c>
    </row>
    <row r="30" spans="1:31" x14ac:dyDescent="0.3">
      <c r="H30" s="117" t="e">
        <f>IF($AA30="",NA(),$AA30)</f>
        <v>#N/A</v>
      </c>
      <c r="I30" s="149" t="e">
        <f>IF(OR($AB30="",N($AB30)=0,N($AE$28)=0),NA(),$AB30/$AE$28*100)</f>
        <v>#N/A</v>
      </c>
      <c r="J30" s="149" t="e">
        <f>IF(OR($AC30="",N($AC30)=0,N($AE$29)=0),NA(),$AC30/$AE$29*100)</f>
        <v>#N/A</v>
      </c>
      <c r="L30" s="117" t="e">
        <f>IF($AA30="",NA(),$AA30)</f>
        <v>#N/A</v>
      </c>
      <c r="M30" s="116" t="e">
        <f>IF($AA30="",NA(),IF(COUNTIFS('Daily Data'!$B$4:$B$503,$B$4,'Daily Data'!$A$4:$A$503,$AA30)=0,NA(),SUMIFS('Daily Data'!$K$4:$K$503,'Daily Data'!$B$4:$B$503,$B$4,'Daily Data'!$A$4:$A$503,$AA30)))</f>
        <v>#N/A</v>
      </c>
      <c r="N30" s="116" t="e">
        <f>IF($AA30="",NA(),IF(COUNTIFS('Daily Data'!$B$4:$B$503,$B$5,'Daily Data'!$A$4:$A$503,$AA30)=0,NA(),SUMIFS('Daily Data'!$K$4:$K$503,'Daily Data'!$B$4:$B$503,$B$5,'Daily Data'!$A$4:$A$503,$AA30)))</f>
        <v>#N/A</v>
      </c>
      <c r="P30" s="117" t="e">
        <f>IF($AA30="",NA(),$AA30)</f>
        <v>#N/A</v>
      </c>
      <c r="Q30" s="116" t="e">
        <f>IF($AA30="",NA(),IF(COUNTIFS('Daily Data'!$B$4:$B$503,$B$4,'Daily Data'!$A$4:$A$503,$AA30)=0,NA(),SUMIFS('Daily Data'!$S$4:$S$503,'Daily Data'!$B$4:$B$503,$B$4,'Daily Data'!$A$4:$A$503,$AA30)))</f>
        <v>#N/A</v>
      </c>
      <c r="R30" s="116" t="e">
        <f>IF($AA30="",NA(),IF(COUNTIFS('Daily Data'!$B$4:$B$503,$B$5,'Daily Data'!$A$4:$A$503,$AA30)=0,NA(),SUMIFS('Daily Data'!$S$4:$S$503,'Daily Data'!$B$4:$B$503,$B$5,'Daily Data'!$A$4:$A$503,$AA30)))</f>
        <v>#N/A</v>
      </c>
      <c r="T30" s="117" t="e">
        <f>IF($AA30="",NA(),$AA30)</f>
        <v>#N/A</v>
      </c>
      <c r="U30" s="116" t="e">
        <f>IF($AA30="",NA(),IF(COUNTIFS('Daily Data'!$B$4:$B$503,$B$4,'Daily Data'!$A$4:$A$503,$AA30)=0,NA(),SUMIFS('Daily Data'!$AH$4:$AH$503,'Daily Data'!$B$4:$B$503,$B$4,'Daily Data'!$A$4:$A$503,$AA30)))</f>
        <v>#N/A</v>
      </c>
      <c r="V30" s="116" t="e">
        <f>IF($AA30="",NA(),IF(COUNTIFS('Daily Data'!$B$4:$B$503,$B$5,'Daily Data'!$A$4:$A$503,$AA30)=0,NA(),SUMIFS('Daily Data'!$AH$4:$AH$503,'Daily Data'!$B$4:$B$503,$B$5,'Daily Data'!$A$4:$A$503,$AA30)))</f>
        <v>#N/A</v>
      </c>
      <c r="Z30" s="116" t="str">
        <f>IF(COUNTIF('Daily Data'!$B$4:$B$503,$B$4)-30+ROW()-27&lt;1,"",COUNTIF('Daily Data'!$B$4:$B$503,$B$4)-30+ROW()-27)</f>
        <v/>
      </c>
      <c r="AA30" s="117" t="str">
        <f>IF($Z30="","",SUMIFS('Daily Data'!$A$4:$A$503,'Daily Data'!$B$4:$B$503,$B$4,'Daily Data'!$AK$4:$AK$503,$Z30))</f>
        <v/>
      </c>
      <c r="AB30" s="116" t="str">
        <f>IF($AA30="","",SUMIFS('Daily Data'!$E$4:$E$503,'Daily Data'!$B$4:$B$503,$B$4,'Daily Data'!$A$4:$A$503,$AA30))</f>
        <v/>
      </c>
      <c r="AC30" s="116" t="str">
        <f>IF($AA30="","",SUMIFS('Daily Data'!$E$4:$E$503,'Daily Data'!$B$4:$B$503,$B$5,'Daily Data'!$A$4:$A$503,$AA30))</f>
        <v/>
      </c>
    </row>
    <row r="31" spans="1:31" x14ac:dyDescent="0.3">
      <c r="H31" s="117" t="e">
        <f>IF($AA31="",NA(),$AA31)</f>
        <v>#N/A</v>
      </c>
      <c r="I31" s="149" t="e">
        <f>IF(OR($AB31="",N($AB31)=0,N($AE$28)=0),NA(),$AB31/$AE$28*100)</f>
        <v>#N/A</v>
      </c>
      <c r="J31" s="149" t="e">
        <f>IF(OR($AC31="",N($AC31)=0,N($AE$29)=0),NA(),$AC31/$AE$29*100)</f>
        <v>#N/A</v>
      </c>
      <c r="L31" s="117" t="e">
        <f>IF($AA31="",NA(),$AA31)</f>
        <v>#N/A</v>
      </c>
      <c r="M31" s="116" t="e">
        <f>IF($AA31="",NA(),IF(COUNTIFS('Daily Data'!$B$4:$B$503,$B$4,'Daily Data'!$A$4:$A$503,$AA31)=0,NA(),SUMIFS('Daily Data'!$K$4:$K$503,'Daily Data'!$B$4:$B$503,$B$4,'Daily Data'!$A$4:$A$503,$AA31)))</f>
        <v>#N/A</v>
      </c>
      <c r="N31" s="116" t="e">
        <f>IF($AA31="",NA(),IF(COUNTIFS('Daily Data'!$B$4:$B$503,$B$5,'Daily Data'!$A$4:$A$503,$AA31)=0,NA(),SUMIFS('Daily Data'!$K$4:$K$503,'Daily Data'!$B$4:$B$503,$B$5,'Daily Data'!$A$4:$A$503,$AA31)))</f>
        <v>#N/A</v>
      </c>
      <c r="P31" s="117" t="e">
        <f>IF($AA31="",NA(),$AA31)</f>
        <v>#N/A</v>
      </c>
      <c r="Q31" s="116" t="e">
        <f>IF($AA31="",NA(),IF(COUNTIFS('Daily Data'!$B$4:$B$503,$B$4,'Daily Data'!$A$4:$A$503,$AA31)=0,NA(),SUMIFS('Daily Data'!$S$4:$S$503,'Daily Data'!$B$4:$B$503,$B$4,'Daily Data'!$A$4:$A$503,$AA31)))</f>
        <v>#N/A</v>
      </c>
      <c r="R31" s="116" t="e">
        <f>IF($AA31="",NA(),IF(COUNTIFS('Daily Data'!$B$4:$B$503,$B$5,'Daily Data'!$A$4:$A$503,$AA31)=0,NA(),SUMIFS('Daily Data'!$S$4:$S$503,'Daily Data'!$B$4:$B$503,$B$5,'Daily Data'!$A$4:$A$503,$AA31)))</f>
        <v>#N/A</v>
      </c>
      <c r="T31" s="117" t="e">
        <f>IF($AA31="",NA(),$AA31)</f>
        <v>#N/A</v>
      </c>
      <c r="U31" s="116" t="e">
        <f>IF($AA31="",NA(),IF(COUNTIFS('Daily Data'!$B$4:$B$503,$B$4,'Daily Data'!$A$4:$A$503,$AA31)=0,NA(),SUMIFS('Daily Data'!$AH$4:$AH$503,'Daily Data'!$B$4:$B$503,$B$4,'Daily Data'!$A$4:$A$503,$AA31)))</f>
        <v>#N/A</v>
      </c>
      <c r="V31" s="116" t="e">
        <f>IF($AA31="",NA(),IF(COUNTIFS('Daily Data'!$B$4:$B$503,$B$5,'Daily Data'!$A$4:$A$503,$AA31)=0,NA(),SUMIFS('Daily Data'!$AH$4:$AH$503,'Daily Data'!$B$4:$B$503,$B$5,'Daily Data'!$A$4:$A$503,$AA31)))</f>
        <v>#N/A</v>
      </c>
      <c r="Z31" s="116" t="str">
        <f>IF(COUNTIF('Daily Data'!$B$4:$B$503,$B$4)-30+ROW()-27&lt;1,"",COUNTIF('Daily Data'!$B$4:$B$503,$B$4)-30+ROW()-27)</f>
        <v/>
      </c>
      <c r="AA31" s="117" t="str">
        <f>IF($Z31="","",SUMIFS('Daily Data'!$A$4:$A$503,'Daily Data'!$B$4:$B$503,$B$4,'Daily Data'!$AK$4:$AK$503,$Z31))</f>
        <v/>
      </c>
      <c r="AB31" s="116" t="str">
        <f>IF($AA31="","",SUMIFS('Daily Data'!$E$4:$E$503,'Daily Data'!$B$4:$B$503,$B$4,'Daily Data'!$A$4:$A$503,$AA31))</f>
        <v/>
      </c>
      <c r="AC31" s="116" t="str">
        <f>IF($AA31="","",SUMIFS('Daily Data'!$E$4:$E$503,'Daily Data'!$B$4:$B$503,$B$5,'Daily Data'!$A$4:$A$503,$AA31))</f>
        <v/>
      </c>
    </row>
    <row r="32" spans="1:31" x14ac:dyDescent="0.3">
      <c r="H32" s="117" t="e">
        <f>IF($AA32="",NA(),$AA32)</f>
        <v>#N/A</v>
      </c>
      <c r="I32" s="149" t="e">
        <f>IF(OR($AB32="",N($AB32)=0,N($AE$28)=0),NA(),$AB32/$AE$28*100)</f>
        <v>#N/A</v>
      </c>
      <c r="J32" s="149" t="e">
        <f>IF(OR($AC32="",N($AC32)=0,N($AE$29)=0),NA(),$AC32/$AE$29*100)</f>
        <v>#N/A</v>
      </c>
      <c r="L32" s="117" t="e">
        <f>IF($AA32="",NA(),$AA32)</f>
        <v>#N/A</v>
      </c>
      <c r="M32" s="116" t="e">
        <f>IF($AA32="",NA(),IF(COUNTIFS('Daily Data'!$B$4:$B$503,$B$4,'Daily Data'!$A$4:$A$503,$AA32)=0,NA(),SUMIFS('Daily Data'!$K$4:$K$503,'Daily Data'!$B$4:$B$503,$B$4,'Daily Data'!$A$4:$A$503,$AA32)))</f>
        <v>#N/A</v>
      </c>
      <c r="N32" s="116" t="e">
        <f>IF($AA32="",NA(),IF(COUNTIFS('Daily Data'!$B$4:$B$503,$B$5,'Daily Data'!$A$4:$A$503,$AA32)=0,NA(),SUMIFS('Daily Data'!$K$4:$K$503,'Daily Data'!$B$4:$B$503,$B$5,'Daily Data'!$A$4:$A$503,$AA32)))</f>
        <v>#N/A</v>
      </c>
      <c r="P32" s="117" t="e">
        <f>IF($AA32="",NA(),$AA32)</f>
        <v>#N/A</v>
      </c>
      <c r="Q32" s="116" t="e">
        <f>IF($AA32="",NA(),IF(COUNTIFS('Daily Data'!$B$4:$B$503,$B$4,'Daily Data'!$A$4:$A$503,$AA32)=0,NA(),SUMIFS('Daily Data'!$S$4:$S$503,'Daily Data'!$B$4:$B$503,$B$4,'Daily Data'!$A$4:$A$503,$AA32)))</f>
        <v>#N/A</v>
      </c>
      <c r="R32" s="116" t="e">
        <f>IF($AA32="",NA(),IF(COUNTIFS('Daily Data'!$B$4:$B$503,$B$5,'Daily Data'!$A$4:$A$503,$AA32)=0,NA(),SUMIFS('Daily Data'!$S$4:$S$503,'Daily Data'!$B$4:$B$503,$B$5,'Daily Data'!$A$4:$A$503,$AA32)))</f>
        <v>#N/A</v>
      </c>
      <c r="T32" s="117" t="e">
        <f>IF($AA32="",NA(),$AA32)</f>
        <v>#N/A</v>
      </c>
      <c r="U32" s="116" t="e">
        <f>IF($AA32="",NA(),IF(COUNTIFS('Daily Data'!$B$4:$B$503,$B$4,'Daily Data'!$A$4:$A$503,$AA32)=0,NA(),SUMIFS('Daily Data'!$AH$4:$AH$503,'Daily Data'!$B$4:$B$503,$B$4,'Daily Data'!$A$4:$A$503,$AA32)))</f>
        <v>#N/A</v>
      </c>
      <c r="V32" s="116" t="e">
        <f>IF($AA32="",NA(),IF(COUNTIFS('Daily Data'!$B$4:$B$503,$B$5,'Daily Data'!$A$4:$A$503,$AA32)=0,NA(),SUMIFS('Daily Data'!$AH$4:$AH$503,'Daily Data'!$B$4:$B$503,$B$5,'Daily Data'!$A$4:$A$503,$AA32)))</f>
        <v>#N/A</v>
      </c>
      <c r="Z32" s="116" t="str">
        <f>IF(COUNTIF('Daily Data'!$B$4:$B$503,$B$4)-30+ROW()-27&lt;1,"",COUNTIF('Daily Data'!$B$4:$B$503,$B$4)-30+ROW()-27)</f>
        <v/>
      </c>
      <c r="AA32" s="117" t="str">
        <f>IF($Z32="","",SUMIFS('Daily Data'!$A$4:$A$503,'Daily Data'!$B$4:$B$503,$B$4,'Daily Data'!$AK$4:$AK$503,$Z32))</f>
        <v/>
      </c>
      <c r="AB32" s="116" t="str">
        <f>IF($AA32="","",SUMIFS('Daily Data'!$E$4:$E$503,'Daily Data'!$B$4:$B$503,$B$4,'Daily Data'!$A$4:$A$503,$AA32))</f>
        <v/>
      </c>
      <c r="AC32" s="116" t="str">
        <f>IF($AA32="","",SUMIFS('Daily Data'!$E$4:$E$503,'Daily Data'!$B$4:$B$503,$B$5,'Daily Data'!$A$4:$A$503,$AA32))</f>
        <v/>
      </c>
    </row>
    <row r="33" spans="8:29" x14ac:dyDescent="0.3">
      <c r="H33" s="117" t="e">
        <f>IF($AA33="",NA(),$AA33)</f>
        <v>#N/A</v>
      </c>
      <c r="I33" s="149" t="e">
        <f>IF(OR($AB33="",N($AB33)=0,N($AE$28)=0),NA(),$AB33/$AE$28*100)</f>
        <v>#N/A</v>
      </c>
      <c r="J33" s="149" t="e">
        <f>IF(OR($AC33="",N($AC33)=0,N($AE$29)=0),NA(),$AC33/$AE$29*100)</f>
        <v>#N/A</v>
      </c>
      <c r="L33" s="117" t="e">
        <f>IF($AA33="",NA(),$AA33)</f>
        <v>#N/A</v>
      </c>
      <c r="M33" s="116" t="e">
        <f>IF($AA33="",NA(),IF(COUNTIFS('Daily Data'!$B$4:$B$503,$B$4,'Daily Data'!$A$4:$A$503,$AA33)=0,NA(),SUMIFS('Daily Data'!$K$4:$K$503,'Daily Data'!$B$4:$B$503,$B$4,'Daily Data'!$A$4:$A$503,$AA33)))</f>
        <v>#N/A</v>
      </c>
      <c r="N33" s="116" t="e">
        <f>IF($AA33="",NA(),IF(COUNTIFS('Daily Data'!$B$4:$B$503,$B$5,'Daily Data'!$A$4:$A$503,$AA33)=0,NA(),SUMIFS('Daily Data'!$K$4:$K$503,'Daily Data'!$B$4:$B$503,$B$5,'Daily Data'!$A$4:$A$503,$AA33)))</f>
        <v>#N/A</v>
      </c>
      <c r="P33" s="117" t="e">
        <f>IF($AA33="",NA(),$AA33)</f>
        <v>#N/A</v>
      </c>
      <c r="Q33" s="116" t="e">
        <f>IF($AA33="",NA(),IF(COUNTIFS('Daily Data'!$B$4:$B$503,$B$4,'Daily Data'!$A$4:$A$503,$AA33)=0,NA(),SUMIFS('Daily Data'!$S$4:$S$503,'Daily Data'!$B$4:$B$503,$B$4,'Daily Data'!$A$4:$A$503,$AA33)))</f>
        <v>#N/A</v>
      </c>
      <c r="R33" s="116" t="e">
        <f>IF($AA33="",NA(),IF(COUNTIFS('Daily Data'!$B$4:$B$503,$B$5,'Daily Data'!$A$4:$A$503,$AA33)=0,NA(),SUMIFS('Daily Data'!$S$4:$S$503,'Daily Data'!$B$4:$B$503,$B$5,'Daily Data'!$A$4:$A$503,$AA33)))</f>
        <v>#N/A</v>
      </c>
      <c r="T33" s="117" t="e">
        <f>IF($AA33="",NA(),$AA33)</f>
        <v>#N/A</v>
      </c>
      <c r="U33" s="116" t="e">
        <f>IF($AA33="",NA(),IF(COUNTIFS('Daily Data'!$B$4:$B$503,$B$4,'Daily Data'!$A$4:$A$503,$AA33)=0,NA(),SUMIFS('Daily Data'!$AH$4:$AH$503,'Daily Data'!$B$4:$B$503,$B$4,'Daily Data'!$A$4:$A$503,$AA33)))</f>
        <v>#N/A</v>
      </c>
      <c r="V33" s="116" t="e">
        <f>IF($AA33="",NA(),IF(COUNTIFS('Daily Data'!$B$4:$B$503,$B$5,'Daily Data'!$A$4:$A$503,$AA33)=0,NA(),SUMIFS('Daily Data'!$AH$4:$AH$503,'Daily Data'!$B$4:$B$503,$B$5,'Daily Data'!$A$4:$A$503,$AA33)))</f>
        <v>#N/A</v>
      </c>
      <c r="Z33" s="116" t="str">
        <f>IF(COUNTIF('Daily Data'!$B$4:$B$503,$B$4)-30+ROW()-27&lt;1,"",COUNTIF('Daily Data'!$B$4:$B$503,$B$4)-30+ROW()-27)</f>
        <v/>
      </c>
      <c r="AA33" s="117" t="str">
        <f>IF($Z33="","",SUMIFS('Daily Data'!$A$4:$A$503,'Daily Data'!$B$4:$B$503,$B$4,'Daily Data'!$AK$4:$AK$503,$Z33))</f>
        <v/>
      </c>
      <c r="AB33" s="116" t="str">
        <f>IF($AA33="","",SUMIFS('Daily Data'!$E$4:$E$503,'Daily Data'!$B$4:$B$503,$B$4,'Daily Data'!$A$4:$A$503,$AA33))</f>
        <v/>
      </c>
      <c r="AC33" s="116" t="str">
        <f>IF($AA33="","",SUMIFS('Daily Data'!$E$4:$E$503,'Daily Data'!$B$4:$B$503,$B$5,'Daily Data'!$A$4:$A$503,$AA33))</f>
        <v/>
      </c>
    </row>
    <row r="34" spans="8:29" x14ac:dyDescent="0.3">
      <c r="H34" s="117" t="e">
        <f>IF($AA34="",NA(),$AA34)</f>
        <v>#N/A</v>
      </c>
      <c r="I34" s="149" t="e">
        <f>IF(OR($AB34="",N($AB34)=0,N($AE$28)=0),NA(),$AB34/$AE$28*100)</f>
        <v>#N/A</v>
      </c>
      <c r="J34" s="149" t="e">
        <f>IF(OR($AC34="",N($AC34)=0,N($AE$29)=0),NA(),$AC34/$AE$29*100)</f>
        <v>#N/A</v>
      </c>
      <c r="L34" s="117" t="e">
        <f>IF($AA34="",NA(),$AA34)</f>
        <v>#N/A</v>
      </c>
      <c r="M34" s="116" t="e">
        <f>IF($AA34="",NA(),IF(COUNTIFS('Daily Data'!$B$4:$B$503,$B$4,'Daily Data'!$A$4:$A$503,$AA34)=0,NA(),SUMIFS('Daily Data'!$K$4:$K$503,'Daily Data'!$B$4:$B$503,$B$4,'Daily Data'!$A$4:$A$503,$AA34)))</f>
        <v>#N/A</v>
      </c>
      <c r="N34" s="116" t="e">
        <f>IF($AA34="",NA(),IF(COUNTIFS('Daily Data'!$B$4:$B$503,$B$5,'Daily Data'!$A$4:$A$503,$AA34)=0,NA(),SUMIFS('Daily Data'!$K$4:$K$503,'Daily Data'!$B$4:$B$503,$B$5,'Daily Data'!$A$4:$A$503,$AA34)))</f>
        <v>#N/A</v>
      </c>
      <c r="P34" s="117" t="e">
        <f>IF($AA34="",NA(),$AA34)</f>
        <v>#N/A</v>
      </c>
      <c r="Q34" s="116" t="e">
        <f>IF($AA34="",NA(),IF(COUNTIFS('Daily Data'!$B$4:$B$503,$B$4,'Daily Data'!$A$4:$A$503,$AA34)=0,NA(),SUMIFS('Daily Data'!$S$4:$S$503,'Daily Data'!$B$4:$B$503,$B$4,'Daily Data'!$A$4:$A$503,$AA34)))</f>
        <v>#N/A</v>
      </c>
      <c r="R34" s="116" t="e">
        <f>IF($AA34="",NA(),IF(COUNTIFS('Daily Data'!$B$4:$B$503,$B$5,'Daily Data'!$A$4:$A$503,$AA34)=0,NA(),SUMIFS('Daily Data'!$S$4:$S$503,'Daily Data'!$B$4:$B$503,$B$5,'Daily Data'!$A$4:$A$503,$AA34)))</f>
        <v>#N/A</v>
      </c>
      <c r="T34" s="117" t="e">
        <f>IF($AA34="",NA(),$AA34)</f>
        <v>#N/A</v>
      </c>
      <c r="U34" s="116" t="e">
        <f>IF($AA34="",NA(),IF(COUNTIFS('Daily Data'!$B$4:$B$503,$B$4,'Daily Data'!$A$4:$A$503,$AA34)=0,NA(),SUMIFS('Daily Data'!$AH$4:$AH$503,'Daily Data'!$B$4:$B$503,$B$4,'Daily Data'!$A$4:$A$503,$AA34)))</f>
        <v>#N/A</v>
      </c>
      <c r="V34" s="116" t="e">
        <f>IF($AA34="",NA(),IF(COUNTIFS('Daily Data'!$B$4:$B$503,$B$5,'Daily Data'!$A$4:$A$503,$AA34)=0,NA(),SUMIFS('Daily Data'!$AH$4:$AH$503,'Daily Data'!$B$4:$B$503,$B$5,'Daily Data'!$A$4:$A$503,$AA34)))</f>
        <v>#N/A</v>
      </c>
      <c r="Z34" s="116" t="str">
        <f>IF(COUNTIF('Daily Data'!$B$4:$B$503,$B$4)-30+ROW()-27&lt;1,"",COUNTIF('Daily Data'!$B$4:$B$503,$B$4)-30+ROW()-27)</f>
        <v/>
      </c>
      <c r="AA34" s="117" t="str">
        <f>IF($Z34="","",SUMIFS('Daily Data'!$A$4:$A$503,'Daily Data'!$B$4:$B$503,$B$4,'Daily Data'!$AK$4:$AK$503,$Z34))</f>
        <v/>
      </c>
      <c r="AB34" s="116" t="str">
        <f>IF($AA34="","",SUMIFS('Daily Data'!$E$4:$E$503,'Daily Data'!$B$4:$B$503,$B$4,'Daily Data'!$A$4:$A$503,$AA34))</f>
        <v/>
      </c>
      <c r="AC34" s="116" t="str">
        <f>IF($AA34="","",SUMIFS('Daily Data'!$E$4:$E$503,'Daily Data'!$B$4:$B$503,$B$5,'Daily Data'!$A$4:$A$503,$AA34))</f>
        <v/>
      </c>
    </row>
    <row r="35" spans="8:29" x14ac:dyDescent="0.3">
      <c r="H35" s="117" t="e">
        <f>IF($AA35="",NA(),$AA35)</f>
        <v>#N/A</v>
      </c>
      <c r="I35" s="149" t="e">
        <f>IF(OR($AB35="",N($AB35)=0,N($AE$28)=0),NA(),$AB35/$AE$28*100)</f>
        <v>#N/A</v>
      </c>
      <c r="J35" s="149" t="e">
        <f>IF(OR($AC35="",N($AC35)=0,N($AE$29)=0),NA(),$AC35/$AE$29*100)</f>
        <v>#N/A</v>
      </c>
      <c r="L35" s="117" t="e">
        <f>IF($AA35="",NA(),$AA35)</f>
        <v>#N/A</v>
      </c>
      <c r="M35" s="116" t="e">
        <f>IF($AA35="",NA(),IF(COUNTIFS('Daily Data'!$B$4:$B$503,$B$4,'Daily Data'!$A$4:$A$503,$AA35)=0,NA(),SUMIFS('Daily Data'!$K$4:$K$503,'Daily Data'!$B$4:$B$503,$B$4,'Daily Data'!$A$4:$A$503,$AA35)))</f>
        <v>#N/A</v>
      </c>
      <c r="N35" s="116" t="e">
        <f>IF($AA35="",NA(),IF(COUNTIFS('Daily Data'!$B$4:$B$503,$B$5,'Daily Data'!$A$4:$A$503,$AA35)=0,NA(),SUMIFS('Daily Data'!$K$4:$K$503,'Daily Data'!$B$4:$B$503,$B$5,'Daily Data'!$A$4:$A$503,$AA35)))</f>
        <v>#N/A</v>
      </c>
      <c r="P35" s="117" t="e">
        <f>IF($AA35="",NA(),$AA35)</f>
        <v>#N/A</v>
      </c>
      <c r="Q35" s="116" t="e">
        <f>IF($AA35="",NA(),IF(COUNTIFS('Daily Data'!$B$4:$B$503,$B$4,'Daily Data'!$A$4:$A$503,$AA35)=0,NA(),SUMIFS('Daily Data'!$S$4:$S$503,'Daily Data'!$B$4:$B$503,$B$4,'Daily Data'!$A$4:$A$503,$AA35)))</f>
        <v>#N/A</v>
      </c>
      <c r="R35" s="116" t="e">
        <f>IF($AA35="",NA(),IF(COUNTIFS('Daily Data'!$B$4:$B$503,$B$5,'Daily Data'!$A$4:$A$503,$AA35)=0,NA(),SUMIFS('Daily Data'!$S$4:$S$503,'Daily Data'!$B$4:$B$503,$B$5,'Daily Data'!$A$4:$A$503,$AA35)))</f>
        <v>#N/A</v>
      </c>
      <c r="T35" s="117" t="e">
        <f>IF($AA35="",NA(),$AA35)</f>
        <v>#N/A</v>
      </c>
      <c r="U35" s="116" t="e">
        <f>IF($AA35="",NA(),IF(COUNTIFS('Daily Data'!$B$4:$B$503,$B$4,'Daily Data'!$A$4:$A$503,$AA35)=0,NA(),SUMIFS('Daily Data'!$AH$4:$AH$503,'Daily Data'!$B$4:$B$503,$B$4,'Daily Data'!$A$4:$A$503,$AA35)))</f>
        <v>#N/A</v>
      </c>
      <c r="V35" s="116" t="e">
        <f>IF($AA35="",NA(),IF(COUNTIFS('Daily Data'!$B$4:$B$503,$B$5,'Daily Data'!$A$4:$A$503,$AA35)=0,NA(),SUMIFS('Daily Data'!$AH$4:$AH$503,'Daily Data'!$B$4:$B$503,$B$5,'Daily Data'!$A$4:$A$503,$AA35)))</f>
        <v>#N/A</v>
      </c>
      <c r="Z35" s="116" t="str">
        <f>IF(COUNTIF('Daily Data'!$B$4:$B$503,$B$4)-30+ROW()-27&lt;1,"",COUNTIF('Daily Data'!$B$4:$B$503,$B$4)-30+ROW()-27)</f>
        <v/>
      </c>
      <c r="AA35" s="117" t="str">
        <f>IF($Z35="","",SUMIFS('Daily Data'!$A$4:$A$503,'Daily Data'!$B$4:$B$503,$B$4,'Daily Data'!$AK$4:$AK$503,$Z35))</f>
        <v/>
      </c>
      <c r="AB35" s="116" t="str">
        <f>IF($AA35="","",SUMIFS('Daily Data'!$E$4:$E$503,'Daily Data'!$B$4:$B$503,$B$4,'Daily Data'!$A$4:$A$503,$AA35))</f>
        <v/>
      </c>
      <c r="AC35" s="116" t="str">
        <f>IF($AA35="","",SUMIFS('Daily Data'!$E$4:$E$503,'Daily Data'!$B$4:$B$503,$B$5,'Daily Data'!$A$4:$A$503,$AA35))</f>
        <v/>
      </c>
    </row>
    <row r="36" spans="8:29" x14ac:dyDescent="0.3">
      <c r="H36" s="117" t="e">
        <f>IF($AA36="",NA(),$AA36)</f>
        <v>#N/A</v>
      </c>
      <c r="I36" s="149" t="e">
        <f>IF(OR($AB36="",N($AB36)=0,N($AE$28)=0),NA(),$AB36/$AE$28*100)</f>
        <v>#N/A</v>
      </c>
      <c r="J36" s="149" t="e">
        <f>IF(OR($AC36="",N($AC36)=0,N($AE$29)=0),NA(),$AC36/$AE$29*100)</f>
        <v>#N/A</v>
      </c>
      <c r="L36" s="117" t="e">
        <f>IF($AA36="",NA(),$AA36)</f>
        <v>#N/A</v>
      </c>
      <c r="M36" s="116" t="e">
        <f>IF($AA36="",NA(),IF(COUNTIFS('Daily Data'!$B$4:$B$503,$B$4,'Daily Data'!$A$4:$A$503,$AA36)=0,NA(),SUMIFS('Daily Data'!$K$4:$K$503,'Daily Data'!$B$4:$B$503,$B$4,'Daily Data'!$A$4:$A$503,$AA36)))</f>
        <v>#N/A</v>
      </c>
      <c r="N36" s="116" t="e">
        <f>IF($AA36="",NA(),IF(COUNTIFS('Daily Data'!$B$4:$B$503,$B$5,'Daily Data'!$A$4:$A$503,$AA36)=0,NA(),SUMIFS('Daily Data'!$K$4:$K$503,'Daily Data'!$B$4:$B$503,$B$5,'Daily Data'!$A$4:$A$503,$AA36)))</f>
        <v>#N/A</v>
      </c>
      <c r="P36" s="117" t="e">
        <f>IF($AA36="",NA(),$AA36)</f>
        <v>#N/A</v>
      </c>
      <c r="Q36" s="116" t="e">
        <f>IF($AA36="",NA(),IF(COUNTIFS('Daily Data'!$B$4:$B$503,$B$4,'Daily Data'!$A$4:$A$503,$AA36)=0,NA(),SUMIFS('Daily Data'!$S$4:$S$503,'Daily Data'!$B$4:$B$503,$B$4,'Daily Data'!$A$4:$A$503,$AA36)))</f>
        <v>#N/A</v>
      </c>
      <c r="R36" s="116" t="e">
        <f>IF($AA36="",NA(),IF(COUNTIFS('Daily Data'!$B$4:$B$503,$B$5,'Daily Data'!$A$4:$A$503,$AA36)=0,NA(),SUMIFS('Daily Data'!$S$4:$S$503,'Daily Data'!$B$4:$B$503,$B$5,'Daily Data'!$A$4:$A$503,$AA36)))</f>
        <v>#N/A</v>
      </c>
      <c r="T36" s="117" t="e">
        <f>IF($AA36="",NA(),$AA36)</f>
        <v>#N/A</v>
      </c>
      <c r="U36" s="116" t="e">
        <f>IF($AA36="",NA(),IF(COUNTIFS('Daily Data'!$B$4:$B$503,$B$4,'Daily Data'!$A$4:$A$503,$AA36)=0,NA(),SUMIFS('Daily Data'!$AH$4:$AH$503,'Daily Data'!$B$4:$B$503,$B$4,'Daily Data'!$A$4:$A$503,$AA36)))</f>
        <v>#N/A</v>
      </c>
      <c r="V36" s="116" t="e">
        <f>IF($AA36="",NA(),IF(COUNTIFS('Daily Data'!$B$4:$B$503,$B$5,'Daily Data'!$A$4:$A$503,$AA36)=0,NA(),SUMIFS('Daily Data'!$AH$4:$AH$503,'Daily Data'!$B$4:$B$503,$B$5,'Daily Data'!$A$4:$A$503,$AA36)))</f>
        <v>#N/A</v>
      </c>
      <c r="Z36" s="116" t="str">
        <f>IF(COUNTIF('Daily Data'!$B$4:$B$503,$B$4)-30+ROW()-27&lt;1,"",COUNTIF('Daily Data'!$B$4:$B$503,$B$4)-30+ROW()-27)</f>
        <v/>
      </c>
      <c r="AA36" s="117" t="str">
        <f>IF($Z36="","",SUMIFS('Daily Data'!$A$4:$A$503,'Daily Data'!$B$4:$B$503,$B$4,'Daily Data'!$AK$4:$AK$503,$Z36))</f>
        <v/>
      </c>
      <c r="AB36" s="116" t="str">
        <f>IF($AA36="","",SUMIFS('Daily Data'!$E$4:$E$503,'Daily Data'!$B$4:$B$503,$B$4,'Daily Data'!$A$4:$A$503,$AA36))</f>
        <v/>
      </c>
      <c r="AC36" s="116" t="str">
        <f>IF($AA36="","",SUMIFS('Daily Data'!$E$4:$E$503,'Daily Data'!$B$4:$B$503,$B$5,'Daily Data'!$A$4:$A$503,$AA36))</f>
        <v/>
      </c>
    </row>
    <row r="37" spans="8:29" x14ac:dyDescent="0.3">
      <c r="H37" s="117" t="e">
        <f>IF($AA37="",NA(),$AA37)</f>
        <v>#N/A</v>
      </c>
      <c r="I37" s="149" t="e">
        <f>IF(OR($AB37="",N($AB37)=0,N($AE$28)=0),NA(),$AB37/$AE$28*100)</f>
        <v>#N/A</v>
      </c>
      <c r="J37" s="149" t="e">
        <f>IF(OR($AC37="",N($AC37)=0,N($AE$29)=0),NA(),$AC37/$AE$29*100)</f>
        <v>#N/A</v>
      </c>
      <c r="L37" s="117" t="e">
        <f>IF($AA37="",NA(),$AA37)</f>
        <v>#N/A</v>
      </c>
      <c r="M37" s="116" t="e">
        <f>IF($AA37="",NA(),IF(COUNTIFS('Daily Data'!$B$4:$B$503,$B$4,'Daily Data'!$A$4:$A$503,$AA37)=0,NA(),SUMIFS('Daily Data'!$K$4:$K$503,'Daily Data'!$B$4:$B$503,$B$4,'Daily Data'!$A$4:$A$503,$AA37)))</f>
        <v>#N/A</v>
      </c>
      <c r="N37" s="116" t="e">
        <f>IF($AA37="",NA(),IF(COUNTIFS('Daily Data'!$B$4:$B$503,$B$5,'Daily Data'!$A$4:$A$503,$AA37)=0,NA(),SUMIFS('Daily Data'!$K$4:$K$503,'Daily Data'!$B$4:$B$503,$B$5,'Daily Data'!$A$4:$A$503,$AA37)))</f>
        <v>#N/A</v>
      </c>
      <c r="P37" s="117" t="e">
        <f>IF($AA37="",NA(),$AA37)</f>
        <v>#N/A</v>
      </c>
      <c r="Q37" s="116" t="e">
        <f>IF($AA37="",NA(),IF(COUNTIFS('Daily Data'!$B$4:$B$503,$B$4,'Daily Data'!$A$4:$A$503,$AA37)=0,NA(),SUMIFS('Daily Data'!$S$4:$S$503,'Daily Data'!$B$4:$B$503,$B$4,'Daily Data'!$A$4:$A$503,$AA37)))</f>
        <v>#N/A</v>
      </c>
      <c r="R37" s="116" t="e">
        <f>IF($AA37="",NA(),IF(COUNTIFS('Daily Data'!$B$4:$B$503,$B$5,'Daily Data'!$A$4:$A$503,$AA37)=0,NA(),SUMIFS('Daily Data'!$S$4:$S$503,'Daily Data'!$B$4:$B$503,$B$5,'Daily Data'!$A$4:$A$503,$AA37)))</f>
        <v>#N/A</v>
      </c>
      <c r="T37" s="117" t="e">
        <f>IF($AA37="",NA(),$AA37)</f>
        <v>#N/A</v>
      </c>
      <c r="U37" s="116" t="e">
        <f>IF($AA37="",NA(),IF(COUNTIFS('Daily Data'!$B$4:$B$503,$B$4,'Daily Data'!$A$4:$A$503,$AA37)=0,NA(),SUMIFS('Daily Data'!$AH$4:$AH$503,'Daily Data'!$B$4:$B$503,$B$4,'Daily Data'!$A$4:$A$503,$AA37)))</f>
        <v>#N/A</v>
      </c>
      <c r="V37" s="116" t="e">
        <f>IF($AA37="",NA(),IF(COUNTIFS('Daily Data'!$B$4:$B$503,$B$5,'Daily Data'!$A$4:$A$503,$AA37)=0,NA(),SUMIFS('Daily Data'!$AH$4:$AH$503,'Daily Data'!$B$4:$B$503,$B$5,'Daily Data'!$A$4:$A$503,$AA37)))</f>
        <v>#N/A</v>
      </c>
      <c r="Z37" s="116" t="str">
        <f>IF(COUNTIF('Daily Data'!$B$4:$B$503,$B$4)-30+ROW()-27&lt;1,"",COUNTIF('Daily Data'!$B$4:$B$503,$B$4)-30+ROW()-27)</f>
        <v/>
      </c>
      <c r="AA37" s="117" t="str">
        <f>IF($Z37="","",SUMIFS('Daily Data'!$A$4:$A$503,'Daily Data'!$B$4:$B$503,$B$4,'Daily Data'!$AK$4:$AK$503,$Z37))</f>
        <v/>
      </c>
      <c r="AB37" s="116" t="str">
        <f>IF($AA37="","",SUMIFS('Daily Data'!$E$4:$E$503,'Daily Data'!$B$4:$B$503,$B$4,'Daily Data'!$A$4:$A$503,$AA37))</f>
        <v/>
      </c>
      <c r="AC37" s="116" t="str">
        <f>IF($AA37="","",SUMIFS('Daily Data'!$E$4:$E$503,'Daily Data'!$B$4:$B$503,$B$5,'Daily Data'!$A$4:$A$503,$AA37))</f>
        <v/>
      </c>
    </row>
    <row r="38" spans="8:29" x14ac:dyDescent="0.3">
      <c r="H38" s="117" t="e">
        <f>IF($AA38="",NA(),$AA38)</f>
        <v>#N/A</v>
      </c>
      <c r="I38" s="149" t="e">
        <f>IF(OR($AB38="",N($AB38)=0,N($AE$28)=0),NA(),$AB38/$AE$28*100)</f>
        <v>#N/A</v>
      </c>
      <c r="J38" s="149" t="e">
        <f>IF(OR($AC38="",N($AC38)=0,N($AE$29)=0),NA(),$AC38/$AE$29*100)</f>
        <v>#N/A</v>
      </c>
      <c r="L38" s="117" t="e">
        <f>IF($AA38="",NA(),$AA38)</f>
        <v>#N/A</v>
      </c>
      <c r="M38" s="116" t="e">
        <f>IF($AA38="",NA(),IF(COUNTIFS('Daily Data'!$B$4:$B$503,$B$4,'Daily Data'!$A$4:$A$503,$AA38)=0,NA(),SUMIFS('Daily Data'!$K$4:$K$503,'Daily Data'!$B$4:$B$503,$B$4,'Daily Data'!$A$4:$A$503,$AA38)))</f>
        <v>#N/A</v>
      </c>
      <c r="N38" s="116" t="e">
        <f>IF($AA38="",NA(),IF(COUNTIFS('Daily Data'!$B$4:$B$503,$B$5,'Daily Data'!$A$4:$A$503,$AA38)=0,NA(),SUMIFS('Daily Data'!$K$4:$K$503,'Daily Data'!$B$4:$B$503,$B$5,'Daily Data'!$A$4:$A$503,$AA38)))</f>
        <v>#N/A</v>
      </c>
      <c r="P38" s="117" t="e">
        <f>IF($AA38="",NA(),$AA38)</f>
        <v>#N/A</v>
      </c>
      <c r="Q38" s="116" t="e">
        <f>IF($AA38="",NA(),IF(COUNTIFS('Daily Data'!$B$4:$B$503,$B$4,'Daily Data'!$A$4:$A$503,$AA38)=0,NA(),SUMIFS('Daily Data'!$S$4:$S$503,'Daily Data'!$B$4:$B$503,$B$4,'Daily Data'!$A$4:$A$503,$AA38)))</f>
        <v>#N/A</v>
      </c>
      <c r="R38" s="116" t="e">
        <f>IF($AA38="",NA(),IF(COUNTIFS('Daily Data'!$B$4:$B$503,$B$5,'Daily Data'!$A$4:$A$503,$AA38)=0,NA(),SUMIFS('Daily Data'!$S$4:$S$503,'Daily Data'!$B$4:$B$503,$B$5,'Daily Data'!$A$4:$A$503,$AA38)))</f>
        <v>#N/A</v>
      </c>
      <c r="T38" s="117" t="e">
        <f>IF($AA38="",NA(),$AA38)</f>
        <v>#N/A</v>
      </c>
      <c r="U38" s="116" t="e">
        <f>IF($AA38="",NA(),IF(COUNTIFS('Daily Data'!$B$4:$B$503,$B$4,'Daily Data'!$A$4:$A$503,$AA38)=0,NA(),SUMIFS('Daily Data'!$AH$4:$AH$503,'Daily Data'!$B$4:$B$503,$B$4,'Daily Data'!$A$4:$A$503,$AA38)))</f>
        <v>#N/A</v>
      </c>
      <c r="V38" s="116" t="e">
        <f>IF($AA38="",NA(),IF(COUNTIFS('Daily Data'!$B$4:$B$503,$B$5,'Daily Data'!$A$4:$A$503,$AA38)=0,NA(),SUMIFS('Daily Data'!$AH$4:$AH$503,'Daily Data'!$B$4:$B$503,$B$5,'Daily Data'!$A$4:$A$503,$AA38)))</f>
        <v>#N/A</v>
      </c>
      <c r="Z38" s="116" t="str">
        <f>IF(COUNTIF('Daily Data'!$B$4:$B$503,$B$4)-30+ROW()-27&lt;1,"",COUNTIF('Daily Data'!$B$4:$B$503,$B$4)-30+ROW()-27)</f>
        <v/>
      </c>
      <c r="AA38" s="117" t="str">
        <f>IF($Z38="","",SUMIFS('Daily Data'!$A$4:$A$503,'Daily Data'!$B$4:$B$503,$B$4,'Daily Data'!$AK$4:$AK$503,$Z38))</f>
        <v/>
      </c>
      <c r="AB38" s="116" t="str">
        <f>IF($AA38="","",SUMIFS('Daily Data'!$E$4:$E$503,'Daily Data'!$B$4:$B$503,$B$4,'Daily Data'!$A$4:$A$503,$AA38))</f>
        <v/>
      </c>
      <c r="AC38" s="116" t="str">
        <f>IF($AA38="","",SUMIFS('Daily Data'!$E$4:$E$503,'Daily Data'!$B$4:$B$503,$B$5,'Daily Data'!$A$4:$A$503,$AA38))</f>
        <v/>
      </c>
    </row>
    <row r="39" spans="8:29" x14ac:dyDescent="0.3">
      <c r="H39" s="117" t="e">
        <f>IF($AA39="",NA(),$AA39)</f>
        <v>#N/A</v>
      </c>
      <c r="I39" s="149" t="e">
        <f>IF(OR($AB39="",N($AB39)=0,N($AE$28)=0),NA(),$AB39/$AE$28*100)</f>
        <v>#N/A</v>
      </c>
      <c r="J39" s="149" t="e">
        <f>IF(OR($AC39="",N($AC39)=0,N($AE$29)=0),NA(),$AC39/$AE$29*100)</f>
        <v>#N/A</v>
      </c>
      <c r="L39" s="117" t="e">
        <f>IF($AA39="",NA(),$AA39)</f>
        <v>#N/A</v>
      </c>
      <c r="M39" s="116" t="e">
        <f>IF($AA39="",NA(),IF(COUNTIFS('Daily Data'!$B$4:$B$503,$B$4,'Daily Data'!$A$4:$A$503,$AA39)=0,NA(),SUMIFS('Daily Data'!$K$4:$K$503,'Daily Data'!$B$4:$B$503,$B$4,'Daily Data'!$A$4:$A$503,$AA39)))</f>
        <v>#N/A</v>
      </c>
      <c r="N39" s="116" t="e">
        <f>IF($AA39="",NA(),IF(COUNTIFS('Daily Data'!$B$4:$B$503,$B$5,'Daily Data'!$A$4:$A$503,$AA39)=0,NA(),SUMIFS('Daily Data'!$K$4:$K$503,'Daily Data'!$B$4:$B$503,$B$5,'Daily Data'!$A$4:$A$503,$AA39)))</f>
        <v>#N/A</v>
      </c>
      <c r="P39" s="117" t="e">
        <f>IF($AA39="",NA(),$AA39)</f>
        <v>#N/A</v>
      </c>
      <c r="Q39" s="116" t="e">
        <f>IF($AA39="",NA(),IF(COUNTIFS('Daily Data'!$B$4:$B$503,$B$4,'Daily Data'!$A$4:$A$503,$AA39)=0,NA(),SUMIFS('Daily Data'!$S$4:$S$503,'Daily Data'!$B$4:$B$503,$B$4,'Daily Data'!$A$4:$A$503,$AA39)))</f>
        <v>#N/A</v>
      </c>
      <c r="R39" s="116" t="e">
        <f>IF($AA39="",NA(),IF(COUNTIFS('Daily Data'!$B$4:$B$503,$B$5,'Daily Data'!$A$4:$A$503,$AA39)=0,NA(),SUMIFS('Daily Data'!$S$4:$S$503,'Daily Data'!$B$4:$B$503,$B$5,'Daily Data'!$A$4:$A$503,$AA39)))</f>
        <v>#N/A</v>
      </c>
      <c r="T39" s="117" t="e">
        <f>IF($AA39="",NA(),$AA39)</f>
        <v>#N/A</v>
      </c>
      <c r="U39" s="116" t="e">
        <f>IF($AA39="",NA(),IF(COUNTIFS('Daily Data'!$B$4:$B$503,$B$4,'Daily Data'!$A$4:$A$503,$AA39)=0,NA(),SUMIFS('Daily Data'!$AH$4:$AH$503,'Daily Data'!$B$4:$B$503,$B$4,'Daily Data'!$A$4:$A$503,$AA39)))</f>
        <v>#N/A</v>
      </c>
      <c r="V39" s="116" t="e">
        <f>IF($AA39="",NA(),IF(COUNTIFS('Daily Data'!$B$4:$B$503,$B$5,'Daily Data'!$A$4:$A$503,$AA39)=0,NA(),SUMIFS('Daily Data'!$AH$4:$AH$503,'Daily Data'!$B$4:$B$503,$B$5,'Daily Data'!$A$4:$A$503,$AA39)))</f>
        <v>#N/A</v>
      </c>
      <c r="Z39" s="116" t="str">
        <f>IF(COUNTIF('Daily Data'!$B$4:$B$503,$B$4)-30+ROW()-27&lt;1,"",COUNTIF('Daily Data'!$B$4:$B$503,$B$4)-30+ROW()-27)</f>
        <v/>
      </c>
      <c r="AA39" s="117" t="str">
        <f>IF($Z39="","",SUMIFS('Daily Data'!$A$4:$A$503,'Daily Data'!$B$4:$B$503,$B$4,'Daily Data'!$AK$4:$AK$503,$Z39))</f>
        <v/>
      </c>
      <c r="AB39" s="116" t="str">
        <f>IF($AA39="","",SUMIFS('Daily Data'!$E$4:$E$503,'Daily Data'!$B$4:$B$503,$B$4,'Daily Data'!$A$4:$A$503,$AA39))</f>
        <v/>
      </c>
      <c r="AC39" s="116" t="str">
        <f>IF($AA39="","",SUMIFS('Daily Data'!$E$4:$E$503,'Daily Data'!$B$4:$B$503,$B$5,'Daily Data'!$A$4:$A$503,$AA39))</f>
        <v/>
      </c>
    </row>
    <row r="40" spans="8:29" x14ac:dyDescent="0.3">
      <c r="H40" s="117" t="e">
        <f>IF($AA40="",NA(),$AA40)</f>
        <v>#N/A</v>
      </c>
      <c r="I40" s="149" t="e">
        <f>IF(OR($AB40="",N($AB40)=0,N($AE$28)=0),NA(),$AB40/$AE$28*100)</f>
        <v>#N/A</v>
      </c>
      <c r="J40" s="149" t="e">
        <f>IF(OR($AC40="",N($AC40)=0,N($AE$29)=0),NA(),$AC40/$AE$29*100)</f>
        <v>#N/A</v>
      </c>
      <c r="L40" s="117" t="e">
        <f>IF($AA40="",NA(),$AA40)</f>
        <v>#N/A</v>
      </c>
      <c r="M40" s="116" t="e">
        <f>IF($AA40="",NA(),IF(COUNTIFS('Daily Data'!$B$4:$B$503,$B$4,'Daily Data'!$A$4:$A$503,$AA40)=0,NA(),SUMIFS('Daily Data'!$K$4:$K$503,'Daily Data'!$B$4:$B$503,$B$4,'Daily Data'!$A$4:$A$503,$AA40)))</f>
        <v>#N/A</v>
      </c>
      <c r="N40" s="116" t="e">
        <f>IF($AA40="",NA(),IF(COUNTIFS('Daily Data'!$B$4:$B$503,$B$5,'Daily Data'!$A$4:$A$503,$AA40)=0,NA(),SUMIFS('Daily Data'!$K$4:$K$503,'Daily Data'!$B$4:$B$503,$B$5,'Daily Data'!$A$4:$A$503,$AA40)))</f>
        <v>#N/A</v>
      </c>
      <c r="P40" s="117" t="e">
        <f>IF($AA40="",NA(),$AA40)</f>
        <v>#N/A</v>
      </c>
      <c r="Q40" s="116" t="e">
        <f>IF($AA40="",NA(),IF(COUNTIFS('Daily Data'!$B$4:$B$503,$B$4,'Daily Data'!$A$4:$A$503,$AA40)=0,NA(),SUMIFS('Daily Data'!$S$4:$S$503,'Daily Data'!$B$4:$B$503,$B$4,'Daily Data'!$A$4:$A$503,$AA40)))</f>
        <v>#N/A</v>
      </c>
      <c r="R40" s="116" t="e">
        <f>IF($AA40="",NA(),IF(COUNTIFS('Daily Data'!$B$4:$B$503,$B$5,'Daily Data'!$A$4:$A$503,$AA40)=0,NA(),SUMIFS('Daily Data'!$S$4:$S$503,'Daily Data'!$B$4:$B$503,$B$5,'Daily Data'!$A$4:$A$503,$AA40)))</f>
        <v>#N/A</v>
      </c>
      <c r="T40" s="117" t="e">
        <f>IF($AA40="",NA(),$AA40)</f>
        <v>#N/A</v>
      </c>
      <c r="U40" s="116" t="e">
        <f>IF($AA40="",NA(),IF(COUNTIFS('Daily Data'!$B$4:$B$503,$B$4,'Daily Data'!$A$4:$A$503,$AA40)=0,NA(),SUMIFS('Daily Data'!$AH$4:$AH$503,'Daily Data'!$B$4:$B$503,$B$4,'Daily Data'!$A$4:$A$503,$AA40)))</f>
        <v>#N/A</v>
      </c>
      <c r="V40" s="116" t="e">
        <f>IF($AA40="",NA(),IF(COUNTIFS('Daily Data'!$B$4:$B$503,$B$5,'Daily Data'!$A$4:$A$503,$AA40)=0,NA(),SUMIFS('Daily Data'!$AH$4:$AH$503,'Daily Data'!$B$4:$B$503,$B$5,'Daily Data'!$A$4:$A$503,$AA40)))</f>
        <v>#N/A</v>
      </c>
      <c r="Z40" s="116" t="str">
        <f>IF(COUNTIF('Daily Data'!$B$4:$B$503,$B$4)-30+ROW()-27&lt;1,"",COUNTIF('Daily Data'!$B$4:$B$503,$B$4)-30+ROW()-27)</f>
        <v/>
      </c>
      <c r="AA40" s="117" t="str">
        <f>IF($Z40="","",SUMIFS('Daily Data'!$A$4:$A$503,'Daily Data'!$B$4:$B$503,$B$4,'Daily Data'!$AK$4:$AK$503,$Z40))</f>
        <v/>
      </c>
      <c r="AB40" s="116" t="str">
        <f>IF($AA40="","",SUMIFS('Daily Data'!$E$4:$E$503,'Daily Data'!$B$4:$B$503,$B$4,'Daily Data'!$A$4:$A$503,$AA40))</f>
        <v/>
      </c>
      <c r="AC40" s="116" t="str">
        <f>IF($AA40="","",SUMIFS('Daily Data'!$E$4:$E$503,'Daily Data'!$B$4:$B$503,$B$5,'Daily Data'!$A$4:$A$503,$AA40))</f>
        <v/>
      </c>
    </row>
    <row r="41" spans="8:29" x14ac:dyDescent="0.3">
      <c r="H41" s="117" t="e">
        <f>IF($AA41="",NA(),$AA41)</f>
        <v>#N/A</v>
      </c>
      <c r="I41" s="149" t="e">
        <f>IF(OR($AB41="",N($AB41)=0,N($AE$28)=0),NA(),$AB41/$AE$28*100)</f>
        <v>#N/A</v>
      </c>
      <c r="J41" s="149" t="e">
        <f>IF(OR($AC41="",N($AC41)=0,N($AE$29)=0),NA(),$AC41/$AE$29*100)</f>
        <v>#N/A</v>
      </c>
      <c r="L41" s="117" t="e">
        <f>IF($AA41="",NA(),$AA41)</f>
        <v>#N/A</v>
      </c>
      <c r="M41" s="116" t="e">
        <f>IF($AA41="",NA(),IF(COUNTIFS('Daily Data'!$B$4:$B$503,$B$4,'Daily Data'!$A$4:$A$503,$AA41)=0,NA(),SUMIFS('Daily Data'!$K$4:$K$503,'Daily Data'!$B$4:$B$503,$B$4,'Daily Data'!$A$4:$A$503,$AA41)))</f>
        <v>#N/A</v>
      </c>
      <c r="N41" s="116" t="e">
        <f>IF($AA41="",NA(),IF(COUNTIFS('Daily Data'!$B$4:$B$503,$B$5,'Daily Data'!$A$4:$A$503,$AA41)=0,NA(),SUMIFS('Daily Data'!$K$4:$K$503,'Daily Data'!$B$4:$B$503,$B$5,'Daily Data'!$A$4:$A$503,$AA41)))</f>
        <v>#N/A</v>
      </c>
      <c r="P41" s="117" t="e">
        <f>IF($AA41="",NA(),$AA41)</f>
        <v>#N/A</v>
      </c>
      <c r="Q41" s="116" t="e">
        <f>IF($AA41="",NA(),IF(COUNTIFS('Daily Data'!$B$4:$B$503,$B$4,'Daily Data'!$A$4:$A$503,$AA41)=0,NA(),SUMIFS('Daily Data'!$S$4:$S$503,'Daily Data'!$B$4:$B$503,$B$4,'Daily Data'!$A$4:$A$503,$AA41)))</f>
        <v>#N/A</v>
      </c>
      <c r="R41" s="116" t="e">
        <f>IF($AA41="",NA(),IF(COUNTIFS('Daily Data'!$B$4:$B$503,$B$5,'Daily Data'!$A$4:$A$503,$AA41)=0,NA(),SUMIFS('Daily Data'!$S$4:$S$503,'Daily Data'!$B$4:$B$503,$B$5,'Daily Data'!$A$4:$A$503,$AA41)))</f>
        <v>#N/A</v>
      </c>
      <c r="T41" s="117" t="e">
        <f>IF($AA41="",NA(),$AA41)</f>
        <v>#N/A</v>
      </c>
      <c r="U41" s="116" t="e">
        <f>IF($AA41="",NA(),IF(COUNTIFS('Daily Data'!$B$4:$B$503,$B$4,'Daily Data'!$A$4:$A$503,$AA41)=0,NA(),SUMIFS('Daily Data'!$AH$4:$AH$503,'Daily Data'!$B$4:$B$503,$B$4,'Daily Data'!$A$4:$A$503,$AA41)))</f>
        <v>#N/A</v>
      </c>
      <c r="V41" s="116" t="e">
        <f>IF($AA41="",NA(),IF(COUNTIFS('Daily Data'!$B$4:$B$503,$B$5,'Daily Data'!$A$4:$A$503,$AA41)=0,NA(),SUMIFS('Daily Data'!$AH$4:$AH$503,'Daily Data'!$B$4:$B$503,$B$5,'Daily Data'!$A$4:$A$503,$AA41)))</f>
        <v>#N/A</v>
      </c>
      <c r="Z41" s="116" t="str">
        <f>IF(COUNTIF('Daily Data'!$B$4:$B$503,$B$4)-30+ROW()-27&lt;1,"",COUNTIF('Daily Data'!$B$4:$B$503,$B$4)-30+ROW()-27)</f>
        <v/>
      </c>
      <c r="AA41" s="117" t="str">
        <f>IF($Z41="","",SUMIFS('Daily Data'!$A$4:$A$503,'Daily Data'!$B$4:$B$503,$B$4,'Daily Data'!$AK$4:$AK$503,$Z41))</f>
        <v/>
      </c>
      <c r="AB41" s="116" t="str">
        <f>IF($AA41="","",SUMIFS('Daily Data'!$E$4:$E$503,'Daily Data'!$B$4:$B$503,$B$4,'Daily Data'!$A$4:$A$503,$AA41))</f>
        <v/>
      </c>
      <c r="AC41" s="116" t="str">
        <f>IF($AA41="","",SUMIFS('Daily Data'!$E$4:$E$503,'Daily Data'!$B$4:$B$503,$B$5,'Daily Data'!$A$4:$A$503,$AA41))</f>
        <v/>
      </c>
    </row>
    <row r="42" spans="8:29" x14ac:dyDescent="0.3">
      <c r="H42" s="117" t="e">
        <f>IF($AA42="",NA(),$AA42)</f>
        <v>#N/A</v>
      </c>
      <c r="I42" s="149" t="e">
        <f>IF(OR($AB42="",N($AB42)=0,N($AE$28)=0),NA(),$AB42/$AE$28*100)</f>
        <v>#N/A</v>
      </c>
      <c r="J42" s="149" t="e">
        <f>IF(OR($AC42="",N($AC42)=0,N($AE$29)=0),NA(),$AC42/$AE$29*100)</f>
        <v>#N/A</v>
      </c>
      <c r="L42" s="117" t="e">
        <f>IF($AA42="",NA(),$AA42)</f>
        <v>#N/A</v>
      </c>
      <c r="M42" s="116" t="e">
        <f>IF($AA42="",NA(),IF(COUNTIFS('Daily Data'!$B$4:$B$503,$B$4,'Daily Data'!$A$4:$A$503,$AA42)=0,NA(),SUMIFS('Daily Data'!$K$4:$K$503,'Daily Data'!$B$4:$B$503,$B$4,'Daily Data'!$A$4:$A$503,$AA42)))</f>
        <v>#N/A</v>
      </c>
      <c r="N42" s="116" t="e">
        <f>IF($AA42="",NA(),IF(COUNTIFS('Daily Data'!$B$4:$B$503,$B$5,'Daily Data'!$A$4:$A$503,$AA42)=0,NA(),SUMIFS('Daily Data'!$K$4:$K$503,'Daily Data'!$B$4:$B$503,$B$5,'Daily Data'!$A$4:$A$503,$AA42)))</f>
        <v>#N/A</v>
      </c>
      <c r="P42" s="117" t="e">
        <f>IF($AA42="",NA(),$AA42)</f>
        <v>#N/A</v>
      </c>
      <c r="Q42" s="116" t="e">
        <f>IF($AA42="",NA(),IF(COUNTIFS('Daily Data'!$B$4:$B$503,$B$4,'Daily Data'!$A$4:$A$503,$AA42)=0,NA(),SUMIFS('Daily Data'!$S$4:$S$503,'Daily Data'!$B$4:$B$503,$B$4,'Daily Data'!$A$4:$A$503,$AA42)))</f>
        <v>#N/A</v>
      </c>
      <c r="R42" s="116" t="e">
        <f>IF($AA42="",NA(),IF(COUNTIFS('Daily Data'!$B$4:$B$503,$B$5,'Daily Data'!$A$4:$A$503,$AA42)=0,NA(),SUMIFS('Daily Data'!$S$4:$S$503,'Daily Data'!$B$4:$B$503,$B$5,'Daily Data'!$A$4:$A$503,$AA42)))</f>
        <v>#N/A</v>
      </c>
      <c r="T42" s="117" t="e">
        <f>IF($AA42="",NA(),$AA42)</f>
        <v>#N/A</v>
      </c>
      <c r="U42" s="116" t="e">
        <f>IF($AA42="",NA(),IF(COUNTIFS('Daily Data'!$B$4:$B$503,$B$4,'Daily Data'!$A$4:$A$503,$AA42)=0,NA(),SUMIFS('Daily Data'!$AH$4:$AH$503,'Daily Data'!$B$4:$B$503,$B$4,'Daily Data'!$A$4:$A$503,$AA42)))</f>
        <v>#N/A</v>
      </c>
      <c r="V42" s="116" t="e">
        <f>IF($AA42="",NA(),IF(COUNTIFS('Daily Data'!$B$4:$B$503,$B$5,'Daily Data'!$A$4:$A$503,$AA42)=0,NA(),SUMIFS('Daily Data'!$AH$4:$AH$503,'Daily Data'!$B$4:$B$503,$B$5,'Daily Data'!$A$4:$A$503,$AA42)))</f>
        <v>#N/A</v>
      </c>
      <c r="Z42" s="116" t="str">
        <f>IF(COUNTIF('Daily Data'!$B$4:$B$503,$B$4)-30+ROW()-27&lt;1,"",COUNTIF('Daily Data'!$B$4:$B$503,$B$4)-30+ROW()-27)</f>
        <v/>
      </c>
      <c r="AA42" s="117" t="str">
        <f>IF($Z42="","",SUMIFS('Daily Data'!$A$4:$A$503,'Daily Data'!$B$4:$B$503,$B$4,'Daily Data'!$AK$4:$AK$503,$Z42))</f>
        <v/>
      </c>
      <c r="AB42" s="116" t="str">
        <f>IF($AA42="","",SUMIFS('Daily Data'!$E$4:$E$503,'Daily Data'!$B$4:$B$503,$B$4,'Daily Data'!$A$4:$A$503,$AA42))</f>
        <v/>
      </c>
      <c r="AC42" s="116" t="str">
        <f>IF($AA42="","",SUMIFS('Daily Data'!$E$4:$E$503,'Daily Data'!$B$4:$B$503,$B$5,'Daily Data'!$A$4:$A$503,$AA42))</f>
        <v/>
      </c>
    </row>
    <row r="43" spans="8:29" x14ac:dyDescent="0.3">
      <c r="H43" s="117" t="e">
        <f>IF($AA43="",NA(),$AA43)</f>
        <v>#N/A</v>
      </c>
      <c r="I43" s="149" t="e">
        <f>IF(OR($AB43="",N($AB43)=0,N($AE$28)=0),NA(),$AB43/$AE$28*100)</f>
        <v>#N/A</v>
      </c>
      <c r="J43" s="149" t="e">
        <f>IF(OR($AC43="",N($AC43)=0,N($AE$29)=0),NA(),$AC43/$AE$29*100)</f>
        <v>#N/A</v>
      </c>
      <c r="L43" s="117" t="e">
        <f>IF($AA43="",NA(),$AA43)</f>
        <v>#N/A</v>
      </c>
      <c r="M43" s="116" t="e">
        <f>IF($AA43="",NA(),IF(COUNTIFS('Daily Data'!$B$4:$B$503,$B$4,'Daily Data'!$A$4:$A$503,$AA43)=0,NA(),SUMIFS('Daily Data'!$K$4:$K$503,'Daily Data'!$B$4:$B$503,$B$4,'Daily Data'!$A$4:$A$503,$AA43)))</f>
        <v>#N/A</v>
      </c>
      <c r="N43" s="116" t="e">
        <f>IF($AA43="",NA(),IF(COUNTIFS('Daily Data'!$B$4:$B$503,$B$5,'Daily Data'!$A$4:$A$503,$AA43)=0,NA(),SUMIFS('Daily Data'!$K$4:$K$503,'Daily Data'!$B$4:$B$503,$B$5,'Daily Data'!$A$4:$A$503,$AA43)))</f>
        <v>#N/A</v>
      </c>
      <c r="P43" s="117" t="e">
        <f>IF($AA43="",NA(),$AA43)</f>
        <v>#N/A</v>
      </c>
      <c r="Q43" s="116" t="e">
        <f>IF($AA43="",NA(),IF(COUNTIFS('Daily Data'!$B$4:$B$503,$B$4,'Daily Data'!$A$4:$A$503,$AA43)=0,NA(),SUMIFS('Daily Data'!$S$4:$S$503,'Daily Data'!$B$4:$B$503,$B$4,'Daily Data'!$A$4:$A$503,$AA43)))</f>
        <v>#N/A</v>
      </c>
      <c r="R43" s="116" t="e">
        <f>IF($AA43="",NA(),IF(COUNTIFS('Daily Data'!$B$4:$B$503,$B$5,'Daily Data'!$A$4:$A$503,$AA43)=0,NA(),SUMIFS('Daily Data'!$S$4:$S$503,'Daily Data'!$B$4:$B$503,$B$5,'Daily Data'!$A$4:$A$503,$AA43)))</f>
        <v>#N/A</v>
      </c>
      <c r="T43" s="117" t="e">
        <f>IF($AA43="",NA(),$AA43)</f>
        <v>#N/A</v>
      </c>
      <c r="U43" s="116" t="e">
        <f>IF($AA43="",NA(),IF(COUNTIFS('Daily Data'!$B$4:$B$503,$B$4,'Daily Data'!$A$4:$A$503,$AA43)=0,NA(),SUMIFS('Daily Data'!$AH$4:$AH$503,'Daily Data'!$B$4:$B$503,$B$4,'Daily Data'!$A$4:$A$503,$AA43)))</f>
        <v>#N/A</v>
      </c>
      <c r="V43" s="116" t="e">
        <f>IF($AA43="",NA(),IF(COUNTIFS('Daily Data'!$B$4:$B$503,$B$5,'Daily Data'!$A$4:$A$503,$AA43)=0,NA(),SUMIFS('Daily Data'!$AH$4:$AH$503,'Daily Data'!$B$4:$B$503,$B$5,'Daily Data'!$A$4:$A$503,$AA43)))</f>
        <v>#N/A</v>
      </c>
      <c r="Z43" s="116" t="str">
        <f>IF(COUNTIF('Daily Data'!$B$4:$B$503,$B$4)-30+ROW()-27&lt;1,"",COUNTIF('Daily Data'!$B$4:$B$503,$B$4)-30+ROW()-27)</f>
        <v/>
      </c>
      <c r="AA43" s="117" t="str">
        <f>IF($Z43="","",SUMIFS('Daily Data'!$A$4:$A$503,'Daily Data'!$B$4:$B$503,$B$4,'Daily Data'!$AK$4:$AK$503,$Z43))</f>
        <v/>
      </c>
      <c r="AB43" s="116" t="str">
        <f>IF($AA43="","",SUMIFS('Daily Data'!$E$4:$E$503,'Daily Data'!$B$4:$B$503,$B$4,'Daily Data'!$A$4:$A$503,$AA43))</f>
        <v/>
      </c>
      <c r="AC43" s="116" t="str">
        <f>IF($AA43="","",SUMIFS('Daily Data'!$E$4:$E$503,'Daily Data'!$B$4:$B$503,$B$5,'Daily Data'!$A$4:$A$503,$AA43))</f>
        <v/>
      </c>
    </row>
    <row r="44" spans="8:29" x14ac:dyDescent="0.3">
      <c r="H44" s="117" t="e">
        <f>IF($AA44="",NA(),$AA44)</f>
        <v>#N/A</v>
      </c>
      <c r="I44" s="149" t="e">
        <f>IF(OR($AB44="",N($AB44)=0,N($AE$28)=0),NA(),$AB44/$AE$28*100)</f>
        <v>#N/A</v>
      </c>
      <c r="J44" s="149" t="e">
        <f>IF(OR($AC44="",N($AC44)=0,N($AE$29)=0),NA(),$AC44/$AE$29*100)</f>
        <v>#N/A</v>
      </c>
      <c r="L44" s="117" t="e">
        <f>IF($AA44="",NA(),$AA44)</f>
        <v>#N/A</v>
      </c>
      <c r="M44" s="116" t="e">
        <f>IF($AA44="",NA(),IF(COUNTIFS('Daily Data'!$B$4:$B$503,$B$4,'Daily Data'!$A$4:$A$503,$AA44)=0,NA(),SUMIFS('Daily Data'!$K$4:$K$503,'Daily Data'!$B$4:$B$503,$B$4,'Daily Data'!$A$4:$A$503,$AA44)))</f>
        <v>#N/A</v>
      </c>
      <c r="N44" s="116" t="e">
        <f>IF($AA44="",NA(),IF(COUNTIFS('Daily Data'!$B$4:$B$503,$B$5,'Daily Data'!$A$4:$A$503,$AA44)=0,NA(),SUMIFS('Daily Data'!$K$4:$K$503,'Daily Data'!$B$4:$B$503,$B$5,'Daily Data'!$A$4:$A$503,$AA44)))</f>
        <v>#N/A</v>
      </c>
      <c r="P44" s="117" t="e">
        <f>IF($AA44="",NA(),$AA44)</f>
        <v>#N/A</v>
      </c>
      <c r="Q44" s="116" t="e">
        <f>IF($AA44="",NA(),IF(COUNTIFS('Daily Data'!$B$4:$B$503,$B$4,'Daily Data'!$A$4:$A$503,$AA44)=0,NA(),SUMIFS('Daily Data'!$S$4:$S$503,'Daily Data'!$B$4:$B$503,$B$4,'Daily Data'!$A$4:$A$503,$AA44)))</f>
        <v>#N/A</v>
      </c>
      <c r="R44" s="116" t="e">
        <f>IF($AA44="",NA(),IF(COUNTIFS('Daily Data'!$B$4:$B$503,$B$5,'Daily Data'!$A$4:$A$503,$AA44)=0,NA(),SUMIFS('Daily Data'!$S$4:$S$503,'Daily Data'!$B$4:$B$503,$B$5,'Daily Data'!$A$4:$A$503,$AA44)))</f>
        <v>#N/A</v>
      </c>
      <c r="T44" s="117" t="e">
        <f>IF($AA44="",NA(),$AA44)</f>
        <v>#N/A</v>
      </c>
      <c r="U44" s="116" t="e">
        <f>IF($AA44="",NA(),IF(COUNTIFS('Daily Data'!$B$4:$B$503,$B$4,'Daily Data'!$A$4:$A$503,$AA44)=0,NA(),SUMIFS('Daily Data'!$AH$4:$AH$503,'Daily Data'!$B$4:$B$503,$B$4,'Daily Data'!$A$4:$A$503,$AA44)))</f>
        <v>#N/A</v>
      </c>
      <c r="V44" s="116" t="e">
        <f>IF($AA44="",NA(),IF(COUNTIFS('Daily Data'!$B$4:$B$503,$B$5,'Daily Data'!$A$4:$A$503,$AA44)=0,NA(),SUMIFS('Daily Data'!$AH$4:$AH$503,'Daily Data'!$B$4:$B$503,$B$5,'Daily Data'!$A$4:$A$503,$AA44)))</f>
        <v>#N/A</v>
      </c>
      <c r="Z44" s="116" t="str">
        <f>IF(COUNTIF('Daily Data'!$B$4:$B$503,$B$4)-30+ROW()-27&lt;1,"",COUNTIF('Daily Data'!$B$4:$B$503,$B$4)-30+ROW()-27)</f>
        <v/>
      </c>
      <c r="AA44" s="117" t="str">
        <f>IF($Z44="","",SUMIFS('Daily Data'!$A$4:$A$503,'Daily Data'!$B$4:$B$503,$B$4,'Daily Data'!$AK$4:$AK$503,$Z44))</f>
        <v/>
      </c>
      <c r="AB44" s="116" t="str">
        <f>IF($AA44="","",SUMIFS('Daily Data'!$E$4:$E$503,'Daily Data'!$B$4:$B$503,$B$4,'Daily Data'!$A$4:$A$503,$AA44))</f>
        <v/>
      </c>
      <c r="AC44" s="116" t="str">
        <f>IF($AA44="","",SUMIFS('Daily Data'!$E$4:$E$503,'Daily Data'!$B$4:$B$503,$B$5,'Daily Data'!$A$4:$A$503,$AA44))</f>
        <v/>
      </c>
    </row>
    <row r="45" spans="8:29" x14ac:dyDescent="0.3">
      <c r="H45" s="117" t="e">
        <f>IF($AA45="",NA(),$AA45)</f>
        <v>#N/A</v>
      </c>
      <c r="I45" s="149" t="e">
        <f>IF(OR($AB45="",N($AB45)=0,N($AE$28)=0),NA(),$AB45/$AE$28*100)</f>
        <v>#N/A</v>
      </c>
      <c r="J45" s="149" t="e">
        <f>IF(OR($AC45="",N($AC45)=0,N($AE$29)=0),NA(),$AC45/$AE$29*100)</f>
        <v>#N/A</v>
      </c>
      <c r="L45" s="117" t="e">
        <f>IF($AA45="",NA(),$AA45)</f>
        <v>#N/A</v>
      </c>
      <c r="M45" s="116" t="e">
        <f>IF($AA45="",NA(),IF(COUNTIFS('Daily Data'!$B$4:$B$503,$B$4,'Daily Data'!$A$4:$A$503,$AA45)=0,NA(),SUMIFS('Daily Data'!$K$4:$K$503,'Daily Data'!$B$4:$B$503,$B$4,'Daily Data'!$A$4:$A$503,$AA45)))</f>
        <v>#N/A</v>
      </c>
      <c r="N45" s="116" t="e">
        <f>IF($AA45="",NA(),IF(COUNTIFS('Daily Data'!$B$4:$B$503,$B$5,'Daily Data'!$A$4:$A$503,$AA45)=0,NA(),SUMIFS('Daily Data'!$K$4:$K$503,'Daily Data'!$B$4:$B$503,$B$5,'Daily Data'!$A$4:$A$503,$AA45)))</f>
        <v>#N/A</v>
      </c>
      <c r="P45" s="117" t="e">
        <f>IF($AA45="",NA(),$AA45)</f>
        <v>#N/A</v>
      </c>
      <c r="Q45" s="116" t="e">
        <f>IF($AA45="",NA(),IF(COUNTIFS('Daily Data'!$B$4:$B$503,$B$4,'Daily Data'!$A$4:$A$503,$AA45)=0,NA(),SUMIFS('Daily Data'!$S$4:$S$503,'Daily Data'!$B$4:$B$503,$B$4,'Daily Data'!$A$4:$A$503,$AA45)))</f>
        <v>#N/A</v>
      </c>
      <c r="R45" s="116" t="e">
        <f>IF($AA45="",NA(),IF(COUNTIFS('Daily Data'!$B$4:$B$503,$B$5,'Daily Data'!$A$4:$A$503,$AA45)=0,NA(),SUMIFS('Daily Data'!$S$4:$S$503,'Daily Data'!$B$4:$B$503,$B$5,'Daily Data'!$A$4:$A$503,$AA45)))</f>
        <v>#N/A</v>
      </c>
      <c r="T45" s="117" t="e">
        <f>IF($AA45="",NA(),$AA45)</f>
        <v>#N/A</v>
      </c>
      <c r="U45" s="116" t="e">
        <f>IF($AA45="",NA(),IF(COUNTIFS('Daily Data'!$B$4:$B$503,$B$4,'Daily Data'!$A$4:$A$503,$AA45)=0,NA(),SUMIFS('Daily Data'!$AH$4:$AH$503,'Daily Data'!$B$4:$B$503,$B$4,'Daily Data'!$A$4:$A$503,$AA45)))</f>
        <v>#N/A</v>
      </c>
      <c r="V45" s="116" t="e">
        <f>IF($AA45="",NA(),IF(COUNTIFS('Daily Data'!$B$4:$B$503,$B$5,'Daily Data'!$A$4:$A$503,$AA45)=0,NA(),SUMIFS('Daily Data'!$AH$4:$AH$503,'Daily Data'!$B$4:$B$503,$B$5,'Daily Data'!$A$4:$A$503,$AA45)))</f>
        <v>#N/A</v>
      </c>
      <c r="Z45" s="116" t="str">
        <f>IF(COUNTIF('Daily Data'!$B$4:$B$503,$B$4)-30+ROW()-27&lt;1,"",COUNTIF('Daily Data'!$B$4:$B$503,$B$4)-30+ROW()-27)</f>
        <v/>
      </c>
      <c r="AA45" s="117" t="str">
        <f>IF($Z45="","",SUMIFS('Daily Data'!$A$4:$A$503,'Daily Data'!$B$4:$B$503,$B$4,'Daily Data'!$AK$4:$AK$503,$Z45))</f>
        <v/>
      </c>
      <c r="AB45" s="116" t="str">
        <f>IF($AA45="","",SUMIFS('Daily Data'!$E$4:$E$503,'Daily Data'!$B$4:$B$503,$B$4,'Daily Data'!$A$4:$A$503,$AA45))</f>
        <v/>
      </c>
      <c r="AC45" s="116" t="str">
        <f>IF($AA45="","",SUMIFS('Daily Data'!$E$4:$E$503,'Daily Data'!$B$4:$B$503,$B$5,'Daily Data'!$A$4:$A$503,$AA45))</f>
        <v/>
      </c>
    </row>
    <row r="46" spans="8:29" x14ac:dyDescent="0.3">
      <c r="H46" s="117" t="e">
        <f>IF($AA46="",NA(),$AA46)</f>
        <v>#N/A</v>
      </c>
      <c r="I46" s="149" t="e">
        <f>IF(OR($AB46="",N($AB46)=0,N($AE$28)=0),NA(),$AB46/$AE$28*100)</f>
        <v>#N/A</v>
      </c>
      <c r="J46" s="149" t="e">
        <f>IF(OR($AC46="",N($AC46)=0,N($AE$29)=0),NA(),$AC46/$AE$29*100)</f>
        <v>#N/A</v>
      </c>
      <c r="L46" s="117" t="e">
        <f>IF($AA46="",NA(),$AA46)</f>
        <v>#N/A</v>
      </c>
      <c r="M46" s="116" t="e">
        <f>IF($AA46="",NA(),IF(COUNTIFS('Daily Data'!$B$4:$B$503,$B$4,'Daily Data'!$A$4:$A$503,$AA46)=0,NA(),SUMIFS('Daily Data'!$K$4:$K$503,'Daily Data'!$B$4:$B$503,$B$4,'Daily Data'!$A$4:$A$503,$AA46)))</f>
        <v>#N/A</v>
      </c>
      <c r="N46" s="116" t="e">
        <f>IF($AA46="",NA(),IF(COUNTIFS('Daily Data'!$B$4:$B$503,$B$5,'Daily Data'!$A$4:$A$503,$AA46)=0,NA(),SUMIFS('Daily Data'!$K$4:$K$503,'Daily Data'!$B$4:$B$503,$B$5,'Daily Data'!$A$4:$A$503,$AA46)))</f>
        <v>#N/A</v>
      </c>
      <c r="P46" s="117" t="e">
        <f>IF($AA46="",NA(),$AA46)</f>
        <v>#N/A</v>
      </c>
      <c r="Q46" s="116" t="e">
        <f>IF($AA46="",NA(),IF(COUNTIFS('Daily Data'!$B$4:$B$503,$B$4,'Daily Data'!$A$4:$A$503,$AA46)=0,NA(),SUMIFS('Daily Data'!$S$4:$S$503,'Daily Data'!$B$4:$B$503,$B$4,'Daily Data'!$A$4:$A$503,$AA46)))</f>
        <v>#N/A</v>
      </c>
      <c r="R46" s="116" t="e">
        <f>IF($AA46="",NA(),IF(COUNTIFS('Daily Data'!$B$4:$B$503,$B$5,'Daily Data'!$A$4:$A$503,$AA46)=0,NA(),SUMIFS('Daily Data'!$S$4:$S$503,'Daily Data'!$B$4:$B$503,$B$5,'Daily Data'!$A$4:$A$503,$AA46)))</f>
        <v>#N/A</v>
      </c>
      <c r="T46" s="117" t="e">
        <f>IF($AA46="",NA(),$AA46)</f>
        <v>#N/A</v>
      </c>
      <c r="U46" s="116" t="e">
        <f>IF($AA46="",NA(),IF(COUNTIFS('Daily Data'!$B$4:$B$503,$B$4,'Daily Data'!$A$4:$A$503,$AA46)=0,NA(),SUMIFS('Daily Data'!$AH$4:$AH$503,'Daily Data'!$B$4:$B$503,$B$4,'Daily Data'!$A$4:$A$503,$AA46)))</f>
        <v>#N/A</v>
      </c>
      <c r="V46" s="116" t="e">
        <f>IF($AA46="",NA(),IF(COUNTIFS('Daily Data'!$B$4:$B$503,$B$5,'Daily Data'!$A$4:$A$503,$AA46)=0,NA(),SUMIFS('Daily Data'!$AH$4:$AH$503,'Daily Data'!$B$4:$B$503,$B$5,'Daily Data'!$A$4:$A$503,$AA46)))</f>
        <v>#N/A</v>
      </c>
      <c r="Z46" s="116" t="str">
        <f>IF(COUNTIF('Daily Data'!$B$4:$B$503,$B$4)-30+ROW()-27&lt;1,"",COUNTIF('Daily Data'!$B$4:$B$503,$B$4)-30+ROW()-27)</f>
        <v/>
      </c>
      <c r="AA46" s="117" t="str">
        <f>IF($Z46="","",SUMIFS('Daily Data'!$A$4:$A$503,'Daily Data'!$B$4:$B$503,$B$4,'Daily Data'!$AK$4:$AK$503,$Z46))</f>
        <v/>
      </c>
      <c r="AB46" s="116" t="str">
        <f>IF($AA46="","",SUMIFS('Daily Data'!$E$4:$E$503,'Daily Data'!$B$4:$B$503,$B$4,'Daily Data'!$A$4:$A$503,$AA46))</f>
        <v/>
      </c>
      <c r="AC46" s="116" t="str">
        <f>IF($AA46="","",SUMIFS('Daily Data'!$E$4:$E$503,'Daily Data'!$B$4:$B$503,$B$5,'Daily Data'!$A$4:$A$503,$AA46))</f>
        <v/>
      </c>
    </row>
    <row r="47" spans="8:29" x14ac:dyDescent="0.3">
      <c r="H47" s="117" t="e">
        <f>IF($AA47="",NA(),$AA47)</f>
        <v>#N/A</v>
      </c>
      <c r="I47" s="149" t="e">
        <f>IF(OR($AB47="",N($AB47)=0,N($AE$28)=0),NA(),$AB47/$AE$28*100)</f>
        <v>#N/A</v>
      </c>
      <c r="J47" s="149" t="e">
        <f>IF(OR($AC47="",N($AC47)=0,N($AE$29)=0),NA(),$AC47/$AE$29*100)</f>
        <v>#N/A</v>
      </c>
      <c r="L47" s="117" t="e">
        <f>IF($AA47="",NA(),$AA47)</f>
        <v>#N/A</v>
      </c>
      <c r="M47" s="116" t="e">
        <f>IF($AA47="",NA(),IF(COUNTIFS('Daily Data'!$B$4:$B$503,$B$4,'Daily Data'!$A$4:$A$503,$AA47)=0,NA(),SUMIFS('Daily Data'!$K$4:$K$503,'Daily Data'!$B$4:$B$503,$B$4,'Daily Data'!$A$4:$A$503,$AA47)))</f>
        <v>#N/A</v>
      </c>
      <c r="N47" s="116" t="e">
        <f>IF($AA47="",NA(),IF(COUNTIFS('Daily Data'!$B$4:$B$503,$B$5,'Daily Data'!$A$4:$A$503,$AA47)=0,NA(),SUMIFS('Daily Data'!$K$4:$K$503,'Daily Data'!$B$4:$B$503,$B$5,'Daily Data'!$A$4:$A$503,$AA47)))</f>
        <v>#N/A</v>
      </c>
      <c r="P47" s="117" t="e">
        <f>IF($AA47="",NA(),$AA47)</f>
        <v>#N/A</v>
      </c>
      <c r="Q47" s="116" t="e">
        <f>IF($AA47="",NA(),IF(COUNTIFS('Daily Data'!$B$4:$B$503,$B$4,'Daily Data'!$A$4:$A$503,$AA47)=0,NA(),SUMIFS('Daily Data'!$S$4:$S$503,'Daily Data'!$B$4:$B$503,$B$4,'Daily Data'!$A$4:$A$503,$AA47)))</f>
        <v>#N/A</v>
      </c>
      <c r="R47" s="116" t="e">
        <f>IF($AA47="",NA(),IF(COUNTIFS('Daily Data'!$B$4:$B$503,$B$5,'Daily Data'!$A$4:$A$503,$AA47)=0,NA(),SUMIFS('Daily Data'!$S$4:$S$503,'Daily Data'!$B$4:$B$503,$B$5,'Daily Data'!$A$4:$A$503,$AA47)))</f>
        <v>#N/A</v>
      </c>
      <c r="T47" s="117" t="e">
        <f>IF($AA47="",NA(),$AA47)</f>
        <v>#N/A</v>
      </c>
      <c r="U47" s="116" t="e">
        <f>IF($AA47="",NA(),IF(COUNTIFS('Daily Data'!$B$4:$B$503,$B$4,'Daily Data'!$A$4:$A$503,$AA47)=0,NA(),SUMIFS('Daily Data'!$AH$4:$AH$503,'Daily Data'!$B$4:$B$503,$B$4,'Daily Data'!$A$4:$A$503,$AA47)))</f>
        <v>#N/A</v>
      </c>
      <c r="V47" s="116" t="e">
        <f>IF($AA47="",NA(),IF(COUNTIFS('Daily Data'!$B$4:$B$503,$B$5,'Daily Data'!$A$4:$A$503,$AA47)=0,NA(),SUMIFS('Daily Data'!$AH$4:$AH$503,'Daily Data'!$B$4:$B$503,$B$5,'Daily Data'!$A$4:$A$503,$AA47)))</f>
        <v>#N/A</v>
      </c>
      <c r="Z47" s="116" t="str">
        <f>IF(COUNTIF('Daily Data'!$B$4:$B$503,$B$4)-30+ROW()-27&lt;1,"",COUNTIF('Daily Data'!$B$4:$B$503,$B$4)-30+ROW()-27)</f>
        <v/>
      </c>
      <c r="AA47" s="117" t="str">
        <f>IF($Z47="","",SUMIFS('Daily Data'!$A$4:$A$503,'Daily Data'!$B$4:$B$503,$B$4,'Daily Data'!$AK$4:$AK$503,$Z47))</f>
        <v/>
      </c>
      <c r="AB47" s="116" t="str">
        <f>IF($AA47="","",SUMIFS('Daily Data'!$E$4:$E$503,'Daily Data'!$B$4:$B$503,$B$4,'Daily Data'!$A$4:$A$503,$AA47))</f>
        <v/>
      </c>
      <c r="AC47" s="116" t="str">
        <f>IF($AA47="","",SUMIFS('Daily Data'!$E$4:$E$503,'Daily Data'!$B$4:$B$503,$B$5,'Daily Data'!$A$4:$A$503,$AA47))</f>
        <v/>
      </c>
    </row>
    <row r="48" spans="8:29" x14ac:dyDescent="0.3">
      <c r="H48" s="117" t="e">
        <f>IF($AA48="",NA(),$AA48)</f>
        <v>#N/A</v>
      </c>
      <c r="I48" s="149" t="e">
        <f>IF(OR($AB48="",N($AB48)=0,N($AE$28)=0),NA(),$AB48/$AE$28*100)</f>
        <v>#N/A</v>
      </c>
      <c r="J48" s="149" t="e">
        <f>IF(OR($AC48="",N($AC48)=0,N($AE$29)=0),NA(),$AC48/$AE$29*100)</f>
        <v>#N/A</v>
      </c>
      <c r="L48" s="117" t="e">
        <f>IF($AA48="",NA(),$AA48)</f>
        <v>#N/A</v>
      </c>
      <c r="M48" s="116" t="e">
        <f>IF($AA48="",NA(),IF(COUNTIFS('Daily Data'!$B$4:$B$503,$B$4,'Daily Data'!$A$4:$A$503,$AA48)=0,NA(),SUMIFS('Daily Data'!$K$4:$K$503,'Daily Data'!$B$4:$B$503,$B$4,'Daily Data'!$A$4:$A$503,$AA48)))</f>
        <v>#N/A</v>
      </c>
      <c r="N48" s="116" t="e">
        <f>IF($AA48="",NA(),IF(COUNTIFS('Daily Data'!$B$4:$B$503,$B$5,'Daily Data'!$A$4:$A$503,$AA48)=0,NA(),SUMIFS('Daily Data'!$K$4:$K$503,'Daily Data'!$B$4:$B$503,$B$5,'Daily Data'!$A$4:$A$503,$AA48)))</f>
        <v>#N/A</v>
      </c>
      <c r="P48" s="117" t="e">
        <f>IF($AA48="",NA(),$AA48)</f>
        <v>#N/A</v>
      </c>
      <c r="Q48" s="116" t="e">
        <f>IF($AA48="",NA(),IF(COUNTIFS('Daily Data'!$B$4:$B$503,$B$4,'Daily Data'!$A$4:$A$503,$AA48)=0,NA(),SUMIFS('Daily Data'!$S$4:$S$503,'Daily Data'!$B$4:$B$503,$B$4,'Daily Data'!$A$4:$A$503,$AA48)))</f>
        <v>#N/A</v>
      </c>
      <c r="R48" s="116" t="e">
        <f>IF($AA48="",NA(),IF(COUNTIFS('Daily Data'!$B$4:$B$503,$B$5,'Daily Data'!$A$4:$A$503,$AA48)=0,NA(),SUMIFS('Daily Data'!$S$4:$S$503,'Daily Data'!$B$4:$B$503,$B$5,'Daily Data'!$A$4:$A$503,$AA48)))</f>
        <v>#N/A</v>
      </c>
      <c r="T48" s="117" t="e">
        <f>IF($AA48="",NA(),$AA48)</f>
        <v>#N/A</v>
      </c>
      <c r="U48" s="116" t="e">
        <f>IF($AA48="",NA(),IF(COUNTIFS('Daily Data'!$B$4:$B$503,$B$4,'Daily Data'!$A$4:$A$503,$AA48)=0,NA(),SUMIFS('Daily Data'!$AH$4:$AH$503,'Daily Data'!$B$4:$B$503,$B$4,'Daily Data'!$A$4:$A$503,$AA48)))</f>
        <v>#N/A</v>
      </c>
      <c r="V48" s="116" t="e">
        <f>IF($AA48="",NA(),IF(COUNTIFS('Daily Data'!$B$4:$B$503,$B$5,'Daily Data'!$A$4:$A$503,$AA48)=0,NA(),SUMIFS('Daily Data'!$AH$4:$AH$503,'Daily Data'!$B$4:$B$503,$B$5,'Daily Data'!$A$4:$A$503,$AA48)))</f>
        <v>#N/A</v>
      </c>
      <c r="Z48" s="116" t="str">
        <f>IF(COUNTIF('Daily Data'!$B$4:$B$503,$B$4)-30+ROW()-27&lt;1,"",COUNTIF('Daily Data'!$B$4:$B$503,$B$4)-30+ROW()-27)</f>
        <v/>
      </c>
      <c r="AA48" s="117" t="str">
        <f>IF($Z48="","",SUMIFS('Daily Data'!$A$4:$A$503,'Daily Data'!$B$4:$B$503,$B$4,'Daily Data'!$AK$4:$AK$503,$Z48))</f>
        <v/>
      </c>
      <c r="AB48" s="116" t="str">
        <f>IF($AA48="","",SUMIFS('Daily Data'!$E$4:$E$503,'Daily Data'!$B$4:$B$503,$B$4,'Daily Data'!$A$4:$A$503,$AA48))</f>
        <v/>
      </c>
      <c r="AC48" s="116" t="str">
        <f>IF($AA48="","",SUMIFS('Daily Data'!$E$4:$E$503,'Daily Data'!$B$4:$B$503,$B$5,'Daily Data'!$A$4:$A$503,$AA48))</f>
        <v/>
      </c>
    </row>
    <row r="49" spans="8:29" x14ac:dyDescent="0.3">
      <c r="H49" s="117" t="e">
        <f>IF($AA49="",NA(),$AA49)</f>
        <v>#N/A</v>
      </c>
      <c r="I49" s="149" t="e">
        <f>IF(OR($AB49="",N($AB49)=0,N($AE$28)=0),NA(),$AB49/$AE$28*100)</f>
        <v>#N/A</v>
      </c>
      <c r="J49" s="149" t="e">
        <f>IF(OR($AC49="",N($AC49)=0,N($AE$29)=0),NA(),$AC49/$AE$29*100)</f>
        <v>#N/A</v>
      </c>
      <c r="L49" s="117" t="e">
        <f>IF($AA49="",NA(),$AA49)</f>
        <v>#N/A</v>
      </c>
      <c r="M49" s="116" t="e">
        <f>IF($AA49="",NA(),IF(COUNTIFS('Daily Data'!$B$4:$B$503,$B$4,'Daily Data'!$A$4:$A$503,$AA49)=0,NA(),SUMIFS('Daily Data'!$K$4:$K$503,'Daily Data'!$B$4:$B$503,$B$4,'Daily Data'!$A$4:$A$503,$AA49)))</f>
        <v>#N/A</v>
      </c>
      <c r="N49" s="116" t="e">
        <f>IF($AA49="",NA(),IF(COUNTIFS('Daily Data'!$B$4:$B$503,$B$5,'Daily Data'!$A$4:$A$503,$AA49)=0,NA(),SUMIFS('Daily Data'!$K$4:$K$503,'Daily Data'!$B$4:$B$503,$B$5,'Daily Data'!$A$4:$A$503,$AA49)))</f>
        <v>#N/A</v>
      </c>
      <c r="P49" s="117" t="e">
        <f>IF($AA49="",NA(),$AA49)</f>
        <v>#N/A</v>
      </c>
      <c r="Q49" s="116" t="e">
        <f>IF($AA49="",NA(),IF(COUNTIFS('Daily Data'!$B$4:$B$503,$B$4,'Daily Data'!$A$4:$A$503,$AA49)=0,NA(),SUMIFS('Daily Data'!$S$4:$S$503,'Daily Data'!$B$4:$B$503,$B$4,'Daily Data'!$A$4:$A$503,$AA49)))</f>
        <v>#N/A</v>
      </c>
      <c r="R49" s="116" t="e">
        <f>IF($AA49="",NA(),IF(COUNTIFS('Daily Data'!$B$4:$B$503,$B$5,'Daily Data'!$A$4:$A$503,$AA49)=0,NA(),SUMIFS('Daily Data'!$S$4:$S$503,'Daily Data'!$B$4:$B$503,$B$5,'Daily Data'!$A$4:$A$503,$AA49)))</f>
        <v>#N/A</v>
      </c>
      <c r="T49" s="117" t="e">
        <f>IF($AA49="",NA(),$AA49)</f>
        <v>#N/A</v>
      </c>
      <c r="U49" s="116" t="e">
        <f>IF($AA49="",NA(),IF(COUNTIFS('Daily Data'!$B$4:$B$503,$B$4,'Daily Data'!$A$4:$A$503,$AA49)=0,NA(),SUMIFS('Daily Data'!$AH$4:$AH$503,'Daily Data'!$B$4:$B$503,$B$4,'Daily Data'!$A$4:$A$503,$AA49)))</f>
        <v>#N/A</v>
      </c>
      <c r="V49" s="116" t="e">
        <f>IF($AA49="",NA(),IF(COUNTIFS('Daily Data'!$B$4:$B$503,$B$5,'Daily Data'!$A$4:$A$503,$AA49)=0,NA(),SUMIFS('Daily Data'!$AH$4:$AH$503,'Daily Data'!$B$4:$B$503,$B$5,'Daily Data'!$A$4:$A$503,$AA49)))</f>
        <v>#N/A</v>
      </c>
      <c r="Z49" s="116" t="str">
        <f>IF(COUNTIF('Daily Data'!$B$4:$B$503,$B$4)-30+ROW()-27&lt;1,"",COUNTIF('Daily Data'!$B$4:$B$503,$B$4)-30+ROW()-27)</f>
        <v/>
      </c>
      <c r="AA49" s="117" t="str">
        <f>IF($Z49="","",SUMIFS('Daily Data'!$A$4:$A$503,'Daily Data'!$B$4:$B$503,$B$4,'Daily Data'!$AK$4:$AK$503,$Z49))</f>
        <v/>
      </c>
      <c r="AB49" s="116" t="str">
        <f>IF($AA49="","",SUMIFS('Daily Data'!$E$4:$E$503,'Daily Data'!$B$4:$B$503,$B$4,'Daily Data'!$A$4:$A$503,$AA49))</f>
        <v/>
      </c>
      <c r="AC49" s="116" t="str">
        <f>IF($AA49="","",SUMIFS('Daily Data'!$E$4:$E$503,'Daily Data'!$B$4:$B$503,$B$5,'Daily Data'!$A$4:$A$503,$AA49))</f>
        <v/>
      </c>
    </row>
    <row r="50" spans="8:29" x14ac:dyDescent="0.3">
      <c r="H50" s="117" t="e">
        <f>IF($AA50="",NA(),$AA50)</f>
        <v>#N/A</v>
      </c>
      <c r="I50" s="149" t="e">
        <f>IF(OR($AB50="",N($AB50)=0,N($AE$28)=0),NA(),$AB50/$AE$28*100)</f>
        <v>#N/A</v>
      </c>
      <c r="J50" s="149" t="e">
        <f>IF(OR($AC50="",N($AC50)=0,N($AE$29)=0),NA(),$AC50/$AE$29*100)</f>
        <v>#N/A</v>
      </c>
      <c r="L50" s="117" t="e">
        <f>IF($AA50="",NA(),$AA50)</f>
        <v>#N/A</v>
      </c>
      <c r="M50" s="116" t="e">
        <f>IF($AA50="",NA(),IF(COUNTIFS('Daily Data'!$B$4:$B$503,$B$4,'Daily Data'!$A$4:$A$503,$AA50)=0,NA(),SUMIFS('Daily Data'!$K$4:$K$503,'Daily Data'!$B$4:$B$503,$B$4,'Daily Data'!$A$4:$A$503,$AA50)))</f>
        <v>#N/A</v>
      </c>
      <c r="N50" s="116" t="e">
        <f>IF($AA50="",NA(),IF(COUNTIFS('Daily Data'!$B$4:$B$503,$B$5,'Daily Data'!$A$4:$A$503,$AA50)=0,NA(),SUMIFS('Daily Data'!$K$4:$K$503,'Daily Data'!$B$4:$B$503,$B$5,'Daily Data'!$A$4:$A$503,$AA50)))</f>
        <v>#N/A</v>
      </c>
      <c r="P50" s="117" t="e">
        <f>IF($AA50="",NA(),$AA50)</f>
        <v>#N/A</v>
      </c>
      <c r="Q50" s="116" t="e">
        <f>IF($AA50="",NA(),IF(COUNTIFS('Daily Data'!$B$4:$B$503,$B$4,'Daily Data'!$A$4:$A$503,$AA50)=0,NA(),SUMIFS('Daily Data'!$S$4:$S$503,'Daily Data'!$B$4:$B$503,$B$4,'Daily Data'!$A$4:$A$503,$AA50)))</f>
        <v>#N/A</v>
      </c>
      <c r="R50" s="116" t="e">
        <f>IF($AA50="",NA(),IF(COUNTIFS('Daily Data'!$B$4:$B$503,$B$5,'Daily Data'!$A$4:$A$503,$AA50)=0,NA(),SUMIFS('Daily Data'!$S$4:$S$503,'Daily Data'!$B$4:$B$503,$B$5,'Daily Data'!$A$4:$A$503,$AA50)))</f>
        <v>#N/A</v>
      </c>
      <c r="T50" s="117" t="e">
        <f>IF($AA50="",NA(),$AA50)</f>
        <v>#N/A</v>
      </c>
      <c r="U50" s="116" t="e">
        <f>IF($AA50="",NA(),IF(COUNTIFS('Daily Data'!$B$4:$B$503,$B$4,'Daily Data'!$A$4:$A$503,$AA50)=0,NA(),SUMIFS('Daily Data'!$AH$4:$AH$503,'Daily Data'!$B$4:$B$503,$B$4,'Daily Data'!$A$4:$A$503,$AA50)))</f>
        <v>#N/A</v>
      </c>
      <c r="V50" s="116" t="e">
        <f>IF($AA50="",NA(),IF(COUNTIFS('Daily Data'!$B$4:$B$503,$B$5,'Daily Data'!$A$4:$A$503,$AA50)=0,NA(),SUMIFS('Daily Data'!$AH$4:$AH$503,'Daily Data'!$B$4:$B$503,$B$5,'Daily Data'!$A$4:$A$503,$AA50)))</f>
        <v>#N/A</v>
      </c>
      <c r="Z50" s="116" t="str">
        <f>IF(COUNTIF('Daily Data'!$B$4:$B$503,$B$4)-30+ROW()-27&lt;1,"",COUNTIF('Daily Data'!$B$4:$B$503,$B$4)-30+ROW()-27)</f>
        <v/>
      </c>
      <c r="AA50" s="117" t="str">
        <f>IF($Z50="","",SUMIFS('Daily Data'!$A$4:$A$503,'Daily Data'!$B$4:$B$503,$B$4,'Daily Data'!$AK$4:$AK$503,$Z50))</f>
        <v/>
      </c>
      <c r="AB50" s="116" t="str">
        <f>IF($AA50="","",SUMIFS('Daily Data'!$E$4:$E$503,'Daily Data'!$B$4:$B$503,$B$4,'Daily Data'!$A$4:$A$503,$AA50))</f>
        <v/>
      </c>
      <c r="AC50" s="116" t="str">
        <f>IF($AA50="","",SUMIFS('Daily Data'!$E$4:$E$503,'Daily Data'!$B$4:$B$503,$B$5,'Daily Data'!$A$4:$A$503,$AA50))</f>
        <v/>
      </c>
    </row>
    <row r="51" spans="8:29" x14ac:dyDescent="0.3">
      <c r="H51" s="117" t="e">
        <f>IF($AA51="",NA(),$AA51)</f>
        <v>#N/A</v>
      </c>
      <c r="I51" s="149" t="e">
        <f>IF(OR($AB51="",N($AB51)=0,N($AE$28)=0),NA(),$AB51/$AE$28*100)</f>
        <v>#N/A</v>
      </c>
      <c r="J51" s="149" t="e">
        <f>IF(OR($AC51="",N($AC51)=0,N($AE$29)=0),NA(),$AC51/$AE$29*100)</f>
        <v>#N/A</v>
      </c>
      <c r="L51" s="117" t="e">
        <f>IF($AA51="",NA(),$AA51)</f>
        <v>#N/A</v>
      </c>
      <c r="M51" s="116" t="e">
        <f>IF($AA51="",NA(),IF(COUNTIFS('Daily Data'!$B$4:$B$503,$B$4,'Daily Data'!$A$4:$A$503,$AA51)=0,NA(),SUMIFS('Daily Data'!$K$4:$K$503,'Daily Data'!$B$4:$B$503,$B$4,'Daily Data'!$A$4:$A$503,$AA51)))</f>
        <v>#N/A</v>
      </c>
      <c r="N51" s="116" t="e">
        <f>IF($AA51="",NA(),IF(COUNTIFS('Daily Data'!$B$4:$B$503,$B$5,'Daily Data'!$A$4:$A$503,$AA51)=0,NA(),SUMIFS('Daily Data'!$K$4:$K$503,'Daily Data'!$B$4:$B$503,$B$5,'Daily Data'!$A$4:$A$503,$AA51)))</f>
        <v>#N/A</v>
      </c>
      <c r="P51" s="117" t="e">
        <f>IF($AA51="",NA(),$AA51)</f>
        <v>#N/A</v>
      </c>
      <c r="Q51" s="116" t="e">
        <f>IF($AA51="",NA(),IF(COUNTIFS('Daily Data'!$B$4:$B$503,$B$4,'Daily Data'!$A$4:$A$503,$AA51)=0,NA(),SUMIFS('Daily Data'!$S$4:$S$503,'Daily Data'!$B$4:$B$503,$B$4,'Daily Data'!$A$4:$A$503,$AA51)))</f>
        <v>#N/A</v>
      </c>
      <c r="R51" s="116" t="e">
        <f>IF($AA51="",NA(),IF(COUNTIFS('Daily Data'!$B$4:$B$503,$B$5,'Daily Data'!$A$4:$A$503,$AA51)=0,NA(),SUMIFS('Daily Data'!$S$4:$S$503,'Daily Data'!$B$4:$B$503,$B$5,'Daily Data'!$A$4:$A$503,$AA51)))</f>
        <v>#N/A</v>
      </c>
      <c r="T51" s="117" t="e">
        <f>IF($AA51="",NA(),$AA51)</f>
        <v>#N/A</v>
      </c>
      <c r="U51" s="116" t="e">
        <f>IF($AA51="",NA(),IF(COUNTIFS('Daily Data'!$B$4:$B$503,$B$4,'Daily Data'!$A$4:$A$503,$AA51)=0,NA(),SUMIFS('Daily Data'!$AH$4:$AH$503,'Daily Data'!$B$4:$B$503,$B$4,'Daily Data'!$A$4:$A$503,$AA51)))</f>
        <v>#N/A</v>
      </c>
      <c r="V51" s="116" t="e">
        <f>IF($AA51="",NA(),IF(COUNTIFS('Daily Data'!$B$4:$B$503,$B$5,'Daily Data'!$A$4:$A$503,$AA51)=0,NA(),SUMIFS('Daily Data'!$AH$4:$AH$503,'Daily Data'!$B$4:$B$503,$B$5,'Daily Data'!$A$4:$A$503,$AA51)))</f>
        <v>#N/A</v>
      </c>
      <c r="Z51" s="116" t="str">
        <f>IF(COUNTIF('Daily Data'!$B$4:$B$503,$B$4)-30+ROW()-27&lt;1,"",COUNTIF('Daily Data'!$B$4:$B$503,$B$4)-30+ROW()-27)</f>
        <v/>
      </c>
      <c r="AA51" s="117" t="str">
        <f>IF($Z51="","",SUMIFS('Daily Data'!$A$4:$A$503,'Daily Data'!$B$4:$B$503,$B$4,'Daily Data'!$AK$4:$AK$503,$Z51))</f>
        <v/>
      </c>
      <c r="AB51" s="116" t="str">
        <f>IF($AA51="","",SUMIFS('Daily Data'!$E$4:$E$503,'Daily Data'!$B$4:$B$503,$B$4,'Daily Data'!$A$4:$A$503,$AA51))</f>
        <v/>
      </c>
      <c r="AC51" s="116" t="str">
        <f>IF($AA51="","",SUMIFS('Daily Data'!$E$4:$E$503,'Daily Data'!$B$4:$B$503,$B$5,'Daily Data'!$A$4:$A$503,$AA51))</f>
        <v/>
      </c>
    </row>
    <row r="52" spans="8:29" x14ac:dyDescent="0.3">
      <c r="H52" s="117" t="e">
        <f>IF($AA52="",NA(),$AA52)</f>
        <v>#N/A</v>
      </c>
      <c r="I52" s="149" t="e">
        <f>IF(OR($AB52="",N($AB52)=0,N($AE$28)=0),NA(),$AB52/$AE$28*100)</f>
        <v>#N/A</v>
      </c>
      <c r="J52" s="149" t="e">
        <f>IF(OR($AC52="",N($AC52)=0,N($AE$29)=0),NA(),$AC52/$AE$29*100)</f>
        <v>#N/A</v>
      </c>
      <c r="L52" s="117" t="e">
        <f>IF($AA52="",NA(),$AA52)</f>
        <v>#N/A</v>
      </c>
      <c r="M52" s="116" t="e">
        <f>IF($AA52="",NA(),IF(COUNTIFS('Daily Data'!$B$4:$B$503,$B$4,'Daily Data'!$A$4:$A$503,$AA52)=0,NA(),SUMIFS('Daily Data'!$K$4:$K$503,'Daily Data'!$B$4:$B$503,$B$4,'Daily Data'!$A$4:$A$503,$AA52)))</f>
        <v>#N/A</v>
      </c>
      <c r="N52" s="116" t="e">
        <f>IF($AA52="",NA(),IF(COUNTIFS('Daily Data'!$B$4:$B$503,$B$5,'Daily Data'!$A$4:$A$503,$AA52)=0,NA(),SUMIFS('Daily Data'!$K$4:$K$503,'Daily Data'!$B$4:$B$503,$B$5,'Daily Data'!$A$4:$A$503,$AA52)))</f>
        <v>#N/A</v>
      </c>
      <c r="P52" s="117" t="e">
        <f>IF($AA52="",NA(),$AA52)</f>
        <v>#N/A</v>
      </c>
      <c r="Q52" s="116" t="e">
        <f>IF($AA52="",NA(),IF(COUNTIFS('Daily Data'!$B$4:$B$503,$B$4,'Daily Data'!$A$4:$A$503,$AA52)=0,NA(),SUMIFS('Daily Data'!$S$4:$S$503,'Daily Data'!$B$4:$B$503,$B$4,'Daily Data'!$A$4:$A$503,$AA52)))</f>
        <v>#N/A</v>
      </c>
      <c r="R52" s="116" t="e">
        <f>IF($AA52="",NA(),IF(COUNTIFS('Daily Data'!$B$4:$B$503,$B$5,'Daily Data'!$A$4:$A$503,$AA52)=0,NA(),SUMIFS('Daily Data'!$S$4:$S$503,'Daily Data'!$B$4:$B$503,$B$5,'Daily Data'!$A$4:$A$503,$AA52)))</f>
        <v>#N/A</v>
      </c>
      <c r="T52" s="117" t="e">
        <f>IF($AA52="",NA(),$AA52)</f>
        <v>#N/A</v>
      </c>
      <c r="U52" s="116" t="e">
        <f>IF($AA52="",NA(),IF(COUNTIFS('Daily Data'!$B$4:$B$503,$B$4,'Daily Data'!$A$4:$A$503,$AA52)=0,NA(),SUMIFS('Daily Data'!$AH$4:$AH$503,'Daily Data'!$B$4:$B$503,$B$4,'Daily Data'!$A$4:$A$503,$AA52)))</f>
        <v>#N/A</v>
      </c>
      <c r="V52" s="116" t="e">
        <f>IF($AA52="",NA(),IF(COUNTIFS('Daily Data'!$B$4:$B$503,$B$5,'Daily Data'!$A$4:$A$503,$AA52)=0,NA(),SUMIFS('Daily Data'!$AH$4:$AH$503,'Daily Data'!$B$4:$B$503,$B$5,'Daily Data'!$A$4:$A$503,$AA52)))</f>
        <v>#N/A</v>
      </c>
      <c r="Z52" s="116" t="str">
        <f>IF(COUNTIF('Daily Data'!$B$4:$B$503,$B$4)-30+ROW()-27&lt;1,"",COUNTIF('Daily Data'!$B$4:$B$503,$B$4)-30+ROW()-27)</f>
        <v/>
      </c>
      <c r="AA52" s="117" t="str">
        <f>IF($Z52="","",SUMIFS('Daily Data'!$A$4:$A$503,'Daily Data'!$B$4:$B$503,$B$4,'Daily Data'!$AK$4:$AK$503,$Z52))</f>
        <v/>
      </c>
      <c r="AB52" s="116" t="str">
        <f>IF($AA52="","",SUMIFS('Daily Data'!$E$4:$E$503,'Daily Data'!$B$4:$B$503,$B$4,'Daily Data'!$A$4:$A$503,$AA52))</f>
        <v/>
      </c>
      <c r="AC52" s="116" t="str">
        <f>IF($AA52="","",SUMIFS('Daily Data'!$E$4:$E$503,'Daily Data'!$B$4:$B$503,$B$5,'Daily Data'!$A$4:$A$503,$AA52))</f>
        <v/>
      </c>
    </row>
    <row r="53" spans="8:29" x14ac:dyDescent="0.3">
      <c r="H53" s="117">
        <f>IF($AA53="",NA(),$AA53)</f>
        <v>46244</v>
      </c>
      <c r="I53" s="149">
        <f>IF(OR($AB53="",N($AB53)=0,N($AE$28)=0),NA(),$AB53/$AE$28*100)</f>
        <v>100</v>
      </c>
      <c r="J53" s="149">
        <f>IF(OR($AC53="",N($AC53)=0,N($AE$29)=0),NA(),$AC53/$AE$29*100)</f>
        <v>100</v>
      </c>
      <c r="L53" s="117">
        <f>IF($AA53="",NA(),$AA53)</f>
        <v>46244</v>
      </c>
      <c r="M53" s="116">
        <f>IF($AA53="",NA(),IF(COUNTIFS('Daily Data'!$B$4:$B$503,$B$4,'Daily Data'!$A$4:$A$503,$AA53)=0,NA(),SUMIFS('Daily Data'!$K$4:$K$503,'Daily Data'!$B$4:$B$503,$B$4,'Daily Data'!$A$4:$A$503,$AA53)))</f>
        <v>2869227</v>
      </c>
      <c r="N53" s="116">
        <f>IF($AA53="",NA(),IF(COUNTIFS('Daily Data'!$B$4:$B$503,$B$5,'Daily Data'!$A$4:$A$503,$AA53)=0,NA(),SUMIFS('Daily Data'!$K$4:$K$503,'Daily Data'!$B$4:$B$503,$B$5,'Daily Data'!$A$4:$A$503,$AA53)))</f>
        <v>95563</v>
      </c>
      <c r="P53" s="117">
        <f>IF($AA53="",NA(),$AA53)</f>
        <v>46244</v>
      </c>
      <c r="Q53" s="116">
        <f>IF($AA53="",NA(),IF(COUNTIFS('Daily Data'!$B$4:$B$503,$B$4,'Daily Data'!$A$4:$A$503,$AA53)=0,NA(),SUMIFS('Daily Data'!$S$4:$S$503,'Daily Data'!$B$4:$B$503,$B$4,'Daily Data'!$A$4:$A$503,$AA53)))</f>
        <v>2.2220791263136204</v>
      </c>
      <c r="R53" s="116">
        <f>IF($AA53="",NA(),IF(COUNTIFS('Daily Data'!$B$4:$B$503,$B$5,'Daily Data'!$A$4:$A$503,$AA53)=0,NA(),SUMIFS('Daily Data'!$S$4:$S$503,'Daily Data'!$B$4:$B$503,$B$5,'Daily Data'!$A$4:$A$503,$AA53)))</f>
        <v>0.60157104504325343</v>
      </c>
      <c r="T53" s="117">
        <f>IF($AA53="",NA(),$AA53)</f>
        <v>46244</v>
      </c>
      <c r="U53" s="116">
        <f>IF($AA53="",NA(),IF(COUNTIFS('Daily Data'!$B$4:$B$503,$B$4,'Daily Data'!$A$4:$A$503,$AA53)=0,NA(),SUMIFS('Daily Data'!$AH$4:$AH$503,'Daily Data'!$B$4:$B$503,$B$4,'Daily Data'!$A$4:$A$503,$AA53)))</f>
        <v>61.8</v>
      </c>
      <c r="V53" s="116">
        <f>IF($AA53="",NA(),IF(COUNTIFS('Daily Data'!$B$4:$B$503,$B$5,'Daily Data'!$A$4:$A$503,$AA53)=0,NA(),SUMIFS('Daily Data'!$AH$4:$AH$503,'Daily Data'!$B$4:$B$503,$B$5,'Daily Data'!$A$4:$A$503,$AA53)))</f>
        <v>43</v>
      </c>
      <c r="Z53" s="116">
        <f>IF(COUNTIF('Daily Data'!$B$4:$B$503,$B$4)-30+ROW()-27&lt;1,"",COUNTIF('Daily Data'!$B$4:$B$503,$B$4)-30+ROW()-27)</f>
        <v>1</v>
      </c>
      <c r="AA53" s="117">
        <f>IF($Z53="","",SUMIFS('Daily Data'!$A$4:$A$503,'Daily Data'!$B$4:$B$503,$B$4,'Daily Data'!$AK$4:$AK$503,$Z53))</f>
        <v>46244</v>
      </c>
      <c r="AB53" s="116">
        <f>IF($AA53="","",SUMIFS('Daily Data'!$E$4:$E$503,'Daily Data'!$B$4:$B$503,$B$4,'Daily Data'!$A$4:$A$503,$AA53))</f>
        <v>2600</v>
      </c>
      <c r="AC53" s="116">
        <f>IF($AA53="","",SUMIFS('Daily Data'!$E$4:$E$503,'Daily Data'!$B$4:$B$503,$B$5,'Daily Data'!$A$4:$A$503,$AA53))</f>
        <v>17600</v>
      </c>
    </row>
    <row r="54" spans="8:29" x14ac:dyDescent="0.3">
      <c r="H54" s="117">
        <f>IF($AA54="",NA(),$AA54)</f>
        <v>46245</v>
      </c>
      <c r="I54" s="149">
        <f>IF(OR($AB54="",N($AB54)=0,N($AE$28)=0),NA(),$AB54/$AE$28*100)</f>
        <v>100</v>
      </c>
      <c r="J54" s="149">
        <f>IF(OR($AC54="",N($AC54)=0,N($AE$29)=0),NA(),$AC54/$AE$29*100)</f>
        <v>100</v>
      </c>
      <c r="L54" s="117">
        <f>IF($AA54="",NA(),$AA54)</f>
        <v>46245</v>
      </c>
      <c r="M54" s="116">
        <f>IF($AA54="",NA(),IF(COUNTIFS('Daily Data'!$B$4:$B$503,$B$4,'Daily Data'!$A$4:$A$503,$AA54)=0,NA(),SUMIFS('Daily Data'!$K$4:$K$503,'Daily Data'!$B$4:$B$503,$B$4,'Daily Data'!$A$4:$A$503,$AA54)))</f>
        <v>553818</v>
      </c>
      <c r="N54" s="116">
        <f>IF($AA54="",NA(),IF(COUNTIFS('Daily Data'!$B$4:$B$503,$B$5,'Daily Data'!$A$4:$A$503,$AA54)=0,NA(),SUMIFS('Daily Data'!$K$4:$K$503,'Daily Data'!$B$4:$B$503,$B$5,'Daily Data'!$A$4:$A$503,$AA54)))</f>
        <v>115239</v>
      </c>
      <c r="P54" s="117">
        <f>IF($AA54="",NA(),$AA54)</f>
        <v>46245</v>
      </c>
      <c r="Q54" s="116">
        <f>IF($AA54="",NA(),IF(COUNTIFS('Daily Data'!$B$4:$B$503,$B$4,'Daily Data'!$A$4:$A$503,$AA54)=0,NA(),SUMIFS('Daily Data'!$S$4:$S$503,'Daily Data'!$B$4:$B$503,$B$4,'Daily Data'!$A$4:$A$503,$AA54)))</f>
        <v>3.1384491277604116</v>
      </c>
      <c r="R54" s="116">
        <f>IF($AA54="",NA(),IF(COUNTIFS('Daily Data'!$B$4:$B$503,$B$5,'Daily Data'!$A$4:$A$503,$AA54)=0,NA(),SUMIFS('Daily Data'!$S$4:$S$503,'Daily Data'!$B$4:$B$503,$B$5,'Daily Data'!$A$4:$A$503,$AA54)))</f>
        <v>0.19549876678542066</v>
      </c>
      <c r="T54" s="117">
        <f>IF($AA54="",NA(),$AA54)</f>
        <v>46245</v>
      </c>
      <c r="U54" s="116">
        <f>IF($AA54="",NA(),IF(COUNTIFS('Daily Data'!$B$4:$B$503,$B$4,'Daily Data'!$A$4:$A$503,$AA54)=0,NA(),SUMIFS('Daily Data'!$AH$4:$AH$503,'Daily Data'!$B$4:$B$503,$B$4,'Daily Data'!$A$4:$A$503,$AA54)))</f>
        <v>67.599999999999994</v>
      </c>
      <c r="V54" s="116">
        <f>IF($AA54="",NA(),IF(COUNTIFS('Daily Data'!$B$4:$B$503,$B$5,'Daily Data'!$A$4:$A$503,$AA54)=0,NA(),SUMIFS('Daily Data'!$AH$4:$AH$503,'Daily Data'!$B$4:$B$503,$B$5,'Daily Data'!$A$4:$A$503,$AA54)))</f>
        <v>30.3</v>
      </c>
      <c r="Z54" s="116">
        <f>IF(COUNTIF('Daily Data'!$B$4:$B$503,$B$4)-30+ROW()-27&lt;1,"",COUNTIF('Daily Data'!$B$4:$B$503,$B$4)-30+ROW()-27)</f>
        <v>2</v>
      </c>
      <c r="AA54" s="117">
        <f>IF($Z54="","",SUMIFS('Daily Data'!$A$4:$A$503,'Daily Data'!$B$4:$B$503,$B$4,'Daily Data'!$AK$4:$AK$503,$Z54))</f>
        <v>46245</v>
      </c>
      <c r="AB54" s="116">
        <f>IF($AA54="","",SUMIFS('Daily Data'!$E$4:$E$503,'Daily Data'!$B$4:$B$503,$B$4,'Daily Data'!$A$4:$A$503,$AA54))</f>
        <v>2600</v>
      </c>
      <c r="AC54" s="116">
        <f>IF($AA54="","",SUMIFS('Daily Data'!$E$4:$E$503,'Daily Data'!$B$4:$B$503,$B$5,'Daily Data'!$A$4:$A$503,$AA54))</f>
        <v>17600</v>
      </c>
    </row>
    <row r="55" spans="8:29" x14ac:dyDescent="0.3">
      <c r="H55" s="117">
        <f>IF($AA55="",NA(),$AA55)</f>
        <v>46246</v>
      </c>
      <c r="I55" s="149">
        <f>IF(OR($AB55="",N($AB55)=0,N($AE$28)=0),NA(),$AB55/$AE$28*100)</f>
        <v>100.76923076923077</v>
      </c>
      <c r="J55" s="149">
        <f>IF(OR($AC55="",N($AC55)=0,N($AE$29)=0),NA(),$AC55/$AE$29*100)</f>
        <v>100</v>
      </c>
      <c r="L55" s="117">
        <f>IF($AA55="",NA(),$AA55)</f>
        <v>46246</v>
      </c>
      <c r="M55" s="116">
        <f>IF($AA55="",NA(),IF(COUNTIFS('Daily Data'!$B$4:$B$503,$B$4,'Daily Data'!$A$4:$A$503,$AA55)=0,NA(),SUMIFS('Daily Data'!$K$4:$K$503,'Daily Data'!$B$4:$B$503,$B$4,'Daily Data'!$A$4:$A$503,$AA55)))</f>
        <v>340739</v>
      </c>
      <c r="N55" s="116">
        <f>IF($AA55="",NA(),IF(COUNTIFS('Daily Data'!$B$4:$B$503,$B$5,'Daily Data'!$A$4:$A$503,$AA55)=0,NA(),SUMIFS('Daily Data'!$K$4:$K$503,'Daily Data'!$B$4:$B$503,$B$5,'Daily Data'!$A$4:$A$503,$AA55)))</f>
        <v>199132</v>
      </c>
      <c r="P55" s="117">
        <f>IF($AA55="",NA(),$AA55)</f>
        <v>46246</v>
      </c>
      <c r="Q55" s="116">
        <f>IF($AA55="",NA(),IF(COUNTIFS('Daily Data'!$B$4:$B$503,$B$4,'Daily Data'!$A$4:$A$503,$AA55)=0,NA(),SUMIFS('Daily Data'!$S$4:$S$503,'Daily Data'!$B$4:$B$503,$B$4,'Daily Data'!$A$4:$A$503,$AA55)))</f>
        <v>12.308043614774219</v>
      </c>
      <c r="R55" s="116">
        <f>IF($AA55="",NA(),IF(COUNTIFS('Daily Data'!$B$4:$B$503,$B$5,'Daily Data'!$A$4:$A$503,$AA55)=0,NA(),SUMIFS('Daily Data'!$S$4:$S$503,'Daily Data'!$B$4:$B$503,$B$5,'Daily Data'!$A$4:$A$503,$AA55)))</f>
        <v>3.655097298867267</v>
      </c>
      <c r="T55" s="117">
        <f>IF($AA55="",NA(),$AA55)</f>
        <v>46246</v>
      </c>
      <c r="U55" s="116">
        <f>IF($AA55="",NA(),IF(COUNTIFS('Daily Data'!$B$4:$B$503,$B$4,'Daily Data'!$A$4:$A$503,$AA55)=0,NA(),SUMIFS('Daily Data'!$AH$4:$AH$503,'Daily Data'!$B$4:$B$503,$B$4,'Daily Data'!$A$4:$A$503,$AA55)))</f>
        <v>72</v>
      </c>
      <c r="V55" s="116">
        <f>IF($AA55="",NA(),IF(COUNTIFS('Daily Data'!$B$4:$B$503,$B$5,'Daily Data'!$A$4:$A$503,$AA55)=0,NA(),SUMIFS('Daily Data'!$AH$4:$AH$503,'Daily Data'!$B$4:$B$503,$B$5,'Daily Data'!$A$4:$A$503,$AA55)))</f>
        <v>68.099999999999994</v>
      </c>
      <c r="Z55" s="116">
        <f>IF(COUNTIF('Daily Data'!$B$4:$B$503,$B$4)-30+ROW()-27&lt;1,"",COUNTIF('Daily Data'!$B$4:$B$503,$B$4)-30+ROW()-27)</f>
        <v>3</v>
      </c>
      <c r="AA55" s="117">
        <f>IF($Z55="","",SUMIFS('Daily Data'!$A$4:$A$503,'Daily Data'!$B$4:$B$503,$B$4,'Daily Data'!$AK$4:$AK$503,$Z55))</f>
        <v>46246</v>
      </c>
      <c r="AB55" s="116">
        <f>IF($AA55="","",SUMIFS('Daily Data'!$E$4:$E$503,'Daily Data'!$B$4:$B$503,$B$4,'Daily Data'!$A$4:$A$503,$AA55))</f>
        <v>2620</v>
      </c>
      <c r="AC55" s="116">
        <f>IF($AA55="","",SUMIFS('Daily Data'!$E$4:$E$503,'Daily Data'!$B$4:$B$503,$B$5,'Daily Data'!$A$4:$A$503,$AA55))</f>
        <v>17600</v>
      </c>
    </row>
    <row r="56" spans="8:29" x14ac:dyDescent="0.3">
      <c r="H56" s="117">
        <f>IF($AA56="",NA(),$AA56)</f>
        <v>46247</v>
      </c>
      <c r="I56" s="149">
        <f>IF(OR($AB56="",N($AB56)=0,N($AE$28)=0),NA(),$AB56/$AE$28*100)</f>
        <v>103.84615384615385</v>
      </c>
      <c r="J56" s="149">
        <f>IF(OR($AC56="",N($AC56)=0,N($AE$29)=0),NA(),$AC56/$AE$29*100)</f>
        <v>100.28409090909092</v>
      </c>
      <c r="L56" s="117">
        <f>IF($AA56="",NA(),$AA56)</f>
        <v>46247</v>
      </c>
      <c r="M56" s="116">
        <f>IF($AA56="",NA(),IF(COUNTIFS('Daily Data'!$B$4:$B$503,$B$4,'Daily Data'!$A$4:$A$503,$AA56)=0,NA(),SUMIFS('Daily Data'!$K$4:$K$503,'Daily Data'!$B$4:$B$503,$B$4,'Daily Data'!$A$4:$A$503,$AA56)))</f>
        <v>299605</v>
      </c>
      <c r="N56" s="116">
        <f>IF($AA56="",NA(),IF(COUNTIFS('Daily Data'!$B$4:$B$503,$B$5,'Daily Data'!$A$4:$A$503,$AA56)=0,NA(),SUMIFS('Daily Data'!$K$4:$K$503,'Daily Data'!$B$4:$B$503,$B$5,'Daily Data'!$A$4:$A$503,$AA56)))</f>
        <v>159601</v>
      </c>
      <c r="P56" s="117">
        <f>IF($AA56="",NA(),$AA56)</f>
        <v>46247</v>
      </c>
      <c r="Q56" s="116">
        <f>IF($AA56="",NA(),IF(COUNTIFS('Daily Data'!$B$4:$B$503,$B$4,'Daily Data'!$A$4:$A$503,$AA56)=0,NA(),SUMIFS('Daily Data'!$S$4:$S$503,'Daily Data'!$B$4:$B$503,$B$4,'Daily Data'!$A$4:$A$503,$AA56)))</f>
        <v>5.4262900559288054</v>
      </c>
      <c r="R56" s="116">
        <f>IF($AA56="",NA(),IF(COUNTIFS('Daily Data'!$B$4:$B$503,$B$5,'Daily Data'!$A$4:$A$503,$AA56)=0,NA(),SUMIFS('Daily Data'!$S$4:$S$503,'Daily Data'!$B$4:$B$503,$B$5,'Daily Data'!$A$4:$A$503,$AA56)))</f>
        <v>1.068073047858942</v>
      </c>
      <c r="T56" s="117">
        <f>IF($AA56="",NA(),$AA56)</f>
        <v>46247</v>
      </c>
      <c r="U56" s="116">
        <f>IF($AA56="",NA(),IF(COUNTIFS('Daily Data'!$B$4:$B$503,$B$4,'Daily Data'!$A$4:$A$503,$AA56)=0,NA(),SUMIFS('Daily Data'!$AH$4:$AH$503,'Daily Data'!$B$4:$B$503,$B$4,'Daily Data'!$A$4:$A$503,$AA56)))</f>
        <v>75</v>
      </c>
      <c r="V56" s="116">
        <f>IF($AA56="",NA(),IF(COUNTIFS('Daily Data'!$B$4:$B$503,$B$5,'Daily Data'!$A$4:$A$503,$AA56)=0,NA(),SUMIFS('Daily Data'!$AH$4:$AH$503,'Daily Data'!$B$4:$B$503,$B$5,'Daily Data'!$A$4:$A$503,$AA56)))</f>
        <v>51.3</v>
      </c>
      <c r="Z56" s="116">
        <f>IF(COUNTIF('Daily Data'!$B$4:$B$503,$B$4)-30+ROW()-27&lt;1,"",COUNTIF('Daily Data'!$B$4:$B$503,$B$4)-30+ROW()-27)</f>
        <v>4</v>
      </c>
      <c r="AA56" s="117">
        <f>IF($Z56="","",SUMIFS('Daily Data'!$A$4:$A$503,'Daily Data'!$B$4:$B$503,$B$4,'Daily Data'!$AK$4:$AK$503,$Z56))</f>
        <v>46247</v>
      </c>
      <c r="AB56" s="116">
        <f>IF($AA56="","",SUMIFS('Daily Data'!$E$4:$E$503,'Daily Data'!$B$4:$B$503,$B$4,'Daily Data'!$A$4:$A$503,$AA56))</f>
        <v>2700</v>
      </c>
      <c r="AC56" s="116">
        <f>IF($AA56="","",SUMIFS('Daily Data'!$E$4:$E$503,'Daily Data'!$B$4:$B$503,$B$5,'Daily Data'!$A$4:$A$503,$AA56))</f>
        <v>17650</v>
      </c>
    </row>
    <row r="57" spans="8:29" x14ac:dyDescent="0.3">
      <c r="H57" s="117">
        <f>IF($AA57="",NA(),$AA57)</f>
        <v>46248</v>
      </c>
      <c r="I57" s="149">
        <f>IF(OR($AB57="",N($AB57)=0,N($AE$28)=0),NA(),$AB57/$AE$28*100)</f>
        <v>103.84615384615385</v>
      </c>
      <c r="J57" s="149">
        <f>IF(OR($AC57="",N($AC57)=0,N($AE$29)=0),NA(),$AC57/$AE$29*100)</f>
        <v>100.56818181818181</v>
      </c>
      <c r="L57" s="117">
        <f>IF($AA57="",NA(),$AA57)</f>
        <v>46248</v>
      </c>
      <c r="M57" s="116">
        <f>IF($AA57="",NA(),IF(COUNTIFS('Daily Data'!$B$4:$B$503,$B$4,'Daily Data'!$A$4:$A$503,$AA57)=0,NA(),SUMIFS('Daily Data'!$K$4:$K$503,'Daily Data'!$B$4:$B$503,$B$4,'Daily Data'!$A$4:$A$503,$AA57)))</f>
        <v>390325</v>
      </c>
      <c r="N57" s="116">
        <f>IF($AA57="",NA(),IF(COUNTIFS('Daily Data'!$B$4:$B$503,$B$5,'Daily Data'!$A$4:$A$503,$AA57)=0,NA(),SUMIFS('Daily Data'!$K$4:$K$503,'Daily Data'!$B$4:$B$503,$B$5,'Daily Data'!$A$4:$A$503,$AA57)))</f>
        <v>202667</v>
      </c>
      <c r="P57" s="117">
        <f>IF($AA57="",NA(),$AA57)</f>
        <v>46248</v>
      </c>
      <c r="Q57" s="116">
        <f>IF($AA57="",NA(),IF(COUNTIFS('Daily Data'!$B$4:$B$503,$B$4,'Daily Data'!$A$4:$A$503,$AA57)=0,NA(),SUMIFS('Daily Data'!$S$4:$S$503,'Daily Data'!$B$4:$B$503,$B$4,'Daily Data'!$A$4:$A$503,$AA57)))</f>
        <v>4.8377019800970382</v>
      </c>
      <c r="R57" s="116">
        <f>IF($AA57="",NA(),IF(COUNTIFS('Daily Data'!$B$4:$B$503,$B$5,'Daily Data'!$A$4:$A$503,$AA57)=0,NA(),SUMIFS('Daily Data'!$S$4:$S$503,'Daily Data'!$B$4:$B$503,$B$5,'Daily Data'!$A$4:$A$503,$AA57)))</f>
        <v>293.21457489878543</v>
      </c>
      <c r="T57" s="117">
        <f>IF($AA57="",NA(),$AA57)</f>
        <v>46248</v>
      </c>
      <c r="U57" s="116">
        <f>IF($AA57="",NA(),IF(COUNTIFS('Daily Data'!$B$4:$B$503,$B$4,'Daily Data'!$A$4:$A$503,$AA57)=0,NA(),SUMIFS('Daily Data'!$AH$4:$AH$503,'Daily Data'!$B$4:$B$503,$B$4,'Daily Data'!$A$4:$A$503,$AA57)))</f>
        <v>70.599999999999994</v>
      </c>
      <c r="V57" s="116">
        <f>IF($AA57="",NA(),IF(COUNTIFS('Daily Data'!$B$4:$B$503,$B$5,'Daily Data'!$A$4:$A$503,$AA57)=0,NA(),SUMIFS('Daily Data'!$AH$4:$AH$503,'Daily Data'!$B$4:$B$503,$B$5,'Daily Data'!$A$4:$A$503,$AA57)))</f>
        <v>70.900000000000006</v>
      </c>
      <c r="Z57" s="116">
        <f>IF(COUNTIF('Daily Data'!$B$4:$B$503,$B$4)-30+ROW()-27&lt;1,"",COUNTIF('Daily Data'!$B$4:$B$503,$B$4)-30+ROW()-27)</f>
        <v>5</v>
      </c>
      <c r="AA57" s="117">
        <f>IF($Z57="","",SUMIFS('Daily Data'!$A$4:$A$503,'Daily Data'!$B$4:$B$503,$B$4,'Daily Data'!$AK$4:$AK$503,$Z57))</f>
        <v>46248</v>
      </c>
      <c r="AB57" s="116">
        <f>IF($AA57="","",SUMIFS('Daily Data'!$E$4:$E$503,'Daily Data'!$B$4:$B$503,$B$4,'Daily Data'!$A$4:$A$503,$AA57))</f>
        <v>2700</v>
      </c>
      <c r="AC57" s="116">
        <f>IF($AA57="","",SUMIFS('Daily Data'!$E$4:$E$503,'Daily Data'!$B$4:$B$503,$B$5,'Daily Data'!$A$4:$A$503,$AA57))</f>
        <v>17700</v>
      </c>
    </row>
  </sheetData>
  <sheetProtection algorithmName="SHA-512" hashValue="MNDmI9A/HTs+9ubpXPb66mwAnyUw7WhhW/vzTHh6+rB5UPmJkwUAOri9BaJApk2//pD9sTFtHkqYz0Cwfc6MEw==" saltValue="INWf0G/k5MHA6QTjYHisUQ==" spinCount="100000" sheet="1" objects="1" scenarios="1" sort="0" autoFilter="0"/>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D93D-D801-44B9-BE1F-C7418787518E}">
  <dimension ref="A1:M72"/>
  <sheetViews>
    <sheetView workbookViewId="0">
      <pane ySplit="5" topLeftCell="A6" activePane="bottomLeft" state="frozen"/>
      <selection pane="bottomLeft"/>
    </sheetView>
  </sheetViews>
  <sheetFormatPr defaultRowHeight="14.4" x14ac:dyDescent="0.3"/>
  <cols>
    <col min="1" max="1" width="16.6640625" customWidth="1"/>
    <col min="2" max="2" width="48.109375" customWidth="1"/>
    <col min="3" max="4" width="27.77734375" customWidth="1"/>
    <col min="5" max="9" width="20.33203125" customWidth="1"/>
    <col min="10" max="13" width="14.77734375" customWidth="1"/>
  </cols>
  <sheetData>
    <row r="1" spans="1:4" ht="21" x14ac:dyDescent="0.4">
      <c r="A1" s="14" t="s">
        <v>273</v>
      </c>
    </row>
    <row r="2" spans="1:4" x14ac:dyDescent="0.3">
      <c r="A2" s="2" t="s">
        <v>274</v>
      </c>
    </row>
    <row r="4" spans="1:4" x14ac:dyDescent="0.3">
      <c r="B4" s="32" t="s">
        <v>275</v>
      </c>
      <c r="C4" s="150">
        <f>Settings!$C$17</f>
        <v>33</v>
      </c>
      <c r="D4" s="2" t="s">
        <v>276</v>
      </c>
    </row>
    <row r="5" spans="1:4" x14ac:dyDescent="0.3">
      <c r="B5" s="32" t="s">
        <v>183</v>
      </c>
      <c r="C5" s="150">
        <f>Settings!$C$18</f>
        <v>2026</v>
      </c>
    </row>
    <row r="6" spans="1:4" x14ac:dyDescent="0.3">
      <c r="B6" s="3" t="s">
        <v>277</v>
      </c>
      <c r="C6" s="3" t="s">
        <v>3</v>
      </c>
      <c r="D6" s="3"/>
    </row>
    <row r="7" spans="1:4" x14ac:dyDescent="0.3">
      <c r="B7" t="s">
        <v>278</v>
      </c>
      <c r="C7" s="131">
        <f>SUMIFS('Daily Data'!$I$4:$I$503,'Daily Data'!$AL$4:$AL$503,$C$5,'Daily Data'!$AM$4:$AM$503,$C$4)</f>
        <v>30303795275</v>
      </c>
    </row>
    <row r="8" spans="1:4" x14ac:dyDescent="0.3">
      <c r="B8" s="126" t="s">
        <v>279</v>
      </c>
      <c r="C8" s="128">
        <f>SUMIFS('Daily Data'!$K$4:$K$503,'Daily Data'!$AL$4:$AL$503,$C$5,'Daily Data'!$AM$4:$AM$503,$C$4)</f>
        <v>8738153</v>
      </c>
      <c r="D8" s="126"/>
    </row>
    <row r="9" spans="1:4" x14ac:dyDescent="0.3">
      <c r="B9" t="s">
        <v>200</v>
      </c>
      <c r="C9" s="131">
        <f>SUMIFS('Daily Data'!$J$4:$J$503,'Daily Data'!$AL$4:$AL$503,$C$5,'Daily Data'!$AM$4:$AM$503,$C$4)</f>
        <v>16147</v>
      </c>
    </row>
    <row r="10" spans="1:4" x14ac:dyDescent="0.3">
      <c r="B10" s="126" t="s">
        <v>280</v>
      </c>
      <c r="C10" s="151">
        <f>SUMIFS('Daily Data'!$AV$4:$AV$503,'Daily Data'!$AL$4:$AL$503,$C$5,'Daily Data'!$AM$4:$AM$503,$C$4)</f>
        <v>5</v>
      </c>
      <c r="D10" s="126"/>
    </row>
    <row r="11" spans="1:4" x14ac:dyDescent="0.3">
      <c r="B11" t="s">
        <v>281</v>
      </c>
      <c r="C11" s="131">
        <f>IF(N($C$10)=0,"n/a",$C$7/$C$10)</f>
        <v>6060759055</v>
      </c>
    </row>
    <row r="12" spans="1:4" x14ac:dyDescent="0.3">
      <c r="B12" s="126" t="s">
        <v>202</v>
      </c>
      <c r="C12" s="128">
        <f>SUMIFS('Daily Data'!$L$4:$L$503,'Daily Data'!$AL$4:$AL$503,$C$5,'Daily Data'!$AM$4:$AM$503,$C$4)</f>
        <v>3910609</v>
      </c>
      <c r="D12" s="126"/>
    </row>
    <row r="13" spans="1:4" x14ac:dyDescent="0.3">
      <c r="B13" t="s">
        <v>203</v>
      </c>
      <c r="C13" s="131">
        <f>SUMIFS('Daily Data'!$M$4:$M$503,'Daily Data'!$AL$4:$AL$503,$C$5,'Daily Data'!$AM$4:$AM$503,$C$4)</f>
        <v>3476804</v>
      </c>
    </row>
    <row r="14" spans="1:4" x14ac:dyDescent="0.3">
      <c r="B14" s="126" t="s">
        <v>282</v>
      </c>
      <c r="C14" s="132">
        <f>IF(N($C$13)=0,"n/a",$C$12/$C$13)</f>
        <v>1.1247711979162471</v>
      </c>
      <c r="D14" s="126"/>
    </row>
    <row r="15" spans="1:4" x14ac:dyDescent="0.3">
      <c r="B15" t="s">
        <v>210</v>
      </c>
      <c r="C15" s="133">
        <f>IFERROR(AVERAGEIFS('Daily Data'!$AH$4:$AH$503,'Daily Data'!$AL$4:$AL$503,$C$5,'Daily Data'!$AM$4:$AM$503,$C$4),"n/a")</f>
        <v>50.635810810810824</v>
      </c>
    </row>
    <row r="16" spans="1:4" x14ac:dyDescent="0.3">
      <c r="B16" s="126" t="s">
        <v>283</v>
      </c>
      <c r="C16" s="130">
        <f>IFERROR(AVERAGEIFS('Daily Data'!$H$4:$H$503,'Daily Data'!$AL$4:$AL$503,$C$5,'Daily Data'!$AM$4:$AM$503,$C$4),"n/a")</f>
        <v>2.1702786710710133E-3</v>
      </c>
      <c r="D16" s="126"/>
    </row>
    <row r="17" spans="1:13" x14ac:dyDescent="0.3">
      <c r="B17" t="s">
        <v>284</v>
      </c>
      <c r="C17" s="152" t="str">
        <f>IF(NOT(ISNUMBER($C$16)),"n/a",IF($C$16&gt;Settings!$C$59,"Bullish",IF($C$16&gt;Settings!$C$60,"Mildly Bullish",IF($C$16&lt;-Settings!$C$59,"Bearish",IF($C$16&lt;-Settings!$C$60,"Mildly Bearish","Flat")))))</f>
        <v>Mildly Bullish</v>
      </c>
    </row>
    <row r="18" spans="1:13" x14ac:dyDescent="0.3">
      <c r="B18" s="126" t="s">
        <v>212</v>
      </c>
      <c r="C18" s="151">
        <f>COUNTIFS('Daily Data'!$AL$4:$AL$503,$C$5,'Daily Data'!$AM$4:$AM$503,$C$4)</f>
        <v>148</v>
      </c>
      <c r="D18" s="126"/>
    </row>
    <row r="20" spans="1:13" x14ac:dyDescent="0.3">
      <c r="B20" s="15" t="s">
        <v>285</v>
      </c>
      <c r="C20" s="15" t="s">
        <v>96</v>
      </c>
      <c r="D20" s="15" t="s">
        <v>3</v>
      </c>
    </row>
    <row r="21" spans="1:13" x14ac:dyDescent="0.3">
      <c r="B21" t="s">
        <v>286</v>
      </c>
      <c r="C21" s="36" t="str">
        <f>IFERROR(INDEX($A$30:$A$69,MATCH($D21,$F$30:$F$69,0)),"n/a")</f>
        <v>n/a</v>
      </c>
      <c r="D21" s="129">
        <f>IFERROR(MAX($F$30:$F$69),"n/a")</f>
        <v>0</v>
      </c>
    </row>
    <row r="22" spans="1:13" x14ac:dyDescent="0.3">
      <c r="B22" s="126" t="s">
        <v>287</v>
      </c>
      <c r="C22" s="153" t="str">
        <f>IFERROR(INDEX($A$30:$A$69,MATCH($D22,$F$30:$F$69,0)),"n/a")</f>
        <v>n/a</v>
      </c>
      <c r="D22" s="130">
        <f>IFERROR(MIN($F$30:$F$69),"n/a")</f>
        <v>0</v>
      </c>
    </row>
    <row r="23" spans="1:13" x14ac:dyDescent="0.3">
      <c r="B23" t="s">
        <v>288</v>
      </c>
      <c r="C23" s="36" t="str">
        <f>IFERROR(INDEX($A$30:$A$69,MATCH($D23,$B$30:$B$69,0)),"n/a")</f>
        <v>NMB</v>
      </c>
      <c r="D23" s="131">
        <f>IFERROR(MAX($B$30:$B$69),"n/a")</f>
        <v>13611779350</v>
      </c>
    </row>
    <row r="24" spans="1:13" x14ac:dyDescent="0.3">
      <c r="B24" s="126" t="s">
        <v>289</v>
      </c>
      <c r="C24" s="153" t="str">
        <f>IFERROR(INDEX($A$30:$A$69,MATCH($D24,$C$30:$C$69,0)),"n/a")</f>
        <v>CRDB</v>
      </c>
      <c r="D24" s="128">
        <f>IFERROR(MAX($C$30:$C$69),"n/a")</f>
        <v>4453714</v>
      </c>
    </row>
    <row r="25" spans="1:13" ht="43.95" customHeight="1" x14ac:dyDescent="0.3">
      <c r="B25" t="s">
        <v>290</v>
      </c>
      <c r="C25" s="36" t="str" cm="1">
        <f t="array" ref="C25">IFERROR(INDEX(_xlfn._xlws.FILTER($A$30:$A$69,$H$30:$H$69&gt;=Settings!$C$30),MATCH($D25,_xlfn._xlws.FILTER($I$30:$I$69,$H$30:$H$69&gt;=Settings!$C$30),0)),"n/a")</f>
        <v>n/a</v>
      </c>
      <c r="D25" s="129" cm="1">
        <f t="array" ref="D25">IFERROR(MAX(_xlfn._xlws.FILTER($I$30:$I$69,$H$30:$H$69&gt;=Settings!$C$30)),"n/a")</f>
        <v>0</v>
      </c>
    </row>
    <row r="26" spans="1:13" x14ac:dyDescent="0.3">
      <c r="B26" s="126" t="s">
        <v>291</v>
      </c>
      <c r="C26" s="153" t="str">
        <f>IFERROR(INDEX($A$30:$A$69,MATCH($D26,$H$30:$H$69,0)),"n/a")</f>
        <v>CRDB</v>
      </c>
      <c r="D26" s="134">
        <f>IFERROR(MAX($H$30:$H$69),"n/a")</f>
        <v>91.759999999999991</v>
      </c>
    </row>
    <row r="28" spans="1:13" x14ac:dyDescent="0.3">
      <c r="A28" s="86" t="s">
        <v>301</v>
      </c>
    </row>
    <row r="29" spans="1:13" ht="43.95" customHeight="1" x14ac:dyDescent="0.3">
      <c r="A29" s="154" t="s">
        <v>96</v>
      </c>
      <c r="B29" s="154" t="s">
        <v>221</v>
      </c>
      <c r="C29" s="154" t="s">
        <v>156</v>
      </c>
      <c r="D29" s="154" t="s">
        <v>155</v>
      </c>
      <c r="E29" s="154" t="s">
        <v>292</v>
      </c>
      <c r="F29" s="154" t="s">
        <v>293</v>
      </c>
      <c r="G29" s="154" t="s">
        <v>294</v>
      </c>
      <c r="H29" s="154" t="s">
        <v>295</v>
      </c>
      <c r="I29" s="154" t="s">
        <v>296</v>
      </c>
      <c r="J29" s="154" t="s">
        <v>297</v>
      </c>
      <c r="K29" s="154" t="s">
        <v>298</v>
      </c>
      <c r="L29" s="154" t="s">
        <v>299</v>
      </c>
      <c r="M29" s="154" t="s">
        <v>300</v>
      </c>
    </row>
    <row r="30" spans="1:13" x14ac:dyDescent="0.3">
      <c r="A30" s="155" t="str">
        <f>IF(Symbols!A4="","",Symbols!A4)</f>
        <v>AFRIPRISE</v>
      </c>
      <c r="B30" s="98">
        <f>IF($J30="","",SUMIFS('Daily Data'!$I$4:$I$503,'Daily Data'!$B$4:$B$503,$A30,'Daily Data'!$AL$4:$AL$503,$C$5,'Daily Data'!$AM$4:$AM$503,$C$4))</f>
        <v>216141040</v>
      </c>
      <c r="C30" s="98">
        <f>IF($J30="","",SUMIFS('Daily Data'!$K$4:$K$503,'Daily Data'!$B$4:$B$503,$A30,'Daily Data'!$AL$4:$AL$503,$C$5,'Daily Data'!$AM$4:$AM$503,$C$4))</f>
        <v>344150</v>
      </c>
      <c r="D30" s="98">
        <f>IF($J30="","",SUMIFS('Daily Data'!$J$4:$J$503,'Daily Data'!$B$4:$B$503,$A30,'Daily Data'!$AL$4:$AL$503,$C$5,'Daily Data'!$AM$4:$AM$503,$C$4))</f>
        <v>947</v>
      </c>
      <c r="E30" s="99">
        <f>IF($J30="","",IFERROR(AVERAGEIFS('Daily Data'!$S$4:$S$503,'Daily Data'!$B$4:$B$503,$A30,'Daily Data'!$AL$4:$AL$503,$C$5,'Daily Data'!$AM$4:$AM$503,$C$4),""))</f>
        <v>0.35303120848469727</v>
      </c>
      <c r="F30" s="97" t="str">
        <f>IF(OR($J30="",N($L30)=0),"",$M30/$L30-1)</f>
        <v/>
      </c>
      <c r="G30" s="100">
        <f>IF($J30="","",IFERROR(AVERAGEIFS('Daily Data'!$AH$4:$AH$503,'Daily Data'!$B$4:$B$503,$A30,'Daily Data'!$AL$4:$AL$503,$C$5,'Daily Data'!$AM$4:$AM$503,$C$4),""))</f>
        <v>34.119999999999997</v>
      </c>
      <c r="H30" s="100">
        <f>IF($J30="","",IFERROR(AVERAGEIFS('Daily Data'!$AG$4:$AG$503,'Daily Data'!$B$4:$B$503,$A30,'Daily Data'!$AL$4:$AL$503,$C$5,'Daily Data'!$AM$4:$AM$503,$C$4),""))</f>
        <v>39.36</v>
      </c>
      <c r="I30" s="97" t="str">
        <f>IF($K30="","",IF(COUNTIFS('Daily Data'!$B$4:$B$503,$A30,'Daily Data'!$AK$4:$AK$503,$K30,'Daily Data'!$AA$4:$AA$503,"&gt;=-1E+300")=0,"",SUMIFS('Daily Data'!$AA$4:$AA$503,'Daily Data'!$B$4:$B$503,$A30,'Daily Data'!$AK$4:$AK$503,$K30)))</f>
        <v/>
      </c>
      <c r="J30" s="112">
        <f>IF($A30="","",IFERROR(IF(_xlfn.MINIFS('Daily Data'!$AK$4:$AK$503,'Daily Data'!$B$4:$B$503,$A30,'Daily Data'!$AL$4:$AL$503,$C$5,'Daily Data'!$AM$4:$AM$503,$C$4)=0,"",_xlfn.MINIFS('Daily Data'!$AK$4:$AK$503,'Daily Data'!$B$4:$B$503,$A30,'Daily Data'!$AL$4:$AL$503,$C$5,'Daily Data'!$AM$4:$AM$503,$C$4)),""))</f>
        <v>1</v>
      </c>
      <c r="K30" s="112">
        <f>IF($A30="","",IFERROR(IF(_xlfn.MAXIFS('Daily Data'!$AK$4:$AK$503,'Daily Data'!$B$4:$B$503,$A30,'Daily Data'!$AL$4:$AL$503,$C$5,'Daily Data'!$AM$4:$AM$503,$C$4)=0,"",_xlfn.MAXIFS('Daily Data'!$AK$4:$AK$503,'Daily Data'!$B$4:$B$503,$A30,'Daily Data'!$AL$4:$AL$503,$C$5,'Daily Data'!$AM$4:$AM$503,$C$4)),""))</f>
        <v>5</v>
      </c>
      <c r="L30" s="156">
        <f>IF($J30="","",SUMIFS('Daily Data'!$D$4:$D$503,'Daily Data'!$B$4:$B$503,$A30,'Daily Data'!$AK$4:$AK$503,$J30))</f>
        <v>0</v>
      </c>
      <c r="M30" s="156">
        <f>IF($K30="","",SUMIFS('Daily Data'!$E$4:$E$503,'Daily Data'!$B$4:$B$503,$A30,'Daily Data'!$AK$4:$AK$503,$K30))</f>
        <v>625</v>
      </c>
    </row>
    <row r="31" spans="1:13" x14ac:dyDescent="0.3">
      <c r="A31" s="155" t="str">
        <f>IF(Symbols!A5="","",Symbols!A5)</f>
        <v>CRDB</v>
      </c>
      <c r="B31" s="98">
        <f>IF($J31="","",SUMIFS('Daily Data'!$I$4:$I$503,'Daily Data'!$B$4:$B$503,$A31,'Daily Data'!$AL$4:$AL$503,$C$5,'Daily Data'!$AM$4:$AM$503,$C$4))</f>
        <v>11651051320</v>
      </c>
      <c r="C31" s="98">
        <f>IF($J31="","",SUMIFS('Daily Data'!$K$4:$K$503,'Daily Data'!$B$4:$B$503,$A31,'Daily Data'!$AL$4:$AL$503,$C$5,'Daily Data'!$AM$4:$AM$503,$C$4))</f>
        <v>4453714</v>
      </c>
      <c r="D31" s="98">
        <f>IF($J31="","",SUMIFS('Daily Data'!$J$4:$J$503,'Daily Data'!$B$4:$B$503,$A31,'Daily Data'!$AL$4:$AL$503,$C$5,'Daily Data'!$AM$4:$AM$503,$C$4))</f>
        <v>6314</v>
      </c>
      <c r="E31" s="99">
        <f>IF($J31="","",IFERROR(AVERAGEIFS('Daily Data'!$S$4:$S$503,'Daily Data'!$B$4:$B$503,$A31,'Daily Data'!$AL$4:$AL$503,$C$5,'Daily Data'!$AM$4:$AM$503,$C$4),""))</f>
        <v>5.586512780974819</v>
      </c>
      <c r="F31" s="97" t="str">
        <f>IF(OR($J31="",N($L31)=0),"",$M31/$L31-1)</f>
        <v/>
      </c>
      <c r="G31" s="100">
        <f>IF($J31="","",IFERROR(AVERAGEIFS('Daily Data'!$AH$4:$AH$503,'Daily Data'!$B$4:$B$503,$A31,'Daily Data'!$AL$4:$AL$503,$C$5,'Daily Data'!$AM$4:$AM$503,$C$4),""))</f>
        <v>69.400000000000006</v>
      </c>
      <c r="H31" s="100">
        <f>IF($J31="","",IFERROR(AVERAGEIFS('Daily Data'!$AG$4:$AG$503,'Daily Data'!$B$4:$B$503,$A31,'Daily Data'!$AL$4:$AL$503,$C$5,'Daily Data'!$AM$4:$AM$503,$C$4),""))</f>
        <v>91.759999999999991</v>
      </c>
      <c r="I31" s="97" t="str">
        <f>IF($K31="","",IF(COUNTIFS('Daily Data'!$B$4:$B$503,$A31,'Daily Data'!$AK$4:$AK$503,$K31,'Daily Data'!$AA$4:$AA$503,"&gt;=-1E+300")=0,"",SUMIFS('Daily Data'!$AA$4:$AA$503,'Daily Data'!$B$4:$B$503,$A31,'Daily Data'!$AK$4:$AK$503,$K31)))</f>
        <v/>
      </c>
      <c r="J31" s="112">
        <f>IF($A31="","",IFERROR(IF(_xlfn.MINIFS('Daily Data'!$AK$4:$AK$503,'Daily Data'!$B$4:$B$503,$A31,'Daily Data'!$AL$4:$AL$503,$C$5,'Daily Data'!$AM$4:$AM$503,$C$4)=0,"",_xlfn.MINIFS('Daily Data'!$AK$4:$AK$503,'Daily Data'!$B$4:$B$503,$A31,'Daily Data'!$AL$4:$AL$503,$C$5,'Daily Data'!$AM$4:$AM$503,$C$4)),""))</f>
        <v>1</v>
      </c>
      <c r="K31" s="112">
        <f>IF($A31="","",IFERROR(IF(_xlfn.MAXIFS('Daily Data'!$AK$4:$AK$503,'Daily Data'!$B$4:$B$503,$A31,'Daily Data'!$AL$4:$AL$503,$C$5,'Daily Data'!$AM$4:$AM$503,$C$4)=0,"",_xlfn.MAXIFS('Daily Data'!$AK$4:$AK$503,'Daily Data'!$B$4:$B$503,$A31,'Daily Data'!$AL$4:$AL$503,$C$5,'Daily Data'!$AM$4:$AM$503,$C$4)),""))</f>
        <v>5</v>
      </c>
      <c r="L31" s="156">
        <f>IF($J31="","",SUMIFS('Daily Data'!$D$4:$D$503,'Daily Data'!$B$4:$B$503,$A31,'Daily Data'!$AK$4:$AK$503,$J31))</f>
        <v>0</v>
      </c>
      <c r="M31" s="156">
        <f>IF($K31="","",SUMIFS('Daily Data'!$E$4:$E$503,'Daily Data'!$B$4:$B$503,$A31,'Daily Data'!$AK$4:$AK$503,$K31))</f>
        <v>2700</v>
      </c>
    </row>
    <row r="32" spans="1:13" x14ac:dyDescent="0.3">
      <c r="A32" s="155" t="str">
        <f>IF(Symbols!A6="","",Symbols!A6)</f>
        <v>DCB</v>
      </c>
      <c r="B32" s="98">
        <f>IF($J32="","",SUMIFS('Daily Data'!$I$4:$I$503,'Daily Data'!$B$4:$B$503,$A32,'Daily Data'!$AL$4:$AL$503,$C$5,'Daily Data'!$AM$4:$AM$503,$C$4))</f>
        <v>52651910</v>
      </c>
      <c r="C32" s="98">
        <f>IF($J32="","",SUMIFS('Daily Data'!$K$4:$K$503,'Daily Data'!$B$4:$B$503,$A32,'Daily Data'!$AL$4:$AL$503,$C$5,'Daily Data'!$AM$4:$AM$503,$C$4))</f>
        <v>120993</v>
      </c>
      <c r="D32" s="98">
        <f>IF($J32="","",SUMIFS('Daily Data'!$J$4:$J$503,'Daily Data'!$B$4:$B$503,$A32,'Daily Data'!$AL$4:$AL$503,$C$5,'Daily Data'!$AM$4:$AM$503,$C$4))</f>
        <v>470</v>
      </c>
      <c r="E32" s="99">
        <f>IF($J32="","",IFERROR(AVERAGEIFS('Daily Data'!$S$4:$S$503,'Daily Data'!$B$4:$B$503,$A32,'Daily Data'!$AL$4:$AL$503,$C$5,'Daily Data'!$AM$4:$AM$503,$C$4),""))</f>
        <v>1.4059657925348135</v>
      </c>
      <c r="F32" s="97" t="str">
        <f>IF(OR($J32="",N($L32)=0),"",$M32/$L32-1)</f>
        <v/>
      </c>
      <c r="G32" s="100">
        <f>IF($J32="","",IFERROR(AVERAGEIFS('Daily Data'!$AH$4:$AH$503,'Daily Data'!$B$4:$B$503,$A32,'Daily Data'!$AL$4:$AL$503,$C$5,'Daily Data'!$AM$4:$AM$503,$C$4),""))</f>
        <v>53.44</v>
      </c>
      <c r="H32" s="100">
        <f>IF($J32="","",IFERROR(AVERAGEIFS('Daily Data'!$AG$4:$AG$503,'Daily Data'!$B$4:$B$503,$A32,'Daily Data'!$AL$4:$AL$503,$C$5,'Daily Data'!$AM$4:$AM$503,$C$4),""))</f>
        <v>32.24</v>
      </c>
      <c r="I32" s="97" t="str">
        <f>IF($K32="","",IF(COUNTIFS('Daily Data'!$B$4:$B$503,$A32,'Daily Data'!$AK$4:$AK$503,$K32,'Daily Data'!$AA$4:$AA$503,"&gt;=-1E+300")=0,"",SUMIFS('Daily Data'!$AA$4:$AA$503,'Daily Data'!$B$4:$B$503,$A32,'Daily Data'!$AK$4:$AK$503,$K32)))</f>
        <v/>
      </c>
      <c r="J32" s="112">
        <f>IF($A32="","",IFERROR(IF(_xlfn.MINIFS('Daily Data'!$AK$4:$AK$503,'Daily Data'!$B$4:$B$503,$A32,'Daily Data'!$AL$4:$AL$503,$C$5,'Daily Data'!$AM$4:$AM$503,$C$4)=0,"",_xlfn.MINIFS('Daily Data'!$AK$4:$AK$503,'Daily Data'!$B$4:$B$503,$A32,'Daily Data'!$AL$4:$AL$503,$C$5,'Daily Data'!$AM$4:$AM$503,$C$4)),""))</f>
        <v>1</v>
      </c>
      <c r="K32" s="112">
        <f>IF($A32="","",IFERROR(IF(_xlfn.MAXIFS('Daily Data'!$AK$4:$AK$503,'Daily Data'!$B$4:$B$503,$A32,'Daily Data'!$AL$4:$AL$503,$C$5,'Daily Data'!$AM$4:$AM$503,$C$4)=0,"",_xlfn.MAXIFS('Daily Data'!$AK$4:$AK$503,'Daily Data'!$B$4:$B$503,$A32,'Daily Data'!$AL$4:$AL$503,$C$5,'Daily Data'!$AM$4:$AM$503,$C$4)),""))</f>
        <v>5</v>
      </c>
      <c r="L32" s="156">
        <f>IF($J32="","",SUMIFS('Daily Data'!$D$4:$D$503,'Daily Data'!$B$4:$B$503,$A32,'Daily Data'!$AK$4:$AK$503,$J32))</f>
        <v>0</v>
      </c>
      <c r="M32" s="156">
        <f>IF($K32="","",SUMIFS('Daily Data'!$E$4:$E$503,'Daily Data'!$B$4:$B$503,$A32,'Daily Data'!$AK$4:$AK$503,$K32))</f>
        <v>465</v>
      </c>
    </row>
    <row r="33" spans="1:13" x14ac:dyDescent="0.3">
      <c r="A33" s="155" t="str">
        <f>IF(Symbols!A7="","",Symbols!A7)</f>
        <v>DSE</v>
      </c>
      <c r="B33" s="98">
        <f>IF($J33="","",SUMIFS('Daily Data'!$I$4:$I$503,'Daily Data'!$B$4:$B$503,$A33,'Daily Data'!$AL$4:$AL$503,$C$5,'Daily Data'!$AM$4:$AM$503,$C$4))</f>
        <v>37046870</v>
      </c>
      <c r="C33" s="98">
        <f>IF($J33="","",SUMIFS('Daily Data'!$K$4:$K$503,'Daily Data'!$B$4:$B$503,$A33,'Daily Data'!$AL$4:$AL$503,$C$5,'Daily Data'!$AM$4:$AM$503,$C$4))</f>
        <v>5875</v>
      </c>
      <c r="D33" s="98">
        <f>IF($J33="","",SUMIFS('Daily Data'!$J$4:$J$503,'Daily Data'!$B$4:$B$503,$A33,'Daily Data'!$AL$4:$AL$503,$C$5,'Daily Data'!$AM$4:$AM$503,$C$4))</f>
        <v>100</v>
      </c>
      <c r="E33" s="99">
        <f>IF($J33="","",IFERROR(AVERAGEIFS('Daily Data'!$S$4:$S$503,'Daily Data'!$B$4:$B$503,$A33,'Daily Data'!$AL$4:$AL$503,$C$5,'Daily Data'!$AM$4:$AM$503,$C$4),""))</f>
        <v>5.7857147527915505</v>
      </c>
      <c r="F33" s="97" t="str">
        <f>IF(OR($J33="",N($L33)=0),"",$M33/$L33-1)</f>
        <v/>
      </c>
      <c r="G33" s="100">
        <f>IF($J33="","",IFERROR(AVERAGEIFS('Daily Data'!$AH$4:$AH$503,'Daily Data'!$B$4:$B$503,$A33,'Daily Data'!$AL$4:$AL$503,$C$5,'Daily Data'!$AM$4:$AM$503,$C$4),""))</f>
        <v>59.660000000000004</v>
      </c>
      <c r="H33" s="100">
        <f>IF($J33="","",IFERROR(AVERAGEIFS('Daily Data'!$AG$4:$AG$503,'Daily Data'!$B$4:$B$503,$A33,'Daily Data'!$AL$4:$AL$503,$C$5,'Daily Data'!$AM$4:$AM$503,$C$4),""))</f>
        <v>6.9799999999999995</v>
      </c>
      <c r="I33" s="97" t="str">
        <f>IF($K33="","",IF(COUNTIFS('Daily Data'!$B$4:$B$503,$A33,'Daily Data'!$AK$4:$AK$503,$K33,'Daily Data'!$AA$4:$AA$503,"&gt;=-1E+300")=0,"",SUMIFS('Daily Data'!$AA$4:$AA$503,'Daily Data'!$B$4:$B$503,$A33,'Daily Data'!$AK$4:$AK$503,$K33)))</f>
        <v/>
      </c>
      <c r="J33" s="112">
        <f>IF($A33="","",IFERROR(IF(_xlfn.MINIFS('Daily Data'!$AK$4:$AK$503,'Daily Data'!$B$4:$B$503,$A33,'Daily Data'!$AL$4:$AL$503,$C$5,'Daily Data'!$AM$4:$AM$503,$C$4)=0,"",_xlfn.MINIFS('Daily Data'!$AK$4:$AK$503,'Daily Data'!$B$4:$B$503,$A33,'Daily Data'!$AL$4:$AL$503,$C$5,'Daily Data'!$AM$4:$AM$503,$C$4)),""))</f>
        <v>1</v>
      </c>
      <c r="K33" s="112">
        <f>IF($A33="","",IFERROR(IF(_xlfn.MAXIFS('Daily Data'!$AK$4:$AK$503,'Daily Data'!$B$4:$B$503,$A33,'Daily Data'!$AL$4:$AL$503,$C$5,'Daily Data'!$AM$4:$AM$503,$C$4)=0,"",_xlfn.MAXIFS('Daily Data'!$AK$4:$AK$503,'Daily Data'!$B$4:$B$503,$A33,'Daily Data'!$AL$4:$AL$503,$C$5,'Daily Data'!$AM$4:$AM$503,$C$4)),""))</f>
        <v>5</v>
      </c>
      <c r="L33" s="156">
        <f>IF($J33="","",SUMIFS('Daily Data'!$D$4:$D$503,'Daily Data'!$B$4:$B$503,$A33,'Daily Data'!$AK$4:$AK$503,$J33))</f>
        <v>0</v>
      </c>
      <c r="M33" s="156">
        <f>IF($K33="","",SUMIFS('Daily Data'!$E$4:$E$503,'Daily Data'!$B$4:$B$503,$A33,'Daily Data'!$AK$4:$AK$503,$K33))</f>
        <v>6570</v>
      </c>
    </row>
    <row r="34" spans="1:13" x14ac:dyDescent="0.3">
      <c r="A34" s="155" t="str">
        <f>IF(Symbols!A8="","",Symbols!A8)</f>
        <v>EABL</v>
      </c>
      <c r="B34" s="98">
        <f>IF($J34="","",SUMIFS('Daily Data'!$I$4:$I$503,'Daily Data'!$B$4:$B$503,$A34,'Daily Data'!$AL$4:$AL$503,$C$5,'Daily Data'!$AM$4:$AM$503,$C$4))</f>
        <v>0</v>
      </c>
      <c r="C34" s="98">
        <f>IF($J34="","",SUMIFS('Daily Data'!$K$4:$K$503,'Daily Data'!$B$4:$B$503,$A34,'Daily Data'!$AL$4:$AL$503,$C$5,'Daily Data'!$AM$4:$AM$503,$C$4))</f>
        <v>0</v>
      </c>
      <c r="D34" s="98">
        <f>IF($J34="","",SUMIFS('Daily Data'!$J$4:$J$503,'Daily Data'!$B$4:$B$503,$A34,'Daily Data'!$AL$4:$AL$503,$C$5,'Daily Data'!$AM$4:$AM$503,$C$4))</f>
        <v>0</v>
      </c>
      <c r="E34" s="99" t="str">
        <f>IF($J34="","",IFERROR(AVERAGEIFS('Daily Data'!$S$4:$S$503,'Daily Data'!$B$4:$B$503,$A34,'Daily Data'!$AL$4:$AL$503,$C$5,'Daily Data'!$AM$4:$AM$503,$C$4),""))</f>
        <v/>
      </c>
      <c r="F34" s="97" t="str">
        <f>IF(OR($J34="",N($L34)=0),"",$M34/$L34-1)</f>
        <v/>
      </c>
      <c r="G34" s="100">
        <f>IF($J34="","",IFERROR(AVERAGEIFS('Daily Data'!$AH$4:$AH$503,'Daily Data'!$B$4:$B$503,$A34,'Daily Data'!$AL$4:$AL$503,$C$5,'Daily Data'!$AM$4:$AM$503,$C$4),""))</f>
        <v>61.54</v>
      </c>
      <c r="H34" s="100">
        <f>IF($J34="","",IFERROR(AVERAGEIFS('Daily Data'!$AG$4:$AG$503,'Daily Data'!$B$4:$B$503,$A34,'Daily Data'!$AL$4:$AL$503,$C$5,'Daily Data'!$AM$4:$AM$503,$C$4),""))</f>
        <v>0</v>
      </c>
      <c r="I34" s="97" t="str">
        <f>IF($K34="","",IF(COUNTIFS('Daily Data'!$B$4:$B$503,$A34,'Daily Data'!$AK$4:$AK$503,$K34,'Daily Data'!$AA$4:$AA$503,"&gt;=-1E+300")=0,"",SUMIFS('Daily Data'!$AA$4:$AA$503,'Daily Data'!$B$4:$B$503,$A34,'Daily Data'!$AK$4:$AK$503,$K34)))</f>
        <v/>
      </c>
      <c r="J34" s="112">
        <f>IF($A34="","",IFERROR(IF(_xlfn.MINIFS('Daily Data'!$AK$4:$AK$503,'Daily Data'!$B$4:$B$503,$A34,'Daily Data'!$AL$4:$AL$503,$C$5,'Daily Data'!$AM$4:$AM$503,$C$4)=0,"",_xlfn.MINIFS('Daily Data'!$AK$4:$AK$503,'Daily Data'!$B$4:$B$503,$A34,'Daily Data'!$AL$4:$AL$503,$C$5,'Daily Data'!$AM$4:$AM$503,$C$4)),""))</f>
        <v>1</v>
      </c>
      <c r="K34" s="112">
        <f>IF($A34="","",IFERROR(IF(_xlfn.MAXIFS('Daily Data'!$AK$4:$AK$503,'Daily Data'!$B$4:$B$503,$A34,'Daily Data'!$AL$4:$AL$503,$C$5,'Daily Data'!$AM$4:$AM$503,$C$4)=0,"",_xlfn.MAXIFS('Daily Data'!$AK$4:$AK$503,'Daily Data'!$B$4:$B$503,$A34,'Daily Data'!$AL$4:$AL$503,$C$5,'Daily Data'!$AM$4:$AM$503,$C$4)),""))</f>
        <v>5</v>
      </c>
      <c r="L34" s="156">
        <f>IF($J34="","",SUMIFS('Daily Data'!$D$4:$D$503,'Daily Data'!$B$4:$B$503,$A34,'Daily Data'!$AK$4:$AK$503,$J34))</f>
        <v>0</v>
      </c>
      <c r="M34" s="156">
        <f>IF($K34="","",SUMIFS('Daily Data'!$E$4:$E$503,'Daily Data'!$B$4:$B$503,$A34,'Daily Data'!$AK$4:$AK$503,$K34))</f>
        <v>5590</v>
      </c>
    </row>
    <row r="35" spans="1:13" x14ac:dyDescent="0.3">
      <c r="A35" s="155" t="str">
        <f>IF(Symbols!A9="","",Symbols!A9)</f>
        <v>JATU</v>
      </c>
      <c r="B35" s="98">
        <f>IF($J35="","",SUMIFS('Daily Data'!$I$4:$I$503,'Daily Data'!$B$4:$B$503,$A35,'Daily Data'!$AL$4:$AL$503,$C$5,'Daily Data'!$AM$4:$AM$503,$C$4))</f>
        <v>10800</v>
      </c>
      <c r="C35" s="98">
        <f>IF($J35="","",SUMIFS('Daily Data'!$K$4:$K$503,'Daily Data'!$B$4:$B$503,$A35,'Daily Data'!$AL$4:$AL$503,$C$5,'Daily Data'!$AM$4:$AM$503,$C$4))</f>
        <v>40</v>
      </c>
      <c r="D35" s="98">
        <f>IF($J35="","",SUMIFS('Daily Data'!$J$4:$J$503,'Daily Data'!$B$4:$B$503,$A35,'Daily Data'!$AL$4:$AL$503,$C$5,'Daily Data'!$AM$4:$AM$503,$C$4))</f>
        <v>1</v>
      </c>
      <c r="E35" s="99">
        <f>IF($J35="","",IFERROR(AVERAGEIFS('Daily Data'!$S$4:$S$503,'Daily Data'!$B$4:$B$503,$A35,'Daily Data'!$AL$4:$AL$503,$C$5,'Daily Data'!$AM$4:$AM$503,$C$4),""))</f>
        <v>0</v>
      </c>
      <c r="F35" s="97" t="str">
        <f>IF(OR($J35="",N($L35)=0),"",$M35/$L35-1)</f>
        <v/>
      </c>
      <c r="G35" s="100">
        <f>IF($J35="","",IFERROR(AVERAGEIFS('Daily Data'!$AH$4:$AH$503,'Daily Data'!$B$4:$B$503,$A35,'Daily Data'!$AL$4:$AL$503,$C$5,'Daily Data'!$AM$4:$AM$503,$C$4),""))</f>
        <v>40.88000000000001</v>
      </c>
      <c r="H35" s="100">
        <f>IF($J35="","",IFERROR(AVERAGEIFS('Daily Data'!$AG$4:$AG$503,'Daily Data'!$B$4:$B$503,$A35,'Daily Data'!$AL$4:$AL$503,$C$5,'Daily Data'!$AM$4:$AM$503,$C$4),""))</f>
        <v>0.06</v>
      </c>
      <c r="I35" s="97" t="str">
        <f>IF($K35="","",IF(COUNTIFS('Daily Data'!$B$4:$B$503,$A35,'Daily Data'!$AK$4:$AK$503,$K35,'Daily Data'!$AA$4:$AA$503,"&gt;=-1E+300")=0,"",SUMIFS('Daily Data'!$AA$4:$AA$503,'Daily Data'!$B$4:$B$503,$A35,'Daily Data'!$AK$4:$AK$503,$K35)))</f>
        <v/>
      </c>
      <c r="J35" s="112">
        <f>IF($A35="","",IFERROR(IF(_xlfn.MINIFS('Daily Data'!$AK$4:$AK$503,'Daily Data'!$B$4:$B$503,$A35,'Daily Data'!$AL$4:$AL$503,$C$5,'Daily Data'!$AM$4:$AM$503,$C$4)=0,"",_xlfn.MINIFS('Daily Data'!$AK$4:$AK$503,'Daily Data'!$B$4:$B$503,$A35,'Daily Data'!$AL$4:$AL$503,$C$5,'Daily Data'!$AM$4:$AM$503,$C$4)),""))</f>
        <v>1</v>
      </c>
      <c r="K35" s="112">
        <f>IF($A35="","",IFERROR(IF(_xlfn.MAXIFS('Daily Data'!$AK$4:$AK$503,'Daily Data'!$B$4:$B$503,$A35,'Daily Data'!$AL$4:$AL$503,$C$5,'Daily Data'!$AM$4:$AM$503,$C$4)=0,"",_xlfn.MAXIFS('Daily Data'!$AK$4:$AK$503,'Daily Data'!$B$4:$B$503,$A35,'Daily Data'!$AL$4:$AL$503,$C$5,'Daily Data'!$AM$4:$AM$503,$C$4)),""))</f>
        <v>5</v>
      </c>
      <c r="L35" s="156">
        <f>IF($J35="","",SUMIFS('Daily Data'!$D$4:$D$503,'Daily Data'!$B$4:$B$503,$A35,'Daily Data'!$AK$4:$AK$503,$J35))</f>
        <v>0</v>
      </c>
      <c r="M35" s="156">
        <f>IF($K35="","",SUMIFS('Daily Data'!$E$4:$E$503,'Daily Data'!$B$4:$B$503,$A35,'Daily Data'!$AK$4:$AK$503,$K35))</f>
        <v>265</v>
      </c>
    </row>
    <row r="36" spans="1:13" x14ac:dyDescent="0.3">
      <c r="A36" s="155" t="str">
        <f>IF(Symbols!A10="","",Symbols!A10)</f>
        <v>JHL</v>
      </c>
      <c r="B36" s="98">
        <f>IF($J36="","",SUMIFS('Daily Data'!$I$4:$I$503,'Daily Data'!$B$4:$B$503,$A36,'Daily Data'!$AL$4:$AL$503,$C$5,'Daily Data'!$AM$4:$AM$503,$C$4))</f>
        <v>0</v>
      </c>
      <c r="C36" s="98">
        <f>IF($J36="","",SUMIFS('Daily Data'!$K$4:$K$503,'Daily Data'!$B$4:$B$503,$A36,'Daily Data'!$AL$4:$AL$503,$C$5,'Daily Data'!$AM$4:$AM$503,$C$4))</f>
        <v>0</v>
      </c>
      <c r="D36" s="98">
        <f>IF($J36="","",SUMIFS('Daily Data'!$J$4:$J$503,'Daily Data'!$B$4:$B$503,$A36,'Daily Data'!$AL$4:$AL$503,$C$5,'Daily Data'!$AM$4:$AM$503,$C$4))</f>
        <v>0</v>
      </c>
      <c r="E36" s="99" t="str">
        <f>IF($J36="","",IFERROR(AVERAGEIFS('Daily Data'!$S$4:$S$503,'Daily Data'!$B$4:$B$503,$A36,'Daily Data'!$AL$4:$AL$503,$C$5,'Daily Data'!$AM$4:$AM$503,$C$4),""))</f>
        <v/>
      </c>
      <c r="F36" s="97" t="str">
        <f>IF(OR($J36="",N($L36)=0),"",$M36/$L36-1)</f>
        <v/>
      </c>
      <c r="G36" s="100">
        <f>IF($J36="","",IFERROR(AVERAGEIFS('Daily Data'!$AH$4:$AH$503,'Daily Data'!$B$4:$B$503,$A36,'Daily Data'!$AL$4:$AL$503,$C$5,'Daily Data'!$AM$4:$AM$503,$C$4),""))</f>
        <v>62</v>
      </c>
      <c r="H36" s="100">
        <f>IF($J36="","",IFERROR(AVERAGEIFS('Daily Data'!$AG$4:$AG$503,'Daily Data'!$B$4:$B$503,$A36,'Daily Data'!$AL$4:$AL$503,$C$5,'Daily Data'!$AM$4:$AM$503,$C$4),""))</f>
        <v>0</v>
      </c>
      <c r="I36" s="97" t="str">
        <f>IF($K36="","",IF(COUNTIFS('Daily Data'!$B$4:$B$503,$A36,'Daily Data'!$AK$4:$AK$503,$K36,'Daily Data'!$AA$4:$AA$503,"&gt;=-1E+300")=0,"",SUMIFS('Daily Data'!$AA$4:$AA$503,'Daily Data'!$B$4:$B$503,$A36,'Daily Data'!$AK$4:$AK$503,$K36)))</f>
        <v/>
      </c>
      <c r="J36" s="112">
        <f>IF($A36="","",IFERROR(IF(_xlfn.MINIFS('Daily Data'!$AK$4:$AK$503,'Daily Data'!$B$4:$B$503,$A36,'Daily Data'!$AL$4:$AL$503,$C$5,'Daily Data'!$AM$4:$AM$503,$C$4)=0,"",_xlfn.MINIFS('Daily Data'!$AK$4:$AK$503,'Daily Data'!$B$4:$B$503,$A36,'Daily Data'!$AL$4:$AL$503,$C$5,'Daily Data'!$AM$4:$AM$503,$C$4)),""))</f>
        <v>1</v>
      </c>
      <c r="K36" s="112">
        <f>IF($A36="","",IFERROR(IF(_xlfn.MAXIFS('Daily Data'!$AK$4:$AK$503,'Daily Data'!$B$4:$B$503,$A36,'Daily Data'!$AL$4:$AL$503,$C$5,'Daily Data'!$AM$4:$AM$503,$C$4)=0,"",_xlfn.MAXIFS('Daily Data'!$AK$4:$AK$503,'Daily Data'!$B$4:$B$503,$A36,'Daily Data'!$AL$4:$AL$503,$C$5,'Daily Data'!$AM$4:$AM$503,$C$4)),""))</f>
        <v>5</v>
      </c>
      <c r="L36" s="156">
        <f>IF($J36="","",SUMIFS('Daily Data'!$D$4:$D$503,'Daily Data'!$B$4:$B$503,$A36,'Daily Data'!$AK$4:$AK$503,$J36))</f>
        <v>0</v>
      </c>
      <c r="M36" s="156">
        <f>IF($K36="","",SUMIFS('Daily Data'!$E$4:$E$503,'Daily Data'!$B$4:$B$503,$A36,'Daily Data'!$AK$4:$AK$503,$K36))</f>
        <v>8650</v>
      </c>
    </row>
    <row r="37" spans="1:13" x14ac:dyDescent="0.3">
      <c r="A37" s="155" t="str">
        <f>IF(Symbols!A11="","",Symbols!A11)</f>
        <v>KA</v>
      </c>
      <c r="B37" s="98">
        <f>IF($J37="","",SUMIFS('Daily Data'!$I$4:$I$503,'Daily Data'!$B$4:$B$503,$A37,'Daily Data'!$AL$4:$AL$503,$C$5,'Daily Data'!$AM$4:$AM$503,$C$4))</f>
        <v>0</v>
      </c>
      <c r="C37" s="98">
        <f>IF($J37="","",SUMIFS('Daily Data'!$K$4:$K$503,'Daily Data'!$B$4:$B$503,$A37,'Daily Data'!$AL$4:$AL$503,$C$5,'Daily Data'!$AM$4:$AM$503,$C$4))</f>
        <v>0</v>
      </c>
      <c r="D37" s="98">
        <f>IF($J37="","",SUMIFS('Daily Data'!$J$4:$J$503,'Daily Data'!$B$4:$B$503,$A37,'Daily Data'!$AL$4:$AL$503,$C$5,'Daily Data'!$AM$4:$AM$503,$C$4))</f>
        <v>0</v>
      </c>
      <c r="E37" s="99" t="str">
        <f>IF($J37="","",IFERROR(AVERAGEIFS('Daily Data'!$S$4:$S$503,'Daily Data'!$B$4:$B$503,$A37,'Daily Data'!$AL$4:$AL$503,$C$5,'Daily Data'!$AM$4:$AM$503,$C$4),""))</f>
        <v/>
      </c>
      <c r="F37" s="97" t="str">
        <f>IF(OR($J37="",N($L37)=0),"",$M37/$L37-1)</f>
        <v/>
      </c>
      <c r="G37" s="100">
        <f>IF($J37="","",IFERROR(AVERAGEIFS('Daily Data'!$AH$4:$AH$503,'Daily Data'!$B$4:$B$503,$A37,'Daily Data'!$AL$4:$AL$503,$C$5,'Daily Data'!$AM$4:$AM$503,$C$4),""))</f>
        <v>65</v>
      </c>
      <c r="H37" s="100">
        <f>IF($J37="","",IFERROR(AVERAGEIFS('Daily Data'!$AG$4:$AG$503,'Daily Data'!$B$4:$B$503,$A37,'Daily Data'!$AL$4:$AL$503,$C$5,'Daily Data'!$AM$4:$AM$503,$C$4),""))</f>
        <v>0</v>
      </c>
      <c r="I37" s="97" t="str">
        <f>IF($K37="","",IF(COUNTIFS('Daily Data'!$B$4:$B$503,$A37,'Daily Data'!$AK$4:$AK$503,$K37,'Daily Data'!$AA$4:$AA$503,"&gt;=-1E+300")=0,"",SUMIFS('Daily Data'!$AA$4:$AA$503,'Daily Data'!$B$4:$B$503,$A37,'Daily Data'!$AK$4:$AK$503,$K37)))</f>
        <v/>
      </c>
      <c r="J37" s="112">
        <f>IF($A37="","",IFERROR(IF(_xlfn.MINIFS('Daily Data'!$AK$4:$AK$503,'Daily Data'!$B$4:$B$503,$A37,'Daily Data'!$AL$4:$AL$503,$C$5,'Daily Data'!$AM$4:$AM$503,$C$4)=0,"",_xlfn.MINIFS('Daily Data'!$AK$4:$AK$503,'Daily Data'!$B$4:$B$503,$A37,'Daily Data'!$AL$4:$AL$503,$C$5,'Daily Data'!$AM$4:$AM$503,$C$4)),""))</f>
        <v>1</v>
      </c>
      <c r="K37" s="112">
        <f>IF($A37="","",IFERROR(IF(_xlfn.MAXIFS('Daily Data'!$AK$4:$AK$503,'Daily Data'!$B$4:$B$503,$A37,'Daily Data'!$AL$4:$AL$503,$C$5,'Daily Data'!$AM$4:$AM$503,$C$4)=0,"",_xlfn.MAXIFS('Daily Data'!$AK$4:$AK$503,'Daily Data'!$B$4:$B$503,$A37,'Daily Data'!$AL$4:$AL$503,$C$5,'Daily Data'!$AM$4:$AM$503,$C$4)),""))</f>
        <v>5</v>
      </c>
      <c r="L37" s="156">
        <f>IF($J37="","",SUMIFS('Daily Data'!$D$4:$D$503,'Daily Data'!$B$4:$B$503,$A37,'Daily Data'!$AK$4:$AK$503,$J37))</f>
        <v>0</v>
      </c>
      <c r="M37" s="156">
        <f>IF($K37="","",SUMIFS('Daily Data'!$E$4:$E$503,'Daily Data'!$B$4:$B$503,$A37,'Daily Data'!$AK$4:$AK$503,$K37))</f>
        <v>110</v>
      </c>
    </row>
    <row r="38" spans="1:13" x14ac:dyDescent="0.3">
      <c r="A38" s="155" t="str">
        <f>IF(Symbols!A12="","",Symbols!A12)</f>
        <v>KCB</v>
      </c>
      <c r="B38" s="98">
        <f>IF($J38="","",SUMIFS('Daily Data'!$I$4:$I$503,'Daily Data'!$B$4:$B$503,$A38,'Daily Data'!$AL$4:$AL$503,$C$5,'Daily Data'!$AM$4:$AM$503,$C$4))</f>
        <v>284359020</v>
      </c>
      <c r="C38" s="98">
        <f>IF($J38="","",SUMIFS('Daily Data'!$K$4:$K$503,'Daily Data'!$B$4:$B$503,$A38,'Daily Data'!$AL$4:$AL$503,$C$5,'Daily Data'!$AM$4:$AM$503,$C$4))</f>
        <v>145800</v>
      </c>
      <c r="D38" s="98">
        <f>IF($J38="","",SUMIFS('Daily Data'!$J$4:$J$503,'Daily Data'!$B$4:$B$503,$A38,'Daily Data'!$AL$4:$AL$503,$C$5,'Daily Data'!$AM$4:$AM$503,$C$4))</f>
        <v>233</v>
      </c>
      <c r="E38" s="99">
        <f>IF($J38="","",IFERROR(AVERAGEIFS('Daily Data'!$S$4:$S$503,'Daily Data'!$B$4:$B$503,$A38,'Daily Data'!$AL$4:$AL$503,$C$5,'Daily Data'!$AM$4:$AM$503,$C$4),""))</f>
        <v>0.3644164333119696</v>
      </c>
      <c r="F38" s="97" t="str">
        <f>IF(OR($J38="",N($L38)=0),"",$M38/$L38-1)</f>
        <v/>
      </c>
      <c r="G38" s="100">
        <f>IF($J38="","",IFERROR(AVERAGEIFS('Daily Data'!$AH$4:$AH$503,'Daily Data'!$B$4:$B$503,$A38,'Daily Data'!$AL$4:$AL$503,$C$5,'Daily Data'!$AM$4:$AM$503,$C$4),""))</f>
        <v>44.42</v>
      </c>
      <c r="H38" s="100">
        <f>IF($J38="","",IFERROR(AVERAGEIFS('Daily Data'!$AG$4:$AG$503,'Daily Data'!$B$4:$B$503,$A38,'Daily Data'!$AL$4:$AL$503,$C$5,'Daily Data'!$AM$4:$AM$503,$C$4),""))</f>
        <v>19.400000000000002</v>
      </c>
      <c r="I38" s="97" t="str">
        <f>IF($K38="","",IF(COUNTIFS('Daily Data'!$B$4:$B$503,$A38,'Daily Data'!$AK$4:$AK$503,$K38,'Daily Data'!$AA$4:$AA$503,"&gt;=-1E+300")=0,"",SUMIFS('Daily Data'!$AA$4:$AA$503,'Daily Data'!$B$4:$B$503,$A38,'Daily Data'!$AK$4:$AK$503,$K38)))</f>
        <v/>
      </c>
      <c r="J38" s="112">
        <f>IF($A38="","",IFERROR(IF(_xlfn.MINIFS('Daily Data'!$AK$4:$AK$503,'Daily Data'!$B$4:$B$503,$A38,'Daily Data'!$AL$4:$AL$503,$C$5,'Daily Data'!$AM$4:$AM$503,$C$4)=0,"",_xlfn.MINIFS('Daily Data'!$AK$4:$AK$503,'Daily Data'!$B$4:$B$503,$A38,'Daily Data'!$AL$4:$AL$503,$C$5,'Daily Data'!$AM$4:$AM$503,$C$4)),""))</f>
        <v>1</v>
      </c>
      <c r="K38" s="112">
        <f>IF($A38="","",IFERROR(IF(_xlfn.MAXIFS('Daily Data'!$AK$4:$AK$503,'Daily Data'!$B$4:$B$503,$A38,'Daily Data'!$AL$4:$AL$503,$C$5,'Daily Data'!$AM$4:$AM$503,$C$4)=0,"",_xlfn.MAXIFS('Daily Data'!$AK$4:$AK$503,'Daily Data'!$B$4:$B$503,$A38,'Daily Data'!$AL$4:$AL$503,$C$5,'Daily Data'!$AM$4:$AM$503,$C$4)),""))</f>
        <v>5</v>
      </c>
      <c r="L38" s="156">
        <f>IF($J38="","",SUMIFS('Daily Data'!$D$4:$D$503,'Daily Data'!$B$4:$B$503,$A38,'Daily Data'!$AK$4:$AK$503,$J38))</f>
        <v>0</v>
      </c>
      <c r="M38" s="156">
        <f>IF($K38="","",SUMIFS('Daily Data'!$E$4:$E$503,'Daily Data'!$B$4:$B$503,$A38,'Daily Data'!$AK$4:$AK$503,$K38))</f>
        <v>1950</v>
      </c>
    </row>
    <row r="39" spans="1:13" x14ac:dyDescent="0.3">
      <c r="A39" s="155" t="str">
        <f>IF(Symbols!A13="","",Symbols!A13)</f>
        <v>MBP</v>
      </c>
      <c r="B39" s="98">
        <f>IF($J39="","",SUMIFS('Daily Data'!$I$4:$I$503,'Daily Data'!$B$4:$B$503,$A39,'Daily Data'!$AL$4:$AL$503,$C$5,'Daily Data'!$AM$4:$AM$503,$C$4))</f>
        <v>48359950</v>
      </c>
      <c r="C39" s="98">
        <f>IF($J39="","",SUMIFS('Daily Data'!$K$4:$K$503,'Daily Data'!$B$4:$B$503,$A39,'Daily Data'!$AL$4:$AL$503,$C$5,'Daily Data'!$AM$4:$AM$503,$C$4))</f>
        <v>28597</v>
      </c>
      <c r="D39" s="98">
        <f>IF($J39="","",SUMIFS('Daily Data'!$J$4:$J$503,'Daily Data'!$B$4:$B$503,$A39,'Daily Data'!$AL$4:$AL$503,$C$5,'Daily Data'!$AM$4:$AM$503,$C$4))</f>
        <v>116</v>
      </c>
      <c r="E39" s="99">
        <f>IF($J39="","",IFERROR(AVERAGEIFS('Daily Data'!$S$4:$S$503,'Daily Data'!$B$4:$B$503,$A39,'Daily Data'!$AL$4:$AL$503,$C$5,'Daily Data'!$AM$4:$AM$503,$C$4),""))</f>
        <v>0.3453133243330358</v>
      </c>
      <c r="F39" s="97" t="str">
        <f>IF(OR($J39="",N($L39)=0),"",$M39/$L39-1)</f>
        <v/>
      </c>
      <c r="G39" s="100">
        <f>IF($J39="","",IFERROR(AVERAGEIFS('Daily Data'!$AH$4:$AH$503,'Daily Data'!$B$4:$B$503,$A39,'Daily Data'!$AL$4:$AL$503,$C$5,'Daily Data'!$AM$4:$AM$503,$C$4),""))</f>
        <v>35.58</v>
      </c>
      <c r="H39" s="100">
        <f>IF($J39="","",IFERROR(AVERAGEIFS('Daily Data'!$AG$4:$AG$503,'Daily Data'!$B$4:$B$503,$A39,'Daily Data'!$AL$4:$AL$503,$C$5,'Daily Data'!$AM$4:$AM$503,$C$4),""))</f>
        <v>8.4400000000000013</v>
      </c>
      <c r="I39" s="97" t="str">
        <f>IF($K39="","",IF(COUNTIFS('Daily Data'!$B$4:$B$503,$A39,'Daily Data'!$AK$4:$AK$503,$K39,'Daily Data'!$AA$4:$AA$503,"&gt;=-1E+300")=0,"",SUMIFS('Daily Data'!$AA$4:$AA$503,'Daily Data'!$B$4:$B$503,$A39,'Daily Data'!$AK$4:$AK$503,$K39)))</f>
        <v/>
      </c>
      <c r="J39" s="112">
        <f>IF($A39="","",IFERROR(IF(_xlfn.MINIFS('Daily Data'!$AK$4:$AK$503,'Daily Data'!$B$4:$B$503,$A39,'Daily Data'!$AL$4:$AL$503,$C$5,'Daily Data'!$AM$4:$AM$503,$C$4)=0,"",_xlfn.MINIFS('Daily Data'!$AK$4:$AK$503,'Daily Data'!$B$4:$B$503,$A39,'Daily Data'!$AL$4:$AL$503,$C$5,'Daily Data'!$AM$4:$AM$503,$C$4)),""))</f>
        <v>1</v>
      </c>
      <c r="K39" s="112">
        <f>IF($A39="","",IFERROR(IF(_xlfn.MAXIFS('Daily Data'!$AK$4:$AK$503,'Daily Data'!$B$4:$B$503,$A39,'Daily Data'!$AL$4:$AL$503,$C$5,'Daily Data'!$AM$4:$AM$503,$C$4)=0,"",_xlfn.MAXIFS('Daily Data'!$AK$4:$AK$503,'Daily Data'!$B$4:$B$503,$A39,'Daily Data'!$AL$4:$AL$503,$C$5,'Daily Data'!$AM$4:$AM$503,$C$4)),""))</f>
        <v>5</v>
      </c>
      <c r="L39" s="156">
        <f>IF($J39="","",SUMIFS('Daily Data'!$D$4:$D$503,'Daily Data'!$B$4:$B$503,$A39,'Daily Data'!$AK$4:$AK$503,$J39))</f>
        <v>0</v>
      </c>
      <c r="M39" s="156">
        <f>IF($K39="","",SUMIFS('Daily Data'!$E$4:$E$503,'Daily Data'!$B$4:$B$503,$A39,'Daily Data'!$AK$4:$AK$503,$K39))</f>
        <v>1680</v>
      </c>
    </row>
    <row r="40" spans="1:13" x14ac:dyDescent="0.3">
      <c r="A40" s="155" t="str">
        <f>IF(Symbols!A14="","",Symbols!A14)</f>
        <v>MCB</v>
      </c>
      <c r="B40" s="98">
        <f>IF($J40="","",SUMIFS('Daily Data'!$I$4:$I$503,'Daily Data'!$B$4:$B$503,$A40,'Daily Data'!$AL$4:$AL$503,$C$5,'Daily Data'!$AM$4:$AM$503,$C$4))</f>
        <v>545083750</v>
      </c>
      <c r="C40" s="98">
        <f>IF($J40="","",SUMIFS('Daily Data'!$K$4:$K$503,'Daily Data'!$B$4:$B$503,$A40,'Daily Data'!$AL$4:$AL$503,$C$5,'Daily Data'!$AM$4:$AM$503,$C$4))</f>
        <v>1158438</v>
      </c>
      <c r="D40" s="98">
        <f>IF($J40="","",SUMIFS('Daily Data'!$J$4:$J$503,'Daily Data'!$B$4:$B$503,$A40,'Daily Data'!$AL$4:$AL$503,$C$5,'Daily Data'!$AM$4:$AM$503,$C$4))</f>
        <v>2092</v>
      </c>
      <c r="E40" s="99">
        <f>IF($J40="","",IFERROR(AVERAGEIFS('Daily Data'!$S$4:$S$503,'Daily Data'!$B$4:$B$503,$A40,'Daily Data'!$AL$4:$AL$503,$C$5,'Daily Data'!$AM$4:$AM$503,$C$4),""))</f>
        <v>0.28364314952329445</v>
      </c>
      <c r="F40" s="97" t="str">
        <f>IF(OR($J40="",N($L40)=0),"",$M40/$L40-1)</f>
        <v/>
      </c>
      <c r="G40" s="100">
        <f>IF($J40="","",IFERROR(AVERAGEIFS('Daily Data'!$AH$4:$AH$503,'Daily Data'!$B$4:$B$503,$A40,'Daily Data'!$AL$4:$AL$503,$C$5,'Daily Data'!$AM$4:$AM$503,$C$4),""))</f>
        <v>28.5</v>
      </c>
      <c r="H40" s="100">
        <f>IF($J40="","",IFERROR(AVERAGEIFS('Daily Data'!$AG$4:$AG$503,'Daily Data'!$B$4:$B$503,$A40,'Daily Data'!$AL$4:$AL$503,$C$5,'Daily Data'!$AM$4:$AM$503,$C$4),""))</f>
        <v>52.42</v>
      </c>
      <c r="I40" s="97" t="str">
        <f>IF($K40="","",IF(COUNTIFS('Daily Data'!$B$4:$B$503,$A40,'Daily Data'!$AK$4:$AK$503,$K40,'Daily Data'!$AA$4:$AA$503,"&gt;=-1E+300")=0,"",SUMIFS('Daily Data'!$AA$4:$AA$503,'Daily Data'!$B$4:$B$503,$A40,'Daily Data'!$AK$4:$AK$503,$K40)))</f>
        <v/>
      </c>
      <c r="J40" s="112">
        <f>IF($A40="","",IFERROR(IF(_xlfn.MINIFS('Daily Data'!$AK$4:$AK$503,'Daily Data'!$B$4:$B$503,$A40,'Daily Data'!$AL$4:$AL$503,$C$5,'Daily Data'!$AM$4:$AM$503,$C$4)=0,"",_xlfn.MINIFS('Daily Data'!$AK$4:$AK$503,'Daily Data'!$B$4:$B$503,$A40,'Daily Data'!$AL$4:$AL$503,$C$5,'Daily Data'!$AM$4:$AM$503,$C$4)),""))</f>
        <v>1</v>
      </c>
      <c r="K40" s="112">
        <f>IF($A40="","",IFERROR(IF(_xlfn.MAXIFS('Daily Data'!$AK$4:$AK$503,'Daily Data'!$B$4:$B$503,$A40,'Daily Data'!$AL$4:$AL$503,$C$5,'Daily Data'!$AM$4:$AM$503,$C$4)=0,"",_xlfn.MAXIFS('Daily Data'!$AK$4:$AK$503,'Daily Data'!$B$4:$B$503,$A40,'Daily Data'!$AL$4:$AL$503,$C$5,'Daily Data'!$AM$4:$AM$503,$C$4)),""))</f>
        <v>5</v>
      </c>
      <c r="L40" s="156">
        <f>IF($J40="","",SUMIFS('Daily Data'!$D$4:$D$503,'Daily Data'!$B$4:$B$503,$A40,'Daily Data'!$AK$4:$AK$503,$J40))</f>
        <v>0</v>
      </c>
      <c r="M40" s="156">
        <f>IF($K40="","",SUMIFS('Daily Data'!$E$4:$E$503,'Daily Data'!$B$4:$B$503,$A40,'Daily Data'!$AK$4:$AK$503,$K40))</f>
        <v>405</v>
      </c>
    </row>
    <row r="41" spans="1:13" x14ac:dyDescent="0.3">
      <c r="A41" s="155" t="str">
        <f>IF(Symbols!A15="","",Symbols!A15)</f>
        <v>MKCB</v>
      </c>
      <c r="B41" s="98">
        <f>IF($J41="","",SUMIFS('Daily Data'!$I$4:$I$503,'Daily Data'!$B$4:$B$503,$A41,'Daily Data'!$AL$4:$AL$503,$C$5,'Daily Data'!$AM$4:$AM$503,$C$4))</f>
        <v>30369730</v>
      </c>
      <c r="C41" s="98">
        <f>IF($J41="","",SUMIFS('Daily Data'!$K$4:$K$503,'Daily Data'!$B$4:$B$503,$A41,'Daily Data'!$AL$4:$AL$503,$C$5,'Daily Data'!$AM$4:$AM$503,$C$4))</f>
        <v>8049</v>
      </c>
      <c r="D41" s="98">
        <f>IF($J41="","",SUMIFS('Daily Data'!$J$4:$J$503,'Daily Data'!$B$4:$B$503,$A41,'Daily Data'!$AL$4:$AL$503,$C$5,'Daily Data'!$AM$4:$AM$503,$C$4))</f>
        <v>82</v>
      </c>
      <c r="E41" s="99">
        <f>IF($J41="","",IFERROR(AVERAGEIFS('Daily Data'!$S$4:$S$503,'Daily Data'!$B$4:$B$503,$A41,'Daily Data'!$AL$4:$AL$503,$C$5,'Daily Data'!$AM$4:$AM$503,$C$4),""))</f>
        <v>0.45263067082336572</v>
      </c>
      <c r="F41" s="97" t="str">
        <f>IF(OR($J41="",N($L41)=0),"",$M41/$L41-1)</f>
        <v/>
      </c>
      <c r="G41" s="100">
        <f>IF($J41="","",IFERROR(AVERAGEIFS('Daily Data'!$AH$4:$AH$503,'Daily Data'!$B$4:$B$503,$A41,'Daily Data'!$AL$4:$AL$503,$C$5,'Daily Data'!$AM$4:$AM$503,$C$4),""))</f>
        <v>39</v>
      </c>
      <c r="H41" s="100">
        <f>IF($J41="","",IFERROR(AVERAGEIFS('Daily Data'!$AG$4:$AG$503,'Daily Data'!$B$4:$B$503,$A41,'Daily Data'!$AL$4:$AL$503,$C$5,'Daily Data'!$AM$4:$AM$503,$C$4),""))</f>
        <v>5.7799999999999994</v>
      </c>
      <c r="I41" s="97" t="str">
        <f>IF($K41="","",IF(COUNTIFS('Daily Data'!$B$4:$B$503,$A41,'Daily Data'!$AK$4:$AK$503,$K41,'Daily Data'!$AA$4:$AA$503,"&gt;=-1E+300")=0,"",SUMIFS('Daily Data'!$AA$4:$AA$503,'Daily Data'!$B$4:$B$503,$A41,'Daily Data'!$AK$4:$AK$503,$K41)))</f>
        <v/>
      </c>
      <c r="J41" s="112">
        <f>IF($A41="","",IFERROR(IF(_xlfn.MINIFS('Daily Data'!$AK$4:$AK$503,'Daily Data'!$B$4:$B$503,$A41,'Daily Data'!$AL$4:$AL$503,$C$5,'Daily Data'!$AM$4:$AM$503,$C$4)=0,"",_xlfn.MINIFS('Daily Data'!$AK$4:$AK$503,'Daily Data'!$B$4:$B$503,$A41,'Daily Data'!$AL$4:$AL$503,$C$5,'Daily Data'!$AM$4:$AM$503,$C$4)),""))</f>
        <v>1</v>
      </c>
      <c r="K41" s="112">
        <f>IF($A41="","",IFERROR(IF(_xlfn.MAXIFS('Daily Data'!$AK$4:$AK$503,'Daily Data'!$B$4:$B$503,$A41,'Daily Data'!$AL$4:$AL$503,$C$5,'Daily Data'!$AM$4:$AM$503,$C$4)=0,"",_xlfn.MAXIFS('Daily Data'!$AK$4:$AK$503,'Daily Data'!$B$4:$B$503,$A41,'Daily Data'!$AL$4:$AL$503,$C$5,'Daily Data'!$AM$4:$AM$503,$C$4)),""))</f>
        <v>5</v>
      </c>
      <c r="L41" s="156">
        <f>IF($J41="","",SUMIFS('Daily Data'!$D$4:$D$503,'Daily Data'!$B$4:$B$503,$A41,'Daily Data'!$AK$4:$AK$503,$J41))</f>
        <v>0</v>
      </c>
      <c r="M41" s="156">
        <f>IF($K41="","",SUMIFS('Daily Data'!$E$4:$E$503,'Daily Data'!$B$4:$B$503,$A41,'Daily Data'!$AK$4:$AK$503,$K41))</f>
        <v>3760</v>
      </c>
    </row>
    <row r="42" spans="1:13" x14ac:dyDescent="0.3">
      <c r="A42" s="155" t="str">
        <f>IF(Symbols!A16="","",Symbols!A16)</f>
        <v>MUCOBA</v>
      </c>
      <c r="B42" s="98">
        <f>IF($J42="","",SUMIFS('Daily Data'!$I$4:$I$503,'Daily Data'!$B$4:$B$503,$A42,'Daily Data'!$AL$4:$AL$503,$C$5,'Daily Data'!$AM$4:$AM$503,$C$4))</f>
        <v>3313145</v>
      </c>
      <c r="C42" s="98">
        <f>IF($J42="","",SUMIFS('Daily Data'!$K$4:$K$503,'Daily Data'!$B$4:$B$503,$A42,'Daily Data'!$AL$4:$AL$503,$C$5,'Daily Data'!$AM$4:$AM$503,$C$4))</f>
        <v>7161</v>
      </c>
      <c r="D42" s="98">
        <f>IF($J42="","",SUMIFS('Daily Data'!$J$4:$J$503,'Daily Data'!$B$4:$B$503,$A42,'Daily Data'!$AL$4:$AL$503,$C$5,'Daily Data'!$AM$4:$AM$503,$C$4))</f>
        <v>94</v>
      </c>
      <c r="E42" s="99">
        <f>IF($J42="","",IFERROR(AVERAGEIFS('Daily Data'!$S$4:$S$503,'Daily Data'!$B$4:$B$503,$A42,'Daily Data'!$AL$4:$AL$503,$C$5,'Daily Data'!$AM$4:$AM$503,$C$4),""))</f>
        <v>1.7058421595783653</v>
      </c>
      <c r="F42" s="97" t="str">
        <f>IF(OR($J42="",N($L42)=0),"",$M42/$L42-1)</f>
        <v/>
      </c>
      <c r="G42" s="100">
        <f>IF($J42="","",IFERROR(AVERAGEIFS('Daily Data'!$AH$4:$AH$503,'Daily Data'!$B$4:$B$503,$A42,'Daily Data'!$AL$4:$AL$503,$C$5,'Daily Data'!$AM$4:$AM$503,$C$4),""))</f>
        <v>48.74</v>
      </c>
      <c r="H42" s="100">
        <f>IF($J42="","",IFERROR(AVERAGEIFS('Daily Data'!$AG$4:$AG$503,'Daily Data'!$B$4:$B$503,$A42,'Daily Data'!$AL$4:$AL$503,$C$5,'Daily Data'!$AM$4:$AM$503,$C$4),""))</f>
        <v>6.4</v>
      </c>
      <c r="I42" s="97" t="str">
        <f>IF($K42="","",IF(COUNTIFS('Daily Data'!$B$4:$B$503,$A42,'Daily Data'!$AK$4:$AK$503,$K42,'Daily Data'!$AA$4:$AA$503,"&gt;=-1E+300")=0,"",SUMIFS('Daily Data'!$AA$4:$AA$503,'Daily Data'!$B$4:$B$503,$A42,'Daily Data'!$AK$4:$AK$503,$K42)))</f>
        <v/>
      </c>
      <c r="J42" s="112">
        <f>IF($A42="","",IFERROR(IF(_xlfn.MINIFS('Daily Data'!$AK$4:$AK$503,'Daily Data'!$B$4:$B$503,$A42,'Daily Data'!$AL$4:$AL$503,$C$5,'Daily Data'!$AM$4:$AM$503,$C$4)=0,"",_xlfn.MINIFS('Daily Data'!$AK$4:$AK$503,'Daily Data'!$B$4:$B$503,$A42,'Daily Data'!$AL$4:$AL$503,$C$5,'Daily Data'!$AM$4:$AM$503,$C$4)),""))</f>
        <v>1</v>
      </c>
      <c r="K42" s="112">
        <f>IF($A42="","",IFERROR(IF(_xlfn.MAXIFS('Daily Data'!$AK$4:$AK$503,'Daily Data'!$B$4:$B$503,$A42,'Daily Data'!$AL$4:$AL$503,$C$5,'Daily Data'!$AM$4:$AM$503,$C$4)=0,"",_xlfn.MAXIFS('Daily Data'!$AK$4:$AK$503,'Daily Data'!$B$4:$B$503,$A42,'Daily Data'!$AL$4:$AL$503,$C$5,'Daily Data'!$AM$4:$AM$503,$C$4)),""))</f>
        <v>5</v>
      </c>
      <c r="L42" s="156">
        <f>IF($J42="","",SUMIFS('Daily Data'!$D$4:$D$503,'Daily Data'!$B$4:$B$503,$A42,'Daily Data'!$AK$4:$AK$503,$J42))</f>
        <v>0</v>
      </c>
      <c r="M42" s="156">
        <f>IF($K42="","",SUMIFS('Daily Data'!$E$4:$E$503,'Daily Data'!$B$4:$B$503,$A42,'Daily Data'!$AK$4:$AK$503,$K42))</f>
        <v>455</v>
      </c>
    </row>
    <row r="43" spans="1:13" x14ac:dyDescent="0.3">
      <c r="A43" s="155" t="str">
        <f>IF(Symbols!A17="","",Symbols!A17)</f>
        <v>NICO</v>
      </c>
      <c r="B43" s="98">
        <f>IF($J43="","",SUMIFS('Daily Data'!$I$4:$I$503,'Daily Data'!$B$4:$B$503,$A43,'Daily Data'!$AL$4:$AL$503,$C$5,'Daily Data'!$AM$4:$AM$503,$C$4))</f>
        <v>274307070</v>
      </c>
      <c r="C43" s="98">
        <f>IF($J43="","",SUMIFS('Daily Data'!$K$4:$K$503,'Daily Data'!$B$4:$B$503,$A43,'Daily Data'!$AL$4:$AL$503,$C$5,'Daily Data'!$AM$4:$AM$503,$C$4))</f>
        <v>74308</v>
      </c>
      <c r="D43" s="98">
        <f>IF($J43="","",SUMIFS('Daily Data'!$J$4:$J$503,'Daily Data'!$B$4:$B$503,$A43,'Daily Data'!$AL$4:$AL$503,$C$5,'Daily Data'!$AM$4:$AM$503,$C$4))</f>
        <v>459</v>
      </c>
      <c r="E43" s="99">
        <f>IF($J43="","",IFERROR(AVERAGEIFS('Daily Data'!$S$4:$S$503,'Daily Data'!$B$4:$B$503,$A43,'Daily Data'!$AL$4:$AL$503,$C$5,'Daily Data'!$AM$4:$AM$503,$C$4),""))</f>
        <v>1.632087850731617</v>
      </c>
      <c r="F43" s="97" t="str">
        <f>IF(OR($J43="",N($L43)=0),"",$M43/$L43-1)</f>
        <v/>
      </c>
      <c r="G43" s="100">
        <f>IF($J43="","",IFERROR(AVERAGEIFS('Daily Data'!$AH$4:$AH$503,'Daily Data'!$B$4:$B$503,$A43,'Daily Data'!$AL$4:$AL$503,$C$5,'Daily Data'!$AM$4:$AM$503,$C$4),""))</f>
        <v>46.52</v>
      </c>
      <c r="H43" s="100">
        <f>IF($J43="","",IFERROR(AVERAGEIFS('Daily Data'!$AG$4:$AG$503,'Daily Data'!$B$4:$B$503,$A43,'Daily Data'!$AL$4:$AL$503,$C$5,'Daily Data'!$AM$4:$AM$503,$C$4),""))</f>
        <v>28.68</v>
      </c>
      <c r="I43" s="97" t="str">
        <f>IF($K43="","",IF(COUNTIFS('Daily Data'!$B$4:$B$503,$A43,'Daily Data'!$AK$4:$AK$503,$K43,'Daily Data'!$AA$4:$AA$503,"&gt;=-1E+300")=0,"",SUMIFS('Daily Data'!$AA$4:$AA$503,'Daily Data'!$B$4:$B$503,$A43,'Daily Data'!$AK$4:$AK$503,$K43)))</f>
        <v/>
      </c>
      <c r="J43" s="112">
        <f>IF($A43="","",IFERROR(IF(_xlfn.MINIFS('Daily Data'!$AK$4:$AK$503,'Daily Data'!$B$4:$B$503,$A43,'Daily Data'!$AL$4:$AL$503,$C$5,'Daily Data'!$AM$4:$AM$503,$C$4)=0,"",_xlfn.MINIFS('Daily Data'!$AK$4:$AK$503,'Daily Data'!$B$4:$B$503,$A43,'Daily Data'!$AL$4:$AL$503,$C$5,'Daily Data'!$AM$4:$AM$503,$C$4)),""))</f>
        <v>1</v>
      </c>
      <c r="K43" s="112">
        <f>IF($A43="","",IFERROR(IF(_xlfn.MAXIFS('Daily Data'!$AK$4:$AK$503,'Daily Data'!$B$4:$B$503,$A43,'Daily Data'!$AL$4:$AL$503,$C$5,'Daily Data'!$AM$4:$AM$503,$C$4)=0,"",_xlfn.MAXIFS('Daily Data'!$AK$4:$AK$503,'Daily Data'!$B$4:$B$503,$A43,'Daily Data'!$AL$4:$AL$503,$C$5,'Daily Data'!$AM$4:$AM$503,$C$4)),""))</f>
        <v>5</v>
      </c>
      <c r="L43" s="156">
        <f>IF($J43="","",SUMIFS('Daily Data'!$D$4:$D$503,'Daily Data'!$B$4:$B$503,$A43,'Daily Data'!$AK$4:$AK$503,$J43))</f>
        <v>0</v>
      </c>
      <c r="M43" s="156">
        <f>IF($K43="","",SUMIFS('Daily Data'!$E$4:$E$503,'Daily Data'!$B$4:$B$503,$A43,'Daily Data'!$AK$4:$AK$503,$K43))</f>
        <v>3820</v>
      </c>
    </row>
    <row r="44" spans="1:13" x14ac:dyDescent="0.3">
      <c r="A44" s="155" t="str">
        <f>IF(Symbols!A18="","",Symbols!A18)</f>
        <v>NMB</v>
      </c>
      <c r="B44" s="98">
        <f>IF($J44="","",SUMIFS('Daily Data'!$I$4:$I$503,'Daily Data'!$B$4:$B$503,$A44,'Daily Data'!$AL$4:$AL$503,$C$5,'Daily Data'!$AM$4:$AM$503,$C$4))</f>
        <v>13611779350</v>
      </c>
      <c r="C44" s="98">
        <f>IF($J44="","",SUMIFS('Daily Data'!$K$4:$K$503,'Daily Data'!$B$4:$B$503,$A44,'Daily Data'!$AL$4:$AL$503,$C$5,'Daily Data'!$AM$4:$AM$503,$C$4))</f>
        <v>772202</v>
      </c>
      <c r="D44" s="98">
        <f>IF($J44="","",SUMIFS('Daily Data'!$J$4:$J$503,'Daily Data'!$B$4:$B$503,$A44,'Daily Data'!$AL$4:$AL$503,$C$5,'Daily Data'!$AM$4:$AM$503,$C$4))</f>
        <v>2276</v>
      </c>
      <c r="E44" s="99">
        <f>IF($J44="","",IFERROR(AVERAGEIFS('Daily Data'!$S$4:$S$503,'Daily Data'!$B$4:$B$503,$A44,'Daily Data'!$AL$4:$AL$503,$C$5,'Daily Data'!$AM$4:$AM$503,$C$4),""))</f>
        <v>59.746963011468061</v>
      </c>
      <c r="F44" s="97" t="str">
        <f>IF(OR($J44="",N($L44)=0),"",$M44/$L44-1)</f>
        <v/>
      </c>
      <c r="G44" s="100">
        <f>IF($J44="","",IFERROR(AVERAGEIFS('Daily Data'!$AH$4:$AH$503,'Daily Data'!$B$4:$B$503,$A44,'Daily Data'!$AL$4:$AL$503,$C$5,'Daily Data'!$AM$4:$AM$503,$C$4),""))</f>
        <v>52.720000000000006</v>
      </c>
      <c r="H44" s="100">
        <f>IF($J44="","",IFERROR(AVERAGEIFS('Daily Data'!$AG$4:$AG$503,'Daily Data'!$B$4:$B$503,$A44,'Daily Data'!$AL$4:$AL$503,$C$5,'Daily Data'!$AM$4:$AM$503,$C$4),""))</f>
        <v>76.94</v>
      </c>
      <c r="I44" s="97" t="str">
        <f>IF($K44="","",IF(COUNTIFS('Daily Data'!$B$4:$B$503,$A44,'Daily Data'!$AK$4:$AK$503,$K44,'Daily Data'!$AA$4:$AA$503,"&gt;=-1E+300")=0,"",SUMIFS('Daily Data'!$AA$4:$AA$503,'Daily Data'!$B$4:$B$503,$A44,'Daily Data'!$AK$4:$AK$503,$K44)))</f>
        <v/>
      </c>
      <c r="J44" s="112">
        <f>IF($A44="","",IFERROR(IF(_xlfn.MINIFS('Daily Data'!$AK$4:$AK$503,'Daily Data'!$B$4:$B$503,$A44,'Daily Data'!$AL$4:$AL$503,$C$5,'Daily Data'!$AM$4:$AM$503,$C$4)=0,"",_xlfn.MINIFS('Daily Data'!$AK$4:$AK$503,'Daily Data'!$B$4:$B$503,$A44,'Daily Data'!$AL$4:$AL$503,$C$5,'Daily Data'!$AM$4:$AM$503,$C$4)),""))</f>
        <v>1</v>
      </c>
      <c r="K44" s="112">
        <f>IF($A44="","",IFERROR(IF(_xlfn.MAXIFS('Daily Data'!$AK$4:$AK$503,'Daily Data'!$B$4:$B$503,$A44,'Daily Data'!$AL$4:$AL$503,$C$5,'Daily Data'!$AM$4:$AM$503,$C$4)=0,"",_xlfn.MAXIFS('Daily Data'!$AK$4:$AK$503,'Daily Data'!$B$4:$B$503,$A44,'Daily Data'!$AL$4:$AL$503,$C$5,'Daily Data'!$AM$4:$AM$503,$C$4)),""))</f>
        <v>5</v>
      </c>
      <c r="L44" s="156">
        <f>IF($J44="","",SUMIFS('Daily Data'!$D$4:$D$503,'Daily Data'!$B$4:$B$503,$A44,'Daily Data'!$AK$4:$AK$503,$J44))</f>
        <v>0</v>
      </c>
      <c r="M44" s="156">
        <f>IF($K44="","",SUMIFS('Daily Data'!$E$4:$E$503,'Daily Data'!$B$4:$B$503,$A44,'Daily Data'!$AK$4:$AK$503,$K44))</f>
        <v>17700</v>
      </c>
    </row>
    <row r="45" spans="1:13" x14ac:dyDescent="0.3">
      <c r="A45" s="155" t="str">
        <f>IF(Symbols!A19="","",Symbols!A19)</f>
        <v>NMG</v>
      </c>
      <c r="B45" s="98">
        <f>IF($J45="","",SUMIFS('Daily Data'!$I$4:$I$503,'Daily Data'!$B$4:$B$503,$A45,'Daily Data'!$AL$4:$AL$503,$C$5,'Daily Data'!$AM$4:$AM$503,$C$4))</f>
        <v>0</v>
      </c>
      <c r="C45" s="98">
        <f>IF($J45="","",SUMIFS('Daily Data'!$K$4:$K$503,'Daily Data'!$B$4:$B$503,$A45,'Daily Data'!$AL$4:$AL$503,$C$5,'Daily Data'!$AM$4:$AM$503,$C$4))</f>
        <v>0</v>
      </c>
      <c r="D45" s="98">
        <f>IF($J45="","",SUMIFS('Daily Data'!$J$4:$J$503,'Daily Data'!$B$4:$B$503,$A45,'Daily Data'!$AL$4:$AL$503,$C$5,'Daily Data'!$AM$4:$AM$503,$C$4))</f>
        <v>0</v>
      </c>
      <c r="E45" s="99" t="str">
        <f>IF($J45="","",IFERROR(AVERAGEIFS('Daily Data'!$S$4:$S$503,'Daily Data'!$B$4:$B$503,$A45,'Daily Data'!$AL$4:$AL$503,$C$5,'Daily Data'!$AM$4:$AM$503,$C$4),""))</f>
        <v/>
      </c>
      <c r="F45" s="97" t="str">
        <f>IF(OR($J45="",N($L45)=0),"",$M45/$L45-1)</f>
        <v/>
      </c>
      <c r="G45" s="100">
        <f>IF($J45="","",IFERROR(AVERAGEIFS('Daily Data'!$AH$4:$AH$503,'Daily Data'!$B$4:$B$503,$A45,'Daily Data'!$AL$4:$AL$503,$C$5,'Daily Data'!$AM$4:$AM$503,$C$4),""))</f>
        <v>66.180000000000007</v>
      </c>
      <c r="H45" s="100">
        <f>IF($J45="","",IFERROR(AVERAGEIFS('Daily Data'!$AG$4:$AG$503,'Daily Data'!$B$4:$B$503,$A45,'Daily Data'!$AL$4:$AL$503,$C$5,'Daily Data'!$AM$4:$AM$503,$C$4),""))</f>
        <v>0</v>
      </c>
      <c r="I45" s="97" t="str">
        <f>IF($K45="","",IF(COUNTIFS('Daily Data'!$B$4:$B$503,$A45,'Daily Data'!$AK$4:$AK$503,$K45,'Daily Data'!$AA$4:$AA$503,"&gt;=-1E+300")=0,"",SUMIFS('Daily Data'!$AA$4:$AA$503,'Daily Data'!$B$4:$B$503,$A45,'Daily Data'!$AK$4:$AK$503,$K45)))</f>
        <v/>
      </c>
      <c r="J45" s="112">
        <f>IF($A45="","",IFERROR(IF(_xlfn.MINIFS('Daily Data'!$AK$4:$AK$503,'Daily Data'!$B$4:$B$503,$A45,'Daily Data'!$AL$4:$AL$503,$C$5,'Daily Data'!$AM$4:$AM$503,$C$4)=0,"",_xlfn.MINIFS('Daily Data'!$AK$4:$AK$503,'Daily Data'!$B$4:$B$503,$A45,'Daily Data'!$AL$4:$AL$503,$C$5,'Daily Data'!$AM$4:$AM$503,$C$4)),""))</f>
        <v>1</v>
      </c>
      <c r="K45" s="112">
        <f>IF($A45="","",IFERROR(IF(_xlfn.MAXIFS('Daily Data'!$AK$4:$AK$503,'Daily Data'!$B$4:$B$503,$A45,'Daily Data'!$AL$4:$AL$503,$C$5,'Daily Data'!$AM$4:$AM$503,$C$4)=0,"",_xlfn.MAXIFS('Daily Data'!$AK$4:$AK$503,'Daily Data'!$B$4:$B$503,$A45,'Daily Data'!$AL$4:$AL$503,$C$5,'Daily Data'!$AM$4:$AM$503,$C$4)),""))</f>
        <v>5</v>
      </c>
      <c r="L45" s="156">
        <f>IF($J45="","",SUMIFS('Daily Data'!$D$4:$D$503,'Daily Data'!$B$4:$B$503,$A45,'Daily Data'!$AK$4:$AK$503,$J45))</f>
        <v>0</v>
      </c>
      <c r="M45" s="156">
        <f>IF($K45="","",SUMIFS('Daily Data'!$E$4:$E$503,'Daily Data'!$B$4:$B$503,$A45,'Daily Data'!$AK$4:$AK$503,$K45))</f>
        <v>275</v>
      </c>
    </row>
    <row r="46" spans="1:13" x14ac:dyDescent="0.3">
      <c r="A46" s="155" t="str">
        <f>IF(Symbols!A20="","",Symbols!A20)</f>
        <v>PAL</v>
      </c>
      <c r="B46" s="98">
        <f>IF($J46="","",SUMIFS('Daily Data'!$I$4:$I$503,'Daily Data'!$B$4:$B$503,$A46,'Daily Data'!$AL$4:$AL$503,$C$5,'Daily Data'!$AM$4:$AM$503,$C$4))</f>
        <v>7564670</v>
      </c>
      <c r="C46" s="98">
        <f>IF($J46="","",SUMIFS('Daily Data'!$K$4:$K$503,'Daily Data'!$B$4:$B$503,$A46,'Daily Data'!$AL$4:$AL$503,$C$5,'Daily Data'!$AM$4:$AM$503,$C$4))</f>
        <v>23590</v>
      </c>
      <c r="D46" s="98">
        <f>IF($J46="","",SUMIFS('Daily Data'!$J$4:$J$503,'Daily Data'!$B$4:$B$503,$A46,'Daily Data'!$AL$4:$AL$503,$C$5,'Daily Data'!$AM$4:$AM$503,$C$4))</f>
        <v>222</v>
      </c>
      <c r="E46" s="99">
        <f>IF($J46="","",IFERROR(AVERAGEIFS('Daily Data'!$S$4:$S$503,'Daily Data'!$B$4:$B$503,$A46,'Daily Data'!$AL$4:$AL$503,$C$5,'Daily Data'!$AM$4:$AM$503,$C$4),""))</f>
        <v>0.63611433063009915</v>
      </c>
      <c r="F46" s="97" t="str">
        <f>IF(OR($J46="",N($L46)=0),"",$M46/$L46-1)</f>
        <v/>
      </c>
      <c r="G46" s="100">
        <f>IF($J46="","",IFERROR(AVERAGEIFS('Daily Data'!$AH$4:$AH$503,'Daily Data'!$B$4:$B$503,$A46,'Daily Data'!$AL$4:$AL$503,$C$5,'Daily Data'!$AM$4:$AM$503,$C$4),""))</f>
        <v>41.239999999999995</v>
      </c>
      <c r="H46" s="100">
        <f>IF($J46="","",IFERROR(AVERAGEIFS('Daily Data'!$AG$4:$AG$503,'Daily Data'!$B$4:$B$503,$A46,'Daily Data'!$AL$4:$AL$503,$C$5,'Daily Data'!$AM$4:$AM$503,$C$4),""))</f>
        <v>15.180000000000001</v>
      </c>
      <c r="I46" s="97" t="str">
        <f>IF($K46="","",IF(COUNTIFS('Daily Data'!$B$4:$B$503,$A46,'Daily Data'!$AK$4:$AK$503,$K46,'Daily Data'!$AA$4:$AA$503,"&gt;=-1E+300")=0,"",SUMIFS('Daily Data'!$AA$4:$AA$503,'Daily Data'!$B$4:$B$503,$A46,'Daily Data'!$AK$4:$AK$503,$K46)))</f>
        <v/>
      </c>
      <c r="J46" s="112">
        <f>IF($A46="","",IFERROR(IF(_xlfn.MINIFS('Daily Data'!$AK$4:$AK$503,'Daily Data'!$B$4:$B$503,$A46,'Daily Data'!$AL$4:$AL$503,$C$5,'Daily Data'!$AM$4:$AM$503,$C$4)=0,"",_xlfn.MINIFS('Daily Data'!$AK$4:$AK$503,'Daily Data'!$B$4:$B$503,$A46,'Daily Data'!$AL$4:$AL$503,$C$5,'Daily Data'!$AM$4:$AM$503,$C$4)),""))</f>
        <v>1</v>
      </c>
      <c r="K46" s="112">
        <f>IF($A46="","",IFERROR(IF(_xlfn.MAXIFS('Daily Data'!$AK$4:$AK$503,'Daily Data'!$B$4:$B$503,$A46,'Daily Data'!$AL$4:$AL$503,$C$5,'Daily Data'!$AM$4:$AM$503,$C$4)=0,"",_xlfn.MAXIFS('Daily Data'!$AK$4:$AK$503,'Daily Data'!$B$4:$B$503,$A46,'Daily Data'!$AL$4:$AL$503,$C$5,'Daily Data'!$AM$4:$AM$503,$C$4)),""))</f>
        <v>5</v>
      </c>
      <c r="L46" s="156">
        <f>IF($J46="","",SUMIFS('Daily Data'!$D$4:$D$503,'Daily Data'!$B$4:$B$503,$A46,'Daily Data'!$AK$4:$AK$503,$J46))</f>
        <v>0</v>
      </c>
      <c r="M46" s="156">
        <f>IF($K46="","",SUMIFS('Daily Data'!$E$4:$E$503,'Daily Data'!$B$4:$B$503,$A46,'Daily Data'!$AK$4:$AK$503,$K46))</f>
        <v>345</v>
      </c>
    </row>
    <row r="47" spans="1:13" x14ac:dyDescent="0.3">
      <c r="A47" s="155" t="str">
        <f>IF(Symbols!A21="","",Symbols!A21)</f>
        <v>SWALA</v>
      </c>
      <c r="B47" s="98">
        <f>IF($J47="","",SUMIFS('Daily Data'!$I$4:$I$503,'Daily Data'!$B$4:$B$503,$A47,'Daily Data'!$AL$4:$AL$503,$C$5,'Daily Data'!$AM$4:$AM$503,$C$4))</f>
        <v>0</v>
      </c>
      <c r="C47" s="98">
        <f>IF($J47="","",SUMIFS('Daily Data'!$K$4:$K$503,'Daily Data'!$B$4:$B$503,$A47,'Daily Data'!$AL$4:$AL$503,$C$5,'Daily Data'!$AM$4:$AM$503,$C$4))</f>
        <v>0</v>
      </c>
      <c r="D47" s="98">
        <f>IF($J47="","",SUMIFS('Daily Data'!$J$4:$J$503,'Daily Data'!$B$4:$B$503,$A47,'Daily Data'!$AL$4:$AL$503,$C$5,'Daily Data'!$AM$4:$AM$503,$C$4))</f>
        <v>0</v>
      </c>
      <c r="E47" s="99" t="str">
        <f>IF($J47="","",IFERROR(AVERAGEIFS('Daily Data'!$S$4:$S$503,'Daily Data'!$B$4:$B$503,$A47,'Daily Data'!$AL$4:$AL$503,$C$5,'Daily Data'!$AM$4:$AM$503,$C$4),""))</f>
        <v/>
      </c>
      <c r="F47" s="97" t="str">
        <f>IF(OR($J47="",N($L47)=0),"",$M47/$L47-1)</f>
        <v/>
      </c>
      <c r="G47" s="100">
        <f>IF($J47="","",IFERROR(AVERAGEIFS('Daily Data'!$AH$4:$AH$503,'Daily Data'!$B$4:$B$503,$A47,'Daily Data'!$AL$4:$AL$503,$C$5,'Daily Data'!$AM$4:$AM$503,$C$4),""))</f>
        <v>50</v>
      </c>
      <c r="H47" s="100">
        <f>IF($J47="","",IFERROR(AVERAGEIFS('Daily Data'!$AG$4:$AG$503,'Daily Data'!$B$4:$B$503,$A47,'Daily Data'!$AL$4:$AL$503,$C$5,'Daily Data'!$AM$4:$AM$503,$C$4),""))</f>
        <v>0</v>
      </c>
      <c r="I47" s="97" t="str">
        <f>IF($K47="","",IF(COUNTIFS('Daily Data'!$B$4:$B$503,$A47,'Daily Data'!$AK$4:$AK$503,$K47,'Daily Data'!$AA$4:$AA$503,"&gt;=-1E+300")=0,"",SUMIFS('Daily Data'!$AA$4:$AA$503,'Daily Data'!$B$4:$B$503,$A47,'Daily Data'!$AK$4:$AK$503,$K47)))</f>
        <v/>
      </c>
      <c r="J47" s="112">
        <f>IF($A47="","",IFERROR(IF(_xlfn.MINIFS('Daily Data'!$AK$4:$AK$503,'Daily Data'!$B$4:$B$503,$A47,'Daily Data'!$AL$4:$AL$503,$C$5,'Daily Data'!$AM$4:$AM$503,$C$4)=0,"",_xlfn.MINIFS('Daily Data'!$AK$4:$AK$503,'Daily Data'!$B$4:$B$503,$A47,'Daily Data'!$AL$4:$AL$503,$C$5,'Daily Data'!$AM$4:$AM$503,$C$4)),""))</f>
        <v>1</v>
      </c>
      <c r="K47" s="112">
        <f>IF($A47="","",IFERROR(IF(_xlfn.MAXIFS('Daily Data'!$AK$4:$AK$503,'Daily Data'!$B$4:$B$503,$A47,'Daily Data'!$AL$4:$AL$503,$C$5,'Daily Data'!$AM$4:$AM$503,$C$4)=0,"",_xlfn.MAXIFS('Daily Data'!$AK$4:$AK$503,'Daily Data'!$B$4:$B$503,$A47,'Daily Data'!$AL$4:$AL$503,$C$5,'Daily Data'!$AM$4:$AM$503,$C$4)),""))</f>
        <v>5</v>
      </c>
      <c r="L47" s="156">
        <f>IF($J47="","",SUMIFS('Daily Data'!$D$4:$D$503,'Daily Data'!$B$4:$B$503,$A47,'Daily Data'!$AK$4:$AK$503,$J47))</f>
        <v>0</v>
      </c>
      <c r="M47" s="156">
        <f>IF($K47="","",SUMIFS('Daily Data'!$E$4:$E$503,'Daily Data'!$B$4:$B$503,$A47,'Daily Data'!$AK$4:$AK$503,$K47))</f>
        <v>450</v>
      </c>
    </row>
    <row r="48" spans="1:13" x14ac:dyDescent="0.3">
      <c r="A48" s="155" t="str">
        <f>IF(Symbols!A22="","",Symbols!A22)</f>
        <v>SWIS</v>
      </c>
      <c r="B48" s="98">
        <f>IF($J48="","",SUMIFS('Daily Data'!$I$4:$I$503,'Daily Data'!$B$4:$B$503,$A48,'Daily Data'!$AL$4:$AL$503,$C$5,'Daily Data'!$AM$4:$AM$503,$C$4))</f>
        <v>52263470</v>
      </c>
      <c r="C48" s="98">
        <f>IF($J48="","",SUMIFS('Daily Data'!$K$4:$K$503,'Daily Data'!$B$4:$B$503,$A48,'Daily Data'!$AL$4:$AL$503,$C$5,'Daily Data'!$AM$4:$AM$503,$C$4))</f>
        <v>21566</v>
      </c>
      <c r="D48" s="98">
        <f>IF($J48="","",SUMIFS('Daily Data'!$J$4:$J$503,'Daily Data'!$B$4:$B$503,$A48,'Daily Data'!$AL$4:$AL$503,$C$5,'Daily Data'!$AM$4:$AM$503,$C$4))</f>
        <v>159</v>
      </c>
      <c r="E48" s="99">
        <f>IF($J48="","",IFERROR(AVERAGEIFS('Daily Data'!$S$4:$S$503,'Daily Data'!$B$4:$B$503,$A48,'Daily Data'!$AL$4:$AL$503,$C$5,'Daily Data'!$AM$4:$AM$503,$C$4),""))</f>
        <v>6.2806457316385425</v>
      </c>
      <c r="F48" s="97" t="str">
        <f>IF(OR($J48="",N($L48)=0),"",$M48/$L48-1)</f>
        <v/>
      </c>
      <c r="G48" s="100">
        <f>IF($J48="","",IFERROR(AVERAGEIFS('Daily Data'!$AH$4:$AH$503,'Daily Data'!$B$4:$B$503,$A48,'Daily Data'!$AL$4:$AL$503,$C$5,'Daily Data'!$AM$4:$AM$503,$C$4),""))</f>
        <v>54.959999999999994</v>
      </c>
      <c r="H48" s="100">
        <f>IF($J48="","",IFERROR(AVERAGEIFS('Daily Data'!$AG$4:$AG$503,'Daily Data'!$B$4:$B$503,$A48,'Daily Data'!$AL$4:$AL$503,$C$5,'Daily Data'!$AM$4:$AM$503,$C$4),""))</f>
        <v>11.239999999999998</v>
      </c>
      <c r="I48" s="97" t="str">
        <f>IF($K48="","",IF(COUNTIFS('Daily Data'!$B$4:$B$503,$A48,'Daily Data'!$AK$4:$AK$503,$K48,'Daily Data'!$AA$4:$AA$503,"&gt;=-1E+300")=0,"",SUMIFS('Daily Data'!$AA$4:$AA$503,'Daily Data'!$B$4:$B$503,$A48,'Daily Data'!$AK$4:$AK$503,$K48)))</f>
        <v/>
      </c>
      <c r="J48" s="112">
        <f>IF($A48="","",IFERROR(IF(_xlfn.MINIFS('Daily Data'!$AK$4:$AK$503,'Daily Data'!$B$4:$B$503,$A48,'Daily Data'!$AL$4:$AL$503,$C$5,'Daily Data'!$AM$4:$AM$503,$C$4)=0,"",_xlfn.MINIFS('Daily Data'!$AK$4:$AK$503,'Daily Data'!$B$4:$B$503,$A48,'Daily Data'!$AL$4:$AL$503,$C$5,'Daily Data'!$AM$4:$AM$503,$C$4)),""))</f>
        <v>1</v>
      </c>
      <c r="K48" s="112">
        <f>IF($A48="","",IFERROR(IF(_xlfn.MAXIFS('Daily Data'!$AK$4:$AK$503,'Daily Data'!$B$4:$B$503,$A48,'Daily Data'!$AL$4:$AL$503,$C$5,'Daily Data'!$AM$4:$AM$503,$C$4)=0,"",_xlfn.MAXIFS('Daily Data'!$AK$4:$AK$503,'Daily Data'!$B$4:$B$503,$A48,'Daily Data'!$AL$4:$AL$503,$C$5,'Daily Data'!$AM$4:$AM$503,$C$4)),""))</f>
        <v>5</v>
      </c>
      <c r="L48" s="156">
        <f>IF($J48="","",SUMIFS('Daily Data'!$D$4:$D$503,'Daily Data'!$B$4:$B$503,$A48,'Daily Data'!$AK$4:$AK$503,$J48))</f>
        <v>0</v>
      </c>
      <c r="M48" s="156">
        <f>IF($K48="","",SUMIFS('Daily Data'!$E$4:$E$503,'Daily Data'!$B$4:$B$503,$A48,'Daily Data'!$AK$4:$AK$503,$K48))</f>
        <v>2570</v>
      </c>
    </row>
    <row r="49" spans="1:13" x14ac:dyDescent="0.3">
      <c r="A49" s="155" t="str">
        <f>IF(Symbols!A23="","",Symbols!A23)</f>
        <v>TBL</v>
      </c>
      <c r="B49" s="98">
        <f>IF($J49="","",SUMIFS('Daily Data'!$I$4:$I$503,'Daily Data'!$B$4:$B$503,$A49,'Daily Data'!$AL$4:$AL$503,$C$5,'Daily Data'!$AM$4:$AM$503,$C$4))</f>
        <v>145596210</v>
      </c>
      <c r="C49" s="98">
        <f>IF($J49="","",SUMIFS('Daily Data'!$K$4:$K$503,'Daily Data'!$B$4:$B$503,$A49,'Daily Data'!$AL$4:$AL$503,$C$5,'Daily Data'!$AM$4:$AM$503,$C$4))</f>
        <v>14607</v>
      </c>
      <c r="D49" s="98">
        <f>IF($J49="","",SUMIFS('Daily Data'!$J$4:$J$503,'Daily Data'!$B$4:$B$503,$A49,'Daily Data'!$AL$4:$AL$503,$C$5,'Daily Data'!$AM$4:$AM$503,$C$4))</f>
        <v>149</v>
      </c>
      <c r="E49" s="99">
        <f>IF($J49="","",IFERROR(AVERAGEIFS('Daily Data'!$S$4:$S$503,'Daily Data'!$B$4:$B$503,$A49,'Daily Data'!$AL$4:$AL$503,$C$5,'Daily Data'!$AM$4:$AM$503,$C$4),""))</f>
        <v>0.42862324786852407</v>
      </c>
      <c r="F49" s="97" t="str">
        <f>IF(OR($J49="",N($L49)=0),"",$M49/$L49-1)</f>
        <v/>
      </c>
      <c r="G49" s="100">
        <f>IF($J49="","",IFERROR(AVERAGEIFS('Daily Data'!$AH$4:$AH$503,'Daily Data'!$B$4:$B$503,$A49,'Daily Data'!$AL$4:$AL$503,$C$5,'Daily Data'!$AM$4:$AM$503,$C$4),""))</f>
        <v>40.5</v>
      </c>
      <c r="H49" s="100">
        <f>IF($J49="","",IFERROR(AVERAGEIFS('Daily Data'!$AG$4:$AG$503,'Daily Data'!$B$4:$B$503,$A49,'Daily Data'!$AL$4:$AL$503,$C$5,'Daily Data'!$AM$4:$AM$503,$C$4),""))</f>
        <v>11.1</v>
      </c>
      <c r="I49" s="97" t="str">
        <f>IF($K49="","",IF(COUNTIFS('Daily Data'!$B$4:$B$503,$A49,'Daily Data'!$AK$4:$AK$503,$K49,'Daily Data'!$AA$4:$AA$503,"&gt;=-1E+300")=0,"",SUMIFS('Daily Data'!$AA$4:$AA$503,'Daily Data'!$B$4:$B$503,$A49,'Daily Data'!$AK$4:$AK$503,$K49)))</f>
        <v/>
      </c>
      <c r="J49" s="112">
        <f>IF($A49="","",IFERROR(IF(_xlfn.MINIFS('Daily Data'!$AK$4:$AK$503,'Daily Data'!$B$4:$B$503,$A49,'Daily Data'!$AL$4:$AL$503,$C$5,'Daily Data'!$AM$4:$AM$503,$C$4)=0,"",_xlfn.MINIFS('Daily Data'!$AK$4:$AK$503,'Daily Data'!$B$4:$B$503,$A49,'Daily Data'!$AL$4:$AL$503,$C$5,'Daily Data'!$AM$4:$AM$503,$C$4)),""))</f>
        <v>1</v>
      </c>
      <c r="K49" s="112">
        <f>IF($A49="","",IFERROR(IF(_xlfn.MAXIFS('Daily Data'!$AK$4:$AK$503,'Daily Data'!$B$4:$B$503,$A49,'Daily Data'!$AL$4:$AL$503,$C$5,'Daily Data'!$AM$4:$AM$503,$C$4)=0,"",_xlfn.MAXIFS('Daily Data'!$AK$4:$AK$503,'Daily Data'!$B$4:$B$503,$A49,'Daily Data'!$AL$4:$AL$503,$C$5,'Daily Data'!$AM$4:$AM$503,$C$4)),""))</f>
        <v>5</v>
      </c>
      <c r="L49" s="156">
        <f>IF($J49="","",SUMIFS('Daily Data'!$D$4:$D$503,'Daily Data'!$B$4:$B$503,$A49,'Daily Data'!$AK$4:$AK$503,$J49))</f>
        <v>0</v>
      </c>
      <c r="M49" s="156">
        <f>IF($K49="","",SUMIFS('Daily Data'!$E$4:$E$503,'Daily Data'!$B$4:$B$503,$A49,'Daily Data'!$AK$4:$AK$503,$K49))</f>
        <v>9930</v>
      </c>
    </row>
    <row r="50" spans="1:13" x14ac:dyDescent="0.3">
      <c r="A50" s="155" t="str">
        <f>IF(Symbols!A24="","",Symbols!A24)</f>
        <v>TCC</v>
      </c>
      <c r="B50" s="98">
        <f>IF($J50="","",SUMIFS('Daily Data'!$I$4:$I$503,'Daily Data'!$B$4:$B$503,$A50,'Daily Data'!$AL$4:$AL$503,$C$5,'Daily Data'!$AM$4:$AM$503,$C$4))</f>
        <v>48159500</v>
      </c>
      <c r="C50" s="98">
        <f>IF($J50="","",SUMIFS('Daily Data'!$K$4:$K$503,'Daily Data'!$B$4:$B$503,$A50,'Daily Data'!$AL$4:$AL$503,$C$5,'Daily Data'!$AM$4:$AM$503,$C$4))</f>
        <v>3855</v>
      </c>
      <c r="D50" s="98">
        <f>IF($J50="","",SUMIFS('Daily Data'!$J$4:$J$503,'Daily Data'!$B$4:$B$503,$A50,'Daily Data'!$AL$4:$AL$503,$C$5,'Daily Data'!$AM$4:$AM$503,$C$4))</f>
        <v>55</v>
      </c>
      <c r="E50" s="99">
        <f>IF($J50="","",IFERROR(AVERAGEIFS('Daily Data'!$S$4:$S$503,'Daily Data'!$B$4:$B$503,$A50,'Daily Data'!$AL$4:$AL$503,$C$5,'Daily Data'!$AM$4:$AM$503,$C$4),""))</f>
        <v>39.738956086009409</v>
      </c>
      <c r="F50" s="97" t="str">
        <f>IF(OR($J50="",N($L50)=0),"",$M50/$L50-1)</f>
        <v/>
      </c>
      <c r="G50" s="100">
        <f>IF($J50="","",IFERROR(AVERAGEIFS('Daily Data'!$AH$4:$AH$503,'Daily Data'!$B$4:$B$503,$A50,'Daily Data'!$AL$4:$AL$503,$C$5,'Daily Data'!$AM$4:$AM$503,$C$4),""))</f>
        <v>65.97999999999999</v>
      </c>
      <c r="H50" s="100">
        <f>IF($J50="","",IFERROR(AVERAGEIFS('Daily Data'!$AG$4:$AG$503,'Daily Data'!$B$4:$B$503,$A50,'Daily Data'!$AL$4:$AL$503,$C$5,'Daily Data'!$AM$4:$AM$503,$C$4),""))</f>
        <v>4.04</v>
      </c>
      <c r="I50" s="97" t="str">
        <f>IF($K50="","",IF(COUNTIFS('Daily Data'!$B$4:$B$503,$A50,'Daily Data'!$AK$4:$AK$503,$K50,'Daily Data'!$AA$4:$AA$503,"&gt;=-1E+300")=0,"",SUMIFS('Daily Data'!$AA$4:$AA$503,'Daily Data'!$B$4:$B$503,$A50,'Daily Data'!$AK$4:$AK$503,$K50)))</f>
        <v/>
      </c>
      <c r="J50" s="112">
        <f>IF($A50="","",IFERROR(IF(_xlfn.MINIFS('Daily Data'!$AK$4:$AK$503,'Daily Data'!$B$4:$B$503,$A50,'Daily Data'!$AL$4:$AL$503,$C$5,'Daily Data'!$AM$4:$AM$503,$C$4)=0,"",_xlfn.MINIFS('Daily Data'!$AK$4:$AK$503,'Daily Data'!$B$4:$B$503,$A50,'Daily Data'!$AL$4:$AL$503,$C$5,'Daily Data'!$AM$4:$AM$503,$C$4)),""))</f>
        <v>1</v>
      </c>
      <c r="K50" s="112">
        <f>IF($A50="","",IFERROR(IF(_xlfn.MAXIFS('Daily Data'!$AK$4:$AK$503,'Daily Data'!$B$4:$B$503,$A50,'Daily Data'!$AL$4:$AL$503,$C$5,'Daily Data'!$AM$4:$AM$503,$C$4)=0,"",_xlfn.MAXIFS('Daily Data'!$AK$4:$AK$503,'Daily Data'!$B$4:$B$503,$A50,'Daily Data'!$AL$4:$AL$503,$C$5,'Daily Data'!$AM$4:$AM$503,$C$4)),""))</f>
        <v>5</v>
      </c>
      <c r="L50" s="156">
        <f>IF($J50="","",SUMIFS('Daily Data'!$D$4:$D$503,'Daily Data'!$B$4:$B$503,$A50,'Daily Data'!$AK$4:$AK$503,$J50))</f>
        <v>0</v>
      </c>
      <c r="M50" s="156">
        <f>IF($K50="","",SUMIFS('Daily Data'!$E$4:$E$503,'Daily Data'!$B$4:$B$503,$A50,'Daily Data'!$AK$4:$AK$503,$K50))</f>
        <v>12500</v>
      </c>
    </row>
    <row r="51" spans="1:13" x14ac:dyDescent="0.3">
      <c r="A51" s="155" t="str">
        <f>IF(Symbols!A25="","",Symbols!A25)</f>
        <v>TCCL</v>
      </c>
      <c r="B51" s="98">
        <f>IF($J51="","",SUMIFS('Daily Data'!$I$4:$I$503,'Daily Data'!$B$4:$B$503,$A51,'Daily Data'!$AL$4:$AL$503,$C$5,'Daily Data'!$AM$4:$AM$503,$C$4))</f>
        <v>713928490</v>
      </c>
      <c r="C51" s="98">
        <f>IF($J51="","",SUMIFS('Daily Data'!$K$4:$K$503,'Daily Data'!$B$4:$B$503,$A51,'Daily Data'!$AL$4:$AL$503,$C$5,'Daily Data'!$AM$4:$AM$503,$C$4))</f>
        <v>219698</v>
      </c>
      <c r="D51" s="98">
        <f>IF($J51="","",SUMIFS('Daily Data'!$J$4:$J$503,'Daily Data'!$B$4:$B$503,$A51,'Daily Data'!$AL$4:$AL$503,$C$5,'Daily Data'!$AM$4:$AM$503,$C$4))</f>
        <v>138</v>
      </c>
      <c r="E51" s="99">
        <f>IF($J51="","",IFERROR(AVERAGEIFS('Daily Data'!$S$4:$S$503,'Daily Data'!$B$4:$B$503,$A51,'Daily Data'!$AL$4:$AL$503,$C$5,'Daily Data'!$AM$4:$AM$503,$C$4),""))</f>
        <v>3.0140296492751548</v>
      </c>
      <c r="F51" s="97" t="str">
        <f>IF(OR($J51="",N($L51)=0),"",$M51/$L51-1)</f>
        <v/>
      </c>
      <c r="G51" s="100">
        <f>IF($J51="","",IFERROR(AVERAGEIFS('Daily Data'!$AH$4:$AH$503,'Daily Data'!$B$4:$B$503,$A51,'Daily Data'!$AL$4:$AL$503,$C$5,'Daily Data'!$AM$4:$AM$503,$C$4),""))</f>
        <v>55.659999999999989</v>
      </c>
      <c r="H51" s="100">
        <f>IF($J51="","",IFERROR(AVERAGEIFS('Daily Data'!$AG$4:$AG$503,'Daily Data'!$B$4:$B$503,$A51,'Daily Data'!$AL$4:$AL$503,$C$5,'Daily Data'!$AM$4:$AM$503,$C$4),""))</f>
        <v>16.899999999999999</v>
      </c>
      <c r="I51" s="97" t="str">
        <f>IF($K51="","",IF(COUNTIFS('Daily Data'!$B$4:$B$503,$A51,'Daily Data'!$AK$4:$AK$503,$K51,'Daily Data'!$AA$4:$AA$503,"&gt;=-1E+300")=0,"",SUMIFS('Daily Data'!$AA$4:$AA$503,'Daily Data'!$B$4:$B$503,$A51,'Daily Data'!$AK$4:$AK$503,$K51)))</f>
        <v/>
      </c>
      <c r="J51" s="112">
        <f>IF($A51="","",IFERROR(IF(_xlfn.MINIFS('Daily Data'!$AK$4:$AK$503,'Daily Data'!$B$4:$B$503,$A51,'Daily Data'!$AL$4:$AL$503,$C$5,'Daily Data'!$AM$4:$AM$503,$C$4)=0,"",_xlfn.MINIFS('Daily Data'!$AK$4:$AK$503,'Daily Data'!$B$4:$B$503,$A51,'Daily Data'!$AL$4:$AL$503,$C$5,'Daily Data'!$AM$4:$AM$503,$C$4)),""))</f>
        <v>1</v>
      </c>
      <c r="K51" s="112">
        <f>IF($A51="","",IFERROR(IF(_xlfn.MAXIFS('Daily Data'!$AK$4:$AK$503,'Daily Data'!$B$4:$B$503,$A51,'Daily Data'!$AL$4:$AL$503,$C$5,'Daily Data'!$AM$4:$AM$503,$C$4)=0,"",_xlfn.MAXIFS('Daily Data'!$AK$4:$AK$503,'Daily Data'!$B$4:$B$503,$A51,'Daily Data'!$AL$4:$AL$503,$C$5,'Daily Data'!$AM$4:$AM$503,$C$4)),""))</f>
        <v>5</v>
      </c>
      <c r="L51" s="156">
        <f>IF($J51="","",SUMIFS('Daily Data'!$D$4:$D$503,'Daily Data'!$B$4:$B$503,$A51,'Daily Data'!$AK$4:$AK$503,$J51))</f>
        <v>0</v>
      </c>
      <c r="M51" s="156">
        <f>IF($K51="","",SUMIFS('Daily Data'!$E$4:$E$503,'Daily Data'!$B$4:$B$503,$A51,'Daily Data'!$AK$4:$AK$503,$K51))</f>
        <v>3950</v>
      </c>
    </row>
    <row r="52" spans="1:13" x14ac:dyDescent="0.3">
      <c r="A52" s="155" t="str">
        <f>IF(Symbols!A26="","",Symbols!A26)</f>
        <v>TOL</v>
      </c>
      <c r="B52" s="98">
        <f>IF($J52="","",SUMIFS('Daily Data'!$I$4:$I$503,'Daily Data'!$B$4:$B$503,$A52,'Daily Data'!$AL$4:$AL$503,$C$5,'Daily Data'!$AM$4:$AM$503,$C$4))</f>
        <v>21955960</v>
      </c>
      <c r="C52" s="98">
        <f>IF($J52="","",SUMIFS('Daily Data'!$K$4:$K$503,'Daily Data'!$B$4:$B$503,$A52,'Daily Data'!$AL$4:$AL$503,$C$5,'Daily Data'!$AM$4:$AM$503,$C$4))</f>
        <v>14949</v>
      </c>
      <c r="D52" s="98">
        <f>IF($J52="","",SUMIFS('Daily Data'!$J$4:$J$503,'Daily Data'!$B$4:$B$503,$A52,'Daily Data'!$AL$4:$AL$503,$C$5,'Daily Data'!$AM$4:$AM$503,$C$4))</f>
        <v>145</v>
      </c>
      <c r="E52" s="99">
        <f>IF($J52="","",IFERROR(AVERAGEIFS('Daily Data'!$S$4:$S$503,'Daily Data'!$B$4:$B$503,$A52,'Daily Data'!$AL$4:$AL$503,$C$5,'Daily Data'!$AM$4:$AM$503,$C$4),""))</f>
        <v>0.2084623559538657</v>
      </c>
      <c r="F52" s="97" t="str">
        <f>IF(OR($J52="",N($L52)=0),"",$M52/$L52-1)</f>
        <v/>
      </c>
      <c r="G52" s="100">
        <f>IF($J52="","",IFERROR(AVERAGEIFS('Daily Data'!$AH$4:$AH$503,'Daily Data'!$B$4:$B$503,$A52,'Daily Data'!$AL$4:$AL$503,$C$5,'Daily Data'!$AM$4:$AM$503,$C$4),""))</f>
        <v>33.340000000000003</v>
      </c>
      <c r="H52" s="100">
        <f>IF($J52="","",IFERROR(AVERAGEIFS('Daily Data'!$AG$4:$AG$503,'Daily Data'!$B$4:$B$503,$A52,'Daily Data'!$AL$4:$AL$503,$C$5,'Daily Data'!$AM$4:$AM$503,$C$4),""))</f>
        <v>10.040000000000001</v>
      </c>
      <c r="I52" s="97" t="str">
        <f>IF($K52="","",IF(COUNTIFS('Daily Data'!$B$4:$B$503,$A52,'Daily Data'!$AK$4:$AK$503,$K52,'Daily Data'!$AA$4:$AA$503,"&gt;=-1E+300")=0,"",SUMIFS('Daily Data'!$AA$4:$AA$503,'Daily Data'!$B$4:$B$503,$A52,'Daily Data'!$AK$4:$AK$503,$K52)))</f>
        <v/>
      </c>
      <c r="J52" s="112">
        <f>IF($A52="","",IFERROR(IF(_xlfn.MINIFS('Daily Data'!$AK$4:$AK$503,'Daily Data'!$B$4:$B$503,$A52,'Daily Data'!$AL$4:$AL$503,$C$5,'Daily Data'!$AM$4:$AM$503,$C$4)=0,"",_xlfn.MINIFS('Daily Data'!$AK$4:$AK$503,'Daily Data'!$B$4:$B$503,$A52,'Daily Data'!$AL$4:$AL$503,$C$5,'Daily Data'!$AM$4:$AM$503,$C$4)),""))</f>
        <v>1</v>
      </c>
      <c r="K52" s="112">
        <f>IF($A52="","",IFERROR(IF(_xlfn.MAXIFS('Daily Data'!$AK$4:$AK$503,'Daily Data'!$B$4:$B$503,$A52,'Daily Data'!$AL$4:$AL$503,$C$5,'Daily Data'!$AM$4:$AM$503,$C$4)=0,"",_xlfn.MAXIFS('Daily Data'!$AK$4:$AK$503,'Daily Data'!$B$4:$B$503,$A52,'Daily Data'!$AL$4:$AL$503,$C$5,'Daily Data'!$AM$4:$AM$503,$C$4)),""))</f>
        <v>5</v>
      </c>
      <c r="L52" s="156">
        <f>IF($J52="","",SUMIFS('Daily Data'!$D$4:$D$503,'Daily Data'!$B$4:$B$503,$A52,'Daily Data'!$AK$4:$AK$503,$J52))</f>
        <v>0</v>
      </c>
      <c r="M52" s="156">
        <f>IF($K52="","",SUMIFS('Daily Data'!$E$4:$E$503,'Daily Data'!$B$4:$B$503,$A52,'Daily Data'!$AK$4:$AK$503,$K52))</f>
        <v>1490</v>
      </c>
    </row>
    <row r="53" spans="1:13" x14ac:dyDescent="0.3">
      <c r="A53" s="155" t="str">
        <f>IF(Symbols!A27="","",Symbols!A27)</f>
        <v>TPCC</v>
      </c>
      <c r="B53" s="98">
        <f>IF($J53="","",SUMIFS('Daily Data'!$I$4:$I$503,'Daily Data'!$B$4:$B$503,$A53,'Daily Data'!$AL$4:$AL$503,$C$5,'Daily Data'!$AM$4:$AM$503,$C$4))</f>
        <v>1537428110</v>
      </c>
      <c r="C53" s="98">
        <f>IF($J53="","",SUMIFS('Daily Data'!$K$4:$K$503,'Daily Data'!$B$4:$B$503,$A53,'Daily Data'!$AL$4:$AL$503,$C$5,'Daily Data'!$AM$4:$AM$503,$C$4))</f>
        <v>258399</v>
      </c>
      <c r="D53" s="98">
        <f>IF($J53="","",SUMIFS('Daily Data'!$J$4:$J$503,'Daily Data'!$B$4:$B$503,$A53,'Daily Data'!$AL$4:$AL$503,$C$5,'Daily Data'!$AM$4:$AM$503,$C$4))</f>
        <v>128</v>
      </c>
      <c r="E53" s="99">
        <f>IF($J53="","",IFERROR(AVERAGEIFS('Daily Data'!$S$4:$S$503,'Daily Data'!$B$4:$B$503,$A53,'Daily Data'!$AL$4:$AL$503,$C$5,'Daily Data'!$AM$4:$AM$503,$C$4),""))</f>
        <v>866</v>
      </c>
      <c r="F53" s="97" t="str">
        <f>IF(OR($J53="",N($L53)=0),"",$M53/$L53-1)</f>
        <v/>
      </c>
      <c r="G53" s="100">
        <f>IF($J53="","",IFERROR(AVERAGEIFS('Daily Data'!$AH$4:$AH$503,'Daily Data'!$B$4:$B$503,$A53,'Daily Data'!$AL$4:$AL$503,$C$5,'Daily Data'!$AM$4:$AM$503,$C$4),""))</f>
        <v>67.47999999999999</v>
      </c>
      <c r="H53" s="100">
        <f>IF($J53="","",IFERROR(AVERAGEIFS('Daily Data'!$AG$4:$AG$503,'Daily Data'!$B$4:$B$503,$A53,'Daily Data'!$AL$4:$AL$503,$C$5,'Daily Data'!$AM$4:$AM$503,$C$4),""))</f>
        <v>18.880000000000003</v>
      </c>
      <c r="I53" s="97" t="str">
        <f>IF($K53="","",IF(COUNTIFS('Daily Data'!$B$4:$B$503,$A53,'Daily Data'!$AK$4:$AK$503,$K53,'Daily Data'!$AA$4:$AA$503,"&gt;=-1E+300")=0,"",SUMIFS('Daily Data'!$AA$4:$AA$503,'Daily Data'!$B$4:$B$503,$A53,'Daily Data'!$AK$4:$AK$503,$K53)))</f>
        <v/>
      </c>
      <c r="J53" s="112">
        <f>IF($A53="","",IFERROR(IF(_xlfn.MINIFS('Daily Data'!$AK$4:$AK$503,'Daily Data'!$B$4:$B$503,$A53,'Daily Data'!$AL$4:$AL$503,$C$5,'Daily Data'!$AM$4:$AM$503,$C$4)=0,"",_xlfn.MINIFS('Daily Data'!$AK$4:$AK$503,'Daily Data'!$B$4:$B$503,$A53,'Daily Data'!$AL$4:$AL$503,$C$5,'Daily Data'!$AM$4:$AM$503,$C$4)),""))</f>
        <v>1</v>
      </c>
      <c r="K53" s="112">
        <f>IF($A53="","",IFERROR(IF(_xlfn.MAXIFS('Daily Data'!$AK$4:$AK$503,'Daily Data'!$B$4:$B$503,$A53,'Daily Data'!$AL$4:$AL$503,$C$5,'Daily Data'!$AM$4:$AM$503,$C$4)=0,"",_xlfn.MAXIFS('Daily Data'!$AK$4:$AK$503,'Daily Data'!$B$4:$B$503,$A53,'Daily Data'!$AL$4:$AL$503,$C$5,'Daily Data'!$AM$4:$AM$503,$C$4)),""))</f>
        <v>5</v>
      </c>
      <c r="L53" s="156">
        <f>IF($J53="","",SUMIFS('Daily Data'!$D$4:$D$503,'Daily Data'!$B$4:$B$503,$A53,'Daily Data'!$AK$4:$AK$503,$J53))</f>
        <v>0</v>
      </c>
      <c r="M53" s="156">
        <f>IF($K53="","",SUMIFS('Daily Data'!$E$4:$E$503,'Daily Data'!$B$4:$B$503,$A53,'Daily Data'!$AK$4:$AK$503,$K53))</f>
        <v>6050</v>
      </c>
    </row>
    <row r="54" spans="1:13" x14ac:dyDescent="0.3">
      <c r="A54" s="155" t="str">
        <f>IF(Symbols!A28="","",Symbols!A28)</f>
        <v>TTP</v>
      </c>
      <c r="B54" s="98">
        <f>IF($J54="","",SUMIFS('Daily Data'!$I$4:$I$503,'Daily Data'!$B$4:$B$503,$A54,'Daily Data'!$AL$4:$AL$503,$C$5,'Daily Data'!$AM$4:$AM$503,$C$4))</f>
        <v>993840</v>
      </c>
      <c r="C54" s="98">
        <f>IF($J54="","",SUMIFS('Daily Data'!$K$4:$K$503,'Daily Data'!$B$4:$B$503,$A54,'Daily Data'!$AL$4:$AL$503,$C$5,'Daily Data'!$AM$4:$AM$503,$C$4))</f>
        <v>2191</v>
      </c>
      <c r="D54" s="98">
        <f>IF($J54="","",SUMIFS('Daily Data'!$J$4:$J$503,'Daily Data'!$B$4:$B$503,$A54,'Daily Data'!$AL$4:$AL$503,$C$5,'Daily Data'!$AM$4:$AM$503,$C$4))</f>
        <v>65</v>
      </c>
      <c r="E54" s="99">
        <f>IF($J54="","",IFERROR(AVERAGEIFS('Daily Data'!$S$4:$S$503,'Daily Data'!$B$4:$B$503,$A54,'Daily Data'!$AL$4:$AL$503,$C$5,'Daily Data'!$AM$4:$AM$503,$C$4),""))</f>
        <v>0.42708436774510189</v>
      </c>
      <c r="F54" s="97" t="str">
        <f>IF(OR($J54="",N($L54)=0),"",$M54/$L54-1)</f>
        <v/>
      </c>
      <c r="G54" s="100">
        <f>IF($J54="","",IFERROR(AVERAGEIFS('Daily Data'!$AH$4:$AH$503,'Daily Data'!$B$4:$B$503,$A54,'Daily Data'!$AL$4:$AL$503,$C$5,'Daily Data'!$AM$4:$AM$503,$C$4),""))</f>
        <v>40.620000000000005</v>
      </c>
      <c r="H54" s="100">
        <f>IF($J54="","",IFERROR(AVERAGEIFS('Daily Data'!$AG$4:$AG$503,'Daily Data'!$B$4:$B$503,$A54,'Daily Data'!$AL$4:$AL$503,$C$5,'Daily Data'!$AM$4:$AM$503,$C$4),""))</f>
        <v>4.3800000000000008</v>
      </c>
      <c r="I54" s="97" t="str">
        <f>IF($K54="","",IF(COUNTIFS('Daily Data'!$B$4:$B$503,$A54,'Daily Data'!$AK$4:$AK$503,$K54,'Daily Data'!$AA$4:$AA$503,"&gt;=-1E+300")=0,"",SUMIFS('Daily Data'!$AA$4:$AA$503,'Daily Data'!$B$4:$B$503,$A54,'Daily Data'!$AK$4:$AK$503,$K54)))</f>
        <v/>
      </c>
      <c r="J54" s="112">
        <f>IF($A54="","",IFERROR(IF(_xlfn.MINIFS('Daily Data'!$AK$4:$AK$503,'Daily Data'!$B$4:$B$503,$A54,'Daily Data'!$AL$4:$AL$503,$C$5,'Daily Data'!$AM$4:$AM$503,$C$4)=0,"",_xlfn.MINIFS('Daily Data'!$AK$4:$AK$503,'Daily Data'!$B$4:$B$503,$A54,'Daily Data'!$AL$4:$AL$503,$C$5,'Daily Data'!$AM$4:$AM$503,$C$4)),""))</f>
        <v>1</v>
      </c>
      <c r="K54" s="112">
        <f>IF($A54="","",IFERROR(IF(_xlfn.MAXIFS('Daily Data'!$AK$4:$AK$503,'Daily Data'!$B$4:$B$503,$A54,'Daily Data'!$AL$4:$AL$503,$C$5,'Daily Data'!$AM$4:$AM$503,$C$4)=0,"",_xlfn.MAXIFS('Daily Data'!$AK$4:$AK$503,'Daily Data'!$B$4:$B$503,$A54,'Daily Data'!$AL$4:$AL$503,$C$5,'Daily Data'!$AM$4:$AM$503,$C$4)),""))</f>
        <v>5</v>
      </c>
      <c r="L54" s="156">
        <f>IF($J54="","",SUMIFS('Daily Data'!$D$4:$D$503,'Daily Data'!$B$4:$B$503,$A54,'Daily Data'!$AK$4:$AK$503,$J54))</f>
        <v>0</v>
      </c>
      <c r="M54" s="156">
        <f>IF($K54="","",SUMIFS('Daily Data'!$E$4:$E$503,'Daily Data'!$B$4:$B$503,$A54,'Daily Data'!$AK$4:$AK$503,$K54))</f>
        <v>450</v>
      </c>
    </row>
    <row r="55" spans="1:13" x14ac:dyDescent="0.3">
      <c r="A55" s="155" t="str">
        <f>IF(Symbols!A29="","",Symbols!A29)</f>
        <v>USL</v>
      </c>
      <c r="B55" s="98">
        <f>IF($J55="","",SUMIFS('Daily Data'!$I$4:$I$503,'Daily Data'!$B$4:$B$503,$A55,'Daily Data'!$AL$4:$AL$503,$C$5,'Daily Data'!$AM$4:$AM$503,$C$4))</f>
        <v>0</v>
      </c>
      <c r="C55" s="98">
        <f>IF($J55="","",SUMIFS('Daily Data'!$K$4:$K$503,'Daily Data'!$B$4:$B$503,$A55,'Daily Data'!$AL$4:$AL$503,$C$5,'Daily Data'!$AM$4:$AM$503,$C$4))</f>
        <v>0</v>
      </c>
      <c r="D55" s="98">
        <f>IF($J55="","",SUMIFS('Daily Data'!$J$4:$J$503,'Daily Data'!$B$4:$B$503,$A55,'Daily Data'!$AL$4:$AL$503,$C$5,'Daily Data'!$AM$4:$AM$503,$C$4))</f>
        <v>0</v>
      </c>
      <c r="E55" s="99" t="str">
        <f>IF($J55="","",IFERROR(AVERAGEIFS('Daily Data'!$S$4:$S$503,'Daily Data'!$B$4:$B$503,$A55,'Daily Data'!$AL$4:$AL$503,$C$5,'Daily Data'!$AM$4:$AM$503,$C$4),""))</f>
        <v/>
      </c>
      <c r="F55" s="97" t="str">
        <f>IF(OR($J55="",N($L55)=0),"",$M55/$L55-1)</f>
        <v/>
      </c>
      <c r="G55" s="100">
        <f>IF($J55="","",IFERROR(AVERAGEIFS('Daily Data'!$AH$4:$AH$503,'Daily Data'!$B$4:$B$503,$A55,'Daily Data'!$AL$4:$AL$503,$C$5,'Daily Data'!$AM$4:$AM$503,$C$4),""))</f>
        <v>65.08</v>
      </c>
      <c r="H55" s="100">
        <f>IF($J55="","",IFERROR(AVERAGEIFS('Daily Data'!$AG$4:$AG$503,'Daily Data'!$B$4:$B$503,$A55,'Daily Data'!$AL$4:$AL$503,$C$5,'Daily Data'!$AM$4:$AM$503,$C$4),""))</f>
        <v>0</v>
      </c>
      <c r="I55" s="97" t="str">
        <f>IF($K55="","",IF(COUNTIFS('Daily Data'!$B$4:$B$503,$A55,'Daily Data'!$AK$4:$AK$503,$K55,'Daily Data'!$AA$4:$AA$503,"&gt;=-1E+300")=0,"",SUMIFS('Daily Data'!$AA$4:$AA$503,'Daily Data'!$B$4:$B$503,$A55,'Daily Data'!$AK$4:$AK$503,$K55)))</f>
        <v/>
      </c>
      <c r="J55" s="112">
        <f>IF($A55="","",IFERROR(IF(_xlfn.MINIFS('Daily Data'!$AK$4:$AK$503,'Daily Data'!$B$4:$B$503,$A55,'Daily Data'!$AL$4:$AL$503,$C$5,'Daily Data'!$AM$4:$AM$503,$C$4)=0,"",_xlfn.MINIFS('Daily Data'!$AK$4:$AK$503,'Daily Data'!$B$4:$B$503,$A55,'Daily Data'!$AL$4:$AL$503,$C$5,'Daily Data'!$AM$4:$AM$503,$C$4)),""))</f>
        <v>1</v>
      </c>
      <c r="K55" s="112">
        <f>IF($A55="","",IFERROR(IF(_xlfn.MAXIFS('Daily Data'!$AK$4:$AK$503,'Daily Data'!$B$4:$B$503,$A55,'Daily Data'!$AL$4:$AL$503,$C$5,'Daily Data'!$AM$4:$AM$503,$C$4)=0,"",_xlfn.MAXIFS('Daily Data'!$AK$4:$AK$503,'Daily Data'!$B$4:$B$503,$A55,'Daily Data'!$AL$4:$AL$503,$C$5,'Daily Data'!$AM$4:$AM$503,$C$4)),""))</f>
        <v>5</v>
      </c>
      <c r="L55" s="156">
        <f>IF($J55="","",SUMIFS('Daily Data'!$D$4:$D$503,'Daily Data'!$B$4:$B$503,$A55,'Daily Data'!$AK$4:$AK$503,$J55))</f>
        <v>0</v>
      </c>
      <c r="M55" s="156">
        <f>IF($K55="","",SUMIFS('Daily Data'!$E$4:$E$503,'Daily Data'!$B$4:$B$503,$A55,'Daily Data'!$AK$4:$AK$503,$K55))</f>
        <v>30</v>
      </c>
    </row>
    <row r="56" spans="1:13" x14ac:dyDescent="0.3">
      <c r="A56" s="155" t="str">
        <f>IF(Symbols!A30="","",Symbols!A30)</f>
        <v>VODA</v>
      </c>
      <c r="B56" s="98">
        <f>IF($J56="","",SUMIFS('Daily Data'!$I$4:$I$503,'Daily Data'!$B$4:$B$503,$A56,'Daily Data'!$AL$4:$AL$503,$C$5,'Daily Data'!$AM$4:$AM$503,$C$4))</f>
        <v>765694410</v>
      </c>
      <c r="C56" s="98">
        <f>IF($J56="","",SUMIFS('Daily Data'!$K$4:$K$503,'Daily Data'!$B$4:$B$503,$A56,'Daily Data'!$AL$4:$AL$503,$C$5,'Daily Data'!$AM$4:$AM$503,$C$4))</f>
        <v>750745</v>
      </c>
      <c r="D56" s="98">
        <f>IF($J56="","",SUMIFS('Daily Data'!$J$4:$J$503,'Daily Data'!$B$4:$B$503,$A56,'Daily Data'!$AL$4:$AL$503,$C$5,'Daily Data'!$AM$4:$AM$503,$C$4))</f>
        <v>1077</v>
      </c>
      <c r="E56" s="99">
        <f>IF($J56="","",IFERROR(AVERAGEIFS('Daily Data'!$S$4:$S$503,'Daily Data'!$B$4:$B$503,$A56,'Daily Data'!$AL$4:$AL$503,$C$5,'Daily Data'!$AM$4:$AM$503,$C$4),""))</f>
        <v>1.1236551513714375</v>
      </c>
      <c r="F56" s="97" t="str">
        <f>IF(OR($J56="",N($L56)=0),"",$M56/$L56-1)</f>
        <v/>
      </c>
      <c r="G56" s="100">
        <f>IF($J56="","",IFERROR(AVERAGEIFS('Daily Data'!$AH$4:$AH$503,'Daily Data'!$B$4:$B$503,$A56,'Daily Data'!$AL$4:$AL$503,$C$5,'Daily Data'!$AM$4:$AM$503,$C$4),""))</f>
        <v>50.48</v>
      </c>
      <c r="H56" s="100">
        <f>IF($J56="","",IFERROR(AVERAGEIFS('Daily Data'!$AG$4:$AG$503,'Daily Data'!$B$4:$B$503,$A56,'Daily Data'!$AL$4:$AL$503,$C$5,'Daily Data'!$AM$4:$AM$503,$C$4),""))</f>
        <v>48.44</v>
      </c>
      <c r="I56" s="97" t="str">
        <f>IF($K56="","",IF(COUNTIFS('Daily Data'!$B$4:$B$503,$A56,'Daily Data'!$AK$4:$AK$503,$K56,'Daily Data'!$AA$4:$AA$503,"&gt;=-1E+300")=0,"",SUMIFS('Daily Data'!$AA$4:$AA$503,'Daily Data'!$B$4:$B$503,$A56,'Daily Data'!$AK$4:$AK$503,$K56)))</f>
        <v/>
      </c>
      <c r="J56" s="112">
        <f>IF($A56="","",IFERROR(IF(_xlfn.MINIFS('Daily Data'!$AK$4:$AK$503,'Daily Data'!$B$4:$B$503,$A56,'Daily Data'!$AL$4:$AL$503,$C$5,'Daily Data'!$AM$4:$AM$503,$C$4)=0,"",_xlfn.MINIFS('Daily Data'!$AK$4:$AK$503,'Daily Data'!$B$4:$B$503,$A56,'Daily Data'!$AL$4:$AL$503,$C$5,'Daily Data'!$AM$4:$AM$503,$C$4)),""))</f>
        <v>1</v>
      </c>
      <c r="K56" s="112">
        <f>IF($A56="","",IFERROR(IF(_xlfn.MAXIFS('Daily Data'!$AK$4:$AK$503,'Daily Data'!$B$4:$B$503,$A56,'Daily Data'!$AL$4:$AL$503,$C$5,'Daily Data'!$AM$4:$AM$503,$C$4)=0,"",_xlfn.MAXIFS('Daily Data'!$AK$4:$AK$503,'Daily Data'!$B$4:$B$503,$A56,'Daily Data'!$AL$4:$AL$503,$C$5,'Daily Data'!$AM$4:$AM$503,$C$4)),""))</f>
        <v>5</v>
      </c>
      <c r="L56" s="156">
        <f>IF($J56="","",SUMIFS('Daily Data'!$D$4:$D$503,'Daily Data'!$B$4:$B$503,$A56,'Daily Data'!$AK$4:$AK$503,$J56))</f>
        <v>0</v>
      </c>
      <c r="M56" s="156">
        <f>IF($K56="","",SUMIFS('Daily Data'!$E$4:$E$503,'Daily Data'!$B$4:$B$503,$A56,'Daily Data'!$AK$4:$AK$503,$K56))</f>
        <v>1020</v>
      </c>
    </row>
    <row r="57" spans="1:13" x14ac:dyDescent="0.3">
      <c r="A57" s="155" t="str">
        <f>IF(Symbols!A31="","",Symbols!A31)</f>
        <v>YETU</v>
      </c>
      <c r="B57" s="98">
        <f>IF($J57="","",SUMIFS('Daily Data'!$I$4:$I$503,'Daily Data'!$B$4:$B$503,$A57,'Daily Data'!$AL$4:$AL$503,$C$5,'Daily Data'!$AM$4:$AM$503,$C$4))</f>
        <v>0</v>
      </c>
      <c r="C57" s="98">
        <f>IF($J57="","",SUMIFS('Daily Data'!$K$4:$K$503,'Daily Data'!$B$4:$B$503,$A57,'Daily Data'!$AL$4:$AL$503,$C$5,'Daily Data'!$AM$4:$AM$503,$C$4))</f>
        <v>0</v>
      </c>
      <c r="D57" s="98">
        <f>IF($J57="","",SUMIFS('Daily Data'!$J$4:$J$503,'Daily Data'!$B$4:$B$503,$A57,'Daily Data'!$AL$4:$AL$503,$C$5,'Daily Data'!$AM$4:$AM$503,$C$4))</f>
        <v>0</v>
      </c>
      <c r="E57" s="99" t="str">
        <f>IF($J57="","",IFERROR(AVERAGEIFS('Daily Data'!$S$4:$S$503,'Daily Data'!$B$4:$B$503,$A57,'Daily Data'!$AL$4:$AL$503,$C$5,'Daily Data'!$AM$4:$AM$503,$C$4),""))</f>
        <v/>
      </c>
      <c r="F57" s="97" t="str">
        <f>IF(OR($J57="",N($L57)=0),"",$M57/$L57-1)</f>
        <v/>
      </c>
      <c r="G57" s="100">
        <f>IF($J57="","",IFERROR(AVERAGEIFS('Daily Data'!$AH$4:$AH$503,'Daily Data'!$B$4:$B$503,$A57,'Daily Data'!$AL$4:$AL$503,$C$5,'Daily Data'!$AM$4:$AM$503,$C$4),""))</f>
        <v>50</v>
      </c>
      <c r="H57" s="100">
        <f>IF($J57="","",IFERROR(AVERAGEIFS('Daily Data'!$AG$4:$AG$503,'Daily Data'!$B$4:$B$503,$A57,'Daily Data'!$AL$4:$AL$503,$C$5,'Daily Data'!$AM$4:$AM$503,$C$4),""))</f>
        <v>0</v>
      </c>
      <c r="I57" s="97" t="str">
        <f>IF($K57="","",IF(COUNTIFS('Daily Data'!$B$4:$B$503,$A57,'Daily Data'!$AK$4:$AK$503,$K57,'Daily Data'!$AA$4:$AA$503,"&gt;=-1E+300")=0,"",SUMIFS('Daily Data'!$AA$4:$AA$503,'Daily Data'!$B$4:$B$503,$A57,'Daily Data'!$AK$4:$AK$503,$K57)))</f>
        <v/>
      </c>
      <c r="J57" s="112">
        <f>IF($A57="","",IFERROR(IF(_xlfn.MINIFS('Daily Data'!$AK$4:$AK$503,'Daily Data'!$B$4:$B$503,$A57,'Daily Data'!$AL$4:$AL$503,$C$5,'Daily Data'!$AM$4:$AM$503,$C$4)=0,"",_xlfn.MINIFS('Daily Data'!$AK$4:$AK$503,'Daily Data'!$B$4:$B$503,$A57,'Daily Data'!$AL$4:$AL$503,$C$5,'Daily Data'!$AM$4:$AM$503,$C$4)),""))</f>
        <v>1</v>
      </c>
      <c r="K57" s="112">
        <f>IF($A57="","",IFERROR(IF(_xlfn.MAXIFS('Daily Data'!$AK$4:$AK$503,'Daily Data'!$B$4:$B$503,$A57,'Daily Data'!$AL$4:$AL$503,$C$5,'Daily Data'!$AM$4:$AM$503,$C$4)=0,"",_xlfn.MAXIFS('Daily Data'!$AK$4:$AK$503,'Daily Data'!$B$4:$B$503,$A57,'Daily Data'!$AL$4:$AL$503,$C$5,'Daily Data'!$AM$4:$AM$503,$C$4)),""))</f>
        <v>5</v>
      </c>
      <c r="L57" s="156">
        <f>IF($J57="","",SUMIFS('Daily Data'!$D$4:$D$503,'Daily Data'!$B$4:$B$503,$A57,'Daily Data'!$AK$4:$AK$503,$J57))</f>
        <v>0</v>
      </c>
      <c r="M57" s="156">
        <f>IF($K57="","",SUMIFS('Daily Data'!$E$4:$E$503,'Daily Data'!$B$4:$B$503,$A57,'Daily Data'!$AK$4:$AK$503,$K57))</f>
        <v>510</v>
      </c>
    </row>
    <row r="58" spans="1:13" x14ac:dyDescent="0.3">
      <c r="A58" s="155" t="str">
        <f>IF(Symbols!A32="","",Symbols!A32)</f>
        <v>IEACLC-ETF</v>
      </c>
      <c r="B58" s="98">
        <f>IF($J58="","",SUMIFS('Daily Data'!$I$4:$I$503,'Daily Data'!$B$4:$B$503,$A58,'Daily Data'!$AL$4:$AL$503,$C$5,'Daily Data'!$AM$4:$AM$503,$C$4))</f>
        <v>204044380</v>
      </c>
      <c r="C58" s="98">
        <f>IF($J58="","",SUMIFS('Daily Data'!$K$4:$K$503,'Daily Data'!$B$4:$B$503,$A58,'Daily Data'!$AL$4:$AL$503,$C$5,'Daily Data'!$AM$4:$AM$503,$C$4))</f>
        <v>151129</v>
      </c>
      <c r="D58" s="98">
        <f>IF($J58="","",SUMIFS('Daily Data'!$J$4:$J$503,'Daily Data'!$B$4:$B$503,$A58,'Daily Data'!$AL$4:$AL$503,$C$5,'Daily Data'!$AM$4:$AM$503,$C$4))</f>
        <v>262</v>
      </c>
      <c r="E58" s="99">
        <f>IF($J58="","",IFERROR(AVERAGEIFS('Daily Data'!$S$4:$S$503,'Daily Data'!$B$4:$B$503,$A58,'Daily Data'!$AL$4:$AL$503,$C$5,'Daily Data'!$AM$4:$AM$503,$C$4),""))</f>
        <v>1.3422314364971606</v>
      </c>
      <c r="F58" s="97" t="str">
        <f>IF(OR($J58="",N($L58)=0),"",$M58/$L58-1)</f>
        <v/>
      </c>
      <c r="G58" s="100">
        <f>IF($J58="","",IFERROR(AVERAGEIFS('Daily Data'!$AH$4:$AH$503,'Daily Data'!$B$4:$B$503,$A58,'Daily Data'!$AL$4:$AL$503,$C$5,'Daily Data'!$AM$4:$AM$503,$C$4),""))</f>
        <v>53.174999999999997</v>
      </c>
      <c r="H58" s="100">
        <f>IF($J58="","",IFERROR(AVERAGEIFS('Daily Data'!$AG$4:$AG$503,'Daily Data'!$B$4:$B$503,$A58,'Daily Data'!$AL$4:$AL$503,$C$5,'Daily Data'!$AM$4:$AM$503,$C$4),""))</f>
        <v>26.05</v>
      </c>
      <c r="I58" s="97" t="str">
        <f>IF($K58="","",IF(COUNTIFS('Daily Data'!$B$4:$B$503,$A58,'Daily Data'!$AK$4:$AK$503,$K58,'Daily Data'!$AA$4:$AA$503,"&gt;=-1E+300")=0,"",SUMIFS('Daily Data'!$AA$4:$AA$503,'Daily Data'!$B$4:$B$503,$A58,'Daily Data'!$AK$4:$AK$503,$K58)))</f>
        <v/>
      </c>
      <c r="J58" s="112">
        <f>IF($A58="","",IFERROR(IF(_xlfn.MINIFS('Daily Data'!$AK$4:$AK$503,'Daily Data'!$B$4:$B$503,$A58,'Daily Data'!$AL$4:$AL$503,$C$5,'Daily Data'!$AM$4:$AM$503,$C$4)=0,"",_xlfn.MINIFS('Daily Data'!$AK$4:$AK$503,'Daily Data'!$B$4:$B$503,$A58,'Daily Data'!$AL$4:$AL$503,$C$5,'Daily Data'!$AM$4:$AM$503,$C$4)),""))</f>
        <v>1</v>
      </c>
      <c r="K58" s="112">
        <f>IF($A58="","",IFERROR(IF(_xlfn.MAXIFS('Daily Data'!$AK$4:$AK$503,'Daily Data'!$B$4:$B$503,$A58,'Daily Data'!$AL$4:$AL$503,$C$5,'Daily Data'!$AM$4:$AM$503,$C$4)=0,"",_xlfn.MAXIFS('Daily Data'!$AK$4:$AK$503,'Daily Data'!$B$4:$B$503,$A58,'Daily Data'!$AL$4:$AL$503,$C$5,'Daily Data'!$AM$4:$AM$503,$C$4)),""))</f>
        <v>4</v>
      </c>
      <c r="L58" s="156">
        <f>IF($J58="","",SUMIFS('Daily Data'!$D$4:$D$503,'Daily Data'!$B$4:$B$503,$A58,'Daily Data'!$AK$4:$AK$503,$J58))</f>
        <v>0</v>
      </c>
      <c r="M58" s="156">
        <f>IF($K58="","",SUMIFS('Daily Data'!$E$4:$E$503,'Daily Data'!$B$4:$B$503,$A58,'Daily Data'!$AK$4:$AK$503,$K58))</f>
        <v>1340</v>
      </c>
    </row>
    <row r="59" spans="1:13" x14ac:dyDescent="0.3">
      <c r="A59" s="155" t="str">
        <f>IF(Symbols!A33="","",Symbols!A33)</f>
        <v>VERTEX-ETF</v>
      </c>
      <c r="B59" s="98">
        <f>IF($J59="","",SUMIFS('Daily Data'!$I$4:$I$503,'Daily Data'!$B$4:$B$503,$A59,'Daily Data'!$AL$4:$AL$503,$C$5,'Daily Data'!$AM$4:$AM$503,$C$4))</f>
        <v>51692280</v>
      </c>
      <c r="C59" s="98">
        <f>IF($J59="","",SUMIFS('Daily Data'!$K$4:$K$503,'Daily Data'!$B$4:$B$503,$A59,'Daily Data'!$AL$4:$AL$503,$C$5,'Daily Data'!$AM$4:$AM$503,$C$4))</f>
        <v>158097</v>
      </c>
      <c r="D59" s="98">
        <f>IF($J59="","",SUMIFS('Daily Data'!$J$4:$J$503,'Daily Data'!$B$4:$B$503,$A59,'Daily Data'!$AL$4:$AL$503,$C$5,'Daily Data'!$AM$4:$AM$503,$C$4))</f>
        <v>563</v>
      </c>
      <c r="E59" s="99">
        <f>IF($J59="","",IFERROR(AVERAGEIFS('Daily Data'!$S$4:$S$503,'Daily Data'!$B$4:$B$503,$A59,'Daily Data'!$AL$4:$AL$503,$C$5,'Daily Data'!$AM$4:$AM$503,$C$4),""))</f>
        <v>2.116175913853267</v>
      </c>
      <c r="F59" s="97" t="str">
        <f>IF(OR($J59="",N($L59)=0),"",$M59/$L59-1)</f>
        <v/>
      </c>
      <c r="G59" s="100">
        <f>IF($J59="","",IFERROR(AVERAGEIFS('Daily Data'!$AH$4:$AH$503,'Daily Data'!$B$4:$B$503,$A59,'Daily Data'!$AL$4:$AL$503,$C$5,'Daily Data'!$AM$4:$AM$503,$C$4),""))</f>
        <v>41.55</v>
      </c>
      <c r="H59" s="100">
        <f>IF($J59="","",IFERROR(AVERAGEIFS('Daily Data'!$AG$4:$AG$503,'Daily Data'!$B$4:$B$503,$A59,'Daily Data'!$AL$4:$AL$503,$C$5,'Daily Data'!$AM$4:$AM$503,$C$4),""))</f>
        <v>36.4</v>
      </c>
      <c r="I59" s="97" t="str">
        <f>IF($K59="","",IF(COUNTIFS('Daily Data'!$B$4:$B$503,$A59,'Daily Data'!$AK$4:$AK$503,$K59,'Daily Data'!$AA$4:$AA$503,"&gt;=-1E+300")=0,"",SUMIFS('Daily Data'!$AA$4:$AA$503,'Daily Data'!$B$4:$B$503,$A59,'Daily Data'!$AK$4:$AK$503,$K59)))</f>
        <v/>
      </c>
      <c r="J59" s="112">
        <f>IF($A59="","",IFERROR(IF(_xlfn.MINIFS('Daily Data'!$AK$4:$AK$503,'Daily Data'!$B$4:$B$503,$A59,'Daily Data'!$AL$4:$AL$503,$C$5,'Daily Data'!$AM$4:$AM$503,$C$4)=0,"",_xlfn.MINIFS('Daily Data'!$AK$4:$AK$503,'Daily Data'!$B$4:$B$503,$A59,'Daily Data'!$AL$4:$AL$503,$C$5,'Daily Data'!$AM$4:$AM$503,$C$4)),""))</f>
        <v>1</v>
      </c>
      <c r="K59" s="112">
        <f>IF($A59="","",IFERROR(IF(_xlfn.MAXIFS('Daily Data'!$AK$4:$AK$503,'Daily Data'!$B$4:$B$503,$A59,'Daily Data'!$AL$4:$AL$503,$C$5,'Daily Data'!$AM$4:$AM$503,$C$4)=0,"",_xlfn.MAXIFS('Daily Data'!$AK$4:$AK$503,'Daily Data'!$B$4:$B$503,$A59,'Daily Data'!$AL$4:$AL$503,$C$5,'Daily Data'!$AM$4:$AM$503,$C$4)),""))</f>
        <v>4</v>
      </c>
      <c r="L59" s="156">
        <f>IF($J59="","",SUMIFS('Daily Data'!$D$4:$D$503,'Daily Data'!$B$4:$B$503,$A59,'Daily Data'!$AK$4:$AK$503,$J59))</f>
        <v>0</v>
      </c>
      <c r="M59" s="156">
        <f>IF($K59="","",SUMIFS('Daily Data'!$E$4:$E$503,'Daily Data'!$B$4:$B$503,$A59,'Daily Data'!$AK$4:$AK$503,$K59))</f>
        <v>335</v>
      </c>
    </row>
    <row r="60" spans="1:13" x14ac:dyDescent="0.3">
      <c r="A60" s="155" t="str">
        <f>IF(Symbols!A34="","",Symbols!A34)</f>
        <v/>
      </c>
      <c r="B60" s="98" t="str">
        <f>IF($J60="","",SUMIFS('Daily Data'!$I$4:$I$503,'Daily Data'!$B$4:$B$503,$A60,'Daily Data'!$AL$4:$AL$503,$C$5,'Daily Data'!$AM$4:$AM$503,$C$4))</f>
        <v/>
      </c>
      <c r="C60" s="98" t="str">
        <f>IF($J60="","",SUMIFS('Daily Data'!$K$4:$K$503,'Daily Data'!$B$4:$B$503,$A60,'Daily Data'!$AL$4:$AL$503,$C$5,'Daily Data'!$AM$4:$AM$503,$C$4))</f>
        <v/>
      </c>
      <c r="D60" s="98" t="str">
        <f>IF($J60="","",SUMIFS('Daily Data'!$J$4:$J$503,'Daily Data'!$B$4:$B$503,$A60,'Daily Data'!$AL$4:$AL$503,$C$5,'Daily Data'!$AM$4:$AM$503,$C$4))</f>
        <v/>
      </c>
      <c r="E60" s="99" t="str">
        <f>IF($J60="","",IFERROR(AVERAGEIFS('Daily Data'!$S$4:$S$503,'Daily Data'!$B$4:$B$503,$A60,'Daily Data'!$AL$4:$AL$503,$C$5,'Daily Data'!$AM$4:$AM$503,$C$4),""))</f>
        <v/>
      </c>
      <c r="F60" s="97" t="str">
        <f>IF(OR($J60="",N($L60)=0),"",$M60/$L60-1)</f>
        <v/>
      </c>
      <c r="G60" s="100" t="str">
        <f>IF($J60="","",IFERROR(AVERAGEIFS('Daily Data'!$AH$4:$AH$503,'Daily Data'!$B$4:$B$503,$A60,'Daily Data'!$AL$4:$AL$503,$C$5,'Daily Data'!$AM$4:$AM$503,$C$4),""))</f>
        <v/>
      </c>
      <c r="H60" s="100" t="str">
        <f>IF($J60="","",IFERROR(AVERAGEIFS('Daily Data'!$AG$4:$AG$503,'Daily Data'!$B$4:$B$503,$A60,'Daily Data'!$AL$4:$AL$503,$C$5,'Daily Data'!$AM$4:$AM$503,$C$4),""))</f>
        <v/>
      </c>
      <c r="I60" s="97" t="str">
        <f>IF($K60="","",IF(COUNTIFS('Daily Data'!$B$4:$B$503,$A60,'Daily Data'!$AK$4:$AK$503,$K60,'Daily Data'!$AA$4:$AA$503,"&gt;=-1E+300")=0,"",SUMIFS('Daily Data'!$AA$4:$AA$503,'Daily Data'!$B$4:$B$503,$A60,'Daily Data'!$AK$4:$AK$503,$K60)))</f>
        <v/>
      </c>
      <c r="J60" s="112" t="str">
        <f>IF($A60="","",IFERROR(IF(_xlfn.MINIFS('Daily Data'!$AK$4:$AK$503,'Daily Data'!$B$4:$B$503,$A60,'Daily Data'!$AL$4:$AL$503,$C$5,'Daily Data'!$AM$4:$AM$503,$C$4)=0,"",_xlfn.MINIFS('Daily Data'!$AK$4:$AK$503,'Daily Data'!$B$4:$B$503,$A60,'Daily Data'!$AL$4:$AL$503,$C$5,'Daily Data'!$AM$4:$AM$503,$C$4)),""))</f>
        <v/>
      </c>
      <c r="K60" s="112" t="str">
        <f>IF($A60="","",IFERROR(IF(_xlfn.MAXIFS('Daily Data'!$AK$4:$AK$503,'Daily Data'!$B$4:$B$503,$A60,'Daily Data'!$AL$4:$AL$503,$C$5,'Daily Data'!$AM$4:$AM$503,$C$4)=0,"",_xlfn.MAXIFS('Daily Data'!$AK$4:$AK$503,'Daily Data'!$B$4:$B$503,$A60,'Daily Data'!$AL$4:$AL$503,$C$5,'Daily Data'!$AM$4:$AM$503,$C$4)),""))</f>
        <v/>
      </c>
      <c r="L60" s="156" t="str">
        <f>IF($J60="","",SUMIFS('Daily Data'!$D$4:$D$503,'Daily Data'!$B$4:$B$503,$A60,'Daily Data'!$AK$4:$AK$503,$J60))</f>
        <v/>
      </c>
      <c r="M60" s="156" t="str">
        <f>IF($K60="","",SUMIFS('Daily Data'!$E$4:$E$503,'Daily Data'!$B$4:$B$503,$A60,'Daily Data'!$AK$4:$AK$503,$K60))</f>
        <v/>
      </c>
    </row>
    <row r="61" spans="1:13" x14ac:dyDescent="0.3">
      <c r="A61" s="155" t="str">
        <f>IF(Symbols!A35="","",Symbols!A35)</f>
        <v/>
      </c>
      <c r="B61" s="98" t="str">
        <f>IF($J61="","",SUMIFS('Daily Data'!$I$4:$I$503,'Daily Data'!$B$4:$B$503,$A61,'Daily Data'!$AL$4:$AL$503,$C$5,'Daily Data'!$AM$4:$AM$503,$C$4))</f>
        <v/>
      </c>
      <c r="C61" s="98" t="str">
        <f>IF($J61="","",SUMIFS('Daily Data'!$K$4:$K$503,'Daily Data'!$B$4:$B$503,$A61,'Daily Data'!$AL$4:$AL$503,$C$5,'Daily Data'!$AM$4:$AM$503,$C$4))</f>
        <v/>
      </c>
      <c r="D61" s="98" t="str">
        <f>IF($J61="","",SUMIFS('Daily Data'!$J$4:$J$503,'Daily Data'!$B$4:$B$503,$A61,'Daily Data'!$AL$4:$AL$503,$C$5,'Daily Data'!$AM$4:$AM$503,$C$4))</f>
        <v/>
      </c>
      <c r="E61" s="99" t="str">
        <f>IF($J61="","",IFERROR(AVERAGEIFS('Daily Data'!$S$4:$S$503,'Daily Data'!$B$4:$B$503,$A61,'Daily Data'!$AL$4:$AL$503,$C$5,'Daily Data'!$AM$4:$AM$503,$C$4),""))</f>
        <v/>
      </c>
      <c r="F61" s="97" t="str">
        <f>IF(OR($J61="",N($L61)=0),"",$M61/$L61-1)</f>
        <v/>
      </c>
      <c r="G61" s="100" t="str">
        <f>IF($J61="","",IFERROR(AVERAGEIFS('Daily Data'!$AH$4:$AH$503,'Daily Data'!$B$4:$B$503,$A61,'Daily Data'!$AL$4:$AL$503,$C$5,'Daily Data'!$AM$4:$AM$503,$C$4),""))</f>
        <v/>
      </c>
      <c r="H61" s="100" t="str">
        <f>IF($J61="","",IFERROR(AVERAGEIFS('Daily Data'!$AG$4:$AG$503,'Daily Data'!$B$4:$B$503,$A61,'Daily Data'!$AL$4:$AL$503,$C$5,'Daily Data'!$AM$4:$AM$503,$C$4),""))</f>
        <v/>
      </c>
      <c r="I61" s="97" t="str">
        <f>IF($K61="","",IF(COUNTIFS('Daily Data'!$B$4:$B$503,$A61,'Daily Data'!$AK$4:$AK$503,$K61,'Daily Data'!$AA$4:$AA$503,"&gt;=-1E+300")=0,"",SUMIFS('Daily Data'!$AA$4:$AA$503,'Daily Data'!$B$4:$B$503,$A61,'Daily Data'!$AK$4:$AK$503,$K61)))</f>
        <v/>
      </c>
      <c r="J61" s="112" t="str">
        <f>IF($A61="","",IFERROR(IF(_xlfn.MINIFS('Daily Data'!$AK$4:$AK$503,'Daily Data'!$B$4:$B$503,$A61,'Daily Data'!$AL$4:$AL$503,$C$5,'Daily Data'!$AM$4:$AM$503,$C$4)=0,"",_xlfn.MINIFS('Daily Data'!$AK$4:$AK$503,'Daily Data'!$B$4:$B$503,$A61,'Daily Data'!$AL$4:$AL$503,$C$5,'Daily Data'!$AM$4:$AM$503,$C$4)),""))</f>
        <v/>
      </c>
      <c r="K61" s="112" t="str">
        <f>IF($A61="","",IFERROR(IF(_xlfn.MAXIFS('Daily Data'!$AK$4:$AK$503,'Daily Data'!$B$4:$B$503,$A61,'Daily Data'!$AL$4:$AL$503,$C$5,'Daily Data'!$AM$4:$AM$503,$C$4)=0,"",_xlfn.MAXIFS('Daily Data'!$AK$4:$AK$503,'Daily Data'!$B$4:$B$503,$A61,'Daily Data'!$AL$4:$AL$503,$C$5,'Daily Data'!$AM$4:$AM$503,$C$4)),""))</f>
        <v/>
      </c>
      <c r="L61" s="156" t="str">
        <f>IF($J61="","",SUMIFS('Daily Data'!$D$4:$D$503,'Daily Data'!$B$4:$B$503,$A61,'Daily Data'!$AK$4:$AK$503,$J61))</f>
        <v/>
      </c>
      <c r="M61" s="156" t="str">
        <f>IF($K61="","",SUMIFS('Daily Data'!$E$4:$E$503,'Daily Data'!$B$4:$B$503,$A61,'Daily Data'!$AK$4:$AK$503,$K61))</f>
        <v/>
      </c>
    </row>
    <row r="62" spans="1:13" x14ac:dyDescent="0.3">
      <c r="A62" s="155" t="str">
        <f>IF(Symbols!A36="","",Symbols!A36)</f>
        <v/>
      </c>
      <c r="B62" s="98" t="str">
        <f>IF($J62="","",SUMIFS('Daily Data'!$I$4:$I$503,'Daily Data'!$B$4:$B$503,$A62,'Daily Data'!$AL$4:$AL$503,$C$5,'Daily Data'!$AM$4:$AM$503,$C$4))</f>
        <v/>
      </c>
      <c r="C62" s="98" t="str">
        <f>IF($J62="","",SUMIFS('Daily Data'!$K$4:$K$503,'Daily Data'!$B$4:$B$503,$A62,'Daily Data'!$AL$4:$AL$503,$C$5,'Daily Data'!$AM$4:$AM$503,$C$4))</f>
        <v/>
      </c>
      <c r="D62" s="98" t="str">
        <f>IF($J62="","",SUMIFS('Daily Data'!$J$4:$J$503,'Daily Data'!$B$4:$B$503,$A62,'Daily Data'!$AL$4:$AL$503,$C$5,'Daily Data'!$AM$4:$AM$503,$C$4))</f>
        <v/>
      </c>
      <c r="E62" s="99" t="str">
        <f>IF($J62="","",IFERROR(AVERAGEIFS('Daily Data'!$S$4:$S$503,'Daily Data'!$B$4:$B$503,$A62,'Daily Data'!$AL$4:$AL$503,$C$5,'Daily Data'!$AM$4:$AM$503,$C$4),""))</f>
        <v/>
      </c>
      <c r="F62" s="97" t="str">
        <f>IF(OR($J62="",N($L62)=0),"",$M62/$L62-1)</f>
        <v/>
      </c>
      <c r="G62" s="100" t="str">
        <f>IF($J62="","",IFERROR(AVERAGEIFS('Daily Data'!$AH$4:$AH$503,'Daily Data'!$B$4:$B$503,$A62,'Daily Data'!$AL$4:$AL$503,$C$5,'Daily Data'!$AM$4:$AM$503,$C$4),""))</f>
        <v/>
      </c>
      <c r="H62" s="100" t="str">
        <f>IF($J62="","",IFERROR(AVERAGEIFS('Daily Data'!$AG$4:$AG$503,'Daily Data'!$B$4:$B$503,$A62,'Daily Data'!$AL$4:$AL$503,$C$5,'Daily Data'!$AM$4:$AM$503,$C$4),""))</f>
        <v/>
      </c>
      <c r="I62" s="97" t="str">
        <f>IF($K62="","",IF(COUNTIFS('Daily Data'!$B$4:$B$503,$A62,'Daily Data'!$AK$4:$AK$503,$K62,'Daily Data'!$AA$4:$AA$503,"&gt;=-1E+300")=0,"",SUMIFS('Daily Data'!$AA$4:$AA$503,'Daily Data'!$B$4:$B$503,$A62,'Daily Data'!$AK$4:$AK$503,$K62)))</f>
        <v/>
      </c>
      <c r="J62" s="112" t="str">
        <f>IF($A62="","",IFERROR(IF(_xlfn.MINIFS('Daily Data'!$AK$4:$AK$503,'Daily Data'!$B$4:$B$503,$A62,'Daily Data'!$AL$4:$AL$503,$C$5,'Daily Data'!$AM$4:$AM$503,$C$4)=0,"",_xlfn.MINIFS('Daily Data'!$AK$4:$AK$503,'Daily Data'!$B$4:$B$503,$A62,'Daily Data'!$AL$4:$AL$503,$C$5,'Daily Data'!$AM$4:$AM$503,$C$4)),""))</f>
        <v/>
      </c>
      <c r="K62" s="112" t="str">
        <f>IF($A62="","",IFERROR(IF(_xlfn.MAXIFS('Daily Data'!$AK$4:$AK$503,'Daily Data'!$B$4:$B$503,$A62,'Daily Data'!$AL$4:$AL$503,$C$5,'Daily Data'!$AM$4:$AM$503,$C$4)=0,"",_xlfn.MAXIFS('Daily Data'!$AK$4:$AK$503,'Daily Data'!$B$4:$B$503,$A62,'Daily Data'!$AL$4:$AL$503,$C$5,'Daily Data'!$AM$4:$AM$503,$C$4)),""))</f>
        <v/>
      </c>
      <c r="L62" s="156" t="str">
        <f>IF($J62="","",SUMIFS('Daily Data'!$D$4:$D$503,'Daily Data'!$B$4:$B$503,$A62,'Daily Data'!$AK$4:$AK$503,$J62))</f>
        <v/>
      </c>
      <c r="M62" s="156" t="str">
        <f>IF($K62="","",SUMIFS('Daily Data'!$E$4:$E$503,'Daily Data'!$B$4:$B$503,$A62,'Daily Data'!$AK$4:$AK$503,$K62))</f>
        <v/>
      </c>
    </row>
    <row r="63" spans="1:13" x14ac:dyDescent="0.3">
      <c r="A63" s="155" t="str">
        <f>IF(Symbols!A37="","",Symbols!A37)</f>
        <v/>
      </c>
      <c r="B63" s="98" t="str">
        <f>IF($J63="","",SUMIFS('Daily Data'!$I$4:$I$503,'Daily Data'!$B$4:$B$503,$A63,'Daily Data'!$AL$4:$AL$503,$C$5,'Daily Data'!$AM$4:$AM$503,$C$4))</f>
        <v/>
      </c>
      <c r="C63" s="98" t="str">
        <f>IF($J63="","",SUMIFS('Daily Data'!$K$4:$K$503,'Daily Data'!$B$4:$B$503,$A63,'Daily Data'!$AL$4:$AL$503,$C$5,'Daily Data'!$AM$4:$AM$503,$C$4))</f>
        <v/>
      </c>
      <c r="D63" s="98" t="str">
        <f>IF($J63="","",SUMIFS('Daily Data'!$J$4:$J$503,'Daily Data'!$B$4:$B$503,$A63,'Daily Data'!$AL$4:$AL$503,$C$5,'Daily Data'!$AM$4:$AM$503,$C$4))</f>
        <v/>
      </c>
      <c r="E63" s="99" t="str">
        <f>IF($J63="","",IFERROR(AVERAGEIFS('Daily Data'!$S$4:$S$503,'Daily Data'!$B$4:$B$503,$A63,'Daily Data'!$AL$4:$AL$503,$C$5,'Daily Data'!$AM$4:$AM$503,$C$4),""))</f>
        <v/>
      </c>
      <c r="F63" s="97" t="str">
        <f>IF(OR($J63="",N($L63)=0),"",$M63/$L63-1)</f>
        <v/>
      </c>
      <c r="G63" s="100" t="str">
        <f>IF($J63="","",IFERROR(AVERAGEIFS('Daily Data'!$AH$4:$AH$503,'Daily Data'!$B$4:$B$503,$A63,'Daily Data'!$AL$4:$AL$503,$C$5,'Daily Data'!$AM$4:$AM$503,$C$4),""))</f>
        <v/>
      </c>
      <c r="H63" s="100" t="str">
        <f>IF($J63="","",IFERROR(AVERAGEIFS('Daily Data'!$AG$4:$AG$503,'Daily Data'!$B$4:$B$503,$A63,'Daily Data'!$AL$4:$AL$503,$C$5,'Daily Data'!$AM$4:$AM$503,$C$4),""))</f>
        <v/>
      </c>
      <c r="I63" s="97" t="str">
        <f>IF($K63="","",IF(COUNTIFS('Daily Data'!$B$4:$B$503,$A63,'Daily Data'!$AK$4:$AK$503,$K63,'Daily Data'!$AA$4:$AA$503,"&gt;=-1E+300")=0,"",SUMIFS('Daily Data'!$AA$4:$AA$503,'Daily Data'!$B$4:$B$503,$A63,'Daily Data'!$AK$4:$AK$503,$K63)))</f>
        <v/>
      </c>
      <c r="J63" s="112" t="str">
        <f>IF($A63="","",IFERROR(IF(_xlfn.MINIFS('Daily Data'!$AK$4:$AK$503,'Daily Data'!$B$4:$B$503,$A63,'Daily Data'!$AL$4:$AL$503,$C$5,'Daily Data'!$AM$4:$AM$503,$C$4)=0,"",_xlfn.MINIFS('Daily Data'!$AK$4:$AK$503,'Daily Data'!$B$4:$B$503,$A63,'Daily Data'!$AL$4:$AL$503,$C$5,'Daily Data'!$AM$4:$AM$503,$C$4)),""))</f>
        <v/>
      </c>
      <c r="K63" s="112" t="str">
        <f>IF($A63="","",IFERROR(IF(_xlfn.MAXIFS('Daily Data'!$AK$4:$AK$503,'Daily Data'!$B$4:$B$503,$A63,'Daily Data'!$AL$4:$AL$503,$C$5,'Daily Data'!$AM$4:$AM$503,$C$4)=0,"",_xlfn.MAXIFS('Daily Data'!$AK$4:$AK$503,'Daily Data'!$B$4:$B$503,$A63,'Daily Data'!$AL$4:$AL$503,$C$5,'Daily Data'!$AM$4:$AM$503,$C$4)),""))</f>
        <v/>
      </c>
      <c r="L63" s="156" t="str">
        <f>IF($J63="","",SUMIFS('Daily Data'!$D$4:$D$503,'Daily Data'!$B$4:$B$503,$A63,'Daily Data'!$AK$4:$AK$503,$J63))</f>
        <v/>
      </c>
      <c r="M63" s="156" t="str">
        <f>IF($K63="","",SUMIFS('Daily Data'!$E$4:$E$503,'Daily Data'!$B$4:$B$503,$A63,'Daily Data'!$AK$4:$AK$503,$K63))</f>
        <v/>
      </c>
    </row>
    <row r="64" spans="1:13" x14ac:dyDescent="0.3">
      <c r="A64" s="155" t="str">
        <f>IF(Symbols!A38="","",Symbols!A38)</f>
        <v/>
      </c>
      <c r="B64" s="98" t="str">
        <f>IF($J64="","",SUMIFS('Daily Data'!$I$4:$I$503,'Daily Data'!$B$4:$B$503,$A64,'Daily Data'!$AL$4:$AL$503,$C$5,'Daily Data'!$AM$4:$AM$503,$C$4))</f>
        <v/>
      </c>
      <c r="C64" s="98" t="str">
        <f>IF($J64="","",SUMIFS('Daily Data'!$K$4:$K$503,'Daily Data'!$B$4:$B$503,$A64,'Daily Data'!$AL$4:$AL$503,$C$5,'Daily Data'!$AM$4:$AM$503,$C$4))</f>
        <v/>
      </c>
      <c r="D64" s="98" t="str">
        <f>IF($J64="","",SUMIFS('Daily Data'!$J$4:$J$503,'Daily Data'!$B$4:$B$503,$A64,'Daily Data'!$AL$4:$AL$503,$C$5,'Daily Data'!$AM$4:$AM$503,$C$4))</f>
        <v/>
      </c>
      <c r="E64" s="99" t="str">
        <f>IF($J64="","",IFERROR(AVERAGEIFS('Daily Data'!$S$4:$S$503,'Daily Data'!$B$4:$B$503,$A64,'Daily Data'!$AL$4:$AL$503,$C$5,'Daily Data'!$AM$4:$AM$503,$C$4),""))</f>
        <v/>
      </c>
      <c r="F64" s="97" t="str">
        <f>IF(OR($J64="",N($L64)=0),"",$M64/$L64-1)</f>
        <v/>
      </c>
      <c r="G64" s="100" t="str">
        <f>IF($J64="","",IFERROR(AVERAGEIFS('Daily Data'!$AH$4:$AH$503,'Daily Data'!$B$4:$B$503,$A64,'Daily Data'!$AL$4:$AL$503,$C$5,'Daily Data'!$AM$4:$AM$503,$C$4),""))</f>
        <v/>
      </c>
      <c r="H64" s="100" t="str">
        <f>IF($J64="","",IFERROR(AVERAGEIFS('Daily Data'!$AG$4:$AG$503,'Daily Data'!$B$4:$B$503,$A64,'Daily Data'!$AL$4:$AL$503,$C$5,'Daily Data'!$AM$4:$AM$503,$C$4),""))</f>
        <v/>
      </c>
      <c r="I64" s="97" t="str">
        <f>IF($K64="","",IF(COUNTIFS('Daily Data'!$B$4:$B$503,$A64,'Daily Data'!$AK$4:$AK$503,$K64,'Daily Data'!$AA$4:$AA$503,"&gt;=-1E+300")=0,"",SUMIFS('Daily Data'!$AA$4:$AA$503,'Daily Data'!$B$4:$B$503,$A64,'Daily Data'!$AK$4:$AK$503,$K64)))</f>
        <v/>
      </c>
      <c r="J64" s="112" t="str">
        <f>IF($A64="","",IFERROR(IF(_xlfn.MINIFS('Daily Data'!$AK$4:$AK$503,'Daily Data'!$B$4:$B$503,$A64,'Daily Data'!$AL$4:$AL$503,$C$5,'Daily Data'!$AM$4:$AM$503,$C$4)=0,"",_xlfn.MINIFS('Daily Data'!$AK$4:$AK$503,'Daily Data'!$B$4:$B$503,$A64,'Daily Data'!$AL$4:$AL$503,$C$5,'Daily Data'!$AM$4:$AM$503,$C$4)),""))</f>
        <v/>
      </c>
      <c r="K64" s="112" t="str">
        <f>IF($A64="","",IFERROR(IF(_xlfn.MAXIFS('Daily Data'!$AK$4:$AK$503,'Daily Data'!$B$4:$B$503,$A64,'Daily Data'!$AL$4:$AL$503,$C$5,'Daily Data'!$AM$4:$AM$503,$C$4)=0,"",_xlfn.MAXIFS('Daily Data'!$AK$4:$AK$503,'Daily Data'!$B$4:$B$503,$A64,'Daily Data'!$AL$4:$AL$503,$C$5,'Daily Data'!$AM$4:$AM$503,$C$4)),""))</f>
        <v/>
      </c>
      <c r="L64" s="156" t="str">
        <f>IF($J64="","",SUMIFS('Daily Data'!$D$4:$D$503,'Daily Data'!$B$4:$B$503,$A64,'Daily Data'!$AK$4:$AK$503,$J64))</f>
        <v/>
      </c>
      <c r="M64" s="156" t="str">
        <f>IF($K64="","",SUMIFS('Daily Data'!$E$4:$E$503,'Daily Data'!$B$4:$B$503,$A64,'Daily Data'!$AK$4:$AK$503,$K64))</f>
        <v/>
      </c>
    </row>
    <row r="65" spans="1:13" x14ac:dyDescent="0.3">
      <c r="A65" s="155" t="str">
        <f>IF(Symbols!A39="","",Symbols!A39)</f>
        <v/>
      </c>
      <c r="B65" s="98" t="str">
        <f>IF($J65="","",SUMIFS('Daily Data'!$I$4:$I$503,'Daily Data'!$B$4:$B$503,$A65,'Daily Data'!$AL$4:$AL$503,$C$5,'Daily Data'!$AM$4:$AM$503,$C$4))</f>
        <v/>
      </c>
      <c r="C65" s="98" t="str">
        <f>IF($J65="","",SUMIFS('Daily Data'!$K$4:$K$503,'Daily Data'!$B$4:$B$503,$A65,'Daily Data'!$AL$4:$AL$503,$C$5,'Daily Data'!$AM$4:$AM$503,$C$4))</f>
        <v/>
      </c>
      <c r="D65" s="98" t="str">
        <f>IF($J65="","",SUMIFS('Daily Data'!$J$4:$J$503,'Daily Data'!$B$4:$B$503,$A65,'Daily Data'!$AL$4:$AL$503,$C$5,'Daily Data'!$AM$4:$AM$503,$C$4))</f>
        <v/>
      </c>
      <c r="E65" s="99" t="str">
        <f>IF($J65="","",IFERROR(AVERAGEIFS('Daily Data'!$S$4:$S$503,'Daily Data'!$B$4:$B$503,$A65,'Daily Data'!$AL$4:$AL$503,$C$5,'Daily Data'!$AM$4:$AM$503,$C$4),""))</f>
        <v/>
      </c>
      <c r="F65" s="97" t="str">
        <f>IF(OR($J65="",N($L65)=0),"",$M65/$L65-1)</f>
        <v/>
      </c>
      <c r="G65" s="100" t="str">
        <f>IF($J65="","",IFERROR(AVERAGEIFS('Daily Data'!$AH$4:$AH$503,'Daily Data'!$B$4:$B$503,$A65,'Daily Data'!$AL$4:$AL$503,$C$5,'Daily Data'!$AM$4:$AM$503,$C$4),""))</f>
        <v/>
      </c>
      <c r="H65" s="100" t="str">
        <f>IF($J65="","",IFERROR(AVERAGEIFS('Daily Data'!$AG$4:$AG$503,'Daily Data'!$B$4:$B$503,$A65,'Daily Data'!$AL$4:$AL$503,$C$5,'Daily Data'!$AM$4:$AM$503,$C$4),""))</f>
        <v/>
      </c>
      <c r="I65" s="97" t="str">
        <f>IF($K65="","",IF(COUNTIFS('Daily Data'!$B$4:$B$503,$A65,'Daily Data'!$AK$4:$AK$503,$K65,'Daily Data'!$AA$4:$AA$503,"&gt;=-1E+300")=0,"",SUMIFS('Daily Data'!$AA$4:$AA$503,'Daily Data'!$B$4:$B$503,$A65,'Daily Data'!$AK$4:$AK$503,$K65)))</f>
        <v/>
      </c>
      <c r="J65" s="112" t="str">
        <f>IF($A65="","",IFERROR(IF(_xlfn.MINIFS('Daily Data'!$AK$4:$AK$503,'Daily Data'!$B$4:$B$503,$A65,'Daily Data'!$AL$4:$AL$503,$C$5,'Daily Data'!$AM$4:$AM$503,$C$4)=0,"",_xlfn.MINIFS('Daily Data'!$AK$4:$AK$503,'Daily Data'!$B$4:$B$503,$A65,'Daily Data'!$AL$4:$AL$503,$C$5,'Daily Data'!$AM$4:$AM$503,$C$4)),""))</f>
        <v/>
      </c>
      <c r="K65" s="112" t="str">
        <f>IF($A65="","",IFERROR(IF(_xlfn.MAXIFS('Daily Data'!$AK$4:$AK$503,'Daily Data'!$B$4:$B$503,$A65,'Daily Data'!$AL$4:$AL$503,$C$5,'Daily Data'!$AM$4:$AM$503,$C$4)=0,"",_xlfn.MAXIFS('Daily Data'!$AK$4:$AK$503,'Daily Data'!$B$4:$B$503,$A65,'Daily Data'!$AL$4:$AL$503,$C$5,'Daily Data'!$AM$4:$AM$503,$C$4)),""))</f>
        <v/>
      </c>
      <c r="L65" s="156" t="str">
        <f>IF($J65="","",SUMIFS('Daily Data'!$D$4:$D$503,'Daily Data'!$B$4:$B$503,$A65,'Daily Data'!$AK$4:$AK$503,$J65))</f>
        <v/>
      </c>
      <c r="M65" s="156" t="str">
        <f>IF($K65="","",SUMIFS('Daily Data'!$E$4:$E$503,'Daily Data'!$B$4:$B$503,$A65,'Daily Data'!$AK$4:$AK$503,$K65))</f>
        <v/>
      </c>
    </row>
    <row r="66" spans="1:13" x14ac:dyDescent="0.3">
      <c r="A66" s="155" t="str">
        <f>IF(Symbols!A40="","",Symbols!A40)</f>
        <v/>
      </c>
      <c r="B66" s="98" t="str">
        <f>IF($J66="","",SUMIFS('Daily Data'!$I$4:$I$503,'Daily Data'!$B$4:$B$503,$A66,'Daily Data'!$AL$4:$AL$503,$C$5,'Daily Data'!$AM$4:$AM$503,$C$4))</f>
        <v/>
      </c>
      <c r="C66" s="98" t="str">
        <f>IF($J66="","",SUMIFS('Daily Data'!$K$4:$K$503,'Daily Data'!$B$4:$B$503,$A66,'Daily Data'!$AL$4:$AL$503,$C$5,'Daily Data'!$AM$4:$AM$503,$C$4))</f>
        <v/>
      </c>
      <c r="D66" s="98" t="str">
        <f>IF($J66="","",SUMIFS('Daily Data'!$J$4:$J$503,'Daily Data'!$B$4:$B$503,$A66,'Daily Data'!$AL$4:$AL$503,$C$5,'Daily Data'!$AM$4:$AM$503,$C$4))</f>
        <v/>
      </c>
      <c r="E66" s="99" t="str">
        <f>IF($J66="","",IFERROR(AVERAGEIFS('Daily Data'!$S$4:$S$503,'Daily Data'!$B$4:$B$503,$A66,'Daily Data'!$AL$4:$AL$503,$C$5,'Daily Data'!$AM$4:$AM$503,$C$4),""))</f>
        <v/>
      </c>
      <c r="F66" s="97" t="str">
        <f>IF(OR($J66="",N($L66)=0),"",$M66/$L66-1)</f>
        <v/>
      </c>
      <c r="G66" s="100" t="str">
        <f>IF($J66="","",IFERROR(AVERAGEIFS('Daily Data'!$AH$4:$AH$503,'Daily Data'!$B$4:$B$503,$A66,'Daily Data'!$AL$4:$AL$503,$C$5,'Daily Data'!$AM$4:$AM$503,$C$4),""))</f>
        <v/>
      </c>
      <c r="H66" s="100" t="str">
        <f>IF($J66="","",IFERROR(AVERAGEIFS('Daily Data'!$AG$4:$AG$503,'Daily Data'!$B$4:$B$503,$A66,'Daily Data'!$AL$4:$AL$503,$C$5,'Daily Data'!$AM$4:$AM$503,$C$4),""))</f>
        <v/>
      </c>
      <c r="I66" s="97" t="str">
        <f>IF($K66="","",IF(COUNTIFS('Daily Data'!$B$4:$B$503,$A66,'Daily Data'!$AK$4:$AK$503,$K66,'Daily Data'!$AA$4:$AA$503,"&gt;=-1E+300")=0,"",SUMIFS('Daily Data'!$AA$4:$AA$503,'Daily Data'!$B$4:$B$503,$A66,'Daily Data'!$AK$4:$AK$503,$K66)))</f>
        <v/>
      </c>
      <c r="J66" s="112" t="str">
        <f>IF($A66="","",IFERROR(IF(_xlfn.MINIFS('Daily Data'!$AK$4:$AK$503,'Daily Data'!$B$4:$B$503,$A66,'Daily Data'!$AL$4:$AL$503,$C$5,'Daily Data'!$AM$4:$AM$503,$C$4)=0,"",_xlfn.MINIFS('Daily Data'!$AK$4:$AK$503,'Daily Data'!$B$4:$B$503,$A66,'Daily Data'!$AL$4:$AL$503,$C$5,'Daily Data'!$AM$4:$AM$503,$C$4)),""))</f>
        <v/>
      </c>
      <c r="K66" s="112" t="str">
        <f>IF($A66="","",IFERROR(IF(_xlfn.MAXIFS('Daily Data'!$AK$4:$AK$503,'Daily Data'!$B$4:$B$503,$A66,'Daily Data'!$AL$4:$AL$503,$C$5,'Daily Data'!$AM$4:$AM$503,$C$4)=0,"",_xlfn.MAXIFS('Daily Data'!$AK$4:$AK$503,'Daily Data'!$B$4:$B$503,$A66,'Daily Data'!$AL$4:$AL$503,$C$5,'Daily Data'!$AM$4:$AM$503,$C$4)),""))</f>
        <v/>
      </c>
      <c r="L66" s="156" t="str">
        <f>IF($J66="","",SUMIFS('Daily Data'!$D$4:$D$503,'Daily Data'!$B$4:$B$503,$A66,'Daily Data'!$AK$4:$AK$503,$J66))</f>
        <v/>
      </c>
      <c r="M66" s="156" t="str">
        <f>IF($K66="","",SUMIFS('Daily Data'!$E$4:$E$503,'Daily Data'!$B$4:$B$503,$A66,'Daily Data'!$AK$4:$AK$503,$K66))</f>
        <v/>
      </c>
    </row>
    <row r="67" spans="1:13" x14ac:dyDescent="0.3">
      <c r="A67" s="155" t="str">
        <f>IF(Symbols!A41="","",Symbols!A41)</f>
        <v/>
      </c>
      <c r="B67" s="98" t="str">
        <f>IF($J67="","",SUMIFS('Daily Data'!$I$4:$I$503,'Daily Data'!$B$4:$B$503,$A67,'Daily Data'!$AL$4:$AL$503,$C$5,'Daily Data'!$AM$4:$AM$503,$C$4))</f>
        <v/>
      </c>
      <c r="C67" s="98" t="str">
        <f>IF($J67="","",SUMIFS('Daily Data'!$K$4:$K$503,'Daily Data'!$B$4:$B$503,$A67,'Daily Data'!$AL$4:$AL$503,$C$5,'Daily Data'!$AM$4:$AM$503,$C$4))</f>
        <v/>
      </c>
      <c r="D67" s="98" t="str">
        <f>IF($J67="","",SUMIFS('Daily Data'!$J$4:$J$503,'Daily Data'!$B$4:$B$503,$A67,'Daily Data'!$AL$4:$AL$503,$C$5,'Daily Data'!$AM$4:$AM$503,$C$4))</f>
        <v/>
      </c>
      <c r="E67" s="99" t="str">
        <f>IF($J67="","",IFERROR(AVERAGEIFS('Daily Data'!$S$4:$S$503,'Daily Data'!$B$4:$B$503,$A67,'Daily Data'!$AL$4:$AL$503,$C$5,'Daily Data'!$AM$4:$AM$503,$C$4),""))</f>
        <v/>
      </c>
      <c r="F67" s="97" t="str">
        <f>IF(OR($J67="",N($L67)=0),"",$M67/$L67-1)</f>
        <v/>
      </c>
      <c r="G67" s="100" t="str">
        <f>IF($J67="","",IFERROR(AVERAGEIFS('Daily Data'!$AH$4:$AH$503,'Daily Data'!$B$4:$B$503,$A67,'Daily Data'!$AL$4:$AL$503,$C$5,'Daily Data'!$AM$4:$AM$503,$C$4),""))</f>
        <v/>
      </c>
      <c r="H67" s="100" t="str">
        <f>IF($J67="","",IFERROR(AVERAGEIFS('Daily Data'!$AG$4:$AG$503,'Daily Data'!$B$4:$B$503,$A67,'Daily Data'!$AL$4:$AL$503,$C$5,'Daily Data'!$AM$4:$AM$503,$C$4),""))</f>
        <v/>
      </c>
      <c r="I67" s="97" t="str">
        <f>IF($K67="","",IF(COUNTIFS('Daily Data'!$B$4:$B$503,$A67,'Daily Data'!$AK$4:$AK$503,$K67,'Daily Data'!$AA$4:$AA$503,"&gt;=-1E+300")=0,"",SUMIFS('Daily Data'!$AA$4:$AA$503,'Daily Data'!$B$4:$B$503,$A67,'Daily Data'!$AK$4:$AK$503,$K67)))</f>
        <v/>
      </c>
      <c r="J67" s="112" t="str">
        <f>IF($A67="","",IFERROR(IF(_xlfn.MINIFS('Daily Data'!$AK$4:$AK$503,'Daily Data'!$B$4:$B$503,$A67,'Daily Data'!$AL$4:$AL$503,$C$5,'Daily Data'!$AM$4:$AM$503,$C$4)=0,"",_xlfn.MINIFS('Daily Data'!$AK$4:$AK$503,'Daily Data'!$B$4:$B$503,$A67,'Daily Data'!$AL$4:$AL$503,$C$5,'Daily Data'!$AM$4:$AM$503,$C$4)),""))</f>
        <v/>
      </c>
      <c r="K67" s="112" t="str">
        <f>IF($A67="","",IFERROR(IF(_xlfn.MAXIFS('Daily Data'!$AK$4:$AK$503,'Daily Data'!$B$4:$B$503,$A67,'Daily Data'!$AL$4:$AL$503,$C$5,'Daily Data'!$AM$4:$AM$503,$C$4)=0,"",_xlfn.MAXIFS('Daily Data'!$AK$4:$AK$503,'Daily Data'!$B$4:$B$503,$A67,'Daily Data'!$AL$4:$AL$503,$C$5,'Daily Data'!$AM$4:$AM$503,$C$4)),""))</f>
        <v/>
      </c>
      <c r="L67" s="156" t="str">
        <f>IF($J67="","",SUMIFS('Daily Data'!$D$4:$D$503,'Daily Data'!$B$4:$B$503,$A67,'Daily Data'!$AK$4:$AK$503,$J67))</f>
        <v/>
      </c>
      <c r="M67" s="156" t="str">
        <f>IF($K67="","",SUMIFS('Daily Data'!$E$4:$E$503,'Daily Data'!$B$4:$B$503,$A67,'Daily Data'!$AK$4:$AK$503,$K67))</f>
        <v/>
      </c>
    </row>
    <row r="68" spans="1:13" x14ac:dyDescent="0.3">
      <c r="A68" s="155" t="str">
        <f>IF(Symbols!A42="","",Symbols!A42)</f>
        <v/>
      </c>
      <c r="B68" s="98" t="str">
        <f>IF($J68="","",SUMIFS('Daily Data'!$I$4:$I$503,'Daily Data'!$B$4:$B$503,$A68,'Daily Data'!$AL$4:$AL$503,$C$5,'Daily Data'!$AM$4:$AM$503,$C$4))</f>
        <v/>
      </c>
      <c r="C68" s="98" t="str">
        <f>IF($J68="","",SUMIFS('Daily Data'!$K$4:$K$503,'Daily Data'!$B$4:$B$503,$A68,'Daily Data'!$AL$4:$AL$503,$C$5,'Daily Data'!$AM$4:$AM$503,$C$4))</f>
        <v/>
      </c>
      <c r="D68" s="98" t="str">
        <f>IF($J68="","",SUMIFS('Daily Data'!$J$4:$J$503,'Daily Data'!$B$4:$B$503,$A68,'Daily Data'!$AL$4:$AL$503,$C$5,'Daily Data'!$AM$4:$AM$503,$C$4))</f>
        <v/>
      </c>
      <c r="E68" s="99" t="str">
        <f>IF($J68="","",IFERROR(AVERAGEIFS('Daily Data'!$S$4:$S$503,'Daily Data'!$B$4:$B$503,$A68,'Daily Data'!$AL$4:$AL$503,$C$5,'Daily Data'!$AM$4:$AM$503,$C$4),""))</f>
        <v/>
      </c>
      <c r="F68" s="97" t="str">
        <f>IF(OR($J68="",N($L68)=0),"",$M68/$L68-1)</f>
        <v/>
      </c>
      <c r="G68" s="100" t="str">
        <f>IF($J68="","",IFERROR(AVERAGEIFS('Daily Data'!$AH$4:$AH$503,'Daily Data'!$B$4:$B$503,$A68,'Daily Data'!$AL$4:$AL$503,$C$5,'Daily Data'!$AM$4:$AM$503,$C$4),""))</f>
        <v/>
      </c>
      <c r="H68" s="100" t="str">
        <f>IF($J68="","",IFERROR(AVERAGEIFS('Daily Data'!$AG$4:$AG$503,'Daily Data'!$B$4:$B$503,$A68,'Daily Data'!$AL$4:$AL$503,$C$5,'Daily Data'!$AM$4:$AM$503,$C$4),""))</f>
        <v/>
      </c>
      <c r="I68" s="97" t="str">
        <f>IF($K68="","",IF(COUNTIFS('Daily Data'!$B$4:$B$503,$A68,'Daily Data'!$AK$4:$AK$503,$K68,'Daily Data'!$AA$4:$AA$503,"&gt;=-1E+300")=0,"",SUMIFS('Daily Data'!$AA$4:$AA$503,'Daily Data'!$B$4:$B$503,$A68,'Daily Data'!$AK$4:$AK$503,$K68)))</f>
        <v/>
      </c>
      <c r="J68" s="112" t="str">
        <f>IF($A68="","",IFERROR(IF(_xlfn.MINIFS('Daily Data'!$AK$4:$AK$503,'Daily Data'!$B$4:$B$503,$A68,'Daily Data'!$AL$4:$AL$503,$C$5,'Daily Data'!$AM$4:$AM$503,$C$4)=0,"",_xlfn.MINIFS('Daily Data'!$AK$4:$AK$503,'Daily Data'!$B$4:$B$503,$A68,'Daily Data'!$AL$4:$AL$503,$C$5,'Daily Data'!$AM$4:$AM$503,$C$4)),""))</f>
        <v/>
      </c>
      <c r="K68" s="112" t="str">
        <f>IF($A68="","",IFERROR(IF(_xlfn.MAXIFS('Daily Data'!$AK$4:$AK$503,'Daily Data'!$B$4:$B$503,$A68,'Daily Data'!$AL$4:$AL$503,$C$5,'Daily Data'!$AM$4:$AM$503,$C$4)=0,"",_xlfn.MAXIFS('Daily Data'!$AK$4:$AK$503,'Daily Data'!$B$4:$B$503,$A68,'Daily Data'!$AL$4:$AL$503,$C$5,'Daily Data'!$AM$4:$AM$503,$C$4)),""))</f>
        <v/>
      </c>
      <c r="L68" s="156" t="str">
        <f>IF($J68="","",SUMIFS('Daily Data'!$D$4:$D$503,'Daily Data'!$B$4:$B$503,$A68,'Daily Data'!$AK$4:$AK$503,$J68))</f>
        <v/>
      </c>
      <c r="M68" s="156" t="str">
        <f>IF($K68="","",SUMIFS('Daily Data'!$E$4:$E$503,'Daily Data'!$B$4:$B$503,$A68,'Daily Data'!$AK$4:$AK$503,$K68))</f>
        <v/>
      </c>
    </row>
    <row r="69" spans="1:13" x14ac:dyDescent="0.3">
      <c r="A69" s="157" t="str">
        <f>IF(Symbols!A43="","",Symbols!A43)</f>
        <v/>
      </c>
      <c r="B69" s="106" t="str">
        <f>IF($J69="","",SUMIFS('Daily Data'!$I$4:$I$503,'Daily Data'!$B$4:$B$503,$A69,'Daily Data'!$AL$4:$AL$503,$C$5,'Daily Data'!$AM$4:$AM$503,$C$4))</f>
        <v/>
      </c>
      <c r="C69" s="106" t="str">
        <f>IF($J69="","",SUMIFS('Daily Data'!$K$4:$K$503,'Daily Data'!$B$4:$B$503,$A69,'Daily Data'!$AL$4:$AL$503,$C$5,'Daily Data'!$AM$4:$AM$503,$C$4))</f>
        <v/>
      </c>
      <c r="D69" s="106" t="str">
        <f>IF($J69="","",SUMIFS('Daily Data'!$J$4:$J$503,'Daily Data'!$B$4:$B$503,$A69,'Daily Data'!$AL$4:$AL$503,$C$5,'Daily Data'!$AM$4:$AM$503,$C$4))</f>
        <v/>
      </c>
      <c r="E69" s="107" t="str">
        <f>IF($J69="","",IFERROR(AVERAGEIFS('Daily Data'!$S$4:$S$503,'Daily Data'!$B$4:$B$503,$A69,'Daily Data'!$AL$4:$AL$503,$C$5,'Daily Data'!$AM$4:$AM$503,$C$4),""))</f>
        <v/>
      </c>
      <c r="F69" s="105" t="str">
        <f>IF(OR($J69="",N($L69)=0),"",$M69/$L69-1)</f>
        <v/>
      </c>
      <c r="G69" s="108" t="str">
        <f>IF($J69="","",IFERROR(AVERAGEIFS('Daily Data'!$AH$4:$AH$503,'Daily Data'!$B$4:$B$503,$A69,'Daily Data'!$AL$4:$AL$503,$C$5,'Daily Data'!$AM$4:$AM$503,$C$4),""))</f>
        <v/>
      </c>
      <c r="H69" s="108" t="str">
        <f>IF($J69="","",IFERROR(AVERAGEIFS('Daily Data'!$AG$4:$AG$503,'Daily Data'!$B$4:$B$503,$A69,'Daily Data'!$AL$4:$AL$503,$C$5,'Daily Data'!$AM$4:$AM$503,$C$4),""))</f>
        <v/>
      </c>
      <c r="I69" s="105" t="str">
        <f>IF($K69="","",IF(COUNTIFS('Daily Data'!$B$4:$B$503,$A69,'Daily Data'!$AK$4:$AK$503,$K69,'Daily Data'!$AA$4:$AA$503,"&gt;=-1E+300")=0,"",SUMIFS('Daily Data'!$AA$4:$AA$503,'Daily Data'!$B$4:$B$503,$A69,'Daily Data'!$AK$4:$AK$503,$K69)))</f>
        <v/>
      </c>
      <c r="J69" s="113" t="str">
        <f>IF($A69="","",IFERROR(IF(_xlfn.MINIFS('Daily Data'!$AK$4:$AK$503,'Daily Data'!$B$4:$B$503,$A69,'Daily Data'!$AL$4:$AL$503,$C$5,'Daily Data'!$AM$4:$AM$503,$C$4)=0,"",_xlfn.MINIFS('Daily Data'!$AK$4:$AK$503,'Daily Data'!$B$4:$B$503,$A69,'Daily Data'!$AL$4:$AL$503,$C$5,'Daily Data'!$AM$4:$AM$503,$C$4)),""))</f>
        <v/>
      </c>
      <c r="K69" s="113" t="str">
        <f>IF($A69="","",IFERROR(IF(_xlfn.MAXIFS('Daily Data'!$AK$4:$AK$503,'Daily Data'!$B$4:$B$503,$A69,'Daily Data'!$AL$4:$AL$503,$C$5,'Daily Data'!$AM$4:$AM$503,$C$4)=0,"",_xlfn.MAXIFS('Daily Data'!$AK$4:$AK$503,'Daily Data'!$B$4:$B$503,$A69,'Daily Data'!$AL$4:$AL$503,$C$5,'Daily Data'!$AM$4:$AM$503,$C$4)),""))</f>
        <v/>
      </c>
      <c r="L69" s="158" t="str">
        <f>IF($J69="","",SUMIFS('Daily Data'!$D$4:$D$503,'Daily Data'!$B$4:$B$503,$A69,'Daily Data'!$AK$4:$AK$503,$J69))</f>
        <v/>
      </c>
      <c r="M69" s="158" t="str">
        <f>IF($K69="","",SUMIFS('Daily Data'!$E$4:$E$503,'Daily Data'!$B$4:$B$503,$A69,'Daily Data'!$AK$4:$AK$503,$K69))</f>
        <v/>
      </c>
    </row>
    <row r="71" spans="1:13" x14ac:dyDescent="0.3">
      <c r="A71" s="86" t="s">
        <v>308</v>
      </c>
    </row>
    <row r="72" spans="1:13" ht="109.95" customHeight="1" x14ac:dyDescent="0.3">
      <c r="A72" s="160" t="str">
        <f>IF(Settings!$C$7="Kiswahili","Katika "&amp;"wiki ya "&amp;$C$4&amp;" ya mwaka "&amp;$C$5&amp;", Soko la Hisa la Dar es Salaam lilirekodi jumla ya mauzo ya TZS "&amp;TEXT($C$7,"#,##0")&amp;", hisa "&amp;TEXT($C$8,"#,##0")&amp;" na miamala "&amp;TEXT($C$9,"#,##0")&amp;" katika siku "&amp;TEXT($C$10,"#,##0")&amp;" za biashara, wastani wa TZS "&amp;TEXT($C$11,"#,##0")&amp;" kwa siku. Mwelekeo wa soko ulikuwa "&amp;$C$17&amp;", na wastani wa mabadiliko ya kila siku wa "&amp;TEXT($C$16,"0.0%")&amp;". Kaunta iliyofanya vizuri zaidi ilikuwa "&amp;$C$21&amp;" ("&amp;TEXT($D$21,"0.0%")&amp;") na iliyofanya vibaya zaidi ilikuwa "&amp;$C$22&amp;" ("&amp;TEXT($D$22,"0.0%")&amp;"). Mauzo yaliongozwa na "&amp;$C$23&amp;" na ujazo wa hisa na "&amp;$C$24&amp;". Kasi kubwa zaidi ya B/O kati ya kaunta zenye ukwasi ilitoka "&amp;$C$25&amp;". Uwiano wa jumla wa zabuni kwa ofa ulikuwa "&amp;TEXT($C$14,"0.00")&amp;"x na wastani wa alama ya shinikizo la soko ulikuwa "&amp;TEXT($C$15,"0.0")&amp;". Kumbuka: takwimu za zabuni na ofa ni kiasi cha oda zilizosalia; alama za shinikizo ni zana za msaada wa maamuzi, si ushauri wa uwekezaji.","In "&amp;"ISO week "&amp;$C$4&amp;" of "&amp;$C$5&amp;", the Dar es Salaam Stock Exchange recorded total turnover of TZS "&amp;TEXT($C$7,"#,##0")&amp;", volume of "&amp;TEXT($C$8,"#,##0")&amp;" shares and "&amp;TEXT($C$9,"#,##0")&amp;" deals over "&amp;TEXT($C$10,"#,##0")&amp;" active trading day(s), an average of TZS "&amp;TEXT($C$11,"#,##0")&amp;" per day. The market trend was "&amp;$C$17&amp;", with an average daily change of "&amp;TEXT($C$16,"0.0%")&amp;". The strongest counter was "&amp;$C$21&amp;" ("&amp;TEXT($D$21,"0.0%")&amp;") and the weakest was "&amp;$C$22&amp;" ("&amp;TEXT($D$22,"0.0%")&amp;"). Turnover was led by "&amp;$C$23&amp;" and volume by "&amp;$C$24&amp;". The strongest B/O momentum among liquid counters came from "&amp;$C$25&amp;". The aggregate outstanding bid/offer ratio was "&amp;TEXT($C$14,"0.00")&amp;"x and the average market pressure score was "&amp;TEXT($C$15,"0.0")&amp;". Note: bid and offer figures are OUTSTANDING ORDER QUANTITIES, and pressure scores are decision-support indicators — not investment advice.")</f>
        <v>In ISO week 33 of 2026, the Dar es Salaam Stock Exchange recorded total turnover of TZS 30,303,795,275, volume of 8,738,153 shares and 16,147 deals over 5 active trading day(s), an average of TZS 6,060,759,055 per day. The market trend was Mildly Bullish, with an average daily change of 0.2%. The strongest counter was n/a (0.0%) and the weakest was n/a (0.0%). Turnover was led by NMB and volume by CRDB. The strongest B/O momentum among liquid counters came from n/a. The aggregate outstanding bid/offer ratio was 1.12x and the average market pressure score was 50.6. Note: bid and offer figures are OUTSTANDING ORDER QUANTITIES, and pressure scores are decision-support indicators — not investment advice.</v>
      </c>
      <c r="B72" s="160"/>
      <c r="C72" s="160"/>
      <c r="D72" s="160"/>
      <c r="E72" s="160"/>
      <c r="F72" s="160"/>
      <c r="G72" s="160"/>
      <c r="H72" s="160"/>
      <c r="I72" s="160"/>
      <c r="J72" s="160"/>
      <c r="K72" s="160"/>
      <c r="L72" s="160"/>
      <c r="M72" s="160"/>
    </row>
  </sheetData>
  <sheetProtection algorithmName="SHA-512" hashValue="iP7fQcLt5XTKOqj6ZJe+S9lOpVxpgtY4NZS50o9Yq+MF9QPMCALy+/3eY+gNC3y4fq4mCYmYTMRkNJbvpb014Q==" saltValue="bt+Rirrbc4gxAcHhrpHPpA==" spinCount="100000" sheet="1" objects="1" scenarios="1" sort="0" autoFilter="0"/>
  <mergeCells count="1">
    <mergeCell ref="A72:M7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84E5-FFE7-4265-84E4-7058A219A0AA}">
  <dimension ref="A1:T72"/>
  <sheetViews>
    <sheetView workbookViewId="0">
      <pane ySplit="5" topLeftCell="A6" activePane="bottomLeft" state="frozen"/>
      <selection pane="bottomLeft"/>
    </sheetView>
  </sheetViews>
  <sheetFormatPr defaultRowHeight="14.4" x14ac:dyDescent="0.3"/>
  <cols>
    <col min="1" max="1" width="16.6640625" customWidth="1"/>
    <col min="2" max="2" width="48.109375" customWidth="1"/>
    <col min="3" max="4" width="27.77734375" customWidth="1"/>
    <col min="5" max="9" width="20.33203125" customWidth="1"/>
    <col min="10" max="13" width="14.77734375" customWidth="1"/>
    <col min="15" max="17" width="14.77734375" customWidth="1"/>
    <col min="19" max="20" width="14.77734375" customWidth="1"/>
  </cols>
  <sheetData>
    <row r="1" spans="1:4" ht="21" x14ac:dyDescent="0.4">
      <c r="A1" s="14" t="s">
        <v>302</v>
      </c>
    </row>
    <row r="2" spans="1:4" x14ac:dyDescent="0.3">
      <c r="A2" s="2" t="s">
        <v>303</v>
      </c>
    </row>
    <row r="4" spans="1:4" x14ac:dyDescent="0.3">
      <c r="B4" s="32" t="s">
        <v>304</v>
      </c>
      <c r="C4" s="150">
        <f>Settings!$C$19</f>
        <v>8</v>
      </c>
      <c r="D4" s="2" t="s">
        <v>276</v>
      </c>
    </row>
    <row r="5" spans="1:4" x14ac:dyDescent="0.3">
      <c r="B5" s="32" t="s">
        <v>183</v>
      </c>
      <c r="C5" s="150">
        <f>Settings!$C$18</f>
        <v>2026</v>
      </c>
    </row>
    <row r="6" spans="1:4" x14ac:dyDescent="0.3">
      <c r="B6" s="3" t="s">
        <v>305</v>
      </c>
      <c r="C6" s="3" t="s">
        <v>3</v>
      </c>
      <c r="D6" s="3"/>
    </row>
    <row r="7" spans="1:4" x14ac:dyDescent="0.3">
      <c r="B7" t="s">
        <v>278</v>
      </c>
      <c r="C7" s="131">
        <f>SUMIFS('Daily Data'!$I$4:$I$503,'Daily Data'!$AL$4:$AL$503,$C$5,'Daily Data'!$AN$4:$AN$503,$C$4)</f>
        <v>30303795275</v>
      </c>
    </row>
    <row r="8" spans="1:4" x14ac:dyDescent="0.3">
      <c r="B8" s="126" t="s">
        <v>279</v>
      </c>
      <c r="C8" s="128">
        <f>SUMIFS('Daily Data'!$K$4:$K$503,'Daily Data'!$AL$4:$AL$503,$C$5,'Daily Data'!$AN$4:$AN$503,$C$4)</f>
        <v>8738153</v>
      </c>
      <c r="D8" s="126"/>
    </row>
    <row r="9" spans="1:4" x14ac:dyDescent="0.3">
      <c r="B9" t="s">
        <v>200</v>
      </c>
      <c r="C9" s="131">
        <f>SUMIFS('Daily Data'!$J$4:$J$503,'Daily Data'!$AL$4:$AL$503,$C$5,'Daily Data'!$AN$4:$AN$503,$C$4)</f>
        <v>16147</v>
      </c>
    </row>
    <row r="10" spans="1:4" x14ac:dyDescent="0.3">
      <c r="B10" s="126" t="s">
        <v>280</v>
      </c>
      <c r="C10" s="151">
        <f>SUMIFS('Daily Data'!$AV$4:$AV$503,'Daily Data'!$AL$4:$AL$503,$C$5,'Daily Data'!$AN$4:$AN$503,$C$4)</f>
        <v>5</v>
      </c>
      <c r="D10" s="126"/>
    </row>
    <row r="11" spans="1:4" x14ac:dyDescent="0.3">
      <c r="B11" t="s">
        <v>281</v>
      </c>
      <c r="C11" s="131">
        <f>IF(N($C$10)=0,"n/a",$C$7/$C$10)</f>
        <v>6060759055</v>
      </c>
    </row>
    <row r="12" spans="1:4" x14ac:dyDescent="0.3">
      <c r="B12" s="126" t="s">
        <v>202</v>
      </c>
      <c r="C12" s="128">
        <f>SUMIFS('Daily Data'!$L$4:$L$503,'Daily Data'!$AL$4:$AL$503,$C$5,'Daily Data'!$AN$4:$AN$503,$C$4)</f>
        <v>3910609</v>
      </c>
      <c r="D12" s="126"/>
    </row>
    <row r="13" spans="1:4" x14ac:dyDescent="0.3">
      <c r="B13" t="s">
        <v>203</v>
      </c>
      <c r="C13" s="131">
        <f>SUMIFS('Daily Data'!$M$4:$M$503,'Daily Data'!$AL$4:$AL$503,$C$5,'Daily Data'!$AN$4:$AN$503,$C$4)</f>
        <v>3476804</v>
      </c>
    </row>
    <row r="14" spans="1:4" x14ac:dyDescent="0.3">
      <c r="B14" s="126" t="s">
        <v>282</v>
      </c>
      <c r="C14" s="132">
        <f>IF(N($C$13)=0,"n/a",$C$12/$C$13)</f>
        <v>1.1247711979162471</v>
      </c>
      <c r="D14" s="126"/>
    </row>
    <row r="15" spans="1:4" x14ac:dyDescent="0.3">
      <c r="B15" t="s">
        <v>210</v>
      </c>
      <c r="C15" s="133">
        <f>IFERROR(AVERAGEIFS('Daily Data'!$AH$4:$AH$503,'Daily Data'!$AL$4:$AL$503,$C$5,'Daily Data'!$AN$4:$AN$503,$C$4),"n/a")</f>
        <v>50.635810810810824</v>
      </c>
    </row>
    <row r="16" spans="1:4" x14ac:dyDescent="0.3">
      <c r="B16" s="126" t="s">
        <v>283</v>
      </c>
      <c r="C16" s="130">
        <f>IFERROR(AVERAGEIFS('Daily Data'!$H$4:$H$503,'Daily Data'!$AL$4:$AL$503,$C$5,'Daily Data'!$AN$4:$AN$503,$C$4),"n/a")</f>
        <v>2.1702786710710133E-3</v>
      </c>
      <c r="D16" s="126"/>
    </row>
    <row r="17" spans="1:20" x14ac:dyDescent="0.3">
      <c r="B17" t="s">
        <v>284</v>
      </c>
      <c r="C17" s="152" t="str">
        <f>IF(NOT(ISNUMBER($C$16)),"n/a",IF($C$16&gt;Settings!$C$59,"Bullish",IF($C$16&gt;Settings!$C$60,"Mildly Bullish",IF($C$16&lt;-Settings!$C$59,"Bearish",IF($C$16&lt;-Settings!$C$60,"Mildly Bearish","Flat")))))</f>
        <v>Mildly Bullish</v>
      </c>
    </row>
    <row r="18" spans="1:20" x14ac:dyDescent="0.3">
      <c r="B18" s="126" t="s">
        <v>212</v>
      </c>
      <c r="C18" s="151">
        <f>COUNTIFS('Daily Data'!$AL$4:$AL$503,$C$5,'Daily Data'!$AN$4:$AN$503,$C$4)</f>
        <v>148</v>
      </c>
      <c r="D18" s="126"/>
    </row>
    <row r="20" spans="1:20" x14ac:dyDescent="0.3">
      <c r="B20" s="15" t="s">
        <v>306</v>
      </c>
      <c r="C20" s="15" t="s">
        <v>96</v>
      </c>
      <c r="D20" s="15" t="s">
        <v>3</v>
      </c>
    </row>
    <row r="21" spans="1:20" x14ac:dyDescent="0.3">
      <c r="B21" t="s">
        <v>286</v>
      </c>
      <c r="C21" s="36" t="str">
        <f>IFERROR(INDEX($A$30:$A$69,MATCH($D21,$F$30:$F$69,0)),"n/a")</f>
        <v>n/a</v>
      </c>
      <c r="D21" s="129">
        <f>IFERROR(MAX($F$30:$F$69),"n/a")</f>
        <v>0</v>
      </c>
    </row>
    <row r="22" spans="1:20" x14ac:dyDescent="0.3">
      <c r="B22" s="126" t="s">
        <v>287</v>
      </c>
      <c r="C22" s="153" t="str">
        <f>IFERROR(INDEX($A$30:$A$69,MATCH($D22,$F$30:$F$69,0)),"n/a")</f>
        <v>n/a</v>
      </c>
      <c r="D22" s="130">
        <f>IFERROR(MIN($F$30:$F$69),"n/a")</f>
        <v>0</v>
      </c>
    </row>
    <row r="23" spans="1:20" x14ac:dyDescent="0.3">
      <c r="B23" t="s">
        <v>288</v>
      </c>
      <c r="C23" s="36" t="str">
        <f>IFERROR(INDEX($A$30:$A$69,MATCH($D23,$B$30:$B$69,0)),"n/a")</f>
        <v>NMB</v>
      </c>
      <c r="D23" s="131">
        <f>IFERROR(MAX($B$30:$B$69),"n/a")</f>
        <v>13611779350</v>
      </c>
    </row>
    <row r="24" spans="1:20" x14ac:dyDescent="0.3">
      <c r="B24" s="126" t="s">
        <v>289</v>
      </c>
      <c r="C24" s="153" t="str">
        <f>IFERROR(INDEX($A$30:$A$69,MATCH($D24,$C$30:$C$69,0)),"n/a")</f>
        <v>CRDB</v>
      </c>
      <c r="D24" s="128">
        <f>IFERROR(MAX($C$30:$C$69),"n/a")</f>
        <v>4453714</v>
      </c>
    </row>
    <row r="25" spans="1:20" ht="43.95" customHeight="1" x14ac:dyDescent="0.3">
      <c r="B25" t="s">
        <v>290</v>
      </c>
      <c r="C25" s="36" t="str" cm="1">
        <f t="array" ref="C25">IFERROR(INDEX(_xlfn._xlws.FILTER($A$30:$A$69,$H$30:$H$69&gt;=Settings!$C$30),MATCH($D25,_xlfn._xlws.FILTER($I$30:$I$69,$H$30:$H$69&gt;=Settings!$C$30),0)),"n/a")</f>
        <v>n/a</v>
      </c>
      <c r="D25" s="129" cm="1">
        <f t="array" ref="D25">IFERROR(MAX(_xlfn._xlws.FILTER($I$30:$I$69,$H$30:$H$69&gt;=Settings!$C$30)),"n/a")</f>
        <v>0</v>
      </c>
    </row>
    <row r="26" spans="1:20" x14ac:dyDescent="0.3">
      <c r="B26" s="126" t="s">
        <v>291</v>
      </c>
      <c r="C26" s="153" t="str">
        <f>IFERROR(INDEX($A$30:$A$69,MATCH($D26,$H$30:$H$69,0)),"n/a")</f>
        <v>CRDB</v>
      </c>
      <c r="D26" s="134">
        <f>IFERROR(MAX($H$30:$H$69),"n/a")</f>
        <v>91.759999999999991</v>
      </c>
    </row>
    <row r="28" spans="1:20" x14ac:dyDescent="0.3">
      <c r="A28" s="86" t="s">
        <v>307</v>
      </c>
    </row>
    <row r="29" spans="1:20" ht="43.95" customHeight="1" x14ac:dyDescent="0.3">
      <c r="A29" s="154" t="s">
        <v>96</v>
      </c>
      <c r="B29" s="154" t="s">
        <v>221</v>
      </c>
      <c r="C29" s="154" t="s">
        <v>156</v>
      </c>
      <c r="D29" s="154" t="s">
        <v>155</v>
      </c>
      <c r="E29" s="154" t="s">
        <v>292</v>
      </c>
      <c r="F29" s="154" t="s">
        <v>293</v>
      </c>
      <c r="G29" s="154" t="s">
        <v>294</v>
      </c>
      <c r="H29" s="154" t="s">
        <v>295</v>
      </c>
      <c r="I29" s="154" t="s">
        <v>296</v>
      </c>
      <c r="J29" s="154" t="s">
        <v>297</v>
      </c>
      <c r="K29" s="154" t="s">
        <v>298</v>
      </c>
      <c r="L29" s="154" t="s">
        <v>299</v>
      </c>
      <c r="M29" s="154" t="s">
        <v>300</v>
      </c>
      <c r="O29" s="118" t="s">
        <v>147</v>
      </c>
      <c r="P29" s="118" t="s">
        <v>221</v>
      </c>
      <c r="Q29" s="118" t="s">
        <v>156</v>
      </c>
      <c r="S29" s="118" t="s">
        <v>96</v>
      </c>
      <c r="T29" s="118" t="s">
        <v>221</v>
      </c>
    </row>
    <row r="30" spans="1:20" x14ac:dyDescent="0.3">
      <c r="A30" s="155" t="str">
        <f>IF(Symbols!A4="","",Symbols!A4)</f>
        <v>AFRIPRISE</v>
      </c>
      <c r="B30" s="98">
        <f>IF($J30="","",SUMIFS('Daily Data'!$I$4:$I$503,'Daily Data'!$B$4:$B$503,$A30,'Daily Data'!$AL$4:$AL$503,$C$5,'Daily Data'!$AN$4:$AN$503,$C$4))</f>
        <v>216141040</v>
      </c>
      <c r="C30" s="98">
        <f>IF($J30="","",SUMIFS('Daily Data'!$K$4:$K$503,'Daily Data'!$B$4:$B$503,$A30,'Daily Data'!$AL$4:$AL$503,$C$5,'Daily Data'!$AN$4:$AN$503,$C$4))</f>
        <v>344150</v>
      </c>
      <c r="D30" s="98">
        <f>IF($J30="","",SUMIFS('Daily Data'!$J$4:$J$503,'Daily Data'!$B$4:$B$503,$A30,'Daily Data'!$AL$4:$AL$503,$C$5,'Daily Data'!$AN$4:$AN$503,$C$4))</f>
        <v>947</v>
      </c>
      <c r="E30" s="99">
        <f>IF($J30="","",IFERROR(AVERAGEIFS('Daily Data'!$S$4:$S$503,'Daily Data'!$B$4:$B$503,$A30,'Daily Data'!$AL$4:$AL$503,$C$5,'Daily Data'!$AN$4:$AN$503,$C$4),""))</f>
        <v>0.35303120848469727</v>
      </c>
      <c r="F30" s="97" t="str">
        <f>IF(OR($J30="",N($L30)=0),"",$M30/$L30-1)</f>
        <v/>
      </c>
      <c r="G30" s="100">
        <f>IF($J30="","",IFERROR(AVERAGEIFS('Daily Data'!$AH$4:$AH$503,'Daily Data'!$B$4:$B$503,$A30,'Daily Data'!$AL$4:$AL$503,$C$5,'Daily Data'!$AN$4:$AN$503,$C$4),""))</f>
        <v>34.119999999999997</v>
      </c>
      <c r="H30" s="100">
        <f>IF($J30="","",IFERROR(AVERAGEIFS('Daily Data'!$AG$4:$AG$503,'Daily Data'!$B$4:$B$503,$A30,'Daily Data'!$AL$4:$AL$503,$C$5,'Daily Data'!$AN$4:$AN$503,$C$4),""))</f>
        <v>39.36</v>
      </c>
      <c r="I30" s="97" t="str">
        <f>IF($K30="","",IF(COUNTIFS('Daily Data'!$B$4:$B$503,$A30,'Daily Data'!$AK$4:$AK$503,$K30,'Daily Data'!$AA$4:$AA$503,"&gt;=-1E+300")=0,"",SUMIFS('Daily Data'!$AA$4:$AA$503,'Daily Data'!$B$4:$B$503,$A30,'Daily Data'!$AK$4:$AK$503,$K30)))</f>
        <v/>
      </c>
      <c r="J30" s="112">
        <f>IF($A30="","",IFERROR(IF(_xlfn.MINIFS('Daily Data'!$AK$4:$AK$503,'Daily Data'!$B$4:$B$503,$A30,'Daily Data'!$AL$4:$AL$503,$C$5,'Daily Data'!$AN$4:$AN$503,$C$4)=0,"",_xlfn.MINIFS('Daily Data'!$AK$4:$AK$503,'Daily Data'!$B$4:$B$503,$A30,'Daily Data'!$AL$4:$AL$503,$C$5,'Daily Data'!$AN$4:$AN$503,$C$4)),""))</f>
        <v>1</v>
      </c>
      <c r="K30" s="112">
        <f>IF($A30="","",IFERROR(IF(_xlfn.MAXIFS('Daily Data'!$AK$4:$AK$503,'Daily Data'!$B$4:$B$503,$A30,'Daily Data'!$AL$4:$AL$503,$C$5,'Daily Data'!$AN$4:$AN$503,$C$4)=0,"",_xlfn.MAXIFS('Daily Data'!$AK$4:$AK$503,'Daily Data'!$B$4:$B$503,$A30,'Daily Data'!$AL$4:$AL$503,$C$5,'Daily Data'!$AN$4:$AN$503,$C$4)),""))</f>
        <v>5</v>
      </c>
      <c r="L30" s="156">
        <f>IF($J30="","",SUMIFS('Daily Data'!$D$4:$D$503,'Daily Data'!$B$4:$B$503,$A30,'Daily Data'!$AK$4:$AK$503,$J30))</f>
        <v>0</v>
      </c>
      <c r="M30" s="156">
        <f>IF($K30="","",SUMIFS('Daily Data'!$E$4:$E$503,'Daily Data'!$B$4:$B$503,$A30,'Daily Data'!$AK$4:$AK$503,$K30))</f>
        <v>625</v>
      </c>
      <c r="O30" s="117">
        <f>IFERROR(IF(MONTH(DATE($C$5,$C$4,1))&lt;&gt;$C$4,NA(),DATE($C$5,$C$4,1)),NA())</f>
        <v>46235</v>
      </c>
      <c r="P30" s="116" t="e">
        <f>IF(ISNA($O30),NA(),IF(COUNTIFS('Daily Data'!$A$4:$A$503,$O30)=0,NA(),SUMIFS('Daily Data'!$I$4:$I$503,'Daily Data'!$A$4:$A$503,$O30)))</f>
        <v>#N/A</v>
      </c>
      <c r="Q30" s="116" t="e">
        <f>IF(ISNA($O30),NA(),IF(COUNTIFS('Daily Data'!$A$4:$A$503,$O30)=0,NA(),SUMIFS('Daily Data'!$K$4:$K$503,'Daily Data'!$A$4:$A$503,$O30)))</f>
        <v>#N/A</v>
      </c>
      <c r="S30" s="116" t="str">
        <f>IFERROR(INDEX($A$30:$A$69,MATCH($T30,$B$30:$B$69,0)),"")</f>
        <v>NMB</v>
      </c>
      <c r="T30" s="116">
        <f>IFERROR(LARGE($B$30:$B$69,1),NA())</f>
        <v>13611779350</v>
      </c>
    </row>
    <row r="31" spans="1:20" x14ac:dyDescent="0.3">
      <c r="A31" s="155" t="str">
        <f>IF(Symbols!A5="","",Symbols!A5)</f>
        <v>CRDB</v>
      </c>
      <c r="B31" s="98">
        <f>IF($J31="","",SUMIFS('Daily Data'!$I$4:$I$503,'Daily Data'!$B$4:$B$503,$A31,'Daily Data'!$AL$4:$AL$503,$C$5,'Daily Data'!$AN$4:$AN$503,$C$4))</f>
        <v>11651051320</v>
      </c>
      <c r="C31" s="98">
        <f>IF($J31="","",SUMIFS('Daily Data'!$K$4:$K$503,'Daily Data'!$B$4:$B$503,$A31,'Daily Data'!$AL$4:$AL$503,$C$5,'Daily Data'!$AN$4:$AN$503,$C$4))</f>
        <v>4453714</v>
      </c>
      <c r="D31" s="98">
        <f>IF($J31="","",SUMIFS('Daily Data'!$J$4:$J$503,'Daily Data'!$B$4:$B$503,$A31,'Daily Data'!$AL$4:$AL$503,$C$5,'Daily Data'!$AN$4:$AN$503,$C$4))</f>
        <v>6314</v>
      </c>
      <c r="E31" s="99">
        <f>IF($J31="","",IFERROR(AVERAGEIFS('Daily Data'!$S$4:$S$503,'Daily Data'!$B$4:$B$503,$A31,'Daily Data'!$AL$4:$AL$503,$C$5,'Daily Data'!$AN$4:$AN$503,$C$4),""))</f>
        <v>5.586512780974819</v>
      </c>
      <c r="F31" s="97" t="str">
        <f>IF(OR($J31="",N($L31)=0),"",$M31/$L31-1)</f>
        <v/>
      </c>
      <c r="G31" s="100">
        <f>IF($J31="","",IFERROR(AVERAGEIFS('Daily Data'!$AH$4:$AH$503,'Daily Data'!$B$4:$B$503,$A31,'Daily Data'!$AL$4:$AL$503,$C$5,'Daily Data'!$AN$4:$AN$503,$C$4),""))</f>
        <v>69.400000000000006</v>
      </c>
      <c r="H31" s="100">
        <f>IF($J31="","",IFERROR(AVERAGEIFS('Daily Data'!$AG$4:$AG$503,'Daily Data'!$B$4:$B$503,$A31,'Daily Data'!$AL$4:$AL$503,$C$5,'Daily Data'!$AN$4:$AN$503,$C$4),""))</f>
        <v>91.759999999999991</v>
      </c>
      <c r="I31" s="97" t="str">
        <f>IF($K31="","",IF(COUNTIFS('Daily Data'!$B$4:$B$503,$A31,'Daily Data'!$AK$4:$AK$503,$K31,'Daily Data'!$AA$4:$AA$503,"&gt;=-1E+300")=0,"",SUMIFS('Daily Data'!$AA$4:$AA$503,'Daily Data'!$B$4:$B$503,$A31,'Daily Data'!$AK$4:$AK$503,$K31)))</f>
        <v/>
      </c>
      <c r="J31" s="112">
        <f>IF($A31="","",IFERROR(IF(_xlfn.MINIFS('Daily Data'!$AK$4:$AK$503,'Daily Data'!$B$4:$B$503,$A31,'Daily Data'!$AL$4:$AL$503,$C$5,'Daily Data'!$AN$4:$AN$503,$C$4)=0,"",_xlfn.MINIFS('Daily Data'!$AK$4:$AK$503,'Daily Data'!$B$4:$B$503,$A31,'Daily Data'!$AL$4:$AL$503,$C$5,'Daily Data'!$AN$4:$AN$503,$C$4)),""))</f>
        <v>1</v>
      </c>
      <c r="K31" s="112">
        <f>IF($A31="","",IFERROR(IF(_xlfn.MAXIFS('Daily Data'!$AK$4:$AK$503,'Daily Data'!$B$4:$B$503,$A31,'Daily Data'!$AL$4:$AL$503,$C$5,'Daily Data'!$AN$4:$AN$503,$C$4)=0,"",_xlfn.MAXIFS('Daily Data'!$AK$4:$AK$503,'Daily Data'!$B$4:$B$503,$A31,'Daily Data'!$AL$4:$AL$503,$C$5,'Daily Data'!$AN$4:$AN$503,$C$4)),""))</f>
        <v>5</v>
      </c>
      <c r="L31" s="156">
        <f>IF($J31="","",SUMIFS('Daily Data'!$D$4:$D$503,'Daily Data'!$B$4:$B$503,$A31,'Daily Data'!$AK$4:$AK$503,$J31))</f>
        <v>0</v>
      </c>
      <c r="M31" s="156">
        <f>IF($K31="","",SUMIFS('Daily Data'!$E$4:$E$503,'Daily Data'!$B$4:$B$503,$A31,'Daily Data'!$AK$4:$AK$503,$K31))</f>
        <v>2700</v>
      </c>
      <c r="O31" s="117">
        <f>IFERROR(IF(MONTH(DATE($C$5,$C$4,2))&lt;&gt;$C$4,NA(),DATE($C$5,$C$4,2)),NA())</f>
        <v>46236</v>
      </c>
      <c r="P31" s="116" t="e">
        <f>IF(ISNA($O31),NA(),IF(COUNTIFS('Daily Data'!$A$4:$A$503,$O31)=0,NA(),SUMIFS('Daily Data'!$I$4:$I$503,'Daily Data'!$A$4:$A$503,$O31)))</f>
        <v>#N/A</v>
      </c>
      <c r="Q31" s="116" t="e">
        <f>IF(ISNA($O31),NA(),IF(COUNTIFS('Daily Data'!$A$4:$A$503,$O31)=0,NA(),SUMIFS('Daily Data'!$K$4:$K$503,'Daily Data'!$A$4:$A$503,$O31)))</f>
        <v>#N/A</v>
      </c>
      <c r="S31" s="116" t="str">
        <f>IFERROR(INDEX($A$30:$A$69,MATCH($T31,$B$30:$B$69,0)),"")</f>
        <v>CRDB</v>
      </c>
      <c r="T31" s="116">
        <f>IFERROR(LARGE($B$30:$B$69,2),NA())</f>
        <v>11651051320</v>
      </c>
    </row>
    <row r="32" spans="1:20" x14ac:dyDescent="0.3">
      <c r="A32" s="155" t="str">
        <f>IF(Symbols!A6="","",Symbols!A6)</f>
        <v>DCB</v>
      </c>
      <c r="B32" s="98">
        <f>IF($J32="","",SUMIFS('Daily Data'!$I$4:$I$503,'Daily Data'!$B$4:$B$503,$A32,'Daily Data'!$AL$4:$AL$503,$C$5,'Daily Data'!$AN$4:$AN$503,$C$4))</f>
        <v>52651910</v>
      </c>
      <c r="C32" s="98">
        <f>IF($J32="","",SUMIFS('Daily Data'!$K$4:$K$503,'Daily Data'!$B$4:$B$503,$A32,'Daily Data'!$AL$4:$AL$503,$C$5,'Daily Data'!$AN$4:$AN$503,$C$4))</f>
        <v>120993</v>
      </c>
      <c r="D32" s="98">
        <f>IF($J32="","",SUMIFS('Daily Data'!$J$4:$J$503,'Daily Data'!$B$4:$B$503,$A32,'Daily Data'!$AL$4:$AL$503,$C$5,'Daily Data'!$AN$4:$AN$503,$C$4))</f>
        <v>470</v>
      </c>
      <c r="E32" s="99">
        <f>IF($J32="","",IFERROR(AVERAGEIFS('Daily Data'!$S$4:$S$503,'Daily Data'!$B$4:$B$503,$A32,'Daily Data'!$AL$4:$AL$503,$C$5,'Daily Data'!$AN$4:$AN$503,$C$4),""))</f>
        <v>1.4059657925348135</v>
      </c>
      <c r="F32" s="97" t="str">
        <f>IF(OR($J32="",N($L32)=0),"",$M32/$L32-1)</f>
        <v/>
      </c>
      <c r="G32" s="100">
        <f>IF($J32="","",IFERROR(AVERAGEIFS('Daily Data'!$AH$4:$AH$503,'Daily Data'!$B$4:$B$503,$A32,'Daily Data'!$AL$4:$AL$503,$C$5,'Daily Data'!$AN$4:$AN$503,$C$4),""))</f>
        <v>53.44</v>
      </c>
      <c r="H32" s="100">
        <f>IF($J32="","",IFERROR(AVERAGEIFS('Daily Data'!$AG$4:$AG$503,'Daily Data'!$B$4:$B$503,$A32,'Daily Data'!$AL$4:$AL$503,$C$5,'Daily Data'!$AN$4:$AN$503,$C$4),""))</f>
        <v>32.24</v>
      </c>
      <c r="I32" s="97" t="str">
        <f>IF($K32="","",IF(COUNTIFS('Daily Data'!$B$4:$B$503,$A32,'Daily Data'!$AK$4:$AK$503,$K32,'Daily Data'!$AA$4:$AA$503,"&gt;=-1E+300")=0,"",SUMIFS('Daily Data'!$AA$4:$AA$503,'Daily Data'!$B$4:$B$503,$A32,'Daily Data'!$AK$4:$AK$503,$K32)))</f>
        <v/>
      </c>
      <c r="J32" s="112">
        <f>IF($A32="","",IFERROR(IF(_xlfn.MINIFS('Daily Data'!$AK$4:$AK$503,'Daily Data'!$B$4:$B$503,$A32,'Daily Data'!$AL$4:$AL$503,$C$5,'Daily Data'!$AN$4:$AN$503,$C$4)=0,"",_xlfn.MINIFS('Daily Data'!$AK$4:$AK$503,'Daily Data'!$B$4:$B$503,$A32,'Daily Data'!$AL$4:$AL$503,$C$5,'Daily Data'!$AN$4:$AN$503,$C$4)),""))</f>
        <v>1</v>
      </c>
      <c r="K32" s="112">
        <f>IF($A32="","",IFERROR(IF(_xlfn.MAXIFS('Daily Data'!$AK$4:$AK$503,'Daily Data'!$B$4:$B$503,$A32,'Daily Data'!$AL$4:$AL$503,$C$5,'Daily Data'!$AN$4:$AN$503,$C$4)=0,"",_xlfn.MAXIFS('Daily Data'!$AK$4:$AK$503,'Daily Data'!$B$4:$B$503,$A32,'Daily Data'!$AL$4:$AL$503,$C$5,'Daily Data'!$AN$4:$AN$503,$C$4)),""))</f>
        <v>5</v>
      </c>
      <c r="L32" s="156">
        <f>IF($J32="","",SUMIFS('Daily Data'!$D$4:$D$503,'Daily Data'!$B$4:$B$503,$A32,'Daily Data'!$AK$4:$AK$503,$J32))</f>
        <v>0</v>
      </c>
      <c r="M32" s="156">
        <f>IF($K32="","",SUMIFS('Daily Data'!$E$4:$E$503,'Daily Data'!$B$4:$B$503,$A32,'Daily Data'!$AK$4:$AK$503,$K32))</f>
        <v>465</v>
      </c>
      <c r="O32" s="117">
        <f>IFERROR(IF(MONTH(DATE($C$5,$C$4,3))&lt;&gt;$C$4,NA(),DATE($C$5,$C$4,3)),NA())</f>
        <v>46237</v>
      </c>
      <c r="P32" s="116" t="e">
        <f>IF(ISNA($O32),NA(),IF(COUNTIFS('Daily Data'!$A$4:$A$503,$O32)=0,NA(),SUMIFS('Daily Data'!$I$4:$I$503,'Daily Data'!$A$4:$A$503,$O32)))</f>
        <v>#N/A</v>
      </c>
      <c r="Q32" s="116" t="e">
        <f>IF(ISNA($O32),NA(),IF(COUNTIFS('Daily Data'!$A$4:$A$503,$O32)=0,NA(),SUMIFS('Daily Data'!$K$4:$K$503,'Daily Data'!$A$4:$A$503,$O32)))</f>
        <v>#N/A</v>
      </c>
      <c r="S32" s="116" t="str">
        <f>IFERROR(INDEX($A$30:$A$69,MATCH($T32,$B$30:$B$69,0)),"")</f>
        <v>TPCC</v>
      </c>
      <c r="T32" s="116">
        <f>IFERROR(LARGE($B$30:$B$69,3),NA())</f>
        <v>1537428110</v>
      </c>
    </row>
    <row r="33" spans="1:20" x14ac:dyDescent="0.3">
      <c r="A33" s="155" t="str">
        <f>IF(Symbols!A7="","",Symbols!A7)</f>
        <v>DSE</v>
      </c>
      <c r="B33" s="98">
        <f>IF($J33="","",SUMIFS('Daily Data'!$I$4:$I$503,'Daily Data'!$B$4:$B$503,$A33,'Daily Data'!$AL$4:$AL$503,$C$5,'Daily Data'!$AN$4:$AN$503,$C$4))</f>
        <v>37046870</v>
      </c>
      <c r="C33" s="98">
        <f>IF($J33="","",SUMIFS('Daily Data'!$K$4:$K$503,'Daily Data'!$B$4:$B$503,$A33,'Daily Data'!$AL$4:$AL$503,$C$5,'Daily Data'!$AN$4:$AN$503,$C$4))</f>
        <v>5875</v>
      </c>
      <c r="D33" s="98">
        <f>IF($J33="","",SUMIFS('Daily Data'!$J$4:$J$503,'Daily Data'!$B$4:$B$503,$A33,'Daily Data'!$AL$4:$AL$503,$C$5,'Daily Data'!$AN$4:$AN$503,$C$4))</f>
        <v>100</v>
      </c>
      <c r="E33" s="99">
        <f>IF($J33="","",IFERROR(AVERAGEIFS('Daily Data'!$S$4:$S$503,'Daily Data'!$B$4:$B$503,$A33,'Daily Data'!$AL$4:$AL$503,$C$5,'Daily Data'!$AN$4:$AN$503,$C$4),""))</f>
        <v>5.7857147527915505</v>
      </c>
      <c r="F33" s="97" t="str">
        <f>IF(OR($J33="",N($L33)=0),"",$M33/$L33-1)</f>
        <v/>
      </c>
      <c r="G33" s="100">
        <f>IF($J33="","",IFERROR(AVERAGEIFS('Daily Data'!$AH$4:$AH$503,'Daily Data'!$B$4:$B$503,$A33,'Daily Data'!$AL$4:$AL$503,$C$5,'Daily Data'!$AN$4:$AN$503,$C$4),""))</f>
        <v>59.660000000000004</v>
      </c>
      <c r="H33" s="100">
        <f>IF($J33="","",IFERROR(AVERAGEIFS('Daily Data'!$AG$4:$AG$503,'Daily Data'!$B$4:$B$503,$A33,'Daily Data'!$AL$4:$AL$503,$C$5,'Daily Data'!$AN$4:$AN$503,$C$4),""))</f>
        <v>6.9799999999999995</v>
      </c>
      <c r="I33" s="97" t="str">
        <f>IF($K33="","",IF(COUNTIFS('Daily Data'!$B$4:$B$503,$A33,'Daily Data'!$AK$4:$AK$503,$K33,'Daily Data'!$AA$4:$AA$503,"&gt;=-1E+300")=0,"",SUMIFS('Daily Data'!$AA$4:$AA$503,'Daily Data'!$B$4:$B$503,$A33,'Daily Data'!$AK$4:$AK$503,$K33)))</f>
        <v/>
      </c>
      <c r="J33" s="112">
        <f>IF($A33="","",IFERROR(IF(_xlfn.MINIFS('Daily Data'!$AK$4:$AK$503,'Daily Data'!$B$4:$B$503,$A33,'Daily Data'!$AL$4:$AL$503,$C$5,'Daily Data'!$AN$4:$AN$503,$C$4)=0,"",_xlfn.MINIFS('Daily Data'!$AK$4:$AK$503,'Daily Data'!$B$4:$B$503,$A33,'Daily Data'!$AL$4:$AL$503,$C$5,'Daily Data'!$AN$4:$AN$503,$C$4)),""))</f>
        <v>1</v>
      </c>
      <c r="K33" s="112">
        <f>IF($A33="","",IFERROR(IF(_xlfn.MAXIFS('Daily Data'!$AK$4:$AK$503,'Daily Data'!$B$4:$B$503,$A33,'Daily Data'!$AL$4:$AL$503,$C$5,'Daily Data'!$AN$4:$AN$503,$C$4)=0,"",_xlfn.MAXIFS('Daily Data'!$AK$4:$AK$503,'Daily Data'!$B$4:$B$503,$A33,'Daily Data'!$AL$4:$AL$503,$C$5,'Daily Data'!$AN$4:$AN$503,$C$4)),""))</f>
        <v>5</v>
      </c>
      <c r="L33" s="156">
        <f>IF($J33="","",SUMIFS('Daily Data'!$D$4:$D$503,'Daily Data'!$B$4:$B$503,$A33,'Daily Data'!$AK$4:$AK$503,$J33))</f>
        <v>0</v>
      </c>
      <c r="M33" s="156">
        <f>IF($K33="","",SUMIFS('Daily Data'!$E$4:$E$503,'Daily Data'!$B$4:$B$503,$A33,'Daily Data'!$AK$4:$AK$503,$K33))</f>
        <v>6570</v>
      </c>
      <c r="O33" s="117">
        <f>IFERROR(IF(MONTH(DATE($C$5,$C$4,4))&lt;&gt;$C$4,NA(),DATE($C$5,$C$4,4)),NA())</f>
        <v>46238</v>
      </c>
      <c r="P33" s="116" t="e">
        <f>IF(ISNA($O33),NA(),IF(COUNTIFS('Daily Data'!$A$4:$A$503,$O33)=0,NA(),SUMIFS('Daily Data'!$I$4:$I$503,'Daily Data'!$A$4:$A$503,$O33)))</f>
        <v>#N/A</v>
      </c>
      <c r="Q33" s="116" t="e">
        <f>IF(ISNA($O33),NA(),IF(COUNTIFS('Daily Data'!$A$4:$A$503,$O33)=0,NA(),SUMIFS('Daily Data'!$K$4:$K$503,'Daily Data'!$A$4:$A$503,$O33)))</f>
        <v>#N/A</v>
      </c>
      <c r="S33" s="116" t="str">
        <f>IFERROR(INDEX($A$30:$A$69,MATCH($T33,$B$30:$B$69,0)),"")</f>
        <v>VODA</v>
      </c>
      <c r="T33" s="116">
        <f>IFERROR(LARGE($B$30:$B$69,4),NA())</f>
        <v>765694410</v>
      </c>
    </row>
    <row r="34" spans="1:20" x14ac:dyDescent="0.3">
      <c r="A34" s="155" t="str">
        <f>IF(Symbols!A8="","",Symbols!A8)</f>
        <v>EABL</v>
      </c>
      <c r="B34" s="98">
        <f>IF($J34="","",SUMIFS('Daily Data'!$I$4:$I$503,'Daily Data'!$B$4:$B$503,$A34,'Daily Data'!$AL$4:$AL$503,$C$5,'Daily Data'!$AN$4:$AN$503,$C$4))</f>
        <v>0</v>
      </c>
      <c r="C34" s="98">
        <f>IF($J34="","",SUMIFS('Daily Data'!$K$4:$K$503,'Daily Data'!$B$4:$B$503,$A34,'Daily Data'!$AL$4:$AL$503,$C$5,'Daily Data'!$AN$4:$AN$503,$C$4))</f>
        <v>0</v>
      </c>
      <c r="D34" s="98">
        <f>IF($J34="","",SUMIFS('Daily Data'!$J$4:$J$503,'Daily Data'!$B$4:$B$503,$A34,'Daily Data'!$AL$4:$AL$503,$C$5,'Daily Data'!$AN$4:$AN$503,$C$4))</f>
        <v>0</v>
      </c>
      <c r="E34" s="99" t="str">
        <f>IF($J34="","",IFERROR(AVERAGEIFS('Daily Data'!$S$4:$S$503,'Daily Data'!$B$4:$B$503,$A34,'Daily Data'!$AL$4:$AL$503,$C$5,'Daily Data'!$AN$4:$AN$503,$C$4),""))</f>
        <v/>
      </c>
      <c r="F34" s="97" t="str">
        <f>IF(OR($J34="",N($L34)=0),"",$M34/$L34-1)</f>
        <v/>
      </c>
      <c r="G34" s="100">
        <f>IF($J34="","",IFERROR(AVERAGEIFS('Daily Data'!$AH$4:$AH$503,'Daily Data'!$B$4:$B$503,$A34,'Daily Data'!$AL$4:$AL$503,$C$5,'Daily Data'!$AN$4:$AN$503,$C$4),""))</f>
        <v>61.54</v>
      </c>
      <c r="H34" s="100">
        <f>IF($J34="","",IFERROR(AVERAGEIFS('Daily Data'!$AG$4:$AG$503,'Daily Data'!$B$4:$B$503,$A34,'Daily Data'!$AL$4:$AL$503,$C$5,'Daily Data'!$AN$4:$AN$503,$C$4),""))</f>
        <v>0</v>
      </c>
      <c r="I34" s="97" t="str">
        <f>IF($K34="","",IF(COUNTIFS('Daily Data'!$B$4:$B$503,$A34,'Daily Data'!$AK$4:$AK$503,$K34,'Daily Data'!$AA$4:$AA$503,"&gt;=-1E+300")=0,"",SUMIFS('Daily Data'!$AA$4:$AA$503,'Daily Data'!$B$4:$B$503,$A34,'Daily Data'!$AK$4:$AK$503,$K34)))</f>
        <v/>
      </c>
      <c r="J34" s="112">
        <f>IF($A34="","",IFERROR(IF(_xlfn.MINIFS('Daily Data'!$AK$4:$AK$503,'Daily Data'!$B$4:$B$503,$A34,'Daily Data'!$AL$4:$AL$503,$C$5,'Daily Data'!$AN$4:$AN$503,$C$4)=0,"",_xlfn.MINIFS('Daily Data'!$AK$4:$AK$503,'Daily Data'!$B$4:$B$503,$A34,'Daily Data'!$AL$4:$AL$503,$C$5,'Daily Data'!$AN$4:$AN$503,$C$4)),""))</f>
        <v>1</v>
      </c>
      <c r="K34" s="112">
        <f>IF($A34="","",IFERROR(IF(_xlfn.MAXIFS('Daily Data'!$AK$4:$AK$503,'Daily Data'!$B$4:$B$503,$A34,'Daily Data'!$AL$4:$AL$503,$C$5,'Daily Data'!$AN$4:$AN$503,$C$4)=0,"",_xlfn.MAXIFS('Daily Data'!$AK$4:$AK$503,'Daily Data'!$B$4:$B$503,$A34,'Daily Data'!$AL$4:$AL$503,$C$5,'Daily Data'!$AN$4:$AN$503,$C$4)),""))</f>
        <v>5</v>
      </c>
      <c r="L34" s="156">
        <f>IF($J34="","",SUMIFS('Daily Data'!$D$4:$D$503,'Daily Data'!$B$4:$B$503,$A34,'Daily Data'!$AK$4:$AK$503,$J34))</f>
        <v>0</v>
      </c>
      <c r="M34" s="156">
        <f>IF($K34="","",SUMIFS('Daily Data'!$E$4:$E$503,'Daily Data'!$B$4:$B$503,$A34,'Daily Data'!$AK$4:$AK$503,$K34))</f>
        <v>5590</v>
      </c>
      <c r="O34" s="117">
        <f>IFERROR(IF(MONTH(DATE($C$5,$C$4,5))&lt;&gt;$C$4,NA(),DATE($C$5,$C$4,5)),NA())</f>
        <v>46239</v>
      </c>
      <c r="P34" s="116" t="e">
        <f>IF(ISNA($O34),NA(),IF(COUNTIFS('Daily Data'!$A$4:$A$503,$O34)=0,NA(),SUMIFS('Daily Data'!$I$4:$I$503,'Daily Data'!$A$4:$A$503,$O34)))</f>
        <v>#N/A</v>
      </c>
      <c r="Q34" s="116" t="e">
        <f>IF(ISNA($O34),NA(),IF(COUNTIFS('Daily Data'!$A$4:$A$503,$O34)=0,NA(),SUMIFS('Daily Data'!$K$4:$K$503,'Daily Data'!$A$4:$A$503,$O34)))</f>
        <v>#N/A</v>
      </c>
      <c r="S34" s="116" t="str">
        <f>IFERROR(INDEX($A$30:$A$69,MATCH($T34,$B$30:$B$69,0)),"")</f>
        <v>TCCL</v>
      </c>
      <c r="T34" s="116">
        <f>IFERROR(LARGE($B$30:$B$69,5),NA())</f>
        <v>713928490</v>
      </c>
    </row>
    <row r="35" spans="1:20" x14ac:dyDescent="0.3">
      <c r="A35" s="155" t="str">
        <f>IF(Symbols!A9="","",Symbols!A9)</f>
        <v>JATU</v>
      </c>
      <c r="B35" s="98">
        <f>IF($J35="","",SUMIFS('Daily Data'!$I$4:$I$503,'Daily Data'!$B$4:$B$503,$A35,'Daily Data'!$AL$4:$AL$503,$C$5,'Daily Data'!$AN$4:$AN$503,$C$4))</f>
        <v>10800</v>
      </c>
      <c r="C35" s="98">
        <f>IF($J35="","",SUMIFS('Daily Data'!$K$4:$K$503,'Daily Data'!$B$4:$B$503,$A35,'Daily Data'!$AL$4:$AL$503,$C$5,'Daily Data'!$AN$4:$AN$503,$C$4))</f>
        <v>40</v>
      </c>
      <c r="D35" s="98">
        <f>IF($J35="","",SUMIFS('Daily Data'!$J$4:$J$503,'Daily Data'!$B$4:$B$503,$A35,'Daily Data'!$AL$4:$AL$503,$C$5,'Daily Data'!$AN$4:$AN$503,$C$4))</f>
        <v>1</v>
      </c>
      <c r="E35" s="99">
        <f>IF($J35="","",IFERROR(AVERAGEIFS('Daily Data'!$S$4:$S$503,'Daily Data'!$B$4:$B$503,$A35,'Daily Data'!$AL$4:$AL$503,$C$5,'Daily Data'!$AN$4:$AN$503,$C$4),""))</f>
        <v>0</v>
      </c>
      <c r="F35" s="97" t="str">
        <f>IF(OR($J35="",N($L35)=0),"",$M35/$L35-1)</f>
        <v/>
      </c>
      <c r="G35" s="100">
        <f>IF($J35="","",IFERROR(AVERAGEIFS('Daily Data'!$AH$4:$AH$503,'Daily Data'!$B$4:$B$503,$A35,'Daily Data'!$AL$4:$AL$503,$C$5,'Daily Data'!$AN$4:$AN$503,$C$4),""))</f>
        <v>40.88000000000001</v>
      </c>
      <c r="H35" s="100">
        <f>IF($J35="","",IFERROR(AVERAGEIFS('Daily Data'!$AG$4:$AG$503,'Daily Data'!$B$4:$B$503,$A35,'Daily Data'!$AL$4:$AL$503,$C$5,'Daily Data'!$AN$4:$AN$503,$C$4),""))</f>
        <v>0.06</v>
      </c>
      <c r="I35" s="97" t="str">
        <f>IF($K35="","",IF(COUNTIFS('Daily Data'!$B$4:$B$503,$A35,'Daily Data'!$AK$4:$AK$503,$K35,'Daily Data'!$AA$4:$AA$503,"&gt;=-1E+300")=0,"",SUMIFS('Daily Data'!$AA$4:$AA$503,'Daily Data'!$B$4:$B$503,$A35,'Daily Data'!$AK$4:$AK$503,$K35)))</f>
        <v/>
      </c>
      <c r="J35" s="112">
        <f>IF($A35="","",IFERROR(IF(_xlfn.MINIFS('Daily Data'!$AK$4:$AK$503,'Daily Data'!$B$4:$B$503,$A35,'Daily Data'!$AL$4:$AL$503,$C$5,'Daily Data'!$AN$4:$AN$503,$C$4)=0,"",_xlfn.MINIFS('Daily Data'!$AK$4:$AK$503,'Daily Data'!$B$4:$B$503,$A35,'Daily Data'!$AL$4:$AL$503,$C$5,'Daily Data'!$AN$4:$AN$503,$C$4)),""))</f>
        <v>1</v>
      </c>
      <c r="K35" s="112">
        <f>IF($A35="","",IFERROR(IF(_xlfn.MAXIFS('Daily Data'!$AK$4:$AK$503,'Daily Data'!$B$4:$B$503,$A35,'Daily Data'!$AL$4:$AL$503,$C$5,'Daily Data'!$AN$4:$AN$503,$C$4)=0,"",_xlfn.MAXIFS('Daily Data'!$AK$4:$AK$503,'Daily Data'!$B$4:$B$503,$A35,'Daily Data'!$AL$4:$AL$503,$C$5,'Daily Data'!$AN$4:$AN$503,$C$4)),""))</f>
        <v>5</v>
      </c>
      <c r="L35" s="156">
        <f>IF($J35="","",SUMIFS('Daily Data'!$D$4:$D$503,'Daily Data'!$B$4:$B$503,$A35,'Daily Data'!$AK$4:$AK$503,$J35))</f>
        <v>0</v>
      </c>
      <c r="M35" s="156">
        <f>IF($K35="","",SUMIFS('Daily Data'!$E$4:$E$503,'Daily Data'!$B$4:$B$503,$A35,'Daily Data'!$AK$4:$AK$503,$K35))</f>
        <v>265</v>
      </c>
      <c r="O35" s="117">
        <f>IFERROR(IF(MONTH(DATE($C$5,$C$4,6))&lt;&gt;$C$4,NA(),DATE($C$5,$C$4,6)),NA())</f>
        <v>46240</v>
      </c>
      <c r="P35" s="116" t="e">
        <f>IF(ISNA($O35),NA(),IF(COUNTIFS('Daily Data'!$A$4:$A$503,$O35)=0,NA(),SUMIFS('Daily Data'!$I$4:$I$503,'Daily Data'!$A$4:$A$503,$O35)))</f>
        <v>#N/A</v>
      </c>
      <c r="Q35" s="116" t="e">
        <f>IF(ISNA($O35),NA(),IF(COUNTIFS('Daily Data'!$A$4:$A$503,$O35)=0,NA(),SUMIFS('Daily Data'!$K$4:$K$503,'Daily Data'!$A$4:$A$503,$O35)))</f>
        <v>#N/A</v>
      </c>
      <c r="S35" s="116" t="str">
        <f>IFERROR(INDEX($A$30:$A$69,MATCH($T35,$B$30:$B$69,0)),"")</f>
        <v>MCB</v>
      </c>
      <c r="T35" s="116">
        <f>IFERROR(LARGE($B$30:$B$69,6),NA())</f>
        <v>545083750</v>
      </c>
    </row>
    <row r="36" spans="1:20" x14ac:dyDescent="0.3">
      <c r="A36" s="155" t="str">
        <f>IF(Symbols!A10="","",Symbols!A10)</f>
        <v>JHL</v>
      </c>
      <c r="B36" s="98">
        <f>IF($J36="","",SUMIFS('Daily Data'!$I$4:$I$503,'Daily Data'!$B$4:$B$503,$A36,'Daily Data'!$AL$4:$AL$503,$C$5,'Daily Data'!$AN$4:$AN$503,$C$4))</f>
        <v>0</v>
      </c>
      <c r="C36" s="98">
        <f>IF($J36="","",SUMIFS('Daily Data'!$K$4:$K$503,'Daily Data'!$B$4:$B$503,$A36,'Daily Data'!$AL$4:$AL$503,$C$5,'Daily Data'!$AN$4:$AN$503,$C$4))</f>
        <v>0</v>
      </c>
      <c r="D36" s="98">
        <f>IF($J36="","",SUMIFS('Daily Data'!$J$4:$J$503,'Daily Data'!$B$4:$B$503,$A36,'Daily Data'!$AL$4:$AL$503,$C$5,'Daily Data'!$AN$4:$AN$503,$C$4))</f>
        <v>0</v>
      </c>
      <c r="E36" s="99" t="str">
        <f>IF($J36="","",IFERROR(AVERAGEIFS('Daily Data'!$S$4:$S$503,'Daily Data'!$B$4:$B$503,$A36,'Daily Data'!$AL$4:$AL$503,$C$5,'Daily Data'!$AN$4:$AN$503,$C$4),""))</f>
        <v/>
      </c>
      <c r="F36" s="97" t="str">
        <f>IF(OR($J36="",N($L36)=0),"",$M36/$L36-1)</f>
        <v/>
      </c>
      <c r="G36" s="100">
        <f>IF($J36="","",IFERROR(AVERAGEIFS('Daily Data'!$AH$4:$AH$503,'Daily Data'!$B$4:$B$503,$A36,'Daily Data'!$AL$4:$AL$503,$C$5,'Daily Data'!$AN$4:$AN$503,$C$4),""))</f>
        <v>62</v>
      </c>
      <c r="H36" s="100">
        <f>IF($J36="","",IFERROR(AVERAGEIFS('Daily Data'!$AG$4:$AG$503,'Daily Data'!$B$4:$B$503,$A36,'Daily Data'!$AL$4:$AL$503,$C$5,'Daily Data'!$AN$4:$AN$503,$C$4),""))</f>
        <v>0</v>
      </c>
      <c r="I36" s="97" t="str">
        <f>IF($K36="","",IF(COUNTIFS('Daily Data'!$B$4:$B$503,$A36,'Daily Data'!$AK$4:$AK$503,$K36,'Daily Data'!$AA$4:$AA$503,"&gt;=-1E+300")=0,"",SUMIFS('Daily Data'!$AA$4:$AA$503,'Daily Data'!$B$4:$B$503,$A36,'Daily Data'!$AK$4:$AK$503,$K36)))</f>
        <v/>
      </c>
      <c r="J36" s="112">
        <f>IF($A36="","",IFERROR(IF(_xlfn.MINIFS('Daily Data'!$AK$4:$AK$503,'Daily Data'!$B$4:$B$503,$A36,'Daily Data'!$AL$4:$AL$503,$C$5,'Daily Data'!$AN$4:$AN$503,$C$4)=0,"",_xlfn.MINIFS('Daily Data'!$AK$4:$AK$503,'Daily Data'!$B$4:$B$503,$A36,'Daily Data'!$AL$4:$AL$503,$C$5,'Daily Data'!$AN$4:$AN$503,$C$4)),""))</f>
        <v>1</v>
      </c>
      <c r="K36" s="112">
        <f>IF($A36="","",IFERROR(IF(_xlfn.MAXIFS('Daily Data'!$AK$4:$AK$503,'Daily Data'!$B$4:$B$503,$A36,'Daily Data'!$AL$4:$AL$503,$C$5,'Daily Data'!$AN$4:$AN$503,$C$4)=0,"",_xlfn.MAXIFS('Daily Data'!$AK$4:$AK$503,'Daily Data'!$B$4:$B$503,$A36,'Daily Data'!$AL$4:$AL$503,$C$5,'Daily Data'!$AN$4:$AN$503,$C$4)),""))</f>
        <v>5</v>
      </c>
      <c r="L36" s="156">
        <f>IF($J36="","",SUMIFS('Daily Data'!$D$4:$D$503,'Daily Data'!$B$4:$B$503,$A36,'Daily Data'!$AK$4:$AK$503,$J36))</f>
        <v>0</v>
      </c>
      <c r="M36" s="156">
        <f>IF($K36="","",SUMIFS('Daily Data'!$E$4:$E$503,'Daily Data'!$B$4:$B$503,$A36,'Daily Data'!$AK$4:$AK$503,$K36))</f>
        <v>8650</v>
      </c>
      <c r="O36" s="117">
        <f>IFERROR(IF(MONTH(DATE($C$5,$C$4,7))&lt;&gt;$C$4,NA(),DATE($C$5,$C$4,7)),NA())</f>
        <v>46241</v>
      </c>
      <c r="P36" s="116" t="e">
        <f>IF(ISNA($O36),NA(),IF(COUNTIFS('Daily Data'!$A$4:$A$503,$O36)=0,NA(),SUMIFS('Daily Data'!$I$4:$I$503,'Daily Data'!$A$4:$A$503,$O36)))</f>
        <v>#N/A</v>
      </c>
      <c r="Q36" s="116" t="e">
        <f>IF(ISNA($O36),NA(),IF(COUNTIFS('Daily Data'!$A$4:$A$503,$O36)=0,NA(),SUMIFS('Daily Data'!$K$4:$K$503,'Daily Data'!$A$4:$A$503,$O36)))</f>
        <v>#N/A</v>
      </c>
      <c r="S36" s="116" t="str">
        <f>IFERROR(INDEX($A$30:$A$69,MATCH($T36,$B$30:$B$69,0)),"")</f>
        <v>KCB</v>
      </c>
      <c r="T36" s="116">
        <f>IFERROR(LARGE($B$30:$B$69,7),NA())</f>
        <v>284359020</v>
      </c>
    </row>
    <row r="37" spans="1:20" x14ac:dyDescent="0.3">
      <c r="A37" s="155" t="str">
        <f>IF(Symbols!A11="","",Symbols!A11)</f>
        <v>KA</v>
      </c>
      <c r="B37" s="98">
        <f>IF($J37="","",SUMIFS('Daily Data'!$I$4:$I$503,'Daily Data'!$B$4:$B$503,$A37,'Daily Data'!$AL$4:$AL$503,$C$5,'Daily Data'!$AN$4:$AN$503,$C$4))</f>
        <v>0</v>
      </c>
      <c r="C37" s="98">
        <f>IF($J37="","",SUMIFS('Daily Data'!$K$4:$K$503,'Daily Data'!$B$4:$B$503,$A37,'Daily Data'!$AL$4:$AL$503,$C$5,'Daily Data'!$AN$4:$AN$503,$C$4))</f>
        <v>0</v>
      </c>
      <c r="D37" s="98">
        <f>IF($J37="","",SUMIFS('Daily Data'!$J$4:$J$503,'Daily Data'!$B$4:$B$503,$A37,'Daily Data'!$AL$4:$AL$503,$C$5,'Daily Data'!$AN$4:$AN$503,$C$4))</f>
        <v>0</v>
      </c>
      <c r="E37" s="99" t="str">
        <f>IF($J37="","",IFERROR(AVERAGEIFS('Daily Data'!$S$4:$S$503,'Daily Data'!$B$4:$B$503,$A37,'Daily Data'!$AL$4:$AL$503,$C$5,'Daily Data'!$AN$4:$AN$503,$C$4),""))</f>
        <v/>
      </c>
      <c r="F37" s="97" t="str">
        <f>IF(OR($J37="",N($L37)=0),"",$M37/$L37-1)</f>
        <v/>
      </c>
      <c r="G37" s="100">
        <f>IF($J37="","",IFERROR(AVERAGEIFS('Daily Data'!$AH$4:$AH$503,'Daily Data'!$B$4:$B$503,$A37,'Daily Data'!$AL$4:$AL$503,$C$5,'Daily Data'!$AN$4:$AN$503,$C$4),""))</f>
        <v>65</v>
      </c>
      <c r="H37" s="100">
        <f>IF($J37="","",IFERROR(AVERAGEIFS('Daily Data'!$AG$4:$AG$503,'Daily Data'!$B$4:$B$503,$A37,'Daily Data'!$AL$4:$AL$503,$C$5,'Daily Data'!$AN$4:$AN$503,$C$4),""))</f>
        <v>0</v>
      </c>
      <c r="I37" s="97" t="str">
        <f>IF($K37="","",IF(COUNTIFS('Daily Data'!$B$4:$B$503,$A37,'Daily Data'!$AK$4:$AK$503,$K37,'Daily Data'!$AA$4:$AA$503,"&gt;=-1E+300")=0,"",SUMIFS('Daily Data'!$AA$4:$AA$503,'Daily Data'!$B$4:$B$503,$A37,'Daily Data'!$AK$4:$AK$503,$K37)))</f>
        <v/>
      </c>
      <c r="J37" s="112">
        <f>IF($A37="","",IFERROR(IF(_xlfn.MINIFS('Daily Data'!$AK$4:$AK$503,'Daily Data'!$B$4:$B$503,$A37,'Daily Data'!$AL$4:$AL$503,$C$5,'Daily Data'!$AN$4:$AN$503,$C$4)=0,"",_xlfn.MINIFS('Daily Data'!$AK$4:$AK$503,'Daily Data'!$B$4:$B$503,$A37,'Daily Data'!$AL$4:$AL$503,$C$5,'Daily Data'!$AN$4:$AN$503,$C$4)),""))</f>
        <v>1</v>
      </c>
      <c r="K37" s="112">
        <f>IF($A37="","",IFERROR(IF(_xlfn.MAXIFS('Daily Data'!$AK$4:$AK$503,'Daily Data'!$B$4:$B$503,$A37,'Daily Data'!$AL$4:$AL$503,$C$5,'Daily Data'!$AN$4:$AN$503,$C$4)=0,"",_xlfn.MAXIFS('Daily Data'!$AK$4:$AK$503,'Daily Data'!$B$4:$B$503,$A37,'Daily Data'!$AL$4:$AL$503,$C$5,'Daily Data'!$AN$4:$AN$503,$C$4)),""))</f>
        <v>5</v>
      </c>
      <c r="L37" s="156">
        <f>IF($J37="","",SUMIFS('Daily Data'!$D$4:$D$503,'Daily Data'!$B$4:$B$503,$A37,'Daily Data'!$AK$4:$AK$503,$J37))</f>
        <v>0</v>
      </c>
      <c r="M37" s="156">
        <f>IF($K37="","",SUMIFS('Daily Data'!$E$4:$E$503,'Daily Data'!$B$4:$B$503,$A37,'Daily Data'!$AK$4:$AK$503,$K37))</f>
        <v>110</v>
      </c>
      <c r="O37" s="117">
        <f>IFERROR(IF(MONTH(DATE($C$5,$C$4,8))&lt;&gt;$C$4,NA(),DATE($C$5,$C$4,8)),NA())</f>
        <v>46242</v>
      </c>
      <c r="P37" s="116" t="e">
        <f>IF(ISNA($O37),NA(),IF(COUNTIFS('Daily Data'!$A$4:$A$503,$O37)=0,NA(),SUMIFS('Daily Data'!$I$4:$I$503,'Daily Data'!$A$4:$A$503,$O37)))</f>
        <v>#N/A</v>
      </c>
      <c r="Q37" s="116" t="e">
        <f>IF(ISNA($O37),NA(),IF(COUNTIFS('Daily Data'!$A$4:$A$503,$O37)=0,NA(),SUMIFS('Daily Data'!$K$4:$K$503,'Daily Data'!$A$4:$A$503,$O37)))</f>
        <v>#N/A</v>
      </c>
      <c r="S37" s="116" t="str">
        <f>IFERROR(INDEX($A$30:$A$69,MATCH($T37,$B$30:$B$69,0)),"")</f>
        <v>NICO</v>
      </c>
      <c r="T37" s="116">
        <f>IFERROR(LARGE($B$30:$B$69,8),NA())</f>
        <v>274307070</v>
      </c>
    </row>
    <row r="38" spans="1:20" x14ac:dyDescent="0.3">
      <c r="A38" s="155" t="str">
        <f>IF(Symbols!A12="","",Symbols!A12)</f>
        <v>KCB</v>
      </c>
      <c r="B38" s="98">
        <f>IF($J38="","",SUMIFS('Daily Data'!$I$4:$I$503,'Daily Data'!$B$4:$B$503,$A38,'Daily Data'!$AL$4:$AL$503,$C$5,'Daily Data'!$AN$4:$AN$503,$C$4))</f>
        <v>284359020</v>
      </c>
      <c r="C38" s="98">
        <f>IF($J38="","",SUMIFS('Daily Data'!$K$4:$K$503,'Daily Data'!$B$4:$B$503,$A38,'Daily Data'!$AL$4:$AL$503,$C$5,'Daily Data'!$AN$4:$AN$503,$C$4))</f>
        <v>145800</v>
      </c>
      <c r="D38" s="98">
        <f>IF($J38="","",SUMIFS('Daily Data'!$J$4:$J$503,'Daily Data'!$B$4:$B$503,$A38,'Daily Data'!$AL$4:$AL$503,$C$5,'Daily Data'!$AN$4:$AN$503,$C$4))</f>
        <v>233</v>
      </c>
      <c r="E38" s="99">
        <f>IF($J38="","",IFERROR(AVERAGEIFS('Daily Data'!$S$4:$S$503,'Daily Data'!$B$4:$B$503,$A38,'Daily Data'!$AL$4:$AL$503,$C$5,'Daily Data'!$AN$4:$AN$503,$C$4),""))</f>
        <v>0.3644164333119696</v>
      </c>
      <c r="F38" s="97" t="str">
        <f>IF(OR($J38="",N($L38)=0),"",$M38/$L38-1)</f>
        <v/>
      </c>
      <c r="G38" s="100">
        <f>IF($J38="","",IFERROR(AVERAGEIFS('Daily Data'!$AH$4:$AH$503,'Daily Data'!$B$4:$B$503,$A38,'Daily Data'!$AL$4:$AL$503,$C$5,'Daily Data'!$AN$4:$AN$503,$C$4),""))</f>
        <v>44.42</v>
      </c>
      <c r="H38" s="100">
        <f>IF($J38="","",IFERROR(AVERAGEIFS('Daily Data'!$AG$4:$AG$503,'Daily Data'!$B$4:$B$503,$A38,'Daily Data'!$AL$4:$AL$503,$C$5,'Daily Data'!$AN$4:$AN$503,$C$4),""))</f>
        <v>19.400000000000002</v>
      </c>
      <c r="I38" s="97" t="str">
        <f>IF($K38="","",IF(COUNTIFS('Daily Data'!$B$4:$B$503,$A38,'Daily Data'!$AK$4:$AK$503,$K38,'Daily Data'!$AA$4:$AA$503,"&gt;=-1E+300")=0,"",SUMIFS('Daily Data'!$AA$4:$AA$503,'Daily Data'!$B$4:$B$503,$A38,'Daily Data'!$AK$4:$AK$503,$K38)))</f>
        <v/>
      </c>
      <c r="J38" s="112">
        <f>IF($A38="","",IFERROR(IF(_xlfn.MINIFS('Daily Data'!$AK$4:$AK$503,'Daily Data'!$B$4:$B$503,$A38,'Daily Data'!$AL$4:$AL$503,$C$5,'Daily Data'!$AN$4:$AN$503,$C$4)=0,"",_xlfn.MINIFS('Daily Data'!$AK$4:$AK$503,'Daily Data'!$B$4:$B$503,$A38,'Daily Data'!$AL$4:$AL$503,$C$5,'Daily Data'!$AN$4:$AN$503,$C$4)),""))</f>
        <v>1</v>
      </c>
      <c r="K38" s="112">
        <f>IF($A38="","",IFERROR(IF(_xlfn.MAXIFS('Daily Data'!$AK$4:$AK$503,'Daily Data'!$B$4:$B$503,$A38,'Daily Data'!$AL$4:$AL$503,$C$5,'Daily Data'!$AN$4:$AN$503,$C$4)=0,"",_xlfn.MAXIFS('Daily Data'!$AK$4:$AK$503,'Daily Data'!$B$4:$B$503,$A38,'Daily Data'!$AL$4:$AL$503,$C$5,'Daily Data'!$AN$4:$AN$503,$C$4)),""))</f>
        <v>5</v>
      </c>
      <c r="L38" s="156">
        <f>IF($J38="","",SUMIFS('Daily Data'!$D$4:$D$503,'Daily Data'!$B$4:$B$503,$A38,'Daily Data'!$AK$4:$AK$503,$J38))</f>
        <v>0</v>
      </c>
      <c r="M38" s="156">
        <f>IF($K38="","",SUMIFS('Daily Data'!$E$4:$E$503,'Daily Data'!$B$4:$B$503,$A38,'Daily Data'!$AK$4:$AK$503,$K38))</f>
        <v>1950</v>
      </c>
      <c r="O38" s="117">
        <f>IFERROR(IF(MONTH(DATE($C$5,$C$4,9))&lt;&gt;$C$4,NA(),DATE($C$5,$C$4,9)),NA())</f>
        <v>46243</v>
      </c>
      <c r="P38" s="116" t="e">
        <f>IF(ISNA($O38),NA(),IF(COUNTIFS('Daily Data'!$A$4:$A$503,$O38)=0,NA(),SUMIFS('Daily Data'!$I$4:$I$503,'Daily Data'!$A$4:$A$503,$O38)))</f>
        <v>#N/A</v>
      </c>
      <c r="Q38" s="116" t="e">
        <f>IF(ISNA($O38),NA(),IF(COUNTIFS('Daily Data'!$A$4:$A$503,$O38)=0,NA(),SUMIFS('Daily Data'!$K$4:$K$503,'Daily Data'!$A$4:$A$503,$O38)))</f>
        <v>#N/A</v>
      </c>
      <c r="S38" s="116" t="str">
        <f>IFERROR(INDEX($A$30:$A$69,MATCH($T38,$B$30:$B$69,0)),"")</f>
        <v>AFRIPRISE</v>
      </c>
      <c r="T38" s="116">
        <f>IFERROR(LARGE($B$30:$B$69,9),NA())</f>
        <v>216141040</v>
      </c>
    </row>
    <row r="39" spans="1:20" x14ac:dyDescent="0.3">
      <c r="A39" s="155" t="str">
        <f>IF(Symbols!A13="","",Symbols!A13)</f>
        <v>MBP</v>
      </c>
      <c r="B39" s="98">
        <f>IF($J39="","",SUMIFS('Daily Data'!$I$4:$I$503,'Daily Data'!$B$4:$B$503,$A39,'Daily Data'!$AL$4:$AL$503,$C$5,'Daily Data'!$AN$4:$AN$503,$C$4))</f>
        <v>48359950</v>
      </c>
      <c r="C39" s="98">
        <f>IF($J39="","",SUMIFS('Daily Data'!$K$4:$K$503,'Daily Data'!$B$4:$B$503,$A39,'Daily Data'!$AL$4:$AL$503,$C$5,'Daily Data'!$AN$4:$AN$503,$C$4))</f>
        <v>28597</v>
      </c>
      <c r="D39" s="98">
        <f>IF($J39="","",SUMIFS('Daily Data'!$J$4:$J$503,'Daily Data'!$B$4:$B$503,$A39,'Daily Data'!$AL$4:$AL$503,$C$5,'Daily Data'!$AN$4:$AN$503,$C$4))</f>
        <v>116</v>
      </c>
      <c r="E39" s="99">
        <f>IF($J39="","",IFERROR(AVERAGEIFS('Daily Data'!$S$4:$S$503,'Daily Data'!$B$4:$B$503,$A39,'Daily Data'!$AL$4:$AL$503,$C$5,'Daily Data'!$AN$4:$AN$503,$C$4),""))</f>
        <v>0.3453133243330358</v>
      </c>
      <c r="F39" s="97" t="str">
        <f>IF(OR($J39="",N($L39)=0),"",$M39/$L39-1)</f>
        <v/>
      </c>
      <c r="G39" s="100">
        <f>IF($J39="","",IFERROR(AVERAGEIFS('Daily Data'!$AH$4:$AH$503,'Daily Data'!$B$4:$B$503,$A39,'Daily Data'!$AL$4:$AL$503,$C$5,'Daily Data'!$AN$4:$AN$503,$C$4),""))</f>
        <v>35.58</v>
      </c>
      <c r="H39" s="100">
        <f>IF($J39="","",IFERROR(AVERAGEIFS('Daily Data'!$AG$4:$AG$503,'Daily Data'!$B$4:$B$503,$A39,'Daily Data'!$AL$4:$AL$503,$C$5,'Daily Data'!$AN$4:$AN$503,$C$4),""))</f>
        <v>8.4400000000000013</v>
      </c>
      <c r="I39" s="97" t="str">
        <f>IF($K39="","",IF(COUNTIFS('Daily Data'!$B$4:$B$503,$A39,'Daily Data'!$AK$4:$AK$503,$K39,'Daily Data'!$AA$4:$AA$503,"&gt;=-1E+300")=0,"",SUMIFS('Daily Data'!$AA$4:$AA$503,'Daily Data'!$B$4:$B$503,$A39,'Daily Data'!$AK$4:$AK$503,$K39)))</f>
        <v/>
      </c>
      <c r="J39" s="112">
        <f>IF($A39="","",IFERROR(IF(_xlfn.MINIFS('Daily Data'!$AK$4:$AK$503,'Daily Data'!$B$4:$B$503,$A39,'Daily Data'!$AL$4:$AL$503,$C$5,'Daily Data'!$AN$4:$AN$503,$C$4)=0,"",_xlfn.MINIFS('Daily Data'!$AK$4:$AK$503,'Daily Data'!$B$4:$B$503,$A39,'Daily Data'!$AL$4:$AL$503,$C$5,'Daily Data'!$AN$4:$AN$503,$C$4)),""))</f>
        <v>1</v>
      </c>
      <c r="K39" s="112">
        <f>IF($A39="","",IFERROR(IF(_xlfn.MAXIFS('Daily Data'!$AK$4:$AK$503,'Daily Data'!$B$4:$B$503,$A39,'Daily Data'!$AL$4:$AL$503,$C$5,'Daily Data'!$AN$4:$AN$503,$C$4)=0,"",_xlfn.MAXIFS('Daily Data'!$AK$4:$AK$503,'Daily Data'!$B$4:$B$503,$A39,'Daily Data'!$AL$4:$AL$503,$C$5,'Daily Data'!$AN$4:$AN$503,$C$4)),""))</f>
        <v>5</v>
      </c>
      <c r="L39" s="156">
        <f>IF($J39="","",SUMIFS('Daily Data'!$D$4:$D$503,'Daily Data'!$B$4:$B$503,$A39,'Daily Data'!$AK$4:$AK$503,$J39))</f>
        <v>0</v>
      </c>
      <c r="M39" s="156">
        <f>IF($K39="","",SUMIFS('Daily Data'!$E$4:$E$503,'Daily Data'!$B$4:$B$503,$A39,'Daily Data'!$AK$4:$AK$503,$K39))</f>
        <v>1680</v>
      </c>
      <c r="O39" s="117">
        <f>IFERROR(IF(MONTH(DATE($C$5,$C$4,10))&lt;&gt;$C$4,NA(),DATE($C$5,$C$4,10)),NA())</f>
        <v>46244</v>
      </c>
      <c r="P39" s="116">
        <f>IF(ISNA($O39),NA(),IF(COUNTIFS('Daily Data'!$A$4:$A$503,$O39)=0,NA(),SUMIFS('Daily Data'!$I$4:$I$503,'Daily Data'!$A$4:$A$503,$O39)))</f>
        <v>9746556990</v>
      </c>
      <c r="Q39" s="116">
        <f>IF(ISNA($O39),NA(),IF(COUNTIFS('Daily Data'!$A$4:$A$503,$O39)=0,NA(),SUMIFS('Daily Data'!$K$4:$K$503,'Daily Data'!$A$4:$A$503,$O39)))</f>
        <v>3658256</v>
      </c>
      <c r="S39" s="116" t="str">
        <f>IFERROR(INDEX($A$30:$A$69,MATCH($T39,$B$30:$B$69,0)),"")</f>
        <v>IEACLC-ETF</v>
      </c>
      <c r="T39" s="116">
        <f>IFERROR(LARGE($B$30:$B$69,10),NA())</f>
        <v>204044380</v>
      </c>
    </row>
    <row r="40" spans="1:20" x14ac:dyDescent="0.3">
      <c r="A40" s="155" t="str">
        <f>IF(Symbols!A14="","",Symbols!A14)</f>
        <v>MCB</v>
      </c>
      <c r="B40" s="98">
        <f>IF($J40="","",SUMIFS('Daily Data'!$I$4:$I$503,'Daily Data'!$B$4:$B$503,$A40,'Daily Data'!$AL$4:$AL$503,$C$5,'Daily Data'!$AN$4:$AN$503,$C$4))</f>
        <v>545083750</v>
      </c>
      <c r="C40" s="98">
        <f>IF($J40="","",SUMIFS('Daily Data'!$K$4:$K$503,'Daily Data'!$B$4:$B$503,$A40,'Daily Data'!$AL$4:$AL$503,$C$5,'Daily Data'!$AN$4:$AN$503,$C$4))</f>
        <v>1158438</v>
      </c>
      <c r="D40" s="98">
        <f>IF($J40="","",SUMIFS('Daily Data'!$J$4:$J$503,'Daily Data'!$B$4:$B$503,$A40,'Daily Data'!$AL$4:$AL$503,$C$5,'Daily Data'!$AN$4:$AN$503,$C$4))</f>
        <v>2092</v>
      </c>
      <c r="E40" s="99">
        <f>IF($J40="","",IFERROR(AVERAGEIFS('Daily Data'!$S$4:$S$503,'Daily Data'!$B$4:$B$503,$A40,'Daily Data'!$AL$4:$AL$503,$C$5,'Daily Data'!$AN$4:$AN$503,$C$4),""))</f>
        <v>0.28364314952329445</v>
      </c>
      <c r="F40" s="97" t="str">
        <f>IF(OR($J40="",N($L40)=0),"",$M40/$L40-1)</f>
        <v/>
      </c>
      <c r="G40" s="100">
        <f>IF($J40="","",IFERROR(AVERAGEIFS('Daily Data'!$AH$4:$AH$503,'Daily Data'!$B$4:$B$503,$A40,'Daily Data'!$AL$4:$AL$503,$C$5,'Daily Data'!$AN$4:$AN$503,$C$4),""))</f>
        <v>28.5</v>
      </c>
      <c r="H40" s="100">
        <f>IF($J40="","",IFERROR(AVERAGEIFS('Daily Data'!$AG$4:$AG$503,'Daily Data'!$B$4:$B$503,$A40,'Daily Data'!$AL$4:$AL$503,$C$5,'Daily Data'!$AN$4:$AN$503,$C$4),""))</f>
        <v>52.42</v>
      </c>
      <c r="I40" s="97" t="str">
        <f>IF($K40="","",IF(COUNTIFS('Daily Data'!$B$4:$B$503,$A40,'Daily Data'!$AK$4:$AK$503,$K40,'Daily Data'!$AA$4:$AA$503,"&gt;=-1E+300")=0,"",SUMIFS('Daily Data'!$AA$4:$AA$503,'Daily Data'!$B$4:$B$503,$A40,'Daily Data'!$AK$4:$AK$503,$K40)))</f>
        <v/>
      </c>
      <c r="J40" s="112">
        <f>IF($A40="","",IFERROR(IF(_xlfn.MINIFS('Daily Data'!$AK$4:$AK$503,'Daily Data'!$B$4:$B$503,$A40,'Daily Data'!$AL$4:$AL$503,$C$5,'Daily Data'!$AN$4:$AN$503,$C$4)=0,"",_xlfn.MINIFS('Daily Data'!$AK$4:$AK$503,'Daily Data'!$B$4:$B$503,$A40,'Daily Data'!$AL$4:$AL$503,$C$5,'Daily Data'!$AN$4:$AN$503,$C$4)),""))</f>
        <v>1</v>
      </c>
      <c r="K40" s="112">
        <f>IF($A40="","",IFERROR(IF(_xlfn.MAXIFS('Daily Data'!$AK$4:$AK$503,'Daily Data'!$B$4:$B$503,$A40,'Daily Data'!$AL$4:$AL$503,$C$5,'Daily Data'!$AN$4:$AN$503,$C$4)=0,"",_xlfn.MAXIFS('Daily Data'!$AK$4:$AK$503,'Daily Data'!$B$4:$B$503,$A40,'Daily Data'!$AL$4:$AL$503,$C$5,'Daily Data'!$AN$4:$AN$503,$C$4)),""))</f>
        <v>5</v>
      </c>
      <c r="L40" s="156">
        <f>IF($J40="","",SUMIFS('Daily Data'!$D$4:$D$503,'Daily Data'!$B$4:$B$503,$A40,'Daily Data'!$AK$4:$AK$503,$J40))</f>
        <v>0</v>
      </c>
      <c r="M40" s="156">
        <f>IF($K40="","",SUMIFS('Daily Data'!$E$4:$E$503,'Daily Data'!$B$4:$B$503,$A40,'Daily Data'!$AK$4:$AK$503,$K40))</f>
        <v>405</v>
      </c>
      <c r="O40" s="117">
        <f>IFERROR(IF(MONTH(DATE($C$5,$C$4,11))&lt;&gt;$C$4,NA(),DATE($C$5,$C$4,11)),NA())</f>
        <v>46245</v>
      </c>
      <c r="P40" s="116">
        <f>IF(ISNA($O40),NA(),IF(COUNTIFS('Daily Data'!$A$4:$A$503,$O40)=0,NA(),SUMIFS('Daily Data'!$I$4:$I$503,'Daily Data'!$A$4:$A$503,$O40)))</f>
        <v>4102000500</v>
      </c>
      <c r="Q40" s="116">
        <f>IF(ISNA($O40),NA(),IF(COUNTIFS('Daily Data'!$A$4:$A$503,$O40)=0,NA(),SUMIFS('Daily Data'!$K$4:$K$503,'Daily Data'!$A$4:$A$503,$O40)))</f>
        <v>1321509</v>
      </c>
    </row>
    <row r="41" spans="1:20" x14ac:dyDescent="0.3">
      <c r="A41" s="155" t="str">
        <f>IF(Symbols!A15="","",Symbols!A15)</f>
        <v>MKCB</v>
      </c>
      <c r="B41" s="98">
        <f>IF($J41="","",SUMIFS('Daily Data'!$I$4:$I$503,'Daily Data'!$B$4:$B$503,$A41,'Daily Data'!$AL$4:$AL$503,$C$5,'Daily Data'!$AN$4:$AN$503,$C$4))</f>
        <v>30369730</v>
      </c>
      <c r="C41" s="98">
        <f>IF($J41="","",SUMIFS('Daily Data'!$K$4:$K$503,'Daily Data'!$B$4:$B$503,$A41,'Daily Data'!$AL$4:$AL$503,$C$5,'Daily Data'!$AN$4:$AN$503,$C$4))</f>
        <v>8049</v>
      </c>
      <c r="D41" s="98">
        <f>IF($J41="","",SUMIFS('Daily Data'!$J$4:$J$503,'Daily Data'!$B$4:$B$503,$A41,'Daily Data'!$AL$4:$AL$503,$C$5,'Daily Data'!$AN$4:$AN$503,$C$4))</f>
        <v>82</v>
      </c>
      <c r="E41" s="99">
        <f>IF($J41="","",IFERROR(AVERAGEIFS('Daily Data'!$S$4:$S$503,'Daily Data'!$B$4:$B$503,$A41,'Daily Data'!$AL$4:$AL$503,$C$5,'Daily Data'!$AN$4:$AN$503,$C$4),""))</f>
        <v>0.45263067082336572</v>
      </c>
      <c r="F41" s="97" t="str">
        <f>IF(OR($J41="",N($L41)=0),"",$M41/$L41-1)</f>
        <v/>
      </c>
      <c r="G41" s="100">
        <f>IF($J41="","",IFERROR(AVERAGEIFS('Daily Data'!$AH$4:$AH$503,'Daily Data'!$B$4:$B$503,$A41,'Daily Data'!$AL$4:$AL$503,$C$5,'Daily Data'!$AN$4:$AN$503,$C$4),""))</f>
        <v>39</v>
      </c>
      <c r="H41" s="100">
        <f>IF($J41="","",IFERROR(AVERAGEIFS('Daily Data'!$AG$4:$AG$503,'Daily Data'!$B$4:$B$503,$A41,'Daily Data'!$AL$4:$AL$503,$C$5,'Daily Data'!$AN$4:$AN$503,$C$4),""))</f>
        <v>5.7799999999999994</v>
      </c>
      <c r="I41" s="97" t="str">
        <f>IF($K41="","",IF(COUNTIFS('Daily Data'!$B$4:$B$503,$A41,'Daily Data'!$AK$4:$AK$503,$K41,'Daily Data'!$AA$4:$AA$503,"&gt;=-1E+300")=0,"",SUMIFS('Daily Data'!$AA$4:$AA$503,'Daily Data'!$B$4:$B$503,$A41,'Daily Data'!$AK$4:$AK$503,$K41)))</f>
        <v/>
      </c>
      <c r="J41" s="112">
        <f>IF($A41="","",IFERROR(IF(_xlfn.MINIFS('Daily Data'!$AK$4:$AK$503,'Daily Data'!$B$4:$B$503,$A41,'Daily Data'!$AL$4:$AL$503,$C$5,'Daily Data'!$AN$4:$AN$503,$C$4)=0,"",_xlfn.MINIFS('Daily Data'!$AK$4:$AK$503,'Daily Data'!$B$4:$B$503,$A41,'Daily Data'!$AL$4:$AL$503,$C$5,'Daily Data'!$AN$4:$AN$503,$C$4)),""))</f>
        <v>1</v>
      </c>
      <c r="K41" s="112">
        <f>IF($A41="","",IFERROR(IF(_xlfn.MAXIFS('Daily Data'!$AK$4:$AK$503,'Daily Data'!$B$4:$B$503,$A41,'Daily Data'!$AL$4:$AL$503,$C$5,'Daily Data'!$AN$4:$AN$503,$C$4)=0,"",_xlfn.MAXIFS('Daily Data'!$AK$4:$AK$503,'Daily Data'!$B$4:$B$503,$A41,'Daily Data'!$AL$4:$AL$503,$C$5,'Daily Data'!$AN$4:$AN$503,$C$4)),""))</f>
        <v>5</v>
      </c>
      <c r="L41" s="156">
        <f>IF($J41="","",SUMIFS('Daily Data'!$D$4:$D$503,'Daily Data'!$B$4:$B$503,$A41,'Daily Data'!$AK$4:$AK$503,$J41))</f>
        <v>0</v>
      </c>
      <c r="M41" s="156">
        <f>IF($K41="","",SUMIFS('Daily Data'!$E$4:$E$503,'Daily Data'!$B$4:$B$503,$A41,'Daily Data'!$AK$4:$AK$503,$K41))</f>
        <v>3760</v>
      </c>
      <c r="O41" s="117">
        <f>IFERROR(IF(MONTH(DATE($C$5,$C$4,12))&lt;&gt;$C$4,NA(),DATE($C$5,$C$4,12)),NA())</f>
        <v>46246</v>
      </c>
      <c r="P41" s="116">
        <f>IF(ISNA($O41),NA(),IF(COUNTIFS('Daily Data'!$A$4:$A$503,$O41)=0,NA(),SUMIFS('Daily Data'!$I$4:$I$503,'Daily Data'!$A$4:$A$503,$O41)))</f>
        <v>4857384595</v>
      </c>
      <c r="Q41" s="116">
        <f>IF(ISNA($O41),NA(),IF(COUNTIFS('Daily Data'!$A$4:$A$503,$O41)=0,NA(),SUMIFS('Daily Data'!$K$4:$K$503,'Daily Data'!$A$4:$A$503,$O41)))</f>
        <v>990002</v>
      </c>
    </row>
    <row r="42" spans="1:20" x14ac:dyDescent="0.3">
      <c r="A42" s="155" t="str">
        <f>IF(Symbols!A16="","",Symbols!A16)</f>
        <v>MUCOBA</v>
      </c>
      <c r="B42" s="98">
        <f>IF($J42="","",SUMIFS('Daily Data'!$I$4:$I$503,'Daily Data'!$B$4:$B$503,$A42,'Daily Data'!$AL$4:$AL$503,$C$5,'Daily Data'!$AN$4:$AN$503,$C$4))</f>
        <v>3313145</v>
      </c>
      <c r="C42" s="98">
        <f>IF($J42="","",SUMIFS('Daily Data'!$K$4:$K$503,'Daily Data'!$B$4:$B$503,$A42,'Daily Data'!$AL$4:$AL$503,$C$5,'Daily Data'!$AN$4:$AN$503,$C$4))</f>
        <v>7161</v>
      </c>
      <c r="D42" s="98">
        <f>IF($J42="","",SUMIFS('Daily Data'!$J$4:$J$503,'Daily Data'!$B$4:$B$503,$A42,'Daily Data'!$AL$4:$AL$503,$C$5,'Daily Data'!$AN$4:$AN$503,$C$4))</f>
        <v>94</v>
      </c>
      <c r="E42" s="99">
        <f>IF($J42="","",IFERROR(AVERAGEIFS('Daily Data'!$S$4:$S$503,'Daily Data'!$B$4:$B$503,$A42,'Daily Data'!$AL$4:$AL$503,$C$5,'Daily Data'!$AN$4:$AN$503,$C$4),""))</f>
        <v>1.7058421595783653</v>
      </c>
      <c r="F42" s="97" t="str">
        <f>IF(OR($J42="",N($L42)=0),"",$M42/$L42-1)</f>
        <v/>
      </c>
      <c r="G42" s="100">
        <f>IF($J42="","",IFERROR(AVERAGEIFS('Daily Data'!$AH$4:$AH$503,'Daily Data'!$B$4:$B$503,$A42,'Daily Data'!$AL$4:$AL$503,$C$5,'Daily Data'!$AN$4:$AN$503,$C$4),""))</f>
        <v>48.74</v>
      </c>
      <c r="H42" s="100">
        <f>IF($J42="","",IFERROR(AVERAGEIFS('Daily Data'!$AG$4:$AG$503,'Daily Data'!$B$4:$B$503,$A42,'Daily Data'!$AL$4:$AL$503,$C$5,'Daily Data'!$AN$4:$AN$503,$C$4),""))</f>
        <v>6.4</v>
      </c>
      <c r="I42" s="97" t="str">
        <f>IF($K42="","",IF(COUNTIFS('Daily Data'!$B$4:$B$503,$A42,'Daily Data'!$AK$4:$AK$503,$K42,'Daily Data'!$AA$4:$AA$503,"&gt;=-1E+300")=0,"",SUMIFS('Daily Data'!$AA$4:$AA$503,'Daily Data'!$B$4:$B$503,$A42,'Daily Data'!$AK$4:$AK$503,$K42)))</f>
        <v/>
      </c>
      <c r="J42" s="112">
        <f>IF($A42="","",IFERROR(IF(_xlfn.MINIFS('Daily Data'!$AK$4:$AK$503,'Daily Data'!$B$4:$B$503,$A42,'Daily Data'!$AL$4:$AL$503,$C$5,'Daily Data'!$AN$4:$AN$503,$C$4)=0,"",_xlfn.MINIFS('Daily Data'!$AK$4:$AK$503,'Daily Data'!$B$4:$B$503,$A42,'Daily Data'!$AL$4:$AL$503,$C$5,'Daily Data'!$AN$4:$AN$503,$C$4)),""))</f>
        <v>1</v>
      </c>
      <c r="K42" s="112">
        <f>IF($A42="","",IFERROR(IF(_xlfn.MAXIFS('Daily Data'!$AK$4:$AK$503,'Daily Data'!$B$4:$B$503,$A42,'Daily Data'!$AL$4:$AL$503,$C$5,'Daily Data'!$AN$4:$AN$503,$C$4)=0,"",_xlfn.MAXIFS('Daily Data'!$AK$4:$AK$503,'Daily Data'!$B$4:$B$503,$A42,'Daily Data'!$AL$4:$AL$503,$C$5,'Daily Data'!$AN$4:$AN$503,$C$4)),""))</f>
        <v>5</v>
      </c>
      <c r="L42" s="156">
        <f>IF($J42="","",SUMIFS('Daily Data'!$D$4:$D$503,'Daily Data'!$B$4:$B$503,$A42,'Daily Data'!$AK$4:$AK$503,$J42))</f>
        <v>0</v>
      </c>
      <c r="M42" s="156">
        <f>IF($K42="","",SUMIFS('Daily Data'!$E$4:$E$503,'Daily Data'!$B$4:$B$503,$A42,'Daily Data'!$AK$4:$AK$503,$K42))</f>
        <v>455</v>
      </c>
      <c r="O42" s="117">
        <f>IFERROR(IF(MONTH(DATE($C$5,$C$4,13))&lt;&gt;$C$4,NA(),DATE($C$5,$C$4,13)),NA())</f>
        <v>46247</v>
      </c>
      <c r="P42" s="116">
        <f>IF(ISNA($O42),NA(),IF(COUNTIFS('Daily Data'!$A$4:$A$503,$O42)=0,NA(),SUMIFS('Daily Data'!$I$4:$I$503,'Daily Data'!$A$4:$A$503,$O42)))</f>
        <v>4320179065</v>
      </c>
      <c r="Q42" s="116">
        <f>IF(ISNA($O42),NA(),IF(COUNTIFS('Daily Data'!$A$4:$A$503,$O42)=0,NA(),SUMIFS('Daily Data'!$K$4:$K$503,'Daily Data'!$A$4:$A$503,$O42)))</f>
        <v>1169998</v>
      </c>
    </row>
    <row r="43" spans="1:20" x14ac:dyDescent="0.3">
      <c r="A43" s="155" t="str">
        <f>IF(Symbols!A17="","",Symbols!A17)</f>
        <v>NICO</v>
      </c>
      <c r="B43" s="98">
        <f>IF($J43="","",SUMIFS('Daily Data'!$I$4:$I$503,'Daily Data'!$B$4:$B$503,$A43,'Daily Data'!$AL$4:$AL$503,$C$5,'Daily Data'!$AN$4:$AN$503,$C$4))</f>
        <v>274307070</v>
      </c>
      <c r="C43" s="98">
        <f>IF($J43="","",SUMIFS('Daily Data'!$K$4:$K$503,'Daily Data'!$B$4:$B$503,$A43,'Daily Data'!$AL$4:$AL$503,$C$5,'Daily Data'!$AN$4:$AN$503,$C$4))</f>
        <v>74308</v>
      </c>
      <c r="D43" s="98">
        <f>IF($J43="","",SUMIFS('Daily Data'!$J$4:$J$503,'Daily Data'!$B$4:$B$503,$A43,'Daily Data'!$AL$4:$AL$503,$C$5,'Daily Data'!$AN$4:$AN$503,$C$4))</f>
        <v>459</v>
      </c>
      <c r="E43" s="99">
        <f>IF($J43="","",IFERROR(AVERAGEIFS('Daily Data'!$S$4:$S$503,'Daily Data'!$B$4:$B$503,$A43,'Daily Data'!$AL$4:$AL$503,$C$5,'Daily Data'!$AN$4:$AN$503,$C$4),""))</f>
        <v>1.632087850731617</v>
      </c>
      <c r="F43" s="97" t="str">
        <f>IF(OR($J43="",N($L43)=0),"",$M43/$L43-1)</f>
        <v/>
      </c>
      <c r="G43" s="100">
        <f>IF($J43="","",IFERROR(AVERAGEIFS('Daily Data'!$AH$4:$AH$503,'Daily Data'!$B$4:$B$503,$A43,'Daily Data'!$AL$4:$AL$503,$C$5,'Daily Data'!$AN$4:$AN$503,$C$4),""))</f>
        <v>46.52</v>
      </c>
      <c r="H43" s="100">
        <f>IF($J43="","",IFERROR(AVERAGEIFS('Daily Data'!$AG$4:$AG$503,'Daily Data'!$B$4:$B$503,$A43,'Daily Data'!$AL$4:$AL$503,$C$5,'Daily Data'!$AN$4:$AN$503,$C$4),""))</f>
        <v>28.68</v>
      </c>
      <c r="I43" s="97" t="str">
        <f>IF($K43="","",IF(COUNTIFS('Daily Data'!$B$4:$B$503,$A43,'Daily Data'!$AK$4:$AK$503,$K43,'Daily Data'!$AA$4:$AA$503,"&gt;=-1E+300")=0,"",SUMIFS('Daily Data'!$AA$4:$AA$503,'Daily Data'!$B$4:$B$503,$A43,'Daily Data'!$AK$4:$AK$503,$K43)))</f>
        <v/>
      </c>
      <c r="J43" s="112">
        <f>IF($A43="","",IFERROR(IF(_xlfn.MINIFS('Daily Data'!$AK$4:$AK$503,'Daily Data'!$B$4:$B$503,$A43,'Daily Data'!$AL$4:$AL$503,$C$5,'Daily Data'!$AN$4:$AN$503,$C$4)=0,"",_xlfn.MINIFS('Daily Data'!$AK$4:$AK$503,'Daily Data'!$B$4:$B$503,$A43,'Daily Data'!$AL$4:$AL$503,$C$5,'Daily Data'!$AN$4:$AN$503,$C$4)),""))</f>
        <v>1</v>
      </c>
      <c r="K43" s="112">
        <f>IF($A43="","",IFERROR(IF(_xlfn.MAXIFS('Daily Data'!$AK$4:$AK$503,'Daily Data'!$B$4:$B$503,$A43,'Daily Data'!$AL$4:$AL$503,$C$5,'Daily Data'!$AN$4:$AN$503,$C$4)=0,"",_xlfn.MAXIFS('Daily Data'!$AK$4:$AK$503,'Daily Data'!$B$4:$B$503,$A43,'Daily Data'!$AL$4:$AL$503,$C$5,'Daily Data'!$AN$4:$AN$503,$C$4)),""))</f>
        <v>5</v>
      </c>
      <c r="L43" s="156">
        <f>IF($J43="","",SUMIFS('Daily Data'!$D$4:$D$503,'Daily Data'!$B$4:$B$503,$A43,'Daily Data'!$AK$4:$AK$503,$J43))</f>
        <v>0</v>
      </c>
      <c r="M43" s="156">
        <f>IF($K43="","",SUMIFS('Daily Data'!$E$4:$E$503,'Daily Data'!$B$4:$B$503,$A43,'Daily Data'!$AK$4:$AK$503,$K43))</f>
        <v>3820</v>
      </c>
      <c r="O43" s="117">
        <f>IFERROR(IF(MONTH(DATE($C$5,$C$4,14))&lt;&gt;$C$4,NA(),DATE($C$5,$C$4,14)),NA())</f>
        <v>46248</v>
      </c>
      <c r="P43" s="116">
        <f>IF(ISNA($O43),NA(),IF(COUNTIFS('Daily Data'!$A$4:$A$503,$O43)=0,NA(),SUMIFS('Daily Data'!$I$4:$I$503,'Daily Data'!$A$4:$A$503,$O43)))</f>
        <v>7277674125</v>
      </c>
      <c r="Q43" s="116">
        <f>IF(ISNA($O43),NA(),IF(COUNTIFS('Daily Data'!$A$4:$A$503,$O43)=0,NA(),SUMIFS('Daily Data'!$K$4:$K$503,'Daily Data'!$A$4:$A$503,$O43)))</f>
        <v>1598388</v>
      </c>
    </row>
    <row r="44" spans="1:20" x14ac:dyDescent="0.3">
      <c r="A44" s="155" t="str">
        <f>IF(Symbols!A18="","",Symbols!A18)</f>
        <v>NMB</v>
      </c>
      <c r="B44" s="98">
        <f>IF($J44="","",SUMIFS('Daily Data'!$I$4:$I$503,'Daily Data'!$B$4:$B$503,$A44,'Daily Data'!$AL$4:$AL$503,$C$5,'Daily Data'!$AN$4:$AN$503,$C$4))</f>
        <v>13611779350</v>
      </c>
      <c r="C44" s="98">
        <f>IF($J44="","",SUMIFS('Daily Data'!$K$4:$K$503,'Daily Data'!$B$4:$B$503,$A44,'Daily Data'!$AL$4:$AL$503,$C$5,'Daily Data'!$AN$4:$AN$503,$C$4))</f>
        <v>772202</v>
      </c>
      <c r="D44" s="98">
        <f>IF($J44="","",SUMIFS('Daily Data'!$J$4:$J$503,'Daily Data'!$B$4:$B$503,$A44,'Daily Data'!$AL$4:$AL$503,$C$5,'Daily Data'!$AN$4:$AN$503,$C$4))</f>
        <v>2276</v>
      </c>
      <c r="E44" s="99">
        <f>IF($J44="","",IFERROR(AVERAGEIFS('Daily Data'!$S$4:$S$503,'Daily Data'!$B$4:$B$503,$A44,'Daily Data'!$AL$4:$AL$503,$C$5,'Daily Data'!$AN$4:$AN$503,$C$4),""))</f>
        <v>59.746963011468061</v>
      </c>
      <c r="F44" s="97" t="str">
        <f>IF(OR($J44="",N($L44)=0),"",$M44/$L44-1)</f>
        <v/>
      </c>
      <c r="G44" s="100">
        <f>IF($J44="","",IFERROR(AVERAGEIFS('Daily Data'!$AH$4:$AH$503,'Daily Data'!$B$4:$B$503,$A44,'Daily Data'!$AL$4:$AL$503,$C$5,'Daily Data'!$AN$4:$AN$503,$C$4),""))</f>
        <v>52.720000000000006</v>
      </c>
      <c r="H44" s="100">
        <f>IF($J44="","",IFERROR(AVERAGEIFS('Daily Data'!$AG$4:$AG$503,'Daily Data'!$B$4:$B$503,$A44,'Daily Data'!$AL$4:$AL$503,$C$5,'Daily Data'!$AN$4:$AN$503,$C$4),""))</f>
        <v>76.94</v>
      </c>
      <c r="I44" s="97" t="str">
        <f>IF($K44="","",IF(COUNTIFS('Daily Data'!$B$4:$B$503,$A44,'Daily Data'!$AK$4:$AK$503,$K44,'Daily Data'!$AA$4:$AA$503,"&gt;=-1E+300")=0,"",SUMIFS('Daily Data'!$AA$4:$AA$503,'Daily Data'!$B$4:$B$503,$A44,'Daily Data'!$AK$4:$AK$503,$K44)))</f>
        <v/>
      </c>
      <c r="J44" s="112">
        <f>IF($A44="","",IFERROR(IF(_xlfn.MINIFS('Daily Data'!$AK$4:$AK$503,'Daily Data'!$B$4:$B$503,$A44,'Daily Data'!$AL$4:$AL$503,$C$5,'Daily Data'!$AN$4:$AN$503,$C$4)=0,"",_xlfn.MINIFS('Daily Data'!$AK$4:$AK$503,'Daily Data'!$B$4:$B$503,$A44,'Daily Data'!$AL$4:$AL$503,$C$5,'Daily Data'!$AN$4:$AN$503,$C$4)),""))</f>
        <v>1</v>
      </c>
      <c r="K44" s="112">
        <f>IF($A44="","",IFERROR(IF(_xlfn.MAXIFS('Daily Data'!$AK$4:$AK$503,'Daily Data'!$B$4:$B$503,$A44,'Daily Data'!$AL$4:$AL$503,$C$5,'Daily Data'!$AN$4:$AN$503,$C$4)=0,"",_xlfn.MAXIFS('Daily Data'!$AK$4:$AK$503,'Daily Data'!$B$4:$B$503,$A44,'Daily Data'!$AL$4:$AL$503,$C$5,'Daily Data'!$AN$4:$AN$503,$C$4)),""))</f>
        <v>5</v>
      </c>
      <c r="L44" s="156">
        <f>IF($J44="","",SUMIFS('Daily Data'!$D$4:$D$503,'Daily Data'!$B$4:$B$503,$A44,'Daily Data'!$AK$4:$AK$503,$J44))</f>
        <v>0</v>
      </c>
      <c r="M44" s="156">
        <f>IF($K44="","",SUMIFS('Daily Data'!$E$4:$E$503,'Daily Data'!$B$4:$B$503,$A44,'Daily Data'!$AK$4:$AK$503,$K44))</f>
        <v>17700</v>
      </c>
      <c r="O44" s="117">
        <f>IFERROR(IF(MONTH(DATE($C$5,$C$4,15))&lt;&gt;$C$4,NA(),DATE($C$5,$C$4,15)),NA())</f>
        <v>46249</v>
      </c>
      <c r="P44" s="116" t="e">
        <f>IF(ISNA($O44),NA(),IF(COUNTIFS('Daily Data'!$A$4:$A$503,$O44)=0,NA(),SUMIFS('Daily Data'!$I$4:$I$503,'Daily Data'!$A$4:$A$503,$O44)))</f>
        <v>#N/A</v>
      </c>
      <c r="Q44" s="116" t="e">
        <f>IF(ISNA($O44),NA(),IF(COUNTIFS('Daily Data'!$A$4:$A$503,$O44)=0,NA(),SUMIFS('Daily Data'!$K$4:$K$503,'Daily Data'!$A$4:$A$503,$O44)))</f>
        <v>#N/A</v>
      </c>
    </row>
    <row r="45" spans="1:20" x14ac:dyDescent="0.3">
      <c r="A45" s="155" t="str">
        <f>IF(Symbols!A19="","",Symbols!A19)</f>
        <v>NMG</v>
      </c>
      <c r="B45" s="98">
        <f>IF($J45="","",SUMIFS('Daily Data'!$I$4:$I$503,'Daily Data'!$B$4:$B$503,$A45,'Daily Data'!$AL$4:$AL$503,$C$5,'Daily Data'!$AN$4:$AN$503,$C$4))</f>
        <v>0</v>
      </c>
      <c r="C45" s="98">
        <f>IF($J45="","",SUMIFS('Daily Data'!$K$4:$K$503,'Daily Data'!$B$4:$B$503,$A45,'Daily Data'!$AL$4:$AL$503,$C$5,'Daily Data'!$AN$4:$AN$503,$C$4))</f>
        <v>0</v>
      </c>
      <c r="D45" s="98">
        <f>IF($J45="","",SUMIFS('Daily Data'!$J$4:$J$503,'Daily Data'!$B$4:$B$503,$A45,'Daily Data'!$AL$4:$AL$503,$C$5,'Daily Data'!$AN$4:$AN$503,$C$4))</f>
        <v>0</v>
      </c>
      <c r="E45" s="99" t="str">
        <f>IF($J45="","",IFERROR(AVERAGEIFS('Daily Data'!$S$4:$S$503,'Daily Data'!$B$4:$B$503,$A45,'Daily Data'!$AL$4:$AL$503,$C$5,'Daily Data'!$AN$4:$AN$503,$C$4),""))</f>
        <v/>
      </c>
      <c r="F45" s="97" t="str">
        <f>IF(OR($J45="",N($L45)=0),"",$M45/$L45-1)</f>
        <v/>
      </c>
      <c r="G45" s="100">
        <f>IF($J45="","",IFERROR(AVERAGEIFS('Daily Data'!$AH$4:$AH$503,'Daily Data'!$B$4:$B$503,$A45,'Daily Data'!$AL$4:$AL$503,$C$5,'Daily Data'!$AN$4:$AN$503,$C$4),""))</f>
        <v>66.180000000000007</v>
      </c>
      <c r="H45" s="100">
        <f>IF($J45="","",IFERROR(AVERAGEIFS('Daily Data'!$AG$4:$AG$503,'Daily Data'!$B$4:$B$503,$A45,'Daily Data'!$AL$4:$AL$503,$C$5,'Daily Data'!$AN$4:$AN$503,$C$4),""))</f>
        <v>0</v>
      </c>
      <c r="I45" s="97" t="str">
        <f>IF($K45="","",IF(COUNTIFS('Daily Data'!$B$4:$B$503,$A45,'Daily Data'!$AK$4:$AK$503,$K45,'Daily Data'!$AA$4:$AA$503,"&gt;=-1E+300")=0,"",SUMIFS('Daily Data'!$AA$4:$AA$503,'Daily Data'!$B$4:$B$503,$A45,'Daily Data'!$AK$4:$AK$503,$K45)))</f>
        <v/>
      </c>
      <c r="J45" s="112">
        <f>IF($A45="","",IFERROR(IF(_xlfn.MINIFS('Daily Data'!$AK$4:$AK$503,'Daily Data'!$B$4:$B$503,$A45,'Daily Data'!$AL$4:$AL$503,$C$5,'Daily Data'!$AN$4:$AN$503,$C$4)=0,"",_xlfn.MINIFS('Daily Data'!$AK$4:$AK$503,'Daily Data'!$B$4:$B$503,$A45,'Daily Data'!$AL$4:$AL$503,$C$5,'Daily Data'!$AN$4:$AN$503,$C$4)),""))</f>
        <v>1</v>
      </c>
      <c r="K45" s="112">
        <f>IF($A45="","",IFERROR(IF(_xlfn.MAXIFS('Daily Data'!$AK$4:$AK$503,'Daily Data'!$B$4:$B$503,$A45,'Daily Data'!$AL$4:$AL$503,$C$5,'Daily Data'!$AN$4:$AN$503,$C$4)=0,"",_xlfn.MAXIFS('Daily Data'!$AK$4:$AK$503,'Daily Data'!$B$4:$B$503,$A45,'Daily Data'!$AL$4:$AL$503,$C$5,'Daily Data'!$AN$4:$AN$503,$C$4)),""))</f>
        <v>5</v>
      </c>
      <c r="L45" s="156">
        <f>IF($J45="","",SUMIFS('Daily Data'!$D$4:$D$503,'Daily Data'!$B$4:$B$503,$A45,'Daily Data'!$AK$4:$AK$503,$J45))</f>
        <v>0</v>
      </c>
      <c r="M45" s="156">
        <f>IF($K45="","",SUMIFS('Daily Data'!$E$4:$E$503,'Daily Data'!$B$4:$B$503,$A45,'Daily Data'!$AK$4:$AK$503,$K45))</f>
        <v>275</v>
      </c>
      <c r="O45" s="117">
        <f>IFERROR(IF(MONTH(DATE($C$5,$C$4,16))&lt;&gt;$C$4,NA(),DATE($C$5,$C$4,16)),NA())</f>
        <v>46250</v>
      </c>
      <c r="P45" s="116" t="e">
        <f>IF(ISNA($O45),NA(),IF(COUNTIFS('Daily Data'!$A$4:$A$503,$O45)=0,NA(),SUMIFS('Daily Data'!$I$4:$I$503,'Daily Data'!$A$4:$A$503,$O45)))</f>
        <v>#N/A</v>
      </c>
      <c r="Q45" s="116" t="e">
        <f>IF(ISNA($O45),NA(),IF(COUNTIFS('Daily Data'!$A$4:$A$503,$O45)=0,NA(),SUMIFS('Daily Data'!$K$4:$K$503,'Daily Data'!$A$4:$A$503,$O45)))</f>
        <v>#N/A</v>
      </c>
    </row>
    <row r="46" spans="1:20" x14ac:dyDescent="0.3">
      <c r="A46" s="155" t="str">
        <f>IF(Symbols!A20="","",Symbols!A20)</f>
        <v>PAL</v>
      </c>
      <c r="B46" s="98">
        <f>IF($J46="","",SUMIFS('Daily Data'!$I$4:$I$503,'Daily Data'!$B$4:$B$503,$A46,'Daily Data'!$AL$4:$AL$503,$C$5,'Daily Data'!$AN$4:$AN$503,$C$4))</f>
        <v>7564670</v>
      </c>
      <c r="C46" s="98">
        <f>IF($J46="","",SUMIFS('Daily Data'!$K$4:$K$503,'Daily Data'!$B$4:$B$503,$A46,'Daily Data'!$AL$4:$AL$503,$C$5,'Daily Data'!$AN$4:$AN$503,$C$4))</f>
        <v>23590</v>
      </c>
      <c r="D46" s="98">
        <f>IF($J46="","",SUMIFS('Daily Data'!$J$4:$J$503,'Daily Data'!$B$4:$B$503,$A46,'Daily Data'!$AL$4:$AL$503,$C$5,'Daily Data'!$AN$4:$AN$503,$C$4))</f>
        <v>222</v>
      </c>
      <c r="E46" s="99">
        <f>IF($J46="","",IFERROR(AVERAGEIFS('Daily Data'!$S$4:$S$503,'Daily Data'!$B$4:$B$503,$A46,'Daily Data'!$AL$4:$AL$503,$C$5,'Daily Data'!$AN$4:$AN$503,$C$4),""))</f>
        <v>0.63611433063009915</v>
      </c>
      <c r="F46" s="97" t="str">
        <f>IF(OR($J46="",N($L46)=0),"",$M46/$L46-1)</f>
        <v/>
      </c>
      <c r="G46" s="100">
        <f>IF($J46="","",IFERROR(AVERAGEIFS('Daily Data'!$AH$4:$AH$503,'Daily Data'!$B$4:$B$503,$A46,'Daily Data'!$AL$4:$AL$503,$C$5,'Daily Data'!$AN$4:$AN$503,$C$4),""))</f>
        <v>41.239999999999995</v>
      </c>
      <c r="H46" s="100">
        <f>IF($J46="","",IFERROR(AVERAGEIFS('Daily Data'!$AG$4:$AG$503,'Daily Data'!$B$4:$B$503,$A46,'Daily Data'!$AL$4:$AL$503,$C$5,'Daily Data'!$AN$4:$AN$503,$C$4),""))</f>
        <v>15.180000000000001</v>
      </c>
      <c r="I46" s="97" t="str">
        <f>IF($K46="","",IF(COUNTIFS('Daily Data'!$B$4:$B$503,$A46,'Daily Data'!$AK$4:$AK$503,$K46,'Daily Data'!$AA$4:$AA$503,"&gt;=-1E+300")=0,"",SUMIFS('Daily Data'!$AA$4:$AA$503,'Daily Data'!$B$4:$B$503,$A46,'Daily Data'!$AK$4:$AK$503,$K46)))</f>
        <v/>
      </c>
      <c r="J46" s="112">
        <f>IF($A46="","",IFERROR(IF(_xlfn.MINIFS('Daily Data'!$AK$4:$AK$503,'Daily Data'!$B$4:$B$503,$A46,'Daily Data'!$AL$4:$AL$503,$C$5,'Daily Data'!$AN$4:$AN$503,$C$4)=0,"",_xlfn.MINIFS('Daily Data'!$AK$4:$AK$503,'Daily Data'!$B$4:$B$503,$A46,'Daily Data'!$AL$4:$AL$503,$C$5,'Daily Data'!$AN$4:$AN$503,$C$4)),""))</f>
        <v>1</v>
      </c>
      <c r="K46" s="112">
        <f>IF($A46="","",IFERROR(IF(_xlfn.MAXIFS('Daily Data'!$AK$4:$AK$503,'Daily Data'!$B$4:$B$503,$A46,'Daily Data'!$AL$4:$AL$503,$C$5,'Daily Data'!$AN$4:$AN$503,$C$4)=0,"",_xlfn.MAXIFS('Daily Data'!$AK$4:$AK$503,'Daily Data'!$B$4:$B$503,$A46,'Daily Data'!$AL$4:$AL$503,$C$5,'Daily Data'!$AN$4:$AN$503,$C$4)),""))</f>
        <v>5</v>
      </c>
      <c r="L46" s="156">
        <f>IF($J46="","",SUMIFS('Daily Data'!$D$4:$D$503,'Daily Data'!$B$4:$B$503,$A46,'Daily Data'!$AK$4:$AK$503,$J46))</f>
        <v>0</v>
      </c>
      <c r="M46" s="156">
        <f>IF($K46="","",SUMIFS('Daily Data'!$E$4:$E$503,'Daily Data'!$B$4:$B$503,$A46,'Daily Data'!$AK$4:$AK$503,$K46))</f>
        <v>345</v>
      </c>
      <c r="O46" s="117">
        <f>IFERROR(IF(MONTH(DATE($C$5,$C$4,17))&lt;&gt;$C$4,NA(),DATE($C$5,$C$4,17)),NA())</f>
        <v>46251</v>
      </c>
      <c r="P46" s="116" t="e">
        <f>IF(ISNA($O46),NA(),IF(COUNTIFS('Daily Data'!$A$4:$A$503,$O46)=0,NA(),SUMIFS('Daily Data'!$I$4:$I$503,'Daily Data'!$A$4:$A$503,$O46)))</f>
        <v>#N/A</v>
      </c>
      <c r="Q46" s="116" t="e">
        <f>IF(ISNA($O46),NA(),IF(COUNTIFS('Daily Data'!$A$4:$A$503,$O46)=0,NA(),SUMIFS('Daily Data'!$K$4:$K$503,'Daily Data'!$A$4:$A$503,$O46)))</f>
        <v>#N/A</v>
      </c>
    </row>
    <row r="47" spans="1:20" x14ac:dyDescent="0.3">
      <c r="A47" s="155" t="str">
        <f>IF(Symbols!A21="","",Symbols!A21)</f>
        <v>SWALA</v>
      </c>
      <c r="B47" s="98">
        <f>IF($J47="","",SUMIFS('Daily Data'!$I$4:$I$503,'Daily Data'!$B$4:$B$503,$A47,'Daily Data'!$AL$4:$AL$503,$C$5,'Daily Data'!$AN$4:$AN$503,$C$4))</f>
        <v>0</v>
      </c>
      <c r="C47" s="98">
        <f>IF($J47="","",SUMIFS('Daily Data'!$K$4:$K$503,'Daily Data'!$B$4:$B$503,$A47,'Daily Data'!$AL$4:$AL$503,$C$5,'Daily Data'!$AN$4:$AN$503,$C$4))</f>
        <v>0</v>
      </c>
      <c r="D47" s="98">
        <f>IF($J47="","",SUMIFS('Daily Data'!$J$4:$J$503,'Daily Data'!$B$4:$B$503,$A47,'Daily Data'!$AL$4:$AL$503,$C$5,'Daily Data'!$AN$4:$AN$503,$C$4))</f>
        <v>0</v>
      </c>
      <c r="E47" s="99" t="str">
        <f>IF($J47="","",IFERROR(AVERAGEIFS('Daily Data'!$S$4:$S$503,'Daily Data'!$B$4:$B$503,$A47,'Daily Data'!$AL$4:$AL$503,$C$5,'Daily Data'!$AN$4:$AN$503,$C$4),""))</f>
        <v/>
      </c>
      <c r="F47" s="97" t="str">
        <f>IF(OR($J47="",N($L47)=0),"",$M47/$L47-1)</f>
        <v/>
      </c>
      <c r="G47" s="100">
        <f>IF($J47="","",IFERROR(AVERAGEIFS('Daily Data'!$AH$4:$AH$503,'Daily Data'!$B$4:$B$503,$A47,'Daily Data'!$AL$4:$AL$503,$C$5,'Daily Data'!$AN$4:$AN$503,$C$4),""))</f>
        <v>50</v>
      </c>
      <c r="H47" s="100">
        <f>IF($J47="","",IFERROR(AVERAGEIFS('Daily Data'!$AG$4:$AG$503,'Daily Data'!$B$4:$B$503,$A47,'Daily Data'!$AL$4:$AL$503,$C$5,'Daily Data'!$AN$4:$AN$503,$C$4),""))</f>
        <v>0</v>
      </c>
      <c r="I47" s="97" t="str">
        <f>IF($K47="","",IF(COUNTIFS('Daily Data'!$B$4:$B$503,$A47,'Daily Data'!$AK$4:$AK$503,$K47,'Daily Data'!$AA$4:$AA$503,"&gt;=-1E+300")=0,"",SUMIFS('Daily Data'!$AA$4:$AA$503,'Daily Data'!$B$4:$B$503,$A47,'Daily Data'!$AK$4:$AK$503,$K47)))</f>
        <v/>
      </c>
      <c r="J47" s="112">
        <f>IF($A47="","",IFERROR(IF(_xlfn.MINIFS('Daily Data'!$AK$4:$AK$503,'Daily Data'!$B$4:$B$503,$A47,'Daily Data'!$AL$4:$AL$503,$C$5,'Daily Data'!$AN$4:$AN$503,$C$4)=0,"",_xlfn.MINIFS('Daily Data'!$AK$4:$AK$503,'Daily Data'!$B$4:$B$503,$A47,'Daily Data'!$AL$4:$AL$503,$C$5,'Daily Data'!$AN$4:$AN$503,$C$4)),""))</f>
        <v>1</v>
      </c>
      <c r="K47" s="112">
        <f>IF($A47="","",IFERROR(IF(_xlfn.MAXIFS('Daily Data'!$AK$4:$AK$503,'Daily Data'!$B$4:$B$503,$A47,'Daily Data'!$AL$4:$AL$503,$C$5,'Daily Data'!$AN$4:$AN$503,$C$4)=0,"",_xlfn.MAXIFS('Daily Data'!$AK$4:$AK$503,'Daily Data'!$B$4:$B$503,$A47,'Daily Data'!$AL$4:$AL$503,$C$5,'Daily Data'!$AN$4:$AN$503,$C$4)),""))</f>
        <v>5</v>
      </c>
      <c r="L47" s="156">
        <f>IF($J47="","",SUMIFS('Daily Data'!$D$4:$D$503,'Daily Data'!$B$4:$B$503,$A47,'Daily Data'!$AK$4:$AK$503,$J47))</f>
        <v>0</v>
      </c>
      <c r="M47" s="156">
        <f>IF($K47="","",SUMIFS('Daily Data'!$E$4:$E$503,'Daily Data'!$B$4:$B$503,$A47,'Daily Data'!$AK$4:$AK$503,$K47))</f>
        <v>450</v>
      </c>
      <c r="O47" s="117">
        <f>IFERROR(IF(MONTH(DATE($C$5,$C$4,18))&lt;&gt;$C$4,NA(),DATE($C$5,$C$4,18)),NA())</f>
        <v>46252</v>
      </c>
      <c r="P47" s="116" t="e">
        <f>IF(ISNA($O47),NA(),IF(COUNTIFS('Daily Data'!$A$4:$A$503,$O47)=0,NA(),SUMIFS('Daily Data'!$I$4:$I$503,'Daily Data'!$A$4:$A$503,$O47)))</f>
        <v>#N/A</v>
      </c>
      <c r="Q47" s="116" t="e">
        <f>IF(ISNA($O47),NA(),IF(COUNTIFS('Daily Data'!$A$4:$A$503,$O47)=0,NA(),SUMIFS('Daily Data'!$K$4:$K$503,'Daily Data'!$A$4:$A$503,$O47)))</f>
        <v>#N/A</v>
      </c>
    </row>
    <row r="48" spans="1:20" x14ac:dyDescent="0.3">
      <c r="A48" s="155" t="str">
        <f>IF(Symbols!A22="","",Symbols!A22)</f>
        <v>SWIS</v>
      </c>
      <c r="B48" s="98">
        <f>IF($J48="","",SUMIFS('Daily Data'!$I$4:$I$503,'Daily Data'!$B$4:$B$503,$A48,'Daily Data'!$AL$4:$AL$503,$C$5,'Daily Data'!$AN$4:$AN$503,$C$4))</f>
        <v>52263470</v>
      </c>
      <c r="C48" s="98">
        <f>IF($J48="","",SUMIFS('Daily Data'!$K$4:$K$503,'Daily Data'!$B$4:$B$503,$A48,'Daily Data'!$AL$4:$AL$503,$C$5,'Daily Data'!$AN$4:$AN$503,$C$4))</f>
        <v>21566</v>
      </c>
      <c r="D48" s="98">
        <f>IF($J48="","",SUMIFS('Daily Data'!$J$4:$J$503,'Daily Data'!$B$4:$B$503,$A48,'Daily Data'!$AL$4:$AL$503,$C$5,'Daily Data'!$AN$4:$AN$503,$C$4))</f>
        <v>159</v>
      </c>
      <c r="E48" s="99">
        <f>IF($J48="","",IFERROR(AVERAGEIFS('Daily Data'!$S$4:$S$503,'Daily Data'!$B$4:$B$503,$A48,'Daily Data'!$AL$4:$AL$503,$C$5,'Daily Data'!$AN$4:$AN$503,$C$4),""))</f>
        <v>6.2806457316385425</v>
      </c>
      <c r="F48" s="97" t="str">
        <f>IF(OR($J48="",N($L48)=0),"",$M48/$L48-1)</f>
        <v/>
      </c>
      <c r="G48" s="100">
        <f>IF($J48="","",IFERROR(AVERAGEIFS('Daily Data'!$AH$4:$AH$503,'Daily Data'!$B$4:$B$503,$A48,'Daily Data'!$AL$4:$AL$503,$C$5,'Daily Data'!$AN$4:$AN$503,$C$4),""))</f>
        <v>54.959999999999994</v>
      </c>
      <c r="H48" s="100">
        <f>IF($J48="","",IFERROR(AVERAGEIFS('Daily Data'!$AG$4:$AG$503,'Daily Data'!$B$4:$B$503,$A48,'Daily Data'!$AL$4:$AL$503,$C$5,'Daily Data'!$AN$4:$AN$503,$C$4),""))</f>
        <v>11.239999999999998</v>
      </c>
      <c r="I48" s="97" t="str">
        <f>IF($K48="","",IF(COUNTIFS('Daily Data'!$B$4:$B$503,$A48,'Daily Data'!$AK$4:$AK$503,$K48,'Daily Data'!$AA$4:$AA$503,"&gt;=-1E+300")=0,"",SUMIFS('Daily Data'!$AA$4:$AA$503,'Daily Data'!$B$4:$B$503,$A48,'Daily Data'!$AK$4:$AK$503,$K48)))</f>
        <v/>
      </c>
      <c r="J48" s="112">
        <f>IF($A48="","",IFERROR(IF(_xlfn.MINIFS('Daily Data'!$AK$4:$AK$503,'Daily Data'!$B$4:$B$503,$A48,'Daily Data'!$AL$4:$AL$503,$C$5,'Daily Data'!$AN$4:$AN$503,$C$4)=0,"",_xlfn.MINIFS('Daily Data'!$AK$4:$AK$503,'Daily Data'!$B$4:$B$503,$A48,'Daily Data'!$AL$4:$AL$503,$C$5,'Daily Data'!$AN$4:$AN$503,$C$4)),""))</f>
        <v>1</v>
      </c>
      <c r="K48" s="112">
        <f>IF($A48="","",IFERROR(IF(_xlfn.MAXIFS('Daily Data'!$AK$4:$AK$503,'Daily Data'!$B$4:$B$503,$A48,'Daily Data'!$AL$4:$AL$503,$C$5,'Daily Data'!$AN$4:$AN$503,$C$4)=0,"",_xlfn.MAXIFS('Daily Data'!$AK$4:$AK$503,'Daily Data'!$B$4:$B$503,$A48,'Daily Data'!$AL$4:$AL$503,$C$5,'Daily Data'!$AN$4:$AN$503,$C$4)),""))</f>
        <v>5</v>
      </c>
      <c r="L48" s="156">
        <f>IF($J48="","",SUMIFS('Daily Data'!$D$4:$D$503,'Daily Data'!$B$4:$B$503,$A48,'Daily Data'!$AK$4:$AK$503,$J48))</f>
        <v>0</v>
      </c>
      <c r="M48" s="156">
        <f>IF($K48="","",SUMIFS('Daily Data'!$E$4:$E$503,'Daily Data'!$B$4:$B$503,$A48,'Daily Data'!$AK$4:$AK$503,$K48))</f>
        <v>2570</v>
      </c>
      <c r="O48" s="117">
        <f>IFERROR(IF(MONTH(DATE($C$5,$C$4,19))&lt;&gt;$C$4,NA(),DATE($C$5,$C$4,19)),NA())</f>
        <v>46253</v>
      </c>
      <c r="P48" s="116" t="e">
        <f>IF(ISNA($O48),NA(),IF(COUNTIFS('Daily Data'!$A$4:$A$503,$O48)=0,NA(),SUMIFS('Daily Data'!$I$4:$I$503,'Daily Data'!$A$4:$A$503,$O48)))</f>
        <v>#N/A</v>
      </c>
      <c r="Q48" s="116" t="e">
        <f>IF(ISNA($O48),NA(),IF(COUNTIFS('Daily Data'!$A$4:$A$503,$O48)=0,NA(),SUMIFS('Daily Data'!$K$4:$K$503,'Daily Data'!$A$4:$A$503,$O48)))</f>
        <v>#N/A</v>
      </c>
    </row>
    <row r="49" spans="1:17" x14ac:dyDescent="0.3">
      <c r="A49" s="155" t="str">
        <f>IF(Symbols!A23="","",Symbols!A23)</f>
        <v>TBL</v>
      </c>
      <c r="B49" s="98">
        <f>IF($J49="","",SUMIFS('Daily Data'!$I$4:$I$503,'Daily Data'!$B$4:$B$503,$A49,'Daily Data'!$AL$4:$AL$503,$C$5,'Daily Data'!$AN$4:$AN$503,$C$4))</f>
        <v>145596210</v>
      </c>
      <c r="C49" s="98">
        <f>IF($J49="","",SUMIFS('Daily Data'!$K$4:$K$503,'Daily Data'!$B$4:$B$503,$A49,'Daily Data'!$AL$4:$AL$503,$C$5,'Daily Data'!$AN$4:$AN$503,$C$4))</f>
        <v>14607</v>
      </c>
      <c r="D49" s="98">
        <f>IF($J49="","",SUMIFS('Daily Data'!$J$4:$J$503,'Daily Data'!$B$4:$B$503,$A49,'Daily Data'!$AL$4:$AL$503,$C$5,'Daily Data'!$AN$4:$AN$503,$C$4))</f>
        <v>149</v>
      </c>
      <c r="E49" s="99">
        <f>IF($J49="","",IFERROR(AVERAGEIFS('Daily Data'!$S$4:$S$503,'Daily Data'!$B$4:$B$503,$A49,'Daily Data'!$AL$4:$AL$503,$C$5,'Daily Data'!$AN$4:$AN$503,$C$4),""))</f>
        <v>0.42862324786852407</v>
      </c>
      <c r="F49" s="97" t="str">
        <f>IF(OR($J49="",N($L49)=0),"",$M49/$L49-1)</f>
        <v/>
      </c>
      <c r="G49" s="100">
        <f>IF($J49="","",IFERROR(AVERAGEIFS('Daily Data'!$AH$4:$AH$503,'Daily Data'!$B$4:$B$503,$A49,'Daily Data'!$AL$4:$AL$503,$C$5,'Daily Data'!$AN$4:$AN$503,$C$4),""))</f>
        <v>40.5</v>
      </c>
      <c r="H49" s="100">
        <f>IF($J49="","",IFERROR(AVERAGEIFS('Daily Data'!$AG$4:$AG$503,'Daily Data'!$B$4:$B$503,$A49,'Daily Data'!$AL$4:$AL$503,$C$5,'Daily Data'!$AN$4:$AN$503,$C$4),""))</f>
        <v>11.1</v>
      </c>
      <c r="I49" s="97" t="str">
        <f>IF($K49="","",IF(COUNTIFS('Daily Data'!$B$4:$B$503,$A49,'Daily Data'!$AK$4:$AK$503,$K49,'Daily Data'!$AA$4:$AA$503,"&gt;=-1E+300")=0,"",SUMIFS('Daily Data'!$AA$4:$AA$503,'Daily Data'!$B$4:$B$503,$A49,'Daily Data'!$AK$4:$AK$503,$K49)))</f>
        <v/>
      </c>
      <c r="J49" s="112">
        <f>IF($A49="","",IFERROR(IF(_xlfn.MINIFS('Daily Data'!$AK$4:$AK$503,'Daily Data'!$B$4:$B$503,$A49,'Daily Data'!$AL$4:$AL$503,$C$5,'Daily Data'!$AN$4:$AN$503,$C$4)=0,"",_xlfn.MINIFS('Daily Data'!$AK$4:$AK$503,'Daily Data'!$B$4:$B$503,$A49,'Daily Data'!$AL$4:$AL$503,$C$5,'Daily Data'!$AN$4:$AN$503,$C$4)),""))</f>
        <v>1</v>
      </c>
      <c r="K49" s="112">
        <f>IF($A49="","",IFERROR(IF(_xlfn.MAXIFS('Daily Data'!$AK$4:$AK$503,'Daily Data'!$B$4:$B$503,$A49,'Daily Data'!$AL$4:$AL$503,$C$5,'Daily Data'!$AN$4:$AN$503,$C$4)=0,"",_xlfn.MAXIFS('Daily Data'!$AK$4:$AK$503,'Daily Data'!$B$4:$B$503,$A49,'Daily Data'!$AL$4:$AL$503,$C$5,'Daily Data'!$AN$4:$AN$503,$C$4)),""))</f>
        <v>5</v>
      </c>
      <c r="L49" s="156">
        <f>IF($J49="","",SUMIFS('Daily Data'!$D$4:$D$503,'Daily Data'!$B$4:$B$503,$A49,'Daily Data'!$AK$4:$AK$503,$J49))</f>
        <v>0</v>
      </c>
      <c r="M49" s="156">
        <f>IF($K49="","",SUMIFS('Daily Data'!$E$4:$E$503,'Daily Data'!$B$4:$B$503,$A49,'Daily Data'!$AK$4:$AK$503,$K49))</f>
        <v>9930</v>
      </c>
      <c r="O49" s="117">
        <f>IFERROR(IF(MONTH(DATE($C$5,$C$4,20))&lt;&gt;$C$4,NA(),DATE($C$5,$C$4,20)),NA())</f>
        <v>46254</v>
      </c>
      <c r="P49" s="116" t="e">
        <f>IF(ISNA($O49),NA(),IF(COUNTIFS('Daily Data'!$A$4:$A$503,$O49)=0,NA(),SUMIFS('Daily Data'!$I$4:$I$503,'Daily Data'!$A$4:$A$503,$O49)))</f>
        <v>#N/A</v>
      </c>
      <c r="Q49" s="116" t="e">
        <f>IF(ISNA($O49),NA(),IF(COUNTIFS('Daily Data'!$A$4:$A$503,$O49)=0,NA(),SUMIFS('Daily Data'!$K$4:$K$503,'Daily Data'!$A$4:$A$503,$O49)))</f>
        <v>#N/A</v>
      </c>
    </row>
    <row r="50" spans="1:17" x14ac:dyDescent="0.3">
      <c r="A50" s="155" t="str">
        <f>IF(Symbols!A24="","",Symbols!A24)</f>
        <v>TCC</v>
      </c>
      <c r="B50" s="98">
        <f>IF($J50="","",SUMIFS('Daily Data'!$I$4:$I$503,'Daily Data'!$B$4:$B$503,$A50,'Daily Data'!$AL$4:$AL$503,$C$5,'Daily Data'!$AN$4:$AN$503,$C$4))</f>
        <v>48159500</v>
      </c>
      <c r="C50" s="98">
        <f>IF($J50="","",SUMIFS('Daily Data'!$K$4:$K$503,'Daily Data'!$B$4:$B$503,$A50,'Daily Data'!$AL$4:$AL$503,$C$5,'Daily Data'!$AN$4:$AN$503,$C$4))</f>
        <v>3855</v>
      </c>
      <c r="D50" s="98">
        <f>IF($J50="","",SUMIFS('Daily Data'!$J$4:$J$503,'Daily Data'!$B$4:$B$503,$A50,'Daily Data'!$AL$4:$AL$503,$C$5,'Daily Data'!$AN$4:$AN$503,$C$4))</f>
        <v>55</v>
      </c>
      <c r="E50" s="99">
        <f>IF($J50="","",IFERROR(AVERAGEIFS('Daily Data'!$S$4:$S$503,'Daily Data'!$B$4:$B$503,$A50,'Daily Data'!$AL$4:$AL$503,$C$5,'Daily Data'!$AN$4:$AN$503,$C$4),""))</f>
        <v>39.738956086009409</v>
      </c>
      <c r="F50" s="97" t="str">
        <f>IF(OR($J50="",N($L50)=0),"",$M50/$L50-1)</f>
        <v/>
      </c>
      <c r="G50" s="100">
        <f>IF($J50="","",IFERROR(AVERAGEIFS('Daily Data'!$AH$4:$AH$503,'Daily Data'!$B$4:$B$503,$A50,'Daily Data'!$AL$4:$AL$503,$C$5,'Daily Data'!$AN$4:$AN$503,$C$4),""))</f>
        <v>65.97999999999999</v>
      </c>
      <c r="H50" s="100">
        <f>IF($J50="","",IFERROR(AVERAGEIFS('Daily Data'!$AG$4:$AG$503,'Daily Data'!$B$4:$B$503,$A50,'Daily Data'!$AL$4:$AL$503,$C$5,'Daily Data'!$AN$4:$AN$503,$C$4),""))</f>
        <v>4.04</v>
      </c>
      <c r="I50" s="97" t="str">
        <f>IF($K50="","",IF(COUNTIFS('Daily Data'!$B$4:$B$503,$A50,'Daily Data'!$AK$4:$AK$503,$K50,'Daily Data'!$AA$4:$AA$503,"&gt;=-1E+300")=0,"",SUMIFS('Daily Data'!$AA$4:$AA$503,'Daily Data'!$B$4:$B$503,$A50,'Daily Data'!$AK$4:$AK$503,$K50)))</f>
        <v/>
      </c>
      <c r="J50" s="112">
        <f>IF($A50="","",IFERROR(IF(_xlfn.MINIFS('Daily Data'!$AK$4:$AK$503,'Daily Data'!$B$4:$B$503,$A50,'Daily Data'!$AL$4:$AL$503,$C$5,'Daily Data'!$AN$4:$AN$503,$C$4)=0,"",_xlfn.MINIFS('Daily Data'!$AK$4:$AK$503,'Daily Data'!$B$4:$B$503,$A50,'Daily Data'!$AL$4:$AL$503,$C$5,'Daily Data'!$AN$4:$AN$503,$C$4)),""))</f>
        <v>1</v>
      </c>
      <c r="K50" s="112">
        <f>IF($A50="","",IFERROR(IF(_xlfn.MAXIFS('Daily Data'!$AK$4:$AK$503,'Daily Data'!$B$4:$B$503,$A50,'Daily Data'!$AL$4:$AL$503,$C$5,'Daily Data'!$AN$4:$AN$503,$C$4)=0,"",_xlfn.MAXIFS('Daily Data'!$AK$4:$AK$503,'Daily Data'!$B$4:$B$503,$A50,'Daily Data'!$AL$4:$AL$503,$C$5,'Daily Data'!$AN$4:$AN$503,$C$4)),""))</f>
        <v>5</v>
      </c>
      <c r="L50" s="156">
        <f>IF($J50="","",SUMIFS('Daily Data'!$D$4:$D$503,'Daily Data'!$B$4:$B$503,$A50,'Daily Data'!$AK$4:$AK$503,$J50))</f>
        <v>0</v>
      </c>
      <c r="M50" s="156">
        <f>IF($K50="","",SUMIFS('Daily Data'!$E$4:$E$503,'Daily Data'!$B$4:$B$503,$A50,'Daily Data'!$AK$4:$AK$503,$K50))</f>
        <v>12500</v>
      </c>
      <c r="O50" s="117">
        <f>IFERROR(IF(MONTH(DATE($C$5,$C$4,21))&lt;&gt;$C$4,NA(),DATE($C$5,$C$4,21)),NA())</f>
        <v>46255</v>
      </c>
      <c r="P50" s="116" t="e">
        <f>IF(ISNA($O50),NA(),IF(COUNTIFS('Daily Data'!$A$4:$A$503,$O50)=0,NA(),SUMIFS('Daily Data'!$I$4:$I$503,'Daily Data'!$A$4:$A$503,$O50)))</f>
        <v>#N/A</v>
      </c>
      <c r="Q50" s="116" t="e">
        <f>IF(ISNA($O50),NA(),IF(COUNTIFS('Daily Data'!$A$4:$A$503,$O50)=0,NA(),SUMIFS('Daily Data'!$K$4:$K$503,'Daily Data'!$A$4:$A$503,$O50)))</f>
        <v>#N/A</v>
      </c>
    </row>
    <row r="51" spans="1:17" x14ac:dyDescent="0.3">
      <c r="A51" s="155" t="str">
        <f>IF(Symbols!A25="","",Symbols!A25)</f>
        <v>TCCL</v>
      </c>
      <c r="B51" s="98">
        <f>IF($J51="","",SUMIFS('Daily Data'!$I$4:$I$503,'Daily Data'!$B$4:$B$503,$A51,'Daily Data'!$AL$4:$AL$503,$C$5,'Daily Data'!$AN$4:$AN$503,$C$4))</f>
        <v>713928490</v>
      </c>
      <c r="C51" s="98">
        <f>IF($J51="","",SUMIFS('Daily Data'!$K$4:$K$503,'Daily Data'!$B$4:$B$503,$A51,'Daily Data'!$AL$4:$AL$503,$C$5,'Daily Data'!$AN$4:$AN$503,$C$4))</f>
        <v>219698</v>
      </c>
      <c r="D51" s="98">
        <f>IF($J51="","",SUMIFS('Daily Data'!$J$4:$J$503,'Daily Data'!$B$4:$B$503,$A51,'Daily Data'!$AL$4:$AL$503,$C$5,'Daily Data'!$AN$4:$AN$503,$C$4))</f>
        <v>138</v>
      </c>
      <c r="E51" s="99">
        <f>IF($J51="","",IFERROR(AVERAGEIFS('Daily Data'!$S$4:$S$503,'Daily Data'!$B$4:$B$503,$A51,'Daily Data'!$AL$4:$AL$503,$C$5,'Daily Data'!$AN$4:$AN$503,$C$4),""))</f>
        <v>3.0140296492751548</v>
      </c>
      <c r="F51" s="97" t="str">
        <f>IF(OR($J51="",N($L51)=0),"",$M51/$L51-1)</f>
        <v/>
      </c>
      <c r="G51" s="100">
        <f>IF($J51="","",IFERROR(AVERAGEIFS('Daily Data'!$AH$4:$AH$503,'Daily Data'!$B$4:$B$503,$A51,'Daily Data'!$AL$4:$AL$503,$C$5,'Daily Data'!$AN$4:$AN$503,$C$4),""))</f>
        <v>55.659999999999989</v>
      </c>
      <c r="H51" s="100">
        <f>IF($J51="","",IFERROR(AVERAGEIFS('Daily Data'!$AG$4:$AG$503,'Daily Data'!$B$4:$B$503,$A51,'Daily Data'!$AL$4:$AL$503,$C$5,'Daily Data'!$AN$4:$AN$503,$C$4),""))</f>
        <v>16.899999999999999</v>
      </c>
      <c r="I51" s="97" t="str">
        <f>IF($K51="","",IF(COUNTIFS('Daily Data'!$B$4:$B$503,$A51,'Daily Data'!$AK$4:$AK$503,$K51,'Daily Data'!$AA$4:$AA$503,"&gt;=-1E+300")=0,"",SUMIFS('Daily Data'!$AA$4:$AA$503,'Daily Data'!$B$4:$B$503,$A51,'Daily Data'!$AK$4:$AK$503,$K51)))</f>
        <v/>
      </c>
      <c r="J51" s="112">
        <f>IF($A51="","",IFERROR(IF(_xlfn.MINIFS('Daily Data'!$AK$4:$AK$503,'Daily Data'!$B$4:$B$503,$A51,'Daily Data'!$AL$4:$AL$503,$C$5,'Daily Data'!$AN$4:$AN$503,$C$4)=0,"",_xlfn.MINIFS('Daily Data'!$AK$4:$AK$503,'Daily Data'!$B$4:$B$503,$A51,'Daily Data'!$AL$4:$AL$503,$C$5,'Daily Data'!$AN$4:$AN$503,$C$4)),""))</f>
        <v>1</v>
      </c>
      <c r="K51" s="112">
        <f>IF($A51="","",IFERROR(IF(_xlfn.MAXIFS('Daily Data'!$AK$4:$AK$503,'Daily Data'!$B$4:$B$503,$A51,'Daily Data'!$AL$4:$AL$503,$C$5,'Daily Data'!$AN$4:$AN$503,$C$4)=0,"",_xlfn.MAXIFS('Daily Data'!$AK$4:$AK$503,'Daily Data'!$B$4:$B$503,$A51,'Daily Data'!$AL$4:$AL$503,$C$5,'Daily Data'!$AN$4:$AN$503,$C$4)),""))</f>
        <v>5</v>
      </c>
      <c r="L51" s="156">
        <f>IF($J51="","",SUMIFS('Daily Data'!$D$4:$D$503,'Daily Data'!$B$4:$B$503,$A51,'Daily Data'!$AK$4:$AK$503,$J51))</f>
        <v>0</v>
      </c>
      <c r="M51" s="156">
        <f>IF($K51="","",SUMIFS('Daily Data'!$E$4:$E$503,'Daily Data'!$B$4:$B$503,$A51,'Daily Data'!$AK$4:$AK$503,$K51))</f>
        <v>3950</v>
      </c>
      <c r="O51" s="117">
        <f>IFERROR(IF(MONTH(DATE($C$5,$C$4,22))&lt;&gt;$C$4,NA(),DATE($C$5,$C$4,22)),NA())</f>
        <v>46256</v>
      </c>
      <c r="P51" s="116" t="e">
        <f>IF(ISNA($O51),NA(),IF(COUNTIFS('Daily Data'!$A$4:$A$503,$O51)=0,NA(),SUMIFS('Daily Data'!$I$4:$I$503,'Daily Data'!$A$4:$A$503,$O51)))</f>
        <v>#N/A</v>
      </c>
      <c r="Q51" s="116" t="e">
        <f>IF(ISNA($O51),NA(),IF(COUNTIFS('Daily Data'!$A$4:$A$503,$O51)=0,NA(),SUMIFS('Daily Data'!$K$4:$K$503,'Daily Data'!$A$4:$A$503,$O51)))</f>
        <v>#N/A</v>
      </c>
    </row>
    <row r="52" spans="1:17" x14ac:dyDescent="0.3">
      <c r="A52" s="155" t="str">
        <f>IF(Symbols!A26="","",Symbols!A26)</f>
        <v>TOL</v>
      </c>
      <c r="B52" s="98">
        <f>IF($J52="","",SUMIFS('Daily Data'!$I$4:$I$503,'Daily Data'!$B$4:$B$503,$A52,'Daily Data'!$AL$4:$AL$503,$C$5,'Daily Data'!$AN$4:$AN$503,$C$4))</f>
        <v>21955960</v>
      </c>
      <c r="C52" s="98">
        <f>IF($J52="","",SUMIFS('Daily Data'!$K$4:$K$503,'Daily Data'!$B$4:$B$503,$A52,'Daily Data'!$AL$4:$AL$503,$C$5,'Daily Data'!$AN$4:$AN$503,$C$4))</f>
        <v>14949</v>
      </c>
      <c r="D52" s="98">
        <f>IF($J52="","",SUMIFS('Daily Data'!$J$4:$J$503,'Daily Data'!$B$4:$B$503,$A52,'Daily Data'!$AL$4:$AL$503,$C$5,'Daily Data'!$AN$4:$AN$503,$C$4))</f>
        <v>145</v>
      </c>
      <c r="E52" s="99">
        <f>IF($J52="","",IFERROR(AVERAGEIFS('Daily Data'!$S$4:$S$503,'Daily Data'!$B$4:$B$503,$A52,'Daily Data'!$AL$4:$AL$503,$C$5,'Daily Data'!$AN$4:$AN$503,$C$4),""))</f>
        <v>0.2084623559538657</v>
      </c>
      <c r="F52" s="97" t="str">
        <f>IF(OR($J52="",N($L52)=0),"",$M52/$L52-1)</f>
        <v/>
      </c>
      <c r="G52" s="100">
        <f>IF($J52="","",IFERROR(AVERAGEIFS('Daily Data'!$AH$4:$AH$503,'Daily Data'!$B$4:$B$503,$A52,'Daily Data'!$AL$4:$AL$503,$C$5,'Daily Data'!$AN$4:$AN$503,$C$4),""))</f>
        <v>33.340000000000003</v>
      </c>
      <c r="H52" s="100">
        <f>IF($J52="","",IFERROR(AVERAGEIFS('Daily Data'!$AG$4:$AG$503,'Daily Data'!$B$4:$B$503,$A52,'Daily Data'!$AL$4:$AL$503,$C$5,'Daily Data'!$AN$4:$AN$503,$C$4),""))</f>
        <v>10.040000000000001</v>
      </c>
      <c r="I52" s="97" t="str">
        <f>IF($K52="","",IF(COUNTIFS('Daily Data'!$B$4:$B$503,$A52,'Daily Data'!$AK$4:$AK$503,$K52,'Daily Data'!$AA$4:$AA$503,"&gt;=-1E+300")=0,"",SUMIFS('Daily Data'!$AA$4:$AA$503,'Daily Data'!$B$4:$B$503,$A52,'Daily Data'!$AK$4:$AK$503,$K52)))</f>
        <v/>
      </c>
      <c r="J52" s="112">
        <f>IF($A52="","",IFERROR(IF(_xlfn.MINIFS('Daily Data'!$AK$4:$AK$503,'Daily Data'!$B$4:$B$503,$A52,'Daily Data'!$AL$4:$AL$503,$C$5,'Daily Data'!$AN$4:$AN$503,$C$4)=0,"",_xlfn.MINIFS('Daily Data'!$AK$4:$AK$503,'Daily Data'!$B$4:$B$503,$A52,'Daily Data'!$AL$4:$AL$503,$C$5,'Daily Data'!$AN$4:$AN$503,$C$4)),""))</f>
        <v>1</v>
      </c>
      <c r="K52" s="112">
        <f>IF($A52="","",IFERROR(IF(_xlfn.MAXIFS('Daily Data'!$AK$4:$AK$503,'Daily Data'!$B$4:$B$503,$A52,'Daily Data'!$AL$4:$AL$503,$C$5,'Daily Data'!$AN$4:$AN$503,$C$4)=0,"",_xlfn.MAXIFS('Daily Data'!$AK$4:$AK$503,'Daily Data'!$B$4:$B$503,$A52,'Daily Data'!$AL$4:$AL$503,$C$5,'Daily Data'!$AN$4:$AN$503,$C$4)),""))</f>
        <v>5</v>
      </c>
      <c r="L52" s="156">
        <f>IF($J52="","",SUMIFS('Daily Data'!$D$4:$D$503,'Daily Data'!$B$4:$B$503,$A52,'Daily Data'!$AK$4:$AK$503,$J52))</f>
        <v>0</v>
      </c>
      <c r="M52" s="156">
        <f>IF($K52="","",SUMIFS('Daily Data'!$E$4:$E$503,'Daily Data'!$B$4:$B$503,$A52,'Daily Data'!$AK$4:$AK$503,$K52))</f>
        <v>1490</v>
      </c>
      <c r="O52" s="117">
        <f>IFERROR(IF(MONTH(DATE($C$5,$C$4,23))&lt;&gt;$C$4,NA(),DATE($C$5,$C$4,23)),NA())</f>
        <v>46257</v>
      </c>
      <c r="P52" s="116" t="e">
        <f>IF(ISNA($O52),NA(),IF(COUNTIFS('Daily Data'!$A$4:$A$503,$O52)=0,NA(),SUMIFS('Daily Data'!$I$4:$I$503,'Daily Data'!$A$4:$A$503,$O52)))</f>
        <v>#N/A</v>
      </c>
      <c r="Q52" s="116" t="e">
        <f>IF(ISNA($O52),NA(),IF(COUNTIFS('Daily Data'!$A$4:$A$503,$O52)=0,NA(),SUMIFS('Daily Data'!$K$4:$K$503,'Daily Data'!$A$4:$A$503,$O52)))</f>
        <v>#N/A</v>
      </c>
    </row>
    <row r="53" spans="1:17" x14ac:dyDescent="0.3">
      <c r="A53" s="155" t="str">
        <f>IF(Symbols!A27="","",Symbols!A27)</f>
        <v>TPCC</v>
      </c>
      <c r="B53" s="98">
        <f>IF($J53="","",SUMIFS('Daily Data'!$I$4:$I$503,'Daily Data'!$B$4:$B$503,$A53,'Daily Data'!$AL$4:$AL$503,$C$5,'Daily Data'!$AN$4:$AN$503,$C$4))</f>
        <v>1537428110</v>
      </c>
      <c r="C53" s="98">
        <f>IF($J53="","",SUMIFS('Daily Data'!$K$4:$K$503,'Daily Data'!$B$4:$B$503,$A53,'Daily Data'!$AL$4:$AL$503,$C$5,'Daily Data'!$AN$4:$AN$503,$C$4))</f>
        <v>258399</v>
      </c>
      <c r="D53" s="98">
        <f>IF($J53="","",SUMIFS('Daily Data'!$J$4:$J$503,'Daily Data'!$B$4:$B$503,$A53,'Daily Data'!$AL$4:$AL$503,$C$5,'Daily Data'!$AN$4:$AN$503,$C$4))</f>
        <v>128</v>
      </c>
      <c r="E53" s="99">
        <f>IF($J53="","",IFERROR(AVERAGEIFS('Daily Data'!$S$4:$S$503,'Daily Data'!$B$4:$B$503,$A53,'Daily Data'!$AL$4:$AL$503,$C$5,'Daily Data'!$AN$4:$AN$503,$C$4),""))</f>
        <v>866</v>
      </c>
      <c r="F53" s="97" t="str">
        <f>IF(OR($J53="",N($L53)=0),"",$M53/$L53-1)</f>
        <v/>
      </c>
      <c r="G53" s="100">
        <f>IF($J53="","",IFERROR(AVERAGEIFS('Daily Data'!$AH$4:$AH$503,'Daily Data'!$B$4:$B$503,$A53,'Daily Data'!$AL$4:$AL$503,$C$5,'Daily Data'!$AN$4:$AN$503,$C$4),""))</f>
        <v>67.47999999999999</v>
      </c>
      <c r="H53" s="100">
        <f>IF($J53="","",IFERROR(AVERAGEIFS('Daily Data'!$AG$4:$AG$503,'Daily Data'!$B$4:$B$503,$A53,'Daily Data'!$AL$4:$AL$503,$C$5,'Daily Data'!$AN$4:$AN$503,$C$4),""))</f>
        <v>18.880000000000003</v>
      </c>
      <c r="I53" s="97" t="str">
        <f>IF($K53="","",IF(COUNTIFS('Daily Data'!$B$4:$B$503,$A53,'Daily Data'!$AK$4:$AK$503,$K53,'Daily Data'!$AA$4:$AA$503,"&gt;=-1E+300")=0,"",SUMIFS('Daily Data'!$AA$4:$AA$503,'Daily Data'!$B$4:$B$503,$A53,'Daily Data'!$AK$4:$AK$503,$K53)))</f>
        <v/>
      </c>
      <c r="J53" s="112">
        <f>IF($A53="","",IFERROR(IF(_xlfn.MINIFS('Daily Data'!$AK$4:$AK$503,'Daily Data'!$B$4:$B$503,$A53,'Daily Data'!$AL$4:$AL$503,$C$5,'Daily Data'!$AN$4:$AN$503,$C$4)=0,"",_xlfn.MINIFS('Daily Data'!$AK$4:$AK$503,'Daily Data'!$B$4:$B$503,$A53,'Daily Data'!$AL$4:$AL$503,$C$5,'Daily Data'!$AN$4:$AN$503,$C$4)),""))</f>
        <v>1</v>
      </c>
      <c r="K53" s="112">
        <f>IF($A53="","",IFERROR(IF(_xlfn.MAXIFS('Daily Data'!$AK$4:$AK$503,'Daily Data'!$B$4:$B$503,$A53,'Daily Data'!$AL$4:$AL$503,$C$5,'Daily Data'!$AN$4:$AN$503,$C$4)=0,"",_xlfn.MAXIFS('Daily Data'!$AK$4:$AK$503,'Daily Data'!$B$4:$B$503,$A53,'Daily Data'!$AL$4:$AL$503,$C$5,'Daily Data'!$AN$4:$AN$503,$C$4)),""))</f>
        <v>5</v>
      </c>
      <c r="L53" s="156">
        <f>IF($J53="","",SUMIFS('Daily Data'!$D$4:$D$503,'Daily Data'!$B$4:$B$503,$A53,'Daily Data'!$AK$4:$AK$503,$J53))</f>
        <v>0</v>
      </c>
      <c r="M53" s="156">
        <f>IF($K53="","",SUMIFS('Daily Data'!$E$4:$E$503,'Daily Data'!$B$4:$B$503,$A53,'Daily Data'!$AK$4:$AK$503,$K53))</f>
        <v>6050</v>
      </c>
      <c r="O53" s="117">
        <f>IFERROR(IF(MONTH(DATE($C$5,$C$4,24))&lt;&gt;$C$4,NA(),DATE($C$5,$C$4,24)),NA())</f>
        <v>46258</v>
      </c>
      <c r="P53" s="116" t="e">
        <f>IF(ISNA($O53),NA(),IF(COUNTIFS('Daily Data'!$A$4:$A$503,$O53)=0,NA(),SUMIFS('Daily Data'!$I$4:$I$503,'Daily Data'!$A$4:$A$503,$O53)))</f>
        <v>#N/A</v>
      </c>
      <c r="Q53" s="116" t="e">
        <f>IF(ISNA($O53),NA(),IF(COUNTIFS('Daily Data'!$A$4:$A$503,$O53)=0,NA(),SUMIFS('Daily Data'!$K$4:$K$503,'Daily Data'!$A$4:$A$503,$O53)))</f>
        <v>#N/A</v>
      </c>
    </row>
    <row r="54" spans="1:17" x14ac:dyDescent="0.3">
      <c r="A54" s="155" t="str">
        <f>IF(Symbols!A28="","",Symbols!A28)</f>
        <v>TTP</v>
      </c>
      <c r="B54" s="98">
        <f>IF($J54="","",SUMIFS('Daily Data'!$I$4:$I$503,'Daily Data'!$B$4:$B$503,$A54,'Daily Data'!$AL$4:$AL$503,$C$5,'Daily Data'!$AN$4:$AN$503,$C$4))</f>
        <v>993840</v>
      </c>
      <c r="C54" s="98">
        <f>IF($J54="","",SUMIFS('Daily Data'!$K$4:$K$503,'Daily Data'!$B$4:$B$503,$A54,'Daily Data'!$AL$4:$AL$503,$C$5,'Daily Data'!$AN$4:$AN$503,$C$4))</f>
        <v>2191</v>
      </c>
      <c r="D54" s="98">
        <f>IF($J54="","",SUMIFS('Daily Data'!$J$4:$J$503,'Daily Data'!$B$4:$B$503,$A54,'Daily Data'!$AL$4:$AL$503,$C$5,'Daily Data'!$AN$4:$AN$503,$C$4))</f>
        <v>65</v>
      </c>
      <c r="E54" s="99">
        <f>IF($J54="","",IFERROR(AVERAGEIFS('Daily Data'!$S$4:$S$503,'Daily Data'!$B$4:$B$503,$A54,'Daily Data'!$AL$4:$AL$503,$C$5,'Daily Data'!$AN$4:$AN$503,$C$4),""))</f>
        <v>0.42708436774510189</v>
      </c>
      <c r="F54" s="97" t="str">
        <f>IF(OR($J54="",N($L54)=0),"",$M54/$L54-1)</f>
        <v/>
      </c>
      <c r="G54" s="100">
        <f>IF($J54="","",IFERROR(AVERAGEIFS('Daily Data'!$AH$4:$AH$503,'Daily Data'!$B$4:$B$503,$A54,'Daily Data'!$AL$4:$AL$503,$C$5,'Daily Data'!$AN$4:$AN$503,$C$4),""))</f>
        <v>40.620000000000005</v>
      </c>
      <c r="H54" s="100">
        <f>IF($J54="","",IFERROR(AVERAGEIFS('Daily Data'!$AG$4:$AG$503,'Daily Data'!$B$4:$B$503,$A54,'Daily Data'!$AL$4:$AL$503,$C$5,'Daily Data'!$AN$4:$AN$503,$C$4),""))</f>
        <v>4.3800000000000008</v>
      </c>
      <c r="I54" s="97" t="str">
        <f>IF($K54="","",IF(COUNTIFS('Daily Data'!$B$4:$B$503,$A54,'Daily Data'!$AK$4:$AK$503,$K54,'Daily Data'!$AA$4:$AA$503,"&gt;=-1E+300")=0,"",SUMIFS('Daily Data'!$AA$4:$AA$503,'Daily Data'!$B$4:$B$503,$A54,'Daily Data'!$AK$4:$AK$503,$K54)))</f>
        <v/>
      </c>
      <c r="J54" s="112">
        <f>IF($A54="","",IFERROR(IF(_xlfn.MINIFS('Daily Data'!$AK$4:$AK$503,'Daily Data'!$B$4:$B$503,$A54,'Daily Data'!$AL$4:$AL$503,$C$5,'Daily Data'!$AN$4:$AN$503,$C$4)=0,"",_xlfn.MINIFS('Daily Data'!$AK$4:$AK$503,'Daily Data'!$B$4:$B$503,$A54,'Daily Data'!$AL$4:$AL$503,$C$5,'Daily Data'!$AN$4:$AN$503,$C$4)),""))</f>
        <v>1</v>
      </c>
      <c r="K54" s="112">
        <f>IF($A54="","",IFERROR(IF(_xlfn.MAXIFS('Daily Data'!$AK$4:$AK$503,'Daily Data'!$B$4:$B$503,$A54,'Daily Data'!$AL$4:$AL$503,$C$5,'Daily Data'!$AN$4:$AN$503,$C$4)=0,"",_xlfn.MAXIFS('Daily Data'!$AK$4:$AK$503,'Daily Data'!$B$4:$B$503,$A54,'Daily Data'!$AL$4:$AL$503,$C$5,'Daily Data'!$AN$4:$AN$503,$C$4)),""))</f>
        <v>5</v>
      </c>
      <c r="L54" s="156">
        <f>IF($J54="","",SUMIFS('Daily Data'!$D$4:$D$503,'Daily Data'!$B$4:$B$503,$A54,'Daily Data'!$AK$4:$AK$503,$J54))</f>
        <v>0</v>
      </c>
      <c r="M54" s="156">
        <f>IF($K54="","",SUMIFS('Daily Data'!$E$4:$E$503,'Daily Data'!$B$4:$B$503,$A54,'Daily Data'!$AK$4:$AK$503,$K54))</f>
        <v>450</v>
      </c>
      <c r="O54" s="117">
        <f>IFERROR(IF(MONTH(DATE($C$5,$C$4,25))&lt;&gt;$C$4,NA(),DATE($C$5,$C$4,25)),NA())</f>
        <v>46259</v>
      </c>
      <c r="P54" s="116" t="e">
        <f>IF(ISNA($O54),NA(),IF(COUNTIFS('Daily Data'!$A$4:$A$503,$O54)=0,NA(),SUMIFS('Daily Data'!$I$4:$I$503,'Daily Data'!$A$4:$A$503,$O54)))</f>
        <v>#N/A</v>
      </c>
      <c r="Q54" s="116" t="e">
        <f>IF(ISNA($O54),NA(),IF(COUNTIFS('Daily Data'!$A$4:$A$503,$O54)=0,NA(),SUMIFS('Daily Data'!$K$4:$K$503,'Daily Data'!$A$4:$A$503,$O54)))</f>
        <v>#N/A</v>
      </c>
    </row>
    <row r="55" spans="1:17" x14ac:dyDescent="0.3">
      <c r="A55" s="155" t="str">
        <f>IF(Symbols!A29="","",Symbols!A29)</f>
        <v>USL</v>
      </c>
      <c r="B55" s="98">
        <f>IF($J55="","",SUMIFS('Daily Data'!$I$4:$I$503,'Daily Data'!$B$4:$B$503,$A55,'Daily Data'!$AL$4:$AL$503,$C$5,'Daily Data'!$AN$4:$AN$503,$C$4))</f>
        <v>0</v>
      </c>
      <c r="C55" s="98">
        <f>IF($J55="","",SUMIFS('Daily Data'!$K$4:$K$503,'Daily Data'!$B$4:$B$503,$A55,'Daily Data'!$AL$4:$AL$503,$C$5,'Daily Data'!$AN$4:$AN$503,$C$4))</f>
        <v>0</v>
      </c>
      <c r="D55" s="98">
        <f>IF($J55="","",SUMIFS('Daily Data'!$J$4:$J$503,'Daily Data'!$B$4:$B$503,$A55,'Daily Data'!$AL$4:$AL$503,$C$5,'Daily Data'!$AN$4:$AN$503,$C$4))</f>
        <v>0</v>
      </c>
      <c r="E55" s="99" t="str">
        <f>IF($J55="","",IFERROR(AVERAGEIFS('Daily Data'!$S$4:$S$503,'Daily Data'!$B$4:$B$503,$A55,'Daily Data'!$AL$4:$AL$503,$C$5,'Daily Data'!$AN$4:$AN$503,$C$4),""))</f>
        <v/>
      </c>
      <c r="F55" s="97" t="str">
        <f>IF(OR($J55="",N($L55)=0),"",$M55/$L55-1)</f>
        <v/>
      </c>
      <c r="G55" s="100">
        <f>IF($J55="","",IFERROR(AVERAGEIFS('Daily Data'!$AH$4:$AH$503,'Daily Data'!$B$4:$B$503,$A55,'Daily Data'!$AL$4:$AL$503,$C$5,'Daily Data'!$AN$4:$AN$503,$C$4),""))</f>
        <v>65.08</v>
      </c>
      <c r="H55" s="100">
        <f>IF($J55="","",IFERROR(AVERAGEIFS('Daily Data'!$AG$4:$AG$503,'Daily Data'!$B$4:$B$503,$A55,'Daily Data'!$AL$4:$AL$503,$C$5,'Daily Data'!$AN$4:$AN$503,$C$4),""))</f>
        <v>0</v>
      </c>
      <c r="I55" s="97" t="str">
        <f>IF($K55="","",IF(COUNTIFS('Daily Data'!$B$4:$B$503,$A55,'Daily Data'!$AK$4:$AK$503,$K55,'Daily Data'!$AA$4:$AA$503,"&gt;=-1E+300")=0,"",SUMIFS('Daily Data'!$AA$4:$AA$503,'Daily Data'!$B$4:$B$503,$A55,'Daily Data'!$AK$4:$AK$503,$K55)))</f>
        <v/>
      </c>
      <c r="J55" s="112">
        <f>IF($A55="","",IFERROR(IF(_xlfn.MINIFS('Daily Data'!$AK$4:$AK$503,'Daily Data'!$B$4:$B$503,$A55,'Daily Data'!$AL$4:$AL$503,$C$5,'Daily Data'!$AN$4:$AN$503,$C$4)=0,"",_xlfn.MINIFS('Daily Data'!$AK$4:$AK$503,'Daily Data'!$B$4:$B$503,$A55,'Daily Data'!$AL$4:$AL$503,$C$5,'Daily Data'!$AN$4:$AN$503,$C$4)),""))</f>
        <v>1</v>
      </c>
      <c r="K55" s="112">
        <f>IF($A55="","",IFERROR(IF(_xlfn.MAXIFS('Daily Data'!$AK$4:$AK$503,'Daily Data'!$B$4:$B$503,$A55,'Daily Data'!$AL$4:$AL$503,$C$5,'Daily Data'!$AN$4:$AN$503,$C$4)=0,"",_xlfn.MAXIFS('Daily Data'!$AK$4:$AK$503,'Daily Data'!$B$4:$B$503,$A55,'Daily Data'!$AL$4:$AL$503,$C$5,'Daily Data'!$AN$4:$AN$503,$C$4)),""))</f>
        <v>5</v>
      </c>
      <c r="L55" s="156">
        <f>IF($J55="","",SUMIFS('Daily Data'!$D$4:$D$503,'Daily Data'!$B$4:$B$503,$A55,'Daily Data'!$AK$4:$AK$503,$J55))</f>
        <v>0</v>
      </c>
      <c r="M55" s="156">
        <f>IF($K55="","",SUMIFS('Daily Data'!$E$4:$E$503,'Daily Data'!$B$4:$B$503,$A55,'Daily Data'!$AK$4:$AK$503,$K55))</f>
        <v>30</v>
      </c>
      <c r="O55" s="117">
        <f>IFERROR(IF(MONTH(DATE($C$5,$C$4,26))&lt;&gt;$C$4,NA(),DATE($C$5,$C$4,26)),NA())</f>
        <v>46260</v>
      </c>
      <c r="P55" s="116" t="e">
        <f>IF(ISNA($O55),NA(),IF(COUNTIFS('Daily Data'!$A$4:$A$503,$O55)=0,NA(),SUMIFS('Daily Data'!$I$4:$I$503,'Daily Data'!$A$4:$A$503,$O55)))</f>
        <v>#N/A</v>
      </c>
      <c r="Q55" s="116" t="e">
        <f>IF(ISNA($O55),NA(),IF(COUNTIFS('Daily Data'!$A$4:$A$503,$O55)=0,NA(),SUMIFS('Daily Data'!$K$4:$K$503,'Daily Data'!$A$4:$A$503,$O55)))</f>
        <v>#N/A</v>
      </c>
    </row>
    <row r="56" spans="1:17" x14ac:dyDescent="0.3">
      <c r="A56" s="155" t="str">
        <f>IF(Symbols!A30="","",Symbols!A30)</f>
        <v>VODA</v>
      </c>
      <c r="B56" s="98">
        <f>IF($J56="","",SUMIFS('Daily Data'!$I$4:$I$503,'Daily Data'!$B$4:$B$503,$A56,'Daily Data'!$AL$4:$AL$503,$C$5,'Daily Data'!$AN$4:$AN$503,$C$4))</f>
        <v>765694410</v>
      </c>
      <c r="C56" s="98">
        <f>IF($J56="","",SUMIFS('Daily Data'!$K$4:$K$503,'Daily Data'!$B$4:$B$503,$A56,'Daily Data'!$AL$4:$AL$503,$C$5,'Daily Data'!$AN$4:$AN$503,$C$4))</f>
        <v>750745</v>
      </c>
      <c r="D56" s="98">
        <f>IF($J56="","",SUMIFS('Daily Data'!$J$4:$J$503,'Daily Data'!$B$4:$B$503,$A56,'Daily Data'!$AL$4:$AL$503,$C$5,'Daily Data'!$AN$4:$AN$503,$C$4))</f>
        <v>1077</v>
      </c>
      <c r="E56" s="99">
        <f>IF($J56="","",IFERROR(AVERAGEIFS('Daily Data'!$S$4:$S$503,'Daily Data'!$B$4:$B$503,$A56,'Daily Data'!$AL$4:$AL$503,$C$5,'Daily Data'!$AN$4:$AN$503,$C$4),""))</f>
        <v>1.1236551513714375</v>
      </c>
      <c r="F56" s="97" t="str">
        <f>IF(OR($J56="",N($L56)=0),"",$M56/$L56-1)</f>
        <v/>
      </c>
      <c r="G56" s="100">
        <f>IF($J56="","",IFERROR(AVERAGEIFS('Daily Data'!$AH$4:$AH$503,'Daily Data'!$B$4:$B$503,$A56,'Daily Data'!$AL$4:$AL$503,$C$5,'Daily Data'!$AN$4:$AN$503,$C$4),""))</f>
        <v>50.48</v>
      </c>
      <c r="H56" s="100">
        <f>IF($J56="","",IFERROR(AVERAGEIFS('Daily Data'!$AG$4:$AG$503,'Daily Data'!$B$4:$B$503,$A56,'Daily Data'!$AL$4:$AL$503,$C$5,'Daily Data'!$AN$4:$AN$503,$C$4),""))</f>
        <v>48.44</v>
      </c>
      <c r="I56" s="97" t="str">
        <f>IF($K56="","",IF(COUNTIFS('Daily Data'!$B$4:$B$503,$A56,'Daily Data'!$AK$4:$AK$503,$K56,'Daily Data'!$AA$4:$AA$503,"&gt;=-1E+300")=0,"",SUMIFS('Daily Data'!$AA$4:$AA$503,'Daily Data'!$B$4:$B$503,$A56,'Daily Data'!$AK$4:$AK$503,$K56)))</f>
        <v/>
      </c>
      <c r="J56" s="112">
        <f>IF($A56="","",IFERROR(IF(_xlfn.MINIFS('Daily Data'!$AK$4:$AK$503,'Daily Data'!$B$4:$B$503,$A56,'Daily Data'!$AL$4:$AL$503,$C$5,'Daily Data'!$AN$4:$AN$503,$C$4)=0,"",_xlfn.MINIFS('Daily Data'!$AK$4:$AK$503,'Daily Data'!$B$4:$B$503,$A56,'Daily Data'!$AL$4:$AL$503,$C$5,'Daily Data'!$AN$4:$AN$503,$C$4)),""))</f>
        <v>1</v>
      </c>
      <c r="K56" s="112">
        <f>IF($A56="","",IFERROR(IF(_xlfn.MAXIFS('Daily Data'!$AK$4:$AK$503,'Daily Data'!$B$4:$B$503,$A56,'Daily Data'!$AL$4:$AL$503,$C$5,'Daily Data'!$AN$4:$AN$503,$C$4)=0,"",_xlfn.MAXIFS('Daily Data'!$AK$4:$AK$503,'Daily Data'!$B$4:$B$503,$A56,'Daily Data'!$AL$4:$AL$503,$C$5,'Daily Data'!$AN$4:$AN$503,$C$4)),""))</f>
        <v>5</v>
      </c>
      <c r="L56" s="156">
        <f>IF($J56="","",SUMIFS('Daily Data'!$D$4:$D$503,'Daily Data'!$B$4:$B$503,$A56,'Daily Data'!$AK$4:$AK$503,$J56))</f>
        <v>0</v>
      </c>
      <c r="M56" s="156">
        <f>IF($K56="","",SUMIFS('Daily Data'!$E$4:$E$503,'Daily Data'!$B$4:$B$503,$A56,'Daily Data'!$AK$4:$AK$503,$K56))</f>
        <v>1020</v>
      </c>
      <c r="O56" s="117">
        <f>IFERROR(IF(MONTH(DATE($C$5,$C$4,27))&lt;&gt;$C$4,NA(),DATE($C$5,$C$4,27)),NA())</f>
        <v>46261</v>
      </c>
      <c r="P56" s="116" t="e">
        <f>IF(ISNA($O56),NA(),IF(COUNTIFS('Daily Data'!$A$4:$A$503,$O56)=0,NA(),SUMIFS('Daily Data'!$I$4:$I$503,'Daily Data'!$A$4:$A$503,$O56)))</f>
        <v>#N/A</v>
      </c>
      <c r="Q56" s="116" t="e">
        <f>IF(ISNA($O56),NA(),IF(COUNTIFS('Daily Data'!$A$4:$A$503,$O56)=0,NA(),SUMIFS('Daily Data'!$K$4:$K$503,'Daily Data'!$A$4:$A$503,$O56)))</f>
        <v>#N/A</v>
      </c>
    </row>
    <row r="57" spans="1:17" x14ac:dyDescent="0.3">
      <c r="A57" s="155" t="str">
        <f>IF(Symbols!A31="","",Symbols!A31)</f>
        <v>YETU</v>
      </c>
      <c r="B57" s="98">
        <f>IF($J57="","",SUMIFS('Daily Data'!$I$4:$I$503,'Daily Data'!$B$4:$B$503,$A57,'Daily Data'!$AL$4:$AL$503,$C$5,'Daily Data'!$AN$4:$AN$503,$C$4))</f>
        <v>0</v>
      </c>
      <c r="C57" s="98">
        <f>IF($J57="","",SUMIFS('Daily Data'!$K$4:$K$503,'Daily Data'!$B$4:$B$503,$A57,'Daily Data'!$AL$4:$AL$503,$C$5,'Daily Data'!$AN$4:$AN$503,$C$4))</f>
        <v>0</v>
      </c>
      <c r="D57" s="98">
        <f>IF($J57="","",SUMIFS('Daily Data'!$J$4:$J$503,'Daily Data'!$B$4:$B$503,$A57,'Daily Data'!$AL$4:$AL$503,$C$5,'Daily Data'!$AN$4:$AN$503,$C$4))</f>
        <v>0</v>
      </c>
      <c r="E57" s="99" t="str">
        <f>IF($J57="","",IFERROR(AVERAGEIFS('Daily Data'!$S$4:$S$503,'Daily Data'!$B$4:$B$503,$A57,'Daily Data'!$AL$4:$AL$503,$C$5,'Daily Data'!$AN$4:$AN$503,$C$4),""))</f>
        <v/>
      </c>
      <c r="F57" s="97" t="str">
        <f>IF(OR($J57="",N($L57)=0),"",$M57/$L57-1)</f>
        <v/>
      </c>
      <c r="G57" s="100">
        <f>IF($J57="","",IFERROR(AVERAGEIFS('Daily Data'!$AH$4:$AH$503,'Daily Data'!$B$4:$B$503,$A57,'Daily Data'!$AL$4:$AL$503,$C$5,'Daily Data'!$AN$4:$AN$503,$C$4),""))</f>
        <v>50</v>
      </c>
      <c r="H57" s="100">
        <f>IF($J57="","",IFERROR(AVERAGEIFS('Daily Data'!$AG$4:$AG$503,'Daily Data'!$B$4:$B$503,$A57,'Daily Data'!$AL$4:$AL$503,$C$5,'Daily Data'!$AN$4:$AN$503,$C$4),""))</f>
        <v>0</v>
      </c>
      <c r="I57" s="97" t="str">
        <f>IF($K57="","",IF(COUNTIFS('Daily Data'!$B$4:$B$503,$A57,'Daily Data'!$AK$4:$AK$503,$K57,'Daily Data'!$AA$4:$AA$503,"&gt;=-1E+300")=0,"",SUMIFS('Daily Data'!$AA$4:$AA$503,'Daily Data'!$B$4:$B$503,$A57,'Daily Data'!$AK$4:$AK$503,$K57)))</f>
        <v/>
      </c>
      <c r="J57" s="112">
        <f>IF($A57="","",IFERROR(IF(_xlfn.MINIFS('Daily Data'!$AK$4:$AK$503,'Daily Data'!$B$4:$B$503,$A57,'Daily Data'!$AL$4:$AL$503,$C$5,'Daily Data'!$AN$4:$AN$503,$C$4)=0,"",_xlfn.MINIFS('Daily Data'!$AK$4:$AK$503,'Daily Data'!$B$4:$B$503,$A57,'Daily Data'!$AL$4:$AL$503,$C$5,'Daily Data'!$AN$4:$AN$503,$C$4)),""))</f>
        <v>1</v>
      </c>
      <c r="K57" s="112">
        <f>IF($A57="","",IFERROR(IF(_xlfn.MAXIFS('Daily Data'!$AK$4:$AK$503,'Daily Data'!$B$4:$B$503,$A57,'Daily Data'!$AL$4:$AL$503,$C$5,'Daily Data'!$AN$4:$AN$503,$C$4)=0,"",_xlfn.MAXIFS('Daily Data'!$AK$4:$AK$503,'Daily Data'!$B$4:$B$503,$A57,'Daily Data'!$AL$4:$AL$503,$C$5,'Daily Data'!$AN$4:$AN$503,$C$4)),""))</f>
        <v>5</v>
      </c>
      <c r="L57" s="156">
        <f>IF($J57="","",SUMIFS('Daily Data'!$D$4:$D$503,'Daily Data'!$B$4:$B$503,$A57,'Daily Data'!$AK$4:$AK$503,$J57))</f>
        <v>0</v>
      </c>
      <c r="M57" s="156">
        <f>IF($K57="","",SUMIFS('Daily Data'!$E$4:$E$503,'Daily Data'!$B$4:$B$503,$A57,'Daily Data'!$AK$4:$AK$503,$K57))</f>
        <v>510</v>
      </c>
      <c r="O57" s="117">
        <f>IFERROR(IF(MONTH(DATE($C$5,$C$4,28))&lt;&gt;$C$4,NA(),DATE($C$5,$C$4,28)),NA())</f>
        <v>46262</v>
      </c>
      <c r="P57" s="116" t="e">
        <f>IF(ISNA($O57),NA(),IF(COUNTIFS('Daily Data'!$A$4:$A$503,$O57)=0,NA(),SUMIFS('Daily Data'!$I$4:$I$503,'Daily Data'!$A$4:$A$503,$O57)))</f>
        <v>#N/A</v>
      </c>
      <c r="Q57" s="116" t="e">
        <f>IF(ISNA($O57),NA(),IF(COUNTIFS('Daily Data'!$A$4:$A$503,$O57)=0,NA(),SUMIFS('Daily Data'!$K$4:$K$503,'Daily Data'!$A$4:$A$503,$O57)))</f>
        <v>#N/A</v>
      </c>
    </row>
    <row r="58" spans="1:17" x14ac:dyDescent="0.3">
      <c r="A58" s="155" t="str">
        <f>IF(Symbols!A32="","",Symbols!A32)</f>
        <v>IEACLC-ETF</v>
      </c>
      <c r="B58" s="98">
        <f>IF($J58="","",SUMIFS('Daily Data'!$I$4:$I$503,'Daily Data'!$B$4:$B$503,$A58,'Daily Data'!$AL$4:$AL$503,$C$5,'Daily Data'!$AN$4:$AN$503,$C$4))</f>
        <v>204044380</v>
      </c>
      <c r="C58" s="98">
        <f>IF($J58="","",SUMIFS('Daily Data'!$K$4:$K$503,'Daily Data'!$B$4:$B$503,$A58,'Daily Data'!$AL$4:$AL$503,$C$5,'Daily Data'!$AN$4:$AN$503,$C$4))</f>
        <v>151129</v>
      </c>
      <c r="D58" s="98">
        <f>IF($J58="","",SUMIFS('Daily Data'!$J$4:$J$503,'Daily Data'!$B$4:$B$503,$A58,'Daily Data'!$AL$4:$AL$503,$C$5,'Daily Data'!$AN$4:$AN$503,$C$4))</f>
        <v>262</v>
      </c>
      <c r="E58" s="99">
        <f>IF($J58="","",IFERROR(AVERAGEIFS('Daily Data'!$S$4:$S$503,'Daily Data'!$B$4:$B$503,$A58,'Daily Data'!$AL$4:$AL$503,$C$5,'Daily Data'!$AN$4:$AN$503,$C$4),""))</f>
        <v>1.3422314364971606</v>
      </c>
      <c r="F58" s="97" t="str">
        <f>IF(OR($J58="",N($L58)=0),"",$M58/$L58-1)</f>
        <v/>
      </c>
      <c r="G58" s="100">
        <f>IF($J58="","",IFERROR(AVERAGEIFS('Daily Data'!$AH$4:$AH$503,'Daily Data'!$B$4:$B$503,$A58,'Daily Data'!$AL$4:$AL$503,$C$5,'Daily Data'!$AN$4:$AN$503,$C$4),""))</f>
        <v>53.174999999999997</v>
      </c>
      <c r="H58" s="100">
        <f>IF($J58="","",IFERROR(AVERAGEIFS('Daily Data'!$AG$4:$AG$503,'Daily Data'!$B$4:$B$503,$A58,'Daily Data'!$AL$4:$AL$503,$C$5,'Daily Data'!$AN$4:$AN$503,$C$4),""))</f>
        <v>26.05</v>
      </c>
      <c r="I58" s="97" t="str">
        <f>IF($K58="","",IF(COUNTIFS('Daily Data'!$B$4:$B$503,$A58,'Daily Data'!$AK$4:$AK$503,$K58,'Daily Data'!$AA$4:$AA$503,"&gt;=-1E+300")=0,"",SUMIFS('Daily Data'!$AA$4:$AA$503,'Daily Data'!$B$4:$B$503,$A58,'Daily Data'!$AK$4:$AK$503,$K58)))</f>
        <v/>
      </c>
      <c r="J58" s="112">
        <f>IF($A58="","",IFERROR(IF(_xlfn.MINIFS('Daily Data'!$AK$4:$AK$503,'Daily Data'!$B$4:$B$503,$A58,'Daily Data'!$AL$4:$AL$503,$C$5,'Daily Data'!$AN$4:$AN$503,$C$4)=0,"",_xlfn.MINIFS('Daily Data'!$AK$4:$AK$503,'Daily Data'!$B$4:$B$503,$A58,'Daily Data'!$AL$4:$AL$503,$C$5,'Daily Data'!$AN$4:$AN$503,$C$4)),""))</f>
        <v>1</v>
      </c>
      <c r="K58" s="112">
        <f>IF($A58="","",IFERROR(IF(_xlfn.MAXIFS('Daily Data'!$AK$4:$AK$503,'Daily Data'!$B$4:$B$503,$A58,'Daily Data'!$AL$4:$AL$503,$C$5,'Daily Data'!$AN$4:$AN$503,$C$4)=0,"",_xlfn.MAXIFS('Daily Data'!$AK$4:$AK$503,'Daily Data'!$B$4:$B$503,$A58,'Daily Data'!$AL$4:$AL$503,$C$5,'Daily Data'!$AN$4:$AN$503,$C$4)),""))</f>
        <v>4</v>
      </c>
      <c r="L58" s="156">
        <f>IF($J58="","",SUMIFS('Daily Data'!$D$4:$D$503,'Daily Data'!$B$4:$B$503,$A58,'Daily Data'!$AK$4:$AK$503,$J58))</f>
        <v>0</v>
      </c>
      <c r="M58" s="156">
        <f>IF($K58="","",SUMIFS('Daily Data'!$E$4:$E$503,'Daily Data'!$B$4:$B$503,$A58,'Daily Data'!$AK$4:$AK$503,$K58))</f>
        <v>1340</v>
      </c>
      <c r="O58" s="117">
        <f>IFERROR(IF(MONTH(DATE($C$5,$C$4,29))&lt;&gt;$C$4,NA(),DATE($C$5,$C$4,29)),NA())</f>
        <v>46263</v>
      </c>
      <c r="P58" s="116" t="e">
        <f>IF(ISNA($O58),NA(),IF(COUNTIFS('Daily Data'!$A$4:$A$503,$O58)=0,NA(),SUMIFS('Daily Data'!$I$4:$I$503,'Daily Data'!$A$4:$A$503,$O58)))</f>
        <v>#N/A</v>
      </c>
      <c r="Q58" s="116" t="e">
        <f>IF(ISNA($O58),NA(),IF(COUNTIFS('Daily Data'!$A$4:$A$503,$O58)=0,NA(),SUMIFS('Daily Data'!$K$4:$K$503,'Daily Data'!$A$4:$A$503,$O58)))</f>
        <v>#N/A</v>
      </c>
    </row>
    <row r="59" spans="1:17" x14ac:dyDescent="0.3">
      <c r="A59" s="155" t="str">
        <f>IF(Symbols!A33="","",Symbols!A33)</f>
        <v>VERTEX-ETF</v>
      </c>
      <c r="B59" s="98">
        <f>IF($J59="","",SUMIFS('Daily Data'!$I$4:$I$503,'Daily Data'!$B$4:$B$503,$A59,'Daily Data'!$AL$4:$AL$503,$C$5,'Daily Data'!$AN$4:$AN$503,$C$4))</f>
        <v>51692280</v>
      </c>
      <c r="C59" s="98">
        <f>IF($J59="","",SUMIFS('Daily Data'!$K$4:$K$503,'Daily Data'!$B$4:$B$503,$A59,'Daily Data'!$AL$4:$AL$503,$C$5,'Daily Data'!$AN$4:$AN$503,$C$4))</f>
        <v>158097</v>
      </c>
      <c r="D59" s="98">
        <f>IF($J59="","",SUMIFS('Daily Data'!$J$4:$J$503,'Daily Data'!$B$4:$B$503,$A59,'Daily Data'!$AL$4:$AL$503,$C$5,'Daily Data'!$AN$4:$AN$503,$C$4))</f>
        <v>563</v>
      </c>
      <c r="E59" s="99">
        <f>IF($J59="","",IFERROR(AVERAGEIFS('Daily Data'!$S$4:$S$503,'Daily Data'!$B$4:$B$503,$A59,'Daily Data'!$AL$4:$AL$503,$C$5,'Daily Data'!$AN$4:$AN$503,$C$4),""))</f>
        <v>2.116175913853267</v>
      </c>
      <c r="F59" s="97" t="str">
        <f>IF(OR($J59="",N($L59)=0),"",$M59/$L59-1)</f>
        <v/>
      </c>
      <c r="G59" s="100">
        <f>IF($J59="","",IFERROR(AVERAGEIFS('Daily Data'!$AH$4:$AH$503,'Daily Data'!$B$4:$B$503,$A59,'Daily Data'!$AL$4:$AL$503,$C$5,'Daily Data'!$AN$4:$AN$503,$C$4),""))</f>
        <v>41.55</v>
      </c>
      <c r="H59" s="100">
        <f>IF($J59="","",IFERROR(AVERAGEIFS('Daily Data'!$AG$4:$AG$503,'Daily Data'!$B$4:$B$503,$A59,'Daily Data'!$AL$4:$AL$503,$C$5,'Daily Data'!$AN$4:$AN$503,$C$4),""))</f>
        <v>36.4</v>
      </c>
      <c r="I59" s="97" t="str">
        <f>IF($K59="","",IF(COUNTIFS('Daily Data'!$B$4:$B$503,$A59,'Daily Data'!$AK$4:$AK$503,$K59,'Daily Data'!$AA$4:$AA$503,"&gt;=-1E+300")=0,"",SUMIFS('Daily Data'!$AA$4:$AA$503,'Daily Data'!$B$4:$B$503,$A59,'Daily Data'!$AK$4:$AK$503,$K59)))</f>
        <v/>
      </c>
      <c r="J59" s="112">
        <f>IF($A59="","",IFERROR(IF(_xlfn.MINIFS('Daily Data'!$AK$4:$AK$503,'Daily Data'!$B$4:$B$503,$A59,'Daily Data'!$AL$4:$AL$503,$C$5,'Daily Data'!$AN$4:$AN$503,$C$4)=0,"",_xlfn.MINIFS('Daily Data'!$AK$4:$AK$503,'Daily Data'!$B$4:$B$503,$A59,'Daily Data'!$AL$4:$AL$503,$C$5,'Daily Data'!$AN$4:$AN$503,$C$4)),""))</f>
        <v>1</v>
      </c>
      <c r="K59" s="112">
        <f>IF($A59="","",IFERROR(IF(_xlfn.MAXIFS('Daily Data'!$AK$4:$AK$503,'Daily Data'!$B$4:$B$503,$A59,'Daily Data'!$AL$4:$AL$503,$C$5,'Daily Data'!$AN$4:$AN$503,$C$4)=0,"",_xlfn.MAXIFS('Daily Data'!$AK$4:$AK$503,'Daily Data'!$B$4:$B$503,$A59,'Daily Data'!$AL$4:$AL$503,$C$5,'Daily Data'!$AN$4:$AN$503,$C$4)),""))</f>
        <v>4</v>
      </c>
      <c r="L59" s="156">
        <f>IF($J59="","",SUMIFS('Daily Data'!$D$4:$D$503,'Daily Data'!$B$4:$B$503,$A59,'Daily Data'!$AK$4:$AK$503,$J59))</f>
        <v>0</v>
      </c>
      <c r="M59" s="156">
        <f>IF($K59="","",SUMIFS('Daily Data'!$E$4:$E$503,'Daily Data'!$B$4:$B$503,$A59,'Daily Data'!$AK$4:$AK$503,$K59))</f>
        <v>335</v>
      </c>
      <c r="O59" s="117">
        <f>IFERROR(IF(MONTH(DATE($C$5,$C$4,30))&lt;&gt;$C$4,NA(),DATE($C$5,$C$4,30)),NA())</f>
        <v>46264</v>
      </c>
      <c r="P59" s="116" t="e">
        <f>IF(ISNA($O59),NA(),IF(COUNTIFS('Daily Data'!$A$4:$A$503,$O59)=0,NA(),SUMIFS('Daily Data'!$I$4:$I$503,'Daily Data'!$A$4:$A$503,$O59)))</f>
        <v>#N/A</v>
      </c>
      <c r="Q59" s="116" t="e">
        <f>IF(ISNA($O59),NA(),IF(COUNTIFS('Daily Data'!$A$4:$A$503,$O59)=0,NA(),SUMIFS('Daily Data'!$K$4:$K$503,'Daily Data'!$A$4:$A$503,$O59)))</f>
        <v>#N/A</v>
      </c>
    </row>
    <row r="60" spans="1:17" x14ac:dyDescent="0.3">
      <c r="A60" s="155" t="str">
        <f>IF(Symbols!A34="","",Symbols!A34)</f>
        <v/>
      </c>
      <c r="B60" s="98" t="str">
        <f>IF($J60="","",SUMIFS('Daily Data'!$I$4:$I$503,'Daily Data'!$B$4:$B$503,$A60,'Daily Data'!$AL$4:$AL$503,$C$5,'Daily Data'!$AN$4:$AN$503,$C$4))</f>
        <v/>
      </c>
      <c r="C60" s="98" t="str">
        <f>IF($J60="","",SUMIFS('Daily Data'!$K$4:$K$503,'Daily Data'!$B$4:$B$503,$A60,'Daily Data'!$AL$4:$AL$503,$C$5,'Daily Data'!$AN$4:$AN$503,$C$4))</f>
        <v/>
      </c>
      <c r="D60" s="98" t="str">
        <f>IF($J60="","",SUMIFS('Daily Data'!$J$4:$J$503,'Daily Data'!$B$4:$B$503,$A60,'Daily Data'!$AL$4:$AL$503,$C$5,'Daily Data'!$AN$4:$AN$503,$C$4))</f>
        <v/>
      </c>
      <c r="E60" s="99" t="str">
        <f>IF($J60="","",IFERROR(AVERAGEIFS('Daily Data'!$S$4:$S$503,'Daily Data'!$B$4:$B$503,$A60,'Daily Data'!$AL$4:$AL$503,$C$5,'Daily Data'!$AN$4:$AN$503,$C$4),""))</f>
        <v/>
      </c>
      <c r="F60" s="97" t="str">
        <f>IF(OR($J60="",N($L60)=0),"",$M60/$L60-1)</f>
        <v/>
      </c>
      <c r="G60" s="100" t="str">
        <f>IF($J60="","",IFERROR(AVERAGEIFS('Daily Data'!$AH$4:$AH$503,'Daily Data'!$B$4:$B$503,$A60,'Daily Data'!$AL$4:$AL$503,$C$5,'Daily Data'!$AN$4:$AN$503,$C$4),""))</f>
        <v/>
      </c>
      <c r="H60" s="100" t="str">
        <f>IF($J60="","",IFERROR(AVERAGEIFS('Daily Data'!$AG$4:$AG$503,'Daily Data'!$B$4:$B$503,$A60,'Daily Data'!$AL$4:$AL$503,$C$5,'Daily Data'!$AN$4:$AN$503,$C$4),""))</f>
        <v/>
      </c>
      <c r="I60" s="97" t="str">
        <f>IF($K60="","",IF(COUNTIFS('Daily Data'!$B$4:$B$503,$A60,'Daily Data'!$AK$4:$AK$503,$K60,'Daily Data'!$AA$4:$AA$503,"&gt;=-1E+300")=0,"",SUMIFS('Daily Data'!$AA$4:$AA$503,'Daily Data'!$B$4:$B$503,$A60,'Daily Data'!$AK$4:$AK$503,$K60)))</f>
        <v/>
      </c>
      <c r="J60" s="112" t="str">
        <f>IF($A60="","",IFERROR(IF(_xlfn.MINIFS('Daily Data'!$AK$4:$AK$503,'Daily Data'!$B$4:$B$503,$A60,'Daily Data'!$AL$4:$AL$503,$C$5,'Daily Data'!$AN$4:$AN$503,$C$4)=0,"",_xlfn.MINIFS('Daily Data'!$AK$4:$AK$503,'Daily Data'!$B$4:$B$503,$A60,'Daily Data'!$AL$4:$AL$503,$C$5,'Daily Data'!$AN$4:$AN$503,$C$4)),""))</f>
        <v/>
      </c>
      <c r="K60" s="112" t="str">
        <f>IF($A60="","",IFERROR(IF(_xlfn.MAXIFS('Daily Data'!$AK$4:$AK$503,'Daily Data'!$B$4:$B$503,$A60,'Daily Data'!$AL$4:$AL$503,$C$5,'Daily Data'!$AN$4:$AN$503,$C$4)=0,"",_xlfn.MAXIFS('Daily Data'!$AK$4:$AK$503,'Daily Data'!$B$4:$B$503,$A60,'Daily Data'!$AL$4:$AL$503,$C$5,'Daily Data'!$AN$4:$AN$503,$C$4)),""))</f>
        <v/>
      </c>
      <c r="L60" s="156" t="str">
        <f>IF($J60="","",SUMIFS('Daily Data'!$D$4:$D$503,'Daily Data'!$B$4:$B$503,$A60,'Daily Data'!$AK$4:$AK$503,$J60))</f>
        <v/>
      </c>
      <c r="M60" s="156" t="str">
        <f>IF($K60="","",SUMIFS('Daily Data'!$E$4:$E$503,'Daily Data'!$B$4:$B$503,$A60,'Daily Data'!$AK$4:$AK$503,$K60))</f>
        <v/>
      </c>
      <c r="O60" s="117">
        <f>IFERROR(IF(MONTH(DATE($C$5,$C$4,31))&lt;&gt;$C$4,NA(),DATE($C$5,$C$4,31)),NA())</f>
        <v>46265</v>
      </c>
      <c r="P60" s="116" t="e">
        <f>IF(ISNA($O60),NA(),IF(COUNTIFS('Daily Data'!$A$4:$A$503,$O60)=0,NA(),SUMIFS('Daily Data'!$I$4:$I$503,'Daily Data'!$A$4:$A$503,$O60)))</f>
        <v>#N/A</v>
      </c>
      <c r="Q60" s="116" t="e">
        <f>IF(ISNA($O60),NA(),IF(COUNTIFS('Daily Data'!$A$4:$A$503,$O60)=0,NA(),SUMIFS('Daily Data'!$K$4:$K$503,'Daily Data'!$A$4:$A$503,$O60)))</f>
        <v>#N/A</v>
      </c>
    </row>
    <row r="61" spans="1:17" x14ac:dyDescent="0.3">
      <c r="A61" s="155" t="str">
        <f>IF(Symbols!A35="","",Symbols!A35)</f>
        <v/>
      </c>
      <c r="B61" s="98" t="str">
        <f>IF($J61="","",SUMIFS('Daily Data'!$I$4:$I$503,'Daily Data'!$B$4:$B$503,$A61,'Daily Data'!$AL$4:$AL$503,$C$5,'Daily Data'!$AN$4:$AN$503,$C$4))</f>
        <v/>
      </c>
      <c r="C61" s="98" t="str">
        <f>IF($J61="","",SUMIFS('Daily Data'!$K$4:$K$503,'Daily Data'!$B$4:$B$503,$A61,'Daily Data'!$AL$4:$AL$503,$C$5,'Daily Data'!$AN$4:$AN$503,$C$4))</f>
        <v/>
      </c>
      <c r="D61" s="98" t="str">
        <f>IF($J61="","",SUMIFS('Daily Data'!$J$4:$J$503,'Daily Data'!$B$4:$B$503,$A61,'Daily Data'!$AL$4:$AL$503,$C$5,'Daily Data'!$AN$4:$AN$503,$C$4))</f>
        <v/>
      </c>
      <c r="E61" s="99" t="str">
        <f>IF($J61="","",IFERROR(AVERAGEIFS('Daily Data'!$S$4:$S$503,'Daily Data'!$B$4:$B$503,$A61,'Daily Data'!$AL$4:$AL$503,$C$5,'Daily Data'!$AN$4:$AN$503,$C$4),""))</f>
        <v/>
      </c>
      <c r="F61" s="97" t="str">
        <f>IF(OR($J61="",N($L61)=0),"",$M61/$L61-1)</f>
        <v/>
      </c>
      <c r="G61" s="100" t="str">
        <f>IF($J61="","",IFERROR(AVERAGEIFS('Daily Data'!$AH$4:$AH$503,'Daily Data'!$B$4:$B$503,$A61,'Daily Data'!$AL$4:$AL$503,$C$5,'Daily Data'!$AN$4:$AN$503,$C$4),""))</f>
        <v/>
      </c>
      <c r="H61" s="100" t="str">
        <f>IF($J61="","",IFERROR(AVERAGEIFS('Daily Data'!$AG$4:$AG$503,'Daily Data'!$B$4:$B$503,$A61,'Daily Data'!$AL$4:$AL$503,$C$5,'Daily Data'!$AN$4:$AN$503,$C$4),""))</f>
        <v/>
      </c>
      <c r="I61" s="97" t="str">
        <f>IF($K61="","",IF(COUNTIFS('Daily Data'!$B$4:$B$503,$A61,'Daily Data'!$AK$4:$AK$503,$K61,'Daily Data'!$AA$4:$AA$503,"&gt;=-1E+300")=0,"",SUMIFS('Daily Data'!$AA$4:$AA$503,'Daily Data'!$B$4:$B$503,$A61,'Daily Data'!$AK$4:$AK$503,$K61)))</f>
        <v/>
      </c>
      <c r="J61" s="112" t="str">
        <f>IF($A61="","",IFERROR(IF(_xlfn.MINIFS('Daily Data'!$AK$4:$AK$503,'Daily Data'!$B$4:$B$503,$A61,'Daily Data'!$AL$4:$AL$503,$C$5,'Daily Data'!$AN$4:$AN$503,$C$4)=0,"",_xlfn.MINIFS('Daily Data'!$AK$4:$AK$503,'Daily Data'!$B$4:$B$503,$A61,'Daily Data'!$AL$4:$AL$503,$C$5,'Daily Data'!$AN$4:$AN$503,$C$4)),""))</f>
        <v/>
      </c>
      <c r="K61" s="112" t="str">
        <f>IF($A61="","",IFERROR(IF(_xlfn.MAXIFS('Daily Data'!$AK$4:$AK$503,'Daily Data'!$B$4:$B$503,$A61,'Daily Data'!$AL$4:$AL$503,$C$5,'Daily Data'!$AN$4:$AN$503,$C$4)=0,"",_xlfn.MAXIFS('Daily Data'!$AK$4:$AK$503,'Daily Data'!$B$4:$B$503,$A61,'Daily Data'!$AL$4:$AL$503,$C$5,'Daily Data'!$AN$4:$AN$503,$C$4)),""))</f>
        <v/>
      </c>
      <c r="L61" s="156" t="str">
        <f>IF($J61="","",SUMIFS('Daily Data'!$D$4:$D$503,'Daily Data'!$B$4:$B$503,$A61,'Daily Data'!$AK$4:$AK$503,$J61))</f>
        <v/>
      </c>
      <c r="M61" s="156" t="str">
        <f>IF($K61="","",SUMIFS('Daily Data'!$E$4:$E$503,'Daily Data'!$B$4:$B$503,$A61,'Daily Data'!$AK$4:$AK$503,$K61))</f>
        <v/>
      </c>
    </row>
    <row r="62" spans="1:17" x14ac:dyDescent="0.3">
      <c r="A62" s="155" t="str">
        <f>IF(Symbols!A36="","",Symbols!A36)</f>
        <v/>
      </c>
      <c r="B62" s="98" t="str">
        <f>IF($J62="","",SUMIFS('Daily Data'!$I$4:$I$503,'Daily Data'!$B$4:$B$503,$A62,'Daily Data'!$AL$4:$AL$503,$C$5,'Daily Data'!$AN$4:$AN$503,$C$4))</f>
        <v/>
      </c>
      <c r="C62" s="98" t="str">
        <f>IF($J62="","",SUMIFS('Daily Data'!$K$4:$K$503,'Daily Data'!$B$4:$B$503,$A62,'Daily Data'!$AL$4:$AL$503,$C$5,'Daily Data'!$AN$4:$AN$503,$C$4))</f>
        <v/>
      </c>
      <c r="D62" s="98" t="str">
        <f>IF($J62="","",SUMIFS('Daily Data'!$J$4:$J$503,'Daily Data'!$B$4:$B$503,$A62,'Daily Data'!$AL$4:$AL$503,$C$5,'Daily Data'!$AN$4:$AN$503,$C$4))</f>
        <v/>
      </c>
      <c r="E62" s="99" t="str">
        <f>IF($J62="","",IFERROR(AVERAGEIFS('Daily Data'!$S$4:$S$503,'Daily Data'!$B$4:$B$503,$A62,'Daily Data'!$AL$4:$AL$503,$C$5,'Daily Data'!$AN$4:$AN$503,$C$4),""))</f>
        <v/>
      </c>
      <c r="F62" s="97" t="str">
        <f>IF(OR($J62="",N($L62)=0),"",$M62/$L62-1)</f>
        <v/>
      </c>
      <c r="G62" s="100" t="str">
        <f>IF($J62="","",IFERROR(AVERAGEIFS('Daily Data'!$AH$4:$AH$503,'Daily Data'!$B$4:$B$503,$A62,'Daily Data'!$AL$4:$AL$503,$C$5,'Daily Data'!$AN$4:$AN$503,$C$4),""))</f>
        <v/>
      </c>
      <c r="H62" s="100" t="str">
        <f>IF($J62="","",IFERROR(AVERAGEIFS('Daily Data'!$AG$4:$AG$503,'Daily Data'!$B$4:$B$503,$A62,'Daily Data'!$AL$4:$AL$503,$C$5,'Daily Data'!$AN$4:$AN$503,$C$4),""))</f>
        <v/>
      </c>
      <c r="I62" s="97" t="str">
        <f>IF($K62="","",IF(COUNTIFS('Daily Data'!$B$4:$B$503,$A62,'Daily Data'!$AK$4:$AK$503,$K62,'Daily Data'!$AA$4:$AA$503,"&gt;=-1E+300")=0,"",SUMIFS('Daily Data'!$AA$4:$AA$503,'Daily Data'!$B$4:$B$503,$A62,'Daily Data'!$AK$4:$AK$503,$K62)))</f>
        <v/>
      </c>
      <c r="J62" s="112" t="str">
        <f>IF($A62="","",IFERROR(IF(_xlfn.MINIFS('Daily Data'!$AK$4:$AK$503,'Daily Data'!$B$4:$B$503,$A62,'Daily Data'!$AL$4:$AL$503,$C$5,'Daily Data'!$AN$4:$AN$503,$C$4)=0,"",_xlfn.MINIFS('Daily Data'!$AK$4:$AK$503,'Daily Data'!$B$4:$B$503,$A62,'Daily Data'!$AL$4:$AL$503,$C$5,'Daily Data'!$AN$4:$AN$503,$C$4)),""))</f>
        <v/>
      </c>
      <c r="K62" s="112" t="str">
        <f>IF($A62="","",IFERROR(IF(_xlfn.MAXIFS('Daily Data'!$AK$4:$AK$503,'Daily Data'!$B$4:$B$503,$A62,'Daily Data'!$AL$4:$AL$503,$C$5,'Daily Data'!$AN$4:$AN$503,$C$4)=0,"",_xlfn.MAXIFS('Daily Data'!$AK$4:$AK$503,'Daily Data'!$B$4:$B$503,$A62,'Daily Data'!$AL$4:$AL$503,$C$5,'Daily Data'!$AN$4:$AN$503,$C$4)),""))</f>
        <v/>
      </c>
      <c r="L62" s="156" t="str">
        <f>IF($J62="","",SUMIFS('Daily Data'!$D$4:$D$503,'Daily Data'!$B$4:$B$503,$A62,'Daily Data'!$AK$4:$AK$503,$J62))</f>
        <v/>
      </c>
      <c r="M62" s="156" t="str">
        <f>IF($K62="","",SUMIFS('Daily Data'!$E$4:$E$503,'Daily Data'!$B$4:$B$503,$A62,'Daily Data'!$AK$4:$AK$503,$K62))</f>
        <v/>
      </c>
    </row>
    <row r="63" spans="1:17" x14ac:dyDescent="0.3">
      <c r="A63" s="155" t="str">
        <f>IF(Symbols!A37="","",Symbols!A37)</f>
        <v/>
      </c>
      <c r="B63" s="98" t="str">
        <f>IF($J63="","",SUMIFS('Daily Data'!$I$4:$I$503,'Daily Data'!$B$4:$B$503,$A63,'Daily Data'!$AL$4:$AL$503,$C$5,'Daily Data'!$AN$4:$AN$503,$C$4))</f>
        <v/>
      </c>
      <c r="C63" s="98" t="str">
        <f>IF($J63="","",SUMIFS('Daily Data'!$K$4:$K$503,'Daily Data'!$B$4:$B$503,$A63,'Daily Data'!$AL$4:$AL$503,$C$5,'Daily Data'!$AN$4:$AN$503,$C$4))</f>
        <v/>
      </c>
      <c r="D63" s="98" t="str">
        <f>IF($J63="","",SUMIFS('Daily Data'!$J$4:$J$503,'Daily Data'!$B$4:$B$503,$A63,'Daily Data'!$AL$4:$AL$503,$C$5,'Daily Data'!$AN$4:$AN$503,$C$4))</f>
        <v/>
      </c>
      <c r="E63" s="99" t="str">
        <f>IF($J63="","",IFERROR(AVERAGEIFS('Daily Data'!$S$4:$S$503,'Daily Data'!$B$4:$B$503,$A63,'Daily Data'!$AL$4:$AL$503,$C$5,'Daily Data'!$AN$4:$AN$503,$C$4),""))</f>
        <v/>
      </c>
      <c r="F63" s="97" t="str">
        <f>IF(OR($J63="",N($L63)=0),"",$M63/$L63-1)</f>
        <v/>
      </c>
      <c r="G63" s="100" t="str">
        <f>IF($J63="","",IFERROR(AVERAGEIFS('Daily Data'!$AH$4:$AH$503,'Daily Data'!$B$4:$B$503,$A63,'Daily Data'!$AL$4:$AL$503,$C$5,'Daily Data'!$AN$4:$AN$503,$C$4),""))</f>
        <v/>
      </c>
      <c r="H63" s="100" t="str">
        <f>IF($J63="","",IFERROR(AVERAGEIFS('Daily Data'!$AG$4:$AG$503,'Daily Data'!$B$4:$B$503,$A63,'Daily Data'!$AL$4:$AL$503,$C$5,'Daily Data'!$AN$4:$AN$503,$C$4),""))</f>
        <v/>
      </c>
      <c r="I63" s="97" t="str">
        <f>IF($K63="","",IF(COUNTIFS('Daily Data'!$B$4:$B$503,$A63,'Daily Data'!$AK$4:$AK$503,$K63,'Daily Data'!$AA$4:$AA$503,"&gt;=-1E+300")=0,"",SUMIFS('Daily Data'!$AA$4:$AA$503,'Daily Data'!$B$4:$B$503,$A63,'Daily Data'!$AK$4:$AK$503,$K63)))</f>
        <v/>
      </c>
      <c r="J63" s="112" t="str">
        <f>IF($A63="","",IFERROR(IF(_xlfn.MINIFS('Daily Data'!$AK$4:$AK$503,'Daily Data'!$B$4:$B$503,$A63,'Daily Data'!$AL$4:$AL$503,$C$5,'Daily Data'!$AN$4:$AN$503,$C$4)=0,"",_xlfn.MINIFS('Daily Data'!$AK$4:$AK$503,'Daily Data'!$B$4:$B$503,$A63,'Daily Data'!$AL$4:$AL$503,$C$5,'Daily Data'!$AN$4:$AN$503,$C$4)),""))</f>
        <v/>
      </c>
      <c r="K63" s="112" t="str">
        <f>IF($A63="","",IFERROR(IF(_xlfn.MAXIFS('Daily Data'!$AK$4:$AK$503,'Daily Data'!$B$4:$B$503,$A63,'Daily Data'!$AL$4:$AL$503,$C$5,'Daily Data'!$AN$4:$AN$503,$C$4)=0,"",_xlfn.MAXIFS('Daily Data'!$AK$4:$AK$503,'Daily Data'!$B$4:$B$503,$A63,'Daily Data'!$AL$4:$AL$503,$C$5,'Daily Data'!$AN$4:$AN$503,$C$4)),""))</f>
        <v/>
      </c>
      <c r="L63" s="156" t="str">
        <f>IF($J63="","",SUMIFS('Daily Data'!$D$4:$D$503,'Daily Data'!$B$4:$B$503,$A63,'Daily Data'!$AK$4:$AK$503,$J63))</f>
        <v/>
      </c>
      <c r="M63" s="156" t="str">
        <f>IF($K63="","",SUMIFS('Daily Data'!$E$4:$E$503,'Daily Data'!$B$4:$B$503,$A63,'Daily Data'!$AK$4:$AK$503,$K63))</f>
        <v/>
      </c>
    </row>
    <row r="64" spans="1:17" x14ac:dyDescent="0.3">
      <c r="A64" s="155" t="str">
        <f>IF(Symbols!A38="","",Symbols!A38)</f>
        <v/>
      </c>
      <c r="B64" s="98" t="str">
        <f>IF($J64="","",SUMIFS('Daily Data'!$I$4:$I$503,'Daily Data'!$B$4:$B$503,$A64,'Daily Data'!$AL$4:$AL$503,$C$5,'Daily Data'!$AN$4:$AN$503,$C$4))</f>
        <v/>
      </c>
      <c r="C64" s="98" t="str">
        <f>IF($J64="","",SUMIFS('Daily Data'!$K$4:$K$503,'Daily Data'!$B$4:$B$503,$A64,'Daily Data'!$AL$4:$AL$503,$C$5,'Daily Data'!$AN$4:$AN$503,$C$4))</f>
        <v/>
      </c>
      <c r="D64" s="98" t="str">
        <f>IF($J64="","",SUMIFS('Daily Data'!$J$4:$J$503,'Daily Data'!$B$4:$B$503,$A64,'Daily Data'!$AL$4:$AL$503,$C$5,'Daily Data'!$AN$4:$AN$503,$C$4))</f>
        <v/>
      </c>
      <c r="E64" s="99" t="str">
        <f>IF($J64="","",IFERROR(AVERAGEIFS('Daily Data'!$S$4:$S$503,'Daily Data'!$B$4:$B$503,$A64,'Daily Data'!$AL$4:$AL$503,$C$5,'Daily Data'!$AN$4:$AN$503,$C$4),""))</f>
        <v/>
      </c>
      <c r="F64" s="97" t="str">
        <f>IF(OR($J64="",N($L64)=0),"",$M64/$L64-1)</f>
        <v/>
      </c>
      <c r="G64" s="100" t="str">
        <f>IF($J64="","",IFERROR(AVERAGEIFS('Daily Data'!$AH$4:$AH$503,'Daily Data'!$B$4:$B$503,$A64,'Daily Data'!$AL$4:$AL$503,$C$5,'Daily Data'!$AN$4:$AN$503,$C$4),""))</f>
        <v/>
      </c>
      <c r="H64" s="100" t="str">
        <f>IF($J64="","",IFERROR(AVERAGEIFS('Daily Data'!$AG$4:$AG$503,'Daily Data'!$B$4:$B$503,$A64,'Daily Data'!$AL$4:$AL$503,$C$5,'Daily Data'!$AN$4:$AN$503,$C$4),""))</f>
        <v/>
      </c>
      <c r="I64" s="97" t="str">
        <f>IF($K64="","",IF(COUNTIFS('Daily Data'!$B$4:$B$503,$A64,'Daily Data'!$AK$4:$AK$503,$K64,'Daily Data'!$AA$4:$AA$503,"&gt;=-1E+300")=0,"",SUMIFS('Daily Data'!$AA$4:$AA$503,'Daily Data'!$B$4:$B$503,$A64,'Daily Data'!$AK$4:$AK$503,$K64)))</f>
        <v/>
      </c>
      <c r="J64" s="112" t="str">
        <f>IF($A64="","",IFERROR(IF(_xlfn.MINIFS('Daily Data'!$AK$4:$AK$503,'Daily Data'!$B$4:$B$503,$A64,'Daily Data'!$AL$4:$AL$503,$C$5,'Daily Data'!$AN$4:$AN$503,$C$4)=0,"",_xlfn.MINIFS('Daily Data'!$AK$4:$AK$503,'Daily Data'!$B$4:$B$503,$A64,'Daily Data'!$AL$4:$AL$503,$C$5,'Daily Data'!$AN$4:$AN$503,$C$4)),""))</f>
        <v/>
      </c>
      <c r="K64" s="112" t="str">
        <f>IF($A64="","",IFERROR(IF(_xlfn.MAXIFS('Daily Data'!$AK$4:$AK$503,'Daily Data'!$B$4:$B$503,$A64,'Daily Data'!$AL$4:$AL$503,$C$5,'Daily Data'!$AN$4:$AN$503,$C$4)=0,"",_xlfn.MAXIFS('Daily Data'!$AK$4:$AK$503,'Daily Data'!$B$4:$B$503,$A64,'Daily Data'!$AL$4:$AL$503,$C$5,'Daily Data'!$AN$4:$AN$503,$C$4)),""))</f>
        <v/>
      </c>
      <c r="L64" s="156" t="str">
        <f>IF($J64="","",SUMIFS('Daily Data'!$D$4:$D$503,'Daily Data'!$B$4:$B$503,$A64,'Daily Data'!$AK$4:$AK$503,$J64))</f>
        <v/>
      </c>
      <c r="M64" s="156" t="str">
        <f>IF($K64="","",SUMIFS('Daily Data'!$E$4:$E$503,'Daily Data'!$B$4:$B$503,$A64,'Daily Data'!$AK$4:$AK$503,$K64))</f>
        <v/>
      </c>
    </row>
    <row r="65" spans="1:13" x14ac:dyDescent="0.3">
      <c r="A65" s="155" t="str">
        <f>IF(Symbols!A39="","",Symbols!A39)</f>
        <v/>
      </c>
      <c r="B65" s="98" t="str">
        <f>IF($J65="","",SUMIFS('Daily Data'!$I$4:$I$503,'Daily Data'!$B$4:$B$503,$A65,'Daily Data'!$AL$4:$AL$503,$C$5,'Daily Data'!$AN$4:$AN$503,$C$4))</f>
        <v/>
      </c>
      <c r="C65" s="98" t="str">
        <f>IF($J65="","",SUMIFS('Daily Data'!$K$4:$K$503,'Daily Data'!$B$4:$B$503,$A65,'Daily Data'!$AL$4:$AL$503,$C$5,'Daily Data'!$AN$4:$AN$503,$C$4))</f>
        <v/>
      </c>
      <c r="D65" s="98" t="str">
        <f>IF($J65="","",SUMIFS('Daily Data'!$J$4:$J$503,'Daily Data'!$B$4:$B$503,$A65,'Daily Data'!$AL$4:$AL$503,$C$5,'Daily Data'!$AN$4:$AN$503,$C$4))</f>
        <v/>
      </c>
      <c r="E65" s="99" t="str">
        <f>IF($J65="","",IFERROR(AVERAGEIFS('Daily Data'!$S$4:$S$503,'Daily Data'!$B$4:$B$503,$A65,'Daily Data'!$AL$4:$AL$503,$C$5,'Daily Data'!$AN$4:$AN$503,$C$4),""))</f>
        <v/>
      </c>
      <c r="F65" s="97" t="str">
        <f>IF(OR($J65="",N($L65)=0),"",$M65/$L65-1)</f>
        <v/>
      </c>
      <c r="G65" s="100" t="str">
        <f>IF($J65="","",IFERROR(AVERAGEIFS('Daily Data'!$AH$4:$AH$503,'Daily Data'!$B$4:$B$503,$A65,'Daily Data'!$AL$4:$AL$503,$C$5,'Daily Data'!$AN$4:$AN$503,$C$4),""))</f>
        <v/>
      </c>
      <c r="H65" s="100" t="str">
        <f>IF($J65="","",IFERROR(AVERAGEIFS('Daily Data'!$AG$4:$AG$503,'Daily Data'!$B$4:$B$503,$A65,'Daily Data'!$AL$4:$AL$503,$C$5,'Daily Data'!$AN$4:$AN$503,$C$4),""))</f>
        <v/>
      </c>
      <c r="I65" s="97" t="str">
        <f>IF($K65="","",IF(COUNTIFS('Daily Data'!$B$4:$B$503,$A65,'Daily Data'!$AK$4:$AK$503,$K65,'Daily Data'!$AA$4:$AA$503,"&gt;=-1E+300")=0,"",SUMIFS('Daily Data'!$AA$4:$AA$503,'Daily Data'!$B$4:$B$503,$A65,'Daily Data'!$AK$4:$AK$503,$K65)))</f>
        <v/>
      </c>
      <c r="J65" s="112" t="str">
        <f>IF($A65="","",IFERROR(IF(_xlfn.MINIFS('Daily Data'!$AK$4:$AK$503,'Daily Data'!$B$4:$B$503,$A65,'Daily Data'!$AL$4:$AL$503,$C$5,'Daily Data'!$AN$4:$AN$503,$C$4)=0,"",_xlfn.MINIFS('Daily Data'!$AK$4:$AK$503,'Daily Data'!$B$4:$B$503,$A65,'Daily Data'!$AL$4:$AL$503,$C$5,'Daily Data'!$AN$4:$AN$503,$C$4)),""))</f>
        <v/>
      </c>
      <c r="K65" s="112" t="str">
        <f>IF($A65="","",IFERROR(IF(_xlfn.MAXIFS('Daily Data'!$AK$4:$AK$503,'Daily Data'!$B$4:$B$503,$A65,'Daily Data'!$AL$4:$AL$503,$C$5,'Daily Data'!$AN$4:$AN$503,$C$4)=0,"",_xlfn.MAXIFS('Daily Data'!$AK$4:$AK$503,'Daily Data'!$B$4:$B$503,$A65,'Daily Data'!$AL$4:$AL$503,$C$5,'Daily Data'!$AN$4:$AN$503,$C$4)),""))</f>
        <v/>
      </c>
      <c r="L65" s="156" t="str">
        <f>IF($J65="","",SUMIFS('Daily Data'!$D$4:$D$503,'Daily Data'!$B$4:$B$503,$A65,'Daily Data'!$AK$4:$AK$503,$J65))</f>
        <v/>
      </c>
      <c r="M65" s="156" t="str">
        <f>IF($K65="","",SUMIFS('Daily Data'!$E$4:$E$503,'Daily Data'!$B$4:$B$503,$A65,'Daily Data'!$AK$4:$AK$503,$K65))</f>
        <v/>
      </c>
    </row>
    <row r="66" spans="1:13" x14ac:dyDescent="0.3">
      <c r="A66" s="155" t="str">
        <f>IF(Symbols!A40="","",Symbols!A40)</f>
        <v/>
      </c>
      <c r="B66" s="98" t="str">
        <f>IF($J66="","",SUMIFS('Daily Data'!$I$4:$I$503,'Daily Data'!$B$4:$B$503,$A66,'Daily Data'!$AL$4:$AL$503,$C$5,'Daily Data'!$AN$4:$AN$503,$C$4))</f>
        <v/>
      </c>
      <c r="C66" s="98" t="str">
        <f>IF($J66="","",SUMIFS('Daily Data'!$K$4:$K$503,'Daily Data'!$B$4:$B$503,$A66,'Daily Data'!$AL$4:$AL$503,$C$5,'Daily Data'!$AN$4:$AN$503,$C$4))</f>
        <v/>
      </c>
      <c r="D66" s="98" t="str">
        <f>IF($J66="","",SUMIFS('Daily Data'!$J$4:$J$503,'Daily Data'!$B$4:$B$503,$A66,'Daily Data'!$AL$4:$AL$503,$C$5,'Daily Data'!$AN$4:$AN$503,$C$4))</f>
        <v/>
      </c>
      <c r="E66" s="99" t="str">
        <f>IF($J66="","",IFERROR(AVERAGEIFS('Daily Data'!$S$4:$S$503,'Daily Data'!$B$4:$B$503,$A66,'Daily Data'!$AL$4:$AL$503,$C$5,'Daily Data'!$AN$4:$AN$503,$C$4),""))</f>
        <v/>
      </c>
      <c r="F66" s="97" t="str">
        <f>IF(OR($J66="",N($L66)=0),"",$M66/$L66-1)</f>
        <v/>
      </c>
      <c r="G66" s="100" t="str">
        <f>IF($J66="","",IFERROR(AVERAGEIFS('Daily Data'!$AH$4:$AH$503,'Daily Data'!$B$4:$B$503,$A66,'Daily Data'!$AL$4:$AL$503,$C$5,'Daily Data'!$AN$4:$AN$503,$C$4),""))</f>
        <v/>
      </c>
      <c r="H66" s="100" t="str">
        <f>IF($J66="","",IFERROR(AVERAGEIFS('Daily Data'!$AG$4:$AG$503,'Daily Data'!$B$4:$B$503,$A66,'Daily Data'!$AL$4:$AL$503,$C$5,'Daily Data'!$AN$4:$AN$503,$C$4),""))</f>
        <v/>
      </c>
      <c r="I66" s="97" t="str">
        <f>IF($K66="","",IF(COUNTIFS('Daily Data'!$B$4:$B$503,$A66,'Daily Data'!$AK$4:$AK$503,$K66,'Daily Data'!$AA$4:$AA$503,"&gt;=-1E+300")=0,"",SUMIFS('Daily Data'!$AA$4:$AA$503,'Daily Data'!$B$4:$B$503,$A66,'Daily Data'!$AK$4:$AK$503,$K66)))</f>
        <v/>
      </c>
      <c r="J66" s="112" t="str">
        <f>IF($A66="","",IFERROR(IF(_xlfn.MINIFS('Daily Data'!$AK$4:$AK$503,'Daily Data'!$B$4:$B$503,$A66,'Daily Data'!$AL$4:$AL$503,$C$5,'Daily Data'!$AN$4:$AN$503,$C$4)=0,"",_xlfn.MINIFS('Daily Data'!$AK$4:$AK$503,'Daily Data'!$B$4:$B$503,$A66,'Daily Data'!$AL$4:$AL$503,$C$5,'Daily Data'!$AN$4:$AN$503,$C$4)),""))</f>
        <v/>
      </c>
      <c r="K66" s="112" t="str">
        <f>IF($A66="","",IFERROR(IF(_xlfn.MAXIFS('Daily Data'!$AK$4:$AK$503,'Daily Data'!$B$4:$B$503,$A66,'Daily Data'!$AL$4:$AL$503,$C$5,'Daily Data'!$AN$4:$AN$503,$C$4)=0,"",_xlfn.MAXIFS('Daily Data'!$AK$4:$AK$503,'Daily Data'!$B$4:$B$503,$A66,'Daily Data'!$AL$4:$AL$503,$C$5,'Daily Data'!$AN$4:$AN$503,$C$4)),""))</f>
        <v/>
      </c>
      <c r="L66" s="156" t="str">
        <f>IF($J66="","",SUMIFS('Daily Data'!$D$4:$D$503,'Daily Data'!$B$4:$B$503,$A66,'Daily Data'!$AK$4:$AK$503,$J66))</f>
        <v/>
      </c>
      <c r="M66" s="156" t="str">
        <f>IF($K66="","",SUMIFS('Daily Data'!$E$4:$E$503,'Daily Data'!$B$4:$B$503,$A66,'Daily Data'!$AK$4:$AK$503,$K66))</f>
        <v/>
      </c>
    </row>
    <row r="67" spans="1:13" x14ac:dyDescent="0.3">
      <c r="A67" s="155" t="str">
        <f>IF(Symbols!A41="","",Symbols!A41)</f>
        <v/>
      </c>
      <c r="B67" s="98" t="str">
        <f>IF($J67="","",SUMIFS('Daily Data'!$I$4:$I$503,'Daily Data'!$B$4:$B$503,$A67,'Daily Data'!$AL$4:$AL$503,$C$5,'Daily Data'!$AN$4:$AN$503,$C$4))</f>
        <v/>
      </c>
      <c r="C67" s="98" t="str">
        <f>IF($J67="","",SUMIFS('Daily Data'!$K$4:$K$503,'Daily Data'!$B$4:$B$503,$A67,'Daily Data'!$AL$4:$AL$503,$C$5,'Daily Data'!$AN$4:$AN$503,$C$4))</f>
        <v/>
      </c>
      <c r="D67" s="98" t="str">
        <f>IF($J67="","",SUMIFS('Daily Data'!$J$4:$J$503,'Daily Data'!$B$4:$B$503,$A67,'Daily Data'!$AL$4:$AL$503,$C$5,'Daily Data'!$AN$4:$AN$503,$C$4))</f>
        <v/>
      </c>
      <c r="E67" s="99" t="str">
        <f>IF($J67="","",IFERROR(AVERAGEIFS('Daily Data'!$S$4:$S$503,'Daily Data'!$B$4:$B$503,$A67,'Daily Data'!$AL$4:$AL$503,$C$5,'Daily Data'!$AN$4:$AN$503,$C$4),""))</f>
        <v/>
      </c>
      <c r="F67" s="97" t="str">
        <f>IF(OR($J67="",N($L67)=0),"",$M67/$L67-1)</f>
        <v/>
      </c>
      <c r="G67" s="100" t="str">
        <f>IF($J67="","",IFERROR(AVERAGEIFS('Daily Data'!$AH$4:$AH$503,'Daily Data'!$B$4:$B$503,$A67,'Daily Data'!$AL$4:$AL$503,$C$5,'Daily Data'!$AN$4:$AN$503,$C$4),""))</f>
        <v/>
      </c>
      <c r="H67" s="100" t="str">
        <f>IF($J67="","",IFERROR(AVERAGEIFS('Daily Data'!$AG$4:$AG$503,'Daily Data'!$B$4:$B$503,$A67,'Daily Data'!$AL$4:$AL$503,$C$5,'Daily Data'!$AN$4:$AN$503,$C$4),""))</f>
        <v/>
      </c>
      <c r="I67" s="97" t="str">
        <f>IF($K67="","",IF(COUNTIFS('Daily Data'!$B$4:$B$503,$A67,'Daily Data'!$AK$4:$AK$503,$K67,'Daily Data'!$AA$4:$AA$503,"&gt;=-1E+300")=0,"",SUMIFS('Daily Data'!$AA$4:$AA$503,'Daily Data'!$B$4:$B$503,$A67,'Daily Data'!$AK$4:$AK$503,$K67)))</f>
        <v/>
      </c>
      <c r="J67" s="112" t="str">
        <f>IF($A67="","",IFERROR(IF(_xlfn.MINIFS('Daily Data'!$AK$4:$AK$503,'Daily Data'!$B$4:$B$503,$A67,'Daily Data'!$AL$4:$AL$503,$C$5,'Daily Data'!$AN$4:$AN$503,$C$4)=0,"",_xlfn.MINIFS('Daily Data'!$AK$4:$AK$503,'Daily Data'!$B$4:$B$503,$A67,'Daily Data'!$AL$4:$AL$503,$C$5,'Daily Data'!$AN$4:$AN$503,$C$4)),""))</f>
        <v/>
      </c>
      <c r="K67" s="112" t="str">
        <f>IF($A67="","",IFERROR(IF(_xlfn.MAXIFS('Daily Data'!$AK$4:$AK$503,'Daily Data'!$B$4:$B$503,$A67,'Daily Data'!$AL$4:$AL$503,$C$5,'Daily Data'!$AN$4:$AN$503,$C$4)=0,"",_xlfn.MAXIFS('Daily Data'!$AK$4:$AK$503,'Daily Data'!$B$4:$B$503,$A67,'Daily Data'!$AL$4:$AL$503,$C$5,'Daily Data'!$AN$4:$AN$503,$C$4)),""))</f>
        <v/>
      </c>
      <c r="L67" s="156" t="str">
        <f>IF($J67="","",SUMIFS('Daily Data'!$D$4:$D$503,'Daily Data'!$B$4:$B$503,$A67,'Daily Data'!$AK$4:$AK$503,$J67))</f>
        <v/>
      </c>
      <c r="M67" s="156" t="str">
        <f>IF($K67="","",SUMIFS('Daily Data'!$E$4:$E$503,'Daily Data'!$B$4:$B$503,$A67,'Daily Data'!$AK$4:$AK$503,$K67))</f>
        <v/>
      </c>
    </row>
    <row r="68" spans="1:13" x14ac:dyDescent="0.3">
      <c r="A68" s="155" t="str">
        <f>IF(Symbols!A42="","",Symbols!A42)</f>
        <v/>
      </c>
      <c r="B68" s="98" t="str">
        <f>IF($J68="","",SUMIFS('Daily Data'!$I$4:$I$503,'Daily Data'!$B$4:$B$503,$A68,'Daily Data'!$AL$4:$AL$503,$C$5,'Daily Data'!$AN$4:$AN$503,$C$4))</f>
        <v/>
      </c>
      <c r="C68" s="98" t="str">
        <f>IF($J68="","",SUMIFS('Daily Data'!$K$4:$K$503,'Daily Data'!$B$4:$B$503,$A68,'Daily Data'!$AL$4:$AL$503,$C$5,'Daily Data'!$AN$4:$AN$503,$C$4))</f>
        <v/>
      </c>
      <c r="D68" s="98" t="str">
        <f>IF($J68="","",SUMIFS('Daily Data'!$J$4:$J$503,'Daily Data'!$B$4:$B$503,$A68,'Daily Data'!$AL$4:$AL$503,$C$5,'Daily Data'!$AN$4:$AN$503,$C$4))</f>
        <v/>
      </c>
      <c r="E68" s="99" t="str">
        <f>IF($J68="","",IFERROR(AVERAGEIFS('Daily Data'!$S$4:$S$503,'Daily Data'!$B$4:$B$503,$A68,'Daily Data'!$AL$4:$AL$503,$C$5,'Daily Data'!$AN$4:$AN$503,$C$4),""))</f>
        <v/>
      </c>
      <c r="F68" s="97" t="str">
        <f>IF(OR($J68="",N($L68)=0),"",$M68/$L68-1)</f>
        <v/>
      </c>
      <c r="G68" s="100" t="str">
        <f>IF($J68="","",IFERROR(AVERAGEIFS('Daily Data'!$AH$4:$AH$503,'Daily Data'!$B$4:$B$503,$A68,'Daily Data'!$AL$4:$AL$503,$C$5,'Daily Data'!$AN$4:$AN$503,$C$4),""))</f>
        <v/>
      </c>
      <c r="H68" s="100" t="str">
        <f>IF($J68="","",IFERROR(AVERAGEIFS('Daily Data'!$AG$4:$AG$503,'Daily Data'!$B$4:$B$503,$A68,'Daily Data'!$AL$4:$AL$503,$C$5,'Daily Data'!$AN$4:$AN$503,$C$4),""))</f>
        <v/>
      </c>
      <c r="I68" s="97" t="str">
        <f>IF($K68="","",IF(COUNTIFS('Daily Data'!$B$4:$B$503,$A68,'Daily Data'!$AK$4:$AK$503,$K68,'Daily Data'!$AA$4:$AA$503,"&gt;=-1E+300")=0,"",SUMIFS('Daily Data'!$AA$4:$AA$503,'Daily Data'!$B$4:$B$503,$A68,'Daily Data'!$AK$4:$AK$503,$K68)))</f>
        <v/>
      </c>
      <c r="J68" s="112" t="str">
        <f>IF($A68="","",IFERROR(IF(_xlfn.MINIFS('Daily Data'!$AK$4:$AK$503,'Daily Data'!$B$4:$B$503,$A68,'Daily Data'!$AL$4:$AL$503,$C$5,'Daily Data'!$AN$4:$AN$503,$C$4)=0,"",_xlfn.MINIFS('Daily Data'!$AK$4:$AK$503,'Daily Data'!$B$4:$B$503,$A68,'Daily Data'!$AL$4:$AL$503,$C$5,'Daily Data'!$AN$4:$AN$503,$C$4)),""))</f>
        <v/>
      </c>
      <c r="K68" s="112" t="str">
        <f>IF($A68="","",IFERROR(IF(_xlfn.MAXIFS('Daily Data'!$AK$4:$AK$503,'Daily Data'!$B$4:$B$503,$A68,'Daily Data'!$AL$4:$AL$503,$C$5,'Daily Data'!$AN$4:$AN$503,$C$4)=0,"",_xlfn.MAXIFS('Daily Data'!$AK$4:$AK$503,'Daily Data'!$B$4:$B$503,$A68,'Daily Data'!$AL$4:$AL$503,$C$5,'Daily Data'!$AN$4:$AN$503,$C$4)),""))</f>
        <v/>
      </c>
      <c r="L68" s="156" t="str">
        <f>IF($J68="","",SUMIFS('Daily Data'!$D$4:$D$503,'Daily Data'!$B$4:$B$503,$A68,'Daily Data'!$AK$4:$AK$503,$J68))</f>
        <v/>
      </c>
      <c r="M68" s="156" t="str">
        <f>IF($K68="","",SUMIFS('Daily Data'!$E$4:$E$503,'Daily Data'!$B$4:$B$503,$A68,'Daily Data'!$AK$4:$AK$503,$K68))</f>
        <v/>
      </c>
    </row>
    <row r="69" spans="1:13" x14ac:dyDescent="0.3">
      <c r="A69" s="157" t="str">
        <f>IF(Symbols!A43="","",Symbols!A43)</f>
        <v/>
      </c>
      <c r="B69" s="106" t="str">
        <f>IF($J69="","",SUMIFS('Daily Data'!$I$4:$I$503,'Daily Data'!$B$4:$B$503,$A69,'Daily Data'!$AL$4:$AL$503,$C$5,'Daily Data'!$AN$4:$AN$503,$C$4))</f>
        <v/>
      </c>
      <c r="C69" s="106" t="str">
        <f>IF($J69="","",SUMIFS('Daily Data'!$K$4:$K$503,'Daily Data'!$B$4:$B$503,$A69,'Daily Data'!$AL$4:$AL$503,$C$5,'Daily Data'!$AN$4:$AN$503,$C$4))</f>
        <v/>
      </c>
      <c r="D69" s="106" t="str">
        <f>IF($J69="","",SUMIFS('Daily Data'!$J$4:$J$503,'Daily Data'!$B$4:$B$503,$A69,'Daily Data'!$AL$4:$AL$503,$C$5,'Daily Data'!$AN$4:$AN$503,$C$4))</f>
        <v/>
      </c>
      <c r="E69" s="107" t="str">
        <f>IF($J69="","",IFERROR(AVERAGEIFS('Daily Data'!$S$4:$S$503,'Daily Data'!$B$4:$B$503,$A69,'Daily Data'!$AL$4:$AL$503,$C$5,'Daily Data'!$AN$4:$AN$503,$C$4),""))</f>
        <v/>
      </c>
      <c r="F69" s="105" t="str">
        <f>IF(OR($J69="",N($L69)=0),"",$M69/$L69-1)</f>
        <v/>
      </c>
      <c r="G69" s="108" t="str">
        <f>IF($J69="","",IFERROR(AVERAGEIFS('Daily Data'!$AH$4:$AH$503,'Daily Data'!$B$4:$B$503,$A69,'Daily Data'!$AL$4:$AL$503,$C$5,'Daily Data'!$AN$4:$AN$503,$C$4),""))</f>
        <v/>
      </c>
      <c r="H69" s="108" t="str">
        <f>IF($J69="","",IFERROR(AVERAGEIFS('Daily Data'!$AG$4:$AG$503,'Daily Data'!$B$4:$B$503,$A69,'Daily Data'!$AL$4:$AL$503,$C$5,'Daily Data'!$AN$4:$AN$503,$C$4),""))</f>
        <v/>
      </c>
      <c r="I69" s="105" t="str">
        <f>IF($K69="","",IF(COUNTIFS('Daily Data'!$B$4:$B$503,$A69,'Daily Data'!$AK$4:$AK$503,$K69,'Daily Data'!$AA$4:$AA$503,"&gt;=-1E+300")=0,"",SUMIFS('Daily Data'!$AA$4:$AA$503,'Daily Data'!$B$4:$B$503,$A69,'Daily Data'!$AK$4:$AK$503,$K69)))</f>
        <v/>
      </c>
      <c r="J69" s="113" t="str">
        <f>IF($A69="","",IFERROR(IF(_xlfn.MINIFS('Daily Data'!$AK$4:$AK$503,'Daily Data'!$B$4:$B$503,$A69,'Daily Data'!$AL$4:$AL$503,$C$5,'Daily Data'!$AN$4:$AN$503,$C$4)=0,"",_xlfn.MINIFS('Daily Data'!$AK$4:$AK$503,'Daily Data'!$B$4:$B$503,$A69,'Daily Data'!$AL$4:$AL$503,$C$5,'Daily Data'!$AN$4:$AN$503,$C$4)),""))</f>
        <v/>
      </c>
      <c r="K69" s="113" t="str">
        <f>IF($A69="","",IFERROR(IF(_xlfn.MAXIFS('Daily Data'!$AK$4:$AK$503,'Daily Data'!$B$4:$B$503,$A69,'Daily Data'!$AL$4:$AL$503,$C$5,'Daily Data'!$AN$4:$AN$503,$C$4)=0,"",_xlfn.MAXIFS('Daily Data'!$AK$4:$AK$503,'Daily Data'!$B$4:$B$503,$A69,'Daily Data'!$AL$4:$AL$503,$C$5,'Daily Data'!$AN$4:$AN$503,$C$4)),""))</f>
        <v/>
      </c>
      <c r="L69" s="158" t="str">
        <f>IF($J69="","",SUMIFS('Daily Data'!$D$4:$D$503,'Daily Data'!$B$4:$B$503,$A69,'Daily Data'!$AK$4:$AK$503,$J69))</f>
        <v/>
      </c>
      <c r="M69" s="158" t="str">
        <f>IF($K69="","",SUMIFS('Daily Data'!$E$4:$E$503,'Daily Data'!$B$4:$B$503,$A69,'Daily Data'!$AK$4:$AK$503,$K69))</f>
        <v/>
      </c>
    </row>
    <row r="71" spans="1:13" x14ac:dyDescent="0.3">
      <c r="A71" s="86" t="s">
        <v>308</v>
      </c>
    </row>
    <row r="72" spans="1:13" ht="109.95" customHeight="1" x14ac:dyDescent="0.3">
      <c r="A72" s="160" t="str">
        <f>IF(Settings!$C$7="Kiswahili","Katika "&amp;"mwezi wa "&amp;TEXT(DATE($C$5,$C$4,1),"mmmm")&amp;" ya mwaka "&amp;$C$5&amp;", Soko la Hisa la Dar es Salaam lilirekodi jumla ya mauzo ya TZS "&amp;TEXT($C$7,"#,##0")&amp;", hisa "&amp;TEXT($C$8,"#,##0")&amp;" na miamala "&amp;TEXT($C$9,"#,##0")&amp;" katika siku "&amp;TEXT($C$10,"#,##0")&amp;" za biashara, wastani wa TZS "&amp;TEXT($C$11,"#,##0")&amp;" kwa siku. Mwelekeo wa soko ulikuwa "&amp;$C$17&amp;", na wastani wa mabadiliko ya kila siku wa "&amp;TEXT($C$16,"0.0%")&amp;". Kaunta iliyofanya vizuri zaidi ilikuwa "&amp;$C$21&amp;" ("&amp;TEXT($D$21,"0.0%")&amp;") na iliyofanya vibaya zaidi ilikuwa "&amp;$C$22&amp;" ("&amp;TEXT($D$22,"0.0%")&amp;"). Mauzo yaliongozwa na "&amp;$C$23&amp;" na ujazo wa hisa na "&amp;$C$24&amp;". Kasi kubwa zaidi ya B/O kati ya kaunta zenye ukwasi ilitoka "&amp;$C$25&amp;". Uwiano wa jumla wa zabuni kwa ofa ulikuwa "&amp;TEXT($C$14,"0.00")&amp;"x na wastani wa alama ya shinikizo la soko ulikuwa "&amp;TEXT($C$15,"0.0")&amp;". Kumbuka: takwimu za zabuni na ofa ni kiasi cha oda zilizosalia; alama za shinikizo ni zana za msaada wa maamuzi, si ushauri wa uwekezaji.","In "&amp;TEXT(DATE($C$5,$C$4,1),"mmmm")&amp;" of "&amp;$C$5&amp;", the Dar es Salaam Stock Exchange recorded total turnover of TZS "&amp;TEXT($C$7,"#,##0")&amp;", volume of "&amp;TEXT($C$8,"#,##0")&amp;" shares and "&amp;TEXT($C$9,"#,##0")&amp;" deals over "&amp;TEXT($C$10,"#,##0")&amp;" active trading day(s), an average of TZS "&amp;TEXT($C$11,"#,##0")&amp;" per day. The market trend was "&amp;$C$17&amp;", with an average daily change of "&amp;TEXT($C$16,"0.0%")&amp;". The strongest counter was "&amp;$C$21&amp;" ("&amp;TEXT($D$21,"0.0%")&amp;") and the weakest was "&amp;$C$22&amp;" ("&amp;TEXT($D$22,"0.0%")&amp;"). Turnover was led by "&amp;$C$23&amp;" and volume by "&amp;$C$24&amp;". The strongest B/O momentum among liquid counters came from "&amp;$C$25&amp;". The aggregate outstanding bid/offer ratio was "&amp;TEXT($C$14,"0.00")&amp;"x and the average market pressure score was "&amp;TEXT($C$15,"0.0")&amp;". Note: bid and offer figures are OUTSTANDING ORDER QUANTITIES, and pressure scores are decision-support indicators — not investment advice.")</f>
        <v>In August of 2026, the Dar es Salaam Stock Exchange recorded total turnover of TZS 30,303,795,275, volume of 8,738,153 shares and 16,147 deals over 5 active trading day(s), an average of TZS 6,060,759,055 per day. The market trend was Mildly Bullish, with an average daily change of 0.2%. The strongest counter was n/a (0.0%) and the weakest was n/a (0.0%). Turnover was led by NMB and volume by CRDB. The strongest B/O momentum among liquid counters came from n/a. The aggregate outstanding bid/offer ratio was 1.12x and the average market pressure score was 50.6. Note: bid and offer figures are OUTSTANDING ORDER QUANTITIES, and pressure scores are decision-support indicators — not investment advice.</v>
      </c>
      <c r="B72" s="160"/>
      <c r="C72" s="160"/>
      <c r="D72" s="160"/>
      <c r="E72" s="160"/>
      <c r="F72" s="160"/>
      <c r="G72" s="160"/>
      <c r="H72" s="160"/>
      <c r="I72" s="160"/>
      <c r="J72" s="160"/>
      <c r="K72" s="160"/>
      <c r="L72" s="160"/>
      <c r="M72" s="160"/>
    </row>
  </sheetData>
  <sheetProtection algorithmName="SHA-512" hashValue="Rl+nR4jPwTQ/UH1wagsVGPtDDQwcI6MEbZqV9PWi6u5gTEscCkRsZ3kh1hQvxmPc0MwgmC9b1jHolYJ5YDeqdw==" saltValue="fMXtWfX8emWdHVC8kLP0fw==" spinCount="100000" sheet="1" objects="1" scenarios="1" sort="0" autoFilter="0"/>
  <mergeCells count="1">
    <mergeCell ref="A72:M7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94EF-DC83-406A-B78C-4357A51BCFE7}">
  <dimension ref="A1:AW94"/>
  <sheetViews>
    <sheetView workbookViewId="0"/>
  </sheetViews>
  <sheetFormatPr defaultRowHeight="14.4" x14ac:dyDescent="0.3"/>
  <cols>
    <col min="1" max="14" width="14.44140625" customWidth="1"/>
    <col min="26" max="27" width="13.88671875" customWidth="1"/>
    <col min="29" max="30" width="13.88671875" customWidth="1"/>
    <col min="32" max="33" width="13.88671875" customWidth="1"/>
    <col min="35" max="36" width="13.88671875" customWidth="1"/>
    <col min="38" max="39" width="13.88671875" customWidth="1"/>
    <col min="41" max="42" width="13.88671875" customWidth="1"/>
    <col min="44" max="45" width="13.88671875" customWidth="1"/>
    <col min="47" max="49" width="13.88671875" customWidth="1"/>
  </cols>
  <sheetData>
    <row r="1" spans="1:14" ht="23.4" x14ac:dyDescent="0.45">
      <c r="A1" s="1" t="s">
        <v>334</v>
      </c>
    </row>
    <row r="2" spans="1:14" x14ac:dyDescent="0.3">
      <c r="A2" s="2" t="s">
        <v>335</v>
      </c>
    </row>
    <row r="4" spans="1:14" x14ac:dyDescent="0.3">
      <c r="A4" s="32" t="s">
        <v>195</v>
      </c>
      <c r="B4" s="35">
        <f>Settings!$C$13</f>
        <v>46248</v>
      </c>
      <c r="C4" s="2" t="s">
        <v>336</v>
      </c>
      <c r="F4" s="32" t="s">
        <v>337</v>
      </c>
      <c r="G4" s="34" t="str">
        <f>Settings!$C$14</f>
        <v>CRDB</v>
      </c>
    </row>
    <row r="6" spans="1:14" ht="30" customHeight="1" x14ac:dyDescent="0.3">
      <c r="A6" s="166" t="s">
        <v>338</v>
      </c>
      <c r="B6" s="167"/>
      <c r="C6" s="167" t="s">
        <v>339</v>
      </c>
      <c r="D6" s="167"/>
      <c r="E6" s="167" t="s">
        <v>155</v>
      </c>
      <c r="F6" s="167"/>
      <c r="G6" s="167" t="s">
        <v>340</v>
      </c>
      <c r="H6" s="167"/>
      <c r="I6" s="167" t="s">
        <v>206</v>
      </c>
      <c r="J6" s="167"/>
      <c r="K6" s="167" t="s">
        <v>207</v>
      </c>
      <c r="L6" s="167"/>
      <c r="M6" s="167" t="s">
        <v>294</v>
      </c>
      <c r="N6" s="168"/>
    </row>
    <row r="7" spans="1:14" ht="30" customHeight="1" x14ac:dyDescent="0.4">
      <c r="A7" s="169">
        <f>'Daily Summary'!$C$6</f>
        <v>7277674125</v>
      </c>
      <c r="B7" s="170"/>
      <c r="C7" s="171">
        <f>'Daily Summary'!$C$7</f>
        <v>1598388</v>
      </c>
      <c r="D7" s="171"/>
      <c r="E7" s="171">
        <f>'Daily Summary'!$C$8</f>
        <v>3079</v>
      </c>
      <c r="F7" s="171"/>
      <c r="G7" s="172">
        <f>'Daily Summary'!$C$12</f>
        <v>1.7661218549825632</v>
      </c>
      <c r="H7" s="172"/>
      <c r="I7" s="173">
        <f>'Daily Summary'!$C$14</f>
        <v>11</v>
      </c>
      <c r="J7" s="173"/>
      <c r="K7" s="174">
        <f>'Daily Summary'!$C$15</f>
        <v>7</v>
      </c>
      <c r="L7" s="174"/>
      <c r="M7" s="175">
        <f>'Daily Summary'!$C$18</f>
        <v>53.79</v>
      </c>
      <c r="N7" s="176"/>
    </row>
    <row r="50" spans="1:49" x14ac:dyDescent="0.3">
      <c r="A50" s="5" t="str">
        <f>"Analysis date: "&amp;TEXT($B$4,"yyyy-mm-dd")&amp;"     ·     Focus security: "&amp;$G$4</f>
        <v>Analysis date: 2026-08-14     ·     Focus security: CRDB</v>
      </c>
    </row>
    <row r="59" spans="1:49" x14ac:dyDescent="0.3">
      <c r="Z59" s="119" t="s">
        <v>245</v>
      </c>
    </row>
    <row r="60" spans="1:49" x14ac:dyDescent="0.3">
      <c r="Z60" s="118" t="s">
        <v>147</v>
      </c>
      <c r="AA60" s="118" t="s">
        <v>338</v>
      </c>
      <c r="AC60" s="118" t="s">
        <v>147</v>
      </c>
      <c r="AD60" s="118" t="s">
        <v>339</v>
      </c>
      <c r="AF60" s="118" t="s">
        <v>147</v>
      </c>
      <c r="AG60" s="118" t="s">
        <v>204</v>
      </c>
      <c r="AI60" s="118" t="s">
        <v>147</v>
      </c>
      <c r="AJ60" s="118" t="s">
        <v>294</v>
      </c>
      <c r="AL60" s="118" t="s">
        <v>96</v>
      </c>
      <c r="AM60" s="118" t="s">
        <v>221</v>
      </c>
      <c r="AO60" s="118" t="s">
        <v>96</v>
      </c>
      <c r="AP60" s="118" t="s">
        <v>172</v>
      </c>
      <c r="AR60" s="118" t="s">
        <v>341</v>
      </c>
      <c r="AS60" s="118" t="s">
        <v>342</v>
      </c>
      <c r="AU60" s="118" t="s">
        <v>96</v>
      </c>
      <c r="AV60" s="118" t="s">
        <v>157</v>
      </c>
      <c r="AW60" s="118" t="s">
        <v>158</v>
      </c>
    </row>
    <row r="61" spans="1:49" x14ac:dyDescent="0.3">
      <c r="Z61" s="117" t="e" cm="1">
        <f t="array" ref="Z61">IFERROR(LARGE(_xlfn._xlws.FILTER('Daily Data'!$A$4:$A$503,'Daily Data'!$AV$4:$AV$503=1),91-ROW()),NA())</f>
        <v>#N/A</v>
      </c>
      <c r="AA61" s="116" t="e">
        <f>IF(ISNA($Z61),NA(),SUMIFS('Daily Data'!$I$4:$I$503,'Daily Data'!$A$4:$A$503,$Z61))</f>
        <v>#N/A</v>
      </c>
      <c r="AC61" s="117" t="e">
        <f>IF(ISNA($Z61),NA(),$Z61)</f>
        <v>#N/A</v>
      </c>
      <c r="AD61" s="116" t="e">
        <f>IF(ISNA($Z61),NA(),SUMIFS('Daily Data'!$K$4:$K$503,'Daily Data'!$A$4:$A$503,$Z61))</f>
        <v>#N/A</v>
      </c>
      <c r="AF61" s="117" t="e">
        <f>IF(ISNA($Z61),NA(),$Z61)</f>
        <v>#N/A</v>
      </c>
      <c r="AG61" s="116" t="e">
        <f>IF(ISNA($Z61),NA(),IF(SUMIFS('Daily Data'!$M$4:$M$503,'Daily Data'!$A$4:$A$503,$Z61)=0,NA(),SUMIFS('Daily Data'!$L$4:$L$503,'Daily Data'!$A$4:$A$503,$Z61)/SUMIFS('Daily Data'!$M$4:$M$503,'Daily Data'!$A$4:$A$503,$Z61)))</f>
        <v>#N/A</v>
      </c>
      <c r="AI61" s="117" t="e">
        <f>IF(ISNA($Z61),NA(),$Z61)</f>
        <v>#N/A</v>
      </c>
      <c r="AJ61" s="116" t="e">
        <f>IF(ISNA($Z61),NA(),IFERROR(AVERAGEIFS('Daily Data'!$AH$4:$AH$503,'Daily Data'!$A$4:$A$503,$Z61),NA()))</f>
        <v>#N/A</v>
      </c>
      <c r="AL61" s="116" t="str" cm="1">
        <f t="array" ref="AL61">IFERROR(INDEX(_xlfn._xlws.FILTER('Daily Data'!$B$4:$B$503,'Daily Data'!$A$4:$A$503=$B$4),MATCH($AM61,_xlfn._xlws.FILTER('Daily Data'!$I$4:$I$503,'Daily Data'!$A$4:$A$503=$B$4),0)),"")</f>
        <v>NMB</v>
      </c>
      <c r="AM61" s="116" cm="1">
        <f t="array" ref="AM61">IFERROR(LARGE(_xlfn._xlws.FILTER('Daily Data'!$I$4:$I$503,'Daily Data'!$A$4:$A$503=$B$4),1),NA())</f>
        <v>3582788330</v>
      </c>
      <c r="AN61" s="116"/>
      <c r="AO61" s="116" t="str" cm="1">
        <f t="array" ref="AO61">IFERROR(INDEX(_xlfn._xlws.FILTER('Daily Data'!$B$4:$B$503,('Daily Data'!$A$4:$A$503=$B$4)*('Daily Data'!$AG$4:$AG$503&gt;=Settings!$C$30)),MATCH($AP61,_xlfn._xlws.FILTER('Daily Data'!$AA$4:$AA$503,('Daily Data'!$A$4:$A$503=$B$4)*('Daily Data'!$AG$4:$AG$503&gt;=Settings!$C$30)),0)),"")</f>
        <v/>
      </c>
      <c r="AP61" s="116" t="e" cm="1">
        <f t="array" ref="AP61">IFERROR(LARGE(_xlfn._xlws.FILTER('Daily Data'!$AA$4:$AA$503,('Daily Data'!$A$4:$A$503=$B$4)*('Daily Data'!$AG$4:$AG$503&gt;=Settings!$C$30)),1),NA())</f>
        <v>#N/A</v>
      </c>
      <c r="AQ61" s="116"/>
      <c r="AR61" s="116" t="s">
        <v>206</v>
      </c>
      <c r="AS61" s="116">
        <f>'Daily Summary'!$C$14</f>
        <v>11</v>
      </c>
      <c r="AT61" s="116"/>
      <c r="AU61" s="116" t="str">
        <f>IF($AL61="","",$AL61)</f>
        <v>NMB</v>
      </c>
      <c r="AV61" s="116">
        <f>IF($AL61="",NA(),SUMIFS('Daily Data'!$L$4:$L$503,'Daily Data'!$B$4:$B$503,$AL61,'Daily Data'!$A$4:$A$503,$B$4))</f>
        <v>72424</v>
      </c>
      <c r="AW61" s="116">
        <f>IF($AL61="",NA(),SUMIFS('Daily Data'!$M$4:$M$503,'Daily Data'!$B$4:$B$503,$AL61,'Daily Data'!$A$4:$A$503,$B$4))</f>
        <v>247</v>
      </c>
    </row>
    <row r="62" spans="1:49" x14ac:dyDescent="0.3">
      <c r="Z62" s="117" t="e" cm="1">
        <f t="array" ref="Z62">IFERROR(LARGE(_xlfn._xlws.FILTER('Daily Data'!$A$4:$A$503,'Daily Data'!$AV$4:$AV$503=1),91-ROW()),NA())</f>
        <v>#N/A</v>
      </c>
      <c r="AA62" s="116" t="e">
        <f>IF(ISNA($Z62),NA(),SUMIFS('Daily Data'!$I$4:$I$503,'Daily Data'!$A$4:$A$503,$Z62))</f>
        <v>#N/A</v>
      </c>
      <c r="AC62" s="117" t="e">
        <f>IF(ISNA($Z62),NA(),$Z62)</f>
        <v>#N/A</v>
      </c>
      <c r="AD62" s="116" t="e">
        <f>IF(ISNA($Z62),NA(),SUMIFS('Daily Data'!$K$4:$K$503,'Daily Data'!$A$4:$A$503,$Z62))</f>
        <v>#N/A</v>
      </c>
      <c r="AF62" s="117" t="e">
        <f>IF(ISNA($Z62),NA(),$Z62)</f>
        <v>#N/A</v>
      </c>
      <c r="AG62" s="116" t="e">
        <f>IF(ISNA($Z62),NA(),IF(SUMIFS('Daily Data'!$M$4:$M$503,'Daily Data'!$A$4:$A$503,$Z62)=0,NA(),SUMIFS('Daily Data'!$L$4:$L$503,'Daily Data'!$A$4:$A$503,$Z62)/SUMIFS('Daily Data'!$M$4:$M$503,'Daily Data'!$A$4:$A$503,$Z62)))</f>
        <v>#N/A</v>
      </c>
      <c r="AI62" s="117" t="e">
        <f>IF(ISNA($Z62),NA(),$Z62)</f>
        <v>#N/A</v>
      </c>
      <c r="AJ62" s="116" t="e">
        <f>IF(ISNA($Z62),NA(),IFERROR(AVERAGEIFS('Daily Data'!$AH$4:$AH$503,'Daily Data'!$A$4:$A$503,$Z62),NA()))</f>
        <v>#N/A</v>
      </c>
      <c r="AL62" s="116" t="str" cm="1">
        <f t="array" ref="AL62">IFERROR(INDEX(_xlfn._xlws.FILTER('Daily Data'!$B$4:$B$503,'Daily Data'!$A$4:$A$503=$B$4),MATCH($AM62,_xlfn._xlws.FILTER('Daily Data'!$I$4:$I$503,'Daily Data'!$A$4:$A$503=$B$4),0)),"")</f>
        <v>TPCC</v>
      </c>
      <c r="AM62" s="116" cm="1">
        <f t="array" ref="AM62">IFERROR(LARGE(_xlfn._xlws.FILTER('Daily Data'!$I$4:$I$503,'Daily Data'!$A$4:$A$503=$B$4),2),NA())</f>
        <v>1504962160</v>
      </c>
      <c r="AN62" s="116"/>
      <c r="AO62" s="116" t="str" cm="1">
        <f t="array" ref="AO62">IFERROR(INDEX(_xlfn._xlws.FILTER('Daily Data'!$B$4:$B$503,('Daily Data'!$A$4:$A$503=$B$4)*('Daily Data'!$AG$4:$AG$503&gt;=Settings!$C$30)),MATCH($AP62,_xlfn._xlws.FILTER('Daily Data'!$AA$4:$AA$503,('Daily Data'!$A$4:$A$503=$B$4)*('Daily Data'!$AG$4:$AG$503&gt;=Settings!$C$30)),0)),"")</f>
        <v/>
      </c>
      <c r="AP62" s="116" t="e" cm="1">
        <f t="array" ref="AP62">IFERROR(LARGE(_xlfn._xlws.FILTER('Daily Data'!$AA$4:$AA$503,('Daily Data'!$A$4:$A$503=$B$4)*('Daily Data'!$AG$4:$AG$503&gt;=Settings!$C$30)),2),NA())</f>
        <v>#N/A</v>
      </c>
      <c r="AQ62" s="116"/>
      <c r="AR62" s="116" t="s">
        <v>207</v>
      </c>
      <c r="AS62" s="116">
        <f>'Daily Summary'!$C$15</f>
        <v>7</v>
      </c>
      <c r="AT62" s="116"/>
      <c r="AU62" s="116" t="str">
        <f>IF($AL62="","",$AL62)</f>
        <v>TPCC</v>
      </c>
      <c r="AV62" s="116">
        <f>IF($AL62="",NA(),SUMIFS('Daily Data'!$L$4:$L$503,'Daily Data'!$B$4:$B$503,$AL62,'Daily Data'!$A$4:$A$503,$B$4))</f>
        <v>8660</v>
      </c>
      <c r="AW62" s="116">
        <f>IF($AL62="",NA(),SUMIFS('Daily Data'!$M$4:$M$503,'Daily Data'!$B$4:$B$503,$AL62,'Daily Data'!$A$4:$A$503,$B$4))</f>
        <v>10</v>
      </c>
    </row>
    <row r="63" spans="1:49" x14ac:dyDescent="0.3">
      <c r="Z63" s="117" t="e" cm="1">
        <f t="array" ref="Z63">IFERROR(LARGE(_xlfn._xlws.FILTER('Daily Data'!$A$4:$A$503,'Daily Data'!$AV$4:$AV$503=1),91-ROW()),NA())</f>
        <v>#N/A</v>
      </c>
      <c r="AA63" s="116" t="e">
        <f>IF(ISNA($Z63),NA(),SUMIFS('Daily Data'!$I$4:$I$503,'Daily Data'!$A$4:$A$503,$Z63))</f>
        <v>#N/A</v>
      </c>
      <c r="AC63" s="117" t="e">
        <f>IF(ISNA($Z63),NA(),$Z63)</f>
        <v>#N/A</v>
      </c>
      <c r="AD63" s="116" t="e">
        <f>IF(ISNA($Z63),NA(),SUMIFS('Daily Data'!$K$4:$K$503,'Daily Data'!$A$4:$A$503,$Z63))</f>
        <v>#N/A</v>
      </c>
      <c r="AF63" s="117" t="e">
        <f>IF(ISNA($Z63),NA(),$Z63)</f>
        <v>#N/A</v>
      </c>
      <c r="AG63" s="116" t="e">
        <f>IF(ISNA($Z63),NA(),IF(SUMIFS('Daily Data'!$M$4:$M$503,'Daily Data'!$A$4:$A$503,$Z63)=0,NA(),SUMIFS('Daily Data'!$L$4:$L$503,'Daily Data'!$A$4:$A$503,$Z63)/SUMIFS('Daily Data'!$M$4:$M$503,'Daily Data'!$A$4:$A$503,$Z63)))</f>
        <v>#N/A</v>
      </c>
      <c r="AI63" s="117" t="e">
        <f>IF(ISNA($Z63),NA(),$Z63)</f>
        <v>#N/A</v>
      </c>
      <c r="AJ63" s="116" t="e">
        <f>IF(ISNA($Z63),NA(),IFERROR(AVERAGEIFS('Daily Data'!$AH$4:$AH$503,'Daily Data'!$A$4:$A$503,$Z63),NA()))</f>
        <v>#N/A</v>
      </c>
      <c r="AL63" s="116" t="str" cm="1">
        <f t="array" ref="AL63">IFERROR(INDEX(_xlfn._xlws.FILTER('Daily Data'!$B$4:$B$503,'Daily Data'!$A$4:$A$503=$B$4),MATCH($AM63,_xlfn._xlws.FILTER('Daily Data'!$I$4:$I$503,'Daily Data'!$A$4:$A$503=$B$4),0)),"")</f>
        <v>CRDB</v>
      </c>
      <c r="AM63" s="116" cm="1">
        <f t="array" ref="AM63">IFERROR(LARGE(_xlfn._xlws.FILTER('Daily Data'!$I$4:$I$503,'Daily Data'!$A$4:$A$503=$B$4),3),NA())</f>
        <v>1052659120</v>
      </c>
      <c r="AN63" s="116"/>
      <c r="AO63" s="116" t="str" cm="1">
        <f t="array" ref="AO63">IFERROR(INDEX(_xlfn._xlws.FILTER('Daily Data'!$B$4:$B$503,('Daily Data'!$A$4:$A$503=$B$4)*('Daily Data'!$AG$4:$AG$503&gt;=Settings!$C$30)),MATCH($AP63,_xlfn._xlws.FILTER('Daily Data'!$AA$4:$AA$503,('Daily Data'!$A$4:$A$503=$B$4)*('Daily Data'!$AG$4:$AG$503&gt;=Settings!$C$30)),0)),"")</f>
        <v/>
      </c>
      <c r="AP63" s="116" t="e" cm="1">
        <f t="array" ref="AP63">IFERROR(LARGE(_xlfn._xlws.FILTER('Daily Data'!$AA$4:$AA$503,('Daily Data'!$A$4:$A$503=$B$4)*('Daily Data'!$AG$4:$AG$503&gt;=Settings!$C$30)),3),NA())</f>
        <v>#N/A</v>
      </c>
      <c r="AQ63" s="116"/>
      <c r="AR63" s="116" t="s">
        <v>208</v>
      </c>
      <c r="AS63" s="116">
        <f>'Daily Summary'!$C$16</f>
        <v>12</v>
      </c>
      <c r="AT63" s="116"/>
      <c r="AU63" s="116" t="str">
        <f>IF($AL63="","",$AL63)</f>
        <v>CRDB</v>
      </c>
      <c r="AV63" s="116">
        <f>IF($AL63="",NA(),SUMIFS('Daily Data'!$L$4:$L$503,'Daily Data'!$B$4:$B$503,$AL63,'Daily Data'!$A$4:$A$503,$B$4))</f>
        <v>332026</v>
      </c>
      <c r="AW63" s="116">
        <f>IF($AL63="",NA(),SUMIFS('Daily Data'!$M$4:$M$503,'Daily Data'!$B$4:$B$503,$AL63,'Daily Data'!$A$4:$A$503,$B$4))</f>
        <v>68633</v>
      </c>
    </row>
    <row r="64" spans="1:49" x14ac:dyDescent="0.3">
      <c r="Z64" s="117" t="e" cm="1">
        <f t="array" ref="Z64">IFERROR(LARGE(_xlfn._xlws.FILTER('Daily Data'!$A$4:$A$503,'Daily Data'!$AV$4:$AV$503=1),91-ROW()),NA())</f>
        <v>#N/A</v>
      </c>
      <c r="AA64" s="116" t="e">
        <f>IF(ISNA($Z64),NA(),SUMIFS('Daily Data'!$I$4:$I$503,'Daily Data'!$A$4:$A$503,$Z64))</f>
        <v>#N/A</v>
      </c>
      <c r="AC64" s="117" t="e">
        <f>IF(ISNA($Z64),NA(),$Z64)</f>
        <v>#N/A</v>
      </c>
      <c r="AD64" s="116" t="e">
        <f>IF(ISNA($Z64),NA(),SUMIFS('Daily Data'!$K$4:$K$503,'Daily Data'!$A$4:$A$503,$Z64))</f>
        <v>#N/A</v>
      </c>
      <c r="AF64" s="117" t="e">
        <f>IF(ISNA($Z64),NA(),$Z64)</f>
        <v>#N/A</v>
      </c>
      <c r="AG64" s="116" t="e">
        <f>IF(ISNA($Z64),NA(),IF(SUMIFS('Daily Data'!$M$4:$M$503,'Daily Data'!$A$4:$A$503,$Z64)=0,NA(),SUMIFS('Daily Data'!$L$4:$L$503,'Daily Data'!$A$4:$A$503,$Z64)/SUMIFS('Daily Data'!$M$4:$M$503,'Daily Data'!$A$4:$A$503,$Z64)))</f>
        <v>#N/A</v>
      </c>
      <c r="AI64" s="117" t="e">
        <f>IF(ISNA($Z64),NA(),$Z64)</f>
        <v>#N/A</v>
      </c>
      <c r="AJ64" s="116" t="e">
        <f>IF(ISNA($Z64),NA(),IFERROR(AVERAGEIFS('Daily Data'!$AH$4:$AH$503,'Daily Data'!$A$4:$A$503,$Z64),NA()))</f>
        <v>#N/A</v>
      </c>
      <c r="AL64" s="116" t="str" cm="1">
        <f t="array" ref="AL64">IFERROR(INDEX(_xlfn._xlws.FILTER('Daily Data'!$B$4:$B$503,'Daily Data'!$A$4:$A$503=$B$4),MATCH($AM64,_xlfn._xlws.FILTER('Daily Data'!$I$4:$I$503,'Daily Data'!$A$4:$A$503=$B$4),0)),"")</f>
        <v>TCCL</v>
      </c>
      <c r="AM64" s="116" cm="1">
        <f t="array" ref="AM64">IFERROR(LARGE(_xlfn._xlws.FILTER('Daily Data'!$I$4:$I$503,'Daily Data'!$A$4:$A$503=$B$4),4),NA())</f>
        <v>643331900</v>
      </c>
      <c r="AN64" s="116"/>
      <c r="AO64" s="116" t="str" cm="1">
        <f t="array" ref="AO64">IFERROR(INDEX(_xlfn._xlws.FILTER('Daily Data'!$B$4:$B$503,('Daily Data'!$A$4:$A$503=$B$4)*('Daily Data'!$AG$4:$AG$503&gt;=Settings!$C$30)),MATCH($AP64,_xlfn._xlws.FILTER('Daily Data'!$AA$4:$AA$503,('Daily Data'!$A$4:$A$503=$B$4)*('Daily Data'!$AG$4:$AG$503&gt;=Settings!$C$30)),0)),"")</f>
        <v/>
      </c>
      <c r="AP64" s="116" t="e" cm="1">
        <f t="array" ref="AP64">IFERROR(LARGE(_xlfn._xlws.FILTER('Daily Data'!$AA$4:$AA$503,('Daily Data'!$A$4:$A$503=$B$4)*('Daily Data'!$AG$4:$AG$503&gt;=Settings!$C$30)),4),NA())</f>
        <v>#N/A</v>
      </c>
      <c r="AQ64" s="116"/>
      <c r="AR64" s="116"/>
      <c r="AS64" s="116"/>
      <c r="AT64" s="116"/>
      <c r="AU64" s="116" t="str">
        <f>IF($AL64="","",$AL64)</f>
        <v>TCCL</v>
      </c>
      <c r="AV64" s="116">
        <f>IF($AL64="",NA(),SUMIFS('Daily Data'!$L$4:$L$503,'Daily Data'!$B$4:$B$503,$AL64,'Daily Data'!$A$4:$A$503,$B$4))</f>
        <v>9525</v>
      </c>
      <c r="AW64" s="116">
        <f>IF($AL64="",NA(),SUMIFS('Daily Data'!$M$4:$M$503,'Daily Data'!$B$4:$B$503,$AL64,'Daily Data'!$A$4:$A$503,$B$4))</f>
        <v>3627</v>
      </c>
    </row>
    <row r="65" spans="1:49" x14ac:dyDescent="0.3">
      <c r="Z65" s="117" t="e" cm="1">
        <f t="array" ref="Z65">IFERROR(LARGE(_xlfn._xlws.FILTER('Daily Data'!$A$4:$A$503,'Daily Data'!$AV$4:$AV$503=1),91-ROW()),NA())</f>
        <v>#N/A</v>
      </c>
      <c r="AA65" s="116" t="e">
        <f>IF(ISNA($Z65),NA(),SUMIFS('Daily Data'!$I$4:$I$503,'Daily Data'!$A$4:$A$503,$Z65))</f>
        <v>#N/A</v>
      </c>
      <c r="AC65" s="117" t="e">
        <f>IF(ISNA($Z65),NA(),$Z65)</f>
        <v>#N/A</v>
      </c>
      <c r="AD65" s="116" t="e">
        <f>IF(ISNA($Z65),NA(),SUMIFS('Daily Data'!$K$4:$K$503,'Daily Data'!$A$4:$A$503,$Z65))</f>
        <v>#N/A</v>
      </c>
      <c r="AF65" s="117" t="e">
        <f>IF(ISNA($Z65),NA(),$Z65)</f>
        <v>#N/A</v>
      </c>
      <c r="AG65" s="116" t="e">
        <f>IF(ISNA($Z65),NA(),IF(SUMIFS('Daily Data'!$M$4:$M$503,'Daily Data'!$A$4:$A$503,$Z65)=0,NA(),SUMIFS('Daily Data'!$L$4:$L$503,'Daily Data'!$A$4:$A$503,$Z65)/SUMIFS('Daily Data'!$M$4:$M$503,'Daily Data'!$A$4:$A$503,$Z65)))</f>
        <v>#N/A</v>
      </c>
      <c r="AI65" s="117" t="e">
        <f>IF(ISNA($Z65),NA(),$Z65)</f>
        <v>#N/A</v>
      </c>
      <c r="AJ65" s="116" t="e">
        <f>IF(ISNA($Z65),NA(),IFERROR(AVERAGEIFS('Daily Data'!$AH$4:$AH$503,'Daily Data'!$A$4:$A$503,$Z65),NA()))</f>
        <v>#N/A</v>
      </c>
      <c r="AL65" s="116" t="str" cm="1">
        <f t="array" ref="AL65">IFERROR(INDEX(_xlfn._xlws.FILTER('Daily Data'!$B$4:$B$503,'Daily Data'!$A$4:$A$503=$B$4),MATCH($AM65,_xlfn._xlws.FILTER('Daily Data'!$I$4:$I$503,'Daily Data'!$A$4:$A$503=$B$4),0)),"")</f>
        <v>VODA</v>
      </c>
      <c r="AM65" s="116" cm="1">
        <f t="array" ref="AM65">IFERROR(LARGE(_xlfn._xlws.FILTER('Daily Data'!$I$4:$I$503,'Daily Data'!$A$4:$A$503=$B$4),5),NA())</f>
        <v>126296500</v>
      </c>
      <c r="AN65" s="116"/>
      <c r="AO65" s="116" t="str" cm="1">
        <f t="array" ref="AO65">IFERROR(INDEX(_xlfn._xlws.FILTER('Daily Data'!$B$4:$B$503,('Daily Data'!$A$4:$A$503=$B$4)*('Daily Data'!$AG$4:$AG$503&gt;=Settings!$C$30)),MATCH($AP65,_xlfn._xlws.FILTER('Daily Data'!$AA$4:$AA$503,('Daily Data'!$A$4:$A$503=$B$4)*('Daily Data'!$AG$4:$AG$503&gt;=Settings!$C$30)),0)),"")</f>
        <v/>
      </c>
      <c r="AP65" s="116" t="e" cm="1">
        <f t="array" ref="AP65">IFERROR(LARGE(_xlfn._xlws.FILTER('Daily Data'!$AA$4:$AA$503,('Daily Data'!$A$4:$A$503=$B$4)*('Daily Data'!$AG$4:$AG$503&gt;=Settings!$C$30)),5),NA())</f>
        <v>#N/A</v>
      </c>
      <c r="AQ65" s="116"/>
      <c r="AR65" s="116"/>
      <c r="AS65" s="116"/>
      <c r="AT65" s="116"/>
      <c r="AU65" s="116" t="str">
        <f>IF($AL65="","",$AL65)</f>
        <v>VODA</v>
      </c>
      <c r="AV65" s="116">
        <f>IF($AL65="",NA(),SUMIFS('Daily Data'!$L$4:$L$503,'Daily Data'!$B$4:$B$503,$AL65,'Daily Data'!$A$4:$A$503,$B$4))</f>
        <v>139041</v>
      </c>
      <c r="AW65" s="116">
        <f>IF($AL65="",NA(),SUMIFS('Daily Data'!$M$4:$M$503,'Daily Data'!$B$4:$B$503,$AL65,'Daily Data'!$A$4:$A$503,$B$4))</f>
        <v>153707</v>
      </c>
    </row>
    <row r="66" spans="1:49" x14ac:dyDescent="0.3">
      <c r="Z66" s="117" t="e" cm="1">
        <f t="array" ref="Z66">IFERROR(LARGE(_xlfn._xlws.FILTER('Daily Data'!$A$4:$A$503,'Daily Data'!$AV$4:$AV$503=1),91-ROW()),NA())</f>
        <v>#N/A</v>
      </c>
      <c r="AA66" s="116" t="e">
        <f>IF(ISNA($Z66),NA(),SUMIFS('Daily Data'!$I$4:$I$503,'Daily Data'!$A$4:$A$503,$Z66))</f>
        <v>#N/A</v>
      </c>
      <c r="AC66" s="117" t="e">
        <f>IF(ISNA($Z66),NA(),$Z66)</f>
        <v>#N/A</v>
      </c>
      <c r="AD66" s="116" t="e">
        <f>IF(ISNA($Z66),NA(),SUMIFS('Daily Data'!$K$4:$K$503,'Daily Data'!$A$4:$A$503,$Z66))</f>
        <v>#N/A</v>
      </c>
      <c r="AF66" s="117" t="e">
        <f>IF(ISNA($Z66),NA(),$Z66)</f>
        <v>#N/A</v>
      </c>
      <c r="AG66" s="116" t="e">
        <f>IF(ISNA($Z66),NA(),IF(SUMIFS('Daily Data'!$M$4:$M$503,'Daily Data'!$A$4:$A$503,$Z66)=0,NA(),SUMIFS('Daily Data'!$L$4:$L$503,'Daily Data'!$A$4:$A$503,$Z66)/SUMIFS('Daily Data'!$M$4:$M$503,'Daily Data'!$A$4:$A$503,$Z66)))</f>
        <v>#N/A</v>
      </c>
      <c r="AI66" s="117" t="e">
        <f>IF(ISNA($Z66),NA(),$Z66)</f>
        <v>#N/A</v>
      </c>
      <c r="AJ66" s="116" t="e">
        <f>IF(ISNA($Z66),NA(),IFERROR(AVERAGEIFS('Daily Data'!$AH$4:$AH$503,'Daily Data'!$A$4:$A$503,$Z66),NA()))</f>
        <v>#N/A</v>
      </c>
      <c r="AL66" s="116" t="str" cm="1">
        <f t="array" ref="AL66">IFERROR(INDEX(_xlfn._xlws.FILTER('Daily Data'!$B$4:$B$503,'Daily Data'!$A$4:$A$503=$B$4),MATCH($AM66,_xlfn._xlws.FILTER('Daily Data'!$I$4:$I$503,'Daily Data'!$A$4:$A$503=$B$4),0)),"")</f>
        <v>NICO</v>
      </c>
      <c r="AM66" s="116" cm="1">
        <f t="array" ref="AM66">IFERROR(LARGE(_xlfn._xlws.FILTER('Daily Data'!$I$4:$I$503,'Daily Data'!$A$4:$A$503=$B$4),6),NA())</f>
        <v>101531480</v>
      </c>
      <c r="AN66" s="116"/>
      <c r="AO66" s="116" t="str" cm="1">
        <f t="array" ref="AO66">IFERROR(INDEX(_xlfn._xlws.FILTER('Daily Data'!$B$4:$B$503,('Daily Data'!$A$4:$A$503=$B$4)*('Daily Data'!$AG$4:$AG$503&gt;=Settings!$C$30)),MATCH($AP66,_xlfn._xlws.FILTER('Daily Data'!$AA$4:$AA$503,('Daily Data'!$A$4:$A$503=$B$4)*('Daily Data'!$AG$4:$AG$503&gt;=Settings!$C$30)),0)),"")</f>
        <v/>
      </c>
      <c r="AP66" s="116" t="e" cm="1">
        <f t="array" ref="AP66">IFERROR(LARGE(_xlfn._xlws.FILTER('Daily Data'!$AA$4:$AA$503,('Daily Data'!$A$4:$A$503=$B$4)*('Daily Data'!$AG$4:$AG$503&gt;=Settings!$C$30)),6),NA())</f>
        <v>#N/A</v>
      </c>
      <c r="AQ66" s="116"/>
      <c r="AR66" s="116"/>
      <c r="AS66" s="116"/>
      <c r="AT66" s="116"/>
      <c r="AU66" s="116" t="str">
        <f>IF($AL66="","",$AL66)</f>
        <v>NICO</v>
      </c>
      <c r="AV66" s="116">
        <f>IF($AL66="",NA(),SUMIFS('Daily Data'!$L$4:$L$503,'Daily Data'!$B$4:$B$503,$AL66,'Daily Data'!$A$4:$A$503,$B$4))</f>
        <v>15795</v>
      </c>
      <c r="AW66" s="116">
        <f>IF($AL66="",NA(),SUMIFS('Daily Data'!$M$4:$M$503,'Daily Data'!$B$4:$B$503,$AL66,'Daily Data'!$A$4:$A$503,$B$4))</f>
        <v>2447</v>
      </c>
    </row>
    <row r="67" spans="1:49" x14ac:dyDescent="0.3">
      <c r="Z67" s="117" t="e" cm="1">
        <f t="array" ref="Z67">IFERROR(LARGE(_xlfn._xlws.FILTER('Daily Data'!$A$4:$A$503,'Daily Data'!$AV$4:$AV$503=1),91-ROW()),NA())</f>
        <v>#N/A</v>
      </c>
      <c r="AA67" s="116" t="e">
        <f>IF(ISNA($Z67),NA(),SUMIFS('Daily Data'!$I$4:$I$503,'Daily Data'!$A$4:$A$503,$Z67))</f>
        <v>#N/A</v>
      </c>
      <c r="AC67" s="117" t="e">
        <f>IF(ISNA($Z67),NA(),$Z67)</f>
        <v>#N/A</v>
      </c>
      <c r="AD67" s="116" t="e">
        <f>IF(ISNA($Z67),NA(),SUMIFS('Daily Data'!$K$4:$K$503,'Daily Data'!$A$4:$A$503,$Z67))</f>
        <v>#N/A</v>
      </c>
      <c r="AF67" s="117" t="e">
        <f>IF(ISNA($Z67),NA(),$Z67)</f>
        <v>#N/A</v>
      </c>
      <c r="AG67" s="116" t="e">
        <f>IF(ISNA($Z67),NA(),IF(SUMIFS('Daily Data'!$M$4:$M$503,'Daily Data'!$A$4:$A$503,$Z67)=0,NA(),SUMIFS('Daily Data'!$L$4:$L$503,'Daily Data'!$A$4:$A$503,$Z67)/SUMIFS('Daily Data'!$M$4:$M$503,'Daily Data'!$A$4:$A$503,$Z67)))</f>
        <v>#N/A</v>
      </c>
      <c r="AI67" s="117" t="e">
        <f>IF(ISNA($Z67),NA(),$Z67)</f>
        <v>#N/A</v>
      </c>
      <c r="AJ67" s="116" t="e">
        <f>IF(ISNA($Z67),NA(),IFERROR(AVERAGEIFS('Daily Data'!$AH$4:$AH$503,'Daily Data'!$A$4:$A$503,$Z67),NA()))</f>
        <v>#N/A</v>
      </c>
      <c r="AL67" s="116" t="str" cm="1">
        <f t="array" ref="AL67">IFERROR(INDEX(_xlfn._xlws.FILTER('Daily Data'!$B$4:$B$503,'Daily Data'!$A$4:$A$503=$B$4),MATCH($AM67,_xlfn._xlws.FILTER('Daily Data'!$I$4:$I$503,'Daily Data'!$A$4:$A$503=$B$4),0)),"")</f>
        <v>MCB</v>
      </c>
      <c r="AM67" s="116" cm="1">
        <f t="array" ref="AM67">IFERROR(LARGE(_xlfn._xlws.FILTER('Daily Data'!$I$4:$I$503,'Daily Data'!$A$4:$A$503=$B$4),7),NA())</f>
        <v>76744885</v>
      </c>
      <c r="AN67" s="116"/>
      <c r="AO67" s="116" t="str" cm="1">
        <f t="array" ref="AO67">IFERROR(INDEX(_xlfn._xlws.FILTER('Daily Data'!$B$4:$B$503,('Daily Data'!$A$4:$A$503=$B$4)*('Daily Data'!$AG$4:$AG$503&gt;=Settings!$C$30)),MATCH($AP67,_xlfn._xlws.FILTER('Daily Data'!$AA$4:$AA$503,('Daily Data'!$A$4:$A$503=$B$4)*('Daily Data'!$AG$4:$AG$503&gt;=Settings!$C$30)),0)),"")</f>
        <v/>
      </c>
      <c r="AP67" s="116" t="e" cm="1">
        <f t="array" ref="AP67">IFERROR(LARGE(_xlfn._xlws.FILTER('Daily Data'!$AA$4:$AA$503,('Daily Data'!$A$4:$A$503=$B$4)*('Daily Data'!$AG$4:$AG$503&gt;=Settings!$C$30)),7),NA())</f>
        <v>#N/A</v>
      </c>
      <c r="AQ67" s="116"/>
      <c r="AR67" s="116"/>
      <c r="AS67" s="116"/>
      <c r="AT67" s="116"/>
      <c r="AU67" s="116" t="str">
        <f>IF($AL67="","",$AL67)</f>
        <v>MCB</v>
      </c>
      <c r="AV67" s="116">
        <f>IF($AL67="",NA(),SUMIFS('Daily Data'!$L$4:$L$503,'Daily Data'!$B$4:$B$503,$AL67,'Daily Data'!$A$4:$A$503,$B$4))</f>
        <v>23652</v>
      </c>
      <c r="AW67" s="116">
        <f>IF($AL67="",NA(),SUMIFS('Daily Data'!$M$4:$M$503,'Daily Data'!$B$4:$B$503,$AL67,'Daily Data'!$A$4:$A$503,$B$4))</f>
        <v>43610</v>
      </c>
    </row>
    <row r="68" spans="1:49" x14ac:dyDescent="0.3">
      <c r="Z68" s="117" t="e" cm="1">
        <f t="array" ref="Z68">IFERROR(LARGE(_xlfn._xlws.FILTER('Daily Data'!$A$4:$A$503,'Daily Data'!$AV$4:$AV$503=1),91-ROW()),NA())</f>
        <v>#N/A</v>
      </c>
      <c r="AA68" s="116" t="e">
        <f>IF(ISNA($Z68),NA(),SUMIFS('Daily Data'!$I$4:$I$503,'Daily Data'!$A$4:$A$503,$Z68))</f>
        <v>#N/A</v>
      </c>
      <c r="AC68" s="117" t="e">
        <f>IF(ISNA($Z68),NA(),$Z68)</f>
        <v>#N/A</v>
      </c>
      <c r="AD68" s="116" t="e">
        <f>IF(ISNA($Z68),NA(),SUMIFS('Daily Data'!$K$4:$K$503,'Daily Data'!$A$4:$A$503,$Z68))</f>
        <v>#N/A</v>
      </c>
      <c r="AF68" s="117" t="e">
        <f>IF(ISNA($Z68),NA(),$Z68)</f>
        <v>#N/A</v>
      </c>
      <c r="AG68" s="116" t="e">
        <f>IF(ISNA($Z68),NA(),IF(SUMIFS('Daily Data'!$M$4:$M$503,'Daily Data'!$A$4:$A$503,$Z68)=0,NA(),SUMIFS('Daily Data'!$L$4:$L$503,'Daily Data'!$A$4:$A$503,$Z68)/SUMIFS('Daily Data'!$M$4:$M$503,'Daily Data'!$A$4:$A$503,$Z68)))</f>
        <v>#N/A</v>
      </c>
      <c r="AI68" s="117" t="e">
        <f>IF(ISNA($Z68),NA(),$Z68)</f>
        <v>#N/A</v>
      </c>
      <c r="AJ68" s="116" t="e">
        <f>IF(ISNA($Z68),NA(),IFERROR(AVERAGEIFS('Daily Data'!$AH$4:$AH$503,'Daily Data'!$A$4:$A$503,$Z68),NA()))</f>
        <v>#N/A</v>
      </c>
      <c r="AL68" s="116" t="str" cm="1">
        <f t="array" ref="AL68">IFERROR(INDEX(_xlfn._xlws.FILTER('Daily Data'!$B$4:$B$503,'Daily Data'!$A$4:$A$503=$B$4),MATCH($AM68,_xlfn._xlws.FILTER('Daily Data'!$I$4:$I$503,'Daily Data'!$A$4:$A$503=$B$4),0)),"")</f>
        <v>KCB</v>
      </c>
      <c r="AM68" s="116" cm="1">
        <f t="array" ref="AM68">IFERROR(LARGE(_xlfn._xlws.FILTER('Daily Data'!$I$4:$I$503,'Daily Data'!$A$4:$A$503=$B$4),8),NA())</f>
        <v>44643680</v>
      </c>
      <c r="AN68" s="116"/>
      <c r="AO68" s="116" t="str" cm="1">
        <f t="array" ref="AO68">IFERROR(INDEX(_xlfn._xlws.FILTER('Daily Data'!$B$4:$B$503,('Daily Data'!$A$4:$A$503=$B$4)*('Daily Data'!$AG$4:$AG$503&gt;=Settings!$C$30)),MATCH($AP68,_xlfn._xlws.FILTER('Daily Data'!$AA$4:$AA$503,('Daily Data'!$A$4:$A$503=$B$4)*('Daily Data'!$AG$4:$AG$503&gt;=Settings!$C$30)),0)),"")</f>
        <v/>
      </c>
      <c r="AP68" s="116" t="e" cm="1">
        <f t="array" ref="AP68">IFERROR(LARGE(_xlfn._xlws.FILTER('Daily Data'!$AA$4:$AA$503,('Daily Data'!$A$4:$A$503=$B$4)*('Daily Data'!$AG$4:$AG$503&gt;=Settings!$C$30)),8),NA())</f>
        <v>#N/A</v>
      </c>
      <c r="AQ68" s="116"/>
      <c r="AR68" s="116"/>
      <c r="AS68" s="116"/>
      <c r="AT68" s="116"/>
      <c r="AU68" s="116" t="str">
        <f>IF($AL68="","",$AL68)</f>
        <v>KCB</v>
      </c>
      <c r="AV68" s="116">
        <f>IF($AL68="",NA(),SUMIFS('Daily Data'!$L$4:$L$503,'Daily Data'!$B$4:$B$503,$AL68,'Daily Data'!$A$4:$A$503,$B$4))</f>
        <v>16139</v>
      </c>
      <c r="AW68" s="116">
        <f>IF($AL68="",NA(),SUMIFS('Daily Data'!$M$4:$M$503,'Daily Data'!$B$4:$B$503,$AL68,'Daily Data'!$A$4:$A$503,$B$4))</f>
        <v>37220</v>
      </c>
    </row>
    <row r="69" spans="1:49" x14ac:dyDescent="0.3">
      <c r="Z69" s="117" t="e" cm="1">
        <f t="array" ref="Z69">IFERROR(LARGE(_xlfn._xlws.FILTER('Daily Data'!$A$4:$A$503,'Daily Data'!$AV$4:$AV$503=1),91-ROW()),NA())</f>
        <v>#N/A</v>
      </c>
      <c r="AA69" s="116" t="e">
        <f>IF(ISNA($Z69),NA(),SUMIFS('Daily Data'!$I$4:$I$503,'Daily Data'!$A$4:$A$503,$Z69))</f>
        <v>#N/A</v>
      </c>
      <c r="AC69" s="117" t="e">
        <f>IF(ISNA($Z69),NA(),$Z69)</f>
        <v>#N/A</v>
      </c>
      <c r="AD69" s="116" t="e">
        <f>IF(ISNA($Z69),NA(),SUMIFS('Daily Data'!$K$4:$K$503,'Daily Data'!$A$4:$A$503,$Z69))</f>
        <v>#N/A</v>
      </c>
      <c r="AF69" s="117" t="e">
        <f>IF(ISNA($Z69),NA(),$Z69)</f>
        <v>#N/A</v>
      </c>
      <c r="AG69" s="116" t="e">
        <f>IF(ISNA($Z69),NA(),IF(SUMIFS('Daily Data'!$M$4:$M$503,'Daily Data'!$A$4:$A$503,$Z69)=0,NA(),SUMIFS('Daily Data'!$L$4:$L$503,'Daily Data'!$A$4:$A$503,$Z69)/SUMIFS('Daily Data'!$M$4:$M$503,'Daily Data'!$A$4:$A$503,$Z69)))</f>
        <v>#N/A</v>
      </c>
      <c r="AI69" s="117" t="e">
        <f>IF(ISNA($Z69),NA(),$Z69)</f>
        <v>#N/A</v>
      </c>
      <c r="AJ69" s="116" t="e">
        <f>IF(ISNA($Z69),NA(),IFERROR(AVERAGEIFS('Daily Data'!$AH$4:$AH$503,'Daily Data'!$A$4:$A$503,$Z69),NA()))</f>
        <v>#N/A</v>
      </c>
      <c r="AL69" s="116" t="str" cm="1">
        <f t="array" ref="AL69">IFERROR(INDEX(_xlfn._xlws.FILTER('Daily Data'!$B$4:$B$503,'Daily Data'!$A$4:$A$503=$B$4),MATCH($AM69,_xlfn._xlws.FILTER('Daily Data'!$I$4:$I$503,'Daily Data'!$A$4:$A$503=$B$4),0)),"")</f>
        <v>AFRIPRISE</v>
      </c>
      <c r="AM69" s="116" cm="1">
        <f t="array" ref="AM69">IFERROR(LARGE(_xlfn._xlws.FILTER('Daily Data'!$I$4:$I$503,'Daily Data'!$A$4:$A$503=$B$4),9),NA())</f>
        <v>32287830</v>
      </c>
      <c r="AN69" s="116"/>
      <c r="AO69" s="116" t="str" cm="1">
        <f t="array" ref="AO69">IFERROR(INDEX(_xlfn._xlws.FILTER('Daily Data'!$B$4:$B$503,('Daily Data'!$A$4:$A$503=$B$4)*('Daily Data'!$AG$4:$AG$503&gt;=Settings!$C$30)),MATCH($AP69,_xlfn._xlws.FILTER('Daily Data'!$AA$4:$AA$503,('Daily Data'!$A$4:$A$503=$B$4)*('Daily Data'!$AG$4:$AG$503&gt;=Settings!$C$30)),0)),"")</f>
        <v/>
      </c>
      <c r="AP69" s="116" t="e" cm="1">
        <f t="array" ref="AP69">IFERROR(LARGE(_xlfn._xlws.FILTER('Daily Data'!$AA$4:$AA$503,('Daily Data'!$A$4:$A$503=$B$4)*('Daily Data'!$AG$4:$AG$503&gt;=Settings!$C$30)),9),NA())</f>
        <v>#N/A</v>
      </c>
      <c r="AQ69" s="116"/>
      <c r="AR69" s="116"/>
      <c r="AS69" s="116"/>
      <c r="AT69" s="116"/>
      <c r="AU69" s="116" t="str">
        <f>IF($AL69="","",$AL69)</f>
        <v>AFRIPRISE</v>
      </c>
      <c r="AV69" s="116">
        <f>IF($AL69="",NA(),SUMIFS('Daily Data'!$L$4:$L$503,'Daily Data'!$B$4:$B$503,$AL69,'Daily Data'!$A$4:$A$503,$B$4))</f>
        <v>21261</v>
      </c>
      <c r="AW69" s="116">
        <f>IF($AL69="",NA(),SUMIFS('Daily Data'!$M$4:$M$503,'Daily Data'!$B$4:$B$503,$AL69,'Daily Data'!$A$4:$A$503,$B$4))</f>
        <v>78845</v>
      </c>
    </row>
    <row r="70" spans="1:49" x14ac:dyDescent="0.3">
      <c r="Z70" s="117" t="e" cm="1">
        <f t="array" ref="Z70">IFERROR(LARGE(_xlfn._xlws.FILTER('Daily Data'!$A$4:$A$503,'Daily Data'!$AV$4:$AV$503=1),91-ROW()),NA())</f>
        <v>#N/A</v>
      </c>
      <c r="AA70" s="116" t="e">
        <f>IF(ISNA($Z70),NA(),SUMIFS('Daily Data'!$I$4:$I$503,'Daily Data'!$A$4:$A$503,$Z70))</f>
        <v>#N/A</v>
      </c>
      <c r="AC70" s="117" t="e">
        <f>IF(ISNA($Z70),NA(),$Z70)</f>
        <v>#N/A</v>
      </c>
      <c r="AD70" s="116" t="e">
        <f>IF(ISNA($Z70),NA(),SUMIFS('Daily Data'!$K$4:$K$503,'Daily Data'!$A$4:$A$503,$Z70))</f>
        <v>#N/A</v>
      </c>
      <c r="AF70" s="117" t="e">
        <f>IF(ISNA($Z70),NA(),$Z70)</f>
        <v>#N/A</v>
      </c>
      <c r="AG70" s="116" t="e">
        <f>IF(ISNA($Z70),NA(),IF(SUMIFS('Daily Data'!$M$4:$M$503,'Daily Data'!$A$4:$A$503,$Z70)=0,NA(),SUMIFS('Daily Data'!$L$4:$L$503,'Daily Data'!$A$4:$A$503,$Z70)/SUMIFS('Daily Data'!$M$4:$M$503,'Daily Data'!$A$4:$A$503,$Z70)))</f>
        <v>#N/A</v>
      </c>
      <c r="AI70" s="117" t="e">
        <f>IF(ISNA($Z70),NA(),$Z70)</f>
        <v>#N/A</v>
      </c>
      <c r="AJ70" s="116" t="e">
        <f>IF(ISNA($Z70),NA(),IFERROR(AVERAGEIFS('Daily Data'!$AH$4:$AH$503,'Daily Data'!$A$4:$A$503,$Z70),NA()))</f>
        <v>#N/A</v>
      </c>
      <c r="AL70" s="116" t="str" cm="1">
        <f t="array" ref="AL70">IFERROR(INDEX(_xlfn._xlws.FILTER('Daily Data'!$B$4:$B$503,'Daily Data'!$A$4:$A$503=$B$4),MATCH($AM70,_xlfn._xlws.FILTER('Daily Data'!$I$4:$I$503,'Daily Data'!$A$4:$A$503=$B$4),0)),"")</f>
        <v>DCB</v>
      </c>
      <c r="AM70" s="116" cm="1">
        <f t="array" ref="AM70">IFERROR(LARGE(_xlfn._xlws.FILTER('Daily Data'!$I$4:$I$503,'Daily Data'!$A$4:$A$503=$B$4),10),NA())</f>
        <v>28346610</v>
      </c>
      <c r="AN70" s="116"/>
      <c r="AO70" s="116" t="str" cm="1">
        <f t="array" ref="AO70">IFERROR(INDEX(_xlfn._xlws.FILTER('Daily Data'!$B$4:$B$503,('Daily Data'!$A$4:$A$503=$B$4)*('Daily Data'!$AG$4:$AG$503&gt;=Settings!$C$30)),MATCH($AP70,_xlfn._xlws.FILTER('Daily Data'!$AA$4:$AA$503,('Daily Data'!$A$4:$A$503=$B$4)*('Daily Data'!$AG$4:$AG$503&gt;=Settings!$C$30)),0)),"")</f>
        <v/>
      </c>
      <c r="AP70" s="116" t="e" cm="1">
        <f t="array" ref="AP70">IFERROR(LARGE(_xlfn._xlws.FILTER('Daily Data'!$AA$4:$AA$503,('Daily Data'!$A$4:$A$503=$B$4)*('Daily Data'!$AG$4:$AG$503&gt;=Settings!$C$30)),10),NA())</f>
        <v>#N/A</v>
      </c>
      <c r="AQ70" s="116"/>
      <c r="AR70" s="116"/>
      <c r="AS70" s="116"/>
      <c r="AT70" s="116"/>
      <c r="AU70" s="116" t="str">
        <f>IF($AL70="","",$AL70)</f>
        <v>DCB</v>
      </c>
      <c r="AV70" s="116">
        <f>IF($AL70="",NA(),SUMIFS('Daily Data'!$L$4:$L$503,'Daily Data'!$B$4:$B$503,$AL70,'Daily Data'!$A$4:$A$503,$B$4))</f>
        <v>137957</v>
      </c>
      <c r="AW70" s="116">
        <f>IF($AL70="",NA(),SUMIFS('Daily Data'!$M$4:$M$503,'Daily Data'!$B$4:$B$503,$AL70,'Daily Data'!$A$4:$A$503,$B$4))</f>
        <v>0</v>
      </c>
    </row>
    <row r="71" spans="1:49" x14ac:dyDescent="0.3">
      <c r="A71" s="5" t="str">
        <f>"Analysis date: "&amp;TEXT($B$4,"yyyy-mm-dd")&amp;"     ·     Focus security: "&amp;$G$4</f>
        <v>Analysis date: 2026-08-14     ·     Focus security: CRDB</v>
      </c>
      <c r="Z71" s="117" t="e" cm="1">
        <f t="array" ref="Z71">IFERROR(LARGE(_xlfn._xlws.FILTER('Daily Data'!$A$4:$A$503,'Daily Data'!$AV$4:$AV$503=1),91-ROW()),NA())</f>
        <v>#N/A</v>
      </c>
      <c r="AA71" s="116" t="e">
        <f>IF(ISNA($Z71),NA(),SUMIFS('Daily Data'!$I$4:$I$503,'Daily Data'!$A$4:$A$503,$Z71))</f>
        <v>#N/A</v>
      </c>
      <c r="AC71" s="117" t="e">
        <f>IF(ISNA($Z71),NA(),$Z71)</f>
        <v>#N/A</v>
      </c>
      <c r="AD71" s="116" t="e">
        <f>IF(ISNA($Z71),NA(),SUMIFS('Daily Data'!$K$4:$K$503,'Daily Data'!$A$4:$A$503,$Z71))</f>
        <v>#N/A</v>
      </c>
      <c r="AF71" s="117" t="e">
        <f>IF(ISNA($Z71),NA(),$Z71)</f>
        <v>#N/A</v>
      </c>
      <c r="AG71" s="116" t="e">
        <f>IF(ISNA($Z71),NA(),IF(SUMIFS('Daily Data'!$M$4:$M$503,'Daily Data'!$A$4:$A$503,$Z71)=0,NA(),SUMIFS('Daily Data'!$L$4:$L$503,'Daily Data'!$A$4:$A$503,$Z71)/SUMIFS('Daily Data'!$M$4:$M$503,'Daily Data'!$A$4:$A$503,$Z71)))</f>
        <v>#N/A</v>
      </c>
      <c r="AI71" s="117" t="e">
        <f>IF(ISNA($Z71),NA(),$Z71)</f>
        <v>#N/A</v>
      </c>
      <c r="AJ71" s="116" t="e">
        <f>IF(ISNA($Z71),NA(),IFERROR(AVERAGEIFS('Daily Data'!$AH$4:$AH$503,'Daily Data'!$A$4:$A$503,$Z71),NA()))</f>
        <v>#N/A</v>
      </c>
    </row>
    <row r="72" spans="1:49" x14ac:dyDescent="0.3">
      <c r="Z72" s="117" t="e" cm="1">
        <f t="array" ref="Z72">IFERROR(LARGE(_xlfn._xlws.FILTER('Daily Data'!$A$4:$A$503,'Daily Data'!$AV$4:$AV$503=1),91-ROW()),NA())</f>
        <v>#N/A</v>
      </c>
      <c r="AA72" s="116" t="e">
        <f>IF(ISNA($Z72),NA(),SUMIFS('Daily Data'!$I$4:$I$503,'Daily Data'!$A$4:$A$503,$Z72))</f>
        <v>#N/A</v>
      </c>
      <c r="AC72" s="117" t="e">
        <f>IF(ISNA($Z72),NA(),$Z72)</f>
        <v>#N/A</v>
      </c>
      <c r="AD72" s="116" t="e">
        <f>IF(ISNA($Z72),NA(),SUMIFS('Daily Data'!$K$4:$K$503,'Daily Data'!$A$4:$A$503,$Z72))</f>
        <v>#N/A</v>
      </c>
      <c r="AF72" s="117" t="e">
        <f>IF(ISNA($Z72),NA(),$Z72)</f>
        <v>#N/A</v>
      </c>
      <c r="AG72" s="116" t="e">
        <f>IF(ISNA($Z72),NA(),IF(SUMIFS('Daily Data'!$M$4:$M$503,'Daily Data'!$A$4:$A$503,$Z72)=0,NA(),SUMIFS('Daily Data'!$L$4:$L$503,'Daily Data'!$A$4:$A$503,$Z72)/SUMIFS('Daily Data'!$M$4:$M$503,'Daily Data'!$A$4:$A$503,$Z72)))</f>
        <v>#N/A</v>
      </c>
      <c r="AI72" s="117" t="e">
        <f>IF(ISNA($Z72),NA(),$Z72)</f>
        <v>#N/A</v>
      </c>
      <c r="AJ72" s="116" t="e">
        <f>IF(ISNA($Z72),NA(),IFERROR(AVERAGEIFS('Daily Data'!$AH$4:$AH$503,'Daily Data'!$A$4:$A$503,$Z72),NA()))</f>
        <v>#N/A</v>
      </c>
    </row>
    <row r="73" spans="1:49" x14ac:dyDescent="0.3">
      <c r="Z73" s="117" t="e" cm="1">
        <f t="array" ref="Z73">IFERROR(LARGE(_xlfn._xlws.FILTER('Daily Data'!$A$4:$A$503,'Daily Data'!$AV$4:$AV$503=1),91-ROW()),NA())</f>
        <v>#N/A</v>
      </c>
      <c r="AA73" s="116" t="e">
        <f>IF(ISNA($Z73),NA(),SUMIFS('Daily Data'!$I$4:$I$503,'Daily Data'!$A$4:$A$503,$Z73))</f>
        <v>#N/A</v>
      </c>
      <c r="AC73" s="117" t="e">
        <f>IF(ISNA($Z73),NA(),$Z73)</f>
        <v>#N/A</v>
      </c>
      <c r="AD73" s="116" t="e">
        <f>IF(ISNA($Z73),NA(),SUMIFS('Daily Data'!$K$4:$K$503,'Daily Data'!$A$4:$A$503,$Z73))</f>
        <v>#N/A</v>
      </c>
      <c r="AF73" s="117" t="e">
        <f>IF(ISNA($Z73),NA(),$Z73)</f>
        <v>#N/A</v>
      </c>
      <c r="AG73" s="116" t="e">
        <f>IF(ISNA($Z73),NA(),IF(SUMIFS('Daily Data'!$M$4:$M$503,'Daily Data'!$A$4:$A$503,$Z73)=0,NA(),SUMIFS('Daily Data'!$L$4:$L$503,'Daily Data'!$A$4:$A$503,$Z73)/SUMIFS('Daily Data'!$M$4:$M$503,'Daily Data'!$A$4:$A$503,$Z73)))</f>
        <v>#N/A</v>
      </c>
      <c r="AI73" s="117" t="e">
        <f>IF(ISNA($Z73),NA(),$Z73)</f>
        <v>#N/A</v>
      </c>
      <c r="AJ73" s="116" t="e">
        <f>IF(ISNA($Z73),NA(),IFERROR(AVERAGEIFS('Daily Data'!$AH$4:$AH$503,'Daily Data'!$A$4:$A$503,$Z73),NA()))</f>
        <v>#N/A</v>
      </c>
    </row>
    <row r="74" spans="1:49" x14ac:dyDescent="0.3">
      <c r="Z74" s="117" t="e" cm="1">
        <f t="array" ref="Z74">IFERROR(LARGE(_xlfn._xlws.FILTER('Daily Data'!$A$4:$A$503,'Daily Data'!$AV$4:$AV$503=1),91-ROW()),NA())</f>
        <v>#N/A</v>
      </c>
      <c r="AA74" s="116" t="e">
        <f>IF(ISNA($Z74),NA(),SUMIFS('Daily Data'!$I$4:$I$503,'Daily Data'!$A$4:$A$503,$Z74))</f>
        <v>#N/A</v>
      </c>
      <c r="AC74" s="117" t="e">
        <f>IF(ISNA($Z74),NA(),$Z74)</f>
        <v>#N/A</v>
      </c>
      <c r="AD74" s="116" t="e">
        <f>IF(ISNA($Z74),NA(),SUMIFS('Daily Data'!$K$4:$K$503,'Daily Data'!$A$4:$A$503,$Z74))</f>
        <v>#N/A</v>
      </c>
      <c r="AF74" s="117" t="e">
        <f>IF(ISNA($Z74),NA(),$Z74)</f>
        <v>#N/A</v>
      </c>
      <c r="AG74" s="116" t="e">
        <f>IF(ISNA($Z74),NA(),IF(SUMIFS('Daily Data'!$M$4:$M$503,'Daily Data'!$A$4:$A$503,$Z74)=0,NA(),SUMIFS('Daily Data'!$L$4:$L$503,'Daily Data'!$A$4:$A$503,$Z74)/SUMIFS('Daily Data'!$M$4:$M$503,'Daily Data'!$A$4:$A$503,$Z74)))</f>
        <v>#N/A</v>
      </c>
      <c r="AI74" s="117" t="e">
        <f>IF(ISNA($Z74),NA(),$Z74)</f>
        <v>#N/A</v>
      </c>
      <c r="AJ74" s="116" t="e">
        <f>IF(ISNA($Z74),NA(),IFERROR(AVERAGEIFS('Daily Data'!$AH$4:$AH$503,'Daily Data'!$A$4:$A$503,$Z74),NA()))</f>
        <v>#N/A</v>
      </c>
    </row>
    <row r="75" spans="1:49" x14ac:dyDescent="0.3">
      <c r="Z75" s="117" t="e" cm="1">
        <f t="array" ref="Z75">IFERROR(LARGE(_xlfn._xlws.FILTER('Daily Data'!$A$4:$A$503,'Daily Data'!$AV$4:$AV$503=1),91-ROW()),NA())</f>
        <v>#N/A</v>
      </c>
      <c r="AA75" s="116" t="e">
        <f>IF(ISNA($Z75),NA(),SUMIFS('Daily Data'!$I$4:$I$503,'Daily Data'!$A$4:$A$503,$Z75))</f>
        <v>#N/A</v>
      </c>
      <c r="AC75" s="117" t="e">
        <f>IF(ISNA($Z75),NA(),$Z75)</f>
        <v>#N/A</v>
      </c>
      <c r="AD75" s="116" t="e">
        <f>IF(ISNA($Z75),NA(),SUMIFS('Daily Data'!$K$4:$K$503,'Daily Data'!$A$4:$A$503,$Z75))</f>
        <v>#N/A</v>
      </c>
      <c r="AF75" s="117" t="e">
        <f>IF(ISNA($Z75),NA(),$Z75)</f>
        <v>#N/A</v>
      </c>
      <c r="AG75" s="116" t="e">
        <f>IF(ISNA($Z75),NA(),IF(SUMIFS('Daily Data'!$M$4:$M$503,'Daily Data'!$A$4:$A$503,$Z75)=0,NA(),SUMIFS('Daily Data'!$L$4:$L$503,'Daily Data'!$A$4:$A$503,$Z75)/SUMIFS('Daily Data'!$M$4:$M$503,'Daily Data'!$A$4:$A$503,$Z75)))</f>
        <v>#N/A</v>
      </c>
      <c r="AI75" s="117" t="e">
        <f>IF(ISNA($Z75),NA(),$Z75)</f>
        <v>#N/A</v>
      </c>
      <c r="AJ75" s="116" t="e">
        <f>IF(ISNA($Z75),NA(),IFERROR(AVERAGEIFS('Daily Data'!$AH$4:$AH$503,'Daily Data'!$A$4:$A$503,$Z75),NA()))</f>
        <v>#N/A</v>
      </c>
    </row>
    <row r="76" spans="1:49" x14ac:dyDescent="0.3">
      <c r="Z76" s="117" t="e" cm="1">
        <f t="array" ref="Z76">IFERROR(LARGE(_xlfn._xlws.FILTER('Daily Data'!$A$4:$A$503,'Daily Data'!$AV$4:$AV$503=1),91-ROW()),NA())</f>
        <v>#N/A</v>
      </c>
      <c r="AA76" s="116" t="e">
        <f>IF(ISNA($Z76),NA(),SUMIFS('Daily Data'!$I$4:$I$503,'Daily Data'!$A$4:$A$503,$Z76))</f>
        <v>#N/A</v>
      </c>
      <c r="AC76" s="117" t="e">
        <f>IF(ISNA($Z76),NA(),$Z76)</f>
        <v>#N/A</v>
      </c>
      <c r="AD76" s="116" t="e">
        <f>IF(ISNA($Z76),NA(),SUMIFS('Daily Data'!$K$4:$K$503,'Daily Data'!$A$4:$A$503,$Z76))</f>
        <v>#N/A</v>
      </c>
      <c r="AF76" s="117" t="e">
        <f>IF(ISNA($Z76),NA(),$Z76)</f>
        <v>#N/A</v>
      </c>
      <c r="AG76" s="116" t="e">
        <f>IF(ISNA($Z76),NA(),IF(SUMIFS('Daily Data'!$M$4:$M$503,'Daily Data'!$A$4:$A$503,$Z76)=0,NA(),SUMIFS('Daily Data'!$L$4:$L$503,'Daily Data'!$A$4:$A$503,$Z76)/SUMIFS('Daily Data'!$M$4:$M$503,'Daily Data'!$A$4:$A$503,$Z76)))</f>
        <v>#N/A</v>
      </c>
      <c r="AI76" s="117" t="e">
        <f>IF(ISNA($Z76),NA(),$Z76)</f>
        <v>#N/A</v>
      </c>
      <c r="AJ76" s="116" t="e">
        <f>IF(ISNA($Z76),NA(),IFERROR(AVERAGEIFS('Daily Data'!$AH$4:$AH$503,'Daily Data'!$A$4:$A$503,$Z76),NA()))</f>
        <v>#N/A</v>
      </c>
    </row>
    <row r="77" spans="1:49" x14ac:dyDescent="0.3">
      <c r="Z77" s="117" t="e" cm="1">
        <f t="array" ref="Z77">IFERROR(LARGE(_xlfn._xlws.FILTER('Daily Data'!$A$4:$A$503,'Daily Data'!$AV$4:$AV$503=1),91-ROW()),NA())</f>
        <v>#N/A</v>
      </c>
      <c r="AA77" s="116" t="e">
        <f>IF(ISNA($Z77),NA(),SUMIFS('Daily Data'!$I$4:$I$503,'Daily Data'!$A$4:$A$503,$Z77))</f>
        <v>#N/A</v>
      </c>
      <c r="AC77" s="117" t="e">
        <f>IF(ISNA($Z77),NA(),$Z77)</f>
        <v>#N/A</v>
      </c>
      <c r="AD77" s="116" t="e">
        <f>IF(ISNA($Z77),NA(),SUMIFS('Daily Data'!$K$4:$K$503,'Daily Data'!$A$4:$A$503,$Z77))</f>
        <v>#N/A</v>
      </c>
      <c r="AF77" s="117" t="e">
        <f>IF(ISNA($Z77),NA(),$Z77)</f>
        <v>#N/A</v>
      </c>
      <c r="AG77" s="116" t="e">
        <f>IF(ISNA($Z77),NA(),IF(SUMIFS('Daily Data'!$M$4:$M$503,'Daily Data'!$A$4:$A$503,$Z77)=0,NA(),SUMIFS('Daily Data'!$L$4:$L$503,'Daily Data'!$A$4:$A$503,$Z77)/SUMIFS('Daily Data'!$M$4:$M$503,'Daily Data'!$A$4:$A$503,$Z77)))</f>
        <v>#N/A</v>
      </c>
      <c r="AI77" s="117" t="e">
        <f>IF(ISNA($Z77),NA(),$Z77)</f>
        <v>#N/A</v>
      </c>
      <c r="AJ77" s="116" t="e">
        <f>IF(ISNA($Z77),NA(),IFERROR(AVERAGEIFS('Daily Data'!$AH$4:$AH$503,'Daily Data'!$A$4:$A$503,$Z77),NA()))</f>
        <v>#N/A</v>
      </c>
    </row>
    <row r="78" spans="1:49" x14ac:dyDescent="0.3">
      <c r="Z78" s="117" t="e" cm="1">
        <f t="array" ref="Z78">IFERROR(LARGE(_xlfn._xlws.FILTER('Daily Data'!$A$4:$A$503,'Daily Data'!$AV$4:$AV$503=1),91-ROW()),NA())</f>
        <v>#N/A</v>
      </c>
      <c r="AA78" s="116" t="e">
        <f>IF(ISNA($Z78),NA(),SUMIFS('Daily Data'!$I$4:$I$503,'Daily Data'!$A$4:$A$503,$Z78))</f>
        <v>#N/A</v>
      </c>
      <c r="AC78" s="117" t="e">
        <f>IF(ISNA($Z78),NA(),$Z78)</f>
        <v>#N/A</v>
      </c>
      <c r="AD78" s="116" t="e">
        <f>IF(ISNA($Z78),NA(),SUMIFS('Daily Data'!$K$4:$K$503,'Daily Data'!$A$4:$A$503,$Z78))</f>
        <v>#N/A</v>
      </c>
      <c r="AF78" s="117" t="e">
        <f>IF(ISNA($Z78),NA(),$Z78)</f>
        <v>#N/A</v>
      </c>
      <c r="AG78" s="116" t="e">
        <f>IF(ISNA($Z78),NA(),IF(SUMIFS('Daily Data'!$M$4:$M$503,'Daily Data'!$A$4:$A$503,$Z78)=0,NA(),SUMIFS('Daily Data'!$L$4:$L$503,'Daily Data'!$A$4:$A$503,$Z78)/SUMIFS('Daily Data'!$M$4:$M$503,'Daily Data'!$A$4:$A$503,$Z78)))</f>
        <v>#N/A</v>
      </c>
      <c r="AI78" s="117" t="e">
        <f>IF(ISNA($Z78),NA(),$Z78)</f>
        <v>#N/A</v>
      </c>
      <c r="AJ78" s="116" t="e">
        <f>IF(ISNA($Z78),NA(),IFERROR(AVERAGEIFS('Daily Data'!$AH$4:$AH$503,'Daily Data'!$A$4:$A$503,$Z78),NA()))</f>
        <v>#N/A</v>
      </c>
    </row>
    <row r="79" spans="1:49" x14ac:dyDescent="0.3">
      <c r="Z79" s="117" t="e" cm="1">
        <f t="array" ref="Z79">IFERROR(LARGE(_xlfn._xlws.FILTER('Daily Data'!$A$4:$A$503,'Daily Data'!$AV$4:$AV$503=1),91-ROW()),NA())</f>
        <v>#N/A</v>
      </c>
      <c r="AA79" s="116" t="e">
        <f>IF(ISNA($Z79),NA(),SUMIFS('Daily Data'!$I$4:$I$503,'Daily Data'!$A$4:$A$503,$Z79))</f>
        <v>#N/A</v>
      </c>
      <c r="AC79" s="117" t="e">
        <f>IF(ISNA($Z79),NA(),$Z79)</f>
        <v>#N/A</v>
      </c>
      <c r="AD79" s="116" t="e">
        <f>IF(ISNA($Z79),NA(),SUMIFS('Daily Data'!$K$4:$K$503,'Daily Data'!$A$4:$A$503,$Z79))</f>
        <v>#N/A</v>
      </c>
      <c r="AF79" s="117" t="e">
        <f>IF(ISNA($Z79),NA(),$Z79)</f>
        <v>#N/A</v>
      </c>
      <c r="AG79" s="116" t="e">
        <f>IF(ISNA($Z79),NA(),IF(SUMIFS('Daily Data'!$M$4:$M$503,'Daily Data'!$A$4:$A$503,$Z79)=0,NA(),SUMIFS('Daily Data'!$L$4:$L$503,'Daily Data'!$A$4:$A$503,$Z79)/SUMIFS('Daily Data'!$M$4:$M$503,'Daily Data'!$A$4:$A$503,$Z79)))</f>
        <v>#N/A</v>
      </c>
      <c r="AI79" s="117" t="e">
        <f>IF(ISNA($Z79),NA(),$Z79)</f>
        <v>#N/A</v>
      </c>
      <c r="AJ79" s="116" t="e">
        <f>IF(ISNA($Z79),NA(),IFERROR(AVERAGEIFS('Daily Data'!$AH$4:$AH$503,'Daily Data'!$A$4:$A$503,$Z79),NA()))</f>
        <v>#N/A</v>
      </c>
    </row>
    <row r="80" spans="1:49" x14ac:dyDescent="0.3">
      <c r="Z80" s="117" t="e" cm="1">
        <f t="array" ref="Z80">IFERROR(LARGE(_xlfn._xlws.FILTER('Daily Data'!$A$4:$A$503,'Daily Data'!$AV$4:$AV$503=1),91-ROW()),NA())</f>
        <v>#N/A</v>
      </c>
      <c r="AA80" s="116" t="e">
        <f>IF(ISNA($Z80),NA(),SUMIFS('Daily Data'!$I$4:$I$503,'Daily Data'!$A$4:$A$503,$Z80))</f>
        <v>#N/A</v>
      </c>
      <c r="AC80" s="117" t="e">
        <f>IF(ISNA($Z80),NA(),$Z80)</f>
        <v>#N/A</v>
      </c>
      <c r="AD80" s="116" t="e">
        <f>IF(ISNA($Z80),NA(),SUMIFS('Daily Data'!$K$4:$K$503,'Daily Data'!$A$4:$A$503,$Z80))</f>
        <v>#N/A</v>
      </c>
      <c r="AF80" s="117" t="e">
        <f>IF(ISNA($Z80),NA(),$Z80)</f>
        <v>#N/A</v>
      </c>
      <c r="AG80" s="116" t="e">
        <f>IF(ISNA($Z80),NA(),IF(SUMIFS('Daily Data'!$M$4:$M$503,'Daily Data'!$A$4:$A$503,$Z80)=0,NA(),SUMIFS('Daily Data'!$L$4:$L$503,'Daily Data'!$A$4:$A$503,$Z80)/SUMIFS('Daily Data'!$M$4:$M$503,'Daily Data'!$A$4:$A$503,$Z80)))</f>
        <v>#N/A</v>
      </c>
      <c r="AI80" s="117" t="e">
        <f>IF(ISNA($Z80),NA(),$Z80)</f>
        <v>#N/A</v>
      </c>
      <c r="AJ80" s="116" t="e">
        <f>IF(ISNA($Z80),NA(),IFERROR(AVERAGEIFS('Daily Data'!$AH$4:$AH$503,'Daily Data'!$A$4:$A$503,$Z80),NA()))</f>
        <v>#N/A</v>
      </c>
    </row>
    <row r="81" spans="1:36" x14ac:dyDescent="0.3">
      <c r="Z81" s="117" t="e" cm="1">
        <f t="array" ref="Z81">IFERROR(LARGE(_xlfn._xlws.FILTER('Daily Data'!$A$4:$A$503,'Daily Data'!$AV$4:$AV$503=1),91-ROW()),NA())</f>
        <v>#N/A</v>
      </c>
      <c r="AA81" s="116" t="e">
        <f>IF(ISNA($Z81),NA(),SUMIFS('Daily Data'!$I$4:$I$503,'Daily Data'!$A$4:$A$503,$Z81))</f>
        <v>#N/A</v>
      </c>
      <c r="AC81" s="117" t="e">
        <f>IF(ISNA($Z81),NA(),$Z81)</f>
        <v>#N/A</v>
      </c>
      <c r="AD81" s="116" t="e">
        <f>IF(ISNA($Z81),NA(),SUMIFS('Daily Data'!$K$4:$K$503,'Daily Data'!$A$4:$A$503,$Z81))</f>
        <v>#N/A</v>
      </c>
      <c r="AF81" s="117" t="e">
        <f>IF(ISNA($Z81),NA(),$Z81)</f>
        <v>#N/A</v>
      </c>
      <c r="AG81" s="116" t="e">
        <f>IF(ISNA($Z81),NA(),IF(SUMIFS('Daily Data'!$M$4:$M$503,'Daily Data'!$A$4:$A$503,$Z81)=0,NA(),SUMIFS('Daily Data'!$L$4:$L$503,'Daily Data'!$A$4:$A$503,$Z81)/SUMIFS('Daily Data'!$M$4:$M$503,'Daily Data'!$A$4:$A$503,$Z81)))</f>
        <v>#N/A</v>
      </c>
      <c r="AI81" s="117" t="e">
        <f>IF(ISNA($Z81),NA(),$Z81)</f>
        <v>#N/A</v>
      </c>
      <c r="AJ81" s="116" t="e">
        <f>IF(ISNA($Z81),NA(),IFERROR(AVERAGEIFS('Daily Data'!$AH$4:$AH$503,'Daily Data'!$A$4:$A$503,$Z81),NA()))</f>
        <v>#N/A</v>
      </c>
    </row>
    <row r="82" spans="1:36" x14ac:dyDescent="0.3">
      <c r="Z82" s="117" t="e" cm="1">
        <f t="array" ref="Z82">IFERROR(LARGE(_xlfn._xlws.FILTER('Daily Data'!$A$4:$A$503,'Daily Data'!$AV$4:$AV$503=1),91-ROW()),NA())</f>
        <v>#N/A</v>
      </c>
      <c r="AA82" s="116" t="e">
        <f>IF(ISNA($Z82),NA(),SUMIFS('Daily Data'!$I$4:$I$503,'Daily Data'!$A$4:$A$503,$Z82))</f>
        <v>#N/A</v>
      </c>
      <c r="AC82" s="117" t="e">
        <f>IF(ISNA($Z82),NA(),$Z82)</f>
        <v>#N/A</v>
      </c>
      <c r="AD82" s="116" t="e">
        <f>IF(ISNA($Z82),NA(),SUMIFS('Daily Data'!$K$4:$K$503,'Daily Data'!$A$4:$A$503,$Z82))</f>
        <v>#N/A</v>
      </c>
      <c r="AF82" s="117" t="e">
        <f>IF(ISNA($Z82),NA(),$Z82)</f>
        <v>#N/A</v>
      </c>
      <c r="AG82" s="116" t="e">
        <f>IF(ISNA($Z82),NA(),IF(SUMIFS('Daily Data'!$M$4:$M$503,'Daily Data'!$A$4:$A$503,$Z82)=0,NA(),SUMIFS('Daily Data'!$L$4:$L$503,'Daily Data'!$A$4:$A$503,$Z82)/SUMIFS('Daily Data'!$M$4:$M$503,'Daily Data'!$A$4:$A$503,$Z82)))</f>
        <v>#N/A</v>
      </c>
      <c r="AI82" s="117" t="e">
        <f>IF(ISNA($Z82),NA(),$Z82)</f>
        <v>#N/A</v>
      </c>
      <c r="AJ82" s="116" t="e">
        <f>IF(ISNA($Z82),NA(),IFERROR(AVERAGEIFS('Daily Data'!$AH$4:$AH$503,'Daily Data'!$A$4:$A$503,$Z82),NA()))</f>
        <v>#N/A</v>
      </c>
    </row>
    <row r="83" spans="1:36" x14ac:dyDescent="0.3">
      <c r="Z83" s="117" t="e" cm="1">
        <f t="array" ref="Z83">IFERROR(LARGE(_xlfn._xlws.FILTER('Daily Data'!$A$4:$A$503,'Daily Data'!$AV$4:$AV$503=1),91-ROW()),NA())</f>
        <v>#N/A</v>
      </c>
      <c r="AA83" s="116" t="e">
        <f>IF(ISNA($Z83),NA(),SUMIFS('Daily Data'!$I$4:$I$503,'Daily Data'!$A$4:$A$503,$Z83))</f>
        <v>#N/A</v>
      </c>
      <c r="AC83" s="117" t="e">
        <f>IF(ISNA($Z83),NA(),$Z83)</f>
        <v>#N/A</v>
      </c>
      <c r="AD83" s="116" t="e">
        <f>IF(ISNA($Z83),NA(),SUMIFS('Daily Data'!$K$4:$K$503,'Daily Data'!$A$4:$A$503,$Z83))</f>
        <v>#N/A</v>
      </c>
      <c r="AF83" s="117" t="e">
        <f>IF(ISNA($Z83),NA(),$Z83)</f>
        <v>#N/A</v>
      </c>
      <c r="AG83" s="116" t="e">
        <f>IF(ISNA($Z83),NA(),IF(SUMIFS('Daily Data'!$M$4:$M$503,'Daily Data'!$A$4:$A$503,$Z83)=0,NA(),SUMIFS('Daily Data'!$L$4:$L$503,'Daily Data'!$A$4:$A$503,$Z83)/SUMIFS('Daily Data'!$M$4:$M$503,'Daily Data'!$A$4:$A$503,$Z83)))</f>
        <v>#N/A</v>
      </c>
      <c r="AI83" s="117" t="e">
        <f>IF(ISNA($Z83),NA(),$Z83)</f>
        <v>#N/A</v>
      </c>
      <c r="AJ83" s="116" t="e">
        <f>IF(ISNA($Z83),NA(),IFERROR(AVERAGEIFS('Daily Data'!$AH$4:$AH$503,'Daily Data'!$A$4:$A$503,$Z83),NA()))</f>
        <v>#N/A</v>
      </c>
    </row>
    <row r="84" spans="1:36" x14ac:dyDescent="0.3">
      <c r="Z84" s="117" t="e" cm="1">
        <f t="array" ref="Z84">IFERROR(LARGE(_xlfn._xlws.FILTER('Daily Data'!$A$4:$A$503,'Daily Data'!$AV$4:$AV$503=1),91-ROW()),NA())</f>
        <v>#N/A</v>
      </c>
      <c r="AA84" s="116" t="e">
        <f>IF(ISNA($Z84),NA(),SUMIFS('Daily Data'!$I$4:$I$503,'Daily Data'!$A$4:$A$503,$Z84))</f>
        <v>#N/A</v>
      </c>
      <c r="AC84" s="117" t="e">
        <f>IF(ISNA($Z84),NA(),$Z84)</f>
        <v>#N/A</v>
      </c>
      <c r="AD84" s="116" t="e">
        <f>IF(ISNA($Z84),NA(),SUMIFS('Daily Data'!$K$4:$K$503,'Daily Data'!$A$4:$A$503,$Z84))</f>
        <v>#N/A</v>
      </c>
      <c r="AF84" s="117" t="e">
        <f>IF(ISNA($Z84),NA(),$Z84)</f>
        <v>#N/A</v>
      </c>
      <c r="AG84" s="116" t="e">
        <f>IF(ISNA($Z84),NA(),IF(SUMIFS('Daily Data'!$M$4:$M$503,'Daily Data'!$A$4:$A$503,$Z84)=0,NA(),SUMIFS('Daily Data'!$L$4:$L$503,'Daily Data'!$A$4:$A$503,$Z84)/SUMIFS('Daily Data'!$M$4:$M$503,'Daily Data'!$A$4:$A$503,$Z84)))</f>
        <v>#N/A</v>
      </c>
      <c r="AI84" s="117" t="e">
        <f>IF(ISNA($Z84),NA(),$Z84)</f>
        <v>#N/A</v>
      </c>
      <c r="AJ84" s="116" t="e">
        <f>IF(ISNA($Z84),NA(),IFERROR(AVERAGEIFS('Daily Data'!$AH$4:$AH$503,'Daily Data'!$A$4:$A$503,$Z84),NA()))</f>
        <v>#N/A</v>
      </c>
    </row>
    <row r="85" spans="1:36" x14ac:dyDescent="0.3">
      <c r="Z85" s="117" t="e" cm="1">
        <f t="array" ref="Z85">IFERROR(LARGE(_xlfn._xlws.FILTER('Daily Data'!$A$4:$A$503,'Daily Data'!$AV$4:$AV$503=1),91-ROW()),NA())</f>
        <v>#N/A</v>
      </c>
      <c r="AA85" s="116" t="e">
        <f>IF(ISNA($Z85),NA(),SUMIFS('Daily Data'!$I$4:$I$503,'Daily Data'!$A$4:$A$503,$Z85))</f>
        <v>#N/A</v>
      </c>
      <c r="AC85" s="117" t="e">
        <f>IF(ISNA($Z85),NA(),$Z85)</f>
        <v>#N/A</v>
      </c>
      <c r="AD85" s="116" t="e">
        <f>IF(ISNA($Z85),NA(),SUMIFS('Daily Data'!$K$4:$K$503,'Daily Data'!$A$4:$A$503,$Z85))</f>
        <v>#N/A</v>
      </c>
      <c r="AF85" s="117" t="e">
        <f>IF(ISNA($Z85),NA(),$Z85)</f>
        <v>#N/A</v>
      </c>
      <c r="AG85" s="116" t="e">
        <f>IF(ISNA($Z85),NA(),IF(SUMIFS('Daily Data'!$M$4:$M$503,'Daily Data'!$A$4:$A$503,$Z85)=0,NA(),SUMIFS('Daily Data'!$L$4:$L$503,'Daily Data'!$A$4:$A$503,$Z85)/SUMIFS('Daily Data'!$M$4:$M$503,'Daily Data'!$A$4:$A$503,$Z85)))</f>
        <v>#N/A</v>
      </c>
      <c r="AI85" s="117" t="e">
        <f>IF(ISNA($Z85),NA(),$Z85)</f>
        <v>#N/A</v>
      </c>
      <c r="AJ85" s="116" t="e">
        <f>IF(ISNA($Z85),NA(),IFERROR(AVERAGEIFS('Daily Data'!$AH$4:$AH$503,'Daily Data'!$A$4:$A$503,$Z85),NA()))</f>
        <v>#N/A</v>
      </c>
    </row>
    <row r="86" spans="1:36" x14ac:dyDescent="0.3">
      <c r="Z86" s="117" cm="1">
        <f t="array" ref="Z86">IFERROR(LARGE(_xlfn._xlws.FILTER('Daily Data'!$A$4:$A$503,'Daily Data'!$AV$4:$AV$503=1),91-ROW()),NA())</f>
        <v>46244</v>
      </c>
      <c r="AA86" s="116">
        <f>IF(ISNA($Z86),NA(),SUMIFS('Daily Data'!$I$4:$I$503,'Daily Data'!$A$4:$A$503,$Z86))</f>
        <v>9746556990</v>
      </c>
      <c r="AC86" s="117">
        <f>IF(ISNA($Z86),NA(),$Z86)</f>
        <v>46244</v>
      </c>
      <c r="AD86" s="116">
        <f>IF(ISNA($Z86),NA(),SUMIFS('Daily Data'!$K$4:$K$503,'Daily Data'!$A$4:$A$503,$Z86))</f>
        <v>3658256</v>
      </c>
      <c r="AF86" s="117">
        <f>IF(ISNA($Z86),NA(),$Z86)</f>
        <v>46244</v>
      </c>
      <c r="AG86" s="116">
        <f>IF(ISNA($Z86),NA(),IF(SUMIFS('Daily Data'!$M$4:$M$503,'Daily Data'!$A$4:$A$503,$Z86)=0,NA(),SUMIFS('Daily Data'!$L$4:$L$503,'Daily Data'!$A$4:$A$503,$Z86)/SUMIFS('Daily Data'!$M$4:$M$503,'Daily Data'!$A$4:$A$503,$Z86)))</f>
        <v>0.84170241731077533</v>
      </c>
      <c r="AI86" s="117">
        <f>IF(ISNA($Z86),NA(),$Z86)</f>
        <v>46244</v>
      </c>
      <c r="AJ86" s="116">
        <f>IF(ISNA($Z86),NA(),IFERROR(AVERAGEIFS('Daily Data'!$AH$4:$AH$503,'Daily Data'!$A$4:$A$503,$Z86),NA()))</f>
        <v>48.407142857142858</v>
      </c>
    </row>
    <row r="87" spans="1:36" x14ac:dyDescent="0.3">
      <c r="Z87" s="117" cm="1">
        <f t="array" ref="Z87">IFERROR(LARGE(_xlfn._xlws.FILTER('Daily Data'!$A$4:$A$503,'Daily Data'!$AV$4:$AV$503=1),91-ROW()),NA())</f>
        <v>46245</v>
      </c>
      <c r="AA87" s="116">
        <f>IF(ISNA($Z87),NA(),SUMIFS('Daily Data'!$I$4:$I$503,'Daily Data'!$A$4:$A$503,$Z87))</f>
        <v>4102000500</v>
      </c>
      <c r="AC87" s="117">
        <f>IF(ISNA($Z87),NA(),$Z87)</f>
        <v>46245</v>
      </c>
      <c r="AD87" s="116">
        <f>IF(ISNA($Z87),NA(),SUMIFS('Daily Data'!$K$4:$K$503,'Daily Data'!$A$4:$A$503,$Z87))</f>
        <v>1321509</v>
      </c>
      <c r="AF87" s="117">
        <f>IF(ISNA($Z87),NA(),$Z87)</f>
        <v>46245</v>
      </c>
      <c r="AG87" s="116">
        <f>IF(ISNA($Z87),NA(),IF(SUMIFS('Daily Data'!$M$4:$M$503,'Daily Data'!$A$4:$A$503,$Z87)=0,NA(),SUMIFS('Daily Data'!$L$4:$L$503,'Daily Data'!$A$4:$A$503,$Z87)/SUMIFS('Daily Data'!$M$4:$M$503,'Daily Data'!$A$4:$A$503,$Z87)))</f>
        <v>0.86849699931644886</v>
      </c>
      <c r="AI87" s="117">
        <f>IF(ISNA($Z87),NA(),$Z87)</f>
        <v>46245</v>
      </c>
      <c r="AJ87" s="116">
        <f>IF(ISNA($Z87),NA(),IFERROR(AVERAGEIFS('Daily Data'!$AH$4:$AH$503,'Daily Data'!$A$4:$A$503,$Z87),NA()))</f>
        <v>49.176666666666655</v>
      </c>
    </row>
    <row r="88" spans="1:36" x14ac:dyDescent="0.3">
      <c r="Z88" s="117" cm="1">
        <f t="array" ref="Z88">IFERROR(LARGE(_xlfn._xlws.FILTER('Daily Data'!$A$4:$A$503,'Daily Data'!$AV$4:$AV$503=1),91-ROW()),NA())</f>
        <v>46246</v>
      </c>
      <c r="AA88" s="116">
        <f>IF(ISNA($Z88),NA(),SUMIFS('Daily Data'!$I$4:$I$503,'Daily Data'!$A$4:$A$503,$Z88))</f>
        <v>4857384595</v>
      </c>
      <c r="AC88" s="117">
        <f>IF(ISNA($Z88),NA(),$Z88)</f>
        <v>46246</v>
      </c>
      <c r="AD88" s="116">
        <f>IF(ISNA($Z88),NA(),SUMIFS('Daily Data'!$K$4:$K$503,'Daily Data'!$A$4:$A$503,$Z88))</f>
        <v>990002</v>
      </c>
      <c r="AF88" s="117">
        <f>IF(ISNA($Z88),NA(),$Z88)</f>
        <v>46246</v>
      </c>
      <c r="AG88" s="116">
        <f>IF(ISNA($Z88),NA(),IF(SUMIFS('Daily Data'!$M$4:$M$503,'Daily Data'!$A$4:$A$503,$Z88)=0,NA(),SUMIFS('Daily Data'!$L$4:$L$503,'Daily Data'!$A$4:$A$503,$Z88)/SUMIFS('Daily Data'!$M$4:$M$503,'Daily Data'!$A$4:$A$503,$Z88)))</f>
        <v>1.0816264583732587</v>
      </c>
      <c r="AI88" s="117">
        <f>IF(ISNA($Z88),NA(),$Z88)</f>
        <v>46246</v>
      </c>
      <c r="AJ88" s="116">
        <f>IF(ISNA($Z88),NA(),IFERROR(AVERAGEIFS('Daily Data'!$AH$4:$AH$503,'Daily Data'!$A$4:$A$503,$Z88),NA()))</f>
        <v>49.776666666666657</v>
      </c>
    </row>
    <row r="89" spans="1:36" x14ac:dyDescent="0.3">
      <c r="Z89" s="117" cm="1">
        <f t="array" ref="Z89">IFERROR(LARGE(_xlfn._xlws.FILTER('Daily Data'!$A$4:$A$503,'Daily Data'!$AV$4:$AV$503=1),91-ROW()),NA())</f>
        <v>46247</v>
      </c>
      <c r="AA89" s="116">
        <f>IF(ISNA($Z89),NA(),SUMIFS('Daily Data'!$I$4:$I$503,'Daily Data'!$A$4:$A$503,$Z89))</f>
        <v>4320179065</v>
      </c>
      <c r="AC89" s="117">
        <f>IF(ISNA($Z89),NA(),$Z89)</f>
        <v>46247</v>
      </c>
      <c r="AD89" s="116">
        <f>IF(ISNA($Z89),NA(),SUMIFS('Daily Data'!$K$4:$K$503,'Daily Data'!$A$4:$A$503,$Z89))</f>
        <v>1169998</v>
      </c>
      <c r="AF89" s="117">
        <f>IF(ISNA($Z89),NA(),$Z89)</f>
        <v>46247</v>
      </c>
      <c r="AG89" s="116">
        <f>IF(ISNA($Z89),NA(),IF(SUMIFS('Daily Data'!$M$4:$M$503,'Daily Data'!$A$4:$A$503,$Z89)=0,NA(),SUMIFS('Daily Data'!$L$4:$L$503,'Daily Data'!$A$4:$A$503,$Z89)/SUMIFS('Daily Data'!$M$4:$M$503,'Daily Data'!$A$4:$A$503,$Z89)))</f>
        <v>1.2206492266116979</v>
      </c>
      <c r="AI89" s="117">
        <f>IF(ISNA($Z89),NA(),$Z89)</f>
        <v>46247</v>
      </c>
      <c r="AJ89" s="116">
        <f>IF(ISNA($Z89),NA(),IFERROR(AVERAGEIFS('Daily Data'!$AH$4:$AH$503,'Daily Data'!$A$4:$A$503,$Z89),NA()))</f>
        <v>51.879999999999995</v>
      </c>
    </row>
    <row r="90" spans="1:36" x14ac:dyDescent="0.3">
      <c r="Z90" s="117" cm="1">
        <f t="array" ref="Z90">IFERROR(LARGE(_xlfn._xlws.FILTER('Daily Data'!$A$4:$A$503,'Daily Data'!$AV$4:$AV$503=1),91-ROW()),NA())</f>
        <v>46248</v>
      </c>
      <c r="AA90" s="116">
        <f>IF(ISNA($Z90),NA(),SUMIFS('Daily Data'!$I$4:$I$503,'Daily Data'!$A$4:$A$503,$Z90))</f>
        <v>7277674125</v>
      </c>
      <c r="AC90" s="117">
        <f>IF(ISNA($Z90),NA(),$Z90)</f>
        <v>46248</v>
      </c>
      <c r="AD90" s="116">
        <f>IF(ISNA($Z90),NA(),SUMIFS('Daily Data'!$K$4:$K$503,'Daily Data'!$A$4:$A$503,$Z90))</f>
        <v>1598388</v>
      </c>
      <c r="AF90" s="117">
        <f>IF(ISNA($Z90),NA(),$Z90)</f>
        <v>46248</v>
      </c>
      <c r="AG90" s="116">
        <f>IF(ISNA($Z90),NA(),IF(SUMIFS('Daily Data'!$M$4:$M$503,'Daily Data'!$A$4:$A$503,$Z90)=0,NA(),SUMIFS('Daily Data'!$L$4:$L$503,'Daily Data'!$A$4:$A$503,$Z90)/SUMIFS('Daily Data'!$M$4:$M$503,'Daily Data'!$A$4:$A$503,$Z90)))</f>
        <v>1.7661218549825632</v>
      </c>
      <c r="AI90" s="117">
        <f>IF(ISNA($Z90),NA(),$Z90)</f>
        <v>46248</v>
      </c>
      <c r="AJ90" s="116">
        <f>IF(ISNA($Z90),NA(),IFERROR(AVERAGEIFS('Daily Data'!$AH$4:$AH$503,'Daily Data'!$A$4:$A$503,$Z90),NA()))</f>
        <v>53.79</v>
      </c>
    </row>
    <row r="94" spans="1:36" x14ac:dyDescent="0.3">
      <c r="A94" s="264" t="s">
        <v>979</v>
      </c>
    </row>
  </sheetData>
  <sheetProtection algorithmName="SHA-512" hashValue="8C0xz3bmMCu2g29ViNujhdyB/Wu0qcs+UOU7qoH1eEbqhw1MnhoOZ5ARNBhkuf3+xnRN3uf1Z8LBi/D01YnAJA==" saltValue="YNvdldrAhug6O2/HNyRvmA==" spinCount="100000" sheet="1" objects="1" scenarios="1" sort="0" autoFilter="0"/>
  <mergeCells count="14">
    <mergeCell ref="M6:N6"/>
    <mergeCell ref="M7:N7"/>
    <mergeCell ref="G6:H6"/>
    <mergeCell ref="G7:H7"/>
    <mergeCell ref="I6:J6"/>
    <mergeCell ref="I7:J7"/>
    <mergeCell ref="K6:L6"/>
    <mergeCell ref="K7:L7"/>
    <mergeCell ref="A6:B6"/>
    <mergeCell ref="A7:B7"/>
    <mergeCell ref="C6:D6"/>
    <mergeCell ref="C7:D7"/>
    <mergeCell ref="E6:F6"/>
    <mergeCell ref="E7:F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0B91-1A90-49D6-9484-1DD9F90E1925}">
  <dimension ref="A1:A96"/>
  <sheetViews>
    <sheetView workbookViewId="0"/>
  </sheetViews>
  <sheetFormatPr defaultRowHeight="14.4" x14ac:dyDescent="0.3"/>
  <cols>
    <col min="1" max="1" width="151.88671875" customWidth="1"/>
  </cols>
  <sheetData>
    <row r="1" spans="1:1" ht="23.4" x14ac:dyDescent="0.3">
      <c r="A1" s="177" t="s">
        <v>383</v>
      </c>
    </row>
    <row r="2" spans="1:1" ht="28.8" x14ac:dyDescent="0.3">
      <c r="A2" s="178" t="s">
        <v>384</v>
      </c>
    </row>
    <row r="3" spans="1:1" ht="15.6" x14ac:dyDescent="0.3">
      <c r="A3" s="179" t="s">
        <v>385</v>
      </c>
    </row>
    <row r="4" spans="1:1" x14ac:dyDescent="0.3">
      <c r="A4" s="183" t="s">
        <v>386</v>
      </c>
    </row>
    <row r="5" spans="1:1" x14ac:dyDescent="0.3">
      <c r="A5" s="186" t="s">
        <v>387</v>
      </c>
    </row>
    <row r="6" spans="1:1" x14ac:dyDescent="0.3">
      <c r="A6" s="178" t="s">
        <v>388</v>
      </c>
    </row>
    <row r="7" spans="1:1" x14ac:dyDescent="0.3">
      <c r="A7" s="183" t="s">
        <v>389</v>
      </c>
    </row>
    <row r="8" spans="1:1" x14ac:dyDescent="0.3">
      <c r="A8" s="186" t="s">
        <v>390</v>
      </c>
    </row>
    <row r="9" spans="1:1" x14ac:dyDescent="0.3">
      <c r="A9" s="183" t="s">
        <v>391</v>
      </c>
    </row>
    <row r="10" spans="1:1" x14ac:dyDescent="0.3">
      <c r="A10" s="186" t="s">
        <v>392</v>
      </c>
    </row>
    <row r="11" spans="1:1" ht="28.8" x14ac:dyDescent="0.3">
      <c r="A11" s="178" t="s">
        <v>393</v>
      </c>
    </row>
    <row r="12" spans="1:1" x14ac:dyDescent="0.3">
      <c r="A12" s="183" t="s">
        <v>394</v>
      </c>
    </row>
    <row r="13" spans="1:1" x14ac:dyDescent="0.3">
      <c r="A13" s="186" t="s">
        <v>395</v>
      </c>
    </row>
    <row r="14" spans="1:1" ht="28.8" x14ac:dyDescent="0.3">
      <c r="A14" s="178" t="s">
        <v>396</v>
      </c>
    </row>
    <row r="15" spans="1:1" x14ac:dyDescent="0.3">
      <c r="A15" s="183" t="s">
        <v>397</v>
      </c>
    </row>
    <row r="16" spans="1:1" x14ac:dyDescent="0.3">
      <c r="A16" s="186" t="s">
        <v>398</v>
      </c>
    </row>
    <row r="17" spans="1:1" x14ac:dyDescent="0.3">
      <c r="A17" s="178" t="s">
        <v>399</v>
      </c>
    </row>
    <row r="18" spans="1:1" ht="15.6" x14ac:dyDescent="0.3">
      <c r="A18" s="179" t="s">
        <v>400</v>
      </c>
    </row>
    <row r="19" spans="1:1" x14ac:dyDescent="0.3">
      <c r="A19" s="183" t="s">
        <v>401</v>
      </c>
    </row>
    <row r="20" spans="1:1" x14ac:dyDescent="0.3">
      <c r="A20" s="186" t="s">
        <v>402</v>
      </c>
    </row>
    <row r="21" spans="1:1" x14ac:dyDescent="0.3">
      <c r="A21" s="183" t="s">
        <v>403</v>
      </c>
    </row>
    <row r="22" spans="1:1" x14ac:dyDescent="0.3">
      <c r="A22" s="186" t="s">
        <v>404</v>
      </c>
    </row>
    <row r="23" spans="1:1" x14ac:dyDescent="0.3">
      <c r="A23" s="186" t="s">
        <v>405</v>
      </c>
    </row>
    <row r="24" spans="1:1" x14ac:dyDescent="0.3">
      <c r="A24" s="187" t="s">
        <v>406</v>
      </c>
    </row>
    <row r="25" spans="1:1" x14ac:dyDescent="0.3">
      <c r="A25" s="186" t="s">
        <v>407</v>
      </c>
    </row>
    <row r="26" spans="1:1" x14ac:dyDescent="0.3">
      <c r="A26" s="187" t="s">
        <v>408</v>
      </c>
    </row>
    <row r="27" spans="1:1" x14ac:dyDescent="0.3">
      <c r="A27" s="186" t="s">
        <v>409</v>
      </c>
    </row>
    <row r="28" spans="1:1" x14ac:dyDescent="0.3">
      <c r="A28" s="187" t="s">
        <v>410</v>
      </c>
    </row>
    <row r="29" spans="1:1" x14ac:dyDescent="0.3">
      <c r="A29" s="186" t="s">
        <v>411</v>
      </c>
    </row>
    <row r="30" spans="1:1" x14ac:dyDescent="0.3">
      <c r="A30" s="188" t="s">
        <v>412</v>
      </c>
    </row>
    <row r="31" spans="1:1" x14ac:dyDescent="0.3">
      <c r="A31" s="186" t="s">
        <v>413</v>
      </c>
    </row>
    <row r="32" spans="1:1" x14ac:dyDescent="0.3">
      <c r="A32" s="186" t="s">
        <v>414</v>
      </c>
    </row>
    <row r="33" spans="1:1" ht="28.8" x14ac:dyDescent="0.3">
      <c r="A33" s="189" t="s">
        <v>415</v>
      </c>
    </row>
    <row r="34" spans="1:1" ht="15.6" x14ac:dyDescent="0.3">
      <c r="A34" s="190" t="s">
        <v>416</v>
      </c>
    </row>
    <row r="35" spans="1:1" ht="28.8" x14ac:dyDescent="0.3">
      <c r="A35" s="178" t="s">
        <v>417</v>
      </c>
    </row>
    <row r="36" spans="1:1" x14ac:dyDescent="0.3">
      <c r="A36" s="183" t="s">
        <v>418</v>
      </c>
    </row>
    <row r="37" spans="1:1" ht="26.4" x14ac:dyDescent="0.3">
      <c r="A37" s="186" t="s">
        <v>1135</v>
      </c>
    </row>
    <row r="38" spans="1:1" ht="28.8" x14ac:dyDescent="0.3">
      <c r="A38" s="309" t="s">
        <v>1136</v>
      </c>
    </row>
    <row r="39" spans="1:1" x14ac:dyDescent="0.3">
      <c r="A39" s="183" t="s">
        <v>419</v>
      </c>
    </row>
    <row r="40" spans="1:1" x14ac:dyDescent="0.3">
      <c r="A40" s="186" t="s">
        <v>420</v>
      </c>
    </row>
    <row r="41" spans="1:1" ht="28.8" x14ac:dyDescent="0.3">
      <c r="A41" s="178" t="s">
        <v>421</v>
      </c>
    </row>
    <row r="42" spans="1:1" x14ac:dyDescent="0.3">
      <c r="A42" s="183" t="s">
        <v>422</v>
      </c>
    </row>
    <row r="43" spans="1:1" x14ac:dyDescent="0.3">
      <c r="A43" s="186" t="s">
        <v>423</v>
      </c>
    </row>
    <row r="44" spans="1:1" x14ac:dyDescent="0.3">
      <c r="A44" s="183" t="s">
        <v>424</v>
      </c>
    </row>
    <row r="45" spans="1:1" x14ac:dyDescent="0.3">
      <c r="A45" s="186" t="s">
        <v>425</v>
      </c>
    </row>
    <row r="46" spans="1:1" x14ac:dyDescent="0.3">
      <c r="A46" s="186" t="s">
        <v>426</v>
      </c>
    </row>
    <row r="47" spans="1:1" ht="28.8" x14ac:dyDescent="0.3">
      <c r="A47" s="189" t="s">
        <v>427</v>
      </c>
    </row>
    <row r="48" spans="1:1" x14ac:dyDescent="0.3">
      <c r="A48" s="187" t="s">
        <v>428</v>
      </c>
    </row>
    <row r="49" spans="1:1" x14ac:dyDescent="0.3">
      <c r="A49" s="186" t="s">
        <v>429</v>
      </c>
    </row>
    <row r="50" spans="1:1" ht="28.8" x14ac:dyDescent="0.3">
      <c r="A50" s="189" t="s">
        <v>430</v>
      </c>
    </row>
    <row r="51" spans="1:1" x14ac:dyDescent="0.3">
      <c r="A51" s="183" t="s">
        <v>431</v>
      </c>
    </row>
    <row r="52" spans="1:1" x14ac:dyDescent="0.3">
      <c r="A52" s="186" t="s">
        <v>432</v>
      </c>
    </row>
    <row r="53" spans="1:1" ht="28.8" x14ac:dyDescent="0.3">
      <c r="A53" s="178" t="s">
        <v>433</v>
      </c>
    </row>
    <row r="54" spans="1:1" x14ac:dyDescent="0.3">
      <c r="A54" s="183" t="s">
        <v>434</v>
      </c>
    </row>
    <row r="55" spans="1:1" x14ac:dyDescent="0.3">
      <c r="A55" s="186" t="s">
        <v>435</v>
      </c>
    </row>
    <row r="56" spans="1:1" ht="28.8" x14ac:dyDescent="0.3">
      <c r="A56" s="178" t="s">
        <v>436</v>
      </c>
    </row>
    <row r="57" spans="1:1" ht="28.8" x14ac:dyDescent="0.3">
      <c r="A57" s="184" t="s">
        <v>437</v>
      </c>
    </row>
    <row r="58" spans="1:1" x14ac:dyDescent="0.3">
      <c r="A58" s="183" t="s">
        <v>438</v>
      </c>
    </row>
    <row r="59" spans="1:1" x14ac:dyDescent="0.3">
      <c r="A59" s="186" t="s">
        <v>439</v>
      </c>
    </row>
    <row r="60" spans="1:1" x14ac:dyDescent="0.3">
      <c r="A60" s="178" t="s">
        <v>440</v>
      </c>
    </row>
    <row r="61" spans="1:1" ht="15.6" x14ac:dyDescent="0.3">
      <c r="A61" s="179" t="s">
        <v>441</v>
      </c>
    </row>
    <row r="62" spans="1:1" ht="43.2" x14ac:dyDescent="0.3">
      <c r="A62" s="178" t="s">
        <v>1137</v>
      </c>
    </row>
    <row r="63" spans="1:1" ht="15.6" x14ac:dyDescent="0.3">
      <c r="A63" s="179" t="s">
        <v>442</v>
      </c>
    </row>
    <row r="64" spans="1:1" x14ac:dyDescent="0.3">
      <c r="A64" s="178" t="s">
        <v>443</v>
      </c>
    </row>
    <row r="65" spans="1:1" x14ac:dyDescent="0.3">
      <c r="A65" s="191" t="s">
        <v>444</v>
      </c>
    </row>
    <row r="66" spans="1:1" x14ac:dyDescent="0.3">
      <c r="A66" s="178" t="s">
        <v>445</v>
      </c>
    </row>
    <row r="67" spans="1:1" x14ac:dyDescent="0.3">
      <c r="A67" s="178" t="s">
        <v>446</v>
      </c>
    </row>
    <row r="68" spans="1:1" x14ac:dyDescent="0.3">
      <c r="A68" s="178" t="s">
        <v>447</v>
      </c>
    </row>
    <row r="69" spans="1:1" x14ac:dyDescent="0.3">
      <c r="A69" s="178" t="s">
        <v>448</v>
      </c>
    </row>
    <row r="70" spans="1:1" ht="15.6" x14ac:dyDescent="0.3">
      <c r="A70" s="179" t="s">
        <v>449</v>
      </c>
    </row>
    <row r="71" spans="1:1" x14ac:dyDescent="0.3">
      <c r="A71" s="186" t="s">
        <v>450</v>
      </c>
    </row>
    <row r="72" spans="1:1" x14ac:dyDescent="0.3">
      <c r="A72" s="178" t="s">
        <v>451</v>
      </c>
    </row>
    <row r="73" spans="1:1" x14ac:dyDescent="0.3">
      <c r="A73" s="186" t="s">
        <v>452</v>
      </c>
    </row>
    <row r="74" spans="1:1" x14ac:dyDescent="0.3">
      <c r="A74" s="186" t="s">
        <v>453</v>
      </c>
    </row>
    <row r="75" spans="1:1" ht="28.8" x14ac:dyDescent="0.3">
      <c r="A75" s="189" t="s">
        <v>454</v>
      </c>
    </row>
    <row r="76" spans="1:1" ht="15.6" x14ac:dyDescent="0.3">
      <c r="A76" s="190" t="s">
        <v>455</v>
      </c>
    </row>
    <row r="77" spans="1:1" ht="72" x14ac:dyDescent="0.3">
      <c r="A77" s="178" t="s">
        <v>456</v>
      </c>
    </row>
    <row r="78" spans="1:1" ht="15.6" x14ac:dyDescent="0.3">
      <c r="A78" s="179" t="s">
        <v>457</v>
      </c>
    </row>
    <row r="79" spans="1:1" ht="28.8" x14ac:dyDescent="0.3">
      <c r="A79" s="178" t="s">
        <v>458</v>
      </c>
    </row>
    <row r="80" spans="1:1" x14ac:dyDescent="0.3">
      <c r="A80" s="178" t="s">
        <v>459</v>
      </c>
    </row>
    <row r="81" spans="1:1" x14ac:dyDescent="0.3">
      <c r="A81" s="178" t="s">
        <v>460</v>
      </c>
    </row>
    <row r="82" spans="1:1" x14ac:dyDescent="0.3">
      <c r="A82" s="178" t="s">
        <v>461</v>
      </c>
    </row>
    <row r="84" spans="1:1" ht="15.6" x14ac:dyDescent="0.3">
      <c r="A84" s="359" t="s">
        <v>1273</v>
      </c>
    </row>
    <row r="85" spans="1:1" ht="28.8" x14ac:dyDescent="0.3">
      <c r="A85" s="308" t="s">
        <v>1274</v>
      </c>
    </row>
    <row r="86" spans="1:1" x14ac:dyDescent="0.3">
      <c r="A86" s="186" t="s">
        <v>1275</v>
      </c>
    </row>
    <row r="87" spans="1:1" ht="28.8" x14ac:dyDescent="0.3">
      <c r="A87" s="308" t="s">
        <v>1276</v>
      </c>
    </row>
    <row r="88" spans="1:1" x14ac:dyDescent="0.3">
      <c r="A88" s="360" t="s">
        <v>1277</v>
      </c>
    </row>
    <row r="89" spans="1:1" ht="43.2" x14ac:dyDescent="0.3">
      <c r="A89" s="308" t="s">
        <v>1278</v>
      </c>
    </row>
    <row r="90" spans="1:1" x14ac:dyDescent="0.3">
      <c r="A90" s="360" t="s">
        <v>1279</v>
      </c>
    </row>
    <row r="91" spans="1:1" ht="43.2" x14ac:dyDescent="0.3">
      <c r="A91" s="308" t="s">
        <v>1280</v>
      </c>
    </row>
    <row r="92" spans="1:1" x14ac:dyDescent="0.3">
      <c r="A92" s="361" t="s">
        <v>1281</v>
      </c>
    </row>
    <row r="93" spans="1:1" x14ac:dyDescent="0.3">
      <c r="A93" s="360" t="s">
        <v>1282</v>
      </c>
    </row>
    <row r="94" spans="1:1" ht="28.8" x14ac:dyDescent="0.3">
      <c r="A94" s="308" t="s">
        <v>1283</v>
      </c>
    </row>
    <row r="95" spans="1:1" ht="57.6" x14ac:dyDescent="0.3">
      <c r="A95" s="308" t="s">
        <v>1284</v>
      </c>
    </row>
    <row r="96" spans="1:1" x14ac:dyDescent="0.3">
      <c r="A96" s="308" t="s">
        <v>1285</v>
      </c>
    </row>
  </sheetData>
  <sheetProtection algorithmName="SHA-512" hashValue="lYJ91Ud2MpsYaKWTkPQPTOjjpDRBdCtj3wpZKQnZ8RQMw0In46TXlD35bCUvzThtrOZOWF615pfZ7O8dAVp0UA==" saltValue="hAyTTotLH0gMq4ckYi5lpQ==" spinCount="100000" sheet="1" objects="1" scenarios="1" sort="0" autoFilter="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0BA5-4554-4107-B0E7-BBA66CA6B57D}">
  <dimension ref="A1:U503"/>
  <sheetViews>
    <sheetView workbookViewId="0">
      <pane ySplit="3" topLeftCell="A4" activePane="bottomLeft" state="frozen"/>
      <selection pane="bottomLeft"/>
    </sheetView>
  </sheetViews>
  <sheetFormatPr defaultRowHeight="14.4" x14ac:dyDescent="0.3"/>
  <cols>
    <col min="1" max="1" width="11.109375" customWidth="1"/>
    <col min="2" max="2" width="15.77734375" customWidth="1"/>
    <col min="3" max="3" width="14.77734375" customWidth="1"/>
    <col min="4" max="20" width="17.5546875" customWidth="1"/>
    <col min="21" max="21" width="20.33203125" customWidth="1"/>
  </cols>
  <sheetData>
    <row r="1" spans="1:21" ht="21" x14ac:dyDescent="0.4">
      <c r="A1" s="14" t="s">
        <v>309</v>
      </c>
      <c r="E1" s="15" t="s">
        <v>311</v>
      </c>
      <c r="G1" s="15" t="s">
        <v>312</v>
      </c>
      <c r="I1" s="15" t="s">
        <v>313</v>
      </c>
      <c r="K1" s="15" t="s">
        <v>314</v>
      </c>
      <c r="M1" s="15" t="s">
        <v>982</v>
      </c>
    </row>
    <row r="2" spans="1:21" ht="18" x14ac:dyDescent="0.35">
      <c r="A2" s="2" t="s">
        <v>310</v>
      </c>
      <c r="E2" s="161">
        <f>COUNTIF($U$4:$U$503,"ERROR")</f>
        <v>2</v>
      </c>
      <c r="G2" s="162">
        <f>COUNTIF($U$4:$U$503,"WARNING")</f>
        <v>14</v>
      </c>
      <c r="I2" s="163">
        <f>COUNTIF($U$4:$U$503,"PASS")</f>
        <v>132</v>
      </c>
      <c r="K2" s="164">
        <f>COUNTIF($U$4:$U$503,"&lt;&gt;")-COUNTBLANK($U$4:$U$503)*0-COUNTIF($U$4:$U$503,"")</f>
        <v>148</v>
      </c>
      <c r="M2" s="162">
        <f>COUNTIF(Symbols!$K$4:$K$43,"VERIFY*")</f>
        <v>30</v>
      </c>
    </row>
    <row r="3" spans="1:21" ht="54" customHeight="1" x14ac:dyDescent="0.3">
      <c r="A3" s="21" t="s">
        <v>315</v>
      </c>
      <c r="B3" s="21" t="s">
        <v>147</v>
      </c>
      <c r="C3" s="21" t="s">
        <v>96</v>
      </c>
      <c r="D3" s="21" t="s">
        <v>316</v>
      </c>
      <c r="E3" s="21" t="s">
        <v>317</v>
      </c>
      <c r="F3" s="21" t="s">
        <v>318</v>
      </c>
      <c r="G3" s="21" t="s">
        <v>319</v>
      </c>
      <c r="H3" s="21" t="s">
        <v>320</v>
      </c>
      <c r="I3" s="21" t="s">
        <v>321</v>
      </c>
      <c r="J3" s="21" t="s">
        <v>322</v>
      </c>
      <c r="K3" s="21" t="s">
        <v>323</v>
      </c>
      <c r="L3" s="21" t="s">
        <v>324</v>
      </c>
      <c r="M3" s="21" t="s">
        <v>325</v>
      </c>
      <c r="N3" s="21" t="s">
        <v>326</v>
      </c>
      <c r="O3" s="21" t="s">
        <v>327</v>
      </c>
      <c r="P3" s="21" t="s">
        <v>328</v>
      </c>
      <c r="Q3" s="21" t="s">
        <v>329</v>
      </c>
      <c r="R3" s="21" t="s">
        <v>330</v>
      </c>
      <c r="S3" s="21" t="s">
        <v>331</v>
      </c>
      <c r="T3" s="21" t="s">
        <v>332</v>
      </c>
      <c r="U3" s="21" t="s">
        <v>333</v>
      </c>
    </row>
    <row r="4" spans="1:21" x14ac:dyDescent="0.3">
      <c r="A4">
        <f>IF(AND('Daily Data'!$A4="",'Daily Data'!$B4=""),"",4)</f>
        <v>4</v>
      </c>
      <c r="B4" s="16">
        <f>IF($A4="","",'Daily Data'!$A4)</f>
        <v>46244</v>
      </c>
      <c r="C4" t="str">
        <f>IF($A4="","",'Daily Data'!$B4)</f>
        <v>AFRIPRISE</v>
      </c>
      <c r="D4" s="165" t="str">
        <f>IF($A4="","",IF(COUNTIFS('Daily Data'!$B$4:$B$503,'Daily Data'!$B4,'Daily Data'!$A$4:$A$503,'Daily Data'!$A4)&gt;1,"ERROR","OK"))</f>
        <v>OK</v>
      </c>
      <c r="E4" s="165" t="str">
        <f>IF($A4="","",IF('Daily Data'!$B4="","ERROR","OK"))</f>
        <v>OK</v>
      </c>
      <c r="F4" s="165" t="str">
        <f>IF($A4="","",IF(NOT(ISNUMBER('Daily Data'!$A4)),"ERROR","OK"))</f>
        <v>OK</v>
      </c>
      <c r="G4" s="165" t="str">
        <f>IF($A4="","",IF(OR(N('Daily Data'!$E4)&lt;=0,N('Daily Data'!$C4)&lt;0,N('Daily Data'!$D4)&lt;0,N('Daily Data'!$F4)&lt;0,N('Daily Data'!$G4)&lt;0),"ERROR","OK"))</f>
        <v>OK</v>
      </c>
      <c r="H4" s="165" t="str">
        <f>IF($A4="","",IF(N('Daily Data'!$K4)&lt;0,"ERROR","OK"))</f>
        <v>OK</v>
      </c>
      <c r="I4" s="165" t="str">
        <f>IF($A4="","",IF(N('Daily Data'!$I4)&lt;0,"ERROR","OK"))</f>
        <v>OK</v>
      </c>
      <c r="J4" s="165" t="str">
        <f>IF($A4="","",IF(N('Daily Data'!$L4)&lt;0,"ERROR","OK"))</f>
        <v>OK</v>
      </c>
      <c r="K4" s="165" t="str">
        <f>IF($A4="","",IF(N('Daily Data'!$M4)&lt;0,"ERROR","OK"))</f>
        <v>OK</v>
      </c>
      <c r="L4" s="165" t="str">
        <f>IF($A4="","",IF(OR(N('Daily Data'!$F4)=0,N('Daily Data'!$G4)=0),"OK",IF(OR(N('Daily Data'!$E4)&gt;N('Daily Data'!$F4),N('Daily Data'!$E4)&lt;N('Daily Data'!$G4)),"ERROR","OK")))</f>
        <v>OK</v>
      </c>
      <c r="M4" s="165" t="str">
        <f>IF($A4="","",IF(N('Daily Data'!$AK4)&lt;=1,"OK",IF(ROUND(N('Daily Data'!$D4),2)=ROUND(SUMIFS('Daily Data'!$E$4:$E$503,'Daily Data'!$B$4:$B$503,'Daily Data'!$B4,'Daily Data'!$AK$4:$AK$503,'Daily Data'!$AK4-1),2),"OK","WARNING")))</f>
        <v>OK</v>
      </c>
      <c r="N4" s="165" t="str">
        <f>IF($A4="","",IF(N('Daily Data'!$N4)&lt;=0,"WARNING","OK"))</f>
        <v>OK</v>
      </c>
      <c r="O4" s="165" t="str">
        <f>IF($A4="","",IF(AND(ISNUMBER('Daily Data'!$H4),ABS(N('Daily Data'!$H4))&gt;Settings!$C$56),"WARNING","OK"))</f>
        <v>OK</v>
      </c>
      <c r="P4" s="165" t="str">
        <f>IF($A4="","",IF(OR(AND(N('Daily Data'!$K4)=0,N('Daily Data'!$I4)&gt;0),AND(N('Daily Data'!$I4)=0,N('Daily Data'!$K4)&gt;0),AND(N('Daily Data'!$L4)=0,N('Daily Data'!$M4)=0)),"WARNING","OK"))</f>
        <v>OK</v>
      </c>
      <c r="Q4" s="165" t="str">
        <f>IF($A4="","",IF(COUNTIFS('Daily Data'!$B$4:$B$503,'Daily Data'!$B4,'Daily Data'!$A$4:$A$503,'Daily Data'!$A4,'Daily Data'!$Q$4:$Q$503,'Daily Data'!$Q4)&gt;1,"WARNING","OK"))</f>
        <v>OK</v>
      </c>
      <c r="R4" s="165" t="str">
        <f>IF($A4="","",IF(AND(N('Daily Data'!$K4)&gt;0,N('Daily Data'!$J4)&lt;=0),"WARNING","OK"))</f>
        <v>OK</v>
      </c>
      <c r="S4" s="165">
        <f>IF($A4="","",COUNTIF($D4:$R4,"ERROR"))</f>
        <v>0</v>
      </c>
      <c r="T4" s="165">
        <f>IF($A4="","",COUNTIF($D4:$R4,"WARNING"))</f>
        <v>0</v>
      </c>
      <c r="U4" s="165" t="str">
        <f>IF($A4="","",IF($S4&gt;0,"ERROR",IF($T4&gt;0,"WARNING","PASS")))</f>
        <v>PASS</v>
      </c>
    </row>
    <row r="5" spans="1:21" x14ac:dyDescent="0.3">
      <c r="A5">
        <f>IF(AND('Daily Data'!$A5="",'Daily Data'!$B5=""),"",5)</f>
        <v>5</v>
      </c>
      <c r="B5" s="16">
        <f>IF($A5="","",'Daily Data'!$A5)</f>
        <v>46244</v>
      </c>
      <c r="C5" t="str">
        <f>IF($A5="","",'Daily Data'!$B5)</f>
        <v>CRDB</v>
      </c>
      <c r="D5" s="165" t="str">
        <f>IF($A5="","",IF(COUNTIFS('Daily Data'!$B$4:$B$503,'Daily Data'!$B5,'Daily Data'!$A$4:$A$503,'Daily Data'!$A5)&gt;1,"ERROR","OK"))</f>
        <v>OK</v>
      </c>
      <c r="E5" s="165" t="str">
        <f>IF($A5="","",IF('Daily Data'!$B5="","ERROR","OK"))</f>
        <v>OK</v>
      </c>
      <c r="F5" s="165" t="str">
        <f>IF($A5="","",IF(NOT(ISNUMBER('Daily Data'!$A5)),"ERROR","OK"))</f>
        <v>OK</v>
      </c>
      <c r="G5" s="165" t="str">
        <f>IF($A5="","",IF(OR(N('Daily Data'!$E5)&lt;=0,N('Daily Data'!$C5)&lt;0,N('Daily Data'!$D5)&lt;0,N('Daily Data'!$F5)&lt;0,N('Daily Data'!$G5)&lt;0),"ERROR","OK"))</f>
        <v>OK</v>
      </c>
      <c r="H5" s="165" t="str">
        <f>IF($A5="","",IF(N('Daily Data'!$K5)&lt;0,"ERROR","OK"))</f>
        <v>OK</v>
      </c>
      <c r="I5" s="165" t="str">
        <f>IF($A5="","",IF(N('Daily Data'!$I5)&lt;0,"ERROR","OK"))</f>
        <v>OK</v>
      </c>
      <c r="J5" s="165" t="str">
        <f>IF($A5="","",IF(N('Daily Data'!$L5)&lt;0,"ERROR","OK"))</f>
        <v>OK</v>
      </c>
      <c r="K5" s="165" t="str">
        <f>IF($A5="","",IF(N('Daily Data'!$M5)&lt;0,"ERROR","OK"))</f>
        <v>OK</v>
      </c>
      <c r="L5" s="165" t="str">
        <f>IF($A5="","",IF(OR(N('Daily Data'!$F5)=0,N('Daily Data'!$G5)=0),"OK",IF(OR(N('Daily Data'!$E5)&gt;N('Daily Data'!$F5),N('Daily Data'!$E5)&lt;N('Daily Data'!$G5)),"ERROR","OK")))</f>
        <v>OK</v>
      </c>
      <c r="M5" s="165" t="str">
        <f>IF($A5="","",IF(N('Daily Data'!$AK5)&lt;=1,"OK",IF(ROUND(N('Daily Data'!$D5),2)=ROUND(SUMIFS('Daily Data'!$E$4:$E$503,'Daily Data'!$B$4:$B$503,'Daily Data'!$B5,'Daily Data'!$AK$4:$AK$503,'Daily Data'!$AK5-1),2),"OK","WARNING")))</f>
        <v>OK</v>
      </c>
      <c r="N5" s="165" t="str">
        <f>IF($A5="","",IF(N('Daily Data'!$N5)&lt;=0,"WARNING","OK"))</f>
        <v>OK</v>
      </c>
      <c r="O5" s="165" t="str">
        <f>IF($A5="","",IF(AND(ISNUMBER('Daily Data'!$H5),ABS(N('Daily Data'!$H5))&gt;Settings!$C$56),"WARNING","OK"))</f>
        <v>OK</v>
      </c>
      <c r="P5" s="165" t="str">
        <f>IF($A5="","",IF(OR(AND(N('Daily Data'!$K5)=0,N('Daily Data'!$I5)&gt;0),AND(N('Daily Data'!$I5)=0,N('Daily Data'!$K5)&gt;0),AND(N('Daily Data'!$L5)=0,N('Daily Data'!$M5)=0)),"WARNING","OK"))</f>
        <v>OK</v>
      </c>
      <c r="Q5" s="165" t="str">
        <f>IF($A5="","",IF(COUNTIFS('Daily Data'!$B$4:$B$503,'Daily Data'!$B5,'Daily Data'!$A$4:$A$503,'Daily Data'!$A5,'Daily Data'!$Q$4:$Q$503,'Daily Data'!$Q5)&gt;1,"WARNING","OK"))</f>
        <v>OK</v>
      </c>
      <c r="R5" s="165" t="str">
        <f>IF($A5="","",IF(AND(N('Daily Data'!$K5)&gt;0,N('Daily Data'!$J5)&lt;=0),"WARNING","OK"))</f>
        <v>OK</v>
      </c>
      <c r="S5" s="165">
        <f>IF($A5="","",COUNTIF($D5:$R5,"ERROR"))</f>
        <v>0</v>
      </c>
      <c r="T5" s="165">
        <f>IF($A5="","",COUNTIF($D5:$R5,"WARNING"))</f>
        <v>0</v>
      </c>
      <c r="U5" s="165" t="str">
        <f>IF($A5="","",IF($S5&gt;0,"ERROR",IF($T5&gt;0,"WARNING","PASS")))</f>
        <v>PASS</v>
      </c>
    </row>
    <row r="6" spans="1:21" x14ac:dyDescent="0.3">
      <c r="A6">
        <f>IF(AND('Daily Data'!$A6="",'Daily Data'!$B6=""),"",6)</f>
        <v>6</v>
      </c>
      <c r="B6" s="16">
        <f>IF($A6="","",'Daily Data'!$A6)</f>
        <v>46244</v>
      </c>
      <c r="C6" t="str">
        <f>IF($A6="","",'Daily Data'!$B6)</f>
        <v>DCB</v>
      </c>
      <c r="D6" s="165" t="str">
        <f>IF($A6="","",IF(COUNTIFS('Daily Data'!$B$4:$B$503,'Daily Data'!$B6,'Daily Data'!$A$4:$A$503,'Daily Data'!$A6)&gt;1,"ERROR","OK"))</f>
        <v>OK</v>
      </c>
      <c r="E6" s="165" t="str">
        <f>IF($A6="","",IF('Daily Data'!$B6="","ERROR","OK"))</f>
        <v>OK</v>
      </c>
      <c r="F6" s="165" t="str">
        <f>IF($A6="","",IF(NOT(ISNUMBER('Daily Data'!$A6)),"ERROR","OK"))</f>
        <v>OK</v>
      </c>
      <c r="G6" s="165" t="str">
        <f>IF($A6="","",IF(OR(N('Daily Data'!$E6)&lt;=0,N('Daily Data'!$C6)&lt;0,N('Daily Data'!$D6)&lt;0,N('Daily Data'!$F6)&lt;0,N('Daily Data'!$G6)&lt;0),"ERROR","OK"))</f>
        <v>OK</v>
      </c>
      <c r="H6" s="165" t="str">
        <f>IF($A6="","",IF(N('Daily Data'!$K6)&lt;0,"ERROR","OK"))</f>
        <v>OK</v>
      </c>
      <c r="I6" s="165" t="str">
        <f>IF($A6="","",IF(N('Daily Data'!$I6)&lt;0,"ERROR","OK"))</f>
        <v>OK</v>
      </c>
      <c r="J6" s="165" t="str">
        <f>IF($A6="","",IF(N('Daily Data'!$L6)&lt;0,"ERROR","OK"))</f>
        <v>OK</v>
      </c>
      <c r="K6" s="165" t="str">
        <f>IF($A6="","",IF(N('Daily Data'!$M6)&lt;0,"ERROR","OK"))</f>
        <v>OK</v>
      </c>
      <c r="L6" s="165" t="str">
        <f>IF($A6="","",IF(OR(N('Daily Data'!$F6)=0,N('Daily Data'!$G6)=0),"OK",IF(OR(N('Daily Data'!$E6)&gt;N('Daily Data'!$F6),N('Daily Data'!$E6)&lt;N('Daily Data'!$G6)),"ERROR","OK")))</f>
        <v>OK</v>
      </c>
      <c r="M6" s="165" t="str">
        <f>IF($A6="","",IF(N('Daily Data'!$AK6)&lt;=1,"OK",IF(ROUND(N('Daily Data'!$D6),2)=ROUND(SUMIFS('Daily Data'!$E$4:$E$503,'Daily Data'!$B$4:$B$503,'Daily Data'!$B6,'Daily Data'!$AK$4:$AK$503,'Daily Data'!$AK6-1),2),"OK","WARNING")))</f>
        <v>OK</v>
      </c>
      <c r="N6" s="165" t="str">
        <f>IF($A6="","",IF(N('Daily Data'!$N6)&lt;=0,"WARNING","OK"))</f>
        <v>OK</v>
      </c>
      <c r="O6" s="165" t="str">
        <f>IF($A6="","",IF(AND(ISNUMBER('Daily Data'!$H6),ABS(N('Daily Data'!$H6))&gt;Settings!$C$56),"WARNING","OK"))</f>
        <v>OK</v>
      </c>
      <c r="P6" s="165" t="str">
        <f>IF($A6="","",IF(OR(AND(N('Daily Data'!$K6)=0,N('Daily Data'!$I6)&gt;0),AND(N('Daily Data'!$I6)=0,N('Daily Data'!$K6)&gt;0),AND(N('Daily Data'!$L6)=0,N('Daily Data'!$M6)=0)),"WARNING","OK"))</f>
        <v>OK</v>
      </c>
      <c r="Q6" s="165" t="str">
        <f>IF($A6="","",IF(COUNTIFS('Daily Data'!$B$4:$B$503,'Daily Data'!$B6,'Daily Data'!$A$4:$A$503,'Daily Data'!$A6,'Daily Data'!$Q$4:$Q$503,'Daily Data'!$Q6)&gt;1,"WARNING","OK"))</f>
        <v>OK</v>
      </c>
      <c r="R6" s="165" t="str">
        <f>IF($A6="","",IF(AND(N('Daily Data'!$K6)&gt;0,N('Daily Data'!$J6)&lt;=0),"WARNING","OK"))</f>
        <v>OK</v>
      </c>
      <c r="S6" s="165">
        <f>IF($A6="","",COUNTIF($D6:$R6,"ERROR"))</f>
        <v>0</v>
      </c>
      <c r="T6" s="165">
        <f>IF($A6="","",COUNTIF($D6:$R6,"WARNING"))</f>
        <v>0</v>
      </c>
      <c r="U6" s="165" t="str">
        <f>IF($A6="","",IF($S6&gt;0,"ERROR",IF($T6&gt;0,"WARNING","PASS")))</f>
        <v>PASS</v>
      </c>
    </row>
    <row r="7" spans="1:21" x14ac:dyDescent="0.3">
      <c r="A7">
        <f>IF(AND('Daily Data'!$A7="",'Daily Data'!$B7=""),"",7)</f>
        <v>7</v>
      </c>
      <c r="B7" s="16">
        <f>IF($A7="","",'Daily Data'!$A7)</f>
        <v>46244</v>
      </c>
      <c r="C7" t="str">
        <f>IF($A7="","",'Daily Data'!$B7)</f>
        <v>DSE</v>
      </c>
      <c r="D7" s="165" t="str">
        <f>IF($A7="","",IF(COUNTIFS('Daily Data'!$B$4:$B$503,'Daily Data'!$B7,'Daily Data'!$A$4:$A$503,'Daily Data'!$A7)&gt;1,"ERROR","OK"))</f>
        <v>OK</v>
      </c>
      <c r="E7" s="165" t="str">
        <f>IF($A7="","",IF('Daily Data'!$B7="","ERROR","OK"))</f>
        <v>OK</v>
      </c>
      <c r="F7" s="165" t="str">
        <f>IF($A7="","",IF(NOT(ISNUMBER('Daily Data'!$A7)),"ERROR","OK"))</f>
        <v>OK</v>
      </c>
      <c r="G7" s="165" t="str">
        <f>IF($A7="","",IF(OR(N('Daily Data'!$E7)&lt;=0,N('Daily Data'!$C7)&lt;0,N('Daily Data'!$D7)&lt;0,N('Daily Data'!$F7)&lt;0,N('Daily Data'!$G7)&lt;0),"ERROR","OK"))</f>
        <v>OK</v>
      </c>
      <c r="H7" s="165" t="str">
        <f>IF($A7="","",IF(N('Daily Data'!$K7)&lt;0,"ERROR","OK"))</f>
        <v>OK</v>
      </c>
      <c r="I7" s="165" t="str">
        <f>IF($A7="","",IF(N('Daily Data'!$I7)&lt;0,"ERROR","OK"))</f>
        <v>OK</v>
      </c>
      <c r="J7" s="165" t="str">
        <f>IF($A7="","",IF(N('Daily Data'!$L7)&lt;0,"ERROR","OK"))</f>
        <v>OK</v>
      </c>
      <c r="K7" s="165" t="str">
        <f>IF($A7="","",IF(N('Daily Data'!$M7)&lt;0,"ERROR","OK"))</f>
        <v>OK</v>
      </c>
      <c r="L7" s="165" t="str">
        <f>IF($A7="","",IF(OR(N('Daily Data'!$F7)=0,N('Daily Data'!$G7)=0),"OK",IF(OR(N('Daily Data'!$E7)&gt;N('Daily Data'!$F7),N('Daily Data'!$E7)&lt;N('Daily Data'!$G7)),"ERROR","OK")))</f>
        <v>OK</v>
      </c>
      <c r="M7" s="165" t="str">
        <f>IF($A7="","",IF(N('Daily Data'!$AK7)&lt;=1,"OK",IF(ROUND(N('Daily Data'!$D7),2)=ROUND(SUMIFS('Daily Data'!$E$4:$E$503,'Daily Data'!$B$4:$B$503,'Daily Data'!$B7,'Daily Data'!$AK$4:$AK$503,'Daily Data'!$AK7-1),2),"OK","WARNING")))</f>
        <v>OK</v>
      </c>
      <c r="N7" s="165" t="str">
        <f>IF($A7="","",IF(N('Daily Data'!$N7)&lt;=0,"WARNING","OK"))</f>
        <v>OK</v>
      </c>
      <c r="O7" s="165" t="str">
        <f>IF($A7="","",IF(AND(ISNUMBER('Daily Data'!$H7),ABS(N('Daily Data'!$H7))&gt;Settings!$C$56),"WARNING","OK"))</f>
        <v>OK</v>
      </c>
      <c r="P7" s="165" t="str">
        <f>IF($A7="","",IF(OR(AND(N('Daily Data'!$K7)=0,N('Daily Data'!$I7)&gt;0),AND(N('Daily Data'!$I7)=0,N('Daily Data'!$K7)&gt;0),AND(N('Daily Data'!$L7)=0,N('Daily Data'!$M7)=0)),"WARNING","OK"))</f>
        <v>OK</v>
      </c>
      <c r="Q7" s="165" t="str">
        <f>IF($A7="","",IF(COUNTIFS('Daily Data'!$B$4:$B$503,'Daily Data'!$B7,'Daily Data'!$A$4:$A$503,'Daily Data'!$A7,'Daily Data'!$Q$4:$Q$503,'Daily Data'!$Q7)&gt;1,"WARNING","OK"))</f>
        <v>OK</v>
      </c>
      <c r="R7" s="165" t="str">
        <f>IF($A7="","",IF(AND(N('Daily Data'!$K7)&gt;0,N('Daily Data'!$J7)&lt;=0),"WARNING","OK"))</f>
        <v>OK</v>
      </c>
      <c r="S7" s="165">
        <f>IF($A7="","",COUNTIF($D7:$R7,"ERROR"))</f>
        <v>0</v>
      </c>
      <c r="T7" s="165">
        <f>IF($A7="","",COUNTIF($D7:$R7,"WARNING"))</f>
        <v>0</v>
      </c>
      <c r="U7" s="165" t="str">
        <f>IF($A7="","",IF($S7&gt;0,"ERROR",IF($T7&gt;0,"WARNING","PASS")))</f>
        <v>PASS</v>
      </c>
    </row>
    <row r="8" spans="1:21" x14ac:dyDescent="0.3">
      <c r="A8">
        <f>IF(AND('Daily Data'!$A8="",'Daily Data'!$B8=""),"",8)</f>
        <v>8</v>
      </c>
      <c r="B8" s="16">
        <f>IF($A8="","",'Daily Data'!$A8)</f>
        <v>46244</v>
      </c>
      <c r="C8" t="str">
        <f>IF($A8="","",'Daily Data'!$B8)</f>
        <v>EABL</v>
      </c>
      <c r="D8" s="165" t="str">
        <f>IF($A8="","",IF(COUNTIFS('Daily Data'!$B$4:$B$503,'Daily Data'!$B8,'Daily Data'!$A$4:$A$503,'Daily Data'!$A8)&gt;1,"ERROR","OK"))</f>
        <v>OK</v>
      </c>
      <c r="E8" s="165" t="str">
        <f>IF($A8="","",IF('Daily Data'!$B8="","ERROR","OK"))</f>
        <v>OK</v>
      </c>
      <c r="F8" s="165" t="str">
        <f>IF($A8="","",IF(NOT(ISNUMBER('Daily Data'!$A8)),"ERROR","OK"))</f>
        <v>OK</v>
      </c>
      <c r="G8" s="165" t="str">
        <f>IF($A8="","",IF(OR(N('Daily Data'!$E8)&lt;=0,N('Daily Data'!$C8)&lt;0,N('Daily Data'!$D8)&lt;0,N('Daily Data'!$F8)&lt;0,N('Daily Data'!$G8)&lt;0),"ERROR","OK"))</f>
        <v>OK</v>
      </c>
      <c r="H8" s="165" t="str">
        <f>IF($A8="","",IF(N('Daily Data'!$K8)&lt;0,"ERROR","OK"))</f>
        <v>OK</v>
      </c>
      <c r="I8" s="165" t="str">
        <f>IF($A8="","",IF(N('Daily Data'!$I8)&lt;0,"ERROR","OK"))</f>
        <v>OK</v>
      </c>
      <c r="J8" s="165" t="str">
        <f>IF($A8="","",IF(N('Daily Data'!$L8)&lt;0,"ERROR","OK"))</f>
        <v>OK</v>
      </c>
      <c r="K8" s="165" t="str">
        <f>IF($A8="","",IF(N('Daily Data'!$M8)&lt;0,"ERROR","OK"))</f>
        <v>OK</v>
      </c>
      <c r="L8" s="165" t="str">
        <f>IF($A8="","",IF(OR(N('Daily Data'!$F8)=0,N('Daily Data'!$G8)=0),"OK",IF(OR(N('Daily Data'!$E8)&gt;N('Daily Data'!$F8),N('Daily Data'!$E8)&lt;N('Daily Data'!$G8)),"ERROR","OK")))</f>
        <v>OK</v>
      </c>
      <c r="M8" s="165" t="str">
        <f>IF($A8="","",IF(N('Daily Data'!$AK8)&lt;=1,"OK",IF(ROUND(N('Daily Data'!$D8),2)=ROUND(SUMIFS('Daily Data'!$E$4:$E$503,'Daily Data'!$B$4:$B$503,'Daily Data'!$B8,'Daily Data'!$AK$4:$AK$503,'Daily Data'!$AK8-1),2),"OK","WARNING")))</f>
        <v>OK</v>
      </c>
      <c r="N8" s="165" t="str">
        <f>IF($A8="","",IF(N('Daily Data'!$N8)&lt;=0,"WARNING","OK"))</f>
        <v>OK</v>
      </c>
      <c r="O8" s="165" t="str">
        <f>IF($A8="","",IF(AND(ISNUMBER('Daily Data'!$H8),ABS(N('Daily Data'!$H8))&gt;Settings!$C$56),"WARNING","OK"))</f>
        <v>OK</v>
      </c>
      <c r="P8" s="165" t="str">
        <f>IF($A8="","",IF(OR(AND(N('Daily Data'!$K8)=0,N('Daily Data'!$I8)&gt;0),AND(N('Daily Data'!$I8)=0,N('Daily Data'!$K8)&gt;0),AND(N('Daily Data'!$L8)=0,N('Daily Data'!$M8)=0)),"WARNING","OK"))</f>
        <v>OK</v>
      </c>
      <c r="Q8" s="165" t="str">
        <f>IF($A8="","",IF(COUNTIFS('Daily Data'!$B$4:$B$503,'Daily Data'!$B8,'Daily Data'!$A$4:$A$503,'Daily Data'!$A8,'Daily Data'!$Q$4:$Q$503,'Daily Data'!$Q8)&gt;1,"WARNING","OK"))</f>
        <v>OK</v>
      </c>
      <c r="R8" s="165" t="str">
        <f>IF($A8="","",IF(AND(N('Daily Data'!$K8)&gt;0,N('Daily Data'!$J8)&lt;=0),"WARNING","OK"))</f>
        <v>OK</v>
      </c>
      <c r="S8" s="165">
        <f>IF($A8="","",COUNTIF($D8:$R8,"ERROR"))</f>
        <v>0</v>
      </c>
      <c r="T8" s="165">
        <f>IF($A8="","",COUNTIF($D8:$R8,"WARNING"))</f>
        <v>0</v>
      </c>
      <c r="U8" s="165" t="str">
        <f>IF($A8="","",IF($S8&gt;0,"ERROR",IF($T8&gt;0,"WARNING","PASS")))</f>
        <v>PASS</v>
      </c>
    </row>
    <row r="9" spans="1:21" x14ac:dyDescent="0.3">
      <c r="A9">
        <f>IF(AND('Daily Data'!$A9="",'Daily Data'!$B9=""),"",9)</f>
        <v>9</v>
      </c>
      <c r="B9" s="16">
        <f>IF($A9="","",'Daily Data'!$A9)</f>
        <v>46244</v>
      </c>
      <c r="C9" t="str">
        <f>IF($A9="","",'Daily Data'!$B9)</f>
        <v>JATU</v>
      </c>
      <c r="D9" s="165" t="str">
        <f>IF($A9="","",IF(COUNTIFS('Daily Data'!$B$4:$B$503,'Daily Data'!$B9,'Daily Data'!$A$4:$A$503,'Daily Data'!$A9)&gt;1,"ERROR","OK"))</f>
        <v>OK</v>
      </c>
      <c r="E9" s="165" t="str">
        <f>IF($A9="","",IF('Daily Data'!$B9="","ERROR","OK"))</f>
        <v>OK</v>
      </c>
      <c r="F9" s="165" t="str">
        <f>IF($A9="","",IF(NOT(ISNUMBER('Daily Data'!$A9)),"ERROR","OK"))</f>
        <v>OK</v>
      </c>
      <c r="G9" s="165" t="str">
        <f>IF($A9="","",IF(OR(N('Daily Data'!$E9)&lt;=0,N('Daily Data'!$C9)&lt;0,N('Daily Data'!$D9)&lt;0,N('Daily Data'!$F9)&lt;0,N('Daily Data'!$G9)&lt;0),"ERROR","OK"))</f>
        <v>OK</v>
      </c>
      <c r="H9" s="165" t="str">
        <f>IF($A9="","",IF(N('Daily Data'!$K9)&lt;0,"ERROR","OK"))</f>
        <v>OK</v>
      </c>
      <c r="I9" s="165" t="str">
        <f>IF($A9="","",IF(N('Daily Data'!$I9)&lt;0,"ERROR","OK"))</f>
        <v>OK</v>
      </c>
      <c r="J9" s="165" t="str">
        <f>IF($A9="","",IF(N('Daily Data'!$L9)&lt;0,"ERROR","OK"))</f>
        <v>OK</v>
      </c>
      <c r="K9" s="165" t="str">
        <f>IF($A9="","",IF(N('Daily Data'!$M9)&lt;0,"ERROR","OK"))</f>
        <v>OK</v>
      </c>
      <c r="L9" s="165" t="str">
        <f>IF($A9="","",IF(OR(N('Daily Data'!$F9)=0,N('Daily Data'!$G9)=0),"OK",IF(OR(N('Daily Data'!$E9)&gt;N('Daily Data'!$F9),N('Daily Data'!$E9)&lt;N('Daily Data'!$G9)),"ERROR","OK")))</f>
        <v>OK</v>
      </c>
      <c r="M9" s="165" t="str">
        <f>IF($A9="","",IF(N('Daily Data'!$AK9)&lt;=1,"OK",IF(ROUND(N('Daily Data'!$D9),2)=ROUND(SUMIFS('Daily Data'!$E$4:$E$503,'Daily Data'!$B$4:$B$503,'Daily Data'!$B9,'Daily Data'!$AK$4:$AK$503,'Daily Data'!$AK9-1),2),"OK","WARNING")))</f>
        <v>OK</v>
      </c>
      <c r="N9" s="165" t="str">
        <f>IF($A9="","",IF(N('Daily Data'!$N9)&lt;=0,"WARNING","OK"))</f>
        <v>OK</v>
      </c>
      <c r="O9" s="165" t="str">
        <f>IF($A9="","",IF(AND(ISNUMBER('Daily Data'!$H9),ABS(N('Daily Data'!$H9))&gt;Settings!$C$56),"WARNING","OK"))</f>
        <v>OK</v>
      </c>
      <c r="P9" s="165" t="str">
        <f>IF($A9="","",IF(OR(AND(N('Daily Data'!$K9)=0,N('Daily Data'!$I9)&gt;0),AND(N('Daily Data'!$I9)=0,N('Daily Data'!$K9)&gt;0),AND(N('Daily Data'!$L9)=0,N('Daily Data'!$M9)=0)),"WARNING","OK"))</f>
        <v>WARNING</v>
      </c>
      <c r="Q9" s="165" t="str">
        <f>IF($A9="","",IF(COUNTIFS('Daily Data'!$B$4:$B$503,'Daily Data'!$B9,'Daily Data'!$A$4:$A$503,'Daily Data'!$A9,'Daily Data'!$Q$4:$Q$503,'Daily Data'!$Q9)&gt;1,"WARNING","OK"))</f>
        <v>OK</v>
      </c>
      <c r="R9" s="165" t="str">
        <f>IF($A9="","",IF(AND(N('Daily Data'!$K9)&gt;0,N('Daily Data'!$J9)&lt;=0),"WARNING","OK"))</f>
        <v>OK</v>
      </c>
      <c r="S9" s="165">
        <f>IF($A9="","",COUNTIF($D9:$R9,"ERROR"))</f>
        <v>0</v>
      </c>
      <c r="T9" s="165">
        <f>IF($A9="","",COUNTIF($D9:$R9,"WARNING"))</f>
        <v>1</v>
      </c>
      <c r="U9" s="165" t="str">
        <f>IF($A9="","",IF($S9&gt;0,"ERROR",IF($T9&gt;0,"WARNING","PASS")))</f>
        <v>WARNING</v>
      </c>
    </row>
    <row r="10" spans="1:21" x14ac:dyDescent="0.3">
      <c r="A10">
        <f>IF(AND('Daily Data'!$A10="",'Daily Data'!$B10=""),"",10)</f>
        <v>10</v>
      </c>
      <c r="B10" s="16">
        <f>IF($A10="","",'Daily Data'!$A10)</f>
        <v>46244</v>
      </c>
      <c r="C10" t="str">
        <f>IF($A10="","",'Daily Data'!$B10)</f>
        <v>JHL</v>
      </c>
      <c r="D10" s="165" t="str">
        <f>IF($A10="","",IF(COUNTIFS('Daily Data'!$B$4:$B$503,'Daily Data'!$B10,'Daily Data'!$A$4:$A$503,'Daily Data'!$A10)&gt;1,"ERROR","OK"))</f>
        <v>OK</v>
      </c>
      <c r="E10" s="165" t="str">
        <f>IF($A10="","",IF('Daily Data'!$B10="","ERROR","OK"))</f>
        <v>OK</v>
      </c>
      <c r="F10" s="165" t="str">
        <f>IF($A10="","",IF(NOT(ISNUMBER('Daily Data'!$A10)),"ERROR","OK"))</f>
        <v>OK</v>
      </c>
      <c r="G10" s="165" t="str">
        <f>IF($A10="","",IF(OR(N('Daily Data'!$E10)&lt;=0,N('Daily Data'!$C10)&lt;0,N('Daily Data'!$D10)&lt;0,N('Daily Data'!$F10)&lt;0,N('Daily Data'!$G10)&lt;0),"ERROR","OK"))</f>
        <v>OK</v>
      </c>
      <c r="H10" s="165" t="str">
        <f>IF($A10="","",IF(N('Daily Data'!$K10)&lt;0,"ERROR","OK"))</f>
        <v>OK</v>
      </c>
      <c r="I10" s="165" t="str">
        <f>IF($A10="","",IF(N('Daily Data'!$I10)&lt;0,"ERROR","OK"))</f>
        <v>OK</v>
      </c>
      <c r="J10" s="165" t="str">
        <f>IF($A10="","",IF(N('Daily Data'!$L10)&lt;0,"ERROR","OK"))</f>
        <v>OK</v>
      </c>
      <c r="K10" s="165" t="str">
        <f>IF($A10="","",IF(N('Daily Data'!$M10)&lt;0,"ERROR","OK"))</f>
        <v>OK</v>
      </c>
      <c r="L10" s="165" t="str">
        <f>IF($A10="","",IF(OR(N('Daily Data'!$F10)=0,N('Daily Data'!$G10)=0),"OK",IF(OR(N('Daily Data'!$E10)&gt;N('Daily Data'!$F10),N('Daily Data'!$E10)&lt;N('Daily Data'!$G10)),"ERROR","OK")))</f>
        <v>OK</v>
      </c>
      <c r="M10" s="165" t="str">
        <f>IF($A10="","",IF(N('Daily Data'!$AK10)&lt;=1,"OK",IF(ROUND(N('Daily Data'!$D10),2)=ROUND(SUMIFS('Daily Data'!$E$4:$E$503,'Daily Data'!$B$4:$B$503,'Daily Data'!$B10,'Daily Data'!$AK$4:$AK$503,'Daily Data'!$AK10-1),2),"OK","WARNING")))</f>
        <v>OK</v>
      </c>
      <c r="N10" s="165" t="str">
        <f>IF($A10="","",IF(N('Daily Data'!$N10)&lt;=0,"WARNING","OK"))</f>
        <v>OK</v>
      </c>
      <c r="O10" s="165" t="str">
        <f>IF($A10="","",IF(AND(ISNUMBER('Daily Data'!$H10),ABS(N('Daily Data'!$H10))&gt;Settings!$C$56),"WARNING","OK"))</f>
        <v>OK</v>
      </c>
      <c r="P10" s="165" t="str">
        <f>IF($A10="","",IF(OR(AND(N('Daily Data'!$K10)=0,N('Daily Data'!$I10)&gt;0),AND(N('Daily Data'!$I10)=0,N('Daily Data'!$K10)&gt;0),AND(N('Daily Data'!$L10)=0,N('Daily Data'!$M10)=0)),"WARNING","OK"))</f>
        <v>WARNING</v>
      </c>
      <c r="Q10" s="165" t="str">
        <f>IF($A10="","",IF(COUNTIFS('Daily Data'!$B$4:$B$503,'Daily Data'!$B10,'Daily Data'!$A$4:$A$503,'Daily Data'!$A10,'Daily Data'!$Q$4:$Q$503,'Daily Data'!$Q10)&gt;1,"WARNING","OK"))</f>
        <v>OK</v>
      </c>
      <c r="R10" s="165" t="str">
        <f>IF($A10="","",IF(AND(N('Daily Data'!$K10)&gt;0,N('Daily Data'!$J10)&lt;=0),"WARNING","OK"))</f>
        <v>OK</v>
      </c>
      <c r="S10" s="165">
        <f>IF($A10="","",COUNTIF($D10:$R10,"ERROR"))</f>
        <v>0</v>
      </c>
      <c r="T10" s="165">
        <f>IF($A10="","",COUNTIF($D10:$R10,"WARNING"))</f>
        <v>1</v>
      </c>
      <c r="U10" s="165" t="str">
        <f>IF($A10="","",IF($S10&gt;0,"ERROR",IF($T10&gt;0,"WARNING","PASS")))</f>
        <v>WARNING</v>
      </c>
    </row>
    <row r="11" spans="1:21" x14ac:dyDescent="0.3">
      <c r="A11">
        <f>IF(AND('Daily Data'!$A11="",'Daily Data'!$B11=""),"",11)</f>
        <v>11</v>
      </c>
      <c r="B11" s="16">
        <f>IF($A11="","",'Daily Data'!$A11)</f>
        <v>46244</v>
      </c>
      <c r="C11" t="str">
        <f>IF($A11="","",'Daily Data'!$B11)</f>
        <v>KA</v>
      </c>
      <c r="D11" s="165" t="str">
        <f>IF($A11="","",IF(COUNTIFS('Daily Data'!$B$4:$B$503,'Daily Data'!$B11,'Daily Data'!$A$4:$A$503,'Daily Data'!$A11)&gt;1,"ERROR","OK"))</f>
        <v>OK</v>
      </c>
      <c r="E11" s="165" t="str">
        <f>IF($A11="","",IF('Daily Data'!$B11="","ERROR","OK"))</f>
        <v>OK</v>
      </c>
      <c r="F11" s="165" t="str">
        <f>IF($A11="","",IF(NOT(ISNUMBER('Daily Data'!$A11)),"ERROR","OK"))</f>
        <v>OK</v>
      </c>
      <c r="G11" s="165" t="str">
        <f>IF($A11="","",IF(OR(N('Daily Data'!$E11)&lt;=0,N('Daily Data'!$C11)&lt;0,N('Daily Data'!$D11)&lt;0,N('Daily Data'!$F11)&lt;0,N('Daily Data'!$G11)&lt;0),"ERROR","OK"))</f>
        <v>OK</v>
      </c>
      <c r="H11" s="165" t="str">
        <f>IF($A11="","",IF(N('Daily Data'!$K11)&lt;0,"ERROR","OK"))</f>
        <v>OK</v>
      </c>
      <c r="I11" s="165" t="str">
        <f>IF($A11="","",IF(N('Daily Data'!$I11)&lt;0,"ERROR","OK"))</f>
        <v>OK</v>
      </c>
      <c r="J11" s="165" t="str">
        <f>IF($A11="","",IF(N('Daily Data'!$L11)&lt;0,"ERROR","OK"))</f>
        <v>OK</v>
      </c>
      <c r="K11" s="165" t="str">
        <f>IF($A11="","",IF(N('Daily Data'!$M11)&lt;0,"ERROR","OK"))</f>
        <v>OK</v>
      </c>
      <c r="L11" s="165" t="str">
        <f>IF($A11="","",IF(OR(N('Daily Data'!$F11)=0,N('Daily Data'!$G11)=0),"OK",IF(OR(N('Daily Data'!$E11)&gt;N('Daily Data'!$F11),N('Daily Data'!$E11)&lt;N('Daily Data'!$G11)),"ERROR","OK")))</f>
        <v>OK</v>
      </c>
      <c r="M11" s="165" t="str">
        <f>IF($A11="","",IF(N('Daily Data'!$AK11)&lt;=1,"OK",IF(ROUND(N('Daily Data'!$D11),2)=ROUND(SUMIFS('Daily Data'!$E$4:$E$503,'Daily Data'!$B$4:$B$503,'Daily Data'!$B11,'Daily Data'!$AK$4:$AK$503,'Daily Data'!$AK11-1),2),"OK","WARNING")))</f>
        <v>OK</v>
      </c>
      <c r="N11" s="165" t="str">
        <f>IF($A11="","",IF(N('Daily Data'!$N11)&lt;=0,"WARNING","OK"))</f>
        <v>OK</v>
      </c>
      <c r="O11" s="165" t="str">
        <f>IF($A11="","",IF(AND(ISNUMBER('Daily Data'!$H11),ABS(N('Daily Data'!$H11))&gt;Settings!$C$56),"WARNING","OK"))</f>
        <v>OK</v>
      </c>
      <c r="P11" s="165" t="str">
        <f>IF($A11="","",IF(OR(AND(N('Daily Data'!$K11)=0,N('Daily Data'!$I11)&gt;0),AND(N('Daily Data'!$I11)=0,N('Daily Data'!$K11)&gt;0),AND(N('Daily Data'!$L11)=0,N('Daily Data'!$M11)=0)),"WARNING","OK"))</f>
        <v>OK</v>
      </c>
      <c r="Q11" s="165" t="str">
        <f>IF($A11="","",IF(COUNTIFS('Daily Data'!$B$4:$B$503,'Daily Data'!$B11,'Daily Data'!$A$4:$A$503,'Daily Data'!$A11,'Daily Data'!$Q$4:$Q$503,'Daily Data'!$Q11)&gt;1,"WARNING","OK"))</f>
        <v>OK</v>
      </c>
      <c r="R11" s="165" t="str">
        <f>IF($A11="","",IF(AND(N('Daily Data'!$K11)&gt;0,N('Daily Data'!$J11)&lt;=0),"WARNING","OK"))</f>
        <v>OK</v>
      </c>
      <c r="S11" s="165">
        <f>IF($A11="","",COUNTIF($D11:$R11,"ERROR"))</f>
        <v>0</v>
      </c>
      <c r="T11" s="165">
        <f>IF($A11="","",COUNTIF($D11:$R11,"WARNING"))</f>
        <v>0</v>
      </c>
      <c r="U11" s="165" t="str">
        <f>IF($A11="","",IF($S11&gt;0,"ERROR",IF($T11&gt;0,"WARNING","PASS")))</f>
        <v>PASS</v>
      </c>
    </row>
    <row r="12" spans="1:21" x14ac:dyDescent="0.3">
      <c r="A12">
        <f>IF(AND('Daily Data'!$A12="",'Daily Data'!$B12=""),"",12)</f>
        <v>12</v>
      </c>
      <c r="B12" s="16">
        <f>IF($A12="","",'Daily Data'!$A12)</f>
        <v>46244</v>
      </c>
      <c r="C12" t="str">
        <f>IF($A12="","",'Daily Data'!$B12)</f>
        <v>KCB</v>
      </c>
      <c r="D12" s="165" t="str">
        <f>IF($A12="","",IF(COUNTIFS('Daily Data'!$B$4:$B$503,'Daily Data'!$B12,'Daily Data'!$A$4:$A$503,'Daily Data'!$A12)&gt;1,"ERROR","OK"))</f>
        <v>OK</v>
      </c>
      <c r="E12" s="165" t="str">
        <f>IF($A12="","",IF('Daily Data'!$B12="","ERROR","OK"))</f>
        <v>OK</v>
      </c>
      <c r="F12" s="165" t="str">
        <f>IF($A12="","",IF(NOT(ISNUMBER('Daily Data'!$A12)),"ERROR","OK"))</f>
        <v>OK</v>
      </c>
      <c r="G12" s="165" t="str">
        <f>IF($A12="","",IF(OR(N('Daily Data'!$E12)&lt;=0,N('Daily Data'!$C12)&lt;0,N('Daily Data'!$D12)&lt;0,N('Daily Data'!$F12)&lt;0,N('Daily Data'!$G12)&lt;0),"ERROR","OK"))</f>
        <v>OK</v>
      </c>
      <c r="H12" s="165" t="str">
        <f>IF($A12="","",IF(N('Daily Data'!$K12)&lt;0,"ERROR","OK"))</f>
        <v>OK</v>
      </c>
      <c r="I12" s="165" t="str">
        <f>IF($A12="","",IF(N('Daily Data'!$I12)&lt;0,"ERROR","OK"))</f>
        <v>OK</v>
      </c>
      <c r="J12" s="165" t="str">
        <f>IF($A12="","",IF(N('Daily Data'!$L12)&lt;0,"ERROR","OK"))</f>
        <v>OK</v>
      </c>
      <c r="K12" s="165" t="str">
        <f>IF($A12="","",IF(N('Daily Data'!$M12)&lt;0,"ERROR","OK"))</f>
        <v>OK</v>
      </c>
      <c r="L12" s="165" t="str">
        <f>IF($A12="","",IF(OR(N('Daily Data'!$F12)=0,N('Daily Data'!$G12)=0),"OK",IF(OR(N('Daily Data'!$E12)&gt;N('Daily Data'!$F12),N('Daily Data'!$E12)&lt;N('Daily Data'!$G12)),"ERROR","OK")))</f>
        <v>OK</v>
      </c>
      <c r="M12" s="165" t="str">
        <f>IF($A12="","",IF(N('Daily Data'!$AK12)&lt;=1,"OK",IF(ROUND(N('Daily Data'!$D12),2)=ROUND(SUMIFS('Daily Data'!$E$4:$E$503,'Daily Data'!$B$4:$B$503,'Daily Data'!$B12,'Daily Data'!$AK$4:$AK$503,'Daily Data'!$AK12-1),2),"OK","WARNING")))</f>
        <v>OK</v>
      </c>
      <c r="N12" s="165" t="str">
        <f>IF($A12="","",IF(N('Daily Data'!$N12)&lt;=0,"WARNING","OK"))</f>
        <v>OK</v>
      </c>
      <c r="O12" s="165" t="str">
        <f>IF($A12="","",IF(AND(ISNUMBER('Daily Data'!$H12),ABS(N('Daily Data'!$H12))&gt;Settings!$C$56),"WARNING","OK"))</f>
        <v>OK</v>
      </c>
      <c r="P12" s="165" t="str">
        <f>IF($A12="","",IF(OR(AND(N('Daily Data'!$K12)=0,N('Daily Data'!$I12)&gt;0),AND(N('Daily Data'!$I12)=0,N('Daily Data'!$K12)&gt;0),AND(N('Daily Data'!$L12)=0,N('Daily Data'!$M12)=0)),"WARNING","OK"))</f>
        <v>OK</v>
      </c>
      <c r="Q12" s="165" t="str">
        <f>IF($A12="","",IF(COUNTIFS('Daily Data'!$B$4:$B$503,'Daily Data'!$B12,'Daily Data'!$A$4:$A$503,'Daily Data'!$A12,'Daily Data'!$Q$4:$Q$503,'Daily Data'!$Q12)&gt;1,"WARNING","OK"))</f>
        <v>OK</v>
      </c>
      <c r="R12" s="165" t="str">
        <f>IF($A12="","",IF(AND(N('Daily Data'!$K12)&gt;0,N('Daily Data'!$J12)&lt;=0),"WARNING","OK"))</f>
        <v>OK</v>
      </c>
      <c r="S12" s="165">
        <f>IF($A12="","",COUNTIF($D12:$R12,"ERROR"))</f>
        <v>0</v>
      </c>
      <c r="T12" s="165">
        <f>IF($A12="","",COUNTIF($D12:$R12,"WARNING"))</f>
        <v>0</v>
      </c>
      <c r="U12" s="165" t="str">
        <f>IF($A12="","",IF($S12&gt;0,"ERROR",IF($T12&gt;0,"WARNING","PASS")))</f>
        <v>PASS</v>
      </c>
    </row>
    <row r="13" spans="1:21" x14ac:dyDescent="0.3">
      <c r="A13">
        <f>IF(AND('Daily Data'!$A13="",'Daily Data'!$B13=""),"",13)</f>
        <v>13</v>
      </c>
      <c r="B13" s="16">
        <f>IF($A13="","",'Daily Data'!$A13)</f>
        <v>46244</v>
      </c>
      <c r="C13" t="str">
        <f>IF($A13="","",'Daily Data'!$B13)</f>
        <v>MBP</v>
      </c>
      <c r="D13" s="165" t="str">
        <f>IF($A13="","",IF(COUNTIFS('Daily Data'!$B$4:$B$503,'Daily Data'!$B13,'Daily Data'!$A$4:$A$503,'Daily Data'!$A13)&gt;1,"ERROR","OK"))</f>
        <v>OK</v>
      </c>
      <c r="E13" s="165" t="str">
        <f>IF($A13="","",IF('Daily Data'!$B13="","ERROR","OK"))</f>
        <v>OK</v>
      </c>
      <c r="F13" s="165" t="str">
        <f>IF($A13="","",IF(NOT(ISNUMBER('Daily Data'!$A13)),"ERROR","OK"))</f>
        <v>OK</v>
      </c>
      <c r="G13" s="165" t="str">
        <f>IF($A13="","",IF(OR(N('Daily Data'!$E13)&lt;=0,N('Daily Data'!$C13)&lt;0,N('Daily Data'!$D13)&lt;0,N('Daily Data'!$F13)&lt;0,N('Daily Data'!$G13)&lt;0),"ERROR","OK"))</f>
        <v>OK</v>
      </c>
      <c r="H13" s="165" t="str">
        <f>IF($A13="","",IF(N('Daily Data'!$K13)&lt;0,"ERROR","OK"))</f>
        <v>OK</v>
      </c>
      <c r="I13" s="165" t="str">
        <f>IF($A13="","",IF(N('Daily Data'!$I13)&lt;0,"ERROR","OK"))</f>
        <v>OK</v>
      </c>
      <c r="J13" s="165" t="str">
        <f>IF($A13="","",IF(N('Daily Data'!$L13)&lt;0,"ERROR","OK"))</f>
        <v>OK</v>
      </c>
      <c r="K13" s="165" t="str">
        <f>IF($A13="","",IF(N('Daily Data'!$M13)&lt;0,"ERROR","OK"))</f>
        <v>OK</v>
      </c>
      <c r="L13" s="165" t="str">
        <f>IF($A13="","",IF(OR(N('Daily Data'!$F13)=0,N('Daily Data'!$G13)=0),"OK",IF(OR(N('Daily Data'!$E13)&gt;N('Daily Data'!$F13),N('Daily Data'!$E13)&lt;N('Daily Data'!$G13)),"ERROR","OK")))</f>
        <v>OK</v>
      </c>
      <c r="M13" s="165" t="str">
        <f>IF($A13="","",IF(N('Daily Data'!$AK13)&lt;=1,"OK",IF(ROUND(N('Daily Data'!$D13),2)=ROUND(SUMIFS('Daily Data'!$E$4:$E$503,'Daily Data'!$B$4:$B$503,'Daily Data'!$B13,'Daily Data'!$AK$4:$AK$503,'Daily Data'!$AK13-1),2),"OK","WARNING")))</f>
        <v>OK</v>
      </c>
      <c r="N13" s="165" t="str">
        <f>IF($A13="","",IF(N('Daily Data'!$N13)&lt;=0,"WARNING","OK"))</f>
        <v>OK</v>
      </c>
      <c r="O13" s="165" t="str">
        <f>IF($A13="","",IF(AND(ISNUMBER('Daily Data'!$H13),ABS(N('Daily Data'!$H13))&gt;Settings!$C$56),"WARNING","OK"))</f>
        <v>OK</v>
      </c>
      <c r="P13" s="165" t="str">
        <f>IF($A13="","",IF(OR(AND(N('Daily Data'!$K13)=0,N('Daily Data'!$I13)&gt;0),AND(N('Daily Data'!$I13)=0,N('Daily Data'!$K13)&gt;0),AND(N('Daily Data'!$L13)=0,N('Daily Data'!$M13)=0)),"WARNING","OK"))</f>
        <v>OK</v>
      </c>
      <c r="Q13" s="165" t="str">
        <f>IF($A13="","",IF(COUNTIFS('Daily Data'!$B$4:$B$503,'Daily Data'!$B13,'Daily Data'!$A$4:$A$503,'Daily Data'!$A13,'Daily Data'!$Q$4:$Q$503,'Daily Data'!$Q13)&gt;1,"WARNING","OK"))</f>
        <v>OK</v>
      </c>
      <c r="R13" s="165" t="str">
        <f>IF($A13="","",IF(AND(N('Daily Data'!$K13)&gt;0,N('Daily Data'!$J13)&lt;=0),"WARNING","OK"))</f>
        <v>OK</v>
      </c>
      <c r="S13" s="165">
        <f>IF($A13="","",COUNTIF($D13:$R13,"ERROR"))</f>
        <v>0</v>
      </c>
      <c r="T13" s="165">
        <f>IF($A13="","",COUNTIF($D13:$R13,"WARNING"))</f>
        <v>0</v>
      </c>
      <c r="U13" s="165" t="str">
        <f>IF($A13="","",IF($S13&gt;0,"ERROR",IF($T13&gt;0,"WARNING","PASS")))</f>
        <v>PASS</v>
      </c>
    </row>
    <row r="14" spans="1:21" x14ac:dyDescent="0.3">
      <c r="A14">
        <f>IF(AND('Daily Data'!$A14="",'Daily Data'!$B14=""),"",14)</f>
        <v>14</v>
      </c>
      <c r="B14" s="16">
        <f>IF($A14="","",'Daily Data'!$A14)</f>
        <v>46244</v>
      </c>
      <c r="C14" t="str">
        <f>IF($A14="","",'Daily Data'!$B14)</f>
        <v>MCB</v>
      </c>
      <c r="D14" s="165" t="str">
        <f>IF($A14="","",IF(COUNTIFS('Daily Data'!$B$4:$B$503,'Daily Data'!$B14,'Daily Data'!$A$4:$A$503,'Daily Data'!$A14)&gt;1,"ERROR","OK"))</f>
        <v>OK</v>
      </c>
      <c r="E14" s="165" t="str">
        <f>IF($A14="","",IF('Daily Data'!$B14="","ERROR","OK"))</f>
        <v>OK</v>
      </c>
      <c r="F14" s="165" t="str">
        <f>IF($A14="","",IF(NOT(ISNUMBER('Daily Data'!$A14)),"ERROR","OK"))</f>
        <v>OK</v>
      </c>
      <c r="G14" s="165" t="str">
        <f>IF($A14="","",IF(OR(N('Daily Data'!$E14)&lt;=0,N('Daily Data'!$C14)&lt;0,N('Daily Data'!$D14)&lt;0,N('Daily Data'!$F14)&lt;0,N('Daily Data'!$G14)&lt;0),"ERROR","OK"))</f>
        <v>OK</v>
      </c>
      <c r="H14" s="165" t="str">
        <f>IF($A14="","",IF(N('Daily Data'!$K14)&lt;0,"ERROR","OK"))</f>
        <v>OK</v>
      </c>
      <c r="I14" s="165" t="str">
        <f>IF($A14="","",IF(N('Daily Data'!$I14)&lt;0,"ERROR","OK"))</f>
        <v>OK</v>
      </c>
      <c r="J14" s="165" t="str">
        <f>IF($A14="","",IF(N('Daily Data'!$L14)&lt;0,"ERROR","OK"))</f>
        <v>OK</v>
      </c>
      <c r="K14" s="165" t="str">
        <f>IF($A14="","",IF(N('Daily Data'!$M14)&lt;0,"ERROR","OK"))</f>
        <v>OK</v>
      </c>
      <c r="L14" s="165" t="str">
        <f>IF($A14="","",IF(OR(N('Daily Data'!$F14)=0,N('Daily Data'!$G14)=0),"OK",IF(OR(N('Daily Data'!$E14)&gt;N('Daily Data'!$F14),N('Daily Data'!$E14)&lt;N('Daily Data'!$G14)),"ERROR","OK")))</f>
        <v>OK</v>
      </c>
      <c r="M14" s="165" t="str">
        <f>IF($A14="","",IF(N('Daily Data'!$AK14)&lt;=1,"OK",IF(ROUND(N('Daily Data'!$D14),2)=ROUND(SUMIFS('Daily Data'!$E$4:$E$503,'Daily Data'!$B$4:$B$503,'Daily Data'!$B14,'Daily Data'!$AK$4:$AK$503,'Daily Data'!$AK14-1),2),"OK","WARNING")))</f>
        <v>OK</v>
      </c>
      <c r="N14" s="165" t="str">
        <f>IF($A14="","",IF(N('Daily Data'!$N14)&lt;=0,"WARNING","OK"))</f>
        <v>OK</v>
      </c>
      <c r="O14" s="165" t="str">
        <f>IF($A14="","",IF(AND(ISNUMBER('Daily Data'!$H14),ABS(N('Daily Data'!$H14))&gt;Settings!$C$56),"WARNING","OK"))</f>
        <v>OK</v>
      </c>
      <c r="P14" s="165" t="str">
        <f>IF($A14="","",IF(OR(AND(N('Daily Data'!$K14)=0,N('Daily Data'!$I14)&gt;0),AND(N('Daily Data'!$I14)=0,N('Daily Data'!$K14)&gt;0),AND(N('Daily Data'!$L14)=0,N('Daily Data'!$M14)=0)),"WARNING","OK"))</f>
        <v>OK</v>
      </c>
      <c r="Q14" s="165" t="str">
        <f>IF($A14="","",IF(COUNTIFS('Daily Data'!$B$4:$B$503,'Daily Data'!$B14,'Daily Data'!$A$4:$A$503,'Daily Data'!$A14,'Daily Data'!$Q$4:$Q$503,'Daily Data'!$Q14)&gt;1,"WARNING","OK"))</f>
        <v>OK</v>
      </c>
      <c r="R14" s="165" t="str">
        <f>IF($A14="","",IF(AND(N('Daily Data'!$K14)&gt;0,N('Daily Data'!$J14)&lt;=0),"WARNING","OK"))</f>
        <v>OK</v>
      </c>
      <c r="S14" s="165">
        <f>IF($A14="","",COUNTIF($D14:$R14,"ERROR"))</f>
        <v>0</v>
      </c>
      <c r="T14" s="165">
        <f>IF($A14="","",COUNTIF($D14:$R14,"WARNING"))</f>
        <v>0</v>
      </c>
      <c r="U14" s="165" t="str">
        <f>IF($A14="","",IF($S14&gt;0,"ERROR",IF($T14&gt;0,"WARNING","PASS")))</f>
        <v>PASS</v>
      </c>
    </row>
    <row r="15" spans="1:21" x14ac:dyDescent="0.3">
      <c r="A15">
        <f>IF(AND('Daily Data'!$A15="",'Daily Data'!$B15=""),"",15)</f>
        <v>15</v>
      </c>
      <c r="B15" s="16">
        <f>IF($A15="","",'Daily Data'!$A15)</f>
        <v>46244</v>
      </c>
      <c r="C15" t="str">
        <f>IF($A15="","",'Daily Data'!$B15)</f>
        <v>MKCB</v>
      </c>
      <c r="D15" s="165" t="str">
        <f>IF($A15="","",IF(COUNTIFS('Daily Data'!$B$4:$B$503,'Daily Data'!$B15,'Daily Data'!$A$4:$A$503,'Daily Data'!$A15)&gt;1,"ERROR","OK"))</f>
        <v>OK</v>
      </c>
      <c r="E15" s="165" t="str">
        <f>IF($A15="","",IF('Daily Data'!$B15="","ERROR","OK"))</f>
        <v>OK</v>
      </c>
      <c r="F15" s="165" t="str">
        <f>IF($A15="","",IF(NOT(ISNUMBER('Daily Data'!$A15)),"ERROR","OK"))</f>
        <v>OK</v>
      </c>
      <c r="G15" s="165" t="str">
        <f>IF($A15="","",IF(OR(N('Daily Data'!$E15)&lt;=0,N('Daily Data'!$C15)&lt;0,N('Daily Data'!$D15)&lt;0,N('Daily Data'!$F15)&lt;0,N('Daily Data'!$G15)&lt;0),"ERROR","OK"))</f>
        <v>OK</v>
      </c>
      <c r="H15" s="165" t="str">
        <f>IF($A15="","",IF(N('Daily Data'!$K15)&lt;0,"ERROR","OK"))</f>
        <v>OK</v>
      </c>
      <c r="I15" s="165" t="str">
        <f>IF($A15="","",IF(N('Daily Data'!$I15)&lt;0,"ERROR","OK"))</f>
        <v>OK</v>
      </c>
      <c r="J15" s="165" t="str">
        <f>IF($A15="","",IF(N('Daily Data'!$L15)&lt;0,"ERROR","OK"))</f>
        <v>OK</v>
      </c>
      <c r="K15" s="165" t="str">
        <f>IF($A15="","",IF(N('Daily Data'!$M15)&lt;0,"ERROR","OK"))</f>
        <v>OK</v>
      </c>
      <c r="L15" s="165" t="str">
        <f>IF($A15="","",IF(OR(N('Daily Data'!$F15)=0,N('Daily Data'!$G15)=0),"OK",IF(OR(N('Daily Data'!$E15)&gt;N('Daily Data'!$F15),N('Daily Data'!$E15)&lt;N('Daily Data'!$G15)),"ERROR","OK")))</f>
        <v>OK</v>
      </c>
      <c r="M15" s="165" t="str">
        <f>IF($A15="","",IF(N('Daily Data'!$AK15)&lt;=1,"OK",IF(ROUND(N('Daily Data'!$D15),2)=ROUND(SUMIFS('Daily Data'!$E$4:$E$503,'Daily Data'!$B$4:$B$503,'Daily Data'!$B15,'Daily Data'!$AK$4:$AK$503,'Daily Data'!$AK15-1),2),"OK","WARNING")))</f>
        <v>OK</v>
      </c>
      <c r="N15" s="165" t="str">
        <f>IF($A15="","",IF(N('Daily Data'!$N15)&lt;=0,"WARNING","OK"))</f>
        <v>OK</v>
      </c>
      <c r="O15" s="165" t="str">
        <f>IF($A15="","",IF(AND(ISNUMBER('Daily Data'!$H15),ABS(N('Daily Data'!$H15))&gt;Settings!$C$56),"WARNING","OK"))</f>
        <v>OK</v>
      </c>
      <c r="P15" s="165" t="str">
        <f>IF($A15="","",IF(OR(AND(N('Daily Data'!$K15)=0,N('Daily Data'!$I15)&gt;0),AND(N('Daily Data'!$I15)=0,N('Daily Data'!$K15)&gt;0),AND(N('Daily Data'!$L15)=0,N('Daily Data'!$M15)=0)),"WARNING","OK"))</f>
        <v>OK</v>
      </c>
      <c r="Q15" s="165" t="str">
        <f>IF($A15="","",IF(COUNTIFS('Daily Data'!$B$4:$B$503,'Daily Data'!$B15,'Daily Data'!$A$4:$A$503,'Daily Data'!$A15,'Daily Data'!$Q$4:$Q$503,'Daily Data'!$Q15)&gt;1,"WARNING","OK"))</f>
        <v>OK</v>
      </c>
      <c r="R15" s="165" t="str">
        <f>IF($A15="","",IF(AND(N('Daily Data'!$K15)&gt;0,N('Daily Data'!$J15)&lt;=0),"WARNING","OK"))</f>
        <v>OK</v>
      </c>
      <c r="S15" s="165">
        <f>IF($A15="","",COUNTIF($D15:$R15,"ERROR"))</f>
        <v>0</v>
      </c>
      <c r="T15" s="165">
        <f>IF($A15="","",COUNTIF($D15:$R15,"WARNING"))</f>
        <v>0</v>
      </c>
      <c r="U15" s="165" t="str">
        <f>IF($A15="","",IF($S15&gt;0,"ERROR",IF($T15&gt;0,"WARNING","PASS")))</f>
        <v>PASS</v>
      </c>
    </row>
    <row r="16" spans="1:21" x14ac:dyDescent="0.3">
      <c r="A16">
        <f>IF(AND('Daily Data'!$A16="",'Daily Data'!$B16=""),"",16)</f>
        <v>16</v>
      </c>
      <c r="B16" s="16">
        <f>IF($A16="","",'Daily Data'!$A16)</f>
        <v>46244</v>
      </c>
      <c r="C16" t="str">
        <f>IF($A16="","",'Daily Data'!$B16)</f>
        <v>MUCOBA</v>
      </c>
      <c r="D16" s="165" t="str">
        <f>IF($A16="","",IF(COUNTIFS('Daily Data'!$B$4:$B$503,'Daily Data'!$B16,'Daily Data'!$A$4:$A$503,'Daily Data'!$A16)&gt;1,"ERROR","OK"))</f>
        <v>OK</v>
      </c>
      <c r="E16" s="165" t="str">
        <f>IF($A16="","",IF('Daily Data'!$B16="","ERROR","OK"))</f>
        <v>OK</v>
      </c>
      <c r="F16" s="165" t="str">
        <f>IF($A16="","",IF(NOT(ISNUMBER('Daily Data'!$A16)),"ERROR","OK"))</f>
        <v>OK</v>
      </c>
      <c r="G16" s="165" t="str">
        <f>IF($A16="","",IF(OR(N('Daily Data'!$E16)&lt;=0,N('Daily Data'!$C16)&lt;0,N('Daily Data'!$D16)&lt;0,N('Daily Data'!$F16)&lt;0,N('Daily Data'!$G16)&lt;0),"ERROR","OK"))</f>
        <v>OK</v>
      </c>
      <c r="H16" s="165" t="str">
        <f>IF($A16="","",IF(N('Daily Data'!$K16)&lt;0,"ERROR","OK"))</f>
        <v>OK</v>
      </c>
      <c r="I16" s="165" t="str">
        <f>IF($A16="","",IF(N('Daily Data'!$I16)&lt;0,"ERROR","OK"))</f>
        <v>OK</v>
      </c>
      <c r="J16" s="165" t="str">
        <f>IF($A16="","",IF(N('Daily Data'!$L16)&lt;0,"ERROR","OK"))</f>
        <v>OK</v>
      </c>
      <c r="K16" s="165" t="str">
        <f>IF($A16="","",IF(N('Daily Data'!$M16)&lt;0,"ERROR","OK"))</f>
        <v>OK</v>
      </c>
      <c r="L16" s="165" t="str">
        <f>IF($A16="","",IF(OR(N('Daily Data'!$F16)=0,N('Daily Data'!$G16)=0),"OK",IF(OR(N('Daily Data'!$E16)&gt;N('Daily Data'!$F16),N('Daily Data'!$E16)&lt;N('Daily Data'!$G16)),"ERROR","OK")))</f>
        <v>OK</v>
      </c>
      <c r="M16" s="165" t="str">
        <f>IF($A16="","",IF(N('Daily Data'!$AK16)&lt;=1,"OK",IF(ROUND(N('Daily Data'!$D16),2)=ROUND(SUMIFS('Daily Data'!$E$4:$E$503,'Daily Data'!$B$4:$B$503,'Daily Data'!$B16,'Daily Data'!$AK$4:$AK$503,'Daily Data'!$AK16-1),2),"OK","WARNING")))</f>
        <v>OK</v>
      </c>
      <c r="N16" s="165" t="str">
        <f>IF($A16="","",IF(N('Daily Data'!$N16)&lt;=0,"WARNING","OK"))</f>
        <v>OK</v>
      </c>
      <c r="O16" s="165" t="str">
        <f>IF($A16="","",IF(AND(ISNUMBER('Daily Data'!$H16),ABS(N('Daily Data'!$H16))&gt;Settings!$C$56),"WARNING","OK"))</f>
        <v>OK</v>
      </c>
      <c r="P16" s="165" t="str">
        <f>IF($A16="","",IF(OR(AND(N('Daily Data'!$K16)=0,N('Daily Data'!$I16)&gt;0),AND(N('Daily Data'!$I16)=0,N('Daily Data'!$K16)&gt;0),AND(N('Daily Data'!$L16)=0,N('Daily Data'!$M16)=0)),"WARNING","OK"))</f>
        <v>OK</v>
      </c>
      <c r="Q16" s="165" t="str">
        <f>IF($A16="","",IF(COUNTIFS('Daily Data'!$B$4:$B$503,'Daily Data'!$B16,'Daily Data'!$A$4:$A$503,'Daily Data'!$A16,'Daily Data'!$Q$4:$Q$503,'Daily Data'!$Q16)&gt;1,"WARNING","OK"))</f>
        <v>OK</v>
      </c>
      <c r="R16" s="165" t="str">
        <f>IF($A16="","",IF(AND(N('Daily Data'!$K16)&gt;0,N('Daily Data'!$J16)&lt;=0),"WARNING","OK"))</f>
        <v>OK</v>
      </c>
      <c r="S16" s="165">
        <f>IF($A16="","",COUNTIF($D16:$R16,"ERROR"))</f>
        <v>0</v>
      </c>
      <c r="T16" s="165">
        <f>IF($A16="","",COUNTIF($D16:$R16,"WARNING"))</f>
        <v>0</v>
      </c>
      <c r="U16" s="165" t="str">
        <f>IF($A16="","",IF($S16&gt;0,"ERROR",IF($T16&gt;0,"WARNING","PASS")))</f>
        <v>PASS</v>
      </c>
    </row>
    <row r="17" spans="1:21" x14ac:dyDescent="0.3">
      <c r="A17">
        <f>IF(AND('Daily Data'!$A17="",'Daily Data'!$B17=""),"",17)</f>
        <v>17</v>
      </c>
      <c r="B17" s="16">
        <f>IF($A17="","",'Daily Data'!$A17)</f>
        <v>46244</v>
      </c>
      <c r="C17" t="str">
        <f>IF($A17="","",'Daily Data'!$B17)</f>
        <v>NICO</v>
      </c>
      <c r="D17" s="165" t="str">
        <f>IF($A17="","",IF(COUNTIFS('Daily Data'!$B$4:$B$503,'Daily Data'!$B17,'Daily Data'!$A$4:$A$503,'Daily Data'!$A17)&gt;1,"ERROR","OK"))</f>
        <v>OK</v>
      </c>
      <c r="E17" s="165" t="str">
        <f>IF($A17="","",IF('Daily Data'!$B17="","ERROR","OK"))</f>
        <v>OK</v>
      </c>
      <c r="F17" s="165" t="str">
        <f>IF($A17="","",IF(NOT(ISNUMBER('Daily Data'!$A17)),"ERROR","OK"))</f>
        <v>OK</v>
      </c>
      <c r="G17" s="165" t="str">
        <f>IF($A17="","",IF(OR(N('Daily Data'!$E17)&lt;=0,N('Daily Data'!$C17)&lt;0,N('Daily Data'!$D17)&lt;0,N('Daily Data'!$F17)&lt;0,N('Daily Data'!$G17)&lt;0),"ERROR","OK"))</f>
        <v>OK</v>
      </c>
      <c r="H17" s="165" t="str">
        <f>IF($A17="","",IF(N('Daily Data'!$K17)&lt;0,"ERROR","OK"))</f>
        <v>OK</v>
      </c>
      <c r="I17" s="165" t="str">
        <f>IF($A17="","",IF(N('Daily Data'!$I17)&lt;0,"ERROR","OK"))</f>
        <v>OK</v>
      </c>
      <c r="J17" s="165" t="str">
        <f>IF($A17="","",IF(N('Daily Data'!$L17)&lt;0,"ERROR","OK"))</f>
        <v>OK</v>
      </c>
      <c r="K17" s="165" t="str">
        <f>IF($A17="","",IF(N('Daily Data'!$M17)&lt;0,"ERROR","OK"))</f>
        <v>OK</v>
      </c>
      <c r="L17" s="165" t="str">
        <f>IF($A17="","",IF(OR(N('Daily Data'!$F17)=0,N('Daily Data'!$G17)=0),"OK",IF(OR(N('Daily Data'!$E17)&gt;N('Daily Data'!$F17),N('Daily Data'!$E17)&lt;N('Daily Data'!$G17)),"ERROR","OK")))</f>
        <v>OK</v>
      </c>
      <c r="M17" s="165" t="str">
        <f>IF($A17="","",IF(N('Daily Data'!$AK17)&lt;=1,"OK",IF(ROUND(N('Daily Data'!$D17),2)=ROUND(SUMIFS('Daily Data'!$E$4:$E$503,'Daily Data'!$B$4:$B$503,'Daily Data'!$B17,'Daily Data'!$AK$4:$AK$503,'Daily Data'!$AK17-1),2),"OK","WARNING")))</f>
        <v>OK</v>
      </c>
      <c r="N17" s="165" t="str">
        <f>IF($A17="","",IF(N('Daily Data'!$N17)&lt;=0,"WARNING","OK"))</f>
        <v>OK</v>
      </c>
      <c r="O17" s="165" t="str">
        <f>IF($A17="","",IF(AND(ISNUMBER('Daily Data'!$H17),ABS(N('Daily Data'!$H17))&gt;Settings!$C$56),"WARNING","OK"))</f>
        <v>OK</v>
      </c>
      <c r="P17" s="165" t="str">
        <f>IF($A17="","",IF(OR(AND(N('Daily Data'!$K17)=0,N('Daily Data'!$I17)&gt;0),AND(N('Daily Data'!$I17)=0,N('Daily Data'!$K17)&gt;0),AND(N('Daily Data'!$L17)=0,N('Daily Data'!$M17)=0)),"WARNING","OK"))</f>
        <v>OK</v>
      </c>
      <c r="Q17" s="165" t="str">
        <f>IF($A17="","",IF(COUNTIFS('Daily Data'!$B$4:$B$503,'Daily Data'!$B17,'Daily Data'!$A$4:$A$503,'Daily Data'!$A17,'Daily Data'!$Q$4:$Q$503,'Daily Data'!$Q17)&gt;1,"WARNING","OK"))</f>
        <v>OK</v>
      </c>
      <c r="R17" s="165" t="str">
        <f>IF($A17="","",IF(AND(N('Daily Data'!$K17)&gt;0,N('Daily Data'!$J17)&lt;=0),"WARNING","OK"))</f>
        <v>OK</v>
      </c>
      <c r="S17" s="165">
        <f>IF($A17="","",COUNTIF($D17:$R17,"ERROR"))</f>
        <v>0</v>
      </c>
      <c r="T17" s="165">
        <f>IF($A17="","",COUNTIF($D17:$R17,"WARNING"))</f>
        <v>0</v>
      </c>
      <c r="U17" s="165" t="str">
        <f>IF($A17="","",IF($S17&gt;0,"ERROR",IF($T17&gt;0,"WARNING","PASS")))</f>
        <v>PASS</v>
      </c>
    </row>
    <row r="18" spans="1:21" x14ac:dyDescent="0.3">
      <c r="A18">
        <f>IF(AND('Daily Data'!$A18="",'Daily Data'!$B18=""),"",18)</f>
        <v>18</v>
      </c>
      <c r="B18" s="16">
        <f>IF($A18="","",'Daily Data'!$A18)</f>
        <v>46244</v>
      </c>
      <c r="C18" t="str">
        <f>IF($A18="","",'Daily Data'!$B18)</f>
        <v>NMB</v>
      </c>
      <c r="D18" s="165" t="str">
        <f>IF($A18="","",IF(COUNTIFS('Daily Data'!$B$4:$B$503,'Daily Data'!$B18,'Daily Data'!$A$4:$A$503,'Daily Data'!$A18)&gt;1,"ERROR","OK"))</f>
        <v>OK</v>
      </c>
      <c r="E18" s="165" t="str">
        <f>IF($A18="","",IF('Daily Data'!$B18="","ERROR","OK"))</f>
        <v>OK</v>
      </c>
      <c r="F18" s="165" t="str">
        <f>IF($A18="","",IF(NOT(ISNUMBER('Daily Data'!$A18)),"ERROR","OK"))</f>
        <v>OK</v>
      </c>
      <c r="G18" s="165" t="str">
        <f>IF($A18="","",IF(OR(N('Daily Data'!$E18)&lt;=0,N('Daily Data'!$C18)&lt;0,N('Daily Data'!$D18)&lt;0,N('Daily Data'!$F18)&lt;0,N('Daily Data'!$G18)&lt;0),"ERROR","OK"))</f>
        <v>OK</v>
      </c>
      <c r="H18" s="165" t="str">
        <f>IF($A18="","",IF(N('Daily Data'!$K18)&lt;0,"ERROR","OK"))</f>
        <v>OK</v>
      </c>
      <c r="I18" s="165" t="str">
        <f>IF($A18="","",IF(N('Daily Data'!$I18)&lt;0,"ERROR","OK"))</f>
        <v>OK</v>
      </c>
      <c r="J18" s="165" t="str">
        <f>IF($A18="","",IF(N('Daily Data'!$L18)&lt;0,"ERROR","OK"))</f>
        <v>OK</v>
      </c>
      <c r="K18" s="165" t="str">
        <f>IF($A18="","",IF(N('Daily Data'!$M18)&lt;0,"ERROR","OK"))</f>
        <v>OK</v>
      </c>
      <c r="L18" s="165" t="str">
        <f>IF($A18="","",IF(OR(N('Daily Data'!$F18)=0,N('Daily Data'!$G18)=0),"OK",IF(OR(N('Daily Data'!$E18)&gt;N('Daily Data'!$F18),N('Daily Data'!$E18)&lt;N('Daily Data'!$G18)),"ERROR","OK")))</f>
        <v>OK</v>
      </c>
      <c r="M18" s="165" t="str">
        <f>IF($A18="","",IF(N('Daily Data'!$AK18)&lt;=1,"OK",IF(ROUND(N('Daily Data'!$D18),2)=ROUND(SUMIFS('Daily Data'!$E$4:$E$503,'Daily Data'!$B$4:$B$503,'Daily Data'!$B18,'Daily Data'!$AK$4:$AK$503,'Daily Data'!$AK18-1),2),"OK","WARNING")))</f>
        <v>OK</v>
      </c>
      <c r="N18" s="165" t="str">
        <f>IF($A18="","",IF(N('Daily Data'!$N18)&lt;=0,"WARNING","OK"))</f>
        <v>OK</v>
      </c>
      <c r="O18" s="165" t="str">
        <f>IF($A18="","",IF(AND(ISNUMBER('Daily Data'!$H18),ABS(N('Daily Data'!$H18))&gt;Settings!$C$56),"WARNING","OK"))</f>
        <v>OK</v>
      </c>
      <c r="P18" s="165" t="str">
        <f>IF($A18="","",IF(OR(AND(N('Daily Data'!$K18)=0,N('Daily Data'!$I18)&gt;0),AND(N('Daily Data'!$I18)=0,N('Daily Data'!$K18)&gt;0),AND(N('Daily Data'!$L18)=0,N('Daily Data'!$M18)=0)),"WARNING","OK"))</f>
        <v>OK</v>
      </c>
      <c r="Q18" s="165" t="str">
        <f>IF($A18="","",IF(COUNTIFS('Daily Data'!$B$4:$B$503,'Daily Data'!$B18,'Daily Data'!$A$4:$A$503,'Daily Data'!$A18,'Daily Data'!$Q$4:$Q$503,'Daily Data'!$Q18)&gt;1,"WARNING","OK"))</f>
        <v>OK</v>
      </c>
      <c r="R18" s="165" t="str">
        <f>IF($A18="","",IF(AND(N('Daily Data'!$K18)&gt;0,N('Daily Data'!$J18)&lt;=0),"WARNING","OK"))</f>
        <v>OK</v>
      </c>
      <c r="S18" s="165">
        <f>IF($A18="","",COUNTIF($D18:$R18,"ERROR"))</f>
        <v>0</v>
      </c>
      <c r="T18" s="165">
        <f>IF($A18="","",COUNTIF($D18:$R18,"WARNING"))</f>
        <v>0</v>
      </c>
      <c r="U18" s="165" t="str">
        <f>IF($A18="","",IF($S18&gt;0,"ERROR",IF($T18&gt;0,"WARNING","PASS")))</f>
        <v>PASS</v>
      </c>
    </row>
    <row r="19" spans="1:21" x14ac:dyDescent="0.3">
      <c r="A19">
        <f>IF(AND('Daily Data'!$A19="",'Daily Data'!$B19=""),"",19)</f>
        <v>19</v>
      </c>
      <c r="B19" s="16">
        <f>IF($A19="","",'Daily Data'!$A19)</f>
        <v>46244</v>
      </c>
      <c r="C19" t="str">
        <f>IF($A19="","",'Daily Data'!$B19)</f>
        <v>NMG</v>
      </c>
      <c r="D19" s="165" t="str">
        <f>IF($A19="","",IF(COUNTIFS('Daily Data'!$B$4:$B$503,'Daily Data'!$B19,'Daily Data'!$A$4:$A$503,'Daily Data'!$A19)&gt;1,"ERROR","OK"))</f>
        <v>OK</v>
      </c>
      <c r="E19" s="165" t="str">
        <f>IF($A19="","",IF('Daily Data'!$B19="","ERROR","OK"))</f>
        <v>OK</v>
      </c>
      <c r="F19" s="165" t="str">
        <f>IF($A19="","",IF(NOT(ISNUMBER('Daily Data'!$A19)),"ERROR","OK"))</f>
        <v>OK</v>
      </c>
      <c r="G19" s="165" t="str">
        <f>IF($A19="","",IF(OR(N('Daily Data'!$E19)&lt;=0,N('Daily Data'!$C19)&lt;0,N('Daily Data'!$D19)&lt;0,N('Daily Data'!$F19)&lt;0,N('Daily Data'!$G19)&lt;0),"ERROR","OK"))</f>
        <v>OK</v>
      </c>
      <c r="H19" s="165" t="str">
        <f>IF($A19="","",IF(N('Daily Data'!$K19)&lt;0,"ERROR","OK"))</f>
        <v>OK</v>
      </c>
      <c r="I19" s="165" t="str">
        <f>IF($A19="","",IF(N('Daily Data'!$I19)&lt;0,"ERROR","OK"))</f>
        <v>OK</v>
      </c>
      <c r="J19" s="165" t="str">
        <f>IF($A19="","",IF(N('Daily Data'!$L19)&lt;0,"ERROR","OK"))</f>
        <v>OK</v>
      </c>
      <c r="K19" s="165" t="str">
        <f>IF($A19="","",IF(N('Daily Data'!$M19)&lt;0,"ERROR","OK"))</f>
        <v>OK</v>
      </c>
      <c r="L19" s="165" t="str">
        <f>IF($A19="","",IF(OR(N('Daily Data'!$F19)=0,N('Daily Data'!$G19)=0),"OK",IF(OR(N('Daily Data'!$E19)&gt;N('Daily Data'!$F19),N('Daily Data'!$E19)&lt;N('Daily Data'!$G19)),"ERROR","OK")))</f>
        <v>OK</v>
      </c>
      <c r="M19" s="165" t="str">
        <f>IF($A19="","",IF(N('Daily Data'!$AK19)&lt;=1,"OK",IF(ROUND(N('Daily Data'!$D19),2)=ROUND(SUMIFS('Daily Data'!$E$4:$E$503,'Daily Data'!$B$4:$B$503,'Daily Data'!$B19,'Daily Data'!$AK$4:$AK$503,'Daily Data'!$AK19-1),2),"OK","WARNING")))</f>
        <v>OK</v>
      </c>
      <c r="N19" s="165" t="str">
        <f>IF($A19="","",IF(N('Daily Data'!$N19)&lt;=0,"WARNING","OK"))</f>
        <v>OK</v>
      </c>
      <c r="O19" s="165" t="str">
        <f>IF($A19="","",IF(AND(ISNUMBER('Daily Data'!$H19),ABS(N('Daily Data'!$H19))&gt;Settings!$C$56),"WARNING","OK"))</f>
        <v>OK</v>
      </c>
      <c r="P19" s="165" t="str">
        <f>IF($A19="","",IF(OR(AND(N('Daily Data'!$K19)=0,N('Daily Data'!$I19)&gt;0),AND(N('Daily Data'!$I19)=0,N('Daily Data'!$K19)&gt;0),AND(N('Daily Data'!$L19)=0,N('Daily Data'!$M19)=0)),"WARNING","OK"))</f>
        <v>OK</v>
      </c>
      <c r="Q19" s="165" t="str">
        <f>IF($A19="","",IF(COUNTIFS('Daily Data'!$B$4:$B$503,'Daily Data'!$B19,'Daily Data'!$A$4:$A$503,'Daily Data'!$A19,'Daily Data'!$Q$4:$Q$503,'Daily Data'!$Q19)&gt;1,"WARNING","OK"))</f>
        <v>OK</v>
      </c>
      <c r="R19" s="165" t="str">
        <f>IF($A19="","",IF(AND(N('Daily Data'!$K19)&gt;0,N('Daily Data'!$J19)&lt;=0),"WARNING","OK"))</f>
        <v>OK</v>
      </c>
      <c r="S19" s="165">
        <f>IF($A19="","",COUNTIF($D19:$R19,"ERROR"))</f>
        <v>0</v>
      </c>
      <c r="T19" s="165">
        <f>IF($A19="","",COUNTIF($D19:$R19,"WARNING"))</f>
        <v>0</v>
      </c>
      <c r="U19" s="165" t="str">
        <f>IF($A19="","",IF($S19&gt;0,"ERROR",IF($T19&gt;0,"WARNING","PASS")))</f>
        <v>PASS</v>
      </c>
    </row>
    <row r="20" spans="1:21" x14ac:dyDescent="0.3">
      <c r="A20">
        <f>IF(AND('Daily Data'!$A20="",'Daily Data'!$B20=""),"",20)</f>
        <v>20</v>
      </c>
      <c r="B20" s="16">
        <f>IF($A20="","",'Daily Data'!$A20)</f>
        <v>46244</v>
      </c>
      <c r="C20" t="str">
        <f>IF($A20="","",'Daily Data'!$B20)</f>
        <v>PAL</v>
      </c>
      <c r="D20" s="165" t="str">
        <f>IF($A20="","",IF(COUNTIFS('Daily Data'!$B$4:$B$503,'Daily Data'!$B20,'Daily Data'!$A$4:$A$503,'Daily Data'!$A20)&gt;1,"ERROR","OK"))</f>
        <v>OK</v>
      </c>
      <c r="E20" s="165" t="str">
        <f>IF($A20="","",IF('Daily Data'!$B20="","ERROR","OK"))</f>
        <v>OK</v>
      </c>
      <c r="F20" s="165" t="str">
        <f>IF($A20="","",IF(NOT(ISNUMBER('Daily Data'!$A20)),"ERROR","OK"))</f>
        <v>OK</v>
      </c>
      <c r="G20" s="165" t="str">
        <f>IF($A20="","",IF(OR(N('Daily Data'!$E20)&lt;=0,N('Daily Data'!$C20)&lt;0,N('Daily Data'!$D20)&lt;0,N('Daily Data'!$F20)&lt;0,N('Daily Data'!$G20)&lt;0),"ERROR","OK"))</f>
        <v>OK</v>
      </c>
      <c r="H20" s="165" t="str">
        <f>IF($A20="","",IF(N('Daily Data'!$K20)&lt;0,"ERROR","OK"))</f>
        <v>OK</v>
      </c>
      <c r="I20" s="165" t="str">
        <f>IF($A20="","",IF(N('Daily Data'!$I20)&lt;0,"ERROR","OK"))</f>
        <v>OK</v>
      </c>
      <c r="J20" s="165" t="str">
        <f>IF($A20="","",IF(N('Daily Data'!$L20)&lt;0,"ERROR","OK"))</f>
        <v>OK</v>
      </c>
      <c r="K20" s="165" t="str">
        <f>IF($A20="","",IF(N('Daily Data'!$M20)&lt;0,"ERROR","OK"))</f>
        <v>OK</v>
      </c>
      <c r="L20" s="165" t="str">
        <f>IF($A20="","",IF(OR(N('Daily Data'!$F20)=0,N('Daily Data'!$G20)=0),"OK",IF(OR(N('Daily Data'!$E20)&gt;N('Daily Data'!$F20),N('Daily Data'!$E20)&lt;N('Daily Data'!$G20)),"ERROR","OK")))</f>
        <v>OK</v>
      </c>
      <c r="M20" s="165" t="str">
        <f>IF($A20="","",IF(N('Daily Data'!$AK20)&lt;=1,"OK",IF(ROUND(N('Daily Data'!$D20),2)=ROUND(SUMIFS('Daily Data'!$E$4:$E$503,'Daily Data'!$B$4:$B$503,'Daily Data'!$B20,'Daily Data'!$AK$4:$AK$503,'Daily Data'!$AK20-1),2),"OK","WARNING")))</f>
        <v>OK</v>
      </c>
      <c r="N20" s="165" t="str">
        <f>IF($A20="","",IF(N('Daily Data'!$N20)&lt;=0,"WARNING","OK"))</f>
        <v>OK</v>
      </c>
      <c r="O20" s="165" t="str">
        <f>IF($A20="","",IF(AND(ISNUMBER('Daily Data'!$H20),ABS(N('Daily Data'!$H20))&gt;Settings!$C$56),"WARNING","OK"))</f>
        <v>OK</v>
      </c>
      <c r="P20" s="165" t="str">
        <f>IF($A20="","",IF(OR(AND(N('Daily Data'!$K20)=0,N('Daily Data'!$I20)&gt;0),AND(N('Daily Data'!$I20)=0,N('Daily Data'!$K20)&gt;0),AND(N('Daily Data'!$L20)=0,N('Daily Data'!$M20)=0)),"WARNING","OK"))</f>
        <v>OK</v>
      </c>
      <c r="Q20" s="165" t="str">
        <f>IF($A20="","",IF(COUNTIFS('Daily Data'!$B$4:$B$503,'Daily Data'!$B20,'Daily Data'!$A$4:$A$503,'Daily Data'!$A20,'Daily Data'!$Q$4:$Q$503,'Daily Data'!$Q20)&gt;1,"WARNING","OK"))</f>
        <v>OK</v>
      </c>
      <c r="R20" s="165" t="str">
        <f>IF($A20="","",IF(AND(N('Daily Data'!$K20)&gt;0,N('Daily Data'!$J20)&lt;=0),"WARNING","OK"))</f>
        <v>OK</v>
      </c>
      <c r="S20" s="165">
        <f>IF($A20="","",COUNTIF($D20:$R20,"ERROR"))</f>
        <v>0</v>
      </c>
      <c r="T20" s="165">
        <f>IF($A20="","",COUNTIF($D20:$R20,"WARNING"))</f>
        <v>0</v>
      </c>
      <c r="U20" s="165" t="str">
        <f>IF($A20="","",IF($S20&gt;0,"ERROR",IF($T20&gt;0,"WARNING","PASS")))</f>
        <v>PASS</v>
      </c>
    </row>
    <row r="21" spans="1:21" x14ac:dyDescent="0.3">
      <c r="A21">
        <f>IF(AND('Daily Data'!$A21="",'Daily Data'!$B21=""),"",21)</f>
        <v>21</v>
      </c>
      <c r="B21" s="16">
        <f>IF($A21="","",'Daily Data'!$A21)</f>
        <v>46244</v>
      </c>
      <c r="C21" t="str">
        <f>IF($A21="","",'Daily Data'!$B21)</f>
        <v>SWALA</v>
      </c>
      <c r="D21" s="165" t="str">
        <f>IF($A21="","",IF(COUNTIFS('Daily Data'!$B$4:$B$503,'Daily Data'!$B21,'Daily Data'!$A$4:$A$503,'Daily Data'!$A21)&gt;1,"ERROR","OK"))</f>
        <v>OK</v>
      </c>
      <c r="E21" s="165" t="str">
        <f>IF($A21="","",IF('Daily Data'!$B21="","ERROR","OK"))</f>
        <v>OK</v>
      </c>
      <c r="F21" s="165" t="str">
        <f>IF($A21="","",IF(NOT(ISNUMBER('Daily Data'!$A21)),"ERROR","OK"))</f>
        <v>OK</v>
      </c>
      <c r="G21" s="165" t="str">
        <f>IF($A21="","",IF(OR(N('Daily Data'!$E21)&lt;=0,N('Daily Data'!$C21)&lt;0,N('Daily Data'!$D21)&lt;0,N('Daily Data'!$F21)&lt;0,N('Daily Data'!$G21)&lt;0),"ERROR","OK"))</f>
        <v>OK</v>
      </c>
      <c r="H21" s="165" t="str">
        <f>IF($A21="","",IF(N('Daily Data'!$K21)&lt;0,"ERROR","OK"))</f>
        <v>OK</v>
      </c>
      <c r="I21" s="165" t="str">
        <f>IF($A21="","",IF(N('Daily Data'!$I21)&lt;0,"ERROR","OK"))</f>
        <v>OK</v>
      </c>
      <c r="J21" s="165" t="str">
        <f>IF($A21="","",IF(N('Daily Data'!$L21)&lt;0,"ERROR","OK"))</f>
        <v>OK</v>
      </c>
      <c r="K21" s="165" t="str">
        <f>IF($A21="","",IF(N('Daily Data'!$M21)&lt;0,"ERROR","OK"))</f>
        <v>OK</v>
      </c>
      <c r="L21" s="165" t="str">
        <f>IF($A21="","",IF(OR(N('Daily Data'!$F21)=0,N('Daily Data'!$G21)=0),"OK",IF(OR(N('Daily Data'!$E21)&gt;N('Daily Data'!$F21),N('Daily Data'!$E21)&lt;N('Daily Data'!$G21)),"ERROR","OK")))</f>
        <v>OK</v>
      </c>
      <c r="M21" s="165" t="str">
        <f>IF($A21="","",IF(N('Daily Data'!$AK21)&lt;=1,"OK",IF(ROUND(N('Daily Data'!$D21),2)=ROUND(SUMIFS('Daily Data'!$E$4:$E$503,'Daily Data'!$B$4:$B$503,'Daily Data'!$B21,'Daily Data'!$AK$4:$AK$503,'Daily Data'!$AK21-1),2),"OK","WARNING")))</f>
        <v>OK</v>
      </c>
      <c r="N21" s="165" t="str">
        <f>IF($A21="","",IF(N('Daily Data'!$N21)&lt;=0,"WARNING","OK"))</f>
        <v>OK</v>
      </c>
      <c r="O21" s="165" t="str">
        <f>IF($A21="","",IF(AND(ISNUMBER('Daily Data'!$H21),ABS(N('Daily Data'!$H21))&gt;Settings!$C$56),"WARNING","OK"))</f>
        <v>OK</v>
      </c>
      <c r="P21" s="165" t="str">
        <f>IF($A21="","",IF(OR(AND(N('Daily Data'!$K21)=0,N('Daily Data'!$I21)&gt;0),AND(N('Daily Data'!$I21)=0,N('Daily Data'!$K21)&gt;0),AND(N('Daily Data'!$L21)=0,N('Daily Data'!$M21)=0)),"WARNING","OK"))</f>
        <v>WARNING</v>
      </c>
      <c r="Q21" s="165" t="str">
        <f>IF($A21="","",IF(COUNTIFS('Daily Data'!$B$4:$B$503,'Daily Data'!$B21,'Daily Data'!$A$4:$A$503,'Daily Data'!$A21,'Daily Data'!$Q$4:$Q$503,'Daily Data'!$Q21)&gt;1,"WARNING","OK"))</f>
        <v>OK</v>
      </c>
      <c r="R21" s="165" t="str">
        <f>IF($A21="","",IF(AND(N('Daily Data'!$K21)&gt;0,N('Daily Data'!$J21)&lt;=0),"WARNING","OK"))</f>
        <v>OK</v>
      </c>
      <c r="S21" s="165">
        <f>IF($A21="","",COUNTIF($D21:$R21,"ERROR"))</f>
        <v>0</v>
      </c>
      <c r="T21" s="165">
        <f>IF($A21="","",COUNTIF($D21:$R21,"WARNING"))</f>
        <v>1</v>
      </c>
      <c r="U21" s="165" t="str">
        <f>IF($A21="","",IF($S21&gt;0,"ERROR",IF($T21&gt;0,"WARNING","PASS")))</f>
        <v>WARNING</v>
      </c>
    </row>
    <row r="22" spans="1:21" x14ac:dyDescent="0.3">
      <c r="A22">
        <f>IF(AND('Daily Data'!$A22="",'Daily Data'!$B22=""),"",22)</f>
        <v>22</v>
      </c>
      <c r="B22" s="16">
        <f>IF($A22="","",'Daily Data'!$A22)</f>
        <v>46244</v>
      </c>
      <c r="C22" t="str">
        <f>IF($A22="","",'Daily Data'!$B22)</f>
        <v>SWIS</v>
      </c>
      <c r="D22" s="165" t="str">
        <f>IF($A22="","",IF(COUNTIFS('Daily Data'!$B$4:$B$503,'Daily Data'!$B22,'Daily Data'!$A$4:$A$503,'Daily Data'!$A22)&gt;1,"ERROR","OK"))</f>
        <v>OK</v>
      </c>
      <c r="E22" s="165" t="str">
        <f>IF($A22="","",IF('Daily Data'!$B22="","ERROR","OK"))</f>
        <v>OK</v>
      </c>
      <c r="F22" s="165" t="str">
        <f>IF($A22="","",IF(NOT(ISNUMBER('Daily Data'!$A22)),"ERROR","OK"))</f>
        <v>OK</v>
      </c>
      <c r="G22" s="165" t="str">
        <f>IF($A22="","",IF(OR(N('Daily Data'!$E22)&lt;=0,N('Daily Data'!$C22)&lt;0,N('Daily Data'!$D22)&lt;0,N('Daily Data'!$F22)&lt;0,N('Daily Data'!$G22)&lt;0),"ERROR","OK"))</f>
        <v>OK</v>
      </c>
      <c r="H22" s="165" t="str">
        <f>IF($A22="","",IF(N('Daily Data'!$K22)&lt;0,"ERROR","OK"))</f>
        <v>OK</v>
      </c>
      <c r="I22" s="165" t="str">
        <f>IF($A22="","",IF(N('Daily Data'!$I22)&lt;0,"ERROR","OK"))</f>
        <v>OK</v>
      </c>
      <c r="J22" s="165" t="str">
        <f>IF($A22="","",IF(N('Daily Data'!$L22)&lt;0,"ERROR","OK"))</f>
        <v>OK</v>
      </c>
      <c r="K22" s="165" t="str">
        <f>IF($A22="","",IF(N('Daily Data'!$M22)&lt;0,"ERROR","OK"))</f>
        <v>OK</v>
      </c>
      <c r="L22" s="165" t="str">
        <f>IF($A22="","",IF(OR(N('Daily Data'!$F22)=0,N('Daily Data'!$G22)=0),"OK",IF(OR(N('Daily Data'!$E22)&gt;N('Daily Data'!$F22),N('Daily Data'!$E22)&lt;N('Daily Data'!$G22)),"ERROR","OK")))</f>
        <v>OK</v>
      </c>
      <c r="M22" s="165" t="str">
        <f>IF($A22="","",IF(N('Daily Data'!$AK22)&lt;=1,"OK",IF(ROUND(N('Daily Data'!$D22),2)=ROUND(SUMIFS('Daily Data'!$E$4:$E$503,'Daily Data'!$B$4:$B$503,'Daily Data'!$B22,'Daily Data'!$AK$4:$AK$503,'Daily Data'!$AK22-1),2),"OK","WARNING")))</f>
        <v>OK</v>
      </c>
      <c r="N22" s="165" t="str">
        <f>IF($A22="","",IF(N('Daily Data'!$N22)&lt;=0,"WARNING","OK"))</f>
        <v>OK</v>
      </c>
      <c r="O22" s="165" t="str">
        <f>IF($A22="","",IF(AND(ISNUMBER('Daily Data'!$H22),ABS(N('Daily Data'!$H22))&gt;Settings!$C$56),"WARNING","OK"))</f>
        <v>OK</v>
      </c>
      <c r="P22" s="165" t="str">
        <f>IF($A22="","",IF(OR(AND(N('Daily Data'!$K22)=0,N('Daily Data'!$I22)&gt;0),AND(N('Daily Data'!$I22)=0,N('Daily Data'!$K22)&gt;0),AND(N('Daily Data'!$L22)=0,N('Daily Data'!$M22)=0)),"WARNING","OK"))</f>
        <v>OK</v>
      </c>
      <c r="Q22" s="165" t="str">
        <f>IF($A22="","",IF(COUNTIFS('Daily Data'!$B$4:$B$503,'Daily Data'!$B22,'Daily Data'!$A$4:$A$503,'Daily Data'!$A22,'Daily Data'!$Q$4:$Q$503,'Daily Data'!$Q22)&gt;1,"WARNING","OK"))</f>
        <v>OK</v>
      </c>
      <c r="R22" s="165" t="str">
        <f>IF($A22="","",IF(AND(N('Daily Data'!$K22)&gt;0,N('Daily Data'!$J22)&lt;=0),"WARNING","OK"))</f>
        <v>OK</v>
      </c>
      <c r="S22" s="165">
        <f>IF($A22="","",COUNTIF($D22:$R22,"ERROR"))</f>
        <v>0</v>
      </c>
      <c r="T22" s="165">
        <f>IF($A22="","",COUNTIF($D22:$R22,"WARNING"))</f>
        <v>0</v>
      </c>
      <c r="U22" s="165" t="str">
        <f>IF($A22="","",IF($S22&gt;0,"ERROR",IF($T22&gt;0,"WARNING","PASS")))</f>
        <v>PASS</v>
      </c>
    </row>
    <row r="23" spans="1:21" x14ac:dyDescent="0.3">
      <c r="A23">
        <f>IF(AND('Daily Data'!$A23="",'Daily Data'!$B23=""),"",23)</f>
        <v>23</v>
      </c>
      <c r="B23" s="16">
        <f>IF($A23="","",'Daily Data'!$A23)</f>
        <v>46244</v>
      </c>
      <c r="C23" t="str">
        <f>IF($A23="","",'Daily Data'!$B23)</f>
        <v>TBL</v>
      </c>
      <c r="D23" s="165" t="str">
        <f>IF($A23="","",IF(COUNTIFS('Daily Data'!$B$4:$B$503,'Daily Data'!$B23,'Daily Data'!$A$4:$A$503,'Daily Data'!$A23)&gt;1,"ERROR","OK"))</f>
        <v>OK</v>
      </c>
      <c r="E23" s="165" t="str">
        <f>IF($A23="","",IF('Daily Data'!$B23="","ERROR","OK"))</f>
        <v>OK</v>
      </c>
      <c r="F23" s="165" t="str">
        <f>IF($A23="","",IF(NOT(ISNUMBER('Daily Data'!$A23)),"ERROR","OK"))</f>
        <v>OK</v>
      </c>
      <c r="G23" s="165" t="str">
        <f>IF($A23="","",IF(OR(N('Daily Data'!$E23)&lt;=0,N('Daily Data'!$C23)&lt;0,N('Daily Data'!$D23)&lt;0,N('Daily Data'!$F23)&lt;0,N('Daily Data'!$G23)&lt;0),"ERROR","OK"))</f>
        <v>OK</v>
      </c>
      <c r="H23" s="165" t="str">
        <f>IF($A23="","",IF(N('Daily Data'!$K23)&lt;0,"ERROR","OK"))</f>
        <v>OK</v>
      </c>
      <c r="I23" s="165" t="str">
        <f>IF($A23="","",IF(N('Daily Data'!$I23)&lt;0,"ERROR","OK"))</f>
        <v>OK</v>
      </c>
      <c r="J23" s="165" t="str">
        <f>IF($A23="","",IF(N('Daily Data'!$L23)&lt;0,"ERROR","OK"))</f>
        <v>OK</v>
      </c>
      <c r="K23" s="165" t="str">
        <f>IF($A23="","",IF(N('Daily Data'!$M23)&lt;0,"ERROR","OK"))</f>
        <v>OK</v>
      </c>
      <c r="L23" s="165" t="str">
        <f>IF($A23="","",IF(OR(N('Daily Data'!$F23)=0,N('Daily Data'!$G23)=0),"OK",IF(OR(N('Daily Data'!$E23)&gt;N('Daily Data'!$F23),N('Daily Data'!$E23)&lt;N('Daily Data'!$G23)),"ERROR","OK")))</f>
        <v>OK</v>
      </c>
      <c r="M23" s="165" t="str">
        <f>IF($A23="","",IF(N('Daily Data'!$AK23)&lt;=1,"OK",IF(ROUND(N('Daily Data'!$D23),2)=ROUND(SUMIFS('Daily Data'!$E$4:$E$503,'Daily Data'!$B$4:$B$503,'Daily Data'!$B23,'Daily Data'!$AK$4:$AK$503,'Daily Data'!$AK23-1),2),"OK","WARNING")))</f>
        <v>OK</v>
      </c>
      <c r="N23" s="165" t="str">
        <f>IF($A23="","",IF(N('Daily Data'!$N23)&lt;=0,"WARNING","OK"))</f>
        <v>OK</v>
      </c>
      <c r="O23" s="165" t="str">
        <f>IF($A23="","",IF(AND(ISNUMBER('Daily Data'!$H23),ABS(N('Daily Data'!$H23))&gt;Settings!$C$56),"WARNING","OK"))</f>
        <v>OK</v>
      </c>
      <c r="P23" s="165" t="str">
        <f>IF($A23="","",IF(OR(AND(N('Daily Data'!$K23)=0,N('Daily Data'!$I23)&gt;0),AND(N('Daily Data'!$I23)=0,N('Daily Data'!$K23)&gt;0),AND(N('Daily Data'!$L23)=0,N('Daily Data'!$M23)=0)),"WARNING","OK"))</f>
        <v>OK</v>
      </c>
      <c r="Q23" s="165" t="str">
        <f>IF($A23="","",IF(COUNTIFS('Daily Data'!$B$4:$B$503,'Daily Data'!$B23,'Daily Data'!$A$4:$A$503,'Daily Data'!$A23,'Daily Data'!$Q$4:$Q$503,'Daily Data'!$Q23)&gt;1,"WARNING","OK"))</f>
        <v>OK</v>
      </c>
      <c r="R23" s="165" t="str">
        <f>IF($A23="","",IF(AND(N('Daily Data'!$K23)&gt;0,N('Daily Data'!$J23)&lt;=0),"WARNING","OK"))</f>
        <v>OK</v>
      </c>
      <c r="S23" s="165">
        <f>IF($A23="","",COUNTIF($D23:$R23,"ERROR"))</f>
        <v>0</v>
      </c>
      <c r="T23" s="165">
        <f>IF($A23="","",COUNTIF($D23:$R23,"WARNING"))</f>
        <v>0</v>
      </c>
      <c r="U23" s="165" t="str">
        <f>IF($A23="","",IF($S23&gt;0,"ERROR",IF($T23&gt;0,"WARNING","PASS")))</f>
        <v>PASS</v>
      </c>
    </row>
    <row r="24" spans="1:21" x14ac:dyDescent="0.3">
      <c r="A24">
        <f>IF(AND('Daily Data'!$A24="",'Daily Data'!$B24=""),"",24)</f>
        <v>24</v>
      </c>
      <c r="B24" s="16">
        <f>IF($A24="","",'Daily Data'!$A24)</f>
        <v>46244</v>
      </c>
      <c r="C24" t="str">
        <f>IF($A24="","",'Daily Data'!$B24)</f>
        <v>TCC</v>
      </c>
      <c r="D24" s="165" t="str">
        <f>IF($A24="","",IF(COUNTIFS('Daily Data'!$B$4:$B$503,'Daily Data'!$B24,'Daily Data'!$A$4:$A$503,'Daily Data'!$A24)&gt;1,"ERROR","OK"))</f>
        <v>OK</v>
      </c>
      <c r="E24" s="165" t="str">
        <f>IF($A24="","",IF('Daily Data'!$B24="","ERROR","OK"))</f>
        <v>OK</v>
      </c>
      <c r="F24" s="165" t="str">
        <f>IF($A24="","",IF(NOT(ISNUMBER('Daily Data'!$A24)),"ERROR","OK"))</f>
        <v>OK</v>
      </c>
      <c r="G24" s="165" t="str">
        <f>IF($A24="","",IF(OR(N('Daily Data'!$E24)&lt;=0,N('Daily Data'!$C24)&lt;0,N('Daily Data'!$D24)&lt;0,N('Daily Data'!$F24)&lt;0,N('Daily Data'!$G24)&lt;0),"ERROR","OK"))</f>
        <v>OK</v>
      </c>
      <c r="H24" s="165" t="str">
        <f>IF($A24="","",IF(N('Daily Data'!$K24)&lt;0,"ERROR","OK"))</f>
        <v>OK</v>
      </c>
      <c r="I24" s="165" t="str">
        <f>IF($A24="","",IF(N('Daily Data'!$I24)&lt;0,"ERROR","OK"))</f>
        <v>OK</v>
      </c>
      <c r="J24" s="165" t="str">
        <f>IF($A24="","",IF(N('Daily Data'!$L24)&lt;0,"ERROR","OK"))</f>
        <v>OK</v>
      </c>
      <c r="K24" s="165" t="str">
        <f>IF($A24="","",IF(N('Daily Data'!$M24)&lt;0,"ERROR","OK"))</f>
        <v>OK</v>
      </c>
      <c r="L24" s="165" t="str">
        <f>IF($A24="","",IF(OR(N('Daily Data'!$F24)=0,N('Daily Data'!$G24)=0),"OK",IF(OR(N('Daily Data'!$E24)&gt;N('Daily Data'!$F24),N('Daily Data'!$E24)&lt;N('Daily Data'!$G24)),"ERROR","OK")))</f>
        <v>OK</v>
      </c>
      <c r="M24" s="165" t="str">
        <f>IF($A24="","",IF(N('Daily Data'!$AK24)&lt;=1,"OK",IF(ROUND(N('Daily Data'!$D24),2)=ROUND(SUMIFS('Daily Data'!$E$4:$E$503,'Daily Data'!$B$4:$B$503,'Daily Data'!$B24,'Daily Data'!$AK$4:$AK$503,'Daily Data'!$AK24-1),2),"OK","WARNING")))</f>
        <v>OK</v>
      </c>
      <c r="N24" s="165" t="str">
        <f>IF($A24="","",IF(N('Daily Data'!$N24)&lt;=0,"WARNING","OK"))</f>
        <v>OK</v>
      </c>
      <c r="O24" s="165" t="str">
        <f>IF($A24="","",IF(AND(ISNUMBER('Daily Data'!$H24),ABS(N('Daily Data'!$H24))&gt;Settings!$C$56),"WARNING","OK"))</f>
        <v>OK</v>
      </c>
      <c r="P24" s="165" t="str">
        <f>IF($A24="","",IF(OR(AND(N('Daily Data'!$K24)=0,N('Daily Data'!$I24)&gt;0),AND(N('Daily Data'!$I24)=0,N('Daily Data'!$K24)&gt;0),AND(N('Daily Data'!$L24)=0,N('Daily Data'!$M24)=0)),"WARNING","OK"))</f>
        <v>OK</v>
      </c>
      <c r="Q24" s="165" t="str">
        <f>IF($A24="","",IF(COUNTIFS('Daily Data'!$B$4:$B$503,'Daily Data'!$B24,'Daily Data'!$A$4:$A$503,'Daily Data'!$A24,'Daily Data'!$Q$4:$Q$503,'Daily Data'!$Q24)&gt;1,"WARNING","OK"))</f>
        <v>OK</v>
      </c>
      <c r="R24" s="165" t="str">
        <f>IF($A24="","",IF(AND(N('Daily Data'!$K24)&gt;0,N('Daily Data'!$J24)&lt;=0),"WARNING","OK"))</f>
        <v>OK</v>
      </c>
      <c r="S24" s="165">
        <f>IF($A24="","",COUNTIF($D24:$R24,"ERROR"))</f>
        <v>0</v>
      </c>
      <c r="T24" s="165">
        <f>IF($A24="","",COUNTIF($D24:$R24,"WARNING"))</f>
        <v>0</v>
      </c>
      <c r="U24" s="165" t="str">
        <f>IF($A24="","",IF($S24&gt;0,"ERROR",IF($T24&gt;0,"WARNING","PASS")))</f>
        <v>PASS</v>
      </c>
    </row>
    <row r="25" spans="1:21" x14ac:dyDescent="0.3">
      <c r="A25">
        <f>IF(AND('Daily Data'!$A25="",'Daily Data'!$B25=""),"",25)</f>
        <v>25</v>
      </c>
      <c r="B25" s="16">
        <f>IF($A25="","",'Daily Data'!$A25)</f>
        <v>46244</v>
      </c>
      <c r="C25" t="str">
        <f>IF($A25="","",'Daily Data'!$B25)</f>
        <v>TCCL</v>
      </c>
      <c r="D25" s="165" t="str">
        <f>IF($A25="","",IF(COUNTIFS('Daily Data'!$B$4:$B$503,'Daily Data'!$B25,'Daily Data'!$A$4:$A$503,'Daily Data'!$A25)&gt;1,"ERROR","OK"))</f>
        <v>OK</v>
      </c>
      <c r="E25" s="165" t="str">
        <f>IF($A25="","",IF('Daily Data'!$B25="","ERROR","OK"))</f>
        <v>OK</v>
      </c>
      <c r="F25" s="165" t="str">
        <f>IF($A25="","",IF(NOT(ISNUMBER('Daily Data'!$A25)),"ERROR","OK"))</f>
        <v>OK</v>
      </c>
      <c r="G25" s="165" t="str">
        <f>IF($A25="","",IF(OR(N('Daily Data'!$E25)&lt;=0,N('Daily Data'!$C25)&lt;0,N('Daily Data'!$D25)&lt;0,N('Daily Data'!$F25)&lt;0,N('Daily Data'!$G25)&lt;0),"ERROR","OK"))</f>
        <v>OK</v>
      </c>
      <c r="H25" s="165" t="str">
        <f>IF($A25="","",IF(N('Daily Data'!$K25)&lt;0,"ERROR","OK"))</f>
        <v>OK</v>
      </c>
      <c r="I25" s="165" t="str">
        <f>IF($A25="","",IF(N('Daily Data'!$I25)&lt;0,"ERROR","OK"))</f>
        <v>OK</v>
      </c>
      <c r="J25" s="165" t="str">
        <f>IF($A25="","",IF(N('Daily Data'!$L25)&lt;0,"ERROR","OK"))</f>
        <v>OK</v>
      </c>
      <c r="K25" s="165" t="str">
        <f>IF($A25="","",IF(N('Daily Data'!$M25)&lt;0,"ERROR","OK"))</f>
        <v>OK</v>
      </c>
      <c r="L25" s="165" t="str">
        <f>IF($A25="","",IF(OR(N('Daily Data'!$F25)=0,N('Daily Data'!$G25)=0),"OK",IF(OR(N('Daily Data'!$E25)&gt;N('Daily Data'!$F25),N('Daily Data'!$E25)&lt;N('Daily Data'!$G25)),"ERROR","OK")))</f>
        <v>OK</v>
      </c>
      <c r="M25" s="165" t="str">
        <f>IF($A25="","",IF(N('Daily Data'!$AK25)&lt;=1,"OK",IF(ROUND(N('Daily Data'!$D25),2)=ROUND(SUMIFS('Daily Data'!$E$4:$E$503,'Daily Data'!$B$4:$B$503,'Daily Data'!$B25,'Daily Data'!$AK$4:$AK$503,'Daily Data'!$AK25-1),2),"OK","WARNING")))</f>
        <v>OK</v>
      </c>
      <c r="N25" s="165" t="str">
        <f>IF($A25="","",IF(N('Daily Data'!$N25)&lt;=0,"WARNING","OK"))</f>
        <v>OK</v>
      </c>
      <c r="O25" s="165" t="str">
        <f>IF($A25="","",IF(AND(ISNUMBER('Daily Data'!$H25),ABS(N('Daily Data'!$H25))&gt;Settings!$C$56),"WARNING","OK"))</f>
        <v>OK</v>
      </c>
      <c r="P25" s="165" t="str">
        <f>IF($A25="","",IF(OR(AND(N('Daily Data'!$K25)=0,N('Daily Data'!$I25)&gt;0),AND(N('Daily Data'!$I25)=0,N('Daily Data'!$K25)&gt;0),AND(N('Daily Data'!$L25)=0,N('Daily Data'!$M25)=0)),"WARNING","OK"))</f>
        <v>OK</v>
      </c>
      <c r="Q25" s="165" t="str">
        <f>IF($A25="","",IF(COUNTIFS('Daily Data'!$B$4:$B$503,'Daily Data'!$B25,'Daily Data'!$A$4:$A$503,'Daily Data'!$A25,'Daily Data'!$Q$4:$Q$503,'Daily Data'!$Q25)&gt;1,"WARNING","OK"))</f>
        <v>OK</v>
      </c>
      <c r="R25" s="165" t="str">
        <f>IF($A25="","",IF(AND(N('Daily Data'!$K25)&gt;0,N('Daily Data'!$J25)&lt;=0),"WARNING","OK"))</f>
        <v>OK</v>
      </c>
      <c r="S25" s="165">
        <f>IF($A25="","",COUNTIF($D25:$R25,"ERROR"))</f>
        <v>0</v>
      </c>
      <c r="T25" s="165">
        <f>IF($A25="","",COUNTIF($D25:$R25,"WARNING"))</f>
        <v>0</v>
      </c>
      <c r="U25" s="165" t="str">
        <f>IF($A25="","",IF($S25&gt;0,"ERROR",IF($T25&gt;0,"WARNING","PASS")))</f>
        <v>PASS</v>
      </c>
    </row>
    <row r="26" spans="1:21" x14ac:dyDescent="0.3">
      <c r="A26">
        <f>IF(AND('Daily Data'!$A26="",'Daily Data'!$B26=""),"",26)</f>
        <v>26</v>
      </c>
      <c r="B26" s="16">
        <f>IF($A26="","",'Daily Data'!$A26)</f>
        <v>46244</v>
      </c>
      <c r="C26" t="str">
        <f>IF($A26="","",'Daily Data'!$B26)</f>
        <v>TOL</v>
      </c>
      <c r="D26" s="165" t="str">
        <f>IF($A26="","",IF(COUNTIFS('Daily Data'!$B$4:$B$503,'Daily Data'!$B26,'Daily Data'!$A$4:$A$503,'Daily Data'!$A26)&gt;1,"ERROR","OK"))</f>
        <v>OK</v>
      </c>
      <c r="E26" s="165" t="str">
        <f>IF($A26="","",IF('Daily Data'!$B26="","ERROR","OK"))</f>
        <v>OK</v>
      </c>
      <c r="F26" s="165" t="str">
        <f>IF($A26="","",IF(NOT(ISNUMBER('Daily Data'!$A26)),"ERROR","OK"))</f>
        <v>OK</v>
      </c>
      <c r="G26" s="165" t="str">
        <f>IF($A26="","",IF(OR(N('Daily Data'!$E26)&lt;=0,N('Daily Data'!$C26)&lt;0,N('Daily Data'!$D26)&lt;0,N('Daily Data'!$F26)&lt;0,N('Daily Data'!$G26)&lt;0),"ERROR","OK"))</f>
        <v>OK</v>
      </c>
      <c r="H26" s="165" t="str">
        <f>IF($A26="","",IF(N('Daily Data'!$K26)&lt;0,"ERROR","OK"))</f>
        <v>OK</v>
      </c>
      <c r="I26" s="165" t="str">
        <f>IF($A26="","",IF(N('Daily Data'!$I26)&lt;0,"ERROR","OK"))</f>
        <v>OK</v>
      </c>
      <c r="J26" s="165" t="str">
        <f>IF($A26="","",IF(N('Daily Data'!$L26)&lt;0,"ERROR","OK"))</f>
        <v>OK</v>
      </c>
      <c r="K26" s="165" t="str">
        <f>IF($A26="","",IF(N('Daily Data'!$M26)&lt;0,"ERROR","OK"))</f>
        <v>OK</v>
      </c>
      <c r="L26" s="165" t="str">
        <f>IF($A26="","",IF(OR(N('Daily Data'!$F26)=0,N('Daily Data'!$G26)=0),"OK",IF(OR(N('Daily Data'!$E26)&gt;N('Daily Data'!$F26),N('Daily Data'!$E26)&lt;N('Daily Data'!$G26)),"ERROR","OK")))</f>
        <v>OK</v>
      </c>
      <c r="M26" s="165" t="str">
        <f>IF($A26="","",IF(N('Daily Data'!$AK26)&lt;=1,"OK",IF(ROUND(N('Daily Data'!$D26),2)=ROUND(SUMIFS('Daily Data'!$E$4:$E$503,'Daily Data'!$B$4:$B$503,'Daily Data'!$B26,'Daily Data'!$AK$4:$AK$503,'Daily Data'!$AK26-1),2),"OK","WARNING")))</f>
        <v>OK</v>
      </c>
      <c r="N26" s="165" t="str">
        <f>IF($A26="","",IF(N('Daily Data'!$N26)&lt;=0,"WARNING","OK"))</f>
        <v>OK</v>
      </c>
      <c r="O26" s="165" t="str">
        <f>IF($A26="","",IF(AND(ISNUMBER('Daily Data'!$H26),ABS(N('Daily Data'!$H26))&gt;Settings!$C$56),"WARNING","OK"))</f>
        <v>OK</v>
      </c>
      <c r="P26" s="165" t="str">
        <f>IF($A26="","",IF(OR(AND(N('Daily Data'!$K26)=0,N('Daily Data'!$I26)&gt;0),AND(N('Daily Data'!$I26)=0,N('Daily Data'!$K26)&gt;0),AND(N('Daily Data'!$L26)=0,N('Daily Data'!$M26)=0)),"WARNING","OK"))</f>
        <v>OK</v>
      </c>
      <c r="Q26" s="165" t="str">
        <f>IF($A26="","",IF(COUNTIFS('Daily Data'!$B$4:$B$503,'Daily Data'!$B26,'Daily Data'!$A$4:$A$503,'Daily Data'!$A26,'Daily Data'!$Q$4:$Q$503,'Daily Data'!$Q26)&gt;1,"WARNING","OK"))</f>
        <v>OK</v>
      </c>
      <c r="R26" s="165" t="str">
        <f>IF($A26="","",IF(AND(N('Daily Data'!$K26)&gt;0,N('Daily Data'!$J26)&lt;=0),"WARNING","OK"))</f>
        <v>OK</v>
      </c>
      <c r="S26" s="165">
        <f>IF($A26="","",COUNTIF($D26:$R26,"ERROR"))</f>
        <v>0</v>
      </c>
      <c r="T26" s="165">
        <f>IF($A26="","",COUNTIF($D26:$R26,"WARNING"))</f>
        <v>0</v>
      </c>
      <c r="U26" s="165" t="str">
        <f>IF($A26="","",IF($S26&gt;0,"ERROR",IF($T26&gt;0,"WARNING","PASS")))</f>
        <v>PASS</v>
      </c>
    </row>
    <row r="27" spans="1:21" x14ac:dyDescent="0.3">
      <c r="A27">
        <f>IF(AND('Daily Data'!$A27="",'Daily Data'!$B27=""),"",27)</f>
        <v>27</v>
      </c>
      <c r="B27" s="16">
        <f>IF($A27="","",'Daily Data'!$A27)</f>
        <v>46244</v>
      </c>
      <c r="C27" t="str">
        <f>IF($A27="","",'Daily Data'!$B27)</f>
        <v>TPCC</v>
      </c>
      <c r="D27" s="165" t="str">
        <f>IF($A27="","",IF(COUNTIFS('Daily Data'!$B$4:$B$503,'Daily Data'!$B27,'Daily Data'!$A$4:$A$503,'Daily Data'!$A27)&gt;1,"ERROR","OK"))</f>
        <v>OK</v>
      </c>
      <c r="E27" s="165" t="str">
        <f>IF($A27="","",IF('Daily Data'!$B27="","ERROR","OK"))</f>
        <v>OK</v>
      </c>
      <c r="F27" s="165" t="str">
        <f>IF($A27="","",IF(NOT(ISNUMBER('Daily Data'!$A27)),"ERROR","OK"))</f>
        <v>OK</v>
      </c>
      <c r="G27" s="165" t="str">
        <f>IF($A27="","",IF(OR(N('Daily Data'!$E27)&lt;=0,N('Daily Data'!$C27)&lt;0,N('Daily Data'!$D27)&lt;0,N('Daily Data'!$F27)&lt;0,N('Daily Data'!$G27)&lt;0),"ERROR","OK"))</f>
        <v>OK</v>
      </c>
      <c r="H27" s="165" t="str">
        <f>IF($A27="","",IF(N('Daily Data'!$K27)&lt;0,"ERROR","OK"))</f>
        <v>OK</v>
      </c>
      <c r="I27" s="165" t="str">
        <f>IF($A27="","",IF(N('Daily Data'!$I27)&lt;0,"ERROR","OK"))</f>
        <v>OK</v>
      </c>
      <c r="J27" s="165" t="str">
        <f>IF($A27="","",IF(N('Daily Data'!$L27)&lt;0,"ERROR","OK"))</f>
        <v>OK</v>
      </c>
      <c r="K27" s="165" t="str">
        <f>IF($A27="","",IF(N('Daily Data'!$M27)&lt;0,"ERROR","OK"))</f>
        <v>OK</v>
      </c>
      <c r="L27" s="165" t="str">
        <f>IF($A27="","",IF(OR(N('Daily Data'!$F27)=0,N('Daily Data'!$G27)=0),"OK",IF(OR(N('Daily Data'!$E27)&gt;N('Daily Data'!$F27),N('Daily Data'!$E27)&lt;N('Daily Data'!$G27)),"ERROR","OK")))</f>
        <v>OK</v>
      </c>
      <c r="M27" s="165" t="str">
        <f>IF($A27="","",IF(N('Daily Data'!$AK27)&lt;=1,"OK",IF(ROUND(N('Daily Data'!$D27),2)=ROUND(SUMIFS('Daily Data'!$E$4:$E$503,'Daily Data'!$B$4:$B$503,'Daily Data'!$B27,'Daily Data'!$AK$4:$AK$503,'Daily Data'!$AK27-1),2),"OK","WARNING")))</f>
        <v>OK</v>
      </c>
      <c r="N27" s="165" t="str">
        <f>IF($A27="","",IF(N('Daily Data'!$N27)&lt;=0,"WARNING","OK"))</f>
        <v>OK</v>
      </c>
      <c r="O27" s="165" t="str">
        <f>IF($A27="","",IF(AND(ISNUMBER('Daily Data'!$H27),ABS(N('Daily Data'!$H27))&gt;Settings!$C$56),"WARNING","OK"))</f>
        <v>OK</v>
      </c>
      <c r="P27" s="165" t="str">
        <f>IF($A27="","",IF(OR(AND(N('Daily Data'!$K27)=0,N('Daily Data'!$I27)&gt;0),AND(N('Daily Data'!$I27)=0,N('Daily Data'!$K27)&gt;0),AND(N('Daily Data'!$L27)=0,N('Daily Data'!$M27)=0)),"WARNING","OK"))</f>
        <v>OK</v>
      </c>
      <c r="Q27" s="165" t="str">
        <f>IF($A27="","",IF(COUNTIFS('Daily Data'!$B$4:$B$503,'Daily Data'!$B27,'Daily Data'!$A$4:$A$503,'Daily Data'!$A27,'Daily Data'!$Q$4:$Q$503,'Daily Data'!$Q27)&gt;1,"WARNING","OK"))</f>
        <v>OK</v>
      </c>
      <c r="R27" s="165" t="str">
        <f>IF($A27="","",IF(AND(N('Daily Data'!$K27)&gt;0,N('Daily Data'!$J27)&lt;=0),"WARNING","OK"))</f>
        <v>OK</v>
      </c>
      <c r="S27" s="165">
        <f>IF($A27="","",COUNTIF($D27:$R27,"ERROR"))</f>
        <v>0</v>
      </c>
      <c r="T27" s="165">
        <f>IF($A27="","",COUNTIF($D27:$R27,"WARNING"))</f>
        <v>0</v>
      </c>
      <c r="U27" s="165" t="str">
        <f>IF($A27="","",IF($S27&gt;0,"ERROR",IF($T27&gt;0,"WARNING","PASS")))</f>
        <v>PASS</v>
      </c>
    </row>
    <row r="28" spans="1:21" x14ac:dyDescent="0.3">
      <c r="A28">
        <f>IF(AND('Daily Data'!$A28="",'Daily Data'!$B28=""),"",28)</f>
        <v>28</v>
      </c>
      <c r="B28" s="16">
        <f>IF($A28="","",'Daily Data'!$A28)</f>
        <v>46244</v>
      </c>
      <c r="C28" t="str">
        <f>IF($A28="","",'Daily Data'!$B28)</f>
        <v>TTP</v>
      </c>
      <c r="D28" s="165" t="str">
        <f>IF($A28="","",IF(COUNTIFS('Daily Data'!$B$4:$B$503,'Daily Data'!$B28,'Daily Data'!$A$4:$A$503,'Daily Data'!$A28)&gt;1,"ERROR","OK"))</f>
        <v>OK</v>
      </c>
      <c r="E28" s="165" t="str">
        <f>IF($A28="","",IF('Daily Data'!$B28="","ERROR","OK"))</f>
        <v>OK</v>
      </c>
      <c r="F28" s="165" t="str">
        <f>IF($A28="","",IF(NOT(ISNUMBER('Daily Data'!$A28)),"ERROR","OK"))</f>
        <v>OK</v>
      </c>
      <c r="G28" s="165" t="str">
        <f>IF($A28="","",IF(OR(N('Daily Data'!$E28)&lt;=0,N('Daily Data'!$C28)&lt;0,N('Daily Data'!$D28)&lt;0,N('Daily Data'!$F28)&lt;0,N('Daily Data'!$G28)&lt;0),"ERROR","OK"))</f>
        <v>OK</v>
      </c>
      <c r="H28" s="165" t="str">
        <f>IF($A28="","",IF(N('Daily Data'!$K28)&lt;0,"ERROR","OK"))</f>
        <v>OK</v>
      </c>
      <c r="I28" s="165" t="str">
        <f>IF($A28="","",IF(N('Daily Data'!$I28)&lt;0,"ERROR","OK"))</f>
        <v>OK</v>
      </c>
      <c r="J28" s="165" t="str">
        <f>IF($A28="","",IF(N('Daily Data'!$L28)&lt;0,"ERROR","OK"))</f>
        <v>OK</v>
      </c>
      <c r="K28" s="165" t="str">
        <f>IF($A28="","",IF(N('Daily Data'!$M28)&lt;0,"ERROR","OK"))</f>
        <v>OK</v>
      </c>
      <c r="L28" s="165" t="str">
        <f>IF($A28="","",IF(OR(N('Daily Data'!$F28)=0,N('Daily Data'!$G28)=0),"OK",IF(OR(N('Daily Data'!$E28)&gt;N('Daily Data'!$F28),N('Daily Data'!$E28)&lt;N('Daily Data'!$G28)),"ERROR","OK")))</f>
        <v>OK</v>
      </c>
      <c r="M28" s="165" t="str">
        <f>IF($A28="","",IF(N('Daily Data'!$AK28)&lt;=1,"OK",IF(ROUND(N('Daily Data'!$D28),2)=ROUND(SUMIFS('Daily Data'!$E$4:$E$503,'Daily Data'!$B$4:$B$503,'Daily Data'!$B28,'Daily Data'!$AK$4:$AK$503,'Daily Data'!$AK28-1),2),"OK","WARNING")))</f>
        <v>OK</v>
      </c>
      <c r="N28" s="165" t="str">
        <f>IF($A28="","",IF(N('Daily Data'!$N28)&lt;=0,"WARNING","OK"))</f>
        <v>OK</v>
      </c>
      <c r="O28" s="165" t="str">
        <f>IF($A28="","",IF(AND(ISNUMBER('Daily Data'!$H28),ABS(N('Daily Data'!$H28))&gt;Settings!$C$56),"WARNING","OK"))</f>
        <v>OK</v>
      </c>
      <c r="P28" s="165" t="str">
        <f>IF($A28="","",IF(OR(AND(N('Daily Data'!$K28)=0,N('Daily Data'!$I28)&gt;0),AND(N('Daily Data'!$I28)=0,N('Daily Data'!$K28)&gt;0),AND(N('Daily Data'!$L28)=0,N('Daily Data'!$M28)=0)),"WARNING","OK"))</f>
        <v>OK</v>
      </c>
      <c r="Q28" s="165" t="str">
        <f>IF($A28="","",IF(COUNTIFS('Daily Data'!$B$4:$B$503,'Daily Data'!$B28,'Daily Data'!$A$4:$A$503,'Daily Data'!$A28,'Daily Data'!$Q$4:$Q$503,'Daily Data'!$Q28)&gt;1,"WARNING","OK"))</f>
        <v>OK</v>
      </c>
      <c r="R28" s="165" t="str">
        <f>IF($A28="","",IF(AND(N('Daily Data'!$K28)&gt;0,N('Daily Data'!$J28)&lt;=0),"WARNING","OK"))</f>
        <v>OK</v>
      </c>
      <c r="S28" s="165">
        <f>IF($A28="","",COUNTIF($D28:$R28,"ERROR"))</f>
        <v>0</v>
      </c>
      <c r="T28" s="165">
        <f>IF($A28="","",COUNTIF($D28:$R28,"WARNING"))</f>
        <v>0</v>
      </c>
      <c r="U28" s="165" t="str">
        <f>IF($A28="","",IF($S28&gt;0,"ERROR",IF($T28&gt;0,"WARNING","PASS")))</f>
        <v>PASS</v>
      </c>
    </row>
    <row r="29" spans="1:21" x14ac:dyDescent="0.3">
      <c r="A29">
        <f>IF(AND('Daily Data'!$A29="",'Daily Data'!$B29=""),"",29)</f>
        <v>29</v>
      </c>
      <c r="B29" s="16">
        <f>IF($A29="","",'Daily Data'!$A29)</f>
        <v>46244</v>
      </c>
      <c r="C29" t="str">
        <f>IF($A29="","",'Daily Data'!$B29)</f>
        <v>USL</v>
      </c>
      <c r="D29" s="165" t="str">
        <f>IF($A29="","",IF(COUNTIFS('Daily Data'!$B$4:$B$503,'Daily Data'!$B29,'Daily Data'!$A$4:$A$503,'Daily Data'!$A29)&gt;1,"ERROR","OK"))</f>
        <v>OK</v>
      </c>
      <c r="E29" s="165" t="str">
        <f>IF($A29="","",IF('Daily Data'!$B29="","ERROR","OK"))</f>
        <v>OK</v>
      </c>
      <c r="F29" s="165" t="str">
        <f>IF($A29="","",IF(NOT(ISNUMBER('Daily Data'!$A29)),"ERROR","OK"))</f>
        <v>OK</v>
      </c>
      <c r="G29" s="165" t="str">
        <f>IF($A29="","",IF(OR(N('Daily Data'!$E29)&lt;=0,N('Daily Data'!$C29)&lt;0,N('Daily Data'!$D29)&lt;0,N('Daily Data'!$F29)&lt;0,N('Daily Data'!$G29)&lt;0),"ERROR","OK"))</f>
        <v>OK</v>
      </c>
      <c r="H29" s="165" t="str">
        <f>IF($A29="","",IF(N('Daily Data'!$K29)&lt;0,"ERROR","OK"))</f>
        <v>OK</v>
      </c>
      <c r="I29" s="165" t="str">
        <f>IF($A29="","",IF(N('Daily Data'!$I29)&lt;0,"ERROR","OK"))</f>
        <v>OK</v>
      </c>
      <c r="J29" s="165" t="str">
        <f>IF($A29="","",IF(N('Daily Data'!$L29)&lt;0,"ERROR","OK"))</f>
        <v>OK</v>
      </c>
      <c r="K29" s="165" t="str">
        <f>IF($A29="","",IF(N('Daily Data'!$M29)&lt;0,"ERROR","OK"))</f>
        <v>OK</v>
      </c>
      <c r="L29" s="165" t="str">
        <f>IF($A29="","",IF(OR(N('Daily Data'!$F29)=0,N('Daily Data'!$G29)=0),"OK",IF(OR(N('Daily Data'!$E29)&gt;N('Daily Data'!$F29),N('Daily Data'!$E29)&lt;N('Daily Data'!$G29)),"ERROR","OK")))</f>
        <v>OK</v>
      </c>
      <c r="M29" s="165" t="str">
        <f>IF($A29="","",IF(N('Daily Data'!$AK29)&lt;=1,"OK",IF(ROUND(N('Daily Data'!$D29),2)=ROUND(SUMIFS('Daily Data'!$E$4:$E$503,'Daily Data'!$B$4:$B$503,'Daily Data'!$B29,'Daily Data'!$AK$4:$AK$503,'Daily Data'!$AK29-1),2),"OK","WARNING")))</f>
        <v>OK</v>
      </c>
      <c r="N29" s="165" t="str">
        <f>IF($A29="","",IF(N('Daily Data'!$N29)&lt;=0,"WARNING","OK"))</f>
        <v>OK</v>
      </c>
      <c r="O29" s="165" t="str">
        <f>IF($A29="","",IF(AND(ISNUMBER('Daily Data'!$H29),ABS(N('Daily Data'!$H29))&gt;Settings!$C$56),"WARNING","OK"))</f>
        <v>OK</v>
      </c>
      <c r="P29" s="165" t="str">
        <f>IF($A29="","",IF(OR(AND(N('Daily Data'!$K29)=0,N('Daily Data'!$I29)&gt;0),AND(N('Daily Data'!$I29)=0,N('Daily Data'!$K29)&gt;0),AND(N('Daily Data'!$L29)=0,N('Daily Data'!$M29)=0)),"WARNING","OK"))</f>
        <v>OK</v>
      </c>
      <c r="Q29" s="165" t="str">
        <f>IF($A29="","",IF(COUNTIFS('Daily Data'!$B$4:$B$503,'Daily Data'!$B29,'Daily Data'!$A$4:$A$503,'Daily Data'!$A29,'Daily Data'!$Q$4:$Q$503,'Daily Data'!$Q29)&gt;1,"WARNING","OK"))</f>
        <v>OK</v>
      </c>
      <c r="R29" s="165" t="str">
        <f>IF($A29="","",IF(AND(N('Daily Data'!$K29)&gt;0,N('Daily Data'!$J29)&lt;=0),"WARNING","OK"))</f>
        <v>OK</v>
      </c>
      <c r="S29" s="165">
        <f>IF($A29="","",COUNTIF($D29:$R29,"ERROR"))</f>
        <v>0</v>
      </c>
      <c r="T29" s="165">
        <f>IF($A29="","",COUNTIF($D29:$R29,"WARNING"))</f>
        <v>0</v>
      </c>
      <c r="U29" s="165" t="str">
        <f>IF($A29="","",IF($S29&gt;0,"ERROR",IF($T29&gt;0,"WARNING","PASS")))</f>
        <v>PASS</v>
      </c>
    </row>
    <row r="30" spans="1:21" x14ac:dyDescent="0.3">
      <c r="A30">
        <f>IF(AND('Daily Data'!$A30="",'Daily Data'!$B30=""),"",30)</f>
        <v>30</v>
      </c>
      <c r="B30" s="16">
        <f>IF($A30="","",'Daily Data'!$A30)</f>
        <v>46244</v>
      </c>
      <c r="C30" t="str">
        <f>IF($A30="","",'Daily Data'!$B30)</f>
        <v>VODA</v>
      </c>
      <c r="D30" s="165" t="str">
        <f>IF($A30="","",IF(COUNTIFS('Daily Data'!$B$4:$B$503,'Daily Data'!$B30,'Daily Data'!$A$4:$A$503,'Daily Data'!$A30)&gt;1,"ERROR","OK"))</f>
        <v>OK</v>
      </c>
      <c r="E30" s="165" t="str">
        <f>IF($A30="","",IF('Daily Data'!$B30="","ERROR","OK"))</f>
        <v>OK</v>
      </c>
      <c r="F30" s="165" t="str">
        <f>IF($A30="","",IF(NOT(ISNUMBER('Daily Data'!$A30)),"ERROR","OK"))</f>
        <v>OK</v>
      </c>
      <c r="G30" s="165" t="str">
        <f>IF($A30="","",IF(OR(N('Daily Data'!$E30)&lt;=0,N('Daily Data'!$C30)&lt;0,N('Daily Data'!$D30)&lt;0,N('Daily Data'!$F30)&lt;0,N('Daily Data'!$G30)&lt;0),"ERROR","OK"))</f>
        <v>OK</v>
      </c>
      <c r="H30" s="165" t="str">
        <f>IF($A30="","",IF(N('Daily Data'!$K30)&lt;0,"ERROR","OK"))</f>
        <v>OK</v>
      </c>
      <c r="I30" s="165" t="str">
        <f>IF($A30="","",IF(N('Daily Data'!$I30)&lt;0,"ERROR","OK"))</f>
        <v>OK</v>
      </c>
      <c r="J30" s="165" t="str">
        <f>IF($A30="","",IF(N('Daily Data'!$L30)&lt;0,"ERROR","OK"))</f>
        <v>OK</v>
      </c>
      <c r="K30" s="165" t="str">
        <f>IF($A30="","",IF(N('Daily Data'!$M30)&lt;0,"ERROR","OK"))</f>
        <v>OK</v>
      </c>
      <c r="L30" s="165" t="str">
        <f>IF($A30="","",IF(OR(N('Daily Data'!$F30)=0,N('Daily Data'!$G30)=0),"OK",IF(OR(N('Daily Data'!$E30)&gt;N('Daily Data'!$F30),N('Daily Data'!$E30)&lt;N('Daily Data'!$G30)),"ERROR","OK")))</f>
        <v>OK</v>
      </c>
      <c r="M30" s="165" t="str">
        <f>IF($A30="","",IF(N('Daily Data'!$AK30)&lt;=1,"OK",IF(ROUND(N('Daily Data'!$D30),2)=ROUND(SUMIFS('Daily Data'!$E$4:$E$503,'Daily Data'!$B$4:$B$503,'Daily Data'!$B30,'Daily Data'!$AK$4:$AK$503,'Daily Data'!$AK30-1),2),"OK","WARNING")))</f>
        <v>OK</v>
      </c>
      <c r="N30" s="165" t="str">
        <f>IF($A30="","",IF(N('Daily Data'!$N30)&lt;=0,"WARNING","OK"))</f>
        <v>OK</v>
      </c>
      <c r="O30" s="165" t="str">
        <f>IF($A30="","",IF(AND(ISNUMBER('Daily Data'!$H30),ABS(N('Daily Data'!$H30))&gt;Settings!$C$56),"WARNING","OK"))</f>
        <v>OK</v>
      </c>
      <c r="P30" s="165" t="str">
        <f>IF($A30="","",IF(OR(AND(N('Daily Data'!$K30)=0,N('Daily Data'!$I30)&gt;0),AND(N('Daily Data'!$I30)=0,N('Daily Data'!$K30)&gt;0),AND(N('Daily Data'!$L30)=0,N('Daily Data'!$M30)=0)),"WARNING","OK"))</f>
        <v>OK</v>
      </c>
      <c r="Q30" s="165" t="str">
        <f>IF($A30="","",IF(COUNTIFS('Daily Data'!$B$4:$B$503,'Daily Data'!$B30,'Daily Data'!$A$4:$A$503,'Daily Data'!$A30,'Daily Data'!$Q$4:$Q$503,'Daily Data'!$Q30)&gt;1,"WARNING","OK"))</f>
        <v>OK</v>
      </c>
      <c r="R30" s="165" t="str">
        <f>IF($A30="","",IF(AND(N('Daily Data'!$K30)&gt;0,N('Daily Data'!$J30)&lt;=0),"WARNING","OK"))</f>
        <v>OK</v>
      </c>
      <c r="S30" s="165">
        <f>IF($A30="","",COUNTIF($D30:$R30,"ERROR"))</f>
        <v>0</v>
      </c>
      <c r="T30" s="165">
        <f>IF($A30="","",COUNTIF($D30:$R30,"WARNING"))</f>
        <v>0</v>
      </c>
      <c r="U30" s="165" t="str">
        <f>IF($A30="","",IF($S30&gt;0,"ERROR",IF($T30&gt;0,"WARNING","PASS")))</f>
        <v>PASS</v>
      </c>
    </row>
    <row r="31" spans="1:21" x14ac:dyDescent="0.3">
      <c r="A31">
        <f>IF(AND('Daily Data'!$A31="",'Daily Data'!$B31=""),"",31)</f>
        <v>31</v>
      </c>
      <c r="B31" s="16">
        <f>IF($A31="","",'Daily Data'!$A31)</f>
        <v>46244</v>
      </c>
      <c r="C31" t="str">
        <f>IF($A31="","",'Daily Data'!$B31)</f>
        <v>YETU</v>
      </c>
      <c r="D31" s="165" t="str">
        <f>IF($A31="","",IF(COUNTIFS('Daily Data'!$B$4:$B$503,'Daily Data'!$B31,'Daily Data'!$A$4:$A$503,'Daily Data'!$A31)&gt;1,"ERROR","OK"))</f>
        <v>OK</v>
      </c>
      <c r="E31" s="165" t="str">
        <f>IF($A31="","",IF('Daily Data'!$B31="","ERROR","OK"))</f>
        <v>OK</v>
      </c>
      <c r="F31" s="165" t="str">
        <f>IF($A31="","",IF(NOT(ISNUMBER('Daily Data'!$A31)),"ERROR","OK"))</f>
        <v>OK</v>
      </c>
      <c r="G31" s="165" t="str">
        <f>IF($A31="","",IF(OR(N('Daily Data'!$E31)&lt;=0,N('Daily Data'!$C31)&lt;0,N('Daily Data'!$D31)&lt;0,N('Daily Data'!$F31)&lt;0,N('Daily Data'!$G31)&lt;0),"ERROR","OK"))</f>
        <v>OK</v>
      </c>
      <c r="H31" s="165" t="str">
        <f>IF($A31="","",IF(N('Daily Data'!$K31)&lt;0,"ERROR","OK"))</f>
        <v>OK</v>
      </c>
      <c r="I31" s="165" t="str">
        <f>IF($A31="","",IF(N('Daily Data'!$I31)&lt;0,"ERROR","OK"))</f>
        <v>OK</v>
      </c>
      <c r="J31" s="165" t="str">
        <f>IF($A31="","",IF(N('Daily Data'!$L31)&lt;0,"ERROR","OK"))</f>
        <v>OK</v>
      </c>
      <c r="K31" s="165" t="str">
        <f>IF($A31="","",IF(N('Daily Data'!$M31)&lt;0,"ERROR","OK"))</f>
        <v>OK</v>
      </c>
      <c r="L31" s="165" t="str">
        <f>IF($A31="","",IF(OR(N('Daily Data'!$F31)=0,N('Daily Data'!$G31)=0),"OK",IF(OR(N('Daily Data'!$E31)&gt;N('Daily Data'!$F31),N('Daily Data'!$E31)&lt;N('Daily Data'!$G31)),"ERROR","OK")))</f>
        <v>OK</v>
      </c>
      <c r="M31" s="165" t="str">
        <f>IF($A31="","",IF(N('Daily Data'!$AK31)&lt;=1,"OK",IF(ROUND(N('Daily Data'!$D31),2)=ROUND(SUMIFS('Daily Data'!$E$4:$E$503,'Daily Data'!$B$4:$B$503,'Daily Data'!$B31,'Daily Data'!$AK$4:$AK$503,'Daily Data'!$AK31-1),2),"OK","WARNING")))</f>
        <v>OK</v>
      </c>
      <c r="N31" s="165" t="str">
        <f>IF($A31="","",IF(N('Daily Data'!$N31)&lt;=0,"WARNING","OK"))</f>
        <v>OK</v>
      </c>
      <c r="O31" s="165" t="str">
        <f>IF($A31="","",IF(AND(ISNUMBER('Daily Data'!$H31),ABS(N('Daily Data'!$H31))&gt;Settings!$C$56),"WARNING","OK"))</f>
        <v>OK</v>
      </c>
      <c r="P31" s="165" t="str">
        <f>IF($A31="","",IF(OR(AND(N('Daily Data'!$K31)=0,N('Daily Data'!$I31)&gt;0),AND(N('Daily Data'!$I31)=0,N('Daily Data'!$K31)&gt;0),AND(N('Daily Data'!$L31)=0,N('Daily Data'!$M31)=0)),"WARNING","OK"))</f>
        <v>WARNING</v>
      </c>
      <c r="Q31" s="165" t="str">
        <f>IF($A31="","",IF(COUNTIFS('Daily Data'!$B$4:$B$503,'Daily Data'!$B31,'Daily Data'!$A$4:$A$503,'Daily Data'!$A31,'Daily Data'!$Q$4:$Q$503,'Daily Data'!$Q31)&gt;1,"WARNING","OK"))</f>
        <v>OK</v>
      </c>
      <c r="R31" s="165" t="str">
        <f>IF($A31="","",IF(AND(N('Daily Data'!$K31)&gt;0,N('Daily Data'!$J31)&lt;=0),"WARNING","OK"))</f>
        <v>OK</v>
      </c>
      <c r="S31" s="165">
        <f>IF($A31="","",COUNTIF($D31:$R31,"ERROR"))</f>
        <v>0</v>
      </c>
      <c r="T31" s="165">
        <f>IF($A31="","",COUNTIF($D31:$R31,"WARNING"))</f>
        <v>1</v>
      </c>
      <c r="U31" s="165" t="str">
        <f>IF($A31="","",IF($S31&gt;0,"ERROR",IF($T31&gt;0,"WARNING","PASS")))</f>
        <v>WARNING</v>
      </c>
    </row>
    <row r="32" spans="1:21" x14ac:dyDescent="0.3">
      <c r="A32">
        <f>IF(AND('Daily Data'!$A32="",'Daily Data'!$B32=""),"",32)</f>
        <v>32</v>
      </c>
      <c r="B32" s="16">
        <f>IF($A32="","",'Daily Data'!$A32)</f>
        <v>46245</v>
      </c>
      <c r="C32" t="str">
        <f>IF($A32="","",'Daily Data'!$B32)</f>
        <v>AFRIPRISE</v>
      </c>
      <c r="D32" s="165" t="str">
        <f>IF($A32="","",IF(COUNTIFS('Daily Data'!$B$4:$B$503,'Daily Data'!$B32,'Daily Data'!$A$4:$A$503,'Daily Data'!$A32)&gt;1,"ERROR","OK"))</f>
        <v>OK</v>
      </c>
      <c r="E32" s="165" t="str">
        <f>IF($A32="","",IF('Daily Data'!$B32="","ERROR","OK"))</f>
        <v>OK</v>
      </c>
      <c r="F32" s="165" t="str">
        <f>IF($A32="","",IF(NOT(ISNUMBER('Daily Data'!$A32)),"ERROR","OK"))</f>
        <v>OK</v>
      </c>
      <c r="G32" s="165" t="str">
        <f>IF($A32="","",IF(OR(N('Daily Data'!$E32)&lt;=0,N('Daily Data'!$C32)&lt;0,N('Daily Data'!$D32)&lt;0,N('Daily Data'!$F32)&lt;0,N('Daily Data'!$G32)&lt;0),"ERROR","OK"))</f>
        <v>OK</v>
      </c>
      <c r="H32" s="165" t="str">
        <f>IF($A32="","",IF(N('Daily Data'!$K32)&lt;0,"ERROR","OK"))</f>
        <v>OK</v>
      </c>
      <c r="I32" s="165" t="str">
        <f>IF($A32="","",IF(N('Daily Data'!$I32)&lt;0,"ERROR","OK"))</f>
        <v>OK</v>
      </c>
      <c r="J32" s="165" t="str">
        <f>IF($A32="","",IF(N('Daily Data'!$L32)&lt;0,"ERROR","OK"))</f>
        <v>OK</v>
      </c>
      <c r="K32" s="165" t="str">
        <f>IF($A32="","",IF(N('Daily Data'!$M32)&lt;0,"ERROR","OK"))</f>
        <v>OK</v>
      </c>
      <c r="L32" s="165" t="str">
        <f>IF($A32="","",IF(OR(N('Daily Data'!$F32)=0,N('Daily Data'!$G32)=0),"OK",IF(OR(N('Daily Data'!$E32)&gt;N('Daily Data'!$F32),N('Daily Data'!$E32)&lt;N('Daily Data'!$G32)),"ERROR","OK")))</f>
        <v>OK</v>
      </c>
      <c r="M32" s="165" t="str">
        <f>IF($A32="","",IF(N('Daily Data'!$AK32)&lt;=1,"OK",IF(ROUND(N('Daily Data'!$D32),2)=ROUND(SUMIFS('Daily Data'!$E$4:$E$503,'Daily Data'!$B$4:$B$503,'Daily Data'!$B32,'Daily Data'!$AK$4:$AK$503,'Daily Data'!$AK32-1),2),"OK","WARNING")))</f>
        <v>OK</v>
      </c>
      <c r="N32" s="165" t="str">
        <f>IF($A32="","",IF(N('Daily Data'!$N32)&lt;=0,"WARNING","OK"))</f>
        <v>OK</v>
      </c>
      <c r="O32" s="165" t="str">
        <f>IF($A32="","",IF(AND(ISNUMBER('Daily Data'!$H32),ABS(N('Daily Data'!$H32))&gt;Settings!$C$56),"WARNING","OK"))</f>
        <v>OK</v>
      </c>
      <c r="P32" s="165" t="str">
        <f>IF($A32="","",IF(OR(AND(N('Daily Data'!$K32)=0,N('Daily Data'!$I32)&gt;0),AND(N('Daily Data'!$I32)=0,N('Daily Data'!$K32)&gt;0),AND(N('Daily Data'!$L32)=0,N('Daily Data'!$M32)=0)),"WARNING","OK"))</f>
        <v>OK</v>
      </c>
      <c r="Q32" s="165" t="str">
        <f>IF($A32="","",IF(COUNTIFS('Daily Data'!$B$4:$B$503,'Daily Data'!$B32,'Daily Data'!$A$4:$A$503,'Daily Data'!$A32,'Daily Data'!$Q$4:$Q$503,'Daily Data'!$Q32)&gt;1,"WARNING","OK"))</f>
        <v>OK</v>
      </c>
      <c r="R32" s="165" t="str">
        <f>IF($A32="","",IF(AND(N('Daily Data'!$K32)&gt;0,N('Daily Data'!$J32)&lt;=0),"WARNING","OK"))</f>
        <v>OK</v>
      </c>
      <c r="S32" s="165">
        <f>IF($A32="","",COUNTIF($D32:$R32,"ERROR"))</f>
        <v>0</v>
      </c>
      <c r="T32" s="165">
        <f>IF($A32="","",COUNTIF($D32:$R32,"WARNING"))</f>
        <v>0</v>
      </c>
      <c r="U32" s="165" t="str">
        <f>IF($A32="","",IF($S32&gt;0,"ERROR",IF($T32&gt;0,"WARNING","PASS")))</f>
        <v>PASS</v>
      </c>
    </row>
    <row r="33" spans="1:21" x14ac:dyDescent="0.3">
      <c r="A33">
        <f>IF(AND('Daily Data'!$A33="",'Daily Data'!$B33=""),"",33)</f>
        <v>33</v>
      </c>
      <c r="B33" s="16">
        <f>IF($A33="","",'Daily Data'!$A33)</f>
        <v>46245</v>
      </c>
      <c r="C33" t="str">
        <f>IF($A33="","",'Daily Data'!$B33)</f>
        <v>CRDB</v>
      </c>
      <c r="D33" s="165" t="str">
        <f>IF($A33="","",IF(COUNTIFS('Daily Data'!$B$4:$B$503,'Daily Data'!$B33,'Daily Data'!$A$4:$A$503,'Daily Data'!$A33)&gt;1,"ERROR","OK"))</f>
        <v>OK</v>
      </c>
      <c r="E33" s="165" t="str">
        <f>IF($A33="","",IF('Daily Data'!$B33="","ERROR","OK"))</f>
        <v>OK</v>
      </c>
      <c r="F33" s="165" t="str">
        <f>IF($A33="","",IF(NOT(ISNUMBER('Daily Data'!$A33)),"ERROR","OK"))</f>
        <v>OK</v>
      </c>
      <c r="G33" s="165" t="str">
        <f>IF($A33="","",IF(OR(N('Daily Data'!$E33)&lt;=0,N('Daily Data'!$C33)&lt;0,N('Daily Data'!$D33)&lt;0,N('Daily Data'!$F33)&lt;0,N('Daily Data'!$G33)&lt;0),"ERROR","OK"))</f>
        <v>OK</v>
      </c>
      <c r="H33" s="165" t="str">
        <f>IF($A33="","",IF(N('Daily Data'!$K33)&lt;0,"ERROR","OK"))</f>
        <v>OK</v>
      </c>
      <c r="I33" s="165" t="str">
        <f>IF($A33="","",IF(N('Daily Data'!$I33)&lt;0,"ERROR","OK"))</f>
        <v>OK</v>
      </c>
      <c r="J33" s="165" t="str">
        <f>IF($A33="","",IF(N('Daily Data'!$L33)&lt;0,"ERROR","OK"))</f>
        <v>OK</v>
      </c>
      <c r="K33" s="165" t="str">
        <f>IF($A33="","",IF(N('Daily Data'!$M33)&lt;0,"ERROR","OK"))</f>
        <v>OK</v>
      </c>
      <c r="L33" s="165" t="str">
        <f>IF($A33="","",IF(OR(N('Daily Data'!$F33)=0,N('Daily Data'!$G33)=0),"OK",IF(OR(N('Daily Data'!$E33)&gt;N('Daily Data'!$F33),N('Daily Data'!$E33)&lt;N('Daily Data'!$G33)),"ERROR","OK")))</f>
        <v>OK</v>
      </c>
      <c r="M33" s="165" t="str">
        <f>IF($A33="","",IF(N('Daily Data'!$AK33)&lt;=1,"OK",IF(ROUND(N('Daily Data'!$D33),2)=ROUND(SUMIFS('Daily Data'!$E$4:$E$503,'Daily Data'!$B$4:$B$503,'Daily Data'!$B33,'Daily Data'!$AK$4:$AK$503,'Daily Data'!$AK33-1),2),"OK","WARNING")))</f>
        <v>OK</v>
      </c>
      <c r="N33" s="165" t="str">
        <f>IF($A33="","",IF(N('Daily Data'!$N33)&lt;=0,"WARNING","OK"))</f>
        <v>OK</v>
      </c>
      <c r="O33" s="165" t="str">
        <f>IF($A33="","",IF(AND(ISNUMBER('Daily Data'!$H33),ABS(N('Daily Data'!$H33))&gt;Settings!$C$56),"WARNING","OK"))</f>
        <v>OK</v>
      </c>
      <c r="P33" s="165" t="str">
        <f>IF($A33="","",IF(OR(AND(N('Daily Data'!$K33)=0,N('Daily Data'!$I33)&gt;0),AND(N('Daily Data'!$I33)=0,N('Daily Data'!$K33)&gt;0),AND(N('Daily Data'!$L33)=0,N('Daily Data'!$M33)=0)),"WARNING","OK"))</f>
        <v>OK</v>
      </c>
      <c r="Q33" s="165" t="str">
        <f>IF($A33="","",IF(COUNTIFS('Daily Data'!$B$4:$B$503,'Daily Data'!$B33,'Daily Data'!$A$4:$A$503,'Daily Data'!$A33,'Daily Data'!$Q$4:$Q$503,'Daily Data'!$Q33)&gt;1,"WARNING","OK"))</f>
        <v>OK</v>
      </c>
      <c r="R33" s="165" t="str">
        <f>IF($A33="","",IF(AND(N('Daily Data'!$K33)&gt;0,N('Daily Data'!$J33)&lt;=0),"WARNING","OK"))</f>
        <v>OK</v>
      </c>
      <c r="S33" s="165">
        <f>IF($A33="","",COUNTIF($D33:$R33,"ERROR"))</f>
        <v>0</v>
      </c>
      <c r="T33" s="165">
        <f>IF($A33="","",COUNTIF($D33:$R33,"WARNING"))</f>
        <v>0</v>
      </c>
      <c r="U33" s="165" t="str">
        <f>IF($A33="","",IF($S33&gt;0,"ERROR",IF($T33&gt;0,"WARNING","PASS")))</f>
        <v>PASS</v>
      </c>
    </row>
    <row r="34" spans="1:21" x14ac:dyDescent="0.3">
      <c r="A34">
        <f>IF(AND('Daily Data'!$A34="",'Daily Data'!$B34=""),"",34)</f>
        <v>34</v>
      </c>
      <c r="B34" s="16">
        <f>IF($A34="","",'Daily Data'!$A34)</f>
        <v>46245</v>
      </c>
      <c r="C34" t="str">
        <f>IF($A34="","",'Daily Data'!$B34)</f>
        <v>DCB</v>
      </c>
      <c r="D34" s="165" t="str">
        <f>IF($A34="","",IF(COUNTIFS('Daily Data'!$B$4:$B$503,'Daily Data'!$B34,'Daily Data'!$A$4:$A$503,'Daily Data'!$A34)&gt;1,"ERROR","OK"))</f>
        <v>OK</v>
      </c>
      <c r="E34" s="165" t="str">
        <f>IF($A34="","",IF('Daily Data'!$B34="","ERROR","OK"))</f>
        <v>OK</v>
      </c>
      <c r="F34" s="165" t="str">
        <f>IF($A34="","",IF(NOT(ISNUMBER('Daily Data'!$A34)),"ERROR","OK"))</f>
        <v>OK</v>
      </c>
      <c r="G34" s="165" t="str">
        <f>IF($A34="","",IF(OR(N('Daily Data'!$E34)&lt;=0,N('Daily Data'!$C34)&lt;0,N('Daily Data'!$D34)&lt;0,N('Daily Data'!$F34)&lt;0,N('Daily Data'!$G34)&lt;0),"ERROR","OK"))</f>
        <v>OK</v>
      </c>
      <c r="H34" s="165" t="str">
        <f>IF($A34="","",IF(N('Daily Data'!$K34)&lt;0,"ERROR","OK"))</f>
        <v>OK</v>
      </c>
      <c r="I34" s="165" t="str">
        <f>IF($A34="","",IF(N('Daily Data'!$I34)&lt;0,"ERROR","OK"))</f>
        <v>OK</v>
      </c>
      <c r="J34" s="165" t="str">
        <f>IF($A34="","",IF(N('Daily Data'!$L34)&lt;0,"ERROR","OK"))</f>
        <v>OK</v>
      </c>
      <c r="K34" s="165" t="str">
        <f>IF($A34="","",IF(N('Daily Data'!$M34)&lt;0,"ERROR","OK"))</f>
        <v>OK</v>
      </c>
      <c r="L34" s="165" t="str">
        <f>IF($A34="","",IF(OR(N('Daily Data'!$F34)=0,N('Daily Data'!$G34)=0),"OK",IF(OR(N('Daily Data'!$E34)&gt;N('Daily Data'!$F34),N('Daily Data'!$E34)&lt;N('Daily Data'!$G34)),"ERROR","OK")))</f>
        <v>OK</v>
      </c>
      <c r="M34" s="165" t="str">
        <f>IF($A34="","",IF(N('Daily Data'!$AK34)&lt;=1,"OK",IF(ROUND(N('Daily Data'!$D34),2)=ROUND(SUMIFS('Daily Data'!$E$4:$E$503,'Daily Data'!$B$4:$B$503,'Daily Data'!$B34,'Daily Data'!$AK$4:$AK$503,'Daily Data'!$AK34-1),2),"OK","WARNING")))</f>
        <v>OK</v>
      </c>
      <c r="N34" s="165" t="str">
        <f>IF($A34="","",IF(N('Daily Data'!$N34)&lt;=0,"WARNING","OK"))</f>
        <v>OK</v>
      </c>
      <c r="O34" s="165" t="str">
        <f>IF($A34="","",IF(AND(ISNUMBER('Daily Data'!$H34),ABS(N('Daily Data'!$H34))&gt;Settings!$C$56),"WARNING","OK"))</f>
        <v>OK</v>
      </c>
      <c r="P34" s="165" t="str">
        <f>IF($A34="","",IF(OR(AND(N('Daily Data'!$K34)=0,N('Daily Data'!$I34)&gt;0),AND(N('Daily Data'!$I34)=0,N('Daily Data'!$K34)&gt;0),AND(N('Daily Data'!$L34)=0,N('Daily Data'!$M34)=0)),"WARNING","OK"))</f>
        <v>OK</v>
      </c>
      <c r="Q34" s="165" t="str">
        <f>IF($A34="","",IF(COUNTIFS('Daily Data'!$B$4:$B$503,'Daily Data'!$B34,'Daily Data'!$A$4:$A$503,'Daily Data'!$A34,'Daily Data'!$Q$4:$Q$503,'Daily Data'!$Q34)&gt;1,"WARNING","OK"))</f>
        <v>OK</v>
      </c>
      <c r="R34" s="165" t="str">
        <f>IF($A34="","",IF(AND(N('Daily Data'!$K34)&gt;0,N('Daily Data'!$J34)&lt;=0),"WARNING","OK"))</f>
        <v>OK</v>
      </c>
      <c r="S34" s="165">
        <f>IF($A34="","",COUNTIF($D34:$R34,"ERROR"))</f>
        <v>0</v>
      </c>
      <c r="T34" s="165">
        <f>IF($A34="","",COUNTIF($D34:$R34,"WARNING"))</f>
        <v>0</v>
      </c>
      <c r="U34" s="165" t="str">
        <f>IF($A34="","",IF($S34&gt;0,"ERROR",IF($T34&gt;0,"WARNING","PASS")))</f>
        <v>PASS</v>
      </c>
    </row>
    <row r="35" spans="1:21" x14ac:dyDescent="0.3">
      <c r="A35">
        <f>IF(AND('Daily Data'!$A35="",'Daily Data'!$B35=""),"",35)</f>
        <v>35</v>
      </c>
      <c r="B35" s="16">
        <f>IF($A35="","",'Daily Data'!$A35)</f>
        <v>46245</v>
      </c>
      <c r="C35" t="str">
        <f>IF($A35="","",'Daily Data'!$B35)</f>
        <v>DSE</v>
      </c>
      <c r="D35" s="165" t="str">
        <f>IF($A35="","",IF(COUNTIFS('Daily Data'!$B$4:$B$503,'Daily Data'!$B35,'Daily Data'!$A$4:$A$503,'Daily Data'!$A35)&gt;1,"ERROR","OK"))</f>
        <v>OK</v>
      </c>
      <c r="E35" s="165" t="str">
        <f>IF($A35="","",IF('Daily Data'!$B35="","ERROR","OK"))</f>
        <v>OK</v>
      </c>
      <c r="F35" s="165" t="str">
        <f>IF($A35="","",IF(NOT(ISNUMBER('Daily Data'!$A35)),"ERROR","OK"))</f>
        <v>OK</v>
      </c>
      <c r="G35" s="165" t="str">
        <f>IF($A35="","",IF(OR(N('Daily Data'!$E35)&lt;=0,N('Daily Data'!$C35)&lt;0,N('Daily Data'!$D35)&lt;0,N('Daily Data'!$F35)&lt;0,N('Daily Data'!$G35)&lt;0),"ERROR","OK"))</f>
        <v>OK</v>
      </c>
      <c r="H35" s="165" t="str">
        <f>IF($A35="","",IF(N('Daily Data'!$K35)&lt;0,"ERROR","OK"))</f>
        <v>OK</v>
      </c>
      <c r="I35" s="165" t="str">
        <f>IF($A35="","",IF(N('Daily Data'!$I35)&lt;0,"ERROR","OK"))</f>
        <v>OK</v>
      </c>
      <c r="J35" s="165" t="str">
        <f>IF($A35="","",IF(N('Daily Data'!$L35)&lt;0,"ERROR","OK"))</f>
        <v>OK</v>
      </c>
      <c r="K35" s="165" t="str">
        <f>IF($A35="","",IF(N('Daily Data'!$M35)&lt;0,"ERROR","OK"))</f>
        <v>OK</v>
      </c>
      <c r="L35" s="165" t="str">
        <f>IF($A35="","",IF(OR(N('Daily Data'!$F35)=0,N('Daily Data'!$G35)=0),"OK",IF(OR(N('Daily Data'!$E35)&gt;N('Daily Data'!$F35),N('Daily Data'!$E35)&lt;N('Daily Data'!$G35)),"ERROR","OK")))</f>
        <v>OK</v>
      </c>
      <c r="M35" s="165" t="str">
        <f>IF($A35="","",IF(N('Daily Data'!$AK35)&lt;=1,"OK",IF(ROUND(N('Daily Data'!$D35),2)=ROUND(SUMIFS('Daily Data'!$E$4:$E$503,'Daily Data'!$B$4:$B$503,'Daily Data'!$B35,'Daily Data'!$AK$4:$AK$503,'Daily Data'!$AK35-1),2),"OK","WARNING")))</f>
        <v>OK</v>
      </c>
      <c r="N35" s="165" t="str">
        <f>IF($A35="","",IF(N('Daily Data'!$N35)&lt;=0,"WARNING","OK"))</f>
        <v>OK</v>
      </c>
      <c r="O35" s="165" t="str">
        <f>IF($A35="","",IF(AND(ISNUMBER('Daily Data'!$H35),ABS(N('Daily Data'!$H35))&gt;Settings!$C$56),"WARNING","OK"))</f>
        <v>OK</v>
      </c>
      <c r="P35" s="165" t="str">
        <f>IF($A35="","",IF(OR(AND(N('Daily Data'!$K35)=0,N('Daily Data'!$I35)&gt;0),AND(N('Daily Data'!$I35)=0,N('Daily Data'!$K35)&gt;0),AND(N('Daily Data'!$L35)=0,N('Daily Data'!$M35)=0)),"WARNING","OK"))</f>
        <v>OK</v>
      </c>
      <c r="Q35" s="165" t="str">
        <f>IF($A35="","",IF(COUNTIFS('Daily Data'!$B$4:$B$503,'Daily Data'!$B35,'Daily Data'!$A$4:$A$503,'Daily Data'!$A35,'Daily Data'!$Q$4:$Q$503,'Daily Data'!$Q35)&gt;1,"WARNING","OK"))</f>
        <v>OK</v>
      </c>
      <c r="R35" s="165" t="str">
        <f>IF($A35="","",IF(AND(N('Daily Data'!$K35)&gt;0,N('Daily Data'!$J35)&lt;=0),"WARNING","OK"))</f>
        <v>OK</v>
      </c>
      <c r="S35" s="165">
        <f>IF($A35="","",COUNTIF($D35:$R35,"ERROR"))</f>
        <v>0</v>
      </c>
      <c r="T35" s="165">
        <f>IF($A35="","",COUNTIF($D35:$R35,"WARNING"))</f>
        <v>0</v>
      </c>
      <c r="U35" s="165" t="str">
        <f>IF($A35="","",IF($S35&gt;0,"ERROR",IF($T35&gt;0,"WARNING","PASS")))</f>
        <v>PASS</v>
      </c>
    </row>
    <row r="36" spans="1:21" x14ac:dyDescent="0.3">
      <c r="A36">
        <f>IF(AND('Daily Data'!$A36="",'Daily Data'!$B36=""),"",36)</f>
        <v>36</v>
      </c>
      <c r="B36" s="16">
        <f>IF($A36="","",'Daily Data'!$A36)</f>
        <v>46245</v>
      </c>
      <c r="C36" t="str">
        <f>IF($A36="","",'Daily Data'!$B36)</f>
        <v>EABL</v>
      </c>
      <c r="D36" s="165" t="str">
        <f>IF($A36="","",IF(COUNTIFS('Daily Data'!$B$4:$B$503,'Daily Data'!$B36,'Daily Data'!$A$4:$A$503,'Daily Data'!$A36)&gt;1,"ERROR","OK"))</f>
        <v>OK</v>
      </c>
      <c r="E36" s="165" t="str">
        <f>IF($A36="","",IF('Daily Data'!$B36="","ERROR","OK"))</f>
        <v>OK</v>
      </c>
      <c r="F36" s="165" t="str">
        <f>IF($A36="","",IF(NOT(ISNUMBER('Daily Data'!$A36)),"ERROR","OK"))</f>
        <v>OK</v>
      </c>
      <c r="G36" s="165" t="str">
        <f>IF($A36="","",IF(OR(N('Daily Data'!$E36)&lt;=0,N('Daily Data'!$C36)&lt;0,N('Daily Data'!$D36)&lt;0,N('Daily Data'!$F36)&lt;0,N('Daily Data'!$G36)&lt;0),"ERROR","OK"))</f>
        <v>OK</v>
      </c>
      <c r="H36" s="165" t="str">
        <f>IF($A36="","",IF(N('Daily Data'!$K36)&lt;0,"ERROR","OK"))</f>
        <v>OK</v>
      </c>
      <c r="I36" s="165" t="str">
        <f>IF($A36="","",IF(N('Daily Data'!$I36)&lt;0,"ERROR","OK"))</f>
        <v>OK</v>
      </c>
      <c r="J36" s="165" t="str">
        <f>IF($A36="","",IF(N('Daily Data'!$L36)&lt;0,"ERROR","OK"))</f>
        <v>OK</v>
      </c>
      <c r="K36" s="165" t="str">
        <f>IF($A36="","",IF(N('Daily Data'!$M36)&lt;0,"ERROR","OK"))</f>
        <v>OK</v>
      </c>
      <c r="L36" s="165" t="str">
        <f>IF($A36="","",IF(OR(N('Daily Data'!$F36)=0,N('Daily Data'!$G36)=0),"OK",IF(OR(N('Daily Data'!$E36)&gt;N('Daily Data'!$F36),N('Daily Data'!$E36)&lt;N('Daily Data'!$G36)),"ERROR","OK")))</f>
        <v>OK</v>
      </c>
      <c r="M36" s="165" t="str">
        <f>IF($A36="","",IF(N('Daily Data'!$AK36)&lt;=1,"OK",IF(ROUND(N('Daily Data'!$D36),2)=ROUND(SUMIFS('Daily Data'!$E$4:$E$503,'Daily Data'!$B$4:$B$503,'Daily Data'!$B36,'Daily Data'!$AK$4:$AK$503,'Daily Data'!$AK36-1),2),"OK","WARNING")))</f>
        <v>OK</v>
      </c>
      <c r="N36" s="165" t="str">
        <f>IF($A36="","",IF(N('Daily Data'!$N36)&lt;=0,"WARNING","OK"))</f>
        <v>OK</v>
      </c>
      <c r="O36" s="165" t="str">
        <f>IF($A36="","",IF(AND(ISNUMBER('Daily Data'!$H36),ABS(N('Daily Data'!$H36))&gt;Settings!$C$56),"WARNING","OK"))</f>
        <v>OK</v>
      </c>
      <c r="P36" s="165" t="str">
        <f>IF($A36="","",IF(OR(AND(N('Daily Data'!$K36)=0,N('Daily Data'!$I36)&gt;0),AND(N('Daily Data'!$I36)=0,N('Daily Data'!$K36)&gt;0),AND(N('Daily Data'!$L36)=0,N('Daily Data'!$M36)=0)),"WARNING","OK"))</f>
        <v>OK</v>
      </c>
      <c r="Q36" s="165" t="str">
        <f>IF($A36="","",IF(COUNTIFS('Daily Data'!$B$4:$B$503,'Daily Data'!$B36,'Daily Data'!$A$4:$A$503,'Daily Data'!$A36,'Daily Data'!$Q$4:$Q$503,'Daily Data'!$Q36)&gt;1,"WARNING","OK"))</f>
        <v>OK</v>
      </c>
      <c r="R36" s="165" t="str">
        <f>IF($A36="","",IF(AND(N('Daily Data'!$K36)&gt;0,N('Daily Data'!$J36)&lt;=0),"WARNING","OK"))</f>
        <v>OK</v>
      </c>
      <c r="S36" s="165">
        <f>IF($A36="","",COUNTIF($D36:$R36,"ERROR"))</f>
        <v>0</v>
      </c>
      <c r="T36" s="165">
        <f>IF($A36="","",COUNTIF($D36:$R36,"WARNING"))</f>
        <v>0</v>
      </c>
      <c r="U36" s="165" t="str">
        <f>IF($A36="","",IF($S36&gt;0,"ERROR",IF($T36&gt;0,"WARNING","PASS")))</f>
        <v>PASS</v>
      </c>
    </row>
    <row r="37" spans="1:21" x14ac:dyDescent="0.3">
      <c r="A37">
        <f>IF(AND('Daily Data'!$A37="",'Daily Data'!$B37=""),"",37)</f>
        <v>37</v>
      </c>
      <c r="B37" s="16">
        <f>IF($A37="","",'Daily Data'!$A37)</f>
        <v>46245</v>
      </c>
      <c r="C37" t="str">
        <f>IF($A37="","",'Daily Data'!$B37)</f>
        <v>JATU</v>
      </c>
      <c r="D37" s="165" t="str">
        <f>IF($A37="","",IF(COUNTIFS('Daily Data'!$B$4:$B$503,'Daily Data'!$B37,'Daily Data'!$A$4:$A$503,'Daily Data'!$A37)&gt;1,"ERROR","OK"))</f>
        <v>OK</v>
      </c>
      <c r="E37" s="165" t="str">
        <f>IF($A37="","",IF('Daily Data'!$B37="","ERROR","OK"))</f>
        <v>OK</v>
      </c>
      <c r="F37" s="165" t="str">
        <f>IF($A37="","",IF(NOT(ISNUMBER('Daily Data'!$A37)),"ERROR","OK"))</f>
        <v>OK</v>
      </c>
      <c r="G37" s="165" t="str">
        <f>IF($A37="","",IF(OR(N('Daily Data'!$E37)&lt;=0,N('Daily Data'!$C37)&lt;0,N('Daily Data'!$D37)&lt;0,N('Daily Data'!$F37)&lt;0,N('Daily Data'!$G37)&lt;0),"ERROR","OK"))</f>
        <v>OK</v>
      </c>
      <c r="H37" s="165" t="str">
        <f>IF($A37="","",IF(N('Daily Data'!$K37)&lt;0,"ERROR","OK"))</f>
        <v>OK</v>
      </c>
      <c r="I37" s="165" t="str">
        <f>IF($A37="","",IF(N('Daily Data'!$I37)&lt;0,"ERROR","OK"))</f>
        <v>OK</v>
      </c>
      <c r="J37" s="165" t="str">
        <f>IF($A37="","",IF(N('Daily Data'!$L37)&lt;0,"ERROR","OK"))</f>
        <v>OK</v>
      </c>
      <c r="K37" s="165" t="str">
        <f>IF($A37="","",IF(N('Daily Data'!$M37)&lt;0,"ERROR","OK"))</f>
        <v>OK</v>
      </c>
      <c r="L37" s="165" t="str">
        <f>IF($A37="","",IF(OR(N('Daily Data'!$F37)=0,N('Daily Data'!$G37)=0),"OK",IF(OR(N('Daily Data'!$E37)&gt;N('Daily Data'!$F37),N('Daily Data'!$E37)&lt;N('Daily Data'!$G37)),"ERROR","OK")))</f>
        <v>OK</v>
      </c>
      <c r="M37" s="165" t="str">
        <f>IF($A37="","",IF(N('Daily Data'!$AK37)&lt;=1,"OK",IF(ROUND(N('Daily Data'!$D37),2)=ROUND(SUMIFS('Daily Data'!$E$4:$E$503,'Daily Data'!$B$4:$B$503,'Daily Data'!$B37,'Daily Data'!$AK$4:$AK$503,'Daily Data'!$AK37-1),2),"OK","WARNING")))</f>
        <v>OK</v>
      </c>
      <c r="N37" s="165" t="str">
        <f>IF($A37="","",IF(N('Daily Data'!$N37)&lt;=0,"WARNING","OK"))</f>
        <v>OK</v>
      </c>
      <c r="O37" s="165" t="str">
        <f>IF($A37="","",IF(AND(ISNUMBER('Daily Data'!$H37),ABS(N('Daily Data'!$H37))&gt;Settings!$C$56),"WARNING","OK"))</f>
        <v>OK</v>
      </c>
      <c r="P37" s="165" t="str">
        <f>IF($A37="","",IF(OR(AND(N('Daily Data'!$K37)=0,N('Daily Data'!$I37)&gt;0),AND(N('Daily Data'!$I37)=0,N('Daily Data'!$K37)&gt;0),AND(N('Daily Data'!$L37)=0,N('Daily Data'!$M37)=0)),"WARNING","OK"))</f>
        <v>WARNING</v>
      </c>
      <c r="Q37" s="165" t="str">
        <f>IF($A37="","",IF(COUNTIFS('Daily Data'!$B$4:$B$503,'Daily Data'!$B37,'Daily Data'!$A$4:$A$503,'Daily Data'!$A37,'Daily Data'!$Q$4:$Q$503,'Daily Data'!$Q37)&gt;1,"WARNING","OK"))</f>
        <v>OK</v>
      </c>
      <c r="R37" s="165" t="str">
        <f>IF($A37="","",IF(AND(N('Daily Data'!$K37)&gt;0,N('Daily Data'!$J37)&lt;=0),"WARNING","OK"))</f>
        <v>OK</v>
      </c>
      <c r="S37" s="165">
        <f>IF($A37="","",COUNTIF($D37:$R37,"ERROR"))</f>
        <v>0</v>
      </c>
      <c r="T37" s="165">
        <f>IF($A37="","",COUNTIF($D37:$R37,"WARNING"))</f>
        <v>1</v>
      </c>
      <c r="U37" s="165" t="str">
        <f>IF($A37="","",IF($S37&gt;0,"ERROR",IF($T37&gt;0,"WARNING","PASS")))</f>
        <v>WARNING</v>
      </c>
    </row>
    <row r="38" spans="1:21" x14ac:dyDescent="0.3">
      <c r="A38">
        <f>IF(AND('Daily Data'!$A38="",'Daily Data'!$B38=""),"",38)</f>
        <v>38</v>
      </c>
      <c r="B38" s="16">
        <f>IF($A38="","",'Daily Data'!$A38)</f>
        <v>46245</v>
      </c>
      <c r="C38" t="str">
        <f>IF($A38="","",'Daily Data'!$B38)</f>
        <v>JHL</v>
      </c>
      <c r="D38" s="165" t="str">
        <f>IF($A38="","",IF(COUNTIFS('Daily Data'!$B$4:$B$503,'Daily Data'!$B38,'Daily Data'!$A$4:$A$503,'Daily Data'!$A38)&gt;1,"ERROR","OK"))</f>
        <v>OK</v>
      </c>
      <c r="E38" s="165" t="str">
        <f>IF($A38="","",IF('Daily Data'!$B38="","ERROR","OK"))</f>
        <v>OK</v>
      </c>
      <c r="F38" s="165" t="str">
        <f>IF($A38="","",IF(NOT(ISNUMBER('Daily Data'!$A38)),"ERROR","OK"))</f>
        <v>OK</v>
      </c>
      <c r="G38" s="165" t="str">
        <f>IF($A38="","",IF(OR(N('Daily Data'!$E38)&lt;=0,N('Daily Data'!$C38)&lt;0,N('Daily Data'!$D38)&lt;0,N('Daily Data'!$F38)&lt;0,N('Daily Data'!$G38)&lt;0),"ERROR","OK"))</f>
        <v>OK</v>
      </c>
      <c r="H38" s="165" t="str">
        <f>IF($A38="","",IF(N('Daily Data'!$K38)&lt;0,"ERROR","OK"))</f>
        <v>OK</v>
      </c>
      <c r="I38" s="165" t="str">
        <f>IF($A38="","",IF(N('Daily Data'!$I38)&lt;0,"ERROR","OK"))</f>
        <v>OK</v>
      </c>
      <c r="J38" s="165" t="str">
        <f>IF($A38="","",IF(N('Daily Data'!$L38)&lt;0,"ERROR","OK"))</f>
        <v>OK</v>
      </c>
      <c r="K38" s="165" t="str">
        <f>IF($A38="","",IF(N('Daily Data'!$M38)&lt;0,"ERROR","OK"))</f>
        <v>OK</v>
      </c>
      <c r="L38" s="165" t="str">
        <f>IF($A38="","",IF(OR(N('Daily Data'!$F38)=0,N('Daily Data'!$G38)=0),"OK",IF(OR(N('Daily Data'!$E38)&gt;N('Daily Data'!$F38),N('Daily Data'!$E38)&lt;N('Daily Data'!$G38)),"ERROR","OK")))</f>
        <v>OK</v>
      </c>
      <c r="M38" s="165" t="str">
        <f>IF($A38="","",IF(N('Daily Data'!$AK38)&lt;=1,"OK",IF(ROUND(N('Daily Data'!$D38),2)=ROUND(SUMIFS('Daily Data'!$E$4:$E$503,'Daily Data'!$B$4:$B$503,'Daily Data'!$B38,'Daily Data'!$AK$4:$AK$503,'Daily Data'!$AK38-1),2),"OK","WARNING")))</f>
        <v>OK</v>
      </c>
      <c r="N38" s="165" t="str">
        <f>IF($A38="","",IF(N('Daily Data'!$N38)&lt;=0,"WARNING","OK"))</f>
        <v>OK</v>
      </c>
      <c r="O38" s="165" t="str">
        <f>IF($A38="","",IF(AND(ISNUMBER('Daily Data'!$H38),ABS(N('Daily Data'!$H38))&gt;Settings!$C$56),"WARNING","OK"))</f>
        <v>OK</v>
      </c>
      <c r="P38" s="165" t="str">
        <f>IF($A38="","",IF(OR(AND(N('Daily Data'!$K38)=0,N('Daily Data'!$I38)&gt;0),AND(N('Daily Data'!$I38)=0,N('Daily Data'!$K38)&gt;0),AND(N('Daily Data'!$L38)=0,N('Daily Data'!$M38)=0)),"WARNING","OK"))</f>
        <v>OK</v>
      </c>
      <c r="Q38" s="165" t="str">
        <f>IF($A38="","",IF(COUNTIFS('Daily Data'!$B$4:$B$503,'Daily Data'!$B38,'Daily Data'!$A$4:$A$503,'Daily Data'!$A38,'Daily Data'!$Q$4:$Q$503,'Daily Data'!$Q38)&gt;1,"WARNING","OK"))</f>
        <v>OK</v>
      </c>
      <c r="R38" s="165" t="str">
        <f>IF($A38="","",IF(AND(N('Daily Data'!$K38)&gt;0,N('Daily Data'!$J38)&lt;=0),"WARNING","OK"))</f>
        <v>OK</v>
      </c>
      <c r="S38" s="165">
        <f>IF($A38="","",COUNTIF($D38:$R38,"ERROR"))</f>
        <v>0</v>
      </c>
      <c r="T38" s="165">
        <f>IF($A38="","",COUNTIF($D38:$R38,"WARNING"))</f>
        <v>0</v>
      </c>
      <c r="U38" s="165" t="str">
        <f>IF($A38="","",IF($S38&gt;0,"ERROR",IF($T38&gt;0,"WARNING","PASS")))</f>
        <v>PASS</v>
      </c>
    </row>
    <row r="39" spans="1:21" x14ac:dyDescent="0.3">
      <c r="A39">
        <f>IF(AND('Daily Data'!$A39="",'Daily Data'!$B39=""),"",39)</f>
        <v>39</v>
      </c>
      <c r="B39" s="16">
        <f>IF($A39="","",'Daily Data'!$A39)</f>
        <v>46245</v>
      </c>
      <c r="C39" t="str">
        <f>IF($A39="","",'Daily Data'!$B39)</f>
        <v>KA</v>
      </c>
      <c r="D39" s="165" t="str">
        <f>IF($A39="","",IF(COUNTIFS('Daily Data'!$B$4:$B$503,'Daily Data'!$B39,'Daily Data'!$A$4:$A$503,'Daily Data'!$A39)&gt;1,"ERROR","OK"))</f>
        <v>OK</v>
      </c>
      <c r="E39" s="165" t="str">
        <f>IF($A39="","",IF('Daily Data'!$B39="","ERROR","OK"))</f>
        <v>OK</v>
      </c>
      <c r="F39" s="165" t="str">
        <f>IF($A39="","",IF(NOT(ISNUMBER('Daily Data'!$A39)),"ERROR","OK"))</f>
        <v>OK</v>
      </c>
      <c r="G39" s="165" t="str">
        <f>IF($A39="","",IF(OR(N('Daily Data'!$E39)&lt;=0,N('Daily Data'!$C39)&lt;0,N('Daily Data'!$D39)&lt;0,N('Daily Data'!$F39)&lt;0,N('Daily Data'!$G39)&lt;0),"ERROR","OK"))</f>
        <v>OK</v>
      </c>
      <c r="H39" s="165" t="str">
        <f>IF($A39="","",IF(N('Daily Data'!$K39)&lt;0,"ERROR","OK"))</f>
        <v>OK</v>
      </c>
      <c r="I39" s="165" t="str">
        <f>IF($A39="","",IF(N('Daily Data'!$I39)&lt;0,"ERROR","OK"))</f>
        <v>OK</v>
      </c>
      <c r="J39" s="165" t="str">
        <f>IF($A39="","",IF(N('Daily Data'!$L39)&lt;0,"ERROR","OK"))</f>
        <v>OK</v>
      </c>
      <c r="K39" s="165" t="str">
        <f>IF($A39="","",IF(N('Daily Data'!$M39)&lt;0,"ERROR","OK"))</f>
        <v>OK</v>
      </c>
      <c r="L39" s="165" t="str">
        <f>IF($A39="","",IF(OR(N('Daily Data'!$F39)=0,N('Daily Data'!$G39)=0),"OK",IF(OR(N('Daily Data'!$E39)&gt;N('Daily Data'!$F39),N('Daily Data'!$E39)&lt;N('Daily Data'!$G39)),"ERROR","OK")))</f>
        <v>OK</v>
      </c>
      <c r="M39" s="165" t="str">
        <f>IF($A39="","",IF(N('Daily Data'!$AK39)&lt;=1,"OK",IF(ROUND(N('Daily Data'!$D39),2)=ROUND(SUMIFS('Daily Data'!$E$4:$E$503,'Daily Data'!$B$4:$B$503,'Daily Data'!$B39,'Daily Data'!$AK$4:$AK$503,'Daily Data'!$AK39-1),2),"OK","WARNING")))</f>
        <v>OK</v>
      </c>
      <c r="N39" s="165" t="str">
        <f>IF($A39="","",IF(N('Daily Data'!$N39)&lt;=0,"WARNING","OK"))</f>
        <v>OK</v>
      </c>
      <c r="O39" s="165" t="str">
        <f>IF($A39="","",IF(AND(ISNUMBER('Daily Data'!$H39),ABS(N('Daily Data'!$H39))&gt;Settings!$C$56),"WARNING","OK"))</f>
        <v>OK</v>
      </c>
      <c r="P39" s="165" t="str">
        <f>IF($A39="","",IF(OR(AND(N('Daily Data'!$K39)=0,N('Daily Data'!$I39)&gt;0),AND(N('Daily Data'!$I39)=0,N('Daily Data'!$K39)&gt;0),AND(N('Daily Data'!$L39)=0,N('Daily Data'!$M39)=0)),"WARNING","OK"))</f>
        <v>OK</v>
      </c>
      <c r="Q39" s="165" t="str">
        <f>IF($A39="","",IF(COUNTIFS('Daily Data'!$B$4:$B$503,'Daily Data'!$B39,'Daily Data'!$A$4:$A$503,'Daily Data'!$A39,'Daily Data'!$Q$4:$Q$503,'Daily Data'!$Q39)&gt;1,"WARNING","OK"))</f>
        <v>OK</v>
      </c>
      <c r="R39" s="165" t="str">
        <f>IF($A39="","",IF(AND(N('Daily Data'!$K39)&gt;0,N('Daily Data'!$J39)&lt;=0),"WARNING","OK"))</f>
        <v>OK</v>
      </c>
      <c r="S39" s="165">
        <f>IF($A39="","",COUNTIF($D39:$R39,"ERROR"))</f>
        <v>0</v>
      </c>
      <c r="T39" s="165">
        <f>IF($A39="","",COUNTIF($D39:$R39,"WARNING"))</f>
        <v>0</v>
      </c>
      <c r="U39" s="165" t="str">
        <f>IF($A39="","",IF($S39&gt;0,"ERROR",IF($T39&gt;0,"WARNING","PASS")))</f>
        <v>PASS</v>
      </c>
    </row>
    <row r="40" spans="1:21" x14ac:dyDescent="0.3">
      <c r="A40">
        <f>IF(AND('Daily Data'!$A40="",'Daily Data'!$B40=""),"",40)</f>
        <v>40</v>
      </c>
      <c r="B40" s="16">
        <f>IF($A40="","",'Daily Data'!$A40)</f>
        <v>46245</v>
      </c>
      <c r="C40" t="str">
        <f>IF($A40="","",'Daily Data'!$B40)</f>
        <v>KCB</v>
      </c>
      <c r="D40" s="165" t="str">
        <f>IF($A40="","",IF(COUNTIFS('Daily Data'!$B$4:$B$503,'Daily Data'!$B40,'Daily Data'!$A$4:$A$503,'Daily Data'!$A40)&gt;1,"ERROR","OK"))</f>
        <v>OK</v>
      </c>
      <c r="E40" s="165" t="str">
        <f>IF($A40="","",IF('Daily Data'!$B40="","ERROR","OK"))</f>
        <v>OK</v>
      </c>
      <c r="F40" s="165" t="str">
        <f>IF($A40="","",IF(NOT(ISNUMBER('Daily Data'!$A40)),"ERROR","OK"))</f>
        <v>OK</v>
      </c>
      <c r="G40" s="165" t="str">
        <f>IF($A40="","",IF(OR(N('Daily Data'!$E40)&lt;=0,N('Daily Data'!$C40)&lt;0,N('Daily Data'!$D40)&lt;0,N('Daily Data'!$F40)&lt;0,N('Daily Data'!$G40)&lt;0),"ERROR","OK"))</f>
        <v>OK</v>
      </c>
      <c r="H40" s="165" t="str">
        <f>IF($A40="","",IF(N('Daily Data'!$K40)&lt;0,"ERROR","OK"))</f>
        <v>OK</v>
      </c>
      <c r="I40" s="165" t="str">
        <f>IF($A40="","",IF(N('Daily Data'!$I40)&lt;0,"ERROR","OK"))</f>
        <v>OK</v>
      </c>
      <c r="J40" s="165" t="str">
        <f>IF($A40="","",IF(N('Daily Data'!$L40)&lt;0,"ERROR","OK"))</f>
        <v>OK</v>
      </c>
      <c r="K40" s="165" t="str">
        <f>IF($A40="","",IF(N('Daily Data'!$M40)&lt;0,"ERROR","OK"))</f>
        <v>OK</v>
      </c>
      <c r="L40" s="165" t="str">
        <f>IF($A40="","",IF(OR(N('Daily Data'!$F40)=0,N('Daily Data'!$G40)=0),"OK",IF(OR(N('Daily Data'!$E40)&gt;N('Daily Data'!$F40),N('Daily Data'!$E40)&lt;N('Daily Data'!$G40)),"ERROR","OK")))</f>
        <v>OK</v>
      </c>
      <c r="M40" s="165" t="str">
        <f>IF($A40="","",IF(N('Daily Data'!$AK40)&lt;=1,"OK",IF(ROUND(N('Daily Data'!$D40),2)=ROUND(SUMIFS('Daily Data'!$E$4:$E$503,'Daily Data'!$B$4:$B$503,'Daily Data'!$B40,'Daily Data'!$AK$4:$AK$503,'Daily Data'!$AK40-1),2),"OK","WARNING")))</f>
        <v>OK</v>
      </c>
      <c r="N40" s="165" t="str">
        <f>IF($A40="","",IF(N('Daily Data'!$N40)&lt;=0,"WARNING","OK"))</f>
        <v>OK</v>
      </c>
      <c r="O40" s="165" t="str">
        <f>IF($A40="","",IF(AND(ISNUMBER('Daily Data'!$H40),ABS(N('Daily Data'!$H40))&gt;Settings!$C$56),"WARNING","OK"))</f>
        <v>OK</v>
      </c>
      <c r="P40" s="165" t="str">
        <f>IF($A40="","",IF(OR(AND(N('Daily Data'!$K40)=0,N('Daily Data'!$I40)&gt;0),AND(N('Daily Data'!$I40)=0,N('Daily Data'!$K40)&gt;0),AND(N('Daily Data'!$L40)=0,N('Daily Data'!$M40)=0)),"WARNING","OK"))</f>
        <v>OK</v>
      </c>
      <c r="Q40" s="165" t="str">
        <f>IF($A40="","",IF(COUNTIFS('Daily Data'!$B$4:$B$503,'Daily Data'!$B40,'Daily Data'!$A$4:$A$503,'Daily Data'!$A40,'Daily Data'!$Q$4:$Q$503,'Daily Data'!$Q40)&gt;1,"WARNING","OK"))</f>
        <v>OK</v>
      </c>
      <c r="R40" s="165" t="str">
        <f>IF($A40="","",IF(AND(N('Daily Data'!$K40)&gt;0,N('Daily Data'!$J40)&lt;=0),"WARNING","OK"))</f>
        <v>OK</v>
      </c>
      <c r="S40" s="165">
        <f>IF($A40="","",COUNTIF($D40:$R40,"ERROR"))</f>
        <v>0</v>
      </c>
      <c r="T40" s="165">
        <f>IF($A40="","",COUNTIF($D40:$R40,"WARNING"))</f>
        <v>0</v>
      </c>
      <c r="U40" s="165" t="str">
        <f>IF($A40="","",IF($S40&gt;0,"ERROR",IF($T40&gt;0,"WARNING","PASS")))</f>
        <v>PASS</v>
      </c>
    </row>
    <row r="41" spans="1:21" x14ac:dyDescent="0.3">
      <c r="A41">
        <f>IF(AND('Daily Data'!$A41="",'Daily Data'!$B41=""),"",41)</f>
        <v>41</v>
      </c>
      <c r="B41" s="16">
        <f>IF($A41="","",'Daily Data'!$A41)</f>
        <v>46245</v>
      </c>
      <c r="C41" t="str">
        <f>IF($A41="","",'Daily Data'!$B41)</f>
        <v>MBP</v>
      </c>
      <c r="D41" s="165" t="str">
        <f>IF($A41="","",IF(COUNTIFS('Daily Data'!$B$4:$B$503,'Daily Data'!$B41,'Daily Data'!$A$4:$A$503,'Daily Data'!$A41)&gt;1,"ERROR","OK"))</f>
        <v>OK</v>
      </c>
      <c r="E41" s="165" t="str">
        <f>IF($A41="","",IF('Daily Data'!$B41="","ERROR","OK"))</f>
        <v>OK</v>
      </c>
      <c r="F41" s="165" t="str">
        <f>IF($A41="","",IF(NOT(ISNUMBER('Daily Data'!$A41)),"ERROR","OK"))</f>
        <v>OK</v>
      </c>
      <c r="G41" s="165" t="str">
        <f>IF($A41="","",IF(OR(N('Daily Data'!$E41)&lt;=0,N('Daily Data'!$C41)&lt;0,N('Daily Data'!$D41)&lt;0,N('Daily Data'!$F41)&lt;0,N('Daily Data'!$G41)&lt;0),"ERROR","OK"))</f>
        <v>OK</v>
      </c>
      <c r="H41" s="165" t="str">
        <f>IF($A41="","",IF(N('Daily Data'!$K41)&lt;0,"ERROR","OK"))</f>
        <v>OK</v>
      </c>
      <c r="I41" s="165" t="str">
        <f>IF($A41="","",IF(N('Daily Data'!$I41)&lt;0,"ERROR","OK"))</f>
        <v>OK</v>
      </c>
      <c r="J41" s="165" t="str">
        <f>IF($A41="","",IF(N('Daily Data'!$L41)&lt;0,"ERROR","OK"))</f>
        <v>OK</v>
      </c>
      <c r="K41" s="165" t="str">
        <f>IF($A41="","",IF(N('Daily Data'!$M41)&lt;0,"ERROR","OK"))</f>
        <v>OK</v>
      </c>
      <c r="L41" s="165" t="str">
        <f>IF($A41="","",IF(OR(N('Daily Data'!$F41)=0,N('Daily Data'!$G41)=0),"OK",IF(OR(N('Daily Data'!$E41)&gt;N('Daily Data'!$F41),N('Daily Data'!$E41)&lt;N('Daily Data'!$G41)),"ERROR","OK")))</f>
        <v>OK</v>
      </c>
      <c r="M41" s="165" t="str">
        <f>IF($A41="","",IF(N('Daily Data'!$AK41)&lt;=1,"OK",IF(ROUND(N('Daily Data'!$D41),2)=ROUND(SUMIFS('Daily Data'!$E$4:$E$503,'Daily Data'!$B$4:$B$503,'Daily Data'!$B41,'Daily Data'!$AK$4:$AK$503,'Daily Data'!$AK41-1),2),"OK","WARNING")))</f>
        <v>OK</v>
      </c>
      <c r="N41" s="165" t="str">
        <f>IF($A41="","",IF(N('Daily Data'!$N41)&lt;=0,"WARNING","OK"))</f>
        <v>OK</v>
      </c>
      <c r="O41" s="165" t="str">
        <f>IF($A41="","",IF(AND(ISNUMBER('Daily Data'!$H41),ABS(N('Daily Data'!$H41))&gt;Settings!$C$56),"WARNING","OK"))</f>
        <v>OK</v>
      </c>
      <c r="P41" s="165" t="str">
        <f>IF($A41="","",IF(OR(AND(N('Daily Data'!$K41)=0,N('Daily Data'!$I41)&gt;0),AND(N('Daily Data'!$I41)=0,N('Daily Data'!$K41)&gt;0),AND(N('Daily Data'!$L41)=0,N('Daily Data'!$M41)=0)),"WARNING","OK"))</f>
        <v>OK</v>
      </c>
      <c r="Q41" s="165" t="str">
        <f>IF($A41="","",IF(COUNTIFS('Daily Data'!$B$4:$B$503,'Daily Data'!$B41,'Daily Data'!$A$4:$A$503,'Daily Data'!$A41,'Daily Data'!$Q$4:$Q$503,'Daily Data'!$Q41)&gt;1,"WARNING","OK"))</f>
        <v>OK</v>
      </c>
      <c r="R41" s="165" t="str">
        <f>IF($A41="","",IF(AND(N('Daily Data'!$K41)&gt;0,N('Daily Data'!$J41)&lt;=0),"WARNING","OK"))</f>
        <v>OK</v>
      </c>
      <c r="S41" s="165">
        <f>IF($A41="","",COUNTIF($D41:$R41,"ERROR"))</f>
        <v>0</v>
      </c>
      <c r="T41" s="165">
        <f>IF($A41="","",COUNTIF($D41:$R41,"WARNING"))</f>
        <v>0</v>
      </c>
      <c r="U41" s="165" t="str">
        <f>IF($A41="","",IF($S41&gt;0,"ERROR",IF($T41&gt;0,"WARNING","PASS")))</f>
        <v>PASS</v>
      </c>
    </row>
    <row r="42" spans="1:21" x14ac:dyDescent="0.3">
      <c r="A42">
        <f>IF(AND('Daily Data'!$A42="",'Daily Data'!$B42=""),"",42)</f>
        <v>42</v>
      </c>
      <c r="B42" s="16">
        <f>IF($A42="","",'Daily Data'!$A42)</f>
        <v>46245</v>
      </c>
      <c r="C42" t="str">
        <f>IF($A42="","",'Daily Data'!$B42)</f>
        <v>MCB</v>
      </c>
      <c r="D42" s="165" t="str">
        <f>IF($A42="","",IF(COUNTIFS('Daily Data'!$B$4:$B$503,'Daily Data'!$B42,'Daily Data'!$A$4:$A$503,'Daily Data'!$A42)&gt;1,"ERROR","OK"))</f>
        <v>OK</v>
      </c>
      <c r="E42" s="165" t="str">
        <f>IF($A42="","",IF('Daily Data'!$B42="","ERROR","OK"))</f>
        <v>OK</v>
      </c>
      <c r="F42" s="165" t="str">
        <f>IF($A42="","",IF(NOT(ISNUMBER('Daily Data'!$A42)),"ERROR","OK"))</f>
        <v>OK</v>
      </c>
      <c r="G42" s="165" t="str">
        <f>IF($A42="","",IF(OR(N('Daily Data'!$E42)&lt;=0,N('Daily Data'!$C42)&lt;0,N('Daily Data'!$D42)&lt;0,N('Daily Data'!$F42)&lt;0,N('Daily Data'!$G42)&lt;0),"ERROR","OK"))</f>
        <v>OK</v>
      </c>
      <c r="H42" s="165" t="str">
        <f>IF($A42="","",IF(N('Daily Data'!$K42)&lt;0,"ERROR","OK"))</f>
        <v>OK</v>
      </c>
      <c r="I42" s="165" t="str">
        <f>IF($A42="","",IF(N('Daily Data'!$I42)&lt;0,"ERROR","OK"))</f>
        <v>OK</v>
      </c>
      <c r="J42" s="165" t="str">
        <f>IF($A42="","",IF(N('Daily Data'!$L42)&lt;0,"ERROR","OK"))</f>
        <v>OK</v>
      </c>
      <c r="K42" s="165" t="str">
        <f>IF($A42="","",IF(N('Daily Data'!$M42)&lt;0,"ERROR","OK"))</f>
        <v>OK</v>
      </c>
      <c r="L42" s="165" t="str">
        <f>IF($A42="","",IF(OR(N('Daily Data'!$F42)=0,N('Daily Data'!$G42)=0),"OK",IF(OR(N('Daily Data'!$E42)&gt;N('Daily Data'!$F42),N('Daily Data'!$E42)&lt;N('Daily Data'!$G42)),"ERROR","OK")))</f>
        <v>OK</v>
      </c>
      <c r="M42" s="165" t="str">
        <f>IF($A42="","",IF(N('Daily Data'!$AK42)&lt;=1,"OK",IF(ROUND(N('Daily Data'!$D42),2)=ROUND(SUMIFS('Daily Data'!$E$4:$E$503,'Daily Data'!$B$4:$B$503,'Daily Data'!$B42,'Daily Data'!$AK$4:$AK$503,'Daily Data'!$AK42-1),2),"OK","WARNING")))</f>
        <v>OK</v>
      </c>
      <c r="N42" s="165" t="str">
        <f>IF($A42="","",IF(N('Daily Data'!$N42)&lt;=0,"WARNING","OK"))</f>
        <v>OK</v>
      </c>
      <c r="O42" s="165" t="str">
        <f>IF($A42="","",IF(AND(ISNUMBER('Daily Data'!$H42),ABS(N('Daily Data'!$H42))&gt;Settings!$C$56),"WARNING","OK"))</f>
        <v>OK</v>
      </c>
      <c r="P42" s="165" t="str">
        <f>IF($A42="","",IF(OR(AND(N('Daily Data'!$K42)=0,N('Daily Data'!$I42)&gt;0),AND(N('Daily Data'!$I42)=0,N('Daily Data'!$K42)&gt;0),AND(N('Daily Data'!$L42)=0,N('Daily Data'!$M42)=0)),"WARNING","OK"))</f>
        <v>OK</v>
      </c>
      <c r="Q42" s="165" t="str">
        <f>IF($A42="","",IF(COUNTIFS('Daily Data'!$B$4:$B$503,'Daily Data'!$B42,'Daily Data'!$A$4:$A$503,'Daily Data'!$A42,'Daily Data'!$Q$4:$Q$503,'Daily Data'!$Q42)&gt;1,"WARNING","OK"))</f>
        <v>OK</v>
      </c>
      <c r="R42" s="165" t="str">
        <f>IF($A42="","",IF(AND(N('Daily Data'!$K42)&gt;0,N('Daily Data'!$J42)&lt;=0),"WARNING","OK"))</f>
        <v>OK</v>
      </c>
      <c r="S42" s="165">
        <f>IF($A42="","",COUNTIF($D42:$R42,"ERROR"))</f>
        <v>0</v>
      </c>
      <c r="T42" s="165">
        <f>IF($A42="","",COUNTIF($D42:$R42,"WARNING"))</f>
        <v>0</v>
      </c>
      <c r="U42" s="165" t="str">
        <f>IF($A42="","",IF($S42&gt;0,"ERROR",IF($T42&gt;0,"WARNING","PASS")))</f>
        <v>PASS</v>
      </c>
    </row>
    <row r="43" spans="1:21" x14ac:dyDescent="0.3">
      <c r="A43">
        <f>IF(AND('Daily Data'!$A43="",'Daily Data'!$B43=""),"",43)</f>
        <v>43</v>
      </c>
      <c r="B43" s="16">
        <f>IF($A43="","",'Daily Data'!$A43)</f>
        <v>46245</v>
      </c>
      <c r="C43" t="str">
        <f>IF($A43="","",'Daily Data'!$B43)</f>
        <v>MKCB</v>
      </c>
      <c r="D43" s="165" t="str">
        <f>IF($A43="","",IF(COUNTIFS('Daily Data'!$B$4:$B$503,'Daily Data'!$B43,'Daily Data'!$A$4:$A$503,'Daily Data'!$A43)&gt;1,"ERROR","OK"))</f>
        <v>OK</v>
      </c>
      <c r="E43" s="165" t="str">
        <f>IF($A43="","",IF('Daily Data'!$B43="","ERROR","OK"))</f>
        <v>OK</v>
      </c>
      <c r="F43" s="165" t="str">
        <f>IF($A43="","",IF(NOT(ISNUMBER('Daily Data'!$A43)),"ERROR","OK"))</f>
        <v>OK</v>
      </c>
      <c r="G43" s="165" t="str">
        <f>IF($A43="","",IF(OR(N('Daily Data'!$E43)&lt;=0,N('Daily Data'!$C43)&lt;0,N('Daily Data'!$D43)&lt;0,N('Daily Data'!$F43)&lt;0,N('Daily Data'!$G43)&lt;0),"ERROR","OK"))</f>
        <v>OK</v>
      </c>
      <c r="H43" s="165" t="str">
        <f>IF($A43="","",IF(N('Daily Data'!$K43)&lt;0,"ERROR","OK"))</f>
        <v>OK</v>
      </c>
      <c r="I43" s="165" t="str">
        <f>IF($A43="","",IF(N('Daily Data'!$I43)&lt;0,"ERROR","OK"))</f>
        <v>OK</v>
      </c>
      <c r="J43" s="165" t="str">
        <f>IF($A43="","",IF(N('Daily Data'!$L43)&lt;0,"ERROR","OK"))</f>
        <v>OK</v>
      </c>
      <c r="K43" s="165" t="str">
        <f>IF($A43="","",IF(N('Daily Data'!$M43)&lt;0,"ERROR","OK"))</f>
        <v>OK</v>
      </c>
      <c r="L43" s="165" t="str">
        <f>IF($A43="","",IF(OR(N('Daily Data'!$F43)=0,N('Daily Data'!$G43)=0),"OK",IF(OR(N('Daily Data'!$E43)&gt;N('Daily Data'!$F43),N('Daily Data'!$E43)&lt;N('Daily Data'!$G43)),"ERROR","OK")))</f>
        <v>OK</v>
      </c>
      <c r="M43" s="165" t="str">
        <f>IF($A43="","",IF(N('Daily Data'!$AK43)&lt;=1,"OK",IF(ROUND(N('Daily Data'!$D43),2)=ROUND(SUMIFS('Daily Data'!$E$4:$E$503,'Daily Data'!$B$4:$B$503,'Daily Data'!$B43,'Daily Data'!$AK$4:$AK$503,'Daily Data'!$AK43-1),2),"OK","WARNING")))</f>
        <v>OK</v>
      </c>
      <c r="N43" s="165" t="str">
        <f>IF($A43="","",IF(N('Daily Data'!$N43)&lt;=0,"WARNING","OK"))</f>
        <v>OK</v>
      </c>
      <c r="O43" s="165" t="str">
        <f>IF($A43="","",IF(AND(ISNUMBER('Daily Data'!$H43),ABS(N('Daily Data'!$H43))&gt;Settings!$C$56),"WARNING","OK"))</f>
        <v>OK</v>
      </c>
      <c r="P43" s="165" t="str">
        <f>IF($A43="","",IF(OR(AND(N('Daily Data'!$K43)=0,N('Daily Data'!$I43)&gt;0),AND(N('Daily Data'!$I43)=0,N('Daily Data'!$K43)&gt;0),AND(N('Daily Data'!$L43)=0,N('Daily Data'!$M43)=0)),"WARNING","OK"))</f>
        <v>OK</v>
      </c>
      <c r="Q43" s="165" t="str">
        <f>IF($A43="","",IF(COUNTIFS('Daily Data'!$B$4:$B$503,'Daily Data'!$B43,'Daily Data'!$A$4:$A$503,'Daily Data'!$A43,'Daily Data'!$Q$4:$Q$503,'Daily Data'!$Q43)&gt;1,"WARNING","OK"))</f>
        <v>OK</v>
      </c>
      <c r="R43" s="165" t="str">
        <f>IF($A43="","",IF(AND(N('Daily Data'!$K43)&gt;0,N('Daily Data'!$J43)&lt;=0),"WARNING","OK"))</f>
        <v>OK</v>
      </c>
      <c r="S43" s="165">
        <f>IF($A43="","",COUNTIF($D43:$R43,"ERROR"))</f>
        <v>0</v>
      </c>
      <c r="T43" s="165">
        <f>IF($A43="","",COUNTIF($D43:$R43,"WARNING"))</f>
        <v>0</v>
      </c>
      <c r="U43" s="165" t="str">
        <f>IF($A43="","",IF($S43&gt;0,"ERROR",IF($T43&gt;0,"WARNING","PASS")))</f>
        <v>PASS</v>
      </c>
    </row>
    <row r="44" spans="1:21" x14ac:dyDescent="0.3">
      <c r="A44">
        <f>IF(AND('Daily Data'!$A44="",'Daily Data'!$B44=""),"",44)</f>
        <v>44</v>
      </c>
      <c r="B44" s="16">
        <f>IF($A44="","",'Daily Data'!$A44)</f>
        <v>46245</v>
      </c>
      <c r="C44" t="str">
        <f>IF($A44="","",'Daily Data'!$B44)</f>
        <v>MUCOBA</v>
      </c>
      <c r="D44" s="165" t="str">
        <f>IF($A44="","",IF(COUNTIFS('Daily Data'!$B$4:$B$503,'Daily Data'!$B44,'Daily Data'!$A$4:$A$503,'Daily Data'!$A44)&gt;1,"ERROR","OK"))</f>
        <v>OK</v>
      </c>
      <c r="E44" s="165" t="str">
        <f>IF($A44="","",IF('Daily Data'!$B44="","ERROR","OK"))</f>
        <v>OK</v>
      </c>
      <c r="F44" s="165" t="str">
        <f>IF($A44="","",IF(NOT(ISNUMBER('Daily Data'!$A44)),"ERROR","OK"))</f>
        <v>OK</v>
      </c>
      <c r="G44" s="165" t="str">
        <f>IF($A44="","",IF(OR(N('Daily Data'!$E44)&lt;=0,N('Daily Data'!$C44)&lt;0,N('Daily Data'!$D44)&lt;0,N('Daily Data'!$F44)&lt;0,N('Daily Data'!$G44)&lt;0),"ERROR","OK"))</f>
        <v>OK</v>
      </c>
      <c r="H44" s="165" t="str">
        <f>IF($A44="","",IF(N('Daily Data'!$K44)&lt;0,"ERROR","OK"))</f>
        <v>OK</v>
      </c>
      <c r="I44" s="165" t="str">
        <f>IF($A44="","",IF(N('Daily Data'!$I44)&lt;0,"ERROR","OK"))</f>
        <v>OK</v>
      </c>
      <c r="J44" s="165" t="str">
        <f>IF($A44="","",IF(N('Daily Data'!$L44)&lt;0,"ERROR","OK"))</f>
        <v>OK</v>
      </c>
      <c r="K44" s="165" t="str">
        <f>IF($A44="","",IF(N('Daily Data'!$M44)&lt;0,"ERROR","OK"))</f>
        <v>OK</v>
      </c>
      <c r="L44" s="165" t="str">
        <f>IF($A44="","",IF(OR(N('Daily Data'!$F44)=0,N('Daily Data'!$G44)=0),"OK",IF(OR(N('Daily Data'!$E44)&gt;N('Daily Data'!$F44),N('Daily Data'!$E44)&lt;N('Daily Data'!$G44)),"ERROR","OK")))</f>
        <v>OK</v>
      </c>
      <c r="M44" s="165" t="str">
        <f>IF($A44="","",IF(N('Daily Data'!$AK44)&lt;=1,"OK",IF(ROUND(N('Daily Data'!$D44),2)=ROUND(SUMIFS('Daily Data'!$E$4:$E$503,'Daily Data'!$B$4:$B$503,'Daily Data'!$B44,'Daily Data'!$AK$4:$AK$503,'Daily Data'!$AK44-1),2),"OK","WARNING")))</f>
        <v>OK</v>
      </c>
      <c r="N44" s="165" t="str">
        <f>IF($A44="","",IF(N('Daily Data'!$N44)&lt;=0,"WARNING","OK"))</f>
        <v>OK</v>
      </c>
      <c r="O44" s="165" t="str">
        <f>IF($A44="","",IF(AND(ISNUMBER('Daily Data'!$H44),ABS(N('Daily Data'!$H44))&gt;Settings!$C$56),"WARNING","OK"))</f>
        <v>OK</v>
      </c>
      <c r="P44" s="165" t="str">
        <f>IF($A44="","",IF(OR(AND(N('Daily Data'!$K44)=0,N('Daily Data'!$I44)&gt;0),AND(N('Daily Data'!$I44)=0,N('Daily Data'!$K44)&gt;0),AND(N('Daily Data'!$L44)=0,N('Daily Data'!$M44)=0)),"WARNING","OK"))</f>
        <v>OK</v>
      </c>
      <c r="Q44" s="165" t="str">
        <f>IF($A44="","",IF(COUNTIFS('Daily Data'!$B$4:$B$503,'Daily Data'!$B44,'Daily Data'!$A$4:$A$503,'Daily Data'!$A44,'Daily Data'!$Q$4:$Q$503,'Daily Data'!$Q44)&gt;1,"WARNING","OK"))</f>
        <v>OK</v>
      </c>
      <c r="R44" s="165" t="str">
        <f>IF($A44="","",IF(AND(N('Daily Data'!$K44)&gt;0,N('Daily Data'!$J44)&lt;=0),"WARNING","OK"))</f>
        <v>OK</v>
      </c>
      <c r="S44" s="165">
        <f>IF($A44="","",COUNTIF($D44:$R44,"ERROR"))</f>
        <v>0</v>
      </c>
      <c r="T44" s="165">
        <f>IF($A44="","",COUNTIF($D44:$R44,"WARNING"))</f>
        <v>0</v>
      </c>
      <c r="U44" s="165" t="str">
        <f>IF($A44="","",IF($S44&gt;0,"ERROR",IF($T44&gt;0,"WARNING","PASS")))</f>
        <v>PASS</v>
      </c>
    </row>
    <row r="45" spans="1:21" x14ac:dyDescent="0.3">
      <c r="A45">
        <f>IF(AND('Daily Data'!$A45="",'Daily Data'!$B45=""),"",45)</f>
        <v>45</v>
      </c>
      <c r="B45" s="16">
        <f>IF($A45="","",'Daily Data'!$A45)</f>
        <v>46245</v>
      </c>
      <c r="C45" t="str">
        <f>IF($A45="","",'Daily Data'!$B45)</f>
        <v>NICO</v>
      </c>
      <c r="D45" s="165" t="str">
        <f>IF($A45="","",IF(COUNTIFS('Daily Data'!$B$4:$B$503,'Daily Data'!$B45,'Daily Data'!$A$4:$A$503,'Daily Data'!$A45)&gt;1,"ERROR","OK"))</f>
        <v>OK</v>
      </c>
      <c r="E45" s="165" t="str">
        <f>IF($A45="","",IF('Daily Data'!$B45="","ERROR","OK"))</f>
        <v>OK</v>
      </c>
      <c r="F45" s="165" t="str">
        <f>IF($A45="","",IF(NOT(ISNUMBER('Daily Data'!$A45)),"ERROR","OK"))</f>
        <v>OK</v>
      </c>
      <c r="G45" s="165" t="str">
        <f>IF($A45="","",IF(OR(N('Daily Data'!$E45)&lt;=0,N('Daily Data'!$C45)&lt;0,N('Daily Data'!$D45)&lt;0,N('Daily Data'!$F45)&lt;0,N('Daily Data'!$G45)&lt;0),"ERROR","OK"))</f>
        <v>OK</v>
      </c>
      <c r="H45" s="165" t="str">
        <f>IF($A45="","",IF(N('Daily Data'!$K45)&lt;0,"ERROR","OK"))</f>
        <v>OK</v>
      </c>
      <c r="I45" s="165" t="str">
        <f>IF($A45="","",IF(N('Daily Data'!$I45)&lt;0,"ERROR","OK"))</f>
        <v>OK</v>
      </c>
      <c r="J45" s="165" t="str">
        <f>IF($A45="","",IF(N('Daily Data'!$L45)&lt;0,"ERROR","OK"))</f>
        <v>OK</v>
      </c>
      <c r="K45" s="165" t="str">
        <f>IF($A45="","",IF(N('Daily Data'!$M45)&lt;0,"ERROR","OK"))</f>
        <v>OK</v>
      </c>
      <c r="L45" s="165" t="str">
        <f>IF($A45="","",IF(OR(N('Daily Data'!$F45)=0,N('Daily Data'!$G45)=0),"OK",IF(OR(N('Daily Data'!$E45)&gt;N('Daily Data'!$F45),N('Daily Data'!$E45)&lt;N('Daily Data'!$G45)),"ERROR","OK")))</f>
        <v>OK</v>
      </c>
      <c r="M45" s="165" t="str">
        <f>IF($A45="","",IF(N('Daily Data'!$AK45)&lt;=1,"OK",IF(ROUND(N('Daily Data'!$D45),2)=ROUND(SUMIFS('Daily Data'!$E$4:$E$503,'Daily Data'!$B$4:$B$503,'Daily Data'!$B45,'Daily Data'!$AK$4:$AK$503,'Daily Data'!$AK45-1),2),"OK","WARNING")))</f>
        <v>OK</v>
      </c>
      <c r="N45" s="165" t="str">
        <f>IF($A45="","",IF(N('Daily Data'!$N45)&lt;=0,"WARNING","OK"))</f>
        <v>OK</v>
      </c>
      <c r="O45" s="165" t="str">
        <f>IF($A45="","",IF(AND(ISNUMBER('Daily Data'!$H45),ABS(N('Daily Data'!$H45))&gt;Settings!$C$56),"WARNING","OK"))</f>
        <v>OK</v>
      </c>
      <c r="P45" s="165" t="str">
        <f>IF($A45="","",IF(OR(AND(N('Daily Data'!$K45)=0,N('Daily Data'!$I45)&gt;0),AND(N('Daily Data'!$I45)=0,N('Daily Data'!$K45)&gt;0),AND(N('Daily Data'!$L45)=0,N('Daily Data'!$M45)=0)),"WARNING","OK"))</f>
        <v>OK</v>
      </c>
      <c r="Q45" s="165" t="str">
        <f>IF($A45="","",IF(COUNTIFS('Daily Data'!$B$4:$B$503,'Daily Data'!$B45,'Daily Data'!$A$4:$A$503,'Daily Data'!$A45,'Daily Data'!$Q$4:$Q$503,'Daily Data'!$Q45)&gt;1,"WARNING","OK"))</f>
        <v>OK</v>
      </c>
      <c r="R45" s="165" t="str">
        <f>IF($A45="","",IF(AND(N('Daily Data'!$K45)&gt;0,N('Daily Data'!$J45)&lt;=0),"WARNING","OK"))</f>
        <v>OK</v>
      </c>
      <c r="S45" s="165">
        <f>IF($A45="","",COUNTIF($D45:$R45,"ERROR"))</f>
        <v>0</v>
      </c>
      <c r="T45" s="165">
        <f>IF($A45="","",COUNTIF($D45:$R45,"WARNING"))</f>
        <v>0</v>
      </c>
      <c r="U45" s="165" t="str">
        <f>IF($A45="","",IF($S45&gt;0,"ERROR",IF($T45&gt;0,"WARNING","PASS")))</f>
        <v>PASS</v>
      </c>
    </row>
    <row r="46" spans="1:21" x14ac:dyDescent="0.3">
      <c r="A46">
        <f>IF(AND('Daily Data'!$A46="",'Daily Data'!$B46=""),"",46)</f>
        <v>46</v>
      </c>
      <c r="B46" s="16">
        <f>IF($A46="","",'Daily Data'!$A46)</f>
        <v>46245</v>
      </c>
      <c r="C46" t="str">
        <f>IF($A46="","",'Daily Data'!$B46)</f>
        <v>NMB</v>
      </c>
      <c r="D46" s="165" t="str">
        <f>IF($A46="","",IF(COUNTIFS('Daily Data'!$B$4:$B$503,'Daily Data'!$B46,'Daily Data'!$A$4:$A$503,'Daily Data'!$A46)&gt;1,"ERROR","OK"))</f>
        <v>OK</v>
      </c>
      <c r="E46" s="165" t="str">
        <f>IF($A46="","",IF('Daily Data'!$B46="","ERROR","OK"))</f>
        <v>OK</v>
      </c>
      <c r="F46" s="165" t="str">
        <f>IF($A46="","",IF(NOT(ISNUMBER('Daily Data'!$A46)),"ERROR","OK"))</f>
        <v>OK</v>
      </c>
      <c r="G46" s="165" t="str">
        <f>IF($A46="","",IF(OR(N('Daily Data'!$E46)&lt;=0,N('Daily Data'!$C46)&lt;0,N('Daily Data'!$D46)&lt;0,N('Daily Data'!$F46)&lt;0,N('Daily Data'!$G46)&lt;0),"ERROR","OK"))</f>
        <v>OK</v>
      </c>
      <c r="H46" s="165" t="str">
        <f>IF($A46="","",IF(N('Daily Data'!$K46)&lt;0,"ERROR","OK"))</f>
        <v>OK</v>
      </c>
      <c r="I46" s="165" t="str">
        <f>IF($A46="","",IF(N('Daily Data'!$I46)&lt;0,"ERROR","OK"))</f>
        <v>OK</v>
      </c>
      <c r="J46" s="165" t="str">
        <f>IF($A46="","",IF(N('Daily Data'!$L46)&lt;0,"ERROR","OK"))</f>
        <v>OK</v>
      </c>
      <c r="K46" s="165" t="str">
        <f>IF($A46="","",IF(N('Daily Data'!$M46)&lt;0,"ERROR","OK"))</f>
        <v>OK</v>
      </c>
      <c r="L46" s="165" t="str">
        <f>IF($A46="","",IF(OR(N('Daily Data'!$F46)=0,N('Daily Data'!$G46)=0),"OK",IF(OR(N('Daily Data'!$E46)&gt;N('Daily Data'!$F46),N('Daily Data'!$E46)&lt;N('Daily Data'!$G46)),"ERROR","OK")))</f>
        <v>OK</v>
      </c>
      <c r="M46" s="165" t="str">
        <f>IF($A46="","",IF(N('Daily Data'!$AK46)&lt;=1,"OK",IF(ROUND(N('Daily Data'!$D46),2)=ROUND(SUMIFS('Daily Data'!$E$4:$E$503,'Daily Data'!$B$4:$B$503,'Daily Data'!$B46,'Daily Data'!$AK$4:$AK$503,'Daily Data'!$AK46-1),2),"OK","WARNING")))</f>
        <v>OK</v>
      </c>
      <c r="N46" s="165" t="str">
        <f>IF($A46="","",IF(N('Daily Data'!$N46)&lt;=0,"WARNING","OK"))</f>
        <v>OK</v>
      </c>
      <c r="O46" s="165" t="str">
        <f>IF($A46="","",IF(AND(ISNUMBER('Daily Data'!$H46),ABS(N('Daily Data'!$H46))&gt;Settings!$C$56),"WARNING","OK"))</f>
        <v>OK</v>
      </c>
      <c r="P46" s="165" t="str">
        <f>IF($A46="","",IF(OR(AND(N('Daily Data'!$K46)=0,N('Daily Data'!$I46)&gt;0),AND(N('Daily Data'!$I46)=0,N('Daily Data'!$K46)&gt;0),AND(N('Daily Data'!$L46)=0,N('Daily Data'!$M46)=0)),"WARNING","OK"))</f>
        <v>OK</v>
      </c>
      <c r="Q46" s="165" t="str">
        <f>IF($A46="","",IF(COUNTIFS('Daily Data'!$B$4:$B$503,'Daily Data'!$B46,'Daily Data'!$A$4:$A$503,'Daily Data'!$A46,'Daily Data'!$Q$4:$Q$503,'Daily Data'!$Q46)&gt;1,"WARNING","OK"))</f>
        <v>OK</v>
      </c>
      <c r="R46" s="165" t="str">
        <f>IF($A46="","",IF(AND(N('Daily Data'!$K46)&gt;0,N('Daily Data'!$J46)&lt;=0),"WARNING","OK"))</f>
        <v>OK</v>
      </c>
      <c r="S46" s="165">
        <f>IF($A46="","",COUNTIF($D46:$R46,"ERROR"))</f>
        <v>0</v>
      </c>
      <c r="T46" s="165">
        <f>IF($A46="","",COUNTIF($D46:$R46,"WARNING"))</f>
        <v>0</v>
      </c>
      <c r="U46" s="165" t="str">
        <f>IF($A46="","",IF($S46&gt;0,"ERROR",IF($T46&gt;0,"WARNING","PASS")))</f>
        <v>PASS</v>
      </c>
    </row>
    <row r="47" spans="1:21" x14ac:dyDescent="0.3">
      <c r="A47">
        <f>IF(AND('Daily Data'!$A47="",'Daily Data'!$B47=""),"",47)</f>
        <v>47</v>
      </c>
      <c r="B47" s="16">
        <f>IF($A47="","",'Daily Data'!$A47)</f>
        <v>46245</v>
      </c>
      <c r="C47" t="str">
        <f>IF($A47="","",'Daily Data'!$B47)</f>
        <v>NMG</v>
      </c>
      <c r="D47" s="165" t="str">
        <f>IF($A47="","",IF(COUNTIFS('Daily Data'!$B$4:$B$503,'Daily Data'!$B47,'Daily Data'!$A$4:$A$503,'Daily Data'!$A47)&gt;1,"ERROR","OK"))</f>
        <v>OK</v>
      </c>
      <c r="E47" s="165" t="str">
        <f>IF($A47="","",IF('Daily Data'!$B47="","ERROR","OK"))</f>
        <v>OK</v>
      </c>
      <c r="F47" s="165" t="str">
        <f>IF($A47="","",IF(NOT(ISNUMBER('Daily Data'!$A47)),"ERROR","OK"))</f>
        <v>OK</v>
      </c>
      <c r="G47" s="165" t="str">
        <f>IF($A47="","",IF(OR(N('Daily Data'!$E47)&lt;=0,N('Daily Data'!$C47)&lt;0,N('Daily Data'!$D47)&lt;0,N('Daily Data'!$F47)&lt;0,N('Daily Data'!$G47)&lt;0),"ERROR","OK"))</f>
        <v>OK</v>
      </c>
      <c r="H47" s="165" t="str">
        <f>IF($A47="","",IF(N('Daily Data'!$K47)&lt;0,"ERROR","OK"))</f>
        <v>OK</v>
      </c>
      <c r="I47" s="165" t="str">
        <f>IF($A47="","",IF(N('Daily Data'!$I47)&lt;0,"ERROR","OK"))</f>
        <v>OK</v>
      </c>
      <c r="J47" s="165" t="str">
        <f>IF($A47="","",IF(N('Daily Data'!$L47)&lt;0,"ERROR","OK"))</f>
        <v>OK</v>
      </c>
      <c r="K47" s="165" t="str">
        <f>IF($A47="","",IF(N('Daily Data'!$M47)&lt;0,"ERROR","OK"))</f>
        <v>OK</v>
      </c>
      <c r="L47" s="165" t="str">
        <f>IF($A47="","",IF(OR(N('Daily Data'!$F47)=0,N('Daily Data'!$G47)=0),"OK",IF(OR(N('Daily Data'!$E47)&gt;N('Daily Data'!$F47),N('Daily Data'!$E47)&lt;N('Daily Data'!$G47)),"ERROR","OK")))</f>
        <v>OK</v>
      </c>
      <c r="M47" s="165" t="str">
        <f>IF($A47="","",IF(N('Daily Data'!$AK47)&lt;=1,"OK",IF(ROUND(N('Daily Data'!$D47),2)=ROUND(SUMIFS('Daily Data'!$E$4:$E$503,'Daily Data'!$B$4:$B$503,'Daily Data'!$B47,'Daily Data'!$AK$4:$AK$503,'Daily Data'!$AK47-1),2),"OK","WARNING")))</f>
        <v>OK</v>
      </c>
      <c r="N47" s="165" t="str">
        <f>IF($A47="","",IF(N('Daily Data'!$N47)&lt;=0,"WARNING","OK"))</f>
        <v>OK</v>
      </c>
      <c r="O47" s="165" t="str">
        <f>IF($A47="","",IF(AND(ISNUMBER('Daily Data'!$H47),ABS(N('Daily Data'!$H47))&gt;Settings!$C$56),"WARNING","OK"))</f>
        <v>OK</v>
      </c>
      <c r="P47" s="165" t="str">
        <f>IF($A47="","",IF(OR(AND(N('Daily Data'!$K47)=0,N('Daily Data'!$I47)&gt;0),AND(N('Daily Data'!$I47)=0,N('Daily Data'!$K47)&gt;0),AND(N('Daily Data'!$L47)=0,N('Daily Data'!$M47)=0)),"WARNING","OK"))</f>
        <v>OK</v>
      </c>
      <c r="Q47" s="165" t="str">
        <f>IF($A47="","",IF(COUNTIFS('Daily Data'!$B$4:$B$503,'Daily Data'!$B47,'Daily Data'!$A$4:$A$503,'Daily Data'!$A47,'Daily Data'!$Q$4:$Q$503,'Daily Data'!$Q47)&gt;1,"WARNING","OK"))</f>
        <v>OK</v>
      </c>
      <c r="R47" s="165" t="str">
        <f>IF($A47="","",IF(AND(N('Daily Data'!$K47)&gt;0,N('Daily Data'!$J47)&lt;=0),"WARNING","OK"))</f>
        <v>OK</v>
      </c>
      <c r="S47" s="165">
        <f>IF($A47="","",COUNTIF($D47:$R47,"ERROR"))</f>
        <v>0</v>
      </c>
      <c r="T47" s="165">
        <f>IF($A47="","",COUNTIF($D47:$R47,"WARNING"))</f>
        <v>0</v>
      </c>
      <c r="U47" s="165" t="str">
        <f>IF($A47="","",IF($S47&gt;0,"ERROR",IF($T47&gt;0,"WARNING","PASS")))</f>
        <v>PASS</v>
      </c>
    </row>
    <row r="48" spans="1:21" x14ac:dyDescent="0.3">
      <c r="A48">
        <f>IF(AND('Daily Data'!$A48="",'Daily Data'!$B48=""),"",48)</f>
        <v>48</v>
      </c>
      <c r="B48" s="16">
        <f>IF($A48="","",'Daily Data'!$A48)</f>
        <v>46245</v>
      </c>
      <c r="C48" t="str">
        <f>IF($A48="","",'Daily Data'!$B48)</f>
        <v>PAL</v>
      </c>
      <c r="D48" s="165" t="str">
        <f>IF($A48="","",IF(COUNTIFS('Daily Data'!$B$4:$B$503,'Daily Data'!$B48,'Daily Data'!$A$4:$A$503,'Daily Data'!$A48)&gt;1,"ERROR","OK"))</f>
        <v>OK</v>
      </c>
      <c r="E48" s="165" t="str">
        <f>IF($A48="","",IF('Daily Data'!$B48="","ERROR","OK"))</f>
        <v>OK</v>
      </c>
      <c r="F48" s="165" t="str">
        <f>IF($A48="","",IF(NOT(ISNUMBER('Daily Data'!$A48)),"ERROR","OK"))</f>
        <v>OK</v>
      </c>
      <c r="G48" s="165" t="str">
        <f>IF($A48="","",IF(OR(N('Daily Data'!$E48)&lt;=0,N('Daily Data'!$C48)&lt;0,N('Daily Data'!$D48)&lt;0,N('Daily Data'!$F48)&lt;0,N('Daily Data'!$G48)&lt;0),"ERROR","OK"))</f>
        <v>OK</v>
      </c>
      <c r="H48" s="165" t="str">
        <f>IF($A48="","",IF(N('Daily Data'!$K48)&lt;0,"ERROR","OK"))</f>
        <v>OK</v>
      </c>
      <c r="I48" s="165" t="str">
        <f>IF($A48="","",IF(N('Daily Data'!$I48)&lt;0,"ERROR","OK"))</f>
        <v>OK</v>
      </c>
      <c r="J48" s="165" t="str">
        <f>IF($A48="","",IF(N('Daily Data'!$L48)&lt;0,"ERROR","OK"))</f>
        <v>OK</v>
      </c>
      <c r="K48" s="165" t="str">
        <f>IF($A48="","",IF(N('Daily Data'!$M48)&lt;0,"ERROR","OK"))</f>
        <v>OK</v>
      </c>
      <c r="L48" s="165" t="str">
        <f>IF($A48="","",IF(OR(N('Daily Data'!$F48)=0,N('Daily Data'!$G48)=0),"OK",IF(OR(N('Daily Data'!$E48)&gt;N('Daily Data'!$F48),N('Daily Data'!$E48)&lt;N('Daily Data'!$G48)),"ERROR","OK")))</f>
        <v>OK</v>
      </c>
      <c r="M48" s="165" t="str">
        <f>IF($A48="","",IF(N('Daily Data'!$AK48)&lt;=1,"OK",IF(ROUND(N('Daily Data'!$D48),2)=ROUND(SUMIFS('Daily Data'!$E$4:$E$503,'Daily Data'!$B$4:$B$503,'Daily Data'!$B48,'Daily Data'!$AK$4:$AK$503,'Daily Data'!$AK48-1),2),"OK","WARNING")))</f>
        <v>OK</v>
      </c>
      <c r="N48" s="165" t="str">
        <f>IF($A48="","",IF(N('Daily Data'!$N48)&lt;=0,"WARNING","OK"))</f>
        <v>OK</v>
      </c>
      <c r="O48" s="165" t="str">
        <f>IF($A48="","",IF(AND(ISNUMBER('Daily Data'!$H48),ABS(N('Daily Data'!$H48))&gt;Settings!$C$56),"WARNING","OK"))</f>
        <v>OK</v>
      </c>
      <c r="P48" s="165" t="str">
        <f>IF($A48="","",IF(OR(AND(N('Daily Data'!$K48)=0,N('Daily Data'!$I48)&gt;0),AND(N('Daily Data'!$I48)=0,N('Daily Data'!$K48)&gt;0),AND(N('Daily Data'!$L48)=0,N('Daily Data'!$M48)=0)),"WARNING","OK"))</f>
        <v>OK</v>
      </c>
      <c r="Q48" s="165" t="str">
        <f>IF($A48="","",IF(COUNTIFS('Daily Data'!$B$4:$B$503,'Daily Data'!$B48,'Daily Data'!$A$4:$A$503,'Daily Data'!$A48,'Daily Data'!$Q$4:$Q$503,'Daily Data'!$Q48)&gt;1,"WARNING","OK"))</f>
        <v>OK</v>
      </c>
      <c r="R48" s="165" t="str">
        <f>IF($A48="","",IF(AND(N('Daily Data'!$K48)&gt;0,N('Daily Data'!$J48)&lt;=0),"WARNING","OK"))</f>
        <v>OK</v>
      </c>
      <c r="S48" s="165">
        <f>IF($A48="","",COUNTIF($D48:$R48,"ERROR"))</f>
        <v>0</v>
      </c>
      <c r="T48" s="165">
        <f>IF($A48="","",COUNTIF($D48:$R48,"WARNING"))</f>
        <v>0</v>
      </c>
      <c r="U48" s="165" t="str">
        <f>IF($A48="","",IF($S48&gt;0,"ERROR",IF($T48&gt;0,"WARNING","PASS")))</f>
        <v>PASS</v>
      </c>
    </row>
    <row r="49" spans="1:21" x14ac:dyDescent="0.3">
      <c r="A49">
        <f>IF(AND('Daily Data'!$A49="",'Daily Data'!$B49=""),"",49)</f>
        <v>49</v>
      </c>
      <c r="B49" s="16">
        <f>IF($A49="","",'Daily Data'!$A49)</f>
        <v>46245</v>
      </c>
      <c r="C49" t="str">
        <f>IF($A49="","",'Daily Data'!$B49)</f>
        <v>SWALA</v>
      </c>
      <c r="D49" s="165" t="str">
        <f>IF($A49="","",IF(COUNTIFS('Daily Data'!$B$4:$B$503,'Daily Data'!$B49,'Daily Data'!$A$4:$A$503,'Daily Data'!$A49)&gt;1,"ERROR","OK"))</f>
        <v>OK</v>
      </c>
      <c r="E49" s="165" t="str">
        <f>IF($A49="","",IF('Daily Data'!$B49="","ERROR","OK"))</f>
        <v>OK</v>
      </c>
      <c r="F49" s="165" t="str">
        <f>IF($A49="","",IF(NOT(ISNUMBER('Daily Data'!$A49)),"ERROR","OK"))</f>
        <v>OK</v>
      </c>
      <c r="G49" s="165" t="str">
        <f>IF($A49="","",IF(OR(N('Daily Data'!$E49)&lt;=0,N('Daily Data'!$C49)&lt;0,N('Daily Data'!$D49)&lt;0,N('Daily Data'!$F49)&lt;0,N('Daily Data'!$G49)&lt;0),"ERROR","OK"))</f>
        <v>OK</v>
      </c>
      <c r="H49" s="165" t="str">
        <f>IF($A49="","",IF(N('Daily Data'!$K49)&lt;0,"ERROR","OK"))</f>
        <v>OK</v>
      </c>
      <c r="I49" s="165" t="str">
        <f>IF($A49="","",IF(N('Daily Data'!$I49)&lt;0,"ERROR","OK"))</f>
        <v>OK</v>
      </c>
      <c r="J49" s="165" t="str">
        <f>IF($A49="","",IF(N('Daily Data'!$L49)&lt;0,"ERROR","OK"))</f>
        <v>OK</v>
      </c>
      <c r="K49" s="165" t="str">
        <f>IF($A49="","",IF(N('Daily Data'!$M49)&lt;0,"ERROR","OK"))</f>
        <v>OK</v>
      </c>
      <c r="L49" s="165" t="str">
        <f>IF($A49="","",IF(OR(N('Daily Data'!$F49)=0,N('Daily Data'!$G49)=0),"OK",IF(OR(N('Daily Data'!$E49)&gt;N('Daily Data'!$F49),N('Daily Data'!$E49)&lt;N('Daily Data'!$G49)),"ERROR","OK")))</f>
        <v>OK</v>
      </c>
      <c r="M49" s="165" t="str">
        <f>IF($A49="","",IF(N('Daily Data'!$AK49)&lt;=1,"OK",IF(ROUND(N('Daily Data'!$D49),2)=ROUND(SUMIFS('Daily Data'!$E$4:$E$503,'Daily Data'!$B$4:$B$503,'Daily Data'!$B49,'Daily Data'!$AK$4:$AK$503,'Daily Data'!$AK49-1),2),"OK","WARNING")))</f>
        <v>OK</v>
      </c>
      <c r="N49" s="165" t="str">
        <f>IF($A49="","",IF(N('Daily Data'!$N49)&lt;=0,"WARNING","OK"))</f>
        <v>OK</v>
      </c>
      <c r="O49" s="165" t="str">
        <f>IF($A49="","",IF(AND(ISNUMBER('Daily Data'!$H49),ABS(N('Daily Data'!$H49))&gt;Settings!$C$56),"WARNING","OK"))</f>
        <v>OK</v>
      </c>
      <c r="P49" s="165" t="str">
        <f>IF($A49="","",IF(OR(AND(N('Daily Data'!$K49)=0,N('Daily Data'!$I49)&gt;0),AND(N('Daily Data'!$I49)=0,N('Daily Data'!$K49)&gt;0),AND(N('Daily Data'!$L49)=0,N('Daily Data'!$M49)=0)),"WARNING","OK"))</f>
        <v>WARNING</v>
      </c>
      <c r="Q49" s="165" t="str">
        <f>IF($A49="","",IF(COUNTIFS('Daily Data'!$B$4:$B$503,'Daily Data'!$B49,'Daily Data'!$A$4:$A$503,'Daily Data'!$A49,'Daily Data'!$Q$4:$Q$503,'Daily Data'!$Q49)&gt;1,"WARNING","OK"))</f>
        <v>OK</v>
      </c>
      <c r="R49" s="165" t="str">
        <f>IF($A49="","",IF(AND(N('Daily Data'!$K49)&gt;0,N('Daily Data'!$J49)&lt;=0),"WARNING","OK"))</f>
        <v>OK</v>
      </c>
      <c r="S49" s="165">
        <f>IF($A49="","",COUNTIF($D49:$R49,"ERROR"))</f>
        <v>0</v>
      </c>
      <c r="T49" s="165">
        <f>IF($A49="","",COUNTIF($D49:$R49,"WARNING"))</f>
        <v>1</v>
      </c>
      <c r="U49" s="165" t="str">
        <f>IF($A49="","",IF($S49&gt;0,"ERROR",IF($T49&gt;0,"WARNING","PASS")))</f>
        <v>WARNING</v>
      </c>
    </row>
    <row r="50" spans="1:21" x14ac:dyDescent="0.3">
      <c r="A50">
        <f>IF(AND('Daily Data'!$A50="",'Daily Data'!$B50=""),"",50)</f>
        <v>50</v>
      </c>
      <c r="B50" s="16">
        <f>IF($A50="","",'Daily Data'!$A50)</f>
        <v>46245</v>
      </c>
      <c r="C50" t="str">
        <f>IF($A50="","",'Daily Data'!$B50)</f>
        <v>SWIS</v>
      </c>
      <c r="D50" s="165" t="str">
        <f>IF($A50="","",IF(COUNTIFS('Daily Data'!$B$4:$B$503,'Daily Data'!$B50,'Daily Data'!$A$4:$A$503,'Daily Data'!$A50)&gt;1,"ERROR","OK"))</f>
        <v>OK</v>
      </c>
      <c r="E50" s="165" t="str">
        <f>IF($A50="","",IF('Daily Data'!$B50="","ERROR","OK"))</f>
        <v>OK</v>
      </c>
      <c r="F50" s="165" t="str">
        <f>IF($A50="","",IF(NOT(ISNUMBER('Daily Data'!$A50)),"ERROR","OK"))</f>
        <v>OK</v>
      </c>
      <c r="G50" s="165" t="str">
        <f>IF($A50="","",IF(OR(N('Daily Data'!$E50)&lt;=0,N('Daily Data'!$C50)&lt;0,N('Daily Data'!$D50)&lt;0,N('Daily Data'!$F50)&lt;0,N('Daily Data'!$G50)&lt;0),"ERROR","OK"))</f>
        <v>OK</v>
      </c>
      <c r="H50" s="165" t="str">
        <f>IF($A50="","",IF(N('Daily Data'!$K50)&lt;0,"ERROR","OK"))</f>
        <v>OK</v>
      </c>
      <c r="I50" s="165" t="str">
        <f>IF($A50="","",IF(N('Daily Data'!$I50)&lt;0,"ERROR","OK"))</f>
        <v>OK</v>
      </c>
      <c r="J50" s="165" t="str">
        <f>IF($A50="","",IF(N('Daily Data'!$L50)&lt;0,"ERROR","OK"))</f>
        <v>OK</v>
      </c>
      <c r="K50" s="165" t="str">
        <f>IF($A50="","",IF(N('Daily Data'!$M50)&lt;0,"ERROR","OK"))</f>
        <v>OK</v>
      </c>
      <c r="L50" s="165" t="str">
        <f>IF($A50="","",IF(OR(N('Daily Data'!$F50)=0,N('Daily Data'!$G50)=0),"OK",IF(OR(N('Daily Data'!$E50)&gt;N('Daily Data'!$F50),N('Daily Data'!$E50)&lt;N('Daily Data'!$G50)),"ERROR","OK")))</f>
        <v>OK</v>
      </c>
      <c r="M50" s="165" t="str">
        <f>IF($A50="","",IF(N('Daily Data'!$AK50)&lt;=1,"OK",IF(ROUND(N('Daily Data'!$D50),2)=ROUND(SUMIFS('Daily Data'!$E$4:$E$503,'Daily Data'!$B$4:$B$503,'Daily Data'!$B50,'Daily Data'!$AK$4:$AK$503,'Daily Data'!$AK50-1),2),"OK","WARNING")))</f>
        <v>OK</v>
      </c>
      <c r="N50" s="165" t="str">
        <f>IF($A50="","",IF(N('Daily Data'!$N50)&lt;=0,"WARNING","OK"))</f>
        <v>OK</v>
      </c>
      <c r="O50" s="165" t="str">
        <f>IF($A50="","",IF(AND(ISNUMBER('Daily Data'!$H50),ABS(N('Daily Data'!$H50))&gt;Settings!$C$56),"WARNING","OK"))</f>
        <v>OK</v>
      </c>
      <c r="P50" s="165" t="str">
        <f>IF($A50="","",IF(OR(AND(N('Daily Data'!$K50)=0,N('Daily Data'!$I50)&gt;0),AND(N('Daily Data'!$I50)=0,N('Daily Data'!$K50)&gt;0),AND(N('Daily Data'!$L50)=0,N('Daily Data'!$M50)=0)),"WARNING","OK"))</f>
        <v>OK</v>
      </c>
      <c r="Q50" s="165" t="str">
        <f>IF($A50="","",IF(COUNTIFS('Daily Data'!$B$4:$B$503,'Daily Data'!$B50,'Daily Data'!$A$4:$A$503,'Daily Data'!$A50,'Daily Data'!$Q$4:$Q$503,'Daily Data'!$Q50)&gt;1,"WARNING","OK"))</f>
        <v>OK</v>
      </c>
      <c r="R50" s="165" t="str">
        <f>IF($A50="","",IF(AND(N('Daily Data'!$K50)&gt;0,N('Daily Data'!$J50)&lt;=0),"WARNING","OK"))</f>
        <v>OK</v>
      </c>
      <c r="S50" s="165">
        <f>IF($A50="","",COUNTIF($D50:$R50,"ERROR"))</f>
        <v>0</v>
      </c>
      <c r="T50" s="165">
        <f>IF($A50="","",COUNTIF($D50:$R50,"WARNING"))</f>
        <v>0</v>
      </c>
      <c r="U50" s="165" t="str">
        <f>IF($A50="","",IF($S50&gt;0,"ERROR",IF($T50&gt;0,"WARNING","PASS")))</f>
        <v>PASS</v>
      </c>
    </row>
    <row r="51" spans="1:21" x14ac:dyDescent="0.3">
      <c r="A51">
        <f>IF(AND('Daily Data'!$A51="",'Daily Data'!$B51=""),"",51)</f>
        <v>51</v>
      </c>
      <c r="B51" s="16">
        <f>IF($A51="","",'Daily Data'!$A51)</f>
        <v>46245</v>
      </c>
      <c r="C51" t="str">
        <f>IF($A51="","",'Daily Data'!$B51)</f>
        <v>TBL</v>
      </c>
      <c r="D51" s="165" t="str">
        <f>IF($A51="","",IF(COUNTIFS('Daily Data'!$B$4:$B$503,'Daily Data'!$B51,'Daily Data'!$A$4:$A$503,'Daily Data'!$A51)&gt;1,"ERROR","OK"))</f>
        <v>OK</v>
      </c>
      <c r="E51" s="165" t="str">
        <f>IF($A51="","",IF('Daily Data'!$B51="","ERROR","OK"))</f>
        <v>OK</v>
      </c>
      <c r="F51" s="165" t="str">
        <f>IF($A51="","",IF(NOT(ISNUMBER('Daily Data'!$A51)),"ERROR","OK"))</f>
        <v>OK</v>
      </c>
      <c r="G51" s="165" t="str">
        <f>IF($A51="","",IF(OR(N('Daily Data'!$E51)&lt;=0,N('Daily Data'!$C51)&lt;0,N('Daily Data'!$D51)&lt;0,N('Daily Data'!$F51)&lt;0,N('Daily Data'!$G51)&lt;0),"ERROR","OK"))</f>
        <v>OK</v>
      </c>
      <c r="H51" s="165" t="str">
        <f>IF($A51="","",IF(N('Daily Data'!$K51)&lt;0,"ERROR","OK"))</f>
        <v>OK</v>
      </c>
      <c r="I51" s="165" t="str">
        <f>IF($A51="","",IF(N('Daily Data'!$I51)&lt;0,"ERROR","OK"))</f>
        <v>OK</v>
      </c>
      <c r="J51" s="165" t="str">
        <f>IF($A51="","",IF(N('Daily Data'!$L51)&lt;0,"ERROR","OK"))</f>
        <v>OK</v>
      </c>
      <c r="K51" s="165" t="str">
        <f>IF($A51="","",IF(N('Daily Data'!$M51)&lt;0,"ERROR","OK"))</f>
        <v>OK</v>
      </c>
      <c r="L51" s="165" t="str">
        <f>IF($A51="","",IF(OR(N('Daily Data'!$F51)=0,N('Daily Data'!$G51)=0),"OK",IF(OR(N('Daily Data'!$E51)&gt;N('Daily Data'!$F51),N('Daily Data'!$E51)&lt;N('Daily Data'!$G51)),"ERROR","OK")))</f>
        <v>OK</v>
      </c>
      <c r="M51" s="165" t="str">
        <f>IF($A51="","",IF(N('Daily Data'!$AK51)&lt;=1,"OK",IF(ROUND(N('Daily Data'!$D51),2)=ROUND(SUMIFS('Daily Data'!$E$4:$E$503,'Daily Data'!$B$4:$B$503,'Daily Data'!$B51,'Daily Data'!$AK$4:$AK$503,'Daily Data'!$AK51-1),2),"OK","WARNING")))</f>
        <v>OK</v>
      </c>
      <c r="N51" s="165" t="str">
        <f>IF($A51="","",IF(N('Daily Data'!$N51)&lt;=0,"WARNING","OK"))</f>
        <v>OK</v>
      </c>
      <c r="O51" s="165" t="str">
        <f>IF($A51="","",IF(AND(ISNUMBER('Daily Data'!$H51),ABS(N('Daily Data'!$H51))&gt;Settings!$C$56),"WARNING","OK"))</f>
        <v>OK</v>
      </c>
      <c r="P51" s="165" t="str">
        <f>IF($A51="","",IF(OR(AND(N('Daily Data'!$K51)=0,N('Daily Data'!$I51)&gt;0),AND(N('Daily Data'!$I51)=0,N('Daily Data'!$K51)&gt;0),AND(N('Daily Data'!$L51)=0,N('Daily Data'!$M51)=0)),"WARNING","OK"))</f>
        <v>OK</v>
      </c>
      <c r="Q51" s="165" t="str">
        <f>IF($A51="","",IF(COUNTIFS('Daily Data'!$B$4:$B$503,'Daily Data'!$B51,'Daily Data'!$A$4:$A$503,'Daily Data'!$A51,'Daily Data'!$Q$4:$Q$503,'Daily Data'!$Q51)&gt;1,"WARNING","OK"))</f>
        <v>OK</v>
      </c>
      <c r="R51" s="165" t="str">
        <f>IF($A51="","",IF(AND(N('Daily Data'!$K51)&gt;0,N('Daily Data'!$J51)&lt;=0),"WARNING","OK"))</f>
        <v>OK</v>
      </c>
      <c r="S51" s="165">
        <f>IF($A51="","",COUNTIF($D51:$R51,"ERROR"))</f>
        <v>0</v>
      </c>
      <c r="T51" s="165">
        <f>IF($A51="","",COUNTIF($D51:$R51,"WARNING"))</f>
        <v>0</v>
      </c>
      <c r="U51" s="165" t="str">
        <f>IF($A51="","",IF($S51&gt;0,"ERROR",IF($T51&gt;0,"WARNING","PASS")))</f>
        <v>PASS</v>
      </c>
    </row>
    <row r="52" spans="1:21" x14ac:dyDescent="0.3">
      <c r="A52">
        <f>IF(AND('Daily Data'!$A52="",'Daily Data'!$B52=""),"",52)</f>
        <v>52</v>
      </c>
      <c r="B52" s="16">
        <f>IF($A52="","",'Daily Data'!$A52)</f>
        <v>46245</v>
      </c>
      <c r="C52" t="str">
        <f>IF($A52="","",'Daily Data'!$B52)</f>
        <v>TCC</v>
      </c>
      <c r="D52" s="165" t="str">
        <f>IF($A52="","",IF(COUNTIFS('Daily Data'!$B$4:$B$503,'Daily Data'!$B52,'Daily Data'!$A$4:$A$503,'Daily Data'!$A52)&gt;1,"ERROR","OK"))</f>
        <v>OK</v>
      </c>
      <c r="E52" s="165" t="str">
        <f>IF($A52="","",IF('Daily Data'!$B52="","ERROR","OK"))</f>
        <v>OK</v>
      </c>
      <c r="F52" s="165" t="str">
        <f>IF($A52="","",IF(NOT(ISNUMBER('Daily Data'!$A52)),"ERROR","OK"))</f>
        <v>OK</v>
      </c>
      <c r="G52" s="165" t="str">
        <f>IF($A52="","",IF(OR(N('Daily Data'!$E52)&lt;=0,N('Daily Data'!$C52)&lt;0,N('Daily Data'!$D52)&lt;0,N('Daily Data'!$F52)&lt;0,N('Daily Data'!$G52)&lt;0),"ERROR","OK"))</f>
        <v>OK</v>
      </c>
      <c r="H52" s="165" t="str">
        <f>IF($A52="","",IF(N('Daily Data'!$K52)&lt;0,"ERROR","OK"))</f>
        <v>OK</v>
      </c>
      <c r="I52" s="165" t="str">
        <f>IF($A52="","",IF(N('Daily Data'!$I52)&lt;0,"ERROR","OK"))</f>
        <v>OK</v>
      </c>
      <c r="J52" s="165" t="str">
        <f>IF($A52="","",IF(N('Daily Data'!$L52)&lt;0,"ERROR","OK"))</f>
        <v>OK</v>
      </c>
      <c r="K52" s="165" t="str">
        <f>IF($A52="","",IF(N('Daily Data'!$M52)&lt;0,"ERROR","OK"))</f>
        <v>OK</v>
      </c>
      <c r="L52" s="165" t="str">
        <f>IF($A52="","",IF(OR(N('Daily Data'!$F52)=0,N('Daily Data'!$G52)=0),"OK",IF(OR(N('Daily Data'!$E52)&gt;N('Daily Data'!$F52),N('Daily Data'!$E52)&lt;N('Daily Data'!$G52)),"ERROR","OK")))</f>
        <v>OK</v>
      </c>
      <c r="M52" s="165" t="str">
        <f>IF($A52="","",IF(N('Daily Data'!$AK52)&lt;=1,"OK",IF(ROUND(N('Daily Data'!$D52),2)=ROUND(SUMIFS('Daily Data'!$E$4:$E$503,'Daily Data'!$B$4:$B$503,'Daily Data'!$B52,'Daily Data'!$AK$4:$AK$503,'Daily Data'!$AK52-1),2),"OK","WARNING")))</f>
        <v>OK</v>
      </c>
      <c r="N52" s="165" t="str">
        <f>IF($A52="","",IF(N('Daily Data'!$N52)&lt;=0,"WARNING","OK"))</f>
        <v>OK</v>
      </c>
      <c r="O52" s="165" t="str">
        <f>IF($A52="","",IF(AND(ISNUMBER('Daily Data'!$H52),ABS(N('Daily Data'!$H52))&gt;Settings!$C$56),"WARNING","OK"))</f>
        <v>OK</v>
      </c>
      <c r="P52" s="165" t="str">
        <f>IF($A52="","",IF(OR(AND(N('Daily Data'!$K52)=0,N('Daily Data'!$I52)&gt;0),AND(N('Daily Data'!$I52)=0,N('Daily Data'!$K52)&gt;0),AND(N('Daily Data'!$L52)=0,N('Daily Data'!$M52)=0)),"WARNING","OK"))</f>
        <v>OK</v>
      </c>
      <c r="Q52" s="165" t="str">
        <f>IF($A52="","",IF(COUNTIFS('Daily Data'!$B$4:$B$503,'Daily Data'!$B52,'Daily Data'!$A$4:$A$503,'Daily Data'!$A52,'Daily Data'!$Q$4:$Q$503,'Daily Data'!$Q52)&gt;1,"WARNING","OK"))</f>
        <v>OK</v>
      </c>
      <c r="R52" s="165" t="str">
        <f>IF($A52="","",IF(AND(N('Daily Data'!$K52)&gt;0,N('Daily Data'!$J52)&lt;=0),"WARNING","OK"))</f>
        <v>OK</v>
      </c>
      <c r="S52" s="165">
        <f>IF($A52="","",COUNTIF($D52:$R52,"ERROR"))</f>
        <v>0</v>
      </c>
      <c r="T52" s="165">
        <f>IF($A52="","",COUNTIF($D52:$R52,"WARNING"))</f>
        <v>0</v>
      </c>
      <c r="U52" s="165" t="str">
        <f>IF($A52="","",IF($S52&gt;0,"ERROR",IF($T52&gt;0,"WARNING","PASS")))</f>
        <v>PASS</v>
      </c>
    </row>
    <row r="53" spans="1:21" x14ac:dyDescent="0.3">
      <c r="A53">
        <f>IF(AND('Daily Data'!$A53="",'Daily Data'!$B53=""),"",53)</f>
        <v>53</v>
      </c>
      <c r="B53" s="16">
        <f>IF($A53="","",'Daily Data'!$A53)</f>
        <v>46245</v>
      </c>
      <c r="C53" t="str">
        <f>IF($A53="","",'Daily Data'!$B53)</f>
        <v>TCCL</v>
      </c>
      <c r="D53" s="165" t="str">
        <f>IF($A53="","",IF(COUNTIFS('Daily Data'!$B$4:$B$503,'Daily Data'!$B53,'Daily Data'!$A$4:$A$503,'Daily Data'!$A53)&gt;1,"ERROR","OK"))</f>
        <v>OK</v>
      </c>
      <c r="E53" s="165" t="str">
        <f>IF($A53="","",IF('Daily Data'!$B53="","ERROR","OK"))</f>
        <v>OK</v>
      </c>
      <c r="F53" s="165" t="str">
        <f>IF($A53="","",IF(NOT(ISNUMBER('Daily Data'!$A53)),"ERROR","OK"))</f>
        <v>OK</v>
      </c>
      <c r="G53" s="165" t="str">
        <f>IF($A53="","",IF(OR(N('Daily Data'!$E53)&lt;=0,N('Daily Data'!$C53)&lt;0,N('Daily Data'!$D53)&lt;0,N('Daily Data'!$F53)&lt;0,N('Daily Data'!$G53)&lt;0),"ERROR","OK"))</f>
        <v>OK</v>
      </c>
      <c r="H53" s="165" t="str">
        <f>IF($A53="","",IF(N('Daily Data'!$K53)&lt;0,"ERROR","OK"))</f>
        <v>OK</v>
      </c>
      <c r="I53" s="165" t="str">
        <f>IF($A53="","",IF(N('Daily Data'!$I53)&lt;0,"ERROR","OK"))</f>
        <v>OK</v>
      </c>
      <c r="J53" s="165" t="str">
        <f>IF($A53="","",IF(N('Daily Data'!$L53)&lt;0,"ERROR","OK"))</f>
        <v>OK</v>
      </c>
      <c r="K53" s="165" t="str">
        <f>IF($A53="","",IF(N('Daily Data'!$M53)&lt;0,"ERROR","OK"))</f>
        <v>OK</v>
      </c>
      <c r="L53" s="165" t="str">
        <f>IF($A53="","",IF(OR(N('Daily Data'!$F53)=0,N('Daily Data'!$G53)=0),"OK",IF(OR(N('Daily Data'!$E53)&gt;N('Daily Data'!$F53),N('Daily Data'!$E53)&lt;N('Daily Data'!$G53)),"ERROR","OK")))</f>
        <v>OK</v>
      </c>
      <c r="M53" s="165" t="str">
        <f>IF($A53="","",IF(N('Daily Data'!$AK53)&lt;=1,"OK",IF(ROUND(N('Daily Data'!$D53),2)=ROUND(SUMIFS('Daily Data'!$E$4:$E$503,'Daily Data'!$B$4:$B$503,'Daily Data'!$B53,'Daily Data'!$AK$4:$AK$503,'Daily Data'!$AK53-1),2),"OK","WARNING")))</f>
        <v>OK</v>
      </c>
      <c r="N53" s="165" t="str">
        <f>IF($A53="","",IF(N('Daily Data'!$N53)&lt;=0,"WARNING","OK"))</f>
        <v>OK</v>
      </c>
      <c r="O53" s="165" t="str">
        <f>IF($A53="","",IF(AND(ISNUMBER('Daily Data'!$H53),ABS(N('Daily Data'!$H53))&gt;Settings!$C$56),"WARNING","OK"))</f>
        <v>OK</v>
      </c>
      <c r="P53" s="165" t="str">
        <f>IF($A53="","",IF(OR(AND(N('Daily Data'!$K53)=0,N('Daily Data'!$I53)&gt;0),AND(N('Daily Data'!$I53)=0,N('Daily Data'!$K53)&gt;0),AND(N('Daily Data'!$L53)=0,N('Daily Data'!$M53)=0)),"WARNING","OK"))</f>
        <v>OK</v>
      </c>
      <c r="Q53" s="165" t="str">
        <f>IF($A53="","",IF(COUNTIFS('Daily Data'!$B$4:$B$503,'Daily Data'!$B53,'Daily Data'!$A$4:$A$503,'Daily Data'!$A53,'Daily Data'!$Q$4:$Q$503,'Daily Data'!$Q53)&gt;1,"WARNING","OK"))</f>
        <v>OK</v>
      </c>
      <c r="R53" s="165" t="str">
        <f>IF($A53="","",IF(AND(N('Daily Data'!$K53)&gt;0,N('Daily Data'!$J53)&lt;=0),"WARNING","OK"))</f>
        <v>OK</v>
      </c>
      <c r="S53" s="165">
        <f>IF($A53="","",COUNTIF($D53:$R53,"ERROR"))</f>
        <v>0</v>
      </c>
      <c r="T53" s="165">
        <f>IF($A53="","",COUNTIF($D53:$R53,"WARNING"))</f>
        <v>0</v>
      </c>
      <c r="U53" s="165" t="str">
        <f>IF($A53="","",IF($S53&gt;0,"ERROR",IF($T53&gt;0,"WARNING","PASS")))</f>
        <v>PASS</v>
      </c>
    </row>
    <row r="54" spans="1:21" x14ac:dyDescent="0.3">
      <c r="A54">
        <f>IF(AND('Daily Data'!$A54="",'Daily Data'!$B54=""),"",54)</f>
        <v>54</v>
      </c>
      <c r="B54" s="16">
        <f>IF($A54="","",'Daily Data'!$A54)</f>
        <v>46245</v>
      </c>
      <c r="C54" t="str">
        <f>IF($A54="","",'Daily Data'!$B54)</f>
        <v>TOL</v>
      </c>
      <c r="D54" s="165" t="str">
        <f>IF($A54="","",IF(COUNTIFS('Daily Data'!$B$4:$B$503,'Daily Data'!$B54,'Daily Data'!$A$4:$A$503,'Daily Data'!$A54)&gt;1,"ERROR","OK"))</f>
        <v>OK</v>
      </c>
      <c r="E54" s="165" t="str">
        <f>IF($A54="","",IF('Daily Data'!$B54="","ERROR","OK"))</f>
        <v>OK</v>
      </c>
      <c r="F54" s="165" t="str">
        <f>IF($A54="","",IF(NOT(ISNUMBER('Daily Data'!$A54)),"ERROR","OK"))</f>
        <v>OK</v>
      </c>
      <c r="G54" s="165" t="str">
        <f>IF($A54="","",IF(OR(N('Daily Data'!$E54)&lt;=0,N('Daily Data'!$C54)&lt;0,N('Daily Data'!$D54)&lt;0,N('Daily Data'!$F54)&lt;0,N('Daily Data'!$G54)&lt;0),"ERROR","OK"))</f>
        <v>OK</v>
      </c>
      <c r="H54" s="165" t="str">
        <f>IF($A54="","",IF(N('Daily Data'!$K54)&lt;0,"ERROR","OK"))</f>
        <v>OK</v>
      </c>
      <c r="I54" s="165" t="str">
        <f>IF($A54="","",IF(N('Daily Data'!$I54)&lt;0,"ERROR","OK"))</f>
        <v>OK</v>
      </c>
      <c r="J54" s="165" t="str">
        <f>IF($A54="","",IF(N('Daily Data'!$L54)&lt;0,"ERROR","OK"))</f>
        <v>OK</v>
      </c>
      <c r="K54" s="165" t="str">
        <f>IF($A54="","",IF(N('Daily Data'!$M54)&lt;0,"ERROR","OK"))</f>
        <v>OK</v>
      </c>
      <c r="L54" s="165" t="str">
        <f>IF($A54="","",IF(OR(N('Daily Data'!$F54)=0,N('Daily Data'!$G54)=0),"OK",IF(OR(N('Daily Data'!$E54)&gt;N('Daily Data'!$F54),N('Daily Data'!$E54)&lt;N('Daily Data'!$G54)),"ERROR","OK")))</f>
        <v>OK</v>
      </c>
      <c r="M54" s="165" t="str">
        <f>IF($A54="","",IF(N('Daily Data'!$AK54)&lt;=1,"OK",IF(ROUND(N('Daily Data'!$D54),2)=ROUND(SUMIFS('Daily Data'!$E$4:$E$503,'Daily Data'!$B$4:$B$503,'Daily Data'!$B54,'Daily Data'!$AK$4:$AK$503,'Daily Data'!$AK54-1),2),"OK","WARNING")))</f>
        <v>OK</v>
      </c>
      <c r="N54" s="165" t="str">
        <f>IF($A54="","",IF(N('Daily Data'!$N54)&lt;=0,"WARNING","OK"))</f>
        <v>OK</v>
      </c>
      <c r="O54" s="165" t="str">
        <f>IF($A54="","",IF(AND(ISNUMBER('Daily Data'!$H54),ABS(N('Daily Data'!$H54))&gt;Settings!$C$56),"WARNING","OK"))</f>
        <v>OK</v>
      </c>
      <c r="P54" s="165" t="str">
        <f>IF($A54="","",IF(OR(AND(N('Daily Data'!$K54)=0,N('Daily Data'!$I54)&gt;0),AND(N('Daily Data'!$I54)=0,N('Daily Data'!$K54)&gt;0),AND(N('Daily Data'!$L54)=0,N('Daily Data'!$M54)=0)),"WARNING","OK"))</f>
        <v>OK</v>
      </c>
      <c r="Q54" s="165" t="str">
        <f>IF($A54="","",IF(COUNTIFS('Daily Data'!$B$4:$B$503,'Daily Data'!$B54,'Daily Data'!$A$4:$A$503,'Daily Data'!$A54,'Daily Data'!$Q$4:$Q$503,'Daily Data'!$Q54)&gt;1,"WARNING","OK"))</f>
        <v>OK</v>
      </c>
      <c r="R54" s="165" t="str">
        <f>IF($A54="","",IF(AND(N('Daily Data'!$K54)&gt;0,N('Daily Data'!$J54)&lt;=0),"WARNING","OK"))</f>
        <v>OK</v>
      </c>
      <c r="S54" s="165">
        <f>IF($A54="","",COUNTIF($D54:$R54,"ERROR"))</f>
        <v>0</v>
      </c>
      <c r="T54" s="165">
        <f>IF($A54="","",COUNTIF($D54:$R54,"WARNING"))</f>
        <v>0</v>
      </c>
      <c r="U54" s="165" t="str">
        <f>IF($A54="","",IF($S54&gt;0,"ERROR",IF($T54&gt;0,"WARNING","PASS")))</f>
        <v>PASS</v>
      </c>
    </row>
    <row r="55" spans="1:21" x14ac:dyDescent="0.3">
      <c r="A55">
        <f>IF(AND('Daily Data'!$A55="",'Daily Data'!$B55=""),"",55)</f>
        <v>55</v>
      </c>
      <c r="B55" s="16">
        <f>IF($A55="","",'Daily Data'!$A55)</f>
        <v>46245</v>
      </c>
      <c r="C55" t="str">
        <f>IF($A55="","",'Daily Data'!$B55)</f>
        <v>TPCC</v>
      </c>
      <c r="D55" s="165" t="str">
        <f>IF($A55="","",IF(COUNTIFS('Daily Data'!$B$4:$B$503,'Daily Data'!$B55,'Daily Data'!$A$4:$A$503,'Daily Data'!$A55)&gt;1,"ERROR","OK"))</f>
        <v>OK</v>
      </c>
      <c r="E55" s="165" t="str">
        <f>IF($A55="","",IF('Daily Data'!$B55="","ERROR","OK"))</f>
        <v>OK</v>
      </c>
      <c r="F55" s="165" t="str">
        <f>IF($A55="","",IF(NOT(ISNUMBER('Daily Data'!$A55)),"ERROR","OK"))</f>
        <v>OK</v>
      </c>
      <c r="G55" s="165" t="str">
        <f>IF($A55="","",IF(OR(N('Daily Data'!$E55)&lt;=0,N('Daily Data'!$C55)&lt;0,N('Daily Data'!$D55)&lt;0,N('Daily Data'!$F55)&lt;0,N('Daily Data'!$G55)&lt;0),"ERROR","OK"))</f>
        <v>OK</v>
      </c>
      <c r="H55" s="165" t="str">
        <f>IF($A55="","",IF(N('Daily Data'!$K55)&lt;0,"ERROR","OK"))</f>
        <v>OK</v>
      </c>
      <c r="I55" s="165" t="str">
        <f>IF($A55="","",IF(N('Daily Data'!$I55)&lt;0,"ERROR","OK"))</f>
        <v>OK</v>
      </c>
      <c r="J55" s="165" t="str">
        <f>IF($A55="","",IF(N('Daily Data'!$L55)&lt;0,"ERROR","OK"))</f>
        <v>OK</v>
      </c>
      <c r="K55" s="165" t="str">
        <f>IF($A55="","",IF(N('Daily Data'!$M55)&lt;0,"ERROR","OK"))</f>
        <v>OK</v>
      </c>
      <c r="L55" s="165" t="str">
        <f>IF($A55="","",IF(OR(N('Daily Data'!$F55)=0,N('Daily Data'!$G55)=0),"OK",IF(OR(N('Daily Data'!$E55)&gt;N('Daily Data'!$F55),N('Daily Data'!$E55)&lt;N('Daily Data'!$G55)),"ERROR","OK")))</f>
        <v>OK</v>
      </c>
      <c r="M55" s="165" t="str">
        <f>IF($A55="","",IF(N('Daily Data'!$AK55)&lt;=1,"OK",IF(ROUND(N('Daily Data'!$D55),2)=ROUND(SUMIFS('Daily Data'!$E$4:$E$503,'Daily Data'!$B$4:$B$503,'Daily Data'!$B55,'Daily Data'!$AK$4:$AK$503,'Daily Data'!$AK55-1),2),"OK","WARNING")))</f>
        <v>OK</v>
      </c>
      <c r="N55" s="165" t="str">
        <f>IF($A55="","",IF(N('Daily Data'!$N55)&lt;=0,"WARNING","OK"))</f>
        <v>OK</v>
      </c>
      <c r="O55" s="165" t="str">
        <f>IF($A55="","",IF(AND(ISNUMBER('Daily Data'!$H55),ABS(N('Daily Data'!$H55))&gt;Settings!$C$56),"WARNING","OK"))</f>
        <v>OK</v>
      </c>
      <c r="P55" s="165" t="str">
        <f>IF($A55="","",IF(OR(AND(N('Daily Data'!$K55)=0,N('Daily Data'!$I55)&gt;0),AND(N('Daily Data'!$I55)=0,N('Daily Data'!$K55)&gt;0),AND(N('Daily Data'!$L55)=0,N('Daily Data'!$M55)=0)),"WARNING","OK"))</f>
        <v>OK</v>
      </c>
      <c r="Q55" s="165" t="str">
        <f>IF($A55="","",IF(COUNTIFS('Daily Data'!$B$4:$B$503,'Daily Data'!$B55,'Daily Data'!$A$4:$A$503,'Daily Data'!$A55,'Daily Data'!$Q$4:$Q$503,'Daily Data'!$Q55)&gt;1,"WARNING","OK"))</f>
        <v>OK</v>
      </c>
      <c r="R55" s="165" t="str">
        <f>IF($A55="","",IF(AND(N('Daily Data'!$K55)&gt;0,N('Daily Data'!$J55)&lt;=0),"WARNING","OK"))</f>
        <v>OK</v>
      </c>
      <c r="S55" s="165">
        <f>IF($A55="","",COUNTIF($D55:$R55,"ERROR"))</f>
        <v>0</v>
      </c>
      <c r="T55" s="165">
        <f>IF($A55="","",COUNTIF($D55:$R55,"WARNING"))</f>
        <v>0</v>
      </c>
      <c r="U55" s="165" t="str">
        <f>IF($A55="","",IF($S55&gt;0,"ERROR",IF($T55&gt;0,"WARNING","PASS")))</f>
        <v>PASS</v>
      </c>
    </row>
    <row r="56" spans="1:21" x14ac:dyDescent="0.3">
      <c r="A56">
        <f>IF(AND('Daily Data'!$A56="",'Daily Data'!$B56=""),"",56)</f>
        <v>56</v>
      </c>
      <c r="B56" s="16">
        <f>IF($A56="","",'Daily Data'!$A56)</f>
        <v>46245</v>
      </c>
      <c r="C56" t="str">
        <f>IF($A56="","",'Daily Data'!$B56)</f>
        <v>TTP</v>
      </c>
      <c r="D56" s="165" t="str">
        <f>IF($A56="","",IF(COUNTIFS('Daily Data'!$B$4:$B$503,'Daily Data'!$B56,'Daily Data'!$A$4:$A$503,'Daily Data'!$A56)&gt;1,"ERROR","OK"))</f>
        <v>OK</v>
      </c>
      <c r="E56" s="165" t="str">
        <f>IF($A56="","",IF('Daily Data'!$B56="","ERROR","OK"))</f>
        <v>OK</v>
      </c>
      <c r="F56" s="165" t="str">
        <f>IF($A56="","",IF(NOT(ISNUMBER('Daily Data'!$A56)),"ERROR","OK"))</f>
        <v>OK</v>
      </c>
      <c r="G56" s="165" t="str">
        <f>IF($A56="","",IF(OR(N('Daily Data'!$E56)&lt;=0,N('Daily Data'!$C56)&lt;0,N('Daily Data'!$D56)&lt;0,N('Daily Data'!$F56)&lt;0,N('Daily Data'!$G56)&lt;0),"ERROR","OK"))</f>
        <v>OK</v>
      </c>
      <c r="H56" s="165" t="str">
        <f>IF($A56="","",IF(N('Daily Data'!$K56)&lt;0,"ERROR","OK"))</f>
        <v>OK</v>
      </c>
      <c r="I56" s="165" t="str">
        <f>IF($A56="","",IF(N('Daily Data'!$I56)&lt;0,"ERROR","OK"))</f>
        <v>OK</v>
      </c>
      <c r="J56" s="165" t="str">
        <f>IF($A56="","",IF(N('Daily Data'!$L56)&lt;0,"ERROR","OK"))</f>
        <v>OK</v>
      </c>
      <c r="K56" s="165" t="str">
        <f>IF($A56="","",IF(N('Daily Data'!$M56)&lt;0,"ERROR","OK"))</f>
        <v>OK</v>
      </c>
      <c r="L56" s="165" t="str">
        <f>IF($A56="","",IF(OR(N('Daily Data'!$F56)=0,N('Daily Data'!$G56)=0),"OK",IF(OR(N('Daily Data'!$E56)&gt;N('Daily Data'!$F56),N('Daily Data'!$E56)&lt;N('Daily Data'!$G56)),"ERROR","OK")))</f>
        <v>OK</v>
      </c>
      <c r="M56" s="165" t="str">
        <f>IF($A56="","",IF(N('Daily Data'!$AK56)&lt;=1,"OK",IF(ROUND(N('Daily Data'!$D56),2)=ROUND(SUMIFS('Daily Data'!$E$4:$E$503,'Daily Data'!$B$4:$B$503,'Daily Data'!$B56,'Daily Data'!$AK$4:$AK$503,'Daily Data'!$AK56-1),2),"OK","WARNING")))</f>
        <v>OK</v>
      </c>
      <c r="N56" s="165" t="str">
        <f>IF($A56="","",IF(N('Daily Data'!$N56)&lt;=0,"WARNING","OK"))</f>
        <v>OK</v>
      </c>
      <c r="O56" s="165" t="str">
        <f>IF($A56="","",IF(AND(ISNUMBER('Daily Data'!$H56),ABS(N('Daily Data'!$H56))&gt;Settings!$C$56),"WARNING","OK"))</f>
        <v>OK</v>
      </c>
      <c r="P56" s="165" t="str">
        <f>IF($A56="","",IF(OR(AND(N('Daily Data'!$K56)=0,N('Daily Data'!$I56)&gt;0),AND(N('Daily Data'!$I56)=0,N('Daily Data'!$K56)&gt;0),AND(N('Daily Data'!$L56)=0,N('Daily Data'!$M56)=0)),"WARNING","OK"))</f>
        <v>OK</v>
      </c>
      <c r="Q56" s="165" t="str">
        <f>IF($A56="","",IF(COUNTIFS('Daily Data'!$B$4:$B$503,'Daily Data'!$B56,'Daily Data'!$A$4:$A$503,'Daily Data'!$A56,'Daily Data'!$Q$4:$Q$503,'Daily Data'!$Q56)&gt;1,"WARNING","OK"))</f>
        <v>OK</v>
      </c>
      <c r="R56" s="165" t="str">
        <f>IF($A56="","",IF(AND(N('Daily Data'!$K56)&gt;0,N('Daily Data'!$J56)&lt;=0),"WARNING","OK"))</f>
        <v>OK</v>
      </c>
      <c r="S56" s="165">
        <f>IF($A56="","",COUNTIF($D56:$R56,"ERROR"))</f>
        <v>0</v>
      </c>
      <c r="T56" s="165">
        <f>IF($A56="","",COUNTIF($D56:$R56,"WARNING"))</f>
        <v>0</v>
      </c>
      <c r="U56" s="165" t="str">
        <f>IF($A56="","",IF($S56&gt;0,"ERROR",IF($T56&gt;0,"WARNING","PASS")))</f>
        <v>PASS</v>
      </c>
    </row>
    <row r="57" spans="1:21" x14ac:dyDescent="0.3">
      <c r="A57">
        <f>IF(AND('Daily Data'!$A57="",'Daily Data'!$B57=""),"",57)</f>
        <v>57</v>
      </c>
      <c r="B57" s="16">
        <f>IF($A57="","",'Daily Data'!$A57)</f>
        <v>46245</v>
      </c>
      <c r="C57" t="str">
        <f>IF($A57="","",'Daily Data'!$B57)</f>
        <v>USL</v>
      </c>
      <c r="D57" s="165" t="str">
        <f>IF($A57="","",IF(COUNTIFS('Daily Data'!$B$4:$B$503,'Daily Data'!$B57,'Daily Data'!$A$4:$A$503,'Daily Data'!$A57)&gt;1,"ERROR","OK"))</f>
        <v>OK</v>
      </c>
      <c r="E57" s="165" t="str">
        <f>IF($A57="","",IF('Daily Data'!$B57="","ERROR","OK"))</f>
        <v>OK</v>
      </c>
      <c r="F57" s="165" t="str">
        <f>IF($A57="","",IF(NOT(ISNUMBER('Daily Data'!$A57)),"ERROR","OK"))</f>
        <v>OK</v>
      </c>
      <c r="G57" s="165" t="str">
        <f>IF($A57="","",IF(OR(N('Daily Data'!$E57)&lt;=0,N('Daily Data'!$C57)&lt;0,N('Daily Data'!$D57)&lt;0,N('Daily Data'!$F57)&lt;0,N('Daily Data'!$G57)&lt;0),"ERROR","OK"))</f>
        <v>OK</v>
      </c>
      <c r="H57" s="165" t="str">
        <f>IF($A57="","",IF(N('Daily Data'!$K57)&lt;0,"ERROR","OK"))</f>
        <v>OK</v>
      </c>
      <c r="I57" s="165" t="str">
        <f>IF($A57="","",IF(N('Daily Data'!$I57)&lt;0,"ERROR","OK"))</f>
        <v>OK</v>
      </c>
      <c r="J57" s="165" t="str">
        <f>IF($A57="","",IF(N('Daily Data'!$L57)&lt;0,"ERROR","OK"))</f>
        <v>OK</v>
      </c>
      <c r="K57" s="165" t="str">
        <f>IF($A57="","",IF(N('Daily Data'!$M57)&lt;0,"ERROR","OK"))</f>
        <v>OK</v>
      </c>
      <c r="L57" s="165" t="str">
        <f>IF($A57="","",IF(OR(N('Daily Data'!$F57)=0,N('Daily Data'!$G57)=0),"OK",IF(OR(N('Daily Data'!$E57)&gt;N('Daily Data'!$F57),N('Daily Data'!$E57)&lt;N('Daily Data'!$G57)),"ERROR","OK")))</f>
        <v>OK</v>
      </c>
      <c r="M57" s="165" t="str">
        <f>IF($A57="","",IF(N('Daily Data'!$AK57)&lt;=1,"OK",IF(ROUND(N('Daily Data'!$D57),2)=ROUND(SUMIFS('Daily Data'!$E$4:$E$503,'Daily Data'!$B$4:$B$503,'Daily Data'!$B57,'Daily Data'!$AK$4:$AK$503,'Daily Data'!$AK57-1),2),"OK","WARNING")))</f>
        <v>OK</v>
      </c>
      <c r="N57" s="165" t="str">
        <f>IF($A57="","",IF(N('Daily Data'!$N57)&lt;=0,"WARNING","OK"))</f>
        <v>OK</v>
      </c>
      <c r="O57" s="165" t="str">
        <f>IF($A57="","",IF(AND(ISNUMBER('Daily Data'!$H57),ABS(N('Daily Data'!$H57))&gt;Settings!$C$56),"WARNING","OK"))</f>
        <v>OK</v>
      </c>
      <c r="P57" s="165" t="str">
        <f>IF($A57="","",IF(OR(AND(N('Daily Data'!$K57)=0,N('Daily Data'!$I57)&gt;0),AND(N('Daily Data'!$I57)=0,N('Daily Data'!$K57)&gt;0),AND(N('Daily Data'!$L57)=0,N('Daily Data'!$M57)=0)),"WARNING","OK"))</f>
        <v>OK</v>
      </c>
      <c r="Q57" s="165" t="str">
        <f>IF($A57="","",IF(COUNTIFS('Daily Data'!$B$4:$B$503,'Daily Data'!$B57,'Daily Data'!$A$4:$A$503,'Daily Data'!$A57,'Daily Data'!$Q$4:$Q$503,'Daily Data'!$Q57)&gt;1,"WARNING","OK"))</f>
        <v>OK</v>
      </c>
      <c r="R57" s="165" t="str">
        <f>IF($A57="","",IF(AND(N('Daily Data'!$K57)&gt;0,N('Daily Data'!$J57)&lt;=0),"WARNING","OK"))</f>
        <v>OK</v>
      </c>
      <c r="S57" s="165">
        <f>IF($A57="","",COUNTIF($D57:$R57,"ERROR"))</f>
        <v>0</v>
      </c>
      <c r="T57" s="165">
        <f>IF($A57="","",COUNTIF($D57:$R57,"WARNING"))</f>
        <v>0</v>
      </c>
      <c r="U57" s="165" t="str">
        <f>IF($A57="","",IF($S57&gt;0,"ERROR",IF($T57&gt;0,"WARNING","PASS")))</f>
        <v>PASS</v>
      </c>
    </row>
    <row r="58" spans="1:21" x14ac:dyDescent="0.3">
      <c r="A58">
        <f>IF(AND('Daily Data'!$A58="",'Daily Data'!$B58=""),"",58)</f>
        <v>58</v>
      </c>
      <c r="B58" s="16">
        <f>IF($A58="","",'Daily Data'!$A58)</f>
        <v>46245</v>
      </c>
      <c r="C58" t="str">
        <f>IF($A58="","",'Daily Data'!$B58)</f>
        <v>VODA</v>
      </c>
      <c r="D58" s="165" t="str">
        <f>IF($A58="","",IF(COUNTIFS('Daily Data'!$B$4:$B$503,'Daily Data'!$B58,'Daily Data'!$A$4:$A$503,'Daily Data'!$A58)&gt;1,"ERROR","OK"))</f>
        <v>OK</v>
      </c>
      <c r="E58" s="165" t="str">
        <f>IF($A58="","",IF('Daily Data'!$B58="","ERROR","OK"))</f>
        <v>OK</v>
      </c>
      <c r="F58" s="165" t="str">
        <f>IF($A58="","",IF(NOT(ISNUMBER('Daily Data'!$A58)),"ERROR","OK"))</f>
        <v>OK</v>
      </c>
      <c r="G58" s="165" t="str">
        <f>IF($A58="","",IF(OR(N('Daily Data'!$E58)&lt;=0,N('Daily Data'!$C58)&lt;0,N('Daily Data'!$D58)&lt;0,N('Daily Data'!$F58)&lt;0,N('Daily Data'!$G58)&lt;0),"ERROR","OK"))</f>
        <v>OK</v>
      </c>
      <c r="H58" s="165" t="str">
        <f>IF($A58="","",IF(N('Daily Data'!$K58)&lt;0,"ERROR","OK"))</f>
        <v>OK</v>
      </c>
      <c r="I58" s="165" t="str">
        <f>IF($A58="","",IF(N('Daily Data'!$I58)&lt;0,"ERROR","OK"))</f>
        <v>OK</v>
      </c>
      <c r="J58" s="165" t="str">
        <f>IF($A58="","",IF(N('Daily Data'!$L58)&lt;0,"ERROR","OK"))</f>
        <v>OK</v>
      </c>
      <c r="K58" s="165" t="str">
        <f>IF($A58="","",IF(N('Daily Data'!$M58)&lt;0,"ERROR","OK"))</f>
        <v>OK</v>
      </c>
      <c r="L58" s="165" t="str">
        <f>IF($A58="","",IF(OR(N('Daily Data'!$F58)=0,N('Daily Data'!$G58)=0),"OK",IF(OR(N('Daily Data'!$E58)&gt;N('Daily Data'!$F58),N('Daily Data'!$E58)&lt;N('Daily Data'!$G58)),"ERROR","OK")))</f>
        <v>OK</v>
      </c>
      <c r="M58" s="165" t="str">
        <f>IF($A58="","",IF(N('Daily Data'!$AK58)&lt;=1,"OK",IF(ROUND(N('Daily Data'!$D58),2)=ROUND(SUMIFS('Daily Data'!$E$4:$E$503,'Daily Data'!$B$4:$B$503,'Daily Data'!$B58,'Daily Data'!$AK$4:$AK$503,'Daily Data'!$AK58-1),2),"OK","WARNING")))</f>
        <v>OK</v>
      </c>
      <c r="N58" s="165" t="str">
        <f>IF($A58="","",IF(N('Daily Data'!$N58)&lt;=0,"WARNING","OK"))</f>
        <v>OK</v>
      </c>
      <c r="O58" s="165" t="str">
        <f>IF($A58="","",IF(AND(ISNUMBER('Daily Data'!$H58),ABS(N('Daily Data'!$H58))&gt;Settings!$C$56),"WARNING","OK"))</f>
        <v>OK</v>
      </c>
      <c r="P58" s="165" t="str">
        <f>IF($A58="","",IF(OR(AND(N('Daily Data'!$K58)=0,N('Daily Data'!$I58)&gt;0),AND(N('Daily Data'!$I58)=0,N('Daily Data'!$K58)&gt;0),AND(N('Daily Data'!$L58)=0,N('Daily Data'!$M58)=0)),"WARNING","OK"))</f>
        <v>OK</v>
      </c>
      <c r="Q58" s="165" t="str">
        <f>IF($A58="","",IF(COUNTIFS('Daily Data'!$B$4:$B$503,'Daily Data'!$B58,'Daily Data'!$A$4:$A$503,'Daily Data'!$A58,'Daily Data'!$Q$4:$Q$503,'Daily Data'!$Q58)&gt;1,"WARNING","OK"))</f>
        <v>OK</v>
      </c>
      <c r="R58" s="165" t="str">
        <f>IF($A58="","",IF(AND(N('Daily Data'!$K58)&gt;0,N('Daily Data'!$J58)&lt;=0),"WARNING","OK"))</f>
        <v>OK</v>
      </c>
      <c r="S58" s="165">
        <f>IF($A58="","",COUNTIF($D58:$R58,"ERROR"))</f>
        <v>0</v>
      </c>
      <c r="T58" s="165">
        <f>IF($A58="","",COUNTIF($D58:$R58,"WARNING"))</f>
        <v>0</v>
      </c>
      <c r="U58" s="165" t="str">
        <f>IF($A58="","",IF($S58&gt;0,"ERROR",IF($T58&gt;0,"WARNING","PASS")))</f>
        <v>PASS</v>
      </c>
    </row>
    <row r="59" spans="1:21" x14ac:dyDescent="0.3">
      <c r="A59">
        <f>IF(AND('Daily Data'!$A59="",'Daily Data'!$B59=""),"",59)</f>
        <v>59</v>
      </c>
      <c r="B59" s="16">
        <f>IF($A59="","",'Daily Data'!$A59)</f>
        <v>46245</v>
      </c>
      <c r="C59" t="str">
        <f>IF($A59="","",'Daily Data'!$B59)</f>
        <v>YETU</v>
      </c>
      <c r="D59" s="165" t="str">
        <f>IF($A59="","",IF(COUNTIFS('Daily Data'!$B$4:$B$503,'Daily Data'!$B59,'Daily Data'!$A$4:$A$503,'Daily Data'!$A59)&gt;1,"ERROR","OK"))</f>
        <v>OK</v>
      </c>
      <c r="E59" s="165" t="str">
        <f>IF($A59="","",IF('Daily Data'!$B59="","ERROR","OK"))</f>
        <v>OK</v>
      </c>
      <c r="F59" s="165" t="str">
        <f>IF($A59="","",IF(NOT(ISNUMBER('Daily Data'!$A59)),"ERROR","OK"))</f>
        <v>OK</v>
      </c>
      <c r="G59" s="165" t="str">
        <f>IF($A59="","",IF(OR(N('Daily Data'!$E59)&lt;=0,N('Daily Data'!$C59)&lt;0,N('Daily Data'!$D59)&lt;0,N('Daily Data'!$F59)&lt;0,N('Daily Data'!$G59)&lt;0),"ERROR","OK"))</f>
        <v>OK</v>
      </c>
      <c r="H59" s="165" t="str">
        <f>IF($A59="","",IF(N('Daily Data'!$K59)&lt;0,"ERROR","OK"))</f>
        <v>OK</v>
      </c>
      <c r="I59" s="165" t="str">
        <f>IF($A59="","",IF(N('Daily Data'!$I59)&lt;0,"ERROR","OK"))</f>
        <v>OK</v>
      </c>
      <c r="J59" s="165" t="str">
        <f>IF($A59="","",IF(N('Daily Data'!$L59)&lt;0,"ERROR","OK"))</f>
        <v>OK</v>
      </c>
      <c r="K59" s="165" t="str">
        <f>IF($A59="","",IF(N('Daily Data'!$M59)&lt;0,"ERROR","OK"))</f>
        <v>OK</v>
      </c>
      <c r="L59" s="165" t="str">
        <f>IF($A59="","",IF(OR(N('Daily Data'!$F59)=0,N('Daily Data'!$G59)=0),"OK",IF(OR(N('Daily Data'!$E59)&gt;N('Daily Data'!$F59),N('Daily Data'!$E59)&lt;N('Daily Data'!$G59)),"ERROR","OK")))</f>
        <v>OK</v>
      </c>
      <c r="M59" s="165" t="str">
        <f>IF($A59="","",IF(N('Daily Data'!$AK59)&lt;=1,"OK",IF(ROUND(N('Daily Data'!$D59),2)=ROUND(SUMIFS('Daily Data'!$E$4:$E$503,'Daily Data'!$B$4:$B$503,'Daily Data'!$B59,'Daily Data'!$AK$4:$AK$503,'Daily Data'!$AK59-1),2),"OK","WARNING")))</f>
        <v>OK</v>
      </c>
      <c r="N59" s="165" t="str">
        <f>IF($A59="","",IF(N('Daily Data'!$N59)&lt;=0,"WARNING","OK"))</f>
        <v>OK</v>
      </c>
      <c r="O59" s="165" t="str">
        <f>IF($A59="","",IF(AND(ISNUMBER('Daily Data'!$H59),ABS(N('Daily Data'!$H59))&gt;Settings!$C$56),"WARNING","OK"))</f>
        <v>OK</v>
      </c>
      <c r="P59" s="165" t="str">
        <f>IF($A59="","",IF(OR(AND(N('Daily Data'!$K59)=0,N('Daily Data'!$I59)&gt;0),AND(N('Daily Data'!$I59)=0,N('Daily Data'!$K59)&gt;0),AND(N('Daily Data'!$L59)=0,N('Daily Data'!$M59)=0)),"WARNING","OK"))</f>
        <v>WARNING</v>
      </c>
      <c r="Q59" s="165" t="str">
        <f>IF($A59="","",IF(COUNTIFS('Daily Data'!$B$4:$B$503,'Daily Data'!$B59,'Daily Data'!$A$4:$A$503,'Daily Data'!$A59,'Daily Data'!$Q$4:$Q$503,'Daily Data'!$Q59)&gt;1,"WARNING","OK"))</f>
        <v>OK</v>
      </c>
      <c r="R59" s="165" t="str">
        <f>IF($A59="","",IF(AND(N('Daily Data'!$K59)&gt;0,N('Daily Data'!$J59)&lt;=0),"WARNING","OK"))</f>
        <v>OK</v>
      </c>
      <c r="S59" s="165">
        <f>IF($A59="","",COUNTIF($D59:$R59,"ERROR"))</f>
        <v>0</v>
      </c>
      <c r="T59" s="165">
        <f>IF($A59="","",COUNTIF($D59:$R59,"WARNING"))</f>
        <v>1</v>
      </c>
      <c r="U59" s="165" t="str">
        <f>IF($A59="","",IF($S59&gt;0,"ERROR",IF($T59&gt;0,"WARNING","PASS")))</f>
        <v>WARNING</v>
      </c>
    </row>
    <row r="60" spans="1:21" x14ac:dyDescent="0.3">
      <c r="A60">
        <f>IF(AND('Daily Data'!$A60="",'Daily Data'!$B60=""),"",60)</f>
        <v>60</v>
      </c>
      <c r="B60" s="16">
        <f>IF($A60="","",'Daily Data'!$A60)</f>
        <v>46245</v>
      </c>
      <c r="C60" t="str">
        <f>IF($A60="","",'Daily Data'!$B60)</f>
        <v>IEACLC-ETF</v>
      </c>
      <c r="D60" s="165" t="str">
        <f>IF($A60="","",IF(COUNTIFS('Daily Data'!$B$4:$B$503,'Daily Data'!$B60,'Daily Data'!$A$4:$A$503,'Daily Data'!$A60)&gt;1,"ERROR","OK"))</f>
        <v>OK</v>
      </c>
      <c r="E60" s="165" t="str">
        <f>IF($A60="","",IF('Daily Data'!$B60="","ERROR","OK"))</f>
        <v>OK</v>
      </c>
      <c r="F60" s="165" t="str">
        <f>IF($A60="","",IF(NOT(ISNUMBER('Daily Data'!$A60)),"ERROR","OK"))</f>
        <v>OK</v>
      </c>
      <c r="G60" s="165" t="str">
        <f>IF($A60="","",IF(OR(N('Daily Data'!$E60)&lt;=0,N('Daily Data'!$C60)&lt;0,N('Daily Data'!$D60)&lt;0,N('Daily Data'!$F60)&lt;0,N('Daily Data'!$G60)&lt;0),"ERROR","OK"))</f>
        <v>OK</v>
      </c>
      <c r="H60" s="165" t="str">
        <f>IF($A60="","",IF(N('Daily Data'!$K60)&lt;0,"ERROR","OK"))</f>
        <v>OK</v>
      </c>
      <c r="I60" s="165" t="str">
        <f>IF($A60="","",IF(N('Daily Data'!$I60)&lt;0,"ERROR","OK"))</f>
        <v>OK</v>
      </c>
      <c r="J60" s="165" t="str">
        <f>IF($A60="","",IF(N('Daily Data'!$L60)&lt;0,"ERROR","OK"))</f>
        <v>OK</v>
      </c>
      <c r="K60" s="165" t="str">
        <f>IF($A60="","",IF(N('Daily Data'!$M60)&lt;0,"ERROR","OK"))</f>
        <v>OK</v>
      </c>
      <c r="L60" s="165" t="str">
        <f>IF($A60="","",IF(OR(N('Daily Data'!$F60)=0,N('Daily Data'!$G60)=0),"OK",IF(OR(N('Daily Data'!$E60)&gt;N('Daily Data'!$F60),N('Daily Data'!$E60)&lt;N('Daily Data'!$G60)),"ERROR","OK")))</f>
        <v>OK</v>
      </c>
      <c r="M60" s="165" t="str">
        <f>IF($A60="","",IF(N('Daily Data'!$AK60)&lt;=1,"OK",IF(ROUND(N('Daily Data'!$D60),2)=ROUND(SUMIFS('Daily Data'!$E$4:$E$503,'Daily Data'!$B$4:$B$503,'Daily Data'!$B60,'Daily Data'!$AK$4:$AK$503,'Daily Data'!$AK60-1),2),"OK","WARNING")))</f>
        <v>OK</v>
      </c>
      <c r="N60" s="165" t="str">
        <f>IF($A60="","",IF(N('Daily Data'!$N60)&lt;=0,"WARNING","OK"))</f>
        <v>OK</v>
      </c>
      <c r="O60" s="165" t="str">
        <f>IF($A60="","",IF(AND(ISNUMBER('Daily Data'!$H60),ABS(N('Daily Data'!$H60))&gt;Settings!$C$56),"WARNING","OK"))</f>
        <v>OK</v>
      </c>
      <c r="P60" s="165" t="str">
        <f>IF($A60="","",IF(OR(AND(N('Daily Data'!$K60)=0,N('Daily Data'!$I60)&gt;0),AND(N('Daily Data'!$I60)=0,N('Daily Data'!$K60)&gt;0),AND(N('Daily Data'!$L60)=0,N('Daily Data'!$M60)=0)),"WARNING","OK"))</f>
        <v>OK</v>
      </c>
      <c r="Q60" s="165" t="str">
        <f>IF($A60="","",IF(COUNTIFS('Daily Data'!$B$4:$B$503,'Daily Data'!$B60,'Daily Data'!$A$4:$A$503,'Daily Data'!$A60,'Daily Data'!$Q$4:$Q$503,'Daily Data'!$Q60)&gt;1,"WARNING","OK"))</f>
        <v>OK</v>
      </c>
      <c r="R60" s="165" t="str">
        <f>IF($A60="","",IF(AND(N('Daily Data'!$K60)&gt;0,N('Daily Data'!$J60)&lt;=0),"WARNING","OK"))</f>
        <v>OK</v>
      </c>
      <c r="S60" s="165">
        <f>IF($A60="","",COUNTIF($D60:$R60,"ERROR"))</f>
        <v>0</v>
      </c>
      <c r="T60" s="165">
        <f>IF($A60="","",COUNTIF($D60:$R60,"WARNING"))</f>
        <v>0</v>
      </c>
      <c r="U60" s="165" t="str">
        <f>IF($A60="","",IF($S60&gt;0,"ERROR",IF($T60&gt;0,"WARNING","PASS")))</f>
        <v>PASS</v>
      </c>
    </row>
    <row r="61" spans="1:21" x14ac:dyDescent="0.3">
      <c r="A61">
        <f>IF(AND('Daily Data'!$A61="",'Daily Data'!$B61=""),"",61)</f>
        <v>61</v>
      </c>
      <c r="B61" s="16">
        <f>IF($A61="","",'Daily Data'!$A61)</f>
        <v>46245</v>
      </c>
      <c r="C61" t="str">
        <f>IF($A61="","",'Daily Data'!$B61)</f>
        <v>VERTEX-ETF</v>
      </c>
      <c r="D61" s="165" t="str">
        <f>IF($A61="","",IF(COUNTIFS('Daily Data'!$B$4:$B$503,'Daily Data'!$B61,'Daily Data'!$A$4:$A$503,'Daily Data'!$A61)&gt;1,"ERROR","OK"))</f>
        <v>OK</v>
      </c>
      <c r="E61" s="165" t="str">
        <f>IF($A61="","",IF('Daily Data'!$B61="","ERROR","OK"))</f>
        <v>OK</v>
      </c>
      <c r="F61" s="165" t="str">
        <f>IF($A61="","",IF(NOT(ISNUMBER('Daily Data'!$A61)),"ERROR","OK"))</f>
        <v>OK</v>
      </c>
      <c r="G61" s="165" t="str">
        <f>IF($A61="","",IF(OR(N('Daily Data'!$E61)&lt;=0,N('Daily Data'!$C61)&lt;0,N('Daily Data'!$D61)&lt;0,N('Daily Data'!$F61)&lt;0,N('Daily Data'!$G61)&lt;0),"ERROR","OK"))</f>
        <v>OK</v>
      </c>
      <c r="H61" s="165" t="str">
        <f>IF($A61="","",IF(N('Daily Data'!$K61)&lt;0,"ERROR","OK"))</f>
        <v>OK</v>
      </c>
      <c r="I61" s="165" t="str">
        <f>IF($A61="","",IF(N('Daily Data'!$I61)&lt;0,"ERROR","OK"))</f>
        <v>OK</v>
      </c>
      <c r="J61" s="165" t="str">
        <f>IF($A61="","",IF(N('Daily Data'!$L61)&lt;0,"ERROR","OK"))</f>
        <v>OK</v>
      </c>
      <c r="K61" s="165" t="str">
        <f>IF($A61="","",IF(N('Daily Data'!$M61)&lt;0,"ERROR","OK"))</f>
        <v>OK</v>
      </c>
      <c r="L61" s="165" t="str">
        <f>IF($A61="","",IF(OR(N('Daily Data'!$F61)=0,N('Daily Data'!$G61)=0),"OK",IF(OR(N('Daily Data'!$E61)&gt;N('Daily Data'!$F61),N('Daily Data'!$E61)&lt;N('Daily Data'!$G61)),"ERROR","OK")))</f>
        <v>OK</v>
      </c>
      <c r="M61" s="165" t="str">
        <f>IF($A61="","",IF(N('Daily Data'!$AK61)&lt;=1,"OK",IF(ROUND(N('Daily Data'!$D61),2)=ROUND(SUMIFS('Daily Data'!$E$4:$E$503,'Daily Data'!$B$4:$B$503,'Daily Data'!$B61,'Daily Data'!$AK$4:$AK$503,'Daily Data'!$AK61-1),2),"OK","WARNING")))</f>
        <v>OK</v>
      </c>
      <c r="N61" s="165" t="str">
        <f>IF($A61="","",IF(N('Daily Data'!$N61)&lt;=0,"WARNING","OK"))</f>
        <v>OK</v>
      </c>
      <c r="O61" s="165" t="str">
        <f>IF($A61="","",IF(AND(ISNUMBER('Daily Data'!$H61),ABS(N('Daily Data'!$H61))&gt;Settings!$C$56),"WARNING","OK"))</f>
        <v>OK</v>
      </c>
      <c r="P61" s="165" t="str">
        <f>IF($A61="","",IF(OR(AND(N('Daily Data'!$K61)=0,N('Daily Data'!$I61)&gt;0),AND(N('Daily Data'!$I61)=0,N('Daily Data'!$K61)&gt;0),AND(N('Daily Data'!$L61)=0,N('Daily Data'!$M61)=0)),"WARNING","OK"))</f>
        <v>OK</v>
      </c>
      <c r="Q61" s="165" t="str">
        <f>IF($A61="","",IF(COUNTIFS('Daily Data'!$B$4:$B$503,'Daily Data'!$B61,'Daily Data'!$A$4:$A$503,'Daily Data'!$A61,'Daily Data'!$Q$4:$Q$503,'Daily Data'!$Q61)&gt;1,"WARNING","OK"))</f>
        <v>OK</v>
      </c>
      <c r="R61" s="165" t="str">
        <f>IF($A61="","",IF(AND(N('Daily Data'!$K61)&gt;0,N('Daily Data'!$J61)&lt;=0),"WARNING","OK"))</f>
        <v>OK</v>
      </c>
      <c r="S61" s="165">
        <f>IF($A61="","",COUNTIF($D61:$R61,"ERROR"))</f>
        <v>0</v>
      </c>
      <c r="T61" s="165">
        <f>IF($A61="","",COUNTIF($D61:$R61,"WARNING"))</f>
        <v>0</v>
      </c>
      <c r="U61" s="165" t="str">
        <f>IF($A61="","",IF($S61&gt;0,"ERROR",IF($T61&gt;0,"WARNING","PASS")))</f>
        <v>PASS</v>
      </c>
    </row>
    <row r="62" spans="1:21" x14ac:dyDescent="0.3">
      <c r="A62">
        <f>IF(AND('Daily Data'!$A62="",'Daily Data'!$B62=""),"",62)</f>
        <v>62</v>
      </c>
      <c r="B62" s="16">
        <f>IF($A62="","",'Daily Data'!$A62)</f>
        <v>46246</v>
      </c>
      <c r="C62" t="str">
        <f>IF($A62="","",'Daily Data'!$B62)</f>
        <v>AFRIPRISE</v>
      </c>
      <c r="D62" s="165" t="str">
        <f>IF($A62="","",IF(COUNTIFS('Daily Data'!$B$4:$B$503,'Daily Data'!$B62,'Daily Data'!$A$4:$A$503,'Daily Data'!$A62)&gt;1,"ERROR","OK"))</f>
        <v>OK</v>
      </c>
      <c r="E62" s="165" t="str">
        <f>IF($A62="","",IF('Daily Data'!$B62="","ERROR","OK"))</f>
        <v>OK</v>
      </c>
      <c r="F62" s="165" t="str">
        <f>IF($A62="","",IF(NOT(ISNUMBER('Daily Data'!$A62)),"ERROR","OK"))</f>
        <v>OK</v>
      </c>
      <c r="G62" s="165" t="str">
        <f>IF($A62="","",IF(OR(N('Daily Data'!$E62)&lt;=0,N('Daily Data'!$C62)&lt;0,N('Daily Data'!$D62)&lt;0,N('Daily Data'!$F62)&lt;0,N('Daily Data'!$G62)&lt;0),"ERROR","OK"))</f>
        <v>OK</v>
      </c>
      <c r="H62" s="165" t="str">
        <f>IF($A62="","",IF(N('Daily Data'!$K62)&lt;0,"ERROR","OK"))</f>
        <v>OK</v>
      </c>
      <c r="I62" s="165" t="str">
        <f>IF($A62="","",IF(N('Daily Data'!$I62)&lt;0,"ERROR","OK"))</f>
        <v>OK</v>
      </c>
      <c r="J62" s="165" t="str">
        <f>IF($A62="","",IF(N('Daily Data'!$L62)&lt;0,"ERROR","OK"))</f>
        <v>OK</v>
      </c>
      <c r="K62" s="165" t="str">
        <f>IF($A62="","",IF(N('Daily Data'!$M62)&lt;0,"ERROR","OK"))</f>
        <v>OK</v>
      </c>
      <c r="L62" s="165" t="str">
        <f>IF($A62="","",IF(OR(N('Daily Data'!$F62)=0,N('Daily Data'!$G62)=0),"OK",IF(OR(N('Daily Data'!$E62)&gt;N('Daily Data'!$F62),N('Daily Data'!$E62)&lt;N('Daily Data'!$G62)),"ERROR","OK")))</f>
        <v>OK</v>
      </c>
      <c r="M62" s="165" t="str">
        <f>IF($A62="","",IF(N('Daily Data'!$AK62)&lt;=1,"OK",IF(ROUND(N('Daily Data'!$D62),2)=ROUND(SUMIFS('Daily Data'!$E$4:$E$503,'Daily Data'!$B$4:$B$503,'Daily Data'!$B62,'Daily Data'!$AK$4:$AK$503,'Daily Data'!$AK62-1),2),"OK","WARNING")))</f>
        <v>OK</v>
      </c>
      <c r="N62" s="165" t="str">
        <f>IF($A62="","",IF(N('Daily Data'!$N62)&lt;=0,"WARNING","OK"))</f>
        <v>OK</v>
      </c>
      <c r="O62" s="165" t="str">
        <f>IF($A62="","",IF(AND(ISNUMBER('Daily Data'!$H62),ABS(N('Daily Data'!$H62))&gt;Settings!$C$56),"WARNING","OK"))</f>
        <v>OK</v>
      </c>
      <c r="P62" s="165" t="str">
        <f>IF($A62="","",IF(OR(AND(N('Daily Data'!$K62)=0,N('Daily Data'!$I62)&gt;0),AND(N('Daily Data'!$I62)=0,N('Daily Data'!$K62)&gt;0),AND(N('Daily Data'!$L62)=0,N('Daily Data'!$M62)=0)),"WARNING","OK"))</f>
        <v>OK</v>
      </c>
      <c r="Q62" s="165" t="str">
        <f>IF($A62="","",IF(COUNTIFS('Daily Data'!$B$4:$B$503,'Daily Data'!$B62,'Daily Data'!$A$4:$A$503,'Daily Data'!$A62,'Daily Data'!$Q$4:$Q$503,'Daily Data'!$Q62)&gt;1,"WARNING","OK"))</f>
        <v>OK</v>
      </c>
      <c r="R62" s="165" t="str">
        <f>IF($A62="","",IF(AND(N('Daily Data'!$K62)&gt;0,N('Daily Data'!$J62)&lt;=0),"WARNING","OK"))</f>
        <v>OK</v>
      </c>
      <c r="S62" s="165">
        <f>IF($A62="","",COUNTIF($D62:$R62,"ERROR"))</f>
        <v>0</v>
      </c>
      <c r="T62" s="165">
        <f>IF($A62="","",COUNTIF($D62:$R62,"WARNING"))</f>
        <v>0</v>
      </c>
      <c r="U62" s="165" t="str">
        <f>IF($A62="","",IF($S62&gt;0,"ERROR",IF($T62&gt;0,"WARNING","PASS")))</f>
        <v>PASS</v>
      </c>
    </row>
    <row r="63" spans="1:21" x14ac:dyDescent="0.3">
      <c r="A63">
        <f>IF(AND('Daily Data'!$A63="",'Daily Data'!$B63=""),"",63)</f>
        <v>63</v>
      </c>
      <c r="B63" s="16">
        <f>IF($A63="","",'Daily Data'!$A63)</f>
        <v>46246</v>
      </c>
      <c r="C63" t="str">
        <f>IF($A63="","",'Daily Data'!$B63)</f>
        <v>CRDB</v>
      </c>
      <c r="D63" s="165" t="str">
        <f>IF($A63="","",IF(COUNTIFS('Daily Data'!$B$4:$B$503,'Daily Data'!$B63,'Daily Data'!$A$4:$A$503,'Daily Data'!$A63)&gt;1,"ERROR","OK"))</f>
        <v>OK</v>
      </c>
      <c r="E63" s="165" t="str">
        <f>IF($A63="","",IF('Daily Data'!$B63="","ERROR","OK"))</f>
        <v>OK</v>
      </c>
      <c r="F63" s="165" t="str">
        <f>IF($A63="","",IF(NOT(ISNUMBER('Daily Data'!$A63)),"ERROR","OK"))</f>
        <v>OK</v>
      </c>
      <c r="G63" s="165" t="str">
        <f>IF($A63="","",IF(OR(N('Daily Data'!$E63)&lt;=0,N('Daily Data'!$C63)&lt;0,N('Daily Data'!$D63)&lt;0,N('Daily Data'!$F63)&lt;0,N('Daily Data'!$G63)&lt;0),"ERROR","OK"))</f>
        <v>OK</v>
      </c>
      <c r="H63" s="165" t="str">
        <f>IF($A63="","",IF(N('Daily Data'!$K63)&lt;0,"ERROR","OK"))</f>
        <v>OK</v>
      </c>
      <c r="I63" s="165" t="str">
        <f>IF($A63="","",IF(N('Daily Data'!$I63)&lt;0,"ERROR","OK"))</f>
        <v>OK</v>
      </c>
      <c r="J63" s="165" t="str">
        <f>IF($A63="","",IF(N('Daily Data'!$L63)&lt;0,"ERROR","OK"))</f>
        <v>OK</v>
      </c>
      <c r="K63" s="165" t="str">
        <f>IF($A63="","",IF(N('Daily Data'!$M63)&lt;0,"ERROR","OK"))</f>
        <v>OK</v>
      </c>
      <c r="L63" s="165" t="str">
        <f>IF($A63="","",IF(OR(N('Daily Data'!$F63)=0,N('Daily Data'!$G63)=0),"OK",IF(OR(N('Daily Data'!$E63)&gt;N('Daily Data'!$F63),N('Daily Data'!$E63)&lt;N('Daily Data'!$G63)),"ERROR","OK")))</f>
        <v>OK</v>
      </c>
      <c r="M63" s="165" t="str">
        <f>IF($A63="","",IF(N('Daily Data'!$AK63)&lt;=1,"OK",IF(ROUND(N('Daily Data'!$D63),2)=ROUND(SUMIFS('Daily Data'!$E$4:$E$503,'Daily Data'!$B$4:$B$503,'Daily Data'!$B63,'Daily Data'!$AK$4:$AK$503,'Daily Data'!$AK63-1),2),"OK","WARNING")))</f>
        <v>OK</v>
      </c>
      <c r="N63" s="165" t="str">
        <f>IF($A63="","",IF(N('Daily Data'!$N63)&lt;=0,"WARNING","OK"))</f>
        <v>OK</v>
      </c>
      <c r="O63" s="165" t="str">
        <f>IF($A63="","",IF(AND(ISNUMBER('Daily Data'!$H63),ABS(N('Daily Data'!$H63))&gt;Settings!$C$56),"WARNING","OK"))</f>
        <v>OK</v>
      </c>
      <c r="P63" s="165" t="str">
        <f>IF($A63="","",IF(OR(AND(N('Daily Data'!$K63)=0,N('Daily Data'!$I63)&gt;0),AND(N('Daily Data'!$I63)=0,N('Daily Data'!$K63)&gt;0),AND(N('Daily Data'!$L63)=0,N('Daily Data'!$M63)=0)),"WARNING","OK"))</f>
        <v>OK</v>
      </c>
      <c r="Q63" s="165" t="str">
        <f>IF($A63="","",IF(COUNTIFS('Daily Data'!$B$4:$B$503,'Daily Data'!$B63,'Daily Data'!$A$4:$A$503,'Daily Data'!$A63,'Daily Data'!$Q$4:$Q$503,'Daily Data'!$Q63)&gt;1,"WARNING","OK"))</f>
        <v>OK</v>
      </c>
      <c r="R63" s="165" t="str">
        <f>IF($A63="","",IF(AND(N('Daily Data'!$K63)&gt;0,N('Daily Data'!$J63)&lt;=0),"WARNING","OK"))</f>
        <v>OK</v>
      </c>
      <c r="S63" s="165">
        <f>IF($A63="","",COUNTIF($D63:$R63,"ERROR"))</f>
        <v>0</v>
      </c>
      <c r="T63" s="165">
        <f>IF($A63="","",COUNTIF($D63:$R63,"WARNING"))</f>
        <v>0</v>
      </c>
      <c r="U63" s="165" t="str">
        <f>IF($A63="","",IF($S63&gt;0,"ERROR",IF($T63&gt;0,"WARNING","PASS")))</f>
        <v>PASS</v>
      </c>
    </row>
    <row r="64" spans="1:21" x14ac:dyDescent="0.3">
      <c r="A64">
        <f>IF(AND('Daily Data'!$A64="",'Daily Data'!$B64=""),"",64)</f>
        <v>64</v>
      </c>
      <c r="B64" s="16">
        <f>IF($A64="","",'Daily Data'!$A64)</f>
        <v>46246</v>
      </c>
      <c r="C64" t="str">
        <f>IF($A64="","",'Daily Data'!$B64)</f>
        <v>DCB</v>
      </c>
      <c r="D64" s="165" t="str">
        <f>IF($A64="","",IF(COUNTIFS('Daily Data'!$B$4:$B$503,'Daily Data'!$B64,'Daily Data'!$A$4:$A$503,'Daily Data'!$A64)&gt;1,"ERROR","OK"))</f>
        <v>OK</v>
      </c>
      <c r="E64" s="165" t="str">
        <f>IF($A64="","",IF('Daily Data'!$B64="","ERROR","OK"))</f>
        <v>OK</v>
      </c>
      <c r="F64" s="165" t="str">
        <f>IF($A64="","",IF(NOT(ISNUMBER('Daily Data'!$A64)),"ERROR","OK"))</f>
        <v>OK</v>
      </c>
      <c r="G64" s="165" t="str">
        <f>IF($A64="","",IF(OR(N('Daily Data'!$E64)&lt;=0,N('Daily Data'!$C64)&lt;0,N('Daily Data'!$D64)&lt;0,N('Daily Data'!$F64)&lt;0,N('Daily Data'!$G64)&lt;0),"ERROR","OK"))</f>
        <v>OK</v>
      </c>
      <c r="H64" s="165" t="str">
        <f>IF($A64="","",IF(N('Daily Data'!$K64)&lt;0,"ERROR","OK"))</f>
        <v>OK</v>
      </c>
      <c r="I64" s="165" t="str">
        <f>IF($A64="","",IF(N('Daily Data'!$I64)&lt;0,"ERROR","OK"))</f>
        <v>OK</v>
      </c>
      <c r="J64" s="165" t="str">
        <f>IF($A64="","",IF(N('Daily Data'!$L64)&lt;0,"ERROR","OK"))</f>
        <v>OK</v>
      </c>
      <c r="K64" s="165" t="str">
        <f>IF($A64="","",IF(N('Daily Data'!$M64)&lt;0,"ERROR","OK"))</f>
        <v>OK</v>
      </c>
      <c r="L64" s="165" t="str">
        <f>IF($A64="","",IF(OR(N('Daily Data'!$F64)=0,N('Daily Data'!$G64)=0),"OK",IF(OR(N('Daily Data'!$E64)&gt;N('Daily Data'!$F64),N('Daily Data'!$E64)&lt;N('Daily Data'!$G64)),"ERROR","OK")))</f>
        <v>OK</v>
      </c>
      <c r="M64" s="165" t="str">
        <f>IF($A64="","",IF(N('Daily Data'!$AK64)&lt;=1,"OK",IF(ROUND(N('Daily Data'!$D64),2)=ROUND(SUMIFS('Daily Data'!$E$4:$E$503,'Daily Data'!$B$4:$B$503,'Daily Data'!$B64,'Daily Data'!$AK$4:$AK$503,'Daily Data'!$AK64-1),2),"OK","WARNING")))</f>
        <v>OK</v>
      </c>
      <c r="N64" s="165" t="str">
        <f>IF($A64="","",IF(N('Daily Data'!$N64)&lt;=0,"WARNING","OK"))</f>
        <v>OK</v>
      </c>
      <c r="O64" s="165" t="str">
        <f>IF($A64="","",IF(AND(ISNUMBER('Daily Data'!$H64),ABS(N('Daily Data'!$H64))&gt;Settings!$C$56),"WARNING","OK"))</f>
        <v>OK</v>
      </c>
      <c r="P64" s="165" t="str">
        <f>IF($A64="","",IF(OR(AND(N('Daily Data'!$K64)=0,N('Daily Data'!$I64)&gt;0),AND(N('Daily Data'!$I64)=0,N('Daily Data'!$K64)&gt;0),AND(N('Daily Data'!$L64)=0,N('Daily Data'!$M64)=0)),"WARNING","OK"))</f>
        <v>OK</v>
      </c>
      <c r="Q64" s="165" t="str">
        <f>IF($A64="","",IF(COUNTIFS('Daily Data'!$B$4:$B$503,'Daily Data'!$B64,'Daily Data'!$A$4:$A$503,'Daily Data'!$A64,'Daily Data'!$Q$4:$Q$503,'Daily Data'!$Q64)&gt;1,"WARNING","OK"))</f>
        <v>OK</v>
      </c>
      <c r="R64" s="165" t="str">
        <f>IF($A64="","",IF(AND(N('Daily Data'!$K64)&gt;0,N('Daily Data'!$J64)&lt;=0),"WARNING","OK"))</f>
        <v>OK</v>
      </c>
      <c r="S64" s="165">
        <f>IF($A64="","",COUNTIF($D64:$R64,"ERROR"))</f>
        <v>0</v>
      </c>
      <c r="T64" s="165">
        <f>IF($A64="","",COUNTIF($D64:$R64,"WARNING"))</f>
        <v>0</v>
      </c>
      <c r="U64" s="165" t="str">
        <f>IF($A64="","",IF($S64&gt;0,"ERROR",IF($T64&gt;0,"WARNING","PASS")))</f>
        <v>PASS</v>
      </c>
    </row>
    <row r="65" spans="1:21" x14ac:dyDescent="0.3">
      <c r="A65">
        <f>IF(AND('Daily Data'!$A65="",'Daily Data'!$B65=""),"",65)</f>
        <v>65</v>
      </c>
      <c r="B65" s="16">
        <f>IF($A65="","",'Daily Data'!$A65)</f>
        <v>46246</v>
      </c>
      <c r="C65" t="str">
        <f>IF($A65="","",'Daily Data'!$B65)</f>
        <v>DSE</v>
      </c>
      <c r="D65" s="165" t="str">
        <f>IF($A65="","",IF(COUNTIFS('Daily Data'!$B$4:$B$503,'Daily Data'!$B65,'Daily Data'!$A$4:$A$503,'Daily Data'!$A65)&gt;1,"ERROR","OK"))</f>
        <v>OK</v>
      </c>
      <c r="E65" s="165" t="str">
        <f>IF($A65="","",IF('Daily Data'!$B65="","ERROR","OK"))</f>
        <v>OK</v>
      </c>
      <c r="F65" s="165" t="str">
        <f>IF($A65="","",IF(NOT(ISNUMBER('Daily Data'!$A65)),"ERROR","OK"))</f>
        <v>OK</v>
      </c>
      <c r="G65" s="165" t="str">
        <f>IF($A65="","",IF(OR(N('Daily Data'!$E65)&lt;=0,N('Daily Data'!$C65)&lt;0,N('Daily Data'!$D65)&lt;0,N('Daily Data'!$F65)&lt;0,N('Daily Data'!$G65)&lt;0),"ERROR","OK"))</f>
        <v>OK</v>
      </c>
      <c r="H65" s="165" t="str">
        <f>IF($A65="","",IF(N('Daily Data'!$K65)&lt;0,"ERROR","OK"))</f>
        <v>OK</v>
      </c>
      <c r="I65" s="165" t="str">
        <f>IF($A65="","",IF(N('Daily Data'!$I65)&lt;0,"ERROR","OK"))</f>
        <v>OK</v>
      </c>
      <c r="J65" s="165" t="str">
        <f>IF($A65="","",IF(N('Daily Data'!$L65)&lt;0,"ERROR","OK"))</f>
        <v>OK</v>
      </c>
      <c r="K65" s="165" t="str">
        <f>IF($A65="","",IF(N('Daily Data'!$M65)&lt;0,"ERROR","OK"))</f>
        <v>OK</v>
      </c>
      <c r="L65" s="165" t="str">
        <f>IF($A65="","",IF(OR(N('Daily Data'!$F65)=0,N('Daily Data'!$G65)=0),"OK",IF(OR(N('Daily Data'!$E65)&gt;N('Daily Data'!$F65),N('Daily Data'!$E65)&lt;N('Daily Data'!$G65)),"ERROR","OK")))</f>
        <v>OK</v>
      </c>
      <c r="M65" s="165" t="str">
        <f>IF($A65="","",IF(N('Daily Data'!$AK65)&lt;=1,"OK",IF(ROUND(N('Daily Data'!$D65),2)=ROUND(SUMIFS('Daily Data'!$E$4:$E$503,'Daily Data'!$B$4:$B$503,'Daily Data'!$B65,'Daily Data'!$AK$4:$AK$503,'Daily Data'!$AK65-1),2),"OK","WARNING")))</f>
        <v>OK</v>
      </c>
      <c r="N65" s="165" t="str">
        <f>IF($A65="","",IF(N('Daily Data'!$N65)&lt;=0,"WARNING","OK"))</f>
        <v>OK</v>
      </c>
      <c r="O65" s="165" t="str">
        <f>IF($A65="","",IF(AND(ISNUMBER('Daily Data'!$H65),ABS(N('Daily Data'!$H65))&gt;Settings!$C$56),"WARNING","OK"))</f>
        <v>OK</v>
      </c>
      <c r="P65" s="165" t="str">
        <f>IF($A65="","",IF(OR(AND(N('Daily Data'!$K65)=0,N('Daily Data'!$I65)&gt;0),AND(N('Daily Data'!$I65)=0,N('Daily Data'!$K65)&gt;0),AND(N('Daily Data'!$L65)=0,N('Daily Data'!$M65)=0)),"WARNING","OK"))</f>
        <v>OK</v>
      </c>
      <c r="Q65" s="165" t="str">
        <f>IF($A65="","",IF(COUNTIFS('Daily Data'!$B$4:$B$503,'Daily Data'!$B65,'Daily Data'!$A$4:$A$503,'Daily Data'!$A65,'Daily Data'!$Q$4:$Q$503,'Daily Data'!$Q65)&gt;1,"WARNING","OK"))</f>
        <v>OK</v>
      </c>
      <c r="R65" s="165" t="str">
        <f>IF($A65="","",IF(AND(N('Daily Data'!$K65)&gt;0,N('Daily Data'!$J65)&lt;=0),"WARNING","OK"))</f>
        <v>OK</v>
      </c>
      <c r="S65" s="165">
        <f>IF($A65="","",COUNTIF($D65:$R65,"ERROR"))</f>
        <v>0</v>
      </c>
      <c r="T65" s="165">
        <f>IF($A65="","",COUNTIF($D65:$R65,"WARNING"))</f>
        <v>0</v>
      </c>
      <c r="U65" s="165" t="str">
        <f>IF($A65="","",IF($S65&gt;0,"ERROR",IF($T65&gt;0,"WARNING","PASS")))</f>
        <v>PASS</v>
      </c>
    </row>
    <row r="66" spans="1:21" x14ac:dyDescent="0.3">
      <c r="A66">
        <f>IF(AND('Daily Data'!$A66="",'Daily Data'!$B66=""),"",66)</f>
        <v>66</v>
      </c>
      <c r="B66" s="16">
        <f>IF($A66="","",'Daily Data'!$A66)</f>
        <v>46246</v>
      </c>
      <c r="C66" t="str">
        <f>IF($A66="","",'Daily Data'!$B66)</f>
        <v>EABL</v>
      </c>
      <c r="D66" s="165" t="str">
        <f>IF($A66="","",IF(COUNTIFS('Daily Data'!$B$4:$B$503,'Daily Data'!$B66,'Daily Data'!$A$4:$A$503,'Daily Data'!$A66)&gt;1,"ERROR","OK"))</f>
        <v>OK</v>
      </c>
      <c r="E66" s="165" t="str">
        <f>IF($A66="","",IF('Daily Data'!$B66="","ERROR","OK"))</f>
        <v>OK</v>
      </c>
      <c r="F66" s="165" t="str">
        <f>IF($A66="","",IF(NOT(ISNUMBER('Daily Data'!$A66)),"ERROR","OK"))</f>
        <v>OK</v>
      </c>
      <c r="G66" s="165" t="str">
        <f>IF($A66="","",IF(OR(N('Daily Data'!$E66)&lt;=0,N('Daily Data'!$C66)&lt;0,N('Daily Data'!$D66)&lt;0,N('Daily Data'!$F66)&lt;0,N('Daily Data'!$G66)&lt;0),"ERROR","OK"))</f>
        <v>OK</v>
      </c>
      <c r="H66" s="165" t="str">
        <f>IF($A66="","",IF(N('Daily Data'!$K66)&lt;0,"ERROR","OK"))</f>
        <v>OK</v>
      </c>
      <c r="I66" s="165" t="str">
        <f>IF($A66="","",IF(N('Daily Data'!$I66)&lt;0,"ERROR","OK"))</f>
        <v>OK</v>
      </c>
      <c r="J66" s="165" t="str">
        <f>IF($A66="","",IF(N('Daily Data'!$L66)&lt;0,"ERROR","OK"))</f>
        <v>OK</v>
      </c>
      <c r="K66" s="165" t="str">
        <f>IF($A66="","",IF(N('Daily Data'!$M66)&lt;0,"ERROR","OK"))</f>
        <v>OK</v>
      </c>
      <c r="L66" s="165" t="str">
        <f>IF($A66="","",IF(OR(N('Daily Data'!$F66)=0,N('Daily Data'!$G66)=0),"OK",IF(OR(N('Daily Data'!$E66)&gt;N('Daily Data'!$F66),N('Daily Data'!$E66)&lt;N('Daily Data'!$G66)),"ERROR","OK")))</f>
        <v>OK</v>
      </c>
      <c r="M66" s="165" t="str">
        <f>IF($A66="","",IF(N('Daily Data'!$AK66)&lt;=1,"OK",IF(ROUND(N('Daily Data'!$D66),2)=ROUND(SUMIFS('Daily Data'!$E$4:$E$503,'Daily Data'!$B$4:$B$503,'Daily Data'!$B66,'Daily Data'!$AK$4:$AK$503,'Daily Data'!$AK66-1),2),"OK","WARNING")))</f>
        <v>OK</v>
      </c>
      <c r="N66" s="165" t="str">
        <f>IF($A66="","",IF(N('Daily Data'!$N66)&lt;=0,"WARNING","OK"))</f>
        <v>OK</v>
      </c>
      <c r="O66" s="165" t="str">
        <f>IF($A66="","",IF(AND(ISNUMBER('Daily Data'!$H66),ABS(N('Daily Data'!$H66))&gt;Settings!$C$56),"WARNING","OK"))</f>
        <v>OK</v>
      </c>
      <c r="P66" s="165" t="str">
        <f>IF($A66="","",IF(OR(AND(N('Daily Data'!$K66)=0,N('Daily Data'!$I66)&gt;0),AND(N('Daily Data'!$I66)=0,N('Daily Data'!$K66)&gt;0),AND(N('Daily Data'!$L66)=0,N('Daily Data'!$M66)=0)),"WARNING","OK"))</f>
        <v>WARNING</v>
      </c>
      <c r="Q66" s="165" t="str">
        <f>IF($A66="","",IF(COUNTIFS('Daily Data'!$B$4:$B$503,'Daily Data'!$B66,'Daily Data'!$A$4:$A$503,'Daily Data'!$A66,'Daily Data'!$Q$4:$Q$503,'Daily Data'!$Q66)&gt;1,"WARNING","OK"))</f>
        <v>OK</v>
      </c>
      <c r="R66" s="165" t="str">
        <f>IF($A66="","",IF(AND(N('Daily Data'!$K66)&gt;0,N('Daily Data'!$J66)&lt;=0),"WARNING","OK"))</f>
        <v>OK</v>
      </c>
      <c r="S66" s="165">
        <f>IF($A66="","",COUNTIF($D66:$R66,"ERROR"))</f>
        <v>0</v>
      </c>
      <c r="T66" s="165">
        <f>IF($A66="","",COUNTIF($D66:$R66,"WARNING"))</f>
        <v>1</v>
      </c>
      <c r="U66" s="165" t="str">
        <f>IF($A66="","",IF($S66&gt;0,"ERROR",IF($T66&gt;0,"WARNING","PASS")))</f>
        <v>WARNING</v>
      </c>
    </row>
    <row r="67" spans="1:21" x14ac:dyDescent="0.3">
      <c r="A67">
        <f>IF(AND('Daily Data'!$A67="",'Daily Data'!$B67=""),"",67)</f>
        <v>67</v>
      </c>
      <c r="B67" s="16">
        <f>IF($A67="","",'Daily Data'!$A67)</f>
        <v>46246</v>
      </c>
      <c r="C67" t="str">
        <f>IF($A67="","",'Daily Data'!$B67)</f>
        <v>JATU</v>
      </c>
      <c r="D67" s="165" t="str">
        <f>IF($A67="","",IF(COUNTIFS('Daily Data'!$B$4:$B$503,'Daily Data'!$B67,'Daily Data'!$A$4:$A$503,'Daily Data'!$A67)&gt;1,"ERROR","OK"))</f>
        <v>OK</v>
      </c>
      <c r="E67" s="165" t="str">
        <f>IF($A67="","",IF('Daily Data'!$B67="","ERROR","OK"))</f>
        <v>OK</v>
      </c>
      <c r="F67" s="165" t="str">
        <f>IF($A67="","",IF(NOT(ISNUMBER('Daily Data'!$A67)),"ERROR","OK"))</f>
        <v>OK</v>
      </c>
      <c r="G67" s="165" t="str">
        <f>IF($A67="","",IF(OR(N('Daily Data'!$E67)&lt;=0,N('Daily Data'!$C67)&lt;0,N('Daily Data'!$D67)&lt;0,N('Daily Data'!$F67)&lt;0,N('Daily Data'!$G67)&lt;0),"ERROR","OK"))</f>
        <v>OK</v>
      </c>
      <c r="H67" s="165" t="str">
        <f>IF($A67="","",IF(N('Daily Data'!$K67)&lt;0,"ERROR","OK"))</f>
        <v>OK</v>
      </c>
      <c r="I67" s="165" t="str">
        <f>IF($A67="","",IF(N('Daily Data'!$I67)&lt;0,"ERROR","OK"))</f>
        <v>OK</v>
      </c>
      <c r="J67" s="165" t="str">
        <f>IF($A67="","",IF(N('Daily Data'!$L67)&lt;0,"ERROR","OK"))</f>
        <v>OK</v>
      </c>
      <c r="K67" s="165" t="str">
        <f>IF($A67="","",IF(N('Daily Data'!$M67)&lt;0,"ERROR","OK"))</f>
        <v>OK</v>
      </c>
      <c r="L67" s="165" t="str">
        <f>IF($A67="","",IF(OR(N('Daily Data'!$F67)=0,N('Daily Data'!$G67)=0),"OK",IF(OR(N('Daily Data'!$E67)&gt;N('Daily Data'!$F67),N('Daily Data'!$E67)&lt;N('Daily Data'!$G67)),"ERROR","OK")))</f>
        <v>ERROR</v>
      </c>
      <c r="M67" s="165" t="str">
        <f>IF($A67="","",IF(N('Daily Data'!$AK67)&lt;=1,"OK",IF(ROUND(N('Daily Data'!$D67),2)=ROUND(SUMIFS('Daily Data'!$E$4:$E$503,'Daily Data'!$B$4:$B$503,'Daily Data'!$B67,'Daily Data'!$AK$4:$AK$503,'Daily Data'!$AK67-1),2),"OK","WARNING")))</f>
        <v>OK</v>
      </c>
      <c r="N67" s="165" t="str">
        <f>IF($A67="","",IF(N('Daily Data'!$N67)&lt;=0,"WARNING","OK"))</f>
        <v>OK</v>
      </c>
      <c r="O67" s="165" t="str">
        <f>IF($A67="","",IF(AND(ISNUMBER('Daily Data'!$H67),ABS(N('Daily Data'!$H67))&gt;Settings!$C$56),"WARNING","OK"))</f>
        <v>OK</v>
      </c>
      <c r="P67" s="165" t="str">
        <f>IF($A67="","",IF(OR(AND(N('Daily Data'!$K67)=0,N('Daily Data'!$I67)&gt;0),AND(N('Daily Data'!$I67)=0,N('Daily Data'!$K67)&gt;0),AND(N('Daily Data'!$L67)=0,N('Daily Data'!$M67)=0)),"WARNING","OK"))</f>
        <v>OK</v>
      </c>
      <c r="Q67" s="165" t="str">
        <f>IF($A67="","",IF(COUNTIFS('Daily Data'!$B$4:$B$503,'Daily Data'!$B67,'Daily Data'!$A$4:$A$503,'Daily Data'!$A67,'Daily Data'!$Q$4:$Q$503,'Daily Data'!$Q67)&gt;1,"WARNING","OK"))</f>
        <v>OK</v>
      </c>
      <c r="R67" s="165" t="str">
        <f>IF($A67="","",IF(AND(N('Daily Data'!$K67)&gt;0,N('Daily Data'!$J67)&lt;=0),"WARNING","OK"))</f>
        <v>OK</v>
      </c>
      <c r="S67" s="165">
        <f>IF($A67="","",COUNTIF($D67:$R67,"ERROR"))</f>
        <v>1</v>
      </c>
      <c r="T67" s="165">
        <f>IF($A67="","",COUNTIF($D67:$R67,"WARNING"))</f>
        <v>0</v>
      </c>
      <c r="U67" s="165" t="str">
        <f>IF($A67="","",IF($S67&gt;0,"ERROR",IF($T67&gt;0,"WARNING","PASS")))</f>
        <v>ERROR</v>
      </c>
    </row>
    <row r="68" spans="1:21" x14ac:dyDescent="0.3">
      <c r="A68">
        <f>IF(AND('Daily Data'!$A68="",'Daily Data'!$B68=""),"",68)</f>
        <v>68</v>
      </c>
      <c r="B68" s="16">
        <f>IF($A68="","",'Daily Data'!$A68)</f>
        <v>46246</v>
      </c>
      <c r="C68" t="str">
        <f>IF($A68="","",'Daily Data'!$B68)</f>
        <v>JHL</v>
      </c>
      <c r="D68" s="165" t="str">
        <f>IF($A68="","",IF(COUNTIFS('Daily Data'!$B$4:$B$503,'Daily Data'!$B68,'Daily Data'!$A$4:$A$503,'Daily Data'!$A68)&gt;1,"ERROR","OK"))</f>
        <v>OK</v>
      </c>
      <c r="E68" s="165" t="str">
        <f>IF($A68="","",IF('Daily Data'!$B68="","ERROR","OK"))</f>
        <v>OK</v>
      </c>
      <c r="F68" s="165" t="str">
        <f>IF($A68="","",IF(NOT(ISNUMBER('Daily Data'!$A68)),"ERROR","OK"))</f>
        <v>OK</v>
      </c>
      <c r="G68" s="165" t="str">
        <f>IF($A68="","",IF(OR(N('Daily Data'!$E68)&lt;=0,N('Daily Data'!$C68)&lt;0,N('Daily Data'!$D68)&lt;0,N('Daily Data'!$F68)&lt;0,N('Daily Data'!$G68)&lt;0),"ERROR","OK"))</f>
        <v>OK</v>
      </c>
      <c r="H68" s="165" t="str">
        <f>IF($A68="","",IF(N('Daily Data'!$K68)&lt;0,"ERROR","OK"))</f>
        <v>OK</v>
      </c>
      <c r="I68" s="165" t="str">
        <f>IF($A68="","",IF(N('Daily Data'!$I68)&lt;0,"ERROR","OK"))</f>
        <v>OK</v>
      </c>
      <c r="J68" s="165" t="str">
        <f>IF($A68="","",IF(N('Daily Data'!$L68)&lt;0,"ERROR","OK"))</f>
        <v>OK</v>
      </c>
      <c r="K68" s="165" t="str">
        <f>IF($A68="","",IF(N('Daily Data'!$M68)&lt;0,"ERROR","OK"))</f>
        <v>OK</v>
      </c>
      <c r="L68" s="165" t="str">
        <f>IF($A68="","",IF(OR(N('Daily Data'!$F68)=0,N('Daily Data'!$G68)=0),"OK",IF(OR(N('Daily Data'!$E68)&gt;N('Daily Data'!$F68),N('Daily Data'!$E68)&lt;N('Daily Data'!$G68)),"ERROR","OK")))</f>
        <v>OK</v>
      </c>
      <c r="M68" s="165" t="str">
        <f>IF($A68="","",IF(N('Daily Data'!$AK68)&lt;=1,"OK",IF(ROUND(N('Daily Data'!$D68),2)=ROUND(SUMIFS('Daily Data'!$E$4:$E$503,'Daily Data'!$B$4:$B$503,'Daily Data'!$B68,'Daily Data'!$AK$4:$AK$503,'Daily Data'!$AK68-1),2),"OK","WARNING")))</f>
        <v>OK</v>
      </c>
      <c r="N68" s="165" t="str">
        <f>IF($A68="","",IF(N('Daily Data'!$N68)&lt;=0,"WARNING","OK"))</f>
        <v>OK</v>
      </c>
      <c r="O68" s="165" t="str">
        <f>IF($A68="","",IF(AND(ISNUMBER('Daily Data'!$H68),ABS(N('Daily Data'!$H68))&gt;Settings!$C$56),"WARNING","OK"))</f>
        <v>OK</v>
      </c>
      <c r="P68" s="165" t="str">
        <f>IF($A68="","",IF(OR(AND(N('Daily Data'!$K68)=0,N('Daily Data'!$I68)&gt;0),AND(N('Daily Data'!$I68)=0,N('Daily Data'!$K68)&gt;0),AND(N('Daily Data'!$L68)=0,N('Daily Data'!$M68)=0)),"WARNING","OK"))</f>
        <v>OK</v>
      </c>
      <c r="Q68" s="165" t="str">
        <f>IF($A68="","",IF(COUNTIFS('Daily Data'!$B$4:$B$503,'Daily Data'!$B68,'Daily Data'!$A$4:$A$503,'Daily Data'!$A68,'Daily Data'!$Q$4:$Q$503,'Daily Data'!$Q68)&gt;1,"WARNING","OK"))</f>
        <v>OK</v>
      </c>
      <c r="R68" s="165" t="str">
        <f>IF($A68="","",IF(AND(N('Daily Data'!$K68)&gt;0,N('Daily Data'!$J68)&lt;=0),"WARNING","OK"))</f>
        <v>OK</v>
      </c>
      <c r="S68" s="165">
        <f>IF($A68="","",COUNTIF($D68:$R68,"ERROR"))</f>
        <v>0</v>
      </c>
      <c r="T68" s="165">
        <f>IF($A68="","",COUNTIF($D68:$R68,"WARNING"))</f>
        <v>0</v>
      </c>
      <c r="U68" s="165" t="str">
        <f>IF($A68="","",IF($S68&gt;0,"ERROR",IF($T68&gt;0,"WARNING","PASS")))</f>
        <v>PASS</v>
      </c>
    </row>
    <row r="69" spans="1:21" x14ac:dyDescent="0.3">
      <c r="A69">
        <f>IF(AND('Daily Data'!$A69="",'Daily Data'!$B69=""),"",69)</f>
        <v>69</v>
      </c>
      <c r="B69" s="16">
        <f>IF($A69="","",'Daily Data'!$A69)</f>
        <v>46246</v>
      </c>
      <c r="C69" t="str">
        <f>IF($A69="","",'Daily Data'!$B69)</f>
        <v>KA</v>
      </c>
      <c r="D69" s="165" t="str">
        <f>IF($A69="","",IF(COUNTIFS('Daily Data'!$B$4:$B$503,'Daily Data'!$B69,'Daily Data'!$A$4:$A$503,'Daily Data'!$A69)&gt;1,"ERROR","OK"))</f>
        <v>OK</v>
      </c>
      <c r="E69" s="165" t="str">
        <f>IF($A69="","",IF('Daily Data'!$B69="","ERROR","OK"))</f>
        <v>OK</v>
      </c>
      <c r="F69" s="165" t="str">
        <f>IF($A69="","",IF(NOT(ISNUMBER('Daily Data'!$A69)),"ERROR","OK"))</f>
        <v>OK</v>
      </c>
      <c r="G69" s="165" t="str">
        <f>IF($A69="","",IF(OR(N('Daily Data'!$E69)&lt;=0,N('Daily Data'!$C69)&lt;0,N('Daily Data'!$D69)&lt;0,N('Daily Data'!$F69)&lt;0,N('Daily Data'!$G69)&lt;0),"ERROR","OK"))</f>
        <v>OK</v>
      </c>
      <c r="H69" s="165" t="str">
        <f>IF($A69="","",IF(N('Daily Data'!$K69)&lt;0,"ERROR","OK"))</f>
        <v>OK</v>
      </c>
      <c r="I69" s="165" t="str">
        <f>IF($A69="","",IF(N('Daily Data'!$I69)&lt;0,"ERROR","OK"))</f>
        <v>OK</v>
      </c>
      <c r="J69" s="165" t="str">
        <f>IF($A69="","",IF(N('Daily Data'!$L69)&lt;0,"ERROR","OK"))</f>
        <v>OK</v>
      </c>
      <c r="K69" s="165" t="str">
        <f>IF($A69="","",IF(N('Daily Data'!$M69)&lt;0,"ERROR","OK"))</f>
        <v>OK</v>
      </c>
      <c r="L69" s="165" t="str">
        <f>IF($A69="","",IF(OR(N('Daily Data'!$F69)=0,N('Daily Data'!$G69)=0),"OK",IF(OR(N('Daily Data'!$E69)&gt;N('Daily Data'!$F69),N('Daily Data'!$E69)&lt;N('Daily Data'!$G69)),"ERROR","OK")))</f>
        <v>OK</v>
      </c>
      <c r="M69" s="165" t="str">
        <f>IF($A69="","",IF(N('Daily Data'!$AK69)&lt;=1,"OK",IF(ROUND(N('Daily Data'!$D69),2)=ROUND(SUMIFS('Daily Data'!$E$4:$E$503,'Daily Data'!$B$4:$B$503,'Daily Data'!$B69,'Daily Data'!$AK$4:$AK$503,'Daily Data'!$AK69-1),2),"OK","WARNING")))</f>
        <v>OK</v>
      </c>
      <c r="N69" s="165" t="str">
        <f>IF($A69="","",IF(N('Daily Data'!$N69)&lt;=0,"WARNING","OK"))</f>
        <v>OK</v>
      </c>
      <c r="O69" s="165" t="str">
        <f>IF($A69="","",IF(AND(ISNUMBER('Daily Data'!$H69),ABS(N('Daily Data'!$H69))&gt;Settings!$C$56),"WARNING","OK"))</f>
        <v>OK</v>
      </c>
      <c r="P69" s="165" t="str">
        <f>IF($A69="","",IF(OR(AND(N('Daily Data'!$K69)=0,N('Daily Data'!$I69)&gt;0),AND(N('Daily Data'!$I69)=0,N('Daily Data'!$K69)&gt;0),AND(N('Daily Data'!$L69)=0,N('Daily Data'!$M69)=0)),"WARNING","OK"))</f>
        <v>OK</v>
      </c>
      <c r="Q69" s="165" t="str">
        <f>IF($A69="","",IF(COUNTIFS('Daily Data'!$B$4:$B$503,'Daily Data'!$B69,'Daily Data'!$A$4:$A$503,'Daily Data'!$A69,'Daily Data'!$Q$4:$Q$503,'Daily Data'!$Q69)&gt;1,"WARNING","OK"))</f>
        <v>OK</v>
      </c>
      <c r="R69" s="165" t="str">
        <f>IF($A69="","",IF(AND(N('Daily Data'!$K69)&gt;0,N('Daily Data'!$J69)&lt;=0),"WARNING","OK"))</f>
        <v>OK</v>
      </c>
      <c r="S69" s="165">
        <f>IF($A69="","",COUNTIF($D69:$R69,"ERROR"))</f>
        <v>0</v>
      </c>
      <c r="T69" s="165">
        <f>IF($A69="","",COUNTIF($D69:$R69,"WARNING"))</f>
        <v>0</v>
      </c>
      <c r="U69" s="165" t="str">
        <f>IF($A69="","",IF($S69&gt;0,"ERROR",IF($T69&gt;0,"WARNING","PASS")))</f>
        <v>PASS</v>
      </c>
    </row>
    <row r="70" spans="1:21" x14ac:dyDescent="0.3">
      <c r="A70">
        <f>IF(AND('Daily Data'!$A70="",'Daily Data'!$B70=""),"",70)</f>
        <v>70</v>
      </c>
      <c r="B70" s="16">
        <f>IF($A70="","",'Daily Data'!$A70)</f>
        <v>46246</v>
      </c>
      <c r="C70" t="str">
        <f>IF($A70="","",'Daily Data'!$B70)</f>
        <v>KCB</v>
      </c>
      <c r="D70" s="165" t="str">
        <f>IF($A70="","",IF(COUNTIFS('Daily Data'!$B$4:$B$503,'Daily Data'!$B70,'Daily Data'!$A$4:$A$503,'Daily Data'!$A70)&gt;1,"ERROR","OK"))</f>
        <v>OK</v>
      </c>
      <c r="E70" s="165" t="str">
        <f>IF($A70="","",IF('Daily Data'!$B70="","ERROR","OK"))</f>
        <v>OK</v>
      </c>
      <c r="F70" s="165" t="str">
        <f>IF($A70="","",IF(NOT(ISNUMBER('Daily Data'!$A70)),"ERROR","OK"))</f>
        <v>OK</v>
      </c>
      <c r="G70" s="165" t="str">
        <f>IF($A70="","",IF(OR(N('Daily Data'!$E70)&lt;=0,N('Daily Data'!$C70)&lt;0,N('Daily Data'!$D70)&lt;0,N('Daily Data'!$F70)&lt;0,N('Daily Data'!$G70)&lt;0),"ERROR","OK"))</f>
        <v>OK</v>
      </c>
      <c r="H70" s="165" t="str">
        <f>IF($A70="","",IF(N('Daily Data'!$K70)&lt;0,"ERROR","OK"))</f>
        <v>OK</v>
      </c>
      <c r="I70" s="165" t="str">
        <f>IF($A70="","",IF(N('Daily Data'!$I70)&lt;0,"ERROR","OK"))</f>
        <v>OK</v>
      </c>
      <c r="J70" s="165" t="str">
        <f>IF($A70="","",IF(N('Daily Data'!$L70)&lt;0,"ERROR","OK"))</f>
        <v>OK</v>
      </c>
      <c r="K70" s="165" t="str">
        <f>IF($A70="","",IF(N('Daily Data'!$M70)&lt;0,"ERROR","OK"))</f>
        <v>OK</v>
      </c>
      <c r="L70" s="165" t="str">
        <f>IF($A70="","",IF(OR(N('Daily Data'!$F70)=0,N('Daily Data'!$G70)=0),"OK",IF(OR(N('Daily Data'!$E70)&gt;N('Daily Data'!$F70),N('Daily Data'!$E70)&lt;N('Daily Data'!$G70)),"ERROR","OK")))</f>
        <v>OK</v>
      </c>
      <c r="M70" s="165" t="str">
        <f>IF($A70="","",IF(N('Daily Data'!$AK70)&lt;=1,"OK",IF(ROUND(N('Daily Data'!$D70),2)=ROUND(SUMIFS('Daily Data'!$E$4:$E$503,'Daily Data'!$B$4:$B$503,'Daily Data'!$B70,'Daily Data'!$AK$4:$AK$503,'Daily Data'!$AK70-1),2),"OK","WARNING")))</f>
        <v>OK</v>
      </c>
      <c r="N70" s="165" t="str">
        <f>IF($A70="","",IF(N('Daily Data'!$N70)&lt;=0,"WARNING","OK"))</f>
        <v>OK</v>
      </c>
      <c r="O70" s="165" t="str">
        <f>IF($A70="","",IF(AND(ISNUMBER('Daily Data'!$H70),ABS(N('Daily Data'!$H70))&gt;Settings!$C$56),"WARNING","OK"))</f>
        <v>OK</v>
      </c>
      <c r="P70" s="165" t="str">
        <f>IF($A70="","",IF(OR(AND(N('Daily Data'!$K70)=0,N('Daily Data'!$I70)&gt;0),AND(N('Daily Data'!$I70)=0,N('Daily Data'!$K70)&gt;0),AND(N('Daily Data'!$L70)=0,N('Daily Data'!$M70)=0)),"WARNING","OK"))</f>
        <v>OK</v>
      </c>
      <c r="Q70" s="165" t="str">
        <f>IF($A70="","",IF(COUNTIFS('Daily Data'!$B$4:$B$503,'Daily Data'!$B70,'Daily Data'!$A$4:$A$503,'Daily Data'!$A70,'Daily Data'!$Q$4:$Q$503,'Daily Data'!$Q70)&gt;1,"WARNING","OK"))</f>
        <v>OK</v>
      </c>
      <c r="R70" s="165" t="str">
        <f>IF($A70="","",IF(AND(N('Daily Data'!$K70)&gt;0,N('Daily Data'!$J70)&lt;=0),"WARNING","OK"))</f>
        <v>OK</v>
      </c>
      <c r="S70" s="165">
        <f>IF($A70="","",COUNTIF($D70:$R70,"ERROR"))</f>
        <v>0</v>
      </c>
      <c r="T70" s="165">
        <f>IF($A70="","",COUNTIF($D70:$R70,"WARNING"))</f>
        <v>0</v>
      </c>
      <c r="U70" s="165" t="str">
        <f>IF($A70="","",IF($S70&gt;0,"ERROR",IF($T70&gt;0,"WARNING","PASS")))</f>
        <v>PASS</v>
      </c>
    </row>
    <row r="71" spans="1:21" x14ac:dyDescent="0.3">
      <c r="A71">
        <f>IF(AND('Daily Data'!$A71="",'Daily Data'!$B71=""),"",71)</f>
        <v>71</v>
      </c>
      <c r="B71" s="16">
        <f>IF($A71="","",'Daily Data'!$A71)</f>
        <v>46246</v>
      </c>
      <c r="C71" t="str">
        <f>IF($A71="","",'Daily Data'!$B71)</f>
        <v>MBP</v>
      </c>
      <c r="D71" s="165" t="str">
        <f>IF($A71="","",IF(COUNTIFS('Daily Data'!$B$4:$B$503,'Daily Data'!$B71,'Daily Data'!$A$4:$A$503,'Daily Data'!$A71)&gt;1,"ERROR","OK"))</f>
        <v>OK</v>
      </c>
      <c r="E71" s="165" t="str">
        <f>IF($A71="","",IF('Daily Data'!$B71="","ERROR","OK"))</f>
        <v>OK</v>
      </c>
      <c r="F71" s="165" t="str">
        <f>IF($A71="","",IF(NOT(ISNUMBER('Daily Data'!$A71)),"ERROR","OK"))</f>
        <v>OK</v>
      </c>
      <c r="G71" s="165" t="str">
        <f>IF($A71="","",IF(OR(N('Daily Data'!$E71)&lt;=0,N('Daily Data'!$C71)&lt;0,N('Daily Data'!$D71)&lt;0,N('Daily Data'!$F71)&lt;0,N('Daily Data'!$G71)&lt;0),"ERROR","OK"))</f>
        <v>OK</v>
      </c>
      <c r="H71" s="165" t="str">
        <f>IF($A71="","",IF(N('Daily Data'!$K71)&lt;0,"ERROR","OK"))</f>
        <v>OK</v>
      </c>
      <c r="I71" s="165" t="str">
        <f>IF($A71="","",IF(N('Daily Data'!$I71)&lt;0,"ERROR","OK"))</f>
        <v>OK</v>
      </c>
      <c r="J71" s="165" t="str">
        <f>IF($A71="","",IF(N('Daily Data'!$L71)&lt;0,"ERROR","OK"))</f>
        <v>OK</v>
      </c>
      <c r="K71" s="165" t="str">
        <f>IF($A71="","",IF(N('Daily Data'!$M71)&lt;0,"ERROR","OK"))</f>
        <v>OK</v>
      </c>
      <c r="L71" s="165" t="str">
        <f>IF($A71="","",IF(OR(N('Daily Data'!$F71)=0,N('Daily Data'!$G71)=0),"OK",IF(OR(N('Daily Data'!$E71)&gt;N('Daily Data'!$F71),N('Daily Data'!$E71)&lt;N('Daily Data'!$G71)),"ERROR","OK")))</f>
        <v>OK</v>
      </c>
      <c r="M71" s="165" t="str">
        <f>IF($A71="","",IF(N('Daily Data'!$AK71)&lt;=1,"OK",IF(ROUND(N('Daily Data'!$D71),2)=ROUND(SUMIFS('Daily Data'!$E$4:$E$503,'Daily Data'!$B$4:$B$503,'Daily Data'!$B71,'Daily Data'!$AK$4:$AK$503,'Daily Data'!$AK71-1),2),"OK","WARNING")))</f>
        <v>OK</v>
      </c>
      <c r="N71" s="165" t="str">
        <f>IF($A71="","",IF(N('Daily Data'!$N71)&lt;=0,"WARNING","OK"))</f>
        <v>OK</v>
      </c>
      <c r="O71" s="165" t="str">
        <f>IF($A71="","",IF(AND(ISNUMBER('Daily Data'!$H71),ABS(N('Daily Data'!$H71))&gt;Settings!$C$56),"WARNING","OK"))</f>
        <v>OK</v>
      </c>
      <c r="P71" s="165" t="str">
        <f>IF($A71="","",IF(OR(AND(N('Daily Data'!$K71)=0,N('Daily Data'!$I71)&gt;0),AND(N('Daily Data'!$I71)=0,N('Daily Data'!$K71)&gt;0),AND(N('Daily Data'!$L71)=0,N('Daily Data'!$M71)=0)),"WARNING","OK"))</f>
        <v>OK</v>
      </c>
      <c r="Q71" s="165" t="str">
        <f>IF($A71="","",IF(COUNTIFS('Daily Data'!$B$4:$B$503,'Daily Data'!$B71,'Daily Data'!$A$4:$A$503,'Daily Data'!$A71,'Daily Data'!$Q$4:$Q$503,'Daily Data'!$Q71)&gt;1,"WARNING","OK"))</f>
        <v>OK</v>
      </c>
      <c r="R71" s="165" t="str">
        <f>IF($A71="","",IF(AND(N('Daily Data'!$K71)&gt;0,N('Daily Data'!$J71)&lt;=0),"WARNING","OK"))</f>
        <v>OK</v>
      </c>
      <c r="S71" s="165">
        <f>IF($A71="","",COUNTIF($D71:$R71,"ERROR"))</f>
        <v>0</v>
      </c>
      <c r="T71" s="165">
        <f>IF($A71="","",COUNTIF($D71:$R71,"WARNING"))</f>
        <v>0</v>
      </c>
      <c r="U71" s="165" t="str">
        <f>IF($A71="","",IF($S71&gt;0,"ERROR",IF($T71&gt;0,"WARNING","PASS")))</f>
        <v>PASS</v>
      </c>
    </row>
    <row r="72" spans="1:21" x14ac:dyDescent="0.3">
      <c r="A72">
        <f>IF(AND('Daily Data'!$A72="",'Daily Data'!$B72=""),"",72)</f>
        <v>72</v>
      </c>
      <c r="B72" s="16">
        <f>IF($A72="","",'Daily Data'!$A72)</f>
        <v>46246</v>
      </c>
      <c r="C72" t="str">
        <f>IF($A72="","",'Daily Data'!$B72)</f>
        <v>MCB</v>
      </c>
      <c r="D72" s="165" t="str">
        <f>IF($A72="","",IF(COUNTIFS('Daily Data'!$B$4:$B$503,'Daily Data'!$B72,'Daily Data'!$A$4:$A$503,'Daily Data'!$A72)&gt;1,"ERROR","OK"))</f>
        <v>OK</v>
      </c>
      <c r="E72" s="165" t="str">
        <f>IF($A72="","",IF('Daily Data'!$B72="","ERROR","OK"))</f>
        <v>OK</v>
      </c>
      <c r="F72" s="165" t="str">
        <f>IF($A72="","",IF(NOT(ISNUMBER('Daily Data'!$A72)),"ERROR","OK"))</f>
        <v>OK</v>
      </c>
      <c r="G72" s="165" t="str">
        <f>IF($A72="","",IF(OR(N('Daily Data'!$E72)&lt;=0,N('Daily Data'!$C72)&lt;0,N('Daily Data'!$D72)&lt;0,N('Daily Data'!$F72)&lt;0,N('Daily Data'!$G72)&lt;0),"ERROR","OK"))</f>
        <v>OK</v>
      </c>
      <c r="H72" s="165" t="str">
        <f>IF($A72="","",IF(N('Daily Data'!$K72)&lt;0,"ERROR","OK"))</f>
        <v>OK</v>
      </c>
      <c r="I72" s="165" t="str">
        <f>IF($A72="","",IF(N('Daily Data'!$I72)&lt;0,"ERROR","OK"))</f>
        <v>OK</v>
      </c>
      <c r="J72" s="165" t="str">
        <f>IF($A72="","",IF(N('Daily Data'!$L72)&lt;0,"ERROR","OK"))</f>
        <v>OK</v>
      </c>
      <c r="K72" s="165" t="str">
        <f>IF($A72="","",IF(N('Daily Data'!$M72)&lt;0,"ERROR","OK"))</f>
        <v>OK</v>
      </c>
      <c r="L72" s="165" t="str">
        <f>IF($A72="","",IF(OR(N('Daily Data'!$F72)=0,N('Daily Data'!$G72)=0),"OK",IF(OR(N('Daily Data'!$E72)&gt;N('Daily Data'!$F72),N('Daily Data'!$E72)&lt;N('Daily Data'!$G72)),"ERROR","OK")))</f>
        <v>OK</v>
      </c>
      <c r="M72" s="165" t="str">
        <f>IF($A72="","",IF(N('Daily Data'!$AK72)&lt;=1,"OK",IF(ROUND(N('Daily Data'!$D72),2)=ROUND(SUMIFS('Daily Data'!$E$4:$E$503,'Daily Data'!$B$4:$B$503,'Daily Data'!$B72,'Daily Data'!$AK$4:$AK$503,'Daily Data'!$AK72-1),2),"OK","WARNING")))</f>
        <v>OK</v>
      </c>
      <c r="N72" s="165" t="str">
        <f>IF($A72="","",IF(N('Daily Data'!$N72)&lt;=0,"WARNING","OK"))</f>
        <v>OK</v>
      </c>
      <c r="O72" s="165" t="str">
        <f>IF($A72="","",IF(AND(ISNUMBER('Daily Data'!$H72),ABS(N('Daily Data'!$H72))&gt;Settings!$C$56),"WARNING","OK"))</f>
        <v>OK</v>
      </c>
      <c r="P72" s="165" t="str">
        <f>IF($A72="","",IF(OR(AND(N('Daily Data'!$K72)=0,N('Daily Data'!$I72)&gt;0),AND(N('Daily Data'!$I72)=0,N('Daily Data'!$K72)&gt;0),AND(N('Daily Data'!$L72)=0,N('Daily Data'!$M72)=0)),"WARNING","OK"))</f>
        <v>OK</v>
      </c>
      <c r="Q72" s="165" t="str">
        <f>IF($A72="","",IF(COUNTIFS('Daily Data'!$B$4:$B$503,'Daily Data'!$B72,'Daily Data'!$A$4:$A$503,'Daily Data'!$A72,'Daily Data'!$Q$4:$Q$503,'Daily Data'!$Q72)&gt;1,"WARNING","OK"))</f>
        <v>OK</v>
      </c>
      <c r="R72" s="165" t="str">
        <f>IF($A72="","",IF(AND(N('Daily Data'!$K72)&gt;0,N('Daily Data'!$J72)&lt;=0),"WARNING","OK"))</f>
        <v>OK</v>
      </c>
      <c r="S72" s="165">
        <f>IF($A72="","",COUNTIF($D72:$R72,"ERROR"))</f>
        <v>0</v>
      </c>
      <c r="T72" s="165">
        <f>IF($A72="","",COUNTIF($D72:$R72,"WARNING"))</f>
        <v>0</v>
      </c>
      <c r="U72" s="165" t="str">
        <f>IF($A72="","",IF($S72&gt;0,"ERROR",IF($T72&gt;0,"WARNING","PASS")))</f>
        <v>PASS</v>
      </c>
    </row>
    <row r="73" spans="1:21" x14ac:dyDescent="0.3">
      <c r="A73">
        <f>IF(AND('Daily Data'!$A73="",'Daily Data'!$B73=""),"",73)</f>
        <v>73</v>
      </c>
      <c r="B73" s="16">
        <f>IF($A73="","",'Daily Data'!$A73)</f>
        <v>46246</v>
      </c>
      <c r="C73" t="str">
        <f>IF($A73="","",'Daily Data'!$B73)</f>
        <v>MKCB</v>
      </c>
      <c r="D73" s="165" t="str">
        <f>IF($A73="","",IF(COUNTIFS('Daily Data'!$B$4:$B$503,'Daily Data'!$B73,'Daily Data'!$A$4:$A$503,'Daily Data'!$A73)&gt;1,"ERROR","OK"))</f>
        <v>OK</v>
      </c>
      <c r="E73" s="165" t="str">
        <f>IF($A73="","",IF('Daily Data'!$B73="","ERROR","OK"))</f>
        <v>OK</v>
      </c>
      <c r="F73" s="165" t="str">
        <f>IF($A73="","",IF(NOT(ISNUMBER('Daily Data'!$A73)),"ERROR","OK"))</f>
        <v>OK</v>
      </c>
      <c r="G73" s="165" t="str">
        <f>IF($A73="","",IF(OR(N('Daily Data'!$E73)&lt;=0,N('Daily Data'!$C73)&lt;0,N('Daily Data'!$D73)&lt;0,N('Daily Data'!$F73)&lt;0,N('Daily Data'!$G73)&lt;0),"ERROR","OK"))</f>
        <v>OK</v>
      </c>
      <c r="H73" s="165" t="str">
        <f>IF($A73="","",IF(N('Daily Data'!$K73)&lt;0,"ERROR","OK"))</f>
        <v>OK</v>
      </c>
      <c r="I73" s="165" t="str">
        <f>IF($A73="","",IF(N('Daily Data'!$I73)&lt;0,"ERROR","OK"))</f>
        <v>OK</v>
      </c>
      <c r="J73" s="165" t="str">
        <f>IF($A73="","",IF(N('Daily Data'!$L73)&lt;0,"ERROR","OK"))</f>
        <v>OK</v>
      </c>
      <c r="K73" s="165" t="str">
        <f>IF($A73="","",IF(N('Daily Data'!$M73)&lt;0,"ERROR","OK"))</f>
        <v>OK</v>
      </c>
      <c r="L73" s="165" t="str">
        <f>IF($A73="","",IF(OR(N('Daily Data'!$F73)=0,N('Daily Data'!$G73)=0),"OK",IF(OR(N('Daily Data'!$E73)&gt;N('Daily Data'!$F73),N('Daily Data'!$E73)&lt;N('Daily Data'!$G73)),"ERROR","OK")))</f>
        <v>OK</v>
      </c>
      <c r="M73" s="165" t="str">
        <f>IF($A73="","",IF(N('Daily Data'!$AK73)&lt;=1,"OK",IF(ROUND(N('Daily Data'!$D73),2)=ROUND(SUMIFS('Daily Data'!$E$4:$E$503,'Daily Data'!$B$4:$B$503,'Daily Data'!$B73,'Daily Data'!$AK$4:$AK$503,'Daily Data'!$AK73-1),2),"OK","WARNING")))</f>
        <v>OK</v>
      </c>
      <c r="N73" s="165" t="str">
        <f>IF($A73="","",IF(N('Daily Data'!$N73)&lt;=0,"WARNING","OK"))</f>
        <v>OK</v>
      </c>
      <c r="O73" s="165" t="str">
        <f>IF($A73="","",IF(AND(ISNUMBER('Daily Data'!$H73),ABS(N('Daily Data'!$H73))&gt;Settings!$C$56),"WARNING","OK"))</f>
        <v>OK</v>
      </c>
      <c r="P73" s="165" t="str">
        <f>IF($A73="","",IF(OR(AND(N('Daily Data'!$K73)=0,N('Daily Data'!$I73)&gt;0),AND(N('Daily Data'!$I73)=0,N('Daily Data'!$K73)&gt;0),AND(N('Daily Data'!$L73)=0,N('Daily Data'!$M73)=0)),"WARNING","OK"))</f>
        <v>OK</v>
      </c>
      <c r="Q73" s="165" t="str">
        <f>IF($A73="","",IF(COUNTIFS('Daily Data'!$B$4:$B$503,'Daily Data'!$B73,'Daily Data'!$A$4:$A$503,'Daily Data'!$A73,'Daily Data'!$Q$4:$Q$503,'Daily Data'!$Q73)&gt;1,"WARNING","OK"))</f>
        <v>OK</v>
      </c>
      <c r="R73" s="165" t="str">
        <f>IF($A73="","",IF(AND(N('Daily Data'!$K73)&gt;0,N('Daily Data'!$J73)&lt;=0),"WARNING","OK"))</f>
        <v>OK</v>
      </c>
      <c r="S73" s="165">
        <f>IF($A73="","",COUNTIF($D73:$R73,"ERROR"))</f>
        <v>0</v>
      </c>
      <c r="T73" s="165">
        <f>IF($A73="","",COUNTIF($D73:$R73,"WARNING"))</f>
        <v>0</v>
      </c>
      <c r="U73" s="165" t="str">
        <f>IF($A73="","",IF($S73&gt;0,"ERROR",IF($T73&gt;0,"WARNING","PASS")))</f>
        <v>PASS</v>
      </c>
    </row>
    <row r="74" spans="1:21" x14ac:dyDescent="0.3">
      <c r="A74">
        <f>IF(AND('Daily Data'!$A74="",'Daily Data'!$B74=""),"",74)</f>
        <v>74</v>
      </c>
      <c r="B74" s="16">
        <f>IF($A74="","",'Daily Data'!$A74)</f>
        <v>46246</v>
      </c>
      <c r="C74" t="str">
        <f>IF($A74="","",'Daily Data'!$B74)</f>
        <v>MUCOBA</v>
      </c>
      <c r="D74" s="165" t="str">
        <f>IF($A74="","",IF(COUNTIFS('Daily Data'!$B$4:$B$503,'Daily Data'!$B74,'Daily Data'!$A$4:$A$503,'Daily Data'!$A74)&gt;1,"ERROR","OK"))</f>
        <v>OK</v>
      </c>
      <c r="E74" s="165" t="str">
        <f>IF($A74="","",IF('Daily Data'!$B74="","ERROR","OK"))</f>
        <v>OK</v>
      </c>
      <c r="F74" s="165" t="str">
        <f>IF($A74="","",IF(NOT(ISNUMBER('Daily Data'!$A74)),"ERROR","OK"))</f>
        <v>OK</v>
      </c>
      <c r="G74" s="165" t="str">
        <f>IF($A74="","",IF(OR(N('Daily Data'!$E74)&lt;=0,N('Daily Data'!$C74)&lt;0,N('Daily Data'!$D74)&lt;0,N('Daily Data'!$F74)&lt;0,N('Daily Data'!$G74)&lt;0),"ERROR","OK"))</f>
        <v>OK</v>
      </c>
      <c r="H74" s="165" t="str">
        <f>IF($A74="","",IF(N('Daily Data'!$K74)&lt;0,"ERROR","OK"))</f>
        <v>OK</v>
      </c>
      <c r="I74" s="165" t="str">
        <f>IF($A74="","",IF(N('Daily Data'!$I74)&lt;0,"ERROR","OK"))</f>
        <v>OK</v>
      </c>
      <c r="J74" s="165" t="str">
        <f>IF($A74="","",IF(N('Daily Data'!$L74)&lt;0,"ERROR","OK"))</f>
        <v>OK</v>
      </c>
      <c r="K74" s="165" t="str">
        <f>IF($A74="","",IF(N('Daily Data'!$M74)&lt;0,"ERROR","OK"))</f>
        <v>OK</v>
      </c>
      <c r="L74" s="165" t="str">
        <f>IF($A74="","",IF(OR(N('Daily Data'!$F74)=0,N('Daily Data'!$G74)=0),"OK",IF(OR(N('Daily Data'!$E74)&gt;N('Daily Data'!$F74),N('Daily Data'!$E74)&lt;N('Daily Data'!$G74)),"ERROR","OK")))</f>
        <v>OK</v>
      </c>
      <c r="M74" s="165" t="str">
        <f>IF($A74="","",IF(N('Daily Data'!$AK74)&lt;=1,"OK",IF(ROUND(N('Daily Data'!$D74),2)=ROUND(SUMIFS('Daily Data'!$E$4:$E$503,'Daily Data'!$B$4:$B$503,'Daily Data'!$B74,'Daily Data'!$AK$4:$AK$503,'Daily Data'!$AK74-1),2),"OK","WARNING")))</f>
        <v>OK</v>
      </c>
      <c r="N74" s="165" t="str">
        <f>IF($A74="","",IF(N('Daily Data'!$N74)&lt;=0,"WARNING","OK"))</f>
        <v>OK</v>
      </c>
      <c r="O74" s="165" t="str">
        <f>IF($A74="","",IF(AND(ISNUMBER('Daily Data'!$H74),ABS(N('Daily Data'!$H74))&gt;Settings!$C$56),"WARNING","OK"))</f>
        <v>OK</v>
      </c>
      <c r="P74" s="165" t="str">
        <f>IF($A74="","",IF(OR(AND(N('Daily Data'!$K74)=0,N('Daily Data'!$I74)&gt;0),AND(N('Daily Data'!$I74)=0,N('Daily Data'!$K74)&gt;0),AND(N('Daily Data'!$L74)=0,N('Daily Data'!$M74)=0)),"WARNING","OK"))</f>
        <v>OK</v>
      </c>
      <c r="Q74" s="165" t="str">
        <f>IF($A74="","",IF(COUNTIFS('Daily Data'!$B$4:$B$503,'Daily Data'!$B74,'Daily Data'!$A$4:$A$503,'Daily Data'!$A74,'Daily Data'!$Q$4:$Q$503,'Daily Data'!$Q74)&gt;1,"WARNING","OK"))</f>
        <v>OK</v>
      </c>
      <c r="R74" s="165" t="str">
        <f>IF($A74="","",IF(AND(N('Daily Data'!$K74)&gt;0,N('Daily Data'!$J74)&lt;=0),"WARNING","OK"))</f>
        <v>OK</v>
      </c>
      <c r="S74" s="165">
        <f>IF($A74="","",COUNTIF($D74:$R74,"ERROR"))</f>
        <v>0</v>
      </c>
      <c r="T74" s="165">
        <f>IF($A74="","",COUNTIF($D74:$R74,"WARNING"))</f>
        <v>0</v>
      </c>
      <c r="U74" s="165" t="str">
        <f>IF($A74="","",IF($S74&gt;0,"ERROR",IF($T74&gt;0,"WARNING","PASS")))</f>
        <v>PASS</v>
      </c>
    </row>
    <row r="75" spans="1:21" x14ac:dyDescent="0.3">
      <c r="A75">
        <f>IF(AND('Daily Data'!$A75="",'Daily Data'!$B75=""),"",75)</f>
        <v>75</v>
      </c>
      <c r="B75" s="16">
        <f>IF($A75="","",'Daily Data'!$A75)</f>
        <v>46246</v>
      </c>
      <c r="C75" t="str">
        <f>IF($A75="","",'Daily Data'!$B75)</f>
        <v>NICO</v>
      </c>
      <c r="D75" s="165" t="str">
        <f>IF($A75="","",IF(COUNTIFS('Daily Data'!$B$4:$B$503,'Daily Data'!$B75,'Daily Data'!$A$4:$A$503,'Daily Data'!$A75)&gt;1,"ERROR","OK"))</f>
        <v>OK</v>
      </c>
      <c r="E75" s="165" t="str">
        <f>IF($A75="","",IF('Daily Data'!$B75="","ERROR","OK"))</f>
        <v>OK</v>
      </c>
      <c r="F75" s="165" t="str">
        <f>IF($A75="","",IF(NOT(ISNUMBER('Daily Data'!$A75)),"ERROR","OK"))</f>
        <v>OK</v>
      </c>
      <c r="G75" s="165" t="str">
        <f>IF($A75="","",IF(OR(N('Daily Data'!$E75)&lt;=0,N('Daily Data'!$C75)&lt;0,N('Daily Data'!$D75)&lt;0,N('Daily Data'!$F75)&lt;0,N('Daily Data'!$G75)&lt;0),"ERROR","OK"))</f>
        <v>OK</v>
      </c>
      <c r="H75" s="165" t="str">
        <f>IF($A75="","",IF(N('Daily Data'!$K75)&lt;0,"ERROR","OK"))</f>
        <v>OK</v>
      </c>
      <c r="I75" s="165" t="str">
        <f>IF($A75="","",IF(N('Daily Data'!$I75)&lt;0,"ERROR","OK"))</f>
        <v>OK</v>
      </c>
      <c r="J75" s="165" t="str">
        <f>IF($A75="","",IF(N('Daily Data'!$L75)&lt;0,"ERROR","OK"))</f>
        <v>OK</v>
      </c>
      <c r="K75" s="165" t="str">
        <f>IF($A75="","",IF(N('Daily Data'!$M75)&lt;0,"ERROR","OK"))</f>
        <v>OK</v>
      </c>
      <c r="L75" s="165" t="str">
        <f>IF($A75="","",IF(OR(N('Daily Data'!$F75)=0,N('Daily Data'!$G75)=0),"OK",IF(OR(N('Daily Data'!$E75)&gt;N('Daily Data'!$F75),N('Daily Data'!$E75)&lt;N('Daily Data'!$G75)),"ERROR","OK")))</f>
        <v>OK</v>
      </c>
      <c r="M75" s="165" t="str">
        <f>IF($A75="","",IF(N('Daily Data'!$AK75)&lt;=1,"OK",IF(ROUND(N('Daily Data'!$D75),2)=ROUND(SUMIFS('Daily Data'!$E$4:$E$503,'Daily Data'!$B$4:$B$503,'Daily Data'!$B75,'Daily Data'!$AK$4:$AK$503,'Daily Data'!$AK75-1),2),"OK","WARNING")))</f>
        <v>OK</v>
      </c>
      <c r="N75" s="165" t="str">
        <f>IF($A75="","",IF(N('Daily Data'!$N75)&lt;=0,"WARNING","OK"))</f>
        <v>OK</v>
      </c>
      <c r="O75" s="165" t="str">
        <f>IF($A75="","",IF(AND(ISNUMBER('Daily Data'!$H75),ABS(N('Daily Data'!$H75))&gt;Settings!$C$56),"WARNING","OK"))</f>
        <v>OK</v>
      </c>
      <c r="P75" s="165" t="str">
        <f>IF($A75="","",IF(OR(AND(N('Daily Data'!$K75)=0,N('Daily Data'!$I75)&gt;0),AND(N('Daily Data'!$I75)=0,N('Daily Data'!$K75)&gt;0),AND(N('Daily Data'!$L75)=0,N('Daily Data'!$M75)=0)),"WARNING","OK"))</f>
        <v>OK</v>
      </c>
      <c r="Q75" s="165" t="str">
        <f>IF($A75="","",IF(COUNTIFS('Daily Data'!$B$4:$B$503,'Daily Data'!$B75,'Daily Data'!$A$4:$A$503,'Daily Data'!$A75,'Daily Data'!$Q$4:$Q$503,'Daily Data'!$Q75)&gt;1,"WARNING","OK"))</f>
        <v>OK</v>
      </c>
      <c r="R75" s="165" t="str">
        <f>IF($A75="","",IF(AND(N('Daily Data'!$K75)&gt;0,N('Daily Data'!$J75)&lt;=0),"WARNING","OK"))</f>
        <v>OK</v>
      </c>
      <c r="S75" s="165">
        <f>IF($A75="","",COUNTIF($D75:$R75,"ERROR"))</f>
        <v>0</v>
      </c>
      <c r="T75" s="165">
        <f>IF($A75="","",COUNTIF($D75:$R75,"WARNING"))</f>
        <v>0</v>
      </c>
      <c r="U75" s="165" t="str">
        <f>IF($A75="","",IF($S75&gt;0,"ERROR",IF($T75&gt;0,"WARNING","PASS")))</f>
        <v>PASS</v>
      </c>
    </row>
    <row r="76" spans="1:21" x14ac:dyDescent="0.3">
      <c r="A76">
        <f>IF(AND('Daily Data'!$A76="",'Daily Data'!$B76=""),"",76)</f>
        <v>76</v>
      </c>
      <c r="B76" s="16">
        <f>IF($A76="","",'Daily Data'!$A76)</f>
        <v>46246</v>
      </c>
      <c r="C76" t="str">
        <f>IF($A76="","",'Daily Data'!$B76)</f>
        <v>NMB</v>
      </c>
      <c r="D76" s="165" t="str">
        <f>IF($A76="","",IF(COUNTIFS('Daily Data'!$B$4:$B$503,'Daily Data'!$B76,'Daily Data'!$A$4:$A$503,'Daily Data'!$A76)&gt;1,"ERROR","OK"))</f>
        <v>OK</v>
      </c>
      <c r="E76" s="165" t="str">
        <f>IF($A76="","",IF('Daily Data'!$B76="","ERROR","OK"))</f>
        <v>OK</v>
      </c>
      <c r="F76" s="165" t="str">
        <f>IF($A76="","",IF(NOT(ISNUMBER('Daily Data'!$A76)),"ERROR","OK"))</f>
        <v>OK</v>
      </c>
      <c r="G76" s="165" t="str">
        <f>IF($A76="","",IF(OR(N('Daily Data'!$E76)&lt;=0,N('Daily Data'!$C76)&lt;0,N('Daily Data'!$D76)&lt;0,N('Daily Data'!$F76)&lt;0,N('Daily Data'!$G76)&lt;0),"ERROR","OK"))</f>
        <v>OK</v>
      </c>
      <c r="H76" s="165" t="str">
        <f>IF($A76="","",IF(N('Daily Data'!$K76)&lt;0,"ERROR","OK"))</f>
        <v>OK</v>
      </c>
      <c r="I76" s="165" t="str">
        <f>IF($A76="","",IF(N('Daily Data'!$I76)&lt;0,"ERROR","OK"))</f>
        <v>OK</v>
      </c>
      <c r="J76" s="165" t="str">
        <f>IF($A76="","",IF(N('Daily Data'!$L76)&lt;0,"ERROR","OK"))</f>
        <v>OK</v>
      </c>
      <c r="K76" s="165" t="str">
        <f>IF($A76="","",IF(N('Daily Data'!$M76)&lt;0,"ERROR","OK"))</f>
        <v>OK</v>
      </c>
      <c r="L76" s="165" t="str">
        <f>IF($A76="","",IF(OR(N('Daily Data'!$F76)=0,N('Daily Data'!$G76)=0),"OK",IF(OR(N('Daily Data'!$E76)&gt;N('Daily Data'!$F76),N('Daily Data'!$E76)&lt;N('Daily Data'!$G76)),"ERROR","OK")))</f>
        <v>OK</v>
      </c>
      <c r="M76" s="165" t="str">
        <f>IF($A76="","",IF(N('Daily Data'!$AK76)&lt;=1,"OK",IF(ROUND(N('Daily Data'!$D76),2)=ROUND(SUMIFS('Daily Data'!$E$4:$E$503,'Daily Data'!$B$4:$B$503,'Daily Data'!$B76,'Daily Data'!$AK$4:$AK$503,'Daily Data'!$AK76-1),2),"OK","WARNING")))</f>
        <v>OK</v>
      </c>
      <c r="N76" s="165" t="str">
        <f>IF($A76="","",IF(N('Daily Data'!$N76)&lt;=0,"WARNING","OK"))</f>
        <v>OK</v>
      </c>
      <c r="O76" s="165" t="str">
        <f>IF($A76="","",IF(AND(ISNUMBER('Daily Data'!$H76),ABS(N('Daily Data'!$H76))&gt;Settings!$C$56),"WARNING","OK"))</f>
        <v>OK</v>
      </c>
      <c r="P76" s="165" t="str">
        <f>IF($A76="","",IF(OR(AND(N('Daily Data'!$K76)=0,N('Daily Data'!$I76)&gt;0),AND(N('Daily Data'!$I76)=0,N('Daily Data'!$K76)&gt;0),AND(N('Daily Data'!$L76)=0,N('Daily Data'!$M76)=0)),"WARNING","OK"))</f>
        <v>OK</v>
      </c>
      <c r="Q76" s="165" t="str">
        <f>IF($A76="","",IF(COUNTIFS('Daily Data'!$B$4:$B$503,'Daily Data'!$B76,'Daily Data'!$A$4:$A$503,'Daily Data'!$A76,'Daily Data'!$Q$4:$Q$503,'Daily Data'!$Q76)&gt;1,"WARNING","OK"))</f>
        <v>OK</v>
      </c>
      <c r="R76" s="165" t="str">
        <f>IF($A76="","",IF(AND(N('Daily Data'!$K76)&gt;0,N('Daily Data'!$J76)&lt;=0),"WARNING","OK"))</f>
        <v>OK</v>
      </c>
      <c r="S76" s="165">
        <f>IF($A76="","",COUNTIF($D76:$R76,"ERROR"))</f>
        <v>0</v>
      </c>
      <c r="T76" s="165">
        <f>IF($A76="","",COUNTIF($D76:$R76,"WARNING"))</f>
        <v>0</v>
      </c>
      <c r="U76" s="165" t="str">
        <f>IF($A76="","",IF($S76&gt;0,"ERROR",IF($T76&gt;0,"WARNING","PASS")))</f>
        <v>PASS</v>
      </c>
    </row>
    <row r="77" spans="1:21" x14ac:dyDescent="0.3">
      <c r="A77">
        <f>IF(AND('Daily Data'!$A77="",'Daily Data'!$B77=""),"",77)</f>
        <v>77</v>
      </c>
      <c r="B77" s="16">
        <f>IF($A77="","",'Daily Data'!$A77)</f>
        <v>46246</v>
      </c>
      <c r="C77" t="str">
        <f>IF($A77="","",'Daily Data'!$B77)</f>
        <v>NMG</v>
      </c>
      <c r="D77" s="165" t="str">
        <f>IF($A77="","",IF(COUNTIFS('Daily Data'!$B$4:$B$503,'Daily Data'!$B77,'Daily Data'!$A$4:$A$503,'Daily Data'!$A77)&gt;1,"ERROR","OK"))</f>
        <v>OK</v>
      </c>
      <c r="E77" s="165" t="str">
        <f>IF($A77="","",IF('Daily Data'!$B77="","ERROR","OK"))</f>
        <v>OK</v>
      </c>
      <c r="F77" s="165" t="str">
        <f>IF($A77="","",IF(NOT(ISNUMBER('Daily Data'!$A77)),"ERROR","OK"))</f>
        <v>OK</v>
      </c>
      <c r="G77" s="165" t="str">
        <f>IF($A77="","",IF(OR(N('Daily Data'!$E77)&lt;=0,N('Daily Data'!$C77)&lt;0,N('Daily Data'!$D77)&lt;0,N('Daily Data'!$F77)&lt;0,N('Daily Data'!$G77)&lt;0),"ERROR","OK"))</f>
        <v>OK</v>
      </c>
      <c r="H77" s="165" t="str">
        <f>IF($A77="","",IF(N('Daily Data'!$K77)&lt;0,"ERROR","OK"))</f>
        <v>OK</v>
      </c>
      <c r="I77" s="165" t="str">
        <f>IF($A77="","",IF(N('Daily Data'!$I77)&lt;0,"ERROR","OK"))</f>
        <v>OK</v>
      </c>
      <c r="J77" s="165" t="str">
        <f>IF($A77="","",IF(N('Daily Data'!$L77)&lt;0,"ERROR","OK"))</f>
        <v>OK</v>
      </c>
      <c r="K77" s="165" t="str">
        <f>IF($A77="","",IF(N('Daily Data'!$M77)&lt;0,"ERROR","OK"))</f>
        <v>OK</v>
      </c>
      <c r="L77" s="165" t="str">
        <f>IF($A77="","",IF(OR(N('Daily Data'!$F77)=0,N('Daily Data'!$G77)=0),"OK",IF(OR(N('Daily Data'!$E77)&gt;N('Daily Data'!$F77),N('Daily Data'!$E77)&lt;N('Daily Data'!$G77)),"ERROR","OK")))</f>
        <v>OK</v>
      </c>
      <c r="M77" s="165" t="str">
        <f>IF($A77="","",IF(N('Daily Data'!$AK77)&lt;=1,"OK",IF(ROUND(N('Daily Data'!$D77),2)=ROUND(SUMIFS('Daily Data'!$E$4:$E$503,'Daily Data'!$B$4:$B$503,'Daily Data'!$B77,'Daily Data'!$AK$4:$AK$503,'Daily Data'!$AK77-1),2),"OK","WARNING")))</f>
        <v>OK</v>
      </c>
      <c r="N77" s="165" t="str">
        <f>IF($A77="","",IF(N('Daily Data'!$N77)&lt;=0,"WARNING","OK"))</f>
        <v>OK</v>
      </c>
      <c r="O77" s="165" t="str">
        <f>IF($A77="","",IF(AND(ISNUMBER('Daily Data'!$H77),ABS(N('Daily Data'!$H77))&gt;Settings!$C$56),"WARNING","OK"))</f>
        <v>OK</v>
      </c>
      <c r="P77" s="165" t="str">
        <f>IF($A77="","",IF(OR(AND(N('Daily Data'!$K77)=0,N('Daily Data'!$I77)&gt;0),AND(N('Daily Data'!$I77)=0,N('Daily Data'!$K77)&gt;0),AND(N('Daily Data'!$L77)=0,N('Daily Data'!$M77)=0)),"WARNING","OK"))</f>
        <v>OK</v>
      </c>
      <c r="Q77" s="165" t="str">
        <f>IF($A77="","",IF(COUNTIFS('Daily Data'!$B$4:$B$503,'Daily Data'!$B77,'Daily Data'!$A$4:$A$503,'Daily Data'!$A77,'Daily Data'!$Q$4:$Q$503,'Daily Data'!$Q77)&gt;1,"WARNING","OK"))</f>
        <v>OK</v>
      </c>
      <c r="R77" s="165" t="str">
        <f>IF($A77="","",IF(AND(N('Daily Data'!$K77)&gt;0,N('Daily Data'!$J77)&lt;=0),"WARNING","OK"))</f>
        <v>OK</v>
      </c>
      <c r="S77" s="165">
        <f>IF($A77="","",COUNTIF($D77:$R77,"ERROR"))</f>
        <v>0</v>
      </c>
      <c r="T77" s="165">
        <f>IF($A77="","",COUNTIF($D77:$R77,"WARNING"))</f>
        <v>0</v>
      </c>
      <c r="U77" s="165" t="str">
        <f>IF($A77="","",IF($S77&gt;0,"ERROR",IF($T77&gt;0,"WARNING","PASS")))</f>
        <v>PASS</v>
      </c>
    </row>
    <row r="78" spans="1:21" x14ac:dyDescent="0.3">
      <c r="A78">
        <f>IF(AND('Daily Data'!$A78="",'Daily Data'!$B78=""),"",78)</f>
        <v>78</v>
      </c>
      <c r="B78" s="16">
        <f>IF($A78="","",'Daily Data'!$A78)</f>
        <v>46246</v>
      </c>
      <c r="C78" t="str">
        <f>IF($A78="","",'Daily Data'!$B78)</f>
        <v>PAL</v>
      </c>
      <c r="D78" s="165" t="str">
        <f>IF($A78="","",IF(COUNTIFS('Daily Data'!$B$4:$B$503,'Daily Data'!$B78,'Daily Data'!$A$4:$A$503,'Daily Data'!$A78)&gt;1,"ERROR","OK"))</f>
        <v>OK</v>
      </c>
      <c r="E78" s="165" t="str">
        <f>IF($A78="","",IF('Daily Data'!$B78="","ERROR","OK"))</f>
        <v>OK</v>
      </c>
      <c r="F78" s="165" t="str">
        <f>IF($A78="","",IF(NOT(ISNUMBER('Daily Data'!$A78)),"ERROR","OK"))</f>
        <v>OK</v>
      </c>
      <c r="G78" s="165" t="str">
        <f>IF($A78="","",IF(OR(N('Daily Data'!$E78)&lt;=0,N('Daily Data'!$C78)&lt;0,N('Daily Data'!$D78)&lt;0,N('Daily Data'!$F78)&lt;0,N('Daily Data'!$G78)&lt;0),"ERROR","OK"))</f>
        <v>OK</v>
      </c>
      <c r="H78" s="165" t="str">
        <f>IF($A78="","",IF(N('Daily Data'!$K78)&lt;0,"ERROR","OK"))</f>
        <v>OK</v>
      </c>
      <c r="I78" s="165" t="str">
        <f>IF($A78="","",IF(N('Daily Data'!$I78)&lt;0,"ERROR","OK"))</f>
        <v>OK</v>
      </c>
      <c r="J78" s="165" t="str">
        <f>IF($A78="","",IF(N('Daily Data'!$L78)&lt;0,"ERROR","OK"))</f>
        <v>OK</v>
      </c>
      <c r="K78" s="165" t="str">
        <f>IF($A78="","",IF(N('Daily Data'!$M78)&lt;0,"ERROR","OK"))</f>
        <v>OK</v>
      </c>
      <c r="L78" s="165" t="str">
        <f>IF($A78="","",IF(OR(N('Daily Data'!$F78)=0,N('Daily Data'!$G78)=0),"OK",IF(OR(N('Daily Data'!$E78)&gt;N('Daily Data'!$F78),N('Daily Data'!$E78)&lt;N('Daily Data'!$G78)),"ERROR","OK")))</f>
        <v>OK</v>
      </c>
      <c r="M78" s="165" t="str">
        <f>IF($A78="","",IF(N('Daily Data'!$AK78)&lt;=1,"OK",IF(ROUND(N('Daily Data'!$D78),2)=ROUND(SUMIFS('Daily Data'!$E$4:$E$503,'Daily Data'!$B$4:$B$503,'Daily Data'!$B78,'Daily Data'!$AK$4:$AK$503,'Daily Data'!$AK78-1),2),"OK","WARNING")))</f>
        <v>OK</v>
      </c>
      <c r="N78" s="165" t="str">
        <f>IF($A78="","",IF(N('Daily Data'!$N78)&lt;=0,"WARNING","OK"))</f>
        <v>OK</v>
      </c>
      <c r="O78" s="165" t="str">
        <f>IF($A78="","",IF(AND(ISNUMBER('Daily Data'!$H78),ABS(N('Daily Data'!$H78))&gt;Settings!$C$56),"WARNING","OK"))</f>
        <v>OK</v>
      </c>
      <c r="P78" s="165" t="str">
        <f>IF($A78="","",IF(OR(AND(N('Daily Data'!$K78)=0,N('Daily Data'!$I78)&gt;0),AND(N('Daily Data'!$I78)=0,N('Daily Data'!$K78)&gt;0),AND(N('Daily Data'!$L78)=0,N('Daily Data'!$M78)=0)),"WARNING","OK"))</f>
        <v>OK</v>
      </c>
      <c r="Q78" s="165" t="str">
        <f>IF($A78="","",IF(COUNTIFS('Daily Data'!$B$4:$B$503,'Daily Data'!$B78,'Daily Data'!$A$4:$A$503,'Daily Data'!$A78,'Daily Data'!$Q$4:$Q$503,'Daily Data'!$Q78)&gt;1,"WARNING","OK"))</f>
        <v>OK</v>
      </c>
      <c r="R78" s="165" t="str">
        <f>IF($A78="","",IF(AND(N('Daily Data'!$K78)&gt;0,N('Daily Data'!$J78)&lt;=0),"WARNING","OK"))</f>
        <v>OK</v>
      </c>
      <c r="S78" s="165">
        <f>IF($A78="","",COUNTIF($D78:$R78,"ERROR"))</f>
        <v>0</v>
      </c>
      <c r="T78" s="165">
        <f>IF($A78="","",COUNTIF($D78:$R78,"WARNING"))</f>
        <v>0</v>
      </c>
      <c r="U78" s="165" t="str">
        <f>IF($A78="","",IF($S78&gt;0,"ERROR",IF($T78&gt;0,"WARNING","PASS")))</f>
        <v>PASS</v>
      </c>
    </row>
    <row r="79" spans="1:21" x14ac:dyDescent="0.3">
      <c r="A79">
        <f>IF(AND('Daily Data'!$A79="",'Daily Data'!$B79=""),"",79)</f>
        <v>79</v>
      </c>
      <c r="B79" s="16">
        <f>IF($A79="","",'Daily Data'!$A79)</f>
        <v>46246</v>
      </c>
      <c r="C79" t="str">
        <f>IF($A79="","",'Daily Data'!$B79)</f>
        <v>SWALA</v>
      </c>
      <c r="D79" s="165" t="str">
        <f>IF($A79="","",IF(COUNTIFS('Daily Data'!$B$4:$B$503,'Daily Data'!$B79,'Daily Data'!$A$4:$A$503,'Daily Data'!$A79)&gt;1,"ERROR","OK"))</f>
        <v>OK</v>
      </c>
      <c r="E79" s="165" t="str">
        <f>IF($A79="","",IF('Daily Data'!$B79="","ERROR","OK"))</f>
        <v>OK</v>
      </c>
      <c r="F79" s="165" t="str">
        <f>IF($A79="","",IF(NOT(ISNUMBER('Daily Data'!$A79)),"ERROR","OK"))</f>
        <v>OK</v>
      </c>
      <c r="G79" s="165" t="str">
        <f>IF($A79="","",IF(OR(N('Daily Data'!$E79)&lt;=0,N('Daily Data'!$C79)&lt;0,N('Daily Data'!$D79)&lt;0,N('Daily Data'!$F79)&lt;0,N('Daily Data'!$G79)&lt;0),"ERROR","OK"))</f>
        <v>OK</v>
      </c>
      <c r="H79" s="165" t="str">
        <f>IF($A79="","",IF(N('Daily Data'!$K79)&lt;0,"ERROR","OK"))</f>
        <v>OK</v>
      </c>
      <c r="I79" s="165" t="str">
        <f>IF($A79="","",IF(N('Daily Data'!$I79)&lt;0,"ERROR","OK"))</f>
        <v>OK</v>
      </c>
      <c r="J79" s="165" t="str">
        <f>IF($A79="","",IF(N('Daily Data'!$L79)&lt;0,"ERROR","OK"))</f>
        <v>OK</v>
      </c>
      <c r="K79" s="165" t="str">
        <f>IF($A79="","",IF(N('Daily Data'!$M79)&lt;0,"ERROR","OK"))</f>
        <v>OK</v>
      </c>
      <c r="L79" s="165" t="str">
        <f>IF($A79="","",IF(OR(N('Daily Data'!$F79)=0,N('Daily Data'!$G79)=0),"OK",IF(OR(N('Daily Data'!$E79)&gt;N('Daily Data'!$F79),N('Daily Data'!$E79)&lt;N('Daily Data'!$G79)),"ERROR","OK")))</f>
        <v>OK</v>
      </c>
      <c r="M79" s="165" t="str">
        <f>IF($A79="","",IF(N('Daily Data'!$AK79)&lt;=1,"OK",IF(ROUND(N('Daily Data'!$D79),2)=ROUND(SUMIFS('Daily Data'!$E$4:$E$503,'Daily Data'!$B$4:$B$503,'Daily Data'!$B79,'Daily Data'!$AK$4:$AK$503,'Daily Data'!$AK79-1),2),"OK","WARNING")))</f>
        <v>OK</v>
      </c>
      <c r="N79" s="165" t="str">
        <f>IF($A79="","",IF(N('Daily Data'!$N79)&lt;=0,"WARNING","OK"))</f>
        <v>OK</v>
      </c>
      <c r="O79" s="165" t="str">
        <f>IF($A79="","",IF(AND(ISNUMBER('Daily Data'!$H79),ABS(N('Daily Data'!$H79))&gt;Settings!$C$56),"WARNING","OK"))</f>
        <v>OK</v>
      </c>
      <c r="P79" s="165" t="str">
        <f>IF($A79="","",IF(OR(AND(N('Daily Data'!$K79)=0,N('Daily Data'!$I79)&gt;0),AND(N('Daily Data'!$I79)=0,N('Daily Data'!$K79)&gt;0),AND(N('Daily Data'!$L79)=0,N('Daily Data'!$M79)=0)),"WARNING","OK"))</f>
        <v>WARNING</v>
      </c>
      <c r="Q79" s="165" t="str">
        <f>IF($A79="","",IF(COUNTIFS('Daily Data'!$B$4:$B$503,'Daily Data'!$B79,'Daily Data'!$A$4:$A$503,'Daily Data'!$A79,'Daily Data'!$Q$4:$Q$503,'Daily Data'!$Q79)&gt;1,"WARNING","OK"))</f>
        <v>OK</v>
      </c>
      <c r="R79" s="165" t="str">
        <f>IF($A79="","",IF(AND(N('Daily Data'!$K79)&gt;0,N('Daily Data'!$J79)&lt;=0),"WARNING","OK"))</f>
        <v>OK</v>
      </c>
      <c r="S79" s="165">
        <f>IF($A79="","",COUNTIF($D79:$R79,"ERROR"))</f>
        <v>0</v>
      </c>
      <c r="T79" s="165">
        <f>IF($A79="","",COUNTIF($D79:$R79,"WARNING"))</f>
        <v>1</v>
      </c>
      <c r="U79" s="165" t="str">
        <f>IF($A79="","",IF($S79&gt;0,"ERROR",IF($T79&gt;0,"WARNING","PASS")))</f>
        <v>WARNING</v>
      </c>
    </row>
    <row r="80" spans="1:21" x14ac:dyDescent="0.3">
      <c r="A80">
        <f>IF(AND('Daily Data'!$A80="",'Daily Data'!$B80=""),"",80)</f>
        <v>80</v>
      </c>
      <c r="B80" s="16">
        <f>IF($A80="","",'Daily Data'!$A80)</f>
        <v>46246</v>
      </c>
      <c r="C80" t="str">
        <f>IF($A80="","",'Daily Data'!$B80)</f>
        <v>SWIS</v>
      </c>
      <c r="D80" s="165" t="str">
        <f>IF($A80="","",IF(COUNTIFS('Daily Data'!$B$4:$B$503,'Daily Data'!$B80,'Daily Data'!$A$4:$A$503,'Daily Data'!$A80)&gt;1,"ERROR","OK"))</f>
        <v>OK</v>
      </c>
      <c r="E80" s="165" t="str">
        <f>IF($A80="","",IF('Daily Data'!$B80="","ERROR","OK"))</f>
        <v>OK</v>
      </c>
      <c r="F80" s="165" t="str">
        <f>IF($A80="","",IF(NOT(ISNUMBER('Daily Data'!$A80)),"ERROR","OK"))</f>
        <v>OK</v>
      </c>
      <c r="G80" s="165" t="str">
        <f>IF($A80="","",IF(OR(N('Daily Data'!$E80)&lt;=0,N('Daily Data'!$C80)&lt;0,N('Daily Data'!$D80)&lt;0,N('Daily Data'!$F80)&lt;0,N('Daily Data'!$G80)&lt;0),"ERROR","OK"))</f>
        <v>OK</v>
      </c>
      <c r="H80" s="165" t="str">
        <f>IF($A80="","",IF(N('Daily Data'!$K80)&lt;0,"ERROR","OK"))</f>
        <v>OK</v>
      </c>
      <c r="I80" s="165" t="str">
        <f>IF($A80="","",IF(N('Daily Data'!$I80)&lt;0,"ERROR","OK"))</f>
        <v>OK</v>
      </c>
      <c r="J80" s="165" t="str">
        <f>IF($A80="","",IF(N('Daily Data'!$L80)&lt;0,"ERROR","OK"))</f>
        <v>OK</v>
      </c>
      <c r="K80" s="165" t="str">
        <f>IF($A80="","",IF(N('Daily Data'!$M80)&lt;0,"ERROR","OK"))</f>
        <v>OK</v>
      </c>
      <c r="L80" s="165" t="str">
        <f>IF($A80="","",IF(OR(N('Daily Data'!$F80)=0,N('Daily Data'!$G80)=0),"OK",IF(OR(N('Daily Data'!$E80)&gt;N('Daily Data'!$F80),N('Daily Data'!$E80)&lt;N('Daily Data'!$G80)),"ERROR","OK")))</f>
        <v>OK</v>
      </c>
      <c r="M80" s="165" t="str">
        <f>IF($A80="","",IF(N('Daily Data'!$AK80)&lt;=1,"OK",IF(ROUND(N('Daily Data'!$D80),2)=ROUND(SUMIFS('Daily Data'!$E$4:$E$503,'Daily Data'!$B$4:$B$503,'Daily Data'!$B80,'Daily Data'!$AK$4:$AK$503,'Daily Data'!$AK80-1),2),"OK","WARNING")))</f>
        <v>OK</v>
      </c>
      <c r="N80" s="165" t="str">
        <f>IF($A80="","",IF(N('Daily Data'!$N80)&lt;=0,"WARNING","OK"))</f>
        <v>OK</v>
      </c>
      <c r="O80" s="165" t="str">
        <f>IF($A80="","",IF(AND(ISNUMBER('Daily Data'!$H80),ABS(N('Daily Data'!$H80))&gt;Settings!$C$56),"WARNING","OK"))</f>
        <v>OK</v>
      </c>
      <c r="P80" s="165" t="str">
        <f>IF($A80="","",IF(OR(AND(N('Daily Data'!$K80)=0,N('Daily Data'!$I80)&gt;0),AND(N('Daily Data'!$I80)=0,N('Daily Data'!$K80)&gt;0),AND(N('Daily Data'!$L80)=0,N('Daily Data'!$M80)=0)),"WARNING","OK"))</f>
        <v>OK</v>
      </c>
      <c r="Q80" s="165" t="str">
        <f>IF($A80="","",IF(COUNTIFS('Daily Data'!$B$4:$B$503,'Daily Data'!$B80,'Daily Data'!$A$4:$A$503,'Daily Data'!$A80,'Daily Data'!$Q$4:$Q$503,'Daily Data'!$Q80)&gt;1,"WARNING","OK"))</f>
        <v>OK</v>
      </c>
      <c r="R80" s="165" t="str">
        <f>IF($A80="","",IF(AND(N('Daily Data'!$K80)&gt;0,N('Daily Data'!$J80)&lt;=0),"WARNING","OK"))</f>
        <v>OK</v>
      </c>
      <c r="S80" s="165">
        <f>IF($A80="","",COUNTIF($D80:$R80,"ERROR"))</f>
        <v>0</v>
      </c>
      <c r="T80" s="165">
        <f>IF($A80="","",COUNTIF($D80:$R80,"WARNING"))</f>
        <v>0</v>
      </c>
      <c r="U80" s="165" t="str">
        <f>IF($A80="","",IF($S80&gt;0,"ERROR",IF($T80&gt;0,"WARNING","PASS")))</f>
        <v>PASS</v>
      </c>
    </row>
    <row r="81" spans="1:21" x14ac:dyDescent="0.3">
      <c r="A81">
        <f>IF(AND('Daily Data'!$A81="",'Daily Data'!$B81=""),"",81)</f>
        <v>81</v>
      </c>
      <c r="B81" s="16">
        <f>IF($A81="","",'Daily Data'!$A81)</f>
        <v>46246</v>
      </c>
      <c r="C81" t="str">
        <f>IF($A81="","",'Daily Data'!$B81)</f>
        <v>TBL</v>
      </c>
      <c r="D81" s="165" t="str">
        <f>IF($A81="","",IF(COUNTIFS('Daily Data'!$B$4:$B$503,'Daily Data'!$B81,'Daily Data'!$A$4:$A$503,'Daily Data'!$A81)&gt;1,"ERROR","OK"))</f>
        <v>OK</v>
      </c>
      <c r="E81" s="165" t="str">
        <f>IF($A81="","",IF('Daily Data'!$B81="","ERROR","OK"))</f>
        <v>OK</v>
      </c>
      <c r="F81" s="165" t="str">
        <f>IF($A81="","",IF(NOT(ISNUMBER('Daily Data'!$A81)),"ERROR","OK"))</f>
        <v>OK</v>
      </c>
      <c r="G81" s="165" t="str">
        <f>IF($A81="","",IF(OR(N('Daily Data'!$E81)&lt;=0,N('Daily Data'!$C81)&lt;0,N('Daily Data'!$D81)&lt;0,N('Daily Data'!$F81)&lt;0,N('Daily Data'!$G81)&lt;0),"ERROR","OK"))</f>
        <v>OK</v>
      </c>
      <c r="H81" s="165" t="str">
        <f>IF($A81="","",IF(N('Daily Data'!$K81)&lt;0,"ERROR","OK"))</f>
        <v>OK</v>
      </c>
      <c r="I81" s="165" t="str">
        <f>IF($A81="","",IF(N('Daily Data'!$I81)&lt;0,"ERROR","OK"))</f>
        <v>OK</v>
      </c>
      <c r="J81" s="165" t="str">
        <f>IF($A81="","",IF(N('Daily Data'!$L81)&lt;0,"ERROR","OK"))</f>
        <v>OK</v>
      </c>
      <c r="K81" s="165" t="str">
        <f>IF($A81="","",IF(N('Daily Data'!$M81)&lt;0,"ERROR","OK"))</f>
        <v>OK</v>
      </c>
      <c r="L81" s="165" t="str">
        <f>IF($A81="","",IF(OR(N('Daily Data'!$F81)=0,N('Daily Data'!$G81)=0),"OK",IF(OR(N('Daily Data'!$E81)&gt;N('Daily Data'!$F81),N('Daily Data'!$E81)&lt;N('Daily Data'!$G81)),"ERROR","OK")))</f>
        <v>OK</v>
      </c>
      <c r="M81" s="165" t="str">
        <f>IF($A81="","",IF(N('Daily Data'!$AK81)&lt;=1,"OK",IF(ROUND(N('Daily Data'!$D81),2)=ROUND(SUMIFS('Daily Data'!$E$4:$E$503,'Daily Data'!$B$4:$B$503,'Daily Data'!$B81,'Daily Data'!$AK$4:$AK$503,'Daily Data'!$AK81-1),2),"OK","WARNING")))</f>
        <v>OK</v>
      </c>
      <c r="N81" s="165" t="str">
        <f>IF($A81="","",IF(N('Daily Data'!$N81)&lt;=0,"WARNING","OK"))</f>
        <v>OK</v>
      </c>
      <c r="O81" s="165" t="str">
        <f>IF($A81="","",IF(AND(ISNUMBER('Daily Data'!$H81),ABS(N('Daily Data'!$H81))&gt;Settings!$C$56),"WARNING","OK"))</f>
        <v>OK</v>
      </c>
      <c r="P81" s="165" t="str">
        <f>IF($A81="","",IF(OR(AND(N('Daily Data'!$K81)=0,N('Daily Data'!$I81)&gt;0),AND(N('Daily Data'!$I81)=0,N('Daily Data'!$K81)&gt;0),AND(N('Daily Data'!$L81)=0,N('Daily Data'!$M81)=0)),"WARNING","OK"))</f>
        <v>OK</v>
      </c>
      <c r="Q81" s="165" t="str">
        <f>IF($A81="","",IF(COUNTIFS('Daily Data'!$B$4:$B$503,'Daily Data'!$B81,'Daily Data'!$A$4:$A$503,'Daily Data'!$A81,'Daily Data'!$Q$4:$Q$503,'Daily Data'!$Q81)&gt;1,"WARNING","OK"))</f>
        <v>OK</v>
      </c>
      <c r="R81" s="165" t="str">
        <f>IF($A81="","",IF(AND(N('Daily Data'!$K81)&gt;0,N('Daily Data'!$J81)&lt;=0),"WARNING","OK"))</f>
        <v>OK</v>
      </c>
      <c r="S81" s="165">
        <f>IF($A81="","",COUNTIF($D81:$R81,"ERROR"))</f>
        <v>0</v>
      </c>
      <c r="T81" s="165">
        <f>IF($A81="","",COUNTIF($D81:$R81,"WARNING"))</f>
        <v>0</v>
      </c>
      <c r="U81" s="165" t="str">
        <f>IF($A81="","",IF($S81&gt;0,"ERROR",IF($T81&gt;0,"WARNING","PASS")))</f>
        <v>PASS</v>
      </c>
    </row>
    <row r="82" spans="1:21" x14ac:dyDescent="0.3">
      <c r="A82">
        <f>IF(AND('Daily Data'!$A82="",'Daily Data'!$B82=""),"",82)</f>
        <v>82</v>
      </c>
      <c r="B82" s="16">
        <f>IF($A82="","",'Daily Data'!$A82)</f>
        <v>46246</v>
      </c>
      <c r="C82" t="str">
        <f>IF($A82="","",'Daily Data'!$B82)</f>
        <v>TCC</v>
      </c>
      <c r="D82" s="165" t="str">
        <f>IF($A82="","",IF(COUNTIFS('Daily Data'!$B$4:$B$503,'Daily Data'!$B82,'Daily Data'!$A$4:$A$503,'Daily Data'!$A82)&gt;1,"ERROR","OK"))</f>
        <v>OK</v>
      </c>
      <c r="E82" s="165" t="str">
        <f>IF($A82="","",IF('Daily Data'!$B82="","ERROR","OK"))</f>
        <v>OK</v>
      </c>
      <c r="F82" s="165" t="str">
        <f>IF($A82="","",IF(NOT(ISNUMBER('Daily Data'!$A82)),"ERROR","OK"))</f>
        <v>OK</v>
      </c>
      <c r="G82" s="165" t="str">
        <f>IF($A82="","",IF(OR(N('Daily Data'!$E82)&lt;=0,N('Daily Data'!$C82)&lt;0,N('Daily Data'!$D82)&lt;0,N('Daily Data'!$F82)&lt;0,N('Daily Data'!$G82)&lt;0),"ERROR","OK"))</f>
        <v>OK</v>
      </c>
      <c r="H82" s="165" t="str">
        <f>IF($A82="","",IF(N('Daily Data'!$K82)&lt;0,"ERROR","OK"))</f>
        <v>OK</v>
      </c>
      <c r="I82" s="165" t="str">
        <f>IF($A82="","",IF(N('Daily Data'!$I82)&lt;0,"ERROR","OK"))</f>
        <v>OK</v>
      </c>
      <c r="J82" s="165" t="str">
        <f>IF($A82="","",IF(N('Daily Data'!$L82)&lt;0,"ERROR","OK"))</f>
        <v>OK</v>
      </c>
      <c r="K82" s="165" t="str">
        <f>IF($A82="","",IF(N('Daily Data'!$M82)&lt;0,"ERROR","OK"))</f>
        <v>OK</v>
      </c>
      <c r="L82" s="165" t="str">
        <f>IF($A82="","",IF(OR(N('Daily Data'!$F82)=0,N('Daily Data'!$G82)=0),"OK",IF(OR(N('Daily Data'!$E82)&gt;N('Daily Data'!$F82),N('Daily Data'!$E82)&lt;N('Daily Data'!$G82)),"ERROR","OK")))</f>
        <v>OK</v>
      </c>
      <c r="M82" s="165" t="str">
        <f>IF($A82="","",IF(N('Daily Data'!$AK82)&lt;=1,"OK",IF(ROUND(N('Daily Data'!$D82),2)=ROUND(SUMIFS('Daily Data'!$E$4:$E$503,'Daily Data'!$B$4:$B$503,'Daily Data'!$B82,'Daily Data'!$AK$4:$AK$503,'Daily Data'!$AK82-1),2),"OK","WARNING")))</f>
        <v>OK</v>
      </c>
      <c r="N82" s="165" t="str">
        <f>IF($A82="","",IF(N('Daily Data'!$N82)&lt;=0,"WARNING","OK"))</f>
        <v>OK</v>
      </c>
      <c r="O82" s="165" t="str">
        <f>IF($A82="","",IF(AND(ISNUMBER('Daily Data'!$H82),ABS(N('Daily Data'!$H82))&gt;Settings!$C$56),"WARNING","OK"))</f>
        <v>OK</v>
      </c>
      <c r="P82" s="165" t="str">
        <f>IF($A82="","",IF(OR(AND(N('Daily Data'!$K82)=0,N('Daily Data'!$I82)&gt;0),AND(N('Daily Data'!$I82)=0,N('Daily Data'!$K82)&gt;0),AND(N('Daily Data'!$L82)=0,N('Daily Data'!$M82)=0)),"WARNING","OK"))</f>
        <v>OK</v>
      </c>
      <c r="Q82" s="165" t="str">
        <f>IF($A82="","",IF(COUNTIFS('Daily Data'!$B$4:$B$503,'Daily Data'!$B82,'Daily Data'!$A$4:$A$503,'Daily Data'!$A82,'Daily Data'!$Q$4:$Q$503,'Daily Data'!$Q82)&gt;1,"WARNING","OK"))</f>
        <v>OK</v>
      </c>
      <c r="R82" s="165" t="str">
        <f>IF($A82="","",IF(AND(N('Daily Data'!$K82)&gt;0,N('Daily Data'!$J82)&lt;=0),"WARNING","OK"))</f>
        <v>OK</v>
      </c>
      <c r="S82" s="165">
        <f>IF($A82="","",COUNTIF($D82:$R82,"ERROR"))</f>
        <v>0</v>
      </c>
      <c r="T82" s="165">
        <f>IF($A82="","",COUNTIF($D82:$R82,"WARNING"))</f>
        <v>0</v>
      </c>
      <c r="U82" s="165" t="str">
        <f>IF($A82="","",IF($S82&gt;0,"ERROR",IF($T82&gt;0,"WARNING","PASS")))</f>
        <v>PASS</v>
      </c>
    </row>
    <row r="83" spans="1:21" x14ac:dyDescent="0.3">
      <c r="A83">
        <f>IF(AND('Daily Data'!$A83="",'Daily Data'!$B83=""),"",83)</f>
        <v>83</v>
      </c>
      <c r="B83" s="16">
        <f>IF($A83="","",'Daily Data'!$A83)</f>
        <v>46246</v>
      </c>
      <c r="C83" t="str">
        <f>IF($A83="","",'Daily Data'!$B83)</f>
        <v>TCCL</v>
      </c>
      <c r="D83" s="165" t="str">
        <f>IF($A83="","",IF(COUNTIFS('Daily Data'!$B$4:$B$503,'Daily Data'!$B83,'Daily Data'!$A$4:$A$503,'Daily Data'!$A83)&gt;1,"ERROR","OK"))</f>
        <v>OK</v>
      </c>
      <c r="E83" s="165" t="str">
        <f>IF($A83="","",IF('Daily Data'!$B83="","ERROR","OK"))</f>
        <v>OK</v>
      </c>
      <c r="F83" s="165" t="str">
        <f>IF($A83="","",IF(NOT(ISNUMBER('Daily Data'!$A83)),"ERROR","OK"))</f>
        <v>OK</v>
      </c>
      <c r="G83" s="165" t="str">
        <f>IF($A83="","",IF(OR(N('Daily Data'!$E83)&lt;=0,N('Daily Data'!$C83)&lt;0,N('Daily Data'!$D83)&lt;0,N('Daily Data'!$F83)&lt;0,N('Daily Data'!$G83)&lt;0),"ERROR","OK"))</f>
        <v>OK</v>
      </c>
      <c r="H83" s="165" t="str">
        <f>IF($A83="","",IF(N('Daily Data'!$K83)&lt;0,"ERROR","OK"))</f>
        <v>OK</v>
      </c>
      <c r="I83" s="165" t="str">
        <f>IF($A83="","",IF(N('Daily Data'!$I83)&lt;0,"ERROR","OK"))</f>
        <v>OK</v>
      </c>
      <c r="J83" s="165" t="str">
        <f>IF($A83="","",IF(N('Daily Data'!$L83)&lt;0,"ERROR","OK"))</f>
        <v>OK</v>
      </c>
      <c r="K83" s="165" t="str">
        <f>IF($A83="","",IF(N('Daily Data'!$M83)&lt;0,"ERROR","OK"))</f>
        <v>OK</v>
      </c>
      <c r="L83" s="165" t="str">
        <f>IF($A83="","",IF(OR(N('Daily Data'!$F83)=0,N('Daily Data'!$G83)=0),"OK",IF(OR(N('Daily Data'!$E83)&gt;N('Daily Data'!$F83),N('Daily Data'!$E83)&lt;N('Daily Data'!$G83)),"ERROR","OK")))</f>
        <v>OK</v>
      </c>
      <c r="M83" s="165" t="str">
        <f>IF($A83="","",IF(N('Daily Data'!$AK83)&lt;=1,"OK",IF(ROUND(N('Daily Data'!$D83),2)=ROUND(SUMIFS('Daily Data'!$E$4:$E$503,'Daily Data'!$B$4:$B$503,'Daily Data'!$B83,'Daily Data'!$AK$4:$AK$503,'Daily Data'!$AK83-1),2),"OK","WARNING")))</f>
        <v>OK</v>
      </c>
      <c r="N83" s="165" t="str">
        <f>IF($A83="","",IF(N('Daily Data'!$N83)&lt;=0,"WARNING","OK"))</f>
        <v>OK</v>
      </c>
      <c r="O83" s="165" t="str">
        <f>IF($A83="","",IF(AND(ISNUMBER('Daily Data'!$H83),ABS(N('Daily Data'!$H83))&gt;Settings!$C$56),"WARNING","OK"))</f>
        <v>OK</v>
      </c>
      <c r="P83" s="165" t="str">
        <f>IF($A83="","",IF(OR(AND(N('Daily Data'!$K83)=0,N('Daily Data'!$I83)&gt;0),AND(N('Daily Data'!$I83)=0,N('Daily Data'!$K83)&gt;0),AND(N('Daily Data'!$L83)=0,N('Daily Data'!$M83)=0)),"WARNING","OK"))</f>
        <v>OK</v>
      </c>
      <c r="Q83" s="165" t="str">
        <f>IF($A83="","",IF(COUNTIFS('Daily Data'!$B$4:$B$503,'Daily Data'!$B83,'Daily Data'!$A$4:$A$503,'Daily Data'!$A83,'Daily Data'!$Q$4:$Q$503,'Daily Data'!$Q83)&gt;1,"WARNING","OK"))</f>
        <v>OK</v>
      </c>
      <c r="R83" s="165" t="str">
        <f>IF($A83="","",IF(AND(N('Daily Data'!$K83)&gt;0,N('Daily Data'!$J83)&lt;=0),"WARNING","OK"))</f>
        <v>OK</v>
      </c>
      <c r="S83" s="165">
        <f>IF($A83="","",COUNTIF($D83:$R83,"ERROR"))</f>
        <v>0</v>
      </c>
      <c r="T83" s="165">
        <f>IF($A83="","",COUNTIF($D83:$R83,"WARNING"))</f>
        <v>0</v>
      </c>
      <c r="U83" s="165" t="str">
        <f>IF($A83="","",IF($S83&gt;0,"ERROR",IF($T83&gt;0,"WARNING","PASS")))</f>
        <v>PASS</v>
      </c>
    </row>
    <row r="84" spans="1:21" x14ac:dyDescent="0.3">
      <c r="A84">
        <f>IF(AND('Daily Data'!$A84="",'Daily Data'!$B84=""),"",84)</f>
        <v>84</v>
      </c>
      <c r="B84" s="16">
        <f>IF($A84="","",'Daily Data'!$A84)</f>
        <v>46246</v>
      </c>
      <c r="C84" t="str">
        <f>IF($A84="","",'Daily Data'!$B84)</f>
        <v>TOL</v>
      </c>
      <c r="D84" s="165" t="str">
        <f>IF($A84="","",IF(COUNTIFS('Daily Data'!$B$4:$B$503,'Daily Data'!$B84,'Daily Data'!$A$4:$A$503,'Daily Data'!$A84)&gt;1,"ERROR","OK"))</f>
        <v>OK</v>
      </c>
      <c r="E84" s="165" t="str">
        <f>IF($A84="","",IF('Daily Data'!$B84="","ERROR","OK"))</f>
        <v>OK</v>
      </c>
      <c r="F84" s="165" t="str">
        <f>IF($A84="","",IF(NOT(ISNUMBER('Daily Data'!$A84)),"ERROR","OK"))</f>
        <v>OK</v>
      </c>
      <c r="G84" s="165" t="str">
        <f>IF($A84="","",IF(OR(N('Daily Data'!$E84)&lt;=0,N('Daily Data'!$C84)&lt;0,N('Daily Data'!$D84)&lt;0,N('Daily Data'!$F84)&lt;0,N('Daily Data'!$G84)&lt;0),"ERROR","OK"))</f>
        <v>OK</v>
      </c>
      <c r="H84" s="165" t="str">
        <f>IF($A84="","",IF(N('Daily Data'!$K84)&lt;0,"ERROR","OK"))</f>
        <v>OK</v>
      </c>
      <c r="I84" s="165" t="str">
        <f>IF($A84="","",IF(N('Daily Data'!$I84)&lt;0,"ERROR","OK"))</f>
        <v>OK</v>
      </c>
      <c r="J84" s="165" t="str">
        <f>IF($A84="","",IF(N('Daily Data'!$L84)&lt;0,"ERROR","OK"))</f>
        <v>OK</v>
      </c>
      <c r="K84" s="165" t="str">
        <f>IF($A84="","",IF(N('Daily Data'!$M84)&lt;0,"ERROR","OK"))</f>
        <v>OK</v>
      </c>
      <c r="L84" s="165" t="str">
        <f>IF($A84="","",IF(OR(N('Daily Data'!$F84)=0,N('Daily Data'!$G84)=0),"OK",IF(OR(N('Daily Data'!$E84)&gt;N('Daily Data'!$F84),N('Daily Data'!$E84)&lt;N('Daily Data'!$G84)),"ERROR","OK")))</f>
        <v>OK</v>
      </c>
      <c r="M84" s="165" t="str">
        <f>IF($A84="","",IF(N('Daily Data'!$AK84)&lt;=1,"OK",IF(ROUND(N('Daily Data'!$D84),2)=ROUND(SUMIFS('Daily Data'!$E$4:$E$503,'Daily Data'!$B$4:$B$503,'Daily Data'!$B84,'Daily Data'!$AK$4:$AK$503,'Daily Data'!$AK84-1),2),"OK","WARNING")))</f>
        <v>OK</v>
      </c>
      <c r="N84" s="165" t="str">
        <f>IF($A84="","",IF(N('Daily Data'!$N84)&lt;=0,"WARNING","OK"))</f>
        <v>OK</v>
      </c>
      <c r="O84" s="165" t="str">
        <f>IF($A84="","",IF(AND(ISNUMBER('Daily Data'!$H84),ABS(N('Daily Data'!$H84))&gt;Settings!$C$56),"WARNING","OK"))</f>
        <v>OK</v>
      </c>
      <c r="P84" s="165" t="str">
        <f>IF($A84="","",IF(OR(AND(N('Daily Data'!$K84)=0,N('Daily Data'!$I84)&gt;0),AND(N('Daily Data'!$I84)=0,N('Daily Data'!$K84)&gt;0),AND(N('Daily Data'!$L84)=0,N('Daily Data'!$M84)=0)),"WARNING","OK"))</f>
        <v>OK</v>
      </c>
      <c r="Q84" s="165" t="str">
        <f>IF($A84="","",IF(COUNTIFS('Daily Data'!$B$4:$B$503,'Daily Data'!$B84,'Daily Data'!$A$4:$A$503,'Daily Data'!$A84,'Daily Data'!$Q$4:$Q$503,'Daily Data'!$Q84)&gt;1,"WARNING","OK"))</f>
        <v>OK</v>
      </c>
      <c r="R84" s="165" t="str">
        <f>IF($A84="","",IF(AND(N('Daily Data'!$K84)&gt;0,N('Daily Data'!$J84)&lt;=0),"WARNING","OK"))</f>
        <v>OK</v>
      </c>
      <c r="S84" s="165">
        <f>IF($A84="","",COUNTIF($D84:$R84,"ERROR"))</f>
        <v>0</v>
      </c>
      <c r="T84" s="165">
        <f>IF($A84="","",COUNTIF($D84:$R84,"WARNING"))</f>
        <v>0</v>
      </c>
      <c r="U84" s="165" t="str">
        <f>IF($A84="","",IF($S84&gt;0,"ERROR",IF($T84&gt;0,"WARNING","PASS")))</f>
        <v>PASS</v>
      </c>
    </row>
    <row r="85" spans="1:21" x14ac:dyDescent="0.3">
      <c r="A85">
        <f>IF(AND('Daily Data'!$A85="",'Daily Data'!$B85=""),"",85)</f>
        <v>85</v>
      </c>
      <c r="B85" s="16">
        <f>IF($A85="","",'Daily Data'!$A85)</f>
        <v>46246</v>
      </c>
      <c r="C85" t="str">
        <f>IF($A85="","",'Daily Data'!$B85)</f>
        <v>TPCC</v>
      </c>
      <c r="D85" s="165" t="str">
        <f>IF($A85="","",IF(COUNTIFS('Daily Data'!$B$4:$B$503,'Daily Data'!$B85,'Daily Data'!$A$4:$A$503,'Daily Data'!$A85)&gt;1,"ERROR","OK"))</f>
        <v>OK</v>
      </c>
      <c r="E85" s="165" t="str">
        <f>IF($A85="","",IF('Daily Data'!$B85="","ERROR","OK"))</f>
        <v>OK</v>
      </c>
      <c r="F85" s="165" t="str">
        <f>IF($A85="","",IF(NOT(ISNUMBER('Daily Data'!$A85)),"ERROR","OK"))</f>
        <v>OK</v>
      </c>
      <c r="G85" s="165" t="str">
        <f>IF($A85="","",IF(OR(N('Daily Data'!$E85)&lt;=0,N('Daily Data'!$C85)&lt;0,N('Daily Data'!$D85)&lt;0,N('Daily Data'!$F85)&lt;0,N('Daily Data'!$G85)&lt;0),"ERROR","OK"))</f>
        <v>OK</v>
      </c>
      <c r="H85" s="165" t="str">
        <f>IF($A85="","",IF(N('Daily Data'!$K85)&lt;0,"ERROR","OK"))</f>
        <v>OK</v>
      </c>
      <c r="I85" s="165" t="str">
        <f>IF($A85="","",IF(N('Daily Data'!$I85)&lt;0,"ERROR","OK"))</f>
        <v>OK</v>
      </c>
      <c r="J85" s="165" t="str">
        <f>IF($A85="","",IF(N('Daily Data'!$L85)&lt;0,"ERROR","OK"))</f>
        <v>OK</v>
      </c>
      <c r="K85" s="165" t="str">
        <f>IF($A85="","",IF(N('Daily Data'!$M85)&lt;0,"ERROR","OK"))</f>
        <v>OK</v>
      </c>
      <c r="L85" s="165" t="str">
        <f>IF($A85="","",IF(OR(N('Daily Data'!$F85)=0,N('Daily Data'!$G85)=0),"OK",IF(OR(N('Daily Data'!$E85)&gt;N('Daily Data'!$F85),N('Daily Data'!$E85)&lt;N('Daily Data'!$G85)),"ERROR","OK")))</f>
        <v>OK</v>
      </c>
      <c r="M85" s="165" t="str">
        <f>IF($A85="","",IF(N('Daily Data'!$AK85)&lt;=1,"OK",IF(ROUND(N('Daily Data'!$D85),2)=ROUND(SUMIFS('Daily Data'!$E$4:$E$503,'Daily Data'!$B$4:$B$503,'Daily Data'!$B85,'Daily Data'!$AK$4:$AK$503,'Daily Data'!$AK85-1),2),"OK","WARNING")))</f>
        <v>OK</v>
      </c>
      <c r="N85" s="165" t="str">
        <f>IF($A85="","",IF(N('Daily Data'!$N85)&lt;=0,"WARNING","OK"))</f>
        <v>OK</v>
      </c>
      <c r="O85" s="165" t="str">
        <f>IF($A85="","",IF(AND(ISNUMBER('Daily Data'!$H85),ABS(N('Daily Data'!$H85))&gt;Settings!$C$56),"WARNING","OK"))</f>
        <v>OK</v>
      </c>
      <c r="P85" s="165" t="str">
        <f>IF($A85="","",IF(OR(AND(N('Daily Data'!$K85)=0,N('Daily Data'!$I85)&gt;0),AND(N('Daily Data'!$I85)=0,N('Daily Data'!$K85)&gt;0),AND(N('Daily Data'!$L85)=0,N('Daily Data'!$M85)=0)),"WARNING","OK"))</f>
        <v>OK</v>
      </c>
      <c r="Q85" s="165" t="str">
        <f>IF($A85="","",IF(COUNTIFS('Daily Data'!$B$4:$B$503,'Daily Data'!$B85,'Daily Data'!$A$4:$A$503,'Daily Data'!$A85,'Daily Data'!$Q$4:$Q$503,'Daily Data'!$Q85)&gt;1,"WARNING","OK"))</f>
        <v>OK</v>
      </c>
      <c r="R85" s="165" t="str">
        <f>IF($A85="","",IF(AND(N('Daily Data'!$K85)&gt;0,N('Daily Data'!$J85)&lt;=0),"WARNING","OK"))</f>
        <v>OK</v>
      </c>
      <c r="S85" s="165">
        <f>IF($A85="","",COUNTIF($D85:$R85,"ERROR"))</f>
        <v>0</v>
      </c>
      <c r="T85" s="165">
        <f>IF($A85="","",COUNTIF($D85:$R85,"WARNING"))</f>
        <v>0</v>
      </c>
      <c r="U85" s="165" t="str">
        <f>IF($A85="","",IF($S85&gt;0,"ERROR",IF($T85&gt;0,"WARNING","PASS")))</f>
        <v>PASS</v>
      </c>
    </row>
    <row r="86" spans="1:21" x14ac:dyDescent="0.3">
      <c r="A86">
        <f>IF(AND('Daily Data'!$A86="",'Daily Data'!$B86=""),"",86)</f>
        <v>86</v>
      </c>
      <c r="B86" s="16">
        <f>IF($A86="","",'Daily Data'!$A86)</f>
        <v>46246</v>
      </c>
      <c r="C86" t="str">
        <f>IF($A86="","",'Daily Data'!$B86)</f>
        <v>TTP</v>
      </c>
      <c r="D86" s="165" t="str">
        <f>IF($A86="","",IF(COUNTIFS('Daily Data'!$B$4:$B$503,'Daily Data'!$B86,'Daily Data'!$A$4:$A$503,'Daily Data'!$A86)&gt;1,"ERROR","OK"))</f>
        <v>OK</v>
      </c>
      <c r="E86" s="165" t="str">
        <f>IF($A86="","",IF('Daily Data'!$B86="","ERROR","OK"))</f>
        <v>OK</v>
      </c>
      <c r="F86" s="165" t="str">
        <f>IF($A86="","",IF(NOT(ISNUMBER('Daily Data'!$A86)),"ERROR","OK"))</f>
        <v>OK</v>
      </c>
      <c r="G86" s="165" t="str">
        <f>IF($A86="","",IF(OR(N('Daily Data'!$E86)&lt;=0,N('Daily Data'!$C86)&lt;0,N('Daily Data'!$D86)&lt;0,N('Daily Data'!$F86)&lt;0,N('Daily Data'!$G86)&lt;0),"ERROR","OK"))</f>
        <v>OK</v>
      </c>
      <c r="H86" s="165" t="str">
        <f>IF($A86="","",IF(N('Daily Data'!$K86)&lt;0,"ERROR","OK"))</f>
        <v>OK</v>
      </c>
      <c r="I86" s="165" t="str">
        <f>IF($A86="","",IF(N('Daily Data'!$I86)&lt;0,"ERROR","OK"))</f>
        <v>OK</v>
      </c>
      <c r="J86" s="165" t="str">
        <f>IF($A86="","",IF(N('Daily Data'!$L86)&lt;0,"ERROR","OK"))</f>
        <v>OK</v>
      </c>
      <c r="K86" s="165" t="str">
        <f>IF($A86="","",IF(N('Daily Data'!$M86)&lt;0,"ERROR","OK"))</f>
        <v>OK</v>
      </c>
      <c r="L86" s="165" t="str">
        <f>IF($A86="","",IF(OR(N('Daily Data'!$F86)=0,N('Daily Data'!$G86)=0),"OK",IF(OR(N('Daily Data'!$E86)&gt;N('Daily Data'!$F86),N('Daily Data'!$E86)&lt;N('Daily Data'!$G86)),"ERROR","OK")))</f>
        <v>OK</v>
      </c>
      <c r="M86" s="165" t="str">
        <f>IF($A86="","",IF(N('Daily Data'!$AK86)&lt;=1,"OK",IF(ROUND(N('Daily Data'!$D86),2)=ROUND(SUMIFS('Daily Data'!$E$4:$E$503,'Daily Data'!$B$4:$B$503,'Daily Data'!$B86,'Daily Data'!$AK$4:$AK$503,'Daily Data'!$AK86-1),2),"OK","WARNING")))</f>
        <v>OK</v>
      </c>
      <c r="N86" s="165" t="str">
        <f>IF($A86="","",IF(N('Daily Data'!$N86)&lt;=0,"WARNING","OK"))</f>
        <v>OK</v>
      </c>
      <c r="O86" s="165" t="str">
        <f>IF($A86="","",IF(AND(ISNUMBER('Daily Data'!$H86),ABS(N('Daily Data'!$H86))&gt;Settings!$C$56),"WARNING","OK"))</f>
        <v>OK</v>
      </c>
      <c r="P86" s="165" t="str">
        <f>IF($A86="","",IF(OR(AND(N('Daily Data'!$K86)=0,N('Daily Data'!$I86)&gt;0),AND(N('Daily Data'!$I86)=0,N('Daily Data'!$K86)&gt;0),AND(N('Daily Data'!$L86)=0,N('Daily Data'!$M86)=0)),"WARNING","OK"))</f>
        <v>OK</v>
      </c>
      <c r="Q86" s="165" t="str">
        <f>IF($A86="","",IF(COUNTIFS('Daily Data'!$B$4:$B$503,'Daily Data'!$B86,'Daily Data'!$A$4:$A$503,'Daily Data'!$A86,'Daily Data'!$Q$4:$Q$503,'Daily Data'!$Q86)&gt;1,"WARNING","OK"))</f>
        <v>OK</v>
      </c>
      <c r="R86" s="165" t="str">
        <f>IF($A86="","",IF(AND(N('Daily Data'!$K86)&gt;0,N('Daily Data'!$J86)&lt;=0),"WARNING","OK"))</f>
        <v>OK</v>
      </c>
      <c r="S86" s="165">
        <f>IF($A86="","",COUNTIF($D86:$R86,"ERROR"))</f>
        <v>0</v>
      </c>
      <c r="T86" s="165">
        <f>IF($A86="","",COUNTIF($D86:$R86,"WARNING"))</f>
        <v>0</v>
      </c>
      <c r="U86" s="165" t="str">
        <f>IF($A86="","",IF($S86&gt;0,"ERROR",IF($T86&gt;0,"WARNING","PASS")))</f>
        <v>PASS</v>
      </c>
    </row>
    <row r="87" spans="1:21" x14ac:dyDescent="0.3">
      <c r="A87">
        <f>IF(AND('Daily Data'!$A87="",'Daily Data'!$B87=""),"",87)</f>
        <v>87</v>
      </c>
      <c r="B87" s="16">
        <f>IF($A87="","",'Daily Data'!$A87)</f>
        <v>46246</v>
      </c>
      <c r="C87" t="str">
        <f>IF($A87="","",'Daily Data'!$B87)</f>
        <v>USL</v>
      </c>
      <c r="D87" s="165" t="str">
        <f>IF($A87="","",IF(COUNTIFS('Daily Data'!$B$4:$B$503,'Daily Data'!$B87,'Daily Data'!$A$4:$A$503,'Daily Data'!$A87)&gt;1,"ERROR","OK"))</f>
        <v>OK</v>
      </c>
      <c r="E87" s="165" t="str">
        <f>IF($A87="","",IF('Daily Data'!$B87="","ERROR","OK"))</f>
        <v>OK</v>
      </c>
      <c r="F87" s="165" t="str">
        <f>IF($A87="","",IF(NOT(ISNUMBER('Daily Data'!$A87)),"ERROR","OK"))</f>
        <v>OK</v>
      </c>
      <c r="G87" s="165" t="str">
        <f>IF($A87="","",IF(OR(N('Daily Data'!$E87)&lt;=0,N('Daily Data'!$C87)&lt;0,N('Daily Data'!$D87)&lt;0,N('Daily Data'!$F87)&lt;0,N('Daily Data'!$G87)&lt;0),"ERROR","OK"))</f>
        <v>OK</v>
      </c>
      <c r="H87" s="165" t="str">
        <f>IF($A87="","",IF(N('Daily Data'!$K87)&lt;0,"ERROR","OK"))</f>
        <v>OK</v>
      </c>
      <c r="I87" s="165" t="str">
        <f>IF($A87="","",IF(N('Daily Data'!$I87)&lt;0,"ERROR","OK"))</f>
        <v>OK</v>
      </c>
      <c r="J87" s="165" t="str">
        <f>IF($A87="","",IF(N('Daily Data'!$L87)&lt;0,"ERROR","OK"))</f>
        <v>OK</v>
      </c>
      <c r="K87" s="165" t="str">
        <f>IF($A87="","",IF(N('Daily Data'!$M87)&lt;0,"ERROR","OK"))</f>
        <v>OK</v>
      </c>
      <c r="L87" s="165" t="str">
        <f>IF($A87="","",IF(OR(N('Daily Data'!$F87)=0,N('Daily Data'!$G87)=0),"OK",IF(OR(N('Daily Data'!$E87)&gt;N('Daily Data'!$F87),N('Daily Data'!$E87)&lt;N('Daily Data'!$G87)),"ERROR","OK")))</f>
        <v>OK</v>
      </c>
      <c r="M87" s="165" t="str">
        <f>IF($A87="","",IF(N('Daily Data'!$AK87)&lt;=1,"OK",IF(ROUND(N('Daily Data'!$D87),2)=ROUND(SUMIFS('Daily Data'!$E$4:$E$503,'Daily Data'!$B$4:$B$503,'Daily Data'!$B87,'Daily Data'!$AK$4:$AK$503,'Daily Data'!$AK87-1),2),"OK","WARNING")))</f>
        <v>OK</v>
      </c>
      <c r="N87" s="165" t="str">
        <f>IF($A87="","",IF(N('Daily Data'!$N87)&lt;=0,"WARNING","OK"))</f>
        <v>OK</v>
      </c>
      <c r="O87" s="165" t="str">
        <f>IF($A87="","",IF(AND(ISNUMBER('Daily Data'!$H87),ABS(N('Daily Data'!$H87))&gt;Settings!$C$56),"WARNING","OK"))</f>
        <v>OK</v>
      </c>
      <c r="P87" s="165" t="str">
        <f>IF($A87="","",IF(OR(AND(N('Daily Data'!$K87)=0,N('Daily Data'!$I87)&gt;0),AND(N('Daily Data'!$I87)=0,N('Daily Data'!$K87)&gt;0),AND(N('Daily Data'!$L87)=0,N('Daily Data'!$M87)=0)),"WARNING","OK"))</f>
        <v>OK</v>
      </c>
      <c r="Q87" s="165" t="str">
        <f>IF($A87="","",IF(COUNTIFS('Daily Data'!$B$4:$B$503,'Daily Data'!$B87,'Daily Data'!$A$4:$A$503,'Daily Data'!$A87,'Daily Data'!$Q$4:$Q$503,'Daily Data'!$Q87)&gt;1,"WARNING","OK"))</f>
        <v>OK</v>
      </c>
      <c r="R87" s="165" t="str">
        <f>IF($A87="","",IF(AND(N('Daily Data'!$K87)&gt;0,N('Daily Data'!$J87)&lt;=0),"WARNING","OK"))</f>
        <v>OK</v>
      </c>
      <c r="S87" s="165">
        <f>IF($A87="","",COUNTIF($D87:$R87,"ERROR"))</f>
        <v>0</v>
      </c>
      <c r="T87" s="165">
        <f>IF($A87="","",COUNTIF($D87:$R87,"WARNING"))</f>
        <v>0</v>
      </c>
      <c r="U87" s="165" t="str">
        <f>IF($A87="","",IF($S87&gt;0,"ERROR",IF($T87&gt;0,"WARNING","PASS")))</f>
        <v>PASS</v>
      </c>
    </row>
    <row r="88" spans="1:21" x14ac:dyDescent="0.3">
      <c r="A88">
        <f>IF(AND('Daily Data'!$A88="",'Daily Data'!$B88=""),"",88)</f>
        <v>88</v>
      </c>
      <c r="B88" s="16">
        <f>IF($A88="","",'Daily Data'!$A88)</f>
        <v>46246</v>
      </c>
      <c r="C88" t="str">
        <f>IF($A88="","",'Daily Data'!$B88)</f>
        <v>VODA</v>
      </c>
      <c r="D88" s="165" t="str">
        <f>IF($A88="","",IF(COUNTIFS('Daily Data'!$B$4:$B$503,'Daily Data'!$B88,'Daily Data'!$A$4:$A$503,'Daily Data'!$A88)&gt;1,"ERROR","OK"))</f>
        <v>OK</v>
      </c>
      <c r="E88" s="165" t="str">
        <f>IF($A88="","",IF('Daily Data'!$B88="","ERROR","OK"))</f>
        <v>OK</v>
      </c>
      <c r="F88" s="165" t="str">
        <f>IF($A88="","",IF(NOT(ISNUMBER('Daily Data'!$A88)),"ERROR","OK"))</f>
        <v>OK</v>
      </c>
      <c r="G88" s="165" t="str">
        <f>IF($A88="","",IF(OR(N('Daily Data'!$E88)&lt;=0,N('Daily Data'!$C88)&lt;0,N('Daily Data'!$D88)&lt;0,N('Daily Data'!$F88)&lt;0,N('Daily Data'!$G88)&lt;0),"ERROR","OK"))</f>
        <v>OK</v>
      </c>
      <c r="H88" s="165" t="str">
        <f>IF($A88="","",IF(N('Daily Data'!$K88)&lt;0,"ERROR","OK"))</f>
        <v>OK</v>
      </c>
      <c r="I88" s="165" t="str">
        <f>IF($A88="","",IF(N('Daily Data'!$I88)&lt;0,"ERROR","OK"))</f>
        <v>OK</v>
      </c>
      <c r="J88" s="165" t="str">
        <f>IF($A88="","",IF(N('Daily Data'!$L88)&lt;0,"ERROR","OK"))</f>
        <v>OK</v>
      </c>
      <c r="K88" s="165" t="str">
        <f>IF($A88="","",IF(N('Daily Data'!$M88)&lt;0,"ERROR","OK"))</f>
        <v>OK</v>
      </c>
      <c r="L88" s="165" t="str">
        <f>IF($A88="","",IF(OR(N('Daily Data'!$F88)=0,N('Daily Data'!$G88)=0),"OK",IF(OR(N('Daily Data'!$E88)&gt;N('Daily Data'!$F88),N('Daily Data'!$E88)&lt;N('Daily Data'!$G88)),"ERROR","OK")))</f>
        <v>OK</v>
      </c>
      <c r="M88" s="165" t="str">
        <f>IF($A88="","",IF(N('Daily Data'!$AK88)&lt;=1,"OK",IF(ROUND(N('Daily Data'!$D88),2)=ROUND(SUMIFS('Daily Data'!$E$4:$E$503,'Daily Data'!$B$4:$B$503,'Daily Data'!$B88,'Daily Data'!$AK$4:$AK$503,'Daily Data'!$AK88-1),2),"OK","WARNING")))</f>
        <v>OK</v>
      </c>
      <c r="N88" s="165" t="str">
        <f>IF($A88="","",IF(N('Daily Data'!$N88)&lt;=0,"WARNING","OK"))</f>
        <v>OK</v>
      </c>
      <c r="O88" s="165" t="str">
        <f>IF($A88="","",IF(AND(ISNUMBER('Daily Data'!$H88),ABS(N('Daily Data'!$H88))&gt;Settings!$C$56),"WARNING","OK"))</f>
        <v>OK</v>
      </c>
      <c r="P88" s="165" t="str">
        <f>IF($A88="","",IF(OR(AND(N('Daily Data'!$K88)=0,N('Daily Data'!$I88)&gt;0),AND(N('Daily Data'!$I88)=0,N('Daily Data'!$K88)&gt;0),AND(N('Daily Data'!$L88)=0,N('Daily Data'!$M88)=0)),"WARNING","OK"))</f>
        <v>OK</v>
      </c>
      <c r="Q88" s="165" t="str">
        <f>IF($A88="","",IF(COUNTIFS('Daily Data'!$B$4:$B$503,'Daily Data'!$B88,'Daily Data'!$A$4:$A$503,'Daily Data'!$A88,'Daily Data'!$Q$4:$Q$503,'Daily Data'!$Q88)&gt;1,"WARNING","OK"))</f>
        <v>OK</v>
      </c>
      <c r="R88" s="165" t="str">
        <f>IF($A88="","",IF(AND(N('Daily Data'!$K88)&gt;0,N('Daily Data'!$J88)&lt;=0),"WARNING","OK"))</f>
        <v>OK</v>
      </c>
      <c r="S88" s="165">
        <f>IF($A88="","",COUNTIF($D88:$R88,"ERROR"))</f>
        <v>0</v>
      </c>
      <c r="T88" s="165">
        <f>IF($A88="","",COUNTIF($D88:$R88,"WARNING"))</f>
        <v>0</v>
      </c>
      <c r="U88" s="165" t="str">
        <f>IF($A88="","",IF($S88&gt;0,"ERROR",IF($T88&gt;0,"WARNING","PASS")))</f>
        <v>PASS</v>
      </c>
    </row>
    <row r="89" spans="1:21" x14ac:dyDescent="0.3">
      <c r="A89">
        <f>IF(AND('Daily Data'!$A89="",'Daily Data'!$B89=""),"",89)</f>
        <v>89</v>
      </c>
      <c r="B89" s="16">
        <f>IF($A89="","",'Daily Data'!$A89)</f>
        <v>46246</v>
      </c>
      <c r="C89" t="str">
        <f>IF($A89="","",'Daily Data'!$B89)</f>
        <v>YETU</v>
      </c>
      <c r="D89" s="165" t="str">
        <f>IF($A89="","",IF(COUNTIFS('Daily Data'!$B$4:$B$503,'Daily Data'!$B89,'Daily Data'!$A$4:$A$503,'Daily Data'!$A89)&gt;1,"ERROR","OK"))</f>
        <v>OK</v>
      </c>
      <c r="E89" s="165" t="str">
        <f>IF($A89="","",IF('Daily Data'!$B89="","ERROR","OK"))</f>
        <v>OK</v>
      </c>
      <c r="F89" s="165" t="str">
        <f>IF($A89="","",IF(NOT(ISNUMBER('Daily Data'!$A89)),"ERROR","OK"))</f>
        <v>OK</v>
      </c>
      <c r="G89" s="165" t="str">
        <f>IF($A89="","",IF(OR(N('Daily Data'!$E89)&lt;=0,N('Daily Data'!$C89)&lt;0,N('Daily Data'!$D89)&lt;0,N('Daily Data'!$F89)&lt;0,N('Daily Data'!$G89)&lt;0),"ERROR","OK"))</f>
        <v>OK</v>
      </c>
      <c r="H89" s="165" t="str">
        <f>IF($A89="","",IF(N('Daily Data'!$K89)&lt;0,"ERROR","OK"))</f>
        <v>OK</v>
      </c>
      <c r="I89" s="165" t="str">
        <f>IF($A89="","",IF(N('Daily Data'!$I89)&lt;0,"ERROR","OK"))</f>
        <v>OK</v>
      </c>
      <c r="J89" s="165" t="str">
        <f>IF($A89="","",IF(N('Daily Data'!$L89)&lt;0,"ERROR","OK"))</f>
        <v>OK</v>
      </c>
      <c r="K89" s="165" t="str">
        <f>IF($A89="","",IF(N('Daily Data'!$M89)&lt;0,"ERROR","OK"))</f>
        <v>OK</v>
      </c>
      <c r="L89" s="165" t="str">
        <f>IF($A89="","",IF(OR(N('Daily Data'!$F89)=0,N('Daily Data'!$G89)=0),"OK",IF(OR(N('Daily Data'!$E89)&gt;N('Daily Data'!$F89),N('Daily Data'!$E89)&lt;N('Daily Data'!$G89)),"ERROR","OK")))</f>
        <v>OK</v>
      </c>
      <c r="M89" s="165" t="str">
        <f>IF($A89="","",IF(N('Daily Data'!$AK89)&lt;=1,"OK",IF(ROUND(N('Daily Data'!$D89),2)=ROUND(SUMIFS('Daily Data'!$E$4:$E$503,'Daily Data'!$B$4:$B$503,'Daily Data'!$B89,'Daily Data'!$AK$4:$AK$503,'Daily Data'!$AK89-1),2),"OK","WARNING")))</f>
        <v>OK</v>
      </c>
      <c r="N89" s="165" t="str">
        <f>IF($A89="","",IF(N('Daily Data'!$N89)&lt;=0,"WARNING","OK"))</f>
        <v>OK</v>
      </c>
      <c r="O89" s="165" t="str">
        <f>IF($A89="","",IF(AND(ISNUMBER('Daily Data'!$H89),ABS(N('Daily Data'!$H89))&gt;Settings!$C$56),"WARNING","OK"))</f>
        <v>OK</v>
      </c>
      <c r="P89" s="165" t="str">
        <f>IF($A89="","",IF(OR(AND(N('Daily Data'!$K89)=0,N('Daily Data'!$I89)&gt;0),AND(N('Daily Data'!$I89)=0,N('Daily Data'!$K89)&gt;0),AND(N('Daily Data'!$L89)=0,N('Daily Data'!$M89)=0)),"WARNING","OK"))</f>
        <v>WARNING</v>
      </c>
      <c r="Q89" s="165" t="str">
        <f>IF($A89="","",IF(COUNTIFS('Daily Data'!$B$4:$B$503,'Daily Data'!$B89,'Daily Data'!$A$4:$A$503,'Daily Data'!$A89,'Daily Data'!$Q$4:$Q$503,'Daily Data'!$Q89)&gt;1,"WARNING","OK"))</f>
        <v>OK</v>
      </c>
      <c r="R89" s="165" t="str">
        <f>IF($A89="","",IF(AND(N('Daily Data'!$K89)&gt;0,N('Daily Data'!$J89)&lt;=0),"WARNING","OK"))</f>
        <v>OK</v>
      </c>
      <c r="S89" s="165">
        <f>IF($A89="","",COUNTIF($D89:$R89,"ERROR"))</f>
        <v>0</v>
      </c>
      <c r="T89" s="165">
        <f>IF($A89="","",COUNTIF($D89:$R89,"WARNING"))</f>
        <v>1</v>
      </c>
      <c r="U89" s="165" t="str">
        <f>IF($A89="","",IF($S89&gt;0,"ERROR",IF($T89&gt;0,"WARNING","PASS")))</f>
        <v>WARNING</v>
      </c>
    </row>
    <row r="90" spans="1:21" x14ac:dyDescent="0.3">
      <c r="A90">
        <f>IF(AND('Daily Data'!$A90="",'Daily Data'!$B90=""),"",90)</f>
        <v>90</v>
      </c>
      <c r="B90" s="16">
        <f>IF($A90="","",'Daily Data'!$A90)</f>
        <v>46246</v>
      </c>
      <c r="C90" t="str">
        <f>IF($A90="","",'Daily Data'!$B90)</f>
        <v>IEACLC-ETF</v>
      </c>
      <c r="D90" s="165" t="str">
        <f>IF($A90="","",IF(COUNTIFS('Daily Data'!$B$4:$B$503,'Daily Data'!$B90,'Daily Data'!$A$4:$A$503,'Daily Data'!$A90)&gt;1,"ERROR","OK"))</f>
        <v>OK</v>
      </c>
      <c r="E90" s="165" t="str">
        <f>IF($A90="","",IF('Daily Data'!$B90="","ERROR","OK"))</f>
        <v>OK</v>
      </c>
      <c r="F90" s="165" t="str">
        <f>IF($A90="","",IF(NOT(ISNUMBER('Daily Data'!$A90)),"ERROR","OK"))</f>
        <v>OK</v>
      </c>
      <c r="G90" s="165" t="str">
        <f>IF($A90="","",IF(OR(N('Daily Data'!$E90)&lt;=0,N('Daily Data'!$C90)&lt;0,N('Daily Data'!$D90)&lt;0,N('Daily Data'!$F90)&lt;0,N('Daily Data'!$G90)&lt;0),"ERROR","OK"))</f>
        <v>OK</v>
      </c>
      <c r="H90" s="165" t="str">
        <f>IF($A90="","",IF(N('Daily Data'!$K90)&lt;0,"ERROR","OK"))</f>
        <v>OK</v>
      </c>
      <c r="I90" s="165" t="str">
        <f>IF($A90="","",IF(N('Daily Data'!$I90)&lt;0,"ERROR","OK"))</f>
        <v>OK</v>
      </c>
      <c r="J90" s="165" t="str">
        <f>IF($A90="","",IF(N('Daily Data'!$L90)&lt;0,"ERROR","OK"))</f>
        <v>OK</v>
      </c>
      <c r="K90" s="165" t="str">
        <f>IF($A90="","",IF(N('Daily Data'!$M90)&lt;0,"ERROR","OK"))</f>
        <v>OK</v>
      </c>
      <c r="L90" s="165" t="str">
        <f>IF($A90="","",IF(OR(N('Daily Data'!$F90)=0,N('Daily Data'!$G90)=0),"OK",IF(OR(N('Daily Data'!$E90)&gt;N('Daily Data'!$F90),N('Daily Data'!$E90)&lt;N('Daily Data'!$G90)),"ERROR","OK")))</f>
        <v>OK</v>
      </c>
      <c r="M90" s="165" t="str">
        <f>IF($A90="","",IF(N('Daily Data'!$AK90)&lt;=1,"OK",IF(ROUND(N('Daily Data'!$D90),2)=ROUND(SUMIFS('Daily Data'!$E$4:$E$503,'Daily Data'!$B$4:$B$503,'Daily Data'!$B90,'Daily Data'!$AK$4:$AK$503,'Daily Data'!$AK90-1),2),"OK","WARNING")))</f>
        <v>OK</v>
      </c>
      <c r="N90" s="165" t="str">
        <f>IF($A90="","",IF(N('Daily Data'!$N90)&lt;=0,"WARNING","OK"))</f>
        <v>OK</v>
      </c>
      <c r="O90" s="165" t="str">
        <f>IF($A90="","",IF(AND(ISNUMBER('Daily Data'!$H90),ABS(N('Daily Data'!$H90))&gt;Settings!$C$56),"WARNING","OK"))</f>
        <v>OK</v>
      </c>
      <c r="P90" s="165" t="str">
        <f>IF($A90="","",IF(OR(AND(N('Daily Data'!$K90)=0,N('Daily Data'!$I90)&gt;0),AND(N('Daily Data'!$I90)=0,N('Daily Data'!$K90)&gt;0),AND(N('Daily Data'!$L90)=0,N('Daily Data'!$M90)=0)),"WARNING","OK"))</f>
        <v>OK</v>
      </c>
      <c r="Q90" s="165" t="str">
        <f>IF($A90="","",IF(COUNTIFS('Daily Data'!$B$4:$B$503,'Daily Data'!$B90,'Daily Data'!$A$4:$A$503,'Daily Data'!$A90,'Daily Data'!$Q$4:$Q$503,'Daily Data'!$Q90)&gt;1,"WARNING","OK"))</f>
        <v>OK</v>
      </c>
      <c r="R90" s="165" t="str">
        <f>IF($A90="","",IF(AND(N('Daily Data'!$K90)&gt;0,N('Daily Data'!$J90)&lt;=0),"WARNING","OK"))</f>
        <v>OK</v>
      </c>
      <c r="S90" s="165">
        <f>IF($A90="","",COUNTIF($D90:$R90,"ERROR"))</f>
        <v>0</v>
      </c>
      <c r="T90" s="165">
        <f>IF($A90="","",COUNTIF($D90:$R90,"WARNING"))</f>
        <v>0</v>
      </c>
      <c r="U90" s="165" t="str">
        <f>IF($A90="","",IF($S90&gt;0,"ERROR",IF($T90&gt;0,"WARNING","PASS")))</f>
        <v>PASS</v>
      </c>
    </row>
    <row r="91" spans="1:21" x14ac:dyDescent="0.3">
      <c r="A91">
        <f>IF(AND('Daily Data'!$A91="",'Daily Data'!$B91=""),"",91)</f>
        <v>91</v>
      </c>
      <c r="B91" s="16">
        <f>IF($A91="","",'Daily Data'!$A91)</f>
        <v>46246</v>
      </c>
      <c r="C91" t="str">
        <f>IF($A91="","",'Daily Data'!$B91)</f>
        <v>VERTEX-ETF</v>
      </c>
      <c r="D91" s="165" t="str">
        <f>IF($A91="","",IF(COUNTIFS('Daily Data'!$B$4:$B$503,'Daily Data'!$B91,'Daily Data'!$A$4:$A$503,'Daily Data'!$A91)&gt;1,"ERROR","OK"))</f>
        <v>OK</v>
      </c>
      <c r="E91" s="165" t="str">
        <f>IF($A91="","",IF('Daily Data'!$B91="","ERROR","OK"))</f>
        <v>OK</v>
      </c>
      <c r="F91" s="165" t="str">
        <f>IF($A91="","",IF(NOT(ISNUMBER('Daily Data'!$A91)),"ERROR","OK"))</f>
        <v>OK</v>
      </c>
      <c r="G91" s="165" t="str">
        <f>IF($A91="","",IF(OR(N('Daily Data'!$E91)&lt;=0,N('Daily Data'!$C91)&lt;0,N('Daily Data'!$D91)&lt;0,N('Daily Data'!$F91)&lt;0,N('Daily Data'!$G91)&lt;0),"ERROR","OK"))</f>
        <v>OK</v>
      </c>
      <c r="H91" s="165" t="str">
        <f>IF($A91="","",IF(N('Daily Data'!$K91)&lt;0,"ERROR","OK"))</f>
        <v>OK</v>
      </c>
      <c r="I91" s="165" t="str">
        <f>IF($A91="","",IF(N('Daily Data'!$I91)&lt;0,"ERROR","OK"))</f>
        <v>OK</v>
      </c>
      <c r="J91" s="165" t="str">
        <f>IF($A91="","",IF(N('Daily Data'!$L91)&lt;0,"ERROR","OK"))</f>
        <v>OK</v>
      </c>
      <c r="K91" s="165" t="str">
        <f>IF($A91="","",IF(N('Daily Data'!$M91)&lt;0,"ERROR","OK"))</f>
        <v>OK</v>
      </c>
      <c r="L91" s="165" t="str">
        <f>IF($A91="","",IF(OR(N('Daily Data'!$F91)=0,N('Daily Data'!$G91)=0),"OK",IF(OR(N('Daily Data'!$E91)&gt;N('Daily Data'!$F91),N('Daily Data'!$E91)&lt;N('Daily Data'!$G91)),"ERROR","OK")))</f>
        <v>OK</v>
      </c>
      <c r="M91" s="165" t="str">
        <f>IF($A91="","",IF(N('Daily Data'!$AK91)&lt;=1,"OK",IF(ROUND(N('Daily Data'!$D91),2)=ROUND(SUMIFS('Daily Data'!$E$4:$E$503,'Daily Data'!$B$4:$B$503,'Daily Data'!$B91,'Daily Data'!$AK$4:$AK$503,'Daily Data'!$AK91-1),2),"OK","WARNING")))</f>
        <v>OK</v>
      </c>
      <c r="N91" s="165" t="str">
        <f>IF($A91="","",IF(N('Daily Data'!$N91)&lt;=0,"WARNING","OK"))</f>
        <v>OK</v>
      </c>
      <c r="O91" s="165" t="str">
        <f>IF($A91="","",IF(AND(ISNUMBER('Daily Data'!$H91),ABS(N('Daily Data'!$H91))&gt;Settings!$C$56),"WARNING","OK"))</f>
        <v>OK</v>
      </c>
      <c r="P91" s="165" t="str">
        <f>IF($A91="","",IF(OR(AND(N('Daily Data'!$K91)=0,N('Daily Data'!$I91)&gt;0),AND(N('Daily Data'!$I91)=0,N('Daily Data'!$K91)&gt;0),AND(N('Daily Data'!$L91)=0,N('Daily Data'!$M91)=0)),"WARNING","OK"))</f>
        <v>OK</v>
      </c>
      <c r="Q91" s="165" t="str">
        <f>IF($A91="","",IF(COUNTIFS('Daily Data'!$B$4:$B$503,'Daily Data'!$B91,'Daily Data'!$A$4:$A$503,'Daily Data'!$A91,'Daily Data'!$Q$4:$Q$503,'Daily Data'!$Q91)&gt;1,"WARNING","OK"))</f>
        <v>OK</v>
      </c>
      <c r="R91" s="165" t="str">
        <f>IF($A91="","",IF(AND(N('Daily Data'!$K91)&gt;0,N('Daily Data'!$J91)&lt;=0),"WARNING","OK"))</f>
        <v>OK</v>
      </c>
      <c r="S91" s="165">
        <f>IF($A91="","",COUNTIF($D91:$R91,"ERROR"))</f>
        <v>0</v>
      </c>
      <c r="T91" s="165">
        <f>IF($A91="","",COUNTIF($D91:$R91,"WARNING"))</f>
        <v>0</v>
      </c>
      <c r="U91" s="165" t="str">
        <f>IF($A91="","",IF($S91&gt;0,"ERROR",IF($T91&gt;0,"WARNING","PASS")))</f>
        <v>PASS</v>
      </c>
    </row>
    <row r="92" spans="1:21" x14ac:dyDescent="0.3">
      <c r="A92">
        <f>IF(AND('Daily Data'!$A92="",'Daily Data'!$B92=""),"",92)</f>
        <v>92</v>
      </c>
      <c r="B92" s="16">
        <f>IF($A92="","",'Daily Data'!$A92)</f>
        <v>46247</v>
      </c>
      <c r="C92" t="str">
        <f>IF($A92="","",'Daily Data'!$B92)</f>
        <v>AFRIPRISE</v>
      </c>
      <c r="D92" s="165" t="str">
        <f>IF($A92="","",IF(COUNTIFS('Daily Data'!$B$4:$B$503,'Daily Data'!$B92,'Daily Data'!$A$4:$A$503,'Daily Data'!$A92)&gt;1,"ERROR","OK"))</f>
        <v>OK</v>
      </c>
      <c r="E92" s="165" t="str">
        <f>IF($A92="","",IF('Daily Data'!$B92="","ERROR","OK"))</f>
        <v>OK</v>
      </c>
      <c r="F92" s="165" t="str">
        <f>IF($A92="","",IF(NOT(ISNUMBER('Daily Data'!$A92)),"ERROR","OK"))</f>
        <v>OK</v>
      </c>
      <c r="G92" s="165" t="str">
        <f>IF($A92="","",IF(OR(N('Daily Data'!$E92)&lt;=0,N('Daily Data'!$C92)&lt;0,N('Daily Data'!$D92)&lt;0,N('Daily Data'!$F92)&lt;0,N('Daily Data'!$G92)&lt;0),"ERROR","OK"))</f>
        <v>OK</v>
      </c>
      <c r="H92" s="165" t="str">
        <f>IF($A92="","",IF(N('Daily Data'!$K92)&lt;0,"ERROR","OK"))</f>
        <v>OK</v>
      </c>
      <c r="I92" s="165" t="str">
        <f>IF($A92="","",IF(N('Daily Data'!$I92)&lt;0,"ERROR","OK"))</f>
        <v>OK</v>
      </c>
      <c r="J92" s="165" t="str">
        <f>IF($A92="","",IF(N('Daily Data'!$L92)&lt;0,"ERROR","OK"))</f>
        <v>OK</v>
      </c>
      <c r="K92" s="165" t="str">
        <f>IF($A92="","",IF(N('Daily Data'!$M92)&lt;0,"ERROR","OK"))</f>
        <v>OK</v>
      </c>
      <c r="L92" s="165" t="str">
        <f>IF($A92="","",IF(OR(N('Daily Data'!$F92)=0,N('Daily Data'!$G92)=0),"OK",IF(OR(N('Daily Data'!$E92)&gt;N('Daily Data'!$F92),N('Daily Data'!$E92)&lt;N('Daily Data'!$G92)),"ERROR","OK")))</f>
        <v>OK</v>
      </c>
      <c r="M92" s="165" t="str">
        <f>IF($A92="","",IF(N('Daily Data'!$AK92)&lt;=1,"OK",IF(ROUND(N('Daily Data'!$D92),2)=ROUND(SUMIFS('Daily Data'!$E$4:$E$503,'Daily Data'!$B$4:$B$503,'Daily Data'!$B92,'Daily Data'!$AK$4:$AK$503,'Daily Data'!$AK92-1),2),"OK","WARNING")))</f>
        <v>OK</v>
      </c>
      <c r="N92" s="165" t="str">
        <f>IF($A92="","",IF(N('Daily Data'!$N92)&lt;=0,"WARNING","OK"))</f>
        <v>OK</v>
      </c>
      <c r="O92" s="165" t="str">
        <f>IF($A92="","",IF(AND(ISNUMBER('Daily Data'!$H92),ABS(N('Daily Data'!$H92))&gt;Settings!$C$56),"WARNING","OK"))</f>
        <v>OK</v>
      </c>
      <c r="P92" s="165" t="str">
        <f>IF($A92="","",IF(OR(AND(N('Daily Data'!$K92)=0,N('Daily Data'!$I92)&gt;0),AND(N('Daily Data'!$I92)=0,N('Daily Data'!$K92)&gt;0),AND(N('Daily Data'!$L92)=0,N('Daily Data'!$M92)=0)),"WARNING","OK"))</f>
        <v>OK</v>
      </c>
      <c r="Q92" s="165" t="str">
        <f>IF($A92="","",IF(COUNTIFS('Daily Data'!$B$4:$B$503,'Daily Data'!$B92,'Daily Data'!$A$4:$A$503,'Daily Data'!$A92,'Daily Data'!$Q$4:$Q$503,'Daily Data'!$Q92)&gt;1,"WARNING","OK"))</f>
        <v>OK</v>
      </c>
      <c r="R92" s="165" t="str">
        <f>IF($A92="","",IF(AND(N('Daily Data'!$K92)&gt;0,N('Daily Data'!$J92)&lt;=0),"WARNING","OK"))</f>
        <v>OK</v>
      </c>
      <c r="S92" s="165">
        <f>IF($A92="","",COUNTIF($D92:$R92,"ERROR"))</f>
        <v>0</v>
      </c>
      <c r="T92" s="165">
        <f>IF($A92="","",COUNTIF($D92:$R92,"WARNING"))</f>
        <v>0</v>
      </c>
      <c r="U92" s="165" t="str">
        <f>IF($A92="","",IF($S92&gt;0,"ERROR",IF($T92&gt;0,"WARNING","PASS")))</f>
        <v>PASS</v>
      </c>
    </row>
    <row r="93" spans="1:21" x14ac:dyDescent="0.3">
      <c r="A93">
        <f>IF(AND('Daily Data'!$A93="",'Daily Data'!$B93=""),"",93)</f>
        <v>93</v>
      </c>
      <c r="B93" s="16">
        <f>IF($A93="","",'Daily Data'!$A93)</f>
        <v>46247</v>
      </c>
      <c r="C93" t="str">
        <f>IF($A93="","",'Daily Data'!$B93)</f>
        <v>CRDB</v>
      </c>
      <c r="D93" s="165" t="str">
        <f>IF($A93="","",IF(COUNTIFS('Daily Data'!$B$4:$B$503,'Daily Data'!$B93,'Daily Data'!$A$4:$A$503,'Daily Data'!$A93)&gt;1,"ERROR","OK"))</f>
        <v>OK</v>
      </c>
      <c r="E93" s="165" t="str">
        <f>IF($A93="","",IF('Daily Data'!$B93="","ERROR","OK"))</f>
        <v>OK</v>
      </c>
      <c r="F93" s="165" t="str">
        <f>IF($A93="","",IF(NOT(ISNUMBER('Daily Data'!$A93)),"ERROR","OK"))</f>
        <v>OK</v>
      </c>
      <c r="G93" s="165" t="str">
        <f>IF($A93="","",IF(OR(N('Daily Data'!$E93)&lt;=0,N('Daily Data'!$C93)&lt;0,N('Daily Data'!$D93)&lt;0,N('Daily Data'!$F93)&lt;0,N('Daily Data'!$G93)&lt;0),"ERROR","OK"))</f>
        <v>OK</v>
      </c>
      <c r="H93" s="165" t="str">
        <f>IF($A93="","",IF(N('Daily Data'!$K93)&lt;0,"ERROR","OK"))</f>
        <v>OK</v>
      </c>
      <c r="I93" s="165" t="str">
        <f>IF($A93="","",IF(N('Daily Data'!$I93)&lt;0,"ERROR","OK"))</f>
        <v>OK</v>
      </c>
      <c r="J93" s="165" t="str">
        <f>IF($A93="","",IF(N('Daily Data'!$L93)&lt;0,"ERROR","OK"))</f>
        <v>OK</v>
      </c>
      <c r="K93" s="165" t="str">
        <f>IF($A93="","",IF(N('Daily Data'!$M93)&lt;0,"ERROR","OK"))</f>
        <v>OK</v>
      </c>
      <c r="L93" s="165" t="str">
        <f>IF($A93="","",IF(OR(N('Daily Data'!$F93)=0,N('Daily Data'!$G93)=0),"OK",IF(OR(N('Daily Data'!$E93)&gt;N('Daily Data'!$F93),N('Daily Data'!$E93)&lt;N('Daily Data'!$G93)),"ERROR","OK")))</f>
        <v>OK</v>
      </c>
      <c r="M93" s="165" t="str">
        <f>IF($A93="","",IF(N('Daily Data'!$AK93)&lt;=1,"OK",IF(ROUND(N('Daily Data'!$D93),2)=ROUND(SUMIFS('Daily Data'!$E$4:$E$503,'Daily Data'!$B$4:$B$503,'Daily Data'!$B93,'Daily Data'!$AK$4:$AK$503,'Daily Data'!$AK93-1),2),"OK","WARNING")))</f>
        <v>OK</v>
      </c>
      <c r="N93" s="165" t="str">
        <f>IF($A93="","",IF(N('Daily Data'!$N93)&lt;=0,"WARNING","OK"))</f>
        <v>OK</v>
      </c>
      <c r="O93" s="165" t="str">
        <f>IF($A93="","",IF(AND(ISNUMBER('Daily Data'!$H93),ABS(N('Daily Data'!$H93))&gt;Settings!$C$56),"WARNING","OK"))</f>
        <v>OK</v>
      </c>
      <c r="P93" s="165" t="str">
        <f>IF($A93="","",IF(OR(AND(N('Daily Data'!$K93)=0,N('Daily Data'!$I93)&gt;0),AND(N('Daily Data'!$I93)=0,N('Daily Data'!$K93)&gt;0),AND(N('Daily Data'!$L93)=0,N('Daily Data'!$M93)=0)),"WARNING","OK"))</f>
        <v>OK</v>
      </c>
      <c r="Q93" s="165" t="str">
        <f>IF($A93="","",IF(COUNTIFS('Daily Data'!$B$4:$B$503,'Daily Data'!$B93,'Daily Data'!$A$4:$A$503,'Daily Data'!$A93,'Daily Data'!$Q$4:$Q$503,'Daily Data'!$Q93)&gt;1,"WARNING","OK"))</f>
        <v>OK</v>
      </c>
      <c r="R93" s="165" t="str">
        <f>IF($A93="","",IF(AND(N('Daily Data'!$K93)&gt;0,N('Daily Data'!$J93)&lt;=0),"WARNING","OK"))</f>
        <v>OK</v>
      </c>
      <c r="S93" s="165">
        <f>IF($A93="","",COUNTIF($D93:$R93,"ERROR"))</f>
        <v>0</v>
      </c>
      <c r="T93" s="165">
        <f>IF($A93="","",COUNTIF($D93:$R93,"WARNING"))</f>
        <v>0</v>
      </c>
      <c r="U93" s="165" t="str">
        <f>IF($A93="","",IF($S93&gt;0,"ERROR",IF($T93&gt;0,"WARNING","PASS")))</f>
        <v>PASS</v>
      </c>
    </row>
    <row r="94" spans="1:21" x14ac:dyDescent="0.3">
      <c r="A94">
        <f>IF(AND('Daily Data'!$A94="",'Daily Data'!$B94=""),"",94)</f>
        <v>94</v>
      </c>
      <c r="B94" s="16">
        <f>IF($A94="","",'Daily Data'!$A94)</f>
        <v>46247</v>
      </c>
      <c r="C94" t="str">
        <f>IF($A94="","",'Daily Data'!$B94)</f>
        <v>DCB</v>
      </c>
      <c r="D94" s="165" t="str">
        <f>IF($A94="","",IF(COUNTIFS('Daily Data'!$B$4:$B$503,'Daily Data'!$B94,'Daily Data'!$A$4:$A$503,'Daily Data'!$A94)&gt;1,"ERROR","OK"))</f>
        <v>OK</v>
      </c>
      <c r="E94" s="165" t="str">
        <f>IF($A94="","",IF('Daily Data'!$B94="","ERROR","OK"))</f>
        <v>OK</v>
      </c>
      <c r="F94" s="165" t="str">
        <f>IF($A94="","",IF(NOT(ISNUMBER('Daily Data'!$A94)),"ERROR","OK"))</f>
        <v>OK</v>
      </c>
      <c r="G94" s="165" t="str">
        <f>IF($A94="","",IF(OR(N('Daily Data'!$E94)&lt;=0,N('Daily Data'!$C94)&lt;0,N('Daily Data'!$D94)&lt;0,N('Daily Data'!$F94)&lt;0,N('Daily Data'!$G94)&lt;0),"ERROR","OK"))</f>
        <v>OK</v>
      </c>
      <c r="H94" s="165" t="str">
        <f>IF($A94="","",IF(N('Daily Data'!$K94)&lt;0,"ERROR","OK"))</f>
        <v>OK</v>
      </c>
      <c r="I94" s="165" t="str">
        <f>IF($A94="","",IF(N('Daily Data'!$I94)&lt;0,"ERROR","OK"))</f>
        <v>OK</v>
      </c>
      <c r="J94" s="165" t="str">
        <f>IF($A94="","",IF(N('Daily Data'!$L94)&lt;0,"ERROR","OK"))</f>
        <v>OK</v>
      </c>
      <c r="K94" s="165" t="str">
        <f>IF($A94="","",IF(N('Daily Data'!$M94)&lt;0,"ERROR","OK"))</f>
        <v>OK</v>
      </c>
      <c r="L94" s="165" t="str">
        <f>IF($A94="","",IF(OR(N('Daily Data'!$F94)=0,N('Daily Data'!$G94)=0),"OK",IF(OR(N('Daily Data'!$E94)&gt;N('Daily Data'!$F94),N('Daily Data'!$E94)&lt;N('Daily Data'!$G94)),"ERROR","OK")))</f>
        <v>OK</v>
      </c>
      <c r="M94" s="165" t="str">
        <f>IF($A94="","",IF(N('Daily Data'!$AK94)&lt;=1,"OK",IF(ROUND(N('Daily Data'!$D94),2)=ROUND(SUMIFS('Daily Data'!$E$4:$E$503,'Daily Data'!$B$4:$B$503,'Daily Data'!$B94,'Daily Data'!$AK$4:$AK$503,'Daily Data'!$AK94-1),2),"OK","WARNING")))</f>
        <v>OK</v>
      </c>
      <c r="N94" s="165" t="str">
        <f>IF($A94="","",IF(N('Daily Data'!$N94)&lt;=0,"WARNING","OK"))</f>
        <v>OK</v>
      </c>
      <c r="O94" s="165" t="str">
        <f>IF($A94="","",IF(AND(ISNUMBER('Daily Data'!$H94),ABS(N('Daily Data'!$H94))&gt;Settings!$C$56),"WARNING","OK"))</f>
        <v>OK</v>
      </c>
      <c r="P94" s="165" t="str">
        <f>IF($A94="","",IF(OR(AND(N('Daily Data'!$K94)=0,N('Daily Data'!$I94)&gt;0),AND(N('Daily Data'!$I94)=0,N('Daily Data'!$K94)&gt;0),AND(N('Daily Data'!$L94)=0,N('Daily Data'!$M94)=0)),"WARNING","OK"))</f>
        <v>OK</v>
      </c>
      <c r="Q94" s="165" t="str">
        <f>IF($A94="","",IF(COUNTIFS('Daily Data'!$B$4:$B$503,'Daily Data'!$B94,'Daily Data'!$A$4:$A$503,'Daily Data'!$A94,'Daily Data'!$Q$4:$Q$503,'Daily Data'!$Q94)&gt;1,"WARNING","OK"))</f>
        <v>OK</v>
      </c>
      <c r="R94" s="165" t="str">
        <f>IF($A94="","",IF(AND(N('Daily Data'!$K94)&gt;0,N('Daily Data'!$J94)&lt;=0),"WARNING","OK"))</f>
        <v>OK</v>
      </c>
      <c r="S94" s="165">
        <f>IF($A94="","",COUNTIF($D94:$R94,"ERROR"))</f>
        <v>0</v>
      </c>
      <c r="T94" s="165">
        <f>IF($A94="","",COUNTIF($D94:$R94,"WARNING"))</f>
        <v>0</v>
      </c>
      <c r="U94" s="165" t="str">
        <f>IF($A94="","",IF($S94&gt;0,"ERROR",IF($T94&gt;0,"WARNING","PASS")))</f>
        <v>PASS</v>
      </c>
    </row>
    <row r="95" spans="1:21" x14ac:dyDescent="0.3">
      <c r="A95">
        <f>IF(AND('Daily Data'!$A95="",'Daily Data'!$B95=""),"",95)</f>
        <v>95</v>
      </c>
      <c r="B95" s="16">
        <f>IF($A95="","",'Daily Data'!$A95)</f>
        <v>46247</v>
      </c>
      <c r="C95" t="str">
        <f>IF($A95="","",'Daily Data'!$B95)</f>
        <v>DSE</v>
      </c>
      <c r="D95" s="165" t="str">
        <f>IF($A95="","",IF(COUNTIFS('Daily Data'!$B$4:$B$503,'Daily Data'!$B95,'Daily Data'!$A$4:$A$503,'Daily Data'!$A95)&gt;1,"ERROR","OK"))</f>
        <v>OK</v>
      </c>
      <c r="E95" s="165" t="str">
        <f>IF($A95="","",IF('Daily Data'!$B95="","ERROR","OK"))</f>
        <v>OK</v>
      </c>
      <c r="F95" s="165" t="str">
        <f>IF($A95="","",IF(NOT(ISNUMBER('Daily Data'!$A95)),"ERROR","OK"))</f>
        <v>OK</v>
      </c>
      <c r="G95" s="165" t="str">
        <f>IF($A95="","",IF(OR(N('Daily Data'!$E95)&lt;=0,N('Daily Data'!$C95)&lt;0,N('Daily Data'!$D95)&lt;0,N('Daily Data'!$F95)&lt;0,N('Daily Data'!$G95)&lt;0),"ERROR","OK"))</f>
        <v>OK</v>
      </c>
      <c r="H95" s="165" t="str">
        <f>IF($A95="","",IF(N('Daily Data'!$K95)&lt;0,"ERROR","OK"))</f>
        <v>OK</v>
      </c>
      <c r="I95" s="165" t="str">
        <f>IF($A95="","",IF(N('Daily Data'!$I95)&lt;0,"ERROR","OK"))</f>
        <v>OK</v>
      </c>
      <c r="J95" s="165" t="str">
        <f>IF($A95="","",IF(N('Daily Data'!$L95)&lt;0,"ERROR","OK"))</f>
        <v>OK</v>
      </c>
      <c r="K95" s="165" t="str">
        <f>IF($A95="","",IF(N('Daily Data'!$M95)&lt;0,"ERROR","OK"))</f>
        <v>OK</v>
      </c>
      <c r="L95" s="165" t="str">
        <f>IF($A95="","",IF(OR(N('Daily Data'!$F95)=0,N('Daily Data'!$G95)=0),"OK",IF(OR(N('Daily Data'!$E95)&gt;N('Daily Data'!$F95),N('Daily Data'!$E95)&lt;N('Daily Data'!$G95)),"ERROR","OK")))</f>
        <v>OK</v>
      </c>
      <c r="M95" s="165" t="str">
        <f>IF($A95="","",IF(N('Daily Data'!$AK95)&lt;=1,"OK",IF(ROUND(N('Daily Data'!$D95),2)=ROUND(SUMIFS('Daily Data'!$E$4:$E$503,'Daily Data'!$B$4:$B$503,'Daily Data'!$B95,'Daily Data'!$AK$4:$AK$503,'Daily Data'!$AK95-1),2),"OK","WARNING")))</f>
        <v>OK</v>
      </c>
      <c r="N95" s="165" t="str">
        <f>IF($A95="","",IF(N('Daily Data'!$N95)&lt;=0,"WARNING","OK"))</f>
        <v>OK</v>
      </c>
      <c r="O95" s="165" t="str">
        <f>IF($A95="","",IF(AND(ISNUMBER('Daily Data'!$H95),ABS(N('Daily Data'!$H95))&gt;Settings!$C$56),"WARNING","OK"))</f>
        <v>OK</v>
      </c>
      <c r="P95" s="165" t="str">
        <f>IF($A95="","",IF(OR(AND(N('Daily Data'!$K95)=0,N('Daily Data'!$I95)&gt;0),AND(N('Daily Data'!$I95)=0,N('Daily Data'!$K95)&gt;0),AND(N('Daily Data'!$L95)=0,N('Daily Data'!$M95)=0)),"WARNING","OK"))</f>
        <v>OK</v>
      </c>
      <c r="Q95" s="165" t="str">
        <f>IF($A95="","",IF(COUNTIFS('Daily Data'!$B$4:$B$503,'Daily Data'!$B95,'Daily Data'!$A$4:$A$503,'Daily Data'!$A95,'Daily Data'!$Q$4:$Q$503,'Daily Data'!$Q95)&gt;1,"WARNING","OK"))</f>
        <v>OK</v>
      </c>
      <c r="R95" s="165" t="str">
        <f>IF($A95="","",IF(AND(N('Daily Data'!$K95)&gt;0,N('Daily Data'!$J95)&lt;=0),"WARNING","OK"))</f>
        <v>OK</v>
      </c>
      <c r="S95" s="165">
        <f>IF($A95="","",COUNTIF($D95:$R95,"ERROR"))</f>
        <v>0</v>
      </c>
      <c r="T95" s="165">
        <f>IF($A95="","",COUNTIF($D95:$R95,"WARNING"))</f>
        <v>0</v>
      </c>
      <c r="U95" s="165" t="str">
        <f>IF($A95="","",IF($S95&gt;0,"ERROR",IF($T95&gt;0,"WARNING","PASS")))</f>
        <v>PASS</v>
      </c>
    </row>
    <row r="96" spans="1:21" x14ac:dyDescent="0.3">
      <c r="A96">
        <f>IF(AND('Daily Data'!$A96="",'Daily Data'!$B96=""),"",96)</f>
        <v>96</v>
      </c>
      <c r="B96" s="16">
        <f>IF($A96="","",'Daily Data'!$A96)</f>
        <v>46247</v>
      </c>
      <c r="C96" t="str">
        <f>IF($A96="","",'Daily Data'!$B96)</f>
        <v>EABL</v>
      </c>
      <c r="D96" s="165" t="str">
        <f>IF($A96="","",IF(COUNTIFS('Daily Data'!$B$4:$B$503,'Daily Data'!$B96,'Daily Data'!$A$4:$A$503,'Daily Data'!$A96)&gt;1,"ERROR","OK"))</f>
        <v>OK</v>
      </c>
      <c r="E96" s="165" t="str">
        <f>IF($A96="","",IF('Daily Data'!$B96="","ERROR","OK"))</f>
        <v>OK</v>
      </c>
      <c r="F96" s="165" t="str">
        <f>IF($A96="","",IF(NOT(ISNUMBER('Daily Data'!$A96)),"ERROR","OK"))</f>
        <v>OK</v>
      </c>
      <c r="G96" s="165" t="str">
        <f>IF($A96="","",IF(OR(N('Daily Data'!$E96)&lt;=0,N('Daily Data'!$C96)&lt;0,N('Daily Data'!$D96)&lt;0,N('Daily Data'!$F96)&lt;0,N('Daily Data'!$G96)&lt;0),"ERROR","OK"))</f>
        <v>OK</v>
      </c>
      <c r="H96" s="165" t="str">
        <f>IF($A96="","",IF(N('Daily Data'!$K96)&lt;0,"ERROR","OK"))</f>
        <v>OK</v>
      </c>
      <c r="I96" s="165" t="str">
        <f>IF($A96="","",IF(N('Daily Data'!$I96)&lt;0,"ERROR","OK"))</f>
        <v>OK</v>
      </c>
      <c r="J96" s="165" t="str">
        <f>IF($A96="","",IF(N('Daily Data'!$L96)&lt;0,"ERROR","OK"))</f>
        <v>OK</v>
      </c>
      <c r="K96" s="165" t="str">
        <f>IF($A96="","",IF(N('Daily Data'!$M96)&lt;0,"ERROR","OK"))</f>
        <v>OK</v>
      </c>
      <c r="L96" s="165" t="str">
        <f>IF($A96="","",IF(OR(N('Daily Data'!$F96)=0,N('Daily Data'!$G96)=0),"OK",IF(OR(N('Daily Data'!$E96)&gt;N('Daily Data'!$F96),N('Daily Data'!$E96)&lt;N('Daily Data'!$G96)),"ERROR","OK")))</f>
        <v>OK</v>
      </c>
      <c r="M96" s="165" t="str">
        <f>IF($A96="","",IF(N('Daily Data'!$AK96)&lt;=1,"OK",IF(ROUND(N('Daily Data'!$D96),2)=ROUND(SUMIFS('Daily Data'!$E$4:$E$503,'Daily Data'!$B$4:$B$503,'Daily Data'!$B96,'Daily Data'!$AK$4:$AK$503,'Daily Data'!$AK96-1),2),"OK","WARNING")))</f>
        <v>OK</v>
      </c>
      <c r="N96" s="165" t="str">
        <f>IF($A96="","",IF(N('Daily Data'!$N96)&lt;=0,"WARNING","OK"))</f>
        <v>OK</v>
      </c>
      <c r="O96" s="165" t="str">
        <f>IF($A96="","",IF(AND(ISNUMBER('Daily Data'!$H96),ABS(N('Daily Data'!$H96))&gt;Settings!$C$56),"WARNING","OK"))</f>
        <v>OK</v>
      </c>
      <c r="P96" s="165" t="str">
        <f>IF($A96="","",IF(OR(AND(N('Daily Data'!$K96)=0,N('Daily Data'!$I96)&gt;0),AND(N('Daily Data'!$I96)=0,N('Daily Data'!$K96)&gt;0),AND(N('Daily Data'!$L96)=0,N('Daily Data'!$M96)=0)),"WARNING","OK"))</f>
        <v>OK</v>
      </c>
      <c r="Q96" s="165" t="str">
        <f>IF($A96="","",IF(COUNTIFS('Daily Data'!$B$4:$B$503,'Daily Data'!$B96,'Daily Data'!$A$4:$A$503,'Daily Data'!$A96,'Daily Data'!$Q$4:$Q$503,'Daily Data'!$Q96)&gt;1,"WARNING","OK"))</f>
        <v>OK</v>
      </c>
      <c r="R96" s="165" t="str">
        <f>IF($A96="","",IF(AND(N('Daily Data'!$K96)&gt;0,N('Daily Data'!$J96)&lt;=0),"WARNING","OK"))</f>
        <v>OK</v>
      </c>
      <c r="S96" s="165">
        <f>IF($A96="","",COUNTIF($D96:$R96,"ERROR"))</f>
        <v>0</v>
      </c>
      <c r="T96" s="165">
        <f>IF($A96="","",COUNTIF($D96:$R96,"WARNING"))</f>
        <v>0</v>
      </c>
      <c r="U96" s="165" t="str">
        <f>IF($A96="","",IF($S96&gt;0,"ERROR",IF($T96&gt;0,"WARNING","PASS")))</f>
        <v>PASS</v>
      </c>
    </row>
    <row r="97" spans="1:21" x14ac:dyDescent="0.3">
      <c r="A97">
        <f>IF(AND('Daily Data'!$A97="",'Daily Data'!$B97=""),"",97)</f>
        <v>97</v>
      </c>
      <c r="B97" s="16">
        <f>IF($A97="","",'Daily Data'!$A97)</f>
        <v>46247</v>
      </c>
      <c r="C97" t="str">
        <f>IF($A97="","",'Daily Data'!$B97)</f>
        <v>JATU</v>
      </c>
      <c r="D97" s="165" t="str">
        <f>IF($A97="","",IF(COUNTIFS('Daily Data'!$B$4:$B$503,'Daily Data'!$B97,'Daily Data'!$A$4:$A$503,'Daily Data'!$A97)&gt;1,"ERROR","OK"))</f>
        <v>OK</v>
      </c>
      <c r="E97" s="165" t="str">
        <f>IF($A97="","",IF('Daily Data'!$B97="","ERROR","OK"))</f>
        <v>OK</v>
      </c>
      <c r="F97" s="165" t="str">
        <f>IF($A97="","",IF(NOT(ISNUMBER('Daily Data'!$A97)),"ERROR","OK"))</f>
        <v>OK</v>
      </c>
      <c r="G97" s="165" t="str">
        <f>IF($A97="","",IF(OR(N('Daily Data'!$E97)&lt;=0,N('Daily Data'!$C97)&lt;0,N('Daily Data'!$D97)&lt;0,N('Daily Data'!$F97)&lt;0,N('Daily Data'!$G97)&lt;0),"ERROR","OK"))</f>
        <v>OK</v>
      </c>
      <c r="H97" s="165" t="str">
        <f>IF($A97="","",IF(N('Daily Data'!$K97)&lt;0,"ERROR","OK"))</f>
        <v>OK</v>
      </c>
      <c r="I97" s="165" t="str">
        <f>IF($A97="","",IF(N('Daily Data'!$I97)&lt;0,"ERROR","OK"))</f>
        <v>OK</v>
      </c>
      <c r="J97" s="165" t="str">
        <f>IF($A97="","",IF(N('Daily Data'!$L97)&lt;0,"ERROR","OK"))</f>
        <v>OK</v>
      </c>
      <c r="K97" s="165" t="str">
        <f>IF($A97="","",IF(N('Daily Data'!$M97)&lt;0,"ERROR","OK"))</f>
        <v>OK</v>
      </c>
      <c r="L97" s="165" t="str">
        <f>IF($A97="","",IF(OR(N('Daily Data'!$F97)=0,N('Daily Data'!$G97)=0),"OK",IF(OR(N('Daily Data'!$E97)&gt;N('Daily Data'!$F97),N('Daily Data'!$E97)&lt;N('Daily Data'!$G97)),"ERROR","OK")))</f>
        <v>OK</v>
      </c>
      <c r="M97" s="165" t="str">
        <f>IF($A97="","",IF(N('Daily Data'!$AK97)&lt;=1,"OK",IF(ROUND(N('Daily Data'!$D97),2)=ROUND(SUMIFS('Daily Data'!$E$4:$E$503,'Daily Data'!$B$4:$B$503,'Daily Data'!$B97,'Daily Data'!$AK$4:$AK$503,'Daily Data'!$AK97-1),2),"OK","WARNING")))</f>
        <v>OK</v>
      </c>
      <c r="N97" s="165" t="str">
        <f>IF($A97="","",IF(N('Daily Data'!$N97)&lt;=0,"WARNING","OK"))</f>
        <v>OK</v>
      </c>
      <c r="O97" s="165" t="str">
        <f>IF($A97="","",IF(AND(ISNUMBER('Daily Data'!$H97),ABS(N('Daily Data'!$H97))&gt;Settings!$C$56),"WARNING","OK"))</f>
        <v>OK</v>
      </c>
      <c r="P97" s="165" t="str">
        <f>IF($A97="","",IF(OR(AND(N('Daily Data'!$K97)=0,N('Daily Data'!$I97)&gt;0),AND(N('Daily Data'!$I97)=0,N('Daily Data'!$K97)&gt;0),AND(N('Daily Data'!$L97)=0,N('Daily Data'!$M97)=0)),"WARNING","OK"))</f>
        <v>OK</v>
      </c>
      <c r="Q97" s="165" t="str">
        <f>IF($A97="","",IF(COUNTIFS('Daily Data'!$B$4:$B$503,'Daily Data'!$B97,'Daily Data'!$A$4:$A$503,'Daily Data'!$A97,'Daily Data'!$Q$4:$Q$503,'Daily Data'!$Q97)&gt;1,"WARNING","OK"))</f>
        <v>OK</v>
      </c>
      <c r="R97" s="165" t="str">
        <f>IF($A97="","",IF(AND(N('Daily Data'!$K97)&gt;0,N('Daily Data'!$J97)&lt;=0),"WARNING","OK"))</f>
        <v>OK</v>
      </c>
      <c r="S97" s="165">
        <f>IF($A97="","",COUNTIF($D97:$R97,"ERROR"))</f>
        <v>0</v>
      </c>
      <c r="T97" s="165">
        <f>IF($A97="","",COUNTIF($D97:$R97,"WARNING"))</f>
        <v>0</v>
      </c>
      <c r="U97" s="165" t="str">
        <f>IF($A97="","",IF($S97&gt;0,"ERROR",IF($T97&gt;0,"WARNING","PASS")))</f>
        <v>PASS</v>
      </c>
    </row>
    <row r="98" spans="1:21" x14ac:dyDescent="0.3">
      <c r="A98">
        <f>IF(AND('Daily Data'!$A98="",'Daily Data'!$B98=""),"",98)</f>
        <v>98</v>
      </c>
      <c r="B98" s="16">
        <f>IF($A98="","",'Daily Data'!$A98)</f>
        <v>46247</v>
      </c>
      <c r="C98" t="str">
        <f>IF($A98="","",'Daily Data'!$B98)</f>
        <v>JHL</v>
      </c>
      <c r="D98" s="165" t="str">
        <f>IF($A98="","",IF(COUNTIFS('Daily Data'!$B$4:$B$503,'Daily Data'!$B98,'Daily Data'!$A$4:$A$503,'Daily Data'!$A98)&gt;1,"ERROR","OK"))</f>
        <v>OK</v>
      </c>
      <c r="E98" s="165" t="str">
        <f>IF($A98="","",IF('Daily Data'!$B98="","ERROR","OK"))</f>
        <v>OK</v>
      </c>
      <c r="F98" s="165" t="str">
        <f>IF($A98="","",IF(NOT(ISNUMBER('Daily Data'!$A98)),"ERROR","OK"))</f>
        <v>OK</v>
      </c>
      <c r="G98" s="165" t="str">
        <f>IF($A98="","",IF(OR(N('Daily Data'!$E98)&lt;=0,N('Daily Data'!$C98)&lt;0,N('Daily Data'!$D98)&lt;0,N('Daily Data'!$F98)&lt;0,N('Daily Data'!$G98)&lt;0),"ERROR","OK"))</f>
        <v>OK</v>
      </c>
      <c r="H98" s="165" t="str">
        <f>IF($A98="","",IF(N('Daily Data'!$K98)&lt;0,"ERROR","OK"))</f>
        <v>OK</v>
      </c>
      <c r="I98" s="165" t="str">
        <f>IF($A98="","",IF(N('Daily Data'!$I98)&lt;0,"ERROR","OK"))</f>
        <v>OK</v>
      </c>
      <c r="J98" s="165" t="str">
        <f>IF($A98="","",IF(N('Daily Data'!$L98)&lt;0,"ERROR","OK"))</f>
        <v>OK</v>
      </c>
      <c r="K98" s="165" t="str">
        <f>IF($A98="","",IF(N('Daily Data'!$M98)&lt;0,"ERROR","OK"))</f>
        <v>OK</v>
      </c>
      <c r="L98" s="165" t="str">
        <f>IF($A98="","",IF(OR(N('Daily Data'!$F98)=0,N('Daily Data'!$G98)=0),"OK",IF(OR(N('Daily Data'!$E98)&gt;N('Daily Data'!$F98),N('Daily Data'!$E98)&lt;N('Daily Data'!$G98)),"ERROR","OK")))</f>
        <v>OK</v>
      </c>
      <c r="M98" s="165" t="str">
        <f>IF($A98="","",IF(N('Daily Data'!$AK98)&lt;=1,"OK",IF(ROUND(N('Daily Data'!$D98),2)=ROUND(SUMIFS('Daily Data'!$E$4:$E$503,'Daily Data'!$B$4:$B$503,'Daily Data'!$B98,'Daily Data'!$AK$4:$AK$503,'Daily Data'!$AK98-1),2),"OK","WARNING")))</f>
        <v>OK</v>
      </c>
      <c r="N98" s="165" t="str">
        <f>IF($A98="","",IF(N('Daily Data'!$N98)&lt;=0,"WARNING","OK"))</f>
        <v>OK</v>
      </c>
      <c r="O98" s="165" t="str">
        <f>IF($A98="","",IF(AND(ISNUMBER('Daily Data'!$H98),ABS(N('Daily Data'!$H98))&gt;Settings!$C$56),"WARNING","OK"))</f>
        <v>OK</v>
      </c>
      <c r="P98" s="165" t="str">
        <f>IF($A98="","",IF(OR(AND(N('Daily Data'!$K98)=0,N('Daily Data'!$I98)&gt;0),AND(N('Daily Data'!$I98)=0,N('Daily Data'!$K98)&gt;0),AND(N('Daily Data'!$L98)=0,N('Daily Data'!$M98)=0)),"WARNING","OK"))</f>
        <v>OK</v>
      </c>
      <c r="Q98" s="165" t="str">
        <f>IF($A98="","",IF(COUNTIFS('Daily Data'!$B$4:$B$503,'Daily Data'!$B98,'Daily Data'!$A$4:$A$503,'Daily Data'!$A98,'Daily Data'!$Q$4:$Q$503,'Daily Data'!$Q98)&gt;1,"WARNING","OK"))</f>
        <v>OK</v>
      </c>
      <c r="R98" s="165" t="str">
        <f>IF($A98="","",IF(AND(N('Daily Data'!$K98)&gt;0,N('Daily Data'!$J98)&lt;=0),"WARNING","OK"))</f>
        <v>OK</v>
      </c>
      <c r="S98" s="165">
        <f>IF($A98="","",COUNTIF($D98:$R98,"ERROR"))</f>
        <v>0</v>
      </c>
      <c r="T98" s="165">
        <f>IF($A98="","",COUNTIF($D98:$R98,"WARNING"))</f>
        <v>0</v>
      </c>
      <c r="U98" s="165" t="str">
        <f>IF($A98="","",IF($S98&gt;0,"ERROR",IF($T98&gt;0,"WARNING","PASS")))</f>
        <v>PASS</v>
      </c>
    </row>
    <row r="99" spans="1:21" x14ac:dyDescent="0.3">
      <c r="A99">
        <f>IF(AND('Daily Data'!$A99="",'Daily Data'!$B99=""),"",99)</f>
        <v>99</v>
      </c>
      <c r="B99" s="16">
        <f>IF($A99="","",'Daily Data'!$A99)</f>
        <v>46247</v>
      </c>
      <c r="C99" t="str">
        <f>IF($A99="","",'Daily Data'!$B99)</f>
        <v>KA</v>
      </c>
      <c r="D99" s="165" t="str">
        <f>IF($A99="","",IF(COUNTIFS('Daily Data'!$B$4:$B$503,'Daily Data'!$B99,'Daily Data'!$A$4:$A$503,'Daily Data'!$A99)&gt;1,"ERROR","OK"))</f>
        <v>OK</v>
      </c>
      <c r="E99" s="165" t="str">
        <f>IF($A99="","",IF('Daily Data'!$B99="","ERROR","OK"))</f>
        <v>OK</v>
      </c>
      <c r="F99" s="165" t="str">
        <f>IF($A99="","",IF(NOT(ISNUMBER('Daily Data'!$A99)),"ERROR","OK"))</f>
        <v>OK</v>
      </c>
      <c r="G99" s="165" t="str">
        <f>IF($A99="","",IF(OR(N('Daily Data'!$E99)&lt;=0,N('Daily Data'!$C99)&lt;0,N('Daily Data'!$D99)&lt;0,N('Daily Data'!$F99)&lt;0,N('Daily Data'!$G99)&lt;0),"ERROR","OK"))</f>
        <v>OK</v>
      </c>
      <c r="H99" s="165" t="str">
        <f>IF($A99="","",IF(N('Daily Data'!$K99)&lt;0,"ERROR","OK"))</f>
        <v>OK</v>
      </c>
      <c r="I99" s="165" t="str">
        <f>IF($A99="","",IF(N('Daily Data'!$I99)&lt;0,"ERROR","OK"))</f>
        <v>OK</v>
      </c>
      <c r="J99" s="165" t="str">
        <f>IF($A99="","",IF(N('Daily Data'!$L99)&lt;0,"ERROR","OK"))</f>
        <v>OK</v>
      </c>
      <c r="K99" s="165" t="str">
        <f>IF($A99="","",IF(N('Daily Data'!$M99)&lt;0,"ERROR","OK"))</f>
        <v>OK</v>
      </c>
      <c r="L99" s="165" t="str">
        <f>IF($A99="","",IF(OR(N('Daily Data'!$F99)=0,N('Daily Data'!$G99)=0),"OK",IF(OR(N('Daily Data'!$E99)&gt;N('Daily Data'!$F99),N('Daily Data'!$E99)&lt;N('Daily Data'!$G99)),"ERROR","OK")))</f>
        <v>OK</v>
      </c>
      <c r="M99" s="165" t="str">
        <f>IF($A99="","",IF(N('Daily Data'!$AK99)&lt;=1,"OK",IF(ROUND(N('Daily Data'!$D99),2)=ROUND(SUMIFS('Daily Data'!$E$4:$E$503,'Daily Data'!$B$4:$B$503,'Daily Data'!$B99,'Daily Data'!$AK$4:$AK$503,'Daily Data'!$AK99-1),2),"OK","WARNING")))</f>
        <v>OK</v>
      </c>
      <c r="N99" s="165" t="str">
        <f>IF($A99="","",IF(N('Daily Data'!$N99)&lt;=0,"WARNING","OK"))</f>
        <v>OK</v>
      </c>
      <c r="O99" s="165" t="str">
        <f>IF($A99="","",IF(AND(ISNUMBER('Daily Data'!$H99),ABS(N('Daily Data'!$H99))&gt;Settings!$C$56),"WARNING","OK"))</f>
        <v>OK</v>
      </c>
      <c r="P99" s="165" t="str">
        <f>IF($A99="","",IF(OR(AND(N('Daily Data'!$K99)=0,N('Daily Data'!$I99)&gt;0),AND(N('Daily Data'!$I99)=0,N('Daily Data'!$K99)&gt;0),AND(N('Daily Data'!$L99)=0,N('Daily Data'!$M99)=0)),"WARNING","OK"))</f>
        <v>OK</v>
      </c>
      <c r="Q99" s="165" t="str">
        <f>IF($A99="","",IF(COUNTIFS('Daily Data'!$B$4:$B$503,'Daily Data'!$B99,'Daily Data'!$A$4:$A$503,'Daily Data'!$A99,'Daily Data'!$Q$4:$Q$503,'Daily Data'!$Q99)&gt;1,"WARNING","OK"))</f>
        <v>OK</v>
      </c>
      <c r="R99" s="165" t="str">
        <f>IF($A99="","",IF(AND(N('Daily Data'!$K99)&gt;0,N('Daily Data'!$J99)&lt;=0),"WARNING","OK"))</f>
        <v>OK</v>
      </c>
      <c r="S99" s="165">
        <f>IF($A99="","",COUNTIF($D99:$R99,"ERROR"))</f>
        <v>0</v>
      </c>
      <c r="T99" s="165">
        <f>IF($A99="","",COUNTIF($D99:$R99,"WARNING"))</f>
        <v>0</v>
      </c>
      <c r="U99" s="165" t="str">
        <f>IF($A99="","",IF($S99&gt;0,"ERROR",IF($T99&gt;0,"WARNING","PASS")))</f>
        <v>PASS</v>
      </c>
    </row>
    <row r="100" spans="1:21" x14ac:dyDescent="0.3">
      <c r="A100">
        <f>IF(AND('Daily Data'!$A100="",'Daily Data'!$B100=""),"",100)</f>
        <v>100</v>
      </c>
      <c r="B100" s="16">
        <f>IF($A100="","",'Daily Data'!$A100)</f>
        <v>46247</v>
      </c>
      <c r="C100" t="str">
        <f>IF($A100="","",'Daily Data'!$B100)</f>
        <v>KCB</v>
      </c>
      <c r="D100" s="165" t="str">
        <f>IF($A100="","",IF(COUNTIFS('Daily Data'!$B$4:$B$503,'Daily Data'!$B100,'Daily Data'!$A$4:$A$503,'Daily Data'!$A100)&gt;1,"ERROR","OK"))</f>
        <v>OK</v>
      </c>
      <c r="E100" s="165" t="str">
        <f>IF($A100="","",IF('Daily Data'!$B100="","ERROR","OK"))</f>
        <v>OK</v>
      </c>
      <c r="F100" s="165" t="str">
        <f>IF($A100="","",IF(NOT(ISNUMBER('Daily Data'!$A100)),"ERROR","OK"))</f>
        <v>OK</v>
      </c>
      <c r="G100" s="165" t="str">
        <f>IF($A100="","",IF(OR(N('Daily Data'!$E100)&lt;=0,N('Daily Data'!$C100)&lt;0,N('Daily Data'!$D100)&lt;0,N('Daily Data'!$F100)&lt;0,N('Daily Data'!$G100)&lt;0),"ERROR","OK"))</f>
        <v>OK</v>
      </c>
      <c r="H100" s="165" t="str">
        <f>IF($A100="","",IF(N('Daily Data'!$K100)&lt;0,"ERROR","OK"))</f>
        <v>OK</v>
      </c>
      <c r="I100" s="165" t="str">
        <f>IF($A100="","",IF(N('Daily Data'!$I100)&lt;0,"ERROR","OK"))</f>
        <v>OK</v>
      </c>
      <c r="J100" s="165" t="str">
        <f>IF($A100="","",IF(N('Daily Data'!$L100)&lt;0,"ERROR","OK"))</f>
        <v>OK</v>
      </c>
      <c r="K100" s="165" t="str">
        <f>IF($A100="","",IF(N('Daily Data'!$M100)&lt;0,"ERROR","OK"))</f>
        <v>OK</v>
      </c>
      <c r="L100" s="165" t="str">
        <f>IF($A100="","",IF(OR(N('Daily Data'!$F100)=0,N('Daily Data'!$G100)=0),"OK",IF(OR(N('Daily Data'!$E100)&gt;N('Daily Data'!$F100),N('Daily Data'!$E100)&lt;N('Daily Data'!$G100)),"ERROR","OK")))</f>
        <v>OK</v>
      </c>
      <c r="M100" s="165" t="str">
        <f>IF($A100="","",IF(N('Daily Data'!$AK100)&lt;=1,"OK",IF(ROUND(N('Daily Data'!$D100),2)=ROUND(SUMIFS('Daily Data'!$E$4:$E$503,'Daily Data'!$B$4:$B$503,'Daily Data'!$B100,'Daily Data'!$AK$4:$AK$503,'Daily Data'!$AK100-1),2),"OK","WARNING")))</f>
        <v>OK</v>
      </c>
      <c r="N100" s="165" t="str">
        <f>IF($A100="","",IF(N('Daily Data'!$N100)&lt;=0,"WARNING","OK"))</f>
        <v>OK</v>
      </c>
      <c r="O100" s="165" t="str">
        <f>IF($A100="","",IF(AND(ISNUMBER('Daily Data'!$H100),ABS(N('Daily Data'!$H100))&gt;Settings!$C$56),"WARNING","OK"))</f>
        <v>OK</v>
      </c>
      <c r="P100" s="165" t="str">
        <f>IF($A100="","",IF(OR(AND(N('Daily Data'!$K100)=0,N('Daily Data'!$I100)&gt;0),AND(N('Daily Data'!$I100)=0,N('Daily Data'!$K100)&gt;0),AND(N('Daily Data'!$L100)=0,N('Daily Data'!$M100)=0)),"WARNING","OK"))</f>
        <v>OK</v>
      </c>
      <c r="Q100" s="165" t="str">
        <f>IF($A100="","",IF(COUNTIFS('Daily Data'!$B$4:$B$503,'Daily Data'!$B100,'Daily Data'!$A$4:$A$503,'Daily Data'!$A100,'Daily Data'!$Q$4:$Q$503,'Daily Data'!$Q100)&gt;1,"WARNING","OK"))</f>
        <v>OK</v>
      </c>
      <c r="R100" s="165" t="str">
        <f>IF($A100="","",IF(AND(N('Daily Data'!$K100)&gt;0,N('Daily Data'!$J100)&lt;=0),"WARNING","OK"))</f>
        <v>OK</v>
      </c>
      <c r="S100" s="165">
        <f>IF($A100="","",COUNTIF($D100:$R100,"ERROR"))</f>
        <v>0</v>
      </c>
      <c r="T100" s="165">
        <f>IF($A100="","",COUNTIF($D100:$R100,"WARNING"))</f>
        <v>0</v>
      </c>
      <c r="U100" s="165" t="str">
        <f>IF($A100="","",IF($S100&gt;0,"ERROR",IF($T100&gt;0,"WARNING","PASS")))</f>
        <v>PASS</v>
      </c>
    </row>
    <row r="101" spans="1:21" x14ac:dyDescent="0.3">
      <c r="A101">
        <f>IF(AND('Daily Data'!$A101="",'Daily Data'!$B101=""),"",101)</f>
        <v>101</v>
      </c>
      <c r="B101" s="16">
        <f>IF($A101="","",'Daily Data'!$A101)</f>
        <v>46247</v>
      </c>
      <c r="C101" t="str">
        <f>IF($A101="","",'Daily Data'!$B101)</f>
        <v>MBP</v>
      </c>
      <c r="D101" s="165" t="str">
        <f>IF($A101="","",IF(COUNTIFS('Daily Data'!$B$4:$B$503,'Daily Data'!$B101,'Daily Data'!$A$4:$A$503,'Daily Data'!$A101)&gt;1,"ERROR","OK"))</f>
        <v>OK</v>
      </c>
      <c r="E101" s="165" t="str">
        <f>IF($A101="","",IF('Daily Data'!$B101="","ERROR","OK"))</f>
        <v>OK</v>
      </c>
      <c r="F101" s="165" t="str">
        <f>IF($A101="","",IF(NOT(ISNUMBER('Daily Data'!$A101)),"ERROR","OK"))</f>
        <v>OK</v>
      </c>
      <c r="G101" s="165" t="str">
        <f>IF($A101="","",IF(OR(N('Daily Data'!$E101)&lt;=0,N('Daily Data'!$C101)&lt;0,N('Daily Data'!$D101)&lt;0,N('Daily Data'!$F101)&lt;0,N('Daily Data'!$G101)&lt;0),"ERROR","OK"))</f>
        <v>OK</v>
      </c>
      <c r="H101" s="165" t="str">
        <f>IF($A101="","",IF(N('Daily Data'!$K101)&lt;0,"ERROR","OK"))</f>
        <v>OK</v>
      </c>
      <c r="I101" s="165" t="str">
        <f>IF($A101="","",IF(N('Daily Data'!$I101)&lt;0,"ERROR","OK"))</f>
        <v>OK</v>
      </c>
      <c r="J101" s="165" t="str">
        <f>IF($A101="","",IF(N('Daily Data'!$L101)&lt;0,"ERROR","OK"))</f>
        <v>OK</v>
      </c>
      <c r="K101" s="165" t="str">
        <f>IF($A101="","",IF(N('Daily Data'!$M101)&lt;0,"ERROR","OK"))</f>
        <v>OK</v>
      </c>
      <c r="L101" s="165" t="str">
        <f>IF($A101="","",IF(OR(N('Daily Data'!$F101)=0,N('Daily Data'!$G101)=0),"OK",IF(OR(N('Daily Data'!$E101)&gt;N('Daily Data'!$F101),N('Daily Data'!$E101)&lt;N('Daily Data'!$G101)),"ERROR","OK")))</f>
        <v>OK</v>
      </c>
      <c r="M101" s="165" t="str">
        <f>IF($A101="","",IF(N('Daily Data'!$AK101)&lt;=1,"OK",IF(ROUND(N('Daily Data'!$D101),2)=ROUND(SUMIFS('Daily Data'!$E$4:$E$503,'Daily Data'!$B$4:$B$503,'Daily Data'!$B101,'Daily Data'!$AK$4:$AK$503,'Daily Data'!$AK101-1),2),"OK","WARNING")))</f>
        <v>OK</v>
      </c>
      <c r="N101" s="165" t="str">
        <f>IF($A101="","",IF(N('Daily Data'!$N101)&lt;=0,"WARNING","OK"))</f>
        <v>OK</v>
      </c>
      <c r="O101" s="165" t="str">
        <f>IF($A101="","",IF(AND(ISNUMBER('Daily Data'!$H101),ABS(N('Daily Data'!$H101))&gt;Settings!$C$56),"WARNING","OK"))</f>
        <v>OK</v>
      </c>
      <c r="P101" s="165" t="str">
        <f>IF($A101="","",IF(OR(AND(N('Daily Data'!$K101)=0,N('Daily Data'!$I101)&gt;0),AND(N('Daily Data'!$I101)=0,N('Daily Data'!$K101)&gt;0),AND(N('Daily Data'!$L101)=0,N('Daily Data'!$M101)=0)),"WARNING","OK"))</f>
        <v>OK</v>
      </c>
      <c r="Q101" s="165" t="str">
        <f>IF($A101="","",IF(COUNTIFS('Daily Data'!$B$4:$B$503,'Daily Data'!$B101,'Daily Data'!$A$4:$A$503,'Daily Data'!$A101,'Daily Data'!$Q$4:$Q$503,'Daily Data'!$Q101)&gt;1,"WARNING","OK"))</f>
        <v>OK</v>
      </c>
      <c r="R101" s="165" t="str">
        <f>IF($A101="","",IF(AND(N('Daily Data'!$K101)&gt;0,N('Daily Data'!$J101)&lt;=0),"WARNING","OK"))</f>
        <v>OK</v>
      </c>
      <c r="S101" s="165">
        <f>IF($A101="","",COUNTIF($D101:$R101,"ERROR"))</f>
        <v>0</v>
      </c>
      <c r="T101" s="165">
        <f>IF($A101="","",COUNTIF($D101:$R101,"WARNING"))</f>
        <v>0</v>
      </c>
      <c r="U101" s="165" t="str">
        <f>IF($A101="","",IF($S101&gt;0,"ERROR",IF($T101&gt;0,"WARNING","PASS")))</f>
        <v>PASS</v>
      </c>
    </row>
    <row r="102" spans="1:21" x14ac:dyDescent="0.3">
      <c r="A102">
        <f>IF(AND('Daily Data'!$A102="",'Daily Data'!$B102=""),"",102)</f>
        <v>102</v>
      </c>
      <c r="B102" s="16">
        <f>IF($A102="","",'Daily Data'!$A102)</f>
        <v>46247</v>
      </c>
      <c r="C102" t="str">
        <f>IF($A102="","",'Daily Data'!$B102)</f>
        <v>MCB</v>
      </c>
      <c r="D102" s="165" t="str">
        <f>IF($A102="","",IF(COUNTIFS('Daily Data'!$B$4:$B$503,'Daily Data'!$B102,'Daily Data'!$A$4:$A$503,'Daily Data'!$A102)&gt;1,"ERROR","OK"))</f>
        <v>OK</v>
      </c>
      <c r="E102" s="165" t="str">
        <f>IF($A102="","",IF('Daily Data'!$B102="","ERROR","OK"))</f>
        <v>OK</v>
      </c>
      <c r="F102" s="165" t="str">
        <f>IF($A102="","",IF(NOT(ISNUMBER('Daily Data'!$A102)),"ERROR","OK"))</f>
        <v>OK</v>
      </c>
      <c r="G102" s="165" t="str">
        <f>IF($A102="","",IF(OR(N('Daily Data'!$E102)&lt;=0,N('Daily Data'!$C102)&lt;0,N('Daily Data'!$D102)&lt;0,N('Daily Data'!$F102)&lt;0,N('Daily Data'!$G102)&lt;0),"ERROR","OK"))</f>
        <v>OK</v>
      </c>
      <c r="H102" s="165" t="str">
        <f>IF($A102="","",IF(N('Daily Data'!$K102)&lt;0,"ERROR","OK"))</f>
        <v>OK</v>
      </c>
      <c r="I102" s="165" t="str">
        <f>IF($A102="","",IF(N('Daily Data'!$I102)&lt;0,"ERROR","OK"))</f>
        <v>OK</v>
      </c>
      <c r="J102" s="165" t="str">
        <f>IF($A102="","",IF(N('Daily Data'!$L102)&lt;0,"ERROR","OK"))</f>
        <v>OK</v>
      </c>
      <c r="K102" s="165" t="str">
        <f>IF($A102="","",IF(N('Daily Data'!$M102)&lt;0,"ERROR","OK"))</f>
        <v>OK</v>
      </c>
      <c r="L102" s="165" t="str">
        <f>IF($A102="","",IF(OR(N('Daily Data'!$F102)=0,N('Daily Data'!$G102)=0),"OK",IF(OR(N('Daily Data'!$E102)&gt;N('Daily Data'!$F102),N('Daily Data'!$E102)&lt;N('Daily Data'!$G102)),"ERROR","OK")))</f>
        <v>OK</v>
      </c>
      <c r="M102" s="165" t="str">
        <f>IF($A102="","",IF(N('Daily Data'!$AK102)&lt;=1,"OK",IF(ROUND(N('Daily Data'!$D102),2)=ROUND(SUMIFS('Daily Data'!$E$4:$E$503,'Daily Data'!$B$4:$B$503,'Daily Data'!$B102,'Daily Data'!$AK$4:$AK$503,'Daily Data'!$AK102-1),2),"OK","WARNING")))</f>
        <v>OK</v>
      </c>
      <c r="N102" s="165" t="str">
        <f>IF($A102="","",IF(N('Daily Data'!$N102)&lt;=0,"WARNING","OK"))</f>
        <v>OK</v>
      </c>
      <c r="O102" s="165" t="str">
        <f>IF($A102="","",IF(AND(ISNUMBER('Daily Data'!$H102),ABS(N('Daily Data'!$H102))&gt;Settings!$C$56),"WARNING","OK"))</f>
        <v>OK</v>
      </c>
      <c r="P102" s="165" t="str">
        <f>IF($A102="","",IF(OR(AND(N('Daily Data'!$K102)=0,N('Daily Data'!$I102)&gt;0),AND(N('Daily Data'!$I102)=0,N('Daily Data'!$K102)&gt;0),AND(N('Daily Data'!$L102)=0,N('Daily Data'!$M102)=0)),"WARNING","OK"))</f>
        <v>OK</v>
      </c>
      <c r="Q102" s="165" t="str">
        <f>IF($A102="","",IF(COUNTIFS('Daily Data'!$B$4:$B$503,'Daily Data'!$B102,'Daily Data'!$A$4:$A$503,'Daily Data'!$A102,'Daily Data'!$Q$4:$Q$503,'Daily Data'!$Q102)&gt;1,"WARNING","OK"))</f>
        <v>OK</v>
      </c>
      <c r="R102" s="165" t="str">
        <f>IF($A102="","",IF(AND(N('Daily Data'!$K102)&gt;0,N('Daily Data'!$J102)&lt;=0),"WARNING","OK"))</f>
        <v>OK</v>
      </c>
      <c r="S102" s="165">
        <f>IF($A102="","",COUNTIF($D102:$R102,"ERROR"))</f>
        <v>0</v>
      </c>
      <c r="T102" s="165">
        <f>IF($A102="","",COUNTIF($D102:$R102,"WARNING"))</f>
        <v>0</v>
      </c>
      <c r="U102" s="165" t="str">
        <f>IF($A102="","",IF($S102&gt;0,"ERROR",IF($T102&gt;0,"WARNING","PASS")))</f>
        <v>PASS</v>
      </c>
    </row>
    <row r="103" spans="1:21" x14ac:dyDescent="0.3">
      <c r="A103">
        <f>IF(AND('Daily Data'!$A103="",'Daily Data'!$B103=""),"",103)</f>
        <v>103</v>
      </c>
      <c r="B103" s="16">
        <f>IF($A103="","",'Daily Data'!$A103)</f>
        <v>46247</v>
      </c>
      <c r="C103" t="str">
        <f>IF($A103="","",'Daily Data'!$B103)</f>
        <v>MKCB</v>
      </c>
      <c r="D103" s="165" t="str">
        <f>IF($A103="","",IF(COUNTIFS('Daily Data'!$B$4:$B$503,'Daily Data'!$B103,'Daily Data'!$A$4:$A$503,'Daily Data'!$A103)&gt;1,"ERROR","OK"))</f>
        <v>OK</v>
      </c>
      <c r="E103" s="165" t="str">
        <f>IF($A103="","",IF('Daily Data'!$B103="","ERROR","OK"))</f>
        <v>OK</v>
      </c>
      <c r="F103" s="165" t="str">
        <f>IF($A103="","",IF(NOT(ISNUMBER('Daily Data'!$A103)),"ERROR","OK"))</f>
        <v>OK</v>
      </c>
      <c r="G103" s="165" t="str">
        <f>IF($A103="","",IF(OR(N('Daily Data'!$E103)&lt;=0,N('Daily Data'!$C103)&lt;0,N('Daily Data'!$D103)&lt;0,N('Daily Data'!$F103)&lt;0,N('Daily Data'!$G103)&lt;0),"ERROR","OK"))</f>
        <v>OK</v>
      </c>
      <c r="H103" s="165" t="str">
        <f>IF($A103="","",IF(N('Daily Data'!$K103)&lt;0,"ERROR","OK"))</f>
        <v>OK</v>
      </c>
      <c r="I103" s="165" t="str">
        <f>IF($A103="","",IF(N('Daily Data'!$I103)&lt;0,"ERROR","OK"))</f>
        <v>OK</v>
      </c>
      <c r="J103" s="165" t="str">
        <f>IF($A103="","",IF(N('Daily Data'!$L103)&lt;0,"ERROR","OK"))</f>
        <v>OK</v>
      </c>
      <c r="K103" s="165" t="str">
        <f>IF($A103="","",IF(N('Daily Data'!$M103)&lt;0,"ERROR","OK"))</f>
        <v>OK</v>
      </c>
      <c r="L103" s="165" t="str">
        <f>IF($A103="","",IF(OR(N('Daily Data'!$F103)=0,N('Daily Data'!$G103)=0),"OK",IF(OR(N('Daily Data'!$E103)&gt;N('Daily Data'!$F103),N('Daily Data'!$E103)&lt;N('Daily Data'!$G103)),"ERROR","OK")))</f>
        <v>OK</v>
      </c>
      <c r="M103" s="165" t="str">
        <f>IF($A103="","",IF(N('Daily Data'!$AK103)&lt;=1,"OK",IF(ROUND(N('Daily Data'!$D103),2)=ROUND(SUMIFS('Daily Data'!$E$4:$E$503,'Daily Data'!$B$4:$B$503,'Daily Data'!$B103,'Daily Data'!$AK$4:$AK$503,'Daily Data'!$AK103-1),2),"OK","WARNING")))</f>
        <v>OK</v>
      </c>
      <c r="N103" s="165" t="str">
        <f>IF($A103="","",IF(N('Daily Data'!$N103)&lt;=0,"WARNING","OK"))</f>
        <v>OK</v>
      </c>
      <c r="O103" s="165" t="str">
        <f>IF($A103="","",IF(AND(ISNUMBER('Daily Data'!$H103),ABS(N('Daily Data'!$H103))&gt;Settings!$C$56),"WARNING","OK"))</f>
        <v>OK</v>
      </c>
      <c r="P103" s="165" t="str">
        <f>IF($A103="","",IF(OR(AND(N('Daily Data'!$K103)=0,N('Daily Data'!$I103)&gt;0),AND(N('Daily Data'!$I103)=0,N('Daily Data'!$K103)&gt;0),AND(N('Daily Data'!$L103)=0,N('Daily Data'!$M103)=0)),"WARNING","OK"))</f>
        <v>OK</v>
      </c>
      <c r="Q103" s="165" t="str">
        <f>IF($A103="","",IF(COUNTIFS('Daily Data'!$B$4:$B$503,'Daily Data'!$B103,'Daily Data'!$A$4:$A$503,'Daily Data'!$A103,'Daily Data'!$Q$4:$Q$503,'Daily Data'!$Q103)&gt;1,"WARNING","OK"))</f>
        <v>OK</v>
      </c>
      <c r="R103" s="165" t="str">
        <f>IF($A103="","",IF(AND(N('Daily Data'!$K103)&gt;0,N('Daily Data'!$J103)&lt;=0),"WARNING","OK"))</f>
        <v>OK</v>
      </c>
      <c r="S103" s="165">
        <f>IF($A103="","",COUNTIF($D103:$R103,"ERROR"))</f>
        <v>0</v>
      </c>
      <c r="T103" s="165">
        <f>IF($A103="","",COUNTIF($D103:$R103,"WARNING"))</f>
        <v>0</v>
      </c>
      <c r="U103" s="165" t="str">
        <f>IF($A103="","",IF($S103&gt;0,"ERROR",IF($T103&gt;0,"WARNING","PASS")))</f>
        <v>PASS</v>
      </c>
    </row>
    <row r="104" spans="1:21" x14ac:dyDescent="0.3">
      <c r="A104">
        <f>IF(AND('Daily Data'!$A104="",'Daily Data'!$B104=""),"",104)</f>
        <v>104</v>
      </c>
      <c r="B104" s="16">
        <f>IF($A104="","",'Daily Data'!$A104)</f>
        <v>46247</v>
      </c>
      <c r="C104" t="str">
        <f>IF($A104="","",'Daily Data'!$B104)</f>
        <v>MUCOBA</v>
      </c>
      <c r="D104" s="165" t="str">
        <f>IF($A104="","",IF(COUNTIFS('Daily Data'!$B$4:$B$503,'Daily Data'!$B104,'Daily Data'!$A$4:$A$503,'Daily Data'!$A104)&gt;1,"ERROR","OK"))</f>
        <v>OK</v>
      </c>
      <c r="E104" s="165" t="str">
        <f>IF($A104="","",IF('Daily Data'!$B104="","ERROR","OK"))</f>
        <v>OK</v>
      </c>
      <c r="F104" s="165" t="str">
        <f>IF($A104="","",IF(NOT(ISNUMBER('Daily Data'!$A104)),"ERROR","OK"))</f>
        <v>OK</v>
      </c>
      <c r="G104" s="165" t="str">
        <f>IF($A104="","",IF(OR(N('Daily Data'!$E104)&lt;=0,N('Daily Data'!$C104)&lt;0,N('Daily Data'!$D104)&lt;0,N('Daily Data'!$F104)&lt;0,N('Daily Data'!$G104)&lt;0),"ERROR","OK"))</f>
        <v>OK</v>
      </c>
      <c r="H104" s="165" t="str">
        <f>IF($A104="","",IF(N('Daily Data'!$K104)&lt;0,"ERROR","OK"))</f>
        <v>OK</v>
      </c>
      <c r="I104" s="165" t="str">
        <f>IF($A104="","",IF(N('Daily Data'!$I104)&lt;0,"ERROR","OK"))</f>
        <v>OK</v>
      </c>
      <c r="J104" s="165" t="str">
        <f>IF($A104="","",IF(N('Daily Data'!$L104)&lt;0,"ERROR","OK"))</f>
        <v>OK</v>
      </c>
      <c r="K104" s="165" t="str">
        <f>IF($A104="","",IF(N('Daily Data'!$M104)&lt;0,"ERROR","OK"))</f>
        <v>OK</v>
      </c>
      <c r="L104" s="165" t="str">
        <f>IF($A104="","",IF(OR(N('Daily Data'!$F104)=0,N('Daily Data'!$G104)=0),"OK",IF(OR(N('Daily Data'!$E104)&gt;N('Daily Data'!$F104),N('Daily Data'!$E104)&lt;N('Daily Data'!$G104)),"ERROR","OK")))</f>
        <v>OK</v>
      </c>
      <c r="M104" s="165" t="str">
        <f>IF($A104="","",IF(N('Daily Data'!$AK104)&lt;=1,"OK",IF(ROUND(N('Daily Data'!$D104),2)=ROUND(SUMIFS('Daily Data'!$E$4:$E$503,'Daily Data'!$B$4:$B$503,'Daily Data'!$B104,'Daily Data'!$AK$4:$AK$503,'Daily Data'!$AK104-1),2),"OK","WARNING")))</f>
        <v>OK</v>
      </c>
      <c r="N104" s="165" t="str">
        <f>IF($A104="","",IF(N('Daily Data'!$N104)&lt;=0,"WARNING","OK"))</f>
        <v>OK</v>
      </c>
      <c r="O104" s="165" t="str">
        <f>IF($A104="","",IF(AND(ISNUMBER('Daily Data'!$H104),ABS(N('Daily Data'!$H104))&gt;Settings!$C$56),"WARNING","OK"))</f>
        <v>OK</v>
      </c>
      <c r="P104" s="165" t="str">
        <f>IF($A104="","",IF(OR(AND(N('Daily Data'!$K104)=0,N('Daily Data'!$I104)&gt;0),AND(N('Daily Data'!$I104)=0,N('Daily Data'!$K104)&gt;0),AND(N('Daily Data'!$L104)=0,N('Daily Data'!$M104)=0)),"WARNING","OK"))</f>
        <v>OK</v>
      </c>
      <c r="Q104" s="165" t="str">
        <f>IF($A104="","",IF(COUNTIFS('Daily Data'!$B$4:$B$503,'Daily Data'!$B104,'Daily Data'!$A$4:$A$503,'Daily Data'!$A104,'Daily Data'!$Q$4:$Q$503,'Daily Data'!$Q104)&gt;1,"WARNING","OK"))</f>
        <v>OK</v>
      </c>
      <c r="R104" s="165" t="str">
        <f>IF($A104="","",IF(AND(N('Daily Data'!$K104)&gt;0,N('Daily Data'!$J104)&lt;=0),"WARNING","OK"))</f>
        <v>OK</v>
      </c>
      <c r="S104" s="165">
        <f>IF($A104="","",COUNTIF($D104:$R104,"ERROR"))</f>
        <v>0</v>
      </c>
      <c r="T104" s="165">
        <f>IF($A104="","",COUNTIF($D104:$R104,"WARNING"))</f>
        <v>0</v>
      </c>
      <c r="U104" s="165" t="str">
        <f>IF($A104="","",IF($S104&gt;0,"ERROR",IF($T104&gt;0,"WARNING","PASS")))</f>
        <v>PASS</v>
      </c>
    </row>
    <row r="105" spans="1:21" x14ac:dyDescent="0.3">
      <c r="A105">
        <f>IF(AND('Daily Data'!$A105="",'Daily Data'!$B105=""),"",105)</f>
        <v>105</v>
      </c>
      <c r="B105" s="16">
        <f>IF($A105="","",'Daily Data'!$A105)</f>
        <v>46247</v>
      </c>
      <c r="C105" t="str">
        <f>IF($A105="","",'Daily Data'!$B105)</f>
        <v>NICO</v>
      </c>
      <c r="D105" s="165" t="str">
        <f>IF($A105="","",IF(COUNTIFS('Daily Data'!$B$4:$B$503,'Daily Data'!$B105,'Daily Data'!$A$4:$A$503,'Daily Data'!$A105)&gt;1,"ERROR","OK"))</f>
        <v>OK</v>
      </c>
      <c r="E105" s="165" t="str">
        <f>IF($A105="","",IF('Daily Data'!$B105="","ERROR","OK"))</f>
        <v>OK</v>
      </c>
      <c r="F105" s="165" t="str">
        <f>IF($A105="","",IF(NOT(ISNUMBER('Daily Data'!$A105)),"ERROR","OK"))</f>
        <v>OK</v>
      </c>
      <c r="G105" s="165" t="str">
        <f>IF($A105="","",IF(OR(N('Daily Data'!$E105)&lt;=0,N('Daily Data'!$C105)&lt;0,N('Daily Data'!$D105)&lt;0,N('Daily Data'!$F105)&lt;0,N('Daily Data'!$G105)&lt;0),"ERROR","OK"))</f>
        <v>OK</v>
      </c>
      <c r="H105" s="165" t="str">
        <f>IF($A105="","",IF(N('Daily Data'!$K105)&lt;0,"ERROR","OK"))</f>
        <v>OK</v>
      </c>
      <c r="I105" s="165" t="str">
        <f>IF($A105="","",IF(N('Daily Data'!$I105)&lt;0,"ERROR","OK"))</f>
        <v>OK</v>
      </c>
      <c r="J105" s="165" t="str">
        <f>IF($A105="","",IF(N('Daily Data'!$L105)&lt;0,"ERROR","OK"))</f>
        <v>OK</v>
      </c>
      <c r="K105" s="165" t="str">
        <f>IF($A105="","",IF(N('Daily Data'!$M105)&lt;0,"ERROR","OK"))</f>
        <v>OK</v>
      </c>
      <c r="L105" s="165" t="str">
        <f>IF($A105="","",IF(OR(N('Daily Data'!$F105)=0,N('Daily Data'!$G105)=0),"OK",IF(OR(N('Daily Data'!$E105)&gt;N('Daily Data'!$F105),N('Daily Data'!$E105)&lt;N('Daily Data'!$G105)),"ERROR","OK")))</f>
        <v>OK</v>
      </c>
      <c r="M105" s="165" t="str">
        <f>IF($A105="","",IF(N('Daily Data'!$AK105)&lt;=1,"OK",IF(ROUND(N('Daily Data'!$D105),2)=ROUND(SUMIFS('Daily Data'!$E$4:$E$503,'Daily Data'!$B$4:$B$503,'Daily Data'!$B105,'Daily Data'!$AK$4:$AK$503,'Daily Data'!$AK105-1),2),"OK","WARNING")))</f>
        <v>OK</v>
      </c>
      <c r="N105" s="165" t="str">
        <f>IF($A105="","",IF(N('Daily Data'!$N105)&lt;=0,"WARNING","OK"))</f>
        <v>OK</v>
      </c>
      <c r="O105" s="165" t="str">
        <f>IF($A105="","",IF(AND(ISNUMBER('Daily Data'!$H105),ABS(N('Daily Data'!$H105))&gt;Settings!$C$56),"WARNING","OK"))</f>
        <v>OK</v>
      </c>
      <c r="P105" s="165" t="str">
        <f>IF($A105="","",IF(OR(AND(N('Daily Data'!$K105)=0,N('Daily Data'!$I105)&gt;0),AND(N('Daily Data'!$I105)=0,N('Daily Data'!$K105)&gt;0),AND(N('Daily Data'!$L105)=0,N('Daily Data'!$M105)=0)),"WARNING","OK"))</f>
        <v>OK</v>
      </c>
      <c r="Q105" s="165" t="str">
        <f>IF($A105="","",IF(COUNTIFS('Daily Data'!$B$4:$B$503,'Daily Data'!$B105,'Daily Data'!$A$4:$A$503,'Daily Data'!$A105,'Daily Data'!$Q$4:$Q$503,'Daily Data'!$Q105)&gt;1,"WARNING","OK"))</f>
        <v>OK</v>
      </c>
      <c r="R105" s="165" t="str">
        <f>IF($A105="","",IF(AND(N('Daily Data'!$K105)&gt;0,N('Daily Data'!$J105)&lt;=0),"WARNING","OK"))</f>
        <v>OK</v>
      </c>
      <c r="S105" s="165">
        <f>IF($A105="","",COUNTIF($D105:$R105,"ERROR"))</f>
        <v>0</v>
      </c>
      <c r="T105" s="165">
        <f>IF($A105="","",COUNTIF($D105:$R105,"WARNING"))</f>
        <v>0</v>
      </c>
      <c r="U105" s="165" t="str">
        <f>IF($A105="","",IF($S105&gt;0,"ERROR",IF($T105&gt;0,"WARNING","PASS")))</f>
        <v>PASS</v>
      </c>
    </row>
    <row r="106" spans="1:21" x14ac:dyDescent="0.3">
      <c r="A106">
        <f>IF(AND('Daily Data'!$A106="",'Daily Data'!$B106=""),"",106)</f>
        <v>106</v>
      </c>
      <c r="B106" s="16">
        <f>IF($A106="","",'Daily Data'!$A106)</f>
        <v>46247</v>
      </c>
      <c r="C106" t="str">
        <f>IF($A106="","",'Daily Data'!$B106)</f>
        <v>NMB</v>
      </c>
      <c r="D106" s="165" t="str">
        <f>IF($A106="","",IF(COUNTIFS('Daily Data'!$B$4:$B$503,'Daily Data'!$B106,'Daily Data'!$A$4:$A$503,'Daily Data'!$A106)&gt;1,"ERROR","OK"))</f>
        <v>OK</v>
      </c>
      <c r="E106" s="165" t="str">
        <f>IF($A106="","",IF('Daily Data'!$B106="","ERROR","OK"))</f>
        <v>OK</v>
      </c>
      <c r="F106" s="165" t="str">
        <f>IF($A106="","",IF(NOT(ISNUMBER('Daily Data'!$A106)),"ERROR","OK"))</f>
        <v>OK</v>
      </c>
      <c r="G106" s="165" t="str">
        <f>IF($A106="","",IF(OR(N('Daily Data'!$E106)&lt;=0,N('Daily Data'!$C106)&lt;0,N('Daily Data'!$D106)&lt;0,N('Daily Data'!$F106)&lt;0,N('Daily Data'!$G106)&lt;0),"ERROR","OK"))</f>
        <v>OK</v>
      </c>
      <c r="H106" s="165" t="str">
        <f>IF($A106="","",IF(N('Daily Data'!$K106)&lt;0,"ERROR","OK"))</f>
        <v>OK</v>
      </c>
      <c r="I106" s="165" t="str">
        <f>IF($A106="","",IF(N('Daily Data'!$I106)&lt;0,"ERROR","OK"))</f>
        <v>OK</v>
      </c>
      <c r="J106" s="165" t="str">
        <f>IF($A106="","",IF(N('Daily Data'!$L106)&lt;0,"ERROR","OK"))</f>
        <v>OK</v>
      </c>
      <c r="K106" s="165" t="str">
        <f>IF($A106="","",IF(N('Daily Data'!$M106)&lt;0,"ERROR","OK"))</f>
        <v>OK</v>
      </c>
      <c r="L106" s="165" t="str">
        <f>IF($A106="","",IF(OR(N('Daily Data'!$F106)=0,N('Daily Data'!$G106)=0),"OK",IF(OR(N('Daily Data'!$E106)&gt;N('Daily Data'!$F106),N('Daily Data'!$E106)&lt;N('Daily Data'!$G106)),"ERROR","OK")))</f>
        <v>OK</v>
      </c>
      <c r="M106" s="165" t="str">
        <f>IF($A106="","",IF(N('Daily Data'!$AK106)&lt;=1,"OK",IF(ROUND(N('Daily Data'!$D106),2)=ROUND(SUMIFS('Daily Data'!$E$4:$E$503,'Daily Data'!$B$4:$B$503,'Daily Data'!$B106,'Daily Data'!$AK$4:$AK$503,'Daily Data'!$AK106-1),2),"OK","WARNING")))</f>
        <v>OK</v>
      </c>
      <c r="N106" s="165" t="str">
        <f>IF($A106="","",IF(N('Daily Data'!$N106)&lt;=0,"WARNING","OK"))</f>
        <v>OK</v>
      </c>
      <c r="O106" s="165" t="str">
        <f>IF($A106="","",IF(AND(ISNUMBER('Daily Data'!$H106),ABS(N('Daily Data'!$H106))&gt;Settings!$C$56),"WARNING","OK"))</f>
        <v>OK</v>
      </c>
      <c r="P106" s="165" t="str">
        <f>IF($A106="","",IF(OR(AND(N('Daily Data'!$K106)=0,N('Daily Data'!$I106)&gt;0),AND(N('Daily Data'!$I106)=0,N('Daily Data'!$K106)&gt;0),AND(N('Daily Data'!$L106)=0,N('Daily Data'!$M106)=0)),"WARNING","OK"))</f>
        <v>OK</v>
      </c>
      <c r="Q106" s="165" t="str">
        <f>IF($A106="","",IF(COUNTIFS('Daily Data'!$B$4:$B$503,'Daily Data'!$B106,'Daily Data'!$A$4:$A$503,'Daily Data'!$A106,'Daily Data'!$Q$4:$Q$503,'Daily Data'!$Q106)&gt;1,"WARNING","OK"))</f>
        <v>OK</v>
      </c>
      <c r="R106" s="165" t="str">
        <f>IF($A106="","",IF(AND(N('Daily Data'!$K106)&gt;0,N('Daily Data'!$J106)&lt;=0),"WARNING","OK"))</f>
        <v>OK</v>
      </c>
      <c r="S106" s="165">
        <f>IF($A106="","",COUNTIF($D106:$R106,"ERROR"))</f>
        <v>0</v>
      </c>
      <c r="T106" s="165">
        <f>IF($A106="","",COUNTIF($D106:$R106,"WARNING"))</f>
        <v>0</v>
      </c>
      <c r="U106" s="165" t="str">
        <f>IF($A106="","",IF($S106&gt;0,"ERROR",IF($T106&gt;0,"WARNING","PASS")))</f>
        <v>PASS</v>
      </c>
    </row>
    <row r="107" spans="1:21" x14ac:dyDescent="0.3">
      <c r="A107">
        <f>IF(AND('Daily Data'!$A107="",'Daily Data'!$B107=""),"",107)</f>
        <v>107</v>
      </c>
      <c r="B107" s="16">
        <f>IF($A107="","",'Daily Data'!$A107)</f>
        <v>46247</v>
      </c>
      <c r="C107" t="str">
        <f>IF($A107="","",'Daily Data'!$B107)</f>
        <v>NMG</v>
      </c>
      <c r="D107" s="165" t="str">
        <f>IF($A107="","",IF(COUNTIFS('Daily Data'!$B$4:$B$503,'Daily Data'!$B107,'Daily Data'!$A$4:$A$503,'Daily Data'!$A107)&gt;1,"ERROR","OK"))</f>
        <v>OK</v>
      </c>
      <c r="E107" s="165" t="str">
        <f>IF($A107="","",IF('Daily Data'!$B107="","ERROR","OK"))</f>
        <v>OK</v>
      </c>
      <c r="F107" s="165" t="str">
        <f>IF($A107="","",IF(NOT(ISNUMBER('Daily Data'!$A107)),"ERROR","OK"))</f>
        <v>OK</v>
      </c>
      <c r="G107" s="165" t="str">
        <f>IF($A107="","",IF(OR(N('Daily Data'!$E107)&lt;=0,N('Daily Data'!$C107)&lt;0,N('Daily Data'!$D107)&lt;0,N('Daily Data'!$F107)&lt;0,N('Daily Data'!$G107)&lt;0),"ERROR","OK"))</f>
        <v>OK</v>
      </c>
      <c r="H107" s="165" t="str">
        <f>IF($A107="","",IF(N('Daily Data'!$K107)&lt;0,"ERROR","OK"))</f>
        <v>OK</v>
      </c>
      <c r="I107" s="165" t="str">
        <f>IF($A107="","",IF(N('Daily Data'!$I107)&lt;0,"ERROR","OK"))</f>
        <v>OK</v>
      </c>
      <c r="J107" s="165" t="str">
        <f>IF($A107="","",IF(N('Daily Data'!$L107)&lt;0,"ERROR","OK"))</f>
        <v>OK</v>
      </c>
      <c r="K107" s="165" t="str">
        <f>IF($A107="","",IF(N('Daily Data'!$M107)&lt;0,"ERROR","OK"))</f>
        <v>OK</v>
      </c>
      <c r="L107" s="165" t="str">
        <f>IF($A107="","",IF(OR(N('Daily Data'!$F107)=0,N('Daily Data'!$G107)=0),"OK",IF(OR(N('Daily Data'!$E107)&gt;N('Daily Data'!$F107),N('Daily Data'!$E107)&lt;N('Daily Data'!$G107)),"ERROR","OK")))</f>
        <v>OK</v>
      </c>
      <c r="M107" s="165" t="str">
        <f>IF($A107="","",IF(N('Daily Data'!$AK107)&lt;=1,"OK",IF(ROUND(N('Daily Data'!$D107),2)=ROUND(SUMIFS('Daily Data'!$E$4:$E$503,'Daily Data'!$B$4:$B$503,'Daily Data'!$B107,'Daily Data'!$AK$4:$AK$503,'Daily Data'!$AK107-1),2),"OK","WARNING")))</f>
        <v>OK</v>
      </c>
      <c r="N107" s="165" t="str">
        <f>IF($A107="","",IF(N('Daily Data'!$N107)&lt;=0,"WARNING","OK"))</f>
        <v>OK</v>
      </c>
      <c r="O107" s="165" t="str">
        <f>IF($A107="","",IF(AND(ISNUMBER('Daily Data'!$H107),ABS(N('Daily Data'!$H107))&gt;Settings!$C$56),"WARNING","OK"))</f>
        <v>OK</v>
      </c>
      <c r="P107" s="165" t="str">
        <f>IF($A107="","",IF(OR(AND(N('Daily Data'!$K107)=0,N('Daily Data'!$I107)&gt;0),AND(N('Daily Data'!$I107)=0,N('Daily Data'!$K107)&gt;0),AND(N('Daily Data'!$L107)=0,N('Daily Data'!$M107)=0)),"WARNING","OK"))</f>
        <v>OK</v>
      </c>
      <c r="Q107" s="165" t="str">
        <f>IF($A107="","",IF(COUNTIFS('Daily Data'!$B$4:$B$503,'Daily Data'!$B107,'Daily Data'!$A$4:$A$503,'Daily Data'!$A107,'Daily Data'!$Q$4:$Q$503,'Daily Data'!$Q107)&gt;1,"WARNING","OK"))</f>
        <v>OK</v>
      </c>
      <c r="R107" s="165" t="str">
        <f>IF($A107="","",IF(AND(N('Daily Data'!$K107)&gt;0,N('Daily Data'!$J107)&lt;=0),"WARNING","OK"))</f>
        <v>OK</v>
      </c>
      <c r="S107" s="165">
        <f>IF($A107="","",COUNTIF($D107:$R107,"ERROR"))</f>
        <v>0</v>
      </c>
      <c r="T107" s="165">
        <f>IF($A107="","",COUNTIF($D107:$R107,"WARNING"))</f>
        <v>0</v>
      </c>
      <c r="U107" s="165" t="str">
        <f>IF($A107="","",IF($S107&gt;0,"ERROR",IF($T107&gt;0,"WARNING","PASS")))</f>
        <v>PASS</v>
      </c>
    </row>
    <row r="108" spans="1:21" x14ac:dyDescent="0.3">
      <c r="A108">
        <f>IF(AND('Daily Data'!$A108="",'Daily Data'!$B108=""),"",108)</f>
        <v>108</v>
      </c>
      <c r="B108" s="16">
        <f>IF($A108="","",'Daily Data'!$A108)</f>
        <v>46247</v>
      </c>
      <c r="C108" t="str">
        <f>IF($A108="","",'Daily Data'!$B108)</f>
        <v>PAL</v>
      </c>
      <c r="D108" s="165" t="str">
        <f>IF($A108="","",IF(COUNTIFS('Daily Data'!$B$4:$B$503,'Daily Data'!$B108,'Daily Data'!$A$4:$A$503,'Daily Data'!$A108)&gt;1,"ERROR","OK"))</f>
        <v>OK</v>
      </c>
      <c r="E108" s="165" t="str">
        <f>IF($A108="","",IF('Daily Data'!$B108="","ERROR","OK"))</f>
        <v>OK</v>
      </c>
      <c r="F108" s="165" t="str">
        <f>IF($A108="","",IF(NOT(ISNUMBER('Daily Data'!$A108)),"ERROR","OK"))</f>
        <v>OK</v>
      </c>
      <c r="G108" s="165" t="str">
        <f>IF($A108="","",IF(OR(N('Daily Data'!$E108)&lt;=0,N('Daily Data'!$C108)&lt;0,N('Daily Data'!$D108)&lt;0,N('Daily Data'!$F108)&lt;0,N('Daily Data'!$G108)&lt;0),"ERROR","OK"))</f>
        <v>OK</v>
      </c>
      <c r="H108" s="165" t="str">
        <f>IF($A108="","",IF(N('Daily Data'!$K108)&lt;0,"ERROR","OK"))</f>
        <v>OK</v>
      </c>
      <c r="I108" s="165" t="str">
        <f>IF($A108="","",IF(N('Daily Data'!$I108)&lt;0,"ERROR","OK"))</f>
        <v>OK</v>
      </c>
      <c r="J108" s="165" t="str">
        <f>IF($A108="","",IF(N('Daily Data'!$L108)&lt;0,"ERROR","OK"))</f>
        <v>OK</v>
      </c>
      <c r="K108" s="165" t="str">
        <f>IF($A108="","",IF(N('Daily Data'!$M108)&lt;0,"ERROR","OK"))</f>
        <v>OK</v>
      </c>
      <c r="L108" s="165" t="str">
        <f>IF($A108="","",IF(OR(N('Daily Data'!$F108)=0,N('Daily Data'!$G108)=0),"OK",IF(OR(N('Daily Data'!$E108)&gt;N('Daily Data'!$F108),N('Daily Data'!$E108)&lt;N('Daily Data'!$G108)),"ERROR","OK")))</f>
        <v>OK</v>
      </c>
      <c r="M108" s="165" t="str">
        <f>IF($A108="","",IF(N('Daily Data'!$AK108)&lt;=1,"OK",IF(ROUND(N('Daily Data'!$D108),2)=ROUND(SUMIFS('Daily Data'!$E$4:$E$503,'Daily Data'!$B$4:$B$503,'Daily Data'!$B108,'Daily Data'!$AK$4:$AK$503,'Daily Data'!$AK108-1),2),"OK","WARNING")))</f>
        <v>OK</v>
      </c>
      <c r="N108" s="165" t="str">
        <f>IF($A108="","",IF(N('Daily Data'!$N108)&lt;=0,"WARNING","OK"))</f>
        <v>OK</v>
      </c>
      <c r="O108" s="165" t="str">
        <f>IF($A108="","",IF(AND(ISNUMBER('Daily Data'!$H108),ABS(N('Daily Data'!$H108))&gt;Settings!$C$56),"WARNING","OK"))</f>
        <v>OK</v>
      </c>
      <c r="P108" s="165" t="str">
        <f>IF($A108="","",IF(OR(AND(N('Daily Data'!$K108)=0,N('Daily Data'!$I108)&gt;0),AND(N('Daily Data'!$I108)=0,N('Daily Data'!$K108)&gt;0),AND(N('Daily Data'!$L108)=0,N('Daily Data'!$M108)=0)),"WARNING","OK"))</f>
        <v>OK</v>
      </c>
      <c r="Q108" s="165" t="str">
        <f>IF($A108="","",IF(COUNTIFS('Daily Data'!$B$4:$B$503,'Daily Data'!$B108,'Daily Data'!$A$4:$A$503,'Daily Data'!$A108,'Daily Data'!$Q$4:$Q$503,'Daily Data'!$Q108)&gt;1,"WARNING","OK"))</f>
        <v>OK</v>
      </c>
      <c r="R108" s="165" t="str">
        <f>IF($A108="","",IF(AND(N('Daily Data'!$K108)&gt;0,N('Daily Data'!$J108)&lt;=0),"WARNING","OK"))</f>
        <v>OK</v>
      </c>
      <c r="S108" s="165">
        <f>IF($A108="","",COUNTIF($D108:$R108,"ERROR"))</f>
        <v>0</v>
      </c>
      <c r="T108" s="165">
        <f>IF($A108="","",COUNTIF($D108:$R108,"WARNING"))</f>
        <v>0</v>
      </c>
      <c r="U108" s="165" t="str">
        <f>IF($A108="","",IF($S108&gt;0,"ERROR",IF($T108&gt;0,"WARNING","PASS")))</f>
        <v>PASS</v>
      </c>
    </row>
    <row r="109" spans="1:21" x14ac:dyDescent="0.3">
      <c r="A109">
        <f>IF(AND('Daily Data'!$A109="",'Daily Data'!$B109=""),"",109)</f>
        <v>109</v>
      </c>
      <c r="B109" s="16">
        <f>IF($A109="","",'Daily Data'!$A109)</f>
        <v>46247</v>
      </c>
      <c r="C109" t="str">
        <f>IF($A109="","",'Daily Data'!$B109)</f>
        <v>SWALA</v>
      </c>
      <c r="D109" s="165" t="str">
        <f>IF($A109="","",IF(COUNTIFS('Daily Data'!$B$4:$B$503,'Daily Data'!$B109,'Daily Data'!$A$4:$A$503,'Daily Data'!$A109)&gt;1,"ERROR","OK"))</f>
        <v>OK</v>
      </c>
      <c r="E109" s="165" t="str">
        <f>IF($A109="","",IF('Daily Data'!$B109="","ERROR","OK"))</f>
        <v>OK</v>
      </c>
      <c r="F109" s="165" t="str">
        <f>IF($A109="","",IF(NOT(ISNUMBER('Daily Data'!$A109)),"ERROR","OK"))</f>
        <v>OK</v>
      </c>
      <c r="G109" s="165" t="str">
        <f>IF($A109="","",IF(OR(N('Daily Data'!$E109)&lt;=0,N('Daily Data'!$C109)&lt;0,N('Daily Data'!$D109)&lt;0,N('Daily Data'!$F109)&lt;0,N('Daily Data'!$G109)&lt;0),"ERROR","OK"))</f>
        <v>OK</v>
      </c>
      <c r="H109" s="165" t="str">
        <f>IF($A109="","",IF(N('Daily Data'!$K109)&lt;0,"ERROR","OK"))</f>
        <v>OK</v>
      </c>
      <c r="I109" s="165" t="str">
        <f>IF($A109="","",IF(N('Daily Data'!$I109)&lt;0,"ERROR","OK"))</f>
        <v>OK</v>
      </c>
      <c r="J109" s="165" t="str">
        <f>IF($A109="","",IF(N('Daily Data'!$L109)&lt;0,"ERROR","OK"))</f>
        <v>OK</v>
      </c>
      <c r="K109" s="165" t="str">
        <f>IF($A109="","",IF(N('Daily Data'!$M109)&lt;0,"ERROR","OK"))</f>
        <v>OK</v>
      </c>
      <c r="L109" s="165" t="str">
        <f>IF($A109="","",IF(OR(N('Daily Data'!$F109)=0,N('Daily Data'!$G109)=0),"OK",IF(OR(N('Daily Data'!$E109)&gt;N('Daily Data'!$F109),N('Daily Data'!$E109)&lt;N('Daily Data'!$G109)),"ERROR","OK")))</f>
        <v>OK</v>
      </c>
      <c r="M109" s="165" t="str">
        <f>IF($A109="","",IF(N('Daily Data'!$AK109)&lt;=1,"OK",IF(ROUND(N('Daily Data'!$D109),2)=ROUND(SUMIFS('Daily Data'!$E$4:$E$503,'Daily Data'!$B$4:$B$503,'Daily Data'!$B109,'Daily Data'!$AK$4:$AK$503,'Daily Data'!$AK109-1),2),"OK","WARNING")))</f>
        <v>OK</v>
      </c>
      <c r="N109" s="165" t="str">
        <f>IF($A109="","",IF(N('Daily Data'!$N109)&lt;=0,"WARNING","OK"))</f>
        <v>OK</v>
      </c>
      <c r="O109" s="165" t="str">
        <f>IF($A109="","",IF(AND(ISNUMBER('Daily Data'!$H109),ABS(N('Daily Data'!$H109))&gt;Settings!$C$56),"WARNING","OK"))</f>
        <v>OK</v>
      </c>
      <c r="P109" s="165" t="str">
        <f>IF($A109="","",IF(OR(AND(N('Daily Data'!$K109)=0,N('Daily Data'!$I109)&gt;0),AND(N('Daily Data'!$I109)=0,N('Daily Data'!$K109)&gt;0),AND(N('Daily Data'!$L109)=0,N('Daily Data'!$M109)=0)),"WARNING","OK"))</f>
        <v>WARNING</v>
      </c>
      <c r="Q109" s="165" t="str">
        <f>IF($A109="","",IF(COUNTIFS('Daily Data'!$B$4:$B$503,'Daily Data'!$B109,'Daily Data'!$A$4:$A$503,'Daily Data'!$A109,'Daily Data'!$Q$4:$Q$503,'Daily Data'!$Q109)&gt;1,"WARNING","OK"))</f>
        <v>OK</v>
      </c>
      <c r="R109" s="165" t="str">
        <f>IF($A109="","",IF(AND(N('Daily Data'!$K109)&gt;0,N('Daily Data'!$J109)&lt;=0),"WARNING","OK"))</f>
        <v>OK</v>
      </c>
      <c r="S109" s="165">
        <f>IF($A109="","",COUNTIF($D109:$R109,"ERROR"))</f>
        <v>0</v>
      </c>
      <c r="T109" s="165">
        <f>IF($A109="","",COUNTIF($D109:$R109,"WARNING"))</f>
        <v>1</v>
      </c>
      <c r="U109" s="165" t="str">
        <f>IF($A109="","",IF($S109&gt;0,"ERROR",IF($T109&gt;0,"WARNING","PASS")))</f>
        <v>WARNING</v>
      </c>
    </row>
    <row r="110" spans="1:21" x14ac:dyDescent="0.3">
      <c r="A110">
        <f>IF(AND('Daily Data'!$A110="",'Daily Data'!$B110=""),"",110)</f>
        <v>110</v>
      </c>
      <c r="B110" s="16">
        <f>IF($A110="","",'Daily Data'!$A110)</f>
        <v>46247</v>
      </c>
      <c r="C110" t="str">
        <f>IF($A110="","",'Daily Data'!$B110)</f>
        <v>SWIS</v>
      </c>
      <c r="D110" s="165" t="str">
        <f>IF($A110="","",IF(COUNTIFS('Daily Data'!$B$4:$B$503,'Daily Data'!$B110,'Daily Data'!$A$4:$A$503,'Daily Data'!$A110)&gt;1,"ERROR","OK"))</f>
        <v>OK</v>
      </c>
      <c r="E110" s="165" t="str">
        <f>IF($A110="","",IF('Daily Data'!$B110="","ERROR","OK"))</f>
        <v>OK</v>
      </c>
      <c r="F110" s="165" t="str">
        <f>IF($A110="","",IF(NOT(ISNUMBER('Daily Data'!$A110)),"ERROR","OK"))</f>
        <v>OK</v>
      </c>
      <c r="G110" s="165" t="str">
        <f>IF($A110="","",IF(OR(N('Daily Data'!$E110)&lt;=0,N('Daily Data'!$C110)&lt;0,N('Daily Data'!$D110)&lt;0,N('Daily Data'!$F110)&lt;0,N('Daily Data'!$G110)&lt;0),"ERROR","OK"))</f>
        <v>OK</v>
      </c>
      <c r="H110" s="165" t="str">
        <f>IF($A110="","",IF(N('Daily Data'!$K110)&lt;0,"ERROR","OK"))</f>
        <v>OK</v>
      </c>
      <c r="I110" s="165" t="str">
        <f>IF($A110="","",IF(N('Daily Data'!$I110)&lt;0,"ERROR","OK"))</f>
        <v>OK</v>
      </c>
      <c r="J110" s="165" t="str">
        <f>IF($A110="","",IF(N('Daily Data'!$L110)&lt;0,"ERROR","OK"))</f>
        <v>OK</v>
      </c>
      <c r="K110" s="165" t="str">
        <f>IF($A110="","",IF(N('Daily Data'!$M110)&lt;0,"ERROR","OK"))</f>
        <v>OK</v>
      </c>
      <c r="L110" s="165" t="str">
        <f>IF($A110="","",IF(OR(N('Daily Data'!$F110)=0,N('Daily Data'!$G110)=0),"OK",IF(OR(N('Daily Data'!$E110)&gt;N('Daily Data'!$F110),N('Daily Data'!$E110)&lt;N('Daily Data'!$G110)),"ERROR","OK")))</f>
        <v>OK</v>
      </c>
      <c r="M110" s="165" t="str">
        <f>IF($A110="","",IF(N('Daily Data'!$AK110)&lt;=1,"OK",IF(ROUND(N('Daily Data'!$D110),2)=ROUND(SUMIFS('Daily Data'!$E$4:$E$503,'Daily Data'!$B$4:$B$503,'Daily Data'!$B110,'Daily Data'!$AK$4:$AK$503,'Daily Data'!$AK110-1),2),"OK","WARNING")))</f>
        <v>OK</v>
      </c>
      <c r="N110" s="165" t="str">
        <f>IF($A110="","",IF(N('Daily Data'!$N110)&lt;=0,"WARNING","OK"))</f>
        <v>OK</v>
      </c>
      <c r="O110" s="165" t="str">
        <f>IF($A110="","",IF(AND(ISNUMBER('Daily Data'!$H110),ABS(N('Daily Data'!$H110))&gt;Settings!$C$56),"WARNING","OK"))</f>
        <v>OK</v>
      </c>
      <c r="P110" s="165" t="str">
        <f>IF($A110="","",IF(OR(AND(N('Daily Data'!$K110)=0,N('Daily Data'!$I110)&gt;0),AND(N('Daily Data'!$I110)=0,N('Daily Data'!$K110)&gt;0),AND(N('Daily Data'!$L110)=0,N('Daily Data'!$M110)=0)),"WARNING","OK"))</f>
        <v>OK</v>
      </c>
      <c r="Q110" s="165" t="str">
        <f>IF($A110="","",IF(COUNTIFS('Daily Data'!$B$4:$B$503,'Daily Data'!$B110,'Daily Data'!$A$4:$A$503,'Daily Data'!$A110,'Daily Data'!$Q$4:$Q$503,'Daily Data'!$Q110)&gt;1,"WARNING","OK"))</f>
        <v>OK</v>
      </c>
      <c r="R110" s="165" t="str">
        <f>IF($A110="","",IF(AND(N('Daily Data'!$K110)&gt;0,N('Daily Data'!$J110)&lt;=0),"WARNING","OK"))</f>
        <v>OK</v>
      </c>
      <c r="S110" s="165">
        <f>IF($A110="","",COUNTIF($D110:$R110,"ERROR"))</f>
        <v>0</v>
      </c>
      <c r="T110" s="165">
        <f>IF($A110="","",COUNTIF($D110:$R110,"WARNING"))</f>
        <v>0</v>
      </c>
      <c r="U110" s="165" t="str">
        <f>IF($A110="","",IF($S110&gt;0,"ERROR",IF($T110&gt;0,"WARNING","PASS")))</f>
        <v>PASS</v>
      </c>
    </row>
    <row r="111" spans="1:21" x14ac:dyDescent="0.3">
      <c r="A111">
        <f>IF(AND('Daily Data'!$A111="",'Daily Data'!$B111=""),"",111)</f>
        <v>111</v>
      </c>
      <c r="B111" s="16">
        <f>IF($A111="","",'Daily Data'!$A111)</f>
        <v>46247</v>
      </c>
      <c r="C111" t="str">
        <f>IF($A111="","",'Daily Data'!$B111)</f>
        <v>TBL</v>
      </c>
      <c r="D111" s="165" t="str">
        <f>IF($A111="","",IF(COUNTIFS('Daily Data'!$B$4:$B$503,'Daily Data'!$B111,'Daily Data'!$A$4:$A$503,'Daily Data'!$A111)&gt;1,"ERROR","OK"))</f>
        <v>OK</v>
      </c>
      <c r="E111" s="165" t="str">
        <f>IF($A111="","",IF('Daily Data'!$B111="","ERROR","OK"))</f>
        <v>OK</v>
      </c>
      <c r="F111" s="165" t="str">
        <f>IF($A111="","",IF(NOT(ISNUMBER('Daily Data'!$A111)),"ERROR","OK"))</f>
        <v>OK</v>
      </c>
      <c r="G111" s="165" t="str">
        <f>IF($A111="","",IF(OR(N('Daily Data'!$E111)&lt;=0,N('Daily Data'!$C111)&lt;0,N('Daily Data'!$D111)&lt;0,N('Daily Data'!$F111)&lt;0,N('Daily Data'!$G111)&lt;0),"ERROR","OK"))</f>
        <v>OK</v>
      </c>
      <c r="H111" s="165" t="str">
        <f>IF($A111="","",IF(N('Daily Data'!$K111)&lt;0,"ERROR","OK"))</f>
        <v>OK</v>
      </c>
      <c r="I111" s="165" t="str">
        <f>IF($A111="","",IF(N('Daily Data'!$I111)&lt;0,"ERROR","OK"))</f>
        <v>OK</v>
      </c>
      <c r="J111" s="165" t="str">
        <f>IF($A111="","",IF(N('Daily Data'!$L111)&lt;0,"ERROR","OK"))</f>
        <v>OK</v>
      </c>
      <c r="K111" s="165" t="str">
        <f>IF($A111="","",IF(N('Daily Data'!$M111)&lt;0,"ERROR","OK"))</f>
        <v>OK</v>
      </c>
      <c r="L111" s="165" t="str">
        <f>IF($A111="","",IF(OR(N('Daily Data'!$F111)=0,N('Daily Data'!$G111)=0),"OK",IF(OR(N('Daily Data'!$E111)&gt;N('Daily Data'!$F111),N('Daily Data'!$E111)&lt;N('Daily Data'!$G111)),"ERROR","OK")))</f>
        <v>OK</v>
      </c>
      <c r="M111" s="165" t="str">
        <f>IF($A111="","",IF(N('Daily Data'!$AK111)&lt;=1,"OK",IF(ROUND(N('Daily Data'!$D111),2)=ROUND(SUMIFS('Daily Data'!$E$4:$E$503,'Daily Data'!$B$4:$B$503,'Daily Data'!$B111,'Daily Data'!$AK$4:$AK$503,'Daily Data'!$AK111-1),2),"OK","WARNING")))</f>
        <v>OK</v>
      </c>
      <c r="N111" s="165" t="str">
        <f>IF($A111="","",IF(N('Daily Data'!$N111)&lt;=0,"WARNING","OK"))</f>
        <v>OK</v>
      </c>
      <c r="O111" s="165" t="str">
        <f>IF($A111="","",IF(AND(ISNUMBER('Daily Data'!$H111),ABS(N('Daily Data'!$H111))&gt;Settings!$C$56),"WARNING","OK"))</f>
        <v>OK</v>
      </c>
      <c r="P111" s="165" t="str">
        <f>IF($A111="","",IF(OR(AND(N('Daily Data'!$K111)=0,N('Daily Data'!$I111)&gt;0),AND(N('Daily Data'!$I111)=0,N('Daily Data'!$K111)&gt;0),AND(N('Daily Data'!$L111)=0,N('Daily Data'!$M111)=0)),"WARNING","OK"))</f>
        <v>OK</v>
      </c>
      <c r="Q111" s="165" t="str">
        <f>IF($A111="","",IF(COUNTIFS('Daily Data'!$B$4:$B$503,'Daily Data'!$B111,'Daily Data'!$A$4:$A$503,'Daily Data'!$A111,'Daily Data'!$Q$4:$Q$503,'Daily Data'!$Q111)&gt;1,"WARNING","OK"))</f>
        <v>OK</v>
      </c>
      <c r="R111" s="165" t="str">
        <f>IF($A111="","",IF(AND(N('Daily Data'!$K111)&gt;0,N('Daily Data'!$J111)&lt;=0),"WARNING","OK"))</f>
        <v>OK</v>
      </c>
      <c r="S111" s="165">
        <f>IF($A111="","",COUNTIF($D111:$R111,"ERROR"))</f>
        <v>0</v>
      </c>
      <c r="T111" s="165">
        <f>IF($A111="","",COUNTIF($D111:$R111,"WARNING"))</f>
        <v>0</v>
      </c>
      <c r="U111" s="165" t="str">
        <f>IF($A111="","",IF($S111&gt;0,"ERROR",IF($T111&gt;0,"WARNING","PASS")))</f>
        <v>PASS</v>
      </c>
    </row>
    <row r="112" spans="1:21" x14ac:dyDescent="0.3">
      <c r="A112">
        <f>IF(AND('Daily Data'!$A112="",'Daily Data'!$B112=""),"",112)</f>
        <v>112</v>
      </c>
      <c r="B112" s="16">
        <f>IF($A112="","",'Daily Data'!$A112)</f>
        <v>46247</v>
      </c>
      <c r="C112" t="str">
        <f>IF($A112="","",'Daily Data'!$B112)</f>
        <v>TCC</v>
      </c>
      <c r="D112" s="165" t="str">
        <f>IF($A112="","",IF(COUNTIFS('Daily Data'!$B$4:$B$503,'Daily Data'!$B112,'Daily Data'!$A$4:$A$503,'Daily Data'!$A112)&gt;1,"ERROR","OK"))</f>
        <v>OK</v>
      </c>
      <c r="E112" s="165" t="str">
        <f>IF($A112="","",IF('Daily Data'!$B112="","ERROR","OK"))</f>
        <v>OK</v>
      </c>
      <c r="F112" s="165" t="str">
        <f>IF($A112="","",IF(NOT(ISNUMBER('Daily Data'!$A112)),"ERROR","OK"))</f>
        <v>OK</v>
      </c>
      <c r="G112" s="165" t="str">
        <f>IF($A112="","",IF(OR(N('Daily Data'!$E112)&lt;=0,N('Daily Data'!$C112)&lt;0,N('Daily Data'!$D112)&lt;0,N('Daily Data'!$F112)&lt;0,N('Daily Data'!$G112)&lt;0),"ERROR","OK"))</f>
        <v>OK</v>
      </c>
      <c r="H112" s="165" t="str">
        <f>IF($A112="","",IF(N('Daily Data'!$K112)&lt;0,"ERROR","OK"))</f>
        <v>OK</v>
      </c>
      <c r="I112" s="165" t="str">
        <f>IF($A112="","",IF(N('Daily Data'!$I112)&lt;0,"ERROR","OK"))</f>
        <v>OK</v>
      </c>
      <c r="J112" s="165" t="str">
        <f>IF($A112="","",IF(N('Daily Data'!$L112)&lt;0,"ERROR","OK"))</f>
        <v>OK</v>
      </c>
      <c r="K112" s="165" t="str">
        <f>IF($A112="","",IF(N('Daily Data'!$M112)&lt;0,"ERROR","OK"))</f>
        <v>OK</v>
      </c>
      <c r="L112" s="165" t="str">
        <f>IF($A112="","",IF(OR(N('Daily Data'!$F112)=0,N('Daily Data'!$G112)=0),"OK",IF(OR(N('Daily Data'!$E112)&gt;N('Daily Data'!$F112),N('Daily Data'!$E112)&lt;N('Daily Data'!$G112)),"ERROR","OK")))</f>
        <v>OK</v>
      </c>
      <c r="M112" s="165" t="str">
        <f>IF($A112="","",IF(N('Daily Data'!$AK112)&lt;=1,"OK",IF(ROUND(N('Daily Data'!$D112),2)=ROUND(SUMIFS('Daily Data'!$E$4:$E$503,'Daily Data'!$B$4:$B$503,'Daily Data'!$B112,'Daily Data'!$AK$4:$AK$503,'Daily Data'!$AK112-1),2),"OK","WARNING")))</f>
        <v>OK</v>
      </c>
      <c r="N112" s="165" t="str">
        <f>IF($A112="","",IF(N('Daily Data'!$N112)&lt;=0,"WARNING","OK"))</f>
        <v>OK</v>
      </c>
      <c r="O112" s="165" t="str">
        <f>IF($A112="","",IF(AND(ISNUMBER('Daily Data'!$H112),ABS(N('Daily Data'!$H112))&gt;Settings!$C$56),"WARNING","OK"))</f>
        <v>OK</v>
      </c>
      <c r="P112" s="165" t="str">
        <f>IF($A112="","",IF(OR(AND(N('Daily Data'!$K112)=0,N('Daily Data'!$I112)&gt;0),AND(N('Daily Data'!$I112)=0,N('Daily Data'!$K112)&gt;0),AND(N('Daily Data'!$L112)=0,N('Daily Data'!$M112)=0)),"WARNING","OK"))</f>
        <v>OK</v>
      </c>
      <c r="Q112" s="165" t="str">
        <f>IF($A112="","",IF(COUNTIFS('Daily Data'!$B$4:$B$503,'Daily Data'!$B112,'Daily Data'!$A$4:$A$503,'Daily Data'!$A112,'Daily Data'!$Q$4:$Q$503,'Daily Data'!$Q112)&gt;1,"WARNING","OK"))</f>
        <v>OK</v>
      </c>
      <c r="R112" s="165" t="str">
        <f>IF($A112="","",IF(AND(N('Daily Data'!$K112)&gt;0,N('Daily Data'!$J112)&lt;=0),"WARNING","OK"))</f>
        <v>OK</v>
      </c>
      <c r="S112" s="165">
        <f>IF($A112="","",COUNTIF($D112:$R112,"ERROR"))</f>
        <v>0</v>
      </c>
      <c r="T112" s="165">
        <f>IF($A112="","",COUNTIF($D112:$R112,"WARNING"))</f>
        <v>0</v>
      </c>
      <c r="U112" s="165" t="str">
        <f>IF($A112="","",IF($S112&gt;0,"ERROR",IF($T112&gt;0,"WARNING","PASS")))</f>
        <v>PASS</v>
      </c>
    </row>
    <row r="113" spans="1:21" x14ac:dyDescent="0.3">
      <c r="A113">
        <f>IF(AND('Daily Data'!$A113="",'Daily Data'!$B113=""),"",113)</f>
        <v>113</v>
      </c>
      <c r="B113" s="16">
        <f>IF($A113="","",'Daily Data'!$A113)</f>
        <v>46247</v>
      </c>
      <c r="C113" t="str">
        <f>IF($A113="","",'Daily Data'!$B113)</f>
        <v>TCCL</v>
      </c>
      <c r="D113" s="165" t="str">
        <f>IF($A113="","",IF(COUNTIFS('Daily Data'!$B$4:$B$503,'Daily Data'!$B113,'Daily Data'!$A$4:$A$503,'Daily Data'!$A113)&gt;1,"ERROR","OK"))</f>
        <v>OK</v>
      </c>
      <c r="E113" s="165" t="str">
        <f>IF($A113="","",IF('Daily Data'!$B113="","ERROR","OK"))</f>
        <v>OK</v>
      </c>
      <c r="F113" s="165" t="str">
        <f>IF($A113="","",IF(NOT(ISNUMBER('Daily Data'!$A113)),"ERROR","OK"))</f>
        <v>OK</v>
      </c>
      <c r="G113" s="165" t="str">
        <f>IF($A113="","",IF(OR(N('Daily Data'!$E113)&lt;=0,N('Daily Data'!$C113)&lt;0,N('Daily Data'!$D113)&lt;0,N('Daily Data'!$F113)&lt;0,N('Daily Data'!$G113)&lt;0),"ERROR","OK"))</f>
        <v>OK</v>
      </c>
      <c r="H113" s="165" t="str">
        <f>IF($A113="","",IF(N('Daily Data'!$K113)&lt;0,"ERROR","OK"))</f>
        <v>OK</v>
      </c>
      <c r="I113" s="165" t="str">
        <f>IF($A113="","",IF(N('Daily Data'!$I113)&lt;0,"ERROR","OK"))</f>
        <v>OK</v>
      </c>
      <c r="J113" s="165" t="str">
        <f>IF($A113="","",IF(N('Daily Data'!$L113)&lt;0,"ERROR","OK"))</f>
        <v>OK</v>
      </c>
      <c r="K113" s="165" t="str">
        <f>IF($A113="","",IF(N('Daily Data'!$M113)&lt;0,"ERROR","OK"))</f>
        <v>OK</v>
      </c>
      <c r="L113" s="165" t="str">
        <f>IF($A113="","",IF(OR(N('Daily Data'!$F113)=0,N('Daily Data'!$G113)=0),"OK",IF(OR(N('Daily Data'!$E113)&gt;N('Daily Data'!$F113),N('Daily Data'!$E113)&lt;N('Daily Data'!$G113)),"ERROR","OK")))</f>
        <v>OK</v>
      </c>
      <c r="M113" s="165" t="str">
        <f>IF($A113="","",IF(N('Daily Data'!$AK113)&lt;=1,"OK",IF(ROUND(N('Daily Data'!$D113),2)=ROUND(SUMIFS('Daily Data'!$E$4:$E$503,'Daily Data'!$B$4:$B$503,'Daily Data'!$B113,'Daily Data'!$AK$4:$AK$503,'Daily Data'!$AK113-1),2),"OK","WARNING")))</f>
        <v>OK</v>
      </c>
      <c r="N113" s="165" t="str">
        <f>IF($A113="","",IF(N('Daily Data'!$N113)&lt;=0,"WARNING","OK"))</f>
        <v>OK</v>
      </c>
      <c r="O113" s="165" t="str">
        <f>IF($A113="","",IF(AND(ISNUMBER('Daily Data'!$H113),ABS(N('Daily Data'!$H113))&gt;Settings!$C$56),"WARNING","OK"))</f>
        <v>OK</v>
      </c>
      <c r="P113" s="165" t="str">
        <f>IF($A113="","",IF(OR(AND(N('Daily Data'!$K113)=0,N('Daily Data'!$I113)&gt;0),AND(N('Daily Data'!$I113)=0,N('Daily Data'!$K113)&gt;0),AND(N('Daily Data'!$L113)=0,N('Daily Data'!$M113)=0)),"WARNING","OK"))</f>
        <v>OK</v>
      </c>
      <c r="Q113" s="165" t="str">
        <f>IF($A113="","",IF(COUNTIFS('Daily Data'!$B$4:$B$503,'Daily Data'!$B113,'Daily Data'!$A$4:$A$503,'Daily Data'!$A113,'Daily Data'!$Q$4:$Q$503,'Daily Data'!$Q113)&gt;1,"WARNING","OK"))</f>
        <v>OK</v>
      </c>
      <c r="R113" s="165" t="str">
        <f>IF($A113="","",IF(AND(N('Daily Data'!$K113)&gt;0,N('Daily Data'!$J113)&lt;=0),"WARNING","OK"))</f>
        <v>OK</v>
      </c>
      <c r="S113" s="165">
        <f>IF($A113="","",COUNTIF($D113:$R113,"ERROR"))</f>
        <v>0</v>
      </c>
      <c r="T113" s="165">
        <f>IF($A113="","",COUNTIF($D113:$R113,"WARNING"))</f>
        <v>0</v>
      </c>
      <c r="U113" s="165" t="str">
        <f>IF($A113="","",IF($S113&gt;0,"ERROR",IF($T113&gt;0,"WARNING","PASS")))</f>
        <v>PASS</v>
      </c>
    </row>
    <row r="114" spans="1:21" x14ac:dyDescent="0.3">
      <c r="A114">
        <f>IF(AND('Daily Data'!$A114="",'Daily Data'!$B114=""),"",114)</f>
        <v>114</v>
      </c>
      <c r="B114" s="16">
        <f>IF($A114="","",'Daily Data'!$A114)</f>
        <v>46247</v>
      </c>
      <c r="C114" t="str">
        <f>IF($A114="","",'Daily Data'!$B114)</f>
        <v>TOL</v>
      </c>
      <c r="D114" s="165" t="str">
        <f>IF($A114="","",IF(COUNTIFS('Daily Data'!$B$4:$B$503,'Daily Data'!$B114,'Daily Data'!$A$4:$A$503,'Daily Data'!$A114)&gt;1,"ERROR","OK"))</f>
        <v>OK</v>
      </c>
      <c r="E114" s="165" t="str">
        <f>IF($A114="","",IF('Daily Data'!$B114="","ERROR","OK"))</f>
        <v>OK</v>
      </c>
      <c r="F114" s="165" t="str">
        <f>IF($A114="","",IF(NOT(ISNUMBER('Daily Data'!$A114)),"ERROR","OK"))</f>
        <v>OK</v>
      </c>
      <c r="G114" s="165" t="str">
        <f>IF($A114="","",IF(OR(N('Daily Data'!$E114)&lt;=0,N('Daily Data'!$C114)&lt;0,N('Daily Data'!$D114)&lt;0,N('Daily Data'!$F114)&lt;0,N('Daily Data'!$G114)&lt;0),"ERROR","OK"))</f>
        <v>OK</v>
      </c>
      <c r="H114" s="165" t="str">
        <f>IF($A114="","",IF(N('Daily Data'!$K114)&lt;0,"ERROR","OK"))</f>
        <v>OK</v>
      </c>
      <c r="I114" s="165" t="str">
        <f>IF($A114="","",IF(N('Daily Data'!$I114)&lt;0,"ERROR","OK"))</f>
        <v>OK</v>
      </c>
      <c r="J114" s="165" t="str">
        <f>IF($A114="","",IF(N('Daily Data'!$L114)&lt;0,"ERROR","OK"))</f>
        <v>OK</v>
      </c>
      <c r="K114" s="165" t="str">
        <f>IF($A114="","",IF(N('Daily Data'!$M114)&lt;0,"ERROR","OK"))</f>
        <v>OK</v>
      </c>
      <c r="L114" s="165" t="str">
        <f>IF($A114="","",IF(OR(N('Daily Data'!$F114)=0,N('Daily Data'!$G114)=0),"OK",IF(OR(N('Daily Data'!$E114)&gt;N('Daily Data'!$F114),N('Daily Data'!$E114)&lt;N('Daily Data'!$G114)),"ERROR","OK")))</f>
        <v>OK</v>
      </c>
      <c r="M114" s="165" t="str">
        <f>IF($A114="","",IF(N('Daily Data'!$AK114)&lt;=1,"OK",IF(ROUND(N('Daily Data'!$D114),2)=ROUND(SUMIFS('Daily Data'!$E$4:$E$503,'Daily Data'!$B$4:$B$503,'Daily Data'!$B114,'Daily Data'!$AK$4:$AK$503,'Daily Data'!$AK114-1),2),"OK","WARNING")))</f>
        <v>OK</v>
      </c>
      <c r="N114" s="165" t="str">
        <f>IF($A114="","",IF(N('Daily Data'!$N114)&lt;=0,"WARNING","OK"))</f>
        <v>OK</v>
      </c>
      <c r="O114" s="165" t="str">
        <f>IF($A114="","",IF(AND(ISNUMBER('Daily Data'!$H114),ABS(N('Daily Data'!$H114))&gt;Settings!$C$56),"WARNING","OK"))</f>
        <v>OK</v>
      </c>
      <c r="P114" s="165" t="str">
        <f>IF($A114="","",IF(OR(AND(N('Daily Data'!$K114)=0,N('Daily Data'!$I114)&gt;0),AND(N('Daily Data'!$I114)=0,N('Daily Data'!$K114)&gt;0),AND(N('Daily Data'!$L114)=0,N('Daily Data'!$M114)=0)),"WARNING","OK"))</f>
        <v>OK</v>
      </c>
      <c r="Q114" s="165" t="str">
        <f>IF($A114="","",IF(COUNTIFS('Daily Data'!$B$4:$B$503,'Daily Data'!$B114,'Daily Data'!$A$4:$A$503,'Daily Data'!$A114,'Daily Data'!$Q$4:$Q$503,'Daily Data'!$Q114)&gt;1,"WARNING","OK"))</f>
        <v>OK</v>
      </c>
      <c r="R114" s="165" t="str">
        <f>IF($A114="","",IF(AND(N('Daily Data'!$K114)&gt;0,N('Daily Data'!$J114)&lt;=0),"WARNING","OK"))</f>
        <v>OK</v>
      </c>
      <c r="S114" s="165">
        <f>IF($A114="","",COUNTIF($D114:$R114,"ERROR"))</f>
        <v>0</v>
      </c>
      <c r="T114" s="165">
        <f>IF($A114="","",COUNTIF($D114:$R114,"WARNING"))</f>
        <v>0</v>
      </c>
      <c r="U114" s="165" t="str">
        <f>IF($A114="","",IF($S114&gt;0,"ERROR",IF($T114&gt;0,"WARNING","PASS")))</f>
        <v>PASS</v>
      </c>
    </row>
    <row r="115" spans="1:21" x14ac:dyDescent="0.3">
      <c r="A115">
        <f>IF(AND('Daily Data'!$A115="",'Daily Data'!$B115=""),"",115)</f>
        <v>115</v>
      </c>
      <c r="B115" s="16">
        <f>IF($A115="","",'Daily Data'!$A115)</f>
        <v>46247</v>
      </c>
      <c r="C115" t="str">
        <f>IF($A115="","",'Daily Data'!$B115)</f>
        <v>TPCC</v>
      </c>
      <c r="D115" s="165" t="str">
        <f>IF($A115="","",IF(COUNTIFS('Daily Data'!$B$4:$B$503,'Daily Data'!$B115,'Daily Data'!$A$4:$A$503,'Daily Data'!$A115)&gt;1,"ERROR","OK"))</f>
        <v>OK</v>
      </c>
      <c r="E115" s="165" t="str">
        <f>IF($A115="","",IF('Daily Data'!$B115="","ERROR","OK"))</f>
        <v>OK</v>
      </c>
      <c r="F115" s="165" t="str">
        <f>IF($A115="","",IF(NOT(ISNUMBER('Daily Data'!$A115)),"ERROR","OK"))</f>
        <v>OK</v>
      </c>
      <c r="G115" s="165" t="str">
        <f>IF($A115="","",IF(OR(N('Daily Data'!$E115)&lt;=0,N('Daily Data'!$C115)&lt;0,N('Daily Data'!$D115)&lt;0,N('Daily Data'!$F115)&lt;0,N('Daily Data'!$G115)&lt;0),"ERROR","OK"))</f>
        <v>OK</v>
      </c>
      <c r="H115" s="165" t="str">
        <f>IF($A115="","",IF(N('Daily Data'!$K115)&lt;0,"ERROR","OK"))</f>
        <v>OK</v>
      </c>
      <c r="I115" s="165" t="str">
        <f>IF($A115="","",IF(N('Daily Data'!$I115)&lt;0,"ERROR","OK"))</f>
        <v>OK</v>
      </c>
      <c r="J115" s="165" t="str">
        <f>IF($A115="","",IF(N('Daily Data'!$L115)&lt;0,"ERROR","OK"))</f>
        <v>OK</v>
      </c>
      <c r="K115" s="165" t="str">
        <f>IF($A115="","",IF(N('Daily Data'!$M115)&lt;0,"ERROR","OK"))</f>
        <v>OK</v>
      </c>
      <c r="L115" s="165" t="str">
        <f>IF($A115="","",IF(OR(N('Daily Data'!$F115)=0,N('Daily Data'!$G115)=0),"OK",IF(OR(N('Daily Data'!$E115)&gt;N('Daily Data'!$F115),N('Daily Data'!$E115)&lt;N('Daily Data'!$G115)),"ERROR","OK")))</f>
        <v>OK</v>
      </c>
      <c r="M115" s="165" t="str">
        <f>IF($A115="","",IF(N('Daily Data'!$AK115)&lt;=1,"OK",IF(ROUND(N('Daily Data'!$D115),2)=ROUND(SUMIFS('Daily Data'!$E$4:$E$503,'Daily Data'!$B$4:$B$503,'Daily Data'!$B115,'Daily Data'!$AK$4:$AK$503,'Daily Data'!$AK115-1),2),"OK","WARNING")))</f>
        <v>OK</v>
      </c>
      <c r="N115" s="165" t="str">
        <f>IF($A115="","",IF(N('Daily Data'!$N115)&lt;=0,"WARNING","OK"))</f>
        <v>OK</v>
      </c>
      <c r="O115" s="165" t="str">
        <f>IF($A115="","",IF(AND(ISNUMBER('Daily Data'!$H115),ABS(N('Daily Data'!$H115))&gt;Settings!$C$56),"WARNING","OK"))</f>
        <v>OK</v>
      </c>
      <c r="P115" s="165" t="str">
        <f>IF($A115="","",IF(OR(AND(N('Daily Data'!$K115)=0,N('Daily Data'!$I115)&gt;0),AND(N('Daily Data'!$I115)=0,N('Daily Data'!$K115)&gt;0),AND(N('Daily Data'!$L115)=0,N('Daily Data'!$M115)=0)),"WARNING","OK"))</f>
        <v>OK</v>
      </c>
      <c r="Q115" s="165" t="str">
        <f>IF($A115="","",IF(COUNTIFS('Daily Data'!$B$4:$B$503,'Daily Data'!$B115,'Daily Data'!$A$4:$A$503,'Daily Data'!$A115,'Daily Data'!$Q$4:$Q$503,'Daily Data'!$Q115)&gt;1,"WARNING","OK"))</f>
        <v>OK</v>
      </c>
      <c r="R115" s="165" t="str">
        <f>IF($A115="","",IF(AND(N('Daily Data'!$K115)&gt;0,N('Daily Data'!$J115)&lt;=0),"WARNING","OK"))</f>
        <v>OK</v>
      </c>
      <c r="S115" s="165">
        <f>IF($A115="","",COUNTIF($D115:$R115,"ERROR"))</f>
        <v>0</v>
      </c>
      <c r="T115" s="165">
        <f>IF($A115="","",COUNTIF($D115:$R115,"WARNING"))</f>
        <v>0</v>
      </c>
      <c r="U115" s="165" t="str">
        <f>IF($A115="","",IF($S115&gt;0,"ERROR",IF($T115&gt;0,"WARNING","PASS")))</f>
        <v>PASS</v>
      </c>
    </row>
    <row r="116" spans="1:21" x14ac:dyDescent="0.3">
      <c r="A116">
        <f>IF(AND('Daily Data'!$A116="",'Daily Data'!$B116=""),"",116)</f>
        <v>116</v>
      </c>
      <c r="B116" s="16">
        <f>IF($A116="","",'Daily Data'!$A116)</f>
        <v>46247</v>
      </c>
      <c r="C116" t="str">
        <f>IF($A116="","",'Daily Data'!$B116)</f>
        <v>TTP</v>
      </c>
      <c r="D116" s="165" t="str">
        <f>IF($A116="","",IF(COUNTIFS('Daily Data'!$B$4:$B$503,'Daily Data'!$B116,'Daily Data'!$A$4:$A$503,'Daily Data'!$A116)&gt;1,"ERROR","OK"))</f>
        <v>OK</v>
      </c>
      <c r="E116" s="165" t="str">
        <f>IF($A116="","",IF('Daily Data'!$B116="","ERROR","OK"))</f>
        <v>OK</v>
      </c>
      <c r="F116" s="165" t="str">
        <f>IF($A116="","",IF(NOT(ISNUMBER('Daily Data'!$A116)),"ERROR","OK"))</f>
        <v>OK</v>
      </c>
      <c r="G116" s="165" t="str">
        <f>IF($A116="","",IF(OR(N('Daily Data'!$E116)&lt;=0,N('Daily Data'!$C116)&lt;0,N('Daily Data'!$D116)&lt;0,N('Daily Data'!$F116)&lt;0,N('Daily Data'!$G116)&lt;0),"ERROR","OK"))</f>
        <v>OK</v>
      </c>
      <c r="H116" s="165" t="str">
        <f>IF($A116="","",IF(N('Daily Data'!$K116)&lt;0,"ERROR","OK"))</f>
        <v>OK</v>
      </c>
      <c r="I116" s="165" t="str">
        <f>IF($A116="","",IF(N('Daily Data'!$I116)&lt;0,"ERROR","OK"))</f>
        <v>OK</v>
      </c>
      <c r="J116" s="165" t="str">
        <f>IF($A116="","",IF(N('Daily Data'!$L116)&lt;0,"ERROR","OK"))</f>
        <v>OK</v>
      </c>
      <c r="K116" s="165" t="str">
        <f>IF($A116="","",IF(N('Daily Data'!$M116)&lt;0,"ERROR","OK"))</f>
        <v>OK</v>
      </c>
      <c r="L116" s="165" t="str">
        <f>IF($A116="","",IF(OR(N('Daily Data'!$F116)=0,N('Daily Data'!$G116)=0),"OK",IF(OR(N('Daily Data'!$E116)&gt;N('Daily Data'!$F116),N('Daily Data'!$E116)&lt;N('Daily Data'!$G116)),"ERROR","OK")))</f>
        <v>OK</v>
      </c>
      <c r="M116" s="165" t="str">
        <f>IF($A116="","",IF(N('Daily Data'!$AK116)&lt;=1,"OK",IF(ROUND(N('Daily Data'!$D116),2)=ROUND(SUMIFS('Daily Data'!$E$4:$E$503,'Daily Data'!$B$4:$B$503,'Daily Data'!$B116,'Daily Data'!$AK$4:$AK$503,'Daily Data'!$AK116-1),2),"OK","WARNING")))</f>
        <v>OK</v>
      </c>
      <c r="N116" s="165" t="str">
        <f>IF($A116="","",IF(N('Daily Data'!$N116)&lt;=0,"WARNING","OK"))</f>
        <v>OK</v>
      </c>
      <c r="O116" s="165" t="str">
        <f>IF($A116="","",IF(AND(ISNUMBER('Daily Data'!$H116),ABS(N('Daily Data'!$H116))&gt;Settings!$C$56),"WARNING","OK"))</f>
        <v>OK</v>
      </c>
      <c r="P116" s="165" t="str">
        <f>IF($A116="","",IF(OR(AND(N('Daily Data'!$K116)=0,N('Daily Data'!$I116)&gt;0),AND(N('Daily Data'!$I116)=0,N('Daily Data'!$K116)&gt;0),AND(N('Daily Data'!$L116)=0,N('Daily Data'!$M116)=0)),"WARNING","OK"))</f>
        <v>OK</v>
      </c>
      <c r="Q116" s="165" t="str">
        <f>IF($A116="","",IF(COUNTIFS('Daily Data'!$B$4:$B$503,'Daily Data'!$B116,'Daily Data'!$A$4:$A$503,'Daily Data'!$A116,'Daily Data'!$Q$4:$Q$503,'Daily Data'!$Q116)&gt;1,"WARNING","OK"))</f>
        <v>OK</v>
      </c>
      <c r="R116" s="165" t="str">
        <f>IF($A116="","",IF(AND(N('Daily Data'!$K116)&gt;0,N('Daily Data'!$J116)&lt;=0),"WARNING","OK"))</f>
        <v>OK</v>
      </c>
      <c r="S116" s="165">
        <f>IF($A116="","",COUNTIF($D116:$R116,"ERROR"))</f>
        <v>0</v>
      </c>
      <c r="T116" s="165">
        <f>IF($A116="","",COUNTIF($D116:$R116,"WARNING"))</f>
        <v>0</v>
      </c>
      <c r="U116" s="165" t="str">
        <f>IF($A116="","",IF($S116&gt;0,"ERROR",IF($T116&gt;0,"WARNING","PASS")))</f>
        <v>PASS</v>
      </c>
    </row>
    <row r="117" spans="1:21" x14ac:dyDescent="0.3">
      <c r="A117">
        <f>IF(AND('Daily Data'!$A117="",'Daily Data'!$B117=""),"",117)</f>
        <v>117</v>
      </c>
      <c r="B117" s="16">
        <f>IF($A117="","",'Daily Data'!$A117)</f>
        <v>46247</v>
      </c>
      <c r="C117" t="str">
        <f>IF($A117="","",'Daily Data'!$B117)</f>
        <v>USL</v>
      </c>
      <c r="D117" s="165" t="str">
        <f>IF($A117="","",IF(COUNTIFS('Daily Data'!$B$4:$B$503,'Daily Data'!$B117,'Daily Data'!$A$4:$A$503,'Daily Data'!$A117)&gt;1,"ERROR","OK"))</f>
        <v>OK</v>
      </c>
      <c r="E117" s="165" t="str">
        <f>IF($A117="","",IF('Daily Data'!$B117="","ERROR","OK"))</f>
        <v>OK</v>
      </c>
      <c r="F117" s="165" t="str">
        <f>IF($A117="","",IF(NOT(ISNUMBER('Daily Data'!$A117)),"ERROR","OK"))</f>
        <v>OK</v>
      </c>
      <c r="G117" s="165" t="str">
        <f>IF($A117="","",IF(OR(N('Daily Data'!$E117)&lt;=0,N('Daily Data'!$C117)&lt;0,N('Daily Data'!$D117)&lt;0,N('Daily Data'!$F117)&lt;0,N('Daily Data'!$G117)&lt;0),"ERROR","OK"))</f>
        <v>OK</v>
      </c>
      <c r="H117" s="165" t="str">
        <f>IF($A117="","",IF(N('Daily Data'!$K117)&lt;0,"ERROR","OK"))</f>
        <v>OK</v>
      </c>
      <c r="I117" s="165" t="str">
        <f>IF($A117="","",IF(N('Daily Data'!$I117)&lt;0,"ERROR","OK"))</f>
        <v>OK</v>
      </c>
      <c r="J117" s="165" t="str">
        <f>IF($A117="","",IF(N('Daily Data'!$L117)&lt;0,"ERROR","OK"))</f>
        <v>OK</v>
      </c>
      <c r="K117" s="165" t="str">
        <f>IF($A117="","",IF(N('Daily Data'!$M117)&lt;0,"ERROR","OK"))</f>
        <v>OK</v>
      </c>
      <c r="L117" s="165" t="str">
        <f>IF($A117="","",IF(OR(N('Daily Data'!$F117)=0,N('Daily Data'!$G117)=0),"OK",IF(OR(N('Daily Data'!$E117)&gt;N('Daily Data'!$F117),N('Daily Data'!$E117)&lt;N('Daily Data'!$G117)),"ERROR","OK")))</f>
        <v>OK</v>
      </c>
      <c r="M117" s="165" t="str">
        <f>IF($A117="","",IF(N('Daily Data'!$AK117)&lt;=1,"OK",IF(ROUND(N('Daily Data'!$D117),2)=ROUND(SUMIFS('Daily Data'!$E$4:$E$503,'Daily Data'!$B$4:$B$503,'Daily Data'!$B117,'Daily Data'!$AK$4:$AK$503,'Daily Data'!$AK117-1),2),"OK","WARNING")))</f>
        <v>OK</v>
      </c>
      <c r="N117" s="165" t="str">
        <f>IF($A117="","",IF(N('Daily Data'!$N117)&lt;=0,"WARNING","OK"))</f>
        <v>OK</v>
      </c>
      <c r="O117" s="165" t="str">
        <f>IF($A117="","",IF(AND(ISNUMBER('Daily Data'!$H117),ABS(N('Daily Data'!$H117))&gt;Settings!$C$56),"WARNING","OK"))</f>
        <v>OK</v>
      </c>
      <c r="P117" s="165" t="str">
        <f>IF($A117="","",IF(OR(AND(N('Daily Data'!$K117)=0,N('Daily Data'!$I117)&gt;0),AND(N('Daily Data'!$I117)=0,N('Daily Data'!$K117)&gt;0),AND(N('Daily Data'!$L117)=0,N('Daily Data'!$M117)=0)),"WARNING","OK"))</f>
        <v>OK</v>
      </c>
      <c r="Q117" s="165" t="str">
        <f>IF($A117="","",IF(COUNTIFS('Daily Data'!$B$4:$B$503,'Daily Data'!$B117,'Daily Data'!$A$4:$A$503,'Daily Data'!$A117,'Daily Data'!$Q$4:$Q$503,'Daily Data'!$Q117)&gt;1,"WARNING","OK"))</f>
        <v>OK</v>
      </c>
      <c r="R117" s="165" t="str">
        <f>IF($A117="","",IF(AND(N('Daily Data'!$K117)&gt;0,N('Daily Data'!$J117)&lt;=0),"WARNING","OK"))</f>
        <v>OK</v>
      </c>
      <c r="S117" s="165">
        <f>IF($A117="","",COUNTIF($D117:$R117,"ERROR"))</f>
        <v>0</v>
      </c>
      <c r="T117" s="165">
        <f>IF($A117="","",COUNTIF($D117:$R117,"WARNING"))</f>
        <v>0</v>
      </c>
      <c r="U117" s="165" t="str">
        <f>IF($A117="","",IF($S117&gt;0,"ERROR",IF($T117&gt;0,"WARNING","PASS")))</f>
        <v>PASS</v>
      </c>
    </row>
    <row r="118" spans="1:21" x14ac:dyDescent="0.3">
      <c r="A118">
        <f>IF(AND('Daily Data'!$A118="",'Daily Data'!$B118=""),"",118)</f>
        <v>118</v>
      </c>
      <c r="B118" s="16">
        <f>IF($A118="","",'Daily Data'!$A118)</f>
        <v>46247</v>
      </c>
      <c r="C118" t="str">
        <f>IF($A118="","",'Daily Data'!$B118)</f>
        <v>VODA</v>
      </c>
      <c r="D118" s="165" t="str">
        <f>IF($A118="","",IF(COUNTIFS('Daily Data'!$B$4:$B$503,'Daily Data'!$B118,'Daily Data'!$A$4:$A$503,'Daily Data'!$A118)&gt;1,"ERROR","OK"))</f>
        <v>OK</v>
      </c>
      <c r="E118" s="165" t="str">
        <f>IF($A118="","",IF('Daily Data'!$B118="","ERROR","OK"))</f>
        <v>OK</v>
      </c>
      <c r="F118" s="165" t="str">
        <f>IF($A118="","",IF(NOT(ISNUMBER('Daily Data'!$A118)),"ERROR","OK"))</f>
        <v>OK</v>
      </c>
      <c r="G118" s="165" t="str">
        <f>IF($A118="","",IF(OR(N('Daily Data'!$E118)&lt;=0,N('Daily Data'!$C118)&lt;0,N('Daily Data'!$D118)&lt;0,N('Daily Data'!$F118)&lt;0,N('Daily Data'!$G118)&lt;0),"ERROR","OK"))</f>
        <v>OK</v>
      </c>
      <c r="H118" s="165" t="str">
        <f>IF($A118="","",IF(N('Daily Data'!$K118)&lt;0,"ERROR","OK"))</f>
        <v>OK</v>
      </c>
      <c r="I118" s="165" t="str">
        <f>IF($A118="","",IF(N('Daily Data'!$I118)&lt;0,"ERROR","OK"))</f>
        <v>OK</v>
      </c>
      <c r="J118" s="165" t="str">
        <f>IF($A118="","",IF(N('Daily Data'!$L118)&lt;0,"ERROR","OK"))</f>
        <v>OK</v>
      </c>
      <c r="K118" s="165" t="str">
        <f>IF($A118="","",IF(N('Daily Data'!$M118)&lt;0,"ERROR","OK"))</f>
        <v>OK</v>
      </c>
      <c r="L118" s="165" t="str">
        <f>IF($A118="","",IF(OR(N('Daily Data'!$F118)=0,N('Daily Data'!$G118)=0),"OK",IF(OR(N('Daily Data'!$E118)&gt;N('Daily Data'!$F118),N('Daily Data'!$E118)&lt;N('Daily Data'!$G118)),"ERROR","OK")))</f>
        <v>OK</v>
      </c>
      <c r="M118" s="165" t="str">
        <f>IF($A118="","",IF(N('Daily Data'!$AK118)&lt;=1,"OK",IF(ROUND(N('Daily Data'!$D118),2)=ROUND(SUMIFS('Daily Data'!$E$4:$E$503,'Daily Data'!$B$4:$B$503,'Daily Data'!$B118,'Daily Data'!$AK$4:$AK$503,'Daily Data'!$AK118-1),2),"OK","WARNING")))</f>
        <v>OK</v>
      </c>
      <c r="N118" s="165" t="str">
        <f>IF($A118="","",IF(N('Daily Data'!$N118)&lt;=0,"WARNING","OK"))</f>
        <v>OK</v>
      </c>
      <c r="O118" s="165" t="str">
        <f>IF($A118="","",IF(AND(ISNUMBER('Daily Data'!$H118),ABS(N('Daily Data'!$H118))&gt;Settings!$C$56),"WARNING","OK"))</f>
        <v>OK</v>
      </c>
      <c r="P118" s="165" t="str">
        <f>IF($A118="","",IF(OR(AND(N('Daily Data'!$K118)=0,N('Daily Data'!$I118)&gt;0),AND(N('Daily Data'!$I118)=0,N('Daily Data'!$K118)&gt;0),AND(N('Daily Data'!$L118)=0,N('Daily Data'!$M118)=0)),"WARNING","OK"))</f>
        <v>OK</v>
      </c>
      <c r="Q118" s="165" t="str">
        <f>IF($A118="","",IF(COUNTIFS('Daily Data'!$B$4:$B$503,'Daily Data'!$B118,'Daily Data'!$A$4:$A$503,'Daily Data'!$A118,'Daily Data'!$Q$4:$Q$503,'Daily Data'!$Q118)&gt;1,"WARNING","OK"))</f>
        <v>OK</v>
      </c>
      <c r="R118" s="165" t="str">
        <f>IF($A118="","",IF(AND(N('Daily Data'!$K118)&gt;0,N('Daily Data'!$J118)&lt;=0),"WARNING","OK"))</f>
        <v>OK</v>
      </c>
      <c r="S118" s="165">
        <f>IF($A118="","",COUNTIF($D118:$R118,"ERROR"))</f>
        <v>0</v>
      </c>
      <c r="T118" s="165">
        <f>IF($A118="","",COUNTIF($D118:$R118,"WARNING"))</f>
        <v>0</v>
      </c>
      <c r="U118" s="165" t="str">
        <f>IF($A118="","",IF($S118&gt;0,"ERROR",IF($T118&gt;0,"WARNING","PASS")))</f>
        <v>PASS</v>
      </c>
    </row>
    <row r="119" spans="1:21" x14ac:dyDescent="0.3">
      <c r="A119">
        <f>IF(AND('Daily Data'!$A119="",'Daily Data'!$B119=""),"",119)</f>
        <v>119</v>
      </c>
      <c r="B119" s="16">
        <f>IF($A119="","",'Daily Data'!$A119)</f>
        <v>46247</v>
      </c>
      <c r="C119" t="str">
        <f>IF($A119="","",'Daily Data'!$B119)</f>
        <v>YETU</v>
      </c>
      <c r="D119" s="165" t="str">
        <f>IF($A119="","",IF(COUNTIFS('Daily Data'!$B$4:$B$503,'Daily Data'!$B119,'Daily Data'!$A$4:$A$503,'Daily Data'!$A119)&gt;1,"ERROR","OK"))</f>
        <v>OK</v>
      </c>
      <c r="E119" s="165" t="str">
        <f>IF($A119="","",IF('Daily Data'!$B119="","ERROR","OK"))</f>
        <v>OK</v>
      </c>
      <c r="F119" s="165" t="str">
        <f>IF($A119="","",IF(NOT(ISNUMBER('Daily Data'!$A119)),"ERROR","OK"))</f>
        <v>OK</v>
      </c>
      <c r="G119" s="165" t="str">
        <f>IF($A119="","",IF(OR(N('Daily Data'!$E119)&lt;=0,N('Daily Data'!$C119)&lt;0,N('Daily Data'!$D119)&lt;0,N('Daily Data'!$F119)&lt;0,N('Daily Data'!$G119)&lt;0),"ERROR","OK"))</f>
        <v>OK</v>
      </c>
      <c r="H119" s="165" t="str">
        <f>IF($A119="","",IF(N('Daily Data'!$K119)&lt;0,"ERROR","OK"))</f>
        <v>OK</v>
      </c>
      <c r="I119" s="165" t="str">
        <f>IF($A119="","",IF(N('Daily Data'!$I119)&lt;0,"ERROR","OK"))</f>
        <v>OK</v>
      </c>
      <c r="J119" s="165" t="str">
        <f>IF($A119="","",IF(N('Daily Data'!$L119)&lt;0,"ERROR","OK"))</f>
        <v>OK</v>
      </c>
      <c r="K119" s="165" t="str">
        <f>IF($A119="","",IF(N('Daily Data'!$M119)&lt;0,"ERROR","OK"))</f>
        <v>OK</v>
      </c>
      <c r="L119" s="165" t="str">
        <f>IF($A119="","",IF(OR(N('Daily Data'!$F119)=0,N('Daily Data'!$G119)=0),"OK",IF(OR(N('Daily Data'!$E119)&gt;N('Daily Data'!$F119),N('Daily Data'!$E119)&lt;N('Daily Data'!$G119)),"ERROR","OK")))</f>
        <v>OK</v>
      </c>
      <c r="M119" s="165" t="str">
        <f>IF($A119="","",IF(N('Daily Data'!$AK119)&lt;=1,"OK",IF(ROUND(N('Daily Data'!$D119),2)=ROUND(SUMIFS('Daily Data'!$E$4:$E$503,'Daily Data'!$B$4:$B$503,'Daily Data'!$B119,'Daily Data'!$AK$4:$AK$503,'Daily Data'!$AK119-1),2),"OK","WARNING")))</f>
        <v>OK</v>
      </c>
      <c r="N119" s="165" t="str">
        <f>IF($A119="","",IF(N('Daily Data'!$N119)&lt;=0,"WARNING","OK"))</f>
        <v>OK</v>
      </c>
      <c r="O119" s="165" t="str">
        <f>IF($A119="","",IF(AND(ISNUMBER('Daily Data'!$H119),ABS(N('Daily Data'!$H119))&gt;Settings!$C$56),"WARNING","OK"))</f>
        <v>OK</v>
      </c>
      <c r="P119" s="165" t="str">
        <f>IF($A119="","",IF(OR(AND(N('Daily Data'!$K119)=0,N('Daily Data'!$I119)&gt;0),AND(N('Daily Data'!$I119)=0,N('Daily Data'!$K119)&gt;0),AND(N('Daily Data'!$L119)=0,N('Daily Data'!$M119)=0)),"WARNING","OK"))</f>
        <v>WARNING</v>
      </c>
      <c r="Q119" s="165" t="str">
        <f>IF($A119="","",IF(COUNTIFS('Daily Data'!$B$4:$B$503,'Daily Data'!$B119,'Daily Data'!$A$4:$A$503,'Daily Data'!$A119,'Daily Data'!$Q$4:$Q$503,'Daily Data'!$Q119)&gt;1,"WARNING","OK"))</f>
        <v>OK</v>
      </c>
      <c r="R119" s="165" t="str">
        <f>IF($A119="","",IF(AND(N('Daily Data'!$K119)&gt;0,N('Daily Data'!$J119)&lt;=0),"WARNING","OK"))</f>
        <v>OK</v>
      </c>
      <c r="S119" s="165">
        <f>IF($A119="","",COUNTIF($D119:$R119,"ERROR"))</f>
        <v>0</v>
      </c>
      <c r="T119" s="165">
        <f>IF($A119="","",COUNTIF($D119:$R119,"WARNING"))</f>
        <v>1</v>
      </c>
      <c r="U119" s="165" t="str">
        <f>IF($A119="","",IF($S119&gt;0,"ERROR",IF($T119&gt;0,"WARNING","PASS")))</f>
        <v>WARNING</v>
      </c>
    </row>
    <row r="120" spans="1:21" x14ac:dyDescent="0.3">
      <c r="A120">
        <f>IF(AND('Daily Data'!$A120="",'Daily Data'!$B120=""),"",120)</f>
        <v>120</v>
      </c>
      <c r="B120" s="16">
        <f>IF($A120="","",'Daily Data'!$A120)</f>
        <v>46247</v>
      </c>
      <c r="C120" t="str">
        <f>IF($A120="","",'Daily Data'!$B120)</f>
        <v>IEACLC-ETF</v>
      </c>
      <c r="D120" s="165" t="str">
        <f>IF($A120="","",IF(COUNTIFS('Daily Data'!$B$4:$B$503,'Daily Data'!$B120,'Daily Data'!$A$4:$A$503,'Daily Data'!$A120)&gt;1,"ERROR","OK"))</f>
        <v>OK</v>
      </c>
      <c r="E120" s="165" t="str">
        <f>IF($A120="","",IF('Daily Data'!$B120="","ERROR","OK"))</f>
        <v>OK</v>
      </c>
      <c r="F120" s="165" t="str">
        <f>IF($A120="","",IF(NOT(ISNUMBER('Daily Data'!$A120)),"ERROR","OK"))</f>
        <v>OK</v>
      </c>
      <c r="G120" s="165" t="str">
        <f>IF($A120="","",IF(OR(N('Daily Data'!$E120)&lt;=0,N('Daily Data'!$C120)&lt;0,N('Daily Data'!$D120)&lt;0,N('Daily Data'!$F120)&lt;0,N('Daily Data'!$G120)&lt;0),"ERROR","OK"))</f>
        <v>OK</v>
      </c>
      <c r="H120" s="165" t="str">
        <f>IF($A120="","",IF(N('Daily Data'!$K120)&lt;0,"ERROR","OK"))</f>
        <v>OK</v>
      </c>
      <c r="I120" s="165" t="str">
        <f>IF($A120="","",IF(N('Daily Data'!$I120)&lt;0,"ERROR","OK"))</f>
        <v>OK</v>
      </c>
      <c r="J120" s="165" t="str">
        <f>IF($A120="","",IF(N('Daily Data'!$L120)&lt;0,"ERROR","OK"))</f>
        <v>OK</v>
      </c>
      <c r="K120" s="165" t="str">
        <f>IF($A120="","",IF(N('Daily Data'!$M120)&lt;0,"ERROR","OK"))</f>
        <v>OK</v>
      </c>
      <c r="L120" s="165" t="str">
        <f>IF($A120="","",IF(OR(N('Daily Data'!$F120)=0,N('Daily Data'!$G120)=0),"OK",IF(OR(N('Daily Data'!$E120)&gt;N('Daily Data'!$F120),N('Daily Data'!$E120)&lt;N('Daily Data'!$G120)),"ERROR","OK")))</f>
        <v>OK</v>
      </c>
      <c r="M120" s="165" t="str">
        <f>IF($A120="","",IF(N('Daily Data'!$AK120)&lt;=1,"OK",IF(ROUND(N('Daily Data'!$D120),2)=ROUND(SUMIFS('Daily Data'!$E$4:$E$503,'Daily Data'!$B$4:$B$503,'Daily Data'!$B120,'Daily Data'!$AK$4:$AK$503,'Daily Data'!$AK120-1),2),"OK","WARNING")))</f>
        <v>OK</v>
      </c>
      <c r="N120" s="165" t="str">
        <f>IF($A120="","",IF(N('Daily Data'!$N120)&lt;=0,"WARNING","OK"))</f>
        <v>OK</v>
      </c>
      <c r="O120" s="165" t="str">
        <f>IF($A120="","",IF(AND(ISNUMBER('Daily Data'!$H120),ABS(N('Daily Data'!$H120))&gt;Settings!$C$56),"WARNING","OK"))</f>
        <v>OK</v>
      </c>
      <c r="P120" s="165" t="str">
        <f>IF($A120="","",IF(OR(AND(N('Daily Data'!$K120)=0,N('Daily Data'!$I120)&gt;0),AND(N('Daily Data'!$I120)=0,N('Daily Data'!$K120)&gt;0),AND(N('Daily Data'!$L120)=0,N('Daily Data'!$M120)=0)),"WARNING","OK"))</f>
        <v>OK</v>
      </c>
      <c r="Q120" s="165" t="str">
        <f>IF($A120="","",IF(COUNTIFS('Daily Data'!$B$4:$B$503,'Daily Data'!$B120,'Daily Data'!$A$4:$A$503,'Daily Data'!$A120,'Daily Data'!$Q$4:$Q$503,'Daily Data'!$Q120)&gt;1,"WARNING","OK"))</f>
        <v>OK</v>
      </c>
      <c r="R120" s="165" t="str">
        <f>IF($A120="","",IF(AND(N('Daily Data'!$K120)&gt;0,N('Daily Data'!$J120)&lt;=0),"WARNING","OK"))</f>
        <v>OK</v>
      </c>
      <c r="S120" s="165">
        <f>IF($A120="","",COUNTIF($D120:$R120,"ERROR"))</f>
        <v>0</v>
      </c>
      <c r="T120" s="165">
        <f>IF($A120="","",COUNTIF($D120:$R120,"WARNING"))</f>
        <v>0</v>
      </c>
      <c r="U120" s="165" t="str">
        <f>IF($A120="","",IF($S120&gt;0,"ERROR",IF($T120&gt;0,"WARNING","PASS")))</f>
        <v>PASS</v>
      </c>
    </row>
    <row r="121" spans="1:21" x14ac:dyDescent="0.3">
      <c r="A121">
        <f>IF(AND('Daily Data'!$A121="",'Daily Data'!$B121=""),"",121)</f>
        <v>121</v>
      </c>
      <c r="B121" s="16">
        <f>IF($A121="","",'Daily Data'!$A121)</f>
        <v>46247</v>
      </c>
      <c r="C121" t="str">
        <f>IF($A121="","",'Daily Data'!$B121)</f>
        <v>VERTEX-ETF</v>
      </c>
      <c r="D121" s="165" t="str">
        <f>IF($A121="","",IF(COUNTIFS('Daily Data'!$B$4:$B$503,'Daily Data'!$B121,'Daily Data'!$A$4:$A$503,'Daily Data'!$A121)&gt;1,"ERROR","OK"))</f>
        <v>OK</v>
      </c>
      <c r="E121" s="165" t="str">
        <f>IF($A121="","",IF('Daily Data'!$B121="","ERROR","OK"))</f>
        <v>OK</v>
      </c>
      <c r="F121" s="165" t="str">
        <f>IF($A121="","",IF(NOT(ISNUMBER('Daily Data'!$A121)),"ERROR","OK"))</f>
        <v>OK</v>
      </c>
      <c r="G121" s="165" t="str">
        <f>IF($A121="","",IF(OR(N('Daily Data'!$E121)&lt;=0,N('Daily Data'!$C121)&lt;0,N('Daily Data'!$D121)&lt;0,N('Daily Data'!$F121)&lt;0,N('Daily Data'!$G121)&lt;0),"ERROR","OK"))</f>
        <v>OK</v>
      </c>
      <c r="H121" s="165" t="str">
        <f>IF($A121="","",IF(N('Daily Data'!$K121)&lt;0,"ERROR","OK"))</f>
        <v>OK</v>
      </c>
      <c r="I121" s="165" t="str">
        <f>IF($A121="","",IF(N('Daily Data'!$I121)&lt;0,"ERROR","OK"))</f>
        <v>OK</v>
      </c>
      <c r="J121" s="165" t="str">
        <f>IF($A121="","",IF(N('Daily Data'!$L121)&lt;0,"ERROR","OK"))</f>
        <v>OK</v>
      </c>
      <c r="K121" s="165" t="str">
        <f>IF($A121="","",IF(N('Daily Data'!$M121)&lt;0,"ERROR","OK"))</f>
        <v>OK</v>
      </c>
      <c r="L121" s="165" t="str">
        <f>IF($A121="","",IF(OR(N('Daily Data'!$F121)=0,N('Daily Data'!$G121)=0),"OK",IF(OR(N('Daily Data'!$E121)&gt;N('Daily Data'!$F121),N('Daily Data'!$E121)&lt;N('Daily Data'!$G121)),"ERROR","OK")))</f>
        <v>OK</v>
      </c>
      <c r="M121" s="165" t="str">
        <f>IF($A121="","",IF(N('Daily Data'!$AK121)&lt;=1,"OK",IF(ROUND(N('Daily Data'!$D121),2)=ROUND(SUMIFS('Daily Data'!$E$4:$E$503,'Daily Data'!$B$4:$B$503,'Daily Data'!$B121,'Daily Data'!$AK$4:$AK$503,'Daily Data'!$AK121-1),2),"OK","WARNING")))</f>
        <v>OK</v>
      </c>
      <c r="N121" s="165" t="str">
        <f>IF($A121="","",IF(N('Daily Data'!$N121)&lt;=0,"WARNING","OK"))</f>
        <v>OK</v>
      </c>
      <c r="O121" s="165" t="str">
        <f>IF($A121="","",IF(AND(ISNUMBER('Daily Data'!$H121),ABS(N('Daily Data'!$H121))&gt;Settings!$C$56),"WARNING","OK"))</f>
        <v>OK</v>
      </c>
      <c r="P121" s="165" t="str">
        <f>IF($A121="","",IF(OR(AND(N('Daily Data'!$K121)=0,N('Daily Data'!$I121)&gt;0),AND(N('Daily Data'!$I121)=0,N('Daily Data'!$K121)&gt;0),AND(N('Daily Data'!$L121)=0,N('Daily Data'!$M121)=0)),"WARNING","OK"))</f>
        <v>OK</v>
      </c>
      <c r="Q121" s="165" t="str">
        <f>IF($A121="","",IF(COUNTIFS('Daily Data'!$B$4:$B$503,'Daily Data'!$B121,'Daily Data'!$A$4:$A$503,'Daily Data'!$A121,'Daily Data'!$Q$4:$Q$503,'Daily Data'!$Q121)&gt;1,"WARNING","OK"))</f>
        <v>OK</v>
      </c>
      <c r="R121" s="165" t="str">
        <f>IF($A121="","",IF(AND(N('Daily Data'!$K121)&gt;0,N('Daily Data'!$J121)&lt;=0),"WARNING","OK"))</f>
        <v>OK</v>
      </c>
      <c r="S121" s="165">
        <f>IF($A121="","",COUNTIF($D121:$R121,"ERROR"))</f>
        <v>0</v>
      </c>
      <c r="T121" s="165">
        <f>IF($A121="","",COUNTIF($D121:$R121,"WARNING"))</f>
        <v>0</v>
      </c>
      <c r="U121" s="165" t="str">
        <f>IF($A121="","",IF($S121&gt;0,"ERROR",IF($T121&gt;0,"WARNING","PASS")))</f>
        <v>PASS</v>
      </c>
    </row>
    <row r="122" spans="1:21" x14ac:dyDescent="0.3">
      <c r="A122">
        <f>IF(AND('Daily Data'!$A122="",'Daily Data'!$B122=""),"",122)</f>
        <v>122</v>
      </c>
      <c r="B122" s="16">
        <f>IF($A122="","",'Daily Data'!$A122)</f>
        <v>46248</v>
      </c>
      <c r="C122" t="str">
        <f>IF($A122="","",'Daily Data'!$B122)</f>
        <v>AFRIPRISE</v>
      </c>
      <c r="D122" s="165" t="str">
        <f>IF($A122="","",IF(COUNTIFS('Daily Data'!$B$4:$B$503,'Daily Data'!$B122,'Daily Data'!$A$4:$A$503,'Daily Data'!$A122)&gt;1,"ERROR","OK"))</f>
        <v>OK</v>
      </c>
      <c r="E122" s="165" t="str">
        <f>IF($A122="","",IF('Daily Data'!$B122="","ERROR","OK"))</f>
        <v>OK</v>
      </c>
      <c r="F122" s="165" t="str">
        <f>IF($A122="","",IF(NOT(ISNUMBER('Daily Data'!$A122)),"ERROR","OK"))</f>
        <v>OK</v>
      </c>
      <c r="G122" s="165" t="str">
        <f>IF($A122="","",IF(OR(N('Daily Data'!$E122)&lt;=0,N('Daily Data'!$C122)&lt;0,N('Daily Data'!$D122)&lt;0,N('Daily Data'!$F122)&lt;0,N('Daily Data'!$G122)&lt;0),"ERROR","OK"))</f>
        <v>OK</v>
      </c>
      <c r="H122" s="165" t="str">
        <f>IF($A122="","",IF(N('Daily Data'!$K122)&lt;0,"ERROR","OK"))</f>
        <v>OK</v>
      </c>
      <c r="I122" s="165" t="str">
        <f>IF($A122="","",IF(N('Daily Data'!$I122)&lt;0,"ERROR","OK"))</f>
        <v>OK</v>
      </c>
      <c r="J122" s="165" t="str">
        <f>IF($A122="","",IF(N('Daily Data'!$L122)&lt;0,"ERROR","OK"))</f>
        <v>OK</v>
      </c>
      <c r="K122" s="165" t="str">
        <f>IF($A122="","",IF(N('Daily Data'!$M122)&lt;0,"ERROR","OK"))</f>
        <v>OK</v>
      </c>
      <c r="L122" s="165" t="str">
        <f>IF($A122="","",IF(OR(N('Daily Data'!$F122)=0,N('Daily Data'!$G122)=0),"OK",IF(OR(N('Daily Data'!$E122)&gt;N('Daily Data'!$F122),N('Daily Data'!$E122)&lt;N('Daily Data'!$G122)),"ERROR","OK")))</f>
        <v>OK</v>
      </c>
      <c r="M122" s="165" t="str">
        <f>IF($A122="","",IF(N('Daily Data'!$AK122)&lt;=1,"OK",IF(ROUND(N('Daily Data'!$D122),2)=ROUND(SUMIFS('Daily Data'!$E$4:$E$503,'Daily Data'!$B$4:$B$503,'Daily Data'!$B122,'Daily Data'!$AK$4:$AK$503,'Daily Data'!$AK122-1),2),"OK","WARNING")))</f>
        <v>OK</v>
      </c>
      <c r="N122" s="165" t="str">
        <f>IF($A122="","",IF(N('Daily Data'!$N122)&lt;=0,"WARNING","OK"))</f>
        <v>OK</v>
      </c>
      <c r="O122" s="165" t="str">
        <f>IF($A122="","",IF(AND(ISNUMBER('Daily Data'!$H122),ABS(N('Daily Data'!$H122))&gt;Settings!$C$56),"WARNING","OK"))</f>
        <v>OK</v>
      </c>
      <c r="P122" s="165" t="str">
        <f>IF($A122="","",IF(OR(AND(N('Daily Data'!$K122)=0,N('Daily Data'!$I122)&gt;0),AND(N('Daily Data'!$I122)=0,N('Daily Data'!$K122)&gt;0),AND(N('Daily Data'!$L122)=0,N('Daily Data'!$M122)=0)),"WARNING","OK"))</f>
        <v>OK</v>
      </c>
      <c r="Q122" s="165" t="str">
        <f>IF($A122="","",IF(COUNTIFS('Daily Data'!$B$4:$B$503,'Daily Data'!$B122,'Daily Data'!$A$4:$A$503,'Daily Data'!$A122,'Daily Data'!$Q$4:$Q$503,'Daily Data'!$Q122)&gt;1,"WARNING","OK"))</f>
        <v>OK</v>
      </c>
      <c r="R122" s="165" t="str">
        <f>IF($A122="","",IF(AND(N('Daily Data'!$K122)&gt;0,N('Daily Data'!$J122)&lt;=0),"WARNING","OK"))</f>
        <v>OK</v>
      </c>
      <c r="S122" s="165">
        <f>IF($A122="","",COUNTIF($D122:$R122,"ERROR"))</f>
        <v>0</v>
      </c>
      <c r="T122" s="165">
        <f>IF($A122="","",COUNTIF($D122:$R122,"WARNING"))</f>
        <v>0</v>
      </c>
      <c r="U122" s="165" t="str">
        <f>IF($A122="","",IF($S122&gt;0,"ERROR",IF($T122&gt;0,"WARNING","PASS")))</f>
        <v>PASS</v>
      </c>
    </row>
    <row r="123" spans="1:21" x14ac:dyDescent="0.3">
      <c r="A123">
        <f>IF(AND('Daily Data'!$A123="",'Daily Data'!$B123=""),"",123)</f>
        <v>123</v>
      </c>
      <c r="B123" s="16">
        <f>IF($A123="","",'Daily Data'!$A123)</f>
        <v>46248</v>
      </c>
      <c r="C123" t="str">
        <f>IF($A123="","",'Daily Data'!$B123)</f>
        <v>CRDB</v>
      </c>
      <c r="D123" s="165" t="str">
        <f>IF($A123="","",IF(COUNTIFS('Daily Data'!$B$4:$B$503,'Daily Data'!$B123,'Daily Data'!$A$4:$A$503,'Daily Data'!$A123)&gt;1,"ERROR","OK"))</f>
        <v>OK</v>
      </c>
      <c r="E123" s="165" t="str">
        <f>IF($A123="","",IF('Daily Data'!$B123="","ERROR","OK"))</f>
        <v>OK</v>
      </c>
      <c r="F123" s="165" t="str">
        <f>IF($A123="","",IF(NOT(ISNUMBER('Daily Data'!$A123)),"ERROR","OK"))</f>
        <v>OK</v>
      </c>
      <c r="G123" s="165" t="str">
        <f>IF($A123="","",IF(OR(N('Daily Data'!$E123)&lt;=0,N('Daily Data'!$C123)&lt;0,N('Daily Data'!$D123)&lt;0,N('Daily Data'!$F123)&lt;0,N('Daily Data'!$G123)&lt;0),"ERROR","OK"))</f>
        <v>OK</v>
      </c>
      <c r="H123" s="165" t="str">
        <f>IF($A123="","",IF(N('Daily Data'!$K123)&lt;0,"ERROR","OK"))</f>
        <v>OK</v>
      </c>
      <c r="I123" s="165" t="str">
        <f>IF($A123="","",IF(N('Daily Data'!$I123)&lt;0,"ERROR","OK"))</f>
        <v>OK</v>
      </c>
      <c r="J123" s="165" t="str">
        <f>IF($A123="","",IF(N('Daily Data'!$L123)&lt;0,"ERROR","OK"))</f>
        <v>OK</v>
      </c>
      <c r="K123" s="165" t="str">
        <f>IF($A123="","",IF(N('Daily Data'!$M123)&lt;0,"ERROR","OK"))</f>
        <v>OK</v>
      </c>
      <c r="L123" s="165" t="str">
        <f>IF($A123="","",IF(OR(N('Daily Data'!$F123)=0,N('Daily Data'!$G123)=0),"OK",IF(OR(N('Daily Data'!$E123)&gt;N('Daily Data'!$F123),N('Daily Data'!$E123)&lt;N('Daily Data'!$G123)),"ERROR","OK")))</f>
        <v>OK</v>
      </c>
      <c r="M123" s="165" t="str">
        <f>IF($A123="","",IF(N('Daily Data'!$AK123)&lt;=1,"OK",IF(ROUND(N('Daily Data'!$D123),2)=ROUND(SUMIFS('Daily Data'!$E$4:$E$503,'Daily Data'!$B$4:$B$503,'Daily Data'!$B123,'Daily Data'!$AK$4:$AK$503,'Daily Data'!$AK123-1),2),"OK","WARNING")))</f>
        <v>OK</v>
      </c>
      <c r="N123" s="165" t="str">
        <f>IF($A123="","",IF(N('Daily Data'!$N123)&lt;=0,"WARNING","OK"))</f>
        <v>OK</v>
      </c>
      <c r="O123" s="165" t="str">
        <f>IF($A123="","",IF(AND(ISNUMBER('Daily Data'!$H123),ABS(N('Daily Data'!$H123))&gt;Settings!$C$56),"WARNING","OK"))</f>
        <v>OK</v>
      </c>
      <c r="P123" s="165" t="str">
        <f>IF($A123="","",IF(OR(AND(N('Daily Data'!$K123)=0,N('Daily Data'!$I123)&gt;0),AND(N('Daily Data'!$I123)=0,N('Daily Data'!$K123)&gt;0),AND(N('Daily Data'!$L123)=0,N('Daily Data'!$M123)=0)),"WARNING","OK"))</f>
        <v>OK</v>
      </c>
      <c r="Q123" s="165" t="str">
        <f>IF($A123="","",IF(COUNTIFS('Daily Data'!$B$4:$B$503,'Daily Data'!$B123,'Daily Data'!$A$4:$A$503,'Daily Data'!$A123,'Daily Data'!$Q$4:$Q$503,'Daily Data'!$Q123)&gt;1,"WARNING","OK"))</f>
        <v>OK</v>
      </c>
      <c r="R123" s="165" t="str">
        <f>IF($A123="","",IF(AND(N('Daily Data'!$K123)&gt;0,N('Daily Data'!$J123)&lt;=0),"WARNING","OK"))</f>
        <v>OK</v>
      </c>
      <c r="S123" s="165">
        <f>IF($A123="","",COUNTIF($D123:$R123,"ERROR"))</f>
        <v>0</v>
      </c>
      <c r="T123" s="165">
        <f>IF($A123="","",COUNTIF($D123:$R123,"WARNING"))</f>
        <v>0</v>
      </c>
      <c r="U123" s="165" t="str">
        <f>IF($A123="","",IF($S123&gt;0,"ERROR",IF($T123&gt;0,"WARNING","PASS")))</f>
        <v>PASS</v>
      </c>
    </row>
    <row r="124" spans="1:21" x14ac:dyDescent="0.3">
      <c r="A124">
        <f>IF(AND('Daily Data'!$A124="",'Daily Data'!$B124=""),"",124)</f>
        <v>124</v>
      </c>
      <c r="B124" s="16">
        <f>IF($A124="","",'Daily Data'!$A124)</f>
        <v>46248</v>
      </c>
      <c r="C124" t="str">
        <f>IF($A124="","",'Daily Data'!$B124)</f>
        <v>DCB</v>
      </c>
      <c r="D124" s="165" t="str">
        <f>IF($A124="","",IF(COUNTIFS('Daily Data'!$B$4:$B$503,'Daily Data'!$B124,'Daily Data'!$A$4:$A$503,'Daily Data'!$A124)&gt;1,"ERROR","OK"))</f>
        <v>OK</v>
      </c>
      <c r="E124" s="165" t="str">
        <f>IF($A124="","",IF('Daily Data'!$B124="","ERROR","OK"))</f>
        <v>OK</v>
      </c>
      <c r="F124" s="165" t="str">
        <f>IF($A124="","",IF(NOT(ISNUMBER('Daily Data'!$A124)),"ERROR","OK"))</f>
        <v>OK</v>
      </c>
      <c r="G124" s="165" t="str">
        <f>IF($A124="","",IF(OR(N('Daily Data'!$E124)&lt;=0,N('Daily Data'!$C124)&lt;0,N('Daily Data'!$D124)&lt;0,N('Daily Data'!$F124)&lt;0,N('Daily Data'!$G124)&lt;0),"ERROR","OK"))</f>
        <v>OK</v>
      </c>
      <c r="H124" s="165" t="str">
        <f>IF($A124="","",IF(N('Daily Data'!$K124)&lt;0,"ERROR","OK"))</f>
        <v>OK</v>
      </c>
      <c r="I124" s="165" t="str">
        <f>IF($A124="","",IF(N('Daily Data'!$I124)&lt;0,"ERROR","OK"))</f>
        <v>OK</v>
      </c>
      <c r="J124" s="165" t="str">
        <f>IF($A124="","",IF(N('Daily Data'!$L124)&lt;0,"ERROR","OK"))</f>
        <v>OK</v>
      </c>
      <c r="K124" s="165" t="str">
        <f>IF($A124="","",IF(N('Daily Data'!$M124)&lt;0,"ERROR","OK"))</f>
        <v>OK</v>
      </c>
      <c r="L124" s="165" t="str">
        <f>IF($A124="","",IF(OR(N('Daily Data'!$F124)=0,N('Daily Data'!$G124)=0),"OK",IF(OR(N('Daily Data'!$E124)&gt;N('Daily Data'!$F124),N('Daily Data'!$E124)&lt;N('Daily Data'!$G124)),"ERROR","OK")))</f>
        <v>OK</v>
      </c>
      <c r="M124" s="165" t="str">
        <f>IF($A124="","",IF(N('Daily Data'!$AK124)&lt;=1,"OK",IF(ROUND(N('Daily Data'!$D124),2)=ROUND(SUMIFS('Daily Data'!$E$4:$E$503,'Daily Data'!$B$4:$B$503,'Daily Data'!$B124,'Daily Data'!$AK$4:$AK$503,'Daily Data'!$AK124-1),2),"OK","WARNING")))</f>
        <v>OK</v>
      </c>
      <c r="N124" s="165" t="str">
        <f>IF($A124="","",IF(N('Daily Data'!$N124)&lt;=0,"WARNING","OK"))</f>
        <v>OK</v>
      </c>
      <c r="O124" s="165" t="str">
        <f>IF($A124="","",IF(AND(ISNUMBER('Daily Data'!$H124),ABS(N('Daily Data'!$H124))&gt;Settings!$C$56),"WARNING","OK"))</f>
        <v>OK</v>
      </c>
      <c r="P124" s="165" t="str">
        <f>IF($A124="","",IF(OR(AND(N('Daily Data'!$K124)=0,N('Daily Data'!$I124)&gt;0),AND(N('Daily Data'!$I124)=0,N('Daily Data'!$K124)&gt;0),AND(N('Daily Data'!$L124)=0,N('Daily Data'!$M124)=0)),"WARNING","OK"))</f>
        <v>OK</v>
      </c>
      <c r="Q124" s="165" t="str">
        <f>IF($A124="","",IF(COUNTIFS('Daily Data'!$B$4:$B$503,'Daily Data'!$B124,'Daily Data'!$A$4:$A$503,'Daily Data'!$A124,'Daily Data'!$Q$4:$Q$503,'Daily Data'!$Q124)&gt;1,"WARNING","OK"))</f>
        <v>OK</v>
      </c>
      <c r="R124" s="165" t="str">
        <f>IF($A124="","",IF(AND(N('Daily Data'!$K124)&gt;0,N('Daily Data'!$J124)&lt;=0),"WARNING","OK"))</f>
        <v>OK</v>
      </c>
      <c r="S124" s="165">
        <f>IF($A124="","",COUNTIF($D124:$R124,"ERROR"))</f>
        <v>0</v>
      </c>
      <c r="T124" s="165">
        <f>IF($A124="","",COUNTIF($D124:$R124,"WARNING"))</f>
        <v>0</v>
      </c>
      <c r="U124" s="165" t="str">
        <f>IF($A124="","",IF($S124&gt;0,"ERROR",IF($T124&gt;0,"WARNING","PASS")))</f>
        <v>PASS</v>
      </c>
    </row>
    <row r="125" spans="1:21" x14ac:dyDescent="0.3">
      <c r="A125">
        <f>IF(AND('Daily Data'!$A125="",'Daily Data'!$B125=""),"",125)</f>
        <v>125</v>
      </c>
      <c r="B125" s="16">
        <f>IF($A125="","",'Daily Data'!$A125)</f>
        <v>46248</v>
      </c>
      <c r="C125" t="str">
        <f>IF($A125="","",'Daily Data'!$B125)</f>
        <v>DSE</v>
      </c>
      <c r="D125" s="165" t="str">
        <f>IF($A125="","",IF(COUNTIFS('Daily Data'!$B$4:$B$503,'Daily Data'!$B125,'Daily Data'!$A$4:$A$503,'Daily Data'!$A125)&gt;1,"ERROR","OK"))</f>
        <v>OK</v>
      </c>
      <c r="E125" s="165" t="str">
        <f>IF($A125="","",IF('Daily Data'!$B125="","ERROR","OK"))</f>
        <v>OK</v>
      </c>
      <c r="F125" s="165" t="str">
        <f>IF($A125="","",IF(NOT(ISNUMBER('Daily Data'!$A125)),"ERROR","OK"))</f>
        <v>OK</v>
      </c>
      <c r="G125" s="165" t="str">
        <f>IF($A125="","",IF(OR(N('Daily Data'!$E125)&lt;=0,N('Daily Data'!$C125)&lt;0,N('Daily Data'!$D125)&lt;0,N('Daily Data'!$F125)&lt;0,N('Daily Data'!$G125)&lt;0),"ERROR","OK"))</f>
        <v>OK</v>
      </c>
      <c r="H125" s="165" t="str">
        <f>IF($A125="","",IF(N('Daily Data'!$K125)&lt;0,"ERROR","OK"))</f>
        <v>OK</v>
      </c>
      <c r="I125" s="165" t="str">
        <f>IF($A125="","",IF(N('Daily Data'!$I125)&lt;0,"ERROR","OK"))</f>
        <v>OK</v>
      </c>
      <c r="J125" s="165" t="str">
        <f>IF($A125="","",IF(N('Daily Data'!$L125)&lt;0,"ERROR","OK"))</f>
        <v>OK</v>
      </c>
      <c r="K125" s="165" t="str">
        <f>IF($A125="","",IF(N('Daily Data'!$M125)&lt;0,"ERROR","OK"))</f>
        <v>OK</v>
      </c>
      <c r="L125" s="165" t="str">
        <f>IF($A125="","",IF(OR(N('Daily Data'!$F125)=0,N('Daily Data'!$G125)=0),"OK",IF(OR(N('Daily Data'!$E125)&gt;N('Daily Data'!$F125),N('Daily Data'!$E125)&lt;N('Daily Data'!$G125)),"ERROR","OK")))</f>
        <v>OK</v>
      </c>
      <c r="M125" s="165" t="str">
        <f>IF($A125="","",IF(N('Daily Data'!$AK125)&lt;=1,"OK",IF(ROUND(N('Daily Data'!$D125),2)=ROUND(SUMIFS('Daily Data'!$E$4:$E$503,'Daily Data'!$B$4:$B$503,'Daily Data'!$B125,'Daily Data'!$AK$4:$AK$503,'Daily Data'!$AK125-1),2),"OK","WARNING")))</f>
        <v>OK</v>
      </c>
      <c r="N125" s="165" t="str">
        <f>IF($A125="","",IF(N('Daily Data'!$N125)&lt;=0,"WARNING","OK"))</f>
        <v>OK</v>
      </c>
      <c r="O125" s="165" t="str">
        <f>IF($A125="","",IF(AND(ISNUMBER('Daily Data'!$H125),ABS(N('Daily Data'!$H125))&gt;Settings!$C$56),"WARNING","OK"))</f>
        <v>OK</v>
      </c>
      <c r="P125" s="165" t="str">
        <f>IF($A125="","",IF(OR(AND(N('Daily Data'!$K125)=0,N('Daily Data'!$I125)&gt;0),AND(N('Daily Data'!$I125)=0,N('Daily Data'!$K125)&gt;0),AND(N('Daily Data'!$L125)=0,N('Daily Data'!$M125)=0)),"WARNING","OK"))</f>
        <v>OK</v>
      </c>
      <c r="Q125" s="165" t="str">
        <f>IF($A125="","",IF(COUNTIFS('Daily Data'!$B$4:$B$503,'Daily Data'!$B125,'Daily Data'!$A$4:$A$503,'Daily Data'!$A125,'Daily Data'!$Q$4:$Q$503,'Daily Data'!$Q125)&gt;1,"WARNING","OK"))</f>
        <v>OK</v>
      </c>
      <c r="R125" s="165" t="str">
        <f>IF($A125="","",IF(AND(N('Daily Data'!$K125)&gt;0,N('Daily Data'!$J125)&lt;=0),"WARNING","OK"))</f>
        <v>OK</v>
      </c>
      <c r="S125" s="165">
        <f>IF($A125="","",COUNTIF($D125:$R125,"ERROR"))</f>
        <v>0</v>
      </c>
      <c r="T125" s="165">
        <f>IF($A125="","",COUNTIF($D125:$R125,"WARNING"))</f>
        <v>0</v>
      </c>
      <c r="U125" s="165" t="str">
        <f>IF($A125="","",IF($S125&gt;0,"ERROR",IF($T125&gt;0,"WARNING","PASS")))</f>
        <v>PASS</v>
      </c>
    </row>
    <row r="126" spans="1:21" x14ac:dyDescent="0.3">
      <c r="A126">
        <f>IF(AND('Daily Data'!$A126="",'Daily Data'!$B126=""),"",126)</f>
        <v>126</v>
      </c>
      <c r="B126" s="16">
        <f>IF($A126="","",'Daily Data'!$A126)</f>
        <v>46248</v>
      </c>
      <c r="C126" t="str">
        <f>IF($A126="","",'Daily Data'!$B126)</f>
        <v>EABL</v>
      </c>
      <c r="D126" s="165" t="str">
        <f>IF($A126="","",IF(COUNTIFS('Daily Data'!$B$4:$B$503,'Daily Data'!$B126,'Daily Data'!$A$4:$A$503,'Daily Data'!$A126)&gt;1,"ERROR","OK"))</f>
        <v>OK</v>
      </c>
      <c r="E126" s="165" t="str">
        <f>IF($A126="","",IF('Daily Data'!$B126="","ERROR","OK"))</f>
        <v>OK</v>
      </c>
      <c r="F126" s="165" t="str">
        <f>IF($A126="","",IF(NOT(ISNUMBER('Daily Data'!$A126)),"ERROR","OK"))</f>
        <v>OK</v>
      </c>
      <c r="G126" s="165" t="str">
        <f>IF($A126="","",IF(OR(N('Daily Data'!$E126)&lt;=0,N('Daily Data'!$C126)&lt;0,N('Daily Data'!$D126)&lt;0,N('Daily Data'!$F126)&lt;0,N('Daily Data'!$G126)&lt;0),"ERROR","OK"))</f>
        <v>OK</v>
      </c>
      <c r="H126" s="165" t="str">
        <f>IF($A126="","",IF(N('Daily Data'!$K126)&lt;0,"ERROR","OK"))</f>
        <v>OK</v>
      </c>
      <c r="I126" s="165" t="str">
        <f>IF($A126="","",IF(N('Daily Data'!$I126)&lt;0,"ERROR","OK"))</f>
        <v>OK</v>
      </c>
      <c r="J126" s="165" t="str">
        <f>IF($A126="","",IF(N('Daily Data'!$L126)&lt;0,"ERROR","OK"))</f>
        <v>OK</v>
      </c>
      <c r="K126" s="165" t="str">
        <f>IF($A126="","",IF(N('Daily Data'!$M126)&lt;0,"ERROR","OK"))</f>
        <v>OK</v>
      </c>
      <c r="L126" s="165" t="str">
        <f>IF($A126="","",IF(OR(N('Daily Data'!$F126)=0,N('Daily Data'!$G126)=0),"OK",IF(OR(N('Daily Data'!$E126)&gt;N('Daily Data'!$F126),N('Daily Data'!$E126)&lt;N('Daily Data'!$G126)),"ERROR","OK")))</f>
        <v>OK</v>
      </c>
      <c r="M126" s="165" t="str">
        <f>IF($A126="","",IF(N('Daily Data'!$AK126)&lt;=1,"OK",IF(ROUND(N('Daily Data'!$D126),2)=ROUND(SUMIFS('Daily Data'!$E$4:$E$503,'Daily Data'!$B$4:$B$503,'Daily Data'!$B126,'Daily Data'!$AK$4:$AK$503,'Daily Data'!$AK126-1),2),"OK","WARNING")))</f>
        <v>OK</v>
      </c>
      <c r="N126" s="165" t="str">
        <f>IF($A126="","",IF(N('Daily Data'!$N126)&lt;=0,"WARNING","OK"))</f>
        <v>OK</v>
      </c>
      <c r="O126" s="165" t="str">
        <f>IF($A126="","",IF(AND(ISNUMBER('Daily Data'!$H126),ABS(N('Daily Data'!$H126))&gt;Settings!$C$56),"WARNING","OK"))</f>
        <v>OK</v>
      </c>
      <c r="P126" s="165" t="str">
        <f>IF($A126="","",IF(OR(AND(N('Daily Data'!$K126)=0,N('Daily Data'!$I126)&gt;0),AND(N('Daily Data'!$I126)=0,N('Daily Data'!$K126)&gt;0),AND(N('Daily Data'!$L126)=0,N('Daily Data'!$M126)=0)),"WARNING","OK"))</f>
        <v>OK</v>
      </c>
      <c r="Q126" s="165" t="str">
        <f>IF($A126="","",IF(COUNTIFS('Daily Data'!$B$4:$B$503,'Daily Data'!$B126,'Daily Data'!$A$4:$A$503,'Daily Data'!$A126,'Daily Data'!$Q$4:$Q$503,'Daily Data'!$Q126)&gt;1,"WARNING","OK"))</f>
        <v>OK</v>
      </c>
      <c r="R126" s="165" t="str">
        <f>IF($A126="","",IF(AND(N('Daily Data'!$K126)&gt;0,N('Daily Data'!$J126)&lt;=0),"WARNING","OK"))</f>
        <v>OK</v>
      </c>
      <c r="S126" s="165">
        <f>IF($A126="","",COUNTIF($D126:$R126,"ERROR"))</f>
        <v>0</v>
      </c>
      <c r="T126" s="165">
        <f>IF($A126="","",COUNTIF($D126:$R126,"WARNING"))</f>
        <v>0</v>
      </c>
      <c r="U126" s="165" t="str">
        <f>IF($A126="","",IF($S126&gt;0,"ERROR",IF($T126&gt;0,"WARNING","PASS")))</f>
        <v>PASS</v>
      </c>
    </row>
    <row r="127" spans="1:21" x14ac:dyDescent="0.3">
      <c r="A127">
        <f>IF(AND('Daily Data'!$A127="",'Daily Data'!$B127=""),"",127)</f>
        <v>127</v>
      </c>
      <c r="B127" s="16">
        <f>IF($A127="","",'Daily Data'!$A127)</f>
        <v>46248</v>
      </c>
      <c r="C127" t="str">
        <f>IF($A127="","",'Daily Data'!$B127)</f>
        <v>JATU</v>
      </c>
      <c r="D127" s="165" t="str">
        <f>IF($A127="","",IF(COUNTIFS('Daily Data'!$B$4:$B$503,'Daily Data'!$B127,'Daily Data'!$A$4:$A$503,'Daily Data'!$A127)&gt;1,"ERROR","OK"))</f>
        <v>OK</v>
      </c>
      <c r="E127" s="165" t="str">
        <f>IF($A127="","",IF('Daily Data'!$B127="","ERROR","OK"))</f>
        <v>OK</v>
      </c>
      <c r="F127" s="165" t="str">
        <f>IF($A127="","",IF(NOT(ISNUMBER('Daily Data'!$A127)),"ERROR","OK"))</f>
        <v>OK</v>
      </c>
      <c r="G127" s="165" t="str">
        <f>IF($A127="","",IF(OR(N('Daily Data'!$E127)&lt;=0,N('Daily Data'!$C127)&lt;0,N('Daily Data'!$D127)&lt;0,N('Daily Data'!$F127)&lt;0,N('Daily Data'!$G127)&lt;0),"ERROR","OK"))</f>
        <v>OK</v>
      </c>
      <c r="H127" s="165" t="str">
        <f>IF($A127="","",IF(N('Daily Data'!$K127)&lt;0,"ERROR","OK"))</f>
        <v>OK</v>
      </c>
      <c r="I127" s="165" t="str">
        <f>IF($A127="","",IF(N('Daily Data'!$I127)&lt;0,"ERROR","OK"))</f>
        <v>OK</v>
      </c>
      <c r="J127" s="165" t="str">
        <f>IF($A127="","",IF(N('Daily Data'!$L127)&lt;0,"ERROR","OK"))</f>
        <v>OK</v>
      </c>
      <c r="K127" s="165" t="str">
        <f>IF($A127="","",IF(N('Daily Data'!$M127)&lt;0,"ERROR","OK"))</f>
        <v>OK</v>
      </c>
      <c r="L127" s="165" t="str">
        <f>IF($A127="","",IF(OR(N('Daily Data'!$F127)=0,N('Daily Data'!$G127)=0),"OK",IF(OR(N('Daily Data'!$E127)&gt;N('Daily Data'!$F127),N('Daily Data'!$E127)&lt;N('Daily Data'!$G127)),"ERROR","OK")))</f>
        <v>OK</v>
      </c>
      <c r="M127" s="165" t="str">
        <f>IF($A127="","",IF(N('Daily Data'!$AK127)&lt;=1,"OK",IF(ROUND(N('Daily Data'!$D127),2)=ROUND(SUMIFS('Daily Data'!$E$4:$E$503,'Daily Data'!$B$4:$B$503,'Daily Data'!$B127,'Daily Data'!$AK$4:$AK$503,'Daily Data'!$AK127-1),2),"OK","WARNING")))</f>
        <v>OK</v>
      </c>
      <c r="N127" s="165" t="str">
        <f>IF($A127="","",IF(N('Daily Data'!$N127)&lt;=0,"WARNING","OK"))</f>
        <v>OK</v>
      </c>
      <c r="O127" s="165" t="str">
        <f>IF($A127="","",IF(AND(ISNUMBER('Daily Data'!$H127),ABS(N('Daily Data'!$H127))&gt;Settings!$C$56),"WARNING","OK"))</f>
        <v>OK</v>
      </c>
      <c r="P127" s="165" t="str">
        <f>IF($A127="","",IF(OR(AND(N('Daily Data'!$K127)=0,N('Daily Data'!$I127)&gt;0),AND(N('Daily Data'!$I127)=0,N('Daily Data'!$K127)&gt;0),AND(N('Daily Data'!$L127)=0,N('Daily Data'!$M127)=0)),"WARNING","OK"))</f>
        <v>OK</v>
      </c>
      <c r="Q127" s="165" t="str">
        <f>IF($A127="","",IF(COUNTIFS('Daily Data'!$B$4:$B$503,'Daily Data'!$B127,'Daily Data'!$A$4:$A$503,'Daily Data'!$A127,'Daily Data'!$Q$4:$Q$503,'Daily Data'!$Q127)&gt;1,"WARNING","OK"))</f>
        <v>OK</v>
      </c>
      <c r="R127" s="165" t="str">
        <f>IF($A127="","",IF(AND(N('Daily Data'!$K127)&gt;0,N('Daily Data'!$J127)&lt;=0),"WARNING","OK"))</f>
        <v>OK</v>
      </c>
      <c r="S127" s="165">
        <f>IF($A127="","",COUNTIF($D127:$R127,"ERROR"))</f>
        <v>0</v>
      </c>
      <c r="T127" s="165">
        <f>IF($A127="","",COUNTIF($D127:$R127,"WARNING"))</f>
        <v>0</v>
      </c>
      <c r="U127" s="165" t="str">
        <f>IF($A127="","",IF($S127&gt;0,"ERROR",IF($T127&gt;0,"WARNING","PASS")))</f>
        <v>PASS</v>
      </c>
    </row>
    <row r="128" spans="1:21" x14ac:dyDescent="0.3">
      <c r="A128">
        <f>IF(AND('Daily Data'!$A128="",'Daily Data'!$B128=""),"",128)</f>
        <v>128</v>
      </c>
      <c r="B128" s="16">
        <f>IF($A128="","",'Daily Data'!$A128)</f>
        <v>46248</v>
      </c>
      <c r="C128" t="str">
        <f>IF($A128="","",'Daily Data'!$B128)</f>
        <v>JHL</v>
      </c>
      <c r="D128" s="165" t="str">
        <f>IF($A128="","",IF(COUNTIFS('Daily Data'!$B$4:$B$503,'Daily Data'!$B128,'Daily Data'!$A$4:$A$503,'Daily Data'!$A128)&gt;1,"ERROR","OK"))</f>
        <v>OK</v>
      </c>
      <c r="E128" s="165" t="str">
        <f>IF($A128="","",IF('Daily Data'!$B128="","ERROR","OK"))</f>
        <v>OK</v>
      </c>
      <c r="F128" s="165" t="str">
        <f>IF($A128="","",IF(NOT(ISNUMBER('Daily Data'!$A128)),"ERROR","OK"))</f>
        <v>OK</v>
      </c>
      <c r="G128" s="165" t="str">
        <f>IF($A128="","",IF(OR(N('Daily Data'!$E128)&lt;=0,N('Daily Data'!$C128)&lt;0,N('Daily Data'!$D128)&lt;0,N('Daily Data'!$F128)&lt;0,N('Daily Data'!$G128)&lt;0),"ERROR","OK"))</f>
        <v>OK</v>
      </c>
      <c r="H128" s="165" t="str">
        <f>IF($A128="","",IF(N('Daily Data'!$K128)&lt;0,"ERROR","OK"))</f>
        <v>OK</v>
      </c>
      <c r="I128" s="165" t="str">
        <f>IF($A128="","",IF(N('Daily Data'!$I128)&lt;0,"ERROR","OK"))</f>
        <v>OK</v>
      </c>
      <c r="J128" s="165" t="str">
        <f>IF($A128="","",IF(N('Daily Data'!$L128)&lt;0,"ERROR","OK"))</f>
        <v>OK</v>
      </c>
      <c r="K128" s="165" t="str">
        <f>IF($A128="","",IF(N('Daily Data'!$M128)&lt;0,"ERROR","OK"))</f>
        <v>OK</v>
      </c>
      <c r="L128" s="165" t="str">
        <f>IF($A128="","",IF(OR(N('Daily Data'!$F128)=0,N('Daily Data'!$G128)=0),"OK",IF(OR(N('Daily Data'!$E128)&gt;N('Daily Data'!$F128),N('Daily Data'!$E128)&lt;N('Daily Data'!$G128)),"ERROR","OK")))</f>
        <v>OK</v>
      </c>
      <c r="M128" s="165" t="str">
        <f>IF($A128="","",IF(N('Daily Data'!$AK128)&lt;=1,"OK",IF(ROUND(N('Daily Data'!$D128),2)=ROUND(SUMIFS('Daily Data'!$E$4:$E$503,'Daily Data'!$B$4:$B$503,'Daily Data'!$B128,'Daily Data'!$AK$4:$AK$503,'Daily Data'!$AK128-1),2),"OK","WARNING")))</f>
        <v>OK</v>
      </c>
      <c r="N128" s="165" t="str">
        <f>IF($A128="","",IF(N('Daily Data'!$N128)&lt;=0,"WARNING","OK"))</f>
        <v>OK</v>
      </c>
      <c r="O128" s="165" t="str">
        <f>IF($A128="","",IF(AND(ISNUMBER('Daily Data'!$H128),ABS(N('Daily Data'!$H128))&gt;Settings!$C$56),"WARNING","OK"))</f>
        <v>OK</v>
      </c>
      <c r="P128" s="165" t="str">
        <f>IF($A128="","",IF(OR(AND(N('Daily Data'!$K128)=0,N('Daily Data'!$I128)&gt;0),AND(N('Daily Data'!$I128)=0,N('Daily Data'!$K128)&gt;0),AND(N('Daily Data'!$L128)=0,N('Daily Data'!$M128)=0)),"WARNING","OK"))</f>
        <v>OK</v>
      </c>
      <c r="Q128" s="165" t="str">
        <f>IF($A128="","",IF(COUNTIFS('Daily Data'!$B$4:$B$503,'Daily Data'!$B128,'Daily Data'!$A$4:$A$503,'Daily Data'!$A128,'Daily Data'!$Q$4:$Q$503,'Daily Data'!$Q128)&gt;1,"WARNING","OK"))</f>
        <v>OK</v>
      </c>
      <c r="R128" s="165" t="str">
        <f>IF($A128="","",IF(AND(N('Daily Data'!$K128)&gt;0,N('Daily Data'!$J128)&lt;=0),"WARNING","OK"))</f>
        <v>OK</v>
      </c>
      <c r="S128" s="165">
        <f>IF($A128="","",COUNTIF($D128:$R128,"ERROR"))</f>
        <v>0</v>
      </c>
      <c r="T128" s="165">
        <f>IF($A128="","",COUNTIF($D128:$R128,"WARNING"))</f>
        <v>0</v>
      </c>
      <c r="U128" s="165" t="str">
        <f>IF($A128="","",IF($S128&gt;0,"ERROR",IF($T128&gt;0,"WARNING","PASS")))</f>
        <v>PASS</v>
      </c>
    </row>
    <row r="129" spans="1:21" x14ac:dyDescent="0.3">
      <c r="A129">
        <f>IF(AND('Daily Data'!$A129="",'Daily Data'!$B129=""),"",129)</f>
        <v>129</v>
      </c>
      <c r="B129" s="16">
        <f>IF($A129="","",'Daily Data'!$A129)</f>
        <v>46248</v>
      </c>
      <c r="C129" t="str">
        <f>IF($A129="","",'Daily Data'!$B129)</f>
        <v>KA</v>
      </c>
      <c r="D129" s="165" t="str">
        <f>IF($A129="","",IF(COUNTIFS('Daily Data'!$B$4:$B$503,'Daily Data'!$B129,'Daily Data'!$A$4:$A$503,'Daily Data'!$A129)&gt;1,"ERROR","OK"))</f>
        <v>OK</v>
      </c>
      <c r="E129" s="165" t="str">
        <f>IF($A129="","",IF('Daily Data'!$B129="","ERROR","OK"))</f>
        <v>OK</v>
      </c>
      <c r="F129" s="165" t="str">
        <f>IF($A129="","",IF(NOT(ISNUMBER('Daily Data'!$A129)),"ERROR","OK"))</f>
        <v>OK</v>
      </c>
      <c r="G129" s="165" t="str">
        <f>IF($A129="","",IF(OR(N('Daily Data'!$E129)&lt;=0,N('Daily Data'!$C129)&lt;0,N('Daily Data'!$D129)&lt;0,N('Daily Data'!$F129)&lt;0,N('Daily Data'!$G129)&lt;0),"ERROR","OK"))</f>
        <v>OK</v>
      </c>
      <c r="H129" s="165" t="str">
        <f>IF($A129="","",IF(N('Daily Data'!$K129)&lt;0,"ERROR","OK"))</f>
        <v>OK</v>
      </c>
      <c r="I129" s="165" t="str">
        <f>IF($A129="","",IF(N('Daily Data'!$I129)&lt;0,"ERROR","OK"))</f>
        <v>OK</v>
      </c>
      <c r="J129" s="165" t="str">
        <f>IF($A129="","",IF(N('Daily Data'!$L129)&lt;0,"ERROR","OK"))</f>
        <v>OK</v>
      </c>
      <c r="K129" s="165" t="str">
        <f>IF($A129="","",IF(N('Daily Data'!$M129)&lt;0,"ERROR","OK"))</f>
        <v>OK</v>
      </c>
      <c r="L129" s="165" t="str">
        <f>IF($A129="","",IF(OR(N('Daily Data'!$F129)=0,N('Daily Data'!$G129)=0),"OK",IF(OR(N('Daily Data'!$E129)&gt;N('Daily Data'!$F129),N('Daily Data'!$E129)&lt;N('Daily Data'!$G129)),"ERROR","OK")))</f>
        <v>OK</v>
      </c>
      <c r="M129" s="165" t="str">
        <f>IF($A129="","",IF(N('Daily Data'!$AK129)&lt;=1,"OK",IF(ROUND(N('Daily Data'!$D129),2)=ROUND(SUMIFS('Daily Data'!$E$4:$E$503,'Daily Data'!$B$4:$B$503,'Daily Data'!$B129,'Daily Data'!$AK$4:$AK$503,'Daily Data'!$AK129-1),2),"OK","WARNING")))</f>
        <v>OK</v>
      </c>
      <c r="N129" s="165" t="str">
        <f>IF($A129="","",IF(N('Daily Data'!$N129)&lt;=0,"WARNING","OK"))</f>
        <v>OK</v>
      </c>
      <c r="O129" s="165" t="str">
        <f>IF($A129="","",IF(AND(ISNUMBER('Daily Data'!$H129),ABS(N('Daily Data'!$H129))&gt;Settings!$C$56),"WARNING","OK"))</f>
        <v>OK</v>
      </c>
      <c r="P129" s="165" t="str">
        <f>IF($A129="","",IF(OR(AND(N('Daily Data'!$K129)=0,N('Daily Data'!$I129)&gt;0),AND(N('Daily Data'!$I129)=0,N('Daily Data'!$K129)&gt;0),AND(N('Daily Data'!$L129)=0,N('Daily Data'!$M129)=0)),"WARNING","OK"))</f>
        <v>OK</v>
      </c>
      <c r="Q129" s="165" t="str">
        <f>IF($A129="","",IF(COUNTIFS('Daily Data'!$B$4:$B$503,'Daily Data'!$B129,'Daily Data'!$A$4:$A$503,'Daily Data'!$A129,'Daily Data'!$Q$4:$Q$503,'Daily Data'!$Q129)&gt;1,"WARNING","OK"))</f>
        <v>OK</v>
      </c>
      <c r="R129" s="165" t="str">
        <f>IF($A129="","",IF(AND(N('Daily Data'!$K129)&gt;0,N('Daily Data'!$J129)&lt;=0),"WARNING","OK"))</f>
        <v>OK</v>
      </c>
      <c r="S129" s="165">
        <f>IF($A129="","",COUNTIF($D129:$R129,"ERROR"))</f>
        <v>0</v>
      </c>
      <c r="T129" s="165">
        <f>IF($A129="","",COUNTIF($D129:$R129,"WARNING"))</f>
        <v>0</v>
      </c>
      <c r="U129" s="165" t="str">
        <f>IF($A129="","",IF($S129&gt;0,"ERROR",IF($T129&gt;0,"WARNING","PASS")))</f>
        <v>PASS</v>
      </c>
    </row>
    <row r="130" spans="1:21" x14ac:dyDescent="0.3">
      <c r="A130">
        <f>IF(AND('Daily Data'!$A130="",'Daily Data'!$B130=""),"",130)</f>
        <v>130</v>
      </c>
      <c r="B130" s="16">
        <f>IF($A130="","",'Daily Data'!$A130)</f>
        <v>46248</v>
      </c>
      <c r="C130" t="str">
        <f>IF($A130="","",'Daily Data'!$B130)</f>
        <v>KCB</v>
      </c>
      <c r="D130" s="165" t="str">
        <f>IF($A130="","",IF(COUNTIFS('Daily Data'!$B$4:$B$503,'Daily Data'!$B130,'Daily Data'!$A$4:$A$503,'Daily Data'!$A130)&gt;1,"ERROR","OK"))</f>
        <v>OK</v>
      </c>
      <c r="E130" s="165" t="str">
        <f>IF($A130="","",IF('Daily Data'!$B130="","ERROR","OK"))</f>
        <v>OK</v>
      </c>
      <c r="F130" s="165" t="str">
        <f>IF($A130="","",IF(NOT(ISNUMBER('Daily Data'!$A130)),"ERROR","OK"))</f>
        <v>OK</v>
      </c>
      <c r="G130" s="165" t="str">
        <f>IF($A130="","",IF(OR(N('Daily Data'!$E130)&lt;=0,N('Daily Data'!$C130)&lt;0,N('Daily Data'!$D130)&lt;0,N('Daily Data'!$F130)&lt;0,N('Daily Data'!$G130)&lt;0),"ERROR","OK"))</f>
        <v>OK</v>
      </c>
      <c r="H130" s="165" t="str">
        <f>IF($A130="","",IF(N('Daily Data'!$K130)&lt;0,"ERROR","OK"))</f>
        <v>OK</v>
      </c>
      <c r="I130" s="165" t="str">
        <f>IF($A130="","",IF(N('Daily Data'!$I130)&lt;0,"ERROR","OK"))</f>
        <v>OK</v>
      </c>
      <c r="J130" s="165" t="str">
        <f>IF($A130="","",IF(N('Daily Data'!$L130)&lt;0,"ERROR","OK"))</f>
        <v>OK</v>
      </c>
      <c r="K130" s="165" t="str">
        <f>IF($A130="","",IF(N('Daily Data'!$M130)&lt;0,"ERROR","OK"))</f>
        <v>OK</v>
      </c>
      <c r="L130" s="165" t="str">
        <f>IF($A130="","",IF(OR(N('Daily Data'!$F130)=0,N('Daily Data'!$G130)=0),"OK",IF(OR(N('Daily Data'!$E130)&gt;N('Daily Data'!$F130),N('Daily Data'!$E130)&lt;N('Daily Data'!$G130)),"ERROR","OK")))</f>
        <v>OK</v>
      </c>
      <c r="M130" s="165" t="str">
        <f>IF($A130="","",IF(N('Daily Data'!$AK130)&lt;=1,"OK",IF(ROUND(N('Daily Data'!$D130),2)=ROUND(SUMIFS('Daily Data'!$E$4:$E$503,'Daily Data'!$B$4:$B$503,'Daily Data'!$B130,'Daily Data'!$AK$4:$AK$503,'Daily Data'!$AK130-1),2),"OK","WARNING")))</f>
        <v>OK</v>
      </c>
      <c r="N130" s="165" t="str">
        <f>IF($A130="","",IF(N('Daily Data'!$N130)&lt;=0,"WARNING","OK"))</f>
        <v>OK</v>
      </c>
      <c r="O130" s="165" t="str">
        <f>IF($A130="","",IF(AND(ISNUMBER('Daily Data'!$H130),ABS(N('Daily Data'!$H130))&gt;Settings!$C$56),"WARNING","OK"))</f>
        <v>OK</v>
      </c>
      <c r="P130" s="165" t="str">
        <f>IF($A130="","",IF(OR(AND(N('Daily Data'!$K130)=0,N('Daily Data'!$I130)&gt;0),AND(N('Daily Data'!$I130)=0,N('Daily Data'!$K130)&gt;0),AND(N('Daily Data'!$L130)=0,N('Daily Data'!$M130)=0)),"WARNING","OK"))</f>
        <v>OK</v>
      </c>
      <c r="Q130" s="165" t="str">
        <f>IF($A130="","",IF(COUNTIFS('Daily Data'!$B$4:$B$503,'Daily Data'!$B130,'Daily Data'!$A$4:$A$503,'Daily Data'!$A130,'Daily Data'!$Q$4:$Q$503,'Daily Data'!$Q130)&gt;1,"WARNING","OK"))</f>
        <v>OK</v>
      </c>
      <c r="R130" s="165" t="str">
        <f>IF($A130="","",IF(AND(N('Daily Data'!$K130)&gt;0,N('Daily Data'!$J130)&lt;=0),"WARNING","OK"))</f>
        <v>OK</v>
      </c>
      <c r="S130" s="165">
        <f>IF($A130="","",COUNTIF($D130:$R130,"ERROR"))</f>
        <v>0</v>
      </c>
      <c r="T130" s="165">
        <f>IF($A130="","",COUNTIF($D130:$R130,"WARNING"))</f>
        <v>0</v>
      </c>
      <c r="U130" s="165" t="str">
        <f>IF($A130="","",IF($S130&gt;0,"ERROR",IF($T130&gt;0,"WARNING","PASS")))</f>
        <v>PASS</v>
      </c>
    </row>
    <row r="131" spans="1:21" x14ac:dyDescent="0.3">
      <c r="A131">
        <f>IF(AND('Daily Data'!$A131="",'Daily Data'!$B131=""),"",131)</f>
        <v>131</v>
      </c>
      <c r="B131" s="16">
        <f>IF($A131="","",'Daily Data'!$A131)</f>
        <v>46248</v>
      </c>
      <c r="C131" t="str">
        <f>IF($A131="","",'Daily Data'!$B131)</f>
        <v>MBP</v>
      </c>
      <c r="D131" s="165" t="str">
        <f>IF($A131="","",IF(COUNTIFS('Daily Data'!$B$4:$B$503,'Daily Data'!$B131,'Daily Data'!$A$4:$A$503,'Daily Data'!$A131)&gt;1,"ERROR","OK"))</f>
        <v>OK</v>
      </c>
      <c r="E131" s="165" t="str">
        <f>IF($A131="","",IF('Daily Data'!$B131="","ERROR","OK"))</f>
        <v>OK</v>
      </c>
      <c r="F131" s="165" t="str">
        <f>IF($A131="","",IF(NOT(ISNUMBER('Daily Data'!$A131)),"ERROR","OK"))</f>
        <v>OK</v>
      </c>
      <c r="G131" s="165" t="str">
        <f>IF($A131="","",IF(OR(N('Daily Data'!$E131)&lt;=0,N('Daily Data'!$C131)&lt;0,N('Daily Data'!$D131)&lt;0,N('Daily Data'!$F131)&lt;0,N('Daily Data'!$G131)&lt;0),"ERROR","OK"))</f>
        <v>OK</v>
      </c>
      <c r="H131" s="165" t="str">
        <f>IF($A131="","",IF(N('Daily Data'!$K131)&lt;0,"ERROR","OK"))</f>
        <v>OK</v>
      </c>
      <c r="I131" s="165" t="str">
        <f>IF($A131="","",IF(N('Daily Data'!$I131)&lt;0,"ERROR","OK"))</f>
        <v>OK</v>
      </c>
      <c r="J131" s="165" t="str">
        <f>IF($A131="","",IF(N('Daily Data'!$L131)&lt;0,"ERROR","OK"))</f>
        <v>OK</v>
      </c>
      <c r="K131" s="165" t="str">
        <f>IF($A131="","",IF(N('Daily Data'!$M131)&lt;0,"ERROR","OK"))</f>
        <v>OK</v>
      </c>
      <c r="L131" s="165" t="str">
        <f>IF($A131="","",IF(OR(N('Daily Data'!$F131)=0,N('Daily Data'!$G131)=0),"OK",IF(OR(N('Daily Data'!$E131)&gt;N('Daily Data'!$F131),N('Daily Data'!$E131)&lt;N('Daily Data'!$G131)),"ERROR","OK")))</f>
        <v>OK</v>
      </c>
      <c r="M131" s="165" t="str">
        <f>IF($A131="","",IF(N('Daily Data'!$AK131)&lt;=1,"OK",IF(ROUND(N('Daily Data'!$D131),2)=ROUND(SUMIFS('Daily Data'!$E$4:$E$503,'Daily Data'!$B$4:$B$503,'Daily Data'!$B131,'Daily Data'!$AK$4:$AK$503,'Daily Data'!$AK131-1),2),"OK","WARNING")))</f>
        <v>OK</v>
      </c>
      <c r="N131" s="165" t="str">
        <f>IF($A131="","",IF(N('Daily Data'!$N131)&lt;=0,"WARNING","OK"))</f>
        <v>OK</v>
      </c>
      <c r="O131" s="165" t="str">
        <f>IF($A131="","",IF(AND(ISNUMBER('Daily Data'!$H131),ABS(N('Daily Data'!$H131))&gt;Settings!$C$56),"WARNING","OK"))</f>
        <v>OK</v>
      </c>
      <c r="P131" s="165" t="str">
        <f>IF($A131="","",IF(OR(AND(N('Daily Data'!$K131)=0,N('Daily Data'!$I131)&gt;0),AND(N('Daily Data'!$I131)=0,N('Daily Data'!$K131)&gt;0),AND(N('Daily Data'!$L131)=0,N('Daily Data'!$M131)=0)),"WARNING","OK"))</f>
        <v>OK</v>
      </c>
      <c r="Q131" s="165" t="str">
        <f>IF($A131="","",IF(COUNTIFS('Daily Data'!$B$4:$B$503,'Daily Data'!$B131,'Daily Data'!$A$4:$A$503,'Daily Data'!$A131,'Daily Data'!$Q$4:$Q$503,'Daily Data'!$Q131)&gt;1,"WARNING","OK"))</f>
        <v>OK</v>
      </c>
      <c r="R131" s="165" t="str">
        <f>IF($A131="","",IF(AND(N('Daily Data'!$K131)&gt;0,N('Daily Data'!$J131)&lt;=0),"WARNING","OK"))</f>
        <v>OK</v>
      </c>
      <c r="S131" s="165">
        <f>IF($A131="","",COUNTIF($D131:$R131,"ERROR"))</f>
        <v>0</v>
      </c>
      <c r="T131" s="165">
        <f>IF($A131="","",COUNTIF($D131:$R131,"WARNING"))</f>
        <v>0</v>
      </c>
      <c r="U131" s="165" t="str">
        <f>IF($A131="","",IF($S131&gt;0,"ERROR",IF($T131&gt;0,"WARNING","PASS")))</f>
        <v>PASS</v>
      </c>
    </row>
    <row r="132" spans="1:21" x14ac:dyDescent="0.3">
      <c r="A132">
        <f>IF(AND('Daily Data'!$A132="",'Daily Data'!$B132=""),"",132)</f>
        <v>132</v>
      </c>
      <c r="B132" s="16">
        <f>IF($A132="","",'Daily Data'!$A132)</f>
        <v>46248</v>
      </c>
      <c r="C132" t="str">
        <f>IF($A132="","",'Daily Data'!$B132)</f>
        <v>MCB</v>
      </c>
      <c r="D132" s="165" t="str">
        <f>IF($A132="","",IF(COUNTIFS('Daily Data'!$B$4:$B$503,'Daily Data'!$B132,'Daily Data'!$A$4:$A$503,'Daily Data'!$A132)&gt;1,"ERROR","OK"))</f>
        <v>OK</v>
      </c>
      <c r="E132" s="165" t="str">
        <f>IF($A132="","",IF('Daily Data'!$B132="","ERROR","OK"))</f>
        <v>OK</v>
      </c>
      <c r="F132" s="165" t="str">
        <f>IF($A132="","",IF(NOT(ISNUMBER('Daily Data'!$A132)),"ERROR","OK"))</f>
        <v>OK</v>
      </c>
      <c r="G132" s="165" t="str">
        <f>IF($A132="","",IF(OR(N('Daily Data'!$E132)&lt;=0,N('Daily Data'!$C132)&lt;0,N('Daily Data'!$D132)&lt;0,N('Daily Data'!$F132)&lt;0,N('Daily Data'!$G132)&lt;0),"ERROR","OK"))</f>
        <v>OK</v>
      </c>
      <c r="H132" s="165" t="str">
        <f>IF($A132="","",IF(N('Daily Data'!$K132)&lt;0,"ERROR","OK"))</f>
        <v>OK</v>
      </c>
      <c r="I132" s="165" t="str">
        <f>IF($A132="","",IF(N('Daily Data'!$I132)&lt;0,"ERROR","OK"))</f>
        <v>OK</v>
      </c>
      <c r="J132" s="165" t="str">
        <f>IF($A132="","",IF(N('Daily Data'!$L132)&lt;0,"ERROR","OK"))</f>
        <v>OK</v>
      </c>
      <c r="K132" s="165" t="str">
        <f>IF($A132="","",IF(N('Daily Data'!$M132)&lt;0,"ERROR","OK"))</f>
        <v>OK</v>
      </c>
      <c r="L132" s="165" t="str">
        <f>IF($A132="","",IF(OR(N('Daily Data'!$F132)=0,N('Daily Data'!$G132)=0),"OK",IF(OR(N('Daily Data'!$E132)&gt;N('Daily Data'!$F132),N('Daily Data'!$E132)&lt;N('Daily Data'!$G132)),"ERROR","OK")))</f>
        <v>OK</v>
      </c>
      <c r="M132" s="165" t="str">
        <f>IF($A132="","",IF(N('Daily Data'!$AK132)&lt;=1,"OK",IF(ROUND(N('Daily Data'!$D132),2)=ROUND(SUMIFS('Daily Data'!$E$4:$E$503,'Daily Data'!$B$4:$B$503,'Daily Data'!$B132,'Daily Data'!$AK$4:$AK$503,'Daily Data'!$AK132-1),2),"OK","WARNING")))</f>
        <v>OK</v>
      </c>
      <c r="N132" s="165" t="str">
        <f>IF($A132="","",IF(N('Daily Data'!$N132)&lt;=0,"WARNING","OK"))</f>
        <v>OK</v>
      </c>
      <c r="O132" s="165" t="str">
        <f>IF($A132="","",IF(AND(ISNUMBER('Daily Data'!$H132),ABS(N('Daily Data'!$H132))&gt;Settings!$C$56),"WARNING","OK"))</f>
        <v>OK</v>
      </c>
      <c r="P132" s="165" t="str">
        <f>IF($A132="","",IF(OR(AND(N('Daily Data'!$K132)=0,N('Daily Data'!$I132)&gt;0),AND(N('Daily Data'!$I132)=0,N('Daily Data'!$K132)&gt;0),AND(N('Daily Data'!$L132)=0,N('Daily Data'!$M132)=0)),"WARNING","OK"))</f>
        <v>OK</v>
      </c>
      <c r="Q132" s="165" t="str">
        <f>IF($A132="","",IF(COUNTIFS('Daily Data'!$B$4:$B$503,'Daily Data'!$B132,'Daily Data'!$A$4:$A$503,'Daily Data'!$A132,'Daily Data'!$Q$4:$Q$503,'Daily Data'!$Q132)&gt;1,"WARNING","OK"))</f>
        <v>OK</v>
      </c>
      <c r="R132" s="165" t="str">
        <f>IF($A132="","",IF(AND(N('Daily Data'!$K132)&gt;0,N('Daily Data'!$J132)&lt;=0),"WARNING","OK"))</f>
        <v>OK</v>
      </c>
      <c r="S132" s="165">
        <f>IF($A132="","",COUNTIF($D132:$R132,"ERROR"))</f>
        <v>0</v>
      </c>
      <c r="T132" s="165">
        <f>IF($A132="","",COUNTIF($D132:$R132,"WARNING"))</f>
        <v>0</v>
      </c>
      <c r="U132" s="165" t="str">
        <f>IF($A132="","",IF($S132&gt;0,"ERROR",IF($T132&gt;0,"WARNING","PASS")))</f>
        <v>PASS</v>
      </c>
    </row>
    <row r="133" spans="1:21" x14ac:dyDescent="0.3">
      <c r="A133">
        <f>IF(AND('Daily Data'!$A133="",'Daily Data'!$B133=""),"",133)</f>
        <v>133</v>
      </c>
      <c r="B133" s="16">
        <f>IF($A133="","",'Daily Data'!$A133)</f>
        <v>46248</v>
      </c>
      <c r="C133" t="str">
        <f>IF($A133="","",'Daily Data'!$B133)</f>
        <v>MKCB</v>
      </c>
      <c r="D133" s="165" t="str">
        <f>IF($A133="","",IF(COUNTIFS('Daily Data'!$B$4:$B$503,'Daily Data'!$B133,'Daily Data'!$A$4:$A$503,'Daily Data'!$A133)&gt;1,"ERROR","OK"))</f>
        <v>OK</v>
      </c>
      <c r="E133" s="165" t="str">
        <f>IF($A133="","",IF('Daily Data'!$B133="","ERROR","OK"))</f>
        <v>OK</v>
      </c>
      <c r="F133" s="165" t="str">
        <f>IF($A133="","",IF(NOT(ISNUMBER('Daily Data'!$A133)),"ERROR","OK"))</f>
        <v>OK</v>
      </c>
      <c r="G133" s="165" t="str">
        <f>IF($A133="","",IF(OR(N('Daily Data'!$E133)&lt;=0,N('Daily Data'!$C133)&lt;0,N('Daily Data'!$D133)&lt;0,N('Daily Data'!$F133)&lt;0,N('Daily Data'!$G133)&lt;0),"ERROR","OK"))</f>
        <v>OK</v>
      </c>
      <c r="H133" s="165" t="str">
        <f>IF($A133="","",IF(N('Daily Data'!$K133)&lt;0,"ERROR","OK"))</f>
        <v>OK</v>
      </c>
      <c r="I133" s="165" t="str">
        <f>IF($A133="","",IF(N('Daily Data'!$I133)&lt;0,"ERROR","OK"))</f>
        <v>OK</v>
      </c>
      <c r="J133" s="165" t="str">
        <f>IF($A133="","",IF(N('Daily Data'!$L133)&lt;0,"ERROR","OK"))</f>
        <v>OK</v>
      </c>
      <c r="K133" s="165" t="str">
        <f>IF($A133="","",IF(N('Daily Data'!$M133)&lt;0,"ERROR","OK"))</f>
        <v>OK</v>
      </c>
      <c r="L133" s="165" t="str">
        <f>IF($A133="","",IF(OR(N('Daily Data'!$F133)=0,N('Daily Data'!$G133)=0),"OK",IF(OR(N('Daily Data'!$E133)&gt;N('Daily Data'!$F133),N('Daily Data'!$E133)&lt;N('Daily Data'!$G133)),"ERROR","OK")))</f>
        <v>OK</v>
      </c>
      <c r="M133" s="165" t="str">
        <f>IF($A133="","",IF(N('Daily Data'!$AK133)&lt;=1,"OK",IF(ROUND(N('Daily Data'!$D133),2)=ROUND(SUMIFS('Daily Data'!$E$4:$E$503,'Daily Data'!$B$4:$B$503,'Daily Data'!$B133,'Daily Data'!$AK$4:$AK$503,'Daily Data'!$AK133-1),2),"OK","WARNING")))</f>
        <v>OK</v>
      </c>
      <c r="N133" s="165" t="str">
        <f>IF($A133="","",IF(N('Daily Data'!$N133)&lt;=0,"WARNING","OK"))</f>
        <v>OK</v>
      </c>
      <c r="O133" s="165" t="str">
        <f>IF($A133="","",IF(AND(ISNUMBER('Daily Data'!$H133),ABS(N('Daily Data'!$H133))&gt;Settings!$C$56),"WARNING","OK"))</f>
        <v>OK</v>
      </c>
      <c r="P133" s="165" t="str">
        <f>IF($A133="","",IF(OR(AND(N('Daily Data'!$K133)=0,N('Daily Data'!$I133)&gt;0),AND(N('Daily Data'!$I133)=0,N('Daily Data'!$K133)&gt;0),AND(N('Daily Data'!$L133)=0,N('Daily Data'!$M133)=0)),"WARNING","OK"))</f>
        <v>OK</v>
      </c>
      <c r="Q133" s="165" t="str">
        <f>IF($A133="","",IF(COUNTIFS('Daily Data'!$B$4:$B$503,'Daily Data'!$B133,'Daily Data'!$A$4:$A$503,'Daily Data'!$A133,'Daily Data'!$Q$4:$Q$503,'Daily Data'!$Q133)&gt;1,"WARNING","OK"))</f>
        <v>OK</v>
      </c>
      <c r="R133" s="165" t="str">
        <f>IF($A133="","",IF(AND(N('Daily Data'!$K133)&gt;0,N('Daily Data'!$J133)&lt;=0),"WARNING","OK"))</f>
        <v>OK</v>
      </c>
      <c r="S133" s="165">
        <f>IF($A133="","",COUNTIF($D133:$R133,"ERROR"))</f>
        <v>0</v>
      </c>
      <c r="T133" s="165">
        <f>IF($A133="","",COUNTIF($D133:$R133,"WARNING"))</f>
        <v>0</v>
      </c>
      <c r="U133" s="165" t="str">
        <f>IF($A133="","",IF($S133&gt;0,"ERROR",IF($T133&gt;0,"WARNING","PASS")))</f>
        <v>PASS</v>
      </c>
    </row>
    <row r="134" spans="1:21" x14ac:dyDescent="0.3">
      <c r="A134">
        <f>IF(AND('Daily Data'!$A134="",'Daily Data'!$B134=""),"",134)</f>
        <v>134</v>
      </c>
      <c r="B134" s="16">
        <f>IF($A134="","",'Daily Data'!$A134)</f>
        <v>46248</v>
      </c>
      <c r="C134" t="str">
        <f>IF($A134="","",'Daily Data'!$B134)</f>
        <v>MUCOBA</v>
      </c>
      <c r="D134" s="165" t="str">
        <f>IF($A134="","",IF(COUNTIFS('Daily Data'!$B$4:$B$503,'Daily Data'!$B134,'Daily Data'!$A$4:$A$503,'Daily Data'!$A134)&gt;1,"ERROR","OK"))</f>
        <v>OK</v>
      </c>
      <c r="E134" s="165" t="str">
        <f>IF($A134="","",IF('Daily Data'!$B134="","ERROR","OK"))</f>
        <v>OK</v>
      </c>
      <c r="F134" s="165" t="str">
        <f>IF($A134="","",IF(NOT(ISNUMBER('Daily Data'!$A134)),"ERROR","OK"))</f>
        <v>OK</v>
      </c>
      <c r="G134" s="165" t="str">
        <f>IF($A134="","",IF(OR(N('Daily Data'!$E134)&lt;=0,N('Daily Data'!$C134)&lt;0,N('Daily Data'!$D134)&lt;0,N('Daily Data'!$F134)&lt;0,N('Daily Data'!$G134)&lt;0),"ERROR","OK"))</f>
        <v>OK</v>
      </c>
      <c r="H134" s="165" t="str">
        <f>IF($A134="","",IF(N('Daily Data'!$K134)&lt;0,"ERROR","OK"))</f>
        <v>OK</v>
      </c>
      <c r="I134" s="165" t="str">
        <f>IF($A134="","",IF(N('Daily Data'!$I134)&lt;0,"ERROR","OK"))</f>
        <v>OK</v>
      </c>
      <c r="J134" s="165" t="str">
        <f>IF($A134="","",IF(N('Daily Data'!$L134)&lt;0,"ERROR","OK"))</f>
        <v>OK</v>
      </c>
      <c r="K134" s="165" t="str">
        <f>IF($A134="","",IF(N('Daily Data'!$M134)&lt;0,"ERROR","OK"))</f>
        <v>OK</v>
      </c>
      <c r="L134" s="165" t="str">
        <f>IF($A134="","",IF(OR(N('Daily Data'!$F134)=0,N('Daily Data'!$G134)=0),"OK",IF(OR(N('Daily Data'!$E134)&gt;N('Daily Data'!$F134),N('Daily Data'!$E134)&lt;N('Daily Data'!$G134)),"ERROR","OK")))</f>
        <v>OK</v>
      </c>
      <c r="M134" s="165" t="str">
        <f>IF($A134="","",IF(N('Daily Data'!$AK134)&lt;=1,"OK",IF(ROUND(N('Daily Data'!$D134),2)=ROUND(SUMIFS('Daily Data'!$E$4:$E$503,'Daily Data'!$B$4:$B$503,'Daily Data'!$B134,'Daily Data'!$AK$4:$AK$503,'Daily Data'!$AK134-1),2),"OK","WARNING")))</f>
        <v>OK</v>
      </c>
      <c r="N134" s="165" t="str">
        <f>IF($A134="","",IF(N('Daily Data'!$N134)&lt;=0,"WARNING","OK"))</f>
        <v>OK</v>
      </c>
      <c r="O134" s="165" t="str">
        <f>IF($A134="","",IF(AND(ISNUMBER('Daily Data'!$H134),ABS(N('Daily Data'!$H134))&gt;Settings!$C$56),"WARNING","OK"))</f>
        <v>OK</v>
      </c>
      <c r="P134" s="165" t="str">
        <f>IF($A134="","",IF(OR(AND(N('Daily Data'!$K134)=0,N('Daily Data'!$I134)&gt;0),AND(N('Daily Data'!$I134)=0,N('Daily Data'!$K134)&gt;0),AND(N('Daily Data'!$L134)=0,N('Daily Data'!$M134)=0)),"WARNING","OK"))</f>
        <v>OK</v>
      </c>
      <c r="Q134" s="165" t="str">
        <f>IF($A134="","",IF(COUNTIFS('Daily Data'!$B$4:$B$503,'Daily Data'!$B134,'Daily Data'!$A$4:$A$503,'Daily Data'!$A134,'Daily Data'!$Q$4:$Q$503,'Daily Data'!$Q134)&gt;1,"WARNING","OK"))</f>
        <v>OK</v>
      </c>
      <c r="R134" s="165" t="str">
        <f>IF($A134="","",IF(AND(N('Daily Data'!$K134)&gt;0,N('Daily Data'!$J134)&lt;=0),"WARNING","OK"))</f>
        <v>OK</v>
      </c>
      <c r="S134" s="165">
        <f>IF($A134="","",COUNTIF($D134:$R134,"ERROR"))</f>
        <v>0</v>
      </c>
      <c r="T134" s="165">
        <f>IF($A134="","",COUNTIF($D134:$R134,"WARNING"))</f>
        <v>0</v>
      </c>
      <c r="U134" s="165" t="str">
        <f>IF($A134="","",IF($S134&gt;0,"ERROR",IF($T134&gt;0,"WARNING","PASS")))</f>
        <v>PASS</v>
      </c>
    </row>
    <row r="135" spans="1:21" x14ac:dyDescent="0.3">
      <c r="A135">
        <f>IF(AND('Daily Data'!$A135="",'Daily Data'!$B135=""),"",135)</f>
        <v>135</v>
      </c>
      <c r="B135" s="16">
        <f>IF($A135="","",'Daily Data'!$A135)</f>
        <v>46248</v>
      </c>
      <c r="C135" t="str">
        <f>IF($A135="","",'Daily Data'!$B135)</f>
        <v>NICO</v>
      </c>
      <c r="D135" s="165" t="str">
        <f>IF($A135="","",IF(COUNTIFS('Daily Data'!$B$4:$B$503,'Daily Data'!$B135,'Daily Data'!$A$4:$A$503,'Daily Data'!$A135)&gt;1,"ERROR","OK"))</f>
        <v>OK</v>
      </c>
      <c r="E135" s="165" t="str">
        <f>IF($A135="","",IF('Daily Data'!$B135="","ERROR","OK"))</f>
        <v>OK</v>
      </c>
      <c r="F135" s="165" t="str">
        <f>IF($A135="","",IF(NOT(ISNUMBER('Daily Data'!$A135)),"ERROR","OK"))</f>
        <v>OK</v>
      </c>
      <c r="G135" s="165" t="str">
        <f>IF($A135="","",IF(OR(N('Daily Data'!$E135)&lt;=0,N('Daily Data'!$C135)&lt;0,N('Daily Data'!$D135)&lt;0,N('Daily Data'!$F135)&lt;0,N('Daily Data'!$G135)&lt;0),"ERROR","OK"))</f>
        <v>OK</v>
      </c>
      <c r="H135" s="165" t="str">
        <f>IF($A135="","",IF(N('Daily Data'!$K135)&lt;0,"ERROR","OK"))</f>
        <v>OK</v>
      </c>
      <c r="I135" s="165" t="str">
        <f>IF($A135="","",IF(N('Daily Data'!$I135)&lt;0,"ERROR","OK"))</f>
        <v>OK</v>
      </c>
      <c r="J135" s="165" t="str">
        <f>IF($A135="","",IF(N('Daily Data'!$L135)&lt;0,"ERROR","OK"))</f>
        <v>OK</v>
      </c>
      <c r="K135" s="165" t="str">
        <f>IF($A135="","",IF(N('Daily Data'!$M135)&lt;0,"ERROR","OK"))</f>
        <v>OK</v>
      </c>
      <c r="L135" s="165" t="str">
        <f>IF($A135="","",IF(OR(N('Daily Data'!$F135)=0,N('Daily Data'!$G135)=0),"OK",IF(OR(N('Daily Data'!$E135)&gt;N('Daily Data'!$F135),N('Daily Data'!$E135)&lt;N('Daily Data'!$G135)),"ERROR","OK")))</f>
        <v>OK</v>
      </c>
      <c r="M135" s="165" t="str">
        <f>IF($A135="","",IF(N('Daily Data'!$AK135)&lt;=1,"OK",IF(ROUND(N('Daily Data'!$D135),2)=ROUND(SUMIFS('Daily Data'!$E$4:$E$503,'Daily Data'!$B$4:$B$503,'Daily Data'!$B135,'Daily Data'!$AK$4:$AK$503,'Daily Data'!$AK135-1),2),"OK","WARNING")))</f>
        <v>OK</v>
      </c>
      <c r="N135" s="165" t="str">
        <f>IF($A135="","",IF(N('Daily Data'!$N135)&lt;=0,"WARNING","OK"))</f>
        <v>OK</v>
      </c>
      <c r="O135" s="165" t="str">
        <f>IF($A135="","",IF(AND(ISNUMBER('Daily Data'!$H135),ABS(N('Daily Data'!$H135))&gt;Settings!$C$56),"WARNING","OK"))</f>
        <v>OK</v>
      </c>
      <c r="P135" s="165" t="str">
        <f>IF($A135="","",IF(OR(AND(N('Daily Data'!$K135)=0,N('Daily Data'!$I135)&gt;0),AND(N('Daily Data'!$I135)=0,N('Daily Data'!$K135)&gt;0),AND(N('Daily Data'!$L135)=0,N('Daily Data'!$M135)=0)),"WARNING","OK"))</f>
        <v>OK</v>
      </c>
      <c r="Q135" s="165" t="str">
        <f>IF($A135="","",IF(COUNTIFS('Daily Data'!$B$4:$B$503,'Daily Data'!$B135,'Daily Data'!$A$4:$A$503,'Daily Data'!$A135,'Daily Data'!$Q$4:$Q$503,'Daily Data'!$Q135)&gt;1,"WARNING","OK"))</f>
        <v>OK</v>
      </c>
      <c r="R135" s="165" t="str">
        <f>IF($A135="","",IF(AND(N('Daily Data'!$K135)&gt;0,N('Daily Data'!$J135)&lt;=0),"WARNING","OK"))</f>
        <v>OK</v>
      </c>
      <c r="S135" s="165">
        <f>IF($A135="","",COUNTIF($D135:$R135,"ERROR"))</f>
        <v>0</v>
      </c>
      <c r="T135" s="165">
        <f>IF($A135="","",COUNTIF($D135:$R135,"WARNING"))</f>
        <v>0</v>
      </c>
      <c r="U135" s="165" t="str">
        <f>IF($A135="","",IF($S135&gt;0,"ERROR",IF($T135&gt;0,"WARNING","PASS")))</f>
        <v>PASS</v>
      </c>
    </row>
    <row r="136" spans="1:21" x14ac:dyDescent="0.3">
      <c r="A136">
        <f>IF(AND('Daily Data'!$A136="",'Daily Data'!$B136=""),"",136)</f>
        <v>136</v>
      </c>
      <c r="B136" s="16">
        <f>IF($A136="","",'Daily Data'!$A136)</f>
        <v>46248</v>
      </c>
      <c r="C136" t="str">
        <f>IF($A136="","",'Daily Data'!$B136)</f>
        <v>NMB</v>
      </c>
      <c r="D136" s="165" t="str">
        <f>IF($A136="","",IF(COUNTIFS('Daily Data'!$B$4:$B$503,'Daily Data'!$B136,'Daily Data'!$A$4:$A$503,'Daily Data'!$A136)&gt;1,"ERROR","OK"))</f>
        <v>OK</v>
      </c>
      <c r="E136" s="165" t="str">
        <f>IF($A136="","",IF('Daily Data'!$B136="","ERROR","OK"))</f>
        <v>OK</v>
      </c>
      <c r="F136" s="165" t="str">
        <f>IF($A136="","",IF(NOT(ISNUMBER('Daily Data'!$A136)),"ERROR","OK"))</f>
        <v>OK</v>
      </c>
      <c r="G136" s="165" t="str">
        <f>IF($A136="","",IF(OR(N('Daily Data'!$E136)&lt;=0,N('Daily Data'!$C136)&lt;0,N('Daily Data'!$D136)&lt;0,N('Daily Data'!$F136)&lt;0,N('Daily Data'!$G136)&lt;0),"ERROR","OK"))</f>
        <v>OK</v>
      </c>
      <c r="H136" s="165" t="str">
        <f>IF($A136="","",IF(N('Daily Data'!$K136)&lt;0,"ERROR","OK"))</f>
        <v>OK</v>
      </c>
      <c r="I136" s="165" t="str">
        <f>IF($A136="","",IF(N('Daily Data'!$I136)&lt;0,"ERROR","OK"))</f>
        <v>OK</v>
      </c>
      <c r="J136" s="165" t="str">
        <f>IF($A136="","",IF(N('Daily Data'!$L136)&lt;0,"ERROR","OK"))</f>
        <v>OK</v>
      </c>
      <c r="K136" s="165" t="str">
        <f>IF($A136="","",IF(N('Daily Data'!$M136)&lt;0,"ERROR","OK"))</f>
        <v>OK</v>
      </c>
      <c r="L136" s="165" t="str">
        <f>IF($A136="","",IF(OR(N('Daily Data'!$F136)=0,N('Daily Data'!$G136)=0),"OK",IF(OR(N('Daily Data'!$E136)&gt;N('Daily Data'!$F136),N('Daily Data'!$E136)&lt;N('Daily Data'!$G136)),"ERROR","OK")))</f>
        <v>OK</v>
      </c>
      <c r="M136" s="165" t="str">
        <f>IF($A136="","",IF(N('Daily Data'!$AK136)&lt;=1,"OK",IF(ROUND(N('Daily Data'!$D136),2)=ROUND(SUMIFS('Daily Data'!$E$4:$E$503,'Daily Data'!$B$4:$B$503,'Daily Data'!$B136,'Daily Data'!$AK$4:$AK$503,'Daily Data'!$AK136-1),2),"OK","WARNING")))</f>
        <v>OK</v>
      </c>
      <c r="N136" s="165" t="str">
        <f>IF($A136="","",IF(N('Daily Data'!$N136)&lt;=0,"WARNING","OK"))</f>
        <v>OK</v>
      </c>
      <c r="O136" s="165" t="str">
        <f>IF($A136="","",IF(AND(ISNUMBER('Daily Data'!$H136),ABS(N('Daily Data'!$H136))&gt;Settings!$C$56),"WARNING","OK"))</f>
        <v>OK</v>
      </c>
      <c r="P136" s="165" t="str">
        <f>IF($A136="","",IF(OR(AND(N('Daily Data'!$K136)=0,N('Daily Data'!$I136)&gt;0),AND(N('Daily Data'!$I136)=0,N('Daily Data'!$K136)&gt;0),AND(N('Daily Data'!$L136)=0,N('Daily Data'!$M136)=0)),"WARNING","OK"))</f>
        <v>OK</v>
      </c>
      <c r="Q136" s="165" t="str">
        <f>IF($A136="","",IF(COUNTIFS('Daily Data'!$B$4:$B$503,'Daily Data'!$B136,'Daily Data'!$A$4:$A$503,'Daily Data'!$A136,'Daily Data'!$Q$4:$Q$503,'Daily Data'!$Q136)&gt;1,"WARNING","OK"))</f>
        <v>OK</v>
      </c>
      <c r="R136" s="165" t="str">
        <f>IF($A136="","",IF(AND(N('Daily Data'!$K136)&gt;0,N('Daily Data'!$J136)&lt;=0),"WARNING","OK"))</f>
        <v>OK</v>
      </c>
      <c r="S136" s="165">
        <f>IF($A136="","",COUNTIF($D136:$R136,"ERROR"))</f>
        <v>0</v>
      </c>
      <c r="T136" s="165">
        <f>IF($A136="","",COUNTIF($D136:$R136,"WARNING"))</f>
        <v>0</v>
      </c>
      <c r="U136" s="165" t="str">
        <f>IF($A136="","",IF($S136&gt;0,"ERROR",IF($T136&gt;0,"WARNING","PASS")))</f>
        <v>PASS</v>
      </c>
    </row>
    <row r="137" spans="1:21" x14ac:dyDescent="0.3">
      <c r="A137">
        <f>IF(AND('Daily Data'!$A137="",'Daily Data'!$B137=""),"",137)</f>
        <v>137</v>
      </c>
      <c r="B137" s="16">
        <f>IF($A137="","",'Daily Data'!$A137)</f>
        <v>46248</v>
      </c>
      <c r="C137" t="str">
        <f>IF($A137="","",'Daily Data'!$B137)</f>
        <v>NMG</v>
      </c>
      <c r="D137" s="165" t="str">
        <f>IF($A137="","",IF(COUNTIFS('Daily Data'!$B$4:$B$503,'Daily Data'!$B137,'Daily Data'!$A$4:$A$503,'Daily Data'!$A137)&gt;1,"ERROR","OK"))</f>
        <v>OK</v>
      </c>
      <c r="E137" s="165" t="str">
        <f>IF($A137="","",IF('Daily Data'!$B137="","ERROR","OK"))</f>
        <v>OK</v>
      </c>
      <c r="F137" s="165" t="str">
        <f>IF($A137="","",IF(NOT(ISNUMBER('Daily Data'!$A137)),"ERROR","OK"))</f>
        <v>OK</v>
      </c>
      <c r="G137" s="165" t="str">
        <f>IF($A137="","",IF(OR(N('Daily Data'!$E137)&lt;=0,N('Daily Data'!$C137)&lt;0,N('Daily Data'!$D137)&lt;0,N('Daily Data'!$F137)&lt;0,N('Daily Data'!$G137)&lt;0),"ERROR","OK"))</f>
        <v>OK</v>
      </c>
      <c r="H137" s="165" t="str">
        <f>IF($A137="","",IF(N('Daily Data'!$K137)&lt;0,"ERROR","OK"))</f>
        <v>OK</v>
      </c>
      <c r="I137" s="165" t="str">
        <f>IF($A137="","",IF(N('Daily Data'!$I137)&lt;0,"ERROR","OK"))</f>
        <v>OK</v>
      </c>
      <c r="J137" s="165" t="str">
        <f>IF($A137="","",IF(N('Daily Data'!$L137)&lt;0,"ERROR","OK"))</f>
        <v>OK</v>
      </c>
      <c r="K137" s="165" t="str">
        <f>IF($A137="","",IF(N('Daily Data'!$M137)&lt;0,"ERROR","OK"))</f>
        <v>OK</v>
      </c>
      <c r="L137" s="165" t="str">
        <f>IF($A137="","",IF(OR(N('Daily Data'!$F137)=0,N('Daily Data'!$G137)=0),"OK",IF(OR(N('Daily Data'!$E137)&gt;N('Daily Data'!$F137),N('Daily Data'!$E137)&lt;N('Daily Data'!$G137)),"ERROR","OK")))</f>
        <v>OK</v>
      </c>
      <c r="M137" s="165" t="str">
        <f>IF($A137="","",IF(N('Daily Data'!$AK137)&lt;=1,"OK",IF(ROUND(N('Daily Data'!$D137),2)=ROUND(SUMIFS('Daily Data'!$E$4:$E$503,'Daily Data'!$B$4:$B$503,'Daily Data'!$B137,'Daily Data'!$AK$4:$AK$503,'Daily Data'!$AK137-1),2),"OK","WARNING")))</f>
        <v>OK</v>
      </c>
      <c r="N137" s="165" t="str">
        <f>IF($A137="","",IF(N('Daily Data'!$N137)&lt;=0,"WARNING","OK"))</f>
        <v>OK</v>
      </c>
      <c r="O137" s="165" t="str">
        <f>IF($A137="","",IF(AND(ISNUMBER('Daily Data'!$H137),ABS(N('Daily Data'!$H137))&gt;Settings!$C$56),"WARNING","OK"))</f>
        <v>OK</v>
      </c>
      <c r="P137" s="165" t="str">
        <f>IF($A137="","",IF(OR(AND(N('Daily Data'!$K137)=0,N('Daily Data'!$I137)&gt;0),AND(N('Daily Data'!$I137)=0,N('Daily Data'!$K137)&gt;0),AND(N('Daily Data'!$L137)=0,N('Daily Data'!$M137)=0)),"WARNING","OK"))</f>
        <v>OK</v>
      </c>
      <c r="Q137" s="165" t="str">
        <f>IF($A137="","",IF(COUNTIFS('Daily Data'!$B$4:$B$503,'Daily Data'!$B137,'Daily Data'!$A$4:$A$503,'Daily Data'!$A137,'Daily Data'!$Q$4:$Q$503,'Daily Data'!$Q137)&gt;1,"WARNING","OK"))</f>
        <v>OK</v>
      </c>
      <c r="R137" s="165" t="str">
        <f>IF($A137="","",IF(AND(N('Daily Data'!$K137)&gt;0,N('Daily Data'!$J137)&lt;=0),"WARNING","OK"))</f>
        <v>OK</v>
      </c>
      <c r="S137" s="165">
        <f>IF($A137="","",COUNTIF($D137:$R137,"ERROR"))</f>
        <v>0</v>
      </c>
      <c r="T137" s="165">
        <f>IF($A137="","",COUNTIF($D137:$R137,"WARNING"))</f>
        <v>0</v>
      </c>
      <c r="U137" s="165" t="str">
        <f>IF($A137="","",IF($S137&gt;0,"ERROR",IF($T137&gt;0,"WARNING","PASS")))</f>
        <v>PASS</v>
      </c>
    </row>
    <row r="138" spans="1:21" x14ac:dyDescent="0.3">
      <c r="A138">
        <f>IF(AND('Daily Data'!$A138="",'Daily Data'!$B138=""),"",138)</f>
        <v>138</v>
      </c>
      <c r="B138" s="16">
        <f>IF($A138="","",'Daily Data'!$A138)</f>
        <v>46248</v>
      </c>
      <c r="C138" t="str">
        <f>IF($A138="","",'Daily Data'!$B138)</f>
        <v>PAL</v>
      </c>
      <c r="D138" s="165" t="str">
        <f>IF($A138="","",IF(COUNTIFS('Daily Data'!$B$4:$B$503,'Daily Data'!$B138,'Daily Data'!$A$4:$A$503,'Daily Data'!$A138)&gt;1,"ERROR","OK"))</f>
        <v>OK</v>
      </c>
      <c r="E138" s="165" t="str">
        <f>IF($A138="","",IF('Daily Data'!$B138="","ERROR","OK"))</f>
        <v>OK</v>
      </c>
      <c r="F138" s="165" t="str">
        <f>IF($A138="","",IF(NOT(ISNUMBER('Daily Data'!$A138)),"ERROR","OK"))</f>
        <v>OK</v>
      </c>
      <c r="G138" s="165" t="str">
        <f>IF($A138="","",IF(OR(N('Daily Data'!$E138)&lt;=0,N('Daily Data'!$C138)&lt;0,N('Daily Data'!$D138)&lt;0,N('Daily Data'!$F138)&lt;0,N('Daily Data'!$G138)&lt;0),"ERROR","OK"))</f>
        <v>OK</v>
      </c>
      <c r="H138" s="165" t="str">
        <f>IF($A138="","",IF(N('Daily Data'!$K138)&lt;0,"ERROR","OK"))</f>
        <v>OK</v>
      </c>
      <c r="I138" s="165" t="str">
        <f>IF($A138="","",IF(N('Daily Data'!$I138)&lt;0,"ERROR","OK"))</f>
        <v>OK</v>
      </c>
      <c r="J138" s="165" t="str">
        <f>IF($A138="","",IF(N('Daily Data'!$L138)&lt;0,"ERROR","OK"))</f>
        <v>OK</v>
      </c>
      <c r="K138" s="165" t="str">
        <f>IF($A138="","",IF(N('Daily Data'!$M138)&lt;0,"ERROR","OK"))</f>
        <v>OK</v>
      </c>
      <c r="L138" s="165" t="str">
        <f>IF($A138="","",IF(OR(N('Daily Data'!$F138)=0,N('Daily Data'!$G138)=0),"OK",IF(OR(N('Daily Data'!$E138)&gt;N('Daily Data'!$F138),N('Daily Data'!$E138)&lt;N('Daily Data'!$G138)),"ERROR","OK")))</f>
        <v>OK</v>
      </c>
      <c r="M138" s="165" t="str">
        <f>IF($A138="","",IF(N('Daily Data'!$AK138)&lt;=1,"OK",IF(ROUND(N('Daily Data'!$D138),2)=ROUND(SUMIFS('Daily Data'!$E$4:$E$503,'Daily Data'!$B$4:$B$503,'Daily Data'!$B138,'Daily Data'!$AK$4:$AK$503,'Daily Data'!$AK138-1),2),"OK","WARNING")))</f>
        <v>OK</v>
      </c>
      <c r="N138" s="165" t="str">
        <f>IF($A138="","",IF(N('Daily Data'!$N138)&lt;=0,"WARNING","OK"))</f>
        <v>OK</v>
      </c>
      <c r="O138" s="165" t="str">
        <f>IF($A138="","",IF(AND(ISNUMBER('Daily Data'!$H138),ABS(N('Daily Data'!$H138))&gt;Settings!$C$56),"WARNING","OK"))</f>
        <v>OK</v>
      </c>
      <c r="P138" s="165" t="str">
        <f>IF($A138="","",IF(OR(AND(N('Daily Data'!$K138)=0,N('Daily Data'!$I138)&gt;0),AND(N('Daily Data'!$I138)=0,N('Daily Data'!$K138)&gt;0),AND(N('Daily Data'!$L138)=0,N('Daily Data'!$M138)=0)),"WARNING","OK"))</f>
        <v>OK</v>
      </c>
      <c r="Q138" s="165" t="str">
        <f>IF($A138="","",IF(COUNTIFS('Daily Data'!$B$4:$B$503,'Daily Data'!$B138,'Daily Data'!$A$4:$A$503,'Daily Data'!$A138,'Daily Data'!$Q$4:$Q$503,'Daily Data'!$Q138)&gt;1,"WARNING","OK"))</f>
        <v>OK</v>
      </c>
      <c r="R138" s="165" t="str">
        <f>IF($A138="","",IF(AND(N('Daily Data'!$K138)&gt;0,N('Daily Data'!$J138)&lt;=0),"WARNING","OK"))</f>
        <v>OK</v>
      </c>
      <c r="S138" s="165">
        <f>IF($A138="","",COUNTIF($D138:$R138,"ERROR"))</f>
        <v>0</v>
      </c>
      <c r="T138" s="165">
        <f>IF($A138="","",COUNTIF($D138:$R138,"WARNING"))</f>
        <v>0</v>
      </c>
      <c r="U138" s="165" t="str">
        <f>IF($A138="","",IF($S138&gt;0,"ERROR",IF($T138&gt;0,"WARNING","PASS")))</f>
        <v>PASS</v>
      </c>
    </row>
    <row r="139" spans="1:21" x14ac:dyDescent="0.3">
      <c r="A139">
        <f>IF(AND('Daily Data'!$A139="",'Daily Data'!$B139=""),"",139)</f>
        <v>139</v>
      </c>
      <c r="B139" s="16">
        <f>IF($A139="","",'Daily Data'!$A139)</f>
        <v>46248</v>
      </c>
      <c r="C139" t="str">
        <f>IF($A139="","",'Daily Data'!$B139)</f>
        <v>SWALA</v>
      </c>
      <c r="D139" s="165" t="str">
        <f>IF($A139="","",IF(COUNTIFS('Daily Data'!$B$4:$B$503,'Daily Data'!$B139,'Daily Data'!$A$4:$A$503,'Daily Data'!$A139)&gt;1,"ERROR","OK"))</f>
        <v>OK</v>
      </c>
      <c r="E139" s="165" t="str">
        <f>IF($A139="","",IF('Daily Data'!$B139="","ERROR","OK"))</f>
        <v>OK</v>
      </c>
      <c r="F139" s="165" t="str">
        <f>IF($A139="","",IF(NOT(ISNUMBER('Daily Data'!$A139)),"ERROR","OK"))</f>
        <v>OK</v>
      </c>
      <c r="G139" s="165" t="str">
        <f>IF($A139="","",IF(OR(N('Daily Data'!$E139)&lt;=0,N('Daily Data'!$C139)&lt;0,N('Daily Data'!$D139)&lt;0,N('Daily Data'!$F139)&lt;0,N('Daily Data'!$G139)&lt;0),"ERROR","OK"))</f>
        <v>OK</v>
      </c>
      <c r="H139" s="165" t="str">
        <f>IF($A139="","",IF(N('Daily Data'!$K139)&lt;0,"ERROR","OK"))</f>
        <v>OK</v>
      </c>
      <c r="I139" s="165" t="str">
        <f>IF($A139="","",IF(N('Daily Data'!$I139)&lt;0,"ERROR","OK"))</f>
        <v>OK</v>
      </c>
      <c r="J139" s="165" t="str">
        <f>IF($A139="","",IF(N('Daily Data'!$L139)&lt;0,"ERROR","OK"))</f>
        <v>OK</v>
      </c>
      <c r="K139" s="165" t="str">
        <f>IF($A139="","",IF(N('Daily Data'!$M139)&lt;0,"ERROR","OK"))</f>
        <v>OK</v>
      </c>
      <c r="L139" s="165" t="str">
        <f>IF($A139="","",IF(OR(N('Daily Data'!$F139)=0,N('Daily Data'!$G139)=0),"OK",IF(OR(N('Daily Data'!$E139)&gt;N('Daily Data'!$F139),N('Daily Data'!$E139)&lt;N('Daily Data'!$G139)),"ERROR","OK")))</f>
        <v>OK</v>
      </c>
      <c r="M139" s="165" t="str">
        <f>IF($A139="","",IF(N('Daily Data'!$AK139)&lt;=1,"OK",IF(ROUND(N('Daily Data'!$D139),2)=ROUND(SUMIFS('Daily Data'!$E$4:$E$503,'Daily Data'!$B$4:$B$503,'Daily Data'!$B139,'Daily Data'!$AK$4:$AK$503,'Daily Data'!$AK139-1),2),"OK","WARNING")))</f>
        <v>OK</v>
      </c>
      <c r="N139" s="165" t="str">
        <f>IF($A139="","",IF(N('Daily Data'!$N139)&lt;=0,"WARNING","OK"))</f>
        <v>OK</v>
      </c>
      <c r="O139" s="165" t="str">
        <f>IF($A139="","",IF(AND(ISNUMBER('Daily Data'!$H139),ABS(N('Daily Data'!$H139))&gt;Settings!$C$56),"WARNING","OK"))</f>
        <v>OK</v>
      </c>
      <c r="P139" s="165" t="str">
        <f>IF($A139="","",IF(OR(AND(N('Daily Data'!$K139)=0,N('Daily Data'!$I139)&gt;0),AND(N('Daily Data'!$I139)=0,N('Daily Data'!$K139)&gt;0),AND(N('Daily Data'!$L139)=0,N('Daily Data'!$M139)=0)),"WARNING","OK"))</f>
        <v>WARNING</v>
      </c>
      <c r="Q139" s="165" t="str">
        <f>IF($A139="","",IF(COUNTIFS('Daily Data'!$B$4:$B$503,'Daily Data'!$B139,'Daily Data'!$A$4:$A$503,'Daily Data'!$A139,'Daily Data'!$Q$4:$Q$503,'Daily Data'!$Q139)&gt;1,"WARNING","OK"))</f>
        <v>OK</v>
      </c>
      <c r="R139" s="165" t="str">
        <f>IF($A139="","",IF(AND(N('Daily Data'!$K139)&gt;0,N('Daily Data'!$J139)&lt;=0),"WARNING","OK"))</f>
        <v>OK</v>
      </c>
      <c r="S139" s="165">
        <f>IF($A139="","",COUNTIF($D139:$R139,"ERROR"))</f>
        <v>0</v>
      </c>
      <c r="T139" s="165">
        <f>IF($A139="","",COUNTIF($D139:$R139,"WARNING"))</f>
        <v>1</v>
      </c>
      <c r="U139" s="165" t="str">
        <f>IF($A139="","",IF($S139&gt;0,"ERROR",IF($T139&gt;0,"WARNING","PASS")))</f>
        <v>WARNING</v>
      </c>
    </row>
    <row r="140" spans="1:21" x14ac:dyDescent="0.3">
      <c r="A140">
        <f>IF(AND('Daily Data'!$A140="",'Daily Data'!$B140=""),"",140)</f>
        <v>140</v>
      </c>
      <c r="B140" s="16">
        <f>IF($A140="","",'Daily Data'!$A140)</f>
        <v>46248</v>
      </c>
      <c r="C140" t="str">
        <f>IF($A140="","",'Daily Data'!$B140)</f>
        <v>SWIS</v>
      </c>
      <c r="D140" s="165" t="str">
        <f>IF($A140="","",IF(COUNTIFS('Daily Data'!$B$4:$B$503,'Daily Data'!$B140,'Daily Data'!$A$4:$A$503,'Daily Data'!$A140)&gt;1,"ERROR","OK"))</f>
        <v>OK</v>
      </c>
      <c r="E140" s="165" t="str">
        <f>IF($A140="","",IF('Daily Data'!$B140="","ERROR","OK"))</f>
        <v>OK</v>
      </c>
      <c r="F140" s="165" t="str">
        <f>IF($A140="","",IF(NOT(ISNUMBER('Daily Data'!$A140)),"ERROR","OK"))</f>
        <v>OK</v>
      </c>
      <c r="G140" s="165" t="str">
        <f>IF($A140="","",IF(OR(N('Daily Data'!$E140)&lt;=0,N('Daily Data'!$C140)&lt;0,N('Daily Data'!$D140)&lt;0,N('Daily Data'!$F140)&lt;0,N('Daily Data'!$G140)&lt;0),"ERROR","OK"))</f>
        <v>OK</v>
      </c>
      <c r="H140" s="165" t="str">
        <f>IF($A140="","",IF(N('Daily Data'!$K140)&lt;0,"ERROR","OK"))</f>
        <v>OK</v>
      </c>
      <c r="I140" s="165" t="str">
        <f>IF($A140="","",IF(N('Daily Data'!$I140)&lt;0,"ERROR","OK"))</f>
        <v>OK</v>
      </c>
      <c r="J140" s="165" t="str">
        <f>IF($A140="","",IF(N('Daily Data'!$L140)&lt;0,"ERROR","OK"))</f>
        <v>OK</v>
      </c>
      <c r="K140" s="165" t="str">
        <f>IF($A140="","",IF(N('Daily Data'!$M140)&lt;0,"ERROR","OK"))</f>
        <v>OK</v>
      </c>
      <c r="L140" s="165" t="str">
        <f>IF($A140="","",IF(OR(N('Daily Data'!$F140)=0,N('Daily Data'!$G140)=0),"OK",IF(OR(N('Daily Data'!$E140)&gt;N('Daily Data'!$F140),N('Daily Data'!$E140)&lt;N('Daily Data'!$G140)),"ERROR","OK")))</f>
        <v>ERROR</v>
      </c>
      <c r="M140" s="165" t="str">
        <f>IF($A140="","",IF(N('Daily Data'!$AK140)&lt;=1,"OK",IF(ROUND(N('Daily Data'!$D140),2)=ROUND(SUMIFS('Daily Data'!$E$4:$E$503,'Daily Data'!$B$4:$B$503,'Daily Data'!$B140,'Daily Data'!$AK$4:$AK$503,'Daily Data'!$AK140-1),2),"OK","WARNING")))</f>
        <v>OK</v>
      </c>
      <c r="N140" s="165" t="str">
        <f>IF($A140="","",IF(N('Daily Data'!$N140)&lt;=0,"WARNING","OK"))</f>
        <v>OK</v>
      </c>
      <c r="O140" s="165" t="str">
        <f>IF($A140="","",IF(AND(ISNUMBER('Daily Data'!$H140),ABS(N('Daily Data'!$H140))&gt;Settings!$C$56),"WARNING","OK"))</f>
        <v>OK</v>
      </c>
      <c r="P140" s="165" t="str">
        <f>IF($A140="","",IF(OR(AND(N('Daily Data'!$K140)=0,N('Daily Data'!$I140)&gt;0),AND(N('Daily Data'!$I140)=0,N('Daily Data'!$K140)&gt;0),AND(N('Daily Data'!$L140)=0,N('Daily Data'!$M140)=0)),"WARNING","OK"))</f>
        <v>OK</v>
      </c>
      <c r="Q140" s="165" t="str">
        <f>IF($A140="","",IF(COUNTIFS('Daily Data'!$B$4:$B$503,'Daily Data'!$B140,'Daily Data'!$A$4:$A$503,'Daily Data'!$A140,'Daily Data'!$Q$4:$Q$503,'Daily Data'!$Q140)&gt;1,"WARNING","OK"))</f>
        <v>OK</v>
      </c>
      <c r="R140" s="165" t="str">
        <f>IF($A140="","",IF(AND(N('Daily Data'!$K140)&gt;0,N('Daily Data'!$J140)&lt;=0),"WARNING","OK"))</f>
        <v>OK</v>
      </c>
      <c r="S140" s="165">
        <f>IF($A140="","",COUNTIF($D140:$R140,"ERROR"))</f>
        <v>1</v>
      </c>
      <c r="T140" s="165">
        <f>IF($A140="","",COUNTIF($D140:$R140,"WARNING"))</f>
        <v>0</v>
      </c>
      <c r="U140" s="165" t="str">
        <f>IF($A140="","",IF($S140&gt;0,"ERROR",IF($T140&gt;0,"WARNING","PASS")))</f>
        <v>ERROR</v>
      </c>
    </row>
    <row r="141" spans="1:21" x14ac:dyDescent="0.3">
      <c r="A141">
        <f>IF(AND('Daily Data'!$A141="",'Daily Data'!$B141=""),"",141)</f>
        <v>141</v>
      </c>
      <c r="B141" s="16">
        <f>IF($A141="","",'Daily Data'!$A141)</f>
        <v>46248</v>
      </c>
      <c r="C141" t="str">
        <f>IF($A141="","",'Daily Data'!$B141)</f>
        <v>TBL</v>
      </c>
      <c r="D141" s="165" t="str">
        <f>IF($A141="","",IF(COUNTIFS('Daily Data'!$B$4:$B$503,'Daily Data'!$B141,'Daily Data'!$A$4:$A$503,'Daily Data'!$A141)&gt;1,"ERROR","OK"))</f>
        <v>OK</v>
      </c>
      <c r="E141" s="165" t="str">
        <f>IF($A141="","",IF('Daily Data'!$B141="","ERROR","OK"))</f>
        <v>OK</v>
      </c>
      <c r="F141" s="165" t="str">
        <f>IF($A141="","",IF(NOT(ISNUMBER('Daily Data'!$A141)),"ERROR","OK"))</f>
        <v>OK</v>
      </c>
      <c r="G141" s="165" t="str">
        <f>IF($A141="","",IF(OR(N('Daily Data'!$E141)&lt;=0,N('Daily Data'!$C141)&lt;0,N('Daily Data'!$D141)&lt;0,N('Daily Data'!$F141)&lt;0,N('Daily Data'!$G141)&lt;0),"ERROR","OK"))</f>
        <v>OK</v>
      </c>
      <c r="H141" s="165" t="str">
        <f>IF($A141="","",IF(N('Daily Data'!$K141)&lt;0,"ERROR","OK"))</f>
        <v>OK</v>
      </c>
      <c r="I141" s="165" t="str">
        <f>IF($A141="","",IF(N('Daily Data'!$I141)&lt;0,"ERROR","OK"))</f>
        <v>OK</v>
      </c>
      <c r="J141" s="165" t="str">
        <f>IF($A141="","",IF(N('Daily Data'!$L141)&lt;0,"ERROR","OK"))</f>
        <v>OK</v>
      </c>
      <c r="K141" s="165" t="str">
        <f>IF($A141="","",IF(N('Daily Data'!$M141)&lt;0,"ERROR","OK"))</f>
        <v>OK</v>
      </c>
      <c r="L141" s="165" t="str">
        <f>IF($A141="","",IF(OR(N('Daily Data'!$F141)=0,N('Daily Data'!$G141)=0),"OK",IF(OR(N('Daily Data'!$E141)&gt;N('Daily Data'!$F141),N('Daily Data'!$E141)&lt;N('Daily Data'!$G141)),"ERROR","OK")))</f>
        <v>OK</v>
      </c>
      <c r="M141" s="165" t="str">
        <f>IF($A141="","",IF(N('Daily Data'!$AK141)&lt;=1,"OK",IF(ROUND(N('Daily Data'!$D141),2)=ROUND(SUMIFS('Daily Data'!$E$4:$E$503,'Daily Data'!$B$4:$B$503,'Daily Data'!$B141,'Daily Data'!$AK$4:$AK$503,'Daily Data'!$AK141-1),2),"OK","WARNING")))</f>
        <v>OK</v>
      </c>
      <c r="N141" s="165" t="str">
        <f>IF($A141="","",IF(N('Daily Data'!$N141)&lt;=0,"WARNING","OK"))</f>
        <v>OK</v>
      </c>
      <c r="O141" s="165" t="str">
        <f>IF($A141="","",IF(AND(ISNUMBER('Daily Data'!$H141),ABS(N('Daily Data'!$H141))&gt;Settings!$C$56),"WARNING","OK"))</f>
        <v>OK</v>
      </c>
      <c r="P141" s="165" t="str">
        <f>IF($A141="","",IF(OR(AND(N('Daily Data'!$K141)=0,N('Daily Data'!$I141)&gt;0),AND(N('Daily Data'!$I141)=0,N('Daily Data'!$K141)&gt;0),AND(N('Daily Data'!$L141)=0,N('Daily Data'!$M141)=0)),"WARNING","OK"))</f>
        <v>OK</v>
      </c>
      <c r="Q141" s="165" t="str">
        <f>IF($A141="","",IF(COUNTIFS('Daily Data'!$B$4:$B$503,'Daily Data'!$B141,'Daily Data'!$A$4:$A$503,'Daily Data'!$A141,'Daily Data'!$Q$4:$Q$503,'Daily Data'!$Q141)&gt;1,"WARNING","OK"))</f>
        <v>OK</v>
      </c>
      <c r="R141" s="165" t="str">
        <f>IF($A141="","",IF(AND(N('Daily Data'!$K141)&gt;0,N('Daily Data'!$J141)&lt;=0),"WARNING","OK"))</f>
        <v>OK</v>
      </c>
      <c r="S141" s="165">
        <f>IF($A141="","",COUNTIF($D141:$R141,"ERROR"))</f>
        <v>0</v>
      </c>
      <c r="T141" s="165">
        <f>IF($A141="","",COUNTIF($D141:$R141,"WARNING"))</f>
        <v>0</v>
      </c>
      <c r="U141" s="165" t="str">
        <f>IF($A141="","",IF($S141&gt;0,"ERROR",IF($T141&gt;0,"WARNING","PASS")))</f>
        <v>PASS</v>
      </c>
    </row>
    <row r="142" spans="1:21" x14ac:dyDescent="0.3">
      <c r="A142">
        <f>IF(AND('Daily Data'!$A142="",'Daily Data'!$B142=""),"",142)</f>
        <v>142</v>
      </c>
      <c r="B142" s="16">
        <f>IF($A142="","",'Daily Data'!$A142)</f>
        <v>46248</v>
      </c>
      <c r="C142" t="str">
        <f>IF($A142="","",'Daily Data'!$B142)</f>
        <v>TCC</v>
      </c>
      <c r="D142" s="165" t="str">
        <f>IF($A142="","",IF(COUNTIFS('Daily Data'!$B$4:$B$503,'Daily Data'!$B142,'Daily Data'!$A$4:$A$503,'Daily Data'!$A142)&gt;1,"ERROR","OK"))</f>
        <v>OK</v>
      </c>
      <c r="E142" s="165" t="str">
        <f>IF($A142="","",IF('Daily Data'!$B142="","ERROR","OK"))</f>
        <v>OK</v>
      </c>
      <c r="F142" s="165" t="str">
        <f>IF($A142="","",IF(NOT(ISNUMBER('Daily Data'!$A142)),"ERROR","OK"))</f>
        <v>OK</v>
      </c>
      <c r="G142" s="165" t="str">
        <f>IF($A142="","",IF(OR(N('Daily Data'!$E142)&lt;=0,N('Daily Data'!$C142)&lt;0,N('Daily Data'!$D142)&lt;0,N('Daily Data'!$F142)&lt;0,N('Daily Data'!$G142)&lt;0),"ERROR","OK"))</f>
        <v>OK</v>
      </c>
      <c r="H142" s="165" t="str">
        <f>IF($A142="","",IF(N('Daily Data'!$K142)&lt;0,"ERROR","OK"))</f>
        <v>OK</v>
      </c>
      <c r="I142" s="165" t="str">
        <f>IF($A142="","",IF(N('Daily Data'!$I142)&lt;0,"ERROR","OK"))</f>
        <v>OK</v>
      </c>
      <c r="J142" s="165" t="str">
        <f>IF($A142="","",IF(N('Daily Data'!$L142)&lt;0,"ERROR","OK"))</f>
        <v>OK</v>
      </c>
      <c r="K142" s="165" t="str">
        <f>IF($A142="","",IF(N('Daily Data'!$M142)&lt;0,"ERROR","OK"))</f>
        <v>OK</v>
      </c>
      <c r="L142" s="165" t="str">
        <f>IF($A142="","",IF(OR(N('Daily Data'!$F142)=0,N('Daily Data'!$G142)=0),"OK",IF(OR(N('Daily Data'!$E142)&gt;N('Daily Data'!$F142),N('Daily Data'!$E142)&lt;N('Daily Data'!$G142)),"ERROR","OK")))</f>
        <v>OK</v>
      </c>
      <c r="M142" s="165" t="str">
        <f>IF($A142="","",IF(N('Daily Data'!$AK142)&lt;=1,"OK",IF(ROUND(N('Daily Data'!$D142),2)=ROUND(SUMIFS('Daily Data'!$E$4:$E$503,'Daily Data'!$B$4:$B$503,'Daily Data'!$B142,'Daily Data'!$AK$4:$AK$503,'Daily Data'!$AK142-1),2),"OK","WARNING")))</f>
        <v>OK</v>
      </c>
      <c r="N142" s="165" t="str">
        <f>IF($A142="","",IF(N('Daily Data'!$N142)&lt;=0,"WARNING","OK"))</f>
        <v>OK</v>
      </c>
      <c r="O142" s="165" t="str">
        <f>IF($A142="","",IF(AND(ISNUMBER('Daily Data'!$H142),ABS(N('Daily Data'!$H142))&gt;Settings!$C$56),"WARNING","OK"))</f>
        <v>OK</v>
      </c>
      <c r="P142" s="165" t="str">
        <f>IF($A142="","",IF(OR(AND(N('Daily Data'!$K142)=0,N('Daily Data'!$I142)&gt;0),AND(N('Daily Data'!$I142)=0,N('Daily Data'!$K142)&gt;0),AND(N('Daily Data'!$L142)=0,N('Daily Data'!$M142)=0)),"WARNING","OK"))</f>
        <v>OK</v>
      </c>
      <c r="Q142" s="165" t="str">
        <f>IF($A142="","",IF(COUNTIFS('Daily Data'!$B$4:$B$503,'Daily Data'!$B142,'Daily Data'!$A$4:$A$503,'Daily Data'!$A142,'Daily Data'!$Q$4:$Q$503,'Daily Data'!$Q142)&gt;1,"WARNING","OK"))</f>
        <v>OK</v>
      </c>
      <c r="R142" s="165" t="str">
        <f>IF($A142="","",IF(AND(N('Daily Data'!$K142)&gt;0,N('Daily Data'!$J142)&lt;=0),"WARNING","OK"))</f>
        <v>OK</v>
      </c>
      <c r="S142" s="165">
        <f>IF($A142="","",COUNTIF($D142:$R142,"ERROR"))</f>
        <v>0</v>
      </c>
      <c r="T142" s="165">
        <f>IF($A142="","",COUNTIF($D142:$R142,"WARNING"))</f>
        <v>0</v>
      </c>
      <c r="U142" s="165" t="str">
        <f>IF($A142="","",IF($S142&gt;0,"ERROR",IF($T142&gt;0,"WARNING","PASS")))</f>
        <v>PASS</v>
      </c>
    </row>
    <row r="143" spans="1:21" x14ac:dyDescent="0.3">
      <c r="A143">
        <f>IF(AND('Daily Data'!$A143="",'Daily Data'!$B143=""),"",143)</f>
        <v>143</v>
      </c>
      <c r="B143" s="16">
        <f>IF($A143="","",'Daily Data'!$A143)</f>
        <v>46248</v>
      </c>
      <c r="C143" t="str">
        <f>IF($A143="","",'Daily Data'!$B143)</f>
        <v>TCCL</v>
      </c>
      <c r="D143" s="165" t="str">
        <f>IF($A143="","",IF(COUNTIFS('Daily Data'!$B$4:$B$503,'Daily Data'!$B143,'Daily Data'!$A$4:$A$503,'Daily Data'!$A143)&gt;1,"ERROR","OK"))</f>
        <v>OK</v>
      </c>
      <c r="E143" s="165" t="str">
        <f>IF($A143="","",IF('Daily Data'!$B143="","ERROR","OK"))</f>
        <v>OK</v>
      </c>
      <c r="F143" s="165" t="str">
        <f>IF($A143="","",IF(NOT(ISNUMBER('Daily Data'!$A143)),"ERROR","OK"))</f>
        <v>OK</v>
      </c>
      <c r="G143" s="165" t="str">
        <f>IF($A143="","",IF(OR(N('Daily Data'!$E143)&lt;=0,N('Daily Data'!$C143)&lt;0,N('Daily Data'!$D143)&lt;0,N('Daily Data'!$F143)&lt;0,N('Daily Data'!$G143)&lt;0),"ERROR","OK"))</f>
        <v>OK</v>
      </c>
      <c r="H143" s="165" t="str">
        <f>IF($A143="","",IF(N('Daily Data'!$K143)&lt;0,"ERROR","OK"))</f>
        <v>OK</v>
      </c>
      <c r="I143" s="165" t="str">
        <f>IF($A143="","",IF(N('Daily Data'!$I143)&lt;0,"ERROR","OK"))</f>
        <v>OK</v>
      </c>
      <c r="J143" s="165" t="str">
        <f>IF($A143="","",IF(N('Daily Data'!$L143)&lt;0,"ERROR","OK"))</f>
        <v>OK</v>
      </c>
      <c r="K143" s="165" t="str">
        <f>IF($A143="","",IF(N('Daily Data'!$M143)&lt;0,"ERROR","OK"))</f>
        <v>OK</v>
      </c>
      <c r="L143" s="165" t="str">
        <f>IF($A143="","",IF(OR(N('Daily Data'!$F143)=0,N('Daily Data'!$G143)=0),"OK",IF(OR(N('Daily Data'!$E143)&gt;N('Daily Data'!$F143),N('Daily Data'!$E143)&lt;N('Daily Data'!$G143)),"ERROR","OK")))</f>
        <v>OK</v>
      </c>
      <c r="M143" s="165" t="str">
        <f>IF($A143="","",IF(N('Daily Data'!$AK143)&lt;=1,"OK",IF(ROUND(N('Daily Data'!$D143),2)=ROUND(SUMIFS('Daily Data'!$E$4:$E$503,'Daily Data'!$B$4:$B$503,'Daily Data'!$B143,'Daily Data'!$AK$4:$AK$503,'Daily Data'!$AK143-1),2),"OK","WARNING")))</f>
        <v>OK</v>
      </c>
      <c r="N143" s="165" t="str">
        <f>IF($A143="","",IF(N('Daily Data'!$N143)&lt;=0,"WARNING","OK"))</f>
        <v>OK</v>
      </c>
      <c r="O143" s="165" t="str">
        <f>IF($A143="","",IF(AND(ISNUMBER('Daily Data'!$H143),ABS(N('Daily Data'!$H143))&gt;Settings!$C$56),"WARNING","OK"))</f>
        <v>OK</v>
      </c>
      <c r="P143" s="165" t="str">
        <f>IF($A143="","",IF(OR(AND(N('Daily Data'!$K143)=0,N('Daily Data'!$I143)&gt;0),AND(N('Daily Data'!$I143)=0,N('Daily Data'!$K143)&gt;0),AND(N('Daily Data'!$L143)=0,N('Daily Data'!$M143)=0)),"WARNING","OK"))</f>
        <v>OK</v>
      </c>
      <c r="Q143" s="165" t="str">
        <f>IF($A143="","",IF(COUNTIFS('Daily Data'!$B$4:$B$503,'Daily Data'!$B143,'Daily Data'!$A$4:$A$503,'Daily Data'!$A143,'Daily Data'!$Q$4:$Q$503,'Daily Data'!$Q143)&gt;1,"WARNING","OK"))</f>
        <v>OK</v>
      </c>
      <c r="R143" s="165" t="str">
        <f>IF($A143="","",IF(AND(N('Daily Data'!$K143)&gt;0,N('Daily Data'!$J143)&lt;=0),"WARNING","OK"))</f>
        <v>OK</v>
      </c>
      <c r="S143" s="165">
        <f>IF($A143="","",COUNTIF($D143:$R143,"ERROR"))</f>
        <v>0</v>
      </c>
      <c r="T143" s="165">
        <f>IF($A143="","",COUNTIF($D143:$R143,"WARNING"))</f>
        <v>0</v>
      </c>
      <c r="U143" s="165" t="str">
        <f>IF($A143="","",IF($S143&gt;0,"ERROR",IF($T143&gt;0,"WARNING","PASS")))</f>
        <v>PASS</v>
      </c>
    </row>
    <row r="144" spans="1:21" x14ac:dyDescent="0.3">
      <c r="A144">
        <f>IF(AND('Daily Data'!$A144="",'Daily Data'!$B144=""),"",144)</f>
        <v>144</v>
      </c>
      <c r="B144" s="16">
        <f>IF($A144="","",'Daily Data'!$A144)</f>
        <v>46248</v>
      </c>
      <c r="C144" t="str">
        <f>IF($A144="","",'Daily Data'!$B144)</f>
        <v>TOL</v>
      </c>
      <c r="D144" s="165" t="str">
        <f>IF($A144="","",IF(COUNTIFS('Daily Data'!$B$4:$B$503,'Daily Data'!$B144,'Daily Data'!$A$4:$A$503,'Daily Data'!$A144)&gt;1,"ERROR","OK"))</f>
        <v>OK</v>
      </c>
      <c r="E144" s="165" t="str">
        <f>IF($A144="","",IF('Daily Data'!$B144="","ERROR","OK"))</f>
        <v>OK</v>
      </c>
      <c r="F144" s="165" t="str">
        <f>IF($A144="","",IF(NOT(ISNUMBER('Daily Data'!$A144)),"ERROR","OK"))</f>
        <v>OK</v>
      </c>
      <c r="G144" s="165" t="str">
        <f>IF($A144="","",IF(OR(N('Daily Data'!$E144)&lt;=0,N('Daily Data'!$C144)&lt;0,N('Daily Data'!$D144)&lt;0,N('Daily Data'!$F144)&lt;0,N('Daily Data'!$G144)&lt;0),"ERROR","OK"))</f>
        <v>OK</v>
      </c>
      <c r="H144" s="165" t="str">
        <f>IF($A144="","",IF(N('Daily Data'!$K144)&lt;0,"ERROR","OK"))</f>
        <v>OK</v>
      </c>
      <c r="I144" s="165" t="str">
        <f>IF($A144="","",IF(N('Daily Data'!$I144)&lt;0,"ERROR","OK"))</f>
        <v>OK</v>
      </c>
      <c r="J144" s="165" t="str">
        <f>IF($A144="","",IF(N('Daily Data'!$L144)&lt;0,"ERROR","OK"))</f>
        <v>OK</v>
      </c>
      <c r="K144" s="165" t="str">
        <f>IF($A144="","",IF(N('Daily Data'!$M144)&lt;0,"ERROR","OK"))</f>
        <v>OK</v>
      </c>
      <c r="L144" s="165" t="str">
        <f>IF($A144="","",IF(OR(N('Daily Data'!$F144)=0,N('Daily Data'!$G144)=0),"OK",IF(OR(N('Daily Data'!$E144)&gt;N('Daily Data'!$F144),N('Daily Data'!$E144)&lt;N('Daily Data'!$G144)),"ERROR","OK")))</f>
        <v>OK</v>
      </c>
      <c r="M144" s="165" t="str">
        <f>IF($A144="","",IF(N('Daily Data'!$AK144)&lt;=1,"OK",IF(ROUND(N('Daily Data'!$D144),2)=ROUND(SUMIFS('Daily Data'!$E$4:$E$503,'Daily Data'!$B$4:$B$503,'Daily Data'!$B144,'Daily Data'!$AK$4:$AK$503,'Daily Data'!$AK144-1),2),"OK","WARNING")))</f>
        <v>OK</v>
      </c>
      <c r="N144" s="165" t="str">
        <f>IF($A144="","",IF(N('Daily Data'!$N144)&lt;=0,"WARNING","OK"))</f>
        <v>OK</v>
      </c>
      <c r="O144" s="165" t="str">
        <f>IF($A144="","",IF(AND(ISNUMBER('Daily Data'!$H144),ABS(N('Daily Data'!$H144))&gt;Settings!$C$56),"WARNING","OK"))</f>
        <v>OK</v>
      </c>
      <c r="P144" s="165" t="str">
        <f>IF($A144="","",IF(OR(AND(N('Daily Data'!$K144)=0,N('Daily Data'!$I144)&gt;0),AND(N('Daily Data'!$I144)=0,N('Daily Data'!$K144)&gt;0),AND(N('Daily Data'!$L144)=0,N('Daily Data'!$M144)=0)),"WARNING","OK"))</f>
        <v>OK</v>
      </c>
      <c r="Q144" s="165" t="str">
        <f>IF($A144="","",IF(COUNTIFS('Daily Data'!$B$4:$B$503,'Daily Data'!$B144,'Daily Data'!$A$4:$A$503,'Daily Data'!$A144,'Daily Data'!$Q$4:$Q$503,'Daily Data'!$Q144)&gt;1,"WARNING","OK"))</f>
        <v>OK</v>
      </c>
      <c r="R144" s="165" t="str">
        <f>IF($A144="","",IF(AND(N('Daily Data'!$K144)&gt;0,N('Daily Data'!$J144)&lt;=0),"WARNING","OK"))</f>
        <v>OK</v>
      </c>
      <c r="S144" s="165">
        <f>IF($A144="","",COUNTIF($D144:$R144,"ERROR"))</f>
        <v>0</v>
      </c>
      <c r="T144" s="165">
        <f>IF($A144="","",COUNTIF($D144:$R144,"WARNING"))</f>
        <v>0</v>
      </c>
      <c r="U144" s="165" t="str">
        <f>IF($A144="","",IF($S144&gt;0,"ERROR",IF($T144&gt;0,"WARNING","PASS")))</f>
        <v>PASS</v>
      </c>
    </row>
    <row r="145" spans="1:21" x14ac:dyDescent="0.3">
      <c r="A145">
        <f>IF(AND('Daily Data'!$A145="",'Daily Data'!$B145=""),"",145)</f>
        <v>145</v>
      </c>
      <c r="B145" s="16">
        <f>IF($A145="","",'Daily Data'!$A145)</f>
        <v>46248</v>
      </c>
      <c r="C145" t="str">
        <f>IF($A145="","",'Daily Data'!$B145)</f>
        <v>TPCC</v>
      </c>
      <c r="D145" s="165" t="str">
        <f>IF($A145="","",IF(COUNTIFS('Daily Data'!$B$4:$B$503,'Daily Data'!$B145,'Daily Data'!$A$4:$A$503,'Daily Data'!$A145)&gt;1,"ERROR","OK"))</f>
        <v>OK</v>
      </c>
      <c r="E145" s="165" t="str">
        <f>IF($A145="","",IF('Daily Data'!$B145="","ERROR","OK"))</f>
        <v>OK</v>
      </c>
      <c r="F145" s="165" t="str">
        <f>IF($A145="","",IF(NOT(ISNUMBER('Daily Data'!$A145)),"ERROR","OK"))</f>
        <v>OK</v>
      </c>
      <c r="G145" s="165" t="str">
        <f>IF($A145="","",IF(OR(N('Daily Data'!$E145)&lt;=0,N('Daily Data'!$C145)&lt;0,N('Daily Data'!$D145)&lt;0,N('Daily Data'!$F145)&lt;0,N('Daily Data'!$G145)&lt;0),"ERROR","OK"))</f>
        <v>OK</v>
      </c>
      <c r="H145" s="165" t="str">
        <f>IF($A145="","",IF(N('Daily Data'!$K145)&lt;0,"ERROR","OK"))</f>
        <v>OK</v>
      </c>
      <c r="I145" s="165" t="str">
        <f>IF($A145="","",IF(N('Daily Data'!$I145)&lt;0,"ERROR","OK"))</f>
        <v>OK</v>
      </c>
      <c r="J145" s="165" t="str">
        <f>IF($A145="","",IF(N('Daily Data'!$L145)&lt;0,"ERROR","OK"))</f>
        <v>OK</v>
      </c>
      <c r="K145" s="165" t="str">
        <f>IF($A145="","",IF(N('Daily Data'!$M145)&lt;0,"ERROR","OK"))</f>
        <v>OK</v>
      </c>
      <c r="L145" s="165" t="str">
        <f>IF($A145="","",IF(OR(N('Daily Data'!$F145)=0,N('Daily Data'!$G145)=0),"OK",IF(OR(N('Daily Data'!$E145)&gt;N('Daily Data'!$F145),N('Daily Data'!$E145)&lt;N('Daily Data'!$G145)),"ERROR","OK")))</f>
        <v>OK</v>
      </c>
      <c r="M145" s="165" t="str">
        <f>IF($A145="","",IF(N('Daily Data'!$AK145)&lt;=1,"OK",IF(ROUND(N('Daily Data'!$D145),2)=ROUND(SUMIFS('Daily Data'!$E$4:$E$503,'Daily Data'!$B$4:$B$503,'Daily Data'!$B145,'Daily Data'!$AK$4:$AK$503,'Daily Data'!$AK145-1),2),"OK","WARNING")))</f>
        <v>OK</v>
      </c>
      <c r="N145" s="165" t="str">
        <f>IF($A145="","",IF(N('Daily Data'!$N145)&lt;=0,"WARNING","OK"))</f>
        <v>OK</v>
      </c>
      <c r="O145" s="165" t="str">
        <f>IF($A145="","",IF(AND(ISNUMBER('Daily Data'!$H145),ABS(N('Daily Data'!$H145))&gt;Settings!$C$56),"WARNING","OK"))</f>
        <v>OK</v>
      </c>
      <c r="P145" s="165" t="str">
        <f>IF($A145="","",IF(OR(AND(N('Daily Data'!$K145)=0,N('Daily Data'!$I145)&gt;0),AND(N('Daily Data'!$I145)=0,N('Daily Data'!$K145)&gt;0),AND(N('Daily Data'!$L145)=0,N('Daily Data'!$M145)=0)),"WARNING","OK"))</f>
        <v>OK</v>
      </c>
      <c r="Q145" s="165" t="str">
        <f>IF($A145="","",IF(COUNTIFS('Daily Data'!$B$4:$B$503,'Daily Data'!$B145,'Daily Data'!$A$4:$A$503,'Daily Data'!$A145,'Daily Data'!$Q$4:$Q$503,'Daily Data'!$Q145)&gt;1,"WARNING","OK"))</f>
        <v>OK</v>
      </c>
      <c r="R145" s="165" t="str">
        <f>IF($A145="","",IF(AND(N('Daily Data'!$K145)&gt;0,N('Daily Data'!$J145)&lt;=0),"WARNING","OK"))</f>
        <v>OK</v>
      </c>
      <c r="S145" s="165">
        <f>IF($A145="","",COUNTIF($D145:$R145,"ERROR"))</f>
        <v>0</v>
      </c>
      <c r="T145" s="165">
        <f>IF($A145="","",COUNTIF($D145:$R145,"WARNING"))</f>
        <v>0</v>
      </c>
      <c r="U145" s="165" t="str">
        <f>IF($A145="","",IF($S145&gt;0,"ERROR",IF($T145&gt;0,"WARNING","PASS")))</f>
        <v>PASS</v>
      </c>
    </row>
    <row r="146" spans="1:21" x14ac:dyDescent="0.3">
      <c r="A146">
        <f>IF(AND('Daily Data'!$A146="",'Daily Data'!$B146=""),"",146)</f>
        <v>146</v>
      </c>
      <c r="B146" s="16">
        <f>IF($A146="","",'Daily Data'!$A146)</f>
        <v>46248</v>
      </c>
      <c r="C146" t="str">
        <f>IF($A146="","",'Daily Data'!$B146)</f>
        <v>TTP</v>
      </c>
      <c r="D146" s="165" t="str">
        <f>IF($A146="","",IF(COUNTIFS('Daily Data'!$B$4:$B$503,'Daily Data'!$B146,'Daily Data'!$A$4:$A$503,'Daily Data'!$A146)&gt;1,"ERROR","OK"))</f>
        <v>OK</v>
      </c>
      <c r="E146" s="165" t="str">
        <f>IF($A146="","",IF('Daily Data'!$B146="","ERROR","OK"))</f>
        <v>OK</v>
      </c>
      <c r="F146" s="165" t="str">
        <f>IF($A146="","",IF(NOT(ISNUMBER('Daily Data'!$A146)),"ERROR","OK"))</f>
        <v>OK</v>
      </c>
      <c r="G146" s="165" t="str">
        <f>IF($A146="","",IF(OR(N('Daily Data'!$E146)&lt;=0,N('Daily Data'!$C146)&lt;0,N('Daily Data'!$D146)&lt;0,N('Daily Data'!$F146)&lt;0,N('Daily Data'!$G146)&lt;0),"ERROR","OK"))</f>
        <v>OK</v>
      </c>
      <c r="H146" s="165" t="str">
        <f>IF($A146="","",IF(N('Daily Data'!$K146)&lt;0,"ERROR","OK"))</f>
        <v>OK</v>
      </c>
      <c r="I146" s="165" t="str">
        <f>IF($A146="","",IF(N('Daily Data'!$I146)&lt;0,"ERROR","OK"))</f>
        <v>OK</v>
      </c>
      <c r="J146" s="165" t="str">
        <f>IF($A146="","",IF(N('Daily Data'!$L146)&lt;0,"ERROR","OK"))</f>
        <v>OK</v>
      </c>
      <c r="K146" s="165" t="str">
        <f>IF($A146="","",IF(N('Daily Data'!$M146)&lt;0,"ERROR","OK"))</f>
        <v>OK</v>
      </c>
      <c r="L146" s="165" t="str">
        <f>IF($A146="","",IF(OR(N('Daily Data'!$F146)=0,N('Daily Data'!$G146)=0),"OK",IF(OR(N('Daily Data'!$E146)&gt;N('Daily Data'!$F146),N('Daily Data'!$E146)&lt;N('Daily Data'!$G146)),"ERROR","OK")))</f>
        <v>OK</v>
      </c>
      <c r="M146" s="165" t="str">
        <f>IF($A146="","",IF(N('Daily Data'!$AK146)&lt;=1,"OK",IF(ROUND(N('Daily Data'!$D146),2)=ROUND(SUMIFS('Daily Data'!$E$4:$E$503,'Daily Data'!$B$4:$B$503,'Daily Data'!$B146,'Daily Data'!$AK$4:$AK$503,'Daily Data'!$AK146-1),2),"OK","WARNING")))</f>
        <v>OK</v>
      </c>
      <c r="N146" s="165" t="str">
        <f>IF($A146="","",IF(N('Daily Data'!$N146)&lt;=0,"WARNING","OK"))</f>
        <v>OK</v>
      </c>
      <c r="O146" s="165" t="str">
        <f>IF($A146="","",IF(AND(ISNUMBER('Daily Data'!$H146),ABS(N('Daily Data'!$H146))&gt;Settings!$C$56),"WARNING","OK"))</f>
        <v>OK</v>
      </c>
      <c r="P146" s="165" t="str">
        <f>IF($A146="","",IF(OR(AND(N('Daily Data'!$K146)=0,N('Daily Data'!$I146)&gt;0),AND(N('Daily Data'!$I146)=0,N('Daily Data'!$K146)&gt;0),AND(N('Daily Data'!$L146)=0,N('Daily Data'!$M146)=0)),"WARNING","OK"))</f>
        <v>OK</v>
      </c>
      <c r="Q146" s="165" t="str">
        <f>IF($A146="","",IF(COUNTIFS('Daily Data'!$B$4:$B$503,'Daily Data'!$B146,'Daily Data'!$A$4:$A$503,'Daily Data'!$A146,'Daily Data'!$Q$4:$Q$503,'Daily Data'!$Q146)&gt;1,"WARNING","OK"))</f>
        <v>OK</v>
      </c>
      <c r="R146" s="165" t="str">
        <f>IF($A146="","",IF(AND(N('Daily Data'!$K146)&gt;0,N('Daily Data'!$J146)&lt;=0),"WARNING","OK"))</f>
        <v>OK</v>
      </c>
      <c r="S146" s="165">
        <f>IF($A146="","",COUNTIF($D146:$R146,"ERROR"))</f>
        <v>0</v>
      </c>
      <c r="T146" s="165">
        <f>IF($A146="","",COUNTIF($D146:$R146,"WARNING"))</f>
        <v>0</v>
      </c>
      <c r="U146" s="165" t="str">
        <f>IF($A146="","",IF($S146&gt;0,"ERROR",IF($T146&gt;0,"WARNING","PASS")))</f>
        <v>PASS</v>
      </c>
    </row>
    <row r="147" spans="1:21" x14ac:dyDescent="0.3">
      <c r="A147">
        <f>IF(AND('Daily Data'!$A147="",'Daily Data'!$B147=""),"",147)</f>
        <v>147</v>
      </c>
      <c r="B147" s="16">
        <f>IF($A147="","",'Daily Data'!$A147)</f>
        <v>46248</v>
      </c>
      <c r="C147" t="str">
        <f>IF($A147="","",'Daily Data'!$B147)</f>
        <v>USL</v>
      </c>
      <c r="D147" s="165" t="str">
        <f>IF($A147="","",IF(COUNTIFS('Daily Data'!$B$4:$B$503,'Daily Data'!$B147,'Daily Data'!$A$4:$A$503,'Daily Data'!$A147)&gt;1,"ERROR","OK"))</f>
        <v>OK</v>
      </c>
      <c r="E147" s="165" t="str">
        <f>IF($A147="","",IF('Daily Data'!$B147="","ERROR","OK"))</f>
        <v>OK</v>
      </c>
      <c r="F147" s="165" t="str">
        <f>IF($A147="","",IF(NOT(ISNUMBER('Daily Data'!$A147)),"ERROR","OK"))</f>
        <v>OK</v>
      </c>
      <c r="G147" s="165" t="str">
        <f>IF($A147="","",IF(OR(N('Daily Data'!$E147)&lt;=0,N('Daily Data'!$C147)&lt;0,N('Daily Data'!$D147)&lt;0,N('Daily Data'!$F147)&lt;0,N('Daily Data'!$G147)&lt;0),"ERROR","OK"))</f>
        <v>OK</v>
      </c>
      <c r="H147" s="165" t="str">
        <f>IF($A147="","",IF(N('Daily Data'!$K147)&lt;0,"ERROR","OK"))</f>
        <v>OK</v>
      </c>
      <c r="I147" s="165" t="str">
        <f>IF($A147="","",IF(N('Daily Data'!$I147)&lt;0,"ERROR","OK"))</f>
        <v>OK</v>
      </c>
      <c r="J147" s="165" t="str">
        <f>IF($A147="","",IF(N('Daily Data'!$L147)&lt;0,"ERROR","OK"))</f>
        <v>OK</v>
      </c>
      <c r="K147" s="165" t="str">
        <f>IF($A147="","",IF(N('Daily Data'!$M147)&lt;0,"ERROR","OK"))</f>
        <v>OK</v>
      </c>
      <c r="L147" s="165" t="str">
        <f>IF($A147="","",IF(OR(N('Daily Data'!$F147)=0,N('Daily Data'!$G147)=0),"OK",IF(OR(N('Daily Data'!$E147)&gt;N('Daily Data'!$F147),N('Daily Data'!$E147)&lt;N('Daily Data'!$G147)),"ERROR","OK")))</f>
        <v>OK</v>
      </c>
      <c r="M147" s="165" t="str">
        <f>IF($A147="","",IF(N('Daily Data'!$AK147)&lt;=1,"OK",IF(ROUND(N('Daily Data'!$D147),2)=ROUND(SUMIFS('Daily Data'!$E$4:$E$503,'Daily Data'!$B$4:$B$503,'Daily Data'!$B147,'Daily Data'!$AK$4:$AK$503,'Daily Data'!$AK147-1),2),"OK","WARNING")))</f>
        <v>OK</v>
      </c>
      <c r="N147" s="165" t="str">
        <f>IF($A147="","",IF(N('Daily Data'!$N147)&lt;=0,"WARNING","OK"))</f>
        <v>OK</v>
      </c>
      <c r="O147" s="165" t="str">
        <f>IF($A147="","",IF(AND(ISNUMBER('Daily Data'!$H147),ABS(N('Daily Data'!$H147))&gt;Settings!$C$56),"WARNING","OK"))</f>
        <v>OK</v>
      </c>
      <c r="P147" s="165" t="str">
        <f>IF($A147="","",IF(OR(AND(N('Daily Data'!$K147)=0,N('Daily Data'!$I147)&gt;0),AND(N('Daily Data'!$I147)=0,N('Daily Data'!$K147)&gt;0),AND(N('Daily Data'!$L147)=0,N('Daily Data'!$M147)=0)),"WARNING","OK"))</f>
        <v>OK</v>
      </c>
      <c r="Q147" s="165" t="str">
        <f>IF($A147="","",IF(COUNTIFS('Daily Data'!$B$4:$B$503,'Daily Data'!$B147,'Daily Data'!$A$4:$A$503,'Daily Data'!$A147,'Daily Data'!$Q$4:$Q$503,'Daily Data'!$Q147)&gt;1,"WARNING","OK"))</f>
        <v>OK</v>
      </c>
      <c r="R147" s="165" t="str">
        <f>IF($A147="","",IF(AND(N('Daily Data'!$K147)&gt;0,N('Daily Data'!$J147)&lt;=0),"WARNING","OK"))</f>
        <v>OK</v>
      </c>
      <c r="S147" s="165">
        <f>IF($A147="","",COUNTIF($D147:$R147,"ERROR"))</f>
        <v>0</v>
      </c>
      <c r="T147" s="165">
        <f>IF($A147="","",COUNTIF($D147:$R147,"WARNING"))</f>
        <v>0</v>
      </c>
      <c r="U147" s="165" t="str">
        <f>IF($A147="","",IF($S147&gt;0,"ERROR",IF($T147&gt;0,"WARNING","PASS")))</f>
        <v>PASS</v>
      </c>
    </row>
    <row r="148" spans="1:21" x14ac:dyDescent="0.3">
      <c r="A148">
        <f>IF(AND('Daily Data'!$A148="",'Daily Data'!$B148=""),"",148)</f>
        <v>148</v>
      </c>
      <c r="B148" s="16">
        <f>IF($A148="","",'Daily Data'!$A148)</f>
        <v>46248</v>
      </c>
      <c r="C148" t="str">
        <f>IF($A148="","",'Daily Data'!$B148)</f>
        <v>VODA</v>
      </c>
      <c r="D148" s="165" t="str">
        <f>IF($A148="","",IF(COUNTIFS('Daily Data'!$B$4:$B$503,'Daily Data'!$B148,'Daily Data'!$A$4:$A$503,'Daily Data'!$A148)&gt;1,"ERROR","OK"))</f>
        <v>OK</v>
      </c>
      <c r="E148" s="165" t="str">
        <f>IF($A148="","",IF('Daily Data'!$B148="","ERROR","OK"))</f>
        <v>OK</v>
      </c>
      <c r="F148" s="165" t="str">
        <f>IF($A148="","",IF(NOT(ISNUMBER('Daily Data'!$A148)),"ERROR","OK"))</f>
        <v>OK</v>
      </c>
      <c r="G148" s="165" t="str">
        <f>IF($A148="","",IF(OR(N('Daily Data'!$E148)&lt;=0,N('Daily Data'!$C148)&lt;0,N('Daily Data'!$D148)&lt;0,N('Daily Data'!$F148)&lt;0,N('Daily Data'!$G148)&lt;0),"ERROR","OK"))</f>
        <v>OK</v>
      </c>
      <c r="H148" s="165" t="str">
        <f>IF($A148="","",IF(N('Daily Data'!$K148)&lt;0,"ERROR","OK"))</f>
        <v>OK</v>
      </c>
      <c r="I148" s="165" t="str">
        <f>IF($A148="","",IF(N('Daily Data'!$I148)&lt;0,"ERROR","OK"))</f>
        <v>OK</v>
      </c>
      <c r="J148" s="165" t="str">
        <f>IF($A148="","",IF(N('Daily Data'!$L148)&lt;0,"ERROR","OK"))</f>
        <v>OK</v>
      </c>
      <c r="K148" s="165" t="str">
        <f>IF($A148="","",IF(N('Daily Data'!$M148)&lt;0,"ERROR","OK"))</f>
        <v>OK</v>
      </c>
      <c r="L148" s="165" t="str">
        <f>IF($A148="","",IF(OR(N('Daily Data'!$F148)=0,N('Daily Data'!$G148)=0),"OK",IF(OR(N('Daily Data'!$E148)&gt;N('Daily Data'!$F148),N('Daily Data'!$E148)&lt;N('Daily Data'!$G148)),"ERROR","OK")))</f>
        <v>OK</v>
      </c>
      <c r="M148" s="165" t="str">
        <f>IF($A148="","",IF(N('Daily Data'!$AK148)&lt;=1,"OK",IF(ROUND(N('Daily Data'!$D148),2)=ROUND(SUMIFS('Daily Data'!$E$4:$E$503,'Daily Data'!$B$4:$B$503,'Daily Data'!$B148,'Daily Data'!$AK$4:$AK$503,'Daily Data'!$AK148-1),2),"OK","WARNING")))</f>
        <v>OK</v>
      </c>
      <c r="N148" s="165" t="str">
        <f>IF($A148="","",IF(N('Daily Data'!$N148)&lt;=0,"WARNING","OK"))</f>
        <v>OK</v>
      </c>
      <c r="O148" s="165" t="str">
        <f>IF($A148="","",IF(AND(ISNUMBER('Daily Data'!$H148),ABS(N('Daily Data'!$H148))&gt;Settings!$C$56),"WARNING","OK"))</f>
        <v>OK</v>
      </c>
      <c r="P148" s="165" t="str">
        <f>IF($A148="","",IF(OR(AND(N('Daily Data'!$K148)=0,N('Daily Data'!$I148)&gt;0),AND(N('Daily Data'!$I148)=0,N('Daily Data'!$K148)&gt;0),AND(N('Daily Data'!$L148)=0,N('Daily Data'!$M148)=0)),"WARNING","OK"))</f>
        <v>OK</v>
      </c>
      <c r="Q148" s="165" t="str">
        <f>IF($A148="","",IF(COUNTIFS('Daily Data'!$B$4:$B$503,'Daily Data'!$B148,'Daily Data'!$A$4:$A$503,'Daily Data'!$A148,'Daily Data'!$Q$4:$Q$503,'Daily Data'!$Q148)&gt;1,"WARNING","OK"))</f>
        <v>OK</v>
      </c>
      <c r="R148" s="165" t="str">
        <f>IF($A148="","",IF(AND(N('Daily Data'!$K148)&gt;0,N('Daily Data'!$J148)&lt;=0),"WARNING","OK"))</f>
        <v>OK</v>
      </c>
      <c r="S148" s="165">
        <f>IF($A148="","",COUNTIF($D148:$R148,"ERROR"))</f>
        <v>0</v>
      </c>
      <c r="T148" s="165">
        <f>IF($A148="","",COUNTIF($D148:$R148,"WARNING"))</f>
        <v>0</v>
      </c>
      <c r="U148" s="165" t="str">
        <f>IF($A148="","",IF($S148&gt;0,"ERROR",IF($T148&gt;0,"WARNING","PASS")))</f>
        <v>PASS</v>
      </c>
    </row>
    <row r="149" spans="1:21" x14ac:dyDescent="0.3">
      <c r="A149">
        <f>IF(AND('Daily Data'!$A149="",'Daily Data'!$B149=""),"",149)</f>
        <v>149</v>
      </c>
      <c r="B149" s="16">
        <f>IF($A149="","",'Daily Data'!$A149)</f>
        <v>46248</v>
      </c>
      <c r="C149" t="str">
        <f>IF($A149="","",'Daily Data'!$B149)</f>
        <v>YETU</v>
      </c>
      <c r="D149" s="165" t="str">
        <f>IF($A149="","",IF(COUNTIFS('Daily Data'!$B$4:$B$503,'Daily Data'!$B149,'Daily Data'!$A$4:$A$503,'Daily Data'!$A149)&gt;1,"ERROR","OK"))</f>
        <v>OK</v>
      </c>
      <c r="E149" s="165" t="str">
        <f>IF($A149="","",IF('Daily Data'!$B149="","ERROR","OK"))</f>
        <v>OK</v>
      </c>
      <c r="F149" s="165" t="str">
        <f>IF($A149="","",IF(NOT(ISNUMBER('Daily Data'!$A149)),"ERROR","OK"))</f>
        <v>OK</v>
      </c>
      <c r="G149" s="165" t="str">
        <f>IF($A149="","",IF(OR(N('Daily Data'!$E149)&lt;=0,N('Daily Data'!$C149)&lt;0,N('Daily Data'!$D149)&lt;0,N('Daily Data'!$F149)&lt;0,N('Daily Data'!$G149)&lt;0),"ERROR","OK"))</f>
        <v>OK</v>
      </c>
      <c r="H149" s="165" t="str">
        <f>IF($A149="","",IF(N('Daily Data'!$K149)&lt;0,"ERROR","OK"))</f>
        <v>OK</v>
      </c>
      <c r="I149" s="165" t="str">
        <f>IF($A149="","",IF(N('Daily Data'!$I149)&lt;0,"ERROR","OK"))</f>
        <v>OK</v>
      </c>
      <c r="J149" s="165" t="str">
        <f>IF($A149="","",IF(N('Daily Data'!$L149)&lt;0,"ERROR","OK"))</f>
        <v>OK</v>
      </c>
      <c r="K149" s="165" t="str">
        <f>IF($A149="","",IF(N('Daily Data'!$M149)&lt;0,"ERROR","OK"))</f>
        <v>OK</v>
      </c>
      <c r="L149" s="165" t="str">
        <f>IF($A149="","",IF(OR(N('Daily Data'!$F149)=0,N('Daily Data'!$G149)=0),"OK",IF(OR(N('Daily Data'!$E149)&gt;N('Daily Data'!$F149),N('Daily Data'!$E149)&lt;N('Daily Data'!$G149)),"ERROR","OK")))</f>
        <v>OK</v>
      </c>
      <c r="M149" s="165" t="str">
        <f>IF($A149="","",IF(N('Daily Data'!$AK149)&lt;=1,"OK",IF(ROUND(N('Daily Data'!$D149),2)=ROUND(SUMIFS('Daily Data'!$E$4:$E$503,'Daily Data'!$B$4:$B$503,'Daily Data'!$B149,'Daily Data'!$AK$4:$AK$503,'Daily Data'!$AK149-1),2),"OK","WARNING")))</f>
        <v>OK</v>
      </c>
      <c r="N149" s="165" t="str">
        <f>IF($A149="","",IF(N('Daily Data'!$N149)&lt;=0,"WARNING","OK"))</f>
        <v>OK</v>
      </c>
      <c r="O149" s="165" t="str">
        <f>IF($A149="","",IF(AND(ISNUMBER('Daily Data'!$H149),ABS(N('Daily Data'!$H149))&gt;Settings!$C$56),"WARNING","OK"))</f>
        <v>OK</v>
      </c>
      <c r="P149" s="165" t="str">
        <f>IF($A149="","",IF(OR(AND(N('Daily Data'!$K149)=0,N('Daily Data'!$I149)&gt;0),AND(N('Daily Data'!$I149)=0,N('Daily Data'!$K149)&gt;0),AND(N('Daily Data'!$L149)=0,N('Daily Data'!$M149)=0)),"WARNING","OK"))</f>
        <v>WARNING</v>
      </c>
      <c r="Q149" s="165" t="str">
        <f>IF($A149="","",IF(COUNTIFS('Daily Data'!$B$4:$B$503,'Daily Data'!$B149,'Daily Data'!$A$4:$A$503,'Daily Data'!$A149,'Daily Data'!$Q$4:$Q$503,'Daily Data'!$Q149)&gt;1,"WARNING","OK"))</f>
        <v>OK</v>
      </c>
      <c r="R149" s="165" t="str">
        <f>IF($A149="","",IF(AND(N('Daily Data'!$K149)&gt;0,N('Daily Data'!$J149)&lt;=0),"WARNING","OK"))</f>
        <v>OK</v>
      </c>
      <c r="S149" s="165">
        <f>IF($A149="","",COUNTIF($D149:$R149,"ERROR"))</f>
        <v>0</v>
      </c>
      <c r="T149" s="165">
        <f>IF($A149="","",COUNTIF($D149:$R149,"WARNING"))</f>
        <v>1</v>
      </c>
      <c r="U149" s="165" t="str">
        <f>IF($A149="","",IF($S149&gt;0,"ERROR",IF($T149&gt;0,"WARNING","PASS")))</f>
        <v>WARNING</v>
      </c>
    </row>
    <row r="150" spans="1:21" x14ac:dyDescent="0.3">
      <c r="A150">
        <f>IF(AND('Daily Data'!$A150="",'Daily Data'!$B150=""),"",150)</f>
        <v>150</v>
      </c>
      <c r="B150" s="16">
        <f>IF($A150="","",'Daily Data'!$A150)</f>
        <v>46248</v>
      </c>
      <c r="C150" t="str">
        <f>IF($A150="","",'Daily Data'!$B150)</f>
        <v>IEACLC-ETF</v>
      </c>
      <c r="D150" s="165" t="str">
        <f>IF($A150="","",IF(COUNTIFS('Daily Data'!$B$4:$B$503,'Daily Data'!$B150,'Daily Data'!$A$4:$A$503,'Daily Data'!$A150)&gt;1,"ERROR","OK"))</f>
        <v>OK</v>
      </c>
      <c r="E150" s="165" t="str">
        <f>IF($A150="","",IF('Daily Data'!$B150="","ERROR","OK"))</f>
        <v>OK</v>
      </c>
      <c r="F150" s="165" t="str">
        <f>IF($A150="","",IF(NOT(ISNUMBER('Daily Data'!$A150)),"ERROR","OK"))</f>
        <v>OK</v>
      </c>
      <c r="G150" s="165" t="str">
        <f>IF($A150="","",IF(OR(N('Daily Data'!$E150)&lt;=0,N('Daily Data'!$C150)&lt;0,N('Daily Data'!$D150)&lt;0,N('Daily Data'!$F150)&lt;0,N('Daily Data'!$G150)&lt;0),"ERROR","OK"))</f>
        <v>OK</v>
      </c>
      <c r="H150" s="165" t="str">
        <f>IF($A150="","",IF(N('Daily Data'!$K150)&lt;0,"ERROR","OK"))</f>
        <v>OK</v>
      </c>
      <c r="I150" s="165" t="str">
        <f>IF($A150="","",IF(N('Daily Data'!$I150)&lt;0,"ERROR","OK"))</f>
        <v>OK</v>
      </c>
      <c r="J150" s="165" t="str">
        <f>IF($A150="","",IF(N('Daily Data'!$L150)&lt;0,"ERROR","OK"))</f>
        <v>OK</v>
      </c>
      <c r="K150" s="165" t="str">
        <f>IF($A150="","",IF(N('Daily Data'!$M150)&lt;0,"ERROR","OK"))</f>
        <v>OK</v>
      </c>
      <c r="L150" s="165" t="str">
        <f>IF($A150="","",IF(OR(N('Daily Data'!$F150)=0,N('Daily Data'!$G150)=0),"OK",IF(OR(N('Daily Data'!$E150)&gt;N('Daily Data'!$F150),N('Daily Data'!$E150)&lt;N('Daily Data'!$G150)),"ERROR","OK")))</f>
        <v>OK</v>
      </c>
      <c r="M150" s="165" t="str">
        <f>IF($A150="","",IF(N('Daily Data'!$AK150)&lt;=1,"OK",IF(ROUND(N('Daily Data'!$D150),2)=ROUND(SUMIFS('Daily Data'!$E$4:$E$503,'Daily Data'!$B$4:$B$503,'Daily Data'!$B150,'Daily Data'!$AK$4:$AK$503,'Daily Data'!$AK150-1),2),"OK","WARNING")))</f>
        <v>OK</v>
      </c>
      <c r="N150" s="165" t="str">
        <f>IF($A150="","",IF(N('Daily Data'!$N150)&lt;=0,"WARNING","OK"))</f>
        <v>OK</v>
      </c>
      <c r="O150" s="165" t="str">
        <f>IF($A150="","",IF(AND(ISNUMBER('Daily Data'!$H150),ABS(N('Daily Data'!$H150))&gt;Settings!$C$56),"WARNING","OK"))</f>
        <v>OK</v>
      </c>
      <c r="P150" s="165" t="str">
        <f>IF($A150="","",IF(OR(AND(N('Daily Data'!$K150)=0,N('Daily Data'!$I150)&gt;0),AND(N('Daily Data'!$I150)=0,N('Daily Data'!$K150)&gt;0),AND(N('Daily Data'!$L150)=0,N('Daily Data'!$M150)=0)),"WARNING","OK"))</f>
        <v>OK</v>
      </c>
      <c r="Q150" s="165" t="str">
        <f>IF($A150="","",IF(COUNTIFS('Daily Data'!$B$4:$B$503,'Daily Data'!$B150,'Daily Data'!$A$4:$A$503,'Daily Data'!$A150,'Daily Data'!$Q$4:$Q$503,'Daily Data'!$Q150)&gt;1,"WARNING","OK"))</f>
        <v>OK</v>
      </c>
      <c r="R150" s="165" t="str">
        <f>IF($A150="","",IF(AND(N('Daily Data'!$K150)&gt;0,N('Daily Data'!$J150)&lt;=0),"WARNING","OK"))</f>
        <v>OK</v>
      </c>
      <c r="S150" s="165">
        <f>IF($A150="","",COUNTIF($D150:$R150,"ERROR"))</f>
        <v>0</v>
      </c>
      <c r="T150" s="165">
        <f>IF($A150="","",COUNTIF($D150:$R150,"WARNING"))</f>
        <v>0</v>
      </c>
      <c r="U150" s="165" t="str">
        <f>IF($A150="","",IF($S150&gt;0,"ERROR",IF($T150&gt;0,"WARNING","PASS")))</f>
        <v>PASS</v>
      </c>
    </row>
    <row r="151" spans="1:21" x14ac:dyDescent="0.3">
      <c r="A151">
        <f>IF(AND('Daily Data'!$A151="",'Daily Data'!$B151=""),"",151)</f>
        <v>151</v>
      </c>
      <c r="B151" s="16">
        <f>IF($A151="","",'Daily Data'!$A151)</f>
        <v>46248</v>
      </c>
      <c r="C151" t="str">
        <f>IF($A151="","",'Daily Data'!$B151)</f>
        <v>VERTEX-ETF</v>
      </c>
      <c r="D151" s="165" t="str">
        <f>IF($A151="","",IF(COUNTIFS('Daily Data'!$B$4:$B$503,'Daily Data'!$B151,'Daily Data'!$A$4:$A$503,'Daily Data'!$A151)&gt;1,"ERROR","OK"))</f>
        <v>OK</v>
      </c>
      <c r="E151" s="165" t="str">
        <f>IF($A151="","",IF('Daily Data'!$B151="","ERROR","OK"))</f>
        <v>OK</v>
      </c>
      <c r="F151" s="165" t="str">
        <f>IF($A151="","",IF(NOT(ISNUMBER('Daily Data'!$A151)),"ERROR","OK"))</f>
        <v>OK</v>
      </c>
      <c r="G151" s="165" t="str">
        <f>IF($A151="","",IF(OR(N('Daily Data'!$E151)&lt;=0,N('Daily Data'!$C151)&lt;0,N('Daily Data'!$D151)&lt;0,N('Daily Data'!$F151)&lt;0,N('Daily Data'!$G151)&lt;0),"ERROR","OK"))</f>
        <v>OK</v>
      </c>
      <c r="H151" s="165" t="str">
        <f>IF($A151="","",IF(N('Daily Data'!$K151)&lt;0,"ERROR","OK"))</f>
        <v>OK</v>
      </c>
      <c r="I151" s="165" t="str">
        <f>IF($A151="","",IF(N('Daily Data'!$I151)&lt;0,"ERROR","OK"))</f>
        <v>OK</v>
      </c>
      <c r="J151" s="165" t="str">
        <f>IF($A151="","",IF(N('Daily Data'!$L151)&lt;0,"ERROR","OK"))</f>
        <v>OK</v>
      </c>
      <c r="K151" s="165" t="str">
        <f>IF($A151="","",IF(N('Daily Data'!$M151)&lt;0,"ERROR","OK"))</f>
        <v>OK</v>
      </c>
      <c r="L151" s="165" t="str">
        <f>IF($A151="","",IF(OR(N('Daily Data'!$F151)=0,N('Daily Data'!$G151)=0),"OK",IF(OR(N('Daily Data'!$E151)&gt;N('Daily Data'!$F151),N('Daily Data'!$E151)&lt;N('Daily Data'!$G151)),"ERROR","OK")))</f>
        <v>OK</v>
      </c>
      <c r="M151" s="165" t="str">
        <f>IF($A151="","",IF(N('Daily Data'!$AK151)&lt;=1,"OK",IF(ROUND(N('Daily Data'!$D151),2)=ROUND(SUMIFS('Daily Data'!$E$4:$E$503,'Daily Data'!$B$4:$B$503,'Daily Data'!$B151,'Daily Data'!$AK$4:$AK$503,'Daily Data'!$AK151-1),2),"OK","WARNING")))</f>
        <v>OK</v>
      </c>
      <c r="N151" s="165" t="str">
        <f>IF($A151="","",IF(N('Daily Data'!$N151)&lt;=0,"WARNING","OK"))</f>
        <v>OK</v>
      </c>
      <c r="O151" s="165" t="str">
        <f>IF($A151="","",IF(AND(ISNUMBER('Daily Data'!$H151),ABS(N('Daily Data'!$H151))&gt;Settings!$C$56),"WARNING","OK"))</f>
        <v>OK</v>
      </c>
      <c r="P151" s="165" t="str">
        <f>IF($A151="","",IF(OR(AND(N('Daily Data'!$K151)=0,N('Daily Data'!$I151)&gt;0),AND(N('Daily Data'!$I151)=0,N('Daily Data'!$K151)&gt;0),AND(N('Daily Data'!$L151)=0,N('Daily Data'!$M151)=0)),"WARNING","OK"))</f>
        <v>OK</v>
      </c>
      <c r="Q151" s="165" t="str">
        <f>IF($A151="","",IF(COUNTIFS('Daily Data'!$B$4:$B$503,'Daily Data'!$B151,'Daily Data'!$A$4:$A$503,'Daily Data'!$A151,'Daily Data'!$Q$4:$Q$503,'Daily Data'!$Q151)&gt;1,"WARNING","OK"))</f>
        <v>OK</v>
      </c>
      <c r="R151" s="165" t="str">
        <f>IF($A151="","",IF(AND(N('Daily Data'!$K151)&gt;0,N('Daily Data'!$J151)&lt;=0),"WARNING","OK"))</f>
        <v>OK</v>
      </c>
      <c r="S151" s="165">
        <f>IF($A151="","",COUNTIF($D151:$R151,"ERROR"))</f>
        <v>0</v>
      </c>
      <c r="T151" s="165">
        <f>IF($A151="","",COUNTIF($D151:$R151,"WARNING"))</f>
        <v>0</v>
      </c>
      <c r="U151" s="165" t="str">
        <f>IF($A151="","",IF($S151&gt;0,"ERROR",IF($T151&gt;0,"WARNING","PASS")))</f>
        <v>PASS</v>
      </c>
    </row>
    <row r="152" spans="1:21" x14ac:dyDescent="0.3">
      <c r="A152" t="str">
        <f>IF(AND('Daily Data'!$A152="",'Daily Data'!$B152=""),"",152)</f>
        <v/>
      </c>
      <c r="B152" s="16" t="str">
        <f>IF($A152="","",'Daily Data'!$A152)</f>
        <v/>
      </c>
      <c r="C152" t="str">
        <f>IF($A152="","",'Daily Data'!$B152)</f>
        <v/>
      </c>
      <c r="D152" s="165" t="str">
        <f>IF($A152="","",IF(COUNTIFS('Daily Data'!$B$4:$B$503,'Daily Data'!$B152,'Daily Data'!$A$4:$A$503,'Daily Data'!$A152)&gt;1,"ERROR","OK"))</f>
        <v/>
      </c>
      <c r="E152" s="165" t="str">
        <f>IF($A152="","",IF('Daily Data'!$B152="","ERROR","OK"))</f>
        <v/>
      </c>
      <c r="F152" s="165" t="str">
        <f>IF($A152="","",IF(NOT(ISNUMBER('Daily Data'!$A152)),"ERROR","OK"))</f>
        <v/>
      </c>
      <c r="G152" s="165" t="str">
        <f>IF($A152="","",IF(OR(N('Daily Data'!$E152)&lt;=0,N('Daily Data'!$C152)&lt;0,N('Daily Data'!$D152)&lt;0,N('Daily Data'!$F152)&lt;0,N('Daily Data'!$G152)&lt;0),"ERROR","OK"))</f>
        <v/>
      </c>
      <c r="H152" s="165" t="str">
        <f>IF($A152="","",IF(N('Daily Data'!$K152)&lt;0,"ERROR","OK"))</f>
        <v/>
      </c>
      <c r="I152" s="165" t="str">
        <f>IF($A152="","",IF(N('Daily Data'!$I152)&lt;0,"ERROR","OK"))</f>
        <v/>
      </c>
      <c r="J152" s="165" t="str">
        <f>IF($A152="","",IF(N('Daily Data'!$L152)&lt;0,"ERROR","OK"))</f>
        <v/>
      </c>
      <c r="K152" s="165" t="str">
        <f>IF($A152="","",IF(N('Daily Data'!$M152)&lt;0,"ERROR","OK"))</f>
        <v/>
      </c>
      <c r="L152" s="165" t="str">
        <f>IF($A152="","",IF(OR(N('Daily Data'!$F152)=0,N('Daily Data'!$G152)=0),"OK",IF(OR(N('Daily Data'!$E152)&gt;N('Daily Data'!$F152),N('Daily Data'!$E152)&lt;N('Daily Data'!$G152)),"ERROR","OK")))</f>
        <v/>
      </c>
      <c r="M152" s="165" t="str">
        <f>IF($A152="","",IF(N('Daily Data'!$AK152)&lt;=1,"OK",IF(ROUND(N('Daily Data'!$D152),2)=ROUND(SUMIFS('Daily Data'!$E$4:$E$503,'Daily Data'!$B$4:$B$503,'Daily Data'!$B152,'Daily Data'!$AK$4:$AK$503,'Daily Data'!$AK152-1),2),"OK","WARNING")))</f>
        <v/>
      </c>
      <c r="N152" s="165" t="str">
        <f>IF($A152="","",IF(N('Daily Data'!$N152)&lt;=0,"WARNING","OK"))</f>
        <v/>
      </c>
      <c r="O152" s="165" t="str">
        <f>IF($A152="","",IF(AND(ISNUMBER('Daily Data'!$H152),ABS(N('Daily Data'!$H152))&gt;Settings!$C$56),"WARNING","OK"))</f>
        <v/>
      </c>
      <c r="P152" s="165" t="str">
        <f>IF($A152="","",IF(OR(AND(N('Daily Data'!$K152)=0,N('Daily Data'!$I152)&gt;0),AND(N('Daily Data'!$I152)=0,N('Daily Data'!$K152)&gt;0),AND(N('Daily Data'!$L152)=0,N('Daily Data'!$M152)=0)),"WARNING","OK"))</f>
        <v/>
      </c>
      <c r="Q152" s="165" t="str">
        <f>IF($A152="","",IF(COUNTIFS('Daily Data'!$B$4:$B$503,'Daily Data'!$B152,'Daily Data'!$A$4:$A$503,'Daily Data'!$A152,'Daily Data'!$Q$4:$Q$503,'Daily Data'!$Q152)&gt;1,"WARNING","OK"))</f>
        <v/>
      </c>
      <c r="R152" s="165" t="str">
        <f>IF($A152="","",IF(AND(N('Daily Data'!$K152)&gt;0,N('Daily Data'!$J152)&lt;=0),"WARNING","OK"))</f>
        <v/>
      </c>
      <c r="S152" s="165" t="str">
        <f>IF($A152="","",COUNTIF($D152:$R152,"ERROR"))</f>
        <v/>
      </c>
      <c r="T152" s="165" t="str">
        <f>IF($A152="","",COUNTIF($D152:$R152,"WARNING"))</f>
        <v/>
      </c>
      <c r="U152" s="165" t="str">
        <f>IF($A152="","",IF($S152&gt;0,"ERROR",IF($T152&gt;0,"WARNING","PASS")))</f>
        <v/>
      </c>
    </row>
    <row r="153" spans="1:21" x14ac:dyDescent="0.3">
      <c r="A153" t="str">
        <f>IF(AND('Daily Data'!$A153="",'Daily Data'!$B153=""),"",153)</f>
        <v/>
      </c>
      <c r="B153" s="16" t="str">
        <f>IF($A153="","",'Daily Data'!$A153)</f>
        <v/>
      </c>
      <c r="C153" t="str">
        <f>IF($A153="","",'Daily Data'!$B153)</f>
        <v/>
      </c>
      <c r="D153" s="165" t="str">
        <f>IF($A153="","",IF(COUNTIFS('Daily Data'!$B$4:$B$503,'Daily Data'!$B153,'Daily Data'!$A$4:$A$503,'Daily Data'!$A153)&gt;1,"ERROR","OK"))</f>
        <v/>
      </c>
      <c r="E153" s="165" t="str">
        <f>IF($A153="","",IF('Daily Data'!$B153="","ERROR","OK"))</f>
        <v/>
      </c>
      <c r="F153" s="165" t="str">
        <f>IF($A153="","",IF(NOT(ISNUMBER('Daily Data'!$A153)),"ERROR","OK"))</f>
        <v/>
      </c>
      <c r="G153" s="165" t="str">
        <f>IF($A153="","",IF(OR(N('Daily Data'!$E153)&lt;=0,N('Daily Data'!$C153)&lt;0,N('Daily Data'!$D153)&lt;0,N('Daily Data'!$F153)&lt;0,N('Daily Data'!$G153)&lt;0),"ERROR","OK"))</f>
        <v/>
      </c>
      <c r="H153" s="165" t="str">
        <f>IF($A153="","",IF(N('Daily Data'!$K153)&lt;0,"ERROR","OK"))</f>
        <v/>
      </c>
      <c r="I153" s="165" t="str">
        <f>IF($A153="","",IF(N('Daily Data'!$I153)&lt;0,"ERROR","OK"))</f>
        <v/>
      </c>
      <c r="J153" s="165" t="str">
        <f>IF($A153="","",IF(N('Daily Data'!$L153)&lt;0,"ERROR","OK"))</f>
        <v/>
      </c>
      <c r="K153" s="165" t="str">
        <f>IF($A153="","",IF(N('Daily Data'!$M153)&lt;0,"ERROR","OK"))</f>
        <v/>
      </c>
      <c r="L153" s="165" t="str">
        <f>IF($A153="","",IF(OR(N('Daily Data'!$F153)=0,N('Daily Data'!$G153)=0),"OK",IF(OR(N('Daily Data'!$E153)&gt;N('Daily Data'!$F153),N('Daily Data'!$E153)&lt;N('Daily Data'!$G153)),"ERROR","OK")))</f>
        <v/>
      </c>
      <c r="M153" s="165" t="str">
        <f>IF($A153="","",IF(N('Daily Data'!$AK153)&lt;=1,"OK",IF(ROUND(N('Daily Data'!$D153),2)=ROUND(SUMIFS('Daily Data'!$E$4:$E$503,'Daily Data'!$B$4:$B$503,'Daily Data'!$B153,'Daily Data'!$AK$4:$AK$503,'Daily Data'!$AK153-1),2),"OK","WARNING")))</f>
        <v/>
      </c>
      <c r="N153" s="165" t="str">
        <f>IF($A153="","",IF(N('Daily Data'!$N153)&lt;=0,"WARNING","OK"))</f>
        <v/>
      </c>
      <c r="O153" s="165" t="str">
        <f>IF($A153="","",IF(AND(ISNUMBER('Daily Data'!$H153),ABS(N('Daily Data'!$H153))&gt;Settings!$C$56),"WARNING","OK"))</f>
        <v/>
      </c>
      <c r="P153" s="165" t="str">
        <f>IF($A153="","",IF(OR(AND(N('Daily Data'!$K153)=0,N('Daily Data'!$I153)&gt;0),AND(N('Daily Data'!$I153)=0,N('Daily Data'!$K153)&gt;0),AND(N('Daily Data'!$L153)=0,N('Daily Data'!$M153)=0)),"WARNING","OK"))</f>
        <v/>
      </c>
      <c r="Q153" s="165" t="str">
        <f>IF($A153="","",IF(COUNTIFS('Daily Data'!$B$4:$B$503,'Daily Data'!$B153,'Daily Data'!$A$4:$A$503,'Daily Data'!$A153,'Daily Data'!$Q$4:$Q$503,'Daily Data'!$Q153)&gt;1,"WARNING","OK"))</f>
        <v/>
      </c>
      <c r="R153" s="165" t="str">
        <f>IF($A153="","",IF(AND(N('Daily Data'!$K153)&gt;0,N('Daily Data'!$J153)&lt;=0),"WARNING","OK"))</f>
        <v/>
      </c>
      <c r="S153" s="165" t="str">
        <f>IF($A153="","",COUNTIF($D153:$R153,"ERROR"))</f>
        <v/>
      </c>
      <c r="T153" s="165" t="str">
        <f>IF($A153="","",COUNTIF($D153:$R153,"WARNING"))</f>
        <v/>
      </c>
      <c r="U153" s="165" t="str">
        <f>IF($A153="","",IF($S153&gt;0,"ERROR",IF($T153&gt;0,"WARNING","PASS")))</f>
        <v/>
      </c>
    </row>
    <row r="154" spans="1:21" x14ac:dyDescent="0.3">
      <c r="A154" t="str">
        <f>IF(AND('Daily Data'!$A154="",'Daily Data'!$B154=""),"",154)</f>
        <v/>
      </c>
      <c r="B154" s="16" t="str">
        <f>IF($A154="","",'Daily Data'!$A154)</f>
        <v/>
      </c>
      <c r="C154" t="str">
        <f>IF($A154="","",'Daily Data'!$B154)</f>
        <v/>
      </c>
      <c r="D154" s="165" t="str">
        <f>IF($A154="","",IF(COUNTIFS('Daily Data'!$B$4:$B$503,'Daily Data'!$B154,'Daily Data'!$A$4:$A$503,'Daily Data'!$A154)&gt;1,"ERROR","OK"))</f>
        <v/>
      </c>
      <c r="E154" s="165" t="str">
        <f>IF($A154="","",IF('Daily Data'!$B154="","ERROR","OK"))</f>
        <v/>
      </c>
      <c r="F154" s="165" t="str">
        <f>IF($A154="","",IF(NOT(ISNUMBER('Daily Data'!$A154)),"ERROR","OK"))</f>
        <v/>
      </c>
      <c r="G154" s="165" t="str">
        <f>IF($A154="","",IF(OR(N('Daily Data'!$E154)&lt;=0,N('Daily Data'!$C154)&lt;0,N('Daily Data'!$D154)&lt;0,N('Daily Data'!$F154)&lt;0,N('Daily Data'!$G154)&lt;0),"ERROR","OK"))</f>
        <v/>
      </c>
      <c r="H154" s="165" t="str">
        <f>IF($A154="","",IF(N('Daily Data'!$K154)&lt;0,"ERROR","OK"))</f>
        <v/>
      </c>
      <c r="I154" s="165" t="str">
        <f>IF($A154="","",IF(N('Daily Data'!$I154)&lt;0,"ERROR","OK"))</f>
        <v/>
      </c>
      <c r="J154" s="165" t="str">
        <f>IF($A154="","",IF(N('Daily Data'!$L154)&lt;0,"ERROR","OK"))</f>
        <v/>
      </c>
      <c r="K154" s="165" t="str">
        <f>IF($A154="","",IF(N('Daily Data'!$M154)&lt;0,"ERROR","OK"))</f>
        <v/>
      </c>
      <c r="L154" s="165" t="str">
        <f>IF($A154="","",IF(OR(N('Daily Data'!$F154)=0,N('Daily Data'!$G154)=0),"OK",IF(OR(N('Daily Data'!$E154)&gt;N('Daily Data'!$F154),N('Daily Data'!$E154)&lt;N('Daily Data'!$G154)),"ERROR","OK")))</f>
        <v/>
      </c>
      <c r="M154" s="165" t="str">
        <f>IF($A154="","",IF(N('Daily Data'!$AK154)&lt;=1,"OK",IF(ROUND(N('Daily Data'!$D154),2)=ROUND(SUMIFS('Daily Data'!$E$4:$E$503,'Daily Data'!$B$4:$B$503,'Daily Data'!$B154,'Daily Data'!$AK$4:$AK$503,'Daily Data'!$AK154-1),2),"OK","WARNING")))</f>
        <v/>
      </c>
      <c r="N154" s="165" t="str">
        <f>IF($A154="","",IF(N('Daily Data'!$N154)&lt;=0,"WARNING","OK"))</f>
        <v/>
      </c>
      <c r="O154" s="165" t="str">
        <f>IF($A154="","",IF(AND(ISNUMBER('Daily Data'!$H154),ABS(N('Daily Data'!$H154))&gt;Settings!$C$56),"WARNING","OK"))</f>
        <v/>
      </c>
      <c r="P154" s="165" t="str">
        <f>IF($A154="","",IF(OR(AND(N('Daily Data'!$K154)=0,N('Daily Data'!$I154)&gt;0),AND(N('Daily Data'!$I154)=0,N('Daily Data'!$K154)&gt;0),AND(N('Daily Data'!$L154)=0,N('Daily Data'!$M154)=0)),"WARNING","OK"))</f>
        <v/>
      </c>
      <c r="Q154" s="165" t="str">
        <f>IF($A154="","",IF(COUNTIFS('Daily Data'!$B$4:$B$503,'Daily Data'!$B154,'Daily Data'!$A$4:$A$503,'Daily Data'!$A154,'Daily Data'!$Q$4:$Q$503,'Daily Data'!$Q154)&gt;1,"WARNING","OK"))</f>
        <v/>
      </c>
      <c r="R154" s="165" t="str">
        <f>IF($A154="","",IF(AND(N('Daily Data'!$K154)&gt;0,N('Daily Data'!$J154)&lt;=0),"WARNING","OK"))</f>
        <v/>
      </c>
      <c r="S154" s="165" t="str">
        <f>IF($A154="","",COUNTIF($D154:$R154,"ERROR"))</f>
        <v/>
      </c>
      <c r="T154" s="165" t="str">
        <f>IF($A154="","",COUNTIF($D154:$R154,"WARNING"))</f>
        <v/>
      </c>
      <c r="U154" s="165" t="str">
        <f>IF($A154="","",IF($S154&gt;0,"ERROR",IF($T154&gt;0,"WARNING","PASS")))</f>
        <v/>
      </c>
    </row>
    <row r="155" spans="1:21" x14ac:dyDescent="0.3">
      <c r="A155" t="str">
        <f>IF(AND('Daily Data'!$A155="",'Daily Data'!$B155=""),"",155)</f>
        <v/>
      </c>
      <c r="B155" s="16" t="str">
        <f>IF($A155="","",'Daily Data'!$A155)</f>
        <v/>
      </c>
      <c r="C155" t="str">
        <f>IF($A155="","",'Daily Data'!$B155)</f>
        <v/>
      </c>
      <c r="D155" s="165" t="str">
        <f>IF($A155="","",IF(COUNTIFS('Daily Data'!$B$4:$B$503,'Daily Data'!$B155,'Daily Data'!$A$4:$A$503,'Daily Data'!$A155)&gt;1,"ERROR","OK"))</f>
        <v/>
      </c>
      <c r="E155" s="165" t="str">
        <f>IF($A155="","",IF('Daily Data'!$B155="","ERROR","OK"))</f>
        <v/>
      </c>
      <c r="F155" s="165" t="str">
        <f>IF($A155="","",IF(NOT(ISNUMBER('Daily Data'!$A155)),"ERROR","OK"))</f>
        <v/>
      </c>
      <c r="G155" s="165" t="str">
        <f>IF($A155="","",IF(OR(N('Daily Data'!$E155)&lt;=0,N('Daily Data'!$C155)&lt;0,N('Daily Data'!$D155)&lt;0,N('Daily Data'!$F155)&lt;0,N('Daily Data'!$G155)&lt;0),"ERROR","OK"))</f>
        <v/>
      </c>
      <c r="H155" s="165" t="str">
        <f>IF($A155="","",IF(N('Daily Data'!$K155)&lt;0,"ERROR","OK"))</f>
        <v/>
      </c>
      <c r="I155" s="165" t="str">
        <f>IF($A155="","",IF(N('Daily Data'!$I155)&lt;0,"ERROR","OK"))</f>
        <v/>
      </c>
      <c r="J155" s="165" t="str">
        <f>IF($A155="","",IF(N('Daily Data'!$L155)&lt;0,"ERROR","OK"))</f>
        <v/>
      </c>
      <c r="K155" s="165" t="str">
        <f>IF($A155="","",IF(N('Daily Data'!$M155)&lt;0,"ERROR","OK"))</f>
        <v/>
      </c>
      <c r="L155" s="165" t="str">
        <f>IF($A155="","",IF(OR(N('Daily Data'!$F155)=0,N('Daily Data'!$G155)=0),"OK",IF(OR(N('Daily Data'!$E155)&gt;N('Daily Data'!$F155),N('Daily Data'!$E155)&lt;N('Daily Data'!$G155)),"ERROR","OK")))</f>
        <v/>
      </c>
      <c r="M155" s="165" t="str">
        <f>IF($A155="","",IF(N('Daily Data'!$AK155)&lt;=1,"OK",IF(ROUND(N('Daily Data'!$D155),2)=ROUND(SUMIFS('Daily Data'!$E$4:$E$503,'Daily Data'!$B$4:$B$503,'Daily Data'!$B155,'Daily Data'!$AK$4:$AK$503,'Daily Data'!$AK155-1),2),"OK","WARNING")))</f>
        <v/>
      </c>
      <c r="N155" s="165" t="str">
        <f>IF($A155="","",IF(N('Daily Data'!$N155)&lt;=0,"WARNING","OK"))</f>
        <v/>
      </c>
      <c r="O155" s="165" t="str">
        <f>IF($A155="","",IF(AND(ISNUMBER('Daily Data'!$H155),ABS(N('Daily Data'!$H155))&gt;Settings!$C$56),"WARNING","OK"))</f>
        <v/>
      </c>
      <c r="P155" s="165" t="str">
        <f>IF($A155="","",IF(OR(AND(N('Daily Data'!$K155)=0,N('Daily Data'!$I155)&gt;0),AND(N('Daily Data'!$I155)=0,N('Daily Data'!$K155)&gt;0),AND(N('Daily Data'!$L155)=0,N('Daily Data'!$M155)=0)),"WARNING","OK"))</f>
        <v/>
      </c>
      <c r="Q155" s="165" t="str">
        <f>IF($A155="","",IF(COUNTIFS('Daily Data'!$B$4:$B$503,'Daily Data'!$B155,'Daily Data'!$A$4:$A$503,'Daily Data'!$A155,'Daily Data'!$Q$4:$Q$503,'Daily Data'!$Q155)&gt;1,"WARNING","OK"))</f>
        <v/>
      </c>
      <c r="R155" s="165" t="str">
        <f>IF($A155="","",IF(AND(N('Daily Data'!$K155)&gt;0,N('Daily Data'!$J155)&lt;=0),"WARNING","OK"))</f>
        <v/>
      </c>
      <c r="S155" s="165" t="str">
        <f>IF($A155="","",COUNTIF($D155:$R155,"ERROR"))</f>
        <v/>
      </c>
      <c r="T155" s="165" t="str">
        <f>IF($A155="","",COUNTIF($D155:$R155,"WARNING"))</f>
        <v/>
      </c>
      <c r="U155" s="165" t="str">
        <f>IF($A155="","",IF($S155&gt;0,"ERROR",IF($T155&gt;0,"WARNING","PASS")))</f>
        <v/>
      </c>
    </row>
    <row r="156" spans="1:21" x14ac:dyDescent="0.3">
      <c r="A156" t="str">
        <f>IF(AND('Daily Data'!$A156="",'Daily Data'!$B156=""),"",156)</f>
        <v/>
      </c>
      <c r="B156" s="16" t="str">
        <f>IF($A156="","",'Daily Data'!$A156)</f>
        <v/>
      </c>
      <c r="C156" t="str">
        <f>IF($A156="","",'Daily Data'!$B156)</f>
        <v/>
      </c>
      <c r="D156" s="165" t="str">
        <f>IF($A156="","",IF(COUNTIFS('Daily Data'!$B$4:$B$503,'Daily Data'!$B156,'Daily Data'!$A$4:$A$503,'Daily Data'!$A156)&gt;1,"ERROR","OK"))</f>
        <v/>
      </c>
      <c r="E156" s="165" t="str">
        <f>IF($A156="","",IF('Daily Data'!$B156="","ERROR","OK"))</f>
        <v/>
      </c>
      <c r="F156" s="165" t="str">
        <f>IF($A156="","",IF(NOT(ISNUMBER('Daily Data'!$A156)),"ERROR","OK"))</f>
        <v/>
      </c>
      <c r="G156" s="165" t="str">
        <f>IF($A156="","",IF(OR(N('Daily Data'!$E156)&lt;=0,N('Daily Data'!$C156)&lt;0,N('Daily Data'!$D156)&lt;0,N('Daily Data'!$F156)&lt;0,N('Daily Data'!$G156)&lt;0),"ERROR","OK"))</f>
        <v/>
      </c>
      <c r="H156" s="165" t="str">
        <f>IF($A156="","",IF(N('Daily Data'!$K156)&lt;0,"ERROR","OK"))</f>
        <v/>
      </c>
      <c r="I156" s="165" t="str">
        <f>IF($A156="","",IF(N('Daily Data'!$I156)&lt;0,"ERROR","OK"))</f>
        <v/>
      </c>
      <c r="J156" s="165" t="str">
        <f>IF($A156="","",IF(N('Daily Data'!$L156)&lt;0,"ERROR","OK"))</f>
        <v/>
      </c>
      <c r="K156" s="165" t="str">
        <f>IF($A156="","",IF(N('Daily Data'!$M156)&lt;0,"ERROR","OK"))</f>
        <v/>
      </c>
      <c r="L156" s="165" t="str">
        <f>IF($A156="","",IF(OR(N('Daily Data'!$F156)=0,N('Daily Data'!$G156)=0),"OK",IF(OR(N('Daily Data'!$E156)&gt;N('Daily Data'!$F156),N('Daily Data'!$E156)&lt;N('Daily Data'!$G156)),"ERROR","OK")))</f>
        <v/>
      </c>
      <c r="M156" s="165" t="str">
        <f>IF($A156="","",IF(N('Daily Data'!$AK156)&lt;=1,"OK",IF(ROUND(N('Daily Data'!$D156),2)=ROUND(SUMIFS('Daily Data'!$E$4:$E$503,'Daily Data'!$B$4:$B$503,'Daily Data'!$B156,'Daily Data'!$AK$4:$AK$503,'Daily Data'!$AK156-1),2),"OK","WARNING")))</f>
        <v/>
      </c>
      <c r="N156" s="165" t="str">
        <f>IF($A156="","",IF(N('Daily Data'!$N156)&lt;=0,"WARNING","OK"))</f>
        <v/>
      </c>
      <c r="O156" s="165" t="str">
        <f>IF($A156="","",IF(AND(ISNUMBER('Daily Data'!$H156),ABS(N('Daily Data'!$H156))&gt;Settings!$C$56),"WARNING","OK"))</f>
        <v/>
      </c>
      <c r="P156" s="165" t="str">
        <f>IF($A156="","",IF(OR(AND(N('Daily Data'!$K156)=0,N('Daily Data'!$I156)&gt;0),AND(N('Daily Data'!$I156)=0,N('Daily Data'!$K156)&gt;0),AND(N('Daily Data'!$L156)=0,N('Daily Data'!$M156)=0)),"WARNING","OK"))</f>
        <v/>
      </c>
      <c r="Q156" s="165" t="str">
        <f>IF($A156="","",IF(COUNTIFS('Daily Data'!$B$4:$B$503,'Daily Data'!$B156,'Daily Data'!$A$4:$A$503,'Daily Data'!$A156,'Daily Data'!$Q$4:$Q$503,'Daily Data'!$Q156)&gt;1,"WARNING","OK"))</f>
        <v/>
      </c>
      <c r="R156" s="165" t="str">
        <f>IF($A156="","",IF(AND(N('Daily Data'!$K156)&gt;0,N('Daily Data'!$J156)&lt;=0),"WARNING","OK"))</f>
        <v/>
      </c>
      <c r="S156" s="165" t="str">
        <f>IF($A156="","",COUNTIF($D156:$R156,"ERROR"))</f>
        <v/>
      </c>
      <c r="T156" s="165" t="str">
        <f>IF($A156="","",COUNTIF($D156:$R156,"WARNING"))</f>
        <v/>
      </c>
      <c r="U156" s="165" t="str">
        <f>IF($A156="","",IF($S156&gt;0,"ERROR",IF($T156&gt;0,"WARNING","PASS")))</f>
        <v/>
      </c>
    </row>
    <row r="157" spans="1:21" x14ac:dyDescent="0.3">
      <c r="A157" t="str">
        <f>IF(AND('Daily Data'!$A157="",'Daily Data'!$B157=""),"",157)</f>
        <v/>
      </c>
      <c r="B157" s="16" t="str">
        <f>IF($A157="","",'Daily Data'!$A157)</f>
        <v/>
      </c>
      <c r="C157" t="str">
        <f>IF($A157="","",'Daily Data'!$B157)</f>
        <v/>
      </c>
      <c r="D157" s="165" t="str">
        <f>IF($A157="","",IF(COUNTIFS('Daily Data'!$B$4:$B$503,'Daily Data'!$B157,'Daily Data'!$A$4:$A$503,'Daily Data'!$A157)&gt;1,"ERROR","OK"))</f>
        <v/>
      </c>
      <c r="E157" s="165" t="str">
        <f>IF($A157="","",IF('Daily Data'!$B157="","ERROR","OK"))</f>
        <v/>
      </c>
      <c r="F157" s="165" t="str">
        <f>IF($A157="","",IF(NOT(ISNUMBER('Daily Data'!$A157)),"ERROR","OK"))</f>
        <v/>
      </c>
      <c r="G157" s="165" t="str">
        <f>IF($A157="","",IF(OR(N('Daily Data'!$E157)&lt;=0,N('Daily Data'!$C157)&lt;0,N('Daily Data'!$D157)&lt;0,N('Daily Data'!$F157)&lt;0,N('Daily Data'!$G157)&lt;0),"ERROR","OK"))</f>
        <v/>
      </c>
      <c r="H157" s="165" t="str">
        <f>IF($A157="","",IF(N('Daily Data'!$K157)&lt;0,"ERROR","OK"))</f>
        <v/>
      </c>
      <c r="I157" s="165" t="str">
        <f>IF($A157="","",IF(N('Daily Data'!$I157)&lt;0,"ERROR","OK"))</f>
        <v/>
      </c>
      <c r="J157" s="165" t="str">
        <f>IF($A157="","",IF(N('Daily Data'!$L157)&lt;0,"ERROR","OK"))</f>
        <v/>
      </c>
      <c r="K157" s="165" t="str">
        <f>IF($A157="","",IF(N('Daily Data'!$M157)&lt;0,"ERROR","OK"))</f>
        <v/>
      </c>
      <c r="L157" s="165" t="str">
        <f>IF($A157="","",IF(OR(N('Daily Data'!$F157)=0,N('Daily Data'!$G157)=0),"OK",IF(OR(N('Daily Data'!$E157)&gt;N('Daily Data'!$F157),N('Daily Data'!$E157)&lt;N('Daily Data'!$G157)),"ERROR","OK")))</f>
        <v/>
      </c>
      <c r="M157" s="165" t="str">
        <f>IF($A157="","",IF(N('Daily Data'!$AK157)&lt;=1,"OK",IF(ROUND(N('Daily Data'!$D157),2)=ROUND(SUMIFS('Daily Data'!$E$4:$E$503,'Daily Data'!$B$4:$B$503,'Daily Data'!$B157,'Daily Data'!$AK$4:$AK$503,'Daily Data'!$AK157-1),2),"OK","WARNING")))</f>
        <v/>
      </c>
      <c r="N157" s="165" t="str">
        <f>IF($A157="","",IF(N('Daily Data'!$N157)&lt;=0,"WARNING","OK"))</f>
        <v/>
      </c>
      <c r="O157" s="165" t="str">
        <f>IF($A157="","",IF(AND(ISNUMBER('Daily Data'!$H157),ABS(N('Daily Data'!$H157))&gt;Settings!$C$56),"WARNING","OK"))</f>
        <v/>
      </c>
      <c r="P157" s="165" t="str">
        <f>IF($A157="","",IF(OR(AND(N('Daily Data'!$K157)=0,N('Daily Data'!$I157)&gt;0),AND(N('Daily Data'!$I157)=0,N('Daily Data'!$K157)&gt;0),AND(N('Daily Data'!$L157)=0,N('Daily Data'!$M157)=0)),"WARNING","OK"))</f>
        <v/>
      </c>
      <c r="Q157" s="165" t="str">
        <f>IF($A157="","",IF(COUNTIFS('Daily Data'!$B$4:$B$503,'Daily Data'!$B157,'Daily Data'!$A$4:$A$503,'Daily Data'!$A157,'Daily Data'!$Q$4:$Q$503,'Daily Data'!$Q157)&gt;1,"WARNING","OK"))</f>
        <v/>
      </c>
      <c r="R157" s="165" t="str">
        <f>IF($A157="","",IF(AND(N('Daily Data'!$K157)&gt;0,N('Daily Data'!$J157)&lt;=0),"WARNING","OK"))</f>
        <v/>
      </c>
      <c r="S157" s="165" t="str">
        <f>IF($A157="","",COUNTIF($D157:$R157,"ERROR"))</f>
        <v/>
      </c>
      <c r="T157" s="165" t="str">
        <f>IF($A157="","",COUNTIF($D157:$R157,"WARNING"))</f>
        <v/>
      </c>
      <c r="U157" s="165" t="str">
        <f>IF($A157="","",IF($S157&gt;0,"ERROR",IF($T157&gt;0,"WARNING","PASS")))</f>
        <v/>
      </c>
    </row>
    <row r="158" spans="1:21" x14ac:dyDescent="0.3">
      <c r="A158" t="str">
        <f>IF(AND('Daily Data'!$A158="",'Daily Data'!$B158=""),"",158)</f>
        <v/>
      </c>
      <c r="B158" s="16" t="str">
        <f>IF($A158="","",'Daily Data'!$A158)</f>
        <v/>
      </c>
      <c r="C158" t="str">
        <f>IF($A158="","",'Daily Data'!$B158)</f>
        <v/>
      </c>
      <c r="D158" s="165" t="str">
        <f>IF($A158="","",IF(COUNTIFS('Daily Data'!$B$4:$B$503,'Daily Data'!$B158,'Daily Data'!$A$4:$A$503,'Daily Data'!$A158)&gt;1,"ERROR","OK"))</f>
        <v/>
      </c>
      <c r="E158" s="165" t="str">
        <f>IF($A158="","",IF('Daily Data'!$B158="","ERROR","OK"))</f>
        <v/>
      </c>
      <c r="F158" s="165" t="str">
        <f>IF($A158="","",IF(NOT(ISNUMBER('Daily Data'!$A158)),"ERROR","OK"))</f>
        <v/>
      </c>
      <c r="G158" s="165" t="str">
        <f>IF($A158="","",IF(OR(N('Daily Data'!$E158)&lt;=0,N('Daily Data'!$C158)&lt;0,N('Daily Data'!$D158)&lt;0,N('Daily Data'!$F158)&lt;0,N('Daily Data'!$G158)&lt;0),"ERROR","OK"))</f>
        <v/>
      </c>
      <c r="H158" s="165" t="str">
        <f>IF($A158="","",IF(N('Daily Data'!$K158)&lt;0,"ERROR","OK"))</f>
        <v/>
      </c>
      <c r="I158" s="165" t="str">
        <f>IF($A158="","",IF(N('Daily Data'!$I158)&lt;0,"ERROR","OK"))</f>
        <v/>
      </c>
      <c r="J158" s="165" t="str">
        <f>IF($A158="","",IF(N('Daily Data'!$L158)&lt;0,"ERROR","OK"))</f>
        <v/>
      </c>
      <c r="K158" s="165" t="str">
        <f>IF($A158="","",IF(N('Daily Data'!$M158)&lt;0,"ERROR","OK"))</f>
        <v/>
      </c>
      <c r="L158" s="165" t="str">
        <f>IF($A158="","",IF(OR(N('Daily Data'!$F158)=0,N('Daily Data'!$G158)=0),"OK",IF(OR(N('Daily Data'!$E158)&gt;N('Daily Data'!$F158),N('Daily Data'!$E158)&lt;N('Daily Data'!$G158)),"ERROR","OK")))</f>
        <v/>
      </c>
      <c r="M158" s="165" t="str">
        <f>IF($A158="","",IF(N('Daily Data'!$AK158)&lt;=1,"OK",IF(ROUND(N('Daily Data'!$D158),2)=ROUND(SUMIFS('Daily Data'!$E$4:$E$503,'Daily Data'!$B$4:$B$503,'Daily Data'!$B158,'Daily Data'!$AK$4:$AK$503,'Daily Data'!$AK158-1),2),"OK","WARNING")))</f>
        <v/>
      </c>
      <c r="N158" s="165" t="str">
        <f>IF($A158="","",IF(N('Daily Data'!$N158)&lt;=0,"WARNING","OK"))</f>
        <v/>
      </c>
      <c r="O158" s="165" t="str">
        <f>IF($A158="","",IF(AND(ISNUMBER('Daily Data'!$H158),ABS(N('Daily Data'!$H158))&gt;Settings!$C$56),"WARNING","OK"))</f>
        <v/>
      </c>
      <c r="P158" s="165" t="str">
        <f>IF($A158="","",IF(OR(AND(N('Daily Data'!$K158)=0,N('Daily Data'!$I158)&gt;0),AND(N('Daily Data'!$I158)=0,N('Daily Data'!$K158)&gt;0),AND(N('Daily Data'!$L158)=0,N('Daily Data'!$M158)=0)),"WARNING","OK"))</f>
        <v/>
      </c>
      <c r="Q158" s="165" t="str">
        <f>IF($A158="","",IF(COUNTIFS('Daily Data'!$B$4:$B$503,'Daily Data'!$B158,'Daily Data'!$A$4:$A$503,'Daily Data'!$A158,'Daily Data'!$Q$4:$Q$503,'Daily Data'!$Q158)&gt;1,"WARNING","OK"))</f>
        <v/>
      </c>
      <c r="R158" s="165" t="str">
        <f>IF($A158="","",IF(AND(N('Daily Data'!$K158)&gt;0,N('Daily Data'!$J158)&lt;=0),"WARNING","OK"))</f>
        <v/>
      </c>
      <c r="S158" s="165" t="str">
        <f>IF($A158="","",COUNTIF($D158:$R158,"ERROR"))</f>
        <v/>
      </c>
      <c r="T158" s="165" t="str">
        <f>IF($A158="","",COUNTIF($D158:$R158,"WARNING"))</f>
        <v/>
      </c>
      <c r="U158" s="165" t="str">
        <f>IF($A158="","",IF($S158&gt;0,"ERROR",IF($T158&gt;0,"WARNING","PASS")))</f>
        <v/>
      </c>
    </row>
    <row r="159" spans="1:21" x14ac:dyDescent="0.3">
      <c r="A159" t="str">
        <f>IF(AND('Daily Data'!$A159="",'Daily Data'!$B159=""),"",159)</f>
        <v/>
      </c>
      <c r="B159" s="16" t="str">
        <f>IF($A159="","",'Daily Data'!$A159)</f>
        <v/>
      </c>
      <c r="C159" t="str">
        <f>IF($A159="","",'Daily Data'!$B159)</f>
        <v/>
      </c>
      <c r="D159" s="165" t="str">
        <f>IF($A159="","",IF(COUNTIFS('Daily Data'!$B$4:$B$503,'Daily Data'!$B159,'Daily Data'!$A$4:$A$503,'Daily Data'!$A159)&gt;1,"ERROR","OK"))</f>
        <v/>
      </c>
      <c r="E159" s="165" t="str">
        <f>IF($A159="","",IF('Daily Data'!$B159="","ERROR","OK"))</f>
        <v/>
      </c>
      <c r="F159" s="165" t="str">
        <f>IF($A159="","",IF(NOT(ISNUMBER('Daily Data'!$A159)),"ERROR","OK"))</f>
        <v/>
      </c>
      <c r="G159" s="165" t="str">
        <f>IF($A159="","",IF(OR(N('Daily Data'!$E159)&lt;=0,N('Daily Data'!$C159)&lt;0,N('Daily Data'!$D159)&lt;0,N('Daily Data'!$F159)&lt;0,N('Daily Data'!$G159)&lt;0),"ERROR","OK"))</f>
        <v/>
      </c>
      <c r="H159" s="165" t="str">
        <f>IF($A159="","",IF(N('Daily Data'!$K159)&lt;0,"ERROR","OK"))</f>
        <v/>
      </c>
      <c r="I159" s="165" t="str">
        <f>IF($A159="","",IF(N('Daily Data'!$I159)&lt;0,"ERROR","OK"))</f>
        <v/>
      </c>
      <c r="J159" s="165" t="str">
        <f>IF($A159="","",IF(N('Daily Data'!$L159)&lt;0,"ERROR","OK"))</f>
        <v/>
      </c>
      <c r="K159" s="165" t="str">
        <f>IF($A159="","",IF(N('Daily Data'!$M159)&lt;0,"ERROR","OK"))</f>
        <v/>
      </c>
      <c r="L159" s="165" t="str">
        <f>IF($A159="","",IF(OR(N('Daily Data'!$F159)=0,N('Daily Data'!$G159)=0),"OK",IF(OR(N('Daily Data'!$E159)&gt;N('Daily Data'!$F159),N('Daily Data'!$E159)&lt;N('Daily Data'!$G159)),"ERROR","OK")))</f>
        <v/>
      </c>
      <c r="M159" s="165" t="str">
        <f>IF($A159="","",IF(N('Daily Data'!$AK159)&lt;=1,"OK",IF(ROUND(N('Daily Data'!$D159),2)=ROUND(SUMIFS('Daily Data'!$E$4:$E$503,'Daily Data'!$B$4:$B$503,'Daily Data'!$B159,'Daily Data'!$AK$4:$AK$503,'Daily Data'!$AK159-1),2),"OK","WARNING")))</f>
        <v/>
      </c>
      <c r="N159" s="165" t="str">
        <f>IF($A159="","",IF(N('Daily Data'!$N159)&lt;=0,"WARNING","OK"))</f>
        <v/>
      </c>
      <c r="O159" s="165" t="str">
        <f>IF($A159="","",IF(AND(ISNUMBER('Daily Data'!$H159),ABS(N('Daily Data'!$H159))&gt;Settings!$C$56),"WARNING","OK"))</f>
        <v/>
      </c>
      <c r="P159" s="165" t="str">
        <f>IF($A159="","",IF(OR(AND(N('Daily Data'!$K159)=0,N('Daily Data'!$I159)&gt;0),AND(N('Daily Data'!$I159)=0,N('Daily Data'!$K159)&gt;0),AND(N('Daily Data'!$L159)=0,N('Daily Data'!$M159)=0)),"WARNING","OK"))</f>
        <v/>
      </c>
      <c r="Q159" s="165" t="str">
        <f>IF($A159="","",IF(COUNTIFS('Daily Data'!$B$4:$B$503,'Daily Data'!$B159,'Daily Data'!$A$4:$A$503,'Daily Data'!$A159,'Daily Data'!$Q$4:$Q$503,'Daily Data'!$Q159)&gt;1,"WARNING","OK"))</f>
        <v/>
      </c>
      <c r="R159" s="165" t="str">
        <f>IF($A159="","",IF(AND(N('Daily Data'!$K159)&gt;0,N('Daily Data'!$J159)&lt;=0),"WARNING","OK"))</f>
        <v/>
      </c>
      <c r="S159" s="165" t="str">
        <f>IF($A159="","",COUNTIF($D159:$R159,"ERROR"))</f>
        <v/>
      </c>
      <c r="T159" s="165" t="str">
        <f>IF($A159="","",COUNTIF($D159:$R159,"WARNING"))</f>
        <v/>
      </c>
      <c r="U159" s="165" t="str">
        <f>IF($A159="","",IF($S159&gt;0,"ERROR",IF($T159&gt;0,"WARNING","PASS")))</f>
        <v/>
      </c>
    </row>
    <row r="160" spans="1:21" x14ac:dyDescent="0.3">
      <c r="A160" t="str">
        <f>IF(AND('Daily Data'!$A160="",'Daily Data'!$B160=""),"",160)</f>
        <v/>
      </c>
      <c r="B160" s="16" t="str">
        <f>IF($A160="","",'Daily Data'!$A160)</f>
        <v/>
      </c>
      <c r="C160" t="str">
        <f>IF($A160="","",'Daily Data'!$B160)</f>
        <v/>
      </c>
      <c r="D160" s="165" t="str">
        <f>IF($A160="","",IF(COUNTIFS('Daily Data'!$B$4:$B$503,'Daily Data'!$B160,'Daily Data'!$A$4:$A$503,'Daily Data'!$A160)&gt;1,"ERROR","OK"))</f>
        <v/>
      </c>
      <c r="E160" s="165" t="str">
        <f>IF($A160="","",IF('Daily Data'!$B160="","ERROR","OK"))</f>
        <v/>
      </c>
      <c r="F160" s="165" t="str">
        <f>IF($A160="","",IF(NOT(ISNUMBER('Daily Data'!$A160)),"ERROR","OK"))</f>
        <v/>
      </c>
      <c r="G160" s="165" t="str">
        <f>IF($A160="","",IF(OR(N('Daily Data'!$E160)&lt;=0,N('Daily Data'!$C160)&lt;0,N('Daily Data'!$D160)&lt;0,N('Daily Data'!$F160)&lt;0,N('Daily Data'!$G160)&lt;0),"ERROR","OK"))</f>
        <v/>
      </c>
      <c r="H160" s="165" t="str">
        <f>IF($A160="","",IF(N('Daily Data'!$K160)&lt;0,"ERROR","OK"))</f>
        <v/>
      </c>
      <c r="I160" s="165" t="str">
        <f>IF($A160="","",IF(N('Daily Data'!$I160)&lt;0,"ERROR","OK"))</f>
        <v/>
      </c>
      <c r="J160" s="165" t="str">
        <f>IF($A160="","",IF(N('Daily Data'!$L160)&lt;0,"ERROR","OK"))</f>
        <v/>
      </c>
      <c r="K160" s="165" t="str">
        <f>IF($A160="","",IF(N('Daily Data'!$M160)&lt;0,"ERROR","OK"))</f>
        <v/>
      </c>
      <c r="L160" s="165" t="str">
        <f>IF($A160="","",IF(OR(N('Daily Data'!$F160)=0,N('Daily Data'!$G160)=0),"OK",IF(OR(N('Daily Data'!$E160)&gt;N('Daily Data'!$F160),N('Daily Data'!$E160)&lt;N('Daily Data'!$G160)),"ERROR","OK")))</f>
        <v/>
      </c>
      <c r="M160" s="165" t="str">
        <f>IF($A160="","",IF(N('Daily Data'!$AK160)&lt;=1,"OK",IF(ROUND(N('Daily Data'!$D160),2)=ROUND(SUMIFS('Daily Data'!$E$4:$E$503,'Daily Data'!$B$4:$B$503,'Daily Data'!$B160,'Daily Data'!$AK$4:$AK$503,'Daily Data'!$AK160-1),2),"OK","WARNING")))</f>
        <v/>
      </c>
      <c r="N160" s="165" t="str">
        <f>IF($A160="","",IF(N('Daily Data'!$N160)&lt;=0,"WARNING","OK"))</f>
        <v/>
      </c>
      <c r="O160" s="165" t="str">
        <f>IF($A160="","",IF(AND(ISNUMBER('Daily Data'!$H160),ABS(N('Daily Data'!$H160))&gt;Settings!$C$56),"WARNING","OK"))</f>
        <v/>
      </c>
      <c r="P160" s="165" t="str">
        <f>IF($A160="","",IF(OR(AND(N('Daily Data'!$K160)=0,N('Daily Data'!$I160)&gt;0),AND(N('Daily Data'!$I160)=0,N('Daily Data'!$K160)&gt;0),AND(N('Daily Data'!$L160)=0,N('Daily Data'!$M160)=0)),"WARNING","OK"))</f>
        <v/>
      </c>
      <c r="Q160" s="165" t="str">
        <f>IF($A160="","",IF(COUNTIFS('Daily Data'!$B$4:$B$503,'Daily Data'!$B160,'Daily Data'!$A$4:$A$503,'Daily Data'!$A160,'Daily Data'!$Q$4:$Q$503,'Daily Data'!$Q160)&gt;1,"WARNING","OK"))</f>
        <v/>
      </c>
      <c r="R160" s="165" t="str">
        <f>IF($A160="","",IF(AND(N('Daily Data'!$K160)&gt;0,N('Daily Data'!$J160)&lt;=0),"WARNING","OK"))</f>
        <v/>
      </c>
      <c r="S160" s="165" t="str">
        <f>IF($A160="","",COUNTIF($D160:$R160,"ERROR"))</f>
        <v/>
      </c>
      <c r="T160" s="165" t="str">
        <f>IF($A160="","",COUNTIF($D160:$R160,"WARNING"))</f>
        <v/>
      </c>
      <c r="U160" s="165" t="str">
        <f>IF($A160="","",IF($S160&gt;0,"ERROR",IF($T160&gt;0,"WARNING","PASS")))</f>
        <v/>
      </c>
    </row>
    <row r="161" spans="1:21" x14ac:dyDescent="0.3">
      <c r="A161" t="str">
        <f>IF(AND('Daily Data'!$A161="",'Daily Data'!$B161=""),"",161)</f>
        <v/>
      </c>
      <c r="B161" s="16" t="str">
        <f>IF($A161="","",'Daily Data'!$A161)</f>
        <v/>
      </c>
      <c r="C161" t="str">
        <f>IF($A161="","",'Daily Data'!$B161)</f>
        <v/>
      </c>
      <c r="D161" s="165" t="str">
        <f>IF($A161="","",IF(COUNTIFS('Daily Data'!$B$4:$B$503,'Daily Data'!$B161,'Daily Data'!$A$4:$A$503,'Daily Data'!$A161)&gt;1,"ERROR","OK"))</f>
        <v/>
      </c>
      <c r="E161" s="165" t="str">
        <f>IF($A161="","",IF('Daily Data'!$B161="","ERROR","OK"))</f>
        <v/>
      </c>
      <c r="F161" s="165" t="str">
        <f>IF($A161="","",IF(NOT(ISNUMBER('Daily Data'!$A161)),"ERROR","OK"))</f>
        <v/>
      </c>
      <c r="G161" s="165" t="str">
        <f>IF($A161="","",IF(OR(N('Daily Data'!$E161)&lt;=0,N('Daily Data'!$C161)&lt;0,N('Daily Data'!$D161)&lt;0,N('Daily Data'!$F161)&lt;0,N('Daily Data'!$G161)&lt;0),"ERROR","OK"))</f>
        <v/>
      </c>
      <c r="H161" s="165" t="str">
        <f>IF($A161="","",IF(N('Daily Data'!$K161)&lt;0,"ERROR","OK"))</f>
        <v/>
      </c>
      <c r="I161" s="165" t="str">
        <f>IF($A161="","",IF(N('Daily Data'!$I161)&lt;0,"ERROR","OK"))</f>
        <v/>
      </c>
      <c r="J161" s="165" t="str">
        <f>IF($A161="","",IF(N('Daily Data'!$L161)&lt;0,"ERROR","OK"))</f>
        <v/>
      </c>
      <c r="K161" s="165" t="str">
        <f>IF($A161="","",IF(N('Daily Data'!$M161)&lt;0,"ERROR","OK"))</f>
        <v/>
      </c>
      <c r="L161" s="165" t="str">
        <f>IF($A161="","",IF(OR(N('Daily Data'!$F161)=0,N('Daily Data'!$G161)=0),"OK",IF(OR(N('Daily Data'!$E161)&gt;N('Daily Data'!$F161),N('Daily Data'!$E161)&lt;N('Daily Data'!$G161)),"ERROR","OK")))</f>
        <v/>
      </c>
      <c r="M161" s="165" t="str">
        <f>IF($A161="","",IF(N('Daily Data'!$AK161)&lt;=1,"OK",IF(ROUND(N('Daily Data'!$D161),2)=ROUND(SUMIFS('Daily Data'!$E$4:$E$503,'Daily Data'!$B$4:$B$503,'Daily Data'!$B161,'Daily Data'!$AK$4:$AK$503,'Daily Data'!$AK161-1),2),"OK","WARNING")))</f>
        <v/>
      </c>
      <c r="N161" s="165" t="str">
        <f>IF($A161="","",IF(N('Daily Data'!$N161)&lt;=0,"WARNING","OK"))</f>
        <v/>
      </c>
      <c r="O161" s="165" t="str">
        <f>IF($A161="","",IF(AND(ISNUMBER('Daily Data'!$H161),ABS(N('Daily Data'!$H161))&gt;Settings!$C$56),"WARNING","OK"))</f>
        <v/>
      </c>
      <c r="P161" s="165" t="str">
        <f>IF($A161="","",IF(OR(AND(N('Daily Data'!$K161)=0,N('Daily Data'!$I161)&gt;0),AND(N('Daily Data'!$I161)=0,N('Daily Data'!$K161)&gt;0),AND(N('Daily Data'!$L161)=0,N('Daily Data'!$M161)=0)),"WARNING","OK"))</f>
        <v/>
      </c>
      <c r="Q161" s="165" t="str">
        <f>IF($A161="","",IF(COUNTIFS('Daily Data'!$B$4:$B$503,'Daily Data'!$B161,'Daily Data'!$A$4:$A$503,'Daily Data'!$A161,'Daily Data'!$Q$4:$Q$503,'Daily Data'!$Q161)&gt;1,"WARNING","OK"))</f>
        <v/>
      </c>
      <c r="R161" s="165" t="str">
        <f>IF($A161="","",IF(AND(N('Daily Data'!$K161)&gt;0,N('Daily Data'!$J161)&lt;=0),"WARNING","OK"))</f>
        <v/>
      </c>
      <c r="S161" s="165" t="str">
        <f>IF($A161="","",COUNTIF($D161:$R161,"ERROR"))</f>
        <v/>
      </c>
      <c r="T161" s="165" t="str">
        <f>IF($A161="","",COUNTIF($D161:$R161,"WARNING"))</f>
        <v/>
      </c>
      <c r="U161" s="165" t="str">
        <f>IF($A161="","",IF($S161&gt;0,"ERROR",IF($T161&gt;0,"WARNING","PASS")))</f>
        <v/>
      </c>
    </row>
    <row r="162" spans="1:21" x14ac:dyDescent="0.3">
      <c r="A162" t="str">
        <f>IF(AND('Daily Data'!$A162="",'Daily Data'!$B162=""),"",162)</f>
        <v/>
      </c>
      <c r="B162" s="16" t="str">
        <f>IF($A162="","",'Daily Data'!$A162)</f>
        <v/>
      </c>
      <c r="C162" t="str">
        <f>IF($A162="","",'Daily Data'!$B162)</f>
        <v/>
      </c>
      <c r="D162" s="165" t="str">
        <f>IF($A162="","",IF(COUNTIFS('Daily Data'!$B$4:$B$503,'Daily Data'!$B162,'Daily Data'!$A$4:$A$503,'Daily Data'!$A162)&gt;1,"ERROR","OK"))</f>
        <v/>
      </c>
      <c r="E162" s="165" t="str">
        <f>IF($A162="","",IF('Daily Data'!$B162="","ERROR","OK"))</f>
        <v/>
      </c>
      <c r="F162" s="165" t="str">
        <f>IF($A162="","",IF(NOT(ISNUMBER('Daily Data'!$A162)),"ERROR","OK"))</f>
        <v/>
      </c>
      <c r="G162" s="165" t="str">
        <f>IF($A162="","",IF(OR(N('Daily Data'!$E162)&lt;=0,N('Daily Data'!$C162)&lt;0,N('Daily Data'!$D162)&lt;0,N('Daily Data'!$F162)&lt;0,N('Daily Data'!$G162)&lt;0),"ERROR","OK"))</f>
        <v/>
      </c>
      <c r="H162" s="165" t="str">
        <f>IF($A162="","",IF(N('Daily Data'!$K162)&lt;0,"ERROR","OK"))</f>
        <v/>
      </c>
      <c r="I162" s="165" t="str">
        <f>IF($A162="","",IF(N('Daily Data'!$I162)&lt;0,"ERROR","OK"))</f>
        <v/>
      </c>
      <c r="J162" s="165" t="str">
        <f>IF($A162="","",IF(N('Daily Data'!$L162)&lt;0,"ERROR","OK"))</f>
        <v/>
      </c>
      <c r="K162" s="165" t="str">
        <f>IF($A162="","",IF(N('Daily Data'!$M162)&lt;0,"ERROR","OK"))</f>
        <v/>
      </c>
      <c r="L162" s="165" t="str">
        <f>IF($A162="","",IF(OR(N('Daily Data'!$F162)=0,N('Daily Data'!$G162)=0),"OK",IF(OR(N('Daily Data'!$E162)&gt;N('Daily Data'!$F162),N('Daily Data'!$E162)&lt;N('Daily Data'!$G162)),"ERROR","OK")))</f>
        <v/>
      </c>
      <c r="M162" s="165" t="str">
        <f>IF($A162="","",IF(N('Daily Data'!$AK162)&lt;=1,"OK",IF(ROUND(N('Daily Data'!$D162),2)=ROUND(SUMIFS('Daily Data'!$E$4:$E$503,'Daily Data'!$B$4:$B$503,'Daily Data'!$B162,'Daily Data'!$AK$4:$AK$503,'Daily Data'!$AK162-1),2),"OK","WARNING")))</f>
        <v/>
      </c>
      <c r="N162" s="165" t="str">
        <f>IF($A162="","",IF(N('Daily Data'!$N162)&lt;=0,"WARNING","OK"))</f>
        <v/>
      </c>
      <c r="O162" s="165" t="str">
        <f>IF($A162="","",IF(AND(ISNUMBER('Daily Data'!$H162),ABS(N('Daily Data'!$H162))&gt;Settings!$C$56),"WARNING","OK"))</f>
        <v/>
      </c>
      <c r="P162" s="165" t="str">
        <f>IF($A162="","",IF(OR(AND(N('Daily Data'!$K162)=0,N('Daily Data'!$I162)&gt;0),AND(N('Daily Data'!$I162)=0,N('Daily Data'!$K162)&gt;0),AND(N('Daily Data'!$L162)=0,N('Daily Data'!$M162)=0)),"WARNING","OK"))</f>
        <v/>
      </c>
      <c r="Q162" s="165" t="str">
        <f>IF($A162="","",IF(COUNTIFS('Daily Data'!$B$4:$B$503,'Daily Data'!$B162,'Daily Data'!$A$4:$A$503,'Daily Data'!$A162,'Daily Data'!$Q$4:$Q$503,'Daily Data'!$Q162)&gt;1,"WARNING","OK"))</f>
        <v/>
      </c>
      <c r="R162" s="165" t="str">
        <f>IF($A162="","",IF(AND(N('Daily Data'!$K162)&gt;0,N('Daily Data'!$J162)&lt;=0),"WARNING","OK"))</f>
        <v/>
      </c>
      <c r="S162" s="165" t="str">
        <f>IF($A162="","",COUNTIF($D162:$R162,"ERROR"))</f>
        <v/>
      </c>
      <c r="T162" s="165" t="str">
        <f>IF($A162="","",COUNTIF($D162:$R162,"WARNING"))</f>
        <v/>
      </c>
      <c r="U162" s="165" t="str">
        <f>IF($A162="","",IF($S162&gt;0,"ERROR",IF($T162&gt;0,"WARNING","PASS")))</f>
        <v/>
      </c>
    </row>
    <row r="163" spans="1:21" x14ac:dyDescent="0.3">
      <c r="A163" t="str">
        <f>IF(AND('Daily Data'!$A163="",'Daily Data'!$B163=""),"",163)</f>
        <v/>
      </c>
      <c r="B163" s="16" t="str">
        <f>IF($A163="","",'Daily Data'!$A163)</f>
        <v/>
      </c>
      <c r="C163" t="str">
        <f>IF($A163="","",'Daily Data'!$B163)</f>
        <v/>
      </c>
      <c r="D163" s="165" t="str">
        <f>IF($A163="","",IF(COUNTIFS('Daily Data'!$B$4:$B$503,'Daily Data'!$B163,'Daily Data'!$A$4:$A$503,'Daily Data'!$A163)&gt;1,"ERROR","OK"))</f>
        <v/>
      </c>
      <c r="E163" s="165" t="str">
        <f>IF($A163="","",IF('Daily Data'!$B163="","ERROR","OK"))</f>
        <v/>
      </c>
      <c r="F163" s="165" t="str">
        <f>IF($A163="","",IF(NOT(ISNUMBER('Daily Data'!$A163)),"ERROR","OK"))</f>
        <v/>
      </c>
      <c r="G163" s="165" t="str">
        <f>IF($A163="","",IF(OR(N('Daily Data'!$E163)&lt;=0,N('Daily Data'!$C163)&lt;0,N('Daily Data'!$D163)&lt;0,N('Daily Data'!$F163)&lt;0,N('Daily Data'!$G163)&lt;0),"ERROR","OK"))</f>
        <v/>
      </c>
      <c r="H163" s="165" t="str">
        <f>IF($A163="","",IF(N('Daily Data'!$K163)&lt;0,"ERROR","OK"))</f>
        <v/>
      </c>
      <c r="I163" s="165" t="str">
        <f>IF($A163="","",IF(N('Daily Data'!$I163)&lt;0,"ERROR","OK"))</f>
        <v/>
      </c>
      <c r="J163" s="165" t="str">
        <f>IF($A163="","",IF(N('Daily Data'!$L163)&lt;0,"ERROR","OK"))</f>
        <v/>
      </c>
      <c r="K163" s="165" t="str">
        <f>IF($A163="","",IF(N('Daily Data'!$M163)&lt;0,"ERROR","OK"))</f>
        <v/>
      </c>
      <c r="L163" s="165" t="str">
        <f>IF($A163="","",IF(OR(N('Daily Data'!$F163)=0,N('Daily Data'!$G163)=0),"OK",IF(OR(N('Daily Data'!$E163)&gt;N('Daily Data'!$F163),N('Daily Data'!$E163)&lt;N('Daily Data'!$G163)),"ERROR","OK")))</f>
        <v/>
      </c>
      <c r="M163" s="165" t="str">
        <f>IF($A163="","",IF(N('Daily Data'!$AK163)&lt;=1,"OK",IF(ROUND(N('Daily Data'!$D163),2)=ROUND(SUMIFS('Daily Data'!$E$4:$E$503,'Daily Data'!$B$4:$B$503,'Daily Data'!$B163,'Daily Data'!$AK$4:$AK$503,'Daily Data'!$AK163-1),2),"OK","WARNING")))</f>
        <v/>
      </c>
      <c r="N163" s="165" t="str">
        <f>IF($A163="","",IF(N('Daily Data'!$N163)&lt;=0,"WARNING","OK"))</f>
        <v/>
      </c>
      <c r="O163" s="165" t="str">
        <f>IF($A163="","",IF(AND(ISNUMBER('Daily Data'!$H163),ABS(N('Daily Data'!$H163))&gt;Settings!$C$56),"WARNING","OK"))</f>
        <v/>
      </c>
      <c r="P163" s="165" t="str">
        <f>IF($A163="","",IF(OR(AND(N('Daily Data'!$K163)=0,N('Daily Data'!$I163)&gt;0),AND(N('Daily Data'!$I163)=0,N('Daily Data'!$K163)&gt;0),AND(N('Daily Data'!$L163)=0,N('Daily Data'!$M163)=0)),"WARNING","OK"))</f>
        <v/>
      </c>
      <c r="Q163" s="165" t="str">
        <f>IF($A163="","",IF(COUNTIFS('Daily Data'!$B$4:$B$503,'Daily Data'!$B163,'Daily Data'!$A$4:$A$503,'Daily Data'!$A163,'Daily Data'!$Q$4:$Q$503,'Daily Data'!$Q163)&gt;1,"WARNING","OK"))</f>
        <v/>
      </c>
      <c r="R163" s="165" t="str">
        <f>IF($A163="","",IF(AND(N('Daily Data'!$K163)&gt;0,N('Daily Data'!$J163)&lt;=0),"WARNING","OK"))</f>
        <v/>
      </c>
      <c r="S163" s="165" t="str">
        <f>IF($A163="","",COUNTIF($D163:$R163,"ERROR"))</f>
        <v/>
      </c>
      <c r="T163" s="165" t="str">
        <f>IF($A163="","",COUNTIF($D163:$R163,"WARNING"))</f>
        <v/>
      </c>
      <c r="U163" s="165" t="str">
        <f>IF($A163="","",IF($S163&gt;0,"ERROR",IF($T163&gt;0,"WARNING","PASS")))</f>
        <v/>
      </c>
    </row>
    <row r="164" spans="1:21" x14ac:dyDescent="0.3">
      <c r="A164" t="str">
        <f>IF(AND('Daily Data'!$A164="",'Daily Data'!$B164=""),"",164)</f>
        <v/>
      </c>
      <c r="B164" s="16" t="str">
        <f>IF($A164="","",'Daily Data'!$A164)</f>
        <v/>
      </c>
      <c r="C164" t="str">
        <f>IF($A164="","",'Daily Data'!$B164)</f>
        <v/>
      </c>
      <c r="D164" s="165" t="str">
        <f>IF($A164="","",IF(COUNTIFS('Daily Data'!$B$4:$B$503,'Daily Data'!$B164,'Daily Data'!$A$4:$A$503,'Daily Data'!$A164)&gt;1,"ERROR","OK"))</f>
        <v/>
      </c>
      <c r="E164" s="165" t="str">
        <f>IF($A164="","",IF('Daily Data'!$B164="","ERROR","OK"))</f>
        <v/>
      </c>
      <c r="F164" s="165" t="str">
        <f>IF($A164="","",IF(NOT(ISNUMBER('Daily Data'!$A164)),"ERROR","OK"))</f>
        <v/>
      </c>
      <c r="G164" s="165" t="str">
        <f>IF($A164="","",IF(OR(N('Daily Data'!$E164)&lt;=0,N('Daily Data'!$C164)&lt;0,N('Daily Data'!$D164)&lt;0,N('Daily Data'!$F164)&lt;0,N('Daily Data'!$G164)&lt;0),"ERROR","OK"))</f>
        <v/>
      </c>
      <c r="H164" s="165" t="str">
        <f>IF($A164="","",IF(N('Daily Data'!$K164)&lt;0,"ERROR","OK"))</f>
        <v/>
      </c>
      <c r="I164" s="165" t="str">
        <f>IF($A164="","",IF(N('Daily Data'!$I164)&lt;0,"ERROR","OK"))</f>
        <v/>
      </c>
      <c r="J164" s="165" t="str">
        <f>IF($A164="","",IF(N('Daily Data'!$L164)&lt;0,"ERROR","OK"))</f>
        <v/>
      </c>
      <c r="K164" s="165" t="str">
        <f>IF($A164="","",IF(N('Daily Data'!$M164)&lt;0,"ERROR","OK"))</f>
        <v/>
      </c>
      <c r="L164" s="165" t="str">
        <f>IF($A164="","",IF(OR(N('Daily Data'!$F164)=0,N('Daily Data'!$G164)=0),"OK",IF(OR(N('Daily Data'!$E164)&gt;N('Daily Data'!$F164),N('Daily Data'!$E164)&lt;N('Daily Data'!$G164)),"ERROR","OK")))</f>
        <v/>
      </c>
      <c r="M164" s="165" t="str">
        <f>IF($A164="","",IF(N('Daily Data'!$AK164)&lt;=1,"OK",IF(ROUND(N('Daily Data'!$D164),2)=ROUND(SUMIFS('Daily Data'!$E$4:$E$503,'Daily Data'!$B$4:$B$503,'Daily Data'!$B164,'Daily Data'!$AK$4:$AK$503,'Daily Data'!$AK164-1),2),"OK","WARNING")))</f>
        <v/>
      </c>
      <c r="N164" s="165" t="str">
        <f>IF($A164="","",IF(N('Daily Data'!$N164)&lt;=0,"WARNING","OK"))</f>
        <v/>
      </c>
      <c r="O164" s="165" t="str">
        <f>IF($A164="","",IF(AND(ISNUMBER('Daily Data'!$H164),ABS(N('Daily Data'!$H164))&gt;Settings!$C$56),"WARNING","OK"))</f>
        <v/>
      </c>
      <c r="P164" s="165" t="str">
        <f>IF($A164="","",IF(OR(AND(N('Daily Data'!$K164)=0,N('Daily Data'!$I164)&gt;0),AND(N('Daily Data'!$I164)=0,N('Daily Data'!$K164)&gt;0),AND(N('Daily Data'!$L164)=0,N('Daily Data'!$M164)=0)),"WARNING","OK"))</f>
        <v/>
      </c>
      <c r="Q164" s="165" t="str">
        <f>IF($A164="","",IF(COUNTIFS('Daily Data'!$B$4:$B$503,'Daily Data'!$B164,'Daily Data'!$A$4:$A$503,'Daily Data'!$A164,'Daily Data'!$Q$4:$Q$503,'Daily Data'!$Q164)&gt;1,"WARNING","OK"))</f>
        <v/>
      </c>
      <c r="R164" s="165" t="str">
        <f>IF($A164="","",IF(AND(N('Daily Data'!$K164)&gt;0,N('Daily Data'!$J164)&lt;=0),"WARNING","OK"))</f>
        <v/>
      </c>
      <c r="S164" s="165" t="str">
        <f>IF($A164="","",COUNTIF($D164:$R164,"ERROR"))</f>
        <v/>
      </c>
      <c r="T164" s="165" t="str">
        <f>IF($A164="","",COUNTIF($D164:$R164,"WARNING"))</f>
        <v/>
      </c>
      <c r="U164" s="165" t="str">
        <f>IF($A164="","",IF($S164&gt;0,"ERROR",IF($T164&gt;0,"WARNING","PASS")))</f>
        <v/>
      </c>
    </row>
    <row r="165" spans="1:21" x14ac:dyDescent="0.3">
      <c r="A165" t="str">
        <f>IF(AND('Daily Data'!$A165="",'Daily Data'!$B165=""),"",165)</f>
        <v/>
      </c>
      <c r="B165" s="16" t="str">
        <f>IF($A165="","",'Daily Data'!$A165)</f>
        <v/>
      </c>
      <c r="C165" t="str">
        <f>IF($A165="","",'Daily Data'!$B165)</f>
        <v/>
      </c>
      <c r="D165" s="165" t="str">
        <f>IF($A165="","",IF(COUNTIFS('Daily Data'!$B$4:$B$503,'Daily Data'!$B165,'Daily Data'!$A$4:$A$503,'Daily Data'!$A165)&gt;1,"ERROR","OK"))</f>
        <v/>
      </c>
      <c r="E165" s="165" t="str">
        <f>IF($A165="","",IF('Daily Data'!$B165="","ERROR","OK"))</f>
        <v/>
      </c>
      <c r="F165" s="165" t="str">
        <f>IF($A165="","",IF(NOT(ISNUMBER('Daily Data'!$A165)),"ERROR","OK"))</f>
        <v/>
      </c>
      <c r="G165" s="165" t="str">
        <f>IF($A165="","",IF(OR(N('Daily Data'!$E165)&lt;=0,N('Daily Data'!$C165)&lt;0,N('Daily Data'!$D165)&lt;0,N('Daily Data'!$F165)&lt;0,N('Daily Data'!$G165)&lt;0),"ERROR","OK"))</f>
        <v/>
      </c>
      <c r="H165" s="165" t="str">
        <f>IF($A165="","",IF(N('Daily Data'!$K165)&lt;0,"ERROR","OK"))</f>
        <v/>
      </c>
      <c r="I165" s="165" t="str">
        <f>IF($A165="","",IF(N('Daily Data'!$I165)&lt;0,"ERROR","OK"))</f>
        <v/>
      </c>
      <c r="J165" s="165" t="str">
        <f>IF($A165="","",IF(N('Daily Data'!$L165)&lt;0,"ERROR","OK"))</f>
        <v/>
      </c>
      <c r="K165" s="165" t="str">
        <f>IF($A165="","",IF(N('Daily Data'!$M165)&lt;0,"ERROR","OK"))</f>
        <v/>
      </c>
      <c r="L165" s="165" t="str">
        <f>IF($A165="","",IF(OR(N('Daily Data'!$F165)=0,N('Daily Data'!$G165)=0),"OK",IF(OR(N('Daily Data'!$E165)&gt;N('Daily Data'!$F165),N('Daily Data'!$E165)&lt;N('Daily Data'!$G165)),"ERROR","OK")))</f>
        <v/>
      </c>
      <c r="M165" s="165" t="str">
        <f>IF($A165="","",IF(N('Daily Data'!$AK165)&lt;=1,"OK",IF(ROUND(N('Daily Data'!$D165),2)=ROUND(SUMIFS('Daily Data'!$E$4:$E$503,'Daily Data'!$B$4:$B$503,'Daily Data'!$B165,'Daily Data'!$AK$4:$AK$503,'Daily Data'!$AK165-1),2),"OK","WARNING")))</f>
        <v/>
      </c>
      <c r="N165" s="165" t="str">
        <f>IF($A165="","",IF(N('Daily Data'!$N165)&lt;=0,"WARNING","OK"))</f>
        <v/>
      </c>
      <c r="O165" s="165" t="str">
        <f>IF($A165="","",IF(AND(ISNUMBER('Daily Data'!$H165),ABS(N('Daily Data'!$H165))&gt;Settings!$C$56),"WARNING","OK"))</f>
        <v/>
      </c>
      <c r="P165" s="165" t="str">
        <f>IF($A165="","",IF(OR(AND(N('Daily Data'!$K165)=0,N('Daily Data'!$I165)&gt;0),AND(N('Daily Data'!$I165)=0,N('Daily Data'!$K165)&gt;0),AND(N('Daily Data'!$L165)=0,N('Daily Data'!$M165)=0)),"WARNING","OK"))</f>
        <v/>
      </c>
      <c r="Q165" s="165" t="str">
        <f>IF($A165="","",IF(COUNTIFS('Daily Data'!$B$4:$B$503,'Daily Data'!$B165,'Daily Data'!$A$4:$A$503,'Daily Data'!$A165,'Daily Data'!$Q$4:$Q$503,'Daily Data'!$Q165)&gt;1,"WARNING","OK"))</f>
        <v/>
      </c>
      <c r="R165" s="165" t="str">
        <f>IF($A165="","",IF(AND(N('Daily Data'!$K165)&gt;0,N('Daily Data'!$J165)&lt;=0),"WARNING","OK"))</f>
        <v/>
      </c>
      <c r="S165" s="165" t="str">
        <f>IF($A165="","",COUNTIF($D165:$R165,"ERROR"))</f>
        <v/>
      </c>
      <c r="T165" s="165" t="str">
        <f>IF($A165="","",COUNTIF($D165:$R165,"WARNING"))</f>
        <v/>
      </c>
      <c r="U165" s="165" t="str">
        <f>IF($A165="","",IF($S165&gt;0,"ERROR",IF($T165&gt;0,"WARNING","PASS")))</f>
        <v/>
      </c>
    </row>
    <row r="166" spans="1:21" x14ac:dyDescent="0.3">
      <c r="A166" t="str">
        <f>IF(AND('Daily Data'!$A166="",'Daily Data'!$B166=""),"",166)</f>
        <v/>
      </c>
      <c r="B166" s="16" t="str">
        <f>IF($A166="","",'Daily Data'!$A166)</f>
        <v/>
      </c>
      <c r="C166" t="str">
        <f>IF($A166="","",'Daily Data'!$B166)</f>
        <v/>
      </c>
      <c r="D166" s="165" t="str">
        <f>IF($A166="","",IF(COUNTIFS('Daily Data'!$B$4:$B$503,'Daily Data'!$B166,'Daily Data'!$A$4:$A$503,'Daily Data'!$A166)&gt;1,"ERROR","OK"))</f>
        <v/>
      </c>
      <c r="E166" s="165" t="str">
        <f>IF($A166="","",IF('Daily Data'!$B166="","ERROR","OK"))</f>
        <v/>
      </c>
      <c r="F166" s="165" t="str">
        <f>IF($A166="","",IF(NOT(ISNUMBER('Daily Data'!$A166)),"ERROR","OK"))</f>
        <v/>
      </c>
      <c r="G166" s="165" t="str">
        <f>IF($A166="","",IF(OR(N('Daily Data'!$E166)&lt;=0,N('Daily Data'!$C166)&lt;0,N('Daily Data'!$D166)&lt;0,N('Daily Data'!$F166)&lt;0,N('Daily Data'!$G166)&lt;0),"ERROR","OK"))</f>
        <v/>
      </c>
      <c r="H166" s="165" t="str">
        <f>IF($A166="","",IF(N('Daily Data'!$K166)&lt;0,"ERROR","OK"))</f>
        <v/>
      </c>
      <c r="I166" s="165" t="str">
        <f>IF($A166="","",IF(N('Daily Data'!$I166)&lt;0,"ERROR","OK"))</f>
        <v/>
      </c>
      <c r="J166" s="165" t="str">
        <f>IF($A166="","",IF(N('Daily Data'!$L166)&lt;0,"ERROR","OK"))</f>
        <v/>
      </c>
      <c r="K166" s="165" t="str">
        <f>IF($A166="","",IF(N('Daily Data'!$M166)&lt;0,"ERROR","OK"))</f>
        <v/>
      </c>
      <c r="L166" s="165" t="str">
        <f>IF($A166="","",IF(OR(N('Daily Data'!$F166)=0,N('Daily Data'!$G166)=0),"OK",IF(OR(N('Daily Data'!$E166)&gt;N('Daily Data'!$F166),N('Daily Data'!$E166)&lt;N('Daily Data'!$G166)),"ERROR","OK")))</f>
        <v/>
      </c>
      <c r="M166" s="165" t="str">
        <f>IF($A166="","",IF(N('Daily Data'!$AK166)&lt;=1,"OK",IF(ROUND(N('Daily Data'!$D166),2)=ROUND(SUMIFS('Daily Data'!$E$4:$E$503,'Daily Data'!$B$4:$B$503,'Daily Data'!$B166,'Daily Data'!$AK$4:$AK$503,'Daily Data'!$AK166-1),2),"OK","WARNING")))</f>
        <v/>
      </c>
      <c r="N166" s="165" t="str">
        <f>IF($A166="","",IF(N('Daily Data'!$N166)&lt;=0,"WARNING","OK"))</f>
        <v/>
      </c>
      <c r="O166" s="165" t="str">
        <f>IF($A166="","",IF(AND(ISNUMBER('Daily Data'!$H166),ABS(N('Daily Data'!$H166))&gt;Settings!$C$56),"WARNING","OK"))</f>
        <v/>
      </c>
      <c r="P166" s="165" t="str">
        <f>IF($A166="","",IF(OR(AND(N('Daily Data'!$K166)=0,N('Daily Data'!$I166)&gt;0),AND(N('Daily Data'!$I166)=0,N('Daily Data'!$K166)&gt;0),AND(N('Daily Data'!$L166)=0,N('Daily Data'!$M166)=0)),"WARNING","OK"))</f>
        <v/>
      </c>
      <c r="Q166" s="165" t="str">
        <f>IF($A166="","",IF(COUNTIFS('Daily Data'!$B$4:$B$503,'Daily Data'!$B166,'Daily Data'!$A$4:$A$503,'Daily Data'!$A166,'Daily Data'!$Q$4:$Q$503,'Daily Data'!$Q166)&gt;1,"WARNING","OK"))</f>
        <v/>
      </c>
      <c r="R166" s="165" t="str">
        <f>IF($A166="","",IF(AND(N('Daily Data'!$K166)&gt;0,N('Daily Data'!$J166)&lt;=0),"WARNING","OK"))</f>
        <v/>
      </c>
      <c r="S166" s="165" t="str">
        <f>IF($A166="","",COUNTIF($D166:$R166,"ERROR"))</f>
        <v/>
      </c>
      <c r="T166" s="165" t="str">
        <f>IF($A166="","",COUNTIF($D166:$R166,"WARNING"))</f>
        <v/>
      </c>
      <c r="U166" s="165" t="str">
        <f>IF($A166="","",IF($S166&gt;0,"ERROR",IF($T166&gt;0,"WARNING","PASS")))</f>
        <v/>
      </c>
    </row>
    <row r="167" spans="1:21" x14ac:dyDescent="0.3">
      <c r="A167" t="str">
        <f>IF(AND('Daily Data'!$A167="",'Daily Data'!$B167=""),"",167)</f>
        <v/>
      </c>
      <c r="B167" s="16" t="str">
        <f>IF($A167="","",'Daily Data'!$A167)</f>
        <v/>
      </c>
      <c r="C167" t="str">
        <f>IF($A167="","",'Daily Data'!$B167)</f>
        <v/>
      </c>
      <c r="D167" s="165" t="str">
        <f>IF($A167="","",IF(COUNTIFS('Daily Data'!$B$4:$B$503,'Daily Data'!$B167,'Daily Data'!$A$4:$A$503,'Daily Data'!$A167)&gt;1,"ERROR","OK"))</f>
        <v/>
      </c>
      <c r="E167" s="165" t="str">
        <f>IF($A167="","",IF('Daily Data'!$B167="","ERROR","OK"))</f>
        <v/>
      </c>
      <c r="F167" s="165" t="str">
        <f>IF($A167="","",IF(NOT(ISNUMBER('Daily Data'!$A167)),"ERROR","OK"))</f>
        <v/>
      </c>
      <c r="G167" s="165" t="str">
        <f>IF($A167="","",IF(OR(N('Daily Data'!$E167)&lt;=0,N('Daily Data'!$C167)&lt;0,N('Daily Data'!$D167)&lt;0,N('Daily Data'!$F167)&lt;0,N('Daily Data'!$G167)&lt;0),"ERROR","OK"))</f>
        <v/>
      </c>
      <c r="H167" s="165" t="str">
        <f>IF($A167="","",IF(N('Daily Data'!$K167)&lt;0,"ERROR","OK"))</f>
        <v/>
      </c>
      <c r="I167" s="165" t="str">
        <f>IF($A167="","",IF(N('Daily Data'!$I167)&lt;0,"ERROR","OK"))</f>
        <v/>
      </c>
      <c r="J167" s="165" t="str">
        <f>IF($A167="","",IF(N('Daily Data'!$L167)&lt;0,"ERROR","OK"))</f>
        <v/>
      </c>
      <c r="K167" s="165" t="str">
        <f>IF($A167="","",IF(N('Daily Data'!$M167)&lt;0,"ERROR","OK"))</f>
        <v/>
      </c>
      <c r="L167" s="165" t="str">
        <f>IF($A167="","",IF(OR(N('Daily Data'!$F167)=0,N('Daily Data'!$G167)=0),"OK",IF(OR(N('Daily Data'!$E167)&gt;N('Daily Data'!$F167),N('Daily Data'!$E167)&lt;N('Daily Data'!$G167)),"ERROR","OK")))</f>
        <v/>
      </c>
      <c r="M167" s="165" t="str">
        <f>IF($A167="","",IF(N('Daily Data'!$AK167)&lt;=1,"OK",IF(ROUND(N('Daily Data'!$D167),2)=ROUND(SUMIFS('Daily Data'!$E$4:$E$503,'Daily Data'!$B$4:$B$503,'Daily Data'!$B167,'Daily Data'!$AK$4:$AK$503,'Daily Data'!$AK167-1),2),"OK","WARNING")))</f>
        <v/>
      </c>
      <c r="N167" s="165" t="str">
        <f>IF($A167="","",IF(N('Daily Data'!$N167)&lt;=0,"WARNING","OK"))</f>
        <v/>
      </c>
      <c r="O167" s="165" t="str">
        <f>IF($A167="","",IF(AND(ISNUMBER('Daily Data'!$H167),ABS(N('Daily Data'!$H167))&gt;Settings!$C$56),"WARNING","OK"))</f>
        <v/>
      </c>
      <c r="P167" s="165" t="str">
        <f>IF($A167="","",IF(OR(AND(N('Daily Data'!$K167)=0,N('Daily Data'!$I167)&gt;0),AND(N('Daily Data'!$I167)=0,N('Daily Data'!$K167)&gt;0),AND(N('Daily Data'!$L167)=0,N('Daily Data'!$M167)=0)),"WARNING","OK"))</f>
        <v/>
      </c>
      <c r="Q167" s="165" t="str">
        <f>IF($A167="","",IF(COUNTIFS('Daily Data'!$B$4:$B$503,'Daily Data'!$B167,'Daily Data'!$A$4:$A$503,'Daily Data'!$A167,'Daily Data'!$Q$4:$Q$503,'Daily Data'!$Q167)&gt;1,"WARNING","OK"))</f>
        <v/>
      </c>
      <c r="R167" s="165" t="str">
        <f>IF($A167="","",IF(AND(N('Daily Data'!$K167)&gt;0,N('Daily Data'!$J167)&lt;=0),"WARNING","OK"))</f>
        <v/>
      </c>
      <c r="S167" s="165" t="str">
        <f>IF($A167="","",COUNTIF($D167:$R167,"ERROR"))</f>
        <v/>
      </c>
      <c r="T167" s="165" t="str">
        <f>IF($A167="","",COUNTIF($D167:$R167,"WARNING"))</f>
        <v/>
      </c>
      <c r="U167" s="165" t="str">
        <f>IF($A167="","",IF($S167&gt;0,"ERROR",IF($T167&gt;0,"WARNING","PASS")))</f>
        <v/>
      </c>
    </row>
    <row r="168" spans="1:21" x14ac:dyDescent="0.3">
      <c r="A168" t="str">
        <f>IF(AND('Daily Data'!$A168="",'Daily Data'!$B168=""),"",168)</f>
        <v/>
      </c>
      <c r="B168" s="16" t="str">
        <f>IF($A168="","",'Daily Data'!$A168)</f>
        <v/>
      </c>
      <c r="C168" t="str">
        <f>IF($A168="","",'Daily Data'!$B168)</f>
        <v/>
      </c>
      <c r="D168" s="165" t="str">
        <f>IF($A168="","",IF(COUNTIFS('Daily Data'!$B$4:$B$503,'Daily Data'!$B168,'Daily Data'!$A$4:$A$503,'Daily Data'!$A168)&gt;1,"ERROR","OK"))</f>
        <v/>
      </c>
      <c r="E168" s="165" t="str">
        <f>IF($A168="","",IF('Daily Data'!$B168="","ERROR","OK"))</f>
        <v/>
      </c>
      <c r="F168" s="165" t="str">
        <f>IF($A168="","",IF(NOT(ISNUMBER('Daily Data'!$A168)),"ERROR","OK"))</f>
        <v/>
      </c>
      <c r="G168" s="165" t="str">
        <f>IF($A168="","",IF(OR(N('Daily Data'!$E168)&lt;=0,N('Daily Data'!$C168)&lt;0,N('Daily Data'!$D168)&lt;0,N('Daily Data'!$F168)&lt;0,N('Daily Data'!$G168)&lt;0),"ERROR","OK"))</f>
        <v/>
      </c>
      <c r="H168" s="165" t="str">
        <f>IF($A168="","",IF(N('Daily Data'!$K168)&lt;0,"ERROR","OK"))</f>
        <v/>
      </c>
      <c r="I168" s="165" t="str">
        <f>IF($A168="","",IF(N('Daily Data'!$I168)&lt;0,"ERROR","OK"))</f>
        <v/>
      </c>
      <c r="J168" s="165" t="str">
        <f>IF($A168="","",IF(N('Daily Data'!$L168)&lt;0,"ERROR","OK"))</f>
        <v/>
      </c>
      <c r="K168" s="165" t="str">
        <f>IF($A168="","",IF(N('Daily Data'!$M168)&lt;0,"ERROR","OK"))</f>
        <v/>
      </c>
      <c r="L168" s="165" t="str">
        <f>IF($A168="","",IF(OR(N('Daily Data'!$F168)=0,N('Daily Data'!$G168)=0),"OK",IF(OR(N('Daily Data'!$E168)&gt;N('Daily Data'!$F168),N('Daily Data'!$E168)&lt;N('Daily Data'!$G168)),"ERROR","OK")))</f>
        <v/>
      </c>
      <c r="M168" s="165" t="str">
        <f>IF($A168="","",IF(N('Daily Data'!$AK168)&lt;=1,"OK",IF(ROUND(N('Daily Data'!$D168),2)=ROUND(SUMIFS('Daily Data'!$E$4:$E$503,'Daily Data'!$B$4:$B$503,'Daily Data'!$B168,'Daily Data'!$AK$4:$AK$503,'Daily Data'!$AK168-1),2),"OK","WARNING")))</f>
        <v/>
      </c>
      <c r="N168" s="165" t="str">
        <f>IF($A168="","",IF(N('Daily Data'!$N168)&lt;=0,"WARNING","OK"))</f>
        <v/>
      </c>
      <c r="O168" s="165" t="str">
        <f>IF($A168="","",IF(AND(ISNUMBER('Daily Data'!$H168),ABS(N('Daily Data'!$H168))&gt;Settings!$C$56),"WARNING","OK"))</f>
        <v/>
      </c>
      <c r="P168" s="165" t="str">
        <f>IF($A168="","",IF(OR(AND(N('Daily Data'!$K168)=0,N('Daily Data'!$I168)&gt;0),AND(N('Daily Data'!$I168)=0,N('Daily Data'!$K168)&gt;0),AND(N('Daily Data'!$L168)=0,N('Daily Data'!$M168)=0)),"WARNING","OK"))</f>
        <v/>
      </c>
      <c r="Q168" s="165" t="str">
        <f>IF($A168="","",IF(COUNTIFS('Daily Data'!$B$4:$B$503,'Daily Data'!$B168,'Daily Data'!$A$4:$A$503,'Daily Data'!$A168,'Daily Data'!$Q$4:$Q$503,'Daily Data'!$Q168)&gt;1,"WARNING","OK"))</f>
        <v/>
      </c>
      <c r="R168" s="165" t="str">
        <f>IF($A168="","",IF(AND(N('Daily Data'!$K168)&gt;0,N('Daily Data'!$J168)&lt;=0),"WARNING","OK"))</f>
        <v/>
      </c>
      <c r="S168" s="165" t="str">
        <f>IF($A168="","",COUNTIF($D168:$R168,"ERROR"))</f>
        <v/>
      </c>
      <c r="T168" s="165" t="str">
        <f>IF($A168="","",COUNTIF($D168:$R168,"WARNING"))</f>
        <v/>
      </c>
      <c r="U168" s="165" t="str">
        <f>IF($A168="","",IF($S168&gt;0,"ERROR",IF($T168&gt;0,"WARNING","PASS")))</f>
        <v/>
      </c>
    </row>
    <row r="169" spans="1:21" x14ac:dyDescent="0.3">
      <c r="A169" t="str">
        <f>IF(AND('Daily Data'!$A169="",'Daily Data'!$B169=""),"",169)</f>
        <v/>
      </c>
      <c r="B169" s="16" t="str">
        <f>IF($A169="","",'Daily Data'!$A169)</f>
        <v/>
      </c>
      <c r="C169" t="str">
        <f>IF($A169="","",'Daily Data'!$B169)</f>
        <v/>
      </c>
      <c r="D169" s="165" t="str">
        <f>IF($A169="","",IF(COUNTIFS('Daily Data'!$B$4:$B$503,'Daily Data'!$B169,'Daily Data'!$A$4:$A$503,'Daily Data'!$A169)&gt;1,"ERROR","OK"))</f>
        <v/>
      </c>
      <c r="E169" s="165" t="str">
        <f>IF($A169="","",IF('Daily Data'!$B169="","ERROR","OK"))</f>
        <v/>
      </c>
      <c r="F169" s="165" t="str">
        <f>IF($A169="","",IF(NOT(ISNUMBER('Daily Data'!$A169)),"ERROR","OK"))</f>
        <v/>
      </c>
      <c r="G169" s="165" t="str">
        <f>IF($A169="","",IF(OR(N('Daily Data'!$E169)&lt;=0,N('Daily Data'!$C169)&lt;0,N('Daily Data'!$D169)&lt;0,N('Daily Data'!$F169)&lt;0,N('Daily Data'!$G169)&lt;0),"ERROR","OK"))</f>
        <v/>
      </c>
      <c r="H169" s="165" t="str">
        <f>IF($A169="","",IF(N('Daily Data'!$K169)&lt;0,"ERROR","OK"))</f>
        <v/>
      </c>
      <c r="I169" s="165" t="str">
        <f>IF($A169="","",IF(N('Daily Data'!$I169)&lt;0,"ERROR","OK"))</f>
        <v/>
      </c>
      <c r="J169" s="165" t="str">
        <f>IF($A169="","",IF(N('Daily Data'!$L169)&lt;0,"ERROR","OK"))</f>
        <v/>
      </c>
      <c r="K169" s="165" t="str">
        <f>IF($A169="","",IF(N('Daily Data'!$M169)&lt;0,"ERROR","OK"))</f>
        <v/>
      </c>
      <c r="L169" s="165" t="str">
        <f>IF($A169="","",IF(OR(N('Daily Data'!$F169)=0,N('Daily Data'!$G169)=0),"OK",IF(OR(N('Daily Data'!$E169)&gt;N('Daily Data'!$F169),N('Daily Data'!$E169)&lt;N('Daily Data'!$G169)),"ERROR","OK")))</f>
        <v/>
      </c>
      <c r="M169" s="165" t="str">
        <f>IF($A169="","",IF(N('Daily Data'!$AK169)&lt;=1,"OK",IF(ROUND(N('Daily Data'!$D169),2)=ROUND(SUMIFS('Daily Data'!$E$4:$E$503,'Daily Data'!$B$4:$B$503,'Daily Data'!$B169,'Daily Data'!$AK$4:$AK$503,'Daily Data'!$AK169-1),2),"OK","WARNING")))</f>
        <v/>
      </c>
      <c r="N169" s="165" t="str">
        <f>IF($A169="","",IF(N('Daily Data'!$N169)&lt;=0,"WARNING","OK"))</f>
        <v/>
      </c>
      <c r="O169" s="165" t="str">
        <f>IF($A169="","",IF(AND(ISNUMBER('Daily Data'!$H169),ABS(N('Daily Data'!$H169))&gt;Settings!$C$56),"WARNING","OK"))</f>
        <v/>
      </c>
      <c r="P169" s="165" t="str">
        <f>IF($A169="","",IF(OR(AND(N('Daily Data'!$K169)=0,N('Daily Data'!$I169)&gt;0),AND(N('Daily Data'!$I169)=0,N('Daily Data'!$K169)&gt;0),AND(N('Daily Data'!$L169)=0,N('Daily Data'!$M169)=0)),"WARNING","OK"))</f>
        <v/>
      </c>
      <c r="Q169" s="165" t="str">
        <f>IF($A169="","",IF(COUNTIFS('Daily Data'!$B$4:$B$503,'Daily Data'!$B169,'Daily Data'!$A$4:$A$503,'Daily Data'!$A169,'Daily Data'!$Q$4:$Q$503,'Daily Data'!$Q169)&gt;1,"WARNING","OK"))</f>
        <v/>
      </c>
      <c r="R169" s="165" t="str">
        <f>IF($A169="","",IF(AND(N('Daily Data'!$K169)&gt;0,N('Daily Data'!$J169)&lt;=0),"WARNING","OK"))</f>
        <v/>
      </c>
      <c r="S169" s="165" t="str">
        <f>IF($A169="","",COUNTIF($D169:$R169,"ERROR"))</f>
        <v/>
      </c>
      <c r="T169" s="165" t="str">
        <f>IF($A169="","",COUNTIF($D169:$R169,"WARNING"))</f>
        <v/>
      </c>
      <c r="U169" s="165" t="str">
        <f>IF($A169="","",IF($S169&gt;0,"ERROR",IF($T169&gt;0,"WARNING","PASS")))</f>
        <v/>
      </c>
    </row>
    <row r="170" spans="1:21" x14ac:dyDescent="0.3">
      <c r="A170" t="str">
        <f>IF(AND('Daily Data'!$A170="",'Daily Data'!$B170=""),"",170)</f>
        <v/>
      </c>
      <c r="B170" s="16" t="str">
        <f>IF($A170="","",'Daily Data'!$A170)</f>
        <v/>
      </c>
      <c r="C170" t="str">
        <f>IF($A170="","",'Daily Data'!$B170)</f>
        <v/>
      </c>
      <c r="D170" s="165" t="str">
        <f>IF($A170="","",IF(COUNTIFS('Daily Data'!$B$4:$B$503,'Daily Data'!$B170,'Daily Data'!$A$4:$A$503,'Daily Data'!$A170)&gt;1,"ERROR","OK"))</f>
        <v/>
      </c>
      <c r="E170" s="165" t="str">
        <f>IF($A170="","",IF('Daily Data'!$B170="","ERROR","OK"))</f>
        <v/>
      </c>
      <c r="F170" s="165" t="str">
        <f>IF($A170="","",IF(NOT(ISNUMBER('Daily Data'!$A170)),"ERROR","OK"))</f>
        <v/>
      </c>
      <c r="G170" s="165" t="str">
        <f>IF($A170="","",IF(OR(N('Daily Data'!$E170)&lt;=0,N('Daily Data'!$C170)&lt;0,N('Daily Data'!$D170)&lt;0,N('Daily Data'!$F170)&lt;0,N('Daily Data'!$G170)&lt;0),"ERROR","OK"))</f>
        <v/>
      </c>
      <c r="H170" s="165" t="str">
        <f>IF($A170="","",IF(N('Daily Data'!$K170)&lt;0,"ERROR","OK"))</f>
        <v/>
      </c>
      <c r="I170" s="165" t="str">
        <f>IF($A170="","",IF(N('Daily Data'!$I170)&lt;0,"ERROR","OK"))</f>
        <v/>
      </c>
      <c r="J170" s="165" t="str">
        <f>IF($A170="","",IF(N('Daily Data'!$L170)&lt;0,"ERROR","OK"))</f>
        <v/>
      </c>
      <c r="K170" s="165" t="str">
        <f>IF($A170="","",IF(N('Daily Data'!$M170)&lt;0,"ERROR","OK"))</f>
        <v/>
      </c>
      <c r="L170" s="165" t="str">
        <f>IF($A170="","",IF(OR(N('Daily Data'!$F170)=0,N('Daily Data'!$G170)=0),"OK",IF(OR(N('Daily Data'!$E170)&gt;N('Daily Data'!$F170),N('Daily Data'!$E170)&lt;N('Daily Data'!$G170)),"ERROR","OK")))</f>
        <v/>
      </c>
      <c r="M170" s="165" t="str">
        <f>IF($A170="","",IF(N('Daily Data'!$AK170)&lt;=1,"OK",IF(ROUND(N('Daily Data'!$D170),2)=ROUND(SUMIFS('Daily Data'!$E$4:$E$503,'Daily Data'!$B$4:$B$503,'Daily Data'!$B170,'Daily Data'!$AK$4:$AK$503,'Daily Data'!$AK170-1),2),"OK","WARNING")))</f>
        <v/>
      </c>
      <c r="N170" s="165" t="str">
        <f>IF($A170="","",IF(N('Daily Data'!$N170)&lt;=0,"WARNING","OK"))</f>
        <v/>
      </c>
      <c r="O170" s="165" t="str">
        <f>IF($A170="","",IF(AND(ISNUMBER('Daily Data'!$H170),ABS(N('Daily Data'!$H170))&gt;Settings!$C$56),"WARNING","OK"))</f>
        <v/>
      </c>
      <c r="P170" s="165" t="str">
        <f>IF($A170="","",IF(OR(AND(N('Daily Data'!$K170)=0,N('Daily Data'!$I170)&gt;0),AND(N('Daily Data'!$I170)=0,N('Daily Data'!$K170)&gt;0),AND(N('Daily Data'!$L170)=0,N('Daily Data'!$M170)=0)),"WARNING","OK"))</f>
        <v/>
      </c>
      <c r="Q170" s="165" t="str">
        <f>IF($A170="","",IF(COUNTIFS('Daily Data'!$B$4:$B$503,'Daily Data'!$B170,'Daily Data'!$A$4:$A$503,'Daily Data'!$A170,'Daily Data'!$Q$4:$Q$503,'Daily Data'!$Q170)&gt;1,"WARNING","OK"))</f>
        <v/>
      </c>
      <c r="R170" s="165" t="str">
        <f>IF($A170="","",IF(AND(N('Daily Data'!$K170)&gt;0,N('Daily Data'!$J170)&lt;=0),"WARNING","OK"))</f>
        <v/>
      </c>
      <c r="S170" s="165" t="str">
        <f>IF($A170="","",COUNTIF($D170:$R170,"ERROR"))</f>
        <v/>
      </c>
      <c r="T170" s="165" t="str">
        <f>IF($A170="","",COUNTIF($D170:$R170,"WARNING"))</f>
        <v/>
      </c>
      <c r="U170" s="165" t="str">
        <f>IF($A170="","",IF($S170&gt;0,"ERROR",IF($T170&gt;0,"WARNING","PASS")))</f>
        <v/>
      </c>
    </row>
    <row r="171" spans="1:21" x14ac:dyDescent="0.3">
      <c r="A171" t="str">
        <f>IF(AND('Daily Data'!$A171="",'Daily Data'!$B171=""),"",171)</f>
        <v/>
      </c>
      <c r="B171" s="16" t="str">
        <f>IF($A171="","",'Daily Data'!$A171)</f>
        <v/>
      </c>
      <c r="C171" t="str">
        <f>IF($A171="","",'Daily Data'!$B171)</f>
        <v/>
      </c>
      <c r="D171" s="165" t="str">
        <f>IF($A171="","",IF(COUNTIFS('Daily Data'!$B$4:$B$503,'Daily Data'!$B171,'Daily Data'!$A$4:$A$503,'Daily Data'!$A171)&gt;1,"ERROR","OK"))</f>
        <v/>
      </c>
      <c r="E171" s="165" t="str">
        <f>IF($A171="","",IF('Daily Data'!$B171="","ERROR","OK"))</f>
        <v/>
      </c>
      <c r="F171" s="165" t="str">
        <f>IF($A171="","",IF(NOT(ISNUMBER('Daily Data'!$A171)),"ERROR","OK"))</f>
        <v/>
      </c>
      <c r="G171" s="165" t="str">
        <f>IF($A171="","",IF(OR(N('Daily Data'!$E171)&lt;=0,N('Daily Data'!$C171)&lt;0,N('Daily Data'!$D171)&lt;0,N('Daily Data'!$F171)&lt;0,N('Daily Data'!$G171)&lt;0),"ERROR","OK"))</f>
        <v/>
      </c>
      <c r="H171" s="165" t="str">
        <f>IF($A171="","",IF(N('Daily Data'!$K171)&lt;0,"ERROR","OK"))</f>
        <v/>
      </c>
      <c r="I171" s="165" t="str">
        <f>IF($A171="","",IF(N('Daily Data'!$I171)&lt;0,"ERROR","OK"))</f>
        <v/>
      </c>
      <c r="J171" s="165" t="str">
        <f>IF($A171="","",IF(N('Daily Data'!$L171)&lt;0,"ERROR","OK"))</f>
        <v/>
      </c>
      <c r="K171" s="165" t="str">
        <f>IF($A171="","",IF(N('Daily Data'!$M171)&lt;0,"ERROR","OK"))</f>
        <v/>
      </c>
      <c r="L171" s="165" t="str">
        <f>IF($A171="","",IF(OR(N('Daily Data'!$F171)=0,N('Daily Data'!$G171)=0),"OK",IF(OR(N('Daily Data'!$E171)&gt;N('Daily Data'!$F171),N('Daily Data'!$E171)&lt;N('Daily Data'!$G171)),"ERROR","OK")))</f>
        <v/>
      </c>
      <c r="M171" s="165" t="str">
        <f>IF($A171="","",IF(N('Daily Data'!$AK171)&lt;=1,"OK",IF(ROUND(N('Daily Data'!$D171),2)=ROUND(SUMIFS('Daily Data'!$E$4:$E$503,'Daily Data'!$B$4:$B$503,'Daily Data'!$B171,'Daily Data'!$AK$4:$AK$503,'Daily Data'!$AK171-1),2),"OK","WARNING")))</f>
        <v/>
      </c>
      <c r="N171" s="165" t="str">
        <f>IF($A171="","",IF(N('Daily Data'!$N171)&lt;=0,"WARNING","OK"))</f>
        <v/>
      </c>
      <c r="O171" s="165" t="str">
        <f>IF($A171="","",IF(AND(ISNUMBER('Daily Data'!$H171),ABS(N('Daily Data'!$H171))&gt;Settings!$C$56),"WARNING","OK"))</f>
        <v/>
      </c>
      <c r="P171" s="165" t="str">
        <f>IF($A171="","",IF(OR(AND(N('Daily Data'!$K171)=0,N('Daily Data'!$I171)&gt;0),AND(N('Daily Data'!$I171)=0,N('Daily Data'!$K171)&gt;0),AND(N('Daily Data'!$L171)=0,N('Daily Data'!$M171)=0)),"WARNING","OK"))</f>
        <v/>
      </c>
      <c r="Q171" s="165" t="str">
        <f>IF($A171="","",IF(COUNTIFS('Daily Data'!$B$4:$B$503,'Daily Data'!$B171,'Daily Data'!$A$4:$A$503,'Daily Data'!$A171,'Daily Data'!$Q$4:$Q$503,'Daily Data'!$Q171)&gt;1,"WARNING","OK"))</f>
        <v/>
      </c>
      <c r="R171" s="165" t="str">
        <f>IF($A171="","",IF(AND(N('Daily Data'!$K171)&gt;0,N('Daily Data'!$J171)&lt;=0),"WARNING","OK"))</f>
        <v/>
      </c>
      <c r="S171" s="165" t="str">
        <f>IF($A171="","",COUNTIF($D171:$R171,"ERROR"))</f>
        <v/>
      </c>
      <c r="T171" s="165" t="str">
        <f>IF($A171="","",COUNTIF($D171:$R171,"WARNING"))</f>
        <v/>
      </c>
      <c r="U171" s="165" t="str">
        <f>IF($A171="","",IF($S171&gt;0,"ERROR",IF($T171&gt;0,"WARNING","PASS")))</f>
        <v/>
      </c>
    </row>
    <row r="172" spans="1:21" x14ac:dyDescent="0.3">
      <c r="A172" t="str">
        <f>IF(AND('Daily Data'!$A172="",'Daily Data'!$B172=""),"",172)</f>
        <v/>
      </c>
      <c r="B172" s="16" t="str">
        <f>IF($A172="","",'Daily Data'!$A172)</f>
        <v/>
      </c>
      <c r="C172" t="str">
        <f>IF($A172="","",'Daily Data'!$B172)</f>
        <v/>
      </c>
      <c r="D172" s="165" t="str">
        <f>IF($A172="","",IF(COUNTIFS('Daily Data'!$B$4:$B$503,'Daily Data'!$B172,'Daily Data'!$A$4:$A$503,'Daily Data'!$A172)&gt;1,"ERROR","OK"))</f>
        <v/>
      </c>
      <c r="E172" s="165" t="str">
        <f>IF($A172="","",IF('Daily Data'!$B172="","ERROR","OK"))</f>
        <v/>
      </c>
      <c r="F172" s="165" t="str">
        <f>IF($A172="","",IF(NOT(ISNUMBER('Daily Data'!$A172)),"ERROR","OK"))</f>
        <v/>
      </c>
      <c r="G172" s="165" t="str">
        <f>IF($A172="","",IF(OR(N('Daily Data'!$E172)&lt;=0,N('Daily Data'!$C172)&lt;0,N('Daily Data'!$D172)&lt;0,N('Daily Data'!$F172)&lt;0,N('Daily Data'!$G172)&lt;0),"ERROR","OK"))</f>
        <v/>
      </c>
      <c r="H172" s="165" t="str">
        <f>IF($A172="","",IF(N('Daily Data'!$K172)&lt;0,"ERROR","OK"))</f>
        <v/>
      </c>
      <c r="I172" s="165" t="str">
        <f>IF($A172="","",IF(N('Daily Data'!$I172)&lt;0,"ERROR","OK"))</f>
        <v/>
      </c>
      <c r="J172" s="165" t="str">
        <f>IF($A172="","",IF(N('Daily Data'!$L172)&lt;0,"ERROR","OK"))</f>
        <v/>
      </c>
      <c r="K172" s="165" t="str">
        <f>IF($A172="","",IF(N('Daily Data'!$M172)&lt;0,"ERROR","OK"))</f>
        <v/>
      </c>
      <c r="L172" s="165" t="str">
        <f>IF($A172="","",IF(OR(N('Daily Data'!$F172)=0,N('Daily Data'!$G172)=0),"OK",IF(OR(N('Daily Data'!$E172)&gt;N('Daily Data'!$F172),N('Daily Data'!$E172)&lt;N('Daily Data'!$G172)),"ERROR","OK")))</f>
        <v/>
      </c>
      <c r="M172" s="165" t="str">
        <f>IF($A172="","",IF(N('Daily Data'!$AK172)&lt;=1,"OK",IF(ROUND(N('Daily Data'!$D172),2)=ROUND(SUMIFS('Daily Data'!$E$4:$E$503,'Daily Data'!$B$4:$B$503,'Daily Data'!$B172,'Daily Data'!$AK$4:$AK$503,'Daily Data'!$AK172-1),2),"OK","WARNING")))</f>
        <v/>
      </c>
      <c r="N172" s="165" t="str">
        <f>IF($A172="","",IF(N('Daily Data'!$N172)&lt;=0,"WARNING","OK"))</f>
        <v/>
      </c>
      <c r="O172" s="165" t="str">
        <f>IF($A172="","",IF(AND(ISNUMBER('Daily Data'!$H172),ABS(N('Daily Data'!$H172))&gt;Settings!$C$56),"WARNING","OK"))</f>
        <v/>
      </c>
      <c r="P172" s="165" t="str">
        <f>IF($A172="","",IF(OR(AND(N('Daily Data'!$K172)=0,N('Daily Data'!$I172)&gt;0),AND(N('Daily Data'!$I172)=0,N('Daily Data'!$K172)&gt;0),AND(N('Daily Data'!$L172)=0,N('Daily Data'!$M172)=0)),"WARNING","OK"))</f>
        <v/>
      </c>
      <c r="Q172" s="165" t="str">
        <f>IF($A172="","",IF(COUNTIFS('Daily Data'!$B$4:$B$503,'Daily Data'!$B172,'Daily Data'!$A$4:$A$503,'Daily Data'!$A172,'Daily Data'!$Q$4:$Q$503,'Daily Data'!$Q172)&gt;1,"WARNING","OK"))</f>
        <v/>
      </c>
      <c r="R172" s="165" t="str">
        <f>IF($A172="","",IF(AND(N('Daily Data'!$K172)&gt;0,N('Daily Data'!$J172)&lt;=0),"WARNING","OK"))</f>
        <v/>
      </c>
      <c r="S172" s="165" t="str">
        <f>IF($A172="","",COUNTIF($D172:$R172,"ERROR"))</f>
        <v/>
      </c>
      <c r="T172" s="165" t="str">
        <f>IF($A172="","",COUNTIF($D172:$R172,"WARNING"))</f>
        <v/>
      </c>
      <c r="U172" s="165" t="str">
        <f>IF($A172="","",IF($S172&gt;0,"ERROR",IF($T172&gt;0,"WARNING","PASS")))</f>
        <v/>
      </c>
    </row>
    <row r="173" spans="1:21" x14ac:dyDescent="0.3">
      <c r="A173" t="str">
        <f>IF(AND('Daily Data'!$A173="",'Daily Data'!$B173=""),"",173)</f>
        <v/>
      </c>
      <c r="B173" s="16" t="str">
        <f>IF($A173="","",'Daily Data'!$A173)</f>
        <v/>
      </c>
      <c r="C173" t="str">
        <f>IF($A173="","",'Daily Data'!$B173)</f>
        <v/>
      </c>
      <c r="D173" s="165" t="str">
        <f>IF($A173="","",IF(COUNTIFS('Daily Data'!$B$4:$B$503,'Daily Data'!$B173,'Daily Data'!$A$4:$A$503,'Daily Data'!$A173)&gt;1,"ERROR","OK"))</f>
        <v/>
      </c>
      <c r="E173" s="165" t="str">
        <f>IF($A173="","",IF('Daily Data'!$B173="","ERROR","OK"))</f>
        <v/>
      </c>
      <c r="F173" s="165" t="str">
        <f>IF($A173="","",IF(NOT(ISNUMBER('Daily Data'!$A173)),"ERROR","OK"))</f>
        <v/>
      </c>
      <c r="G173" s="165" t="str">
        <f>IF($A173="","",IF(OR(N('Daily Data'!$E173)&lt;=0,N('Daily Data'!$C173)&lt;0,N('Daily Data'!$D173)&lt;0,N('Daily Data'!$F173)&lt;0,N('Daily Data'!$G173)&lt;0),"ERROR","OK"))</f>
        <v/>
      </c>
      <c r="H173" s="165" t="str">
        <f>IF($A173="","",IF(N('Daily Data'!$K173)&lt;0,"ERROR","OK"))</f>
        <v/>
      </c>
      <c r="I173" s="165" t="str">
        <f>IF($A173="","",IF(N('Daily Data'!$I173)&lt;0,"ERROR","OK"))</f>
        <v/>
      </c>
      <c r="J173" s="165" t="str">
        <f>IF($A173="","",IF(N('Daily Data'!$L173)&lt;0,"ERROR","OK"))</f>
        <v/>
      </c>
      <c r="K173" s="165" t="str">
        <f>IF($A173="","",IF(N('Daily Data'!$M173)&lt;0,"ERROR","OK"))</f>
        <v/>
      </c>
      <c r="L173" s="165" t="str">
        <f>IF($A173="","",IF(OR(N('Daily Data'!$F173)=0,N('Daily Data'!$G173)=0),"OK",IF(OR(N('Daily Data'!$E173)&gt;N('Daily Data'!$F173),N('Daily Data'!$E173)&lt;N('Daily Data'!$G173)),"ERROR","OK")))</f>
        <v/>
      </c>
      <c r="M173" s="165" t="str">
        <f>IF($A173="","",IF(N('Daily Data'!$AK173)&lt;=1,"OK",IF(ROUND(N('Daily Data'!$D173),2)=ROUND(SUMIFS('Daily Data'!$E$4:$E$503,'Daily Data'!$B$4:$B$503,'Daily Data'!$B173,'Daily Data'!$AK$4:$AK$503,'Daily Data'!$AK173-1),2),"OK","WARNING")))</f>
        <v/>
      </c>
      <c r="N173" s="165" t="str">
        <f>IF($A173="","",IF(N('Daily Data'!$N173)&lt;=0,"WARNING","OK"))</f>
        <v/>
      </c>
      <c r="O173" s="165" t="str">
        <f>IF($A173="","",IF(AND(ISNUMBER('Daily Data'!$H173),ABS(N('Daily Data'!$H173))&gt;Settings!$C$56),"WARNING","OK"))</f>
        <v/>
      </c>
      <c r="P173" s="165" t="str">
        <f>IF($A173="","",IF(OR(AND(N('Daily Data'!$K173)=0,N('Daily Data'!$I173)&gt;0),AND(N('Daily Data'!$I173)=0,N('Daily Data'!$K173)&gt;0),AND(N('Daily Data'!$L173)=0,N('Daily Data'!$M173)=0)),"WARNING","OK"))</f>
        <v/>
      </c>
      <c r="Q173" s="165" t="str">
        <f>IF($A173="","",IF(COUNTIFS('Daily Data'!$B$4:$B$503,'Daily Data'!$B173,'Daily Data'!$A$4:$A$503,'Daily Data'!$A173,'Daily Data'!$Q$4:$Q$503,'Daily Data'!$Q173)&gt;1,"WARNING","OK"))</f>
        <v/>
      </c>
      <c r="R173" s="165" t="str">
        <f>IF($A173="","",IF(AND(N('Daily Data'!$K173)&gt;0,N('Daily Data'!$J173)&lt;=0),"WARNING","OK"))</f>
        <v/>
      </c>
      <c r="S173" s="165" t="str">
        <f>IF($A173="","",COUNTIF($D173:$R173,"ERROR"))</f>
        <v/>
      </c>
      <c r="T173" s="165" t="str">
        <f>IF($A173="","",COUNTIF($D173:$R173,"WARNING"))</f>
        <v/>
      </c>
      <c r="U173" s="165" t="str">
        <f>IF($A173="","",IF($S173&gt;0,"ERROR",IF($T173&gt;0,"WARNING","PASS")))</f>
        <v/>
      </c>
    </row>
    <row r="174" spans="1:21" x14ac:dyDescent="0.3">
      <c r="A174" t="str">
        <f>IF(AND('Daily Data'!$A174="",'Daily Data'!$B174=""),"",174)</f>
        <v/>
      </c>
      <c r="B174" s="16" t="str">
        <f>IF($A174="","",'Daily Data'!$A174)</f>
        <v/>
      </c>
      <c r="C174" t="str">
        <f>IF($A174="","",'Daily Data'!$B174)</f>
        <v/>
      </c>
      <c r="D174" s="165" t="str">
        <f>IF($A174="","",IF(COUNTIFS('Daily Data'!$B$4:$B$503,'Daily Data'!$B174,'Daily Data'!$A$4:$A$503,'Daily Data'!$A174)&gt;1,"ERROR","OK"))</f>
        <v/>
      </c>
      <c r="E174" s="165" t="str">
        <f>IF($A174="","",IF('Daily Data'!$B174="","ERROR","OK"))</f>
        <v/>
      </c>
      <c r="F174" s="165" t="str">
        <f>IF($A174="","",IF(NOT(ISNUMBER('Daily Data'!$A174)),"ERROR","OK"))</f>
        <v/>
      </c>
      <c r="G174" s="165" t="str">
        <f>IF($A174="","",IF(OR(N('Daily Data'!$E174)&lt;=0,N('Daily Data'!$C174)&lt;0,N('Daily Data'!$D174)&lt;0,N('Daily Data'!$F174)&lt;0,N('Daily Data'!$G174)&lt;0),"ERROR","OK"))</f>
        <v/>
      </c>
      <c r="H174" s="165" t="str">
        <f>IF($A174="","",IF(N('Daily Data'!$K174)&lt;0,"ERROR","OK"))</f>
        <v/>
      </c>
      <c r="I174" s="165" t="str">
        <f>IF($A174="","",IF(N('Daily Data'!$I174)&lt;0,"ERROR","OK"))</f>
        <v/>
      </c>
      <c r="J174" s="165" t="str">
        <f>IF($A174="","",IF(N('Daily Data'!$L174)&lt;0,"ERROR","OK"))</f>
        <v/>
      </c>
      <c r="K174" s="165" t="str">
        <f>IF($A174="","",IF(N('Daily Data'!$M174)&lt;0,"ERROR","OK"))</f>
        <v/>
      </c>
      <c r="L174" s="165" t="str">
        <f>IF($A174="","",IF(OR(N('Daily Data'!$F174)=0,N('Daily Data'!$G174)=0),"OK",IF(OR(N('Daily Data'!$E174)&gt;N('Daily Data'!$F174),N('Daily Data'!$E174)&lt;N('Daily Data'!$G174)),"ERROR","OK")))</f>
        <v/>
      </c>
      <c r="M174" s="165" t="str">
        <f>IF($A174="","",IF(N('Daily Data'!$AK174)&lt;=1,"OK",IF(ROUND(N('Daily Data'!$D174),2)=ROUND(SUMIFS('Daily Data'!$E$4:$E$503,'Daily Data'!$B$4:$B$503,'Daily Data'!$B174,'Daily Data'!$AK$4:$AK$503,'Daily Data'!$AK174-1),2),"OK","WARNING")))</f>
        <v/>
      </c>
      <c r="N174" s="165" t="str">
        <f>IF($A174="","",IF(N('Daily Data'!$N174)&lt;=0,"WARNING","OK"))</f>
        <v/>
      </c>
      <c r="O174" s="165" t="str">
        <f>IF($A174="","",IF(AND(ISNUMBER('Daily Data'!$H174),ABS(N('Daily Data'!$H174))&gt;Settings!$C$56),"WARNING","OK"))</f>
        <v/>
      </c>
      <c r="P174" s="165" t="str">
        <f>IF($A174="","",IF(OR(AND(N('Daily Data'!$K174)=0,N('Daily Data'!$I174)&gt;0),AND(N('Daily Data'!$I174)=0,N('Daily Data'!$K174)&gt;0),AND(N('Daily Data'!$L174)=0,N('Daily Data'!$M174)=0)),"WARNING","OK"))</f>
        <v/>
      </c>
      <c r="Q174" s="165" t="str">
        <f>IF($A174="","",IF(COUNTIFS('Daily Data'!$B$4:$B$503,'Daily Data'!$B174,'Daily Data'!$A$4:$A$503,'Daily Data'!$A174,'Daily Data'!$Q$4:$Q$503,'Daily Data'!$Q174)&gt;1,"WARNING","OK"))</f>
        <v/>
      </c>
      <c r="R174" s="165" t="str">
        <f>IF($A174="","",IF(AND(N('Daily Data'!$K174)&gt;0,N('Daily Data'!$J174)&lt;=0),"WARNING","OK"))</f>
        <v/>
      </c>
      <c r="S174" s="165" t="str">
        <f>IF($A174="","",COUNTIF($D174:$R174,"ERROR"))</f>
        <v/>
      </c>
      <c r="T174" s="165" t="str">
        <f>IF($A174="","",COUNTIF($D174:$R174,"WARNING"))</f>
        <v/>
      </c>
      <c r="U174" s="165" t="str">
        <f>IF($A174="","",IF($S174&gt;0,"ERROR",IF($T174&gt;0,"WARNING","PASS")))</f>
        <v/>
      </c>
    </row>
    <row r="175" spans="1:21" x14ac:dyDescent="0.3">
      <c r="A175" t="str">
        <f>IF(AND('Daily Data'!$A175="",'Daily Data'!$B175=""),"",175)</f>
        <v/>
      </c>
      <c r="B175" s="16" t="str">
        <f>IF($A175="","",'Daily Data'!$A175)</f>
        <v/>
      </c>
      <c r="C175" t="str">
        <f>IF($A175="","",'Daily Data'!$B175)</f>
        <v/>
      </c>
      <c r="D175" s="165" t="str">
        <f>IF($A175="","",IF(COUNTIFS('Daily Data'!$B$4:$B$503,'Daily Data'!$B175,'Daily Data'!$A$4:$A$503,'Daily Data'!$A175)&gt;1,"ERROR","OK"))</f>
        <v/>
      </c>
      <c r="E175" s="165" t="str">
        <f>IF($A175="","",IF('Daily Data'!$B175="","ERROR","OK"))</f>
        <v/>
      </c>
      <c r="F175" s="165" t="str">
        <f>IF($A175="","",IF(NOT(ISNUMBER('Daily Data'!$A175)),"ERROR","OK"))</f>
        <v/>
      </c>
      <c r="G175" s="165" t="str">
        <f>IF($A175="","",IF(OR(N('Daily Data'!$E175)&lt;=0,N('Daily Data'!$C175)&lt;0,N('Daily Data'!$D175)&lt;0,N('Daily Data'!$F175)&lt;0,N('Daily Data'!$G175)&lt;0),"ERROR","OK"))</f>
        <v/>
      </c>
      <c r="H175" s="165" t="str">
        <f>IF($A175="","",IF(N('Daily Data'!$K175)&lt;0,"ERROR","OK"))</f>
        <v/>
      </c>
      <c r="I175" s="165" t="str">
        <f>IF($A175="","",IF(N('Daily Data'!$I175)&lt;0,"ERROR","OK"))</f>
        <v/>
      </c>
      <c r="J175" s="165" t="str">
        <f>IF($A175="","",IF(N('Daily Data'!$L175)&lt;0,"ERROR","OK"))</f>
        <v/>
      </c>
      <c r="K175" s="165" t="str">
        <f>IF($A175="","",IF(N('Daily Data'!$M175)&lt;0,"ERROR","OK"))</f>
        <v/>
      </c>
      <c r="L175" s="165" t="str">
        <f>IF($A175="","",IF(OR(N('Daily Data'!$F175)=0,N('Daily Data'!$G175)=0),"OK",IF(OR(N('Daily Data'!$E175)&gt;N('Daily Data'!$F175),N('Daily Data'!$E175)&lt;N('Daily Data'!$G175)),"ERROR","OK")))</f>
        <v/>
      </c>
      <c r="M175" s="165" t="str">
        <f>IF($A175="","",IF(N('Daily Data'!$AK175)&lt;=1,"OK",IF(ROUND(N('Daily Data'!$D175),2)=ROUND(SUMIFS('Daily Data'!$E$4:$E$503,'Daily Data'!$B$4:$B$503,'Daily Data'!$B175,'Daily Data'!$AK$4:$AK$503,'Daily Data'!$AK175-1),2),"OK","WARNING")))</f>
        <v/>
      </c>
      <c r="N175" s="165" t="str">
        <f>IF($A175="","",IF(N('Daily Data'!$N175)&lt;=0,"WARNING","OK"))</f>
        <v/>
      </c>
      <c r="O175" s="165" t="str">
        <f>IF($A175="","",IF(AND(ISNUMBER('Daily Data'!$H175),ABS(N('Daily Data'!$H175))&gt;Settings!$C$56),"WARNING","OK"))</f>
        <v/>
      </c>
      <c r="P175" s="165" t="str">
        <f>IF($A175="","",IF(OR(AND(N('Daily Data'!$K175)=0,N('Daily Data'!$I175)&gt;0),AND(N('Daily Data'!$I175)=0,N('Daily Data'!$K175)&gt;0),AND(N('Daily Data'!$L175)=0,N('Daily Data'!$M175)=0)),"WARNING","OK"))</f>
        <v/>
      </c>
      <c r="Q175" s="165" t="str">
        <f>IF($A175="","",IF(COUNTIFS('Daily Data'!$B$4:$B$503,'Daily Data'!$B175,'Daily Data'!$A$4:$A$503,'Daily Data'!$A175,'Daily Data'!$Q$4:$Q$503,'Daily Data'!$Q175)&gt;1,"WARNING","OK"))</f>
        <v/>
      </c>
      <c r="R175" s="165" t="str">
        <f>IF($A175="","",IF(AND(N('Daily Data'!$K175)&gt;0,N('Daily Data'!$J175)&lt;=0),"WARNING","OK"))</f>
        <v/>
      </c>
      <c r="S175" s="165" t="str">
        <f>IF($A175="","",COUNTIF($D175:$R175,"ERROR"))</f>
        <v/>
      </c>
      <c r="T175" s="165" t="str">
        <f>IF($A175="","",COUNTIF($D175:$R175,"WARNING"))</f>
        <v/>
      </c>
      <c r="U175" s="165" t="str">
        <f>IF($A175="","",IF($S175&gt;0,"ERROR",IF($T175&gt;0,"WARNING","PASS")))</f>
        <v/>
      </c>
    </row>
    <row r="176" spans="1:21" x14ac:dyDescent="0.3">
      <c r="A176" t="str">
        <f>IF(AND('Daily Data'!$A176="",'Daily Data'!$B176=""),"",176)</f>
        <v/>
      </c>
      <c r="B176" s="16" t="str">
        <f>IF($A176="","",'Daily Data'!$A176)</f>
        <v/>
      </c>
      <c r="C176" t="str">
        <f>IF($A176="","",'Daily Data'!$B176)</f>
        <v/>
      </c>
      <c r="D176" s="165" t="str">
        <f>IF($A176="","",IF(COUNTIFS('Daily Data'!$B$4:$B$503,'Daily Data'!$B176,'Daily Data'!$A$4:$A$503,'Daily Data'!$A176)&gt;1,"ERROR","OK"))</f>
        <v/>
      </c>
      <c r="E176" s="165" t="str">
        <f>IF($A176="","",IF('Daily Data'!$B176="","ERROR","OK"))</f>
        <v/>
      </c>
      <c r="F176" s="165" t="str">
        <f>IF($A176="","",IF(NOT(ISNUMBER('Daily Data'!$A176)),"ERROR","OK"))</f>
        <v/>
      </c>
      <c r="G176" s="165" t="str">
        <f>IF($A176="","",IF(OR(N('Daily Data'!$E176)&lt;=0,N('Daily Data'!$C176)&lt;0,N('Daily Data'!$D176)&lt;0,N('Daily Data'!$F176)&lt;0,N('Daily Data'!$G176)&lt;0),"ERROR","OK"))</f>
        <v/>
      </c>
      <c r="H176" s="165" t="str">
        <f>IF($A176="","",IF(N('Daily Data'!$K176)&lt;0,"ERROR","OK"))</f>
        <v/>
      </c>
      <c r="I176" s="165" t="str">
        <f>IF($A176="","",IF(N('Daily Data'!$I176)&lt;0,"ERROR","OK"))</f>
        <v/>
      </c>
      <c r="J176" s="165" t="str">
        <f>IF($A176="","",IF(N('Daily Data'!$L176)&lt;0,"ERROR","OK"))</f>
        <v/>
      </c>
      <c r="K176" s="165" t="str">
        <f>IF($A176="","",IF(N('Daily Data'!$M176)&lt;0,"ERROR","OK"))</f>
        <v/>
      </c>
      <c r="L176" s="165" t="str">
        <f>IF($A176="","",IF(OR(N('Daily Data'!$F176)=0,N('Daily Data'!$G176)=0),"OK",IF(OR(N('Daily Data'!$E176)&gt;N('Daily Data'!$F176),N('Daily Data'!$E176)&lt;N('Daily Data'!$G176)),"ERROR","OK")))</f>
        <v/>
      </c>
      <c r="M176" s="165" t="str">
        <f>IF($A176="","",IF(N('Daily Data'!$AK176)&lt;=1,"OK",IF(ROUND(N('Daily Data'!$D176),2)=ROUND(SUMIFS('Daily Data'!$E$4:$E$503,'Daily Data'!$B$4:$B$503,'Daily Data'!$B176,'Daily Data'!$AK$4:$AK$503,'Daily Data'!$AK176-1),2),"OK","WARNING")))</f>
        <v/>
      </c>
      <c r="N176" s="165" t="str">
        <f>IF($A176="","",IF(N('Daily Data'!$N176)&lt;=0,"WARNING","OK"))</f>
        <v/>
      </c>
      <c r="O176" s="165" t="str">
        <f>IF($A176="","",IF(AND(ISNUMBER('Daily Data'!$H176),ABS(N('Daily Data'!$H176))&gt;Settings!$C$56),"WARNING","OK"))</f>
        <v/>
      </c>
      <c r="P176" s="165" t="str">
        <f>IF($A176="","",IF(OR(AND(N('Daily Data'!$K176)=0,N('Daily Data'!$I176)&gt;0),AND(N('Daily Data'!$I176)=0,N('Daily Data'!$K176)&gt;0),AND(N('Daily Data'!$L176)=0,N('Daily Data'!$M176)=0)),"WARNING","OK"))</f>
        <v/>
      </c>
      <c r="Q176" s="165" t="str">
        <f>IF($A176="","",IF(COUNTIFS('Daily Data'!$B$4:$B$503,'Daily Data'!$B176,'Daily Data'!$A$4:$A$503,'Daily Data'!$A176,'Daily Data'!$Q$4:$Q$503,'Daily Data'!$Q176)&gt;1,"WARNING","OK"))</f>
        <v/>
      </c>
      <c r="R176" s="165" t="str">
        <f>IF($A176="","",IF(AND(N('Daily Data'!$K176)&gt;0,N('Daily Data'!$J176)&lt;=0),"WARNING","OK"))</f>
        <v/>
      </c>
      <c r="S176" s="165" t="str">
        <f>IF($A176="","",COUNTIF($D176:$R176,"ERROR"))</f>
        <v/>
      </c>
      <c r="T176" s="165" t="str">
        <f>IF($A176="","",COUNTIF($D176:$R176,"WARNING"))</f>
        <v/>
      </c>
      <c r="U176" s="165" t="str">
        <f>IF($A176="","",IF($S176&gt;0,"ERROR",IF($T176&gt;0,"WARNING","PASS")))</f>
        <v/>
      </c>
    </row>
    <row r="177" spans="1:21" x14ac:dyDescent="0.3">
      <c r="A177" t="str">
        <f>IF(AND('Daily Data'!$A177="",'Daily Data'!$B177=""),"",177)</f>
        <v/>
      </c>
      <c r="B177" s="16" t="str">
        <f>IF($A177="","",'Daily Data'!$A177)</f>
        <v/>
      </c>
      <c r="C177" t="str">
        <f>IF($A177="","",'Daily Data'!$B177)</f>
        <v/>
      </c>
      <c r="D177" s="165" t="str">
        <f>IF($A177="","",IF(COUNTIFS('Daily Data'!$B$4:$B$503,'Daily Data'!$B177,'Daily Data'!$A$4:$A$503,'Daily Data'!$A177)&gt;1,"ERROR","OK"))</f>
        <v/>
      </c>
      <c r="E177" s="165" t="str">
        <f>IF($A177="","",IF('Daily Data'!$B177="","ERROR","OK"))</f>
        <v/>
      </c>
      <c r="F177" s="165" t="str">
        <f>IF($A177="","",IF(NOT(ISNUMBER('Daily Data'!$A177)),"ERROR","OK"))</f>
        <v/>
      </c>
      <c r="G177" s="165" t="str">
        <f>IF($A177="","",IF(OR(N('Daily Data'!$E177)&lt;=0,N('Daily Data'!$C177)&lt;0,N('Daily Data'!$D177)&lt;0,N('Daily Data'!$F177)&lt;0,N('Daily Data'!$G177)&lt;0),"ERROR","OK"))</f>
        <v/>
      </c>
      <c r="H177" s="165" t="str">
        <f>IF($A177="","",IF(N('Daily Data'!$K177)&lt;0,"ERROR","OK"))</f>
        <v/>
      </c>
      <c r="I177" s="165" t="str">
        <f>IF($A177="","",IF(N('Daily Data'!$I177)&lt;0,"ERROR","OK"))</f>
        <v/>
      </c>
      <c r="J177" s="165" t="str">
        <f>IF($A177="","",IF(N('Daily Data'!$L177)&lt;0,"ERROR","OK"))</f>
        <v/>
      </c>
      <c r="K177" s="165" t="str">
        <f>IF($A177="","",IF(N('Daily Data'!$M177)&lt;0,"ERROR","OK"))</f>
        <v/>
      </c>
      <c r="L177" s="165" t="str">
        <f>IF($A177="","",IF(OR(N('Daily Data'!$F177)=0,N('Daily Data'!$G177)=0),"OK",IF(OR(N('Daily Data'!$E177)&gt;N('Daily Data'!$F177),N('Daily Data'!$E177)&lt;N('Daily Data'!$G177)),"ERROR","OK")))</f>
        <v/>
      </c>
      <c r="M177" s="165" t="str">
        <f>IF($A177="","",IF(N('Daily Data'!$AK177)&lt;=1,"OK",IF(ROUND(N('Daily Data'!$D177),2)=ROUND(SUMIFS('Daily Data'!$E$4:$E$503,'Daily Data'!$B$4:$B$503,'Daily Data'!$B177,'Daily Data'!$AK$4:$AK$503,'Daily Data'!$AK177-1),2),"OK","WARNING")))</f>
        <v/>
      </c>
      <c r="N177" s="165" t="str">
        <f>IF($A177="","",IF(N('Daily Data'!$N177)&lt;=0,"WARNING","OK"))</f>
        <v/>
      </c>
      <c r="O177" s="165" t="str">
        <f>IF($A177="","",IF(AND(ISNUMBER('Daily Data'!$H177),ABS(N('Daily Data'!$H177))&gt;Settings!$C$56),"WARNING","OK"))</f>
        <v/>
      </c>
      <c r="P177" s="165" t="str">
        <f>IF($A177="","",IF(OR(AND(N('Daily Data'!$K177)=0,N('Daily Data'!$I177)&gt;0),AND(N('Daily Data'!$I177)=0,N('Daily Data'!$K177)&gt;0),AND(N('Daily Data'!$L177)=0,N('Daily Data'!$M177)=0)),"WARNING","OK"))</f>
        <v/>
      </c>
      <c r="Q177" s="165" t="str">
        <f>IF($A177="","",IF(COUNTIFS('Daily Data'!$B$4:$B$503,'Daily Data'!$B177,'Daily Data'!$A$4:$A$503,'Daily Data'!$A177,'Daily Data'!$Q$4:$Q$503,'Daily Data'!$Q177)&gt;1,"WARNING","OK"))</f>
        <v/>
      </c>
      <c r="R177" s="165" t="str">
        <f>IF($A177="","",IF(AND(N('Daily Data'!$K177)&gt;0,N('Daily Data'!$J177)&lt;=0),"WARNING","OK"))</f>
        <v/>
      </c>
      <c r="S177" s="165" t="str">
        <f>IF($A177="","",COUNTIF($D177:$R177,"ERROR"))</f>
        <v/>
      </c>
      <c r="T177" s="165" t="str">
        <f>IF($A177="","",COUNTIF($D177:$R177,"WARNING"))</f>
        <v/>
      </c>
      <c r="U177" s="165" t="str">
        <f>IF($A177="","",IF($S177&gt;0,"ERROR",IF($T177&gt;0,"WARNING","PASS")))</f>
        <v/>
      </c>
    </row>
    <row r="178" spans="1:21" x14ac:dyDescent="0.3">
      <c r="A178" t="str">
        <f>IF(AND('Daily Data'!$A178="",'Daily Data'!$B178=""),"",178)</f>
        <v/>
      </c>
      <c r="B178" s="16" t="str">
        <f>IF($A178="","",'Daily Data'!$A178)</f>
        <v/>
      </c>
      <c r="C178" t="str">
        <f>IF($A178="","",'Daily Data'!$B178)</f>
        <v/>
      </c>
      <c r="D178" s="165" t="str">
        <f>IF($A178="","",IF(COUNTIFS('Daily Data'!$B$4:$B$503,'Daily Data'!$B178,'Daily Data'!$A$4:$A$503,'Daily Data'!$A178)&gt;1,"ERROR","OK"))</f>
        <v/>
      </c>
      <c r="E178" s="165" t="str">
        <f>IF($A178="","",IF('Daily Data'!$B178="","ERROR","OK"))</f>
        <v/>
      </c>
      <c r="F178" s="165" t="str">
        <f>IF($A178="","",IF(NOT(ISNUMBER('Daily Data'!$A178)),"ERROR","OK"))</f>
        <v/>
      </c>
      <c r="G178" s="165" t="str">
        <f>IF($A178="","",IF(OR(N('Daily Data'!$E178)&lt;=0,N('Daily Data'!$C178)&lt;0,N('Daily Data'!$D178)&lt;0,N('Daily Data'!$F178)&lt;0,N('Daily Data'!$G178)&lt;0),"ERROR","OK"))</f>
        <v/>
      </c>
      <c r="H178" s="165" t="str">
        <f>IF($A178="","",IF(N('Daily Data'!$K178)&lt;0,"ERROR","OK"))</f>
        <v/>
      </c>
      <c r="I178" s="165" t="str">
        <f>IF($A178="","",IF(N('Daily Data'!$I178)&lt;0,"ERROR","OK"))</f>
        <v/>
      </c>
      <c r="J178" s="165" t="str">
        <f>IF($A178="","",IF(N('Daily Data'!$L178)&lt;0,"ERROR","OK"))</f>
        <v/>
      </c>
      <c r="K178" s="165" t="str">
        <f>IF($A178="","",IF(N('Daily Data'!$M178)&lt;0,"ERROR","OK"))</f>
        <v/>
      </c>
      <c r="L178" s="165" t="str">
        <f>IF($A178="","",IF(OR(N('Daily Data'!$F178)=0,N('Daily Data'!$G178)=0),"OK",IF(OR(N('Daily Data'!$E178)&gt;N('Daily Data'!$F178),N('Daily Data'!$E178)&lt;N('Daily Data'!$G178)),"ERROR","OK")))</f>
        <v/>
      </c>
      <c r="M178" s="165" t="str">
        <f>IF($A178="","",IF(N('Daily Data'!$AK178)&lt;=1,"OK",IF(ROUND(N('Daily Data'!$D178),2)=ROUND(SUMIFS('Daily Data'!$E$4:$E$503,'Daily Data'!$B$4:$B$503,'Daily Data'!$B178,'Daily Data'!$AK$4:$AK$503,'Daily Data'!$AK178-1),2),"OK","WARNING")))</f>
        <v/>
      </c>
      <c r="N178" s="165" t="str">
        <f>IF($A178="","",IF(N('Daily Data'!$N178)&lt;=0,"WARNING","OK"))</f>
        <v/>
      </c>
      <c r="O178" s="165" t="str">
        <f>IF($A178="","",IF(AND(ISNUMBER('Daily Data'!$H178),ABS(N('Daily Data'!$H178))&gt;Settings!$C$56),"WARNING","OK"))</f>
        <v/>
      </c>
      <c r="P178" s="165" t="str">
        <f>IF($A178="","",IF(OR(AND(N('Daily Data'!$K178)=0,N('Daily Data'!$I178)&gt;0),AND(N('Daily Data'!$I178)=0,N('Daily Data'!$K178)&gt;0),AND(N('Daily Data'!$L178)=0,N('Daily Data'!$M178)=0)),"WARNING","OK"))</f>
        <v/>
      </c>
      <c r="Q178" s="165" t="str">
        <f>IF($A178="","",IF(COUNTIFS('Daily Data'!$B$4:$B$503,'Daily Data'!$B178,'Daily Data'!$A$4:$A$503,'Daily Data'!$A178,'Daily Data'!$Q$4:$Q$503,'Daily Data'!$Q178)&gt;1,"WARNING","OK"))</f>
        <v/>
      </c>
      <c r="R178" s="165" t="str">
        <f>IF($A178="","",IF(AND(N('Daily Data'!$K178)&gt;0,N('Daily Data'!$J178)&lt;=0),"WARNING","OK"))</f>
        <v/>
      </c>
      <c r="S178" s="165" t="str">
        <f>IF($A178="","",COUNTIF($D178:$R178,"ERROR"))</f>
        <v/>
      </c>
      <c r="T178" s="165" t="str">
        <f>IF($A178="","",COUNTIF($D178:$R178,"WARNING"))</f>
        <v/>
      </c>
      <c r="U178" s="165" t="str">
        <f>IF($A178="","",IF($S178&gt;0,"ERROR",IF($T178&gt;0,"WARNING","PASS")))</f>
        <v/>
      </c>
    </row>
    <row r="179" spans="1:21" x14ac:dyDescent="0.3">
      <c r="A179" t="str">
        <f>IF(AND('Daily Data'!$A179="",'Daily Data'!$B179=""),"",179)</f>
        <v/>
      </c>
      <c r="B179" s="16" t="str">
        <f>IF($A179="","",'Daily Data'!$A179)</f>
        <v/>
      </c>
      <c r="C179" t="str">
        <f>IF($A179="","",'Daily Data'!$B179)</f>
        <v/>
      </c>
      <c r="D179" s="165" t="str">
        <f>IF($A179="","",IF(COUNTIFS('Daily Data'!$B$4:$B$503,'Daily Data'!$B179,'Daily Data'!$A$4:$A$503,'Daily Data'!$A179)&gt;1,"ERROR","OK"))</f>
        <v/>
      </c>
      <c r="E179" s="165" t="str">
        <f>IF($A179="","",IF('Daily Data'!$B179="","ERROR","OK"))</f>
        <v/>
      </c>
      <c r="F179" s="165" t="str">
        <f>IF($A179="","",IF(NOT(ISNUMBER('Daily Data'!$A179)),"ERROR","OK"))</f>
        <v/>
      </c>
      <c r="G179" s="165" t="str">
        <f>IF($A179="","",IF(OR(N('Daily Data'!$E179)&lt;=0,N('Daily Data'!$C179)&lt;0,N('Daily Data'!$D179)&lt;0,N('Daily Data'!$F179)&lt;0,N('Daily Data'!$G179)&lt;0),"ERROR","OK"))</f>
        <v/>
      </c>
      <c r="H179" s="165" t="str">
        <f>IF($A179="","",IF(N('Daily Data'!$K179)&lt;0,"ERROR","OK"))</f>
        <v/>
      </c>
      <c r="I179" s="165" t="str">
        <f>IF($A179="","",IF(N('Daily Data'!$I179)&lt;0,"ERROR","OK"))</f>
        <v/>
      </c>
      <c r="J179" s="165" t="str">
        <f>IF($A179="","",IF(N('Daily Data'!$L179)&lt;0,"ERROR","OK"))</f>
        <v/>
      </c>
      <c r="K179" s="165" t="str">
        <f>IF($A179="","",IF(N('Daily Data'!$M179)&lt;0,"ERROR","OK"))</f>
        <v/>
      </c>
      <c r="L179" s="165" t="str">
        <f>IF($A179="","",IF(OR(N('Daily Data'!$F179)=0,N('Daily Data'!$G179)=0),"OK",IF(OR(N('Daily Data'!$E179)&gt;N('Daily Data'!$F179),N('Daily Data'!$E179)&lt;N('Daily Data'!$G179)),"ERROR","OK")))</f>
        <v/>
      </c>
      <c r="M179" s="165" t="str">
        <f>IF($A179="","",IF(N('Daily Data'!$AK179)&lt;=1,"OK",IF(ROUND(N('Daily Data'!$D179),2)=ROUND(SUMIFS('Daily Data'!$E$4:$E$503,'Daily Data'!$B$4:$B$503,'Daily Data'!$B179,'Daily Data'!$AK$4:$AK$503,'Daily Data'!$AK179-1),2),"OK","WARNING")))</f>
        <v/>
      </c>
      <c r="N179" s="165" t="str">
        <f>IF($A179="","",IF(N('Daily Data'!$N179)&lt;=0,"WARNING","OK"))</f>
        <v/>
      </c>
      <c r="O179" s="165" t="str">
        <f>IF($A179="","",IF(AND(ISNUMBER('Daily Data'!$H179),ABS(N('Daily Data'!$H179))&gt;Settings!$C$56),"WARNING","OK"))</f>
        <v/>
      </c>
      <c r="P179" s="165" t="str">
        <f>IF($A179="","",IF(OR(AND(N('Daily Data'!$K179)=0,N('Daily Data'!$I179)&gt;0),AND(N('Daily Data'!$I179)=0,N('Daily Data'!$K179)&gt;0),AND(N('Daily Data'!$L179)=0,N('Daily Data'!$M179)=0)),"WARNING","OK"))</f>
        <v/>
      </c>
      <c r="Q179" s="165" t="str">
        <f>IF($A179="","",IF(COUNTIFS('Daily Data'!$B$4:$B$503,'Daily Data'!$B179,'Daily Data'!$A$4:$A$503,'Daily Data'!$A179,'Daily Data'!$Q$4:$Q$503,'Daily Data'!$Q179)&gt;1,"WARNING","OK"))</f>
        <v/>
      </c>
      <c r="R179" s="165" t="str">
        <f>IF($A179="","",IF(AND(N('Daily Data'!$K179)&gt;0,N('Daily Data'!$J179)&lt;=0),"WARNING","OK"))</f>
        <v/>
      </c>
      <c r="S179" s="165" t="str">
        <f>IF($A179="","",COUNTIF($D179:$R179,"ERROR"))</f>
        <v/>
      </c>
      <c r="T179" s="165" t="str">
        <f>IF($A179="","",COUNTIF($D179:$R179,"WARNING"))</f>
        <v/>
      </c>
      <c r="U179" s="165" t="str">
        <f>IF($A179="","",IF($S179&gt;0,"ERROR",IF($T179&gt;0,"WARNING","PASS")))</f>
        <v/>
      </c>
    </row>
    <row r="180" spans="1:21" x14ac:dyDescent="0.3">
      <c r="A180" t="str">
        <f>IF(AND('Daily Data'!$A180="",'Daily Data'!$B180=""),"",180)</f>
        <v/>
      </c>
      <c r="B180" s="16" t="str">
        <f>IF($A180="","",'Daily Data'!$A180)</f>
        <v/>
      </c>
      <c r="C180" t="str">
        <f>IF($A180="","",'Daily Data'!$B180)</f>
        <v/>
      </c>
      <c r="D180" s="165" t="str">
        <f>IF($A180="","",IF(COUNTIFS('Daily Data'!$B$4:$B$503,'Daily Data'!$B180,'Daily Data'!$A$4:$A$503,'Daily Data'!$A180)&gt;1,"ERROR","OK"))</f>
        <v/>
      </c>
      <c r="E180" s="165" t="str">
        <f>IF($A180="","",IF('Daily Data'!$B180="","ERROR","OK"))</f>
        <v/>
      </c>
      <c r="F180" s="165" t="str">
        <f>IF($A180="","",IF(NOT(ISNUMBER('Daily Data'!$A180)),"ERROR","OK"))</f>
        <v/>
      </c>
      <c r="G180" s="165" t="str">
        <f>IF($A180="","",IF(OR(N('Daily Data'!$E180)&lt;=0,N('Daily Data'!$C180)&lt;0,N('Daily Data'!$D180)&lt;0,N('Daily Data'!$F180)&lt;0,N('Daily Data'!$G180)&lt;0),"ERROR","OK"))</f>
        <v/>
      </c>
      <c r="H180" s="165" t="str">
        <f>IF($A180="","",IF(N('Daily Data'!$K180)&lt;0,"ERROR","OK"))</f>
        <v/>
      </c>
      <c r="I180" s="165" t="str">
        <f>IF($A180="","",IF(N('Daily Data'!$I180)&lt;0,"ERROR","OK"))</f>
        <v/>
      </c>
      <c r="J180" s="165" t="str">
        <f>IF($A180="","",IF(N('Daily Data'!$L180)&lt;0,"ERROR","OK"))</f>
        <v/>
      </c>
      <c r="K180" s="165" t="str">
        <f>IF($A180="","",IF(N('Daily Data'!$M180)&lt;0,"ERROR","OK"))</f>
        <v/>
      </c>
      <c r="L180" s="165" t="str">
        <f>IF($A180="","",IF(OR(N('Daily Data'!$F180)=0,N('Daily Data'!$G180)=0),"OK",IF(OR(N('Daily Data'!$E180)&gt;N('Daily Data'!$F180),N('Daily Data'!$E180)&lt;N('Daily Data'!$G180)),"ERROR","OK")))</f>
        <v/>
      </c>
      <c r="M180" s="165" t="str">
        <f>IF($A180="","",IF(N('Daily Data'!$AK180)&lt;=1,"OK",IF(ROUND(N('Daily Data'!$D180),2)=ROUND(SUMIFS('Daily Data'!$E$4:$E$503,'Daily Data'!$B$4:$B$503,'Daily Data'!$B180,'Daily Data'!$AK$4:$AK$503,'Daily Data'!$AK180-1),2),"OK","WARNING")))</f>
        <v/>
      </c>
      <c r="N180" s="165" t="str">
        <f>IF($A180="","",IF(N('Daily Data'!$N180)&lt;=0,"WARNING","OK"))</f>
        <v/>
      </c>
      <c r="O180" s="165" t="str">
        <f>IF($A180="","",IF(AND(ISNUMBER('Daily Data'!$H180),ABS(N('Daily Data'!$H180))&gt;Settings!$C$56),"WARNING","OK"))</f>
        <v/>
      </c>
      <c r="P180" s="165" t="str">
        <f>IF($A180="","",IF(OR(AND(N('Daily Data'!$K180)=0,N('Daily Data'!$I180)&gt;0),AND(N('Daily Data'!$I180)=0,N('Daily Data'!$K180)&gt;0),AND(N('Daily Data'!$L180)=0,N('Daily Data'!$M180)=0)),"WARNING","OK"))</f>
        <v/>
      </c>
      <c r="Q180" s="165" t="str">
        <f>IF($A180="","",IF(COUNTIFS('Daily Data'!$B$4:$B$503,'Daily Data'!$B180,'Daily Data'!$A$4:$A$503,'Daily Data'!$A180,'Daily Data'!$Q$4:$Q$503,'Daily Data'!$Q180)&gt;1,"WARNING","OK"))</f>
        <v/>
      </c>
      <c r="R180" s="165" t="str">
        <f>IF($A180="","",IF(AND(N('Daily Data'!$K180)&gt;0,N('Daily Data'!$J180)&lt;=0),"WARNING","OK"))</f>
        <v/>
      </c>
      <c r="S180" s="165" t="str">
        <f>IF($A180="","",COUNTIF($D180:$R180,"ERROR"))</f>
        <v/>
      </c>
      <c r="T180" s="165" t="str">
        <f>IF($A180="","",COUNTIF($D180:$R180,"WARNING"))</f>
        <v/>
      </c>
      <c r="U180" s="165" t="str">
        <f>IF($A180="","",IF($S180&gt;0,"ERROR",IF($T180&gt;0,"WARNING","PASS")))</f>
        <v/>
      </c>
    </row>
    <row r="181" spans="1:21" x14ac:dyDescent="0.3">
      <c r="A181" t="str">
        <f>IF(AND('Daily Data'!$A181="",'Daily Data'!$B181=""),"",181)</f>
        <v/>
      </c>
      <c r="B181" s="16" t="str">
        <f>IF($A181="","",'Daily Data'!$A181)</f>
        <v/>
      </c>
      <c r="C181" t="str">
        <f>IF($A181="","",'Daily Data'!$B181)</f>
        <v/>
      </c>
      <c r="D181" s="165" t="str">
        <f>IF($A181="","",IF(COUNTIFS('Daily Data'!$B$4:$B$503,'Daily Data'!$B181,'Daily Data'!$A$4:$A$503,'Daily Data'!$A181)&gt;1,"ERROR","OK"))</f>
        <v/>
      </c>
      <c r="E181" s="165" t="str">
        <f>IF($A181="","",IF('Daily Data'!$B181="","ERROR","OK"))</f>
        <v/>
      </c>
      <c r="F181" s="165" t="str">
        <f>IF($A181="","",IF(NOT(ISNUMBER('Daily Data'!$A181)),"ERROR","OK"))</f>
        <v/>
      </c>
      <c r="G181" s="165" t="str">
        <f>IF($A181="","",IF(OR(N('Daily Data'!$E181)&lt;=0,N('Daily Data'!$C181)&lt;0,N('Daily Data'!$D181)&lt;0,N('Daily Data'!$F181)&lt;0,N('Daily Data'!$G181)&lt;0),"ERROR","OK"))</f>
        <v/>
      </c>
      <c r="H181" s="165" t="str">
        <f>IF($A181="","",IF(N('Daily Data'!$K181)&lt;0,"ERROR","OK"))</f>
        <v/>
      </c>
      <c r="I181" s="165" t="str">
        <f>IF($A181="","",IF(N('Daily Data'!$I181)&lt;0,"ERROR","OK"))</f>
        <v/>
      </c>
      <c r="J181" s="165" t="str">
        <f>IF($A181="","",IF(N('Daily Data'!$L181)&lt;0,"ERROR","OK"))</f>
        <v/>
      </c>
      <c r="K181" s="165" t="str">
        <f>IF($A181="","",IF(N('Daily Data'!$M181)&lt;0,"ERROR","OK"))</f>
        <v/>
      </c>
      <c r="L181" s="165" t="str">
        <f>IF($A181="","",IF(OR(N('Daily Data'!$F181)=0,N('Daily Data'!$G181)=0),"OK",IF(OR(N('Daily Data'!$E181)&gt;N('Daily Data'!$F181),N('Daily Data'!$E181)&lt;N('Daily Data'!$G181)),"ERROR","OK")))</f>
        <v/>
      </c>
      <c r="M181" s="165" t="str">
        <f>IF($A181="","",IF(N('Daily Data'!$AK181)&lt;=1,"OK",IF(ROUND(N('Daily Data'!$D181),2)=ROUND(SUMIFS('Daily Data'!$E$4:$E$503,'Daily Data'!$B$4:$B$503,'Daily Data'!$B181,'Daily Data'!$AK$4:$AK$503,'Daily Data'!$AK181-1),2),"OK","WARNING")))</f>
        <v/>
      </c>
      <c r="N181" s="165" t="str">
        <f>IF($A181="","",IF(N('Daily Data'!$N181)&lt;=0,"WARNING","OK"))</f>
        <v/>
      </c>
      <c r="O181" s="165" t="str">
        <f>IF($A181="","",IF(AND(ISNUMBER('Daily Data'!$H181),ABS(N('Daily Data'!$H181))&gt;Settings!$C$56),"WARNING","OK"))</f>
        <v/>
      </c>
      <c r="P181" s="165" t="str">
        <f>IF($A181="","",IF(OR(AND(N('Daily Data'!$K181)=0,N('Daily Data'!$I181)&gt;0),AND(N('Daily Data'!$I181)=0,N('Daily Data'!$K181)&gt;0),AND(N('Daily Data'!$L181)=0,N('Daily Data'!$M181)=0)),"WARNING","OK"))</f>
        <v/>
      </c>
      <c r="Q181" s="165" t="str">
        <f>IF($A181="","",IF(COUNTIFS('Daily Data'!$B$4:$B$503,'Daily Data'!$B181,'Daily Data'!$A$4:$A$503,'Daily Data'!$A181,'Daily Data'!$Q$4:$Q$503,'Daily Data'!$Q181)&gt;1,"WARNING","OK"))</f>
        <v/>
      </c>
      <c r="R181" s="165" t="str">
        <f>IF($A181="","",IF(AND(N('Daily Data'!$K181)&gt;0,N('Daily Data'!$J181)&lt;=0),"WARNING","OK"))</f>
        <v/>
      </c>
      <c r="S181" s="165" t="str">
        <f>IF($A181="","",COUNTIF($D181:$R181,"ERROR"))</f>
        <v/>
      </c>
      <c r="T181" s="165" t="str">
        <f>IF($A181="","",COUNTIF($D181:$R181,"WARNING"))</f>
        <v/>
      </c>
      <c r="U181" s="165" t="str">
        <f>IF($A181="","",IF($S181&gt;0,"ERROR",IF($T181&gt;0,"WARNING","PASS")))</f>
        <v/>
      </c>
    </row>
    <row r="182" spans="1:21" x14ac:dyDescent="0.3">
      <c r="A182" t="str">
        <f>IF(AND('Daily Data'!$A182="",'Daily Data'!$B182=""),"",182)</f>
        <v/>
      </c>
      <c r="B182" s="16" t="str">
        <f>IF($A182="","",'Daily Data'!$A182)</f>
        <v/>
      </c>
      <c r="C182" t="str">
        <f>IF($A182="","",'Daily Data'!$B182)</f>
        <v/>
      </c>
      <c r="D182" s="165" t="str">
        <f>IF($A182="","",IF(COUNTIFS('Daily Data'!$B$4:$B$503,'Daily Data'!$B182,'Daily Data'!$A$4:$A$503,'Daily Data'!$A182)&gt;1,"ERROR","OK"))</f>
        <v/>
      </c>
      <c r="E182" s="165" t="str">
        <f>IF($A182="","",IF('Daily Data'!$B182="","ERROR","OK"))</f>
        <v/>
      </c>
      <c r="F182" s="165" t="str">
        <f>IF($A182="","",IF(NOT(ISNUMBER('Daily Data'!$A182)),"ERROR","OK"))</f>
        <v/>
      </c>
      <c r="G182" s="165" t="str">
        <f>IF($A182="","",IF(OR(N('Daily Data'!$E182)&lt;=0,N('Daily Data'!$C182)&lt;0,N('Daily Data'!$D182)&lt;0,N('Daily Data'!$F182)&lt;0,N('Daily Data'!$G182)&lt;0),"ERROR","OK"))</f>
        <v/>
      </c>
      <c r="H182" s="165" t="str">
        <f>IF($A182="","",IF(N('Daily Data'!$K182)&lt;0,"ERROR","OK"))</f>
        <v/>
      </c>
      <c r="I182" s="165" t="str">
        <f>IF($A182="","",IF(N('Daily Data'!$I182)&lt;0,"ERROR","OK"))</f>
        <v/>
      </c>
      <c r="J182" s="165" t="str">
        <f>IF($A182="","",IF(N('Daily Data'!$L182)&lt;0,"ERROR","OK"))</f>
        <v/>
      </c>
      <c r="K182" s="165" t="str">
        <f>IF($A182="","",IF(N('Daily Data'!$M182)&lt;0,"ERROR","OK"))</f>
        <v/>
      </c>
      <c r="L182" s="165" t="str">
        <f>IF($A182="","",IF(OR(N('Daily Data'!$F182)=0,N('Daily Data'!$G182)=0),"OK",IF(OR(N('Daily Data'!$E182)&gt;N('Daily Data'!$F182),N('Daily Data'!$E182)&lt;N('Daily Data'!$G182)),"ERROR","OK")))</f>
        <v/>
      </c>
      <c r="M182" s="165" t="str">
        <f>IF($A182="","",IF(N('Daily Data'!$AK182)&lt;=1,"OK",IF(ROUND(N('Daily Data'!$D182),2)=ROUND(SUMIFS('Daily Data'!$E$4:$E$503,'Daily Data'!$B$4:$B$503,'Daily Data'!$B182,'Daily Data'!$AK$4:$AK$503,'Daily Data'!$AK182-1),2),"OK","WARNING")))</f>
        <v/>
      </c>
      <c r="N182" s="165" t="str">
        <f>IF($A182="","",IF(N('Daily Data'!$N182)&lt;=0,"WARNING","OK"))</f>
        <v/>
      </c>
      <c r="O182" s="165" t="str">
        <f>IF($A182="","",IF(AND(ISNUMBER('Daily Data'!$H182),ABS(N('Daily Data'!$H182))&gt;Settings!$C$56),"WARNING","OK"))</f>
        <v/>
      </c>
      <c r="P182" s="165" t="str">
        <f>IF($A182="","",IF(OR(AND(N('Daily Data'!$K182)=0,N('Daily Data'!$I182)&gt;0),AND(N('Daily Data'!$I182)=0,N('Daily Data'!$K182)&gt;0),AND(N('Daily Data'!$L182)=0,N('Daily Data'!$M182)=0)),"WARNING","OK"))</f>
        <v/>
      </c>
      <c r="Q182" s="165" t="str">
        <f>IF($A182="","",IF(COUNTIFS('Daily Data'!$B$4:$B$503,'Daily Data'!$B182,'Daily Data'!$A$4:$A$503,'Daily Data'!$A182,'Daily Data'!$Q$4:$Q$503,'Daily Data'!$Q182)&gt;1,"WARNING","OK"))</f>
        <v/>
      </c>
      <c r="R182" s="165" t="str">
        <f>IF($A182="","",IF(AND(N('Daily Data'!$K182)&gt;0,N('Daily Data'!$J182)&lt;=0),"WARNING","OK"))</f>
        <v/>
      </c>
      <c r="S182" s="165" t="str">
        <f>IF($A182="","",COUNTIF($D182:$R182,"ERROR"))</f>
        <v/>
      </c>
      <c r="T182" s="165" t="str">
        <f>IF($A182="","",COUNTIF($D182:$R182,"WARNING"))</f>
        <v/>
      </c>
      <c r="U182" s="165" t="str">
        <f>IF($A182="","",IF($S182&gt;0,"ERROR",IF($T182&gt;0,"WARNING","PASS")))</f>
        <v/>
      </c>
    </row>
    <row r="183" spans="1:21" x14ac:dyDescent="0.3">
      <c r="A183" t="str">
        <f>IF(AND('Daily Data'!$A183="",'Daily Data'!$B183=""),"",183)</f>
        <v/>
      </c>
      <c r="B183" s="16" t="str">
        <f>IF($A183="","",'Daily Data'!$A183)</f>
        <v/>
      </c>
      <c r="C183" t="str">
        <f>IF($A183="","",'Daily Data'!$B183)</f>
        <v/>
      </c>
      <c r="D183" s="165" t="str">
        <f>IF($A183="","",IF(COUNTIFS('Daily Data'!$B$4:$B$503,'Daily Data'!$B183,'Daily Data'!$A$4:$A$503,'Daily Data'!$A183)&gt;1,"ERROR","OK"))</f>
        <v/>
      </c>
      <c r="E183" s="165" t="str">
        <f>IF($A183="","",IF('Daily Data'!$B183="","ERROR","OK"))</f>
        <v/>
      </c>
      <c r="F183" s="165" t="str">
        <f>IF($A183="","",IF(NOT(ISNUMBER('Daily Data'!$A183)),"ERROR","OK"))</f>
        <v/>
      </c>
      <c r="G183" s="165" t="str">
        <f>IF($A183="","",IF(OR(N('Daily Data'!$E183)&lt;=0,N('Daily Data'!$C183)&lt;0,N('Daily Data'!$D183)&lt;0,N('Daily Data'!$F183)&lt;0,N('Daily Data'!$G183)&lt;0),"ERROR","OK"))</f>
        <v/>
      </c>
      <c r="H183" s="165" t="str">
        <f>IF($A183="","",IF(N('Daily Data'!$K183)&lt;0,"ERROR","OK"))</f>
        <v/>
      </c>
      <c r="I183" s="165" t="str">
        <f>IF($A183="","",IF(N('Daily Data'!$I183)&lt;0,"ERROR","OK"))</f>
        <v/>
      </c>
      <c r="J183" s="165" t="str">
        <f>IF($A183="","",IF(N('Daily Data'!$L183)&lt;0,"ERROR","OK"))</f>
        <v/>
      </c>
      <c r="K183" s="165" t="str">
        <f>IF($A183="","",IF(N('Daily Data'!$M183)&lt;0,"ERROR","OK"))</f>
        <v/>
      </c>
      <c r="L183" s="165" t="str">
        <f>IF($A183="","",IF(OR(N('Daily Data'!$F183)=0,N('Daily Data'!$G183)=0),"OK",IF(OR(N('Daily Data'!$E183)&gt;N('Daily Data'!$F183),N('Daily Data'!$E183)&lt;N('Daily Data'!$G183)),"ERROR","OK")))</f>
        <v/>
      </c>
      <c r="M183" s="165" t="str">
        <f>IF($A183="","",IF(N('Daily Data'!$AK183)&lt;=1,"OK",IF(ROUND(N('Daily Data'!$D183),2)=ROUND(SUMIFS('Daily Data'!$E$4:$E$503,'Daily Data'!$B$4:$B$503,'Daily Data'!$B183,'Daily Data'!$AK$4:$AK$503,'Daily Data'!$AK183-1),2),"OK","WARNING")))</f>
        <v/>
      </c>
      <c r="N183" s="165" t="str">
        <f>IF($A183="","",IF(N('Daily Data'!$N183)&lt;=0,"WARNING","OK"))</f>
        <v/>
      </c>
      <c r="O183" s="165" t="str">
        <f>IF($A183="","",IF(AND(ISNUMBER('Daily Data'!$H183),ABS(N('Daily Data'!$H183))&gt;Settings!$C$56),"WARNING","OK"))</f>
        <v/>
      </c>
      <c r="P183" s="165" t="str">
        <f>IF($A183="","",IF(OR(AND(N('Daily Data'!$K183)=0,N('Daily Data'!$I183)&gt;0),AND(N('Daily Data'!$I183)=0,N('Daily Data'!$K183)&gt;0),AND(N('Daily Data'!$L183)=0,N('Daily Data'!$M183)=0)),"WARNING","OK"))</f>
        <v/>
      </c>
      <c r="Q183" s="165" t="str">
        <f>IF($A183="","",IF(COUNTIFS('Daily Data'!$B$4:$B$503,'Daily Data'!$B183,'Daily Data'!$A$4:$A$503,'Daily Data'!$A183,'Daily Data'!$Q$4:$Q$503,'Daily Data'!$Q183)&gt;1,"WARNING","OK"))</f>
        <v/>
      </c>
      <c r="R183" s="165" t="str">
        <f>IF($A183="","",IF(AND(N('Daily Data'!$K183)&gt;0,N('Daily Data'!$J183)&lt;=0),"WARNING","OK"))</f>
        <v/>
      </c>
      <c r="S183" s="165" t="str">
        <f>IF($A183="","",COUNTIF($D183:$R183,"ERROR"))</f>
        <v/>
      </c>
      <c r="T183" s="165" t="str">
        <f>IF($A183="","",COUNTIF($D183:$R183,"WARNING"))</f>
        <v/>
      </c>
      <c r="U183" s="165" t="str">
        <f>IF($A183="","",IF($S183&gt;0,"ERROR",IF($T183&gt;0,"WARNING","PASS")))</f>
        <v/>
      </c>
    </row>
    <row r="184" spans="1:21" x14ac:dyDescent="0.3">
      <c r="A184" t="str">
        <f>IF(AND('Daily Data'!$A184="",'Daily Data'!$B184=""),"",184)</f>
        <v/>
      </c>
      <c r="B184" s="16" t="str">
        <f>IF($A184="","",'Daily Data'!$A184)</f>
        <v/>
      </c>
      <c r="C184" t="str">
        <f>IF($A184="","",'Daily Data'!$B184)</f>
        <v/>
      </c>
      <c r="D184" s="165" t="str">
        <f>IF($A184="","",IF(COUNTIFS('Daily Data'!$B$4:$B$503,'Daily Data'!$B184,'Daily Data'!$A$4:$A$503,'Daily Data'!$A184)&gt;1,"ERROR","OK"))</f>
        <v/>
      </c>
      <c r="E184" s="165" t="str">
        <f>IF($A184="","",IF('Daily Data'!$B184="","ERROR","OK"))</f>
        <v/>
      </c>
      <c r="F184" s="165" t="str">
        <f>IF($A184="","",IF(NOT(ISNUMBER('Daily Data'!$A184)),"ERROR","OK"))</f>
        <v/>
      </c>
      <c r="G184" s="165" t="str">
        <f>IF($A184="","",IF(OR(N('Daily Data'!$E184)&lt;=0,N('Daily Data'!$C184)&lt;0,N('Daily Data'!$D184)&lt;0,N('Daily Data'!$F184)&lt;0,N('Daily Data'!$G184)&lt;0),"ERROR","OK"))</f>
        <v/>
      </c>
      <c r="H184" s="165" t="str">
        <f>IF($A184="","",IF(N('Daily Data'!$K184)&lt;0,"ERROR","OK"))</f>
        <v/>
      </c>
      <c r="I184" s="165" t="str">
        <f>IF($A184="","",IF(N('Daily Data'!$I184)&lt;0,"ERROR","OK"))</f>
        <v/>
      </c>
      <c r="J184" s="165" t="str">
        <f>IF($A184="","",IF(N('Daily Data'!$L184)&lt;0,"ERROR","OK"))</f>
        <v/>
      </c>
      <c r="K184" s="165" t="str">
        <f>IF($A184="","",IF(N('Daily Data'!$M184)&lt;0,"ERROR","OK"))</f>
        <v/>
      </c>
      <c r="L184" s="165" t="str">
        <f>IF($A184="","",IF(OR(N('Daily Data'!$F184)=0,N('Daily Data'!$G184)=0),"OK",IF(OR(N('Daily Data'!$E184)&gt;N('Daily Data'!$F184),N('Daily Data'!$E184)&lt;N('Daily Data'!$G184)),"ERROR","OK")))</f>
        <v/>
      </c>
      <c r="M184" s="165" t="str">
        <f>IF($A184="","",IF(N('Daily Data'!$AK184)&lt;=1,"OK",IF(ROUND(N('Daily Data'!$D184),2)=ROUND(SUMIFS('Daily Data'!$E$4:$E$503,'Daily Data'!$B$4:$B$503,'Daily Data'!$B184,'Daily Data'!$AK$4:$AK$503,'Daily Data'!$AK184-1),2),"OK","WARNING")))</f>
        <v/>
      </c>
      <c r="N184" s="165" t="str">
        <f>IF($A184="","",IF(N('Daily Data'!$N184)&lt;=0,"WARNING","OK"))</f>
        <v/>
      </c>
      <c r="O184" s="165" t="str">
        <f>IF($A184="","",IF(AND(ISNUMBER('Daily Data'!$H184),ABS(N('Daily Data'!$H184))&gt;Settings!$C$56),"WARNING","OK"))</f>
        <v/>
      </c>
      <c r="P184" s="165" t="str">
        <f>IF($A184="","",IF(OR(AND(N('Daily Data'!$K184)=0,N('Daily Data'!$I184)&gt;0),AND(N('Daily Data'!$I184)=0,N('Daily Data'!$K184)&gt;0),AND(N('Daily Data'!$L184)=0,N('Daily Data'!$M184)=0)),"WARNING","OK"))</f>
        <v/>
      </c>
      <c r="Q184" s="165" t="str">
        <f>IF($A184="","",IF(COUNTIFS('Daily Data'!$B$4:$B$503,'Daily Data'!$B184,'Daily Data'!$A$4:$A$503,'Daily Data'!$A184,'Daily Data'!$Q$4:$Q$503,'Daily Data'!$Q184)&gt;1,"WARNING","OK"))</f>
        <v/>
      </c>
      <c r="R184" s="165" t="str">
        <f>IF($A184="","",IF(AND(N('Daily Data'!$K184)&gt;0,N('Daily Data'!$J184)&lt;=0),"WARNING","OK"))</f>
        <v/>
      </c>
      <c r="S184" s="165" t="str">
        <f>IF($A184="","",COUNTIF($D184:$R184,"ERROR"))</f>
        <v/>
      </c>
      <c r="T184" s="165" t="str">
        <f>IF($A184="","",COUNTIF($D184:$R184,"WARNING"))</f>
        <v/>
      </c>
      <c r="U184" s="165" t="str">
        <f>IF($A184="","",IF($S184&gt;0,"ERROR",IF($T184&gt;0,"WARNING","PASS")))</f>
        <v/>
      </c>
    </row>
    <row r="185" spans="1:21" x14ac:dyDescent="0.3">
      <c r="A185" t="str">
        <f>IF(AND('Daily Data'!$A185="",'Daily Data'!$B185=""),"",185)</f>
        <v/>
      </c>
      <c r="B185" s="16" t="str">
        <f>IF($A185="","",'Daily Data'!$A185)</f>
        <v/>
      </c>
      <c r="C185" t="str">
        <f>IF($A185="","",'Daily Data'!$B185)</f>
        <v/>
      </c>
      <c r="D185" s="165" t="str">
        <f>IF($A185="","",IF(COUNTIFS('Daily Data'!$B$4:$B$503,'Daily Data'!$B185,'Daily Data'!$A$4:$A$503,'Daily Data'!$A185)&gt;1,"ERROR","OK"))</f>
        <v/>
      </c>
      <c r="E185" s="165" t="str">
        <f>IF($A185="","",IF('Daily Data'!$B185="","ERROR","OK"))</f>
        <v/>
      </c>
      <c r="F185" s="165" t="str">
        <f>IF($A185="","",IF(NOT(ISNUMBER('Daily Data'!$A185)),"ERROR","OK"))</f>
        <v/>
      </c>
      <c r="G185" s="165" t="str">
        <f>IF($A185="","",IF(OR(N('Daily Data'!$E185)&lt;=0,N('Daily Data'!$C185)&lt;0,N('Daily Data'!$D185)&lt;0,N('Daily Data'!$F185)&lt;0,N('Daily Data'!$G185)&lt;0),"ERROR","OK"))</f>
        <v/>
      </c>
      <c r="H185" s="165" t="str">
        <f>IF($A185="","",IF(N('Daily Data'!$K185)&lt;0,"ERROR","OK"))</f>
        <v/>
      </c>
      <c r="I185" s="165" t="str">
        <f>IF($A185="","",IF(N('Daily Data'!$I185)&lt;0,"ERROR","OK"))</f>
        <v/>
      </c>
      <c r="J185" s="165" t="str">
        <f>IF($A185="","",IF(N('Daily Data'!$L185)&lt;0,"ERROR","OK"))</f>
        <v/>
      </c>
      <c r="K185" s="165" t="str">
        <f>IF($A185="","",IF(N('Daily Data'!$M185)&lt;0,"ERROR","OK"))</f>
        <v/>
      </c>
      <c r="L185" s="165" t="str">
        <f>IF($A185="","",IF(OR(N('Daily Data'!$F185)=0,N('Daily Data'!$G185)=0),"OK",IF(OR(N('Daily Data'!$E185)&gt;N('Daily Data'!$F185),N('Daily Data'!$E185)&lt;N('Daily Data'!$G185)),"ERROR","OK")))</f>
        <v/>
      </c>
      <c r="M185" s="165" t="str">
        <f>IF($A185="","",IF(N('Daily Data'!$AK185)&lt;=1,"OK",IF(ROUND(N('Daily Data'!$D185),2)=ROUND(SUMIFS('Daily Data'!$E$4:$E$503,'Daily Data'!$B$4:$B$503,'Daily Data'!$B185,'Daily Data'!$AK$4:$AK$503,'Daily Data'!$AK185-1),2),"OK","WARNING")))</f>
        <v/>
      </c>
      <c r="N185" s="165" t="str">
        <f>IF($A185="","",IF(N('Daily Data'!$N185)&lt;=0,"WARNING","OK"))</f>
        <v/>
      </c>
      <c r="O185" s="165" t="str">
        <f>IF($A185="","",IF(AND(ISNUMBER('Daily Data'!$H185),ABS(N('Daily Data'!$H185))&gt;Settings!$C$56),"WARNING","OK"))</f>
        <v/>
      </c>
      <c r="P185" s="165" t="str">
        <f>IF($A185="","",IF(OR(AND(N('Daily Data'!$K185)=0,N('Daily Data'!$I185)&gt;0),AND(N('Daily Data'!$I185)=0,N('Daily Data'!$K185)&gt;0),AND(N('Daily Data'!$L185)=0,N('Daily Data'!$M185)=0)),"WARNING","OK"))</f>
        <v/>
      </c>
      <c r="Q185" s="165" t="str">
        <f>IF($A185="","",IF(COUNTIFS('Daily Data'!$B$4:$B$503,'Daily Data'!$B185,'Daily Data'!$A$4:$A$503,'Daily Data'!$A185,'Daily Data'!$Q$4:$Q$503,'Daily Data'!$Q185)&gt;1,"WARNING","OK"))</f>
        <v/>
      </c>
      <c r="R185" s="165" t="str">
        <f>IF($A185="","",IF(AND(N('Daily Data'!$K185)&gt;0,N('Daily Data'!$J185)&lt;=0),"WARNING","OK"))</f>
        <v/>
      </c>
      <c r="S185" s="165" t="str">
        <f>IF($A185="","",COUNTIF($D185:$R185,"ERROR"))</f>
        <v/>
      </c>
      <c r="T185" s="165" t="str">
        <f>IF($A185="","",COUNTIF($D185:$R185,"WARNING"))</f>
        <v/>
      </c>
      <c r="U185" s="165" t="str">
        <f>IF($A185="","",IF($S185&gt;0,"ERROR",IF($T185&gt;0,"WARNING","PASS")))</f>
        <v/>
      </c>
    </row>
    <row r="186" spans="1:21" x14ac:dyDescent="0.3">
      <c r="A186" t="str">
        <f>IF(AND('Daily Data'!$A186="",'Daily Data'!$B186=""),"",186)</f>
        <v/>
      </c>
      <c r="B186" s="16" t="str">
        <f>IF($A186="","",'Daily Data'!$A186)</f>
        <v/>
      </c>
      <c r="C186" t="str">
        <f>IF($A186="","",'Daily Data'!$B186)</f>
        <v/>
      </c>
      <c r="D186" s="165" t="str">
        <f>IF($A186="","",IF(COUNTIFS('Daily Data'!$B$4:$B$503,'Daily Data'!$B186,'Daily Data'!$A$4:$A$503,'Daily Data'!$A186)&gt;1,"ERROR","OK"))</f>
        <v/>
      </c>
      <c r="E186" s="165" t="str">
        <f>IF($A186="","",IF('Daily Data'!$B186="","ERROR","OK"))</f>
        <v/>
      </c>
      <c r="F186" s="165" t="str">
        <f>IF($A186="","",IF(NOT(ISNUMBER('Daily Data'!$A186)),"ERROR","OK"))</f>
        <v/>
      </c>
      <c r="G186" s="165" t="str">
        <f>IF($A186="","",IF(OR(N('Daily Data'!$E186)&lt;=0,N('Daily Data'!$C186)&lt;0,N('Daily Data'!$D186)&lt;0,N('Daily Data'!$F186)&lt;0,N('Daily Data'!$G186)&lt;0),"ERROR","OK"))</f>
        <v/>
      </c>
      <c r="H186" s="165" t="str">
        <f>IF($A186="","",IF(N('Daily Data'!$K186)&lt;0,"ERROR","OK"))</f>
        <v/>
      </c>
      <c r="I186" s="165" t="str">
        <f>IF($A186="","",IF(N('Daily Data'!$I186)&lt;0,"ERROR","OK"))</f>
        <v/>
      </c>
      <c r="J186" s="165" t="str">
        <f>IF($A186="","",IF(N('Daily Data'!$L186)&lt;0,"ERROR","OK"))</f>
        <v/>
      </c>
      <c r="K186" s="165" t="str">
        <f>IF($A186="","",IF(N('Daily Data'!$M186)&lt;0,"ERROR","OK"))</f>
        <v/>
      </c>
      <c r="L186" s="165" t="str">
        <f>IF($A186="","",IF(OR(N('Daily Data'!$F186)=0,N('Daily Data'!$G186)=0),"OK",IF(OR(N('Daily Data'!$E186)&gt;N('Daily Data'!$F186),N('Daily Data'!$E186)&lt;N('Daily Data'!$G186)),"ERROR","OK")))</f>
        <v/>
      </c>
      <c r="M186" s="165" t="str">
        <f>IF($A186="","",IF(N('Daily Data'!$AK186)&lt;=1,"OK",IF(ROUND(N('Daily Data'!$D186),2)=ROUND(SUMIFS('Daily Data'!$E$4:$E$503,'Daily Data'!$B$4:$B$503,'Daily Data'!$B186,'Daily Data'!$AK$4:$AK$503,'Daily Data'!$AK186-1),2),"OK","WARNING")))</f>
        <v/>
      </c>
      <c r="N186" s="165" t="str">
        <f>IF($A186="","",IF(N('Daily Data'!$N186)&lt;=0,"WARNING","OK"))</f>
        <v/>
      </c>
      <c r="O186" s="165" t="str">
        <f>IF($A186="","",IF(AND(ISNUMBER('Daily Data'!$H186),ABS(N('Daily Data'!$H186))&gt;Settings!$C$56),"WARNING","OK"))</f>
        <v/>
      </c>
      <c r="P186" s="165" t="str">
        <f>IF($A186="","",IF(OR(AND(N('Daily Data'!$K186)=0,N('Daily Data'!$I186)&gt;0),AND(N('Daily Data'!$I186)=0,N('Daily Data'!$K186)&gt;0),AND(N('Daily Data'!$L186)=0,N('Daily Data'!$M186)=0)),"WARNING","OK"))</f>
        <v/>
      </c>
      <c r="Q186" s="165" t="str">
        <f>IF($A186="","",IF(COUNTIFS('Daily Data'!$B$4:$B$503,'Daily Data'!$B186,'Daily Data'!$A$4:$A$503,'Daily Data'!$A186,'Daily Data'!$Q$4:$Q$503,'Daily Data'!$Q186)&gt;1,"WARNING","OK"))</f>
        <v/>
      </c>
      <c r="R186" s="165" t="str">
        <f>IF($A186="","",IF(AND(N('Daily Data'!$K186)&gt;0,N('Daily Data'!$J186)&lt;=0),"WARNING","OK"))</f>
        <v/>
      </c>
      <c r="S186" s="165" t="str">
        <f>IF($A186="","",COUNTIF($D186:$R186,"ERROR"))</f>
        <v/>
      </c>
      <c r="T186" s="165" t="str">
        <f>IF($A186="","",COUNTIF($D186:$R186,"WARNING"))</f>
        <v/>
      </c>
      <c r="U186" s="165" t="str">
        <f>IF($A186="","",IF($S186&gt;0,"ERROR",IF($T186&gt;0,"WARNING","PASS")))</f>
        <v/>
      </c>
    </row>
    <row r="187" spans="1:21" x14ac:dyDescent="0.3">
      <c r="A187" t="str">
        <f>IF(AND('Daily Data'!$A187="",'Daily Data'!$B187=""),"",187)</f>
        <v/>
      </c>
      <c r="B187" s="16" t="str">
        <f>IF($A187="","",'Daily Data'!$A187)</f>
        <v/>
      </c>
      <c r="C187" t="str">
        <f>IF($A187="","",'Daily Data'!$B187)</f>
        <v/>
      </c>
      <c r="D187" s="165" t="str">
        <f>IF($A187="","",IF(COUNTIFS('Daily Data'!$B$4:$B$503,'Daily Data'!$B187,'Daily Data'!$A$4:$A$503,'Daily Data'!$A187)&gt;1,"ERROR","OK"))</f>
        <v/>
      </c>
      <c r="E187" s="165" t="str">
        <f>IF($A187="","",IF('Daily Data'!$B187="","ERROR","OK"))</f>
        <v/>
      </c>
      <c r="F187" s="165" t="str">
        <f>IF($A187="","",IF(NOT(ISNUMBER('Daily Data'!$A187)),"ERROR","OK"))</f>
        <v/>
      </c>
      <c r="G187" s="165" t="str">
        <f>IF($A187="","",IF(OR(N('Daily Data'!$E187)&lt;=0,N('Daily Data'!$C187)&lt;0,N('Daily Data'!$D187)&lt;0,N('Daily Data'!$F187)&lt;0,N('Daily Data'!$G187)&lt;0),"ERROR","OK"))</f>
        <v/>
      </c>
      <c r="H187" s="165" t="str">
        <f>IF($A187="","",IF(N('Daily Data'!$K187)&lt;0,"ERROR","OK"))</f>
        <v/>
      </c>
      <c r="I187" s="165" t="str">
        <f>IF($A187="","",IF(N('Daily Data'!$I187)&lt;0,"ERROR","OK"))</f>
        <v/>
      </c>
      <c r="J187" s="165" t="str">
        <f>IF($A187="","",IF(N('Daily Data'!$L187)&lt;0,"ERROR","OK"))</f>
        <v/>
      </c>
      <c r="K187" s="165" t="str">
        <f>IF($A187="","",IF(N('Daily Data'!$M187)&lt;0,"ERROR","OK"))</f>
        <v/>
      </c>
      <c r="L187" s="165" t="str">
        <f>IF($A187="","",IF(OR(N('Daily Data'!$F187)=0,N('Daily Data'!$G187)=0),"OK",IF(OR(N('Daily Data'!$E187)&gt;N('Daily Data'!$F187),N('Daily Data'!$E187)&lt;N('Daily Data'!$G187)),"ERROR","OK")))</f>
        <v/>
      </c>
      <c r="M187" s="165" t="str">
        <f>IF($A187="","",IF(N('Daily Data'!$AK187)&lt;=1,"OK",IF(ROUND(N('Daily Data'!$D187),2)=ROUND(SUMIFS('Daily Data'!$E$4:$E$503,'Daily Data'!$B$4:$B$503,'Daily Data'!$B187,'Daily Data'!$AK$4:$AK$503,'Daily Data'!$AK187-1),2),"OK","WARNING")))</f>
        <v/>
      </c>
      <c r="N187" s="165" t="str">
        <f>IF($A187="","",IF(N('Daily Data'!$N187)&lt;=0,"WARNING","OK"))</f>
        <v/>
      </c>
      <c r="O187" s="165" t="str">
        <f>IF($A187="","",IF(AND(ISNUMBER('Daily Data'!$H187),ABS(N('Daily Data'!$H187))&gt;Settings!$C$56),"WARNING","OK"))</f>
        <v/>
      </c>
      <c r="P187" s="165" t="str">
        <f>IF($A187="","",IF(OR(AND(N('Daily Data'!$K187)=0,N('Daily Data'!$I187)&gt;0),AND(N('Daily Data'!$I187)=0,N('Daily Data'!$K187)&gt;0),AND(N('Daily Data'!$L187)=0,N('Daily Data'!$M187)=0)),"WARNING","OK"))</f>
        <v/>
      </c>
      <c r="Q187" s="165" t="str">
        <f>IF($A187="","",IF(COUNTIFS('Daily Data'!$B$4:$B$503,'Daily Data'!$B187,'Daily Data'!$A$4:$A$503,'Daily Data'!$A187,'Daily Data'!$Q$4:$Q$503,'Daily Data'!$Q187)&gt;1,"WARNING","OK"))</f>
        <v/>
      </c>
      <c r="R187" s="165" t="str">
        <f>IF($A187="","",IF(AND(N('Daily Data'!$K187)&gt;0,N('Daily Data'!$J187)&lt;=0),"WARNING","OK"))</f>
        <v/>
      </c>
      <c r="S187" s="165" t="str">
        <f>IF($A187="","",COUNTIF($D187:$R187,"ERROR"))</f>
        <v/>
      </c>
      <c r="T187" s="165" t="str">
        <f>IF($A187="","",COUNTIF($D187:$R187,"WARNING"))</f>
        <v/>
      </c>
      <c r="U187" s="165" t="str">
        <f>IF($A187="","",IF($S187&gt;0,"ERROR",IF($T187&gt;0,"WARNING","PASS")))</f>
        <v/>
      </c>
    </row>
    <row r="188" spans="1:21" x14ac:dyDescent="0.3">
      <c r="A188" t="str">
        <f>IF(AND('Daily Data'!$A188="",'Daily Data'!$B188=""),"",188)</f>
        <v/>
      </c>
      <c r="B188" s="16" t="str">
        <f>IF($A188="","",'Daily Data'!$A188)</f>
        <v/>
      </c>
      <c r="C188" t="str">
        <f>IF($A188="","",'Daily Data'!$B188)</f>
        <v/>
      </c>
      <c r="D188" s="165" t="str">
        <f>IF($A188="","",IF(COUNTIFS('Daily Data'!$B$4:$B$503,'Daily Data'!$B188,'Daily Data'!$A$4:$A$503,'Daily Data'!$A188)&gt;1,"ERROR","OK"))</f>
        <v/>
      </c>
      <c r="E188" s="165" t="str">
        <f>IF($A188="","",IF('Daily Data'!$B188="","ERROR","OK"))</f>
        <v/>
      </c>
      <c r="F188" s="165" t="str">
        <f>IF($A188="","",IF(NOT(ISNUMBER('Daily Data'!$A188)),"ERROR","OK"))</f>
        <v/>
      </c>
      <c r="G188" s="165" t="str">
        <f>IF($A188="","",IF(OR(N('Daily Data'!$E188)&lt;=0,N('Daily Data'!$C188)&lt;0,N('Daily Data'!$D188)&lt;0,N('Daily Data'!$F188)&lt;0,N('Daily Data'!$G188)&lt;0),"ERROR","OK"))</f>
        <v/>
      </c>
      <c r="H188" s="165" t="str">
        <f>IF($A188="","",IF(N('Daily Data'!$K188)&lt;0,"ERROR","OK"))</f>
        <v/>
      </c>
      <c r="I188" s="165" t="str">
        <f>IF($A188="","",IF(N('Daily Data'!$I188)&lt;0,"ERROR","OK"))</f>
        <v/>
      </c>
      <c r="J188" s="165" t="str">
        <f>IF($A188="","",IF(N('Daily Data'!$L188)&lt;0,"ERROR","OK"))</f>
        <v/>
      </c>
      <c r="K188" s="165" t="str">
        <f>IF($A188="","",IF(N('Daily Data'!$M188)&lt;0,"ERROR","OK"))</f>
        <v/>
      </c>
      <c r="L188" s="165" t="str">
        <f>IF($A188="","",IF(OR(N('Daily Data'!$F188)=0,N('Daily Data'!$G188)=0),"OK",IF(OR(N('Daily Data'!$E188)&gt;N('Daily Data'!$F188),N('Daily Data'!$E188)&lt;N('Daily Data'!$G188)),"ERROR","OK")))</f>
        <v/>
      </c>
      <c r="M188" s="165" t="str">
        <f>IF($A188="","",IF(N('Daily Data'!$AK188)&lt;=1,"OK",IF(ROUND(N('Daily Data'!$D188),2)=ROUND(SUMIFS('Daily Data'!$E$4:$E$503,'Daily Data'!$B$4:$B$503,'Daily Data'!$B188,'Daily Data'!$AK$4:$AK$503,'Daily Data'!$AK188-1),2),"OK","WARNING")))</f>
        <v/>
      </c>
      <c r="N188" s="165" t="str">
        <f>IF($A188="","",IF(N('Daily Data'!$N188)&lt;=0,"WARNING","OK"))</f>
        <v/>
      </c>
      <c r="O188" s="165" t="str">
        <f>IF($A188="","",IF(AND(ISNUMBER('Daily Data'!$H188),ABS(N('Daily Data'!$H188))&gt;Settings!$C$56),"WARNING","OK"))</f>
        <v/>
      </c>
      <c r="P188" s="165" t="str">
        <f>IF($A188="","",IF(OR(AND(N('Daily Data'!$K188)=0,N('Daily Data'!$I188)&gt;0),AND(N('Daily Data'!$I188)=0,N('Daily Data'!$K188)&gt;0),AND(N('Daily Data'!$L188)=0,N('Daily Data'!$M188)=0)),"WARNING","OK"))</f>
        <v/>
      </c>
      <c r="Q188" s="165" t="str">
        <f>IF($A188="","",IF(COUNTIFS('Daily Data'!$B$4:$B$503,'Daily Data'!$B188,'Daily Data'!$A$4:$A$503,'Daily Data'!$A188,'Daily Data'!$Q$4:$Q$503,'Daily Data'!$Q188)&gt;1,"WARNING","OK"))</f>
        <v/>
      </c>
      <c r="R188" s="165" t="str">
        <f>IF($A188="","",IF(AND(N('Daily Data'!$K188)&gt;0,N('Daily Data'!$J188)&lt;=0),"WARNING","OK"))</f>
        <v/>
      </c>
      <c r="S188" s="165" t="str">
        <f>IF($A188="","",COUNTIF($D188:$R188,"ERROR"))</f>
        <v/>
      </c>
      <c r="T188" s="165" t="str">
        <f>IF($A188="","",COUNTIF($D188:$R188,"WARNING"))</f>
        <v/>
      </c>
      <c r="U188" s="165" t="str">
        <f>IF($A188="","",IF($S188&gt;0,"ERROR",IF($T188&gt;0,"WARNING","PASS")))</f>
        <v/>
      </c>
    </row>
    <row r="189" spans="1:21" x14ac:dyDescent="0.3">
      <c r="A189" t="str">
        <f>IF(AND('Daily Data'!$A189="",'Daily Data'!$B189=""),"",189)</f>
        <v/>
      </c>
      <c r="B189" s="16" t="str">
        <f>IF($A189="","",'Daily Data'!$A189)</f>
        <v/>
      </c>
      <c r="C189" t="str">
        <f>IF($A189="","",'Daily Data'!$B189)</f>
        <v/>
      </c>
      <c r="D189" s="165" t="str">
        <f>IF($A189="","",IF(COUNTIFS('Daily Data'!$B$4:$B$503,'Daily Data'!$B189,'Daily Data'!$A$4:$A$503,'Daily Data'!$A189)&gt;1,"ERROR","OK"))</f>
        <v/>
      </c>
      <c r="E189" s="165" t="str">
        <f>IF($A189="","",IF('Daily Data'!$B189="","ERROR","OK"))</f>
        <v/>
      </c>
      <c r="F189" s="165" t="str">
        <f>IF($A189="","",IF(NOT(ISNUMBER('Daily Data'!$A189)),"ERROR","OK"))</f>
        <v/>
      </c>
      <c r="G189" s="165" t="str">
        <f>IF($A189="","",IF(OR(N('Daily Data'!$E189)&lt;=0,N('Daily Data'!$C189)&lt;0,N('Daily Data'!$D189)&lt;0,N('Daily Data'!$F189)&lt;0,N('Daily Data'!$G189)&lt;0),"ERROR","OK"))</f>
        <v/>
      </c>
      <c r="H189" s="165" t="str">
        <f>IF($A189="","",IF(N('Daily Data'!$K189)&lt;0,"ERROR","OK"))</f>
        <v/>
      </c>
      <c r="I189" s="165" t="str">
        <f>IF($A189="","",IF(N('Daily Data'!$I189)&lt;0,"ERROR","OK"))</f>
        <v/>
      </c>
      <c r="J189" s="165" t="str">
        <f>IF($A189="","",IF(N('Daily Data'!$L189)&lt;0,"ERROR","OK"))</f>
        <v/>
      </c>
      <c r="K189" s="165" t="str">
        <f>IF($A189="","",IF(N('Daily Data'!$M189)&lt;0,"ERROR","OK"))</f>
        <v/>
      </c>
      <c r="L189" s="165" t="str">
        <f>IF($A189="","",IF(OR(N('Daily Data'!$F189)=0,N('Daily Data'!$G189)=0),"OK",IF(OR(N('Daily Data'!$E189)&gt;N('Daily Data'!$F189),N('Daily Data'!$E189)&lt;N('Daily Data'!$G189)),"ERROR","OK")))</f>
        <v/>
      </c>
      <c r="M189" s="165" t="str">
        <f>IF($A189="","",IF(N('Daily Data'!$AK189)&lt;=1,"OK",IF(ROUND(N('Daily Data'!$D189),2)=ROUND(SUMIFS('Daily Data'!$E$4:$E$503,'Daily Data'!$B$4:$B$503,'Daily Data'!$B189,'Daily Data'!$AK$4:$AK$503,'Daily Data'!$AK189-1),2),"OK","WARNING")))</f>
        <v/>
      </c>
      <c r="N189" s="165" t="str">
        <f>IF($A189="","",IF(N('Daily Data'!$N189)&lt;=0,"WARNING","OK"))</f>
        <v/>
      </c>
      <c r="O189" s="165" t="str">
        <f>IF($A189="","",IF(AND(ISNUMBER('Daily Data'!$H189),ABS(N('Daily Data'!$H189))&gt;Settings!$C$56),"WARNING","OK"))</f>
        <v/>
      </c>
      <c r="P189" s="165" t="str">
        <f>IF($A189="","",IF(OR(AND(N('Daily Data'!$K189)=0,N('Daily Data'!$I189)&gt;0),AND(N('Daily Data'!$I189)=0,N('Daily Data'!$K189)&gt;0),AND(N('Daily Data'!$L189)=0,N('Daily Data'!$M189)=0)),"WARNING","OK"))</f>
        <v/>
      </c>
      <c r="Q189" s="165" t="str">
        <f>IF($A189="","",IF(COUNTIFS('Daily Data'!$B$4:$B$503,'Daily Data'!$B189,'Daily Data'!$A$4:$A$503,'Daily Data'!$A189,'Daily Data'!$Q$4:$Q$503,'Daily Data'!$Q189)&gt;1,"WARNING","OK"))</f>
        <v/>
      </c>
      <c r="R189" s="165" t="str">
        <f>IF($A189="","",IF(AND(N('Daily Data'!$K189)&gt;0,N('Daily Data'!$J189)&lt;=0),"WARNING","OK"))</f>
        <v/>
      </c>
      <c r="S189" s="165" t="str">
        <f>IF($A189="","",COUNTIF($D189:$R189,"ERROR"))</f>
        <v/>
      </c>
      <c r="T189" s="165" t="str">
        <f>IF($A189="","",COUNTIF($D189:$R189,"WARNING"))</f>
        <v/>
      </c>
      <c r="U189" s="165" t="str">
        <f>IF($A189="","",IF($S189&gt;0,"ERROR",IF($T189&gt;0,"WARNING","PASS")))</f>
        <v/>
      </c>
    </row>
    <row r="190" spans="1:21" x14ac:dyDescent="0.3">
      <c r="A190" t="str">
        <f>IF(AND('Daily Data'!$A190="",'Daily Data'!$B190=""),"",190)</f>
        <v/>
      </c>
      <c r="B190" s="16" t="str">
        <f>IF($A190="","",'Daily Data'!$A190)</f>
        <v/>
      </c>
      <c r="C190" t="str">
        <f>IF($A190="","",'Daily Data'!$B190)</f>
        <v/>
      </c>
      <c r="D190" s="165" t="str">
        <f>IF($A190="","",IF(COUNTIFS('Daily Data'!$B$4:$B$503,'Daily Data'!$B190,'Daily Data'!$A$4:$A$503,'Daily Data'!$A190)&gt;1,"ERROR","OK"))</f>
        <v/>
      </c>
      <c r="E190" s="165" t="str">
        <f>IF($A190="","",IF('Daily Data'!$B190="","ERROR","OK"))</f>
        <v/>
      </c>
      <c r="F190" s="165" t="str">
        <f>IF($A190="","",IF(NOT(ISNUMBER('Daily Data'!$A190)),"ERROR","OK"))</f>
        <v/>
      </c>
      <c r="G190" s="165" t="str">
        <f>IF($A190="","",IF(OR(N('Daily Data'!$E190)&lt;=0,N('Daily Data'!$C190)&lt;0,N('Daily Data'!$D190)&lt;0,N('Daily Data'!$F190)&lt;0,N('Daily Data'!$G190)&lt;0),"ERROR","OK"))</f>
        <v/>
      </c>
      <c r="H190" s="165" t="str">
        <f>IF($A190="","",IF(N('Daily Data'!$K190)&lt;0,"ERROR","OK"))</f>
        <v/>
      </c>
      <c r="I190" s="165" t="str">
        <f>IF($A190="","",IF(N('Daily Data'!$I190)&lt;0,"ERROR","OK"))</f>
        <v/>
      </c>
      <c r="J190" s="165" t="str">
        <f>IF($A190="","",IF(N('Daily Data'!$L190)&lt;0,"ERROR","OK"))</f>
        <v/>
      </c>
      <c r="K190" s="165" t="str">
        <f>IF($A190="","",IF(N('Daily Data'!$M190)&lt;0,"ERROR","OK"))</f>
        <v/>
      </c>
      <c r="L190" s="165" t="str">
        <f>IF($A190="","",IF(OR(N('Daily Data'!$F190)=0,N('Daily Data'!$G190)=0),"OK",IF(OR(N('Daily Data'!$E190)&gt;N('Daily Data'!$F190),N('Daily Data'!$E190)&lt;N('Daily Data'!$G190)),"ERROR","OK")))</f>
        <v/>
      </c>
      <c r="M190" s="165" t="str">
        <f>IF($A190="","",IF(N('Daily Data'!$AK190)&lt;=1,"OK",IF(ROUND(N('Daily Data'!$D190),2)=ROUND(SUMIFS('Daily Data'!$E$4:$E$503,'Daily Data'!$B$4:$B$503,'Daily Data'!$B190,'Daily Data'!$AK$4:$AK$503,'Daily Data'!$AK190-1),2),"OK","WARNING")))</f>
        <v/>
      </c>
      <c r="N190" s="165" t="str">
        <f>IF($A190="","",IF(N('Daily Data'!$N190)&lt;=0,"WARNING","OK"))</f>
        <v/>
      </c>
      <c r="O190" s="165" t="str">
        <f>IF($A190="","",IF(AND(ISNUMBER('Daily Data'!$H190),ABS(N('Daily Data'!$H190))&gt;Settings!$C$56),"WARNING","OK"))</f>
        <v/>
      </c>
      <c r="P190" s="165" t="str">
        <f>IF($A190="","",IF(OR(AND(N('Daily Data'!$K190)=0,N('Daily Data'!$I190)&gt;0),AND(N('Daily Data'!$I190)=0,N('Daily Data'!$K190)&gt;0),AND(N('Daily Data'!$L190)=0,N('Daily Data'!$M190)=0)),"WARNING","OK"))</f>
        <v/>
      </c>
      <c r="Q190" s="165" t="str">
        <f>IF($A190="","",IF(COUNTIFS('Daily Data'!$B$4:$B$503,'Daily Data'!$B190,'Daily Data'!$A$4:$A$503,'Daily Data'!$A190,'Daily Data'!$Q$4:$Q$503,'Daily Data'!$Q190)&gt;1,"WARNING","OK"))</f>
        <v/>
      </c>
      <c r="R190" s="165" t="str">
        <f>IF($A190="","",IF(AND(N('Daily Data'!$K190)&gt;0,N('Daily Data'!$J190)&lt;=0),"WARNING","OK"))</f>
        <v/>
      </c>
      <c r="S190" s="165" t="str">
        <f>IF($A190="","",COUNTIF($D190:$R190,"ERROR"))</f>
        <v/>
      </c>
      <c r="T190" s="165" t="str">
        <f>IF($A190="","",COUNTIF($D190:$R190,"WARNING"))</f>
        <v/>
      </c>
      <c r="U190" s="165" t="str">
        <f>IF($A190="","",IF($S190&gt;0,"ERROR",IF($T190&gt;0,"WARNING","PASS")))</f>
        <v/>
      </c>
    </row>
    <row r="191" spans="1:21" x14ac:dyDescent="0.3">
      <c r="A191" t="str">
        <f>IF(AND('Daily Data'!$A191="",'Daily Data'!$B191=""),"",191)</f>
        <v/>
      </c>
      <c r="B191" s="16" t="str">
        <f>IF($A191="","",'Daily Data'!$A191)</f>
        <v/>
      </c>
      <c r="C191" t="str">
        <f>IF($A191="","",'Daily Data'!$B191)</f>
        <v/>
      </c>
      <c r="D191" s="165" t="str">
        <f>IF($A191="","",IF(COUNTIFS('Daily Data'!$B$4:$B$503,'Daily Data'!$B191,'Daily Data'!$A$4:$A$503,'Daily Data'!$A191)&gt;1,"ERROR","OK"))</f>
        <v/>
      </c>
      <c r="E191" s="165" t="str">
        <f>IF($A191="","",IF('Daily Data'!$B191="","ERROR","OK"))</f>
        <v/>
      </c>
      <c r="F191" s="165" t="str">
        <f>IF($A191="","",IF(NOT(ISNUMBER('Daily Data'!$A191)),"ERROR","OK"))</f>
        <v/>
      </c>
      <c r="G191" s="165" t="str">
        <f>IF($A191="","",IF(OR(N('Daily Data'!$E191)&lt;=0,N('Daily Data'!$C191)&lt;0,N('Daily Data'!$D191)&lt;0,N('Daily Data'!$F191)&lt;0,N('Daily Data'!$G191)&lt;0),"ERROR","OK"))</f>
        <v/>
      </c>
      <c r="H191" s="165" t="str">
        <f>IF($A191="","",IF(N('Daily Data'!$K191)&lt;0,"ERROR","OK"))</f>
        <v/>
      </c>
      <c r="I191" s="165" t="str">
        <f>IF($A191="","",IF(N('Daily Data'!$I191)&lt;0,"ERROR","OK"))</f>
        <v/>
      </c>
      <c r="J191" s="165" t="str">
        <f>IF($A191="","",IF(N('Daily Data'!$L191)&lt;0,"ERROR","OK"))</f>
        <v/>
      </c>
      <c r="K191" s="165" t="str">
        <f>IF($A191="","",IF(N('Daily Data'!$M191)&lt;0,"ERROR","OK"))</f>
        <v/>
      </c>
      <c r="L191" s="165" t="str">
        <f>IF($A191="","",IF(OR(N('Daily Data'!$F191)=0,N('Daily Data'!$G191)=0),"OK",IF(OR(N('Daily Data'!$E191)&gt;N('Daily Data'!$F191),N('Daily Data'!$E191)&lt;N('Daily Data'!$G191)),"ERROR","OK")))</f>
        <v/>
      </c>
      <c r="M191" s="165" t="str">
        <f>IF($A191="","",IF(N('Daily Data'!$AK191)&lt;=1,"OK",IF(ROUND(N('Daily Data'!$D191),2)=ROUND(SUMIFS('Daily Data'!$E$4:$E$503,'Daily Data'!$B$4:$B$503,'Daily Data'!$B191,'Daily Data'!$AK$4:$AK$503,'Daily Data'!$AK191-1),2),"OK","WARNING")))</f>
        <v/>
      </c>
      <c r="N191" s="165" t="str">
        <f>IF($A191="","",IF(N('Daily Data'!$N191)&lt;=0,"WARNING","OK"))</f>
        <v/>
      </c>
      <c r="O191" s="165" t="str">
        <f>IF($A191="","",IF(AND(ISNUMBER('Daily Data'!$H191),ABS(N('Daily Data'!$H191))&gt;Settings!$C$56),"WARNING","OK"))</f>
        <v/>
      </c>
      <c r="P191" s="165" t="str">
        <f>IF($A191="","",IF(OR(AND(N('Daily Data'!$K191)=0,N('Daily Data'!$I191)&gt;0),AND(N('Daily Data'!$I191)=0,N('Daily Data'!$K191)&gt;0),AND(N('Daily Data'!$L191)=0,N('Daily Data'!$M191)=0)),"WARNING","OK"))</f>
        <v/>
      </c>
      <c r="Q191" s="165" t="str">
        <f>IF($A191="","",IF(COUNTIFS('Daily Data'!$B$4:$B$503,'Daily Data'!$B191,'Daily Data'!$A$4:$A$503,'Daily Data'!$A191,'Daily Data'!$Q$4:$Q$503,'Daily Data'!$Q191)&gt;1,"WARNING","OK"))</f>
        <v/>
      </c>
      <c r="R191" s="165" t="str">
        <f>IF($A191="","",IF(AND(N('Daily Data'!$K191)&gt;0,N('Daily Data'!$J191)&lt;=0),"WARNING","OK"))</f>
        <v/>
      </c>
      <c r="S191" s="165" t="str">
        <f>IF($A191="","",COUNTIF($D191:$R191,"ERROR"))</f>
        <v/>
      </c>
      <c r="T191" s="165" t="str">
        <f>IF($A191="","",COUNTIF($D191:$R191,"WARNING"))</f>
        <v/>
      </c>
      <c r="U191" s="165" t="str">
        <f>IF($A191="","",IF($S191&gt;0,"ERROR",IF($T191&gt;0,"WARNING","PASS")))</f>
        <v/>
      </c>
    </row>
    <row r="192" spans="1:21" x14ac:dyDescent="0.3">
      <c r="A192" t="str">
        <f>IF(AND('Daily Data'!$A192="",'Daily Data'!$B192=""),"",192)</f>
        <v/>
      </c>
      <c r="B192" s="16" t="str">
        <f>IF($A192="","",'Daily Data'!$A192)</f>
        <v/>
      </c>
      <c r="C192" t="str">
        <f>IF($A192="","",'Daily Data'!$B192)</f>
        <v/>
      </c>
      <c r="D192" s="165" t="str">
        <f>IF($A192="","",IF(COUNTIFS('Daily Data'!$B$4:$B$503,'Daily Data'!$B192,'Daily Data'!$A$4:$A$503,'Daily Data'!$A192)&gt;1,"ERROR","OK"))</f>
        <v/>
      </c>
      <c r="E192" s="165" t="str">
        <f>IF($A192="","",IF('Daily Data'!$B192="","ERROR","OK"))</f>
        <v/>
      </c>
      <c r="F192" s="165" t="str">
        <f>IF($A192="","",IF(NOT(ISNUMBER('Daily Data'!$A192)),"ERROR","OK"))</f>
        <v/>
      </c>
      <c r="G192" s="165" t="str">
        <f>IF($A192="","",IF(OR(N('Daily Data'!$E192)&lt;=0,N('Daily Data'!$C192)&lt;0,N('Daily Data'!$D192)&lt;0,N('Daily Data'!$F192)&lt;0,N('Daily Data'!$G192)&lt;0),"ERROR","OK"))</f>
        <v/>
      </c>
      <c r="H192" s="165" t="str">
        <f>IF($A192="","",IF(N('Daily Data'!$K192)&lt;0,"ERROR","OK"))</f>
        <v/>
      </c>
      <c r="I192" s="165" t="str">
        <f>IF($A192="","",IF(N('Daily Data'!$I192)&lt;0,"ERROR","OK"))</f>
        <v/>
      </c>
      <c r="J192" s="165" t="str">
        <f>IF($A192="","",IF(N('Daily Data'!$L192)&lt;0,"ERROR","OK"))</f>
        <v/>
      </c>
      <c r="K192" s="165" t="str">
        <f>IF($A192="","",IF(N('Daily Data'!$M192)&lt;0,"ERROR","OK"))</f>
        <v/>
      </c>
      <c r="L192" s="165" t="str">
        <f>IF($A192="","",IF(OR(N('Daily Data'!$F192)=0,N('Daily Data'!$G192)=0),"OK",IF(OR(N('Daily Data'!$E192)&gt;N('Daily Data'!$F192),N('Daily Data'!$E192)&lt;N('Daily Data'!$G192)),"ERROR","OK")))</f>
        <v/>
      </c>
      <c r="M192" s="165" t="str">
        <f>IF($A192="","",IF(N('Daily Data'!$AK192)&lt;=1,"OK",IF(ROUND(N('Daily Data'!$D192),2)=ROUND(SUMIFS('Daily Data'!$E$4:$E$503,'Daily Data'!$B$4:$B$503,'Daily Data'!$B192,'Daily Data'!$AK$4:$AK$503,'Daily Data'!$AK192-1),2),"OK","WARNING")))</f>
        <v/>
      </c>
      <c r="N192" s="165" t="str">
        <f>IF($A192="","",IF(N('Daily Data'!$N192)&lt;=0,"WARNING","OK"))</f>
        <v/>
      </c>
      <c r="O192" s="165" t="str">
        <f>IF($A192="","",IF(AND(ISNUMBER('Daily Data'!$H192),ABS(N('Daily Data'!$H192))&gt;Settings!$C$56),"WARNING","OK"))</f>
        <v/>
      </c>
      <c r="P192" s="165" t="str">
        <f>IF($A192="","",IF(OR(AND(N('Daily Data'!$K192)=0,N('Daily Data'!$I192)&gt;0),AND(N('Daily Data'!$I192)=0,N('Daily Data'!$K192)&gt;0),AND(N('Daily Data'!$L192)=0,N('Daily Data'!$M192)=0)),"WARNING","OK"))</f>
        <v/>
      </c>
      <c r="Q192" s="165" t="str">
        <f>IF($A192="","",IF(COUNTIFS('Daily Data'!$B$4:$B$503,'Daily Data'!$B192,'Daily Data'!$A$4:$A$503,'Daily Data'!$A192,'Daily Data'!$Q$4:$Q$503,'Daily Data'!$Q192)&gt;1,"WARNING","OK"))</f>
        <v/>
      </c>
      <c r="R192" s="165" t="str">
        <f>IF($A192="","",IF(AND(N('Daily Data'!$K192)&gt;0,N('Daily Data'!$J192)&lt;=0),"WARNING","OK"))</f>
        <v/>
      </c>
      <c r="S192" s="165" t="str">
        <f>IF($A192="","",COUNTIF($D192:$R192,"ERROR"))</f>
        <v/>
      </c>
      <c r="T192" s="165" t="str">
        <f>IF($A192="","",COUNTIF($D192:$R192,"WARNING"))</f>
        <v/>
      </c>
      <c r="U192" s="165" t="str">
        <f>IF($A192="","",IF($S192&gt;0,"ERROR",IF($T192&gt;0,"WARNING","PASS")))</f>
        <v/>
      </c>
    </row>
    <row r="193" spans="1:21" x14ac:dyDescent="0.3">
      <c r="A193" t="str">
        <f>IF(AND('Daily Data'!$A193="",'Daily Data'!$B193=""),"",193)</f>
        <v/>
      </c>
      <c r="B193" s="16" t="str">
        <f>IF($A193="","",'Daily Data'!$A193)</f>
        <v/>
      </c>
      <c r="C193" t="str">
        <f>IF($A193="","",'Daily Data'!$B193)</f>
        <v/>
      </c>
      <c r="D193" s="165" t="str">
        <f>IF($A193="","",IF(COUNTIFS('Daily Data'!$B$4:$B$503,'Daily Data'!$B193,'Daily Data'!$A$4:$A$503,'Daily Data'!$A193)&gt;1,"ERROR","OK"))</f>
        <v/>
      </c>
      <c r="E193" s="165" t="str">
        <f>IF($A193="","",IF('Daily Data'!$B193="","ERROR","OK"))</f>
        <v/>
      </c>
      <c r="F193" s="165" t="str">
        <f>IF($A193="","",IF(NOT(ISNUMBER('Daily Data'!$A193)),"ERROR","OK"))</f>
        <v/>
      </c>
      <c r="G193" s="165" t="str">
        <f>IF($A193="","",IF(OR(N('Daily Data'!$E193)&lt;=0,N('Daily Data'!$C193)&lt;0,N('Daily Data'!$D193)&lt;0,N('Daily Data'!$F193)&lt;0,N('Daily Data'!$G193)&lt;0),"ERROR","OK"))</f>
        <v/>
      </c>
      <c r="H193" s="165" t="str">
        <f>IF($A193="","",IF(N('Daily Data'!$K193)&lt;0,"ERROR","OK"))</f>
        <v/>
      </c>
      <c r="I193" s="165" t="str">
        <f>IF($A193="","",IF(N('Daily Data'!$I193)&lt;0,"ERROR","OK"))</f>
        <v/>
      </c>
      <c r="J193" s="165" t="str">
        <f>IF($A193="","",IF(N('Daily Data'!$L193)&lt;0,"ERROR","OK"))</f>
        <v/>
      </c>
      <c r="K193" s="165" t="str">
        <f>IF($A193="","",IF(N('Daily Data'!$M193)&lt;0,"ERROR","OK"))</f>
        <v/>
      </c>
      <c r="L193" s="165" t="str">
        <f>IF($A193="","",IF(OR(N('Daily Data'!$F193)=0,N('Daily Data'!$G193)=0),"OK",IF(OR(N('Daily Data'!$E193)&gt;N('Daily Data'!$F193),N('Daily Data'!$E193)&lt;N('Daily Data'!$G193)),"ERROR","OK")))</f>
        <v/>
      </c>
      <c r="M193" s="165" t="str">
        <f>IF($A193="","",IF(N('Daily Data'!$AK193)&lt;=1,"OK",IF(ROUND(N('Daily Data'!$D193),2)=ROUND(SUMIFS('Daily Data'!$E$4:$E$503,'Daily Data'!$B$4:$B$503,'Daily Data'!$B193,'Daily Data'!$AK$4:$AK$503,'Daily Data'!$AK193-1),2),"OK","WARNING")))</f>
        <v/>
      </c>
      <c r="N193" s="165" t="str">
        <f>IF($A193="","",IF(N('Daily Data'!$N193)&lt;=0,"WARNING","OK"))</f>
        <v/>
      </c>
      <c r="O193" s="165" t="str">
        <f>IF($A193="","",IF(AND(ISNUMBER('Daily Data'!$H193),ABS(N('Daily Data'!$H193))&gt;Settings!$C$56),"WARNING","OK"))</f>
        <v/>
      </c>
      <c r="P193" s="165" t="str">
        <f>IF($A193="","",IF(OR(AND(N('Daily Data'!$K193)=0,N('Daily Data'!$I193)&gt;0),AND(N('Daily Data'!$I193)=0,N('Daily Data'!$K193)&gt;0),AND(N('Daily Data'!$L193)=0,N('Daily Data'!$M193)=0)),"WARNING","OK"))</f>
        <v/>
      </c>
      <c r="Q193" s="165" t="str">
        <f>IF($A193="","",IF(COUNTIFS('Daily Data'!$B$4:$B$503,'Daily Data'!$B193,'Daily Data'!$A$4:$A$503,'Daily Data'!$A193,'Daily Data'!$Q$4:$Q$503,'Daily Data'!$Q193)&gt;1,"WARNING","OK"))</f>
        <v/>
      </c>
      <c r="R193" s="165" t="str">
        <f>IF($A193="","",IF(AND(N('Daily Data'!$K193)&gt;0,N('Daily Data'!$J193)&lt;=0),"WARNING","OK"))</f>
        <v/>
      </c>
      <c r="S193" s="165" t="str">
        <f>IF($A193="","",COUNTIF($D193:$R193,"ERROR"))</f>
        <v/>
      </c>
      <c r="T193" s="165" t="str">
        <f>IF($A193="","",COUNTIF($D193:$R193,"WARNING"))</f>
        <v/>
      </c>
      <c r="U193" s="165" t="str">
        <f>IF($A193="","",IF($S193&gt;0,"ERROR",IF($T193&gt;0,"WARNING","PASS")))</f>
        <v/>
      </c>
    </row>
    <row r="194" spans="1:21" x14ac:dyDescent="0.3">
      <c r="A194" t="str">
        <f>IF(AND('Daily Data'!$A194="",'Daily Data'!$B194=""),"",194)</f>
        <v/>
      </c>
      <c r="B194" s="16" t="str">
        <f>IF($A194="","",'Daily Data'!$A194)</f>
        <v/>
      </c>
      <c r="C194" t="str">
        <f>IF($A194="","",'Daily Data'!$B194)</f>
        <v/>
      </c>
      <c r="D194" s="165" t="str">
        <f>IF($A194="","",IF(COUNTIFS('Daily Data'!$B$4:$B$503,'Daily Data'!$B194,'Daily Data'!$A$4:$A$503,'Daily Data'!$A194)&gt;1,"ERROR","OK"))</f>
        <v/>
      </c>
      <c r="E194" s="165" t="str">
        <f>IF($A194="","",IF('Daily Data'!$B194="","ERROR","OK"))</f>
        <v/>
      </c>
      <c r="F194" s="165" t="str">
        <f>IF($A194="","",IF(NOT(ISNUMBER('Daily Data'!$A194)),"ERROR","OK"))</f>
        <v/>
      </c>
      <c r="G194" s="165" t="str">
        <f>IF($A194="","",IF(OR(N('Daily Data'!$E194)&lt;=0,N('Daily Data'!$C194)&lt;0,N('Daily Data'!$D194)&lt;0,N('Daily Data'!$F194)&lt;0,N('Daily Data'!$G194)&lt;0),"ERROR","OK"))</f>
        <v/>
      </c>
      <c r="H194" s="165" t="str">
        <f>IF($A194="","",IF(N('Daily Data'!$K194)&lt;0,"ERROR","OK"))</f>
        <v/>
      </c>
      <c r="I194" s="165" t="str">
        <f>IF($A194="","",IF(N('Daily Data'!$I194)&lt;0,"ERROR","OK"))</f>
        <v/>
      </c>
      <c r="J194" s="165" t="str">
        <f>IF($A194="","",IF(N('Daily Data'!$L194)&lt;0,"ERROR","OK"))</f>
        <v/>
      </c>
      <c r="K194" s="165" t="str">
        <f>IF($A194="","",IF(N('Daily Data'!$M194)&lt;0,"ERROR","OK"))</f>
        <v/>
      </c>
      <c r="L194" s="165" t="str">
        <f>IF($A194="","",IF(OR(N('Daily Data'!$F194)=0,N('Daily Data'!$G194)=0),"OK",IF(OR(N('Daily Data'!$E194)&gt;N('Daily Data'!$F194),N('Daily Data'!$E194)&lt;N('Daily Data'!$G194)),"ERROR","OK")))</f>
        <v/>
      </c>
      <c r="M194" s="165" t="str">
        <f>IF($A194="","",IF(N('Daily Data'!$AK194)&lt;=1,"OK",IF(ROUND(N('Daily Data'!$D194),2)=ROUND(SUMIFS('Daily Data'!$E$4:$E$503,'Daily Data'!$B$4:$B$503,'Daily Data'!$B194,'Daily Data'!$AK$4:$AK$503,'Daily Data'!$AK194-1),2),"OK","WARNING")))</f>
        <v/>
      </c>
      <c r="N194" s="165" t="str">
        <f>IF($A194="","",IF(N('Daily Data'!$N194)&lt;=0,"WARNING","OK"))</f>
        <v/>
      </c>
      <c r="O194" s="165" t="str">
        <f>IF($A194="","",IF(AND(ISNUMBER('Daily Data'!$H194),ABS(N('Daily Data'!$H194))&gt;Settings!$C$56),"WARNING","OK"))</f>
        <v/>
      </c>
      <c r="P194" s="165" t="str">
        <f>IF($A194="","",IF(OR(AND(N('Daily Data'!$K194)=0,N('Daily Data'!$I194)&gt;0),AND(N('Daily Data'!$I194)=0,N('Daily Data'!$K194)&gt;0),AND(N('Daily Data'!$L194)=0,N('Daily Data'!$M194)=0)),"WARNING","OK"))</f>
        <v/>
      </c>
      <c r="Q194" s="165" t="str">
        <f>IF($A194="","",IF(COUNTIFS('Daily Data'!$B$4:$B$503,'Daily Data'!$B194,'Daily Data'!$A$4:$A$503,'Daily Data'!$A194,'Daily Data'!$Q$4:$Q$503,'Daily Data'!$Q194)&gt;1,"WARNING","OK"))</f>
        <v/>
      </c>
      <c r="R194" s="165" t="str">
        <f>IF($A194="","",IF(AND(N('Daily Data'!$K194)&gt;0,N('Daily Data'!$J194)&lt;=0),"WARNING","OK"))</f>
        <v/>
      </c>
      <c r="S194" s="165" t="str">
        <f>IF($A194="","",COUNTIF($D194:$R194,"ERROR"))</f>
        <v/>
      </c>
      <c r="T194" s="165" t="str">
        <f>IF($A194="","",COUNTIF($D194:$R194,"WARNING"))</f>
        <v/>
      </c>
      <c r="U194" s="165" t="str">
        <f>IF($A194="","",IF($S194&gt;0,"ERROR",IF($T194&gt;0,"WARNING","PASS")))</f>
        <v/>
      </c>
    </row>
    <row r="195" spans="1:21" x14ac:dyDescent="0.3">
      <c r="A195" t="str">
        <f>IF(AND('Daily Data'!$A195="",'Daily Data'!$B195=""),"",195)</f>
        <v/>
      </c>
      <c r="B195" s="16" t="str">
        <f>IF($A195="","",'Daily Data'!$A195)</f>
        <v/>
      </c>
      <c r="C195" t="str">
        <f>IF($A195="","",'Daily Data'!$B195)</f>
        <v/>
      </c>
      <c r="D195" s="165" t="str">
        <f>IF($A195="","",IF(COUNTIFS('Daily Data'!$B$4:$B$503,'Daily Data'!$B195,'Daily Data'!$A$4:$A$503,'Daily Data'!$A195)&gt;1,"ERROR","OK"))</f>
        <v/>
      </c>
      <c r="E195" s="165" t="str">
        <f>IF($A195="","",IF('Daily Data'!$B195="","ERROR","OK"))</f>
        <v/>
      </c>
      <c r="F195" s="165" t="str">
        <f>IF($A195="","",IF(NOT(ISNUMBER('Daily Data'!$A195)),"ERROR","OK"))</f>
        <v/>
      </c>
      <c r="G195" s="165" t="str">
        <f>IF($A195="","",IF(OR(N('Daily Data'!$E195)&lt;=0,N('Daily Data'!$C195)&lt;0,N('Daily Data'!$D195)&lt;0,N('Daily Data'!$F195)&lt;0,N('Daily Data'!$G195)&lt;0),"ERROR","OK"))</f>
        <v/>
      </c>
      <c r="H195" s="165" t="str">
        <f>IF($A195="","",IF(N('Daily Data'!$K195)&lt;0,"ERROR","OK"))</f>
        <v/>
      </c>
      <c r="I195" s="165" t="str">
        <f>IF($A195="","",IF(N('Daily Data'!$I195)&lt;0,"ERROR","OK"))</f>
        <v/>
      </c>
      <c r="J195" s="165" t="str">
        <f>IF($A195="","",IF(N('Daily Data'!$L195)&lt;0,"ERROR","OK"))</f>
        <v/>
      </c>
      <c r="K195" s="165" t="str">
        <f>IF($A195="","",IF(N('Daily Data'!$M195)&lt;0,"ERROR","OK"))</f>
        <v/>
      </c>
      <c r="L195" s="165" t="str">
        <f>IF($A195="","",IF(OR(N('Daily Data'!$F195)=0,N('Daily Data'!$G195)=0),"OK",IF(OR(N('Daily Data'!$E195)&gt;N('Daily Data'!$F195),N('Daily Data'!$E195)&lt;N('Daily Data'!$G195)),"ERROR","OK")))</f>
        <v/>
      </c>
      <c r="M195" s="165" t="str">
        <f>IF($A195="","",IF(N('Daily Data'!$AK195)&lt;=1,"OK",IF(ROUND(N('Daily Data'!$D195),2)=ROUND(SUMIFS('Daily Data'!$E$4:$E$503,'Daily Data'!$B$4:$B$503,'Daily Data'!$B195,'Daily Data'!$AK$4:$AK$503,'Daily Data'!$AK195-1),2),"OK","WARNING")))</f>
        <v/>
      </c>
      <c r="N195" s="165" t="str">
        <f>IF($A195="","",IF(N('Daily Data'!$N195)&lt;=0,"WARNING","OK"))</f>
        <v/>
      </c>
      <c r="O195" s="165" t="str">
        <f>IF($A195="","",IF(AND(ISNUMBER('Daily Data'!$H195),ABS(N('Daily Data'!$H195))&gt;Settings!$C$56),"WARNING","OK"))</f>
        <v/>
      </c>
      <c r="P195" s="165" t="str">
        <f>IF($A195="","",IF(OR(AND(N('Daily Data'!$K195)=0,N('Daily Data'!$I195)&gt;0),AND(N('Daily Data'!$I195)=0,N('Daily Data'!$K195)&gt;0),AND(N('Daily Data'!$L195)=0,N('Daily Data'!$M195)=0)),"WARNING","OK"))</f>
        <v/>
      </c>
      <c r="Q195" s="165" t="str">
        <f>IF($A195="","",IF(COUNTIFS('Daily Data'!$B$4:$B$503,'Daily Data'!$B195,'Daily Data'!$A$4:$A$503,'Daily Data'!$A195,'Daily Data'!$Q$4:$Q$503,'Daily Data'!$Q195)&gt;1,"WARNING","OK"))</f>
        <v/>
      </c>
      <c r="R195" s="165" t="str">
        <f>IF($A195="","",IF(AND(N('Daily Data'!$K195)&gt;0,N('Daily Data'!$J195)&lt;=0),"WARNING","OK"))</f>
        <v/>
      </c>
      <c r="S195" s="165" t="str">
        <f>IF($A195="","",COUNTIF($D195:$R195,"ERROR"))</f>
        <v/>
      </c>
      <c r="T195" s="165" t="str">
        <f>IF($A195="","",COUNTIF($D195:$R195,"WARNING"))</f>
        <v/>
      </c>
      <c r="U195" s="165" t="str">
        <f>IF($A195="","",IF($S195&gt;0,"ERROR",IF($T195&gt;0,"WARNING","PASS")))</f>
        <v/>
      </c>
    </row>
    <row r="196" spans="1:21" x14ac:dyDescent="0.3">
      <c r="A196" t="str">
        <f>IF(AND('Daily Data'!$A196="",'Daily Data'!$B196=""),"",196)</f>
        <v/>
      </c>
      <c r="B196" s="16" t="str">
        <f>IF($A196="","",'Daily Data'!$A196)</f>
        <v/>
      </c>
      <c r="C196" t="str">
        <f>IF($A196="","",'Daily Data'!$B196)</f>
        <v/>
      </c>
      <c r="D196" s="165" t="str">
        <f>IF($A196="","",IF(COUNTIFS('Daily Data'!$B$4:$B$503,'Daily Data'!$B196,'Daily Data'!$A$4:$A$503,'Daily Data'!$A196)&gt;1,"ERROR","OK"))</f>
        <v/>
      </c>
      <c r="E196" s="165" t="str">
        <f>IF($A196="","",IF('Daily Data'!$B196="","ERROR","OK"))</f>
        <v/>
      </c>
      <c r="F196" s="165" t="str">
        <f>IF($A196="","",IF(NOT(ISNUMBER('Daily Data'!$A196)),"ERROR","OK"))</f>
        <v/>
      </c>
      <c r="G196" s="165" t="str">
        <f>IF($A196="","",IF(OR(N('Daily Data'!$E196)&lt;=0,N('Daily Data'!$C196)&lt;0,N('Daily Data'!$D196)&lt;0,N('Daily Data'!$F196)&lt;0,N('Daily Data'!$G196)&lt;0),"ERROR","OK"))</f>
        <v/>
      </c>
      <c r="H196" s="165" t="str">
        <f>IF($A196="","",IF(N('Daily Data'!$K196)&lt;0,"ERROR","OK"))</f>
        <v/>
      </c>
      <c r="I196" s="165" t="str">
        <f>IF($A196="","",IF(N('Daily Data'!$I196)&lt;0,"ERROR","OK"))</f>
        <v/>
      </c>
      <c r="J196" s="165" t="str">
        <f>IF($A196="","",IF(N('Daily Data'!$L196)&lt;0,"ERROR","OK"))</f>
        <v/>
      </c>
      <c r="K196" s="165" t="str">
        <f>IF($A196="","",IF(N('Daily Data'!$M196)&lt;0,"ERROR","OK"))</f>
        <v/>
      </c>
      <c r="L196" s="165" t="str">
        <f>IF($A196="","",IF(OR(N('Daily Data'!$F196)=0,N('Daily Data'!$G196)=0),"OK",IF(OR(N('Daily Data'!$E196)&gt;N('Daily Data'!$F196),N('Daily Data'!$E196)&lt;N('Daily Data'!$G196)),"ERROR","OK")))</f>
        <v/>
      </c>
      <c r="M196" s="165" t="str">
        <f>IF($A196="","",IF(N('Daily Data'!$AK196)&lt;=1,"OK",IF(ROUND(N('Daily Data'!$D196),2)=ROUND(SUMIFS('Daily Data'!$E$4:$E$503,'Daily Data'!$B$4:$B$503,'Daily Data'!$B196,'Daily Data'!$AK$4:$AK$503,'Daily Data'!$AK196-1),2),"OK","WARNING")))</f>
        <v/>
      </c>
      <c r="N196" s="165" t="str">
        <f>IF($A196="","",IF(N('Daily Data'!$N196)&lt;=0,"WARNING","OK"))</f>
        <v/>
      </c>
      <c r="O196" s="165" t="str">
        <f>IF($A196="","",IF(AND(ISNUMBER('Daily Data'!$H196),ABS(N('Daily Data'!$H196))&gt;Settings!$C$56),"WARNING","OK"))</f>
        <v/>
      </c>
      <c r="P196" s="165" t="str">
        <f>IF($A196="","",IF(OR(AND(N('Daily Data'!$K196)=0,N('Daily Data'!$I196)&gt;0),AND(N('Daily Data'!$I196)=0,N('Daily Data'!$K196)&gt;0),AND(N('Daily Data'!$L196)=0,N('Daily Data'!$M196)=0)),"WARNING","OK"))</f>
        <v/>
      </c>
      <c r="Q196" s="165" t="str">
        <f>IF($A196="","",IF(COUNTIFS('Daily Data'!$B$4:$B$503,'Daily Data'!$B196,'Daily Data'!$A$4:$A$503,'Daily Data'!$A196,'Daily Data'!$Q$4:$Q$503,'Daily Data'!$Q196)&gt;1,"WARNING","OK"))</f>
        <v/>
      </c>
      <c r="R196" s="165" t="str">
        <f>IF($A196="","",IF(AND(N('Daily Data'!$K196)&gt;0,N('Daily Data'!$J196)&lt;=0),"WARNING","OK"))</f>
        <v/>
      </c>
      <c r="S196" s="165" t="str">
        <f>IF($A196="","",COUNTIF($D196:$R196,"ERROR"))</f>
        <v/>
      </c>
      <c r="T196" s="165" t="str">
        <f>IF($A196="","",COUNTIF($D196:$R196,"WARNING"))</f>
        <v/>
      </c>
      <c r="U196" s="165" t="str">
        <f>IF($A196="","",IF($S196&gt;0,"ERROR",IF($T196&gt;0,"WARNING","PASS")))</f>
        <v/>
      </c>
    </row>
    <row r="197" spans="1:21" x14ac:dyDescent="0.3">
      <c r="A197" t="str">
        <f>IF(AND('Daily Data'!$A197="",'Daily Data'!$B197=""),"",197)</f>
        <v/>
      </c>
      <c r="B197" s="16" t="str">
        <f>IF($A197="","",'Daily Data'!$A197)</f>
        <v/>
      </c>
      <c r="C197" t="str">
        <f>IF($A197="","",'Daily Data'!$B197)</f>
        <v/>
      </c>
      <c r="D197" s="165" t="str">
        <f>IF($A197="","",IF(COUNTIFS('Daily Data'!$B$4:$B$503,'Daily Data'!$B197,'Daily Data'!$A$4:$A$503,'Daily Data'!$A197)&gt;1,"ERROR","OK"))</f>
        <v/>
      </c>
      <c r="E197" s="165" t="str">
        <f>IF($A197="","",IF('Daily Data'!$B197="","ERROR","OK"))</f>
        <v/>
      </c>
      <c r="F197" s="165" t="str">
        <f>IF($A197="","",IF(NOT(ISNUMBER('Daily Data'!$A197)),"ERROR","OK"))</f>
        <v/>
      </c>
      <c r="G197" s="165" t="str">
        <f>IF($A197="","",IF(OR(N('Daily Data'!$E197)&lt;=0,N('Daily Data'!$C197)&lt;0,N('Daily Data'!$D197)&lt;0,N('Daily Data'!$F197)&lt;0,N('Daily Data'!$G197)&lt;0),"ERROR","OK"))</f>
        <v/>
      </c>
      <c r="H197" s="165" t="str">
        <f>IF($A197="","",IF(N('Daily Data'!$K197)&lt;0,"ERROR","OK"))</f>
        <v/>
      </c>
      <c r="I197" s="165" t="str">
        <f>IF($A197="","",IF(N('Daily Data'!$I197)&lt;0,"ERROR","OK"))</f>
        <v/>
      </c>
      <c r="J197" s="165" t="str">
        <f>IF($A197="","",IF(N('Daily Data'!$L197)&lt;0,"ERROR","OK"))</f>
        <v/>
      </c>
      <c r="K197" s="165" t="str">
        <f>IF($A197="","",IF(N('Daily Data'!$M197)&lt;0,"ERROR","OK"))</f>
        <v/>
      </c>
      <c r="L197" s="165" t="str">
        <f>IF($A197="","",IF(OR(N('Daily Data'!$F197)=0,N('Daily Data'!$G197)=0),"OK",IF(OR(N('Daily Data'!$E197)&gt;N('Daily Data'!$F197),N('Daily Data'!$E197)&lt;N('Daily Data'!$G197)),"ERROR","OK")))</f>
        <v/>
      </c>
      <c r="M197" s="165" t="str">
        <f>IF($A197="","",IF(N('Daily Data'!$AK197)&lt;=1,"OK",IF(ROUND(N('Daily Data'!$D197),2)=ROUND(SUMIFS('Daily Data'!$E$4:$E$503,'Daily Data'!$B$4:$B$503,'Daily Data'!$B197,'Daily Data'!$AK$4:$AK$503,'Daily Data'!$AK197-1),2),"OK","WARNING")))</f>
        <v/>
      </c>
      <c r="N197" s="165" t="str">
        <f>IF($A197="","",IF(N('Daily Data'!$N197)&lt;=0,"WARNING","OK"))</f>
        <v/>
      </c>
      <c r="O197" s="165" t="str">
        <f>IF($A197="","",IF(AND(ISNUMBER('Daily Data'!$H197),ABS(N('Daily Data'!$H197))&gt;Settings!$C$56),"WARNING","OK"))</f>
        <v/>
      </c>
      <c r="P197" s="165" t="str">
        <f>IF($A197="","",IF(OR(AND(N('Daily Data'!$K197)=0,N('Daily Data'!$I197)&gt;0),AND(N('Daily Data'!$I197)=0,N('Daily Data'!$K197)&gt;0),AND(N('Daily Data'!$L197)=0,N('Daily Data'!$M197)=0)),"WARNING","OK"))</f>
        <v/>
      </c>
      <c r="Q197" s="165" t="str">
        <f>IF($A197="","",IF(COUNTIFS('Daily Data'!$B$4:$B$503,'Daily Data'!$B197,'Daily Data'!$A$4:$A$503,'Daily Data'!$A197,'Daily Data'!$Q$4:$Q$503,'Daily Data'!$Q197)&gt;1,"WARNING","OK"))</f>
        <v/>
      </c>
      <c r="R197" s="165" t="str">
        <f>IF($A197="","",IF(AND(N('Daily Data'!$K197)&gt;0,N('Daily Data'!$J197)&lt;=0),"WARNING","OK"))</f>
        <v/>
      </c>
      <c r="S197" s="165" t="str">
        <f>IF($A197="","",COUNTIF($D197:$R197,"ERROR"))</f>
        <v/>
      </c>
      <c r="T197" s="165" t="str">
        <f>IF($A197="","",COUNTIF($D197:$R197,"WARNING"))</f>
        <v/>
      </c>
      <c r="U197" s="165" t="str">
        <f>IF($A197="","",IF($S197&gt;0,"ERROR",IF($T197&gt;0,"WARNING","PASS")))</f>
        <v/>
      </c>
    </row>
    <row r="198" spans="1:21" x14ac:dyDescent="0.3">
      <c r="A198" t="str">
        <f>IF(AND('Daily Data'!$A198="",'Daily Data'!$B198=""),"",198)</f>
        <v/>
      </c>
      <c r="B198" s="16" t="str">
        <f>IF($A198="","",'Daily Data'!$A198)</f>
        <v/>
      </c>
      <c r="C198" t="str">
        <f>IF($A198="","",'Daily Data'!$B198)</f>
        <v/>
      </c>
      <c r="D198" s="165" t="str">
        <f>IF($A198="","",IF(COUNTIFS('Daily Data'!$B$4:$B$503,'Daily Data'!$B198,'Daily Data'!$A$4:$A$503,'Daily Data'!$A198)&gt;1,"ERROR","OK"))</f>
        <v/>
      </c>
      <c r="E198" s="165" t="str">
        <f>IF($A198="","",IF('Daily Data'!$B198="","ERROR","OK"))</f>
        <v/>
      </c>
      <c r="F198" s="165" t="str">
        <f>IF($A198="","",IF(NOT(ISNUMBER('Daily Data'!$A198)),"ERROR","OK"))</f>
        <v/>
      </c>
      <c r="G198" s="165" t="str">
        <f>IF($A198="","",IF(OR(N('Daily Data'!$E198)&lt;=0,N('Daily Data'!$C198)&lt;0,N('Daily Data'!$D198)&lt;0,N('Daily Data'!$F198)&lt;0,N('Daily Data'!$G198)&lt;0),"ERROR","OK"))</f>
        <v/>
      </c>
      <c r="H198" s="165" t="str">
        <f>IF($A198="","",IF(N('Daily Data'!$K198)&lt;0,"ERROR","OK"))</f>
        <v/>
      </c>
      <c r="I198" s="165" t="str">
        <f>IF($A198="","",IF(N('Daily Data'!$I198)&lt;0,"ERROR","OK"))</f>
        <v/>
      </c>
      <c r="J198" s="165" t="str">
        <f>IF($A198="","",IF(N('Daily Data'!$L198)&lt;0,"ERROR","OK"))</f>
        <v/>
      </c>
      <c r="K198" s="165" t="str">
        <f>IF($A198="","",IF(N('Daily Data'!$M198)&lt;0,"ERROR","OK"))</f>
        <v/>
      </c>
      <c r="L198" s="165" t="str">
        <f>IF($A198="","",IF(OR(N('Daily Data'!$F198)=0,N('Daily Data'!$G198)=0),"OK",IF(OR(N('Daily Data'!$E198)&gt;N('Daily Data'!$F198),N('Daily Data'!$E198)&lt;N('Daily Data'!$G198)),"ERROR","OK")))</f>
        <v/>
      </c>
      <c r="M198" s="165" t="str">
        <f>IF($A198="","",IF(N('Daily Data'!$AK198)&lt;=1,"OK",IF(ROUND(N('Daily Data'!$D198),2)=ROUND(SUMIFS('Daily Data'!$E$4:$E$503,'Daily Data'!$B$4:$B$503,'Daily Data'!$B198,'Daily Data'!$AK$4:$AK$503,'Daily Data'!$AK198-1),2),"OK","WARNING")))</f>
        <v/>
      </c>
      <c r="N198" s="165" t="str">
        <f>IF($A198="","",IF(N('Daily Data'!$N198)&lt;=0,"WARNING","OK"))</f>
        <v/>
      </c>
      <c r="O198" s="165" t="str">
        <f>IF($A198="","",IF(AND(ISNUMBER('Daily Data'!$H198),ABS(N('Daily Data'!$H198))&gt;Settings!$C$56),"WARNING","OK"))</f>
        <v/>
      </c>
      <c r="P198" s="165" t="str">
        <f>IF($A198="","",IF(OR(AND(N('Daily Data'!$K198)=0,N('Daily Data'!$I198)&gt;0),AND(N('Daily Data'!$I198)=0,N('Daily Data'!$K198)&gt;0),AND(N('Daily Data'!$L198)=0,N('Daily Data'!$M198)=0)),"WARNING","OK"))</f>
        <v/>
      </c>
      <c r="Q198" s="165" t="str">
        <f>IF($A198="","",IF(COUNTIFS('Daily Data'!$B$4:$B$503,'Daily Data'!$B198,'Daily Data'!$A$4:$A$503,'Daily Data'!$A198,'Daily Data'!$Q$4:$Q$503,'Daily Data'!$Q198)&gt;1,"WARNING","OK"))</f>
        <v/>
      </c>
      <c r="R198" s="165" t="str">
        <f>IF($A198="","",IF(AND(N('Daily Data'!$K198)&gt;0,N('Daily Data'!$J198)&lt;=0),"WARNING","OK"))</f>
        <v/>
      </c>
      <c r="S198" s="165" t="str">
        <f>IF($A198="","",COUNTIF($D198:$R198,"ERROR"))</f>
        <v/>
      </c>
      <c r="T198" s="165" t="str">
        <f>IF($A198="","",COUNTIF($D198:$R198,"WARNING"))</f>
        <v/>
      </c>
      <c r="U198" s="165" t="str">
        <f>IF($A198="","",IF($S198&gt;0,"ERROR",IF($T198&gt;0,"WARNING","PASS")))</f>
        <v/>
      </c>
    </row>
    <row r="199" spans="1:21" x14ac:dyDescent="0.3">
      <c r="A199" t="str">
        <f>IF(AND('Daily Data'!$A199="",'Daily Data'!$B199=""),"",199)</f>
        <v/>
      </c>
      <c r="B199" s="16" t="str">
        <f>IF($A199="","",'Daily Data'!$A199)</f>
        <v/>
      </c>
      <c r="C199" t="str">
        <f>IF($A199="","",'Daily Data'!$B199)</f>
        <v/>
      </c>
      <c r="D199" s="165" t="str">
        <f>IF($A199="","",IF(COUNTIFS('Daily Data'!$B$4:$B$503,'Daily Data'!$B199,'Daily Data'!$A$4:$A$503,'Daily Data'!$A199)&gt;1,"ERROR","OK"))</f>
        <v/>
      </c>
      <c r="E199" s="165" t="str">
        <f>IF($A199="","",IF('Daily Data'!$B199="","ERROR","OK"))</f>
        <v/>
      </c>
      <c r="F199" s="165" t="str">
        <f>IF($A199="","",IF(NOT(ISNUMBER('Daily Data'!$A199)),"ERROR","OK"))</f>
        <v/>
      </c>
      <c r="G199" s="165" t="str">
        <f>IF($A199="","",IF(OR(N('Daily Data'!$E199)&lt;=0,N('Daily Data'!$C199)&lt;0,N('Daily Data'!$D199)&lt;0,N('Daily Data'!$F199)&lt;0,N('Daily Data'!$G199)&lt;0),"ERROR","OK"))</f>
        <v/>
      </c>
      <c r="H199" s="165" t="str">
        <f>IF($A199="","",IF(N('Daily Data'!$K199)&lt;0,"ERROR","OK"))</f>
        <v/>
      </c>
      <c r="I199" s="165" t="str">
        <f>IF($A199="","",IF(N('Daily Data'!$I199)&lt;0,"ERROR","OK"))</f>
        <v/>
      </c>
      <c r="J199" s="165" t="str">
        <f>IF($A199="","",IF(N('Daily Data'!$L199)&lt;0,"ERROR","OK"))</f>
        <v/>
      </c>
      <c r="K199" s="165" t="str">
        <f>IF($A199="","",IF(N('Daily Data'!$M199)&lt;0,"ERROR","OK"))</f>
        <v/>
      </c>
      <c r="L199" s="165" t="str">
        <f>IF($A199="","",IF(OR(N('Daily Data'!$F199)=0,N('Daily Data'!$G199)=0),"OK",IF(OR(N('Daily Data'!$E199)&gt;N('Daily Data'!$F199),N('Daily Data'!$E199)&lt;N('Daily Data'!$G199)),"ERROR","OK")))</f>
        <v/>
      </c>
      <c r="M199" s="165" t="str">
        <f>IF($A199="","",IF(N('Daily Data'!$AK199)&lt;=1,"OK",IF(ROUND(N('Daily Data'!$D199),2)=ROUND(SUMIFS('Daily Data'!$E$4:$E$503,'Daily Data'!$B$4:$B$503,'Daily Data'!$B199,'Daily Data'!$AK$4:$AK$503,'Daily Data'!$AK199-1),2),"OK","WARNING")))</f>
        <v/>
      </c>
      <c r="N199" s="165" t="str">
        <f>IF($A199="","",IF(N('Daily Data'!$N199)&lt;=0,"WARNING","OK"))</f>
        <v/>
      </c>
      <c r="O199" s="165" t="str">
        <f>IF($A199="","",IF(AND(ISNUMBER('Daily Data'!$H199),ABS(N('Daily Data'!$H199))&gt;Settings!$C$56),"WARNING","OK"))</f>
        <v/>
      </c>
      <c r="P199" s="165" t="str">
        <f>IF($A199="","",IF(OR(AND(N('Daily Data'!$K199)=0,N('Daily Data'!$I199)&gt;0),AND(N('Daily Data'!$I199)=0,N('Daily Data'!$K199)&gt;0),AND(N('Daily Data'!$L199)=0,N('Daily Data'!$M199)=0)),"WARNING","OK"))</f>
        <v/>
      </c>
      <c r="Q199" s="165" t="str">
        <f>IF($A199="","",IF(COUNTIFS('Daily Data'!$B$4:$B$503,'Daily Data'!$B199,'Daily Data'!$A$4:$A$503,'Daily Data'!$A199,'Daily Data'!$Q$4:$Q$503,'Daily Data'!$Q199)&gt;1,"WARNING","OK"))</f>
        <v/>
      </c>
      <c r="R199" s="165" t="str">
        <f>IF($A199="","",IF(AND(N('Daily Data'!$K199)&gt;0,N('Daily Data'!$J199)&lt;=0),"WARNING","OK"))</f>
        <v/>
      </c>
      <c r="S199" s="165" t="str">
        <f>IF($A199="","",COUNTIF($D199:$R199,"ERROR"))</f>
        <v/>
      </c>
      <c r="T199" s="165" t="str">
        <f>IF($A199="","",COUNTIF($D199:$R199,"WARNING"))</f>
        <v/>
      </c>
      <c r="U199" s="165" t="str">
        <f>IF($A199="","",IF($S199&gt;0,"ERROR",IF($T199&gt;0,"WARNING","PASS")))</f>
        <v/>
      </c>
    </row>
    <row r="200" spans="1:21" x14ac:dyDescent="0.3">
      <c r="A200" t="str">
        <f>IF(AND('Daily Data'!$A200="",'Daily Data'!$B200=""),"",200)</f>
        <v/>
      </c>
      <c r="B200" s="16" t="str">
        <f>IF($A200="","",'Daily Data'!$A200)</f>
        <v/>
      </c>
      <c r="C200" t="str">
        <f>IF($A200="","",'Daily Data'!$B200)</f>
        <v/>
      </c>
      <c r="D200" s="165" t="str">
        <f>IF($A200="","",IF(COUNTIFS('Daily Data'!$B$4:$B$503,'Daily Data'!$B200,'Daily Data'!$A$4:$A$503,'Daily Data'!$A200)&gt;1,"ERROR","OK"))</f>
        <v/>
      </c>
      <c r="E200" s="165" t="str">
        <f>IF($A200="","",IF('Daily Data'!$B200="","ERROR","OK"))</f>
        <v/>
      </c>
      <c r="F200" s="165" t="str">
        <f>IF($A200="","",IF(NOT(ISNUMBER('Daily Data'!$A200)),"ERROR","OK"))</f>
        <v/>
      </c>
      <c r="G200" s="165" t="str">
        <f>IF($A200="","",IF(OR(N('Daily Data'!$E200)&lt;=0,N('Daily Data'!$C200)&lt;0,N('Daily Data'!$D200)&lt;0,N('Daily Data'!$F200)&lt;0,N('Daily Data'!$G200)&lt;0),"ERROR","OK"))</f>
        <v/>
      </c>
      <c r="H200" s="165" t="str">
        <f>IF($A200="","",IF(N('Daily Data'!$K200)&lt;0,"ERROR","OK"))</f>
        <v/>
      </c>
      <c r="I200" s="165" t="str">
        <f>IF($A200="","",IF(N('Daily Data'!$I200)&lt;0,"ERROR","OK"))</f>
        <v/>
      </c>
      <c r="J200" s="165" t="str">
        <f>IF($A200="","",IF(N('Daily Data'!$L200)&lt;0,"ERROR","OK"))</f>
        <v/>
      </c>
      <c r="K200" s="165" t="str">
        <f>IF($A200="","",IF(N('Daily Data'!$M200)&lt;0,"ERROR","OK"))</f>
        <v/>
      </c>
      <c r="L200" s="165" t="str">
        <f>IF($A200="","",IF(OR(N('Daily Data'!$F200)=0,N('Daily Data'!$G200)=0),"OK",IF(OR(N('Daily Data'!$E200)&gt;N('Daily Data'!$F200),N('Daily Data'!$E200)&lt;N('Daily Data'!$G200)),"ERROR","OK")))</f>
        <v/>
      </c>
      <c r="M200" s="165" t="str">
        <f>IF($A200="","",IF(N('Daily Data'!$AK200)&lt;=1,"OK",IF(ROUND(N('Daily Data'!$D200),2)=ROUND(SUMIFS('Daily Data'!$E$4:$E$503,'Daily Data'!$B$4:$B$503,'Daily Data'!$B200,'Daily Data'!$AK$4:$AK$503,'Daily Data'!$AK200-1),2),"OK","WARNING")))</f>
        <v/>
      </c>
      <c r="N200" s="165" t="str">
        <f>IF($A200="","",IF(N('Daily Data'!$N200)&lt;=0,"WARNING","OK"))</f>
        <v/>
      </c>
      <c r="O200" s="165" t="str">
        <f>IF($A200="","",IF(AND(ISNUMBER('Daily Data'!$H200),ABS(N('Daily Data'!$H200))&gt;Settings!$C$56),"WARNING","OK"))</f>
        <v/>
      </c>
      <c r="P200" s="165" t="str">
        <f>IF($A200="","",IF(OR(AND(N('Daily Data'!$K200)=0,N('Daily Data'!$I200)&gt;0),AND(N('Daily Data'!$I200)=0,N('Daily Data'!$K200)&gt;0),AND(N('Daily Data'!$L200)=0,N('Daily Data'!$M200)=0)),"WARNING","OK"))</f>
        <v/>
      </c>
      <c r="Q200" s="165" t="str">
        <f>IF($A200="","",IF(COUNTIFS('Daily Data'!$B$4:$B$503,'Daily Data'!$B200,'Daily Data'!$A$4:$A$503,'Daily Data'!$A200,'Daily Data'!$Q$4:$Q$503,'Daily Data'!$Q200)&gt;1,"WARNING","OK"))</f>
        <v/>
      </c>
      <c r="R200" s="165" t="str">
        <f>IF($A200="","",IF(AND(N('Daily Data'!$K200)&gt;0,N('Daily Data'!$J200)&lt;=0),"WARNING","OK"))</f>
        <v/>
      </c>
      <c r="S200" s="165" t="str">
        <f>IF($A200="","",COUNTIF($D200:$R200,"ERROR"))</f>
        <v/>
      </c>
      <c r="T200" s="165" t="str">
        <f>IF($A200="","",COUNTIF($D200:$R200,"WARNING"))</f>
        <v/>
      </c>
      <c r="U200" s="165" t="str">
        <f>IF($A200="","",IF($S200&gt;0,"ERROR",IF($T200&gt;0,"WARNING","PASS")))</f>
        <v/>
      </c>
    </row>
    <row r="201" spans="1:21" x14ac:dyDescent="0.3">
      <c r="A201" t="str">
        <f>IF(AND('Daily Data'!$A201="",'Daily Data'!$B201=""),"",201)</f>
        <v/>
      </c>
      <c r="B201" s="16" t="str">
        <f>IF($A201="","",'Daily Data'!$A201)</f>
        <v/>
      </c>
      <c r="C201" t="str">
        <f>IF($A201="","",'Daily Data'!$B201)</f>
        <v/>
      </c>
      <c r="D201" s="165" t="str">
        <f>IF($A201="","",IF(COUNTIFS('Daily Data'!$B$4:$B$503,'Daily Data'!$B201,'Daily Data'!$A$4:$A$503,'Daily Data'!$A201)&gt;1,"ERROR","OK"))</f>
        <v/>
      </c>
      <c r="E201" s="165" t="str">
        <f>IF($A201="","",IF('Daily Data'!$B201="","ERROR","OK"))</f>
        <v/>
      </c>
      <c r="F201" s="165" t="str">
        <f>IF($A201="","",IF(NOT(ISNUMBER('Daily Data'!$A201)),"ERROR","OK"))</f>
        <v/>
      </c>
      <c r="G201" s="165" t="str">
        <f>IF($A201="","",IF(OR(N('Daily Data'!$E201)&lt;=0,N('Daily Data'!$C201)&lt;0,N('Daily Data'!$D201)&lt;0,N('Daily Data'!$F201)&lt;0,N('Daily Data'!$G201)&lt;0),"ERROR","OK"))</f>
        <v/>
      </c>
      <c r="H201" s="165" t="str">
        <f>IF($A201="","",IF(N('Daily Data'!$K201)&lt;0,"ERROR","OK"))</f>
        <v/>
      </c>
      <c r="I201" s="165" t="str">
        <f>IF($A201="","",IF(N('Daily Data'!$I201)&lt;0,"ERROR","OK"))</f>
        <v/>
      </c>
      <c r="J201" s="165" t="str">
        <f>IF($A201="","",IF(N('Daily Data'!$L201)&lt;0,"ERROR","OK"))</f>
        <v/>
      </c>
      <c r="K201" s="165" t="str">
        <f>IF($A201="","",IF(N('Daily Data'!$M201)&lt;0,"ERROR","OK"))</f>
        <v/>
      </c>
      <c r="L201" s="165" t="str">
        <f>IF($A201="","",IF(OR(N('Daily Data'!$F201)=0,N('Daily Data'!$G201)=0),"OK",IF(OR(N('Daily Data'!$E201)&gt;N('Daily Data'!$F201),N('Daily Data'!$E201)&lt;N('Daily Data'!$G201)),"ERROR","OK")))</f>
        <v/>
      </c>
      <c r="M201" s="165" t="str">
        <f>IF($A201="","",IF(N('Daily Data'!$AK201)&lt;=1,"OK",IF(ROUND(N('Daily Data'!$D201),2)=ROUND(SUMIFS('Daily Data'!$E$4:$E$503,'Daily Data'!$B$4:$B$503,'Daily Data'!$B201,'Daily Data'!$AK$4:$AK$503,'Daily Data'!$AK201-1),2),"OK","WARNING")))</f>
        <v/>
      </c>
      <c r="N201" s="165" t="str">
        <f>IF($A201="","",IF(N('Daily Data'!$N201)&lt;=0,"WARNING","OK"))</f>
        <v/>
      </c>
      <c r="O201" s="165" t="str">
        <f>IF($A201="","",IF(AND(ISNUMBER('Daily Data'!$H201),ABS(N('Daily Data'!$H201))&gt;Settings!$C$56),"WARNING","OK"))</f>
        <v/>
      </c>
      <c r="P201" s="165" t="str">
        <f>IF($A201="","",IF(OR(AND(N('Daily Data'!$K201)=0,N('Daily Data'!$I201)&gt;0),AND(N('Daily Data'!$I201)=0,N('Daily Data'!$K201)&gt;0),AND(N('Daily Data'!$L201)=0,N('Daily Data'!$M201)=0)),"WARNING","OK"))</f>
        <v/>
      </c>
      <c r="Q201" s="165" t="str">
        <f>IF($A201="","",IF(COUNTIFS('Daily Data'!$B$4:$B$503,'Daily Data'!$B201,'Daily Data'!$A$4:$A$503,'Daily Data'!$A201,'Daily Data'!$Q$4:$Q$503,'Daily Data'!$Q201)&gt;1,"WARNING","OK"))</f>
        <v/>
      </c>
      <c r="R201" s="165" t="str">
        <f>IF($A201="","",IF(AND(N('Daily Data'!$K201)&gt;0,N('Daily Data'!$J201)&lt;=0),"WARNING","OK"))</f>
        <v/>
      </c>
      <c r="S201" s="165" t="str">
        <f>IF($A201="","",COUNTIF($D201:$R201,"ERROR"))</f>
        <v/>
      </c>
      <c r="T201" s="165" t="str">
        <f>IF($A201="","",COUNTIF($D201:$R201,"WARNING"))</f>
        <v/>
      </c>
      <c r="U201" s="165" t="str">
        <f>IF($A201="","",IF($S201&gt;0,"ERROR",IF($T201&gt;0,"WARNING","PASS")))</f>
        <v/>
      </c>
    </row>
    <row r="202" spans="1:21" x14ac:dyDescent="0.3">
      <c r="A202" t="str">
        <f>IF(AND('Daily Data'!$A202="",'Daily Data'!$B202=""),"",202)</f>
        <v/>
      </c>
      <c r="B202" s="16" t="str">
        <f>IF($A202="","",'Daily Data'!$A202)</f>
        <v/>
      </c>
      <c r="C202" t="str">
        <f>IF($A202="","",'Daily Data'!$B202)</f>
        <v/>
      </c>
      <c r="D202" s="165" t="str">
        <f>IF($A202="","",IF(COUNTIFS('Daily Data'!$B$4:$B$503,'Daily Data'!$B202,'Daily Data'!$A$4:$A$503,'Daily Data'!$A202)&gt;1,"ERROR","OK"))</f>
        <v/>
      </c>
      <c r="E202" s="165" t="str">
        <f>IF($A202="","",IF('Daily Data'!$B202="","ERROR","OK"))</f>
        <v/>
      </c>
      <c r="F202" s="165" t="str">
        <f>IF($A202="","",IF(NOT(ISNUMBER('Daily Data'!$A202)),"ERROR","OK"))</f>
        <v/>
      </c>
      <c r="G202" s="165" t="str">
        <f>IF($A202="","",IF(OR(N('Daily Data'!$E202)&lt;=0,N('Daily Data'!$C202)&lt;0,N('Daily Data'!$D202)&lt;0,N('Daily Data'!$F202)&lt;0,N('Daily Data'!$G202)&lt;0),"ERROR","OK"))</f>
        <v/>
      </c>
      <c r="H202" s="165" t="str">
        <f>IF($A202="","",IF(N('Daily Data'!$K202)&lt;0,"ERROR","OK"))</f>
        <v/>
      </c>
      <c r="I202" s="165" t="str">
        <f>IF($A202="","",IF(N('Daily Data'!$I202)&lt;0,"ERROR","OK"))</f>
        <v/>
      </c>
      <c r="J202" s="165" t="str">
        <f>IF($A202="","",IF(N('Daily Data'!$L202)&lt;0,"ERROR","OK"))</f>
        <v/>
      </c>
      <c r="K202" s="165" t="str">
        <f>IF($A202="","",IF(N('Daily Data'!$M202)&lt;0,"ERROR","OK"))</f>
        <v/>
      </c>
      <c r="L202" s="165" t="str">
        <f>IF($A202="","",IF(OR(N('Daily Data'!$F202)=0,N('Daily Data'!$G202)=0),"OK",IF(OR(N('Daily Data'!$E202)&gt;N('Daily Data'!$F202),N('Daily Data'!$E202)&lt;N('Daily Data'!$G202)),"ERROR","OK")))</f>
        <v/>
      </c>
      <c r="M202" s="165" t="str">
        <f>IF($A202="","",IF(N('Daily Data'!$AK202)&lt;=1,"OK",IF(ROUND(N('Daily Data'!$D202),2)=ROUND(SUMIFS('Daily Data'!$E$4:$E$503,'Daily Data'!$B$4:$B$503,'Daily Data'!$B202,'Daily Data'!$AK$4:$AK$503,'Daily Data'!$AK202-1),2),"OK","WARNING")))</f>
        <v/>
      </c>
      <c r="N202" s="165" t="str">
        <f>IF($A202="","",IF(N('Daily Data'!$N202)&lt;=0,"WARNING","OK"))</f>
        <v/>
      </c>
      <c r="O202" s="165" t="str">
        <f>IF($A202="","",IF(AND(ISNUMBER('Daily Data'!$H202),ABS(N('Daily Data'!$H202))&gt;Settings!$C$56),"WARNING","OK"))</f>
        <v/>
      </c>
      <c r="P202" s="165" t="str">
        <f>IF($A202="","",IF(OR(AND(N('Daily Data'!$K202)=0,N('Daily Data'!$I202)&gt;0),AND(N('Daily Data'!$I202)=0,N('Daily Data'!$K202)&gt;0),AND(N('Daily Data'!$L202)=0,N('Daily Data'!$M202)=0)),"WARNING","OK"))</f>
        <v/>
      </c>
      <c r="Q202" s="165" t="str">
        <f>IF($A202="","",IF(COUNTIFS('Daily Data'!$B$4:$B$503,'Daily Data'!$B202,'Daily Data'!$A$4:$A$503,'Daily Data'!$A202,'Daily Data'!$Q$4:$Q$503,'Daily Data'!$Q202)&gt;1,"WARNING","OK"))</f>
        <v/>
      </c>
      <c r="R202" s="165" t="str">
        <f>IF($A202="","",IF(AND(N('Daily Data'!$K202)&gt;0,N('Daily Data'!$J202)&lt;=0),"WARNING","OK"))</f>
        <v/>
      </c>
      <c r="S202" s="165" t="str">
        <f>IF($A202="","",COUNTIF($D202:$R202,"ERROR"))</f>
        <v/>
      </c>
      <c r="T202" s="165" t="str">
        <f>IF($A202="","",COUNTIF($D202:$R202,"WARNING"))</f>
        <v/>
      </c>
      <c r="U202" s="165" t="str">
        <f>IF($A202="","",IF($S202&gt;0,"ERROR",IF($T202&gt;0,"WARNING","PASS")))</f>
        <v/>
      </c>
    </row>
    <row r="203" spans="1:21" x14ac:dyDescent="0.3">
      <c r="A203" t="str">
        <f>IF(AND('Daily Data'!$A203="",'Daily Data'!$B203=""),"",203)</f>
        <v/>
      </c>
      <c r="B203" s="16" t="str">
        <f>IF($A203="","",'Daily Data'!$A203)</f>
        <v/>
      </c>
      <c r="C203" t="str">
        <f>IF($A203="","",'Daily Data'!$B203)</f>
        <v/>
      </c>
      <c r="D203" s="165" t="str">
        <f>IF($A203="","",IF(COUNTIFS('Daily Data'!$B$4:$B$503,'Daily Data'!$B203,'Daily Data'!$A$4:$A$503,'Daily Data'!$A203)&gt;1,"ERROR","OK"))</f>
        <v/>
      </c>
      <c r="E203" s="165" t="str">
        <f>IF($A203="","",IF('Daily Data'!$B203="","ERROR","OK"))</f>
        <v/>
      </c>
      <c r="F203" s="165" t="str">
        <f>IF($A203="","",IF(NOT(ISNUMBER('Daily Data'!$A203)),"ERROR","OK"))</f>
        <v/>
      </c>
      <c r="G203" s="165" t="str">
        <f>IF($A203="","",IF(OR(N('Daily Data'!$E203)&lt;=0,N('Daily Data'!$C203)&lt;0,N('Daily Data'!$D203)&lt;0,N('Daily Data'!$F203)&lt;0,N('Daily Data'!$G203)&lt;0),"ERROR","OK"))</f>
        <v/>
      </c>
      <c r="H203" s="165" t="str">
        <f>IF($A203="","",IF(N('Daily Data'!$K203)&lt;0,"ERROR","OK"))</f>
        <v/>
      </c>
      <c r="I203" s="165" t="str">
        <f>IF($A203="","",IF(N('Daily Data'!$I203)&lt;0,"ERROR","OK"))</f>
        <v/>
      </c>
      <c r="J203" s="165" t="str">
        <f>IF($A203="","",IF(N('Daily Data'!$L203)&lt;0,"ERROR","OK"))</f>
        <v/>
      </c>
      <c r="K203" s="165" t="str">
        <f>IF($A203="","",IF(N('Daily Data'!$M203)&lt;0,"ERROR","OK"))</f>
        <v/>
      </c>
      <c r="L203" s="165" t="str">
        <f>IF($A203="","",IF(OR(N('Daily Data'!$F203)=0,N('Daily Data'!$G203)=0),"OK",IF(OR(N('Daily Data'!$E203)&gt;N('Daily Data'!$F203),N('Daily Data'!$E203)&lt;N('Daily Data'!$G203)),"ERROR","OK")))</f>
        <v/>
      </c>
      <c r="M203" s="165" t="str">
        <f>IF($A203="","",IF(N('Daily Data'!$AK203)&lt;=1,"OK",IF(ROUND(N('Daily Data'!$D203),2)=ROUND(SUMIFS('Daily Data'!$E$4:$E$503,'Daily Data'!$B$4:$B$503,'Daily Data'!$B203,'Daily Data'!$AK$4:$AK$503,'Daily Data'!$AK203-1),2),"OK","WARNING")))</f>
        <v/>
      </c>
      <c r="N203" s="165" t="str">
        <f>IF($A203="","",IF(N('Daily Data'!$N203)&lt;=0,"WARNING","OK"))</f>
        <v/>
      </c>
      <c r="O203" s="165" t="str">
        <f>IF($A203="","",IF(AND(ISNUMBER('Daily Data'!$H203),ABS(N('Daily Data'!$H203))&gt;Settings!$C$56),"WARNING","OK"))</f>
        <v/>
      </c>
      <c r="P203" s="165" t="str">
        <f>IF($A203="","",IF(OR(AND(N('Daily Data'!$K203)=0,N('Daily Data'!$I203)&gt;0),AND(N('Daily Data'!$I203)=0,N('Daily Data'!$K203)&gt;0),AND(N('Daily Data'!$L203)=0,N('Daily Data'!$M203)=0)),"WARNING","OK"))</f>
        <v/>
      </c>
      <c r="Q203" s="165" t="str">
        <f>IF($A203="","",IF(COUNTIFS('Daily Data'!$B$4:$B$503,'Daily Data'!$B203,'Daily Data'!$A$4:$A$503,'Daily Data'!$A203,'Daily Data'!$Q$4:$Q$503,'Daily Data'!$Q203)&gt;1,"WARNING","OK"))</f>
        <v/>
      </c>
      <c r="R203" s="165" t="str">
        <f>IF($A203="","",IF(AND(N('Daily Data'!$K203)&gt;0,N('Daily Data'!$J203)&lt;=0),"WARNING","OK"))</f>
        <v/>
      </c>
      <c r="S203" s="165" t="str">
        <f>IF($A203="","",COUNTIF($D203:$R203,"ERROR"))</f>
        <v/>
      </c>
      <c r="T203" s="165" t="str">
        <f>IF($A203="","",COUNTIF($D203:$R203,"WARNING"))</f>
        <v/>
      </c>
      <c r="U203" s="165" t="str">
        <f>IF($A203="","",IF($S203&gt;0,"ERROR",IF($T203&gt;0,"WARNING","PASS")))</f>
        <v/>
      </c>
    </row>
    <row r="204" spans="1:21" x14ac:dyDescent="0.3">
      <c r="A204" t="str">
        <f>IF(AND('Daily Data'!$A204="",'Daily Data'!$B204=""),"",204)</f>
        <v/>
      </c>
      <c r="B204" s="16" t="str">
        <f>IF($A204="","",'Daily Data'!$A204)</f>
        <v/>
      </c>
      <c r="C204" t="str">
        <f>IF($A204="","",'Daily Data'!$B204)</f>
        <v/>
      </c>
      <c r="D204" s="165" t="str">
        <f>IF($A204="","",IF(COUNTIFS('Daily Data'!$B$4:$B$503,'Daily Data'!$B204,'Daily Data'!$A$4:$A$503,'Daily Data'!$A204)&gt;1,"ERROR","OK"))</f>
        <v/>
      </c>
      <c r="E204" s="165" t="str">
        <f>IF($A204="","",IF('Daily Data'!$B204="","ERROR","OK"))</f>
        <v/>
      </c>
      <c r="F204" s="165" t="str">
        <f>IF($A204="","",IF(NOT(ISNUMBER('Daily Data'!$A204)),"ERROR","OK"))</f>
        <v/>
      </c>
      <c r="G204" s="165" t="str">
        <f>IF($A204="","",IF(OR(N('Daily Data'!$E204)&lt;=0,N('Daily Data'!$C204)&lt;0,N('Daily Data'!$D204)&lt;0,N('Daily Data'!$F204)&lt;0,N('Daily Data'!$G204)&lt;0),"ERROR","OK"))</f>
        <v/>
      </c>
      <c r="H204" s="165" t="str">
        <f>IF($A204="","",IF(N('Daily Data'!$K204)&lt;0,"ERROR","OK"))</f>
        <v/>
      </c>
      <c r="I204" s="165" t="str">
        <f>IF($A204="","",IF(N('Daily Data'!$I204)&lt;0,"ERROR","OK"))</f>
        <v/>
      </c>
      <c r="J204" s="165" t="str">
        <f>IF($A204="","",IF(N('Daily Data'!$L204)&lt;0,"ERROR","OK"))</f>
        <v/>
      </c>
      <c r="K204" s="165" t="str">
        <f>IF($A204="","",IF(N('Daily Data'!$M204)&lt;0,"ERROR","OK"))</f>
        <v/>
      </c>
      <c r="L204" s="165" t="str">
        <f>IF($A204="","",IF(OR(N('Daily Data'!$F204)=0,N('Daily Data'!$G204)=0),"OK",IF(OR(N('Daily Data'!$E204)&gt;N('Daily Data'!$F204),N('Daily Data'!$E204)&lt;N('Daily Data'!$G204)),"ERROR","OK")))</f>
        <v/>
      </c>
      <c r="M204" s="165" t="str">
        <f>IF($A204="","",IF(N('Daily Data'!$AK204)&lt;=1,"OK",IF(ROUND(N('Daily Data'!$D204),2)=ROUND(SUMIFS('Daily Data'!$E$4:$E$503,'Daily Data'!$B$4:$B$503,'Daily Data'!$B204,'Daily Data'!$AK$4:$AK$503,'Daily Data'!$AK204-1),2),"OK","WARNING")))</f>
        <v/>
      </c>
      <c r="N204" s="165" t="str">
        <f>IF($A204="","",IF(N('Daily Data'!$N204)&lt;=0,"WARNING","OK"))</f>
        <v/>
      </c>
      <c r="O204" s="165" t="str">
        <f>IF($A204="","",IF(AND(ISNUMBER('Daily Data'!$H204),ABS(N('Daily Data'!$H204))&gt;Settings!$C$56),"WARNING","OK"))</f>
        <v/>
      </c>
      <c r="P204" s="165" t="str">
        <f>IF($A204="","",IF(OR(AND(N('Daily Data'!$K204)=0,N('Daily Data'!$I204)&gt;0),AND(N('Daily Data'!$I204)=0,N('Daily Data'!$K204)&gt;0),AND(N('Daily Data'!$L204)=0,N('Daily Data'!$M204)=0)),"WARNING","OK"))</f>
        <v/>
      </c>
      <c r="Q204" s="165" t="str">
        <f>IF($A204="","",IF(COUNTIFS('Daily Data'!$B$4:$B$503,'Daily Data'!$B204,'Daily Data'!$A$4:$A$503,'Daily Data'!$A204,'Daily Data'!$Q$4:$Q$503,'Daily Data'!$Q204)&gt;1,"WARNING","OK"))</f>
        <v/>
      </c>
      <c r="R204" s="165" t="str">
        <f>IF($A204="","",IF(AND(N('Daily Data'!$K204)&gt;0,N('Daily Data'!$J204)&lt;=0),"WARNING","OK"))</f>
        <v/>
      </c>
      <c r="S204" s="165" t="str">
        <f>IF($A204="","",COUNTIF($D204:$R204,"ERROR"))</f>
        <v/>
      </c>
      <c r="T204" s="165" t="str">
        <f>IF($A204="","",COUNTIF($D204:$R204,"WARNING"))</f>
        <v/>
      </c>
      <c r="U204" s="165" t="str">
        <f>IF($A204="","",IF($S204&gt;0,"ERROR",IF($T204&gt;0,"WARNING","PASS")))</f>
        <v/>
      </c>
    </row>
    <row r="205" spans="1:21" x14ac:dyDescent="0.3">
      <c r="A205" t="str">
        <f>IF(AND('Daily Data'!$A205="",'Daily Data'!$B205=""),"",205)</f>
        <v/>
      </c>
      <c r="B205" s="16" t="str">
        <f>IF($A205="","",'Daily Data'!$A205)</f>
        <v/>
      </c>
      <c r="C205" t="str">
        <f>IF($A205="","",'Daily Data'!$B205)</f>
        <v/>
      </c>
      <c r="D205" s="165" t="str">
        <f>IF($A205="","",IF(COUNTIFS('Daily Data'!$B$4:$B$503,'Daily Data'!$B205,'Daily Data'!$A$4:$A$503,'Daily Data'!$A205)&gt;1,"ERROR","OK"))</f>
        <v/>
      </c>
      <c r="E205" s="165" t="str">
        <f>IF($A205="","",IF('Daily Data'!$B205="","ERROR","OK"))</f>
        <v/>
      </c>
      <c r="F205" s="165" t="str">
        <f>IF($A205="","",IF(NOT(ISNUMBER('Daily Data'!$A205)),"ERROR","OK"))</f>
        <v/>
      </c>
      <c r="G205" s="165" t="str">
        <f>IF($A205="","",IF(OR(N('Daily Data'!$E205)&lt;=0,N('Daily Data'!$C205)&lt;0,N('Daily Data'!$D205)&lt;0,N('Daily Data'!$F205)&lt;0,N('Daily Data'!$G205)&lt;0),"ERROR","OK"))</f>
        <v/>
      </c>
      <c r="H205" s="165" t="str">
        <f>IF($A205="","",IF(N('Daily Data'!$K205)&lt;0,"ERROR","OK"))</f>
        <v/>
      </c>
      <c r="I205" s="165" t="str">
        <f>IF($A205="","",IF(N('Daily Data'!$I205)&lt;0,"ERROR","OK"))</f>
        <v/>
      </c>
      <c r="J205" s="165" t="str">
        <f>IF($A205="","",IF(N('Daily Data'!$L205)&lt;0,"ERROR","OK"))</f>
        <v/>
      </c>
      <c r="K205" s="165" t="str">
        <f>IF($A205="","",IF(N('Daily Data'!$M205)&lt;0,"ERROR","OK"))</f>
        <v/>
      </c>
      <c r="L205" s="165" t="str">
        <f>IF($A205="","",IF(OR(N('Daily Data'!$F205)=0,N('Daily Data'!$G205)=0),"OK",IF(OR(N('Daily Data'!$E205)&gt;N('Daily Data'!$F205),N('Daily Data'!$E205)&lt;N('Daily Data'!$G205)),"ERROR","OK")))</f>
        <v/>
      </c>
      <c r="M205" s="165" t="str">
        <f>IF($A205="","",IF(N('Daily Data'!$AK205)&lt;=1,"OK",IF(ROUND(N('Daily Data'!$D205),2)=ROUND(SUMIFS('Daily Data'!$E$4:$E$503,'Daily Data'!$B$4:$B$503,'Daily Data'!$B205,'Daily Data'!$AK$4:$AK$503,'Daily Data'!$AK205-1),2),"OK","WARNING")))</f>
        <v/>
      </c>
      <c r="N205" s="165" t="str">
        <f>IF($A205="","",IF(N('Daily Data'!$N205)&lt;=0,"WARNING","OK"))</f>
        <v/>
      </c>
      <c r="O205" s="165" t="str">
        <f>IF($A205="","",IF(AND(ISNUMBER('Daily Data'!$H205),ABS(N('Daily Data'!$H205))&gt;Settings!$C$56),"WARNING","OK"))</f>
        <v/>
      </c>
      <c r="P205" s="165" t="str">
        <f>IF($A205="","",IF(OR(AND(N('Daily Data'!$K205)=0,N('Daily Data'!$I205)&gt;0),AND(N('Daily Data'!$I205)=0,N('Daily Data'!$K205)&gt;0),AND(N('Daily Data'!$L205)=0,N('Daily Data'!$M205)=0)),"WARNING","OK"))</f>
        <v/>
      </c>
      <c r="Q205" s="165" t="str">
        <f>IF($A205="","",IF(COUNTIFS('Daily Data'!$B$4:$B$503,'Daily Data'!$B205,'Daily Data'!$A$4:$A$503,'Daily Data'!$A205,'Daily Data'!$Q$4:$Q$503,'Daily Data'!$Q205)&gt;1,"WARNING","OK"))</f>
        <v/>
      </c>
      <c r="R205" s="165" t="str">
        <f>IF($A205="","",IF(AND(N('Daily Data'!$K205)&gt;0,N('Daily Data'!$J205)&lt;=0),"WARNING","OK"))</f>
        <v/>
      </c>
      <c r="S205" s="165" t="str">
        <f>IF($A205="","",COUNTIF($D205:$R205,"ERROR"))</f>
        <v/>
      </c>
      <c r="T205" s="165" t="str">
        <f>IF($A205="","",COUNTIF($D205:$R205,"WARNING"))</f>
        <v/>
      </c>
      <c r="U205" s="165" t="str">
        <f>IF($A205="","",IF($S205&gt;0,"ERROR",IF($T205&gt;0,"WARNING","PASS")))</f>
        <v/>
      </c>
    </row>
    <row r="206" spans="1:21" x14ac:dyDescent="0.3">
      <c r="A206" t="str">
        <f>IF(AND('Daily Data'!$A206="",'Daily Data'!$B206=""),"",206)</f>
        <v/>
      </c>
      <c r="B206" s="16" t="str">
        <f>IF($A206="","",'Daily Data'!$A206)</f>
        <v/>
      </c>
      <c r="C206" t="str">
        <f>IF($A206="","",'Daily Data'!$B206)</f>
        <v/>
      </c>
      <c r="D206" s="165" t="str">
        <f>IF($A206="","",IF(COUNTIFS('Daily Data'!$B$4:$B$503,'Daily Data'!$B206,'Daily Data'!$A$4:$A$503,'Daily Data'!$A206)&gt;1,"ERROR","OK"))</f>
        <v/>
      </c>
      <c r="E206" s="165" t="str">
        <f>IF($A206="","",IF('Daily Data'!$B206="","ERROR","OK"))</f>
        <v/>
      </c>
      <c r="F206" s="165" t="str">
        <f>IF($A206="","",IF(NOT(ISNUMBER('Daily Data'!$A206)),"ERROR","OK"))</f>
        <v/>
      </c>
      <c r="G206" s="165" t="str">
        <f>IF($A206="","",IF(OR(N('Daily Data'!$E206)&lt;=0,N('Daily Data'!$C206)&lt;0,N('Daily Data'!$D206)&lt;0,N('Daily Data'!$F206)&lt;0,N('Daily Data'!$G206)&lt;0),"ERROR","OK"))</f>
        <v/>
      </c>
      <c r="H206" s="165" t="str">
        <f>IF($A206="","",IF(N('Daily Data'!$K206)&lt;0,"ERROR","OK"))</f>
        <v/>
      </c>
      <c r="I206" s="165" t="str">
        <f>IF($A206="","",IF(N('Daily Data'!$I206)&lt;0,"ERROR","OK"))</f>
        <v/>
      </c>
      <c r="J206" s="165" t="str">
        <f>IF($A206="","",IF(N('Daily Data'!$L206)&lt;0,"ERROR","OK"))</f>
        <v/>
      </c>
      <c r="K206" s="165" t="str">
        <f>IF($A206="","",IF(N('Daily Data'!$M206)&lt;0,"ERROR","OK"))</f>
        <v/>
      </c>
      <c r="L206" s="165" t="str">
        <f>IF($A206="","",IF(OR(N('Daily Data'!$F206)=0,N('Daily Data'!$G206)=0),"OK",IF(OR(N('Daily Data'!$E206)&gt;N('Daily Data'!$F206),N('Daily Data'!$E206)&lt;N('Daily Data'!$G206)),"ERROR","OK")))</f>
        <v/>
      </c>
      <c r="M206" s="165" t="str">
        <f>IF($A206="","",IF(N('Daily Data'!$AK206)&lt;=1,"OK",IF(ROUND(N('Daily Data'!$D206),2)=ROUND(SUMIFS('Daily Data'!$E$4:$E$503,'Daily Data'!$B$4:$B$503,'Daily Data'!$B206,'Daily Data'!$AK$4:$AK$503,'Daily Data'!$AK206-1),2),"OK","WARNING")))</f>
        <v/>
      </c>
      <c r="N206" s="165" t="str">
        <f>IF($A206="","",IF(N('Daily Data'!$N206)&lt;=0,"WARNING","OK"))</f>
        <v/>
      </c>
      <c r="O206" s="165" t="str">
        <f>IF($A206="","",IF(AND(ISNUMBER('Daily Data'!$H206),ABS(N('Daily Data'!$H206))&gt;Settings!$C$56),"WARNING","OK"))</f>
        <v/>
      </c>
      <c r="P206" s="165" t="str">
        <f>IF($A206="","",IF(OR(AND(N('Daily Data'!$K206)=0,N('Daily Data'!$I206)&gt;0),AND(N('Daily Data'!$I206)=0,N('Daily Data'!$K206)&gt;0),AND(N('Daily Data'!$L206)=0,N('Daily Data'!$M206)=0)),"WARNING","OK"))</f>
        <v/>
      </c>
      <c r="Q206" s="165" t="str">
        <f>IF($A206="","",IF(COUNTIFS('Daily Data'!$B$4:$B$503,'Daily Data'!$B206,'Daily Data'!$A$4:$A$503,'Daily Data'!$A206,'Daily Data'!$Q$4:$Q$503,'Daily Data'!$Q206)&gt;1,"WARNING","OK"))</f>
        <v/>
      </c>
      <c r="R206" s="165" t="str">
        <f>IF($A206="","",IF(AND(N('Daily Data'!$K206)&gt;0,N('Daily Data'!$J206)&lt;=0),"WARNING","OK"))</f>
        <v/>
      </c>
      <c r="S206" s="165" t="str">
        <f>IF($A206="","",COUNTIF($D206:$R206,"ERROR"))</f>
        <v/>
      </c>
      <c r="T206" s="165" t="str">
        <f>IF($A206="","",COUNTIF($D206:$R206,"WARNING"))</f>
        <v/>
      </c>
      <c r="U206" s="165" t="str">
        <f>IF($A206="","",IF($S206&gt;0,"ERROR",IF($T206&gt;0,"WARNING","PASS")))</f>
        <v/>
      </c>
    </row>
    <row r="207" spans="1:21" x14ac:dyDescent="0.3">
      <c r="A207" t="str">
        <f>IF(AND('Daily Data'!$A207="",'Daily Data'!$B207=""),"",207)</f>
        <v/>
      </c>
      <c r="B207" s="16" t="str">
        <f>IF($A207="","",'Daily Data'!$A207)</f>
        <v/>
      </c>
      <c r="C207" t="str">
        <f>IF($A207="","",'Daily Data'!$B207)</f>
        <v/>
      </c>
      <c r="D207" s="165" t="str">
        <f>IF($A207="","",IF(COUNTIFS('Daily Data'!$B$4:$B$503,'Daily Data'!$B207,'Daily Data'!$A$4:$A$503,'Daily Data'!$A207)&gt;1,"ERROR","OK"))</f>
        <v/>
      </c>
      <c r="E207" s="165" t="str">
        <f>IF($A207="","",IF('Daily Data'!$B207="","ERROR","OK"))</f>
        <v/>
      </c>
      <c r="F207" s="165" t="str">
        <f>IF($A207="","",IF(NOT(ISNUMBER('Daily Data'!$A207)),"ERROR","OK"))</f>
        <v/>
      </c>
      <c r="G207" s="165" t="str">
        <f>IF($A207="","",IF(OR(N('Daily Data'!$E207)&lt;=0,N('Daily Data'!$C207)&lt;0,N('Daily Data'!$D207)&lt;0,N('Daily Data'!$F207)&lt;0,N('Daily Data'!$G207)&lt;0),"ERROR","OK"))</f>
        <v/>
      </c>
      <c r="H207" s="165" t="str">
        <f>IF($A207="","",IF(N('Daily Data'!$K207)&lt;0,"ERROR","OK"))</f>
        <v/>
      </c>
      <c r="I207" s="165" t="str">
        <f>IF($A207="","",IF(N('Daily Data'!$I207)&lt;0,"ERROR","OK"))</f>
        <v/>
      </c>
      <c r="J207" s="165" t="str">
        <f>IF($A207="","",IF(N('Daily Data'!$L207)&lt;0,"ERROR","OK"))</f>
        <v/>
      </c>
      <c r="K207" s="165" t="str">
        <f>IF($A207="","",IF(N('Daily Data'!$M207)&lt;0,"ERROR","OK"))</f>
        <v/>
      </c>
      <c r="L207" s="165" t="str">
        <f>IF($A207="","",IF(OR(N('Daily Data'!$F207)=0,N('Daily Data'!$G207)=0),"OK",IF(OR(N('Daily Data'!$E207)&gt;N('Daily Data'!$F207),N('Daily Data'!$E207)&lt;N('Daily Data'!$G207)),"ERROR","OK")))</f>
        <v/>
      </c>
      <c r="M207" s="165" t="str">
        <f>IF($A207="","",IF(N('Daily Data'!$AK207)&lt;=1,"OK",IF(ROUND(N('Daily Data'!$D207),2)=ROUND(SUMIFS('Daily Data'!$E$4:$E$503,'Daily Data'!$B$4:$B$503,'Daily Data'!$B207,'Daily Data'!$AK$4:$AK$503,'Daily Data'!$AK207-1),2),"OK","WARNING")))</f>
        <v/>
      </c>
      <c r="N207" s="165" t="str">
        <f>IF($A207="","",IF(N('Daily Data'!$N207)&lt;=0,"WARNING","OK"))</f>
        <v/>
      </c>
      <c r="O207" s="165" t="str">
        <f>IF($A207="","",IF(AND(ISNUMBER('Daily Data'!$H207),ABS(N('Daily Data'!$H207))&gt;Settings!$C$56),"WARNING","OK"))</f>
        <v/>
      </c>
      <c r="P207" s="165" t="str">
        <f>IF($A207="","",IF(OR(AND(N('Daily Data'!$K207)=0,N('Daily Data'!$I207)&gt;0),AND(N('Daily Data'!$I207)=0,N('Daily Data'!$K207)&gt;0),AND(N('Daily Data'!$L207)=0,N('Daily Data'!$M207)=0)),"WARNING","OK"))</f>
        <v/>
      </c>
      <c r="Q207" s="165" t="str">
        <f>IF($A207="","",IF(COUNTIFS('Daily Data'!$B$4:$B$503,'Daily Data'!$B207,'Daily Data'!$A$4:$A$503,'Daily Data'!$A207,'Daily Data'!$Q$4:$Q$503,'Daily Data'!$Q207)&gt;1,"WARNING","OK"))</f>
        <v/>
      </c>
      <c r="R207" s="165" t="str">
        <f>IF($A207="","",IF(AND(N('Daily Data'!$K207)&gt;0,N('Daily Data'!$J207)&lt;=0),"WARNING","OK"))</f>
        <v/>
      </c>
      <c r="S207" s="165" t="str">
        <f>IF($A207="","",COUNTIF($D207:$R207,"ERROR"))</f>
        <v/>
      </c>
      <c r="T207" s="165" t="str">
        <f>IF($A207="","",COUNTIF($D207:$R207,"WARNING"))</f>
        <v/>
      </c>
      <c r="U207" s="165" t="str">
        <f>IF($A207="","",IF($S207&gt;0,"ERROR",IF($T207&gt;0,"WARNING","PASS")))</f>
        <v/>
      </c>
    </row>
    <row r="208" spans="1:21" x14ac:dyDescent="0.3">
      <c r="A208" t="str">
        <f>IF(AND('Daily Data'!$A208="",'Daily Data'!$B208=""),"",208)</f>
        <v/>
      </c>
      <c r="B208" s="16" t="str">
        <f>IF($A208="","",'Daily Data'!$A208)</f>
        <v/>
      </c>
      <c r="C208" t="str">
        <f>IF($A208="","",'Daily Data'!$B208)</f>
        <v/>
      </c>
      <c r="D208" s="165" t="str">
        <f>IF($A208="","",IF(COUNTIFS('Daily Data'!$B$4:$B$503,'Daily Data'!$B208,'Daily Data'!$A$4:$A$503,'Daily Data'!$A208)&gt;1,"ERROR","OK"))</f>
        <v/>
      </c>
      <c r="E208" s="165" t="str">
        <f>IF($A208="","",IF('Daily Data'!$B208="","ERROR","OK"))</f>
        <v/>
      </c>
      <c r="F208" s="165" t="str">
        <f>IF($A208="","",IF(NOT(ISNUMBER('Daily Data'!$A208)),"ERROR","OK"))</f>
        <v/>
      </c>
      <c r="G208" s="165" t="str">
        <f>IF($A208="","",IF(OR(N('Daily Data'!$E208)&lt;=0,N('Daily Data'!$C208)&lt;0,N('Daily Data'!$D208)&lt;0,N('Daily Data'!$F208)&lt;0,N('Daily Data'!$G208)&lt;0),"ERROR","OK"))</f>
        <v/>
      </c>
      <c r="H208" s="165" t="str">
        <f>IF($A208="","",IF(N('Daily Data'!$K208)&lt;0,"ERROR","OK"))</f>
        <v/>
      </c>
      <c r="I208" s="165" t="str">
        <f>IF($A208="","",IF(N('Daily Data'!$I208)&lt;0,"ERROR","OK"))</f>
        <v/>
      </c>
      <c r="J208" s="165" t="str">
        <f>IF($A208="","",IF(N('Daily Data'!$L208)&lt;0,"ERROR","OK"))</f>
        <v/>
      </c>
      <c r="K208" s="165" t="str">
        <f>IF($A208="","",IF(N('Daily Data'!$M208)&lt;0,"ERROR","OK"))</f>
        <v/>
      </c>
      <c r="L208" s="165" t="str">
        <f>IF($A208="","",IF(OR(N('Daily Data'!$F208)=0,N('Daily Data'!$G208)=0),"OK",IF(OR(N('Daily Data'!$E208)&gt;N('Daily Data'!$F208),N('Daily Data'!$E208)&lt;N('Daily Data'!$G208)),"ERROR","OK")))</f>
        <v/>
      </c>
      <c r="M208" s="165" t="str">
        <f>IF($A208="","",IF(N('Daily Data'!$AK208)&lt;=1,"OK",IF(ROUND(N('Daily Data'!$D208),2)=ROUND(SUMIFS('Daily Data'!$E$4:$E$503,'Daily Data'!$B$4:$B$503,'Daily Data'!$B208,'Daily Data'!$AK$4:$AK$503,'Daily Data'!$AK208-1),2),"OK","WARNING")))</f>
        <v/>
      </c>
      <c r="N208" s="165" t="str">
        <f>IF($A208="","",IF(N('Daily Data'!$N208)&lt;=0,"WARNING","OK"))</f>
        <v/>
      </c>
      <c r="O208" s="165" t="str">
        <f>IF($A208="","",IF(AND(ISNUMBER('Daily Data'!$H208),ABS(N('Daily Data'!$H208))&gt;Settings!$C$56),"WARNING","OK"))</f>
        <v/>
      </c>
      <c r="P208" s="165" t="str">
        <f>IF($A208="","",IF(OR(AND(N('Daily Data'!$K208)=0,N('Daily Data'!$I208)&gt;0),AND(N('Daily Data'!$I208)=0,N('Daily Data'!$K208)&gt;0),AND(N('Daily Data'!$L208)=0,N('Daily Data'!$M208)=0)),"WARNING","OK"))</f>
        <v/>
      </c>
      <c r="Q208" s="165" t="str">
        <f>IF($A208="","",IF(COUNTIFS('Daily Data'!$B$4:$B$503,'Daily Data'!$B208,'Daily Data'!$A$4:$A$503,'Daily Data'!$A208,'Daily Data'!$Q$4:$Q$503,'Daily Data'!$Q208)&gt;1,"WARNING","OK"))</f>
        <v/>
      </c>
      <c r="R208" s="165" t="str">
        <f>IF($A208="","",IF(AND(N('Daily Data'!$K208)&gt;0,N('Daily Data'!$J208)&lt;=0),"WARNING","OK"))</f>
        <v/>
      </c>
      <c r="S208" s="165" t="str">
        <f>IF($A208="","",COUNTIF($D208:$R208,"ERROR"))</f>
        <v/>
      </c>
      <c r="T208" s="165" t="str">
        <f>IF($A208="","",COUNTIF($D208:$R208,"WARNING"))</f>
        <v/>
      </c>
      <c r="U208" s="165" t="str">
        <f>IF($A208="","",IF($S208&gt;0,"ERROR",IF($T208&gt;0,"WARNING","PASS")))</f>
        <v/>
      </c>
    </row>
    <row r="209" spans="1:21" x14ac:dyDescent="0.3">
      <c r="A209" t="str">
        <f>IF(AND('Daily Data'!$A209="",'Daily Data'!$B209=""),"",209)</f>
        <v/>
      </c>
      <c r="B209" s="16" t="str">
        <f>IF($A209="","",'Daily Data'!$A209)</f>
        <v/>
      </c>
      <c r="C209" t="str">
        <f>IF($A209="","",'Daily Data'!$B209)</f>
        <v/>
      </c>
      <c r="D209" s="165" t="str">
        <f>IF($A209="","",IF(COUNTIFS('Daily Data'!$B$4:$B$503,'Daily Data'!$B209,'Daily Data'!$A$4:$A$503,'Daily Data'!$A209)&gt;1,"ERROR","OK"))</f>
        <v/>
      </c>
      <c r="E209" s="165" t="str">
        <f>IF($A209="","",IF('Daily Data'!$B209="","ERROR","OK"))</f>
        <v/>
      </c>
      <c r="F209" s="165" t="str">
        <f>IF($A209="","",IF(NOT(ISNUMBER('Daily Data'!$A209)),"ERROR","OK"))</f>
        <v/>
      </c>
      <c r="G209" s="165" t="str">
        <f>IF($A209="","",IF(OR(N('Daily Data'!$E209)&lt;=0,N('Daily Data'!$C209)&lt;0,N('Daily Data'!$D209)&lt;0,N('Daily Data'!$F209)&lt;0,N('Daily Data'!$G209)&lt;0),"ERROR","OK"))</f>
        <v/>
      </c>
      <c r="H209" s="165" t="str">
        <f>IF($A209="","",IF(N('Daily Data'!$K209)&lt;0,"ERROR","OK"))</f>
        <v/>
      </c>
      <c r="I209" s="165" t="str">
        <f>IF($A209="","",IF(N('Daily Data'!$I209)&lt;0,"ERROR","OK"))</f>
        <v/>
      </c>
      <c r="J209" s="165" t="str">
        <f>IF($A209="","",IF(N('Daily Data'!$L209)&lt;0,"ERROR","OK"))</f>
        <v/>
      </c>
      <c r="K209" s="165" t="str">
        <f>IF($A209="","",IF(N('Daily Data'!$M209)&lt;0,"ERROR","OK"))</f>
        <v/>
      </c>
      <c r="L209" s="165" t="str">
        <f>IF($A209="","",IF(OR(N('Daily Data'!$F209)=0,N('Daily Data'!$G209)=0),"OK",IF(OR(N('Daily Data'!$E209)&gt;N('Daily Data'!$F209),N('Daily Data'!$E209)&lt;N('Daily Data'!$G209)),"ERROR","OK")))</f>
        <v/>
      </c>
      <c r="M209" s="165" t="str">
        <f>IF($A209="","",IF(N('Daily Data'!$AK209)&lt;=1,"OK",IF(ROUND(N('Daily Data'!$D209),2)=ROUND(SUMIFS('Daily Data'!$E$4:$E$503,'Daily Data'!$B$4:$B$503,'Daily Data'!$B209,'Daily Data'!$AK$4:$AK$503,'Daily Data'!$AK209-1),2),"OK","WARNING")))</f>
        <v/>
      </c>
      <c r="N209" s="165" t="str">
        <f>IF($A209="","",IF(N('Daily Data'!$N209)&lt;=0,"WARNING","OK"))</f>
        <v/>
      </c>
      <c r="O209" s="165" t="str">
        <f>IF($A209="","",IF(AND(ISNUMBER('Daily Data'!$H209),ABS(N('Daily Data'!$H209))&gt;Settings!$C$56),"WARNING","OK"))</f>
        <v/>
      </c>
      <c r="P209" s="165" t="str">
        <f>IF($A209="","",IF(OR(AND(N('Daily Data'!$K209)=0,N('Daily Data'!$I209)&gt;0),AND(N('Daily Data'!$I209)=0,N('Daily Data'!$K209)&gt;0),AND(N('Daily Data'!$L209)=0,N('Daily Data'!$M209)=0)),"WARNING","OK"))</f>
        <v/>
      </c>
      <c r="Q209" s="165" t="str">
        <f>IF($A209="","",IF(COUNTIFS('Daily Data'!$B$4:$B$503,'Daily Data'!$B209,'Daily Data'!$A$4:$A$503,'Daily Data'!$A209,'Daily Data'!$Q$4:$Q$503,'Daily Data'!$Q209)&gt;1,"WARNING","OK"))</f>
        <v/>
      </c>
      <c r="R209" s="165" t="str">
        <f>IF($A209="","",IF(AND(N('Daily Data'!$K209)&gt;0,N('Daily Data'!$J209)&lt;=0),"WARNING","OK"))</f>
        <v/>
      </c>
      <c r="S209" s="165" t="str">
        <f>IF($A209="","",COUNTIF($D209:$R209,"ERROR"))</f>
        <v/>
      </c>
      <c r="T209" s="165" t="str">
        <f>IF($A209="","",COUNTIF($D209:$R209,"WARNING"))</f>
        <v/>
      </c>
      <c r="U209" s="165" t="str">
        <f>IF($A209="","",IF($S209&gt;0,"ERROR",IF($T209&gt;0,"WARNING","PASS")))</f>
        <v/>
      </c>
    </row>
    <row r="210" spans="1:21" x14ac:dyDescent="0.3">
      <c r="A210" t="str">
        <f>IF(AND('Daily Data'!$A210="",'Daily Data'!$B210=""),"",210)</f>
        <v/>
      </c>
      <c r="B210" s="16" t="str">
        <f>IF($A210="","",'Daily Data'!$A210)</f>
        <v/>
      </c>
      <c r="C210" t="str">
        <f>IF($A210="","",'Daily Data'!$B210)</f>
        <v/>
      </c>
      <c r="D210" s="165" t="str">
        <f>IF($A210="","",IF(COUNTIFS('Daily Data'!$B$4:$B$503,'Daily Data'!$B210,'Daily Data'!$A$4:$A$503,'Daily Data'!$A210)&gt;1,"ERROR","OK"))</f>
        <v/>
      </c>
      <c r="E210" s="165" t="str">
        <f>IF($A210="","",IF('Daily Data'!$B210="","ERROR","OK"))</f>
        <v/>
      </c>
      <c r="F210" s="165" t="str">
        <f>IF($A210="","",IF(NOT(ISNUMBER('Daily Data'!$A210)),"ERROR","OK"))</f>
        <v/>
      </c>
      <c r="G210" s="165" t="str">
        <f>IF($A210="","",IF(OR(N('Daily Data'!$E210)&lt;=0,N('Daily Data'!$C210)&lt;0,N('Daily Data'!$D210)&lt;0,N('Daily Data'!$F210)&lt;0,N('Daily Data'!$G210)&lt;0),"ERROR","OK"))</f>
        <v/>
      </c>
      <c r="H210" s="165" t="str">
        <f>IF($A210="","",IF(N('Daily Data'!$K210)&lt;0,"ERROR","OK"))</f>
        <v/>
      </c>
      <c r="I210" s="165" t="str">
        <f>IF($A210="","",IF(N('Daily Data'!$I210)&lt;0,"ERROR","OK"))</f>
        <v/>
      </c>
      <c r="J210" s="165" t="str">
        <f>IF($A210="","",IF(N('Daily Data'!$L210)&lt;0,"ERROR","OK"))</f>
        <v/>
      </c>
      <c r="K210" s="165" t="str">
        <f>IF($A210="","",IF(N('Daily Data'!$M210)&lt;0,"ERROR","OK"))</f>
        <v/>
      </c>
      <c r="L210" s="165" t="str">
        <f>IF($A210="","",IF(OR(N('Daily Data'!$F210)=0,N('Daily Data'!$G210)=0),"OK",IF(OR(N('Daily Data'!$E210)&gt;N('Daily Data'!$F210),N('Daily Data'!$E210)&lt;N('Daily Data'!$G210)),"ERROR","OK")))</f>
        <v/>
      </c>
      <c r="M210" s="165" t="str">
        <f>IF($A210="","",IF(N('Daily Data'!$AK210)&lt;=1,"OK",IF(ROUND(N('Daily Data'!$D210),2)=ROUND(SUMIFS('Daily Data'!$E$4:$E$503,'Daily Data'!$B$4:$B$503,'Daily Data'!$B210,'Daily Data'!$AK$4:$AK$503,'Daily Data'!$AK210-1),2),"OK","WARNING")))</f>
        <v/>
      </c>
      <c r="N210" s="165" t="str">
        <f>IF($A210="","",IF(N('Daily Data'!$N210)&lt;=0,"WARNING","OK"))</f>
        <v/>
      </c>
      <c r="O210" s="165" t="str">
        <f>IF($A210="","",IF(AND(ISNUMBER('Daily Data'!$H210),ABS(N('Daily Data'!$H210))&gt;Settings!$C$56),"WARNING","OK"))</f>
        <v/>
      </c>
      <c r="P210" s="165" t="str">
        <f>IF($A210="","",IF(OR(AND(N('Daily Data'!$K210)=0,N('Daily Data'!$I210)&gt;0),AND(N('Daily Data'!$I210)=0,N('Daily Data'!$K210)&gt;0),AND(N('Daily Data'!$L210)=0,N('Daily Data'!$M210)=0)),"WARNING","OK"))</f>
        <v/>
      </c>
      <c r="Q210" s="165" t="str">
        <f>IF($A210="","",IF(COUNTIFS('Daily Data'!$B$4:$B$503,'Daily Data'!$B210,'Daily Data'!$A$4:$A$503,'Daily Data'!$A210,'Daily Data'!$Q$4:$Q$503,'Daily Data'!$Q210)&gt;1,"WARNING","OK"))</f>
        <v/>
      </c>
      <c r="R210" s="165" t="str">
        <f>IF($A210="","",IF(AND(N('Daily Data'!$K210)&gt;0,N('Daily Data'!$J210)&lt;=0),"WARNING","OK"))</f>
        <v/>
      </c>
      <c r="S210" s="165" t="str">
        <f>IF($A210="","",COUNTIF($D210:$R210,"ERROR"))</f>
        <v/>
      </c>
      <c r="T210" s="165" t="str">
        <f>IF($A210="","",COUNTIF($D210:$R210,"WARNING"))</f>
        <v/>
      </c>
      <c r="U210" s="165" t="str">
        <f>IF($A210="","",IF($S210&gt;0,"ERROR",IF($T210&gt;0,"WARNING","PASS")))</f>
        <v/>
      </c>
    </row>
    <row r="211" spans="1:21" x14ac:dyDescent="0.3">
      <c r="A211" t="str">
        <f>IF(AND('Daily Data'!$A211="",'Daily Data'!$B211=""),"",211)</f>
        <v/>
      </c>
      <c r="B211" s="16" t="str">
        <f>IF($A211="","",'Daily Data'!$A211)</f>
        <v/>
      </c>
      <c r="C211" t="str">
        <f>IF($A211="","",'Daily Data'!$B211)</f>
        <v/>
      </c>
      <c r="D211" s="165" t="str">
        <f>IF($A211="","",IF(COUNTIFS('Daily Data'!$B$4:$B$503,'Daily Data'!$B211,'Daily Data'!$A$4:$A$503,'Daily Data'!$A211)&gt;1,"ERROR","OK"))</f>
        <v/>
      </c>
      <c r="E211" s="165" t="str">
        <f>IF($A211="","",IF('Daily Data'!$B211="","ERROR","OK"))</f>
        <v/>
      </c>
      <c r="F211" s="165" t="str">
        <f>IF($A211="","",IF(NOT(ISNUMBER('Daily Data'!$A211)),"ERROR","OK"))</f>
        <v/>
      </c>
      <c r="G211" s="165" t="str">
        <f>IF($A211="","",IF(OR(N('Daily Data'!$E211)&lt;=0,N('Daily Data'!$C211)&lt;0,N('Daily Data'!$D211)&lt;0,N('Daily Data'!$F211)&lt;0,N('Daily Data'!$G211)&lt;0),"ERROR","OK"))</f>
        <v/>
      </c>
      <c r="H211" s="165" t="str">
        <f>IF($A211="","",IF(N('Daily Data'!$K211)&lt;0,"ERROR","OK"))</f>
        <v/>
      </c>
      <c r="I211" s="165" t="str">
        <f>IF($A211="","",IF(N('Daily Data'!$I211)&lt;0,"ERROR","OK"))</f>
        <v/>
      </c>
      <c r="J211" s="165" t="str">
        <f>IF($A211="","",IF(N('Daily Data'!$L211)&lt;0,"ERROR","OK"))</f>
        <v/>
      </c>
      <c r="K211" s="165" t="str">
        <f>IF($A211="","",IF(N('Daily Data'!$M211)&lt;0,"ERROR","OK"))</f>
        <v/>
      </c>
      <c r="L211" s="165" t="str">
        <f>IF($A211="","",IF(OR(N('Daily Data'!$F211)=0,N('Daily Data'!$G211)=0),"OK",IF(OR(N('Daily Data'!$E211)&gt;N('Daily Data'!$F211),N('Daily Data'!$E211)&lt;N('Daily Data'!$G211)),"ERROR","OK")))</f>
        <v/>
      </c>
      <c r="M211" s="165" t="str">
        <f>IF($A211="","",IF(N('Daily Data'!$AK211)&lt;=1,"OK",IF(ROUND(N('Daily Data'!$D211),2)=ROUND(SUMIFS('Daily Data'!$E$4:$E$503,'Daily Data'!$B$4:$B$503,'Daily Data'!$B211,'Daily Data'!$AK$4:$AK$503,'Daily Data'!$AK211-1),2),"OK","WARNING")))</f>
        <v/>
      </c>
      <c r="N211" s="165" t="str">
        <f>IF($A211="","",IF(N('Daily Data'!$N211)&lt;=0,"WARNING","OK"))</f>
        <v/>
      </c>
      <c r="O211" s="165" t="str">
        <f>IF($A211="","",IF(AND(ISNUMBER('Daily Data'!$H211),ABS(N('Daily Data'!$H211))&gt;Settings!$C$56),"WARNING","OK"))</f>
        <v/>
      </c>
      <c r="P211" s="165" t="str">
        <f>IF($A211="","",IF(OR(AND(N('Daily Data'!$K211)=0,N('Daily Data'!$I211)&gt;0),AND(N('Daily Data'!$I211)=0,N('Daily Data'!$K211)&gt;0),AND(N('Daily Data'!$L211)=0,N('Daily Data'!$M211)=0)),"WARNING","OK"))</f>
        <v/>
      </c>
      <c r="Q211" s="165" t="str">
        <f>IF($A211="","",IF(COUNTIFS('Daily Data'!$B$4:$B$503,'Daily Data'!$B211,'Daily Data'!$A$4:$A$503,'Daily Data'!$A211,'Daily Data'!$Q$4:$Q$503,'Daily Data'!$Q211)&gt;1,"WARNING","OK"))</f>
        <v/>
      </c>
      <c r="R211" s="165" t="str">
        <f>IF($A211="","",IF(AND(N('Daily Data'!$K211)&gt;0,N('Daily Data'!$J211)&lt;=0),"WARNING","OK"))</f>
        <v/>
      </c>
      <c r="S211" s="165" t="str">
        <f>IF($A211="","",COUNTIF($D211:$R211,"ERROR"))</f>
        <v/>
      </c>
      <c r="T211" s="165" t="str">
        <f>IF($A211="","",COUNTIF($D211:$R211,"WARNING"))</f>
        <v/>
      </c>
      <c r="U211" s="165" t="str">
        <f>IF($A211="","",IF($S211&gt;0,"ERROR",IF($T211&gt;0,"WARNING","PASS")))</f>
        <v/>
      </c>
    </row>
    <row r="212" spans="1:21" x14ac:dyDescent="0.3">
      <c r="A212" t="str">
        <f>IF(AND('Daily Data'!$A212="",'Daily Data'!$B212=""),"",212)</f>
        <v/>
      </c>
      <c r="B212" s="16" t="str">
        <f>IF($A212="","",'Daily Data'!$A212)</f>
        <v/>
      </c>
      <c r="C212" t="str">
        <f>IF($A212="","",'Daily Data'!$B212)</f>
        <v/>
      </c>
      <c r="D212" s="165" t="str">
        <f>IF($A212="","",IF(COUNTIFS('Daily Data'!$B$4:$B$503,'Daily Data'!$B212,'Daily Data'!$A$4:$A$503,'Daily Data'!$A212)&gt;1,"ERROR","OK"))</f>
        <v/>
      </c>
      <c r="E212" s="165" t="str">
        <f>IF($A212="","",IF('Daily Data'!$B212="","ERROR","OK"))</f>
        <v/>
      </c>
      <c r="F212" s="165" t="str">
        <f>IF($A212="","",IF(NOT(ISNUMBER('Daily Data'!$A212)),"ERROR","OK"))</f>
        <v/>
      </c>
      <c r="G212" s="165" t="str">
        <f>IF($A212="","",IF(OR(N('Daily Data'!$E212)&lt;=0,N('Daily Data'!$C212)&lt;0,N('Daily Data'!$D212)&lt;0,N('Daily Data'!$F212)&lt;0,N('Daily Data'!$G212)&lt;0),"ERROR","OK"))</f>
        <v/>
      </c>
      <c r="H212" s="165" t="str">
        <f>IF($A212="","",IF(N('Daily Data'!$K212)&lt;0,"ERROR","OK"))</f>
        <v/>
      </c>
      <c r="I212" s="165" t="str">
        <f>IF($A212="","",IF(N('Daily Data'!$I212)&lt;0,"ERROR","OK"))</f>
        <v/>
      </c>
      <c r="J212" s="165" t="str">
        <f>IF($A212="","",IF(N('Daily Data'!$L212)&lt;0,"ERROR","OK"))</f>
        <v/>
      </c>
      <c r="K212" s="165" t="str">
        <f>IF($A212="","",IF(N('Daily Data'!$M212)&lt;0,"ERROR","OK"))</f>
        <v/>
      </c>
      <c r="L212" s="165" t="str">
        <f>IF($A212="","",IF(OR(N('Daily Data'!$F212)=0,N('Daily Data'!$G212)=0),"OK",IF(OR(N('Daily Data'!$E212)&gt;N('Daily Data'!$F212),N('Daily Data'!$E212)&lt;N('Daily Data'!$G212)),"ERROR","OK")))</f>
        <v/>
      </c>
      <c r="M212" s="165" t="str">
        <f>IF($A212="","",IF(N('Daily Data'!$AK212)&lt;=1,"OK",IF(ROUND(N('Daily Data'!$D212),2)=ROUND(SUMIFS('Daily Data'!$E$4:$E$503,'Daily Data'!$B$4:$B$503,'Daily Data'!$B212,'Daily Data'!$AK$4:$AK$503,'Daily Data'!$AK212-1),2),"OK","WARNING")))</f>
        <v/>
      </c>
      <c r="N212" s="165" t="str">
        <f>IF($A212="","",IF(N('Daily Data'!$N212)&lt;=0,"WARNING","OK"))</f>
        <v/>
      </c>
      <c r="O212" s="165" t="str">
        <f>IF($A212="","",IF(AND(ISNUMBER('Daily Data'!$H212),ABS(N('Daily Data'!$H212))&gt;Settings!$C$56),"WARNING","OK"))</f>
        <v/>
      </c>
      <c r="P212" s="165" t="str">
        <f>IF($A212="","",IF(OR(AND(N('Daily Data'!$K212)=0,N('Daily Data'!$I212)&gt;0),AND(N('Daily Data'!$I212)=0,N('Daily Data'!$K212)&gt;0),AND(N('Daily Data'!$L212)=0,N('Daily Data'!$M212)=0)),"WARNING","OK"))</f>
        <v/>
      </c>
      <c r="Q212" s="165" t="str">
        <f>IF($A212="","",IF(COUNTIFS('Daily Data'!$B$4:$B$503,'Daily Data'!$B212,'Daily Data'!$A$4:$A$503,'Daily Data'!$A212,'Daily Data'!$Q$4:$Q$503,'Daily Data'!$Q212)&gt;1,"WARNING","OK"))</f>
        <v/>
      </c>
      <c r="R212" s="165" t="str">
        <f>IF($A212="","",IF(AND(N('Daily Data'!$K212)&gt;0,N('Daily Data'!$J212)&lt;=0),"WARNING","OK"))</f>
        <v/>
      </c>
      <c r="S212" s="165" t="str">
        <f>IF($A212="","",COUNTIF($D212:$R212,"ERROR"))</f>
        <v/>
      </c>
      <c r="T212" s="165" t="str">
        <f>IF($A212="","",COUNTIF($D212:$R212,"WARNING"))</f>
        <v/>
      </c>
      <c r="U212" s="165" t="str">
        <f>IF($A212="","",IF($S212&gt;0,"ERROR",IF($T212&gt;0,"WARNING","PASS")))</f>
        <v/>
      </c>
    </row>
    <row r="213" spans="1:21" x14ac:dyDescent="0.3">
      <c r="A213" t="str">
        <f>IF(AND('Daily Data'!$A213="",'Daily Data'!$B213=""),"",213)</f>
        <v/>
      </c>
      <c r="B213" s="16" t="str">
        <f>IF($A213="","",'Daily Data'!$A213)</f>
        <v/>
      </c>
      <c r="C213" t="str">
        <f>IF($A213="","",'Daily Data'!$B213)</f>
        <v/>
      </c>
      <c r="D213" s="165" t="str">
        <f>IF($A213="","",IF(COUNTIFS('Daily Data'!$B$4:$B$503,'Daily Data'!$B213,'Daily Data'!$A$4:$A$503,'Daily Data'!$A213)&gt;1,"ERROR","OK"))</f>
        <v/>
      </c>
      <c r="E213" s="165" t="str">
        <f>IF($A213="","",IF('Daily Data'!$B213="","ERROR","OK"))</f>
        <v/>
      </c>
      <c r="F213" s="165" t="str">
        <f>IF($A213="","",IF(NOT(ISNUMBER('Daily Data'!$A213)),"ERROR","OK"))</f>
        <v/>
      </c>
      <c r="G213" s="165" t="str">
        <f>IF($A213="","",IF(OR(N('Daily Data'!$E213)&lt;=0,N('Daily Data'!$C213)&lt;0,N('Daily Data'!$D213)&lt;0,N('Daily Data'!$F213)&lt;0,N('Daily Data'!$G213)&lt;0),"ERROR","OK"))</f>
        <v/>
      </c>
      <c r="H213" s="165" t="str">
        <f>IF($A213="","",IF(N('Daily Data'!$K213)&lt;0,"ERROR","OK"))</f>
        <v/>
      </c>
      <c r="I213" s="165" t="str">
        <f>IF($A213="","",IF(N('Daily Data'!$I213)&lt;0,"ERROR","OK"))</f>
        <v/>
      </c>
      <c r="J213" s="165" t="str">
        <f>IF($A213="","",IF(N('Daily Data'!$L213)&lt;0,"ERROR","OK"))</f>
        <v/>
      </c>
      <c r="K213" s="165" t="str">
        <f>IF($A213="","",IF(N('Daily Data'!$M213)&lt;0,"ERROR","OK"))</f>
        <v/>
      </c>
      <c r="L213" s="165" t="str">
        <f>IF($A213="","",IF(OR(N('Daily Data'!$F213)=0,N('Daily Data'!$G213)=0),"OK",IF(OR(N('Daily Data'!$E213)&gt;N('Daily Data'!$F213),N('Daily Data'!$E213)&lt;N('Daily Data'!$G213)),"ERROR","OK")))</f>
        <v/>
      </c>
      <c r="M213" s="165" t="str">
        <f>IF($A213="","",IF(N('Daily Data'!$AK213)&lt;=1,"OK",IF(ROUND(N('Daily Data'!$D213),2)=ROUND(SUMIFS('Daily Data'!$E$4:$E$503,'Daily Data'!$B$4:$B$503,'Daily Data'!$B213,'Daily Data'!$AK$4:$AK$503,'Daily Data'!$AK213-1),2),"OK","WARNING")))</f>
        <v/>
      </c>
      <c r="N213" s="165" t="str">
        <f>IF($A213="","",IF(N('Daily Data'!$N213)&lt;=0,"WARNING","OK"))</f>
        <v/>
      </c>
      <c r="O213" s="165" t="str">
        <f>IF($A213="","",IF(AND(ISNUMBER('Daily Data'!$H213),ABS(N('Daily Data'!$H213))&gt;Settings!$C$56),"WARNING","OK"))</f>
        <v/>
      </c>
      <c r="P213" s="165" t="str">
        <f>IF($A213="","",IF(OR(AND(N('Daily Data'!$K213)=0,N('Daily Data'!$I213)&gt;0),AND(N('Daily Data'!$I213)=0,N('Daily Data'!$K213)&gt;0),AND(N('Daily Data'!$L213)=0,N('Daily Data'!$M213)=0)),"WARNING","OK"))</f>
        <v/>
      </c>
      <c r="Q213" s="165" t="str">
        <f>IF($A213="","",IF(COUNTIFS('Daily Data'!$B$4:$B$503,'Daily Data'!$B213,'Daily Data'!$A$4:$A$503,'Daily Data'!$A213,'Daily Data'!$Q$4:$Q$503,'Daily Data'!$Q213)&gt;1,"WARNING","OK"))</f>
        <v/>
      </c>
      <c r="R213" s="165" t="str">
        <f>IF($A213="","",IF(AND(N('Daily Data'!$K213)&gt;0,N('Daily Data'!$J213)&lt;=0),"WARNING","OK"))</f>
        <v/>
      </c>
      <c r="S213" s="165" t="str">
        <f>IF($A213="","",COUNTIF($D213:$R213,"ERROR"))</f>
        <v/>
      </c>
      <c r="T213" s="165" t="str">
        <f>IF($A213="","",COUNTIF($D213:$R213,"WARNING"))</f>
        <v/>
      </c>
      <c r="U213" s="165" t="str">
        <f>IF($A213="","",IF($S213&gt;0,"ERROR",IF($T213&gt;0,"WARNING","PASS")))</f>
        <v/>
      </c>
    </row>
    <row r="214" spans="1:21" x14ac:dyDescent="0.3">
      <c r="A214" t="str">
        <f>IF(AND('Daily Data'!$A214="",'Daily Data'!$B214=""),"",214)</f>
        <v/>
      </c>
      <c r="B214" s="16" t="str">
        <f>IF($A214="","",'Daily Data'!$A214)</f>
        <v/>
      </c>
      <c r="C214" t="str">
        <f>IF($A214="","",'Daily Data'!$B214)</f>
        <v/>
      </c>
      <c r="D214" s="165" t="str">
        <f>IF($A214="","",IF(COUNTIFS('Daily Data'!$B$4:$B$503,'Daily Data'!$B214,'Daily Data'!$A$4:$A$503,'Daily Data'!$A214)&gt;1,"ERROR","OK"))</f>
        <v/>
      </c>
      <c r="E214" s="165" t="str">
        <f>IF($A214="","",IF('Daily Data'!$B214="","ERROR","OK"))</f>
        <v/>
      </c>
      <c r="F214" s="165" t="str">
        <f>IF($A214="","",IF(NOT(ISNUMBER('Daily Data'!$A214)),"ERROR","OK"))</f>
        <v/>
      </c>
      <c r="G214" s="165" t="str">
        <f>IF($A214="","",IF(OR(N('Daily Data'!$E214)&lt;=0,N('Daily Data'!$C214)&lt;0,N('Daily Data'!$D214)&lt;0,N('Daily Data'!$F214)&lt;0,N('Daily Data'!$G214)&lt;0),"ERROR","OK"))</f>
        <v/>
      </c>
      <c r="H214" s="165" t="str">
        <f>IF($A214="","",IF(N('Daily Data'!$K214)&lt;0,"ERROR","OK"))</f>
        <v/>
      </c>
      <c r="I214" s="165" t="str">
        <f>IF($A214="","",IF(N('Daily Data'!$I214)&lt;0,"ERROR","OK"))</f>
        <v/>
      </c>
      <c r="J214" s="165" t="str">
        <f>IF($A214="","",IF(N('Daily Data'!$L214)&lt;0,"ERROR","OK"))</f>
        <v/>
      </c>
      <c r="K214" s="165" t="str">
        <f>IF($A214="","",IF(N('Daily Data'!$M214)&lt;0,"ERROR","OK"))</f>
        <v/>
      </c>
      <c r="L214" s="165" t="str">
        <f>IF($A214="","",IF(OR(N('Daily Data'!$F214)=0,N('Daily Data'!$G214)=0),"OK",IF(OR(N('Daily Data'!$E214)&gt;N('Daily Data'!$F214),N('Daily Data'!$E214)&lt;N('Daily Data'!$G214)),"ERROR","OK")))</f>
        <v/>
      </c>
      <c r="M214" s="165" t="str">
        <f>IF($A214="","",IF(N('Daily Data'!$AK214)&lt;=1,"OK",IF(ROUND(N('Daily Data'!$D214),2)=ROUND(SUMIFS('Daily Data'!$E$4:$E$503,'Daily Data'!$B$4:$B$503,'Daily Data'!$B214,'Daily Data'!$AK$4:$AK$503,'Daily Data'!$AK214-1),2),"OK","WARNING")))</f>
        <v/>
      </c>
      <c r="N214" s="165" t="str">
        <f>IF($A214="","",IF(N('Daily Data'!$N214)&lt;=0,"WARNING","OK"))</f>
        <v/>
      </c>
      <c r="O214" s="165" t="str">
        <f>IF($A214="","",IF(AND(ISNUMBER('Daily Data'!$H214),ABS(N('Daily Data'!$H214))&gt;Settings!$C$56),"WARNING","OK"))</f>
        <v/>
      </c>
      <c r="P214" s="165" t="str">
        <f>IF($A214="","",IF(OR(AND(N('Daily Data'!$K214)=0,N('Daily Data'!$I214)&gt;0),AND(N('Daily Data'!$I214)=0,N('Daily Data'!$K214)&gt;0),AND(N('Daily Data'!$L214)=0,N('Daily Data'!$M214)=0)),"WARNING","OK"))</f>
        <v/>
      </c>
      <c r="Q214" s="165" t="str">
        <f>IF($A214="","",IF(COUNTIFS('Daily Data'!$B$4:$B$503,'Daily Data'!$B214,'Daily Data'!$A$4:$A$503,'Daily Data'!$A214,'Daily Data'!$Q$4:$Q$503,'Daily Data'!$Q214)&gt;1,"WARNING","OK"))</f>
        <v/>
      </c>
      <c r="R214" s="165" t="str">
        <f>IF($A214="","",IF(AND(N('Daily Data'!$K214)&gt;0,N('Daily Data'!$J214)&lt;=0),"WARNING","OK"))</f>
        <v/>
      </c>
      <c r="S214" s="165" t="str">
        <f>IF($A214="","",COUNTIF($D214:$R214,"ERROR"))</f>
        <v/>
      </c>
      <c r="T214" s="165" t="str">
        <f>IF($A214="","",COUNTIF($D214:$R214,"WARNING"))</f>
        <v/>
      </c>
      <c r="U214" s="165" t="str">
        <f>IF($A214="","",IF($S214&gt;0,"ERROR",IF($T214&gt;0,"WARNING","PASS")))</f>
        <v/>
      </c>
    </row>
    <row r="215" spans="1:21" x14ac:dyDescent="0.3">
      <c r="A215" t="str">
        <f>IF(AND('Daily Data'!$A215="",'Daily Data'!$B215=""),"",215)</f>
        <v/>
      </c>
      <c r="B215" s="16" t="str">
        <f>IF($A215="","",'Daily Data'!$A215)</f>
        <v/>
      </c>
      <c r="C215" t="str">
        <f>IF($A215="","",'Daily Data'!$B215)</f>
        <v/>
      </c>
      <c r="D215" s="165" t="str">
        <f>IF($A215="","",IF(COUNTIFS('Daily Data'!$B$4:$B$503,'Daily Data'!$B215,'Daily Data'!$A$4:$A$503,'Daily Data'!$A215)&gt;1,"ERROR","OK"))</f>
        <v/>
      </c>
      <c r="E215" s="165" t="str">
        <f>IF($A215="","",IF('Daily Data'!$B215="","ERROR","OK"))</f>
        <v/>
      </c>
      <c r="F215" s="165" t="str">
        <f>IF($A215="","",IF(NOT(ISNUMBER('Daily Data'!$A215)),"ERROR","OK"))</f>
        <v/>
      </c>
      <c r="G215" s="165" t="str">
        <f>IF($A215="","",IF(OR(N('Daily Data'!$E215)&lt;=0,N('Daily Data'!$C215)&lt;0,N('Daily Data'!$D215)&lt;0,N('Daily Data'!$F215)&lt;0,N('Daily Data'!$G215)&lt;0),"ERROR","OK"))</f>
        <v/>
      </c>
      <c r="H215" s="165" t="str">
        <f>IF($A215="","",IF(N('Daily Data'!$K215)&lt;0,"ERROR","OK"))</f>
        <v/>
      </c>
      <c r="I215" s="165" t="str">
        <f>IF($A215="","",IF(N('Daily Data'!$I215)&lt;0,"ERROR","OK"))</f>
        <v/>
      </c>
      <c r="J215" s="165" t="str">
        <f>IF($A215="","",IF(N('Daily Data'!$L215)&lt;0,"ERROR","OK"))</f>
        <v/>
      </c>
      <c r="K215" s="165" t="str">
        <f>IF($A215="","",IF(N('Daily Data'!$M215)&lt;0,"ERROR","OK"))</f>
        <v/>
      </c>
      <c r="L215" s="165" t="str">
        <f>IF($A215="","",IF(OR(N('Daily Data'!$F215)=0,N('Daily Data'!$G215)=0),"OK",IF(OR(N('Daily Data'!$E215)&gt;N('Daily Data'!$F215),N('Daily Data'!$E215)&lt;N('Daily Data'!$G215)),"ERROR","OK")))</f>
        <v/>
      </c>
      <c r="M215" s="165" t="str">
        <f>IF($A215="","",IF(N('Daily Data'!$AK215)&lt;=1,"OK",IF(ROUND(N('Daily Data'!$D215),2)=ROUND(SUMIFS('Daily Data'!$E$4:$E$503,'Daily Data'!$B$4:$B$503,'Daily Data'!$B215,'Daily Data'!$AK$4:$AK$503,'Daily Data'!$AK215-1),2),"OK","WARNING")))</f>
        <v/>
      </c>
      <c r="N215" s="165" t="str">
        <f>IF($A215="","",IF(N('Daily Data'!$N215)&lt;=0,"WARNING","OK"))</f>
        <v/>
      </c>
      <c r="O215" s="165" t="str">
        <f>IF($A215="","",IF(AND(ISNUMBER('Daily Data'!$H215),ABS(N('Daily Data'!$H215))&gt;Settings!$C$56),"WARNING","OK"))</f>
        <v/>
      </c>
      <c r="P215" s="165" t="str">
        <f>IF($A215="","",IF(OR(AND(N('Daily Data'!$K215)=0,N('Daily Data'!$I215)&gt;0),AND(N('Daily Data'!$I215)=0,N('Daily Data'!$K215)&gt;0),AND(N('Daily Data'!$L215)=0,N('Daily Data'!$M215)=0)),"WARNING","OK"))</f>
        <v/>
      </c>
      <c r="Q215" s="165" t="str">
        <f>IF($A215="","",IF(COUNTIFS('Daily Data'!$B$4:$B$503,'Daily Data'!$B215,'Daily Data'!$A$4:$A$503,'Daily Data'!$A215,'Daily Data'!$Q$4:$Q$503,'Daily Data'!$Q215)&gt;1,"WARNING","OK"))</f>
        <v/>
      </c>
      <c r="R215" s="165" t="str">
        <f>IF($A215="","",IF(AND(N('Daily Data'!$K215)&gt;0,N('Daily Data'!$J215)&lt;=0),"WARNING","OK"))</f>
        <v/>
      </c>
      <c r="S215" s="165" t="str">
        <f>IF($A215="","",COUNTIF($D215:$R215,"ERROR"))</f>
        <v/>
      </c>
      <c r="T215" s="165" t="str">
        <f>IF($A215="","",COUNTIF($D215:$R215,"WARNING"))</f>
        <v/>
      </c>
      <c r="U215" s="165" t="str">
        <f>IF($A215="","",IF($S215&gt;0,"ERROR",IF($T215&gt;0,"WARNING","PASS")))</f>
        <v/>
      </c>
    </row>
    <row r="216" spans="1:21" x14ac:dyDescent="0.3">
      <c r="A216" t="str">
        <f>IF(AND('Daily Data'!$A216="",'Daily Data'!$B216=""),"",216)</f>
        <v/>
      </c>
      <c r="B216" s="16" t="str">
        <f>IF($A216="","",'Daily Data'!$A216)</f>
        <v/>
      </c>
      <c r="C216" t="str">
        <f>IF($A216="","",'Daily Data'!$B216)</f>
        <v/>
      </c>
      <c r="D216" s="165" t="str">
        <f>IF($A216="","",IF(COUNTIFS('Daily Data'!$B$4:$B$503,'Daily Data'!$B216,'Daily Data'!$A$4:$A$503,'Daily Data'!$A216)&gt;1,"ERROR","OK"))</f>
        <v/>
      </c>
      <c r="E216" s="165" t="str">
        <f>IF($A216="","",IF('Daily Data'!$B216="","ERROR","OK"))</f>
        <v/>
      </c>
      <c r="F216" s="165" t="str">
        <f>IF($A216="","",IF(NOT(ISNUMBER('Daily Data'!$A216)),"ERROR","OK"))</f>
        <v/>
      </c>
      <c r="G216" s="165" t="str">
        <f>IF($A216="","",IF(OR(N('Daily Data'!$E216)&lt;=0,N('Daily Data'!$C216)&lt;0,N('Daily Data'!$D216)&lt;0,N('Daily Data'!$F216)&lt;0,N('Daily Data'!$G216)&lt;0),"ERROR","OK"))</f>
        <v/>
      </c>
      <c r="H216" s="165" t="str">
        <f>IF($A216="","",IF(N('Daily Data'!$K216)&lt;0,"ERROR","OK"))</f>
        <v/>
      </c>
      <c r="I216" s="165" t="str">
        <f>IF($A216="","",IF(N('Daily Data'!$I216)&lt;0,"ERROR","OK"))</f>
        <v/>
      </c>
      <c r="J216" s="165" t="str">
        <f>IF($A216="","",IF(N('Daily Data'!$L216)&lt;0,"ERROR","OK"))</f>
        <v/>
      </c>
      <c r="K216" s="165" t="str">
        <f>IF($A216="","",IF(N('Daily Data'!$M216)&lt;0,"ERROR","OK"))</f>
        <v/>
      </c>
      <c r="L216" s="165" t="str">
        <f>IF($A216="","",IF(OR(N('Daily Data'!$F216)=0,N('Daily Data'!$G216)=0),"OK",IF(OR(N('Daily Data'!$E216)&gt;N('Daily Data'!$F216),N('Daily Data'!$E216)&lt;N('Daily Data'!$G216)),"ERROR","OK")))</f>
        <v/>
      </c>
      <c r="M216" s="165" t="str">
        <f>IF($A216="","",IF(N('Daily Data'!$AK216)&lt;=1,"OK",IF(ROUND(N('Daily Data'!$D216),2)=ROUND(SUMIFS('Daily Data'!$E$4:$E$503,'Daily Data'!$B$4:$B$503,'Daily Data'!$B216,'Daily Data'!$AK$4:$AK$503,'Daily Data'!$AK216-1),2),"OK","WARNING")))</f>
        <v/>
      </c>
      <c r="N216" s="165" t="str">
        <f>IF($A216="","",IF(N('Daily Data'!$N216)&lt;=0,"WARNING","OK"))</f>
        <v/>
      </c>
      <c r="O216" s="165" t="str">
        <f>IF($A216="","",IF(AND(ISNUMBER('Daily Data'!$H216),ABS(N('Daily Data'!$H216))&gt;Settings!$C$56),"WARNING","OK"))</f>
        <v/>
      </c>
      <c r="P216" s="165" t="str">
        <f>IF($A216="","",IF(OR(AND(N('Daily Data'!$K216)=0,N('Daily Data'!$I216)&gt;0),AND(N('Daily Data'!$I216)=0,N('Daily Data'!$K216)&gt;0),AND(N('Daily Data'!$L216)=0,N('Daily Data'!$M216)=0)),"WARNING","OK"))</f>
        <v/>
      </c>
      <c r="Q216" s="165" t="str">
        <f>IF($A216="","",IF(COUNTIFS('Daily Data'!$B$4:$B$503,'Daily Data'!$B216,'Daily Data'!$A$4:$A$503,'Daily Data'!$A216,'Daily Data'!$Q$4:$Q$503,'Daily Data'!$Q216)&gt;1,"WARNING","OK"))</f>
        <v/>
      </c>
      <c r="R216" s="165" t="str">
        <f>IF($A216="","",IF(AND(N('Daily Data'!$K216)&gt;0,N('Daily Data'!$J216)&lt;=0),"WARNING","OK"))</f>
        <v/>
      </c>
      <c r="S216" s="165" t="str">
        <f>IF($A216="","",COUNTIF($D216:$R216,"ERROR"))</f>
        <v/>
      </c>
      <c r="T216" s="165" t="str">
        <f>IF($A216="","",COUNTIF($D216:$R216,"WARNING"))</f>
        <v/>
      </c>
      <c r="U216" s="165" t="str">
        <f>IF($A216="","",IF($S216&gt;0,"ERROR",IF($T216&gt;0,"WARNING","PASS")))</f>
        <v/>
      </c>
    </row>
    <row r="217" spans="1:21" x14ac:dyDescent="0.3">
      <c r="A217" t="str">
        <f>IF(AND('Daily Data'!$A217="",'Daily Data'!$B217=""),"",217)</f>
        <v/>
      </c>
      <c r="B217" s="16" t="str">
        <f>IF($A217="","",'Daily Data'!$A217)</f>
        <v/>
      </c>
      <c r="C217" t="str">
        <f>IF($A217="","",'Daily Data'!$B217)</f>
        <v/>
      </c>
      <c r="D217" s="165" t="str">
        <f>IF($A217="","",IF(COUNTIFS('Daily Data'!$B$4:$B$503,'Daily Data'!$B217,'Daily Data'!$A$4:$A$503,'Daily Data'!$A217)&gt;1,"ERROR","OK"))</f>
        <v/>
      </c>
      <c r="E217" s="165" t="str">
        <f>IF($A217="","",IF('Daily Data'!$B217="","ERROR","OK"))</f>
        <v/>
      </c>
      <c r="F217" s="165" t="str">
        <f>IF($A217="","",IF(NOT(ISNUMBER('Daily Data'!$A217)),"ERROR","OK"))</f>
        <v/>
      </c>
      <c r="G217" s="165" t="str">
        <f>IF($A217="","",IF(OR(N('Daily Data'!$E217)&lt;=0,N('Daily Data'!$C217)&lt;0,N('Daily Data'!$D217)&lt;0,N('Daily Data'!$F217)&lt;0,N('Daily Data'!$G217)&lt;0),"ERROR","OK"))</f>
        <v/>
      </c>
      <c r="H217" s="165" t="str">
        <f>IF($A217="","",IF(N('Daily Data'!$K217)&lt;0,"ERROR","OK"))</f>
        <v/>
      </c>
      <c r="I217" s="165" t="str">
        <f>IF($A217="","",IF(N('Daily Data'!$I217)&lt;0,"ERROR","OK"))</f>
        <v/>
      </c>
      <c r="J217" s="165" t="str">
        <f>IF($A217="","",IF(N('Daily Data'!$L217)&lt;0,"ERROR","OK"))</f>
        <v/>
      </c>
      <c r="K217" s="165" t="str">
        <f>IF($A217="","",IF(N('Daily Data'!$M217)&lt;0,"ERROR","OK"))</f>
        <v/>
      </c>
      <c r="L217" s="165" t="str">
        <f>IF($A217="","",IF(OR(N('Daily Data'!$F217)=0,N('Daily Data'!$G217)=0),"OK",IF(OR(N('Daily Data'!$E217)&gt;N('Daily Data'!$F217),N('Daily Data'!$E217)&lt;N('Daily Data'!$G217)),"ERROR","OK")))</f>
        <v/>
      </c>
      <c r="M217" s="165" t="str">
        <f>IF($A217="","",IF(N('Daily Data'!$AK217)&lt;=1,"OK",IF(ROUND(N('Daily Data'!$D217),2)=ROUND(SUMIFS('Daily Data'!$E$4:$E$503,'Daily Data'!$B$4:$B$503,'Daily Data'!$B217,'Daily Data'!$AK$4:$AK$503,'Daily Data'!$AK217-1),2),"OK","WARNING")))</f>
        <v/>
      </c>
      <c r="N217" s="165" t="str">
        <f>IF($A217="","",IF(N('Daily Data'!$N217)&lt;=0,"WARNING","OK"))</f>
        <v/>
      </c>
      <c r="O217" s="165" t="str">
        <f>IF($A217="","",IF(AND(ISNUMBER('Daily Data'!$H217),ABS(N('Daily Data'!$H217))&gt;Settings!$C$56),"WARNING","OK"))</f>
        <v/>
      </c>
      <c r="P217" s="165" t="str">
        <f>IF($A217="","",IF(OR(AND(N('Daily Data'!$K217)=0,N('Daily Data'!$I217)&gt;0),AND(N('Daily Data'!$I217)=0,N('Daily Data'!$K217)&gt;0),AND(N('Daily Data'!$L217)=0,N('Daily Data'!$M217)=0)),"WARNING","OK"))</f>
        <v/>
      </c>
      <c r="Q217" s="165" t="str">
        <f>IF($A217="","",IF(COUNTIFS('Daily Data'!$B$4:$B$503,'Daily Data'!$B217,'Daily Data'!$A$4:$A$503,'Daily Data'!$A217,'Daily Data'!$Q$4:$Q$503,'Daily Data'!$Q217)&gt;1,"WARNING","OK"))</f>
        <v/>
      </c>
      <c r="R217" s="165" t="str">
        <f>IF($A217="","",IF(AND(N('Daily Data'!$K217)&gt;0,N('Daily Data'!$J217)&lt;=0),"WARNING","OK"))</f>
        <v/>
      </c>
      <c r="S217" s="165" t="str">
        <f>IF($A217="","",COUNTIF($D217:$R217,"ERROR"))</f>
        <v/>
      </c>
      <c r="T217" s="165" t="str">
        <f>IF($A217="","",COUNTIF($D217:$R217,"WARNING"))</f>
        <v/>
      </c>
      <c r="U217" s="165" t="str">
        <f>IF($A217="","",IF($S217&gt;0,"ERROR",IF($T217&gt;0,"WARNING","PASS")))</f>
        <v/>
      </c>
    </row>
    <row r="218" spans="1:21" x14ac:dyDescent="0.3">
      <c r="A218" t="str">
        <f>IF(AND('Daily Data'!$A218="",'Daily Data'!$B218=""),"",218)</f>
        <v/>
      </c>
      <c r="B218" s="16" t="str">
        <f>IF($A218="","",'Daily Data'!$A218)</f>
        <v/>
      </c>
      <c r="C218" t="str">
        <f>IF($A218="","",'Daily Data'!$B218)</f>
        <v/>
      </c>
      <c r="D218" s="165" t="str">
        <f>IF($A218="","",IF(COUNTIFS('Daily Data'!$B$4:$B$503,'Daily Data'!$B218,'Daily Data'!$A$4:$A$503,'Daily Data'!$A218)&gt;1,"ERROR","OK"))</f>
        <v/>
      </c>
      <c r="E218" s="165" t="str">
        <f>IF($A218="","",IF('Daily Data'!$B218="","ERROR","OK"))</f>
        <v/>
      </c>
      <c r="F218" s="165" t="str">
        <f>IF($A218="","",IF(NOT(ISNUMBER('Daily Data'!$A218)),"ERROR","OK"))</f>
        <v/>
      </c>
      <c r="G218" s="165" t="str">
        <f>IF($A218="","",IF(OR(N('Daily Data'!$E218)&lt;=0,N('Daily Data'!$C218)&lt;0,N('Daily Data'!$D218)&lt;0,N('Daily Data'!$F218)&lt;0,N('Daily Data'!$G218)&lt;0),"ERROR","OK"))</f>
        <v/>
      </c>
      <c r="H218" s="165" t="str">
        <f>IF($A218="","",IF(N('Daily Data'!$K218)&lt;0,"ERROR","OK"))</f>
        <v/>
      </c>
      <c r="I218" s="165" t="str">
        <f>IF($A218="","",IF(N('Daily Data'!$I218)&lt;0,"ERROR","OK"))</f>
        <v/>
      </c>
      <c r="J218" s="165" t="str">
        <f>IF($A218="","",IF(N('Daily Data'!$L218)&lt;0,"ERROR","OK"))</f>
        <v/>
      </c>
      <c r="K218" s="165" t="str">
        <f>IF($A218="","",IF(N('Daily Data'!$M218)&lt;0,"ERROR","OK"))</f>
        <v/>
      </c>
      <c r="L218" s="165" t="str">
        <f>IF($A218="","",IF(OR(N('Daily Data'!$F218)=0,N('Daily Data'!$G218)=0),"OK",IF(OR(N('Daily Data'!$E218)&gt;N('Daily Data'!$F218),N('Daily Data'!$E218)&lt;N('Daily Data'!$G218)),"ERROR","OK")))</f>
        <v/>
      </c>
      <c r="M218" s="165" t="str">
        <f>IF($A218="","",IF(N('Daily Data'!$AK218)&lt;=1,"OK",IF(ROUND(N('Daily Data'!$D218),2)=ROUND(SUMIFS('Daily Data'!$E$4:$E$503,'Daily Data'!$B$4:$B$503,'Daily Data'!$B218,'Daily Data'!$AK$4:$AK$503,'Daily Data'!$AK218-1),2),"OK","WARNING")))</f>
        <v/>
      </c>
      <c r="N218" s="165" t="str">
        <f>IF($A218="","",IF(N('Daily Data'!$N218)&lt;=0,"WARNING","OK"))</f>
        <v/>
      </c>
      <c r="O218" s="165" t="str">
        <f>IF($A218="","",IF(AND(ISNUMBER('Daily Data'!$H218),ABS(N('Daily Data'!$H218))&gt;Settings!$C$56),"WARNING","OK"))</f>
        <v/>
      </c>
      <c r="P218" s="165" t="str">
        <f>IF($A218="","",IF(OR(AND(N('Daily Data'!$K218)=0,N('Daily Data'!$I218)&gt;0),AND(N('Daily Data'!$I218)=0,N('Daily Data'!$K218)&gt;0),AND(N('Daily Data'!$L218)=0,N('Daily Data'!$M218)=0)),"WARNING","OK"))</f>
        <v/>
      </c>
      <c r="Q218" s="165" t="str">
        <f>IF($A218="","",IF(COUNTIFS('Daily Data'!$B$4:$B$503,'Daily Data'!$B218,'Daily Data'!$A$4:$A$503,'Daily Data'!$A218,'Daily Data'!$Q$4:$Q$503,'Daily Data'!$Q218)&gt;1,"WARNING","OK"))</f>
        <v/>
      </c>
      <c r="R218" s="165" t="str">
        <f>IF($A218="","",IF(AND(N('Daily Data'!$K218)&gt;0,N('Daily Data'!$J218)&lt;=0),"WARNING","OK"))</f>
        <v/>
      </c>
      <c r="S218" s="165" t="str">
        <f>IF($A218="","",COUNTIF($D218:$R218,"ERROR"))</f>
        <v/>
      </c>
      <c r="T218" s="165" t="str">
        <f>IF($A218="","",COUNTIF($D218:$R218,"WARNING"))</f>
        <v/>
      </c>
      <c r="U218" s="165" t="str">
        <f>IF($A218="","",IF($S218&gt;0,"ERROR",IF($T218&gt;0,"WARNING","PASS")))</f>
        <v/>
      </c>
    </row>
    <row r="219" spans="1:21" x14ac:dyDescent="0.3">
      <c r="A219" t="str">
        <f>IF(AND('Daily Data'!$A219="",'Daily Data'!$B219=""),"",219)</f>
        <v/>
      </c>
      <c r="B219" s="16" t="str">
        <f>IF($A219="","",'Daily Data'!$A219)</f>
        <v/>
      </c>
      <c r="C219" t="str">
        <f>IF($A219="","",'Daily Data'!$B219)</f>
        <v/>
      </c>
      <c r="D219" s="165" t="str">
        <f>IF($A219="","",IF(COUNTIFS('Daily Data'!$B$4:$B$503,'Daily Data'!$B219,'Daily Data'!$A$4:$A$503,'Daily Data'!$A219)&gt;1,"ERROR","OK"))</f>
        <v/>
      </c>
      <c r="E219" s="165" t="str">
        <f>IF($A219="","",IF('Daily Data'!$B219="","ERROR","OK"))</f>
        <v/>
      </c>
      <c r="F219" s="165" t="str">
        <f>IF($A219="","",IF(NOT(ISNUMBER('Daily Data'!$A219)),"ERROR","OK"))</f>
        <v/>
      </c>
      <c r="G219" s="165" t="str">
        <f>IF($A219="","",IF(OR(N('Daily Data'!$E219)&lt;=0,N('Daily Data'!$C219)&lt;0,N('Daily Data'!$D219)&lt;0,N('Daily Data'!$F219)&lt;0,N('Daily Data'!$G219)&lt;0),"ERROR","OK"))</f>
        <v/>
      </c>
      <c r="H219" s="165" t="str">
        <f>IF($A219="","",IF(N('Daily Data'!$K219)&lt;0,"ERROR","OK"))</f>
        <v/>
      </c>
      <c r="I219" s="165" t="str">
        <f>IF($A219="","",IF(N('Daily Data'!$I219)&lt;0,"ERROR","OK"))</f>
        <v/>
      </c>
      <c r="J219" s="165" t="str">
        <f>IF($A219="","",IF(N('Daily Data'!$L219)&lt;0,"ERROR","OK"))</f>
        <v/>
      </c>
      <c r="K219" s="165" t="str">
        <f>IF($A219="","",IF(N('Daily Data'!$M219)&lt;0,"ERROR","OK"))</f>
        <v/>
      </c>
      <c r="L219" s="165" t="str">
        <f>IF($A219="","",IF(OR(N('Daily Data'!$F219)=0,N('Daily Data'!$G219)=0),"OK",IF(OR(N('Daily Data'!$E219)&gt;N('Daily Data'!$F219),N('Daily Data'!$E219)&lt;N('Daily Data'!$G219)),"ERROR","OK")))</f>
        <v/>
      </c>
      <c r="M219" s="165" t="str">
        <f>IF($A219="","",IF(N('Daily Data'!$AK219)&lt;=1,"OK",IF(ROUND(N('Daily Data'!$D219),2)=ROUND(SUMIFS('Daily Data'!$E$4:$E$503,'Daily Data'!$B$4:$B$503,'Daily Data'!$B219,'Daily Data'!$AK$4:$AK$503,'Daily Data'!$AK219-1),2),"OK","WARNING")))</f>
        <v/>
      </c>
      <c r="N219" s="165" t="str">
        <f>IF($A219="","",IF(N('Daily Data'!$N219)&lt;=0,"WARNING","OK"))</f>
        <v/>
      </c>
      <c r="O219" s="165" t="str">
        <f>IF($A219="","",IF(AND(ISNUMBER('Daily Data'!$H219),ABS(N('Daily Data'!$H219))&gt;Settings!$C$56),"WARNING","OK"))</f>
        <v/>
      </c>
      <c r="P219" s="165" t="str">
        <f>IF($A219="","",IF(OR(AND(N('Daily Data'!$K219)=0,N('Daily Data'!$I219)&gt;0),AND(N('Daily Data'!$I219)=0,N('Daily Data'!$K219)&gt;0),AND(N('Daily Data'!$L219)=0,N('Daily Data'!$M219)=0)),"WARNING","OK"))</f>
        <v/>
      </c>
      <c r="Q219" s="165" t="str">
        <f>IF($A219="","",IF(COUNTIFS('Daily Data'!$B$4:$B$503,'Daily Data'!$B219,'Daily Data'!$A$4:$A$503,'Daily Data'!$A219,'Daily Data'!$Q$4:$Q$503,'Daily Data'!$Q219)&gt;1,"WARNING","OK"))</f>
        <v/>
      </c>
      <c r="R219" s="165" t="str">
        <f>IF($A219="","",IF(AND(N('Daily Data'!$K219)&gt;0,N('Daily Data'!$J219)&lt;=0),"WARNING","OK"))</f>
        <v/>
      </c>
      <c r="S219" s="165" t="str">
        <f>IF($A219="","",COUNTIF($D219:$R219,"ERROR"))</f>
        <v/>
      </c>
      <c r="T219" s="165" t="str">
        <f>IF($A219="","",COUNTIF($D219:$R219,"WARNING"))</f>
        <v/>
      </c>
      <c r="U219" s="165" t="str">
        <f>IF($A219="","",IF($S219&gt;0,"ERROR",IF($T219&gt;0,"WARNING","PASS")))</f>
        <v/>
      </c>
    </row>
    <row r="220" spans="1:21" x14ac:dyDescent="0.3">
      <c r="A220" t="str">
        <f>IF(AND('Daily Data'!$A220="",'Daily Data'!$B220=""),"",220)</f>
        <v/>
      </c>
      <c r="B220" s="16" t="str">
        <f>IF($A220="","",'Daily Data'!$A220)</f>
        <v/>
      </c>
      <c r="C220" t="str">
        <f>IF($A220="","",'Daily Data'!$B220)</f>
        <v/>
      </c>
      <c r="D220" s="165" t="str">
        <f>IF($A220="","",IF(COUNTIFS('Daily Data'!$B$4:$B$503,'Daily Data'!$B220,'Daily Data'!$A$4:$A$503,'Daily Data'!$A220)&gt;1,"ERROR","OK"))</f>
        <v/>
      </c>
      <c r="E220" s="165" t="str">
        <f>IF($A220="","",IF('Daily Data'!$B220="","ERROR","OK"))</f>
        <v/>
      </c>
      <c r="F220" s="165" t="str">
        <f>IF($A220="","",IF(NOT(ISNUMBER('Daily Data'!$A220)),"ERROR","OK"))</f>
        <v/>
      </c>
      <c r="G220" s="165" t="str">
        <f>IF($A220="","",IF(OR(N('Daily Data'!$E220)&lt;=0,N('Daily Data'!$C220)&lt;0,N('Daily Data'!$D220)&lt;0,N('Daily Data'!$F220)&lt;0,N('Daily Data'!$G220)&lt;0),"ERROR","OK"))</f>
        <v/>
      </c>
      <c r="H220" s="165" t="str">
        <f>IF($A220="","",IF(N('Daily Data'!$K220)&lt;0,"ERROR","OK"))</f>
        <v/>
      </c>
      <c r="I220" s="165" t="str">
        <f>IF($A220="","",IF(N('Daily Data'!$I220)&lt;0,"ERROR","OK"))</f>
        <v/>
      </c>
      <c r="J220" s="165" t="str">
        <f>IF($A220="","",IF(N('Daily Data'!$L220)&lt;0,"ERROR","OK"))</f>
        <v/>
      </c>
      <c r="K220" s="165" t="str">
        <f>IF($A220="","",IF(N('Daily Data'!$M220)&lt;0,"ERROR","OK"))</f>
        <v/>
      </c>
      <c r="L220" s="165" t="str">
        <f>IF($A220="","",IF(OR(N('Daily Data'!$F220)=0,N('Daily Data'!$G220)=0),"OK",IF(OR(N('Daily Data'!$E220)&gt;N('Daily Data'!$F220),N('Daily Data'!$E220)&lt;N('Daily Data'!$G220)),"ERROR","OK")))</f>
        <v/>
      </c>
      <c r="M220" s="165" t="str">
        <f>IF($A220="","",IF(N('Daily Data'!$AK220)&lt;=1,"OK",IF(ROUND(N('Daily Data'!$D220),2)=ROUND(SUMIFS('Daily Data'!$E$4:$E$503,'Daily Data'!$B$4:$B$503,'Daily Data'!$B220,'Daily Data'!$AK$4:$AK$503,'Daily Data'!$AK220-1),2),"OK","WARNING")))</f>
        <v/>
      </c>
      <c r="N220" s="165" t="str">
        <f>IF($A220="","",IF(N('Daily Data'!$N220)&lt;=0,"WARNING","OK"))</f>
        <v/>
      </c>
      <c r="O220" s="165" t="str">
        <f>IF($A220="","",IF(AND(ISNUMBER('Daily Data'!$H220),ABS(N('Daily Data'!$H220))&gt;Settings!$C$56),"WARNING","OK"))</f>
        <v/>
      </c>
      <c r="P220" s="165" t="str">
        <f>IF($A220="","",IF(OR(AND(N('Daily Data'!$K220)=0,N('Daily Data'!$I220)&gt;0),AND(N('Daily Data'!$I220)=0,N('Daily Data'!$K220)&gt;0),AND(N('Daily Data'!$L220)=0,N('Daily Data'!$M220)=0)),"WARNING","OK"))</f>
        <v/>
      </c>
      <c r="Q220" s="165" t="str">
        <f>IF($A220="","",IF(COUNTIFS('Daily Data'!$B$4:$B$503,'Daily Data'!$B220,'Daily Data'!$A$4:$A$503,'Daily Data'!$A220,'Daily Data'!$Q$4:$Q$503,'Daily Data'!$Q220)&gt;1,"WARNING","OK"))</f>
        <v/>
      </c>
      <c r="R220" s="165" t="str">
        <f>IF($A220="","",IF(AND(N('Daily Data'!$K220)&gt;0,N('Daily Data'!$J220)&lt;=0),"WARNING","OK"))</f>
        <v/>
      </c>
      <c r="S220" s="165" t="str">
        <f>IF($A220="","",COUNTIF($D220:$R220,"ERROR"))</f>
        <v/>
      </c>
      <c r="T220" s="165" t="str">
        <f>IF($A220="","",COUNTIF($D220:$R220,"WARNING"))</f>
        <v/>
      </c>
      <c r="U220" s="165" t="str">
        <f>IF($A220="","",IF($S220&gt;0,"ERROR",IF($T220&gt;0,"WARNING","PASS")))</f>
        <v/>
      </c>
    </row>
    <row r="221" spans="1:21" x14ac:dyDescent="0.3">
      <c r="A221" t="str">
        <f>IF(AND('Daily Data'!$A221="",'Daily Data'!$B221=""),"",221)</f>
        <v/>
      </c>
      <c r="B221" s="16" t="str">
        <f>IF($A221="","",'Daily Data'!$A221)</f>
        <v/>
      </c>
      <c r="C221" t="str">
        <f>IF($A221="","",'Daily Data'!$B221)</f>
        <v/>
      </c>
      <c r="D221" s="165" t="str">
        <f>IF($A221="","",IF(COUNTIFS('Daily Data'!$B$4:$B$503,'Daily Data'!$B221,'Daily Data'!$A$4:$A$503,'Daily Data'!$A221)&gt;1,"ERROR","OK"))</f>
        <v/>
      </c>
      <c r="E221" s="165" t="str">
        <f>IF($A221="","",IF('Daily Data'!$B221="","ERROR","OK"))</f>
        <v/>
      </c>
      <c r="F221" s="165" t="str">
        <f>IF($A221="","",IF(NOT(ISNUMBER('Daily Data'!$A221)),"ERROR","OK"))</f>
        <v/>
      </c>
      <c r="G221" s="165" t="str">
        <f>IF($A221="","",IF(OR(N('Daily Data'!$E221)&lt;=0,N('Daily Data'!$C221)&lt;0,N('Daily Data'!$D221)&lt;0,N('Daily Data'!$F221)&lt;0,N('Daily Data'!$G221)&lt;0),"ERROR","OK"))</f>
        <v/>
      </c>
      <c r="H221" s="165" t="str">
        <f>IF($A221="","",IF(N('Daily Data'!$K221)&lt;0,"ERROR","OK"))</f>
        <v/>
      </c>
      <c r="I221" s="165" t="str">
        <f>IF($A221="","",IF(N('Daily Data'!$I221)&lt;0,"ERROR","OK"))</f>
        <v/>
      </c>
      <c r="J221" s="165" t="str">
        <f>IF($A221="","",IF(N('Daily Data'!$L221)&lt;0,"ERROR","OK"))</f>
        <v/>
      </c>
      <c r="K221" s="165" t="str">
        <f>IF($A221="","",IF(N('Daily Data'!$M221)&lt;0,"ERROR","OK"))</f>
        <v/>
      </c>
      <c r="L221" s="165" t="str">
        <f>IF($A221="","",IF(OR(N('Daily Data'!$F221)=0,N('Daily Data'!$G221)=0),"OK",IF(OR(N('Daily Data'!$E221)&gt;N('Daily Data'!$F221),N('Daily Data'!$E221)&lt;N('Daily Data'!$G221)),"ERROR","OK")))</f>
        <v/>
      </c>
      <c r="M221" s="165" t="str">
        <f>IF($A221="","",IF(N('Daily Data'!$AK221)&lt;=1,"OK",IF(ROUND(N('Daily Data'!$D221),2)=ROUND(SUMIFS('Daily Data'!$E$4:$E$503,'Daily Data'!$B$4:$B$503,'Daily Data'!$B221,'Daily Data'!$AK$4:$AK$503,'Daily Data'!$AK221-1),2),"OK","WARNING")))</f>
        <v/>
      </c>
      <c r="N221" s="165" t="str">
        <f>IF($A221="","",IF(N('Daily Data'!$N221)&lt;=0,"WARNING","OK"))</f>
        <v/>
      </c>
      <c r="O221" s="165" t="str">
        <f>IF($A221="","",IF(AND(ISNUMBER('Daily Data'!$H221),ABS(N('Daily Data'!$H221))&gt;Settings!$C$56),"WARNING","OK"))</f>
        <v/>
      </c>
      <c r="P221" s="165" t="str">
        <f>IF($A221="","",IF(OR(AND(N('Daily Data'!$K221)=0,N('Daily Data'!$I221)&gt;0),AND(N('Daily Data'!$I221)=0,N('Daily Data'!$K221)&gt;0),AND(N('Daily Data'!$L221)=0,N('Daily Data'!$M221)=0)),"WARNING","OK"))</f>
        <v/>
      </c>
      <c r="Q221" s="165" t="str">
        <f>IF($A221="","",IF(COUNTIFS('Daily Data'!$B$4:$B$503,'Daily Data'!$B221,'Daily Data'!$A$4:$A$503,'Daily Data'!$A221,'Daily Data'!$Q$4:$Q$503,'Daily Data'!$Q221)&gt;1,"WARNING","OK"))</f>
        <v/>
      </c>
      <c r="R221" s="165" t="str">
        <f>IF($A221="","",IF(AND(N('Daily Data'!$K221)&gt;0,N('Daily Data'!$J221)&lt;=0),"WARNING","OK"))</f>
        <v/>
      </c>
      <c r="S221" s="165" t="str">
        <f>IF($A221="","",COUNTIF($D221:$R221,"ERROR"))</f>
        <v/>
      </c>
      <c r="T221" s="165" t="str">
        <f>IF($A221="","",COUNTIF($D221:$R221,"WARNING"))</f>
        <v/>
      </c>
      <c r="U221" s="165" t="str">
        <f>IF($A221="","",IF($S221&gt;0,"ERROR",IF($T221&gt;0,"WARNING","PASS")))</f>
        <v/>
      </c>
    </row>
    <row r="222" spans="1:21" x14ac:dyDescent="0.3">
      <c r="A222" t="str">
        <f>IF(AND('Daily Data'!$A222="",'Daily Data'!$B222=""),"",222)</f>
        <v/>
      </c>
      <c r="B222" s="16" t="str">
        <f>IF($A222="","",'Daily Data'!$A222)</f>
        <v/>
      </c>
      <c r="C222" t="str">
        <f>IF($A222="","",'Daily Data'!$B222)</f>
        <v/>
      </c>
      <c r="D222" s="165" t="str">
        <f>IF($A222="","",IF(COUNTIFS('Daily Data'!$B$4:$B$503,'Daily Data'!$B222,'Daily Data'!$A$4:$A$503,'Daily Data'!$A222)&gt;1,"ERROR","OK"))</f>
        <v/>
      </c>
      <c r="E222" s="165" t="str">
        <f>IF($A222="","",IF('Daily Data'!$B222="","ERROR","OK"))</f>
        <v/>
      </c>
      <c r="F222" s="165" t="str">
        <f>IF($A222="","",IF(NOT(ISNUMBER('Daily Data'!$A222)),"ERROR","OK"))</f>
        <v/>
      </c>
      <c r="G222" s="165" t="str">
        <f>IF($A222="","",IF(OR(N('Daily Data'!$E222)&lt;=0,N('Daily Data'!$C222)&lt;0,N('Daily Data'!$D222)&lt;0,N('Daily Data'!$F222)&lt;0,N('Daily Data'!$G222)&lt;0),"ERROR","OK"))</f>
        <v/>
      </c>
      <c r="H222" s="165" t="str">
        <f>IF($A222="","",IF(N('Daily Data'!$K222)&lt;0,"ERROR","OK"))</f>
        <v/>
      </c>
      <c r="I222" s="165" t="str">
        <f>IF($A222="","",IF(N('Daily Data'!$I222)&lt;0,"ERROR","OK"))</f>
        <v/>
      </c>
      <c r="J222" s="165" t="str">
        <f>IF($A222="","",IF(N('Daily Data'!$L222)&lt;0,"ERROR","OK"))</f>
        <v/>
      </c>
      <c r="K222" s="165" t="str">
        <f>IF($A222="","",IF(N('Daily Data'!$M222)&lt;0,"ERROR","OK"))</f>
        <v/>
      </c>
      <c r="L222" s="165" t="str">
        <f>IF($A222="","",IF(OR(N('Daily Data'!$F222)=0,N('Daily Data'!$G222)=0),"OK",IF(OR(N('Daily Data'!$E222)&gt;N('Daily Data'!$F222),N('Daily Data'!$E222)&lt;N('Daily Data'!$G222)),"ERROR","OK")))</f>
        <v/>
      </c>
      <c r="M222" s="165" t="str">
        <f>IF($A222="","",IF(N('Daily Data'!$AK222)&lt;=1,"OK",IF(ROUND(N('Daily Data'!$D222),2)=ROUND(SUMIFS('Daily Data'!$E$4:$E$503,'Daily Data'!$B$4:$B$503,'Daily Data'!$B222,'Daily Data'!$AK$4:$AK$503,'Daily Data'!$AK222-1),2),"OK","WARNING")))</f>
        <v/>
      </c>
      <c r="N222" s="165" t="str">
        <f>IF($A222="","",IF(N('Daily Data'!$N222)&lt;=0,"WARNING","OK"))</f>
        <v/>
      </c>
      <c r="O222" s="165" t="str">
        <f>IF($A222="","",IF(AND(ISNUMBER('Daily Data'!$H222),ABS(N('Daily Data'!$H222))&gt;Settings!$C$56),"WARNING","OK"))</f>
        <v/>
      </c>
      <c r="P222" s="165" t="str">
        <f>IF($A222="","",IF(OR(AND(N('Daily Data'!$K222)=0,N('Daily Data'!$I222)&gt;0),AND(N('Daily Data'!$I222)=0,N('Daily Data'!$K222)&gt;0),AND(N('Daily Data'!$L222)=0,N('Daily Data'!$M222)=0)),"WARNING","OK"))</f>
        <v/>
      </c>
      <c r="Q222" s="165" t="str">
        <f>IF($A222="","",IF(COUNTIFS('Daily Data'!$B$4:$B$503,'Daily Data'!$B222,'Daily Data'!$A$4:$A$503,'Daily Data'!$A222,'Daily Data'!$Q$4:$Q$503,'Daily Data'!$Q222)&gt;1,"WARNING","OK"))</f>
        <v/>
      </c>
      <c r="R222" s="165" t="str">
        <f>IF($A222="","",IF(AND(N('Daily Data'!$K222)&gt;0,N('Daily Data'!$J222)&lt;=0),"WARNING","OK"))</f>
        <v/>
      </c>
      <c r="S222" s="165" t="str">
        <f>IF($A222="","",COUNTIF($D222:$R222,"ERROR"))</f>
        <v/>
      </c>
      <c r="T222" s="165" t="str">
        <f>IF($A222="","",COUNTIF($D222:$R222,"WARNING"))</f>
        <v/>
      </c>
      <c r="U222" s="165" t="str">
        <f>IF($A222="","",IF($S222&gt;0,"ERROR",IF($T222&gt;0,"WARNING","PASS")))</f>
        <v/>
      </c>
    </row>
    <row r="223" spans="1:21" x14ac:dyDescent="0.3">
      <c r="A223" t="str">
        <f>IF(AND('Daily Data'!$A223="",'Daily Data'!$B223=""),"",223)</f>
        <v/>
      </c>
      <c r="B223" s="16" t="str">
        <f>IF($A223="","",'Daily Data'!$A223)</f>
        <v/>
      </c>
      <c r="C223" t="str">
        <f>IF($A223="","",'Daily Data'!$B223)</f>
        <v/>
      </c>
      <c r="D223" s="165" t="str">
        <f>IF($A223="","",IF(COUNTIFS('Daily Data'!$B$4:$B$503,'Daily Data'!$B223,'Daily Data'!$A$4:$A$503,'Daily Data'!$A223)&gt;1,"ERROR","OK"))</f>
        <v/>
      </c>
      <c r="E223" s="165" t="str">
        <f>IF($A223="","",IF('Daily Data'!$B223="","ERROR","OK"))</f>
        <v/>
      </c>
      <c r="F223" s="165" t="str">
        <f>IF($A223="","",IF(NOT(ISNUMBER('Daily Data'!$A223)),"ERROR","OK"))</f>
        <v/>
      </c>
      <c r="G223" s="165" t="str">
        <f>IF($A223="","",IF(OR(N('Daily Data'!$E223)&lt;=0,N('Daily Data'!$C223)&lt;0,N('Daily Data'!$D223)&lt;0,N('Daily Data'!$F223)&lt;0,N('Daily Data'!$G223)&lt;0),"ERROR","OK"))</f>
        <v/>
      </c>
      <c r="H223" s="165" t="str">
        <f>IF($A223="","",IF(N('Daily Data'!$K223)&lt;0,"ERROR","OK"))</f>
        <v/>
      </c>
      <c r="I223" s="165" t="str">
        <f>IF($A223="","",IF(N('Daily Data'!$I223)&lt;0,"ERROR","OK"))</f>
        <v/>
      </c>
      <c r="J223" s="165" t="str">
        <f>IF($A223="","",IF(N('Daily Data'!$L223)&lt;0,"ERROR","OK"))</f>
        <v/>
      </c>
      <c r="K223" s="165" t="str">
        <f>IF($A223="","",IF(N('Daily Data'!$M223)&lt;0,"ERROR","OK"))</f>
        <v/>
      </c>
      <c r="L223" s="165" t="str">
        <f>IF($A223="","",IF(OR(N('Daily Data'!$F223)=0,N('Daily Data'!$G223)=0),"OK",IF(OR(N('Daily Data'!$E223)&gt;N('Daily Data'!$F223),N('Daily Data'!$E223)&lt;N('Daily Data'!$G223)),"ERROR","OK")))</f>
        <v/>
      </c>
      <c r="M223" s="165" t="str">
        <f>IF($A223="","",IF(N('Daily Data'!$AK223)&lt;=1,"OK",IF(ROUND(N('Daily Data'!$D223),2)=ROUND(SUMIFS('Daily Data'!$E$4:$E$503,'Daily Data'!$B$4:$B$503,'Daily Data'!$B223,'Daily Data'!$AK$4:$AK$503,'Daily Data'!$AK223-1),2),"OK","WARNING")))</f>
        <v/>
      </c>
      <c r="N223" s="165" t="str">
        <f>IF($A223="","",IF(N('Daily Data'!$N223)&lt;=0,"WARNING","OK"))</f>
        <v/>
      </c>
      <c r="O223" s="165" t="str">
        <f>IF($A223="","",IF(AND(ISNUMBER('Daily Data'!$H223),ABS(N('Daily Data'!$H223))&gt;Settings!$C$56),"WARNING","OK"))</f>
        <v/>
      </c>
      <c r="P223" s="165" t="str">
        <f>IF($A223="","",IF(OR(AND(N('Daily Data'!$K223)=0,N('Daily Data'!$I223)&gt;0),AND(N('Daily Data'!$I223)=0,N('Daily Data'!$K223)&gt;0),AND(N('Daily Data'!$L223)=0,N('Daily Data'!$M223)=0)),"WARNING","OK"))</f>
        <v/>
      </c>
      <c r="Q223" s="165" t="str">
        <f>IF($A223="","",IF(COUNTIFS('Daily Data'!$B$4:$B$503,'Daily Data'!$B223,'Daily Data'!$A$4:$A$503,'Daily Data'!$A223,'Daily Data'!$Q$4:$Q$503,'Daily Data'!$Q223)&gt;1,"WARNING","OK"))</f>
        <v/>
      </c>
      <c r="R223" s="165" t="str">
        <f>IF($A223="","",IF(AND(N('Daily Data'!$K223)&gt;0,N('Daily Data'!$J223)&lt;=0),"WARNING","OK"))</f>
        <v/>
      </c>
      <c r="S223" s="165" t="str">
        <f>IF($A223="","",COUNTIF($D223:$R223,"ERROR"))</f>
        <v/>
      </c>
      <c r="T223" s="165" t="str">
        <f>IF($A223="","",COUNTIF($D223:$R223,"WARNING"))</f>
        <v/>
      </c>
      <c r="U223" s="165" t="str">
        <f>IF($A223="","",IF($S223&gt;0,"ERROR",IF($T223&gt;0,"WARNING","PASS")))</f>
        <v/>
      </c>
    </row>
    <row r="224" spans="1:21" x14ac:dyDescent="0.3">
      <c r="A224" t="str">
        <f>IF(AND('Daily Data'!$A224="",'Daily Data'!$B224=""),"",224)</f>
        <v/>
      </c>
      <c r="B224" s="16" t="str">
        <f>IF($A224="","",'Daily Data'!$A224)</f>
        <v/>
      </c>
      <c r="C224" t="str">
        <f>IF($A224="","",'Daily Data'!$B224)</f>
        <v/>
      </c>
      <c r="D224" s="165" t="str">
        <f>IF($A224="","",IF(COUNTIFS('Daily Data'!$B$4:$B$503,'Daily Data'!$B224,'Daily Data'!$A$4:$A$503,'Daily Data'!$A224)&gt;1,"ERROR","OK"))</f>
        <v/>
      </c>
      <c r="E224" s="165" t="str">
        <f>IF($A224="","",IF('Daily Data'!$B224="","ERROR","OK"))</f>
        <v/>
      </c>
      <c r="F224" s="165" t="str">
        <f>IF($A224="","",IF(NOT(ISNUMBER('Daily Data'!$A224)),"ERROR","OK"))</f>
        <v/>
      </c>
      <c r="G224" s="165" t="str">
        <f>IF($A224="","",IF(OR(N('Daily Data'!$E224)&lt;=0,N('Daily Data'!$C224)&lt;0,N('Daily Data'!$D224)&lt;0,N('Daily Data'!$F224)&lt;0,N('Daily Data'!$G224)&lt;0),"ERROR","OK"))</f>
        <v/>
      </c>
      <c r="H224" s="165" t="str">
        <f>IF($A224="","",IF(N('Daily Data'!$K224)&lt;0,"ERROR","OK"))</f>
        <v/>
      </c>
      <c r="I224" s="165" t="str">
        <f>IF($A224="","",IF(N('Daily Data'!$I224)&lt;0,"ERROR","OK"))</f>
        <v/>
      </c>
      <c r="J224" s="165" t="str">
        <f>IF($A224="","",IF(N('Daily Data'!$L224)&lt;0,"ERROR","OK"))</f>
        <v/>
      </c>
      <c r="K224" s="165" t="str">
        <f>IF($A224="","",IF(N('Daily Data'!$M224)&lt;0,"ERROR","OK"))</f>
        <v/>
      </c>
      <c r="L224" s="165" t="str">
        <f>IF($A224="","",IF(OR(N('Daily Data'!$F224)=0,N('Daily Data'!$G224)=0),"OK",IF(OR(N('Daily Data'!$E224)&gt;N('Daily Data'!$F224),N('Daily Data'!$E224)&lt;N('Daily Data'!$G224)),"ERROR","OK")))</f>
        <v/>
      </c>
      <c r="M224" s="165" t="str">
        <f>IF($A224="","",IF(N('Daily Data'!$AK224)&lt;=1,"OK",IF(ROUND(N('Daily Data'!$D224),2)=ROUND(SUMIFS('Daily Data'!$E$4:$E$503,'Daily Data'!$B$4:$B$503,'Daily Data'!$B224,'Daily Data'!$AK$4:$AK$503,'Daily Data'!$AK224-1),2),"OK","WARNING")))</f>
        <v/>
      </c>
      <c r="N224" s="165" t="str">
        <f>IF($A224="","",IF(N('Daily Data'!$N224)&lt;=0,"WARNING","OK"))</f>
        <v/>
      </c>
      <c r="O224" s="165" t="str">
        <f>IF($A224="","",IF(AND(ISNUMBER('Daily Data'!$H224),ABS(N('Daily Data'!$H224))&gt;Settings!$C$56),"WARNING","OK"))</f>
        <v/>
      </c>
      <c r="P224" s="165" t="str">
        <f>IF($A224="","",IF(OR(AND(N('Daily Data'!$K224)=0,N('Daily Data'!$I224)&gt;0),AND(N('Daily Data'!$I224)=0,N('Daily Data'!$K224)&gt;0),AND(N('Daily Data'!$L224)=0,N('Daily Data'!$M224)=0)),"WARNING","OK"))</f>
        <v/>
      </c>
      <c r="Q224" s="165" t="str">
        <f>IF($A224="","",IF(COUNTIFS('Daily Data'!$B$4:$B$503,'Daily Data'!$B224,'Daily Data'!$A$4:$A$503,'Daily Data'!$A224,'Daily Data'!$Q$4:$Q$503,'Daily Data'!$Q224)&gt;1,"WARNING","OK"))</f>
        <v/>
      </c>
      <c r="R224" s="165" t="str">
        <f>IF($A224="","",IF(AND(N('Daily Data'!$K224)&gt;0,N('Daily Data'!$J224)&lt;=0),"WARNING","OK"))</f>
        <v/>
      </c>
      <c r="S224" s="165" t="str">
        <f>IF($A224="","",COUNTIF($D224:$R224,"ERROR"))</f>
        <v/>
      </c>
      <c r="T224" s="165" t="str">
        <f>IF($A224="","",COUNTIF($D224:$R224,"WARNING"))</f>
        <v/>
      </c>
      <c r="U224" s="165" t="str">
        <f>IF($A224="","",IF($S224&gt;0,"ERROR",IF($T224&gt;0,"WARNING","PASS")))</f>
        <v/>
      </c>
    </row>
    <row r="225" spans="1:21" x14ac:dyDescent="0.3">
      <c r="A225" t="str">
        <f>IF(AND('Daily Data'!$A225="",'Daily Data'!$B225=""),"",225)</f>
        <v/>
      </c>
      <c r="B225" s="16" t="str">
        <f>IF($A225="","",'Daily Data'!$A225)</f>
        <v/>
      </c>
      <c r="C225" t="str">
        <f>IF($A225="","",'Daily Data'!$B225)</f>
        <v/>
      </c>
      <c r="D225" s="165" t="str">
        <f>IF($A225="","",IF(COUNTIFS('Daily Data'!$B$4:$B$503,'Daily Data'!$B225,'Daily Data'!$A$4:$A$503,'Daily Data'!$A225)&gt;1,"ERROR","OK"))</f>
        <v/>
      </c>
      <c r="E225" s="165" t="str">
        <f>IF($A225="","",IF('Daily Data'!$B225="","ERROR","OK"))</f>
        <v/>
      </c>
      <c r="F225" s="165" t="str">
        <f>IF($A225="","",IF(NOT(ISNUMBER('Daily Data'!$A225)),"ERROR","OK"))</f>
        <v/>
      </c>
      <c r="G225" s="165" t="str">
        <f>IF($A225="","",IF(OR(N('Daily Data'!$E225)&lt;=0,N('Daily Data'!$C225)&lt;0,N('Daily Data'!$D225)&lt;0,N('Daily Data'!$F225)&lt;0,N('Daily Data'!$G225)&lt;0),"ERROR","OK"))</f>
        <v/>
      </c>
      <c r="H225" s="165" t="str">
        <f>IF($A225="","",IF(N('Daily Data'!$K225)&lt;0,"ERROR","OK"))</f>
        <v/>
      </c>
      <c r="I225" s="165" t="str">
        <f>IF($A225="","",IF(N('Daily Data'!$I225)&lt;0,"ERROR","OK"))</f>
        <v/>
      </c>
      <c r="J225" s="165" t="str">
        <f>IF($A225="","",IF(N('Daily Data'!$L225)&lt;0,"ERROR","OK"))</f>
        <v/>
      </c>
      <c r="K225" s="165" t="str">
        <f>IF($A225="","",IF(N('Daily Data'!$M225)&lt;0,"ERROR","OK"))</f>
        <v/>
      </c>
      <c r="L225" s="165" t="str">
        <f>IF($A225="","",IF(OR(N('Daily Data'!$F225)=0,N('Daily Data'!$G225)=0),"OK",IF(OR(N('Daily Data'!$E225)&gt;N('Daily Data'!$F225),N('Daily Data'!$E225)&lt;N('Daily Data'!$G225)),"ERROR","OK")))</f>
        <v/>
      </c>
      <c r="M225" s="165" t="str">
        <f>IF($A225="","",IF(N('Daily Data'!$AK225)&lt;=1,"OK",IF(ROUND(N('Daily Data'!$D225),2)=ROUND(SUMIFS('Daily Data'!$E$4:$E$503,'Daily Data'!$B$4:$B$503,'Daily Data'!$B225,'Daily Data'!$AK$4:$AK$503,'Daily Data'!$AK225-1),2),"OK","WARNING")))</f>
        <v/>
      </c>
      <c r="N225" s="165" t="str">
        <f>IF($A225="","",IF(N('Daily Data'!$N225)&lt;=0,"WARNING","OK"))</f>
        <v/>
      </c>
      <c r="O225" s="165" t="str">
        <f>IF($A225="","",IF(AND(ISNUMBER('Daily Data'!$H225),ABS(N('Daily Data'!$H225))&gt;Settings!$C$56),"WARNING","OK"))</f>
        <v/>
      </c>
      <c r="P225" s="165" t="str">
        <f>IF($A225="","",IF(OR(AND(N('Daily Data'!$K225)=0,N('Daily Data'!$I225)&gt;0),AND(N('Daily Data'!$I225)=0,N('Daily Data'!$K225)&gt;0),AND(N('Daily Data'!$L225)=0,N('Daily Data'!$M225)=0)),"WARNING","OK"))</f>
        <v/>
      </c>
      <c r="Q225" s="165" t="str">
        <f>IF($A225="","",IF(COUNTIFS('Daily Data'!$B$4:$B$503,'Daily Data'!$B225,'Daily Data'!$A$4:$A$503,'Daily Data'!$A225,'Daily Data'!$Q$4:$Q$503,'Daily Data'!$Q225)&gt;1,"WARNING","OK"))</f>
        <v/>
      </c>
      <c r="R225" s="165" t="str">
        <f>IF($A225="","",IF(AND(N('Daily Data'!$K225)&gt;0,N('Daily Data'!$J225)&lt;=0),"WARNING","OK"))</f>
        <v/>
      </c>
      <c r="S225" s="165" t="str">
        <f>IF($A225="","",COUNTIF($D225:$R225,"ERROR"))</f>
        <v/>
      </c>
      <c r="T225" s="165" t="str">
        <f>IF($A225="","",COUNTIF($D225:$R225,"WARNING"))</f>
        <v/>
      </c>
      <c r="U225" s="165" t="str">
        <f>IF($A225="","",IF($S225&gt;0,"ERROR",IF($T225&gt;0,"WARNING","PASS")))</f>
        <v/>
      </c>
    </row>
    <row r="226" spans="1:21" x14ac:dyDescent="0.3">
      <c r="A226" t="str">
        <f>IF(AND('Daily Data'!$A226="",'Daily Data'!$B226=""),"",226)</f>
        <v/>
      </c>
      <c r="B226" s="16" t="str">
        <f>IF($A226="","",'Daily Data'!$A226)</f>
        <v/>
      </c>
      <c r="C226" t="str">
        <f>IF($A226="","",'Daily Data'!$B226)</f>
        <v/>
      </c>
      <c r="D226" s="165" t="str">
        <f>IF($A226="","",IF(COUNTIFS('Daily Data'!$B$4:$B$503,'Daily Data'!$B226,'Daily Data'!$A$4:$A$503,'Daily Data'!$A226)&gt;1,"ERROR","OK"))</f>
        <v/>
      </c>
      <c r="E226" s="165" t="str">
        <f>IF($A226="","",IF('Daily Data'!$B226="","ERROR","OK"))</f>
        <v/>
      </c>
      <c r="F226" s="165" t="str">
        <f>IF($A226="","",IF(NOT(ISNUMBER('Daily Data'!$A226)),"ERROR","OK"))</f>
        <v/>
      </c>
      <c r="G226" s="165" t="str">
        <f>IF($A226="","",IF(OR(N('Daily Data'!$E226)&lt;=0,N('Daily Data'!$C226)&lt;0,N('Daily Data'!$D226)&lt;0,N('Daily Data'!$F226)&lt;0,N('Daily Data'!$G226)&lt;0),"ERROR","OK"))</f>
        <v/>
      </c>
      <c r="H226" s="165" t="str">
        <f>IF($A226="","",IF(N('Daily Data'!$K226)&lt;0,"ERROR","OK"))</f>
        <v/>
      </c>
      <c r="I226" s="165" t="str">
        <f>IF($A226="","",IF(N('Daily Data'!$I226)&lt;0,"ERROR","OK"))</f>
        <v/>
      </c>
      <c r="J226" s="165" t="str">
        <f>IF($A226="","",IF(N('Daily Data'!$L226)&lt;0,"ERROR","OK"))</f>
        <v/>
      </c>
      <c r="K226" s="165" t="str">
        <f>IF($A226="","",IF(N('Daily Data'!$M226)&lt;0,"ERROR","OK"))</f>
        <v/>
      </c>
      <c r="L226" s="165" t="str">
        <f>IF($A226="","",IF(OR(N('Daily Data'!$F226)=0,N('Daily Data'!$G226)=0),"OK",IF(OR(N('Daily Data'!$E226)&gt;N('Daily Data'!$F226),N('Daily Data'!$E226)&lt;N('Daily Data'!$G226)),"ERROR","OK")))</f>
        <v/>
      </c>
      <c r="M226" s="165" t="str">
        <f>IF($A226="","",IF(N('Daily Data'!$AK226)&lt;=1,"OK",IF(ROUND(N('Daily Data'!$D226),2)=ROUND(SUMIFS('Daily Data'!$E$4:$E$503,'Daily Data'!$B$4:$B$503,'Daily Data'!$B226,'Daily Data'!$AK$4:$AK$503,'Daily Data'!$AK226-1),2),"OK","WARNING")))</f>
        <v/>
      </c>
      <c r="N226" s="165" t="str">
        <f>IF($A226="","",IF(N('Daily Data'!$N226)&lt;=0,"WARNING","OK"))</f>
        <v/>
      </c>
      <c r="O226" s="165" t="str">
        <f>IF($A226="","",IF(AND(ISNUMBER('Daily Data'!$H226),ABS(N('Daily Data'!$H226))&gt;Settings!$C$56),"WARNING","OK"))</f>
        <v/>
      </c>
      <c r="P226" s="165" t="str">
        <f>IF($A226="","",IF(OR(AND(N('Daily Data'!$K226)=0,N('Daily Data'!$I226)&gt;0),AND(N('Daily Data'!$I226)=0,N('Daily Data'!$K226)&gt;0),AND(N('Daily Data'!$L226)=0,N('Daily Data'!$M226)=0)),"WARNING","OK"))</f>
        <v/>
      </c>
      <c r="Q226" s="165" t="str">
        <f>IF($A226="","",IF(COUNTIFS('Daily Data'!$B$4:$B$503,'Daily Data'!$B226,'Daily Data'!$A$4:$A$503,'Daily Data'!$A226,'Daily Data'!$Q$4:$Q$503,'Daily Data'!$Q226)&gt;1,"WARNING","OK"))</f>
        <v/>
      </c>
      <c r="R226" s="165" t="str">
        <f>IF($A226="","",IF(AND(N('Daily Data'!$K226)&gt;0,N('Daily Data'!$J226)&lt;=0),"WARNING","OK"))</f>
        <v/>
      </c>
      <c r="S226" s="165" t="str">
        <f>IF($A226="","",COUNTIF($D226:$R226,"ERROR"))</f>
        <v/>
      </c>
      <c r="T226" s="165" t="str">
        <f>IF($A226="","",COUNTIF($D226:$R226,"WARNING"))</f>
        <v/>
      </c>
      <c r="U226" s="165" t="str">
        <f>IF($A226="","",IF($S226&gt;0,"ERROR",IF($T226&gt;0,"WARNING","PASS")))</f>
        <v/>
      </c>
    </row>
    <row r="227" spans="1:21" x14ac:dyDescent="0.3">
      <c r="A227" t="str">
        <f>IF(AND('Daily Data'!$A227="",'Daily Data'!$B227=""),"",227)</f>
        <v/>
      </c>
      <c r="B227" s="16" t="str">
        <f>IF($A227="","",'Daily Data'!$A227)</f>
        <v/>
      </c>
      <c r="C227" t="str">
        <f>IF($A227="","",'Daily Data'!$B227)</f>
        <v/>
      </c>
      <c r="D227" s="165" t="str">
        <f>IF($A227="","",IF(COUNTIFS('Daily Data'!$B$4:$B$503,'Daily Data'!$B227,'Daily Data'!$A$4:$A$503,'Daily Data'!$A227)&gt;1,"ERROR","OK"))</f>
        <v/>
      </c>
      <c r="E227" s="165" t="str">
        <f>IF($A227="","",IF('Daily Data'!$B227="","ERROR","OK"))</f>
        <v/>
      </c>
      <c r="F227" s="165" t="str">
        <f>IF($A227="","",IF(NOT(ISNUMBER('Daily Data'!$A227)),"ERROR","OK"))</f>
        <v/>
      </c>
      <c r="G227" s="165" t="str">
        <f>IF($A227="","",IF(OR(N('Daily Data'!$E227)&lt;=0,N('Daily Data'!$C227)&lt;0,N('Daily Data'!$D227)&lt;0,N('Daily Data'!$F227)&lt;0,N('Daily Data'!$G227)&lt;0),"ERROR","OK"))</f>
        <v/>
      </c>
      <c r="H227" s="165" t="str">
        <f>IF($A227="","",IF(N('Daily Data'!$K227)&lt;0,"ERROR","OK"))</f>
        <v/>
      </c>
      <c r="I227" s="165" t="str">
        <f>IF($A227="","",IF(N('Daily Data'!$I227)&lt;0,"ERROR","OK"))</f>
        <v/>
      </c>
      <c r="J227" s="165" t="str">
        <f>IF($A227="","",IF(N('Daily Data'!$L227)&lt;0,"ERROR","OK"))</f>
        <v/>
      </c>
      <c r="K227" s="165" t="str">
        <f>IF($A227="","",IF(N('Daily Data'!$M227)&lt;0,"ERROR","OK"))</f>
        <v/>
      </c>
      <c r="L227" s="165" t="str">
        <f>IF($A227="","",IF(OR(N('Daily Data'!$F227)=0,N('Daily Data'!$G227)=0),"OK",IF(OR(N('Daily Data'!$E227)&gt;N('Daily Data'!$F227),N('Daily Data'!$E227)&lt;N('Daily Data'!$G227)),"ERROR","OK")))</f>
        <v/>
      </c>
      <c r="M227" s="165" t="str">
        <f>IF($A227="","",IF(N('Daily Data'!$AK227)&lt;=1,"OK",IF(ROUND(N('Daily Data'!$D227),2)=ROUND(SUMIFS('Daily Data'!$E$4:$E$503,'Daily Data'!$B$4:$B$503,'Daily Data'!$B227,'Daily Data'!$AK$4:$AK$503,'Daily Data'!$AK227-1),2),"OK","WARNING")))</f>
        <v/>
      </c>
      <c r="N227" s="165" t="str">
        <f>IF($A227="","",IF(N('Daily Data'!$N227)&lt;=0,"WARNING","OK"))</f>
        <v/>
      </c>
      <c r="O227" s="165" t="str">
        <f>IF($A227="","",IF(AND(ISNUMBER('Daily Data'!$H227),ABS(N('Daily Data'!$H227))&gt;Settings!$C$56),"WARNING","OK"))</f>
        <v/>
      </c>
      <c r="P227" s="165" t="str">
        <f>IF($A227="","",IF(OR(AND(N('Daily Data'!$K227)=0,N('Daily Data'!$I227)&gt;0),AND(N('Daily Data'!$I227)=0,N('Daily Data'!$K227)&gt;0),AND(N('Daily Data'!$L227)=0,N('Daily Data'!$M227)=0)),"WARNING","OK"))</f>
        <v/>
      </c>
      <c r="Q227" s="165" t="str">
        <f>IF($A227="","",IF(COUNTIFS('Daily Data'!$B$4:$B$503,'Daily Data'!$B227,'Daily Data'!$A$4:$A$503,'Daily Data'!$A227,'Daily Data'!$Q$4:$Q$503,'Daily Data'!$Q227)&gt;1,"WARNING","OK"))</f>
        <v/>
      </c>
      <c r="R227" s="165" t="str">
        <f>IF($A227="","",IF(AND(N('Daily Data'!$K227)&gt;0,N('Daily Data'!$J227)&lt;=0),"WARNING","OK"))</f>
        <v/>
      </c>
      <c r="S227" s="165" t="str">
        <f>IF($A227="","",COUNTIF($D227:$R227,"ERROR"))</f>
        <v/>
      </c>
      <c r="T227" s="165" t="str">
        <f>IF($A227="","",COUNTIF($D227:$R227,"WARNING"))</f>
        <v/>
      </c>
      <c r="U227" s="165" t="str">
        <f>IF($A227="","",IF($S227&gt;0,"ERROR",IF($T227&gt;0,"WARNING","PASS")))</f>
        <v/>
      </c>
    </row>
    <row r="228" spans="1:21" x14ac:dyDescent="0.3">
      <c r="A228" t="str">
        <f>IF(AND('Daily Data'!$A228="",'Daily Data'!$B228=""),"",228)</f>
        <v/>
      </c>
      <c r="B228" s="16" t="str">
        <f>IF($A228="","",'Daily Data'!$A228)</f>
        <v/>
      </c>
      <c r="C228" t="str">
        <f>IF($A228="","",'Daily Data'!$B228)</f>
        <v/>
      </c>
      <c r="D228" s="165" t="str">
        <f>IF($A228="","",IF(COUNTIFS('Daily Data'!$B$4:$B$503,'Daily Data'!$B228,'Daily Data'!$A$4:$A$503,'Daily Data'!$A228)&gt;1,"ERROR","OK"))</f>
        <v/>
      </c>
      <c r="E228" s="165" t="str">
        <f>IF($A228="","",IF('Daily Data'!$B228="","ERROR","OK"))</f>
        <v/>
      </c>
      <c r="F228" s="165" t="str">
        <f>IF($A228="","",IF(NOT(ISNUMBER('Daily Data'!$A228)),"ERROR","OK"))</f>
        <v/>
      </c>
      <c r="G228" s="165" t="str">
        <f>IF($A228="","",IF(OR(N('Daily Data'!$E228)&lt;=0,N('Daily Data'!$C228)&lt;0,N('Daily Data'!$D228)&lt;0,N('Daily Data'!$F228)&lt;0,N('Daily Data'!$G228)&lt;0),"ERROR","OK"))</f>
        <v/>
      </c>
      <c r="H228" s="165" t="str">
        <f>IF($A228="","",IF(N('Daily Data'!$K228)&lt;0,"ERROR","OK"))</f>
        <v/>
      </c>
      <c r="I228" s="165" t="str">
        <f>IF($A228="","",IF(N('Daily Data'!$I228)&lt;0,"ERROR","OK"))</f>
        <v/>
      </c>
      <c r="J228" s="165" t="str">
        <f>IF($A228="","",IF(N('Daily Data'!$L228)&lt;0,"ERROR","OK"))</f>
        <v/>
      </c>
      <c r="K228" s="165" t="str">
        <f>IF($A228="","",IF(N('Daily Data'!$M228)&lt;0,"ERROR","OK"))</f>
        <v/>
      </c>
      <c r="L228" s="165" t="str">
        <f>IF($A228="","",IF(OR(N('Daily Data'!$F228)=0,N('Daily Data'!$G228)=0),"OK",IF(OR(N('Daily Data'!$E228)&gt;N('Daily Data'!$F228),N('Daily Data'!$E228)&lt;N('Daily Data'!$G228)),"ERROR","OK")))</f>
        <v/>
      </c>
      <c r="M228" s="165" t="str">
        <f>IF($A228="","",IF(N('Daily Data'!$AK228)&lt;=1,"OK",IF(ROUND(N('Daily Data'!$D228),2)=ROUND(SUMIFS('Daily Data'!$E$4:$E$503,'Daily Data'!$B$4:$B$503,'Daily Data'!$B228,'Daily Data'!$AK$4:$AK$503,'Daily Data'!$AK228-1),2),"OK","WARNING")))</f>
        <v/>
      </c>
      <c r="N228" s="165" t="str">
        <f>IF($A228="","",IF(N('Daily Data'!$N228)&lt;=0,"WARNING","OK"))</f>
        <v/>
      </c>
      <c r="O228" s="165" t="str">
        <f>IF($A228="","",IF(AND(ISNUMBER('Daily Data'!$H228),ABS(N('Daily Data'!$H228))&gt;Settings!$C$56),"WARNING","OK"))</f>
        <v/>
      </c>
      <c r="P228" s="165" t="str">
        <f>IF($A228="","",IF(OR(AND(N('Daily Data'!$K228)=0,N('Daily Data'!$I228)&gt;0),AND(N('Daily Data'!$I228)=0,N('Daily Data'!$K228)&gt;0),AND(N('Daily Data'!$L228)=0,N('Daily Data'!$M228)=0)),"WARNING","OK"))</f>
        <v/>
      </c>
      <c r="Q228" s="165" t="str">
        <f>IF($A228="","",IF(COUNTIFS('Daily Data'!$B$4:$B$503,'Daily Data'!$B228,'Daily Data'!$A$4:$A$503,'Daily Data'!$A228,'Daily Data'!$Q$4:$Q$503,'Daily Data'!$Q228)&gt;1,"WARNING","OK"))</f>
        <v/>
      </c>
      <c r="R228" s="165" t="str">
        <f>IF($A228="","",IF(AND(N('Daily Data'!$K228)&gt;0,N('Daily Data'!$J228)&lt;=0),"WARNING","OK"))</f>
        <v/>
      </c>
      <c r="S228" s="165" t="str">
        <f>IF($A228="","",COUNTIF($D228:$R228,"ERROR"))</f>
        <v/>
      </c>
      <c r="T228" s="165" t="str">
        <f>IF($A228="","",COUNTIF($D228:$R228,"WARNING"))</f>
        <v/>
      </c>
      <c r="U228" s="165" t="str">
        <f>IF($A228="","",IF($S228&gt;0,"ERROR",IF($T228&gt;0,"WARNING","PASS")))</f>
        <v/>
      </c>
    </row>
    <row r="229" spans="1:21" x14ac:dyDescent="0.3">
      <c r="A229" t="str">
        <f>IF(AND('Daily Data'!$A229="",'Daily Data'!$B229=""),"",229)</f>
        <v/>
      </c>
      <c r="B229" s="16" t="str">
        <f>IF($A229="","",'Daily Data'!$A229)</f>
        <v/>
      </c>
      <c r="C229" t="str">
        <f>IF($A229="","",'Daily Data'!$B229)</f>
        <v/>
      </c>
      <c r="D229" s="165" t="str">
        <f>IF($A229="","",IF(COUNTIFS('Daily Data'!$B$4:$B$503,'Daily Data'!$B229,'Daily Data'!$A$4:$A$503,'Daily Data'!$A229)&gt;1,"ERROR","OK"))</f>
        <v/>
      </c>
      <c r="E229" s="165" t="str">
        <f>IF($A229="","",IF('Daily Data'!$B229="","ERROR","OK"))</f>
        <v/>
      </c>
      <c r="F229" s="165" t="str">
        <f>IF($A229="","",IF(NOT(ISNUMBER('Daily Data'!$A229)),"ERROR","OK"))</f>
        <v/>
      </c>
      <c r="G229" s="165" t="str">
        <f>IF($A229="","",IF(OR(N('Daily Data'!$E229)&lt;=0,N('Daily Data'!$C229)&lt;0,N('Daily Data'!$D229)&lt;0,N('Daily Data'!$F229)&lt;0,N('Daily Data'!$G229)&lt;0),"ERROR","OK"))</f>
        <v/>
      </c>
      <c r="H229" s="165" t="str">
        <f>IF($A229="","",IF(N('Daily Data'!$K229)&lt;0,"ERROR","OK"))</f>
        <v/>
      </c>
      <c r="I229" s="165" t="str">
        <f>IF($A229="","",IF(N('Daily Data'!$I229)&lt;0,"ERROR","OK"))</f>
        <v/>
      </c>
      <c r="J229" s="165" t="str">
        <f>IF($A229="","",IF(N('Daily Data'!$L229)&lt;0,"ERROR","OK"))</f>
        <v/>
      </c>
      <c r="K229" s="165" t="str">
        <f>IF($A229="","",IF(N('Daily Data'!$M229)&lt;0,"ERROR","OK"))</f>
        <v/>
      </c>
      <c r="L229" s="165" t="str">
        <f>IF($A229="","",IF(OR(N('Daily Data'!$F229)=0,N('Daily Data'!$G229)=0),"OK",IF(OR(N('Daily Data'!$E229)&gt;N('Daily Data'!$F229),N('Daily Data'!$E229)&lt;N('Daily Data'!$G229)),"ERROR","OK")))</f>
        <v/>
      </c>
      <c r="M229" s="165" t="str">
        <f>IF($A229="","",IF(N('Daily Data'!$AK229)&lt;=1,"OK",IF(ROUND(N('Daily Data'!$D229),2)=ROUND(SUMIFS('Daily Data'!$E$4:$E$503,'Daily Data'!$B$4:$B$503,'Daily Data'!$B229,'Daily Data'!$AK$4:$AK$503,'Daily Data'!$AK229-1),2),"OK","WARNING")))</f>
        <v/>
      </c>
      <c r="N229" s="165" t="str">
        <f>IF($A229="","",IF(N('Daily Data'!$N229)&lt;=0,"WARNING","OK"))</f>
        <v/>
      </c>
      <c r="O229" s="165" t="str">
        <f>IF($A229="","",IF(AND(ISNUMBER('Daily Data'!$H229),ABS(N('Daily Data'!$H229))&gt;Settings!$C$56),"WARNING","OK"))</f>
        <v/>
      </c>
      <c r="P229" s="165" t="str">
        <f>IF($A229="","",IF(OR(AND(N('Daily Data'!$K229)=0,N('Daily Data'!$I229)&gt;0),AND(N('Daily Data'!$I229)=0,N('Daily Data'!$K229)&gt;0),AND(N('Daily Data'!$L229)=0,N('Daily Data'!$M229)=0)),"WARNING","OK"))</f>
        <v/>
      </c>
      <c r="Q229" s="165" t="str">
        <f>IF($A229="","",IF(COUNTIFS('Daily Data'!$B$4:$B$503,'Daily Data'!$B229,'Daily Data'!$A$4:$A$503,'Daily Data'!$A229,'Daily Data'!$Q$4:$Q$503,'Daily Data'!$Q229)&gt;1,"WARNING","OK"))</f>
        <v/>
      </c>
      <c r="R229" s="165" t="str">
        <f>IF($A229="","",IF(AND(N('Daily Data'!$K229)&gt;0,N('Daily Data'!$J229)&lt;=0),"WARNING","OK"))</f>
        <v/>
      </c>
      <c r="S229" s="165" t="str">
        <f>IF($A229="","",COUNTIF($D229:$R229,"ERROR"))</f>
        <v/>
      </c>
      <c r="T229" s="165" t="str">
        <f>IF($A229="","",COUNTIF($D229:$R229,"WARNING"))</f>
        <v/>
      </c>
      <c r="U229" s="165" t="str">
        <f>IF($A229="","",IF($S229&gt;0,"ERROR",IF($T229&gt;0,"WARNING","PASS")))</f>
        <v/>
      </c>
    </row>
    <row r="230" spans="1:21" x14ac:dyDescent="0.3">
      <c r="A230" t="str">
        <f>IF(AND('Daily Data'!$A230="",'Daily Data'!$B230=""),"",230)</f>
        <v/>
      </c>
      <c r="B230" s="16" t="str">
        <f>IF($A230="","",'Daily Data'!$A230)</f>
        <v/>
      </c>
      <c r="C230" t="str">
        <f>IF($A230="","",'Daily Data'!$B230)</f>
        <v/>
      </c>
      <c r="D230" s="165" t="str">
        <f>IF($A230="","",IF(COUNTIFS('Daily Data'!$B$4:$B$503,'Daily Data'!$B230,'Daily Data'!$A$4:$A$503,'Daily Data'!$A230)&gt;1,"ERROR","OK"))</f>
        <v/>
      </c>
      <c r="E230" s="165" t="str">
        <f>IF($A230="","",IF('Daily Data'!$B230="","ERROR","OK"))</f>
        <v/>
      </c>
      <c r="F230" s="165" t="str">
        <f>IF($A230="","",IF(NOT(ISNUMBER('Daily Data'!$A230)),"ERROR","OK"))</f>
        <v/>
      </c>
      <c r="G230" s="165" t="str">
        <f>IF($A230="","",IF(OR(N('Daily Data'!$E230)&lt;=0,N('Daily Data'!$C230)&lt;0,N('Daily Data'!$D230)&lt;0,N('Daily Data'!$F230)&lt;0,N('Daily Data'!$G230)&lt;0),"ERROR","OK"))</f>
        <v/>
      </c>
      <c r="H230" s="165" t="str">
        <f>IF($A230="","",IF(N('Daily Data'!$K230)&lt;0,"ERROR","OK"))</f>
        <v/>
      </c>
      <c r="I230" s="165" t="str">
        <f>IF($A230="","",IF(N('Daily Data'!$I230)&lt;0,"ERROR","OK"))</f>
        <v/>
      </c>
      <c r="J230" s="165" t="str">
        <f>IF($A230="","",IF(N('Daily Data'!$L230)&lt;0,"ERROR","OK"))</f>
        <v/>
      </c>
      <c r="K230" s="165" t="str">
        <f>IF($A230="","",IF(N('Daily Data'!$M230)&lt;0,"ERROR","OK"))</f>
        <v/>
      </c>
      <c r="L230" s="165" t="str">
        <f>IF($A230="","",IF(OR(N('Daily Data'!$F230)=0,N('Daily Data'!$G230)=0),"OK",IF(OR(N('Daily Data'!$E230)&gt;N('Daily Data'!$F230),N('Daily Data'!$E230)&lt;N('Daily Data'!$G230)),"ERROR","OK")))</f>
        <v/>
      </c>
      <c r="M230" s="165" t="str">
        <f>IF($A230="","",IF(N('Daily Data'!$AK230)&lt;=1,"OK",IF(ROUND(N('Daily Data'!$D230),2)=ROUND(SUMIFS('Daily Data'!$E$4:$E$503,'Daily Data'!$B$4:$B$503,'Daily Data'!$B230,'Daily Data'!$AK$4:$AK$503,'Daily Data'!$AK230-1),2),"OK","WARNING")))</f>
        <v/>
      </c>
      <c r="N230" s="165" t="str">
        <f>IF($A230="","",IF(N('Daily Data'!$N230)&lt;=0,"WARNING","OK"))</f>
        <v/>
      </c>
      <c r="O230" s="165" t="str">
        <f>IF($A230="","",IF(AND(ISNUMBER('Daily Data'!$H230),ABS(N('Daily Data'!$H230))&gt;Settings!$C$56),"WARNING","OK"))</f>
        <v/>
      </c>
      <c r="P230" s="165" t="str">
        <f>IF($A230="","",IF(OR(AND(N('Daily Data'!$K230)=0,N('Daily Data'!$I230)&gt;0),AND(N('Daily Data'!$I230)=0,N('Daily Data'!$K230)&gt;0),AND(N('Daily Data'!$L230)=0,N('Daily Data'!$M230)=0)),"WARNING","OK"))</f>
        <v/>
      </c>
      <c r="Q230" s="165" t="str">
        <f>IF($A230="","",IF(COUNTIFS('Daily Data'!$B$4:$B$503,'Daily Data'!$B230,'Daily Data'!$A$4:$A$503,'Daily Data'!$A230,'Daily Data'!$Q$4:$Q$503,'Daily Data'!$Q230)&gt;1,"WARNING","OK"))</f>
        <v/>
      </c>
      <c r="R230" s="165" t="str">
        <f>IF($A230="","",IF(AND(N('Daily Data'!$K230)&gt;0,N('Daily Data'!$J230)&lt;=0),"WARNING","OK"))</f>
        <v/>
      </c>
      <c r="S230" s="165" t="str">
        <f>IF($A230="","",COUNTIF($D230:$R230,"ERROR"))</f>
        <v/>
      </c>
      <c r="T230" s="165" t="str">
        <f>IF($A230="","",COUNTIF($D230:$R230,"WARNING"))</f>
        <v/>
      </c>
      <c r="U230" s="165" t="str">
        <f>IF($A230="","",IF($S230&gt;0,"ERROR",IF($T230&gt;0,"WARNING","PASS")))</f>
        <v/>
      </c>
    </row>
    <row r="231" spans="1:21" x14ac:dyDescent="0.3">
      <c r="A231" t="str">
        <f>IF(AND('Daily Data'!$A231="",'Daily Data'!$B231=""),"",231)</f>
        <v/>
      </c>
      <c r="B231" s="16" t="str">
        <f>IF($A231="","",'Daily Data'!$A231)</f>
        <v/>
      </c>
      <c r="C231" t="str">
        <f>IF($A231="","",'Daily Data'!$B231)</f>
        <v/>
      </c>
      <c r="D231" s="165" t="str">
        <f>IF($A231="","",IF(COUNTIFS('Daily Data'!$B$4:$B$503,'Daily Data'!$B231,'Daily Data'!$A$4:$A$503,'Daily Data'!$A231)&gt;1,"ERROR","OK"))</f>
        <v/>
      </c>
      <c r="E231" s="165" t="str">
        <f>IF($A231="","",IF('Daily Data'!$B231="","ERROR","OK"))</f>
        <v/>
      </c>
      <c r="F231" s="165" t="str">
        <f>IF($A231="","",IF(NOT(ISNUMBER('Daily Data'!$A231)),"ERROR","OK"))</f>
        <v/>
      </c>
      <c r="G231" s="165" t="str">
        <f>IF($A231="","",IF(OR(N('Daily Data'!$E231)&lt;=0,N('Daily Data'!$C231)&lt;0,N('Daily Data'!$D231)&lt;0,N('Daily Data'!$F231)&lt;0,N('Daily Data'!$G231)&lt;0),"ERROR","OK"))</f>
        <v/>
      </c>
      <c r="H231" s="165" t="str">
        <f>IF($A231="","",IF(N('Daily Data'!$K231)&lt;0,"ERROR","OK"))</f>
        <v/>
      </c>
      <c r="I231" s="165" t="str">
        <f>IF($A231="","",IF(N('Daily Data'!$I231)&lt;0,"ERROR","OK"))</f>
        <v/>
      </c>
      <c r="J231" s="165" t="str">
        <f>IF($A231="","",IF(N('Daily Data'!$L231)&lt;0,"ERROR","OK"))</f>
        <v/>
      </c>
      <c r="K231" s="165" t="str">
        <f>IF($A231="","",IF(N('Daily Data'!$M231)&lt;0,"ERROR","OK"))</f>
        <v/>
      </c>
      <c r="L231" s="165" t="str">
        <f>IF($A231="","",IF(OR(N('Daily Data'!$F231)=0,N('Daily Data'!$G231)=0),"OK",IF(OR(N('Daily Data'!$E231)&gt;N('Daily Data'!$F231),N('Daily Data'!$E231)&lt;N('Daily Data'!$G231)),"ERROR","OK")))</f>
        <v/>
      </c>
      <c r="M231" s="165" t="str">
        <f>IF($A231="","",IF(N('Daily Data'!$AK231)&lt;=1,"OK",IF(ROUND(N('Daily Data'!$D231),2)=ROUND(SUMIFS('Daily Data'!$E$4:$E$503,'Daily Data'!$B$4:$B$503,'Daily Data'!$B231,'Daily Data'!$AK$4:$AK$503,'Daily Data'!$AK231-1),2),"OK","WARNING")))</f>
        <v/>
      </c>
      <c r="N231" s="165" t="str">
        <f>IF($A231="","",IF(N('Daily Data'!$N231)&lt;=0,"WARNING","OK"))</f>
        <v/>
      </c>
      <c r="O231" s="165" t="str">
        <f>IF($A231="","",IF(AND(ISNUMBER('Daily Data'!$H231),ABS(N('Daily Data'!$H231))&gt;Settings!$C$56),"WARNING","OK"))</f>
        <v/>
      </c>
      <c r="P231" s="165" t="str">
        <f>IF($A231="","",IF(OR(AND(N('Daily Data'!$K231)=0,N('Daily Data'!$I231)&gt;0),AND(N('Daily Data'!$I231)=0,N('Daily Data'!$K231)&gt;0),AND(N('Daily Data'!$L231)=0,N('Daily Data'!$M231)=0)),"WARNING","OK"))</f>
        <v/>
      </c>
      <c r="Q231" s="165" t="str">
        <f>IF($A231="","",IF(COUNTIFS('Daily Data'!$B$4:$B$503,'Daily Data'!$B231,'Daily Data'!$A$4:$A$503,'Daily Data'!$A231,'Daily Data'!$Q$4:$Q$503,'Daily Data'!$Q231)&gt;1,"WARNING","OK"))</f>
        <v/>
      </c>
      <c r="R231" s="165" t="str">
        <f>IF($A231="","",IF(AND(N('Daily Data'!$K231)&gt;0,N('Daily Data'!$J231)&lt;=0),"WARNING","OK"))</f>
        <v/>
      </c>
      <c r="S231" s="165" t="str">
        <f>IF($A231="","",COUNTIF($D231:$R231,"ERROR"))</f>
        <v/>
      </c>
      <c r="T231" s="165" t="str">
        <f>IF($A231="","",COUNTIF($D231:$R231,"WARNING"))</f>
        <v/>
      </c>
      <c r="U231" s="165" t="str">
        <f>IF($A231="","",IF($S231&gt;0,"ERROR",IF($T231&gt;0,"WARNING","PASS")))</f>
        <v/>
      </c>
    </row>
    <row r="232" spans="1:21" x14ac:dyDescent="0.3">
      <c r="A232" t="str">
        <f>IF(AND('Daily Data'!$A232="",'Daily Data'!$B232=""),"",232)</f>
        <v/>
      </c>
      <c r="B232" s="16" t="str">
        <f>IF($A232="","",'Daily Data'!$A232)</f>
        <v/>
      </c>
      <c r="C232" t="str">
        <f>IF($A232="","",'Daily Data'!$B232)</f>
        <v/>
      </c>
      <c r="D232" s="165" t="str">
        <f>IF($A232="","",IF(COUNTIFS('Daily Data'!$B$4:$B$503,'Daily Data'!$B232,'Daily Data'!$A$4:$A$503,'Daily Data'!$A232)&gt;1,"ERROR","OK"))</f>
        <v/>
      </c>
      <c r="E232" s="165" t="str">
        <f>IF($A232="","",IF('Daily Data'!$B232="","ERROR","OK"))</f>
        <v/>
      </c>
      <c r="F232" s="165" t="str">
        <f>IF($A232="","",IF(NOT(ISNUMBER('Daily Data'!$A232)),"ERROR","OK"))</f>
        <v/>
      </c>
      <c r="G232" s="165" t="str">
        <f>IF($A232="","",IF(OR(N('Daily Data'!$E232)&lt;=0,N('Daily Data'!$C232)&lt;0,N('Daily Data'!$D232)&lt;0,N('Daily Data'!$F232)&lt;0,N('Daily Data'!$G232)&lt;0),"ERROR","OK"))</f>
        <v/>
      </c>
      <c r="H232" s="165" t="str">
        <f>IF($A232="","",IF(N('Daily Data'!$K232)&lt;0,"ERROR","OK"))</f>
        <v/>
      </c>
      <c r="I232" s="165" t="str">
        <f>IF($A232="","",IF(N('Daily Data'!$I232)&lt;0,"ERROR","OK"))</f>
        <v/>
      </c>
      <c r="J232" s="165" t="str">
        <f>IF($A232="","",IF(N('Daily Data'!$L232)&lt;0,"ERROR","OK"))</f>
        <v/>
      </c>
      <c r="K232" s="165" t="str">
        <f>IF($A232="","",IF(N('Daily Data'!$M232)&lt;0,"ERROR","OK"))</f>
        <v/>
      </c>
      <c r="L232" s="165" t="str">
        <f>IF($A232="","",IF(OR(N('Daily Data'!$F232)=0,N('Daily Data'!$G232)=0),"OK",IF(OR(N('Daily Data'!$E232)&gt;N('Daily Data'!$F232),N('Daily Data'!$E232)&lt;N('Daily Data'!$G232)),"ERROR","OK")))</f>
        <v/>
      </c>
      <c r="M232" s="165" t="str">
        <f>IF($A232="","",IF(N('Daily Data'!$AK232)&lt;=1,"OK",IF(ROUND(N('Daily Data'!$D232),2)=ROUND(SUMIFS('Daily Data'!$E$4:$E$503,'Daily Data'!$B$4:$B$503,'Daily Data'!$B232,'Daily Data'!$AK$4:$AK$503,'Daily Data'!$AK232-1),2),"OK","WARNING")))</f>
        <v/>
      </c>
      <c r="N232" s="165" t="str">
        <f>IF($A232="","",IF(N('Daily Data'!$N232)&lt;=0,"WARNING","OK"))</f>
        <v/>
      </c>
      <c r="O232" s="165" t="str">
        <f>IF($A232="","",IF(AND(ISNUMBER('Daily Data'!$H232),ABS(N('Daily Data'!$H232))&gt;Settings!$C$56),"WARNING","OK"))</f>
        <v/>
      </c>
      <c r="P232" s="165" t="str">
        <f>IF($A232="","",IF(OR(AND(N('Daily Data'!$K232)=0,N('Daily Data'!$I232)&gt;0),AND(N('Daily Data'!$I232)=0,N('Daily Data'!$K232)&gt;0),AND(N('Daily Data'!$L232)=0,N('Daily Data'!$M232)=0)),"WARNING","OK"))</f>
        <v/>
      </c>
      <c r="Q232" s="165" t="str">
        <f>IF($A232="","",IF(COUNTIFS('Daily Data'!$B$4:$B$503,'Daily Data'!$B232,'Daily Data'!$A$4:$A$503,'Daily Data'!$A232,'Daily Data'!$Q$4:$Q$503,'Daily Data'!$Q232)&gt;1,"WARNING","OK"))</f>
        <v/>
      </c>
      <c r="R232" s="165" t="str">
        <f>IF($A232="","",IF(AND(N('Daily Data'!$K232)&gt;0,N('Daily Data'!$J232)&lt;=0),"WARNING","OK"))</f>
        <v/>
      </c>
      <c r="S232" s="165" t="str">
        <f>IF($A232="","",COUNTIF($D232:$R232,"ERROR"))</f>
        <v/>
      </c>
      <c r="T232" s="165" t="str">
        <f>IF($A232="","",COUNTIF($D232:$R232,"WARNING"))</f>
        <v/>
      </c>
      <c r="U232" s="165" t="str">
        <f>IF($A232="","",IF($S232&gt;0,"ERROR",IF($T232&gt;0,"WARNING","PASS")))</f>
        <v/>
      </c>
    </row>
    <row r="233" spans="1:21" x14ac:dyDescent="0.3">
      <c r="A233" t="str">
        <f>IF(AND('Daily Data'!$A233="",'Daily Data'!$B233=""),"",233)</f>
        <v/>
      </c>
      <c r="B233" s="16" t="str">
        <f>IF($A233="","",'Daily Data'!$A233)</f>
        <v/>
      </c>
      <c r="C233" t="str">
        <f>IF($A233="","",'Daily Data'!$B233)</f>
        <v/>
      </c>
      <c r="D233" s="165" t="str">
        <f>IF($A233="","",IF(COUNTIFS('Daily Data'!$B$4:$B$503,'Daily Data'!$B233,'Daily Data'!$A$4:$A$503,'Daily Data'!$A233)&gt;1,"ERROR","OK"))</f>
        <v/>
      </c>
      <c r="E233" s="165" t="str">
        <f>IF($A233="","",IF('Daily Data'!$B233="","ERROR","OK"))</f>
        <v/>
      </c>
      <c r="F233" s="165" t="str">
        <f>IF($A233="","",IF(NOT(ISNUMBER('Daily Data'!$A233)),"ERROR","OK"))</f>
        <v/>
      </c>
      <c r="G233" s="165" t="str">
        <f>IF($A233="","",IF(OR(N('Daily Data'!$E233)&lt;=0,N('Daily Data'!$C233)&lt;0,N('Daily Data'!$D233)&lt;0,N('Daily Data'!$F233)&lt;0,N('Daily Data'!$G233)&lt;0),"ERROR","OK"))</f>
        <v/>
      </c>
      <c r="H233" s="165" t="str">
        <f>IF($A233="","",IF(N('Daily Data'!$K233)&lt;0,"ERROR","OK"))</f>
        <v/>
      </c>
      <c r="I233" s="165" t="str">
        <f>IF($A233="","",IF(N('Daily Data'!$I233)&lt;0,"ERROR","OK"))</f>
        <v/>
      </c>
      <c r="J233" s="165" t="str">
        <f>IF($A233="","",IF(N('Daily Data'!$L233)&lt;0,"ERROR","OK"))</f>
        <v/>
      </c>
      <c r="K233" s="165" t="str">
        <f>IF($A233="","",IF(N('Daily Data'!$M233)&lt;0,"ERROR","OK"))</f>
        <v/>
      </c>
      <c r="L233" s="165" t="str">
        <f>IF($A233="","",IF(OR(N('Daily Data'!$F233)=0,N('Daily Data'!$G233)=0),"OK",IF(OR(N('Daily Data'!$E233)&gt;N('Daily Data'!$F233),N('Daily Data'!$E233)&lt;N('Daily Data'!$G233)),"ERROR","OK")))</f>
        <v/>
      </c>
      <c r="M233" s="165" t="str">
        <f>IF($A233="","",IF(N('Daily Data'!$AK233)&lt;=1,"OK",IF(ROUND(N('Daily Data'!$D233),2)=ROUND(SUMIFS('Daily Data'!$E$4:$E$503,'Daily Data'!$B$4:$B$503,'Daily Data'!$B233,'Daily Data'!$AK$4:$AK$503,'Daily Data'!$AK233-1),2),"OK","WARNING")))</f>
        <v/>
      </c>
      <c r="N233" s="165" t="str">
        <f>IF($A233="","",IF(N('Daily Data'!$N233)&lt;=0,"WARNING","OK"))</f>
        <v/>
      </c>
      <c r="O233" s="165" t="str">
        <f>IF($A233="","",IF(AND(ISNUMBER('Daily Data'!$H233),ABS(N('Daily Data'!$H233))&gt;Settings!$C$56),"WARNING","OK"))</f>
        <v/>
      </c>
      <c r="P233" s="165" t="str">
        <f>IF($A233="","",IF(OR(AND(N('Daily Data'!$K233)=0,N('Daily Data'!$I233)&gt;0),AND(N('Daily Data'!$I233)=0,N('Daily Data'!$K233)&gt;0),AND(N('Daily Data'!$L233)=0,N('Daily Data'!$M233)=0)),"WARNING","OK"))</f>
        <v/>
      </c>
      <c r="Q233" s="165" t="str">
        <f>IF($A233="","",IF(COUNTIFS('Daily Data'!$B$4:$B$503,'Daily Data'!$B233,'Daily Data'!$A$4:$A$503,'Daily Data'!$A233,'Daily Data'!$Q$4:$Q$503,'Daily Data'!$Q233)&gt;1,"WARNING","OK"))</f>
        <v/>
      </c>
      <c r="R233" s="165" t="str">
        <f>IF($A233="","",IF(AND(N('Daily Data'!$K233)&gt;0,N('Daily Data'!$J233)&lt;=0),"WARNING","OK"))</f>
        <v/>
      </c>
      <c r="S233" s="165" t="str">
        <f>IF($A233="","",COUNTIF($D233:$R233,"ERROR"))</f>
        <v/>
      </c>
      <c r="T233" s="165" t="str">
        <f>IF($A233="","",COUNTIF($D233:$R233,"WARNING"))</f>
        <v/>
      </c>
      <c r="U233" s="165" t="str">
        <f>IF($A233="","",IF($S233&gt;0,"ERROR",IF($T233&gt;0,"WARNING","PASS")))</f>
        <v/>
      </c>
    </row>
    <row r="234" spans="1:21" x14ac:dyDescent="0.3">
      <c r="A234" t="str">
        <f>IF(AND('Daily Data'!$A234="",'Daily Data'!$B234=""),"",234)</f>
        <v/>
      </c>
      <c r="B234" s="16" t="str">
        <f>IF($A234="","",'Daily Data'!$A234)</f>
        <v/>
      </c>
      <c r="C234" t="str">
        <f>IF($A234="","",'Daily Data'!$B234)</f>
        <v/>
      </c>
      <c r="D234" s="165" t="str">
        <f>IF($A234="","",IF(COUNTIFS('Daily Data'!$B$4:$B$503,'Daily Data'!$B234,'Daily Data'!$A$4:$A$503,'Daily Data'!$A234)&gt;1,"ERROR","OK"))</f>
        <v/>
      </c>
      <c r="E234" s="165" t="str">
        <f>IF($A234="","",IF('Daily Data'!$B234="","ERROR","OK"))</f>
        <v/>
      </c>
      <c r="F234" s="165" t="str">
        <f>IF($A234="","",IF(NOT(ISNUMBER('Daily Data'!$A234)),"ERROR","OK"))</f>
        <v/>
      </c>
      <c r="G234" s="165" t="str">
        <f>IF($A234="","",IF(OR(N('Daily Data'!$E234)&lt;=0,N('Daily Data'!$C234)&lt;0,N('Daily Data'!$D234)&lt;0,N('Daily Data'!$F234)&lt;0,N('Daily Data'!$G234)&lt;0),"ERROR","OK"))</f>
        <v/>
      </c>
      <c r="H234" s="165" t="str">
        <f>IF($A234="","",IF(N('Daily Data'!$K234)&lt;0,"ERROR","OK"))</f>
        <v/>
      </c>
      <c r="I234" s="165" t="str">
        <f>IF($A234="","",IF(N('Daily Data'!$I234)&lt;0,"ERROR","OK"))</f>
        <v/>
      </c>
      <c r="J234" s="165" t="str">
        <f>IF($A234="","",IF(N('Daily Data'!$L234)&lt;0,"ERROR","OK"))</f>
        <v/>
      </c>
      <c r="K234" s="165" t="str">
        <f>IF($A234="","",IF(N('Daily Data'!$M234)&lt;0,"ERROR","OK"))</f>
        <v/>
      </c>
      <c r="L234" s="165" t="str">
        <f>IF($A234="","",IF(OR(N('Daily Data'!$F234)=0,N('Daily Data'!$G234)=0),"OK",IF(OR(N('Daily Data'!$E234)&gt;N('Daily Data'!$F234),N('Daily Data'!$E234)&lt;N('Daily Data'!$G234)),"ERROR","OK")))</f>
        <v/>
      </c>
      <c r="M234" s="165" t="str">
        <f>IF($A234="","",IF(N('Daily Data'!$AK234)&lt;=1,"OK",IF(ROUND(N('Daily Data'!$D234),2)=ROUND(SUMIFS('Daily Data'!$E$4:$E$503,'Daily Data'!$B$4:$B$503,'Daily Data'!$B234,'Daily Data'!$AK$4:$AK$503,'Daily Data'!$AK234-1),2),"OK","WARNING")))</f>
        <v/>
      </c>
      <c r="N234" s="165" t="str">
        <f>IF($A234="","",IF(N('Daily Data'!$N234)&lt;=0,"WARNING","OK"))</f>
        <v/>
      </c>
      <c r="O234" s="165" t="str">
        <f>IF($A234="","",IF(AND(ISNUMBER('Daily Data'!$H234),ABS(N('Daily Data'!$H234))&gt;Settings!$C$56),"WARNING","OK"))</f>
        <v/>
      </c>
      <c r="P234" s="165" t="str">
        <f>IF($A234="","",IF(OR(AND(N('Daily Data'!$K234)=0,N('Daily Data'!$I234)&gt;0),AND(N('Daily Data'!$I234)=0,N('Daily Data'!$K234)&gt;0),AND(N('Daily Data'!$L234)=0,N('Daily Data'!$M234)=0)),"WARNING","OK"))</f>
        <v/>
      </c>
      <c r="Q234" s="165" t="str">
        <f>IF($A234="","",IF(COUNTIFS('Daily Data'!$B$4:$B$503,'Daily Data'!$B234,'Daily Data'!$A$4:$A$503,'Daily Data'!$A234,'Daily Data'!$Q$4:$Q$503,'Daily Data'!$Q234)&gt;1,"WARNING","OK"))</f>
        <v/>
      </c>
      <c r="R234" s="165" t="str">
        <f>IF($A234="","",IF(AND(N('Daily Data'!$K234)&gt;0,N('Daily Data'!$J234)&lt;=0),"WARNING","OK"))</f>
        <v/>
      </c>
      <c r="S234" s="165" t="str">
        <f>IF($A234="","",COUNTIF($D234:$R234,"ERROR"))</f>
        <v/>
      </c>
      <c r="T234" s="165" t="str">
        <f>IF($A234="","",COUNTIF($D234:$R234,"WARNING"))</f>
        <v/>
      </c>
      <c r="U234" s="165" t="str">
        <f>IF($A234="","",IF($S234&gt;0,"ERROR",IF($T234&gt;0,"WARNING","PASS")))</f>
        <v/>
      </c>
    </row>
    <row r="235" spans="1:21" x14ac:dyDescent="0.3">
      <c r="A235" t="str">
        <f>IF(AND('Daily Data'!$A235="",'Daily Data'!$B235=""),"",235)</f>
        <v/>
      </c>
      <c r="B235" s="16" t="str">
        <f>IF($A235="","",'Daily Data'!$A235)</f>
        <v/>
      </c>
      <c r="C235" t="str">
        <f>IF($A235="","",'Daily Data'!$B235)</f>
        <v/>
      </c>
      <c r="D235" s="165" t="str">
        <f>IF($A235="","",IF(COUNTIFS('Daily Data'!$B$4:$B$503,'Daily Data'!$B235,'Daily Data'!$A$4:$A$503,'Daily Data'!$A235)&gt;1,"ERROR","OK"))</f>
        <v/>
      </c>
      <c r="E235" s="165" t="str">
        <f>IF($A235="","",IF('Daily Data'!$B235="","ERROR","OK"))</f>
        <v/>
      </c>
      <c r="F235" s="165" t="str">
        <f>IF($A235="","",IF(NOT(ISNUMBER('Daily Data'!$A235)),"ERROR","OK"))</f>
        <v/>
      </c>
      <c r="G235" s="165" t="str">
        <f>IF($A235="","",IF(OR(N('Daily Data'!$E235)&lt;=0,N('Daily Data'!$C235)&lt;0,N('Daily Data'!$D235)&lt;0,N('Daily Data'!$F235)&lt;0,N('Daily Data'!$G235)&lt;0),"ERROR","OK"))</f>
        <v/>
      </c>
      <c r="H235" s="165" t="str">
        <f>IF($A235="","",IF(N('Daily Data'!$K235)&lt;0,"ERROR","OK"))</f>
        <v/>
      </c>
      <c r="I235" s="165" t="str">
        <f>IF($A235="","",IF(N('Daily Data'!$I235)&lt;0,"ERROR","OK"))</f>
        <v/>
      </c>
      <c r="J235" s="165" t="str">
        <f>IF($A235="","",IF(N('Daily Data'!$L235)&lt;0,"ERROR","OK"))</f>
        <v/>
      </c>
      <c r="K235" s="165" t="str">
        <f>IF($A235="","",IF(N('Daily Data'!$M235)&lt;0,"ERROR","OK"))</f>
        <v/>
      </c>
      <c r="L235" s="165" t="str">
        <f>IF($A235="","",IF(OR(N('Daily Data'!$F235)=0,N('Daily Data'!$G235)=0),"OK",IF(OR(N('Daily Data'!$E235)&gt;N('Daily Data'!$F235),N('Daily Data'!$E235)&lt;N('Daily Data'!$G235)),"ERROR","OK")))</f>
        <v/>
      </c>
      <c r="M235" s="165" t="str">
        <f>IF($A235="","",IF(N('Daily Data'!$AK235)&lt;=1,"OK",IF(ROUND(N('Daily Data'!$D235),2)=ROUND(SUMIFS('Daily Data'!$E$4:$E$503,'Daily Data'!$B$4:$B$503,'Daily Data'!$B235,'Daily Data'!$AK$4:$AK$503,'Daily Data'!$AK235-1),2),"OK","WARNING")))</f>
        <v/>
      </c>
      <c r="N235" s="165" t="str">
        <f>IF($A235="","",IF(N('Daily Data'!$N235)&lt;=0,"WARNING","OK"))</f>
        <v/>
      </c>
      <c r="O235" s="165" t="str">
        <f>IF($A235="","",IF(AND(ISNUMBER('Daily Data'!$H235),ABS(N('Daily Data'!$H235))&gt;Settings!$C$56),"WARNING","OK"))</f>
        <v/>
      </c>
      <c r="P235" s="165" t="str">
        <f>IF($A235="","",IF(OR(AND(N('Daily Data'!$K235)=0,N('Daily Data'!$I235)&gt;0),AND(N('Daily Data'!$I235)=0,N('Daily Data'!$K235)&gt;0),AND(N('Daily Data'!$L235)=0,N('Daily Data'!$M235)=0)),"WARNING","OK"))</f>
        <v/>
      </c>
      <c r="Q235" s="165" t="str">
        <f>IF($A235="","",IF(COUNTIFS('Daily Data'!$B$4:$B$503,'Daily Data'!$B235,'Daily Data'!$A$4:$A$503,'Daily Data'!$A235,'Daily Data'!$Q$4:$Q$503,'Daily Data'!$Q235)&gt;1,"WARNING","OK"))</f>
        <v/>
      </c>
      <c r="R235" s="165" t="str">
        <f>IF($A235="","",IF(AND(N('Daily Data'!$K235)&gt;0,N('Daily Data'!$J235)&lt;=0),"WARNING","OK"))</f>
        <v/>
      </c>
      <c r="S235" s="165" t="str">
        <f>IF($A235="","",COUNTIF($D235:$R235,"ERROR"))</f>
        <v/>
      </c>
      <c r="T235" s="165" t="str">
        <f>IF($A235="","",COUNTIF($D235:$R235,"WARNING"))</f>
        <v/>
      </c>
      <c r="U235" s="165" t="str">
        <f>IF($A235="","",IF($S235&gt;0,"ERROR",IF($T235&gt;0,"WARNING","PASS")))</f>
        <v/>
      </c>
    </row>
    <row r="236" spans="1:21" x14ac:dyDescent="0.3">
      <c r="A236" t="str">
        <f>IF(AND('Daily Data'!$A236="",'Daily Data'!$B236=""),"",236)</f>
        <v/>
      </c>
      <c r="B236" s="16" t="str">
        <f>IF($A236="","",'Daily Data'!$A236)</f>
        <v/>
      </c>
      <c r="C236" t="str">
        <f>IF($A236="","",'Daily Data'!$B236)</f>
        <v/>
      </c>
      <c r="D236" s="165" t="str">
        <f>IF($A236="","",IF(COUNTIFS('Daily Data'!$B$4:$B$503,'Daily Data'!$B236,'Daily Data'!$A$4:$A$503,'Daily Data'!$A236)&gt;1,"ERROR","OK"))</f>
        <v/>
      </c>
      <c r="E236" s="165" t="str">
        <f>IF($A236="","",IF('Daily Data'!$B236="","ERROR","OK"))</f>
        <v/>
      </c>
      <c r="F236" s="165" t="str">
        <f>IF($A236="","",IF(NOT(ISNUMBER('Daily Data'!$A236)),"ERROR","OK"))</f>
        <v/>
      </c>
      <c r="G236" s="165" t="str">
        <f>IF($A236="","",IF(OR(N('Daily Data'!$E236)&lt;=0,N('Daily Data'!$C236)&lt;0,N('Daily Data'!$D236)&lt;0,N('Daily Data'!$F236)&lt;0,N('Daily Data'!$G236)&lt;0),"ERROR","OK"))</f>
        <v/>
      </c>
      <c r="H236" s="165" t="str">
        <f>IF($A236="","",IF(N('Daily Data'!$K236)&lt;0,"ERROR","OK"))</f>
        <v/>
      </c>
      <c r="I236" s="165" t="str">
        <f>IF($A236="","",IF(N('Daily Data'!$I236)&lt;0,"ERROR","OK"))</f>
        <v/>
      </c>
      <c r="J236" s="165" t="str">
        <f>IF($A236="","",IF(N('Daily Data'!$L236)&lt;0,"ERROR","OK"))</f>
        <v/>
      </c>
      <c r="K236" s="165" t="str">
        <f>IF($A236="","",IF(N('Daily Data'!$M236)&lt;0,"ERROR","OK"))</f>
        <v/>
      </c>
      <c r="L236" s="165" t="str">
        <f>IF($A236="","",IF(OR(N('Daily Data'!$F236)=0,N('Daily Data'!$G236)=0),"OK",IF(OR(N('Daily Data'!$E236)&gt;N('Daily Data'!$F236),N('Daily Data'!$E236)&lt;N('Daily Data'!$G236)),"ERROR","OK")))</f>
        <v/>
      </c>
      <c r="M236" s="165" t="str">
        <f>IF($A236="","",IF(N('Daily Data'!$AK236)&lt;=1,"OK",IF(ROUND(N('Daily Data'!$D236),2)=ROUND(SUMIFS('Daily Data'!$E$4:$E$503,'Daily Data'!$B$4:$B$503,'Daily Data'!$B236,'Daily Data'!$AK$4:$AK$503,'Daily Data'!$AK236-1),2),"OK","WARNING")))</f>
        <v/>
      </c>
      <c r="N236" s="165" t="str">
        <f>IF($A236="","",IF(N('Daily Data'!$N236)&lt;=0,"WARNING","OK"))</f>
        <v/>
      </c>
      <c r="O236" s="165" t="str">
        <f>IF($A236="","",IF(AND(ISNUMBER('Daily Data'!$H236),ABS(N('Daily Data'!$H236))&gt;Settings!$C$56),"WARNING","OK"))</f>
        <v/>
      </c>
      <c r="P236" s="165" t="str">
        <f>IF($A236="","",IF(OR(AND(N('Daily Data'!$K236)=0,N('Daily Data'!$I236)&gt;0),AND(N('Daily Data'!$I236)=0,N('Daily Data'!$K236)&gt;0),AND(N('Daily Data'!$L236)=0,N('Daily Data'!$M236)=0)),"WARNING","OK"))</f>
        <v/>
      </c>
      <c r="Q236" s="165" t="str">
        <f>IF($A236="","",IF(COUNTIFS('Daily Data'!$B$4:$B$503,'Daily Data'!$B236,'Daily Data'!$A$4:$A$503,'Daily Data'!$A236,'Daily Data'!$Q$4:$Q$503,'Daily Data'!$Q236)&gt;1,"WARNING","OK"))</f>
        <v/>
      </c>
      <c r="R236" s="165" t="str">
        <f>IF($A236="","",IF(AND(N('Daily Data'!$K236)&gt;0,N('Daily Data'!$J236)&lt;=0),"WARNING","OK"))</f>
        <v/>
      </c>
      <c r="S236" s="165" t="str">
        <f>IF($A236="","",COUNTIF($D236:$R236,"ERROR"))</f>
        <v/>
      </c>
      <c r="T236" s="165" t="str">
        <f>IF($A236="","",COUNTIF($D236:$R236,"WARNING"))</f>
        <v/>
      </c>
      <c r="U236" s="165" t="str">
        <f>IF($A236="","",IF($S236&gt;0,"ERROR",IF($T236&gt;0,"WARNING","PASS")))</f>
        <v/>
      </c>
    </row>
    <row r="237" spans="1:21" x14ac:dyDescent="0.3">
      <c r="A237" t="str">
        <f>IF(AND('Daily Data'!$A237="",'Daily Data'!$B237=""),"",237)</f>
        <v/>
      </c>
      <c r="B237" s="16" t="str">
        <f>IF($A237="","",'Daily Data'!$A237)</f>
        <v/>
      </c>
      <c r="C237" t="str">
        <f>IF($A237="","",'Daily Data'!$B237)</f>
        <v/>
      </c>
      <c r="D237" s="165" t="str">
        <f>IF($A237="","",IF(COUNTIFS('Daily Data'!$B$4:$B$503,'Daily Data'!$B237,'Daily Data'!$A$4:$A$503,'Daily Data'!$A237)&gt;1,"ERROR","OK"))</f>
        <v/>
      </c>
      <c r="E237" s="165" t="str">
        <f>IF($A237="","",IF('Daily Data'!$B237="","ERROR","OK"))</f>
        <v/>
      </c>
      <c r="F237" s="165" t="str">
        <f>IF($A237="","",IF(NOT(ISNUMBER('Daily Data'!$A237)),"ERROR","OK"))</f>
        <v/>
      </c>
      <c r="G237" s="165" t="str">
        <f>IF($A237="","",IF(OR(N('Daily Data'!$E237)&lt;=0,N('Daily Data'!$C237)&lt;0,N('Daily Data'!$D237)&lt;0,N('Daily Data'!$F237)&lt;0,N('Daily Data'!$G237)&lt;0),"ERROR","OK"))</f>
        <v/>
      </c>
      <c r="H237" s="165" t="str">
        <f>IF($A237="","",IF(N('Daily Data'!$K237)&lt;0,"ERROR","OK"))</f>
        <v/>
      </c>
      <c r="I237" s="165" t="str">
        <f>IF($A237="","",IF(N('Daily Data'!$I237)&lt;0,"ERROR","OK"))</f>
        <v/>
      </c>
      <c r="J237" s="165" t="str">
        <f>IF($A237="","",IF(N('Daily Data'!$L237)&lt;0,"ERROR","OK"))</f>
        <v/>
      </c>
      <c r="K237" s="165" t="str">
        <f>IF($A237="","",IF(N('Daily Data'!$M237)&lt;0,"ERROR","OK"))</f>
        <v/>
      </c>
      <c r="L237" s="165" t="str">
        <f>IF($A237="","",IF(OR(N('Daily Data'!$F237)=0,N('Daily Data'!$G237)=0),"OK",IF(OR(N('Daily Data'!$E237)&gt;N('Daily Data'!$F237),N('Daily Data'!$E237)&lt;N('Daily Data'!$G237)),"ERROR","OK")))</f>
        <v/>
      </c>
      <c r="M237" s="165" t="str">
        <f>IF($A237="","",IF(N('Daily Data'!$AK237)&lt;=1,"OK",IF(ROUND(N('Daily Data'!$D237),2)=ROUND(SUMIFS('Daily Data'!$E$4:$E$503,'Daily Data'!$B$4:$B$503,'Daily Data'!$B237,'Daily Data'!$AK$4:$AK$503,'Daily Data'!$AK237-1),2),"OK","WARNING")))</f>
        <v/>
      </c>
      <c r="N237" s="165" t="str">
        <f>IF($A237="","",IF(N('Daily Data'!$N237)&lt;=0,"WARNING","OK"))</f>
        <v/>
      </c>
      <c r="O237" s="165" t="str">
        <f>IF($A237="","",IF(AND(ISNUMBER('Daily Data'!$H237),ABS(N('Daily Data'!$H237))&gt;Settings!$C$56),"WARNING","OK"))</f>
        <v/>
      </c>
      <c r="P237" s="165" t="str">
        <f>IF($A237="","",IF(OR(AND(N('Daily Data'!$K237)=0,N('Daily Data'!$I237)&gt;0),AND(N('Daily Data'!$I237)=0,N('Daily Data'!$K237)&gt;0),AND(N('Daily Data'!$L237)=0,N('Daily Data'!$M237)=0)),"WARNING","OK"))</f>
        <v/>
      </c>
      <c r="Q237" s="165" t="str">
        <f>IF($A237="","",IF(COUNTIFS('Daily Data'!$B$4:$B$503,'Daily Data'!$B237,'Daily Data'!$A$4:$A$503,'Daily Data'!$A237,'Daily Data'!$Q$4:$Q$503,'Daily Data'!$Q237)&gt;1,"WARNING","OK"))</f>
        <v/>
      </c>
      <c r="R237" s="165" t="str">
        <f>IF($A237="","",IF(AND(N('Daily Data'!$K237)&gt;0,N('Daily Data'!$J237)&lt;=0),"WARNING","OK"))</f>
        <v/>
      </c>
      <c r="S237" s="165" t="str">
        <f>IF($A237="","",COUNTIF($D237:$R237,"ERROR"))</f>
        <v/>
      </c>
      <c r="T237" s="165" t="str">
        <f>IF($A237="","",COUNTIF($D237:$R237,"WARNING"))</f>
        <v/>
      </c>
      <c r="U237" s="165" t="str">
        <f>IF($A237="","",IF($S237&gt;0,"ERROR",IF($T237&gt;0,"WARNING","PASS")))</f>
        <v/>
      </c>
    </row>
    <row r="238" spans="1:21" x14ac:dyDescent="0.3">
      <c r="A238" t="str">
        <f>IF(AND('Daily Data'!$A238="",'Daily Data'!$B238=""),"",238)</f>
        <v/>
      </c>
      <c r="B238" s="16" t="str">
        <f>IF($A238="","",'Daily Data'!$A238)</f>
        <v/>
      </c>
      <c r="C238" t="str">
        <f>IF($A238="","",'Daily Data'!$B238)</f>
        <v/>
      </c>
      <c r="D238" s="165" t="str">
        <f>IF($A238="","",IF(COUNTIFS('Daily Data'!$B$4:$B$503,'Daily Data'!$B238,'Daily Data'!$A$4:$A$503,'Daily Data'!$A238)&gt;1,"ERROR","OK"))</f>
        <v/>
      </c>
      <c r="E238" s="165" t="str">
        <f>IF($A238="","",IF('Daily Data'!$B238="","ERROR","OK"))</f>
        <v/>
      </c>
      <c r="F238" s="165" t="str">
        <f>IF($A238="","",IF(NOT(ISNUMBER('Daily Data'!$A238)),"ERROR","OK"))</f>
        <v/>
      </c>
      <c r="G238" s="165" t="str">
        <f>IF($A238="","",IF(OR(N('Daily Data'!$E238)&lt;=0,N('Daily Data'!$C238)&lt;0,N('Daily Data'!$D238)&lt;0,N('Daily Data'!$F238)&lt;0,N('Daily Data'!$G238)&lt;0),"ERROR","OK"))</f>
        <v/>
      </c>
      <c r="H238" s="165" t="str">
        <f>IF($A238="","",IF(N('Daily Data'!$K238)&lt;0,"ERROR","OK"))</f>
        <v/>
      </c>
      <c r="I238" s="165" t="str">
        <f>IF($A238="","",IF(N('Daily Data'!$I238)&lt;0,"ERROR","OK"))</f>
        <v/>
      </c>
      <c r="J238" s="165" t="str">
        <f>IF($A238="","",IF(N('Daily Data'!$L238)&lt;0,"ERROR","OK"))</f>
        <v/>
      </c>
      <c r="K238" s="165" t="str">
        <f>IF($A238="","",IF(N('Daily Data'!$M238)&lt;0,"ERROR","OK"))</f>
        <v/>
      </c>
      <c r="L238" s="165" t="str">
        <f>IF($A238="","",IF(OR(N('Daily Data'!$F238)=0,N('Daily Data'!$G238)=0),"OK",IF(OR(N('Daily Data'!$E238)&gt;N('Daily Data'!$F238),N('Daily Data'!$E238)&lt;N('Daily Data'!$G238)),"ERROR","OK")))</f>
        <v/>
      </c>
      <c r="M238" s="165" t="str">
        <f>IF($A238="","",IF(N('Daily Data'!$AK238)&lt;=1,"OK",IF(ROUND(N('Daily Data'!$D238),2)=ROUND(SUMIFS('Daily Data'!$E$4:$E$503,'Daily Data'!$B$4:$B$503,'Daily Data'!$B238,'Daily Data'!$AK$4:$AK$503,'Daily Data'!$AK238-1),2),"OK","WARNING")))</f>
        <v/>
      </c>
      <c r="N238" s="165" t="str">
        <f>IF($A238="","",IF(N('Daily Data'!$N238)&lt;=0,"WARNING","OK"))</f>
        <v/>
      </c>
      <c r="O238" s="165" t="str">
        <f>IF($A238="","",IF(AND(ISNUMBER('Daily Data'!$H238),ABS(N('Daily Data'!$H238))&gt;Settings!$C$56),"WARNING","OK"))</f>
        <v/>
      </c>
      <c r="P238" s="165" t="str">
        <f>IF($A238="","",IF(OR(AND(N('Daily Data'!$K238)=0,N('Daily Data'!$I238)&gt;0),AND(N('Daily Data'!$I238)=0,N('Daily Data'!$K238)&gt;0),AND(N('Daily Data'!$L238)=0,N('Daily Data'!$M238)=0)),"WARNING","OK"))</f>
        <v/>
      </c>
      <c r="Q238" s="165" t="str">
        <f>IF($A238="","",IF(COUNTIFS('Daily Data'!$B$4:$B$503,'Daily Data'!$B238,'Daily Data'!$A$4:$A$503,'Daily Data'!$A238,'Daily Data'!$Q$4:$Q$503,'Daily Data'!$Q238)&gt;1,"WARNING","OK"))</f>
        <v/>
      </c>
      <c r="R238" s="165" t="str">
        <f>IF($A238="","",IF(AND(N('Daily Data'!$K238)&gt;0,N('Daily Data'!$J238)&lt;=0),"WARNING","OK"))</f>
        <v/>
      </c>
      <c r="S238" s="165" t="str">
        <f>IF($A238="","",COUNTIF($D238:$R238,"ERROR"))</f>
        <v/>
      </c>
      <c r="T238" s="165" t="str">
        <f>IF($A238="","",COUNTIF($D238:$R238,"WARNING"))</f>
        <v/>
      </c>
      <c r="U238" s="165" t="str">
        <f>IF($A238="","",IF($S238&gt;0,"ERROR",IF($T238&gt;0,"WARNING","PASS")))</f>
        <v/>
      </c>
    </row>
    <row r="239" spans="1:21" x14ac:dyDescent="0.3">
      <c r="A239" t="str">
        <f>IF(AND('Daily Data'!$A239="",'Daily Data'!$B239=""),"",239)</f>
        <v/>
      </c>
      <c r="B239" s="16" t="str">
        <f>IF($A239="","",'Daily Data'!$A239)</f>
        <v/>
      </c>
      <c r="C239" t="str">
        <f>IF($A239="","",'Daily Data'!$B239)</f>
        <v/>
      </c>
      <c r="D239" s="165" t="str">
        <f>IF($A239="","",IF(COUNTIFS('Daily Data'!$B$4:$B$503,'Daily Data'!$B239,'Daily Data'!$A$4:$A$503,'Daily Data'!$A239)&gt;1,"ERROR","OK"))</f>
        <v/>
      </c>
      <c r="E239" s="165" t="str">
        <f>IF($A239="","",IF('Daily Data'!$B239="","ERROR","OK"))</f>
        <v/>
      </c>
      <c r="F239" s="165" t="str">
        <f>IF($A239="","",IF(NOT(ISNUMBER('Daily Data'!$A239)),"ERROR","OK"))</f>
        <v/>
      </c>
      <c r="G239" s="165" t="str">
        <f>IF($A239="","",IF(OR(N('Daily Data'!$E239)&lt;=0,N('Daily Data'!$C239)&lt;0,N('Daily Data'!$D239)&lt;0,N('Daily Data'!$F239)&lt;0,N('Daily Data'!$G239)&lt;0),"ERROR","OK"))</f>
        <v/>
      </c>
      <c r="H239" s="165" t="str">
        <f>IF($A239="","",IF(N('Daily Data'!$K239)&lt;0,"ERROR","OK"))</f>
        <v/>
      </c>
      <c r="I239" s="165" t="str">
        <f>IF($A239="","",IF(N('Daily Data'!$I239)&lt;0,"ERROR","OK"))</f>
        <v/>
      </c>
      <c r="J239" s="165" t="str">
        <f>IF($A239="","",IF(N('Daily Data'!$L239)&lt;0,"ERROR","OK"))</f>
        <v/>
      </c>
      <c r="K239" s="165" t="str">
        <f>IF($A239="","",IF(N('Daily Data'!$M239)&lt;0,"ERROR","OK"))</f>
        <v/>
      </c>
      <c r="L239" s="165" t="str">
        <f>IF($A239="","",IF(OR(N('Daily Data'!$F239)=0,N('Daily Data'!$G239)=0),"OK",IF(OR(N('Daily Data'!$E239)&gt;N('Daily Data'!$F239),N('Daily Data'!$E239)&lt;N('Daily Data'!$G239)),"ERROR","OK")))</f>
        <v/>
      </c>
      <c r="M239" s="165" t="str">
        <f>IF($A239="","",IF(N('Daily Data'!$AK239)&lt;=1,"OK",IF(ROUND(N('Daily Data'!$D239),2)=ROUND(SUMIFS('Daily Data'!$E$4:$E$503,'Daily Data'!$B$4:$B$503,'Daily Data'!$B239,'Daily Data'!$AK$4:$AK$503,'Daily Data'!$AK239-1),2),"OK","WARNING")))</f>
        <v/>
      </c>
      <c r="N239" s="165" t="str">
        <f>IF($A239="","",IF(N('Daily Data'!$N239)&lt;=0,"WARNING","OK"))</f>
        <v/>
      </c>
      <c r="O239" s="165" t="str">
        <f>IF($A239="","",IF(AND(ISNUMBER('Daily Data'!$H239),ABS(N('Daily Data'!$H239))&gt;Settings!$C$56),"WARNING","OK"))</f>
        <v/>
      </c>
      <c r="P239" s="165" t="str">
        <f>IF($A239="","",IF(OR(AND(N('Daily Data'!$K239)=0,N('Daily Data'!$I239)&gt;0),AND(N('Daily Data'!$I239)=0,N('Daily Data'!$K239)&gt;0),AND(N('Daily Data'!$L239)=0,N('Daily Data'!$M239)=0)),"WARNING","OK"))</f>
        <v/>
      </c>
      <c r="Q239" s="165" t="str">
        <f>IF($A239="","",IF(COUNTIFS('Daily Data'!$B$4:$B$503,'Daily Data'!$B239,'Daily Data'!$A$4:$A$503,'Daily Data'!$A239,'Daily Data'!$Q$4:$Q$503,'Daily Data'!$Q239)&gt;1,"WARNING","OK"))</f>
        <v/>
      </c>
      <c r="R239" s="165" t="str">
        <f>IF($A239="","",IF(AND(N('Daily Data'!$K239)&gt;0,N('Daily Data'!$J239)&lt;=0),"WARNING","OK"))</f>
        <v/>
      </c>
      <c r="S239" s="165" t="str">
        <f>IF($A239="","",COUNTIF($D239:$R239,"ERROR"))</f>
        <v/>
      </c>
      <c r="T239" s="165" t="str">
        <f>IF($A239="","",COUNTIF($D239:$R239,"WARNING"))</f>
        <v/>
      </c>
      <c r="U239" s="165" t="str">
        <f>IF($A239="","",IF($S239&gt;0,"ERROR",IF($T239&gt;0,"WARNING","PASS")))</f>
        <v/>
      </c>
    </row>
    <row r="240" spans="1:21" x14ac:dyDescent="0.3">
      <c r="A240" t="str">
        <f>IF(AND('Daily Data'!$A240="",'Daily Data'!$B240=""),"",240)</f>
        <v/>
      </c>
      <c r="B240" s="16" t="str">
        <f>IF($A240="","",'Daily Data'!$A240)</f>
        <v/>
      </c>
      <c r="C240" t="str">
        <f>IF($A240="","",'Daily Data'!$B240)</f>
        <v/>
      </c>
      <c r="D240" s="165" t="str">
        <f>IF($A240="","",IF(COUNTIFS('Daily Data'!$B$4:$B$503,'Daily Data'!$B240,'Daily Data'!$A$4:$A$503,'Daily Data'!$A240)&gt;1,"ERROR","OK"))</f>
        <v/>
      </c>
      <c r="E240" s="165" t="str">
        <f>IF($A240="","",IF('Daily Data'!$B240="","ERROR","OK"))</f>
        <v/>
      </c>
      <c r="F240" s="165" t="str">
        <f>IF($A240="","",IF(NOT(ISNUMBER('Daily Data'!$A240)),"ERROR","OK"))</f>
        <v/>
      </c>
      <c r="G240" s="165" t="str">
        <f>IF($A240="","",IF(OR(N('Daily Data'!$E240)&lt;=0,N('Daily Data'!$C240)&lt;0,N('Daily Data'!$D240)&lt;0,N('Daily Data'!$F240)&lt;0,N('Daily Data'!$G240)&lt;0),"ERROR","OK"))</f>
        <v/>
      </c>
      <c r="H240" s="165" t="str">
        <f>IF($A240="","",IF(N('Daily Data'!$K240)&lt;0,"ERROR","OK"))</f>
        <v/>
      </c>
      <c r="I240" s="165" t="str">
        <f>IF($A240="","",IF(N('Daily Data'!$I240)&lt;0,"ERROR","OK"))</f>
        <v/>
      </c>
      <c r="J240" s="165" t="str">
        <f>IF($A240="","",IF(N('Daily Data'!$L240)&lt;0,"ERROR","OK"))</f>
        <v/>
      </c>
      <c r="K240" s="165" t="str">
        <f>IF($A240="","",IF(N('Daily Data'!$M240)&lt;0,"ERROR","OK"))</f>
        <v/>
      </c>
      <c r="L240" s="165" t="str">
        <f>IF($A240="","",IF(OR(N('Daily Data'!$F240)=0,N('Daily Data'!$G240)=0),"OK",IF(OR(N('Daily Data'!$E240)&gt;N('Daily Data'!$F240),N('Daily Data'!$E240)&lt;N('Daily Data'!$G240)),"ERROR","OK")))</f>
        <v/>
      </c>
      <c r="M240" s="165" t="str">
        <f>IF($A240="","",IF(N('Daily Data'!$AK240)&lt;=1,"OK",IF(ROUND(N('Daily Data'!$D240),2)=ROUND(SUMIFS('Daily Data'!$E$4:$E$503,'Daily Data'!$B$4:$B$503,'Daily Data'!$B240,'Daily Data'!$AK$4:$AK$503,'Daily Data'!$AK240-1),2),"OK","WARNING")))</f>
        <v/>
      </c>
      <c r="N240" s="165" t="str">
        <f>IF($A240="","",IF(N('Daily Data'!$N240)&lt;=0,"WARNING","OK"))</f>
        <v/>
      </c>
      <c r="O240" s="165" t="str">
        <f>IF($A240="","",IF(AND(ISNUMBER('Daily Data'!$H240),ABS(N('Daily Data'!$H240))&gt;Settings!$C$56),"WARNING","OK"))</f>
        <v/>
      </c>
      <c r="P240" s="165" t="str">
        <f>IF($A240="","",IF(OR(AND(N('Daily Data'!$K240)=0,N('Daily Data'!$I240)&gt;0),AND(N('Daily Data'!$I240)=0,N('Daily Data'!$K240)&gt;0),AND(N('Daily Data'!$L240)=0,N('Daily Data'!$M240)=0)),"WARNING","OK"))</f>
        <v/>
      </c>
      <c r="Q240" s="165" t="str">
        <f>IF($A240="","",IF(COUNTIFS('Daily Data'!$B$4:$B$503,'Daily Data'!$B240,'Daily Data'!$A$4:$A$503,'Daily Data'!$A240,'Daily Data'!$Q$4:$Q$503,'Daily Data'!$Q240)&gt;1,"WARNING","OK"))</f>
        <v/>
      </c>
      <c r="R240" s="165" t="str">
        <f>IF($A240="","",IF(AND(N('Daily Data'!$K240)&gt;0,N('Daily Data'!$J240)&lt;=0),"WARNING","OK"))</f>
        <v/>
      </c>
      <c r="S240" s="165" t="str">
        <f>IF($A240="","",COUNTIF($D240:$R240,"ERROR"))</f>
        <v/>
      </c>
      <c r="T240" s="165" t="str">
        <f>IF($A240="","",COUNTIF($D240:$R240,"WARNING"))</f>
        <v/>
      </c>
      <c r="U240" s="165" t="str">
        <f>IF($A240="","",IF($S240&gt;0,"ERROR",IF($T240&gt;0,"WARNING","PASS")))</f>
        <v/>
      </c>
    </row>
    <row r="241" spans="1:21" x14ac:dyDescent="0.3">
      <c r="A241" t="str">
        <f>IF(AND('Daily Data'!$A241="",'Daily Data'!$B241=""),"",241)</f>
        <v/>
      </c>
      <c r="B241" s="16" t="str">
        <f>IF($A241="","",'Daily Data'!$A241)</f>
        <v/>
      </c>
      <c r="C241" t="str">
        <f>IF($A241="","",'Daily Data'!$B241)</f>
        <v/>
      </c>
      <c r="D241" s="165" t="str">
        <f>IF($A241="","",IF(COUNTIFS('Daily Data'!$B$4:$B$503,'Daily Data'!$B241,'Daily Data'!$A$4:$A$503,'Daily Data'!$A241)&gt;1,"ERROR","OK"))</f>
        <v/>
      </c>
      <c r="E241" s="165" t="str">
        <f>IF($A241="","",IF('Daily Data'!$B241="","ERROR","OK"))</f>
        <v/>
      </c>
      <c r="F241" s="165" t="str">
        <f>IF($A241="","",IF(NOT(ISNUMBER('Daily Data'!$A241)),"ERROR","OK"))</f>
        <v/>
      </c>
      <c r="G241" s="165" t="str">
        <f>IF($A241="","",IF(OR(N('Daily Data'!$E241)&lt;=0,N('Daily Data'!$C241)&lt;0,N('Daily Data'!$D241)&lt;0,N('Daily Data'!$F241)&lt;0,N('Daily Data'!$G241)&lt;0),"ERROR","OK"))</f>
        <v/>
      </c>
      <c r="H241" s="165" t="str">
        <f>IF($A241="","",IF(N('Daily Data'!$K241)&lt;0,"ERROR","OK"))</f>
        <v/>
      </c>
      <c r="I241" s="165" t="str">
        <f>IF($A241="","",IF(N('Daily Data'!$I241)&lt;0,"ERROR","OK"))</f>
        <v/>
      </c>
      <c r="J241" s="165" t="str">
        <f>IF($A241="","",IF(N('Daily Data'!$L241)&lt;0,"ERROR","OK"))</f>
        <v/>
      </c>
      <c r="K241" s="165" t="str">
        <f>IF($A241="","",IF(N('Daily Data'!$M241)&lt;0,"ERROR","OK"))</f>
        <v/>
      </c>
      <c r="L241" s="165" t="str">
        <f>IF($A241="","",IF(OR(N('Daily Data'!$F241)=0,N('Daily Data'!$G241)=0),"OK",IF(OR(N('Daily Data'!$E241)&gt;N('Daily Data'!$F241),N('Daily Data'!$E241)&lt;N('Daily Data'!$G241)),"ERROR","OK")))</f>
        <v/>
      </c>
      <c r="M241" s="165" t="str">
        <f>IF($A241="","",IF(N('Daily Data'!$AK241)&lt;=1,"OK",IF(ROUND(N('Daily Data'!$D241),2)=ROUND(SUMIFS('Daily Data'!$E$4:$E$503,'Daily Data'!$B$4:$B$503,'Daily Data'!$B241,'Daily Data'!$AK$4:$AK$503,'Daily Data'!$AK241-1),2),"OK","WARNING")))</f>
        <v/>
      </c>
      <c r="N241" s="165" t="str">
        <f>IF($A241="","",IF(N('Daily Data'!$N241)&lt;=0,"WARNING","OK"))</f>
        <v/>
      </c>
      <c r="O241" s="165" t="str">
        <f>IF($A241="","",IF(AND(ISNUMBER('Daily Data'!$H241),ABS(N('Daily Data'!$H241))&gt;Settings!$C$56),"WARNING","OK"))</f>
        <v/>
      </c>
      <c r="P241" s="165" t="str">
        <f>IF($A241="","",IF(OR(AND(N('Daily Data'!$K241)=0,N('Daily Data'!$I241)&gt;0),AND(N('Daily Data'!$I241)=0,N('Daily Data'!$K241)&gt;0),AND(N('Daily Data'!$L241)=0,N('Daily Data'!$M241)=0)),"WARNING","OK"))</f>
        <v/>
      </c>
      <c r="Q241" s="165" t="str">
        <f>IF($A241="","",IF(COUNTIFS('Daily Data'!$B$4:$B$503,'Daily Data'!$B241,'Daily Data'!$A$4:$A$503,'Daily Data'!$A241,'Daily Data'!$Q$4:$Q$503,'Daily Data'!$Q241)&gt;1,"WARNING","OK"))</f>
        <v/>
      </c>
      <c r="R241" s="165" t="str">
        <f>IF($A241="","",IF(AND(N('Daily Data'!$K241)&gt;0,N('Daily Data'!$J241)&lt;=0),"WARNING","OK"))</f>
        <v/>
      </c>
      <c r="S241" s="165" t="str">
        <f>IF($A241="","",COUNTIF($D241:$R241,"ERROR"))</f>
        <v/>
      </c>
      <c r="T241" s="165" t="str">
        <f>IF($A241="","",COUNTIF($D241:$R241,"WARNING"))</f>
        <v/>
      </c>
      <c r="U241" s="165" t="str">
        <f>IF($A241="","",IF($S241&gt;0,"ERROR",IF($T241&gt;0,"WARNING","PASS")))</f>
        <v/>
      </c>
    </row>
    <row r="242" spans="1:21" x14ac:dyDescent="0.3">
      <c r="A242" t="str">
        <f>IF(AND('Daily Data'!$A242="",'Daily Data'!$B242=""),"",242)</f>
        <v/>
      </c>
      <c r="B242" s="16" t="str">
        <f>IF($A242="","",'Daily Data'!$A242)</f>
        <v/>
      </c>
      <c r="C242" t="str">
        <f>IF($A242="","",'Daily Data'!$B242)</f>
        <v/>
      </c>
      <c r="D242" s="165" t="str">
        <f>IF($A242="","",IF(COUNTIFS('Daily Data'!$B$4:$B$503,'Daily Data'!$B242,'Daily Data'!$A$4:$A$503,'Daily Data'!$A242)&gt;1,"ERROR","OK"))</f>
        <v/>
      </c>
      <c r="E242" s="165" t="str">
        <f>IF($A242="","",IF('Daily Data'!$B242="","ERROR","OK"))</f>
        <v/>
      </c>
      <c r="F242" s="165" t="str">
        <f>IF($A242="","",IF(NOT(ISNUMBER('Daily Data'!$A242)),"ERROR","OK"))</f>
        <v/>
      </c>
      <c r="G242" s="165" t="str">
        <f>IF($A242="","",IF(OR(N('Daily Data'!$E242)&lt;=0,N('Daily Data'!$C242)&lt;0,N('Daily Data'!$D242)&lt;0,N('Daily Data'!$F242)&lt;0,N('Daily Data'!$G242)&lt;0),"ERROR","OK"))</f>
        <v/>
      </c>
      <c r="H242" s="165" t="str">
        <f>IF($A242="","",IF(N('Daily Data'!$K242)&lt;0,"ERROR","OK"))</f>
        <v/>
      </c>
      <c r="I242" s="165" t="str">
        <f>IF($A242="","",IF(N('Daily Data'!$I242)&lt;0,"ERROR","OK"))</f>
        <v/>
      </c>
      <c r="J242" s="165" t="str">
        <f>IF($A242="","",IF(N('Daily Data'!$L242)&lt;0,"ERROR","OK"))</f>
        <v/>
      </c>
      <c r="K242" s="165" t="str">
        <f>IF($A242="","",IF(N('Daily Data'!$M242)&lt;0,"ERROR","OK"))</f>
        <v/>
      </c>
      <c r="L242" s="165" t="str">
        <f>IF($A242="","",IF(OR(N('Daily Data'!$F242)=0,N('Daily Data'!$G242)=0),"OK",IF(OR(N('Daily Data'!$E242)&gt;N('Daily Data'!$F242),N('Daily Data'!$E242)&lt;N('Daily Data'!$G242)),"ERROR","OK")))</f>
        <v/>
      </c>
      <c r="M242" s="165" t="str">
        <f>IF($A242="","",IF(N('Daily Data'!$AK242)&lt;=1,"OK",IF(ROUND(N('Daily Data'!$D242),2)=ROUND(SUMIFS('Daily Data'!$E$4:$E$503,'Daily Data'!$B$4:$B$503,'Daily Data'!$B242,'Daily Data'!$AK$4:$AK$503,'Daily Data'!$AK242-1),2),"OK","WARNING")))</f>
        <v/>
      </c>
      <c r="N242" s="165" t="str">
        <f>IF($A242="","",IF(N('Daily Data'!$N242)&lt;=0,"WARNING","OK"))</f>
        <v/>
      </c>
      <c r="O242" s="165" t="str">
        <f>IF($A242="","",IF(AND(ISNUMBER('Daily Data'!$H242),ABS(N('Daily Data'!$H242))&gt;Settings!$C$56),"WARNING","OK"))</f>
        <v/>
      </c>
      <c r="P242" s="165" t="str">
        <f>IF($A242="","",IF(OR(AND(N('Daily Data'!$K242)=0,N('Daily Data'!$I242)&gt;0),AND(N('Daily Data'!$I242)=0,N('Daily Data'!$K242)&gt;0),AND(N('Daily Data'!$L242)=0,N('Daily Data'!$M242)=0)),"WARNING","OK"))</f>
        <v/>
      </c>
      <c r="Q242" s="165" t="str">
        <f>IF($A242="","",IF(COUNTIFS('Daily Data'!$B$4:$B$503,'Daily Data'!$B242,'Daily Data'!$A$4:$A$503,'Daily Data'!$A242,'Daily Data'!$Q$4:$Q$503,'Daily Data'!$Q242)&gt;1,"WARNING","OK"))</f>
        <v/>
      </c>
      <c r="R242" s="165" t="str">
        <f>IF($A242="","",IF(AND(N('Daily Data'!$K242)&gt;0,N('Daily Data'!$J242)&lt;=0),"WARNING","OK"))</f>
        <v/>
      </c>
      <c r="S242" s="165" t="str">
        <f>IF($A242="","",COUNTIF($D242:$R242,"ERROR"))</f>
        <v/>
      </c>
      <c r="T242" s="165" t="str">
        <f>IF($A242="","",COUNTIF($D242:$R242,"WARNING"))</f>
        <v/>
      </c>
      <c r="U242" s="165" t="str">
        <f>IF($A242="","",IF($S242&gt;0,"ERROR",IF($T242&gt;0,"WARNING","PASS")))</f>
        <v/>
      </c>
    </row>
    <row r="243" spans="1:21" x14ac:dyDescent="0.3">
      <c r="A243" t="str">
        <f>IF(AND('Daily Data'!$A243="",'Daily Data'!$B243=""),"",243)</f>
        <v/>
      </c>
      <c r="B243" s="16" t="str">
        <f>IF($A243="","",'Daily Data'!$A243)</f>
        <v/>
      </c>
      <c r="C243" t="str">
        <f>IF($A243="","",'Daily Data'!$B243)</f>
        <v/>
      </c>
      <c r="D243" s="165" t="str">
        <f>IF($A243="","",IF(COUNTIFS('Daily Data'!$B$4:$B$503,'Daily Data'!$B243,'Daily Data'!$A$4:$A$503,'Daily Data'!$A243)&gt;1,"ERROR","OK"))</f>
        <v/>
      </c>
      <c r="E243" s="165" t="str">
        <f>IF($A243="","",IF('Daily Data'!$B243="","ERROR","OK"))</f>
        <v/>
      </c>
      <c r="F243" s="165" t="str">
        <f>IF($A243="","",IF(NOT(ISNUMBER('Daily Data'!$A243)),"ERROR","OK"))</f>
        <v/>
      </c>
      <c r="G243" s="165" t="str">
        <f>IF($A243="","",IF(OR(N('Daily Data'!$E243)&lt;=0,N('Daily Data'!$C243)&lt;0,N('Daily Data'!$D243)&lt;0,N('Daily Data'!$F243)&lt;0,N('Daily Data'!$G243)&lt;0),"ERROR","OK"))</f>
        <v/>
      </c>
      <c r="H243" s="165" t="str">
        <f>IF($A243="","",IF(N('Daily Data'!$K243)&lt;0,"ERROR","OK"))</f>
        <v/>
      </c>
      <c r="I243" s="165" t="str">
        <f>IF($A243="","",IF(N('Daily Data'!$I243)&lt;0,"ERROR","OK"))</f>
        <v/>
      </c>
      <c r="J243" s="165" t="str">
        <f>IF($A243="","",IF(N('Daily Data'!$L243)&lt;0,"ERROR","OK"))</f>
        <v/>
      </c>
      <c r="K243" s="165" t="str">
        <f>IF($A243="","",IF(N('Daily Data'!$M243)&lt;0,"ERROR","OK"))</f>
        <v/>
      </c>
      <c r="L243" s="165" t="str">
        <f>IF($A243="","",IF(OR(N('Daily Data'!$F243)=0,N('Daily Data'!$G243)=0),"OK",IF(OR(N('Daily Data'!$E243)&gt;N('Daily Data'!$F243),N('Daily Data'!$E243)&lt;N('Daily Data'!$G243)),"ERROR","OK")))</f>
        <v/>
      </c>
      <c r="M243" s="165" t="str">
        <f>IF($A243="","",IF(N('Daily Data'!$AK243)&lt;=1,"OK",IF(ROUND(N('Daily Data'!$D243),2)=ROUND(SUMIFS('Daily Data'!$E$4:$E$503,'Daily Data'!$B$4:$B$503,'Daily Data'!$B243,'Daily Data'!$AK$4:$AK$503,'Daily Data'!$AK243-1),2),"OK","WARNING")))</f>
        <v/>
      </c>
      <c r="N243" s="165" t="str">
        <f>IF($A243="","",IF(N('Daily Data'!$N243)&lt;=0,"WARNING","OK"))</f>
        <v/>
      </c>
      <c r="O243" s="165" t="str">
        <f>IF($A243="","",IF(AND(ISNUMBER('Daily Data'!$H243),ABS(N('Daily Data'!$H243))&gt;Settings!$C$56),"WARNING","OK"))</f>
        <v/>
      </c>
      <c r="P243" s="165" t="str">
        <f>IF($A243="","",IF(OR(AND(N('Daily Data'!$K243)=0,N('Daily Data'!$I243)&gt;0),AND(N('Daily Data'!$I243)=0,N('Daily Data'!$K243)&gt;0),AND(N('Daily Data'!$L243)=0,N('Daily Data'!$M243)=0)),"WARNING","OK"))</f>
        <v/>
      </c>
      <c r="Q243" s="165" t="str">
        <f>IF($A243="","",IF(COUNTIFS('Daily Data'!$B$4:$B$503,'Daily Data'!$B243,'Daily Data'!$A$4:$A$503,'Daily Data'!$A243,'Daily Data'!$Q$4:$Q$503,'Daily Data'!$Q243)&gt;1,"WARNING","OK"))</f>
        <v/>
      </c>
      <c r="R243" s="165" t="str">
        <f>IF($A243="","",IF(AND(N('Daily Data'!$K243)&gt;0,N('Daily Data'!$J243)&lt;=0),"WARNING","OK"))</f>
        <v/>
      </c>
      <c r="S243" s="165" t="str">
        <f>IF($A243="","",COUNTIF($D243:$R243,"ERROR"))</f>
        <v/>
      </c>
      <c r="T243" s="165" t="str">
        <f>IF($A243="","",COUNTIF($D243:$R243,"WARNING"))</f>
        <v/>
      </c>
      <c r="U243" s="165" t="str">
        <f>IF($A243="","",IF($S243&gt;0,"ERROR",IF($T243&gt;0,"WARNING","PASS")))</f>
        <v/>
      </c>
    </row>
    <row r="244" spans="1:21" x14ac:dyDescent="0.3">
      <c r="A244" t="str">
        <f>IF(AND('Daily Data'!$A244="",'Daily Data'!$B244=""),"",244)</f>
        <v/>
      </c>
      <c r="B244" s="16" t="str">
        <f>IF($A244="","",'Daily Data'!$A244)</f>
        <v/>
      </c>
      <c r="C244" t="str">
        <f>IF($A244="","",'Daily Data'!$B244)</f>
        <v/>
      </c>
      <c r="D244" s="165" t="str">
        <f>IF($A244="","",IF(COUNTIFS('Daily Data'!$B$4:$B$503,'Daily Data'!$B244,'Daily Data'!$A$4:$A$503,'Daily Data'!$A244)&gt;1,"ERROR","OK"))</f>
        <v/>
      </c>
      <c r="E244" s="165" t="str">
        <f>IF($A244="","",IF('Daily Data'!$B244="","ERROR","OK"))</f>
        <v/>
      </c>
      <c r="F244" s="165" t="str">
        <f>IF($A244="","",IF(NOT(ISNUMBER('Daily Data'!$A244)),"ERROR","OK"))</f>
        <v/>
      </c>
      <c r="G244" s="165" t="str">
        <f>IF($A244="","",IF(OR(N('Daily Data'!$E244)&lt;=0,N('Daily Data'!$C244)&lt;0,N('Daily Data'!$D244)&lt;0,N('Daily Data'!$F244)&lt;0,N('Daily Data'!$G244)&lt;0),"ERROR","OK"))</f>
        <v/>
      </c>
      <c r="H244" s="165" t="str">
        <f>IF($A244="","",IF(N('Daily Data'!$K244)&lt;0,"ERROR","OK"))</f>
        <v/>
      </c>
      <c r="I244" s="165" t="str">
        <f>IF($A244="","",IF(N('Daily Data'!$I244)&lt;0,"ERROR","OK"))</f>
        <v/>
      </c>
      <c r="J244" s="165" t="str">
        <f>IF($A244="","",IF(N('Daily Data'!$L244)&lt;0,"ERROR","OK"))</f>
        <v/>
      </c>
      <c r="K244" s="165" t="str">
        <f>IF($A244="","",IF(N('Daily Data'!$M244)&lt;0,"ERROR","OK"))</f>
        <v/>
      </c>
      <c r="L244" s="165" t="str">
        <f>IF($A244="","",IF(OR(N('Daily Data'!$F244)=0,N('Daily Data'!$G244)=0),"OK",IF(OR(N('Daily Data'!$E244)&gt;N('Daily Data'!$F244),N('Daily Data'!$E244)&lt;N('Daily Data'!$G244)),"ERROR","OK")))</f>
        <v/>
      </c>
      <c r="M244" s="165" t="str">
        <f>IF($A244="","",IF(N('Daily Data'!$AK244)&lt;=1,"OK",IF(ROUND(N('Daily Data'!$D244),2)=ROUND(SUMIFS('Daily Data'!$E$4:$E$503,'Daily Data'!$B$4:$B$503,'Daily Data'!$B244,'Daily Data'!$AK$4:$AK$503,'Daily Data'!$AK244-1),2),"OK","WARNING")))</f>
        <v/>
      </c>
      <c r="N244" s="165" t="str">
        <f>IF($A244="","",IF(N('Daily Data'!$N244)&lt;=0,"WARNING","OK"))</f>
        <v/>
      </c>
      <c r="O244" s="165" t="str">
        <f>IF($A244="","",IF(AND(ISNUMBER('Daily Data'!$H244),ABS(N('Daily Data'!$H244))&gt;Settings!$C$56),"WARNING","OK"))</f>
        <v/>
      </c>
      <c r="P244" s="165" t="str">
        <f>IF($A244="","",IF(OR(AND(N('Daily Data'!$K244)=0,N('Daily Data'!$I244)&gt;0),AND(N('Daily Data'!$I244)=0,N('Daily Data'!$K244)&gt;0),AND(N('Daily Data'!$L244)=0,N('Daily Data'!$M244)=0)),"WARNING","OK"))</f>
        <v/>
      </c>
      <c r="Q244" s="165" t="str">
        <f>IF($A244="","",IF(COUNTIFS('Daily Data'!$B$4:$B$503,'Daily Data'!$B244,'Daily Data'!$A$4:$A$503,'Daily Data'!$A244,'Daily Data'!$Q$4:$Q$503,'Daily Data'!$Q244)&gt;1,"WARNING","OK"))</f>
        <v/>
      </c>
      <c r="R244" s="165" t="str">
        <f>IF($A244="","",IF(AND(N('Daily Data'!$K244)&gt;0,N('Daily Data'!$J244)&lt;=0),"WARNING","OK"))</f>
        <v/>
      </c>
      <c r="S244" s="165" t="str">
        <f>IF($A244="","",COUNTIF($D244:$R244,"ERROR"))</f>
        <v/>
      </c>
      <c r="T244" s="165" t="str">
        <f>IF($A244="","",COUNTIF($D244:$R244,"WARNING"))</f>
        <v/>
      </c>
      <c r="U244" s="165" t="str">
        <f>IF($A244="","",IF($S244&gt;0,"ERROR",IF($T244&gt;0,"WARNING","PASS")))</f>
        <v/>
      </c>
    </row>
    <row r="245" spans="1:21" x14ac:dyDescent="0.3">
      <c r="A245" t="str">
        <f>IF(AND('Daily Data'!$A245="",'Daily Data'!$B245=""),"",245)</f>
        <v/>
      </c>
      <c r="B245" s="16" t="str">
        <f>IF($A245="","",'Daily Data'!$A245)</f>
        <v/>
      </c>
      <c r="C245" t="str">
        <f>IF($A245="","",'Daily Data'!$B245)</f>
        <v/>
      </c>
      <c r="D245" s="165" t="str">
        <f>IF($A245="","",IF(COUNTIFS('Daily Data'!$B$4:$B$503,'Daily Data'!$B245,'Daily Data'!$A$4:$A$503,'Daily Data'!$A245)&gt;1,"ERROR","OK"))</f>
        <v/>
      </c>
      <c r="E245" s="165" t="str">
        <f>IF($A245="","",IF('Daily Data'!$B245="","ERROR","OK"))</f>
        <v/>
      </c>
      <c r="F245" s="165" t="str">
        <f>IF($A245="","",IF(NOT(ISNUMBER('Daily Data'!$A245)),"ERROR","OK"))</f>
        <v/>
      </c>
      <c r="G245" s="165" t="str">
        <f>IF($A245="","",IF(OR(N('Daily Data'!$E245)&lt;=0,N('Daily Data'!$C245)&lt;0,N('Daily Data'!$D245)&lt;0,N('Daily Data'!$F245)&lt;0,N('Daily Data'!$G245)&lt;0),"ERROR","OK"))</f>
        <v/>
      </c>
      <c r="H245" s="165" t="str">
        <f>IF($A245="","",IF(N('Daily Data'!$K245)&lt;0,"ERROR","OK"))</f>
        <v/>
      </c>
      <c r="I245" s="165" t="str">
        <f>IF($A245="","",IF(N('Daily Data'!$I245)&lt;0,"ERROR","OK"))</f>
        <v/>
      </c>
      <c r="J245" s="165" t="str">
        <f>IF($A245="","",IF(N('Daily Data'!$L245)&lt;0,"ERROR","OK"))</f>
        <v/>
      </c>
      <c r="K245" s="165" t="str">
        <f>IF($A245="","",IF(N('Daily Data'!$M245)&lt;0,"ERROR","OK"))</f>
        <v/>
      </c>
      <c r="L245" s="165" t="str">
        <f>IF($A245="","",IF(OR(N('Daily Data'!$F245)=0,N('Daily Data'!$G245)=0),"OK",IF(OR(N('Daily Data'!$E245)&gt;N('Daily Data'!$F245),N('Daily Data'!$E245)&lt;N('Daily Data'!$G245)),"ERROR","OK")))</f>
        <v/>
      </c>
      <c r="M245" s="165" t="str">
        <f>IF($A245="","",IF(N('Daily Data'!$AK245)&lt;=1,"OK",IF(ROUND(N('Daily Data'!$D245),2)=ROUND(SUMIFS('Daily Data'!$E$4:$E$503,'Daily Data'!$B$4:$B$503,'Daily Data'!$B245,'Daily Data'!$AK$4:$AK$503,'Daily Data'!$AK245-1),2),"OK","WARNING")))</f>
        <v/>
      </c>
      <c r="N245" s="165" t="str">
        <f>IF($A245="","",IF(N('Daily Data'!$N245)&lt;=0,"WARNING","OK"))</f>
        <v/>
      </c>
      <c r="O245" s="165" t="str">
        <f>IF($A245="","",IF(AND(ISNUMBER('Daily Data'!$H245),ABS(N('Daily Data'!$H245))&gt;Settings!$C$56),"WARNING","OK"))</f>
        <v/>
      </c>
      <c r="P245" s="165" t="str">
        <f>IF($A245="","",IF(OR(AND(N('Daily Data'!$K245)=0,N('Daily Data'!$I245)&gt;0),AND(N('Daily Data'!$I245)=0,N('Daily Data'!$K245)&gt;0),AND(N('Daily Data'!$L245)=0,N('Daily Data'!$M245)=0)),"WARNING","OK"))</f>
        <v/>
      </c>
      <c r="Q245" s="165" t="str">
        <f>IF($A245="","",IF(COUNTIFS('Daily Data'!$B$4:$B$503,'Daily Data'!$B245,'Daily Data'!$A$4:$A$503,'Daily Data'!$A245,'Daily Data'!$Q$4:$Q$503,'Daily Data'!$Q245)&gt;1,"WARNING","OK"))</f>
        <v/>
      </c>
      <c r="R245" s="165" t="str">
        <f>IF($A245="","",IF(AND(N('Daily Data'!$K245)&gt;0,N('Daily Data'!$J245)&lt;=0),"WARNING","OK"))</f>
        <v/>
      </c>
      <c r="S245" s="165" t="str">
        <f>IF($A245="","",COUNTIF($D245:$R245,"ERROR"))</f>
        <v/>
      </c>
      <c r="T245" s="165" t="str">
        <f>IF($A245="","",COUNTIF($D245:$R245,"WARNING"))</f>
        <v/>
      </c>
      <c r="U245" s="165" t="str">
        <f>IF($A245="","",IF($S245&gt;0,"ERROR",IF($T245&gt;0,"WARNING","PASS")))</f>
        <v/>
      </c>
    </row>
    <row r="246" spans="1:21" x14ac:dyDescent="0.3">
      <c r="A246" t="str">
        <f>IF(AND('Daily Data'!$A246="",'Daily Data'!$B246=""),"",246)</f>
        <v/>
      </c>
      <c r="B246" s="16" t="str">
        <f>IF($A246="","",'Daily Data'!$A246)</f>
        <v/>
      </c>
      <c r="C246" t="str">
        <f>IF($A246="","",'Daily Data'!$B246)</f>
        <v/>
      </c>
      <c r="D246" s="165" t="str">
        <f>IF($A246="","",IF(COUNTIFS('Daily Data'!$B$4:$B$503,'Daily Data'!$B246,'Daily Data'!$A$4:$A$503,'Daily Data'!$A246)&gt;1,"ERROR","OK"))</f>
        <v/>
      </c>
      <c r="E246" s="165" t="str">
        <f>IF($A246="","",IF('Daily Data'!$B246="","ERROR","OK"))</f>
        <v/>
      </c>
      <c r="F246" s="165" t="str">
        <f>IF($A246="","",IF(NOT(ISNUMBER('Daily Data'!$A246)),"ERROR","OK"))</f>
        <v/>
      </c>
      <c r="G246" s="165" t="str">
        <f>IF($A246="","",IF(OR(N('Daily Data'!$E246)&lt;=0,N('Daily Data'!$C246)&lt;0,N('Daily Data'!$D246)&lt;0,N('Daily Data'!$F246)&lt;0,N('Daily Data'!$G246)&lt;0),"ERROR","OK"))</f>
        <v/>
      </c>
      <c r="H246" s="165" t="str">
        <f>IF($A246="","",IF(N('Daily Data'!$K246)&lt;0,"ERROR","OK"))</f>
        <v/>
      </c>
      <c r="I246" s="165" t="str">
        <f>IF($A246="","",IF(N('Daily Data'!$I246)&lt;0,"ERROR","OK"))</f>
        <v/>
      </c>
      <c r="J246" s="165" t="str">
        <f>IF($A246="","",IF(N('Daily Data'!$L246)&lt;0,"ERROR","OK"))</f>
        <v/>
      </c>
      <c r="K246" s="165" t="str">
        <f>IF($A246="","",IF(N('Daily Data'!$M246)&lt;0,"ERROR","OK"))</f>
        <v/>
      </c>
      <c r="L246" s="165" t="str">
        <f>IF($A246="","",IF(OR(N('Daily Data'!$F246)=0,N('Daily Data'!$G246)=0),"OK",IF(OR(N('Daily Data'!$E246)&gt;N('Daily Data'!$F246),N('Daily Data'!$E246)&lt;N('Daily Data'!$G246)),"ERROR","OK")))</f>
        <v/>
      </c>
      <c r="M246" s="165" t="str">
        <f>IF($A246="","",IF(N('Daily Data'!$AK246)&lt;=1,"OK",IF(ROUND(N('Daily Data'!$D246),2)=ROUND(SUMIFS('Daily Data'!$E$4:$E$503,'Daily Data'!$B$4:$B$503,'Daily Data'!$B246,'Daily Data'!$AK$4:$AK$503,'Daily Data'!$AK246-1),2),"OK","WARNING")))</f>
        <v/>
      </c>
      <c r="N246" s="165" t="str">
        <f>IF($A246="","",IF(N('Daily Data'!$N246)&lt;=0,"WARNING","OK"))</f>
        <v/>
      </c>
      <c r="O246" s="165" t="str">
        <f>IF($A246="","",IF(AND(ISNUMBER('Daily Data'!$H246),ABS(N('Daily Data'!$H246))&gt;Settings!$C$56),"WARNING","OK"))</f>
        <v/>
      </c>
      <c r="P246" s="165" t="str">
        <f>IF($A246="","",IF(OR(AND(N('Daily Data'!$K246)=0,N('Daily Data'!$I246)&gt;0),AND(N('Daily Data'!$I246)=0,N('Daily Data'!$K246)&gt;0),AND(N('Daily Data'!$L246)=0,N('Daily Data'!$M246)=0)),"WARNING","OK"))</f>
        <v/>
      </c>
      <c r="Q246" s="165" t="str">
        <f>IF($A246="","",IF(COUNTIFS('Daily Data'!$B$4:$B$503,'Daily Data'!$B246,'Daily Data'!$A$4:$A$503,'Daily Data'!$A246,'Daily Data'!$Q$4:$Q$503,'Daily Data'!$Q246)&gt;1,"WARNING","OK"))</f>
        <v/>
      </c>
      <c r="R246" s="165" t="str">
        <f>IF($A246="","",IF(AND(N('Daily Data'!$K246)&gt;0,N('Daily Data'!$J246)&lt;=0),"WARNING","OK"))</f>
        <v/>
      </c>
      <c r="S246" s="165" t="str">
        <f>IF($A246="","",COUNTIF($D246:$R246,"ERROR"))</f>
        <v/>
      </c>
      <c r="T246" s="165" t="str">
        <f>IF($A246="","",COUNTIF($D246:$R246,"WARNING"))</f>
        <v/>
      </c>
      <c r="U246" s="165" t="str">
        <f>IF($A246="","",IF($S246&gt;0,"ERROR",IF($T246&gt;0,"WARNING","PASS")))</f>
        <v/>
      </c>
    </row>
    <row r="247" spans="1:21" x14ac:dyDescent="0.3">
      <c r="A247" t="str">
        <f>IF(AND('Daily Data'!$A247="",'Daily Data'!$B247=""),"",247)</f>
        <v/>
      </c>
      <c r="B247" s="16" t="str">
        <f>IF($A247="","",'Daily Data'!$A247)</f>
        <v/>
      </c>
      <c r="C247" t="str">
        <f>IF($A247="","",'Daily Data'!$B247)</f>
        <v/>
      </c>
      <c r="D247" s="165" t="str">
        <f>IF($A247="","",IF(COUNTIFS('Daily Data'!$B$4:$B$503,'Daily Data'!$B247,'Daily Data'!$A$4:$A$503,'Daily Data'!$A247)&gt;1,"ERROR","OK"))</f>
        <v/>
      </c>
      <c r="E247" s="165" t="str">
        <f>IF($A247="","",IF('Daily Data'!$B247="","ERROR","OK"))</f>
        <v/>
      </c>
      <c r="F247" s="165" t="str">
        <f>IF($A247="","",IF(NOT(ISNUMBER('Daily Data'!$A247)),"ERROR","OK"))</f>
        <v/>
      </c>
      <c r="G247" s="165" t="str">
        <f>IF($A247="","",IF(OR(N('Daily Data'!$E247)&lt;=0,N('Daily Data'!$C247)&lt;0,N('Daily Data'!$D247)&lt;0,N('Daily Data'!$F247)&lt;0,N('Daily Data'!$G247)&lt;0),"ERROR","OK"))</f>
        <v/>
      </c>
      <c r="H247" s="165" t="str">
        <f>IF($A247="","",IF(N('Daily Data'!$K247)&lt;0,"ERROR","OK"))</f>
        <v/>
      </c>
      <c r="I247" s="165" t="str">
        <f>IF($A247="","",IF(N('Daily Data'!$I247)&lt;0,"ERROR","OK"))</f>
        <v/>
      </c>
      <c r="J247" s="165" t="str">
        <f>IF($A247="","",IF(N('Daily Data'!$L247)&lt;0,"ERROR","OK"))</f>
        <v/>
      </c>
      <c r="K247" s="165" t="str">
        <f>IF($A247="","",IF(N('Daily Data'!$M247)&lt;0,"ERROR","OK"))</f>
        <v/>
      </c>
      <c r="L247" s="165" t="str">
        <f>IF($A247="","",IF(OR(N('Daily Data'!$F247)=0,N('Daily Data'!$G247)=0),"OK",IF(OR(N('Daily Data'!$E247)&gt;N('Daily Data'!$F247),N('Daily Data'!$E247)&lt;N('Daily Data'!$G247)),"ERROR","OK")))</f>
        <v/>
      </c>
      <c r="M247" s="165" t="str">
        <f>IF($A247="","",IF(N('Daily Data'!$AK247)&lt;=1,"OK",IF(ROUND(N('Daily Data'!$D247),2)=ROUND(SUMIFS('Daily Data'!$E$4:$E$503,'Daily Data'!$B$4:$B$503,'Daily Data'!$B247,'Daily Data'!$AK$4:$AK$503,'Daily Data'!$AK247-1),2),"OK","WARNING")))</f>
        <v/>
      </c>
      <c r="N247" s="165" t="str">
        <f>IF($A247="","",IF(N('Daily Data'!$N247)&lt;=0,"WARNING","OK"))</f>
        <v/>
      </c>
      <c r="O247" s="165" t="str">
        <f>IF($A247="","",IF(AND(ISNUMBER('Daily Data'!$H247),ABS(N('Daily Data'!$H247))&gt;Settings!$C$56),"WARNING","OK"))</f>
        <v/>
      </c>
      <c r="P247" s="165" t="str">
        <f>IF($A247="","",IF(OR(AND(N('Daily Data'!$K247)=0,N('Daily Data'!$I247)&gt;0),AND(N('Daily Data'!$I247)=0,N('Daily Data'!$K247)&gt;0),AND(N('Daily Data'!$L247)=0,N('Daily Data'!$M247)=0)),"WARNING","OK"))</f>
        <v/>
      </c>
      <c r="Q247" s="165" t="str">
        <f>IF($A247="","",IF(COUNTIFS('Daily Data'!$B$4:$B$503,'Daily Data'!$B247,'Daily Data'!$A$4:$A$503,'Daily Data'!$A247,'Daily Data'!$Q$4:$Q$503,'Daily Data'!$Q247)&gt;1,"WARNING","OK"))</f>
        <v/>
      </c>
      <c r="R247" s="165" t="str">
        <f>IF($A247="","",IF(AND(N('Daily Data'!$K247)&gt;0,N('Daily Data'!$J247)&lt;=0),"WARNING","OK"))</f>
        <v/>
      </c>
      <c r="S247" s="165" t="str">
        <f>IF($A247="","",COUNTIF($D247:$R247,"ERROR"))</f>
        <v/>
      </c>
      <c r="T247" s="165" t="str">
        <f>IF($A247="","",COUNTIF($D247:$R247,"WARNING"))</f>
        <v/>
      </c>
      <c r="U247" s="165" t="str">
        <f>IF($A247="","",IF($S247&gt;0,"ERROR",IF($T247&gt;0,"WARNING","PASS")))</f>
        <v/>
      </c>
    </row>
    <row r="248" spans="1:21" x14ac:dyDescent="0.3">
      <c r="A248" t="str">
        <f>IF(AND('Daily Data'!$A248="",'Daily Data'!$B248=""),"",248)</f>
        <v/>
      </c>
      <c r="B248" s="16" t="str">
        <f>IF($A248="","",'Daily Data'!$A248)</f>
        <v/>
      </c>
      <c r="C248" t="str">
        <f>IF($A248="","",'Daily Data'!$B248)</f>
        <v/>
      </c>
      <c r="D248" s="165" t="str">
        <f>IF($A248="","",IF(COUNTIFS('Daily Data'!$B$4:$B$503,'Daily Data'!$B248,'Daily Data'!$A$4:$A$503,'Daily Data'!$A248)&gt;1,"ERROR","OK"))</f>
        <v/>
      </c>
      <c r="E248" s="165" t="str">
        <f>IF($A248="","",IF('Daily Data'!$B248="","ERROR","OK"))</f>
        <v/>
      </c>
      <c r="F248" s="165" t="str">
        <f>IF($A248="","",IF(NOT(ISNUMBER('Daily Data'!$A248)),"ERROR","OK"))</f>
        <v/>
      </c>
      <c r="G248" s="165" t="str">
        <f>IF($A248="","",IF(OR(N('Daily Data'!$E248)&lt;=0,N('Daily Data'!$C248)&lt;0,N('Daily Data'!$D248)&lt;0,N('Daily Data'!$F248)&lt;0,N('Daily Data'!$G248)&lt;0),"ERROR","OK"))</f>
        <v/>
      </c>
      <c r="H248" s="165" t="str">
        <f>IF($A248="","",IF(N('Daily Data'!$K248)&lt;0,"ERROR","OK"))</f>
        <v/>
      </c>
      <c r="I248" s="165" t="str">
        <f>IF($A248="","",IF(N('Daily Data'!$I248)&lt;0,"ERROR","OK"))</f>
        <v/>
      </c>
      <c r="J248" s="165" t="str">
        <f>IF($A248="","",IF(N('Daily Data'!$L248)&lt;0,"ERROR","OK"))</f>
        <v/>
      </c>
      <c r="K248" s="165" t="str">
        <f>IF($A248="","",IF(N('Daily Data'!$M248)&lt;0,"ERROR","OK"))</f>
        <v/>
      </c>
      <c r="L248" s="165" t="str">
        <f>IF($A248="","",IF(OR(N('Daily Data'!$F248)=0,N('Daily Data'!$G248)=0),"OK",IF(OR(N('Daily Data'!$E248)&gt;N('Daily Data'!$F248),N('Daily Data'!$E248)&lt;N('Daily Data'!$G248)),"ERROR","OK")))</f>
        <v/>
      </c>
      <c r="M248" s="165" t="str">
        <f>IF($A248="","",IF(N('Daily Data'!$AK248)&lt;=1,"OK",IF(ROUND(N('Daily Data'!$D248),2)=ROUND(SUMIFS('Daily Data'!$E$4:$E$503,'Daily Data'!$B$4:$B$503,'Daily Data'!$B248,'Daily Data'!$AK$4:$AK$503,'Daily Data'!$AK248-1),2),"OK","WARNING")))</f>
        <v/>
      </c>
      <c r="N248" s="165" t="str">
        <f>IF($A248="","",IF(N('Daily Data'!$N248)&lt;=0,"WARNING","OK"))</f>
        <v/>
      </c>
      <c r="O248" s="165" t="str">
        <f>IF($A248="","",IF(AND(ISNUMBER('Daily Data'!$H248),ABS(N('Daily Data'!$H248))&gt;Settings!$C$56),"WARNING","OK"))</f>
        <v/>
      </c>
      <c r="P248" s="165" t="str">
        <f>IF($A248="","",IF(OR(AND(N('Daily Data'!$K248)=0,N('Daily Data'!$I248)&gt;0),AND(N('Daily Data'!$I248)=0,N('Daily Data'!$K248)&gt;0),AND(N('Daily Data'!$L248)=0,N('Daily Data'!$M248)=0)),"WARNING","OK"))</f>
        <v/>
      </c>
      <c r="Q248" s="165" t="str">
        <f>IF($A248="","",IF(COUNTIFS('Daily Data'!$B$4:$B$503,'Daily Data'!$B248,'Daily Data'!$A$4:$A$503,'Daily Data'!$A248,'Daily Data'!$Q$4:$Q$503,'Daily Data'!$Q248)&gt;1,"WARNING","OK"))</f>
        <v/>
      </c>
      <c r="R248" s="165" t="str">
        <f>IF($A248="","",IF(AND(N('Daily Data'!$K248)&gt;0,N('Daily Data'!$J248)&lt;=0),"WARNING","OK"))</f>
        <v/>
      </c>
      <c r="S248" s="165" t="str">
        <f>IF($A248="","",COUNTIF($D248:$R248,"ERROR"))</f>
        <v/>
      </c>
      <c r="T248" s="165" t="str">
        <f>IF($A248="","",COUNTIF($D248:$R248,"WARNING"))</f>
        <v/>
      </c>
      <c r="U248" s="165" t="str">
        <f>IF($A248="","",IF($S248&gt;0,"ERROR",IF($T248&gt;0,"WARNING","PASS")))</f>
        <v/>
      </c>
    </row>
    <row r="249" spans="1:21" x14ac:dyDescent="0.3">
      <c r="A249" t="str">
        <f>IF(AND('Daily Data'!$A249="",'Daily Data'!$B249=""),"",249)</f>
        <v/>
      </c>
      <c r="B249" s="16" t="str">
        <f>IF($A249="","",'Daily Data'!$A249)</f>
        <v/>
      </c>
      <c r="C249" t="str">
        <f>IF($A249="","",'Daily Data'!$B249)</f>
        <v/>
      </c>
      <c r="D249" s="165" t="str">
        <f>IF($A249="","",IF(COUNTIFS('Daily Data'!$B$4:$B$503,'Daily Data'!$B249,'Daily Data'!$A$4:$A$503,'Daily Data'!$A249)&gt;1,"ERROR","OK"))</f>
        <v/>
      </c>
      <c r="E249" s="165" t="str">
        <f>IF($A249="","",IF('Daily Data'!$B249="","ERROR","OK"))</f>
        <v/>
      </c>
      <c r="F249" s="165" t="str">
        <f>IF($A249="","",IF(NOT(ISNUMBER('Daily Data'!$A249)),"ERROR","OK"))</f>
        <v/>
      </c>
      <c r="G249" s="165" t="str">
        <f>IF($A249="","",IF(OR(N('Daily Data'!$E249)&lt;=0,N('Daily Data'!$C249)&lt;0,N('Daily Data'!$D249)&lt;0,N('Daily Data'!$F249)&lt;0,N('Daily Data'!$G249)&lt;0),"ERROR","OK"))</f>
        <v/>
      </c>
      <c r="H249" s="165" t="str">
        <f>IF($A249="","",IF(N('Daily Data'!$K249)&lt;0,"ERROR","OK"))</f>
        <v/>
      </c>
      <c r="I249" s="165" t="str">
        <f>IF($A249="","",IF(N('Daily Data'!$I249)&lt;0,"ERROR","OK"))</f>
        <v/>
      </c>
      <c r="J249" s="165" t="str">
        <f>IF($A249="","",IF(N('Daily Data'!$L249)&lt;0,"ERROR","OK"))</f>
        <v/>
      </c>
      <c r="K249" s="165" t="str">
        <f>IF($A249="","",IF(N('Daily Data'!$M249)&lt;0,"ERROR","OK"))</f>
        <v/>
      </c>
      <c r="L249" s="165" t="str">
        <f>IF($A249="","",IF(OR(N('Daily Data'!$F249)=0,N('Daily Data'!$G249)=0),"OK",IF(OR(N('Daily Data'!$E249)&gt;N('Daily Data'!$F249),N('Daily Data'!$E249)&lt;N('Daily Data'!$G249)),"ERROR","OK")))</f>
        <v/>
      </c>
      <c r="M249" s="165" t="str">
        <f>IF($A249="","",IF(N('Daily Data'!$AK249)&lt;=1,"OK",IF(ROUND(N('Daily Data'!$D249),2)=ROUND(SUMIFS('Daily Data'!$E$4:$E$503,'Daily Data'!$B$4:$B$503,'Daily Data'!$B249,'Daily Data'!$AK$4:$AK$503,'Daily Data'!$AK249-1),2),"OK","WARNING")))</f>
        <v/>
      </c>
      <c r="N249" s="165" t="str">
        <f>IF($A249="","",IF(N('Daily Data'!$N249)&lt;=0,"WARNING","OK"))</f>
        <v/>
      </c>
      <c r="O249" s="165" t="str">
        <f>IF($A249="","",IF(AND(ISNUMBER('Daily Data'!$H249),ABS(N('Daily Data'!$H249))&gt;Settings!$C$56),"WARNING","OK"))</f>
        <v/>
      </c>
      <c r="P249" s="165" t="str">
        <f>IF($A249="","",IF(OR(AND(N('Daily Data'!$K249)=0,N('Daily Data'!$I249)&gt;0),AND(N('Daily Data'!$I249)=0,N('Daily Data'!$K249)&gt;0),AND(N('Daily Data'!$L249)=0,N('Daily Data'!$M249)=0)),"WARNING","OK"))</f>
        <v/>
      </c>
      <c r="Q249" s="165" t="str">
        <f>IF($A249="","",IF(COUNTIFS('Daily Data'!$B$4:$B$503,'Daily Data'!$B249,'Daily Data'!$A$4:$A$503,'Daily Data'!$A249,'Daily Data'!$Q$4:$Q$503,'Daily Data'!$Q249)&gt;1,"WARNING","OK"))</f>
        <v/>
      </c>
      <c r="R249" s="165" t="str">
        <f>IF($A249="","",IF(AND(N('Daily Data'!$K249)&gt;0,N('Daily Data'!$J249)&lt;=0),"WARNING","OK"))</f>
        <v/>
      </c>
      <c r="S249" s="165" t="str">
        <f>IF($A249="","",COUNTIF($D249:$R249,"ERROR"))</f>
        <v/>
      </c>
      <c r="T249" s="165" t="str">
        <f>IF($A249="","",COUNTIF($D249:$R249,"WARNING"))</f>
        <v/>
      </c>
      <c r="U249" s="165" t="str">
        <f>IF($A249="","",IF($S249&gt;0,"ERROR",IF($T249&gt;0,"WARNING","PASS")))</f>
        <v/>
      </c>
    </row>
    <row r="250" spans="1:21" x14ac:dyDescent="0.3">
      <c r="A250" t="str">
        <f>IF(AND('Daily Data'!$A250="",'Daily Data'!$B250=""),"",250)</f>
        <v/>
      </c>
      <c r="B250" s="16" t="str">
        <f>IF($A250="","",'Daily Data'!$A250)</f>
        <v/>
      </c>
      <c r="C250" t="str">
        <f>IF($A250="","",'Daily Data'!$B250)</f>
        <v/>
      </c>
      <c r="D250" s="165" t="str">
        <f>IF($A250="","",IF(COUNTIFS('Daily Data'!$B$4:$B$503,'Daily Data'!$B250,'Daily Data'!$A$4:$A$503,'Daily Data'!$A250)&gt;1,"ERROR","OK"))</f>
        <v/>
      </c>
      <c r="E250" s="165" t="str">
        <f>IF($A250="","",IF('Daily Data'!$B250="","ERROR","OK"))</f>
        <v/>
      </c>
      <c r="F250" s="165" t="str">
        <f>IF($A250="","",IF(NOT(ISNUMBER('Daily Data'!$A250)),"ERROR","OK"))</f>
        <v/>
      </c>
      <c r="G250" s="165" t="str">
        <f>IF($A250="","",IF(OR(N('Daily Data'!$E250)&lt;=0,N('Daily Data'!$C250)&lt;0,N('Daily Data'!$D250)&lt;0,N('Daily Data'!$F250)&lt;0,N('Daily Data'!$G250)&lt;0),"ERROR","OK"))</f>
        <v/>
      </c>
      <c r="H250" s="165" t="str">
        <f>IF($A250="","",IF(N('Daily Data'!$K250)&lt;0,"ERROR","OK"))</f>
        <v/>
      </c>
      <c r="I250" s="165" t="str">
        <f>IF($A250="","",IF(N('Daily Data'!$I250)&lt;0,"ERROR","OK"))</f>
        <v/>
      </c>
      <c r="J250" s="165" t="str">
        <f>IF($A250="","",IF(N('Daily Data'!$L250)&lt;0,"ERROR","OK"))</f>
        <v/>
      </c>
      <c r="K250" s="165" t="str">
        <f>IF($A250="","",IF(N('Daily Data'!$M250)&lt;0,"ERROR","OK"))</f>
        <v/>
      </c>
      <c r="L250" s="165" t="str">
        <f>IF($A250="","",IF(OR(N('Daily Data'!$F250)=0,N('Daily Data'!$G250)=0),"OK",IF(OR(N('Daily Data'!$E250)&gt;N('Daily Data'!$F250),N('Daily Data'!$E250)&lt;N('Daily Data'!$G250)),"ERROR","OK")))</f>
        <v/>
      </c>
      <c r="M250" s="165" t="str">
        <f>IF($A250="","",IF(N('Daily Data'!$AK250)&lt;=1,"OK",IF(ROUND(N('Daily Data'!$D250),2)=ROUND(SUMIFS('Daily Data'!$E$4:$E$503,'Daily Data'!$B$4:$B$503,'Daily Data'!$B250,'Daily Data'!$AK$4:$AK$503,'Daily Data'!$AK250-1),2),"OK","WARNING")))</f>
        <v/>
      </c>
      <c r="N250" s="165" t="str">
        <f>IF($A250="","",IF(N('Daily Data'!$N250)&lt;=0,"WARNING","OK"))</f>
        <v/>
      </c>
      <c r="O250" s="165" t="str">
        <f>IF($A250="","",IF(AND(ISNUMBER('Daily Data'!$H250),ABS(N('Daily Data'!$H250))&gt;Settings!$C$56),"WARNING","OK"))</f>
        <v/>
      </c>
      <c r="P250" s="165" t="str">
        <f>IF($A250="","",IF(OR(AND(N('Daily Data'!$K250)=0,N('Daily Data'!$I250)&gt;0),AND(N('Daily Data'!$I250)=0,N('Daily Data'!$K250)&gt;0),AND(N('Daily Data'!$L250)=0,N('Daily Data'!$M250)=0)),"WARNING","OK"))</f>
        <v/>
      </c>
      <c r="Q250" s="165" t="str">
        <f>IF($A250="","",IF(COUNTIFS('Daily Data'!$B$4:$B$503,'Daily Data'!$B250,'Daily Data'!$A$4:$A$503,'Daily Data'!$A250,'Daily Data'!$Q$4:$Q$503,'Daily Data'!$Q250)&gt;1,"WARNING","OK"))</f>
        <v/>
      </c>
      <c r="R250" s="165" t="str">
        <f>IF($A250="","",IF(AND(N('Daily Data'!$K250)&gt;0,N('Daily Data'!$J250)&lt;=0),"WARNING","OK"))</f>
        <v/>
      </c>
      <c r="S250" s="165" t="str">
        <f>IF($A250="","",COUNTIF($D250:$R250,"ERROR"))</f>
        <v/>
      </c>
      <c r="T250" s="165" t="str">
        <f>IF($A250="","",COUNTIF($D250:$R250,"WARNING"))</f>
        <v/>
      </c>
      <c r="U250" s="165" t="str">
        <f>IF($A250="","",IF($S250&gt;0,"ERROR",IF($T250&gt;0,"WARNING","PASS")))</f>
        <v/>
      </c>
    </row>
    <row r="251" spans="1:21" x14ac:dyDescent="0.3">
      <c r="A251" t="str">
        <f>IF(AND('Daily Data'!$A251="",'Daily Data'!$B251=""),"",251)</f>
        <v/>
      </c>
      <c r="B251" s="16" t="str">
        <f>IF($A251="","",'Daily Data'!$A251)</f>
        <v/>
      </c>
      <c r="C251" t="str">
        <f>IF($A251="","",'Daily Data'!$B251)</f>
        <v/>
      </c>
      <c r="D251" s="165" t="str">
        <f>IF($A251="","",IF(COUNTIFS('Daily Data'!$B$4:$B$503,'Daily Data'!$B251,'Daily Data'!$A$4:$A$503,'Daily Data'!$A251)&gt;1,"ERROR","OK"))</f>
        <v/>
      </c>
      <c r="E251" s="165" t="str">
        <f>IF($A251="","",IF('Daily Data'!$B251="","ERROR","OK"))</f>
        <v/>
      </c>
      <c r="F251" s="165" t="str">
        <f>IF($A251="","",IF(NOT(ISNUMBER('Daily Data'!$A251)),"ERROR","OK"))</f>
        <v/>
      </c>
      <c r="G251" s="165" t="str">
        <f>IF($A251="","",IF(OR(N('Daily Data'!$E251)&lt;=0,N('Daily Data'!$C251)&lt;0,N('Daily Data'!$D251)&lt;0,N('Daily Data'!$F251)&lt;0,N('Daily Data'!$G251)&lt;0),"ERROR","OK"))</f>
        <v/>
      </c>
      <c r="H251" s="165" t="str">
        <f>IF($A251="","",IF(N('Daily Data'!$K251)&lt;0,"ERROR","OK"))</f>
        <v/>
      </c>
      <c r="I251" s="165" t="str">
        <f>IF($A251="","",IF(N('Daily Data'!$I251)&lt;0,"ERROR","OK"))</f>
        <v/>
      </c>
      <c r="J251" s="165" t="str">
        <f>IF($A251="","",IF(N('Daily Data'!$L251)&lt;0,"ERROR","OK"))</f>
        <v/>
      </c>
      <c r="K251" s="165" t="str">
        <f>IF($A251="","",IF(N('Daily Data'!$M251)&lt;0,"ERROR","OK"))</f>
        <v/>
      </c>
      <c r="L251" s="165" t="str">
        <f>IF($A251="","",IF(OR(N('Daily Data'!$F251)=0,N('Daily Data'!$G251)=0),"OK",IF(OR(N('Daily Data'!$E251)&gt;N('Daily Data'!$F251),N('Daily Data'!$E251)&lt;N('Daily Data'!$G251)),"ERROR","OK")))</f>
        <v/>
      </c>
      <c r="M251" s="165" t="str">
        <f>IF($A251="","",IF(N('Daily Data'!$AK251)&lt;=1,"OK",IF(ROUND(N('Daily Data'!$D251),2)=ROUND(SUMIFS('Daily Data'!$E$4:$E$503,'Daily Data'!$B$4:$B$503,'Daily Data'!$B251,'Daily Data'!$AK$4:$AK$503,'Daily Data'!$AK251-1),2),"OK","WARNING")))</f>
        <v/>
      </c>
      <c r="N251" s="165" t="str">
        <f>IF($A251="","",IF(N('Daily Data'!$N251)&lt;=0,"WARNING","OK"))</f>
        <v/>
      </c>
      <c r="O251" s="165" t="str">
        <f>IF($A251="","",IF(AND(ISNUMBER('Daily Data'!$H251),ABS(N('Daily Data'!$H251))&gt;Settings!$C$56),"WARNING","OK"))</f>
        <v/>
      </c>
      <c r="P251" s="165" t="str">
        <f>IF($A251="","",IF(OR(AND(N('Daily Data'!$K251)=0,N('Daily Data'!$I251)&gt;0),AND(N('Daily Data'!$I251)=0,N('Daily Data'!$K251)&gt;0),AND(N('Daily Data'!$L251)=0,N('Daily Data'!$M251)=0)),"WARNING","OK"))</f>
        <v/>
      </c>
      <c r="Q251" s="165" t="str">
        <f>IF($A251="","",IF(COUNTIFS('Daily Data'!$B$4:$B$503,'Daily Data'!$B251,'Daily Data'!$A$4:$A$503,'Daily Data'!$A251,'Daily Data'!$Q$4:$Q$503,'Daily Data'!$Q251)&gt;1,"WARNING","OK"))</f>
        <v/>
      </c>
      <c r="R251" s="165" t="str">
        <f>IF($A251="","",IF(AND(N('Daily Data'!$K251)&gt;0,N('Daily Data'!$J251)&lt;=0),"WARNING","OK"))</f>
        <v/>
      </c>
      <c r="S251" s="165" t="str">
        <f>IF($A251="","",COUNTIF($D251:$R251,"ERROR"))</f>
        <v/>
      </c>
      <c r="T251" s="165" t="str">
        <f>IF($A251="","",COUNTIF($D251:$R251,"WARNING"))</f>
        <v/>
      </c>
      <c r="U251" s="165" t="str">
        <f>IF($A251="","",IF($S251&gt;0,"ERROR",IF($T251&gt;0,"WARNING","PASS")))</f>
        <v/>
      </c>
    </row>
    <row r="252" spans="1:21" x14ac:dyDescent="0.3">
      <c r="A252" t="str">
        <f>IF(AND('Daily Data'!$A252="",'Daily Data'!$B252=""),"",252)</f>
        <v/>
      </c>
      <c r="B252" s="16" t="str">
        <f>IF($A252="","",'Daily Data'!$A252)</f>
        <v/>
      </c>
      <c r="C252" t="str">
        <f>IF($A252="","",'Daily Data'!$B252)</f>
        <v/>
      </c>
      <c r="D252" s="165" t="str">
        <f>IF($A252="","",IF(COUNTIFS('Daily Data'!$B$4:$B$503,'Daily Data'!$B252,'Daily Data'!$A$4:$A$503,'Daily Data'!$A252)&gt;1,"ERROR","OK"))</f>
        <v/>
      </c>
      <c r="E252" s="165" t="str">
        <f>IF($A252="","",IF('Daily Data'!$B252="","ERROR","OK"))</f>
        <v/>
      </c>
      <c r="F252" s="165" t="str">
        <f>IF($A252="","",IF(NOT(ISNUMBER('Daily Data'!$A252)),"ERROR","OK"))</f>
        <v/>
      </c>
      <c r="G252" s="165" t="str">
        <f>IF($A252="","",IF(OR(N('Daily Data'!$E252)&lt;=0,N('Daily Data'!$C252)&lt;0,N('Daily Data'!$D252)&lt;0,N('Daily Data'!$F252)&lt;0,N('Daily Data'!$G252)&lt;0),"ERROR","OK"))</f>
        <v/>
      </c>
      <c r="H252" s="165" t="str">
        <f>IF($A252="","",IF(N('Daily Data'!$K252)&lt;0,"ERROR","OK"))</f>
        <v/>
      </c>
      <c r="I252" s="165" t="str">
        <f>IF($A252="","",IF(N('Daily Data'!$I252)&lt;0,"ERROR","OK"))</f>
        <v/>
      </c>
      <c r="J252" s="165" t="str">
        <f>IF($A252="","",IF(N('Daily Data'!$L252)&lt;0,"ERROR","OK"))</f>
        <v/>
      </c>
      <c r="K252" s="165" t="str">
        <f>IF($A252="","",IF(N('Daily Data'!$M252)&lt;0,"ERROR","OK"))</f>
        <v/>
      </c>
      <c r="L252" s="165" t="str">
        <f>IF($A252="","",IF(OR(N('Daily Data'!$F252)=0,N('Daily Data'!$G252)=0),"OK",IF(OR(N('Daily Data'!$E252)&gt;N('Daily Data'!$F252),N('Daily Data'!$E252)&lt;N('Daily Data'!$G252)),"ERROR","OK")))</f>
        <v/>
      </c>
      <c r="M252" s="165" t="str">
        <f>IF($A252="","",IF(N('Daily Data'!$AK252)&lt;=1,"OK",IF(ROUND(N('Daily Data'!$D252),2)=ROUND(SUMIFS('Daily Data'!$E$4:$E$503,'Daily Data'!$B$4:$B$503,'Daily Data'!$B252,'Daily Data'!$AK$4:$AK$503,'Daily Data'!$AK252-1),2),"OK","WARNING")))</f>
        <v/>
      </c>
      <c r="N252" s="165" t="str">
        <f>IF($A252="","",IF(N('Daily Data'!$N252)&lt;=0,"WARNING","OK"))</f>
        <v/>
      </c>
      <c r="O252" s="165" t="str">
        <f>IF($A252="","",IF(AND(ISNUMBER('Daily Data'!$H252),ABS(N('Daily Data'!$H252))&gt;Settings!$C$56),"WARNING","OK"))</f>
        <v/>
      </c>
      <c r="P252" s="165" t="str">
        <f>IF($A252="","",IF(OR(AND(N('Daily Data'!$K252)=0,N('Daily Data'!$I252)&gt;0),AND(N('Daily Data'!$I252)=0,N('Daily Data'!$K252)&gt;0),AND(N('Daily Data'!$L252)=0,N('Daily Data'!$M252)=0)),"WARNING","OK"))</f>
        <v/>
      </c>
      <c r="Q252" s="165" t="str">
        <f>IF($A252="","",IF(COUNTIFS('Daily Data'!$B$4:$B$503,'Daily Data'!$B252,'Daily Data'!$A$4:$A$503,'Daily Data'!$A252,'Daily Data'!$Q$4:$Q$503,'Daily Data'!$Q252)&gt;1,"WARNING","OK"))</f>
        <v/>
      </c>
      <c r="R252" s="165" t="str">
        <f>IF($A252="","",IF(AND(N('Daily Data'!$K252)&gt;0,N('Daily Data'!$J252)&lt;=0),"WARNING","OK"))</f>
        <v/>
      </c>
      <c r="S252" s="165" t="str">
        <f>IF($A252="","",COUNTIF($D252:$R252,"ERROR"))</f>
        <v/>
      </c>
      <c r="T252" s="165" t="str">
        <f>IF($A252="","",COUNTIF($D252:$R252,"WARNING"))</f>
        <v/>
      </c>
      <c r="U252" s="165" t="str">
        <f>IF($A252="","",IF($S252&gt;0,"ERROR",IF($T252&gt;0,"WARNING","PASS")))</f>
        <v/>
      </c>
    </row>
    <row r="253" spans="1:21" x14ac:dyDescent="0.3">
      <c r="A253" t="str">
        <f>IF(AND('Daily Data'!$A253="",'Daily Data'!$B253=""),"",253)</f>
        <v/>
      </c>
      <c r="B253" s="16" t="str">
        <f>IF($A253="","",'Daily Data'!$A253)</f>
        <v/>
      </c>
      <c r="C253" t="str">
        <f>IF($A253="","",'Daily Data'!$B253)</f>
        <v/>
      </c>
      <c r="D253" s="165" t="str">
        <f>IF($A253="","",IF(COUNTIFS('Daily Data'!$B$4:$B$503,'Daily Data'!$B253,'Daily Data'!$A$4:$A$503,'Daily Data'!$A253)&gt;1,"ERROR","OK"))</f>
        <v/>
      </c>
      <c r="E253" s="165" t="str">
        <f>IF($A253="","",IF('Daily Data'!$B253="","ERROR","OK"))</f>
        <v/>
      </c>
      <c r="F253" s="165" t="str">
        <f>IF($A253="","",IF(NOT(ISNUMBER('Daily Data'!$A253)),"ERROR","OK"))</f>
        <v/>
      </c>
      <c r="G253" s="165" t="str">
        <f>IF($A253="","",IF(OR(N('Daily Data'!$E253)&lt;=0,N('Daily Data'!$C253)&lt;0,N('Daily Data'!$D253)&lt;0,N('Daily Data'!$F253)&lt;0,N('Daily Data'!$G253)&lt;0),"ERROR","OK"))</f>
        <v/>
      </c>
      <c r="H253" s="165" t="str">
        <f>IF($A253="","",IF(N('Daily Data'!$K253)&lt;0,"ERROR","OK"))</f>
        <v/>
      </c>
      <c r="I253" s="165" t="str">
        <f>IF($A253="","",IF(N('Daily Data'!$I253)&lt;0,"ERROR","OK"))</f>
        <v/>
      </c>
      <c r="J253" s="165" t="str">
        <f>IF($A253="","",IF(N('Daily Data'!$L253)&lt;0,"ERROR","OK"))</f>
        <v/>
      </c>
      <c r="K253" s="165" t="str">
        <f>IF($A253="","",IF(N('Daily Data'!$M253)&lt;0,"ERROR","OK"))</f>
        <v/>
      </c>
      <c r="L253" s="165" t="str">
        <f>IF($A253="","",IF(OR(N('Daily Data'!$F253)=0,N('Daily Data'!$G253)=0),"OK",IF(OR(N('Daily Data'!$E253)&gt;N('Daily Data'!$F253),N('Daily Data'!$E253)&lt;N('Daily Data'!$G253)),"ERROR","OK")))</f>
        <v/>
      </c>
      <c r="M253" s="165" t="str">
        <f>IF($A253="","",IF(N('Daily Data'!$AK253)&lt;=1,"OK",IF(ROUND(N('Daily Data'!$D253),2)=ROUND(SUMIFS('Daily Data'!$E$4:$E$503,'Daily Data'!$B$4:$B$503,'Daily Data'!$B253,'Daily Data'!$AK$4:$AK$503,'Daily Data'!$AK253-1),2),"OK","WARNING")))</f>
        <v/>
      </c>
      <c r="N253" s="165" t="str">
        <f>IF($A253="","",IF(N('Daily Data'!$N253)&lt;=0,"WARNING","OK"))</f>
        <v/>
      </c>
      <c r="O253" s="165" t="str">
        <f>IF($A253="","",IF(AND(ISNUMBER('Daily Data'!$H253),ABS(N('Daily Data'!$H253))&gt;Settings!$C$56),"WARNING","OK"))</f>
        <v/>
      </c>
      <c r="P253" s="165" t="str">
        <f>IF($A253="","",IF(OR(AND(N('Daily Data'!$K253)=0,N('Daily Data'!$I253)&gt;0),AND(N('Daily Data'!$I253)=0,N('Daily Data'!$K253)&gt;0),AND(N('Daily Data'!$L253)=0,N('Daily Data'!$M253)=0)),"WARNING","OK"))</f>
        <v/>
      </c>
      <c r="Q253" s="165" t="str">
        <f>IF($A253="","",IF(COUNTIFS('Daily Data'!$B$4:$B$503,'Daily Data'!$B253,'Daily Data'!$A$4:$A$503,'Daily Data'!$A253,'Daily Data'!$Q$4:$Q$503,'Daily Data'!$Q253)&gt;1,"WARNING","OK"))</f>
        <v/>
      </c>
      <c r="R253" s="165" t="str">
        <f>IF($A253="","",IF(AND(N('Daily Data'!$K253)&gt;0,N('Daily Data'!$J253)&lt;=0),"WARNING","OK"))</f>
        <v/>
      </c>
      <c r="S253" s="165" t="str">
        <f>IF($A253="","",COUNTIF($D253:$R253,"ERROR"))</f>
        <v/>
      </c>
      <c r="T253" s="165" t="str">
        <f>IF($A253="","",COUNTIF($D253:$R253,"WARNING"))</f>
        <v/>
      </c>
      <c r="U253" s="165" t="str">
        <f>IF($A253="","",IF($S253&gt;0,"ERROR",IF($T253&gt;0,"WARNING","PASS")))</f>
        <v/>
      </c>
    </row>
    <row r="254" spans="1:21" x14ac:dyDescent="0.3">
      <c r="A254" t="str">
        <f>IF(AND('Daily Data'!$A254="",'Daily Data'!$B254=""),"",254)</f>
        <v/>
      </c>
      <c r="B254" s="16" t="str">
        <f>IF($A254="","",'Daily Data'!$A254)</f>
        <v/>
      </c>
      <c r="C254" t="str">
        <f>IF($A254="","",'Daily Data'!$B254)</f>
        <v/>
      </c>
      <c r="D254" s="165" t="str">
        <f>IF($A254="","",IF(COUNTIFS('Daily Data'!$B$4:$B$503,'Daily Data'!$B254,'Daily Data'!$A$4:$A$503,'Daily Data'!$A254)&gt;1,"ERROR","OK"))</f>
        <v/>
      </c>
      <c r="E254" s="165" t="str">
        <f>IF($A254="","",IF('Daily Data'!$B254="","ERROR","OK"))</f>
        <v/>
      </c>
      <c r="F254" s="165" t="str">
        <f>IF($A254="","",IF(NOT(ISNUMBER('Daily Data'!$A254)),"ERROR","OK"))</f>
        <v/>
      </c>
      <c r="G254" s="165" t="str">
        <f>IF($A254="","",IF(OR(N('Daily Data'!$E254)&lt;=0,N('Daily Data'!$C254)&lt;0,N('Daily Data'!$D254)&lt;0,N('Daily Data'!$F254)&lt;0,N('Daily Data'!$G254)&lt;0),"ERROR","OK"))</f>
        <v/>
      </c>
      <c r="H254" s="165" t="str">
        <f>IF($A254="","",IF(N('Daily Data'!$K254)&lt;0,"ERROR","OK"))</f>
        <v/>
      </c>
      <c r="I254" s="165" t="str">
        <f>IF($A254="","",IF(N('Daily Data'!$I254)&lt;0,"ERROR","OK"))</f>
        <v/>
      </c>
      <c r="J254" s="165" t="str">
        <f>IF($A254="","",IF(N('Daily Data'!$L254)&lt;0,"ERROR","OK"))</f>
        <v/>
      </c>
      <c r="K254" s="165" t="str">
        <f>IF($A254="","",IF(N('Daily Data'!$M254)&lt;0,"ERROR","OK"))</f>
        <v/>
      </c>
      <c r="L254" s="165" t="str">
        <f>IF($A254="","",IF(OR(N('Daily Data'!$F254)=0,N('Daily Data'!$G254)=0),"OK",IF(OR(N('Daily Data'!$E254)&gt;N('Daily Data'!$F254),N('Daily Data'!$E254)&lt;N('Daily Data'!$G254)),"ERROR","OK")))</f>
        <v/>
      </c>
      <c r="M254" s="165" t="str">
        <f>IF($A254="","",IF(N('Daily Data'!$AK254)&lt;=1,"OK",IF(ROUND(N('Daily Data'!$D254),2)=ROUND(SUMIFS('Daily Data'!$E$4:$E$503,'Daily Data'!$B$4:$B$503,'Daily Data'!$B254,'Daily Data'!$AK$4:$AK$503,'Daily Data'!$AK254-1),2),"OK","WARNING")))</f>
        <v/>
      </c>
      <c r="N254" s="165" t="str">
        <f>IF($A254="","",IF(N('Daily Data'!$N254)&lt;=0,"WARNING","OK"))</f>
        <v/>
      </c>
      <c r="O254" s="165" t="str">
        <f>IF($A254="","",IF(AND(ISNUMBER('Daily Data'!$H254),ABS(N('Daily Data'!$H254))&gt;Settings!$C$56),"WARNING","OK"))</f>
        <v/>
      </c>
      <c r="P254" s="165" t="str">
        <f>IF($A254="","",IF(OR(AND(N('Daily Data'!$K254)=0,N('Daily Data'!$I254)&gt;0),AND(N('Daily Data'!$I254)=0,N('Daily Data'!$K254)&gt;0),AND(N('Daily Data'!$L254)=0,N('Daily Data'!$M254)=0)),"WARNING","OK"))</f>
        <v/>
      </c>
      <c r="Q254" s="165" t="str">
        <f>IF($A254="","",IF(COUNTIFS('Daily Data'!$B$4:$B$503,'Daily Data'!$B254,'Daily Data'!$A$4:$A$503,'Daily Data'!$A254,'Daily Data'!$Q$4:$Q$503,'Daily Data'!$Q254)&gt;1,"WARNING","OK"))</f>
        <v/>
      </c>
      <c r="R254" s="165" t="str">
        <f>IF($A254="","",IF(AND(N('Daily Data'!$K254)&gt;0,N('Daily Data'!$J254)&lt;=0),"WARNING","OK"))</f>
        <v/>
      </c>
      <c r="S254" s="165" t="str">
        <f>IF($A254="","",COUNTIF($D254:$R254,"ERROR"))</f>
        <v/>
      </c>
      <c r="T254" s="165" t="str">
        <f>IF($A254="","",COUNTIF($D254:$R254,"WARNING"))</f>
        <v/>
      </c>
      <c r="U254" s="165" t="str">
        <f>IF($A254="","",IF($S254&gt;0,"ERROR",IF($T254&gt;0,"WARNING","PASS")))</f>
        <v/>
      </c>
    </row>
    <row r="255" spans="1:21" x14ac:dyDescent="0.3">
      <c r="A255" t="str">
        <f>IF(AND('Daily Data'!$A255="",'Daily Data'!$B255=""),"",255)</f>
        <v/>
      </c>
      <c r="B255" s="16" t="str">
        <f>IF($A255="","",'Daily Data'!$A255)</f>
        <v/>
      </c>
      <c r="C255" t="str">
        <f>IF($A255="","",'Daily Data'!$B255)</f>
        <v/>
      </c>
      <c r="D255" s="165" t="str">
        <f>IF($A255="","",IF(COUNTIFS('Daily Data'!$B$4:$B$503,'Daily Data'!$B255,'Daily Data'!$A$4:$A$503,'Daily Data'!$A255)&gt;1,"ERROR","OK"))</f>
        <v/>
      </c>
      <c r="E255" s="165" t="str">
        <f>IF($A255="","",IF('Daily Data'!$B255="","ERROR","OK"))</f>
        <v/>
      </c>
      <c r="F255" s="165" t="str">
        <f>IF($A255="","",IF(NOT(ISNUMBER('Daily Data'!$A255)),"ERROR","OK"))</f>
        <v/>
      </c>
      <c r="G255" s="165" t="str">
        <f>IF($A255="","",IF(OR(N('Daily Data'!$E255)&lt;=0,N('Daily Data'!$C255)&lt;0,N('Daily Data'!$D255)&lt;0,N('Daily Data'!$F255)&lt;0,N('Daily Data'!$G255)&lt;0),"ERROR","OK"))</f>
        <v/>
      </c>
      <c r="H255" s="165" t="str">
        <f>IF($A255="","",IF(N('Daily Data'!$K255)&lt;0,"ERROR","OK"))</f>
        <v/>
      </c>
      <c r="I255" s="165" t="str">
        <f>IF($A255="","",IF(N('Daily Data'!$I255)&lt;0,"ERROR","OK"))</f>
        <v/>
      </c>
      <c r="J255" s="165" t="str">
        <f>IF($A255="","",IF(N('Daily Data'!$L255)&lt;0,"ERROR","OK"))</f>
        <v/>
      </c>
      <c r="K255" s="165" t="str">
        <f>IF($A255="","",IF(N('Daily Data'!$M255)&lt;0,"ERROR","OK"))</f>
        <v/>
      </c>
      <c r="L255" s="165" t="str">
        <f>IF($A255="","",IF(OR(N('Daily Data'!$F255)=0,N('Daily Data'!$G255)=0),"OK",IF(OR(N('Daily Data'!$E255)&gt;N('Daily Data'!$F255),N('Daily Data'!$E255)&lt;N('Daily Data'!$G255)),"ERROR","OK")))</f>
        <v/>
      </c>
      <c r="M255" s="165" t="str">
        <f>IF($A255="","",IF(N('Daily Data'!$AK255)&lt;=1,"OK",IF(ROUND(N('Daily Data'!$D255),2)=ROUND(SUMIFS('Daily Data'!$E$4:$E$503,'Daily Data'!$B$4:$B$503,'Daily Data'!$B255,'Daily Data'!$AK$4:$AK$503,'Daily Data'!$AK255-1),2),"OK","WARNING")))</f>
        <v/>
      </c>
      <c r="N255" s="165" t="str">
        <f>IF($A255="","",IF(N('Daily Data'!$N255)&lt;=0,"WARNING","OK"))</f>
        <v/>
      </c>
      <c r="O255" s="165" t="str">
        <f>IF($A255="","",IF(AND(ISNUMBER('Daily Data'!$H255),ABS(N('Daily Data'!$H255))&gt;Settings!$C$56),"WARNING","OK"))</f>
        <v/>
      </c>
      <c r="P255" s="165" t="str">
        <f>IF($A255="","",IF(OR(AND(N('Daily Data'!$K255)=0,N('Daily Data'!$I255)&gt;0),AND(N('Daily Data'!$I255)=0,N('Daily Data'!$K255)&gt;0),AND(N('Daily Data'!$L255)=0,N('Daily Data'!$M255)=0)),"WARNING","OK"))</f>
        <v/>
      </c>
      <c r="Q255" s="165" t="str">
        <f>IF($A255="","",IF(COUNTIFS('Daily Data'!$B$4:$B$503,'Daily Data'!$B255,'Daily Data'!$A$4:$A$503,'Daily Data'!$A255,'Daily Data'!$Q$4:$Q$503,'Daily Data'!$Q255)&gt;1,"WARNING","OK"))</f>
        <v/>
      </c>
      <c r="R255" s="165" t="str">
        <f>IF($A255="","",IF(AND(N('Daily Data'!$K255)&gt;0,N('Daily Data'!$J255)&lt;=0),"WARNING","OK"))</f>
        <v/>
      </c>
      <c r="S255" s="165" t="str">
        <f>IF($A255="","",COUNTIF($D255:$R255,"ERROR"))</f>
        <v/>
      </c>
      <c r="T255" s="165" t="str">
        <f>IF($A255="","",COUNTIF($D255:$R255,"WARNING"))</f>
        <v/>
      </c>
      <c r="U255" s="165" t="str">
        <f>IF($A255="","",IF($S255&gt;0,"ERROR",IF($T255&gt;0,"WARNING","PASS")))</f>
        <v/>
      </c>
    </row>
    <row r="256" spans="1:21" x14ac:dyDescent="0.3">
      <c r="A256" t="str">
        <f>IF(AND('Daily Data'!$A256="",'Daily Data'!$B256=""),"",256)</f>
        <v/>
      </c>
      <c r="B256" s="16" t="str">
        <f>IF($A256="","",'Daily Data'!$A256)</f>
        <v/>
      </c>
      <c r="C256" t="str">
        <f>IF($A256="","",'Daily Data'!$B256)</f>
        <v/>
      </c>
      <c r="D256" s="165" t="str">
        <f>IF($A256="","",IF(COUNTIFS('Daily Data'!$B$4:$B$503,'Daily Data'!$B256,'Daily Data'!$A$4:$A$503,'Daily Data'!$A256)&gt;1,"ERROR","OK"))</f>
        <v/>
      </c>
      <c r="E256" s="165" t="str">
        <f>IF($A256="","",IF('Daily Data'!$B256="","ERROR","OK"))</f>
        <v/>
      </c>
      <c r="F256" s="165" t="str">
        <f>IF($A256="","",IF(NOT(ISNUMBER('Daily Data'!$A256)),"ERROR","OK"))</f>
        <v/>
      </c>
      <c r="G256" s="165" t="str">
        <f>IF($A256="","",IF(OR(N('Daily Data'!$E256)&lt;=0,N('Daily Data'!$C256)&lt;0,N('Daily Data'!$D256)&lt;0,N('Daily Data'!$F256)&lt;0,N('Daily Data'!$G256)&lt;0),"ERROR","OK"))</f>
        <v/>
      </c>
      <c r="H256" s="165" t="str">
        <f>IF($A256="","",IF(N('Daily Data'!$K256)&lt;0,"ERROR","OK"))</f>
        <v/>
      </c>
      <c r="I256" s="165" t="str">
        <f>IF($A256="","",IF(N('Daily Data'!$I256)&lt;0,"ERROR","OK"))</f>
        <v/>
      </c>
      <c r="J256" s="165" t="str">
        <f>IF($A256="","",IF(N('Daily Data'!$L256)&lt;0,"ERROR","OK"))</f>
        <v/>
      </c>
      <c r="K256" s="165" t="str">
        <f>IF($A256="","",IF(N('Daily Data'!$M256)&lt;0,"ERROR","OK"))</f>
        <v/>
      </c>
      <c r="L256" s="165" t="str">
        <f>IF($A256="","",IF(OR(N('Daily Data'!$F256)=0,N('Daily Data'!$G256)=0),"OK",IF(OR(N('Daily Data'!$E256)&gt;N('Daily Data'!$F256),N('Daily Data'!$E256)&lt;N('Daily Data'!$G256)),"ERROR","OK")))</f>
        <v/>
      </c>
      <c r="M256" s="165" t="str">
        <f>IF($A256="","",IF(N('Daily Data'!$AK256)&lt;=1,"OK",IF(ROUND(N('Daily Data'!$D256),2)=ROUND(SUMIFS('Daily Data'!$E$4:$E$503,'Daily Data'!$B$4:$B$503,'Daily Data'!$B256,'Daily Data'!$AK$4:$AK$503,'Daily Data'!$AK256-1),2),"OK","WARNING")))</f>
        <v/>
      </c>
      <c r="N256" s="165" t="str">
        <f>IF($A256="","",IF(N('Daily Data'!$N256)&lt;=0,"WARNING","OK"))</f>
        <v/>
      </c>
      <c r="O256" s="165" t="str">
        <f>IF($A256="","",IF(AND(ISNUMBER('Daily Data'!$H256),ABS(N('Daily Data'!$H256))&gt;Settings!$C$56),"WARNING","OK"))</f>
        <v/>
      </c>
      <c r="P256" s="165" t="str">
        <f>IF($A256="","",IF(OR(AND(N('Daily Data'!$K256)=0,N('Daily Data'!$I256)&gt;0),AND(N('Daily Data'!$I256)=0,N('Daily Data'!$K256)&gt;0),AND(N('Daily Data'!$L256)=0,N('Daily Data'!$M256)=0)),"WARNING","OK"))</f>
        <v/>
      </c>
      <c r="Q256" s="165" t="str">
        <f>IF($A256="","",IF(COUNTIFS('Daily Data'!$B$4:$B$503,'Daily Data'!$B256,'Daily Data'!$A$4:$A$503,'Daily Data'!$A256,'Daily Data'!$Q$4:$Q$503,'Daily Data'!$Q256)&gt;1,"WARNING","OK"))</f>
        <v/>
      </c>
      <c r="R256" s="165" t="str">
        <f>IF($A256="","",IF(AND(N('Daily Data'!$K256)&gt;0,N('Daily Data'!$J256)&lt;=0),"WARNING","OK"))</f>
        <v/>
      </c>
      <c r="S256" s="165" t="str">
        <f>IF($A256="","",COUNTIF($D256:$R256,"ERROR"))</f>
        <v/>
      </c>
      <c r="T256" s="165" t="str">
        <f>IF($A256="","",COUNTIF($D256:$R256,"WARNING"))</f>
        <v/>
      </c>
      <c r="U256" s="165" t="str">
        <f>IF($A256="","",IF($S256&gt;0,"ERROR",IF($T256&gt;0,"WARNING","PASS")))</f>
        <v/>
      </c>
    </row>
    <row r="257" spans="1:21" x14ac:dyDescent="0.3">
      <c r="A257" t="str">
        <f>IF(AND('Daily Data'!$A257="",'Daily Data'!$B257=""),"",257)</f>
        <v/>
      </c>
      <c r="B257" s="16" t="str">
        <f>IF($A257="","",'Daily Data'!$A257)</f>
        <v/>
      </c>
      <c r="C257" t="str">
        <f>IF($A257="","",'Daily Data'!$B257)</f>
        <v/>
      </c>
      <c r="D257" s="165" t="str">
        <f>IF($A257="","",IF(COUNTIFS('Daily Data'!$B$4:$B$503,'Daily Data'!$B257,'Daily Data'!$A$4:$A$503,'Daily Data'!$A257)&gt;1,"ERROR","OK"))</f>
        <v/>
      </c>
      <c r="E257" s="165" t="str">
        <f>IF($A257="","",IF('Daily Data'!$B257="","ERROR","OK"))</f>
        <v/>
      </c>
      <c r="F257" s="165" t="str">
        <f>IF($A257="","",IF(NOT(ISNUMBER('Daily Data'!$A257)),"ERROR","OK"))</f>
        <v/>
      </c>
      <c r="G257" s="165" t="str">
        <f>IF($A257="","",IF(OR(N('Daily Data'!$E257)&lt;=0,N('Daily Data'!$C257)&lt;0,N('Daily Data'!$D257)&lt;0,N('Daily Data'!$F257)&lt;0,N('Daily Data'!$G257)&lt;0),"ERROR","OK"))</f>
        <v/>
      </c>
      <c r="H257" s="165" t="str">
        <f>IF($A257="","",IF(N('Daily Data'!$K257)&lt;0,"ERROR","OK"))</f>
        <v/>
      </c>
      <c r="I257" s="165" t="str">
        <f>IF($A257="","",IF(N('Daily Data'!$I257)&lt;0,"ERROR","OK"))</f>
        <v/>
      </c>
      <c r="J257" s="165" t="str">
        <f>IF($A257="","",IF(N('Daily Data'!$L257)&lt;0,"ERROR","OK"))</f>
        <v/>
      </c>
      <c r="K257" s="165" t="str">
        <f>IF($A257="","",IF(N('Daily Data'!$M257)&lt;0,"ERROR","OK"))</f>
        <v/>
      </c>
      <c r="L257" s="165" t="str">
        <f>IF($A257="","",IF(OR(N('Daily Data'!$F257)=0,N('Daily Data'!$G257)=0),"OK",IF(OR(N('Daily Data'!$E257)&gt;N('Daily Data'!$F257),N('Daily Data'!$E257)&lt;N('Daily Data'!$G257)),"ERROR","OK")))</f>
        <v/>
      </c>
      <c r="M257" s="165" t="str">
        <f>IF($A257="","",IF(N('Daily Data'!$AK257)&lt;=1,"OK",IF(ROUND(N('Daily Data'!$D257),2)=ROUND(SUMIFS('Daily Data'!$E$4:$E$503,'Daily Data'!$B$4:$B$503,'Daily Data'!$B257,'Daily Data'!$AK$4:$AK$503,'Daily Data'!$AK257-1),2),"OK","WARNING")))</f>
        <v/>
      </c>
      <c r="N257" s="165" t="str">
        <f>IF($A257="","",IF(N('Daily Data'!$N257)&lt;=0,"WARNING","OK"))</f>
        <v/>
      </c>
      <c r="O257" s="165" t="str">
        <f>IF($A257="","",IF(AND(ISNUMBER('Daily Data'!$H257),ABS(N('Daily Data'!$H257))&gt;Settings!$C$56),"WARNING","OK"))</f>
        <v/>
      </c>
      <c r="P257" s="165" t="str">
        <f>IF($A257="","",IF(OR(AND(N('Daily Data'!$K257)=0,N('Daily Data'!$I257)&gt;0),AND(N('Daily Data'!$I257)=0,N('Daily Data'!$K257)&gt;0),AND(N('Daily Data'!$L257)=0,N('Daily Data'!$M257)=0)),"WARNING","OK"))</f>
        <v/>
      </c>
      <c r="Q257" s="165" t="str">
        <f>IF($A257="","",IF(COUNTIFS('Daily Data'!$B$4:$B$503,'Daily Data'!$B257,'Daily Data'!$A$4:$A$503,'Daily Data'!$A257,'Daily Data'!$Q$4:$Q$503,'Daily Data'!$Q257)&gt;1,"WARNING","OK"))</f>
        <v/>
      </c>
      <c r="R257" s="165" t="str">
        <f>IF($A257="","",IF(AND(N('Daily Data'!$K257)&gt;0,N('Daily Data'!$J257)&lt;=0),"WARNING","OK"))</f>
        <v/>
      </c>
      <c r="S257" s="165" t="str">
        <f>IF($A257="","",COUNTIF($D257:$R257,"ERROR"))</f>
        <v/>
      </c>
      <c r="T257" s="165" t="str">
        <f>IF($A257="","",COUNTIF($D257:$R257,"WARNING"))</f>
        <v/>
      </c>
      <c r="U257" s="165" t="str">
        <f>IF($A257="","",IF($S257&gt;0,"ERROR",IF($T257&gt;0,"WARNING","PASS")))</f>
        <v/>
      </c>
    </row>
    <row r="258" spans="1:21" x14ac:dyDescent="0.3">
      <c r="A258" t="str">
        <f>IF(AND('Daily Data'!$A258="",'Daily Data'!$B258=""),"",258)</f>
        <v/>
      </c>
      <c r="B258" s="16" t="str">
        <f>IF($A258="","",'Daily Data'!$A258)</f>
        <v/>
      </c>
      <c r="C258" t="str">
        <f>IF($A258="","",'Daily Data'!$B258)</f>
        <v/>
      </c>
      <c r="D258" s="165" t="str">
        <f>IF($A258="","",IF(COUNTIFS('Daily Data'!$B$4:$B$503,'Daily Data'!$B258,'Daily Data'!$A$4:$A$503,'Daily Data'!$A258)&gt;1,"ERROR","OK"))</f>
        <v/>
      </c>
      <c r="E258" s="165" t="str">
        <f>IF($A258="","",IF('Daily Data'!$B258="","ERROR","OK"))</f>
        <v/>
      </c>
      <c r="F258" s="165" t="str">
        <f>IF($A258="","",IF(NOT(ISNUMBER('Daily Data'!$A258)),"ERROR","OK"))</f>
        <v/>
      </c>
      <c r="G258" s="165" t="str">
        <f>IF($A258="","",IF(OR(N('Daily Data'!$E258)&lt;=0,N('Daily Data'!$C258)&lt;0,N('Daily Data'!$D258)&lt;0,N('Daily Data'!$F258)&lt;0,N('Daily Data'!$G258)&lt;0),"ERROR","OK"))</f>
        <v/>
      </c>
      <c r="H258" s="165" t="str">
        <f>IF($A258="","",IF(N('Daily Data'!$K258)&lt;0,"ERROR","OK"))</f>
        <v/>
      </c>
      <c r="I258" s="165" t="str">
        <f>IF($A258="","",IF(N('Daily Data'!$I258)&lt;0,"ERROR","OK"))</f>
        <v/>
      </c>
      <c r="J258" s="165" t="str">
        <f>IF($A258="","",IF(N('Daily Data'!$L258)&lt;0,"ERROR","OK"))</f>
        <v/>
      </c>
      <c r="K258" s="165" t="str">
        <f>IF($A258="","",IF(N('Daily Data'!$M258)&lt;0,"ERROR","OK"))</f>
        <v/>
      </c>
      <c r="L258" s="165" t="str">
        <f>IF($A258="","",IF(OR(N('Daily Data'!$F258)=0,N('Daily Data'!$G258)=0),"OK",IF(OR(N('Daily Data'!$E258)&gt;N('Daily Data'!$F258),N('Daily Data'!$E258)&lt;N('Daily Data'!$G258)),"ERROR","OK")))</f>
        <v/>
      </c>
      <c r="M258" s="165" t="str">
        <f>IF($A258="","",IF(N('Daily Data'!$AK258)&lt;=1,"OK",IF(ROUND(N('Daily Data'!$D258),2)=ROUND(SUMIFS('Daily Data'!$E$4:$E$503,'Daily Data'!$B$4:$B$503,'Daily Data'!$B258,'Daily Data'!$AK$4:$AK$503,'Daily Data'!$AK258-1),2),"OK","WARNING")))</f>
        <v/>
      </c>
      <c r="N258" s="165" t="str">
        <f>IF($A258="","",IF(N('Daily Data'!$N258)&lt;=0,"WARNING","OK"))</f>
        <v/>
      </c>
      <c r="O258" s="165" t="str">
        <f>IF($A258="","",IF(AND(ISNUMBER('Daily Data'!$H258),ABS(N('Daily Data'!$H258))&gt;Settings!$C$56),"WARNING","OK"))</f>
        <v/>
      </c>
      <c r="P258" s="165" t="str">
        <f>IF($A258="","",IF(OR(AND(N('Daily Data'!$K258)=0,N('Daily Data'!$I258)&gt;0),AND(N('Daily Data'!$I258)=0,N('Daily Data'!$K258)&gt;0),AND(N('Daily Data'!$L258)=0,N('Daily Data'!$M258)=0)),"WARNING","OK"))</f>
        <v/>
      </c>
      <c r="Q258" s="165" t="str">
        <f>IF($A258="","",IF(COUNTIFS('Daily Data'!$B$4:$B$503,'Daily Data'!$B258,'Daily Data'!$A$4:$A$503,'Daily Data'!$A258,'Daily Data'!$Q$4:$Q$503,'Daily Data'!$Q258)&gt;1,"WARNING","OK"))</f>
        <v/>
      </c>
      <c r="R258" s="165" t="str">
        <f>IF($A258="","",IF(AND(N('Daily Data'!$K258)&gt;0,N('Daily Data'!$J258)&lt;=0),"WARNING","OK"))</f>
        <v/>
      </c>
      <c r="S258" s="165" t="str">
        <f>IF($A258="","",COUNTIF($D258:$R258,"ERROR"))</f>
        <v/>
      </c>
      <c r="T258" s="165" t="str">
        <f>IF($A258="","",COUNTIF($D258:$R258,"WARNING"))</f>
        <v/>
      </c>
      <c r="U258" s="165" t="str">
        <f>IF($A258="","",IF($S258&gt;0,"ERROR",IF($T258&gt;0,"WARNING","PASS")))</f>
        <v/>
      </c>
    </row>
    <row r="259" spans="1:21" x14ac:dyDescent="0.3">
      <c r="A259" t="str">
        <f>IF(AND('Daily Data'!$A259="",'Daily Data'!$B259=""),"",259)</f>
        <v/>
      </c>
      <c r="B259" s="16" t="str">
        <f>IF($A259="","",'Daily Data'!$A259)</f>
        <v/>
      </c>
      <c r="C259" t="str">
        <f>IF($A259="","",'Daily Data'!$B259)</f>
        <v/>
      </c>
      <c r="D259" s="165" t="str">
        <f>IF($A259="","",IF(COUNTIFS('Daily Data'!$B$4:$B$503,'Daily Data'!$B259,'Daily Data'!$A$4:$A$503,'Daily Data'!$A259)&gt;1,"ERROR","OK"))</f>
        <v/>
      </c>
      <c r="E259" s="165" t="str">
        <f>IF($A259="","",IF('Daily Data'!$B259="","ERROR","OK"))</f>
        <v/>
      </c>
      <c r="F259" s="165" t="str">
        <f>IF($A259="","",IF(NOT(ISNUMBER('Daily Data'!$A259)),"ERROR","OK"))</f>
        <v/>
      </c>
      <c r="G259" s="165" t="str">
        <f>IF($A259="","",IF(OR(N('Daily Data'!$E259)&lt;=0,N('Daily Data'!$C259)&lt;0,N('Daily Data'!$D259)&lt;0,N('Daily Data'!$F259)&lt;0,N('Daily Data'!$G259)&lt;0),"ERROR","OK"))</f>
        <v/>
      </c>
      <c r="H259" s="165" t="str">
        <f>IF($A259="","",IF(N('Daily Data'!$K259)&lt;0,"ERROR","OK"))</f>
        <v/>
      </c>
      <c r="I259" s="165" t="str">
        <f>IF($A259="","",IF(N('Daily Data'!$I259)&lt;0,"ERROR","OK"))</f>
        <v/>
      </c>
      <c r="J259" s="165" t="str">
        <f>IF($A259="","",IF(N('Daily Data'!$L259)&lt;0,"ERROR","OK"))</f>
        <v/>
      </c>
      <c r="K259" s="165" t="str">
        <f>IF($A259="","",IF(N('Daily Data'!$M259)&lt;0,"ERROR","OK"))</f>
        <v/>
      </c>
      <c r="L259" s="165" t="str">
        <f>IF($A259="","",IF(OR(N('Daily Data'!$F259)=0,N('Daily Data'!$G259)=0),"OK",IF(OR(N('Daily Data'!$E259)&gt;N('Daily Data'!$F259),N('Daily Data'!$E259)&lt;N('Daily Data'!$G259)),"ERROR","OK")))</f>
        <v/>
      </c>
      <c r="M259" s="165" t="str">
        <f>IF($A259="","",IF(N('Daily Data'!$AK259)&lt;=1,"OK",IF(ROUND(N('Daily Data'!$D259),2)=ROUND(SUMIFS('Daily Data'!$E$4:$E$503,'Daily Data'!$B$4:$B$503,'Daily Data'!$B259,'Daily Data'!$AK$4:$AK$503,'Daily Data'!$AK259-1),2),"OK","WARNING")))</f>
        <v/>
      </c>
      <c r="N259" s="165" t="str">
        <f>IF($A259="","",IF(N('Daily Data'!$N259)&lt;=0,"WARNING","OK"))</f>
        <v/>
      </c>
      <c r="O259" s="165" t="str">
        <f>IF($A259="","",IF(AND(ISNUMBER('Daily Data'!$H259),ABS(N('Daily Data'!$H259))&gt;Settings!$C$56),"WARNING","OK"))</f>
        <v/>
      </c>
      <c r="P259" s="165" t="str">
        <f>IF($A259="","",IF(OR(AND(N('Daily Data'!$K259)=0,N('Daily Data'!$I259)&gt;0),AND(N('Daily Data'!$I259)=0,N('Daily Data'!$K259)&gt;0),AND(N('Daily Data'!$L259)=0,N('Daily Data'!$M259)=0)),"WARNING","OK"))</f>
        <v/>
      </c>
      <c r="Q259" s="165" t="str">
        <f>IF($A259="","",IF(COUNTIFS('Daily Data'!$B$4:$B$503,'Daily Data'!$B259,'Daily Data'!$A$4:$A$503,'Daily Data'!$A259,'Daily Data'!$Q$4:$Q$503,'Daily Data'!$Q259)&gt;1,"WARNING","OK"))</f>
        <v/>
      </c>
      <c r="R259" s="165" t="str">
        <f>IF($A259="","",IF(AND(N('Daily Data'!$K259)&gt;0,N('Daily Data'!$J259)&lt;=0),"WARNING","OK"))</f>
        <v/>
      </c>
      <c r="S259" s="165" t="str">
        <f>IF($A259="","",COUNTIF($D259:$R259,"ERROR"))</f>
        <v/>
      </c>
      <c r="T259" s="165" t="str">
        <f>IF($A259="","",COUNTIF($D259:$R259,"WARNING"))</f>
        <v/>
      </c>
      <c r="U259" s="165" t="str">
        <f>IF($A259="","",IF($S259&gt;0,"ERROR",IF($T259&gt;0,"WARNING","PASS")))</f>
        <v/>
      </c>
    </row>
    <row r="260" spans="1:21" x14ac:dyDescent="0.3">
      <c r="A260" t="str">
        <f>IF(AND('Daily Data'!$A260="",'Daily Data'!$B260=""),"",260)</f>
        <v/>
      </c>
      <c r="B260" s="16" t="str">
        <f>IF($A260="","",'Daily Data'!$A260)</f>
        <v/>
      </c>
      <c r="C260" t="str">
        <f>IF($A260="","",'Daily Data'!$B260)</f>
        <v/>
      </c>
      <c r="D260" s="165" t="str">
        <f>IF($A260="","",IF(COUNTIFS('Daily Data'!$B$4:$B$503,'Daily Data'!$B260,'Daily Data'!$A$4:$A$503,'Daily Data'!$A260)&gt;1,"ERROR","OK"))</f>
        <v/>
      </c>
      <c r="E260" s="165" t="str">
        <f>IF($A260="","",IF('Daily Data'!$B260="","ERROR","OK"))</f>
        <v/>
      </c>
      <c r="F260" s="165" t="str">
        <f>IF($A260="","",IF(NOT(ISNUMBER('Daily Data'!$A260)),"ERROR","OK"))</f>
        <v/>
      </c>
      <c r="G260" s="165" t="str">
        <f>IF($A260="","",IF(OR(N('Daily Data'!$E260)&lt;=0,N('Daily Data'!$C260)&lt;0,N('Daily Data'!$D260)&lt;0,N('Daily Data'!$F260)&lt;0,N('Daily Data'!$G260)&lt;0),"ERROR","OK"))</f>
        <v/>
      </c>
      <c r="H260" s="165" t="str">
        <f>IF($A260="","",IF(N('Daily Data'!$K260)&lt;0,"ERROR","OK"))</f>
        <v/>
      </c>
      <c r="I260" s="165" t="str">
        <f>IF($A260="","",IF(N('Daily Data'!$I260)&lt;0,"ERROR","OK"))</f>
        <v/>
      </c>
      <c r="J260" s="165" t="str">
        <f>IF($A260="","",IF(N('Daily Data'!$L260)&lt;0,"ERROR","OK"))</f>
        <v/>
      </c>
      <c r="K260" s="165" t="str">
        <f>IF($A260="","",IF(N('Daily Data'!$M260)&lt;0,"ERROR","OK"))</f>
        <v/>
      </c>
      <c r="L260" s="165" t="str">
        <f>IF($A260="","",IF(OR(N('Daily Data'!$F260)=0,N('Daily Data'!$G260)=0),"OK",IF(OR(N('Daily Data'!$E260)&gt;N('Daily Data'!$F260),N('Daily Data'!$E260)&lt;N('Daily Data'!$G260)),"ERROR","OK")))</f>
        <v/>
      </c>
      <c r="M260" s="165" t="str">
        <f>IF($A260="","",IF(N('Daily Data'!$AK260)&lt;=1,"OK",IF(ROUND(N('Daily Data'!$D260),2)=ROUND(SUMIFS('Daily Data'!$E$4:$E$503,'Daily Data'!$B$4:$B$503,'Daily Data'!$B260,'Daily Data'!$AK$4:$AK$503,'Daily Data'!$AK260-1),2),"OK","WARNING")))</f>
        <v/>
      </c>
      <c r="N260" s="165" t="str">
        <f>IF($A260="","",IF(N('Daily Data'!$N260)&lt;=0,"WARNING","OK"))</f>
        <v/>
      </c>
      <c r="O260" s="165" t="str">
        <f>IF($A260="","",IF(AND(ISNUMBER('Daily Data'!$H260),ABS(N('Daily Data'!$H260))&gt;Settings!$C$56),"WARNING","OK"))</f>
        <v/>
      </c>
      <c r="P260" s="165" t="str">
        <f>IF($A260="","",IF(OR(AND(N('Daily Data'!$K260)=0,N('Daily Data'!$I260)&gt;0),AND(N('Daily Data'!$I260)=0,N('Daily Data'!$K260)&gt;0),AND(N('Daily Data'!$L260)=0,N('Daily Data'!$M260)=0)),"WARNING","OK"))</f>
        <v/>
      </c>
      <c r="Q260" s="165" t="str">
        <f>IF($A260="","",IF(COUNTIFS('Daily Data'!$B$4:$B$503,'Daily Data'!$B260,'Daily Data'!$A$4:$A$503,'Daily Data'!$A260,'Daily Data'!$Q$4:$Q$503,'Daily Data'!$Q260)&gt;1,"WARNING","OK"))</f>
        <v/>
      </c>
      <c r="R260" s="165" t="str">
        <f>IF($A260="","",IF(AND(N('Daily Data'!$K260)&gt;0,N('Daily Data'!$J260)&lt;=0),"WARNING","OK"))</f>
        <v/>
      </c>
      <c r="S260" s="165" t="str">
        <f>IF($A260="","",COUNTIF($D260:$R260,"ERROR"))</f>
        <v/>
      </c>
      <c r="T260" s="165" t="str">
        <f>IF($A260="","",COUNTIF($D260:$R260,"WARNING"))</f>
        <v/>
      </c>
      <c r="U260" s="165" t="str">
        <f>IF($A260="","",IF($S260&gt;0,"ERROR",IF($T260&gt;0,"WARNING","PASS")))</f>
        <v/>
      </c>
    </row>
    <row r="261" spans="1:21" x14ac:dyDescent="0.3">
      <c r="A261" t="str">
        <f>IF(AND('Daily Data'!$A261="",'Daily Data'!$B261=""),"",261)</f>
        <v/>
      </c>
      <c r="B261" s="16" t="str">
        <f>IF($A261="","",'Daily Data'!$A261)</f>
        <v/>
      </c>
      <c r="C261" t="str">
        <f>IF($A261="","",'Daily Data'!$B261)</f>
        <v/>
      </c>
      <c r="D261" s="165" t="str">
        <f>IF($A261="","",IF(COUNTIFS('Daily Data'!$B$4:$B$503,'Daily Data'!$B261,'Daily Data'!$A$4:$A$503,'Daily Data'!$A261)&gt;1,"ERROR","OK"))</f>
        <v/>
      </c>
      <c r="E261" s="165" t="str">
        <f>IF($A261="","",IF('Daily Data'!$B261="","ERROR","OK"))</f>
        <v/>
      </c>
      <c r="F261" s="165" t="str">
        <f>IF($A261="","",IF(NOT(ISNUMBER('Daily Data'!$A261)),"ERROR","OK"))</f>
        <v/>
      </c>
      <c r="G261" s="165" t="str">
        <f>IF($A261="","",IF(OR(N('Daily Data'!$E261)&lt;=0,N('Daily Data'!$C261)&lt;0,N('Daily Data'!$D261)&lt;0,N('Daily Data'!$F261)&lt;0,N('Daily Data'!$G261)&lt;0),"ERROR","OK"))</f>
        <v/>
      </c>
      <c r="H261" s="165" t="str">
        <f>IF($A261="","",IF(N('Daily Data'!$K261)&lt;0,"ERROR","OK"))</f>
        <v/>
      </c>
      <c r="I261" s="165" t="str">
        <f>IF($A261="","",IF(N('Daily Data'!$I261)&lt;0,"ERROR","OK"))</f>
        <v/>
      </c>
      <c r="J261" s="165" t="str">
        <f>IF($A261="","",IF(N('Daily Data'!$L261)&lt;0,"ERROR","OK"))</f>
        <v/>
      </c>
      <c r="K261" s="165" t="str">
        <f>IF($A261="","",IF(N('Daily Data'!$M261)&lt;0,"ERROR","OK"))</f>
        <v/>
      </c>
      <c r="L261" s="165" t="str">
        <f>IF($A261="","",IF(OR(N('Daily Data'!$F261)=0,N('Daily Data'!$G261)=0),"OK",IF(OR(N('Daily Data'!$E261)&gt;N('Daily Data'!$F261),N('Daily Data'!$E261)&lt;N('Daily Data'!$G261)),"ERROR","OK")))</f>
        <v/>
      </c>
      <c r="M261" s="165" t="str">
        <f>IF($A261="","",IF(N('Daily Data'!$AK261)&lt;=1,"OK",IF(ROUND(N('Daily Data'!$D261),2)=ROUND(SUMIFS('Daily Data'!$E$4:$E$503,'Daily Data'!$B$4:$B$503,'Daily Data'!$B261,'Daily Data'!$AK$4:$AK$503,'Daily Data'!$AK261-1),2),"OK","WARNING")))</f>
        <v/>
      </c>
      <c r="N261" s="165" t="str">
        <f>IF($A261="","",IF(N('Daily Data'!$N261)&lt;=0,"WARNING","OK"))</f>
        <v/>
      </c>
      <c r="O261" s="165" t="str">
        <f>IF($A261="","",IF(AND(ISNUMBER('Daily Data'!$H261),ABS(N('Daily Data'!$H261))&gt;Settings!$C$56),"WARNING","OK"))</f>
        <v/>
      </c>
      <c r="P261" s="165" t="str">
        <f>IF($A261="","",IF(OR(AND(N('Daily Data'!$K261)=0,N('Daily Data'!$I261)&gt;0),AND(N('Daily Data'!$I261)=0,N('Daily Data'!$K261)&gt;0),AND(N('Daily Data'!$L261)=0,N('Daily Data'!$M261)=0)),"WARNING","OK"))</f>
        <v/>
      </c>
      <c r="Q261" s="165" t="str">
        <f>IF($A261="","",IF(COUNTIFS('Daily Data'!$B$4:$B$503,'Daily Data'!$B261,'Daily Data'!$A$4:$A$503,'Daily Data'!$A261,'Daily Data'!$Q$4:$Q$503,'Daily Data'!$Q261)&gt;1,"WARNING","OK"))</f>
        <v/>
      </c>
      <c r="R261" s="165" t="str">
        <f>IF($A261="","",IF(AND(N('Daily Data'!$K261)&gt;0,N('Daily Data'!$J261)&lt;=0),"WARNING","OK"))</f>
        <v/>
      </c>
      <c r="S261" s="165" t="str">
        <f>IF($A261="","",COUNTIF($D261:$R261,"ERROR"))</f>
        <v/>
      </c>
      <c r="T261" s="165" t="str">
        <f>IF($A261="","",COUNTIF($D261:$R261,"WARNING"))</f>
        <v/>
      </c>
      <c r="U261" s="165" t="str">
        <f>IF($A261="","",IF($S261&gt;0,"ERROR",IF($T261&gt;0,"WARNING","PASS")))</f>
        <v/>
      </c>
    </row>
    <row r="262" spans="1:21" x14ac:dyDescent="0.3">
      <c r="A262" t="str">
        <f>IF(AND('Daily Data'!$A262="",'Daily Data'!$B262=""),"",262)</f>
        <v/>
      </c>
      <c r="B262" s="16" t="str">
        <f>IF($A262="","",'Daily Data'!$A262)</f>
        <v/>
      </c>
      <c r="C262" t="str">
        <f>IF($A262="","",'Daily Data'!$B262)</f>
        <v/>
      </c>
      <c r="D262" s="165" t="str">
        <f>IF($A262="","",IF(COUNTIFS('Daily Data'!$B$4:$B$503,'Daily Data'!$B262,'Daily Data'!$A$4:$A$503,'Daily Data'!$A262)&gt;1,"ERROR","OK"))</f>
        <v/>
      </c>
      <c r="E262" s="165" t="str">
        <f>IF($A262="","",IF('Daily Data'!$B262="","ERROR","OK"))</f>
        <v/>
      </c>
      <c r="F262" s="165" t="str">
        <f>IF($A262="","",IF(NOT(ISNUMBER('Daily Data'!$A262)),"ERROR","OK"))</f>
        <v/>
      </c>
      <c r="G262" s="165" t="str">
        <f>IF($A262="","",IF(OR(N('Daily Data'!$E262)&lt;=0,N('Daily Data'!$C262)&lt;0,N('Daily Data'!$D262)&lt;0,N('Daily Data'!$F262)&lt;0,N('Daily Data'!$G262)&lt;0),"ERROR","OK"))</f>
        <v/>
      </c>
      <c r="H262" s="165" t="str">
        <f>IF($A262="","",IF(N('Daily Data'!$K262)&lt;0,"ERROR","OK"))</f>
        <v/>
      </c>
      <c r="I262" s="165" t="str">
        <f>IF($A262="","",IF(N('Daily Data'!$I262)&lt;0,"ERROR","OK"))</f>
        <v/>
      </c>
      <c r="J262" s="165" t="str">
        <f>IF($A262="","",IF(N('Daily Data'!$L262)&lt;0,"ERROR","OK"))</f>
        <v/>
      </c>
      <c r="K262" s="165" t="str">
        <f>IF($A262="","",IF(N('Daily Data'!$M262)&lt;0,"ERROR","OK"))</f>
        <v/>
      </c>
      <c r="L262" s="165" t="str">
        <f>IF($A262="","",IF(OR(N('Daily Data'!$F262)=0,N('Daily Data'!$G262)=0),"OK",IF(OR(N('Daily Data'!$E262)&gt;N('Daily Data'!$F262),N('Daily Data'!$E262)&lt;N('Daily Data'!$G262)),"ERROR","OK")))</f>
        <v/>
      </c>
      <c r="M262" s="165" t="str">
        <f>IF($A262="","",IF(N('Daily Data'!$AK262)&lt;=1,"OK",IF(ROUND(N('Daily Data'!$D262),2)=ROUND(SUMIFS('Daily Data'!$E$4:$E$503,'Daily Data'!$B$4:$B$503,'Daily Data'!$B262,'Daily Data'!$AK$4:$AK$503,'Daily Data'!$AK262-1),2),"OK","WARNING")))</f>
        <v/>
      </c>
      <c r="N262" s="165" t="str">
        <f>IF($A262="","",IF(N('Daily Data'!$N262)&lt;=0,"WARNING","OK"))</f>
        <v/>
      </c>
      <c r="O262" s="165" t="str">
        <f>IF($A262="","",IF(AND(ISNUMBER('Daily Data'!$H262),ABS(N('Daily Data'!$H262))&gt;Settings!$C$56),"WARNING","OK"))</f>
        <v/>
      </c>
      <c r="P262" s="165" t="str">
        <f>IF($A262="","",IF(OR(AND(N('Daily Data'!$K262)=0,N('Daily Data'!$I262)&gt;0),AND(N('Daily Data'!$I262)=0,N('Daily Data'!$K262)&gt;0),AND(N('Daily Data'!$L262)=0,N('Daily Data'!$M262)=0)),"WARNING","OK"))</f>
        <v/>
      </c>
      <c r="Q262" s="165" t="str">
        <f>IF($A262="","",IF(COUNTIFS('Daily Data'!$B$4:$B$503,'Daily Data'!$B262,'Daily Data'!$A$4:$A$503,'Daily Data'!$A262,'Daily Data'!$Q$4:$Q$503,'Daily Data'!$Q262)&gt;1,"WARNING","OK"))</f>
        <v/>
      </c>
      <c r="R262" s="165" t="str">
        <f>IF($A262="","",IF(AND(N('Daily Data'!$K262)&gt;0,N('Daily Data'!$J262)&lt;=0),"WARNING","OK"))</f>
        <v/>
      </c>
      <c r="S262" s="165" t="str">
        <f>IF($A262="","",COUNTIF($D262:$R262,"ERROR"))</f>
        <v/>
      </c>
      <c r="T262" s="165" t="str">
        <f>IF($A262="","",COUNTIF($D262:$R262,"WARNING"))</f>
        <v/>
      </c>
      <c r="U262" s="165" t="str">
        <f>IF($A262="","",IF($S262&gt;0,"ERROR",IF($T262&gt;0,"WARNING","PASS")))</f>
        <v/>
      </c>
    </row>
    <row r="263" spans="1:21" x14ac:dyDescent="0.3">
      <c r="A263" t="str">
        <f>IF(AND('Daily Data'!$A263="",'Daily Data'!$B263=""),"",263)</f>
        <v/>
      </c>
      <c r="B263" s="16" t="str">
        <f>IF($A263="","",'Daily Data'!$A263)</f>
        <v/>
      </c>
      <c r="C263" t="str">
        <f>IF($A263="","",'Daily Data'!$B263)</f>
        <v/>
      </c>
      <c r="D263" s="165" t="str">
        <f>IF($A263="","",IF(COUNTIFS('Daily Data'!$B$4:$B$503,'Daily Data'!$B263,'Daily Data'!$A$4:$A$503,'Daily Data'!$A263)&gt;1,"ERROR","OK"))</f>
        <v/>
      </c>
      <c r="E263" s="165" t="str">
        <f>IF($A263="","",IF('Daily Data'!$B263="","ERROR","OK"))</f>
        <v/>
      </c>
      <c r="F263" s="165" t="str">
        <f>IF($A263="","",IF(NOT(ISNUMBER('Daily Data'!$A263)),"ERROR","OK"))</f>
        <v/>
      </c>
      <c r="G263" s="165" t="str">
        <f>IF($A263="","",IF(OR(N('Daily Data'!$E263)&lt;=0,N('Daily Data'!$C263)&lt;0,N('Daily Data'!$D263)&lt;0,N('Daily Data'!$F263)&lt;0,N('Daily Data'!$G263)&lt;0),"ERROR","OK"))</f>
        <v/>
      </c>
      <c r="H263" s="165" t="str">
        <f>IF($A263="","",IF(N('Daily Data'!$K263)&lt;0,"ERROR","OK"))</f>
        <v/>
      </c>
      <c r="I263" s="165" t="str">
        <f>IF($A263="","",IF(N('Daily Data'!$I263)&lt;0,"ERROR","OK"))</f>
        <v/>
      </c>
      <c r="J263" s="165" t="str">
        <f>IF($A263="","",IF(N('Daily Data'!$L263)&lt;0,"ERROR","OK"))</f>
        <v/>
      </c>
      <c r="K263" s="165" t="str">
        <f>IF($A263="","",IF(N('Daily Data'!$M263)&lt;0,"ERROR","OK"))</f>
        <v/>
      </c>
      <c r="L263" s="165" t="str">
        <f>IF($A263="","",IF(OR(N('Daily Data'!$F263)=0,N('Daily Data'!$G263)=0),"OK",IF(OR(N('Daily Data'!$E263)&gt;N('Daily Data'!$F263),N('Daily Data'!$E263)&lt;N('Daily Data'!$G263)),"ERROR","OK")))</f>
        <v/>
      </c>
      <c r="M263" s="165" t="str">
        <f>IF($A263="","",IF(N('Daily Data'!$AK263)&lt;=1,"OK",IF(ROUND(N('Daily Data'!$D263),2)=ROUND(SUMIFS('Daily Data'!$E$4:$E$503,'Daily Data'!$B$4:$B$503,'Daily Data'!$B263,'Daily Data'!$AK$4:$AK$503,'Daily Data'!$AK263-1),2),"OK","WARNING")))</f>
        <v/>
      </c>
      <c r="N263" s="165" t="str">
        <f>IF($A263="","",IF(N('Daily Data'!$N263)&lt;=0,"WARNING","OK"))</f>
        <v/>
      </c>
      <c r="O263" s="165" t="str">
        <f>IF($A263="","",IF(AND(ISNUMBER('Daily Data'!$H263),ABS(N('Daily Data'!$H263))&gt;Settings!$C$56),"WARNING","OK"))</f>
        <v/>
      </c>
      <c r="P263" s="165" t="str">
        <f>IF($A263="","",IF(OR(AND(N('Daily Data'!$K263)=0,N('Daily Data'!$I263)&gt;0),AND(N('Daily Data'!$I263)=0,N('Daily Data'!$K263)&gt;0),AND(N('Daily Data'!$L263)=0,N('Daily Data'!$M263)=0)),"WARNING","OK"))</f>
        <v/>
      </c>
      <c r="Q263" s="165" t="str">
        <f>IF($A263="","",IF(COUNTIFS('Daily Data'!$B$4:$B$503,'Daily Data'!$B263,'Daily Data'!$A$4:$A$503,'Daily Data'!$A263,'Daily Data'!$Q$4:$Q$503,'Daily Data'!$Q263)&gt;1,"WARNING","OK"))</f>
        <v/>
      </c>
      <c r="R263" s="165" t="str">
        <f>IF($A263="","",IF(AND(N('Daily Data'!$K263)&gt;0,N('Daily Data'!$J263)&lt;=0),"WARNING","OK"))</f>
        <v/>
      </c>
      <c r="S263" s="165" t="str">
        <f>IF($A263="","",COUNTIF($D263:$R263,"ERROR"))</f>
        <v/>
      </c>
      <c r="T263" s="165" t="str">
        <f>IF($A263="","",COUNTIF($D263:$R263,"WARNING"))</f>
        <v/>
      </c>
      <c r="U263" s="165" t="str">
        <f>IF($A263="","",IF($S263&gt;0,"ERROR",IF($T263&gt;0,"WARNING","PASS")))</f>
        <v/>
      </c>
    </row>
    <row r="264" spans="1:21" x14ac:dyDescent="0.3">
      <c r="A264" t="str">
        <f>IF(AND('Daily Data'!$A264="",'Daily Data'!$B264=""),"",264)</f>
        <v/>
      </c>
      <c r="B264" s="16" t="str">
        <f>IF($A264="","",'Daily Data'!$A264)</f>
        <v/>
      </c>
      <c r="C264" t="str">
        <f>IF($A264="","",'Daily Data'!$B264)</f>
        <v/>
      </c>
      <c r="D264" s="165" t="str">
        <f>IF($A264="","",IF(COUNTIFS('Daily Data'!$B$4:$B$503,'Daily Data'!$B264,'Daily Data'!$A$4:$A$503,'Daily Data'!$A264)&gt;1,"ERROR","OK"))</f>
        <v/>
      </c>
      <c r="E264" s="165" t="str">
        <f>IF($A264="","",IF('Daily Data'!$B264="","ERROR","OK"))</f>
        <v/>
      </c>
      <c r="F264" s="165" t="str">
        <f>IF($A264="","",IF(NOT(ISNUMBER('Daily Data'!$A264)),"ERROR","OK"))</f>
        <v/>
      </c>
      <c r="G264" s="165" t="str">
        <f>IF($A264="","",IF(OR(N('Daily Data'!$E264)&lt;=0,N('Daily Data'!$C264)&lt;0,N('Daily Data'!$D264)&lt;0,N('Daily Data'!$F264)&lt;0,N('Daily Data'!$G264)&lt;0),"ERROR","OK"))</f>
        <v/>
      </c>
      <c r="H264" s="165" t="str">
        <f>IF($A264="","",IF(N('Daily Data'!$K264)&lt;0,"ERROR","OK"))</f>
        <v/>
      </c>
      <c r="I264" s="165" t="str">
        <f>IF($A264="","",IF(N('Daily Data'!$I264)&lt;0,"ERROR","OK"))</f>
        <v/>
      </c>
      <c r="J264" s="165" t="str">
        <f>IF($A264="","",IF(N('Daily Data'!$L264)&lt;0,"ERROR","OK"))</f>
        <v/>
      </c>
      <c r="K264" s="165" t="str">
        <f>IF($A264="","",IF(N('Daily Data'!$M264)&lt;0,"ERROR","OK"))</f>
        <v/>
      </c>
      <c r="L264" s="165" t="str">
        <f>IF($A264="","",IF(OR(N('Daily Data'!$F264)=0,N('Daily Data'!$G264)=0),"OK",IF(OR(N('Daily Data'!$E264)&gt;N('Daily Data'!$F264),N('Daily Data'!$E264)&lt;N('Daily Data'!$G264)),"ERROR","OK")))</f>
        <v/>
      </c>
      <c r="M264" s="165" t="str">
        <f>IF($A264="","",IF(N('Daily Data'!$AK264)&lt;=1,"OK",IF(ROUND(N('Daily Data'!$D264),2)=ROUND(SUMIFS('Daily Data'!$E$4:$E$503,'Daily Data'!$B$4:$B$503,'Daily Data'!$B264,'Daily Data'!$AK$4:$AK$503,'Daily Data'!$AK264-1),2),"OK","WARNING")))</f>
        <v/>
      </c>
      <c r="N264" s="165" t="str">
        <f>IF($A264="","",IF(N('Daily Data'!$N264)&lt;=0,"WARNING","OK"))</f>
        <v/>
      </c>
      <c r="O264" s="165" t="str">
        <f>IF($A264="","",IF(AND(ISNUMBER('Daily Data'!$H264),ABS(N('Daily Data'!$H264))&gt;Settings!$C$56),"WARNING","OK"))</f>
        <v/>
      </c>
      <c r="P264" s="165" t="str">
        <f>IF($A264="","",IF(OR(AND(N('Daily Data'!$K264)=0,N('Daily Data'!$I264)&gt;0),AND(N('Daily Data'!$I264)=0,N('Daily Data'!$K264)&gt;0),AND(N('Daily Data'!$L264)=0,N('Daily Data'!$M264)=0)),"WARNING","OK"))</f>
        <v/>
      </c>
      <c r="Q264" s="165" t="str">
        <f>IF($A264="","",IF(COUNTIFS('Daily Data'!$B$4:$B$503,'Daily Data'!$B264,'Daily Data'!$A$4:$A$503,'Daily Data'!$A264,'Daily Data'!$Q$4:$Q$503,'Daily Data'!$Q264)&gt;1,"WARNING","OK"))</f>
        <v/>
      </c>
      <c r="R264" s="165" t="str">
        <f>IF($A264="","",IF(AND(N('Daily Data'!$K264)&gt;0,N('Daily Data'!$J264)&lt;=0),"WARNING","OK"))</f>
        <v/>
      </c>
      <c r="S264" s="165" t="str">
        <f>IF($A264="","",COUNTIF($D264:$R264,"ERROR"))</f>
        <v/>
      </c>
      <c r="T264" s="165" t="str">
        <f>IF($A264="","",COUNTIF($D264:$R264,"WARNING"))</f>
        <v/>
      </c>
      <c r="U264" s="165" t="str">
        <f>IF($A264="","",IF($S264&gt;0,"ERROR",IF($T264&gt;0,"WARNING","PASS")))</f>
        <v/>
      </c>
    </row>
    <row r="265" spans="1:21" x14ac:dyDescent="0.3">
      <c r="A265" t="str">
        <f>IF(AND('Daily Data'!$A265="",'Daily Data'!$B265=""),"",265)</f>
        <v/>
      </c>
      <c r="B265" s="16" t="str">
        <f>IF($A265="","",'Daily Data'!$A265)</f>
        <v/>
      </c>
      <c r="C265" t="str">
        <f>IF($A265="","",'Daily Data'!$B265)</f>
        <v/>
      </c>
      <c r="D265" s="165" t="str">
        <f>IF($A265="","",IF(COUNTIFS('Daily Data'!$B$4:$B$503,'Daily Data'!$B265,'Daily Data'!$A$4:$A$503,'Daily Data'!$A265)&gt;1,"ERROR","OK"))</f>
        <v/>
      </c>
      <c r="E265" s="165" t="str">
        <f>IF($A265="","",IF('Daily Data'!$B265="","ERROR","OK"))</f>
        <v/>
      </c>
      <c r="F265" s="165" t="str">
        <f>IF($A265="","",IF(NOT(ISNUMBER('Daily Data'!$A265)),"ERROR","OK"))</f>
        <v/>
      </c>
      <c r="G265" s="165" t="str">
        <f>IF($A265="","",IF(OR(N('Daily Data'!$E265)&lt;=0,N('Daily Data'!$C265)&lt;0,N('Daily Data'!$D265)&lt;0,N('Daily Data'!$F265)&lt;0,N('Daily Data'!$G265)&lt;0),"ERROR","OK"))</f>
        <v/>
      </c>
      <c r="H265" s="165" t="str">
        <f>IF($A265="","",IF(N('Daily Data'!$K265)&lt;0,"ERROR","OK"))</f>
        <v/>
      </c>
      <c r="I265" s="165" t="str">
        <f>IF($A265="","",IF(N('Daily Data'!$I265)&lt;0,"ERROR","OK"))</f>
        <v/>
      </c>
      <c r="J265" s="165" t="str">
        <f>IF($A265="","",IF(N('Daily Data'!$L265)&lt;0,"ERROR","OK"))</f>
        <v/>
      </c>
      <c r="K265" s="165" t="str">
        <f>IF($A265="","",IF(N('Daily Data'!$M265)&lt;0,"ERROR","OK"))</f>
        <v/>
      </c>
      <c r="L265" s="165" t="str">
        <f>IF($A265="","",IF(OR(N('Daily Data'!$F265)=0,N('Daily Data'!$G265)=0),"OK",IF(OR(N('Daily Data'!$E265)&gt;N('Daily Data'!$F265),N('Daily Data'!$E265)&lt;N('Daily Data'!$G265)),"ERROR","OK")))</f>
        <v/>
      </c>
      <c r="M265" s="165" t="str">
        <f>IF($A265="","",IF(N('Daily Data'!$AK265)&lt;=1,"OK",IF(ROUND(N('Daily Data'!$D265),2)=ROUND(SUMIFS('Daily Data'!$E$4:$E$503,'Daily Data'!$B$4:$B$503,'Daily Data'!$B265,'Daily Data'!$AK$4:$AK$503,'Daily Data'!$AK265-1),2),"OK","WARNING")))</f>
        <v/>
      </c>
      <c r="N265" s="165" t="str">
        <f>IF($A265="","",IF(N('Daily Data'!$N265)&lt;=0,"WARNING","OK"))</f>
        <v/>
      </c>
      <c r="O265" s="165" t="str">
        <f>IF($A265="","",IF(AND(ISNUMBER('Daily Data'!$H265),ABS(N('Daily Data'!$H265))&gt;Settings!$C$56),"WARNING","OK"))</f>
        <v/>
      </c>
      <c r="P265" s="165" t="str">
        <f>IF($A265="","",IF(OR(AND(N('Daily Data'!$K265)=0,N('Daily Data'!$I265)&gt;0),AND(N('Daily Data'!$I265)=0,N('Daily Data'!$K265)&gt;0),AND(N('Daily Data'!$L265)=0,N('Daily Data'!$M265)=0)),"WARNING","OK"))</f>
        <v/>
      </c>
      <c r="Q265" s="165" t="str">
        <f>IF($A265="","",IF(COUNTIFS('Daily Data'!$B$4:$B$503,'Daily Data'!$B265,'Daily Data'!$A$4:$A$503,'Daily Data'!$A265,'Daily Data'!$Q$4:$Q$503,'Daily Data'!$Q265)&gt;1,"WARNING","OK"))</f>
        <v/>
      </c>
      <c r="R265" s="165" t="str">
        <f>IF($A265="","",IF(AND(N('Daily Data'!$K265)&gt;0,N('Daily Data'!$J265)&lt;=0),"WARNING","OK"))</f>
        <v/>
      </c>
      <c r="S265" s="165" t="str">
        <f>IF($A265="","",COUNTIF($D265:$R265,"ERROR"))</f>
        <v/>
      </c>
      <c r="T265" s="165" t="str">
        <f>IF($A265="","",COUNTIF($D265:$R265,"WARNING"))</f>
        <v/>
      </c>
      <c r="U265" s="165" t="str">
        <f>IF($A265="","",IF($S265&gt;0,"ERROR",IF($T265&gt;0,"WARNING","PASS")))</f>
        <v/>
      </c>
    </row>
    <row r="266" spans="1:21" x14ac:dyDescent="0.3">
      <c r="A266" t="str">
        <f>IF(AND('Daily Data'!$A266="",'Daily Data'!$B266=""),"",266)</f>
        <v/>
      </c>
      <c r="B266" s="16" t="str">
        <f>IF($A266="","",'Daily Data'!$A266)</f>
        <v/>
      </c>
      <c r="C266" t="str">
        <f>IF($A266="","",'Daily Data'!$B266)</f>
        <v/>
      </c>
      <c r="D266" s="165" t="str">
        <f>IF($A266="","",IF(COUNTIFS('Daily Data'!$B$4:$B$503,'Daily Data'!$B266,'Daily Data'!$A$4:$A$503,'Daily Data'!$A266)&gt;1,"ERROR","OK"))</f>
        <v/>
      </c>
      <c r="E266" s="165" t="str">
        <f>IF($A266="","",IF('Daily Data'!$B266="","ERROR","OK"))</f>
        <v/>
      </c>
      <c r="F266" s="165" t="str">
        <f>IF($A266="","",IF(NOT(ISNUMBER('Daily Data'!$A266)),"ERROR","OK"))</f>
        <v/>
      </c>
      <c r="G266" s="165" t="str">
        <f>IF($A266="","",IF(OR(N('Daily Data'!$E266)&lt;=0,N('Daily Data'!$C266)&lt;0,N('Daily Data'!$D266)&lt;0,N('Daily Data'!$F266)&lt;0,N('Daily Data'!$G266)&lt;0),"ERROR","OK"))</f>
        <v/>
      </c>
      <c r="H266" s="165" t="str">
        <f>IF($A266="","",IF(N('Daily Data'!$K266)&lt;0,"ERROR","OK"))</f>
        <v/>
      </c>
      <c r="I266" s="165" t="str">
        <f>IF($A266="","",IF(N('Daily Data'!$I266)&lt;0,"ERROR","OK"))</f>
        <v/>
      </c>
      <c r="J266" s="165" t="str">
        <f>IF($A266="","",IF(N('Daily Data'!$L266)&lt;0,"ERROR","OK"))</f>
        <v/>
      </c>
      <c r="K266" s="165" t="str">
        <f>IF($A266="","",IF(N('Daily Data'!$M266)&lt;0,"ERROR","OK"))</f>
        <v/>
      </c>
      <c r="L266" s="165" t="str">
        <f>IF($A266="","",IF(OR(N('Daily Data'!$F266)=0,N('Daily Data'!$G266)=0),"OK",IF(OR(N('Daily Data'!$E266)&gt;N('Daily Data'!$F266),N('Daily Data'!$E266)&lt;N('Daily Data'!$G266)),"ERROR","OK")))</f>
        <v/>
      </c>
      <c r="M266" s="165" t="str">
        <f>IF($A266="","",IF(N('Daily Data'!$AK266)&lt;=1,"OK",IF(ROUND(N('Daily Data'!$D266),2)=ROUND(SUMIFS('Daily Data'!$E$4:$E$503,'Daily Data'!$B$4:$B$503,'Daily Data'!$B266,'Daily Data'!$AK$4:$AK$503,'Daily Data'!$AK266-1),2),"OK","WARNING")))</f>
        <v/>
      </c>
      <c r="N266" s="165" t="str">
        <f>IF($A266="","",IF(N('Daily Data'!$N266)&lt;=0,"WARNING","OK"))</f>
        <v/>
      </c>
      <c r="O266" s="165" t="str">
        <f>IF($A266="","",IF(AND(ISNUMBER('Daily Data'!$H266),ABS(N('Daily Data'!$H266))&gt;Settings!$C$56),"WARNING","OK"))</f>
        <v/>
      </c>
      <c r="P266" s="165" t="str">
        <f>IF($A266="","",IF(OR(AND(N('Daily Data'!$K266)=0,N('Daily Data'!$I266)&gt;0),AND(N('Daily Data'!$I266)=0,N('Daily Data'!$K266)&gt;0),AND(N('Daily Data'!$L266)=0,N('Daily Data'!$M266)=0)),"WARNING","OK"))</f>
        <v/>
      </c>
      <c r="Q266" s="165" t="str">
        <f>IF($A266="","",IF(COUNTIFS('Daily Data'!$B$4:$B$503,'Daily Data'!$B266,'Daily Data'!$A$4:$A$503,'Daily Data'!$A266,'Daily Data'!$Q$4:$Q$503,'Daily Data'!$Q266)&gt;1,"WARNING","OK"))</f>
        <v/>
      </c>
      <c r="R266" s="165" t="str">
        <f>IF($A266="","",IF(AND(N('Daily Data'!$K266)&gt;0,N('Daily Data'!$J266)&lt;=0),"WARNING","OK"))</f>
        <v/>
      </c>
      <c r="S266" s="165" t="str">
        <f>IF($A266="","",COUNTIF($D266:$R266,"ERROR"))</f>
        <v/>
      </c>
      <c r="T266" s="165" t="str">
        <f>IF($A266="","",COUNTIF($D266:$R266,"WARNING"))</f>
        <v/>
      </c>
      <c r="U266" s="165" t="str">
        <f>IF($A266="","",IF($S266&gt;0,"ERROR",IF($T266&gt;0,"WARNING","PASS")))</f>
        <v/>
      </c>
    </row>
    <row r="267" spans="1:21" x14ac:dyDescent="0.3">
      <c r="A267" t="str">
        <f>IF(AND('Daily Data'!$A267="",'Daily Data'!$B267=""),"",267)</f>
        <v/>
      </c>
      <c r="B267" s="16" t="str">
        <f>IF($A267="","",'Daily Data'!$A267)</f>
        <v/>
      </c>
      <c r="C267" t="str">
        <f>IF($A267="","",'Daily Data'!$B267)</f>
        <v/>
      </c>
      <c r="D267" s="165" t="str">
        <f>IF($A267="","",IF(COUNTIFS('Daily Data'!$B$4:$B$503,'Daily Data'!$B267,'Daily Data'!$A$4:$A$503,'Daily Data'!$A267)&gt;1,"ERROR","OK"))</f>
        <v/>
      </c>
      <c r="E267" s="165" t="str">
        <f>IF($A267="","",IF('Daily Data'!$B267="","ERROR","OK"))</f>
        <v/>
      </c>
      <c r="F267" s="165" t="str">
        <f>IF($A267="","",IF(NOT(ISNUMBER('Daily Data'!$A267)),"ERROR","OK"))</f>
        <v/>
      </c>
      <c r="G267" s="165" t="str">
        <f>IF($A267="","",IF(OR(N('Daily Data'!$E267)&lt;=0,N('Daily Data'!$C267)&lt;0,N('Daily Data'!$D267)&lt;0,N('Daily Data'!$F267)&lt;0,N('Daily Data'!$G267)&lt;0),"ERROR","OK"))</f>
        <v/>
      </c>
      <c r="H267" s="165" t="str">
        <f>IF($A267="","",IF(N('Daily Data'!$K267)&lt;0,"ERROR","OK"))</f>
        <v/>
      </c>
      <c r="I267" s="165" t="str">
        <f>IF($A267="","",IF(N('Daily Data'!$I267)&lt;0,"ERROR","OK"))</f>
        <v/>
      </c>
      <c r="J267" s="165" t="str">
        <f>IF($A267="","",IF(N('Daily Data'!$L267)&lt;0,"ERROR","OK"))</f>
        <v/>
      </c>
      <c r="K267" s="165" t="str">
        <f>IF($A267="","",IF(N('Daily Data'!$M267)&lt;0,"ERROR","OK"))</f>
        <v/>
      </c>
      <c r="L267" s="165" t="str">
        <f>IF($A267="","",IF(OR(N('Daily Data'!$F267)=0,N('Daily Data'!$G267)=0),"OK",IF(OR(N('Daily Data'!$E267)&gt;N('Daily Data'!$F267),N('Daily Data'!$E267)&lt;N('Daily Data'!$G267)),"ERROR","OK")))</f>
        <v/>
      </c>
      <c r="M267" s="165" t="str">
        <f>IF($A267="","",IF(N('Daily Data'!$AK267)&lt;=1,"OK",IF(ROUND(N('Daily Data'!$D267),2)=ROUND(SUMIFS('Daily Data'!$E$4:$E$503,'Daily Data'!$B$4:$B$503,'Daily Data'!$B267,'Daily Data'!$AK$4:$AK$503,'Daily Data'!$AK267-1),2),"OK","WARNING")))</f>
        <v/>
      </c>
      <c r="N267" s="165" t="str">
        <f>IF($A267="","",IF(N('Daily Data'!$N267)&lt;=0,"WARNING","OK"))</f>
        <v/>
      </c>
      <c r="O267" s="165" t="str">
        <f>IF($A267="","",IF(AND(ISNUMBER('Daily Data'!$H267),ABS(N('Daily Data'!$H267))&gt;Settings!$C$56),"WARNING","OK"))</f>
        <v/>
      </c>
      <c r="P267" s="165" t="str">
        <f>IF($A267="","",IF(OR(AND(N('Daily Data'!$K267)=0,N('Daily Data'!$I267)&gt;0),AND(N('Daily Data'!$I267)=0,N('Daily Data'!$K267)&gt;0),AND(N('Daily Data'!$L267)=0,N('Daily Data'!$M267)=0)),"WARNING","OK"))</f>
        <v/>
      </c>
      <c r="Q267" s="165" t="str">
        <f>IF($A267="","",IF(COUNTIFS('Daily Data'!$B$4:$B$503,'Daily Data'!$B267,'Daily Data'!$A$4:$A$503,'Daily Data'!$A267,'Daily Data'!$Q$4:$Q$503,'Daily Data'!$Q267)&gt;1,"WARNING","OK"))</f>
        <v/>
      </c>
      <c r="R267" s="165" t="str">
        <f>IF($A267="","",IF(AND(N('Daily Data'!$K267)&gt;0,N('Daily Data'!$J267)&lt;=0),"WARNING","OK"))</f>
        <v/>
      </c>
      <c r="S267" s="165" t="str">
        <f>IF($A267="","",COUNTIF($D267:$R267,"ERROR"))</f>
        <v/>
      </c>
      <c r="T267" s="165" t="str">
        <f>IF($A267="","",COUNTIF($D267:$R267,"WARNING"))</f>
        <v/>
      </c>
      <c r="U267" s="165" t="str">
        <f>IF($A267="","",IF($S267&gt;0,"ERROR",IF($T267&gt;0,"WARNING","PASS")))</f>
        <v/>
      </c>
    </row>
    <row r="268" spans="1:21" x14ac:dyDescent="0.3">
      <c r="A268" t="str">
        <f>IF(AND('Daily Data'!$A268="",'Daily Data'!$B268=""),"",268)</f>
        <v/>
      </c>
      <c r="B268" s="16" t="str">
        <f>IF($A268="","",'Daily Data'!$A268)</f>
        <v/>
      </c>
      <c r="C268" t="str">
        <f>IF($A268="","",'Daily Data'!$B268)</f>
        <v/>
      </c>
      <c r="D268" s="165" t="str">
        <f>IF($A268="","",IF(COUNTIFS('Daily Data'!$B$4:$B$503,'Daily Data'!$B268,'Daily Data'!$A$4:$A$503,'Daily Data'!$A268)&gt;1,"ERROR","OK"))</f>
        <v/>
      </c>
      <c r="E268" s="165" t="str">
        <f>IF($A268="","",IF('Daily Data'!$B268="","ERROR","OK"))</f>
        <v/>
      </c>
      <c r="F268" s="165" t="str">
        <f>IF($A268="","",IF(NOT(ISNUMBER('Daily Data'!$A268)),"ERROR","OK"))</f>
        <v/>
      </c>
      <c r="G268" s="165" t="str">
        <f>IF($A268="","",IF(OR(N('Daily Data'!$E268)&lt;=0,N('Daily Data'!$C268)&lt;0,N('Daily Data'!$D268)&lt;0,N('Daily Data'!$F268)&lt;0,N('Daily Data'!$G268)&lt;0),"ERROR","OK"))</f>
        <v/>
      </c>
      <c r="H268" s="165" t="str">
        <f>IF($A268="","",IF(N('Daily Data'!$K268)&lt;0,"ERROR","OK"))</f>
        <v/>
      </c>
      <c r="I268" s="165" t="str">
        <f>IF($A268="","",IF(N('Daily Data'!$I268)&lt;0,"ERROR","OK"))</f>
        <v/>
      </c>
      <c r="J268" s="165" t="str">
        <f>IF($A268="","",IF(N('Daily Data'!$L268)&lt;0,"ERROR","OK"))</f>
        <v/>
      </c>
      <c r="K268" s="165" t="str">
        <f>IF($A268="","",IF(N('Daily Data'!$M268)&lt;0,"ERROR","OK"))</f>
        <v/>
      </c>
      <c r="L268" s="165" t="str">
        <f>IF($A268="","",IF(OR(N('Daily Data'!$F268)=0,N('Daily Data'!$G268)=0),"OK",IF(OR(N('Daily Data'!$E268)&gt;N('Daily Data'!$F268),N('Daily Data'!$E268)&lt;N('Daily Data'!$G268)),"ERROR","OK")))</f>
        <v/>
      </c>
      <c r="M268" s="165" t="str">
        <f>IF($A268="","",IF(N('Daily Data'!$AK268)&lt;=1,"OK",IF(ROUND(N('Daily Data'!$D268),2)=ROUND(SUMIFS('Daily Data'!$E$4:$E$503,'Daily Data'!$B$4:$B$503,'Daily Data'!$B268,'Daily Data'!$AK$4:$AK$503,'Daily Data'!$AK268-1),2),"OK","WARNING")))</f>
        <v/>
      </c>
      <c r="N268" s="165" t="str">
        <f>IF($A268="","",IF(N('Daily Data'!$N268)&lt;=0,"WARNING","OK"))</f>
        <v/>
      </c>
      <c r="O268" s="165" t="str">
        <f>IF($A268="","",IF(AND(ISNUMBER('Daily Data'!$H268),ABS(N('Daily Data'!$H268))&gt;Settings!$C$56),"WARNING","OK"))</f>
        <v/>
      </c>
      <c r="P268" s="165" t="str">
        <f>IF($A268="","",IF(OR(AND(N('Daily Data'!$K268)=0,N('Daily Data'!$I268)&gt;0),AND(N('Daily Data'!$I268)=0,N('Daily Data'!$K268)&gt;0),AND(N('Daily Data'!$L268)=0,N('Daily Data'!$M268)=0)),"WARNING","OK"))</f>
        <v/>
      </c>
      <c r="Q268" s="165" t="str">
        <f>IF($A268="","",IF(COUNTIFS('Daily Data'!$B$4:$B$503,'Daily Data'!$B268,'Daily Data'!$A$4:$A$503,'Daily Data'!$A268,'Daily Data'!$Q$4:$Q$503,'Daily Data'!$Q268)&gt;1,"WARNING","OK"))</f>
        <v/>
      </c>
      <c r="R268" s="165" t="str">
        <f>IF($A268="","",IF(AND(N('Daily Data'!$K268)&gt;0,N('Daily Data'!$J268)&lt;=0),"WARNING","OK"))</f>
        <v/>
      </c>
      <c r="S268" s="165" t="str">
        <f>IF($A268="","",COUNTIF($D268:$R268,"ERROR"))</f>
        <v/>
      </c>
      <c r="T268" s="165" t="str">
        <f>IF($A268="","",COUNTIF($D268:$R268,"WARNING"))</f>
        <v/>
      </c>
      <c r="U268" s="165" t="str">
        <f>IF($A268="","",IF($S268&gt;0,"ERROR",IF($T268&gt;0,"WARNING","PASS")))</f>
        <v/>
      </c>
    </row>
    <row r="269" spans="1:21" x14ac:dyDescent="0.3">
      <c r="A269" t="str">
        <f>IF(AND('Daily Data'!$A269="",'Daily Data'!$B269=""),"",269)</f>
        <v/>
      </c>
      <c r="B269" s="16" t="str">
        <f>IF($A269="","",'Daily Data'!$A269)</f>
        <v/>
      </c>
      <c r="C269" t="str">
        <f>IF($A269="","",'Daily Data'!$B269)</f>
        <v/>
      </c>
      <c r="D269" s="165" t="str">
        <f>IF($A269="","",IF(COUNTIFS('Daily Data'!$B$4:$B$503,'Daily Data'!$B269,'Daily Data'!$A$4:$A$503,'Daily Data'!$A269)&gt;1,"ERROR","OK"))</f>
        <v/>
      </c>
      <c r="E269" s="165" t="str">
        <f>IF($A269="","",IF('Daily Data'!$B269="","ERROR","OK"))</f>
        <v/>
      </c>
      <c r="F269" s="165" t="str">
        <f>IF($A269="","",IF(NOT(ISNUMBER('Daily Data'!$A269)),"ERROR","OK"))</f>
        <v/>
      </c>
      <c r="G269" s="165" t="str">
        <f>IF($A269="","",IF(OR(N('Daily Data'!$E269)&lt;=0,N('Daily Data'!$C269)&lt;0,N('Daily Data'!$D269)&lt;0,N('Daily Data'!$F269)&lt;0,N('Daily Data'!$G269)&lt;0),"ERROR","OK"))</f>
        <v/>
      </c>
      <c r="H269" s="165" t="str">
        <f>IF($A269="","",IF(N('Daily Data'!$K269)&lt;0,"ERROR","OK"))</f>
        <v/>
      </c>
      <c r="I269" s="165" t="str">
        <f>IF($A269="","",IF(N('Daily Data'!$I269)&lt;0,"ERROR","OK"))</f>
        <v/>
      </c>
      <c r="J269" s="165" t="str">
        <f>IF($A269="","",IF(N('Daily Data'!$L269)&lt;0,"ERROR","OK"))</f>
        <v/>
      </c>
      <c r="K269" s="165" t="str">
        <f>IF($A269="","",IF(N('Daily Data'!$M269)&lt;0,"ERROR","OK"))</f>
        <v/>
      </c>
      <c r="L269" s="165" t="str">
        <f>IF($A269="","",IF(OR(N('Daily Data'!$F269)=0,N('Daily Data'!$G269)=0),"OK",IF(OR(N('Daily Data'!$E269)&gt;N('Daily Data'!$F269),N('Daily Data'!$E269)&lt;N('Daily Data'!$G269)),"ERROR","OK")))</f>
        <v/>
      </c>
      <c r="M269" s="165" t="str">
        <f>IF($A269="","",IF(N('Daily Data'!$AK269)&lt;=1,"OK",IF(ROUND(N('Daily Data'!$D269),2)=ROUND(SUMIFS('Daily Data'!$E$4:$E$503,'Daily Data'!$B$4:$B$503,'Daily Data'!$B269,'Daily Data'!$AK$4:$AK$503,'Daily Data'!$AK269-1),2),"OK","WARNING")))</f>
        <v/>
      </c>
      <c r="N269" s="165" t="str">
        <f>IF($A269="","",IF(N('Daily Data'!$N269)&lt;=0,"WARNING","OK"))</f>
        <v/>
      </c>
      <c r="O269" s="165" t="str">
        <f>IF($A269="","",IF(AND(ISNUMBER('Daily Data'!$H269),ABS(N('Daily Data'!$H269))&gt;Settings!$C$56),"WARNING","OK"))</f>
        <v/>
      </c>
      <c r="P269" s="165" t="str">
        <f>IF($A269="","",IF(OR(AND(N('Daily Data'!$K269)=0,N('Daily Data'!$I269)&gt;0),AND(N('Daily Data'!$I269)=0,N('Daily Data'!$K269)&gt;0),AND(N('Daily Data'!$L269)=0,N('Daily Data'!$M269)=0)),"WARNING","OK"))</f>
        <v/>
      </c>
      <c r="Q269" s="165" t="str">
        <f>IF($A269="","",IF(COUNTIFS('Daily Data'!$B$4:$B$503,'Daily Data'!$B269,'Daily Data'!$A$4:$A$503,'Daily Data'!$A269,'Daily Data'!$Q$4:$Q$503,'Daily Data'!$Q269)&gt;1,"WARNING","OK"))</f>
        <v/>
      </c>
      <c r="R269" s="165" t="str">
        <f>IF($A269="","",IF(AND(N('Daily Data'!$K269)&gt;0,N('Daily Data'!$J269)&lt;=0),"WARNING","OK"))</f>
        <v/>
      </c>
      <c r="S269" s="165" t="str">
        <f>IF($A269="","",COUNTIF($D269:$R269,"ERROR"))</f>
        <v/>
      </c>
      <c r="T269" s="165" t="str">
        <f>IF($A269="","",COUNTIF($D269:$R269,"WARNING"))</f>
        <v/>
      </c>
      <c r="U269" s="165" t="str">
        <f>IF($A269="","",IF($S269&gt;0,"ERROR",IF($T269&gt;0,"WARNING","PASS")))</f>
        <v/>
      </c>
    </row>
    <row r="270" spans="1:21" x14ac:dyDescent="0.3">
      <c r="A270" t="str">
        <f>IF(AND('Daily Data'!$A270="",'Daily Data'!$B270=""),"",270)</f>
        <v/>
      </c>
      <c r="B270" s="16" t="str">
        <f>IF($A270="","",'Daily Data'!$A270)</f>
        <v/>
      </c>
      <c r="C270" t="str">
        <f>IF($A270="","",'Daily Data'!$B270)</f>
        <v/>
      </c>
      <c r="D270" s="165" t="str">
        <f>IF($A270="","",IF(COUNTIFS('Daily Data'!$B$4:$B$503,'Daily Data'!$B270,'Daily Data'!$A$4:$A$503,'Daily Data'!$A270)&gt;1,"ERROR","OK"))</f>
        <v/>
      </c>
      <c r="E270" s="165" t="str">
        <f>IF($A270="","",IF('Daily Data'!$B270="","ERROR","OK"))</f>
        <v/>
      </c>
      <c r="F270" s="165" t="str">
        <f>IF($A270="","",IF(NOT(ISNUMBER('Daily Data'!$A270)),"ERROR","OK"))</f>
        <v/>
      </c>
      <c r="G270" s="165" t="str">
        <f>IF($A270="","",IF(OR(N('Daily Data'!$E270)&lt;=0,N('Daily Data'!$C270)&lt;0,N('Daily Data'!$D270)&lt;0,N('Daily Data'!$F270)&lt;0,N('Daily Data'!$G270)&lt;0),"ERROR","OK"))</f>
        <v/>
      </c>
      <c r="H270" s="165" t="str">
        <f>IF($A270="","",IF(N('Daily Data'!$K270)&lt;0,"ERROR","OK"))</f>
        <v/>
      </c>
      <c r="I270" s="165" t="str">
        <f>IF($A270="","",IF(N('Daily Data'!$I270)&lt;0,"ERROR","OK"))</f>
        <v/>
      </c>
      <c r="J270" s="165" t="str">
        <f>IF($A270="","",IF(N('Daily Data'!$L270)&lt;0,"ERROR","OK"))</f>
        <v/>
      </c>
      <c r="K270" s="165" t="str">
        <f>IF($A270="","",IF(N('Daily Data'!$M270)&lt;0,"ERROR","OK"))</f>
        <v/>
      </c>
      <c r="L270" s="165" t="str">
        <f>IF($A270="","",IF(OR(N('Daily Data'!$F270)=0,N('Daily Data'!$G270)=0),"OK",IF(OR(N('Daily Data'!$E270)&gt;N('Daily Data'!$F270),N('Daily Data'!$E270)&lt;N('Daily Data'!$G270)),"ERROR","OK")))</f>
        <v/>
      </c>
      <c r="M270" s="165" t="str">
        <f>IF($A270="","",IF(N('Daily Data'!$AK270)&lt;=1,"OK",IF(ROUND(N('Daily Data'!$D270),2)=ROUND(SUMIFS('Daily Data'!$E$4:$E$503,'Daily Data'!$B$4:$B$503,'Daily Data'!$B270,'Daily Data'!$AK$4:$AK$503,'Daily Data'!$AK270-1),2),"OK","WARNING")))</f>
        <v/>
      </c>
      <c r="N270" s="165" t="str">
        <f>IF($A270="","",IF(N('Daily Data'!$N270)&lt;=0,"WARNING","OK"))</f>
        <v/>
      </c>
      <c r="O270" s="165" t="str">
        <f>IF($A270="","",IF(AND(ISNUMBER('Daily Data'!$H270),ABS(N('Daily Data'!$H270))&gt;Settings!$C$56),"WARNING","OK"))</f>
        <v/>
      </c>
      <c r="P270" s="165" t="str">
        <f>IF($A270="","",IF(OR(AND(N('Daily Data'!$K270)=0,N('Daily Data'!$I270)&gt;0),AND(N('Daily Data'!$I270)=0,N('Daily Data'!$K270)&gt;0),AND(N('Daily Data'!$L270)=0,N('Daily Data'!$M270)=0)),"WARNING","OK"))</f>
        <v/>
      </c>
      <c r="Q270" s="165" t="str">
        <f>IF($A270="","",IF(COUNTIFS('Daily Data'!$B$4:$B$503,'Daily Data'!$B270,'Daily Data'!$A$4:$A$503,'Daily Data'!$A270,'Daily Data'!$Q$4:$Q$503,'Daily Data'!$Q270)&gt;1,"WARNING","OK"))</f>
        <v/>
      </c>
      <c r="R270" s="165" t="str">
        <f>IF($A270="","",IF(AND(N('Daily Data'!$K270)&gt;0,N('Daily Data'!$J270)&lt;=0),"WARNING","OK"))</f>
        <v/>
      </c>
      <c r="S270" s="165" t="str">
        <f>IF($A270="","",COUNTIF($D270:$R270,"ERROR"))</f>
        <v/>
      </c>
      <c r="T270" s="165" t="str">
        <f>IF($A270="","",COUNTIF($D270:$R270,"WARNING"))</f>
        <v/>
      </c>
      <c r="U270" s="165" t="str">
        <f>IF($A270="","",IF($S270&gt;0,"ERROR",IF($T270&gt;0,"WARNING","PASS")))</f>
        <v/>
      </c>
    </row>
    <row r="271" spans="1:21" x14ac:dyDescent="0.3">
      <c r="A271" t="str">
        <f>IF(AND('Daily Data'!$A271="",'Daily Data'!$B271=""),"",271)</f>
        <v/>
      </c>
      <c r="B271" s="16" t="str">
        <f>IF($A271="","",'Daily Data'!$A271)</f>
        <v/>
      </c>
      <c r="C271" t="str">
        <f>IF($A271="","",'Daily Data'!$B271)</f>
        <v/>
      </c>
      <c r="D271" s="165" t="str">
        <f>IF($A271="","",IF(COUNTIFS('Daily Data'!$B$4:$B$503,'Daily Data'!$B271,'Daily Data'!$A$4:$A$503,'Daily Data'!$A271)&gt;1,"ERROR","OK"))</f>
        <v/>
      </c>
      <c r="E271" s="165" t="str">
        <f>IF($A271="","",IF('Daily Data'!$B271="","ERROR","OK"))</f>
        <v/>
      </c>
      <c r="F271" s="165" t="str">
        <f>IF($A271="","",IF(NOT(ISNUMBER('Daily Data'!$A271)),"ERROR","OK"))</f>
        <v/>
      </c>
      <c r="G271" s="165" t="str">
        <f>IF($A271="","",IF(OR(N('Daily Data'!$E271)&lt;=0,N('Daily Data'!$C271)&lt;0,N('Daily Data'!$D271)&lt;0,N('Daily Data'!$F271)&lt;0,N('Daily Data'!$G271)&lt;0),"ERROR","OK"))</f>
        <v/>
      </c>
      <c r="H271" s="165" t="str">
        <f>IF($A271="","",IF(N('Daily Data'!$K271)&lt;0,"ERROR","OK"))</f>
        <v/>
      </c>
      <c r="I271" s="165" t="str">
        <f>IF($A271="","",IF(N('Daily Data'!$I271)&lt;0,"ERROR","OK"))</f>
        <v/>
      </c>
      <c r="J271" s="165" t="str">
        <f>IF($A271="","",IF(N('Daily Data'!$L271)&lt;0,"ERROR","OK"))</f>
        <v/>
      </c>
      <c r="K271" s="165" t="str">
        <f>IF($A271="","",IF(N('Daily Data'!$M271)&lt;0,"ERROR","OK"))</f>
        <v/>
      </c>
      <c r="L271" s="165" t="str">
        <f>IF($A271="","",IF(OR(N('Daily Data'!$F271)=0,N('Daily Data'!$G271)=0),"OK",IF(OR(N('Daily Data'!$E271)&gt;N('Daily Data'!$F271),N('Daily Data'!$E271)&lt;N('Daily Data'!$G271)),"ERROR","OK")))</f>
        <v/>
      </c>
      <c r="M271" s="165" t="str">
        <f>IF($A271="","",IF(N('Daily Data'!$AK271)&lt;=1,"OK",IF(ROUND(N('Daily Data'!$D271),2)=ROUND(SUMIFS('Daily Data'!$E$4:$E$503,'Daily Data'!$B$4:$B$503,'Daily Data'!$B271,'Daily Data'!$AK$4:$AK$503,'Daily Data'!$AK271-1),2),"OK","WARNING")))</f>
        <v/>
      </c>
      <c r="N271" s="165" t="str">
        <f>IF($A271="","",IF(N('Daily Data'!$N271)&lt;=0,"WARNING","OK"))</f>
        <v/>
      </c>
      <c r="O271" s="165" t="str">
        <f>IF($A271="","",IF(AND(ISNUMBER('Daily Data'!$H271),ABS(N('Daily Data'!$H271))&gt;Settings!$C$56),"WARNING","OK"))</f>
        <v/>
      </c>
      <c r="P271" s="165" t="str">
        <f>IF($A271="","",IF(OR(AND(N('Daily Data'!$K271)=0,N('Daily Data'!$I271)&gt;0),AND(N('Daily Data'!$I271)=0,N('Daily Data'!$K271)&gt;0),AND(N('Daily Data'!$L271)=0,N('Daily Data'!$M271)=0)),"WARNING","OK"))</f>
        <v/>
      </c>
      <c r="Q271" s="165" t="str">
        <f>IF($A271="","",IF(COUNTIFS('Daily Data'!$B$4:$B$503,'Daily Data'!$B271,'Daily Data'!$A$4:$A$503,'Daily Data'!$A271,'Daily Data'!$Q$4:$Q$503,'Daily Data'!$Q271)&gt;1,"WARNING","OK"))</f>
        <v/>
      </c>
      <c r="R271" s="165" t="str">
        <f>IF($A271="","",IF(AND(N('Daily Data'!$K271)&gt;0,N('Daily Data'!$J271)&lt;=0),"WARNING","OK"))</f>
        <v/>
      </c>
      <c r="S271" s="165" t="str">
        <f>IF($A271="","",COUNTIF($D271:$R271,"ERROR"))</f>
        <v/>
      </c>
      <c r="T271" s="165" t="str">
        <f>IF($A271="","",COUNTIF($D271:$R271,"WARNING"))</f>
        <v/>
      </c>
      <c r="U271" s="165" t="str">
        <f>IF($A271="","",IF($S271&gt;0,"ERROR",IF($T271&gt;0,"WARNING","PASS")))</f>
        <v/>
      </c>
    </row>
    <row r="272" spans="1:21" x14ac:dyDescent="0.3">
      <c r="A272" t="str">
        <f>IF(AND('Daily Data'!$A272="",'Daily Data'!$B272=""),"",272)</f>
        <v/>
      </c>
      <c r="B272" s="16" t="str">
        <f>IF($A272="","",'Daily Data'!$A272)</f>
        <v/>
      </c>
      <c r="C272" t="str">
        <f>IF($A272="","",'Daily Data'!$B272)</f>
        <v/>
      </c>
      <c r="D272" s="165" t="str">
        <f>IF($A272="","",IF(COUNTIFS('Daily Data'!$B$4:$B$503,'Daily Data'!$B272,'Daily Data'!$A$4:$A$503,'Daily Data'!$A272)&gt;1,"ERROR","OK"))</f>
        <v/>
      </c>
      <c r="E272" s="165" t="str">
        <f>IF($A272="","",IF('Daily Data'!$B272="","ERROR","OK"))</f>
        <v/>
      </c>
      <c r="F272" s="165" t="str">
        <f>IF($A272="","",IF(NOT(ISNUMBER('Daily Data'!$A272)),"ERROR","OK"))</f>
        <v/>
      </c>
      <c r="G272" s="165" t="str">
        <f>IF($A272="","",IF(OR(N('Daily Data'!$E272)&lt;=0,N('Daily Data'!$C272)&lt;0,N('Daily Data'!$D272)&lt;0,N('Daily Data'!$F272)&lt;0,N('Daily Data'!$G272)&lt;0),"ERROR","OK"))</f>
        <v/>
      </c>
      <c r="H272" s="165" t="str">
        <f>IF($A272="","",IF(N('Daily Data'!$K272)&lt;0,"ERROR","OK"))</f>
        <v/>
      </c>
      <c r="I272" s="165" t="str">
        <f>IF($A272="","",IF(N('Daily Data'!$I272)&lt;0,"ERROR","OK"))</f>
        <v/>
      </c>
      <c r="J272" s="165" t="str">
        <f>IF($A272="","",IF(N('Daily Data'!$L272)&lt;0,"ERROR","OK"))</f>
        <v/>
      </c>
      <c r="K272" s="165" t="str">
        <f>IF($A272="","",IF(N('Daily Data'!$M272)&lt;0,"ERROR","OK"))</f>
        <v/>
      </c>
      <c r="L272" s="165" t="str">
        <f>IF($A272="","",IF(OR(N('Daily Data'!$F272)=0,N('Daily Data'!$G272)=0),"OK",IF(OR(N('Daily Data'!$E272)&gt;N('Daily Data'!$F272),N('Daily Data'!$E272)&lt;N('Daily Data'!$G272)),"ERROR","OK")))</f>
        <v/>
      </c>
      <c r="M272" s="165" t="str">
        <f>IF($A272="","",IF(N('Daily Data'!$AK272)&lt;=1,"OK",IF(ROUND(N('Daily Data'!$D272),2)=ROUND(SUMIFS('Daily Data'!$E$4:$E$503,'Daily Data'!$B$4:$B$503,'Daily Data'!$B272,'Daily Data'!$AK$4:$AK$503,'Daily Data'!$AK272-1),2),"OK","WARNING")))</f>
        <v/>
      </c>
      <c r="N272" s="165" t="str">
        <f>IF($A272="","",IF(N('Daily Data'!$N272)&lt;=0,"WARNING","OK"))</f>
        <v/>
      </c>
      <c r="O272" s="165" t="str">
        <f>IF($A272="","",IF(AND(ISNUMBER('Daily Data'!$H272),ABS(N('Daily Data'!$H272))&gt;Settings!$C$56),"WARNING","OK"))</f>
        <v/>
      </c>
      <c r="P272" s="165" t="str">
        <f>IF($A272="","",IF(OR(AND(N('Daily Data'!$K272)=0,N('Daily Data'!$I272)&gt;0),AND(N('Daily Data'!$I272)=0,N('Daily Data'!$K272)&gt;0),AND(N('Daily Data'!$L272)=0,N('Daily Data'!$M272)=0)),"WARNING","OK"))</f>
        <v/>
      </c>
      <c r="Q272" s="165" t="str">
        <f>IF($A272="","",IF(COUNTIFS('Daily Data'!$B$4:$B$503,'Daily Data'!$B272,'Daily Data'!$A$4:$A$503,'Daily Data'!$A272,'Daily Data'!$Q$4:$Q$503,'Daily Data'!$Q272)&gt;1,"WARNING","OK"))</f>
        <v/>
      </c>
      <c r="R272" s="165" t="str">
        <f>IF($A272="","",IF(AND(N('Daily Data'!$K272)&gt;0,N('Daily Data'!$J272)&lt;=0),"WARNING","OK"))</f>
        <v/>
      </c>
      <c r="S272" s="165" t="str">
        <f>IF($A272="","",COUNTIF($D272:$R272,"ERROR"))</f>
        <v/>
      </c>
      <c r="T272" s="165" t="str">
        <f>IF($A272="","",COUNTIF($D272:$R272,"WARNING"))</f>
        <v/>
      </c>
      <c r="U272" s="165" t="str">
        <f>IF($A272="","",IF($S272&gt;0,"ERROR",IF($T272&gt;0,"WARNING","PASS")))</f>
        <v/>
      </c>
    </row>
    <row r="273" spans="1:21" x14ac:dyDescent="0.3">
      <c r="A273" t="str">
        <f>IF(AND('Daily Data'!$A273="",'Daily Data'!$B273=""),"",273)</f>
        <v/>
      </c>
      <c r="B273" s="16" t="str">
        <f>IF($A273="","",'Daily Data'!$A273)</f>
        <v/>
      </c>
      <c r="C273" t="str">
        <f>IF($A273="","",'Daily Data'!$B273)</f>
        <v/>
      </c>
      <c r="D273" s="165" t="str">
        <f>IF($A273="","",IF(COUNTIFS('Daily Data'!$B$4:$B$503,'Daily Data'!$B273,'Daily Data'!$A$4:$A$503,'Daily Data'!$A273)&gt;1,"ERROR","OK"))</f>
        <v/>
      </c>
      <c r="E273" s="165" t="str">
        <f>IF($A273="","",IF('Daily Data'!$B273="","ERROR","OK"))</f>
        <v/>
      </c>
      <c r="F273" s="165" t="str">
        <f>IF($A273="","",IF(NOT(ISNUMBER('Daily Data'!$A273)),"ERROR","OK"))</f>
        <v/>
      </c>
      <c r="G273" s="165" t="str">
        <f>IF($A273="","",IF(OR(N('Daily Data'!$E273)&lt;=0,N('Daily Data'!$C273)&lt;0,N('Daily Data'!$D273)&lt;0,N('Daily Data'!$F273)&lt;0,N('Daily Data'!$G273)&lt;0),"ERROR","OK"))</f>
        <v/>
      </c>
      <c r="H273" s="165" t="str">
        <f>IF($A273="","",IF(N('Daily Data'!$K273)&lt;0,"ERROR","OK"))</f>
        <v/>
      </c>
      <c r="I273" s="165" t="str">
        <f>IF($A273="","",IF(N('Daily Data'!$I273)&lt;0,"ERROR","OK"))</f>
        <v/>
      </c>
      <c r="J273" s="165" t="str">
        <f>IF($A273="","",IF(N('Daily Data'!$L273)&lt;0,"ERROR","OK"))</f>
        <v/>
      </c>
      <c r="K273" s="165" t="str">
        <f>IF($A273="","",IF(N('Daily Data'!$M273)&lt;0,"ERROR","OK"))</f>
        <v/>
      </c>
      <c r="L273" s="165" t="str">
        <f>IF($A273="","",IF(OR(N('Daily Data'!$F273)=0,N('Daily Data'!$G273)=0),"OK",IF(OR(N('Daily Data'!$E273)&gt;N('Daily Data'!$F273),N('Daily Data'!$E273)&lt;N('Daily Data'!$G273)),"ERROR","OK")))</f>
        <v/>
      </c>
      <c r="M273" s="165" t="str">
        <f>IF($A273="","",IF(N('Daily Data'!$AK273)&lt;=1,"OK",IF(ROUND(N('Daily Data'!$D273),2)=ROUND(SUMIFS('Daily Data'!$E$4:$E$503,'Daily Data'!$B$4:$B$503,'Daily Data'!$B273,'Daily Data'!$AK$4:$AK$503,'Daily Data'!$AK273-1),2),"OK","WARNING")))</f>
        <v/>
      </c>
      <c r="N273" s="165" t="str">
        <f>IF($A273="","",IF(N('Daily Data'!$N273)&lt;=0,"WARNING","OK"))</f>
        <v/>
      </c>
      <c r="O273" s="165" t="str">
        <f>IF($A273="","",IF(AND(ISNUMBER('Daily Data'!$H273),ABS(N('Daily Data'!$H273))&gt;Settings!$C$56),"WARNING","OK"))</f>
        <v/>
      </c>
      <c r="P273" s="165" t="str">
        <f>IF($A273="","",IF(OR(AND(N('Daily Data'!$K273)=0,N('Daily Data'!$I273)&gt;0),AND(N('Daily Data'!$I273)=0,N('Daily Data'!$K273)&gt;0),AND(N('Daily Data'!$L273)=0,N('Daily Data'!$M273)=0)),"WARNING","OK"))</f>
        <v/>
      </c>
      <c r="Q273" s="165" t="str">
        <f>IF($A273="","",IF(COUNTIFS('Daily Data'!$B$4:$B$503,'Daily Data'!$B273,'Daily Data'!$A$4:$A$503,'Daily Data'!$A273,'Daily Data'!$Q$4:$Q$503,'Daily Data'!$Q273)&gt;1,"WARNING","OK"))</f>
        <v/>
      </c>
      <c r="R273" s="165" t="str">
        <f>IF($A273="","",IF(AND(N('Daily Data'!$K273)&gt;0,N('Daily Data'!$J273)&lt;=0),"WARNING","OK"))</f>
        <v/>
      </c>
      <c r="S273" s="165" t="str">
        <f>IF($A273="","",COUNTIF($D273:$R273,"ERROR"))</f>
        <v/>
      </c>
      <c r="T273" s="165" t="str">
        <f>IF($A273="","",COUNTIF($D273:$R273,"WARNING"))</f>
        <v/>
      </c>
      <c r="U273" s="165" t="str">
        <f>IF($A273="","",IF($S273&gt;0,"ERROR",IF($T273&gt;0,"WARNING","PASS")))</f>
        <v/>
      </c>
    </row>
    <row r="274" spans="1:21" x14ac:dyDescent="0.3">
      <c r="A274" t="str">
        <f>IF(AND('Daily Data'!$A274="",'Daily Data'!$B274=""),"",274)</f>
        <v/>
      </c>
      <c r="B274" s="16" t="str">
        <f>IF($A274="","",'Daily Data'!$A274)</f>
        <v/>
      </c>
      <c r="C274" t="str">
        <f>IF($A274="","",'Daily Data'!$B274)</f>
        <v/>
      </c>
      <c r="D274" s="165" t="str">
        <f>IF($A274="","",IF(COUNTIFS('Daily Data'!$B$4:$B$503,'Daily Data'!$B274,'Daily Data'!$A$4:$A$503,'Daily Data'!$A274)&gt;1,"ERROR","OK"))</f>
        <v/>
      </c>
      <c r="E274" s="165" t="str">
        <f>IF($A274="","",IF('Daily Data'!$B274="","ERROR","OK"))</f>
        <v/>
      </c>
      <c r="F274" s="165" t="str">
        <f>IF($A274="","",IF(NOT(ISNUMBER('Daily Data'!$A274)),"ERROR","OK"))</f>
        <v/>
      </c>
      <c r="G274" s="165" t="str">
        <f>IF($A274="","",IF(OR(N('Daily Data'!$E274)&lt;=0,N('Daily Data'!$C274)&lt;0,N('Daily Data'!$D274)&lt;0,N('Daily Data'!$F274)&lt;0,N('Daily Data'!$G274)&lt;0),"ERROR","OK"))</f>
        <v/>
      </c>
      <c r="H274" s="165" t="str">
        <f>IF($A274="","",IF(N('Daily Data'!$K274)&lt;0,"ERROR","OK"))</f>
        <v/>
      </c>
      <c r="I274" s="165" t="str">
        <f>IF($A274="","",IF(N('Daily Data'!$I274)&lt;0,"ERROR","OK"))</f>
        <v/>
      </c>
      <c r="J274" s="165" t="str">
        <f>IF($A274="","",IF(N('Daily Data'!$L274)&lt;0,"ERROR","OK"))</f>
        <v/>
      </c>
      <c r="K274" s="165" t="str">
        <f>IF($A274="","",IF(N('Daily Data'!$M274)&lt;0,"ERROR","OK"))</f>
        <v/>
      </c>
      <c r="L274" s="165" t="str">
        <f>IF($A274="","",IF(OR(N('Daily Data'!$F274)=0,N('Daily Data'!$G274)=0),"OK",IF(OR(N('Daily Data'!$E274)&gt;N('Daily Data'!$F274),N('Daily Data'!$E274)&lt;N('Daily Data'!$G274)),"ERROR","OK")))</f>
        <v/>
      </c>
      <c r="M274" s="165" t="str">
        <f>IF($A274="","",IF(N('Daily Data'!$AK274)&lt;=1,"OK",IF(ROUND(N('Daily Data'!$D274),2)=ROUND(SUMIFS('Daily Data'!$E$4:$E$503,'Daily Data'!$B$4:$B$503,'Daily Data'!$B274,'Daily Data'!$AK$4:$AK$503,'Daily Data'!$AK274-1),2),"OK","WARNING")))</f>
        <v/>
      </c>
      <c r="N274" s="165" t="str">
        <f>IF($A274="","",IF(N('Daily Data'!$N274)&lt;=0,"WARNING","OK"))</f>
        <v/>
      </c>
      <c r="O274" s="165" t="str">
        <f>IF($A274="","",IF(AND(ISNUMBER('Daily Data'!$H274),ABS(N('Daily Data'!$H274))&gt;Settings!$C$56),"WARNING","OK"))</f>
        <v/>
      </c>
      <c r="P274" s="165" t="str">
        <f>IF($A274="","",IF(OR(AND(N('Daily Data'!$K274)=0,N('Daily Data'!$I274)&gt;0),AND(N('Daily Data'!$I274)=0,N('Daily Data'!$K274)&gt;0),AND(N('Daily Data'!$L274)=0,N('Daily Data'!$M274)=0)),"WARNING","OK"))</f>
        <v/>
      </c>
      <c r="Q274" s="165" t="str">
        <f>IF($A274="","",IF(COUNTIFS('Daily Data'!$B$4:$B$503,'Daily Data'!$B274,'Daily Data'!$A$4:$A$503,'Daily Data'!$A274,'Daily Data'!$Q$4:$Q$503,'Daily Data'!$Q274)&gt;1,"WARNING","OK"))</f>
        <v/>
      </c>
      <c r="R274" s="165" t="str">
        <f>IF($A274="","",IF(AND(N('Daily Data'!$K274)&gt;0,N('Daily Data'!$J274)&lt;=0),"WARNING","OK"))</f>
        <v/>
      </c>
      <c r="S274" s="165" t="str">
        <f>IF($A274="","",COUNTIF($D274:$R274,"ERROR"))</f>
        <v/>
      </c>
      <c r="T274" s="165" t="str">
        <f>IF($A274="","",COUNTIF($D274:$R274,"WARNING"))</f>
        <v/>
      </c>
      <c r="U274" s="165" t="str">
        <f>IF($A274="","",IF($S274&gt;0,"ERROR",IF($T274&gt;0,"WARNING","PASS")))</f>
        <v/>
      </c>
    </row>
    <row r="275" spans="1:21" x14ac:dyDescent="0.3">
      <c r="A275" t="str">
        <f>IF(AND('Daily Data'!$A275="",'Daily Data'!$B275=""),"",275)</f>
        <v/>
      </c>
      <c r="B275" s="16" t="str">
        <f>IF($A275="","",'Daily Data'!$A275)</f>
        <v/>
      </c>
      <c r="C275" t="str">
        <f>IF($A275="","",'Daily Data'!$B275)</f>
        <v/>
      </c>
      <c r="D275" s="165" t="str">
        <f>IF($A275="","",IF(COUNTIFS('Daily Data'!$B$4:$B$503,'Daily Data'!$B275,'Daily Data'!$A$4:$A$503,'Daily Data'!$A275)&gt;1,"ERROR","OK"))</f>
        <v/>
      </c>
      <c r="E275" s="165" t="str">
        <f>IF($A275="","",IF('Daily Data'!$B275="","ERROR","OK"))</f>
        <v/>
      </c>
      <c r="F275" s="165" t="str">
        <f>IF($A275="","",IF(NOT(ISNUMBER('Daily Data'!$A275)),"ERROR","OK"))</f>
        <v/>
      </c>
      <c r="G275" s="165" t="str">
        <f>IF($A275="","",IF(OR(N('Daily Data'!$E275)&lt;=0,N('Daily Data'!$C275)&lt;0,N('Daily Data'!$D275)&lt;0,N('Daily Data'!$F275)&lt;0,N('Daily Data'!$G275)&lt;0),"ERROR","OK"))</f>
        <v/>
      </c>
      <c r="H275" s="165" t="str">
        <f>IF($A275="","",IF(N('Daily Data'!$K275)&lt;0,"ERROR","OK"))</f>
        <v/>
      </c>
      <c r="I275" s="165" t="str">
        <f>IF($A275="","",IF(N('Daily Data'!$I275)&lt;0,"ERROR","OK"))</f>
        <v/>
      </c>
      <c r="J275" s="165" t="str">
        <f>IF($A275="","",IF(N('Daily Data'!$L275)&lt;0,"ERROR","OK"))</f>
        <v/>
      </c>
      <c r="K275" s="165" t="str">
        <f>IF($A275="","",IF(N('Daily Data'!$M275)&lt;0,"ERROR","OK"))</f>
        <v/>
      </c>
      <c r="L275" s="165" t="str">
        <f>IF($A275="","",IF(OR(N('Daily Data'!$F275)=0,N('Daily Data'!$G275)=0),"OK",IF(OR(N('Daily Data'!$E275)&gt;N('Daily Data'!$F275),N('Daily Data'!$E275)&lt;N('Daily Data'!$G275)),"ERROR","OK")))</f>
        <v/>
      </c>
      <c r="M275" s="165" t="str">
        <f>IF($A275="","",IF(N('Daily Data'!$AK275)&lt;=1,"OK",IF(ROUND(N('Daily Data'!$D275),2)=ROUND(SUMIFS('Daily Data'!$E$4:$E$503,'Daily Data'!$B$4:$B$503,'Daily Data'!$B275,'Daily Data'!$AK$4:$AK$503,'Daily Data'!$AK275-1),2),"OK","WARNING")))</f>
        <v/>
      </c>
      <c r="N275" s="165" t="str">
        <f>IF($A275="","",IF(N('Daily Data'!$N275)&lt;=0,"WARNING","OK"))</f>
        <v/>
      </c>
      <c r="O275" s="165" t="str">
        <f>IF($A275="","",IF(AND(ISNUMBER('Daily Data'!$H275),ABS(N('Daily Data'!$H275))&gt;Settings!$C$56),"WARNING","OK"))</f>
        <v/>
      </c>
      <c r="P275" s="165" t="str">
        <f>IF($A275="","",IF(OR(AND(N('Daily Data'!$K275)=0,N('Daily Data'!$I275)&gt;0),AND(N('Daily Data'!$I275)=0,N('Daily Data'!$K275)&gt;0),AND(N('Daily Data'!$L275)=0,N('Daily Data'!$M275)=0)),"WARNING","OK"))</f>
        <v/>
      </c>
      <c r="Q275" s="165" t="str">
        <f>IF($A275="","",IF(COUNTIFS('Daily Data'!$B$4:$B$503,'Daily Data'!$B275,'Daily Data'!$A$4:$A$503,'Daily Data'!$A275,'Daily Data'!$Q$4:$Q$503,'Daily Data'!$Q275)&gt;1,"WARNING","OK"))</f>
        <v/>
      </c>
      <c r="R275" s="165" t="str">
        <f>IF($A275="","",IF(AND(N('Daily Data'!$K275)&gt;0,N('Daily Data'!$J275)&lt;=0),"WARNING","OK"))</f>
        <v/>
      </c>
      <c r="S275" s="165" t="str">
        <f>IF($A275="","",COUNTIF($D275:$R275,"ERROR"))</f>
        <v/>
      </c>
      <c r="T275" s="165" t="str">
        <f>IF($A275="","",COUNTIF($D275:$R275,"WARNING"))</f>
        <v/>
      </c>
      <c r="U275" s="165" t="str">
        <f>IF($A275="","",IF($S275&gt;0,"ERROR",IF($T275&gt;0,"WARNING","PASS")))</f>
        <v/>
      </c>
    </row>
    <row r="276" spans="1:21" x14ac:dyDescent="0.3">
      <c r="A276" t="str">
        <f>IF(AND('Daily Data'!$A276="",'Daily Data'!$B276=""),"",276)</f>
        <v/>
      </c>
      <c r="B276" s="16" t="str">
        <f>IF($A276="","",'Daily Data'!$A276)</f>
        <v/>
      </c>
      <c r="C276" t="str">
        <f>IF($A276="","",'Daily Data'!$B276)</f>
        <v/>
      </c>
      <c r="D276" s="165" t="str">
        <f>IF($A276="","",IF(COUNTIFS('Daily Data'!$B$4:$B$503,'Daily Data'!$B276,'Daily Data'!$A$4:$A$503,'Daily Data'!$A276)&gt;1,"ERROR","OK"))</f>
        <v/>
      </c>
      <c r="E276" s="165" t="str">
        <f>IF($A276="","",IF('Daily Data'!$B276="","ERROR","OK"))</f>
        <v/>
      </c>
      <c r="F276" s="165" t="str">
        <f>IF($A276="","",IF(NOT(ISNUMBER('Daily Data'!$A276)),"ERROR","OK"))</f>
        <v/>
      </c>
      <c r="G276" s="165" t="str">
        <f>IF($A276="","",IF(OR(N('Daily Data'!$E276)&lt;=0,N('Daily Data'!$C276)&lt;0,N('Daily Data'!$D276)&lt;0,N('Daily Data'!$F276)&lt;0,N('Daily Data'!$G276)&lt;0),"ERROR","OK"))</f>
        <v/>
      </c>
      <c r="H276" s="165" t="str">
        <f>IF($A276="","",IF(N('Daily Data'!$K276)&lt;0,"ERROR","OK"))</f>
        <v/>
      </c>
      <c r="I276" s="165" t="str">
        <f>IF($A276="","",IF(N('Daily Data'!$I276)&lt;0,"ERROR","OK"))</f>
        <v/>
      </c>
      <c r="J276" s="165" t="str">
        <f>IF($A276="","",IF(N('Daily Data'!$L276)&lt;0,"ERROR","OK"))</f>
        <v/>
      </c>
      <c r="K276" s="165" t="str">
        <f>IF($A276="","",IF(N('Daily Data'!$M276)&lt;0,"ERROR","OK"))</f>
        <v/>
      </c>
      <c r="L276" s="165" t="str">
        <f>IF($A276="","",IF(OR(N('Daily Data'!$F276)=0,N('Daily Data'!$G276)=0),"OK",IF(OR(N('Daily Data'!$E276)&gt;N('Daily Data'!$F276),N('Daily Data'!$E276)&lt;N('Daily Data'!$G276)),"ERROR","OK")))</f>
        <v/>
      </c>
      <c r="M276" s="165" t="str">
        <f>IF($A276="","",IF(N('Daily Data'!$AK276)&lt;=1,"OK",IF(ROUND(N('Daily Data'!$D276),2)=ROUND(SUMIFS('Daily Data'!$E$4:$E$503,'Daily Data'!$B$4:$B$503,'Daily Data'!$B276,'Daily Data'!$AK$4:$AK$503,'Daily Data'!$AK276-1),2),"OK","WARNING")))</f>
        <v/>
      </c>
      <c r="N276" s="165" t="str">
        <f>IF($A276="","",IF(N('Daily Data'!$N276)&lt;=0,"WARNING","OK"))</f>
        <v/>
      </c>
      <c r="O276" s="165" t="str">
        <f>IF($A276="","",IF(AND(ISNUMBER('Daily Data'!$H276),ABS(N('Daily Data'!$H276))&gt;Settings!$C$56),"WARNING","OK"))</f>
        <v/>
      </c>
      <c r="P276" s="165" t="str">
        <f>IF($A276="","",IF(OR(AND(N('Daily Data'!$K276)=0,N('Daily Data'!$I276)&gt;0),AND(N('Daily Data'!$I276)=0,N('Daily Data'!$K276)&gt;0),AND(N('Daily Data'!$L276)=0,N('Daily Data'!$M276)=0)),"WARNING","OK"))</f>
        <v/>
      </c>
      <c r="Q276" s="165" t="str">
        <f>IF($A276="","",IF(COUNTIFS('Daily Data'!$B$4:$B$503,'Daily Data'!$B276,'Daily Data'!$A$4:$A$503,'Daily Data'!$A276,'Daily Data'!$Q$4:$Q$503,'Daily Data'!$Q276)&gt;1,"WARNING","OK"))</f>
        <v/>
      </c>
      <c r="R276" s="165" t="str">
        <f>IF($A276="","",IF(AND(N('Daily Data'!$K276)&gt;0,N('Daily Data'!$J276)&lt;=0),"WARNING","OK"))</f>
        <v/>
      </c>
      <c r="S276" s="165" t="str">
        <f>IF($A276="","",COUNTIF($D276:$R276,"ERROR"))</f>
        <v/>
      </c>
      <c r="T276" s="165" t="str">
        <f>IF($A276="","",COUNTIF($D276:$R276,"WARNING"))</f>
        <v/>
      </c>
      <c r="U276" s="165" t="str">
        <f>IF($A276="","",IF($S276&gt;0,"ERROR",IF($T276&gt;0,"WARNING","PASS")))</f>
        <v/>
      </c>
    </row>
    <row r="277" spans="1:21" x14ac:dyDescent="0.3">
      <c r="A277" t="str">
        <f>IF(AND('Daily Data'!$A277="",'Daily Data'!$B277=""),"",277)</f>
        <v/>
      </c>
      <c r="B277" s="16" t="str">
        <f>IF($A277="","",'Daily Data'!$A277)</f>
        <v/>
      </c>
      <c r="C277" t="str">
        <f>IF($A277="","",'Daily Data'!$B277)</f>
        <v/>
      </c>
      <c r="D277" s="165" t="str">
        <f>IF($A277="","",IF(COUNTIFS('Daily Data'!$B$4:$B$503,'Daily Data'!$B277,'Daily Data'!$A$4:$A$503,'Daily Data'!$A277)&gt;1,"ERROR","OK"))</f>
        <v/>
      </c>
      <c r="E277" s="165" t="str">
        <f>IF($A277="","",IF('Daily Data'!$B277="","ERROR","OK"))</f>
        <v/>
      </c>
      <c r="F277" s="165" t="str">
        <f>IF($A277="","",IF(NOT(ISNUMBER('Daily Data'!$A277)),"ERROR","OK"))</f>
        <v/>
      </c>
      <c r="G277" s="165" t="str">
        <f>IF($A277="","",IF(OR(N('Daily Data'!$E277)&lt;=0,N('Daily Data'!$C277)&lt;0,N('Daily Data'!$D277)&lt;0,N('Daily Data'!$F277)&lt;0,N('Daily Data'!$G277)&lt;0),"ERROR","OK"))</f>
        <v/>
      </c>
      <c r="H277" s="165" t="str">
        <f>IF($A277="","",IF(N('Daily Data'!$K277)&lt;0,"ERROR","OK"))</f>
        <v/>
      </c>
      <c r="I277" s="165" t="str">
        <f>IF($A277="","",IF(N('Daily Data'!$I277)&lt;0,"ERROR","OK"))</f>
        <v/>
      </c>
      <c r="J277" s="165" t="str">
        <f>IF($A277="","",IF(N('Daily Data'!$L277)&lt;0,"ERROR","OK"))</f>
        <v/>
      </c>
      <c r="K277" s="165" t="str">
        <f>IF($A277="","",IF(N('Daily Data'!$M277)&lt;0,"ERROR","OK"))</f>
        <v/>
      </c>
      <c r="L277" s="165" t="str">
        <f>IF($A277="","",IF(OR(N('Daily Data'!$F277)=0,N('Daily Data'!$G277)=0),"OK",IF(OR(N('Daily Data'!$E277)&gt;N('Daily Data'!$F277),N('Daily Data'!$E277)&lt;N('Daily Data'!$G277)),"ERROR","OK")))</f>
        <v/>
      </c>
      <c r="M277" s="165" t="str">
        <f>IF($A277="","",IF(N('Daily Data'!$AK277)&lt;=1,"OK",IF(ROUND(N('Daily Data'!$D277),2)=ROUND(SUMIFS('Daily Data'!$E$4:$E$503,'Daily Data'!$B$4:$B$503,'Daily Data'!$B277,'Daily Data'!$AK$4:$AK$503,'Daily Data'!$AK277-1),2),"OK","WARNING")))</f>
        <v/>
      </c>
      <c r="N277" s="165" t="str">
        <f>IF($A277="","",IF(N('Daily Data'!$N277)&lt;=0,"WARNING","OK"))</f>
        <v/>
      </c>
      <c r="O277" s="165" t="str">
        <f>IF($A277="","",IF(AND(ISNUMBER('Daily Data'!$H277),ABS(N('Daily Data'!$H277))&gt;Settings!$C$56),"WARNING","OK"))</f>
        <v/>
      </c>
      <c r="P277" s="165" t="str">
        <f>IF($A277="","",IF(OR(AND(N('Daily Data'!$K277)=0,N('Daily Data'!$I277)&gt;0),AND(N('Daily Data'!$I277)=0,N('Daily Data'!$K277)&gt;0),AND(N('Daily Data'!$L277)=0,N('Daily Data'!$M277)=0)),"WARNING","OK"))</f>
        <v/>
      </c>
      <c r="Q277" s="165" t="str">
        <f>IF($A277="","",IF(COUNTIFS('Daily Data'!$B$4:$B$503,'Daily Data'!$B277,'Daily Data'!$A$4:$A$503,'Daily Data'!$A277,'Daily Data'!$Q$4:$Q$503,'Daily Data'!$Q277)&gt;1,"WARNING","OK"))</f>
        <v/>
      </c>
      <c r="R277" s="165" t="str">
        <f>IF($A277="","",IF(AND(N('Daily Data'!$K277)&gt;0,N('Daily Data'!$J277)&lt;=0),"WARNING","OK"))</f>
        <v/>
      </c>
      <c r="S277" s="165" t="str">
        <f>IF($A277="","",COUNTIF($D277:$R277,"ERROR"))</f>
        <v/>
      </c>
      <c r="T277" s="165" t="str">
        <f>IF($A277="","",COUNTIF($D277:$R277,"WARNING"))</f>
        <v/>
      </c>
      <c r="U277" s="165" t="str">
        <f>IF($A277="","",IF($S277&gt;0,"ERROR",IF($T277&gt;0,"WARNING","PASS")))</f>
        <v/>
      </c>
    </row>
    <row r="278" spans="1:21" x14ac:dyDescent="0.3">
      <c r="A278" t="str">
        <f>IF(AND('Daily Data'!$A278="",'Daily Data'!$B278=""),"",278)</f>
        <v/>
      </c>
      <c r="B278" s="16" t="str">
        <f>IF($A278="","",'Daily Data'!$A278)</f>
        <v/>
      </c>
      <c r="C278" t="str">
        <f>IF($A278="","",'Daily Data'!$B278)</f>
        <v/>
      </c>
      <c r="D278" s="165" t="str">
        <f>IF($A278="","",IF(COUNTIFS('Daily Data'!$B$4:$B$503,'Daily Data'!$B278,'Daily Data'!$A$4:$A$503,'Daily Data'!$A278)&gt;1,"ERROR","OK"))</f>
        <v/>
      </c>
      <c r="E278" s="165" t="str">
        <f>IF($A278="","",IF('Daily Data'!$B278="","ERROR","OK"))</f>
        <v/>
      </c>
      <c r="F278" s="165" t="str">
        <f>IF($A278="","",IF(NOT(ISNUMBER('Daily Data'!$A278)),"ERROR","OK"))</f>
        <v/>
      </c>
      <c r="G278" s="165" t="str">
        <f>IF($A278="","",IF(OR(N('Daily Data'!$E278)&lt;=0,N('Daily Data'!$C278)&lt;0,N('Daily Data'!$D278)&lt;0,N('Daily Data'!$F278)&lt;0,N('Daily Data'!$G278)&lt;0),"ERROR","OK"))</f>
        <v/>
      </c>
      <c r="H278" s="165" t="str">
        <f>IF($A278="","",IF(N('Daily Data'!$K278)&lt;0,"ERROR","OK"))</f>
        <v/>
      </c>
      <c r="I278" s="165" t="str">
        <f>IF($A278="","",IF(N('Daily Data'!$I278)&lt;0,"ERROR","OK"))</f>
        <v/>
      </c>
      <c r="J278" s="165" t="str">
        <f>IF($A278="","",IF(N('Daily Data'!$L278)&lt;0,"ERROR","OK"))</f>
        <v/>
      </c>
      <c r="K278" s="165" t="str">
        <f>IF($A278="","",IF(N('Daily Data'!$M278)&lt;0,"ERROR","OK"))</f>
        <v/>
      </c>
      <c r="L278" s="165" t="str">
        <f>IF($A278="","",IF(OR(N('Daily Data'!$F278)=0,N('Daily Data'!$G278)=0),"OK",IF(OR(N('Daily Data'!$E278)&gt;N('Daily Data'!$F278),N('Daily Data'!$E278)&lt;N('Daily Data'!$G278)),"ERROR","OK")))</f>
        <v/>
      </c>
      <c r="M278" s="165" t="str">
        <f>IF($A278="","",IF(N('Daily Data'!$AK278)&lt;=1,"OK",IF(ROUND(N('Daily Data'!$D278),2)=ROUND(SUMIFS('Daily Data'!$E$4:$E$503,'Daily Data'!$B$4:$B$503,'Daily Data'!$B278,'Daily Data'!$AK$4:$AK$503,'Daily Data'!$AK278-1),2),"OK","WARNING")))</f>
        <v/>
      </c>
      <c r="N278" s="165" t="str">
        <f>IF($A278="","",IF(N('Daily Data'!$N278)&lt;=0,"WARNING","OK"))</f>
        <v/>
      </c>
      <c r="O278" s="165" t="str">
        <f>IF($A278="","",IF(AND(ISNUMBER('Daily Data'!$H278),ABS(N('Daily Data'!$H278))&gt;Settings!$C$56),"WARNING","OK"))</f>
        <v/>
      </c>
      <c r="P278" s="165" t="str">
        <f>IF($A278="","",IF(OR(AND(N('Daily Data'!$K278)=0,N('Daily Data'!$I278)&gt;0),AND(N('Daily Data'!$I278)=0,N('Daily Data'!$K278)&gt;0),AND(N('Daily Data'!$L278)=0,N('Daily Data'!$M278)=0)),"WARNING","OK"))</f>
        <v/>
      </c>
      <c r="Q278" s="165" t="str">
        <f>IF($A278="","",IF(COUNTIFS('Daily Data'!$B$4:$B$503,'Daily Data'!$B278,'Daily Data'!$A$4:$A$503,'Daily Data'!$A278,'Daily Data'!$Q$4:$Q$503,'Daily Data'!$Q278)&gt;1,"WARNING","OK"))</f>
        <v/>
      </c>
      <c r="R278" s="165" t="str">
        <f>IF($A278="","",IF(AND(N('Daily Data'!$K278)&gt;0,N('Daily Data'!$J278)&lt;=0),"WARNING","OK"))</f>
        <v/>
      </c>
      <c r="S278" s="165" t="str">
        <f>IF($A278="","",COUNTIF($D278:$R278,"ERROR"))</f>
        <v/>
      </c>
      <c r="T278" s="165" t="str">
        <f>IF($A278="","",COUNTIF($D278:$R278,"WARNING"))</f>
        <v/>
      </c>
      <c r="U278" s="165" t="str">
        <f>IF($A278="","",IF($S278&gt;0,"ERROR",IF($T278&gt;0,"WARNING","PASS")))</f>
        <v/>
      </c>
    </row>
    <row r="279" spans="1:21" x14ac:dyDescent="0.3">
      <c r="A279" t="str">
        <f>IF(AND('Daily Data'!$A279="",'Daily Data'!$B279=""),"",279)</f>
        <v/>
      </c>
      <c r="B279" s="16" t="str">
        <f>IF($A279="","",'Daily Data'!$A279)</f>
        <v/>
      </c>
      <c r="C279" t="str">
        <f>IF($A279="","",'Daily Data'!$B279)</f>
        <v/>
      </c>
      <c r="D279" s="165" t="str">
        <f>IF($A279="","",IF(COUNTIFS('Daily Data'!$B$4:$B$503,'Daily Data'!$B279,'Daily Data'!$A$4:$A$503,'Daily Data'!$A279)&gt;1,"ERROR","OK"))</f>
        <v/>
      </c>
      <c r="E279" s="165" t="str">
        <f>IF($A279="","",IF('Daily Data'!$B279="","ERROR","OK"))</f>
        <v/>
      </c>
      <c r="F279" s="165" t="str">
        <f>IF($A279="","",IF(NOT(ISNUMBER('Daily Data'!$A279)),"ERROR","OK"))</f>
        <v/>
      </c>
      <c r="G279" s="165" t="str">
        <f>IF($A279="","",IF(OR(N('Daily Data'!$E279)&lt;=0,N('Daily Data'!$C279)&lt;0,N('Daily Data'!$D279)&lt;0,N('Daily Data'!$F279)&lt;0,N('Daily Data'!$G279)&lt;0),"ERROR","OK"))</f>
        <v/>
      </c>
      <c r="H279" s="165" t="str">
        <f>IF($A279="","",IF(N('Daily Data'!$K279)&lt;0,"ERROR","OK"))</f>
        <v/>
      </c>
      <c r="I279" s="165" t="str">
        <f>IF($A279="","",IF(N('Daily Data'!$I279)&lt;0,"ERROR","OK"))</f>
        <v/>
      </c>
      <c r="J279" s="165" t="str">
        <f>IF($A279="","",IF(N('Daily Data'!$L279)&lt;0,"ERROR","OK"))</f>
        <v/>
      </c>
      <c r="K279" s="165" t="str">
        <f>IF($A279="","",IF(N('Daily Data'!$M279)&lt;0,"ERROR","OK"))</f>
        <v/>
      </c>
      <c r="L279" s="165" t="str">
        <f>IF($A279="","",IF(OR(N('Daily Data'!$F279)=0,N('Daily Data'!$G279)=0),"OK",IF(OR(N('Daily Data'!$E279)&gt;N('Daily Data'!$F279),N('Daily Data'!$E279)&lt;N('Daily Data'!$G279)),"ERROR","OK")))</f>
        <v/>
      </c>
      <c r="M279" s="165" t="str">
        <f>IF($A279="","",IF(N('Daily Data'!$AK279)&lt;=1,"OK",IF(ROUND(N('Daily Data'!$D279),2)=ROUND(SUMIFS('Daily Data'!$E$4:$E$503,'Daily Data'!$B$4:$B$503,'Daily Data'!$B279,'Daily Data'!$AK$4:$AK$503,'Daily Data'!$AK279-1),2),"OK","WARNING")))</f>
        <v/>
      </c>
      <c r="N279" s="165" t="str">
        <f>IF($A279="","",IF(N('Daily Data'!$N279)&lt;=0,"WARNING","OK"))</f>
        <v/>
      </c>
      <c r="O279" s="165" t="str">
        <f>IF($A279="","",IF(AND(ISNUMBER('Daily Data'!$H279),ABS(N('Daily Data'!$H279))&gt;Settings!$C$56),"WARNING","OK"))</f>
        <v/>
      </c>
      <c r="P279" s="165" t="str">
        <f>IF($A279="","",IF(OR(AND(N('Daily Data'!$K279)=0,N('Daily Data'!$I279)&gt;0),AND(N('Daily Data'!$I279)=0,N('Daily Data'!$K279)&gt;0),AND(N('Daily Data'!$L279)=0,N('Daily Data'!$M279)=0)),"WARNING","OK"))</f>
        <v/>
      </c>
      <c r="Q279" s="165" t="str">
        <f>IF($A279="","",IF(COUNTIFS('Daily Data'!$B$4:$B$503,'Daily Data'!$B279,'Daily Data'!$A$4:$A$503,'Daily Data'!$A279,'Daily Data'!$Q$4:$Q$503,'Daily Data'!$Q279)&gt;1,"WARNING","OK"))</f>
        <v/>
      </c>
      <c r="R279" s="165" t="str">
        <f>IF($A279="","",IF(AND(N('Daily Data'!$K279)&gt;0,N('Daily Data'!$J279)&lt;=0),"WARNING","OK"))</f>
        <v/>
      </c>
      <c r="S279" s="165" t="str">
        <f>IF($A279="","",COUNTIF($D279:$R279,"ERROR"))</f>
        <v/>
      </c>
      <c r="T279" s="165" t="str">
        <f>IF($A279="","",COUNTIF($D279:$R279,"WARNING"))</f>
        <v/>
      </c>
      <c r="U279" s="165" t="str">
        <f>IF($A279="","",IF($S279&gt;0,"ERROR",IF($T279&gt;0,"WARNING","PASS")))</f>
        <v/>
      </c>
    </row>
    <row r="280" spans="1:21" x14ac:dyDescent="0.3">
      <c r="A280" t="str">
        <f>IF(AND('Daily Data'!$A280="",'Daily Data'!$B280=""),"",280)</f>
        <v/>
      </c>
      <c r="B280" s="16" t="str">
        <f>IF($A280="","",'Daily Data'!$A280)</f>
        <v/>
      </c>
      <c r="C280" t="str">
        <f>IF($A280="","",'Daily Data'!$B280)</f>
        <v/>
      </c>
      <c r="D280" s="165" t="str">
        <f>IF($A280="","",IF(COUNTIFS('Daily Data'!$B$4:$B$503,'Daily Data'!$B280,'Daily Data'!$A$4:$A$503,'Daily Data'!$A280)&gt;1,"ERROR","OK"))</f>
        <v/>
      </c>
      <c r="E280" s="165" t="str">
        <f>IF($A280="","",IF('Daily Data'!$B280="","ERROR","OK"))</f>
        <v/>
      </c>
      <c r="F280" s="165" t="str">
        <f>IF($A280="","",IF(NOT(ISNUMBER('Daily Data'!$A280)),"ERROR","OK"))</f>
        <v/>
      </c>
      <c r="G280" s="165" t="str">
        <f>IF($A280="","",IF(OR(N('Daily Data'!$E280)&lt;=0,N('Daily Data'!$C280)&lt;0,N('Daily Data'!$D280)&lt;0,N('Daily Data'!$F280)&lt;0,N('Daily Data'!$G280)&lt;0),"ERROR","OK"))</f>
        <v/>
      </c>
      <c r="H280" s="165" t="str">
        <f>IF($A280="","",IF(N('Daily Data'!$K280)&lt;0,"ERROR","OK"))</f>
        <v/>
      </c>
      <c r="I280" s="165" t="str">
        <f>IF($A280="","",IF(N('Daily Data'!$I280)&lt;0,"ERROR","OK"))</f>
        <v/>
      </c>
      <c r="J280" s="165" t="str">
        <f>IF($A280="","",IF(N('Daily Data'!$L280)&lt;0,"ERROR","OK"))</f>
        <v/>
      </c>
      <c r="K280" s="165" t="str">
        <f>IF($A280="","",IF(N('Daily Data'!$M280)&lt;0,"ERROR","OK"))</f>
        <v/>
      </c>
      <c r="L280" s="165" t="str">
        <f>IF($A280="","",IF(OR(N('Daily Data'!$F280)=0,N('Daily Data'!$G280)=0),"OK",IF(OR(N('Daily Data'!$E280)&gt;N('Daily Data'!$F280),N('Daily Data'!$E280)&lt;N('Daily Data'!$G280)),"ERROR","OK")))</f>
        <v/>
      </c>
      <c r="M280" s="165" t="str">
        <f>IF($A280="","",IF(N('Daily Data'!$AK280)&lt;=1,"OK",IF(ROUND(N('Daily Data'!$D280),2)=ROUND(SUMIFS('Daily Data'!$E$4:$E$503,'Daily Data'!$B$4:$B$503,'Daily Data'!$B280,'Daily Data'!$AK$4:$AK$503,'Daily Data'!$AK280-1),2),"OK","WARNING")))</f>
        <v/>
      </c>
      <c r="N280" s="165" t="str">
        <f>IF($A280="","",IF(N('Daily Data'!$N280)&lt;=0,"WARNING","OK"))</f>
        <v/>
      </c>
      <c r="O280" s="165" t="str">
        <f>IF($A280="","",IF(AND(ISNUMBER('Daily Data'!$H280),ABS(N('Daily Data'!$H280))&gt;Settings!$C$56),"WARNING","OK"))</f>
        <v/>
      </c>
      <c r="P280" s="165" t="str">
        <f>IF($A280="","",IF(OR(AND(N('Daily Data'!$K280)=0,N('Daily Data'!$I280)&gt;0),AND(N('Daily Data'!$I280)=0,N('Daily Data'!$K280)&gt;0),AND(N('Daily Data'!$L280)=0,N('Daily Data'!$M280)=0)),"WARNING","OK"))</f>
        <v/>
      </c>
      <c r="Q280" s="165" t="str">
        <f>IF($A280="","",IF(COUNTIFS('Daily Data'!$B$4:$B$503,'Daily Data'!$B280,'Daily Data'!$A$4:$A$503,'Daily Data'!$A280,'Daily Data'!$Q$4:$Q$503,'Daily Data'!$Q280)&gt;1,"WARNING","OK"))</f>
        <v/>
      </c>
      <c r="R280" s="165" t="str">
        <f>IF($A280="","",IF(AND(N('Daily Data'!$K280)&gt;0,N('Daily Data'!$J280)&lt;=0),"WARNING","OK"))</f>
        <v/>
      </c>
      <c r="S280" s="165" t="str">
        <f>IF($A280="","",COUNTIF($D280:$R280,"ERROR"))</f>
        <v/>
      </c>
      <c r="T280" s="165" t="str">
        <f>IF($A280="","",COUNTIF($D280:$R280,"WARNING"))</f>
        <v/>
      </c>
      <c r="U280" s="165" t="str">
        <f>IF($A280="","",IF($S280&gt;0,"ERROR",IF($T280&gt;0,"WARNING","PASS")))</f>
        <v/>
      </c>
    </row>
    <row r="281" spans="1:21" x14ac:dyDescent="0.3">
      <c r="A281" t="str">
        <f>IF(AND('Daily Data'!$A281="",'Daily Data'!$B281=""),"",281)</f>
        <v/>
      </c>
      <c r="B281" s="16" t="str">
        <f>IF($A281="","",'Daily Data'!$A281)</f>
        <v/>
      </c>
      <c r="C281" t="str">
        <f>IF($A281="","",'Daily Data'!$B281)</f>
        <v/>
      </c>
      <c r="D281" s="165" t="str">
        <f>IF($A281="","",IF(COUNTIFS('Daily Data'!$B$4:$B$503,'Daily Data'!$B281,'Daily Data'!$A$4:$A$503,'Daily Data'!$A281)&gt;1,"ERROR","OK"))</f>
        <v/>
      </c>
      <c r="E281" s="165" t="str">
        <f>IF($A281="","",IF('Daily Data'!$B281="","ERROR","OK"))</f>
        <v/>
      </c>
      <c r="F281" s="165" t="str">
        <f>IF($A281="","",IF(NOT(ISNUMBER('Daily Data'!$A281)),"ERROR","OK"))</f>
        <v/>
      </c>
      <c r="G281" s="165" t="str">
        <f>IF($A281="","",IF(OR(N('Daily Data'!$E281)&lt;=0,N('Daily Data'!$C281)&lt;0,N('Daily Data'!$D281)&lt;0,N('Daily Data'!$F281)&lt;0,N('Daily Data'!$G281)&lt;0),"ERROR","OK"))</f>
        <v/>
      </c>
      <c r="H281" s="165" t="str">
        <f>IF($A281="","",IF(N('Daily Data'!$K281)&lt;0,"ERROR","OK"))</f>
        <v/>
      </c>
      <c r="I281" s="165" t="str">
        <f>IF($A281="","",IF(N('Daily Data'!$I281)&lt;0,"ERROR","OK"))</f>
        <v/>
      </c>
      <c r="J281" s="165" t="str">
        <f>IF($A281="","",IF(N('Daily Data'!$L281)&lt;0,"ERROR","OK"))</f>
        <v/>
      </c>
      <c r="K281" s="165" t="str">
        <f>IF($A281="","",IF(N('Daily Data'!$M281)&lt;0,"ERROR","OK"))</f>
        <v/>
      </c>
      <c r="L281" s="165" t="str">
        <f>IF($A281="","",IF(OR(N('Daily Data'!$F281)=0,N('Daily Data'!$G281)=0),"OK",IF(OR(N('Daily Data'!$E281)&gt;N('Daily Data'!$F281),N('Daily Data'!$E281)&lt;N('Daily Data'!$G281)),"ERROR","OK")))</f>
        <v/>
      </c>
      <c r="M281" s="165" t="str">
        <f>IF($A281="","",IF(N('Daily Data'!$AK281)&lt;=1,"OK",IF(ROUND(N('Daily Data'!$D281),2)=ROUND(SUMIFS('Daily Data'!$E$4:$E$503,'Daily Data'!$B$4:$B$503,'Daily Data'!$B281,'Daily Data'!$AK$4:$AK$503,'Daily Data'!$AK281-1),2),"OK","WARNING")))</f>
        <v/>
      </c>
      <c r="N281" s="165" t="str">
        <f>IF($A281="","",IF(N('Daily Data'!$N281)&lt;=0,"WARNING","OK"))</f>
        <v/>
      </c>
      <c r="O281" s="165" t="str">
        <f>IF($A281="","",IF(AND(ISNUMBER('Daily Data'!$H281),ABS(N('Daily Data'!$H281))&gt;Settings!$C$56),"WARNING","OK"))</f>
        <v/>
      </c>
      <c r="P281" s="165" t="str">
        <f>IF($A281="","",IF(OR(AND(N('Daily Data'!$K281)=0,N('Daily Data'!$I281)&gt;0),AND(N('Daily Data'!$I281)=0,N('Daily Data'!$K281)&gt;0),AND(N('Daily Data'!$L281)=0,N('Daily Data'!$M281)=0)),"WARNING","OK"))</f>
        <v/>
      </c>
      <c r="Q281" s="165" t="str">
        <f>IF($A281="","",IF(COUNTIFS('Daily Data'!$B$4:$B$503,'Daily Data'!$B281,'Daily Data'!$A$4:$A$503,'Daily Data'!$A281,'Daily Data'!$Q$4:$Q$503,'Daily Data'!$Q281)&gt;1,"WARNING","OK"))</f>
        <v/>
      </c>
      <c r="R281" s="165" t="str">
        <f>IF($A281="","",IF(AND(N('Daily Data'!$K281)&gt;0,N('Daily Data'!$J281)&lt;=0),"WARNING","OK"))</f>
        <v/>
      </c>
      <c r="S281" s="165" t="str">
        <f>IF($A281="","",COUNTIF($D281:$R281,"ERROR"))</f>
        <v/>
      </c>
      <c r="T281" s="165" t="str">
        <f>IF($A281="","",COUNTIF($D281:$R281,"WARNING"))</f>
        <v/>
      </c>
      <c r="U281" s="165" t="str">
        <f>IF($A281="","",IF($S281&gt;0,"ERROR",IF($T281&gt;0,"WARNING","PASS")))</f>
        <v/>
      </c>
    </row>
    <row r="282" spans="1:21" x14ac:dyDescent="0.3">
      <c r="A282" t="str">
        <f>IF(AND('Daily Data'!$A282="",'Daily Data'!$B282=""),"",282)</f>
        <v/>
      </c>
      <c r="B282" s="16" t="str">
        <f>IF($A282="","",'Daily Data'!$A282)</f>
        <v/>
      </c>
      <c r="C282" t="str">
        <f>IF($A282="","",'Daily Data'!$B282)</f>
        <v/>
      </c>
      <c r="D282" s="165" t="str">
        <f>IF($A282="","",IF(COUNTIFS('Daily Data'!$B$4:$B$503,'Daily Data'!$B282,'Daily Data'!$A$4:$A$503,'Daily Data'!$A282)&gt;1,"ERROR","OK"))</f>
        <v/>
      </c>
      <c r="E282" s="165" t="str">
        <f>IF($A282="","",IF('Daily Data'!$B282="","ERROR","OK"))</f>
        <v/>
      </c>
      <c r="F282" s="165" t="str">
        <f>IF($A282="","",IF(NOT(ISNUMBER('Daily Data'!$A282)),"ERROR","OK"))</f>
        <v/>
      </c>
      <c r="G282" s="165" t="str">
        <f>IF($A282="","",IF(OR(N('Daily Data'!$E282)&lt;=0,N('Daily Data'!$C282)&lt;0,N('Daily Data'!$D282)&lt;0,N('Daily Data'!$F282)&lt;0,N('Daily Data'!$G282)&lt;0),"ERROR","OK"))</f>
        <v/>
      </c>
      <c r="H282" s="165" t="str">
        <f>IF($A282="","",IF(N('Daily Data'!$K282)&lt;0,"ERROR","OK"))</f>
        <v/>
      </c>
      <c r="I282" s="165" t="str">
        <f>IF($A282="","",IF(N('Daily Data'!$I282)&lt;0,"ERROR","OK"))</f>
        <v/>
      </c>
      <c r="J282" s="165" t="str">
        <f>IF($A282="","",IF(N('Daily Data'!$L282)&lt;0,"ERROR","OK"))</f>
        <v/>
      </c>
      <c r="K282" s="165" t="str">
        <f>IF($A282="","",IF(N('Daily Data'!$M282)&lt;0,"ERROR","OK"))</f>
        <v/>
      </c>
      <c r="L282" s="165" t="str">
        <f>IF($A282="","",IF(OR(N('Daily Data'!$F282)=0,N('Daily Data'!$G282)=0),"OK",IF(OR(N('Daily Data'!$E282)&gt;N('Daily Data'!$F282),N('Daily Data'!$E282)&lt;N('Daily Data'!$G282)),"ERROR","OK")))</f>
        <v/>
      </c>
      <c r="M282" s="165" t="str">
        <f>IF($A282="","",IF(N('Daily Data'!$AK282)&lt;=1,"OK",IF(ROUND(N('Daily Data'!$D282),2)=ROUND(SUMIFS('Daily Data'!$E$4:$E$503,'Daily Data'!$B$4:$B$503,'Daily Data'!$B282,'Daily Data'!$AK$4:$AK$503,'Daily Data'!$AK282-1),2),"OK","WARNING")))</f>
        <v/>
      </c>
      <c r="N282" s="165" t="str">
        <f>IF($A282="","",IF(N('Daily Data'!$N282)&lt;=0,"WARNING","OK"))</f>
        <v/>
      </c>
      <c r="O282" s="165" t="str">
        <f>IF($A282="","",IF(AND(ISNUMBER('Daily Data'!$H282),ABS(N('Daily Data'!$H282))&gt;Settings!$C$56),"WARNING","OK"))</f>
        <v/>
      </c>
      <c r="P282" s="165" t="str">
        <f>IF($A282="","",IF(OR(AND(N('Daily Data'!$K282)=0,N('Daily Data'!$I282)&gt;0),AND(N('Daily Data'!$I282)=0,N('Daily Data'!$K282)&gt;0),AND(N('Daily Data'!$L282)=0,N('Daily Data'!$M282)=0)),"WARNING","OK"))</f>
        <v/>
      </c>
      <c r="Q282" s="165" t="str">
        <f>IF($A282="","",IF(COUNTIFS('Daily Data'!$B$4:$B$503,'Daily Data'!$B282,'Daily Data'!$A$4:$A$503,'Daily Data'!$A282,'Daily Data'!$Q$4:$Q$503,'Daily Data'!$Q282)&gt;1,"WARNING","OK"))</f>
        <v/>
      </c>
      <c r="R282" s="165" t="str">
        <f>IF($A282="","",IF(AND(N('Daily Data'!$K282)&gt;0,N('Daily Data'!$J282)&lt;=0),"WARNING","OK"))</f>
        <v/>
      </c>
      <c r="S282" s="165" t="str">
        <f>IF($A282="","",COUNTIF($D282:$R282,"ERROR"))</f>
        <v/>
      </c>
      <c r="T282" s="165" t="str">
        <f>IF($A282="","",COUNTIF($D282:$R282,"WARNING"))</f>
        <v/>
      </c>
      <c r="U282" s="165" t="str">
        <f>IF($A282="","",IF($S282&gt;0,"ERROR",IF($T282&gt;0,"WARNING","PASS")))</f>
        <v/>
      </c>
    </row>
    <row r="283" spans="1:21" x14ac:dyDescent="0.3">
      <c r="A283" t="str">
        <f>IF(AND('Daily Data'!$A283="",'Daily Data'!$B283=""),"",283)</f>
        <v/>
      </c>
      <c r="B283" s="16" t="str">
        <f>IF($A283="","",'Daily Data'!$A283)</f>
        <v/>
      </c>
      <c r="C283" t="str">
        <f>IF($A283="","",'Daily Data'!$B283)</f>
        <v/>
      </c>
      <c r="D283" s="165" t="str">
        <f>IF($A283="","",IF(COUNTIFS('Daily Data'!$B$4:$B$503,'Daily Data'!$B283,'Daily Data'!$A$4:$A$503,'Daily Data'!$A283)&gt;1,"ERROR","OK"))</f>
        <v/>
      </c>
      <c r="E283" s="165" t="str">
        <f>IF($A283="","",IF('Daily Data'!$B283="","ERROR","OK"))</f>
        <v/>
      </c>
      <c r="F283" s="165" t="str">
        <f>IF($A283="","",IF(NOT(ISNUMBER('Daily Data'!$A283)),"ERROR","OK"))</f>
        <v/>
      </c>
      <c r="G283" s="165" t="str">
        <f>IF($A283="","",IF(OR(N('Daily Data'!$E283)&lt;=0,N('Daily Data'!$C283)&lt;0,N('Daily Data'!$D283)&lt;0,N('Daily Data'!$F283)&lt;0,N('Daily Data'!$G283)&lt;0),"ERROR","OK"))</f>
        <v/>
      </c>
      <c r="H283" s="165" t="str">
        <f>IF($A283="","",IF(N('Daily Data'!$K283)&lt;0,"ERROR","OK"))</f>
        <v/>
      </c>
      <c r="I283" s="165" t="str">
        <f>IF($A283="","",IF(N('Daily Data'!$I283)&lt;0,"ERROR","OK"))</f>
        <v/>
      </c>
      <c r="J283" s="165" t="str">
        <f>IF($A283="","",IF(N('Daily Data'!$L283)&lt;0,"ERROR","OK"))</f>
        <v/>
      </c>
      <c r="K283" s="165" t="str">
        <f>IF($A283="","",IF(N('Daily Data'!$M283)&lt;0,"ERROR","OK"))</f>
        <v/>
      </c>
      <c r="L283" s="165" t="str">
        <f>IF($A283="","",IF(OR(N('Daily Data'!$F283)=0,N('Daily Data'!$G283)=0),"OK",IF(OR(N('Daily Data'!$E283)&gt;N('Daily Data'!$F283),N('Daily Data'!$E283)&lt;N('Daily Data'!$G283)),"ERROR","OK")))</f>
        <v/>
      </c>
      <c r="M283" s="165" t="str">
        <f>IF($A283="","",IF(N('Daily Data'!$AK283)&lt;=1,"OK",IF(ROUND(N('Daily Data'!$D283),2)=ROUND(SUMIFS('Daily Data'!$E$4:$E$503,'Daily Data'!$B$4:$B$503,'Daily Data'!$B283,'Daily Data'!$AK$4:$AK$503,'Daily Data'!$AK283-1),2),"OK","WARNING")))</f>
        <v/>
      </c>
      <c r="N283" s="165" t="str">
        <f>IF($A283="","",IF(N('Daily Data'!$N283)&lt;=0,"WARNING","OK"))</f>
        <v/>
      </c>
      <c r="O283" s="165" t="str">
        <f>IF($A283="","",IF(AND(ISNUMBER('Daily Data'!$H283),ABS(N('Daily Data'!$H283))&gt;Settings!$C$56),"WARNING","OK"))</f>
        <v/>
      </c>
      <c r="P283" s="165" t="str">
        <f>IF($A283="","",IF(OR(AND(N('Daily Data'!$K283)=0,N('Daily Data'!$I283)&gt;0),AND(N('Daily Data'!$I283)=0,N('Daily Data'!$K283)&gt;0),AND(N('Daily Data'!$L283)=0,N('Daily Data'!$M283)=0)),"WARNING","OK"))</f>
        <v/>
      </c>
      <c r="Q283" s="165" t="str">
        <f>IF($A283="","",IF(COUNTIFS('Daily Data'!$B$4:$B$503,'Daily Data'!$B283,'Daily Data'!$A$4:$A$503,'Daily Data'!$A283,'Daily Data'!$Q$4:$Q$503,'Daily Data'!$Q283)&gt;1,"WARNING","OK"))</f>
        <v/>
      </c>
      <c r="R283" s="165" t="str">
        <f>IF($A283="","",IF(AND(N('Daily Data'!$K283)&gt;0,N('Daily Data'!$J283)&lt;=0),"WARNING","OK"))</f>
        <v/>
      </c>
      <c r="S283" s="165" t="str">
        <f>IF($A283="","",COUNTIF($D283:$R283,"ERROR"))</f>
        <v/>
      </c>
      <c r="T283" s="165" t="str">
        <f>IF($A283="","",COUNTIF($D283:$R283,"WARNING"))</f>
        <v/>
      </c>
      <c r="U283" s="165" t="str">
        <f>IF($A283="","",IF($S283&gt;0,"ERROR",IF($T283&gt;0,"WARNING","PASS")))</f>
        <v/>
      </c>
    </row>
    <row r="284" spans="1:21" x14ac:dyDescent="0.3">
      <c r="A284" t="str">
        <f>IF(AND('Daily Data'!$A284="",'Daily Data'!$B284=""),"",284)</f>
        <v/>
      </c>
      <c r="B284" s="16" t="str">
        <f>IF($A284="","",'Daily Data'!$A284)</f>
        <v/>
      </c>
      <c r="C284" t="str">
        <f>IF($A284="","",'Daily Data'!$B284)</f>
        <v/>
      </c>
      <c r="D284" s="165" t="str">
        <f>IF($A284="","",IF(COUNTIFS('Daily Data'!$B$4:$B$503,'Daily Data'!$B284,'Daily Data'!$A$4:$A$503,'Daily Data'!$A284)&gt;1,"ERROR","OK"))</f>
        <v/>
      </c>
      <c r="E284" s="165" t="str">
        <f>IF($A284="","",IF('Daily Data'!$B284="","ERROR","OK"))</f>
        <v/>
      </c>
      <c r="F284" s="165" t="str">
        <f>IF($A284="","",IF(NOT(ISNUMBER('Daily Data'!$A284)),"ERROR","OK"))</f>
        <v/>
      </c>
      <c r="G284" s="165" t="str">
        <f>IF($A284="","",IF(OR(N('Daily Data'!$E284)&lt;=0,N('Daily Data'!$C284)&lt;0,N('Daily Data'!$D284)&lt;0,N('Daily Data'!$F284)&lt;0,N('Daily Data'!$G284)&lt;0),"ERROR","OK"))</f>
        <v/>
      </c>
      <c r="H284" s="165" t="str">
        <f>IF($A284="","",IF(N('Daily Data'!$K284)&lt;0,"ERROR","OK"))</f>
        <v/>
      </c>
      <c r="I284" s="165" t="str">
        <f>IF($A284="","",IF(N('Daily Data'!$I284)&lt;0,"ERROR","OK"))</f>
        <v/>
      </c>
      <c r="J284" s="165" t="str">
        <f>IF($A284="","",IF(N('Daily Data'!$L284)&lt;0,"ERROR","OK"))</f>
        <v/>
      </c>
      <c r="K284" s="165" t="str">
        <f>IF($A284="","",IF(N('Daily Data'!$M284)&lt;0,"ERROR","OK"))</f>
        <v/>
      </c>
      <c r="L284" s="165" t="str">
        <f>IF($A284="","",IF(OR(N('Daily Data'!$F284)=0,N('Daily Data'!$G284)=0),"OK",IF(OR(N('Daily Data'!$E284)&gt;N('Daily Data'!$F284),N('Daily Data'!$E284)&lt;N('Daily Data'!$G284)),"ERROR","OK")))</f>
        <v/>
      </c>
      <c r="M284" s="165" t="str">
        <f>IF($A284="","",IF(N('Daily Data'!$AK284)&lt;=1,"OK",IF(ROUND(N('Daily Data'!$D284),2)=ROUND(SUMIFS('Daily Data'!$E$4:$E$503,'Daily Data'!$B$4:$B$503,'Daily Data'!$B284,'Daily Data'!$AK$4:$AK$503,'Daily Data'!$AK284-1),2),"OK","WARNING")))</f>
        <v/>
      </c>
      <c r="N284" s="165" t="str">
        <f>IF($A284="","",IF(N('Daily Data'!$N284)&lt;=0,"WARNING","OK"))</f>
        <v/>
      </c>
      <c r="O284" s="165" t="str">
        <f>IF($A284="","",IF(AND(ISNUMBER('Daily Data'!$H284),ABS(N('Daily Data'!$H284))&gt;Settings!$C$56),"WARNING","OK"))</f>
        <v/>
      </c>
      <c r="P284" s="165" t="str">
        <f>IF($A284="","",IF(OR(AND(N('Daily Data'!$K284)=0,N('Daily Data'!$I284)&gt;0),AND(N('Daily Data'!$I284)=0,N('Daily Data'!$K284)&gt;0),AND(N('Daily Data'!$L284)=0,N('Daily Data'!$M284)=0)),"WARNING","OK"))</f>
        <v/>
      </c>
      <c r="Q284" s="165" t="str">
        <f>IF($A284="","",IF(COUNTIFS('Daily Data'!$B$4:$B$503,'Daily Data'!$B284,'Daily Data'!$A$4:$A$503,'Daily Data'!$A284,'Daily Data'!$Q$4:$Q$503,'Daily Data'!$Q284)&gt;1,"WARNING","OK"))</f>
        <v/>
      </c>
      <c r="R284" s="165" t="str">
        <f>IF($A284="","",IF(AND(N('Daily Data'!$K284)&gt;0,N('Daily Data'!$J284)&lt;=0),"WARNING","OK"))</f>
        <v/>
      </c>
      <c r="S284" s="165" t="str">
        <f>IF($A284="","",COUNTIF($D284:$R284,"ERROR"))</f>
        <v/>
      </c>
      <c r="T284" s="165" t="str">
        <f>IF($A284="","",COUNTIF($D284:$R284,"WARNING"))</f>
        <v/>
      </c>
      <c r="U284" s="165" t="str">
        <f>IF($A284="","",IF($S284&gt;0,"ERROR",IF($T284&gt;0,"WARNING","PASS")))</f>
        <v/>
      </c>
    </row>
    <row r="285" spans="1:21" x14ac:dyDescent="0.3">
      <c r="A285" t="str">
        <f>IF(AND('Daily Data'!$A285="",'Daily Data'!$B285=""),"",285)</f>
        <v/>
      </c>
      <c r="B285" s="16" t="str">
        <f>IF($A285="","",'Daily Data'!$A285)</f>
        <v/>
      </c>
      <c r="C285" t="str">
        <f>IF($A285="","",'Daily Data'!$B285)</f>
        <v/>
      </c>
      <c r="D285" s="165" t="str">
        <f>IF($A285="","",IF(COUNTIFS('Daily Data'!$B$4:$B$503,'Daily Data'!$B285,'Daily Data'!$A$4:$A$503,'Daily Data'!$A285)&gt;1,"ERROR","OK"))</f>
        <v/>
      </c>
      <c r="E285" s="165" t="str">
        <f>IF($A285="","",IF('Daily Data'!$B285="","ERROR","OK"))</f>
        <v/>
      </c>
      <c r="F285" s="165" t="str">
        <f>IF($A285="","",IF(NOT(ISNUMBER('Daily Data'!$A285)),"ERROR","OK"))</f>
        <v/>
      </c>
      <c r="G285" s="165" t="str">
        <f>IF($A285="","",IF(OR(N('Daily Data'!$E285)&lt;=0,N('Daily Data'!$C285)&lt;0,N('Daily Data'!$D285)&lt;0,N('Daily Data'!$F285)&lt;0,N('Daily Data'!$G285)&lt;0),"ERROR","OK"))</f>
        <v/>
      </c>
      <c r="H285" s="165" t="str">
        <f>IF($A285="","",IF(N('Daily Data'!$K285)&lt;0,"ERROR","OK"))</f>
        <v/>
      </c>
      <c r="I285" s="165" t="str">
        <f>IF($A285="","",IF(N('Daily Data'!$I285)&lt;0,"ERROR","OK"))</f>
        <v/>
      </c>
      <c r="J285" s="165" t="str">
        <f>IF($A285="","",IF(N('Daily Data'!$L285)&lt;0,"ERROR","OK"))</f>
        <v/>
      </c>
      <c r="K285" s="165" t="str">
        <f>IF($A285="","",IF(N('Daily Data'!$M285)&lt;0,"ERROR","OK"))</f>
        <v/>
      </c>
      <c r="L285" s="165" t="str">
        <f>IF($A285="","",IF(OR(N('Daily Data'!$F285)=0,N('Daily Data'!$G285)=0),"OK",IF(OR(N('Daily Data'!$E285)&gt;N('Daily Data'!$F285),N('Daily Data'!$E285)&lt;N('Daily Data'!$G285)),"ERROR","OK")))</f>
        <v/>
      </c>
      <c r="M285" s="165" t="str">
        <f>IF($A285="","",IF(N('Daily Data'!$AK285)&lt;=1,"OK",IF(ROUND(N('Daily Data'!$D285),2)=ROUND(SUMIFS('Daily Data'!$E$4:$E$503,'Daily Data'!$B$4:$B$503,'Daily Data'!$B285,'Daily Data'!$AK$4:$AK$503,'Daily Data'!$AK285-1),2),"OK","WARNING")))</f>
        <v/>
      </c>
      <c r="N285" s="165" t="str">
        <f>IF($A285="","",IF(N('Daily Data'!$N285)&lt;=0,"WARNING","OK"))</f>
        <v/>
      </c>
      <c r="O285" s="165" t="str">
        <f>IF($A285="","",IF(AND(ISNUMBER('Daily Data'!$H285),ABS(N('Daily Data'!$H285))&gt;Settings!$C$56),"WARNING","OK"))</f>
        <v/>
      </c>
      <c r="P285" s="165" t="str">
        <f>IF($A285="","",IF(OR(AND(N('Daily Data'!$K285)=0,N('Daily Data'!$I285)&gt;0),AND(N('Daily Data'!$I285)=0,N('Daily Data'!$K285)&gt;0),AND(N('Daily Data'!$L285)=0,N('Daily Data'!$M285)=0)),"WARNING","OK"))</f>
        <v/>
      </c>
      <c r="Q285" s="165" t="str">
        <f>IF($A285="","",IF(COUNTIFS('Daily Data'!$B$4:$B$503,'Daily Data'!$B285,'Daily Data'!$A$4:$A$503,'Daily Data'!$A285,'Daily Data'!$Q$4:$Q$503,'Daily Data'!$Q285)&gt;1,"WARNING","OK"))</f>
        <v/>
      </c>
      <c r="R285" s="165" t="str">
        <f>IF($A285="","",IF(AND(N('Daily Data'!$K285)&gt;0,N('Daily Data'!$J285)&lt;=0),"WARNING","OK"))</f>
        <v/>
      </c>
      <c r="S285" s="165" t="str">
        <f>IF($A285="","",COUNTIF($D285:$R285,"ERROR"))</f>
        <v/>
      </c>
      <c r="T285" s="165" t="str">
        <f>IF($A285="","",COUNTIF($D285:$R285,"WARNING"))</f>
        <v/>
      </c>
      <c r="U285" s="165" t="str">
        <f>IF($A285="","",IF($S285&gt;0,"ERROR",IF($T285&gt;0,"WARNING","PASS")))</f>
        <v/>
      </c>
    </row>
    <row r="286" spans="1:21" x14ac:dyDescent="0.3">
      <c r="A286" t="str">
        <f>IF(AND('Daily Data'!$A286="",'Daily Data'!$B286=""),"",286)</f>
        <v/>
      </c>
      <c r="B286" s="16" t="str">
        <f>IF($A286="","",'Daily Data'!$A286)</f>
        <v/>
      </c>
      <c r="C286" t="str">
        <f>IF($A286="","",'Daily Data'!$B286)</f>
        <v/>
      </c>
      <c r="D286" s="165" t="str">
        <f>IF($A286="","",IF(COUNTIFS('Daily Data'!$B$4:$B$503,'Daily Data'!$B286,'Daily Data'!$A$4:$A$503,'Daily Data'!$A286)&gt;1,"ERROR","OK"))</f>
        <v/>
      </c>
      <c r="E286" s="165" t="str">
        <f>IF($A286="","",IF('Daily Data'!$B286="","ERROR","OK"))</f>
        <v/>
      </c>
      <c r="F286" s="165" t="str">
        <f>IF($A286="","",IF(NOT(ISNUMBER('Daily Data'!$A286)),"ERROR","OK"))</f>
        <v/>
      </c>
      <c r="G286" s="165" t="str">
        <f>IF($A286="","",IF(OR(N('Daily Data'!$E286)&lt;=0,N('Daily Data'!$C286)&lt;0,N('Daily Data'!$D286)&lt;0,N('Daily Data'!$F286)&lt;0,N('Daily Data'!$G286)&lt;0),"ERROR","OK"))</f>
        <v/>
      </c>
      <c r="H286" s="165" t="str">
        <f>IF($A286="","",IF(N('Daily Data'!$K286)&lt;0,"ERROR","OK"))</f>
        <v/>
      </c>
      <c r="I286" s="165" t="str">
        <f>IF($A286="","",IF(N('Daily Data'!$I286)&lt;0,"ERROR","OK"))</f>
        <v/>
      </c>
      <c r="J286" s="165" t="str">
        <f>IF($A286="","",IF(N('Daily Data'!$L286)&lt;0,"ERROR","OK"))</f>
        <v/>
      </c>
      <c r="K286" s="165" t="str">
        <f>IF($A286="","",IF(N('Daily Data'!$M286)&lt;0,"ERROR","OK"))</f>
        <v/>
      </c>
      <c r="L286" s="165" t="str">
        <f>IF($A286="","",IF(OR(N('Daily Data'!$F286)=0,N('Daily Data'!$G286)=0),"OK",IF(OR(N('Daily Data'!$E286)&gt;N('Daily Data'!$F286),N('Daily Data'!$E286)&lt;N('Daily Data'!$G286)),"ERROR","OK")))</f>
        <v/>
      </c>
      <c r="M286" s="165" t="str">
        <f>IF($A286="","",IF(N('Daily Data'!$AK286)&lt;=1,"OK",IF(ROUND(N('Daily Data'!$D286),2)=ROUND(SUMIFS('Daily Data'!$E$4:$E$503,'Daily Data'!$B$4:$B$503,'Daily Data'!$B286,'Daily Data'!$AK$4:$AK$503,'Daily Data'!$AK286-1),2),"OK","WARNING")))</f>
        <v/>
      </c>
      <c r="N286" s="165" t="str">
        <f>IF($A286="","",IF(N('Daily Data'!$N286)&lt;=0,"WARNING","OK"))</f>
        <v/>
      </c>
      <c r="O286" s="165" t="str">
        <f>IF($A286="","",IF(AND(ISNUMBER('Daily Data'!$H286),ABS(N('Daily Data'!$H286))&gt;Settings!$C$56),"WARNING","OK"))</f>
        <v/>
      </c>
      <c r="P286" s="165" t="str">
        <f>IF($A286="","",IF(OR(AND(N('Daily Data'!$K286)=0,N('Daily Data'!$I286)&gt;0),AND(N('Daily Data'!$I286)=0,N('Daily Data'!$K286)&gt;0),AND(N('Daily Data'!$L286)=0,N('Daily Data'!$M286)=0)),"WARNING","OK"))</f>
        <v/>
      </c>
      <c r="Q286" s="165" t="str">
        <f>IF($A286="","",IF(COUNTIFS('Daily Data'!$B$4:$B$503,'Daily Data'!$B286,'Daily Data'!$A$4:$A$503,'Daily Data'!$A286,'Daily Data'!$Q$4:$Q$503,'Daily Data'!$Q286)&gt;1,"WARNING","OK"))</f>
        <v/>
      </c>
      <c r="R286" s="165" t="str">
        <f>IF($A286="","",IF(AND(N('Daily Data'!$K286)&gt;0,N('Daily Data'!$J286)&lt;=0),"WARNING","OK"))</f>
        <v/>
      </c>
      <c r="S286" s="165" t="str">
        <f>IF($A286="","",COUNTIF($D286:$R286,"ERROR"))</f>
        <v/>
      </c>
      <c r="T286" s="165" t="str">
        <f>IF($A286="","",COUNTIF($D286:$R286,"WARNING"))</f>
        <v/>
      </c>
      <c r="U286" s="165" t="str">
        <f>IF($A286="","",IF($S286&gt;0,"ERROR",IF($T286&gt;0,"WARNING","PASS")))</f>
        <v/>
      </c>
    </row>
    <row r="287" spans="1:21" x14ac:dyDescent="0.3">
      <c r="A287" t="str">
        <f>IF(AND('Daily Data'!$A287="",'Daily Data'!$B287=""),"",287)</f>
        <v/>
      </c>
      <c r="B287" s="16" t="str">
        <f>IF($A287="","",'Daily Data'!$A287)</f>
        <v/>
      </c>
      <c r="C287" t="str">
        <f>IF($A287="","",'Daily Data'!$B287)</f>
        <v/>
      </c>
      <c r="D287" s="165" t="str">
        <f>IF($A287="","",IF(COUNTIFS('Daily Data'!$B$4:$B$503,'Daily Data'!$B287,'Daily Data'!$A$4:$A$503,'Daily Data'!$A287)&gt;1,"ERROR","OK"))</f>
        <v/>
      </c>
      <c r="E287" s="165" t="str">
        <f>IF($A287="","",IF('Daily Data'!$B287="","ERROR","OK"))</f>
        <v/>
      </c>
      <c r="F287" s="165" t="str">
        <f>IF($A287="","",IF(NOT(ISNUMBER('Daily Data'!$A287)),"ERROR","OK"))</f>
        <v/>
      </c>
      <c r="G287" s="165" t="str">
        <f>IF($A287="","",IF(OR(N('Daily Data'!$E287)&lt;=0,N('Daily Data'!$C287)&lt;0,N('Daily Data'!$D287)&lt;0,N('Daily Data'!$F287)&lt;0,N('Daily Data'!$G287)&lt;0),"ERROR","OK"))</f>
        <v/>
      </c>
      <c r="H287" s="165" t="str">
        <f>IF($A287="","",IF(N('Daily Data'!$K287)&lt;0,"ERROR","OK"))</f>
        <v/>
      </c>
      <c r="I287" s="165" t="str">
        <f>IF($A287="","",IF(N('Daily Data'!$I287)&lt;0,"ERROR","OK"))</f>
        <v/>
      </c>
      <c r="J287" s="165" t="str">
        <f>IF($A287="","",IF(N('Daily Data'!$L287)&lt;0,"ERROR","OK"))</f>
        <v/>
      </c>
      <c r="K287" s="165" t="str">
        <f>IF($A287="","",IF(N('Daily Data'!$M287)&lt;0,"ERROR","OK"))</f>
        <v/>
      </c>
      <c r="L287" s="165" t="str">
        <f>IF($A287="","",IF(OR(N('Daily Data'!$F287)=0,N('Daily Data'!$G287)=0),"OK",IF(OR(N('Daily Data'!$E287)&gt;N('Daily Data'!$F287),N('Daily Data'!$E287)&lt;N('Daily Data'!$G287)),"ERROR","OK")))</f>
        <v/>
      </c>
      <c r="M287" s="165" t="str">
        <f>IF($A287="","",IF(N('Daily Data'!$AK287)&lt;=1,"OK",IF(ROUND(N('Daily Data'!$D287),2)=ROUND(SUMIFS('Daily Data'!$E$4:$E$503,'Daily Data'!$B$4:$B$503,'Daily Data'!$B287,'Daily Data'!$AK$4:$AK$503,'Daily Data'!$AK287-1),2),"OK","WARNING")))</f>
        <v/>
      </c>
      <c r="N287" s="165" t="str">
        <f>IF($A287="","",IF(N('Daily Data'!$N287)&lt;=0,"WARNING","OK"))</f>
        <v/>
      </c>
      <c r="O287" s="165" t="str">
        <f>IF($A287="","",IF(AND(ISNUMBER('Daily Data'!$H287),ABS(N('Daily Data'!$H287))&gt;Settings!$C$56),"WARNING","OK"))</f>
        <v/>
      </c>
      <c r="P287" s="165" t="str">
        <f>IF($A287="","",IF(OR(AND(N('Daily Data'!$K287)=0,N('Daily Data'!$I287)&gt;0),AND(N('Daily Data'!$I287)=0,N('Daily Data'!$K287)&gt;0),AND(N('Daily Data'!$L287)=0,N('Daily Data'!$M287)=0)),"WARNING","OK"))</f>
        <v/>
      </c>
      <c r="Q287" s="165" t="str">
        <f>IF($A287="","",IF(COUNTIFS('Daily Data'!$B$4:$B$503,'Daily Data'!$B287,'Daily Data'!$A$4:$A$503,'Daily Data'!$A287,'Daily Data'!$Q$4:$Q$503,'Daily Data'!$Q287)&gt;1,"WARNING","OK"))</f>
        <v/>
      </c>
      <c r="R287" s="165" t="str">
        <f>IF($A287="","",IF(AND(N('Daily Data'!$K287)&gt;0,N('Daily Data'!$J287)&lt;=0),"WARNING","OK"))</f>
        <v/>
      </c>
      <c r="S287" s="165" t="str">
        <f>IF($A287="","",COUNTIF($D287:$R287,"ERROR"))</f>
        <v/>
      </c>
      <c r="T287" s="165" t="str">
        <f>IF($A287="","",COUNTIF($D287:$R287,"WARNING"))</f>
        <v/>
      </c>
      <c r="U287" s="165" t="str">
        <f>IF($A287="","",IF($S287&gt;0,"ERROR",IF($T287&gt;0,"WARNING","PASS")))</f>
        <v/>
      </c>
    </row>
    <row r="288" spans="1:21" x14ac:dyDescent="0.3">
      <c r="A288" t="str">
        <f>IF(AND('Daily Data'!$A288="",'Daily Data'!$B288=""),"",288)</f>
        <v/>
      </c>
      <c r="B288" s="16" t="str">
        <f>IF($A288="","",'Daily Data'!$A288)</f>
        <v/>
      </c>
      <c r="C288" t="str">
        <f>IF($A288="","",'Daily Data'!$B288)</f>
        <v/>
      </c>
      <c r="D288" s="165" t="str">
        <f>IF($A288="","",IF(COUNTIFS('Daily Data'!$B$4:$B$503,'Daily Data'!$B288,'Daily Data'!$A$4:$A$503,'Daily Data'!$A288)&gt;1,"ERROR","OK"))</f>
        <v/>
      </c>
      <c r="E288" s="165" t="str">
        <f>IF($A288="","",IF('Daily Data'!$B288="","ERROR","OK"))</f>
        <v/>
      </c>
      <c r="F288" s="165" t="str">
        <f>IF($A288="","",IF(NOT(ISNUMBER('Daily Data'!$A288)),"ERROR","OK"))</f>
        <v/>
      </c>
      <c r="G288" s="165" t="str">
        <f>IF($A288="","",IF(OR(N('Daily Data'!$E288)&lt;=0,N('Daily Data'!$C288)&lt;0,N('Daily Data'!$D288)&lt;0,N('Daily Data'!$F288)&lt;0,N('Daily Data'!$G288)&lt;0),"ERROR","OK"))</f>
        <v/>
      </c>
      <c r="H288" s="165" t="str">
        <f>IF($A288="","",IF(N('Daily Data'!$K288)&lt;0,"ERROR","OK"))</f>
        <v/>
      </c>
      <c r="I288" s="165" t="str">
        <f>IF($A288="","",IF(N('Daily Data'!$I288)&lt;0,"ERROR","OK"))</f>
        <v/>
      </c>
      <c r="J288" s="165" t="str">
        <f>IF($A288="","",IF(N('Daily Data'!$L288)&lt;0,"ERROR","OK"))</f>
        <v/>
      </c>
      <c r="K288" s="165" t="str">
        <f>IF($A288="","",IF(N('Daily Data'!$M288)&lt;0,"ERROR","OK"))</f>
        <v/>
      </c>
      <c r="L288" s="165" t="str">
        <f>IF($A288="","",IF(OR(N('Daily Data'!$F288)=0,N('Daily Data'!$G288)=0),"OK",IF(OR(N('Daily Data'!$E288)&gt;N('Daily Data'!$F288),N('Daily Data'!$E288)&lt;N('Daily Data'!$G288)),"ERROR","OK")))</f>
        <v/>
      </c>
      <c r="M288" s="165" t="str">
        <f>IF($A288="","",IF(N('Daily Data'!$AK288)&lt;=1,"OK",IF(ROUND(N('Daily Data'!$D288),2)=ROUND(SUMIFS('Daily Data'!$E$4:$E$503,'Daily Data'!$B$4:$B$503,'Daily Data'!$B288,'Daily Data'!$AK$4:$AK$503,'Daily Data'!$AK288-1),2),"OK","WARNING")))</f>
        <v/>
      </c>
      <c r="N288" s="165" t="str">
        <f>IF($A288="","",IF(N('Daily Data'!$N288)&lt;=0,"WARNING","OK"))</f>
        <v/>
      </c>
      <c r="O288" s="165" t="str">
        <f>IF($A288="","",IF(AND(ISNUMBER('Daily Data'!$H288),ABS(N('Daily Data'!$H288))&gt;Settings!$C$56),"WARNING","OK"))</f>
        <v/>
      </c>
      <c r="P288" s="165" t="str">
        <f>IF($A288="","",IF(OR(AND(N('Daily Data'!$K288)=0,N('Daily Data'!$I288)&gt;0),AND(N('Daily Data'!$I288)=0,N('Daily Data'!$K288)&gt;0),AND(N('Daily Data'!$L288)=0,N('Daily Data'!$M288)=0)),"WARNING","OK"))</f>
        <v/>
      </c>
      <c r="Q288" s="165" t="str">
        <f>IF($A288="","",IF(COUNTIFS('Daily Data'!$B$4:$B$503,'Daily Data'!$B288,'Daily Data'!$A$4:$A$503,'Daily Data'!$A288,'Daily Data'!$Q$4:$Q$503,'Daily Data'!$Q288)&gt;1,"WARNING","OK"))</f>
        <v/>
      </c>
      <c r="R288" s="165" t="str">
        <f>IF($A288="","",IF(AND(N('Daily Data'!$K288)&gt;0,N('Daily Data'!$J288)&lt;=0),"WARNING","OK"))</f>
        <v/>
      </c>
      <c r="S288" s="165" t="str">
        <f>IF($A288="","",COUNTIF($D288:$R288,"ERROR"))</f>
        <v/>
      </c>
      <c r="T288" s="165" t="str">
        <f>IF($A288="","",COUNTIF($D288:$R288,"WARNING"))</f>
        <v/>
      </c>
      <c r="U288" s="165" t="str">
        <f>IF($A288="","",IF($S288&gt;0,"ERROR",IF($T288&gt;0,"WARNING","PASS")))</f>
        <v/>
      </c>
    </row>
    <row r="289" spans="1:21" x14ac:dyDescent="0.3">
      <c r="A289" t="str">
        <f>IF(AND('Daily Data'!$A289="",'Daily Data'!$B289=""),"",289)</f>
        <v/>
      </c>
      <c r="B289" s="16" t="str">
        <f>IF($A289="","",'Daily Data'!$A289)</f>
        <v/>
      </c>
      <c r="C289" t="str">
        <f>IF($A289="","",'Daily Data'!$B289)</f>
        <v/>
      </c>
      <c r="D289" s="165" t="str">
        <f>IF($A289="","",IF(COUNTIFS('Daily Data'!$B$4:$B$503,'Daily Data'!$B289,'Daily Data'!$A$4:$A$503,'Daily Data'!$A289)&gt;1,"ERROR","OK"))</f>
        <v/>
      </c>
      <c r="E289" s="165" t="str">
        <f>IF($A289="","",IF('Daily Data'!$B289="","ERROR","OK"))</f>
        <v/>
      </c>
      <c r="F289" s="165" t="str">
        <f>IF($A289="","",IF(NOT(ISNUMBER('Daily Data'!$A289)),"ERROR","OK"))</f>
        <v/>
      </c>
      <c r="G289" s="165" t="str">
        <f>IF($A289="","",IF(OR(N('Daily Data'!$E289)&lt;=0,N('Daily Data'!$C289)&lt;0,N('Daily Data'!$D289)&lt;0,N('Daily Data'!$F289)&lt;0,N('Daily Data'!$G289)&lt;0),"ERROR","OK"))</f>
        <v/>
      </c>
      <c r="H289" s="165" t="str">
        <f>IF($A289="","",IF(N('Daily Data'!$K289)&lt;0,"ERROR","OK"))</f>
        <v/>
      </c>
      <c r="I289" s="165" t="str">
        <f>IF($A289="","",IF(N('Daily Data'!$I289)&lt;0,"ERROR","OK"))</f>
        <v/>
      </c>
      <c r="J289" s="165" t="str">
        <f>IF($A289="","",IF(N('Daily Data'!$L289)&lt;0,"ERROR","OK"))</f>
        <v/>
      </c>
      <c r="K289" s="165" t="str">
        <f>IF($A289="","",IF(N('Daily Data'!$M289)&lt;0,"ERROR","OK"))</f>
        <v/>
      </c>
      <c r="L289" s="165" t="str">
        <f>IF($A289="","",IF(OR(N('Daily Data'!$F289)=0,N('Daily Data'!$G289)=0),"OK",IF(OR(N('Daily Data'!$E289)&gt;N('Daily Data'!$F289),N('Daily Data'!$E289)&lt;N('Daily Data'!$G289)),"ERROR","OK")))</f>
        <v/>
      </c>
      <c r="M289" s="165" t="str">
        <f>IF($A289="","",IF(N('Daily Data'!$AK289)&lt;=1,"OK",IF(ROUND(N('Daily Data'!$D289),2)=ROUND(SUMIFS('Daily Data'!$E$4:$E$503,'Daily Data'!$B$4:$B$503,'Daily Data'!$B289,'Daily Data'!$AK$4:$AK$503,'Daily Data'!$AK289-1),2),"OK","WARNING")))</f>
        <v/>
      </c>
      <c r="N289" s="165" t="str">
        <f>IF($A289="","",IF(N('Daily Data'!$N289)&lt;=0,"WARNING","OK"))</f>
        <v/>
      </c>
      <c r="O289" s="165" t="str">
        <f>IF($A289="","",IF(AND(ISNUMBER('Daily Data'!$H289),ABS(N('Daily Data'!$H289))&gt;Settings!$C$56),"WARNING","OK"))</f>
        <v/>
      </c>
      <c r="P289" s="165" t="str">
        <f>IF($A289="","",IF(OR(AND(N('Daily Data'!$K289)=0,N('Daily Data'!$I289)&gt;0),AND(N('Daily Data'!$I289)=0,N('Daily Data'!$K289)&gt;0),AND(N('Daily Data'!$L289)=0,N('Daily Data'!$M289)=0)),"WARNING","OK"))</f>
        <v/>
      </c>
      <c r="Q289" s="165" t="str">
        <f>IF($A289="","",IF(COUNTIFS('Daily Data'!$B$4:$B$503,'Daily Data'!$B289,'Daily Data'!$A$4:$A$503,'Daily Data'!$A289,'Daily Data'!$Q$4:$Q$503,'Daily Data'!$Q289)&gt;1,"WARNING","OK"))</f>
        <v/>
      </c>
      <c r="R289" s="165" t="str">
        <f>IF($A289="","",IF(AND(N('Daily Data'!$K289)&gt;0,N('Daily Data'!$J289)&lt;=0),"WARNING","OK"))</f>
        <v/>
      </c>
      <c r="S289" s="165" t="str">
        <f>IF($A289="","",COUNTIF($D289:$R289,"ERROR"))</f>
        <v/>
      </c>
      <c r="T289" s="165" t="str">
        <f>IF($A289="","",COUNTIF($D289:$R289,"WARNING"))</f>
        <v/>
      </c>
      <c r="U289" s="165" t="str">
        <f>IF($A289="","",IF($S289&gt;0,"ERROR",IF($T289&gt;0,"WARNING","PASS")))</f>
        <v/>
      </c>
    </row>
    <row r="290" spans="1:21" x14ac:dyDescent="0.3">
      <c r="A290" t="str">
        <f>IF(AND('Daily Data'!$A290="",'Daily Data'!$B290=""),"",290)</f>
        <v/>
      </c>
      <c r="B290" s="16" t="str">
        <f>IF($A290="","",'Daily Data'!$A290)</f>
        <v/>
      </c>
      <c r="C290" t="str">
        <f>IF($A290="","",'Daily Data'!$B290)</f>
        <v/>
      </c>
      <c r="D290" s="165" t="str">
        <f>IF($A290="","",IF(COUNTIFS('Daily Data'!$B$4:$B$503,'Daily Data'!$B290,'Daily Data'!$A$4:$A$503,'Daily Data'!$A290)&gt;1,"ERROR","OK"))</f>
        <v/>
      </c>
      <c r="E290" s="165" t="str">
        <f>IF($A290="","",IF('Daily Data'!$B290="","ERROR","OK"))</f>
        <v/>
      </c>
      <c r="F290" s="165" t="str">
        <f>IF($A290="","",IF(NOT(ISNUMBER('Daily Data'!$A290)),"ERROR","OK"))</f>
        <v/>
      </c>
      <c r="G290" s="165" t="str">
        <f>IF($A290="","",IF(OR(N('Daily Data'!$E290)&lt;=0,N('Daily Data'!$C290)&lt;0,N('Daily Data'!$D290)&lt;0,N('Daily Data'!$F290)&lt;0,N('Daily Data'!$G290)&lt;0),"ERROR","OK"))</f>
        <v/>
      </c>
      <c r="H290" s="165" t="str">
        <f>IF($A290="","",IF(N('Daily Data'!$K290)&lt;0,"ERROR","OK"))</f>
        <v/>
      </c>
      <c r="I290" s="165" t="str">
        <f>IF($A290="","",IF(N('Daily Data'!$I290)&lt;0,"ERROR","OK"))</f>
        <v/>
      </c>
      <c r="J290" s="165" t="str">
        <f>IF($A290="","",IF(N('Daily Data'!$L290)&lt;0,"ERROR","OK"))</f>
        <v/>
      </c>
      <c r="K290" s="165" t="str">
        <f>IF($A290="","",IF(N('Daily Data'!$M290)&lt;0,"ERROR","OK"))</f>
        <v/>
      </c>
      <c r="L290" s="165" t="str">
        <f>IF($A290="","",IF(OR(N('Daily Data'!$F290)=0,N('Daily Data'!$G290)=0),"OK",IF(OR(N('Daily Data'!$E290)&gt;N('Daily Data'!$F290),N('Daily Data'!$E290)&lt;N('Daily Data'!$G290)),"ERROR","OK")))</f>
        <v/>
      </c>
      <c r="M290" s="165" t="str">
        <f>IF($A290="","",IF(N('Daily Data'!$AK290)&lt;=1,"OK",IF(ROUND(N('Daily Data'!$D290),2)=ROUND(SUMIFS('Daily Data'!$E$4:$E$503,'Daily Data'!$B$4:$B$503,'Daily Data'!$B290,'Daily Data'!$AK$4:$AK$503,'Daily Data'!$AK290-1),2),"OK","WARNING")))</f>
        <v/>
      </c>
      <c r="N290" s="165" t="str">
        <f>IF($A290="","",IF(N('Daily Data'!$N290)&lt;=0,"WARNING","OK"))</f>
        <v/>
      </c>
      <c r="O290" s="165" t="str">
        <f>IF($A290="","",IF(AND(ISNUMBER('Daily Data'!$H290),ABS(N('Daily Data'!$H290))&gt;Settings!$C$56),"WARNING","OK"))</f>
        <v/>
      </c>
      <c r="P290" s="165" t="str">
        <f>IF($A290="","",IF(OR(AND(N('Daily Data'!$K290)=0,N('Daily Data'!$I290)&gt;0),AND(N('Daily Data'!$I290)=0,N('Daily Data'!$K290)&gt;0),AND(N('Daily Data'!$L290)=0,N('Daily Data'!$M290)=0)),"WARNING","OK"))</f>
        <v/>
      </c>
      <c r="Q290" s="165" t="str">
        <f>IF($A290="","",IF(COUNTIFS('Daily Data'!$B$4:$B$503,'Daily Data'!$B290,'Daily Data'!$A$4:$A$503,'Daily Data'!$A290,'Daily Data'!$Q$4:$Q$503,'Daily Data'!$Q290)&gt;1,"WARNING","OK"))</f>
        <v/>
      </c>
      <c r="R290" s="165" t="str">
        <f>IF($A290="","",IF(AND(N('Daily Data'!$K290)&gt;0,N('Daily Data'!$J290)&lt;=0),"WARNING","OK"))</f>
        <v/>
      </c>
      <c r="S290" s="165" t="str">
        <f>IF($A290="","",COUNTIF($D290:$R290,"ERROR"))</f>
        <v/>
      </c>
      <c r="T290" s="165" t="str">
        <f>IF($A290="","",COUNTIF($D290:$R290,"WARNING"))</f>
        <v/>
      </c>
      <c r="U290" s="165" t="str">
        <f>IF($A290="","",IF($S290&gt;0,"ERROR",IF($T290&gt;0,"WARNING","PASS")))</f>
        <v/>
      </c>
    </row>
    <row r="291" spans="1:21" x14ac:dyDescent="0.3">
      <c r="A291" t="str">
        <f>IF(AND('Daily Data'!$A291="",'Daily Data'!$B291=""),"",291)</f>
        <v/>
      </c>
      <c r="B291" s="16" t="str">
        <f>IF($A291="","",'Daily Data'!$A291)</f>
        <v/>
      </c>
      <c r="C291" t="str">
        <f>IF($A291="","",'Daily Data'!$B291)</f>
        <v/>
      </c>
      <c r="D291" s="165" t="str">
        <f>IF($A291="","",IF(COUNTIFS('Daily Data'!$B$4:$B$503,'Daily Data'!$B291,'Daily Data'!$A$4:$A$503,'Daily Data'!$A291)&gt;1,"ERROR","OK"))</f>
        <v/>
      </c>
      <c r="E291" s="165" t="str">
        <f>IF($A291="","",IF('Daily Data'!$B291="","ERROR","OK"))</f>
        <v/>
      </c>
      <c r="F291" s="165" t="str">
        <f>IF($A291="","",IF(NOT(ISNUMBER('Daily Data'!$A291)),"ERROR","OK"))</f>
        <v/>
      </c>
      <c r="G291" s="165" t="str">
        <f>IF($A291="","",IF(OR(N('Daily Data'!$E291)&lt;=0,N('Daily Data'!$C291)&lt;0,N('Daily Data'!$D291)&lt;0,N('Daily Data'!$F291)&lt;0,N('Daily Data'!$G291)&lt;0),"ERROR","OK"))</f>
        <v/>
      </c>
      <c r="H291" s="165" t="str">
        <f>IF($A291="","",IF(N('Daily Data'!$K291)&lt;0,"ERROR","OK"))</f>
        <v/>
      </c>
      <c r="I291" s="165" t="str">
        <f>IF($A291="","",IF(N('Daily Data'!$I291)&lt;0,"ERROR","OK"))</f>
        <v/>
      </c>
      <c r="J291" s="165" t="str">
        <f>IF($A291="","",IF(N('Daily Data'!$L291)&lt;0,"ERROR","OK"))</f>
        <v/>
      </c>
      <c r="K291" s="165" t="str">
        <f>IF($A291="","",IF(N('Daily Data'!$M291)&lt;0,"ERROR","OK"))</f>
        <v/>
      </c>
      <c r="L291" s="165" t="str">
        <f>IF($A291="","",IF(OR(N('Daily Data'!$F291)=0,N('Daily Data'!$G291)=0),"OK",IF(OR(N('Daily Data'!$E291)&gt;N('Daily Data'!$F291),N('Daily Data'!$E291)&lt;N('Daily Data'!$G291)),"ERROR","OK")))</f>
        <v/>
      </c>
      <c r="M291" s="165" t="str">
        <f>IF($A291="","",IF(N('Daily Data'!$AK291)&lt;=1,"OK",IF(ROUND(N('Daily Data'!$D291),2)=ROUND(SUMIFS('Daily Data'!$E$4:$E$503,'Daily Data'!$B$4:$B$503,'Daily Data'!$B291,'Daily Data'!$AK$4:$AK$503,'Daily Data'!$AK291-1),2),"OK","WARNING")))</f>
        <v/>
      </c>
      <c r="N291" s="165" t="str">
        <f>IF($A291="","",IF(N('Daily Data'!$N291)&lt;=0,"WARNING","OK"))</f>
        <v/>
      </c>
      <c r="O291" s="165" t="str">
        <f>IF($A291="","",IF(AND(ISNUMBER('Daily Data'!$H291),ABS(N('Daily Data'!$H291))&gt;Settings!$C$56),"WARNING","OK"))</f>
        <v/>
      </c>
      <c r="P291" s="165" t="str">
        <f>IF($A291="","",IF(OR(AND(N('Daily Data'!$K291)=0,N('Daily Data'!$I291)&gt;0),AND(N('Daily Data'!$I291)=0,N('Daily Data'!$K291)&gt;0),AND(N('Daily Data'!$L291)=0,N('Daily Data'!$M291)=0)),"WARNING","OK"))</f>
        <v/>
      </c>
      <c r="Q291" s="165" t="str">
        <f>IF($A291="","",IF(COUNTIFS('Daily Data'!$B$4:$B$503,'Daily Data'!$B291,'Daily Data'!$A$4:$A$503,'Daily Data'!$A291,'Daily Data'!$Q$4:$Q$503,'Daily Data'!$Q291)&gt;1,"WARNING","OK"))</f>
        <v/>
      </c>
      <c r="R291" s="165" t="str">
        <f>IF($A291="","",IF(AND(N('Daily Data'!$K291)&gt;0,N('Daily Data'!$J291)&lt;=0),"WARNING","OK"))</f>
        <v/>
      </c>
      <c r="S291" s="165" t="str">
        <f>IF($A291="","",COUNTIF($D291:$R291,"ERROR"))</f>
        <v/>
      </c>
      <c r="T291" s="165" t="str">
        <f>IF($A291="","",COUNTIF($D291:$R291,"WARNING"))</f>
        <v/>
      </c>
      <c r="U291" s="165" t="str">
        <f>IF($A291="","",IF($S291&gt;0,"ERROR",IF($T291&gt;0,"WARNING","PASS")))</f>
        <v/>
      </c>
    </row>
    <row r="292" spans="1:21" x14ac:dyDescent="0.3">
      <c r="A292" t="str">
        <f>IF(AND('Daily Data'!$A292="",'Daily Data'!$B292=""),"",292)</f>
        <v/>
      </c>
      <c r="B292" s="16" t="str">
        <f>IF($A292="","",'Daily Data'!$A292)</f>
        <v/>
      </c>
      <c r="C292" t="str">
        <f>IF($A292="","",'Daily Data'!$B292)</f>
        <v/>
      </c>
      <c r="D292" s="165" t="str">
        <f>IF($A292="","",IF(COUNTIFS('Daily Data'!$B$4:$B$503,'Daily Data'!$B292,'Daily Data'!$A$4:$A$503,'Daily Data'!$A292)&gt;1,"ERROR","OK"))</f>
        <v/>
      </c>
      <c r="E292" s="165" t="str">
        <f>IF($A292="","",IF('Daily Data'!$B292="","ERROR","OK"))</f>
        <v/>
      </c>
      <c r="F292" s="165" t="str">
        <f>IF($A292="","",IF(NOT(ISNUMBER('Daily Data'!$A292)),"ERROR","OK"))</f>
        <v/>
      </c>
      <c r="G292" s="165" t="str">
        <f>IF($A292="","",IF(OR(N('Daily Data'!$E292)&lt;=0,N('Daily Data'!$C292)&lt;0,N('Daily Data'!$D292)&lt;0,N('Daily Data'!$F292)&lt;0,N('Daily Data'!$G292)&lt;0),"ERROR","OK"))</f>
        <v/>
      </c>
      <c r="H292" s="165" t="str">
        <f>IF($A292="","",IF(N('Daily Data'!$K292)&lt;0,"ERROR","OK"))</f>
        <v/>
      </c>
      <c r="I292" s="165" t="str">
        <f>IF($A292="","",IF(N('Daily Data'!$I292)&lt;0,"ERROR","OK"))</f>
        <v/>
      </c>
      <c r="J292" s="165" t="str">
        <f>IF($A292="","",IF(N('Daily Data'!$L292)&lt;0,"ERROR","OK"))</f>
        <v/>
      </c>
      <c r="K292" s="165" t="str">
        <f>IF($A292="","",IF(N('Daily Data'!$M292)&lt;0,"ERROR","OK"))</f>
        <v/>
      </c>
      <c r="L292" s="165" t="str">
        <f>IF($A292="","",IF(OR(N('Daily Data'!$F292)=0,N('Daily Data'!$G292)=0),"OK",IF(OR(N('Daily Data'!$E292)&gt;N('Daily Data'!$F292),N('Daily Data'!$E292)&lt;N('Daily Data'!$G292)),"ERROR","OK")))</f>
        <v/>
      </c>
      <c r="M292" s="165" t="str">
        <f>IF($A292="","",IF(N('Daily Data'!$AK292)&lt;=1,"OK",IF(ROUND(N('Daily Data'!$D292),2)=ROUND(SUMIFS('Daily Data'!$E$4:$E$503,'Daily Data'!$B$4:$B$503,'Daily Data'!$B292,'Daily Data'!$AK$4:$AK$503,'Daily Data'!$AK292-1),2),"OK","WARNING")))</f>
        <v/>
      </c>
      <c r="N292" s="165" t="str">
        <f>IF($A292="","",IF(N('Daily Data'!$N292)&lt;=0,"WARNING","OK"))</f>
        <v/>
      </c>
      <c r="O292" s="165" t="str">
        <f>IF($A292="","",IF(AND(ISNUMBER('Daily Data'!$H292),ABS(N('Daily Data'!$H292))&gt;Settings!$C$56),"WARNING","OK"))</f>
        <v/>
      </c>
      <c r="P292" s="165" t="str">
        <f>IF($A292="","",IF(OR(AND(N('Daily Data'!$K292)=0,N('Daily Data'!$I292)&gt;0),AND(N('Daily Data'!$I292)=0,N('Daily Data'!$K292)&gt;0),AND(N('Daily Data'!$L292)=0,N('Daily Data'!$M292)=0)),"WARNING","OK"))</f>
        <v/>
      </c>
      <c r="Q292" s="165" t="str">
        <f>IF($A292="","",IF(COUNTIFS('Daily Data'!$B$4:$B$503,'Daily Data'!$B292,'Daily Data'!$A$4:$A$503,'Daily Data'!$A292,'Daily Data'!$Q$4:$Q$503,'Daily Data'!$Q292)&gt;1,"WARNING","OK"))</f>
        <v/>
      </c>
      <c r="R292" s="165" t="str">
        <f>IF($A292="","",IF(AND(N('Daily Data'!$K292)&gt;0,N('Daily Data'!$J292)&lt;=0),"WARNING","OK"))</f>
        <v/>
      </c>
      <c r="S292" s="165" t="str">
        <f>IF($A292="","",COUNTIF($D292:$R292,"ERROR"))</f>
        <v/>
      </c>
      <c r="T292" s="165" t="str">
        <f>IF($A292="","",COUNTIF($D292:$R292,"WARNING"))</f>
        <v/>
      </c>
      <c r="U292" s="165" t="str">
        <f>IF($A292="","",IF($S292&gt;0,"ERROR",IF($T292&gt;0,"WARNING","PASS")))</f>
        <v/>
      </c>
    </row>
    <row r="293" spans="1:21" x14ac:dyDescent="0.3">
      <c r="A293" t="str">
        <f>IF(AND('Daily Data'!$A293="",'Daily Data'!$B293=""),"",293)</f>
        <v/>
      </c>
      <c r="B293" s="16" t="str">
        <f>IF($A293="","",'Daily Data'!$A293)</f>
        <v/>
      </c>
      <c r="C293" t="str">
        <f>IF($A293="","",'Daily Data'!$B293)</f>
        <v/>
      </c>
      <c r="D293" s="165" t="str">
        <f>IF($A293="","",IF(COUNTIFS('Daily Data'!$B$4:$B$503,'Daily Data'!$B293,'Daily Data'!$A$4:$A$503,'Daily Data'!$A293)&gt;1,"ERROR","OK"))</f>
        <v/>
      </c>
      <c r="E293" s="165" t="str">
        <f>IF($A293="","",IF('Daily Data'!$B293="","ERROR","OK"))</f>
        <v/>
      </c>
      <c r="F293" s="165" t="str">
        <f>IF($A293="","",IF(NOT(ISNUMBER('Daily Data'!$A293)),"ERROR","OK"))</f>
        <v/>
      </c>
      <c r="G293" s="165" t="str">
        <f>IF($A293="","",IF(OR(N('Daily Data'!$E293)&lt;=0,N('Daily Data'!$C293)&lt;0,N('Daily Data'!$D293)&lt;0,N('Daily Data'!$F293)&lt;0,N('Daily Data'!$G293)&lt;0),"ERROR","OK"))</f>
        <v/>
      </c>
      <c r="H293" s="165" t="str">
        <f>IF($A293="","",IF(N('Daily Data'!$K293)&lt;0,"ERROR","OK"))</f>
        <v/>
      </c>
      <c r="I293" s="165" t="str">
        <f>IF($A293="","",IF(N('Daily Data'!$I293)&lt;0,"ERROR","OK"))</f>
        <v/>
      </c>
      <c r="J293" s="165" t="str">
        <f>IF($A293="","",IF(N('Daily Data'!$L293)&lt;0,"ERROR","OK"))</f>
        <v/>
      </c>
      <c r="K293" s="165" t="str">
        <f>IF($A293="","",IF(N('Daily Data'!$M293)&lt;0,"ERROR","OK"))</f>
        <v/>
      </c>
      <c r="L293" s="165" t="str">
        <f>IF($A293="","",IF(OR(N('Daily Data'!$F293)=0,N('Daily Data'!$G293)=0),"OK",IF(OR(N('Daily Data'!$E293)&gt;N('Daily Data'!$F293),N('Daily Data'!$E293)&lt;N('Daily Data'!$G293)),"ERROR","OK")))</f>
        <v/>
      </c>
      <c r="M293" s="165" t="str">
        <f>IF($A293="","",IF(N('Daily Data'!$AK293)&lt;=1,"OK",IF(ROUND(N('Daily Data'!$D293),2)=ROUND(SUMIFS('Daily Data'!$E$4:$E$503,'Daily Data'!$B$4:$B$503,'Daily Data'!$B293,'Daily Data'!$AK$4:$AK$503,'Daily Data'!$AK293-1),2),"OK","WARNING")))</f>
        <v/>
      </c>
      <c r="N293" s="165" t="str">
        <f>IF($A293="","",IF(N('Daily Data'!$N293)&lt;=0,"WARNING","OK"))</f>
        <v/>
      </c>
      <c r="O293" s="165" t="str">
        <f>IF($A293="","",IF(AND(ISNUMBER('Daily Data'!$H293),ABS(N('Daily Data'!$H293))&gt;Settings!$C$56),"WARNING","OK"))</f>
        <v/>
      </c>
      <c r="P293" s="165" t="str">
        <f>IF($A293="","",IF(OR(AND(N('Daily Data'!$K293)=0,N('Daily Data'!$I293)&gt;0),AND(N('Daily Data'!$I293)=0,N('Daily Data'!$K293)&gt;0),AND(N('Daily Data'!$L293)=0,N('Daily Data'!$M293)=0)),"WARNING","OK"))</f>
        <v/>
      </c>
      <c r="Q293" s="165" t="str">
        <f>IF($A293="","",IF(COUNTIFS('Daily Data'!$B$4:$B$503,'Daily Data'!$B293,'Daily Data'!$A$4:$A$503,'Daily Data'!$A293,'Daily Data'!$Q$4:$Q$503,'Daily Data'!$Q293)&gt;1,"WARNING","OK"))</f>
        <v/>
      </c>
      <c r="R293" s="165" t="str">
        <f>IF($A293="","",IF(AND(N('Daily Data'!$K293)&gt;0,N('Daily Data'!$J293)&lt;=0),"WARNING","OK"))</f>
        <v/>
      </c>
      <c r="S293" s="165" t="str">
        <f>IF($A293="","",COUNTIF($D293:$R293,"ERROR"))</f>
        <v/>
      </c>
      <c r="T293" s="165" t="str">
        <f>IF($A293="","",COUNTIF($D293:$R293,"WARNING"))</f>
        <v/>
      </c>
      <c r="U293" s="165" t="str">
        <f>IF($A293="","",IF($S293&gt;0,"ERROR",IF($T293&gt;0,"WARNING","PASS")))</f>
        <v/>
      </c>
    </row>
    <row r="294" spans="1:21" x14ac:dyDescent="0.3">
      <c r="A294" t="str">
        <f>IF(AND('Daily Data'!$A294="",'Daily Data'!$B294=""),"",294)</f>
        <v/>
      </c>
      <c r="B294" s="16" t="str">
        <f>IF($A294="","",'Daily Data'!$A294)</f>
        <v/>
      </c>
      <c r="C294" t="str">
        <f>IF($A294="","",'Daily Data'!$B294)</f>
        <v/>
      </c>
      <c r="D294" s="165" t="str">
        <f>IF($A294="","",IF(COUNTIFS('Daily Data'!$B$4:$B$503,'Daily Data'!$B294,'Daily Data'!$A$4:$A$503,'Daily Data'!$A294)&gt;1,"ERROR","OK"))</f>
        <v/>
      </c>
      <c r="E294" s="165" t="str">
        <f>IF($A294="","",IF('Daily Data'!$B294="","ERROR","OK"))</f>
        <v/>
      </c>
      <c r="F294" s="165" t="str">
        <f>IF($A294="","",IF(NOT(ISNUMBER('Daily Data'!$A294)),"ERROR","OK"))</f>
        <v/>
      </c>
      <c r="G294" s="165" t="str">
        <f>IF($A294="","",IF(OR(N('Daily Data'!$E294)&lt;=0,N('Daily Data'!$C294)&lt;0,N('Daily Data'!$D294)&lt;0,N('Daily Data'!$F294)&lt;0,N('Daily Data'!$G294)&lt;0),"ERROR","OK"))</f>
        <v/>
      </c>
      <c r="H294" s="165" t="str">
        <f>IF($A294="","",IF(N('Daily Data'!$K294)&lt;0,"ERROR","OK"))</f>
        <v/>
      </c>
      <c r="I294" s="165" t="str">
        <f>IF($A294="","",IF(N('Daily Data'!$I294)&lt;0,"ERROR","OK"))</f>
        <v/>
      </c>
      <c r="J294" s="165" t="str">
        <f>IF($A294="","",IF(N('Daily Data'!$L294)&lt;0,"ERROR","OK"))</f>
        <v/>
      </c>
      <c r="K294" s="165" t="str">
        <f>IF($A294="","",IF(N('Daily Data'!$M294)&lt;0,"ERROR","OK"))</f>
        <v/>
      </c>
      <c r="L294" s="165" t="str">
        <f>IF($A294="","",IF(OR(N('Daily Data'!$F294)=0,N('Daily Data'!$G294)=0),"OK",IF(OR(N('Daily Data'!$E294)&gt;N('Daily Data'!$F294),N('Daily Data'!$E294)&lt;N('Daily Data'!$G294)),"ERROR","OK")))</f>
        <v/>
      </c>
      <c r="M294" s="165" t="str">
        <f>IF($A294="","",IF(N('Daily Data'!$AK294)&lt;=1,"OK",IF(ROUND(N('Daily Data'!$D294),2)=ROUND(SUMIFS('Daily Data'!$E$4:$E$503,'Daily Data'!$B$4:$B$503,'Daily Data'!$B294,'Daily Data'!$AK$4:$AK$503,'Daily Data'!$AK294-1),2),"OK","WARNING")))</f>
        <v/>
      </c>
      <c r="N294" s="165" t="str">
        <f>IF($A294="","",IF(N('Daily Data'!$N294)&lt;=0,"WARNING","OK"))</f>
        <v/>
      </c>
      <c r="O294" s="165" t="str">
        <f>IF($A294="","",IF(AND(ISNUMBER('Daily Data'!$H294),ABS(N('Daily Data'!$H294))&gt;Settings!$C$56),"WARNING","OK"))</f>
        <v/>
      </c>
      <c r="P294" s="165" t="str">
        <f>IF($A294="","",IF(OR(AND(N('Daily Data'!$K294)=0,N('Daily Data'!$I294)&gt;0),AND(N('Daily Data'!$I294)=0,N('Daily Data'!$K294)&gt;0),AND(N('Daily Data'!$L294)=0,N('Daily Data'!$M294)=0)),"WARNING","OK"))</f>
        <v/>
      </c>
      <c r="Q294" s="165" t="str">
        <f>IF($A294="","",IF(COUNTIFS('Daily Data'!$B$4:$B$503,'Daily Data'!$B294,'Daily Data'!$A$4:$A$503,'Daily Data'!$A294,'Daily Data'!$Q$4:$Q$503,'Daily Data'!$Q294)&gt;1,"WARNING","OK"))</f>
        <v/>
      </c>
      <c r="R294" s="165" t="str">
        <f>IF($A294="","",IF(AND(N('Daily Data'!$K294)&gt;0,N('Daily Data'!$J294)&lt;=0),"WARNING","OK"))</f>
        <v/>
      </c>
      <c r="S294" s="165" t="str">
        <f>IF($A294="","",COUNTIF($D294:$R294,"ERROR"))</f>
        <v/>
      </c>
      <c r="T294" s="165" t="str">
        <f>IF($A294="","",COUNTIF($D294:$R294,"WARNING"))</f>
        <v/>
      </c>
      <c r="U294" s="165" t="str">
        <f>IF($A294="","",IF($S294&gt;0,"ERROR",IF($T294&gt;0,"WARNING","PASS")))</f>
        <v/>
      </c>
    </row>
    <row r="295" spans="1:21" x14ac:dyDescent="0.3">
      <c r="A295" t="str">
        <f>IF(AND('Daily Data'!$A295="",'Daily Data'!$B295=""),"",295)</f>
        <v/>
      </c>
      <c r="B295" s="16" t="str">
        <f>IF($A295="","",'Daily Data'!$A295)</f>
        <v/>
      </c>
      <c r="C295" t="str">
        <f>IF($A295="","",'Daily Data'!$B295)</f>
        <v/>
      </c>
      <c r="D295" s="165" t="str">
        <f>IF($A295="","",IF(COUNTIFS('Daily Data'!$B$4:$B$503,'Daily Data'!$B295,'Daily Data'!$A$4:$A$503,'Daily Data'!$A295)&gt;1,"ERROR","OK"))</f>
        <v/>
      </c>
      <c r="E295" s="165" t="str">
        <f>IF($A295="","",IF('Daily Data'!$B295="","ERROR","OK"))</f>
        <v/>
      </c>
      <c r="F295" s="165" t="str">
        <f>IF($A295="","",IF(NOT(ISNUMBER('Daily Data'!$A295)),"ERROR","OK"))</f>
        <v/>
      </c>
      <c r="G295" s="165" t="str">
        <f>IF($A295="","",IF(OR(N('Daily Data'!$E295)&lt;=0,N('Daily Data'!$C295)&lt;0,N('Daily Data'!$D295)&lt;0,N('Daily Data'!$F295)&lt;0,N('Daily Data'!$G295)&lt;0),"ERROR","OK"))</f>
        <v/>
      </c>
      <c r="H295" s="165" t="str">
        <f>IF($A295="","",IF(N('Daily Data'!$K295)&lt;0,"ERROR","OK"))</f>
        <v/>
      </c>
      <c r="I295" s="165" t="str">
        <f>IF($A295="","",IF(N('Daily Data'!$I295)&lt;0,"ERROR","OK"))</f>
        <v/>
      </c>
      <c r="J295" s="165" t="str">
        <f>IF($A295="","",IF(N('Daily Data'!$L295)&lt;0,"ERROR","OK"))</f>
        <v/>
      </c>
      <c r="K295" s="165" t="str">
        <f>IF($A295="","",IF(N('Daily Data'!$M295)&lt;0,"ERROR","OK"))</f>
        <v/>
      </c>
      <c r="L295" s="165" t="str">
        <f>IF($A295="","",IF(OR(N('Daily Data'!$F295)=0,N('Daily Data'!$G295)=0),"OK",IF(OR(N('Daily Data'!$E295)&gt;N('Daily Data'!$F295),N('Daily Data'!$E295)&lt;N('Daily Data'!$G295)),"ERROR","OK")))</f>
        <v/>
      </c>
      <c r="M295" s="165" t="str">
        <f>IF($A295="","",IF(N('Daily Data'!$AK295)&lt;=1,"OK",IF(ROUND(N('Daily Data'!$D295),2)=ROUND(SUMIFS('Daily Data'!$E$4:$E$503,'Daily Data'!$B$4:$B$503,'Daily Data'!$B295,'Daily Data'!$AK$4:$AK$503,'Daily Data'!$AK295-1),2),"OK","WARNING")))</f>
        <v/>
      </c>
      <c r="N295" s="165" t="str">
        <f>IF($A295="","",IF(N('Daily Data'!$N295)&lt;=0,"WARNING","OK"))</f>
        <v/>
      </c>
      <c r="O295" s="165" t="str">
        <f>IF($A295="","",IF(AND(ISNUMBER('Daily Data'!$H295),ABS(N('Daily Data'!$H295))&gt;Settings!$C$56),"WARNING","OK"))</f>
        <v/>
      </c>
      <c r="P295" s="165" t="str">
        <f>IF($A295="","",IF(OR(AND(N('Daily Data'!$K295)=0,N('Daily Data'!$I295)&gt;0),AND(N('Daily Data'!$I295)=0,N('Daily Data'!$K295)&gt;0),AND(N('Daily Data'!$L295)=0,N('Daily Data'!$M295)=0)),"WARNING","OK"))</f>
        <v/>
      </c>
      <c r="Q295" s="165" t="str">
        <f>IF($A295="","",IF(COUNTIFS('Daily Data'!$B$4:$B$503,'Daily Data'!$B295,'Daily Data'!$A$4:$A$503,'Daily Data'!$A295,'Daily Data'!$Q$4:$Q$503,'Daily Data'!$Q295)&gt;1,"WARNING","OK"))</f>
        <v/>
      </c>
      <c r="R295" s="165" t="str">
        <f>IF($A295="","",IF(AND(N('Daily Data'!$K295)&gt;0,N('Daily Data'!$J295)&lt;=0),"WARNING","OK"))</f>
        <v/>
      </c>
      <c r="S295" s="165" t="str">
        <f>IF($A295="","",COUNTIF($D295:$R295,"ERROR"))</f>
        <v/>
      </c>
      <c r="T295" s="165" t="str">
        <f>IF($A295="","",COUNTIF($D295:$R295,"WARNING"))</f>
        <v/>
      </c>
      <c r="U295" s="165" t="str">
        <f>IF($A295="","",IF($S295&gt;0,"ERROR",IF($T295&gt;0,"WARNING","PASS")))</f>
        <v/>
      </c>
    </row>
    <row r="296" spans="1:21" x14ac:dyDescent="0.3">
      <c r="A296" t="str">
        <f>IF(AND('Daily Data'!$A296="",'Daily Data'!$B296=""),"",296)</f>
        <v/>
      </c>
      <c r="B296" s="16" t="str">
        <f>IF($A296="","",'Daily Data'!$A296)</f>
        <v/>
      </c>
      <c r="C296" t="str">
        <f>IF($A296="","",'Daily Data'!$B296)</f>
        <v/>
      </c>
      <c r="D296" s="165" t="str">
        <f>IF($A296="","",IF(COUNTIFS('Daily Data'!$B$4:$B$503,'Daily Data'!$B296,'Daily Data'!$A$4:$A$503,'Daily Data'!$A296)&gt;1,"ERROR","OK"))</f>
        <v/>
      </c>
      <c r="E296" s="165" t="str">
        <f>IF($A296="","",IF('Daily Data'!$B296="","ERROR","OK"))</f>
        <v/>
      </c>
      <c r="F296" s="165" t="str">
        <f>IF($A296="","",IF(NOT(ISNUMBER('Daily Data'!$A296)),"ERROR","OK"))</f>
        <v/>
      </c>
      <c r="G296" s="165" t="str">
        <f>IF($A296="","",IF(OR(N('Daily Data'!$E296)&lt;=0,N('Daily Data'!$C296)&lt;0,N('Daily Data'!$D296)&lt;0,N('Daily Data'!$F296)&lt;0,N('Daily Data'!$G296)&lt;0),"ERROR","OK"))</f>
        <v/>
      </c>
      <c r="H296" s="165" t="str">
        <f>IF($A296="","",IF(N('Daily Data'!$K296)&lt;0,"ERROR","OK"))</f>
        <v/>
      </c>
      <c r="I296" s="165" t="str">
        <f>IF($A296="","",IF(N('Daily Data'!$I296)&lt;0,"ERROR","OK"))</f>
        <v/>
      </c>
      <c r="J296" s="165" t="str">
        <f>IF($A296="","",IF(N('Daily Data'!$L296)&lt;0,"ERROR","OK"))</f>
        <v/>
      </c>
      <c r="K296" s="165" t="str">
        <f>IF($A296="","",IF(N('Daily Data'!$M296)&lt;0,"ERROR","OK"))</f>
        <v/>
      </c>
      <c r="L296" s="165" t="str">
        <f>IF($A296="","",IF(OR(N('Daily Data'!$F296)=0,N('Daily Data'!$G296)=0),"OK",IF(OR(N('Daily Data'!$E296)&gt;N('Daily Data'!$F296),N('Daily Data'!$E296)&lt;N('Daily Data'!$G296)),"ERROR","OK")))</f>
        <v/>
      </c>
      <c r="M296" s="165" t="str">
        <f>IF($A296="","",IF(N('Daily Data'!$AK296)&lt;=1,"OK",IF(ROUND(N('Daily Data'!$D296),2)=ROUND(SUMIFS('Daily Data'!$E$4:$E$503,'Daily Data'!$B$4:$B$503,'Daily Data'!$B296,'Daily Data'!$AK$4:$AK$503,'Daily Data'!$AK296-1),2),"OK","WARNING")))</f>
        <v/>
      </c>
      <c r="N296" s="165" t="str">
        <f>IF($A296="","",IF(N('Daily Data'!$N296)&lt;=0,"WARNING","OK"))</f>
        <v/>
      </c>
      <c r="O296" s="165" t="str">
        <f>IF($A296="","",IF(AND(ISNUMBER('Daily Data'!$H296),ABS(N('Daily Data'!$H296))&gt;Settings!$C$56),"WARNING","OK"))</f>
        <v/>
      </c>
      <c r="P296" s="165" t="str">
        <f>IF($A296="","",IF(OR(AND(N('Daily Data'!$K296)=0,N('Daily Data'!$I296)&gt;0),AND(N('Daily Data'!$I296)=0,N('Daily Data'!$K296)&gt;0),AND(N('Daily Data'!$L296)=0,N('Daily Data'!$M296)=0)),"WARNING","OK"))</f>
        <v/>
      </c>
      <c r="Q296" s="165" t="str">
        <f>IF($A296="","",IF(COUNTIFS('Daily Data'!$B$4:$B$503,'Daily Data'!$B296,'Daily Data'!$A$4:$A$503,'Daily Data'!$A296,'Daily Data'!$Q$4:$Q$503,'Daily Data'!$Q296)&gt;1,"WARNING","OK"))</f>
        <v/>
      </c>
      <c r="R296" s="165" t="str">
        <f>IF($A296="","",IF(AND(N('Daily Data'!$K296)&gt;0,N('Daily Data'!$J296)&lt;=0),"WARNING","OK"))</f>
        <v/>
      </c>
      <c r="S296" s="165" t="str">
        <f>IF($A296="","",COUNTIF($D296:$R296,"ERROR"))</f>
        <v/>
      </c>
      <c r="T296" s="165" t="str">
        <f>IF($A296="","",COUNTIF($D296:$R296,"WARNING"))</f>
        <v/>
      </c>
      <c r="U296" s="165" t="str">
        <f>IF($A296="","",IF($S296&gt;0,"ERROR",IF($T296&gt;0,"WARNING","PASS")))</f>
        <v/>
      </c>
    </row>
    <row r="297" spans="1:21" x14ac:dyDescent="0.3">
      <c r="A297" t="str">
        <f>IF(AND('Daily Data'!$A297="",'Daily Data'!$B297=""),"",297)</f>
        <v/>
      </c>
      <c r="B297" s="16" t="str">
        <f>IF($A297="","",'Daily Data'!$A297)</f>
        <v/>
      </c>
      <c r="C297" t="str">
        <f>IF($A297="","",'Daily Data'!$B297)</f>
        <v/>
      </c>
      <c r="D297" s="165" t="str">
        <f>IF($A297="","",IF(COUNTIFS('Daily Data'!$B$4:$B$503,'Daily Data'!$B297,'Daily Data'!$A$4:$A$503,'Daily Data'!$A297)&gt;1,"ERROR","OK"))</f>
        <v/>
      </c>
      <c r="E297" s="165" t="str">
        <f>IF($A297="","",IF('Daily Data'!$B297="","ERROR","OK"))</f>
        <v/>
      </c>
      <c r="F297" s="165" t="str">
        <f>IF($A297="","",IF(NOT(ISNUMBER('Daily Data'!$A297)),"ERROR","OK"))</f>
        <v/>
      </c>
      <c r="G297" s="165" t="str">
        <f>IF($A297="","",IF(OR(N('Daily Data'!$E297)&lt;=0,N('Daily Data'!$C297)&lt;0,N('Daily Data'!$D297)&lt;0,N('Daily Data'!$F297)&lt;0,N('Daily Data'!$G297)&lt;0),"ERROR","OK"))</f>
        <v/>
      </c>
      <c r="H297" s="165" t="str">
        <f>IF($A297="","",IF(N('Daily Data'!$K297)&lt;0,"ERROR","OK"))</f>
        <v/>
      </c>
      <c r="I297" s="165" t="str">
        <f>IF($A297="","",IF(N('Daily Data'!$I297)&lt;0,"ERROR","OK"))</f>
        <v/>
      </c>
      <c r="J297" s="165" t="str">
        <f>IF($A297="","",IF(N('Daily Data'!$L297)&lt;0,"ERROR","OK"))</f>
        <v/>
      </c>
      <c r="K297" s="165" t="str">
        <f>IF($A297="","",IF(N('Daily Data'!$M297)&lt;0,"ERROR","OK"))</f>
        <v/>
      </c>
      <c r="L297" s="165" t="str">
        <f>IF($A297="","",IF(OR(N('Daily Data'!$F297)=0,N('Daily Data'!$G297)=0),"OK",IF(OR(N('Daily Data'!$E297)&gt;N('Daily Data'!$F297),N('Daily Data'!$E297)&lt;N('Daily Data'!$G297)),"ERROR","OK")))</f>
        <v/>
      </c>
      <c r="M297" s="165" t="str">
        <f>IF($A297="","",IF(N('Daily Data'!$AK297)&lt;=1,"OK",IF(ROUND(N('Daily Data'!$D297),2)=ROUND(SUMIFS('Daily Data'!$E$4:$E$503,'Daily Data'!$B$4:$B$503,'Daily Data'!$B297,'Daily Data'!$AK$4:$AK$503,'Daily Data'!$AK297-1),2),"OK","WARNING")))</f>
        <v/>
      </c>
      <c r="N297" s="165" t="str">
        <f>IF($A297="","",IF(N('Daily Data'!$N297)&lt;=0,"WARNING","OK"))</f>
        <v/>
      </c>
      <c r="O297" s="165" t="str">
        <f>IF($A297="","",IF(AND(ISNUMBER('Daily Data'!$H297),ABS(N('Daily Data'!$H297))&gt;Settings!$C$56),"WARNING","OK"))</f>
        <v/>
      </c>
      <c r="P297" s="165" t="str">
        <f>IF($A297="","",IF(OR(AND(N('Daily Data'!$K297)=0,N('Daily Data'!$I297)&gt;0),AND(N('Daily Data'!$I297)=0,N('Daily Data'!$K297)&gt;0),AND(N('Daily Data'!$L297)=0,N('Daily Data'!$M297)=0)),"WARNING","OK"))</f>
        <v/>
      </c>
      <c r="Q297" s="165" t="str">
        <f>IF($A297="","",IF(COUNTIFS('Daily Data'!$B$4:$B$503,'Daily Data'!$B297,'Daily Data'!$A$4:$A$503,'Daily Data'!$A297,'Daily Data'!$Q$4:$Q$503,'Daily Data'!$Q297)&gt;1,"WARNING","OK"))</f>
        <v/>
      </c>
      <c r="R297" s="165" t="str">
        <f>IF($A297="","",IF(AND(N('Daily Data'!$K297)&gt;0,N('Daily Data'!$J297)&lt;=0),"WARNING","OK"))</f>
        <v/>
      </c>
      <c r="S297" s="165" t="str">
        <f>IF($A297="","",COUNTIF($D297:$R297,"ERROR"))</f>
        <v/>
      </c>
      <c r="T297" s="165" t="str">
        <f>IF($A297="","",COUNTIF($D297:$R297,"WARNING"))</f>
        <v/>
      </c>
      <c r="U297" s="165" t="str">
        <f>IF($A297="","",IF($S297&gt;0,"ERROR",IF($T297&gt;0,"WARNING","PASS")))</f>
        <v/>
      </c>
    </row>
    <row r="298" spans="1:21" x14ac:dyDescent="0.3">
      <c r="A298" t="str">
        <f>IF(AND('Daily Data'!$A298="",'Daily Data'!$B298=""),"",298)</f>
        <v/>
      </c>
      <c r="B298" s="16" t="str">
        <f>IF($A298="","",'Daily Data'!$A298)</f>
        <v/>
      </c>
      <c r="C298" t="str">
        <f>IF($A298="","",'Daily Data'!$B298)</f>
        <v/>
      </c>
      <c r="D298" s="165" t="str">
        <f>IF($A298="","",IF(COUNTIFS('Daily Data'!$B$4:$B$503,'Daily Data'!$B298,'Daily Data'!$A$4:$A$503,'Daily Data'!$A298)&gt;1,"ERROR","OK"))</f>
        <v/>
      </c>
      <c r="E298" s="165" t="str">
        <f>IF($A298="","",IF('Daily Data'!$B298="","ERROR","OK"))</f>
        <v/>
      </c>
      <c r="F298" s="165" t="str">
        <f>IF($A298="","",IF(NOT(ISNUMBER('Daily Data'!$A298)),"ERROR","OK"))</f>
        <v/>
      </c>
      <c r="G298" s="165" t="str">
        <f>IF($A298="","",IF(OR(N('Daily Data'!$E298)&lt;=0,N('Daily Data'!$C298)&lt;0,N('Daily Data'!$D298)&lt;0,N('Daily Data'!$F298)&lt;0,N('Daily Data'!$G298)&lt;0),"ERROR","OK"))</f>
        <v/>
      </c>
      <c r="H298" s="165" t="str">
        <f>IF($A298="","",IF(N('Daily Data'!$K298)&lt;0,"ERROR","OK"))</f>
        <v/>
      </c>
      <c r="I298" s="165" t="str">
        <f>IF($A298="","",IF(N('Daily Data'!$I298)&lt;0,"ERROR","OK"))</f>
        <v/>
      </c>
      <c r="J298" s="165" t="str">
        <f>IF($A298="","",IF(N('Daily Data'!$L298)&lt;0,"ERROR","OK"))</f>
        <v/>
      </c>
      <c r="K298" s="165" t="str">
        <f>IF($A298="","",IF(N('Daily Data'!$M298)&lt;0,"ERROR","OK"))</f>
        <v/>
      </c>
      <c r="L298" s="165" t="str">
        <f>IF($A298="","",IF(OR(N('Daily Data'!$F298)=0,N('Daily Data'!$G298)=0),"OK",IF(OR(N('Daily Data'!$E298)&gt;N('Daily Data'!$F298),N('Daily Data'!$E298)&lt;N('Daily Data'!$G298)),"ERROR","OK")))</f>
        <v/>
      </c>
      <c r="M298" s="165" t="str">
        <f>IF($A298="","",IF(N('Daily Data'!$AK298)&lt;=1,"OK",IF(ROUND(N('Daily Data'!$D298),2)=ROUND(SUMIFS('Daily Data'!$E$4:$E$503,'Daily Data'!$B$4:$B$503,'Daily Data'!$B298,'Daily Data'!$AK$4:$AK$503,'Daily Data'!$AK298-1),2),"OK","WARNING")))</f>
        <v/>
      </c>
      <c r="N298" s="165" t="str">
        <f>IF($A298="","",IF(N('Daily Data'!$N298)&lt;=0,"WARNING","OK"))</f>
        <v/>
      </c>
      <c r="O298" s="165" t="str">
        <f>IF($A298="","",IF(AND(ISNUMBER('Daily Data'!$H298),ABS(N('Daily Data'!$H298))&gt;Settings!$C$56),"WARNING","OK"))</f>
        <v/>
      </c>
      <c r="P298" s="165" t="str">
        <f>IF($A298="","",IF(OR(AND(N('Daily Data'!$K298)=0,N('Daily Data'!$I298)&gt;0),AND(N('Daily Data'!$I298)=0,N('Daily Data'!$K298)&gt;0),AND(N('Daily Data'!$L298)=0,N('Daily Data'!$M298)=0)),"WARNING","OK"))</f>
        <v/>
      </c>
      <c r="Q298" s="165" t="str">
        <f>IF($A298="","",IF(COUNTIFS('Daily Data'!$B$4:$B$503,'Daily Data'!$B298,'Daily Data'!$A$4:$A$503,'Daily Data'!$A298,'Daily Data'!$Q$4:$Q$503,'Daily Data'!$Q298)&gt;1,"WARNING","OK"))</f>
        <v/>
      </c>
      <c r="R298" s="165" t="str">
        <f>IF($A298="","",IF(AND(N('Daily Data'!$K298)&gt;0,N('Daily Data'!$J298)&lt;=0),"WARNING","OK"))</f>
        <v/>
      </c>
      <c r="S298" s="165" t="str">
        <f>IF($A298="","",COUNTIF($D298:$R298,"ERROR"))</f>
        <v/>
      </c>
      <c r="T298" s="165" t="str">
        <f>IF($A298="","",COUNTIF($D298:$R298,"WARNING"))</f>
        <v/>
      </c>
      <c r="U298" s="165" t="str">
        <f>IF($A298="","",IF($S298&gt;0,"ERROR",IF($T298&gt;0,"WARNING","PASS")))</f>
        <v/>
      </c>
    </row>
    <row r="299" spans="1:21" x14ac:dyDescent="0.3">
      <c r="A299" t="str">
        <f>IF(AND('Daily Data'!$A299="",'Daily Data'!$B299=""),"",299)</f>
        <v/>
      </c>
      <c r="B299" s="16" t="str">
        <f>IF($A299="","",'Daily Data'!$A299)</f>
        <v/>
      </c>
      <c r="C299" t="str">
        <f>IF($A299="","",'Daily Data'!$B299)</f>
        <v/>
      </c>
      <c r="D299" s="165" t="str">
        <f>IF($A299="","",IF(COUNTIFS('Daily Data'!$B$4:$B$503,'Daily Data'!$B299,'Daily Data'!$A$4:$A$503,'Daily Data'!$A299)&gt;1,"ERROR","OK"))</f>
        <v/>
      </c>
      <c r="E299" s="165" t="str">
        <f>IF($A299="","",IF('Daily Data'!$B299="","ERROR","OK"))</f>
        <v/>
      </c>
      <c r="F299" s="165" t="str">
        <f>IF($A299="","",IF(NOT(ISNUMBER('Daily Data'!$A299)),"ERROR","OK"))</f>
        <v/>
      </c>
      <c r="G299" s="165" t="str">
        <f>IF($A299="","",IF(OR(N('Daily Data'!$E299)&lt;=0,N('Daily Data'!$C299)&lt;0,N('Daily Data'!$D299)&lt;0,N('Daily Data'!$F299)&lt;0,N('Daily Data'!$G299)&lt;0),"ERROR","OK"))</f>
        <v/>
      </c>
      <c r="H299" s="165" t="str">
        <f>IF($A299="","",IF(N('Daily Data'!$K299)&lt;0,"ERROR","OK"))</f>
        <v/>
      </c>
      <c r="I299" s="165" t="str">
        <f>IF($A299="","",IF(N('Daily Data'!$I299)&lt;0,"ERROR","OK"))</f>
        <v/>
      </c>
      <c r="J299" s="165" t="str">
        <f>IF($A299="","",IF(N('Daily Data'!$L299)&lt;0,"ERROR","OK"))</f>
        <v/>
      </c>
      <c r="K299" s="165" t="str">
        <f>IF($A299="","",IF(N('Daily Data'!$M299)&lt;0,"ERROR","OK"))</f>
        <v/>
      </c>
      <c r="L299" s="165" t="str">
        <f>IF($A299="","",IF(OR(N('Daily Data'!$F299)=0,N('Daily Data'!$G299)=0),"OK",IF(OR(N('Daily Data'!$E299)&gt;N('Daily Data'!$F299),N('Daily Data'!$E299)&lt;N('Daily Data'!$G299)),"ERROR","OK")))</f>
        <v/>
      </c>
      <c r="M299" s="165" t="str">
        <f>IF($A299="","",IF(N('Daily Data'!$AK299)&lt;=1,"OK",IF(ROUND(N('Daily Data'!$D299),2)=ROUND(SUMIFS('Daily Data'!$E$4:$E$503,'Daily Data'!$B$4:$B$503,'Daily Data'!$B299,'Daily Data'!$AK$4:$AK$503,'Daily Data'!$AK299-1),2),"OK","WARNING")))</f>
        <v/>
      </c>
      <c r="N299" s="165" t="str">
        <f>IF($A299="","",IF(N('Daily Data'!$N299)&lt;=0,"WARNING","OK"))</f>
        <v/>
      </c>
      <c r="O299" s="165" t="str">
        <f>IF($A299="","",IF(AND(ISNUMBER('Daily Data'!$H299),ABS(N('Daily Data'!$H299))&gt;Settings!$C$56),"WARNING","OK"))</f>
        <v/>
      </c>
      <c r="P299" s="165" t="str">
        <f>IF($A299="","",IF(OR(AND(N('Daily Data'!$K299)=0,N('Daily Data'!$I299)&gt;0),AND(N('Daily Data'!$I299)=0,N('Daily Data'!$K299)&gt;0),AND(N('Daily Data'!$L299)=0,N('Daily Data'!$M299)=0)),"WARNING","OK"))</f>
        <v/>
      </c>
      <c r="Q299" s="165" t="str">
        <f>IF($A299="","",IF(COUNTIFS('Daily Data'!$B$4:$B$503,'Daily Data'!$B299,'Daily Data'!$A$4:$A$503,'Daily Data'!$A299,'Daily Data'!$Q$4:$Q$503,'Daily Data'!$Q299)&gt;1,"WARNING","OK"))</f>
        <v/>
      </c>
      <c r="R299" s="165" t="str">
        <f>IF($A299="","",IF(AND(N('Daily Data'!$K299)&gt;0,N('Daily Data'!$J299)&lt;=0),"WARNING","OK"))</f>
        <v/>
      </c>
      <c r="S299" s="165" t="str">
        <f>IF($A299="","",COUNTIF($D299:$R299,"ERROR"))</f>
        <v/>
      </c>
      <c r="T299" s="165" t="str">
        <f>IF($A299="","",COUNTIF($D299:$R299,"WARNING"))</f>
        <v/>
      </c>
      <c r="U299" s="165" t="str">
        <f>IF($A299="","",IF($S299&gt;0,"ERROR",IF($T299&gt;0,"WARNING","PASS")))</f>
        <v/>
      </c>
    </row>
    <row r="300" spans="1:21" x14ac:dyDescent="0.3">
      <c r="A300" t="str">
        <f>IF(AND('Daily Data'!$A300="",'Daily Data'!$B300=""),"",300)</f>
        <v/>
      </c>
      <c r="B300" s="16" t="str">
        <f>IF($A300="","",'Daily Data'!$A300)</f>
        <v/>
      </c>
      <c r="C300" t="str">
        <f>IF($A300="","",'Daily Data'!$B300)</f>
        <v/>
      </c>
      <c r="D300" s="165" t="str">
        <f>IF($A300="","",IF(COUNTIFS('Daily Data'!$B$4:$B$503,'Daily Data'!$B300,'Daily Data'!$A$4:$A$503,'Daily Data'!$A300)&gt;1,"ERROR","OK"))</f>
        <v/>
      </c>
      <c r="E300" s="165" t="str">
        <f>IF($A300="","",IF('Daily Data'!$B300="","ERROR","OK"))</f>
        <v/>
      </c>
      <c r="F300" s="165" t="str">
        <f>IF($A300="","",IF(NOT(ISNUMBER('Daily Data'!$A300)),"ERROR","OK"))</f>
        <v/>
      </c>
      <c r="G300" s="165" t="str">
        <f>IF($A300="","",IF(OR(N('Daily Data'!$E300)&lt;=0,N('Daily Data'!$C300)&lt;0,N('Daily Data'!$D300)&lt;0,N('Daily Data'!$F300)&lt;0,N('Daily Data'!$G300)&lt;0),"ERROR","OK"))</f>
        <v/>
      </c>
      <c r="H300" s="165" t="str">
        <f>IF($A300="","",IF(N('Daily Data'!$K300)&lt;0,"ERROR","OK"))</f>
        <v/>
      </c>
      <c r="I300" s="165" t="str">
        <f>IF($A300="","",IF(N('Daily Data'!$I300)&lt;0,"ERROR","OK"))</f>
        <v/>
      </c>
      <c r="J300" s="165" t="str">
        <f>IF($A300="","",IF(N('Daily Data'!$L300)&lt;0,"ERROR","OK"))</f>
        <v/>
      </c>
      <c r="K300" s="165" t="str">
        <f>IF($A300="","",IF(N('Daily Data'!$M300)&lt;0,"ERROR","OK"))</f>
        <v/>
      </c>
      <c r="L300" s="165" t="str">
        <f>IF($A300="","",IF(OR(N('Daily Data'!$F300)=0,N('Daily Data'!$G300)=0),"OK",IF(OR(N('Daily Data'!$E300)&gt;N('Daily Data'!$F300),N('Daily Data'!$E300)&lt;N('Daily Data'!$G300)),"ERROR","OK")))</f>
        <v/>
      </c>
      <c r="M300" s="165" t="str">
        <f>IF($A300="","",IF(N('Daily Data'!$AK300)&lt;=1,"OK",IF(ROUND(N('Daily Data'!$D300),2)=ROUND(SUMIFS('Daily Data'!$E$4:$E$503,'Daily Data'!$B$4:$B$503,'Daily Data'!$B300,'Daily Data'!$AK$4:$AK$503,'Daily Data'!$AK300-1),2),"OK","WARNING")))</f>
        <v/>
      </c>
      <c r="N300" s="165" t="str">
        <f>IF($A300="","",IF(N('Daily Data'!$N300)&lt;=0,"WARNING","OK"))</f>
        <v/>
      </c>
      <c r="O300" s="165" t="str">
        <f>IF($A300="","",IF(AND(ISNUMBER('Daily Data'!$H300),ABS(N('Daily Data'!$H300))&gt;Settings!$C$56),"WARNING","OK"))</f>
        <v/>
      </c>
      <c r="P300" s="165" t="str">
        <f>IF($A300="","",IF(OR(AND(N('Daily Data'!$K300)=0,N('Daily Data'!$I300)&gt;0),AND(N('Daily Data'!$I300)=0,N('Daily Data'!$K300)&gt;0),AND(N('Daily Data'!$L300)=0,N('Daily Data'!$M300)=0)),"WARNING","OK"))</f>
        <v/>
      </c>
      <c r="Q300" s="165" t="str">
        <f>IF($A300="","",IF(COUNTIFS('Daily Data'!$B$4:$B$503,'Daily Data'!$B300,'Daily Data'!$A$4:$A$503,'Daily Data'!$A300,'Daily Data'!$Q$4:$Q$503,'Daily Data'!$Q300)&gt;1,"WARNING","OK"))</f>
        <v/>
      </c>
      <c r="R300" s="165" t="str">
        <f>IF($A300="","",IF(AND(N('Daily Data'!$K300)&gt;0,N('Daily Data'!$J300)&lt;=0),"WARNING","OK"))</f>
        <v/>
      </c>
      <c r="S300" s="165" t="str">
        <f>IF($A300="","",COUNTIF($D300:$R300,"ERROR"))</f>
        <v/>
      </c>
      <c r="T300" s="165" t="str">
        <f>IF($A300="","",COUNTIF($D300:$R300,"WARNING"))</f>
        <v/>
      </c>
      <c r="U300" s="165" t="str">
        <f>IF($A300="","",IF($S300&gt;0,"ERROR",IF($T300&gt;0,"WARNING","PASS")))</f>
        <v/>
      </c>
    </row>
    <row r="301" spans="1:21" x14ac:dyDescent="0.3">
      <c r="A301" t="str">
        <f>IF(AND('Daily Data'!$A301="",'Daily Data'!$B301=""),"",301)</f>
        <v/>
      </c>
      <c r="B301" s="16" t="str">
        <f>IF($A301="","",'Daily Data'!$A301)</f>
        <v/>
      </c>
      <c r="C301" t="str">
        <f>IF($A301="","",'Daily Data'!$B301)</f>
        <v/>
      </c>
      <c r="D301" s="165" t="str">
        <f>IF($A301="","",IF(COUNTIFS('Daily Data'!$B$4:$B$503,'Daily Data'!$B301,'Daily Data'!$A$4:$A$503,'Daily Data'!$A301)&gt;1,"ERROR","OK"))</f>
        <v/>
      </c>
      <c r="E301" s="165" t="str">
        <f>IF($A301="","",IF('Daily Data'!$B301="","ERROR","OK"))</f>
        <v/>
      </c>
      <c r="F301" s="165" t="str">
        <f>IF($A301="","",IF(NOT(ISNUMBER('Daily Data'!$A301)),"ERROR","OK"))</f>
        <v/>
      </c>
      <c r="G301" s="165" t="str">
        <f>IF($A301="","",IF(OR(N('Daily Data'!$E301)&lt;=0,N('Daily Data'!$C301)&lt;0,N('Daily Data'!$D301)&lt;0,N('Daily Data'!$F301)&lt;0,N('Daily Data'!$G301)&lt;0),"ERROR","OK"))</f>
        <v/>
      </c>
      <c r="H301" s="165" t="str">
        <f>IF($A301="","",IF(N('Daily Data'!$K301)&lt;0,"ERROR","OK"))</f>
        <v/>
      </c>
      <c r="I301" s="165" t="str">
        <f>IF($A301="","",IF(N('Daily Data'!$I301)&lt;0,"ERROR","OK"))</f>
        <v/>
      </c>
      <c r="J301" s="165" t="str">
        <f>IF($A301="","",IF(N('Daily Data'!$L301)&lt;0,"ERROR","OK"))</f>
        <v/>
      </c>
      <c r="K301" s="165" t="str">
        <f>IF($A301="","",IF(N('Daily Data'!$M301)&lt;0,"ERROR","OK"))</f>
        <v/>
      </c>
      <c r="L301" s="165" t="str">
        <f>IF($A301="","",IF(OR(N('Daily Data'!$F301)=0,N('Daily Data'!$G301)=0),"OK",IF(OR(N('Daily Data'!$E301)&gt;N('Daily Data'!$F301),N('Daily Data'!$E301)&lt;N('Daily Data'!$G301)),"ERROR","OK")))</f>
        <v/>
      </c>
      <c r="M301" s="165" t="str">
        <f>IF($A301="","",IF(N('Daily Data'!$AK301)&lt;=1,"OK",IF(ROUND(N('Daily Data'!$D301),2)=ROUND(SUMIFS('Daily Data'!$E$4:$E$503,'Daily Data'!$B$4:$B$503,'Daily Data'!$B301,'Daily Data'!$AK$4:$AK$503,'Daily Data'!$AK301-1),2),"OK","WARNING")))</f>
        <v/>
      </c>
      <c r="N301" s="165" t="str">
        <f>IF($A301="","",IF(N('Daily Data'!$N301)&lt;=0,"WARNING","OK"))</f>
        <v/>
      </c>
      <c r="O301" s="165" t="str">
        <f>IF($A301="","",IF(AND(ISNUMBER('Daily Data'!$H301),ABS(N('Daily Data'!$H301))&gt;Settings!$C$56),"WARNING","OK"))</f>
        <v/>
      </c>
      <c r="P301" s="165" t="str">
        <f>IF($A301="","",IF(OR(AND(N('Daily Data'!$K301)=0,N('Daily Data'!$I301)&gt;0),AND(N('Daily Data'!$I301)=0,N('Daily Data'!$K301)&gt;0),AND(N('Daily Data'!$L301)=0,N('Daily Data'!$M301)=0)),"WARNING","OK"))</f>
        <v/>
      </c>
      <c r="Q301" s="165" t="str">
        <f>IF($A301="","",IF(COUNTIFS('Daily Data'!$B$4:$B$503,'Daily Data'!$B301,'Daily Data'!$A$4:$A$503,'Daily Data'!$A301,'Daily Data'!$Q$4:$Q$503,'Daily Data'!$Q301)&gt;1,"WARNING","OK"))</f>
        <v/>
      </c>
      <c r="R301" s="165" t="str">
        <f>IF($A301="","",IF(AND(N('Daily Data'!$K301)&gt;0,N('Daily Data'!$J301)&lt;=0),"WARNING","OK"))</f>
        <v/>
      </c>
      <c r="S301" s="165" t="str">
        <f>IF($A301="","",COUNTIF($D301:$R301,"ERROR"))</f>
        <v/>
      </c>
      <c r="T301" s="165" t="str">
        <f>IF($A301="","",COUNTIF($D301:$R301,"WARNING"))</f>
        <v/>
      </c>
      <c r="U301" s="165" t="str">
        <f>IF($A301="","",IF($S301&gt;0,"ERROR",IF($T301&gt;0,"WARNING","PASS")))</f>
        <v/>
      </c>
    </row>
    <row r="302" spans="1:21" x14ac:dyDescent="0.3">
      <c r="A302" t="str">
        <f>IF(AND('Daily Data'!$A302="",'Daily Data'!$B302=""),"",302)</f>
        <v/>
      </c>
      <c r="B302" s="16" t="str">
        <f>IF($A302="","",'Daily Data'!$A302)</f>
        <v/>
      </c>
      <c r="C302" t="str">
        <f>IF($A302="","",'Daily Data'!$B302)</f>
        <v/>
      </c>
      <c r="D302" s="165" t="str">
        <f>IF($A302="","",IF(COUNTIFS('Daily Data'!$B$4:$B$503,'Daily Data'!$B302,'Daily Data'!$A$4:$A$503,'Daily Data'!$A302)&gt;1,"ERROR","OK"))</f>
        <v/>
      </c>
      <c r="E302" s="165" t="str">
        <f>IF($A302="","",IF('Daily Data'!$B302="","ERROR","OK"))</f>
        <v/>
      </c>
      <c r="F302" s="165" t="str">
        <f>IF($A302="","",IF(NOT(ISNUMBER('Daily Data'!$A302)),"ERROR","OK"))</f>
        <v/>
      </c>
      <c r="G302" s="165" t="str">
        <f>IF($A302="","",IF(OR(N('Daily Data'!$E302)&lt;=0,N('Daily Data'!$C302)&lt;0,N('Daily Data'!$D302)&lt;0,N('Daily Data'!$F302)&lt;0,N('Daily Data'!$G302)&lt;0),"ERROR","OK"))</f>
        <v/>
      </c>
      <c r="H302" s="165" t="str">
        <f>IF($A302="","",IF(N('Daily Data'!$K302)&lt;0,"ERROR","OK"))</f>
        <v/>
      </c>
      <c r="I302" s="165" t="str">
        <f>IF($A302="","",IF(N('Daily Data'!$I302)&lt;0,"ERROR","OK"))</f>
        <v/>
      </c>
      <c r="J302" s="165" t="str">
        <f>IF($A302="","",IF(N('Daily Data'!$L302)&lt;0,"ERROR","OK"))</f>
        <v/>
      </c>
      <c r="K302" s="165" t="str">
        <f>IF($A302="","",IF(N('Daily Data'!$M302)&lt;0,"ERROR","OK"))</f>
        <v/>
      </c>
      <c r="L302" s="165" t="str">
        <f>IF($A302="","",IF(OR(N('Daily Data'!$F302)=0,N('Daily Data'!$G302)=0),"OK",IF(OR(N('Daily Data'!$E302)&gt;N('Daily Data'!$F302),N('Daily Data'!$E302)&lt;N('Daily Data'!$G302)),"ERROR","OK")))</f>
        <v/>
      </c>
      <c r="M302" s="165" t="str">
        <f>IF($A302="","",IF(N('Daily Data'!$AK302)&lt;=1,"OK",IF(ROUND(N('Daily Data'!$D302),2)=ROUND(SUMIFS('Daily Data'!$E$4:$E$503,'Daily Data'!$B$4:$B$503,'Daily Data'!$B302,'Daily Data'!$AK$4:$AK$503,'Daily Data'!$AK302-1),2),"OK","WARNING")))</f>
        <v/>
      </c>
      <c r="N302" s="165" t="str">
        <f>IF($A302="","",IF(N('Daily Data'!$N302)&lt;=0,"WARNING","OK"))</f>
        <v/>
      </c>
      <c r="O302" s="165" t="str">
        <f>IF($A302="","",IF(AND(ISNUMBER('Daily Data'!$H302),ABS(N('Daily Data'!$H302))&gt;Settings!$C$56),"WARNING","OK"))</f>
        <v/>
      </c>
      <c r="P302" s="165" t="str">
        <f>IF($A302="","",IF(OR(AND(N('Daily Data'!$K302)=0,N('Daily Data'!$I302)&gt;0),AND(N('Daily Data'!$I302)=0,N('Daily Data'!$K302)&gt;0),AND(N('Daily Data'!$L302)=0,N('Daily Data'!$M302)=0)),"WARNING","OK"))</f>
        <v/>
      </c>
      <c r="Q302" s="165" t="str">
        <f>IF($A302="","",IF(COUNTIFS('Daily Data'!$B$4:$B$503,'Daily Data'!$B302,'Daily Data'!$A$4:$A$503,'Daily Data'!$A302,'Daily Data'!$Q$4:$Q$503,'Daily Data'!$Q302)&gt;1,"WARNING","OK"))</f>
        <v/>
      </c>
      <c r="R302" s="165" t="str">
        <f>IF($A302="","",IF(AND(N('Daily Data'!$K302)&gt;0,N('Daily Data'!$J302)&lt;=0),"WARNING","OK"))</f>
        <v/>
      </c>
      <c r="S302" s="165" t="str">
        <f>IF($A302="","",COUNTIF($D302:$R302,"ERROR"))</f>
        <v/>
      </c>
      <c r="T302" s="165" t="str">
        <f>IF($A302="","",COUNTIF($D302:$R302,"WARNING"))</f>
        <v/>
      </c>
      <c r="U302" s="165" t="str">
        <f>IF($A302="","",IF($S302&gt;0,"ERROR",IF($T302&gt;0,"WARNING","PASS")))</f>
        <v/>
      </c>
    </row>
    <row r="303" spans="1:21" x14ac:dyDescent="0.3">
      <c r="A303" t="str">
        <f>IF(AND('Daily Data'!$A303="",'Daily Data'!$B303=""),"",303)</f>
        <v/>
      </c>
      <c r="B303" s="16" t="str">
        <f>IF($A303="","",'Daily Data'!$A303)</f>
        <v/>
      </c>
      <c r="C303" t="str">
        <f>IF($A303="","",'Daily Data'!$B303)</f>
        <v/>
      </c>
      <c r="D303" s="165" t="str">
        <f>IF($A303="","",IF(COUNTIFS('Daily Data'!$B$4:$B$503,'Daily Data'!$B303,'Daily Data'!$A$4:$A$503,'Daily Data'!$A303)&gt;1,"ERROR","OK"))</f>
        <v/>
      </c>
      <c r="E303" s="165" t="str">
        <f>IF($A303="","",IF('Daily Data'!$B303="","ERROR","OK"))</f>
        <v/>
      </c>
      <c r="F303" s="165" t="str">
        <f>IF($A303="","",IF(NOT(ISNUMBER('Daily Data'!$A303)),"ERROR","OK"))</f>
        <v/>
      </c>
      <c r="G303" s="165" t="str">
        <f>IF($A303="","",IF(OR(N('Daily Data'!$E303)&lt;=0,N('Daily Data'!$C303)&lt;0,N('Daily Data'!$D303)&lt;0,N('Daily Data'!$F303)&lt;0,N('Daily Data'!$G303)&lt;0),"ERROR","OK"))</f>
        <v/>
      </c>
      <c r="H303" s="165" t="str">
        <f>IF($A303="","",IF(N('Daily Data'!$K303)&lt;0,"ERROR","OK"))</f>
        <v/>
      </c>
      <c r="I303" s="165" t="str">
        <f>IF($A303="","",IF(N('Daily Data'!$I303)&lt;0,"ERROR","OK"))</f>
        <v/>
      </c>
      <c r="J303" s="165" t="str">
        <f>IF($A303="","",IF(N('Daily Data'!$L303)&lt;0,"ERROR","OK"))</f>
        <v/>
      </c>
      <c r="K303" s="165" t="str">
        <f>IF($A303="","",IF(N('Daily Data'!$M303)&lt;0,"ERROR","OK"))</f>
        <v/>
      </c>
      <c r="L303" s="165" t="str">
        <f>IF($A303="","",IF(OR(N('Daily Data'!$F303)=0,N('Daily Data'!$G303)=0),"OK",IF(OR(N('Daily Data'!$E303)&gt;N('Daily Data'!$F303),N('Daily Data'!$E303)&lt;N('Daily Data'!$G303)),"ERROR","OK")))</f>
        <v/>
      </c>
      <c r="M303" s="165" t="str">
        <f>IF($A303="","",IF(N('Daily Data'!$AK303)&lt;=1,"OK",IF(ROUND(N('Daily Data'!$D303),2)=ROUND(SUMIFS('Daily Data'!$E$4:$E$503,'Daily Data'!$B$4:$B$503,'Daily Data'!$B303,'Daily Data'!$AK$4:$AK$503,'Daily Data'!$AK303-1),2),"OK","WARNING")))</f>
        <v/>
      </c>
      <c r="N303" s="165" t="str">
        <f>IF($A303="","",IF(N('Daily Data'!$N303)&lt;=0,"WARNING","OK"))</f>
        <v/>
      </c>
      <c r="O303" s="165" t="str">
        <f>IF($A303="","",IF(AND(ISNUMBER('Daily Data'!$H303),ABS(N('Daily Data'!$H303))&gt;Settings!$C$56),"WARNING","OK"))</f>
        <v/>
      </c>
      <c r="P303" s="165" t="str">
        <f>IF($A303="","",IF(OR(AND(N('Daily Data'!$K303)=0,N('Daily Data'!$I303)&gt;0),AND(N('Daily Data'!$I303)=0,N('Daily Data'!$K303)&gt;0),AND(N('Daily Data'!$L303)=0,N('Daily Data'!$M303)=0)),"WARNING","OK"))</f>
        <v/>
      </c>
      <c r="Q303" s="165" t="str">
        <f>IF($A303="","",IF(COUNTIFS('Daily Data'!$B$4:$B$503,'Daily Data'!$B303,'Daily Data'!$A$4:$A$503,'Daily Data'!$A303,'Daily Data'!$Q$4:$Q$503,'Daily Data'!$Q303)&gt;1,"WARNING","OK"))</f>
        <v/>
      </c>
      <c r="R303" s="165" t="str">
        <f>IF($A303="","",IF(AND(N('Daily Data'!$K303)&gt;0,N('Daily Data'!$J303)&lt;=0),"WARNING","OK"))</f>
        <v/>
      </c>
      <c r="S303" s="165" t="str">
        <f>IF($A303="","",COUNTIF($D303:$R303,"ERROR"))</f>
        <v/>
      </c>
      <c r="T303" s="165" t="str">
        <f>IF($A303="","",COUNTIF($D303:$R303,"WARNING"))</f>
        <v/>
      </c>
      <c r="U303" s="165" t="str">
        <f>IF($A303="","",IF($S303&gt;0,"ERROR",IF($T303&gt;0,"WARNING","PASS")))</f>
        <v/>
      </c>
    </row>
    <row r="304" spans="1:21" x14ac:dyDescent="0.3">
      <c r="A304" t="str">
        <f>IF(AND('Daily Data'!$A304="",'Daily Data'!$B304=""),"",304)</f>
        <v/>
      </c>
      <c r="B304" s="16" t="str">
        <f>IF($A304="","",'Daily Data'!$A304)</f>
        <v/>
      </c>
      <c r="C304" t="str">
        <f>IF($A304="","",'Daily Data'!$B304)</f>
        <v/>
      </c>
      <c r="D304" s="165" t="str">
        <f>IF($A304="","",IF(COUNTIFS('Daily Data'!$B$4:$B$503,'Daily Data'!$B304,'Daily Data'!$A$4:$A$503,'Daily Data'!$A304)&gt;1,"ERROR","OK"))</f>
        <v/>
      </c>
      <c r="E304" s="165" t="str">
        <f>IF($A304="","",IF('Daily Data'!$B304="","ERROR","OK"))</f>
        <v/>
      </c>
      <c r="F304" s="165" t="str">
        <f>IF($A304="","",IF(NOT(ISNUMBER('Daily Data'!$A304)),"ERROR","OK"))</f>
        <v/>
      </c>
      <c r="G304" s="165" t="str">
        <f>IF($A304="","",IF(OR(N('Daily Data'!$E304)&lt;=0,N('Daily Data'!$C304)&lt;0,N('Daily Data'!$D304)&lt;0,N('Daily Data'!$F304)&lt;0,N('Daily Data'!$G304)&lt;0),"ERROR","OK"))</f>
        <v/>
      </c>
      <c r="H304" s="165" t="str">
        <f>IF($A304="","",IF(N('Daily Data'!$K304)&lt;0,"ERROR","OK"))</f>
        <v/>
      </c>
      <c r="I304" s="165" t="str">
        <f>IF($A304="","",IF(N('Daily Data'!$I304)&lt;0,"ERROR","OK"))</f>
        <v/>
      </c>
      <c r="J304" s="165" t="str">
        <f>IF($A304="","",IF(N('Daily Data'!$L304)&lt;0,"ERROR","OK"))</f>
        <v/>
      </c>
      <c r="K304" s="165" t="str">
        <f>IF($A304="","",IF(N('Daily Data'!$M304)&lt;0,"ERROR","OK"))</f>
        <v/>
      </c>
      <c r="L304" s="165" t="str">
        <f>IF($A304="","",IF(OR(N('Daily Data'!$F304)=0,N('Daily Data'!$G304)=0),"OK",IF(OR(N('Daily Data'!$E304)&gt;N('Daily Data'!$F304),N('Daily Data'!$E304)&lt;N('Daily Data'!$G304)),"ERROR","OK")))</f>
        <v/>
      </c>
      <c r="M304" s="165" t="str">
        <f>IF($A304="","",IF(N('Daily Data'!$AK304)&lt;=1,"OK",IF(ROUND(N('Daily Data'!$D304),2)=ROUND(SUMIFS('Daily Data'!$E$4:$E$503,'Daily Data'!$B$4:$B$503,'Daily Data'!$B304,'Daily Data'!$AK$4:$AK$503,'Daily Data'!$AK304-1),2),"OK","WARNING")))</f>
        <v/>
      </c>
      <c r="N304" s="165" t="str">
        <f>IF($A304="","",IF(N('Daily Data'!$N304)&lt;=0,"WARNING","OK"))</f>
        <v/>
      </c>
      <c r="O304" s="165" t="str">
        <f>IF($A304="","",IF(AND(ISNUMBER('Daily Data'!$H304),ABS(N('Daily Data'!$H304))&gt;Settings!$C$56),"WARNING","OK"))</f>
        <v/>
      </c>
      <c r="P304" s="165" t="str">
        <f>IF($A304="","",IF(OR(AND(N('Daily Data'!$K304)=0,N('Daily Data'!$I304)&gt;0),AND(N('Daily Data'!$I304)=0,N('Daily Data'!$K304)&gt;0),AND(N('Daily Data'!$L304)=0,N('Daily Data'!$M304)=0)),"WARNING","OK"))</f>
        <v/>
      </c>
      <c r="Q304" s="165" t="str">
        <f>IF($A304="","",IF(COUNTIFS('Daily Data'!$B$4:$B$503,'Daily Data'!$B304,'Daily Data'!$A$4:$A$503,'Daily Data'!$A304,'Daily Data'!$Q$4:$Q$503,'Daily Data'!$Q304)&gt;1,"WARNING","OK"))</f>
        <v/>
      </c>
      <c r="R304" s="165" t="str">
        <f>IF($A304="","",IF(AND(N('Daily Data'!$K304)&gt;0,N('Daily Data'!$J304)&lt;=0),"WARNING","OK"))</f>
        <v/>
      </c>
      <c r="S304" s="165" t="str">
        <f>IF($A304="","",COUNTIF($D304:$R304,"ERROR"))</f>
        <v/>
      </c>
      <c r="T304" s="165" t="str">
        <f>IF($A304="","",COUNTIF($D304:$R304,"WARNING"))</f>
        <v/>
      </c>
      <c r="U304" s="165" t="str">
        <f>IF($A304="","",IF($S304&gt;0,"ERROR",IF($T304&gt;0,"WARNING","PASS")))</f>
        <v/>
      </c>
    </row>
    <row r="305" spans="1:21" x14ac:dyDescent="0.3">
      <c r="A305" t="str">
        <f>IF(AND('Daily Data'!$A305="",'Daily Data'!$B305=""),"",305)</f>
        <v/>
      </c>
      <c r="B305" s="16" t="str">
        <f>IF($A305="","",'Daily Data'!$A305)</f>
        <v/>
      </c>
      <c r="C305" t="str">
        <f>IF($A305="","",'Daily Data'!$B305)</f>
        <v/>
      </c>
      <c r="D305" s="165" t="str">
        <f>IF($A305="","",IF(COUNTIFS('Daily Data'!$B$4:$B$503,'Daily Data'!$B305,'Daily Data'!$A$4:$A$503,'Daily Data'!$A305)&gt;1,"ERROR","OK"))</f>
        <v/>
      </c>
      <c r="E305" s="165" t="str">
        <f>IF($A305="","",IF('Daily Data'!$B305="","ERROR","OK"))</f>
        <v/>
      </c>
      <c r="F305" s="165" t="str">
        <f>IF($A305="","",IF(NOT(ISNUMBER('Daily Data'!$A305)),"ERROR","OK"))</f>
        <v/>
      </c>
      <c r="G305" s="165" t="str">
        <f>IF($A305="","",IF(OR(N('Daily Data'!$E305)&lt;=0,N('Daily Data'!$C305)&lt;0,N('Daily Data'!$D305)&lt;0,N('Daily Data'!$F305)&lt;0,N('Daily Data'!$G305)&lt;0),"ERROR","OK"))</f>
        <v/>
      </c>
      <c r="H305" s="165" t="str">
        <f>IF($A305="","",IF(N('Daily Data'!$K305)&lt;0,"ERROR","OK"))</f>
        <v/>
      </c>
      <c r="I305" s="165" t="str">
        <f>IF($A305="","",IF(N('Daily Data'!$I305)&lt;0,"ERROR","OK"))</f>
        <v/>
      </c>
      <c r="J305" s="165" t="str">
        <f>IF($A305="","",IF(N('Daily Data'!$L305)&lt;0,"ERROR","OK"))</f>
        <v/>
      </c>
      <c r="K305" s="165" t="str">
        <f>IF($A305="","",IF(N('Daily Data'!$M305)&lt;0,"ERROR","OK"))</f>
        <v/>
      </c>
      <c r="L305" s="165" t="str">
        <f>IF($A305="","",IF(OR(N('Daily Data'!$F305)=0,N('Daily Data'!$G305)=0),"OK",IF(OR(N('Daily Data'!$E305)&gt;N('Daily Data'!$F305),N('Daily Data'!$E305)&lt;N('Daily Data'!$G305)),"ERROR","OK")))</f>
        <v/>
      </c>
      <c r="M305" s="165" t="str">
        <f>IF($A305="","",IF(N('Daily Data'!$AK305)&lt;=1,"OK",IF(ROUND(N('Daily Data'!$D305),2)=ROUND(SUMIFS('Daily Data'!$E$4:$E$503,'Daily Data'!$B$4:$B$503,'Daily Data'!$B305,'Daily Data'!$AK$4:$AK$503,'Daily Data'!$AK305-1),2),"OK","WARNING")))</f>
        <v/>
      </c>
      <c r="N305" s="165" t="str">
        <f>IF($A305="","",IF(N('Daily Data'!$N305)&lt;=0,"WARNING","OK"))</f>
        <v/>
      </c>
      <c r="O305" s="165" t="str">
        <f>IF($A305="","",IF(AND(ISNUMBER('Daily Data'!$H305),ABS(N('Daily Data'!$H305))&gt;Settings!$C$56),"WARNING","OK"))</f>
        <v/>
      </c>
      <c r="P305" s="165" t="str">
        <f>IF($A305="","",IF(OR(AND(N('Daily Data'!$K305)=0,N('Daily Data'!$I305)&gt;0),AND(N('Daily Data'!$I305)=0,N('Daily Data'!$K305)&gt;0),AND(N('Daily Data'!$L305)=0,N('Daily Data'!$M305)=0)),"WARNING","OK"))</f>
        <v/>
      </c>
      <c r="Q305" s="165" t="str">
        <f>IF($A305="","",IF(COUNTIFS('Daily Data'!$B$4:$B$503,'Daily Data'!$B305,'Daily Data'!$A$4:$A$503,'Daily Data'!$A305,'Daily Data'!$Q$4:$Q$503,'Daily Data'!$Q305)&gt;1,"WARNING","OK"))</f>
        <v/>
      </c>
      <c r="R305" s="165" t="str">
        <f>IF($A305="","",IF(AND(N('Daily Data'!$K305)&gt;0,N('Daily Data'!$J305)&lt;=0),"WARNING","OK"))</f>
        <v/>
      </c>
      <c r="S305" s="165" t="str">
        <f>IF($A305="","",COUNTIF($D305:$R305,"ERROR"))</f>
        <v/>
      </c>
      <c r="T305" s="165" t="str">
        <f>IF($A305="","",COUNTIF($D305:$R305,"WARNING"))</f>
        <v/>
      </c>
      <c r="U305" s="165" t="str">
        <f>IF($A305="","",IF($S305&gt;0,"ERROR",IF($T305&gt;0,"WARNING","PASS")))</f>
        <v/>
      </c>
    </row>
    <row r="306" spans="1:21" x14ac:dyDescent="0.3">
      <c r="A306" t="str">
        <f>IF(AND('Daily Data'!$A306="",'Daily Data'!$B306=""),"",306)</f>
        <v/>
      </c>
      <c r="B306" s="16" t="str">
        <f>IF($A306="","",'Daily Data'!$A306)</f>
        <v/>
      </c>
      <c r="C306" t="str">
        <f>IF($A306="","",'Daily Data'!$B306)</f>
        <v/>
      </c>
      <c r="D306" s="165" t="str">
        <f>IF($A306="","",IF(COUNTIFS('Daily Data'!$B$4:$B$503,'Daily Data'!$B306,'Daily Data'!$A$4:$A$503,'Daily Data'!$A306)&gt;1,"ERROR","OK"))</f>
        <v/>
      </c>
      <c r="E306" s="165" t="str">
        <f>IF($A306="","",IF('Daily Data'!$B306="","ERROR","OK"))</f>
        <v/>
      </c>
      <c r="F306" s="165" t="str">
        <f>IF($A306="","",IF(NOT(ISNUMBER('Daily Data'!$A306)),"ERROR","OK"))</f>
        <v/>
      </c>
      <c r="G306" s="165" t="str">
        <f>IF($A306="","",IF(OR(N('Daily Data'!$E306)&lt;=0,N('Daily Data'!$C306)&lt;0,N('Daily Data'!$D306)&lt;0,N('Daily Data'!$F306)&lt;0,N('Daily Data'!$G306)&lt;0),"ERROR","OK"))</f>
        <v/>
      </c>
      <c r="H306" s="165" t="str">
        <f>IF($A306="","",IF(N('Daily Data'!$K306)&lt;0,"ERROR","OK"))</f>
        <v/>
      </c>
      <c r="I306" s="165" t="str">
        <f>IF($A306="","",IF(N('Daily Data'!$I306)&lt;0,"ERROR","OK"))</f>
        <v/>
      </c>
      <c r="J306" s="165" t="str">
        <f>IF($A306="","",IF(N('Daily Data'!$L306)&lt;0,"ERROR","OK"))</f>
        <v/>
      </c>
      <c r="K306" s="165" t="str">
        <f>IF($A306="","",IF(N('Daily Data'!$M306)&lt;0,"ERROR","OK"))</f>
        <v/>
      </c>
      <c r="L306" s="165" t="str">
        <f>IF($A306="","",IF(OR(N('Daily Data'!$F306)=0,N('Daily Data'!$G306)=0),"OK",IF(OR(N('Daily Data'!$E306)&gt;N('Daily Data'!$F306),N('Daily Data'!$E306)&lt;N('Daily Data'!$G306)),"ERROR","OK")))</f>
        <v/>
      </c>
      <c r="M306" s="165" t="str">
        <f>IF($A306="","",IF(N('Daily Data'!$AK306)&lt;=1,"OK",IF(ROUND(N('Daily Data'!$D306),2)=ROUND(SUMIFS('Daily Data'!$E$4:$E$503,'Daily Data'!$B$4:$B$503,'Daily Data'!$B306,'Daily Data'!$AK$4:$AK$503,'Daily Data'!$AK306-1),2),"OK","WARNING")))</f>
        <v/>
      </c>
      <c r="N306" s="165" t="str">
        <f>IF($A306="","",IF(N('Daily Data'!$N306)&lt;=0,"WARNING","OK"))</f>
        <v/>
      </c>
      <c r="O306" s="165" t="str">
        <f>IF($A306="","",IF(AND(ISNUMBER('Daily Data'!$H306),ABS(N('Daily Data'!$H306))&gt;Settings!$C$56),"WARNING","OK"))</f>
        <v/>
      </c>
      <c r="P306" s="165" t="str">
        <f>IF($A306="","",IF(OR(AND(N('Daily Data'!$K306)=0,N('Daily Data'!$I306)&gt;0),AND(N('Daily Data'!$I306)=0,N('Daily Data'!$K306)&gt;0),AND(N('Daily Data'!$L306)=0,N('Daily Data'!$M306)=0)),"WARNING","OK"))</f>
        <v/>
      </c>
      <c r="Q306" s="165" t="str">
        <f>IF($A306="","",IF(COUNTIFS('Daily Data'!$B$4:$B$503,'Daily Data'!$B306,'Daily Data'!$A$4:$A$503,'Daily Data'!$A306,'Daily Data'!$Q$4:$Q$503,'Daily Data'!$Q306)&gt;1,"WARNING","OK"))</f>
        <v/>
      </c>
      <c r="R306" s="165" t="str">
        <f>IF($A306="","",IF(AND(N('Daily Data'!$K306)&gt;0,N('Daily Data'!$J306)&lt;=0),"WARNING","OK"))</f>
        <v/>
      </c>
      <c r="S306" s="165" t="str">
        <f>IF($A306="","",COUNTIF($D306:$R306,"ERROR"))</f>
        <v/>
      </c>
      <c r="T306" s="165" t="str">
        <f>IF($A306="","",COUNTIF($D306:$R306,"WARNING"))</f>
        <v/>
      </c>
      <c r="U306" s="165" t="str">
        <f>IF($A306="","",IF($S306&gt;0,"ERROR",IF($T306&gt;0,"WARNING","PASS")))</f>
        <v/>
      </c>
    </row>
    <row r="307" spans="1:21" x14ac:dyDescent="0.3">
      <c r="A307" t="str">
        <f>IF(AND('Daily Data'!$A307="",'Daily Data'!$B307=""),"",307)</f>
        <v/>
      </c>
      <c r="B307" s="16" t="str">
        <f>IF($A307="","",'Daily Data'!$A307)</f>
        <v/>
      </c>
      <c r="C307" t="str">
        <f>IF($A307="","",'Daily Data'!$B307)</f>
        <v/>
      </c>
      <c r="D307" s="165" t="str">
        <f>IF($A307="","",IF(COUNTIFS('Daily Data'!$B$4:$B$503,'Daily Data'!$B307,'Daily Data'!$A$4:$A$503,'Daily Data'!$A307)&gt;1,"ERROR","OK"))</f>
        <v/>
      </c>
      <c r="E307" s="165" t="str">
        <f>IF($A307="","",IF('Daily Data'!$B307="","ERROR","OK"))</f>
        <v/>
      </c>
      <c r="F307" s="165" t="str">
        <f>IF($A307="","",IF(NOT(ISNUMBER('Daily Data'!$A307)),"ERROR","OK"))</f>
        <v/>
      </c>
      <c r="G307" s="165" t="str">
        <f>IF($A307="","",IF(OR(N('Daily Data'!$E307)&lt;=0,N('Daily Data'!$C307)&lt;0,N('Daily Data'!$D307)&lt;0,N('Daily Data'!$F307)&lt;0,N('Daily Data'!$G307)&lt;0),"ERROR","OK"))</f>
        <v/>
      </c>
      <c r="H307" s="165" t="str">
        <f>IF($A307="","",IF(N('Daily Data'!$K307)&lt;0,"ERROR","OK"))</f>
        <v/>
      </c>
      <c r="I307" s="165" t="str">
        <f>IF($A307="","",IF(N('Daily Data'!$I307)&lt;0,"ERROR","OK"))</f>
        <v/>
      </c>
      <c r="J307" s="165" t="str">
        <f>IF($A307="","",IF(N('Daily Data'!$L307)&lt;0,"ERROR","OK"))</f>
        <v/>
      </c>
      <c r="K307" s="165" t="str">
        <f>IF($A307="","",IF(N('Daily Data'!$M307)&lt;0,"ERROR","OK"))</f>
        <v/>
      </c>
      <c r="L307" s="165" t="str">
        <f>IF($A307="","",IF(OR(N('Daily Data'!$F307)=0,N('Daily Data'!$G307)=0),"OK",IF(OR(N('Daily Data'!$E307)&gt;N('Daily Data'!$F307),N('Daily Data'!$E307)&lt;N('Daily Data'!$G307)),"ERROR","OK")))</f>
        <v/>
      </c>
      <c r="M307" s="165" t="str">
        <f>IF($A307="","",IF(N('Daily Data'!$AK307)&lt;=1,"OK",IF(ROUND(N('Daily Data'!$D307),2)=ROUND(SUMIFS('Daily Data'!$E$4:$E$503,'Daily Data'!$B$4:$B$503,'Daily Data'!$B307,'Daily Data'!$AK$4:$AK$503,'Daily Data'!$AK307-1),2),"OK","WARNING")))</f>
        <v/>
      </c>
      <c r="N307" s="165" t="str">
        <f>IF($A307="","",IF(N('Daily Data'!$N307)&lt;=0,"WARNING","OK"))</f>
        <v/>
      </c>
      <c r="O307" s="165" t="str">
        <f>IF($A307="","",IF(AND(ISNUMBER('Daily Data'!$H307),ABS(N('Daily Data'!$H307))&gt;Settings!$C$56),"WARNING","OK"))</f>
        <v/>
      </c>
      <c r="P307" s="165" t="str">
        <f>IF($A307="","",IF(OR(AND(N('Daily Data'!$K307)=0,N('Daily Data'!$I307)&gt;0),AND(N('Daily Data'!$I307)=0,N('Daily Data'!$K307)&gt;0),AND(N('Daily Data'!$L307)=0,N('Daily Data'!$M307)=0)),"WARNING","OK"))</f>
        <v/>
      </c>
      <c r="Q307" s="165" t="str">
        <f>IF($A307="","",IF(COUNTIFS('Daily Data'!$B$4:$B$503,'Daily Data'!$B307,'Daily Data'!$A$4:$A$503,'Daily Data'!$A307,'Daily Data'!$Q$4:$Q$503,'Daily Data'!$Q307)&gt;1,"WARNING","OK"))</f>
        <v/>
      </c>
      <c r="R307" s="165" t="str">
        <f>IF($A307="","",IF(AND(N('Daily Data'!$K307)&gt;0,N('Daily Data'!$J307)&lt;=0),"WARNING","OK"))</f>
        <v/>
      </c>
      <c r="S307" s="165" t="str">
        <f>IF($A307="","",COUNTIF($D307:$R307,"ERROR"))</f>
        <v/>
      </c>
      <c r="T307" s="165" t="str">
        <f>IF($A307="","",COUNTIF($D307:$R307,"WARNING"))</f>
        <v/>
      </c>
      <c r="U307" s="165" t="str">
        <f>IF($A307="","",IF($S307&gt;0,"ERROR",IF($T307&gt;0,"WARNING","PASS")))</f>
        <v/>
      </c>
    </row>
    <row r="308" spans="1:21" x14ac:dyDescent="0.3">
      <c r="A308" t="str">
        <f>IF(AND('Daily Data'!$A308="",'Daily Data'!$B308=""),"",308)</f>
        <v/>
      </c>
      <c r="B308" s="16" t="str">
        <f>IF($A308="","",'Daily Data'!$A308)</f>
        <v/>
      </c>
      <c r="C308" t="str">
        <f>IF($A308="","",'Daily Data'!$B308)</f>
        <v/>
      </c>
      <c r="D308" s="165" t="str">
        <f>IF($A308="","",IF(COUNTIFS('Daily Data'!$B$4:$B$503,'Daily Data'!$B308,'Daily Data'!$A$4:$A$503,'Daily Data'!$A308)&gt;1,"ERROR","OK"))</f>
        <v/>
      </c>
      <c r="E308" s="165" t="str">
        <f>IF($A308="","",IF('Daily Data'!$B308="","ERROR","OK"))</f>
        <v/>
      </c>
      <c r="F308" s="165" t="str">
        <f>IF($A308="","",IF(NOT(ISNUMBER('Daily Data'!$A308)),"ERROR","OK"))</f>
        <v/>
      </c>
      <c r="G308" s="165" t="str">
        <f>IF($A308="","",IF(OR(N('Daily Data'!$E308)&lt;=0,N('Daily Data'!$C308)&lt;0,N('Daily Data'!$D308)&lt;0,N('Daily Data'!$F308)&lt;0,N('Daily Data'!$G308)&lt;0),"ERROR","OK"))</f>
        <v/>
      </c>
      <c r="H308" s="165" t="str">
        <f>IF($A308="","",IF(N('Daily Data'!$K308)&lt;0,"ERROR","OK"))</f>
        <v/>
      </c>
      <c r="I308" s="165" t="str">
        <f>IF($A308="","",IF(N('Daily Data'!$I308)&lt;0,"ERROR","OK"))</f>
        <v/>
      </c>
      <c r="J308" s="165" t="str">
        <f>IF($A308="","",IF(N('Daily Data'!$L308)&lt;0,"ERROR","OK"))</f>
        <v/>
      </c>
      <c r="K308" s="165" t="str">
        <f>IF($A308="","",IF(N('Daily Data'!$M308)&lt;0,"ERROR","OK"))</f>
        <v/>
      </c>
      <c r="L308" s="165" t="str">
        <f>IF($A308="","",IF(OR(N('Daily Data'!$F308)=0,N('Daily Data'!$G308)=0),"OK",IF(OR(N('Daily Data'!$E308)&gt;N('Daily Data'!$F308),N('Daily Data'!$E308)&lt;N('Daily Data'!$G308)),"ERROR","OK")))</f>
        <v/>
      </c>
      <c r="M308" s="165" t="str">
        <f>IF($A308="","",IF(N('Daily Data'!$AK308)&lt;=1,"OK",IF(ROUND(N('Daily Data'!$D308),2)=ROUND(SUMIFS('Daily Data'!$E$4:$E$503,'Daily Data'!$B$4:$B$503,'Daily Data'!$B308,'Daily Data'!$AK$4:$AK$503,'Daily Data'!$AK308-1),2),"OK","WARNING")))</f>
        <v/>
      </c>
      <c r="N308" s="165" t="str">
        <f>IF($A308="","",IF(N('Daily Data'!$N308)&lt;=0,"WARNING","OK"))</f>
        <v/>
      </c>
      <c r="O308" s="165" t="str">
        <f>IF($A308="","",IF(AND(ISNUMBER('Daily Data'!$H308),ABS(N('Daily Data'!$H308))&gt;Settings!$C$56),"WARNING","OK"))</f>
        <v/>
      </c>
      <c r="P308" s="165" t="str">
        <f>IF($A308="","",IF(OR(AND(N('Daily Data'!$K308)=0,N('Daily Data'!$I308)&gt;0),AND(N('Daily Data'!$I308)=0,N('Daily Data'!$K308)&gt;0),AND(N('Daily Data'!$L308)=0,N('Daily Data'!$M308)=0)),"WARNING","OK"))</f>
        <v/>
      </c>
      <c r="Q308" s="165" t="str">
        <f>IF($A308="","",IF(COUNTIFS('Daily Data'!$B$4:$B$503,'Daily Data'!$B308,'Daily Data'!$A$4:$A$503,'Daily Data'!$A308,'Daily Data'!$Q$4:$Q$503,'Daily Data'!$Q308)&gt;1,"WARNING","OK"))</f>
        <v/>
      </c>
      <c r="R308" s="165" t="str">
        <f>IF($A308="","",IF(AND(N('Daily Data'!$K308)&gt;0,N('Daily Data'!$J308)&lt;=0),"WARNING","OK"))</f>
        <v/>
      </c>
      <c r="S308" s="165" t="str">
        <f>IF($A308="","",COUNTIF($D308:$R308,"ERROR"))</f>
        <v/>
      </c>
      <c r="T308" s="165" t="str">
        <f>IF($A308="","",COUNTIF($D308:$R308,"WARNING"))</f>
        <v/>
      </c>
      <c r="U308" s="165" t="str">
        <f>IF($A308="","",IF($S308&gt;0,"ERROR",IF($T308&gt;0,"WARNING","PASS")))</f>
        <v/>
      </c>
    </row>
    <row r="309" spans="1:21" x14ac:dyDescent="0.3">
      <c r="A309" t="str">
        <f>IF(AND('Daily Data'!$A309="",'Daily Data'!$B309=""),"",309)</f>
        <v/>
      </c>
      <c r="B309" s="16" t="str">
        <f>IF($A309="","",'Daily Data'!$A309)</f>
        <v/>
      </c>
      <c r="C309" t="str">
        <f>IF($A309="","",'Daily Data'!$B309)</f>
        <v/>
      </c>
      <c r="D309" s="165" t="str">
        <f>IF($A309="","",IF(COUNTIFS('Daily Data'!$B$4:$B$503,'Daily Data'!$B309,'Daily Data'!$A$4:$A$503,'Daily Data'!$A309)&gt;1,"ERROR","OK"))</f>
        <v/>
      </c>
      <c r="E309" s="165" t="str">
        <f>IF($A309="","",IF('Daily Data'!$B309="","ERROR","OK"))</f>
        <v/>
      </c>
      <c r="F309" s="165" t="str">
        <f>IF($A309="","",IF(NOT(ISNUMBER('Daily Data'!$A309)),"ERROR","OK"))</f>
        <v/>
      </c>
      <c r="G309" s="165" t="str">
        <f>IF($A309="","",IF(OR(N('Daily Data'!$E309)&lt;=0,N('Daily Data'!$C309)&lt;0,N('Daily Data'!$D309)&lt;0,N('Daily Data'!$F309)&lt;0,N('Daily Data'!$G309)&lt;0),"ERROR","OK"))</f>
        <v/>
      </c>
      <c r="H309" s="165" t="str">
        <f>IF($A309="","",IF(N('Daily Data'!$K309)&lt;0,"ERROR","OK"))</f>
        <v/>
      </c>
      <c r="I309" s="165" t="str">
        <f>IF($A309="","",IF(N('Daily Data'!$I309)&lt;0,"ERROR","OK"))</f>
        <v/>
      </c>
      <c r="J309" s="165" t="str">
        <f>IF($A309="","",IF(N('Daily Data'!$L309)&lt;0,"ERROR","OK"))</f>
        <v/>
      </c>
      <c r="K309" s="165" t="str">
        <f>IF($A309="","",IF(N('Daily Data'!$M309)&lt;0,"ERROR","OK"))</f>
        <v/>
      </c>
      <c r="L309" s="165" t="str">
        <f>IF($A309="","",IF(OR(N('Daily Data'!$F309)=0,N('Daily Data'!$G309)=0),"OK",IF(OR(N('Daily Data'!$E309)&gt;N('Daily Data'!$F309),N('Daily Data'!$E309)&lt;N('Daily Data'!$G309)),"ERROR","OK")))</f>
        <v/>
      </c>
      <c r="M309" s="165" t="str">
        <f>IF($A309="","",IF(N('Daily Data'!$AK309)&lt;=1,"OK",IF(ROUND(N('Daily Data'!$D309),2)=ROUND(SUMIFS('Daily Data'!$E$4:$E$503,'Daily Data'!$B$4:$B$503,'Daily Data'!$B309,'Daily Data'!$AK$4:$AK$503,'Daily Data'!$AK309-1),2),"OK","WARNING")))</f>
        <v/>
      </c>
      <c r="N309" s="165" t="str">
        <f>IF($A309="","",IF(N('Daily Data'!$N309)&lt;=0,"WARNING","OK"))</f>
        <v/>
      </c>
      <c r="O309" s="165" t="str">
        <f>IF($A309="","",IF(AND(ISNUMBER('Daily Data'!$H309),ABS(N('Daily Data'!$H309))&gt;Settings!$C$56),"WARNING","OK"))</f>
        <v/>
      </c>
      <c r="P309" s="165" t="str">
        <f>IF($A309="","",IF(OR(AND(N('Daily Data'!$K309)=0,N('Daily Data'!$I309)&gt;0),AND(N('Daily Data'!$I309)=0,N('Daily Data'!$K309)&gt;0),AND(N('Daily Data'!$L309)=0,N('Daily Data'!$M309)=0)),"WARNING","OK"))</f>
        <v/>
      </c>
      <c r="Q309" s="165" t="str">
        <f>IF($A309="","",IF(COUNTIFS('Daily Data'!$B$4:$B$503,'Daily Data'!$B309,'Daily Data'!$A$4:$A$503,'Daily Data'!$A309,'Daily Data'!$Q$4:$Q$503,'Daily Data'!$Q309)&gt;1,"WARNING","OK"))</f>
        <v/>
      </c>
      <c r="R309" s="165" t="str">
        <f>IF($A309="","",IF(AND(N('Daily Data'!$K309)&gt;0,N('Daily Data'!$J309)&lt;=0),"WARNING","OK"))</f>
        <v/>
      </c>
      <c r="S309" s="165" t="str">
        <f>IF($A309="","",COUNTIF($D309:$R309,"ERROR"))</f>
        <v/>
      </c>
      <c r="T309" s="165" t="str">
        <f>IF($A309="","",COUNTIF($D309:$R309,"WARNING"))</f>
        <v/>
      </c>
      <c r="U309" s="165" t="str">
        <f>IF($A309="","",IF($S309&gt;0,"ERROR",IF($T309&gt;0,"WARNING","PASS")))</f>
        <v/>
      </c>
    </row>
    <row r="310" spans="1:21" x14ac:dyDescent="0.3">
      <c r="A310" t="str">
        <f>IF(AND('Daily Data'!$A310="",'Daily Data'!$B310=""),"",310)</f>
        <v/>
      </c>
      <c r="B310" s="16" t="str">
        <f>IF($A310="","",'Daily Data'!$A310)</f>
        <v/>
      </c>
      <c r="C310" t="str">
        <f>IF($A310="","",'Daily Data'!$B310)</f>
        <v/>
      </c>
      <c r="D310" s="165" t="str">
        <f>IF($A310="","",IF(COUNTIFS('Daily Data'!$B$4:$B$503,'Daily Data'!$B310,'Daily Data'!$A$4:$A$503,'Daily Data'!$A310)&gt;1,"ERROR","OK"))</f>
        <v/>
      </c>
      <c r="E310" s="165" t="str">
        <f>IF($A310="","",IF('Daily Data'!$B310="","ERROR","OK"))</f>
        <v/>
      </c>
      <c r="F310" s="165" t="str">
        <f>IF($A310="","",IF(NOT(ISNUMBER('Daily Data'!$A310)),"ERROR","OK"))</f>
        <v/>
      </c>
      <c r="G310" s="165" t="str">
        <f>IF($A310="","",IF(OR(N('Daily Data'!$E310)&lt;=0,N('Daily Data'!$C310)&lt;0,N('Daily Data'!$D310)&lt;0,N('Daily Data'!$F310)&lt;0,N('Daily Data'!$G310)&lt;0),"ERROR","OK"))</f>
        <v/>
      </c>
      <c r="H310" s="165" t="str">
        <f>IF($A310="","",IF(N('Daily Data'!$K310)&lt;0,"ERROR","OK"))</f>
        <v/>
      </c>
      <c r="I310" s="165" t="str">
        <f>IF($A310="","",IF(N('Daily Data'!$I310)&lt;0,"ERROR","OK"))</f>
        <v/>
      </c>
      <c r="J310" s="165" t="str">
        <f>IF($A310="","",IF(N('Daily Data'!$L310)&lt;0,"ERROR","OK"))</f>
        <v/>
      </c>
      <c r="K310" s="165" t="str">
        <f>IF($A310="","",IF(N('Daily Data'!$M310)&lt;0,"ERROR","OK"))</f>
        <v/>
      </c>
      <c r="L310" s="165" t="str">
        <f>IF($A310="","",IF(OR(N('Daily Data'!$F310)=0,N('Daily Data'!$G310)=0),"OK",IF(OR(N('Daily Data'!$E310)&gt;N('Daily Data'!$F310),N('Daily Data'!$E310)&lt;N('Daily Data'!$G310)),"ERROR","OK")))</f>
        <v/>
      </c>
      <c r="M310" s="165" t="str">
        <f>IF($A310="","",IF(N('Daily Data'!$AK310)&lt;=1,"OK",IF(ROUND(N('Daily Data'!$D310),2)=ROUND(SUMIFS('Daily Data'!$E$4:$E$503,'Daily Data'!$B$4:$B$503,'Daily Data'!$B310,'Daily Data'!$AK$4:$AK$503,'Daily Data'!$AK310-1),2),"OK","WARNING")))</f>
        <v/>
      </c>
      <c r="N310" s="165" t="str">
        <f>IF($A310="","",IF(N('Daily Data'!$N310)&lt;=0,"WARNING","OK"))</f>
        <v/>
      </c>
      <c r="O310" s="165" t="str">
        <f>IF($A310="","",IF(AND(ISNUMBER('Daily Data'!$H310),ABS(N('Daily Data'!$H310))&gt;Settings!$C$56),"WARNING","OK"))</f>
        <v/>
      </c>
      <c r="P310" s="165" t="str">
        <f>IF($A310="","",IF(OR(AND(N('Daily Data'!$K310)=0,N('Daily Data'!$I310)&gt;0),AND(N('Daily Data'!$I310)=0,N('Daily Data'!$K310)&gt;0),AND(N('Daily Data'!$L310)=0,N('Daily Data'!$M310)=0)),"WARNING","OK"))</f>
        <v/>
      </c>
      <c r="Q310" s="165" t="str">
        <f>IF($A310="","",IF(COUNTIFS('Daily Data'!$B$4:$B$503,'Daily Data'!$B310,'Daily Data'!$A$4:$A$503,'Daily Data'!$A310,'Daily Data'!$Q$4:$Q$503,'Daily Data'!$Q310)&gt;1,"WARNING","OK"))</f>
        <v/>
      </c>
      <c r="R310" s="165" t="str">
        <f>IF($A310="","",IF(AND(N('Daily Data'!$K310)&gt;0,N('Daily Data'!$J310)&lt;=0),"WARNING","OK"))</f>
        <v/>
      </c>
      <c r="S310" s="165" t="str">
        <f>IF($A310="","",COUNTIF($D310:$R310,"ERROR"))</f>
        <v/>
      </c>
      <c r="T310" s="165" t="str">
        <f>IF($A310="","",COUNTIF($D310:$R310,"WARNING"))</f>
        <v/>
      </c>
      <c r="U310" s="165" t="str">
        <f>IF($A310="","",IF($S310&gt;0,"ERROR",IF($T310&gt;0,"WARNING","PASS")))</f>
        <v/>
      </c>
    </row>
    <row r="311" spans="1:21" x14ac:dyDescent="0.3">
      <c r="A311" t="str">
        <f>IF(AND('Daily Data'!$A311="",'Daily Data'!$B311=""),"",311)</f>
        <v/>
      </c>
      <c r="B311" s="16" t="str">
        <f>IF($A311="","",'Daily Data'!$A311)</f>
        <v/>
      </c>
      <c r="C311" t="str">
        <f>IF($A311="","",'Daily Data'!$B311)</f>
        <v/>
      </c>
      <c r="D311" s="165" t="str">
        <f>IF($A311="","",IF(COUNTIFS('Daily Data'!$B$4:$B$503,'Daily Data'!$B311,'Daily Data'!$A$4:$A$503,'Daily Data'!$A311)&gt;1,"ERROR","OK"))</f>
        <v/>
      </c>
      <c r="E311" s="165" t="str">
        <f>IF($A311="","",IF('Daily Data'!$B311="","ERROR","OK"))</f>
        <v/>
      </c>
      <c r="F311" s="165" t="str">
        <f>IF($A311="","",IF(NOT(ISNUMBER('Daily Data'!$A311)),"ERROR","OK"))</f>
        <v/>
      </c>
      <c r="G311" s="165" t="str">
        <f>IF($A311="","",IF(OR(N('Daily Data'!$E311)&lt;=0,N('Daily Data'!$C311)&lt;0,N('Daily Data'!$D311)&lt;0,N('Daily Data'!$F311)&lt;0,N('Daily Data'!$G311)&lt;0),"ERROR","OK"))</f>
        <v/>
      </c>
      <c r="H311" s="165" t="str">
        <f>IF($A311="","",IF(N('Daily Data'!$K311)&lt;0,"ERROR","OK"))</f>
        <v/>
      </c>
      <c r="I311" s="165" t="str">
        <f>IF($A311="","",IF(N('Daily Data'!$I311)&lt;0,"ERROR","OK"))</f>
        <v/>
      </c>
      <c r="J311" s="165" t="str">
        <f>IF($A311="","",IF(N('Daily Data'!$L311)&lt;0,"ERROR","OK"))</f>
        <v/>
      </c>
      <c r="K311" s="165" t="str">
        <f>IF($A311="","",IF(N('Daily Data'!$M311)&lt;0,"ERROR","OK"))</f>
        <v/>
      </c>
      <c r="L311" s="165" t="str">
        <f>IF($A311="","",IF(OR(N('Daily Data'!$F311)=0,N('Daily Data'!$G311)=0),"OK",IF(OR(N('Daily Data'!$E311)&gt;N('Daily Data'!$F311),N('Daily Data'!$E311)&lt;N('Daily Data'!$G311)),"ERROR","OK")))</f>
        <v/>
      </c>
      <c r="M311" s="165" t="str">
        <f>IF($A311="","",IF(N('Daily Data'!$AK311)&lt;=1,"OK",IF(ROUND(N('Daily Data'!$D311),2)=ROUND(SUMIFS('Daily Data'!$E$4:$E$503,'Daily Data'!$B$4:$B$503,'Daily Data'!$B311,'Daily Data'!$AK$4:$AK$503,'Daily Data'!$AK311-1),2),"OK","WARNING")))</f>
        <v/>
      </c>
      <c r="N311" s="165" t="str">
        <f>IF($A311="","",IF(N('Daily Data'!$N311)&lt;=0,"WARNING","OK"))</f>
        <v/>
      </c>
      <c r="O311" s="165" t="str">
        <f>IF($A311="","",IF(AND(ISNUMBER('Daily Data'!$H311),ABS(N('Daily Data'!$H311))&gt;Settings!$C$56),"WARNING","OK"))</f>
        <v/>
      </c>
      <c r="P311" s="165" t="str">
        <f>IF($A311="","",IF(OR(AND(N('Daily Data'!$K311)=0,N('Daily Data'!$I311)&gt;0),AND(N('Daily Data'!$I311)=0,N('Daily Data'!$K311)&gt;0),AND(N('Daily Data'!$L311)=0,N('Daily Data'!$M311)=0)),"WARNING","OK"))</f>
        <v/>
      </c>
      <c r="Q311" s="165" t="str">
        <f>IF($A311="","",IF(COUNTIFS('Daily Data'!$B$4:$B$503,'Daily Data'!$B311,'Daily Data'!$A$4:$A$503,'Daily Data'!$A311,'Daily Data'!$Q$4:$Q$503,'Daily Data'!$Q311)&gt;1,"WARNING","OK"))</f>
        <v/>
      </c>
      <c r="R311" s="165" t="str">
        <f>IF($A311="","",IF(AND(N('Daily Data'!$K311)&gt;0,N('Daily Data'!$J311)&lt;=0),"WARNING","OK"))</f>
        <v/>
      </c>
      <c r="S311" s="165" t="str">
        <f>IF($A311="","",COUNTIF($D311:$R311,"ERROR"))</f>
        <v/>
      </c>
      <c r="T311" s="165" t="str">
        <f>IF($A311="","",COUNTIF($D311:$R311,"WARNING"))</f>
        <v/>
      </c>
      <c r="U311" s="165" t="str">
        <f>IF($A311="","",IF($S311&gt;0,"ERROR",IF($T311&gt;0,"WARNING","PASS")))</f>
        <v/>
      </c>
    </row>
    <row r="312" spans="1:21" x14ac:dyDescent="0.3">
      <c r="A312" t="str">
        <f>IF(AND('Daily Data'!$A312="",'Daily Data'!$B312=""),"",312)</f>
        <v/>
      </c>
      <c r="B312" s="16" t="str">
        <f>IF($A312="","",'Daily Data'!$A312)</f>
        <v/>
      </c>
      <c r="C312" t="str">
        <f>IF($A312="","",'Daily Data'!$B312)</f>
        <v/>
      </c>
      <c r="D312" s="165" t="str">
        <f>IF($A312="","",IF(COUNTIFS('Daily Data'!$B$4:$B$503,'Daily Data'!$B312,'Daily Data'!$A$4:$A$503,'Daily Data'!$A312)&gt;1,"ERROR","OK"))</f>
        <v/>
      </c>
      <c r="E312" s="165" t="str">
        <f>IF($A312="","",IF('Daily Data'!$B312="","ERROR","OK"))</f>
        <v/>
      </c>
      <c r="F312" s="165" t="str">
        <f>IF($A312="","",IF(NOT(ISNUMBER('Daily Data'!$A312)),"ERROR","OK"))</f>
        <v/>
      </c>
      <c r="G312" s="165" t="str">
        <f>IF($A312="","",IF(OR(N('Daily Data'!$E312)&lt;=0,N('Daily Data'!$C312)&lt;0,N('Daily Data'!$D312)&lt;0,N('Daily Data'!$F312)&lt;0,N('Daily Data'!$G312)&lt;0),"ERROR","OK"))</f>
        <v/>
      </c>
      <c r="H312" s="165" t="str">
        <f>IF($A312="","",IF(N('Daily Data'!$K312)&lt;0,"ERROR","OK"))</f>
        <v/>
      </c>
      <c r="I312" s="165" t="str">
        <f>IF($A312="","",IF(N('Daily Data'!$I312)&lt;0,"ERROR","OK"))</f>
        <v/>
      </c>
      <c r="J312" s="165" t="str">
        <f>IF($A312="","",IF(N('Daily Data'!$L312)&lt;0,"ERROR","OK"))</f>
        <v/>
      </c>
      <c r="K312" s="165" t="str">
        <f>IF($A312="","",IF(N('Daily Data'!$M312)&lt;0,"ERROR","OK"))</f>
        <v/>
      </c>
      <c r="L312" s="165" t="str">
        <f>IF($A312="","",IF(OR(N('Daily Data'!$F312)=0,N('Daily Data'!$G312)=0),"OK",IF(OR(N('Daily Data'!$E312)&gt;N('Daily Data'!$F312),N('Daily Data'!$E312)&lt;N('Daily Data'!$G312)),"ERROR","OK")))</f>
        <v/>
      </c>
      <c r="M312" s="165" t="str">
        <f>IF($A312="","",IF(N('Daily Data'!$AK312)&lt;=1,"OK",IF(ROUND(N('Daily Data'!$D312),2)=ROUND(SUMIFS('Daily Data'!$E$4:$E$503,'Daily Data'!$B$4:$B$503,'Daily Data'!$B312,'Daily Data'!$AK$4:$AK$503,'Daily Data'!$AK312-1),2),"OK","WARNING")))</f>
        <v/>
      </c>
      <c r="N312" s="165" t="str">
        <f>IF($A312="","",IF(N('Daily Data'!$N312)&lt;=0,"WARNING","OK"))</f>
        <v/>
      </c>
      <c r="O312" s="165" t="str">
        <f>IF($A312="","",IF(AND(ISNUMBER('Daily Data'!$H312),ABS(N('Daily Data'!$H312))&gt;Settings!$C$56),"WARNING","OK"))</f>
        <v/>
      </c>
      <c r="P312" s="165" t="str">
        <f>IF($A312="","",IF(OR(AND(N('Daily Data'!$K312)=0,N('Daily Data'!$I312)&gt;0),AND(N('Daily Data'!$I312)=0,N('Daily Data'!$K312)&gt;0),AND(N('Daily Data'!$L312)=0,N('Daily Data'!$M312)=0)),"WARNING","OK"))</f>
        <v/>
      </c>
      <c r="Q312" s="165" t="str">
        <f>IF($A312="","",IF(COUNTIFS('Daily Data'!$B$4:$B$503,'Daily Data'!$B312,'Daily Data'!$A$4:$A$503,'Daily Data'!$A312,'Daily Data'!$Q$4:$Q$503,'Daily Data'!$Q312)&gt;1,"WARNING","OK"))</f>
        <v/>
      </c>
      <c r="R312" s="165" t="str">
        <f>IF($A312="","",IF(AND(N('Daily Data'!$K312)&gt;0,N('Daily Data'!$J312)&lt;=0),"WARNING","OK"))</f>
        <v/>
      </c>
      <c r="S312" s="165" t="str">
        <f>IF($A312="","",COUNTIF($D312:$R312,"ERROR"))</f>
        <v/>
      </c>
      <c r="T312" s="165" t="str">
        <f>IF($A312="","",COUNTIF($D312:$R312,"WARNING"))</f>
        <v/>
      </c>
      <c r="U312" s="165" t="str">
        <f>IF($A312="","",IF($S312&gt;0,"ERROR",IF($T312&gt;0,"WARNING","PASS")))</f>
        <v/>
      </c>
    </row>
    <row r="313" spans="1:21" x14ac:dyDescent="0.3">
      <c r="A313" t="str">
        <f>IF(AND('Daily Data'!$A313="",'Daily Data'!$B313=""),"",313)</f>
        <v/>
      </c>
      <c r="B313" s="16" t="str">
        <f>IF($A313="","",'Daily Data'!$A313)</f>
        <v/>
      </c>
      <c r="C313" t="str">
        <f>IF($A313="","",'Daily Data'!$B313)</f>
        <v/>
      </c>
      <c r="D313" s="165" t="str">
        <f>IF($A313="","",IF(COUNTIFS('Daily Data'!$B$4:$B$503,'Daily Data'!$B313,'Daily Data'!$A$4:$A$503,'Daily Data'!$A313)&gt;1,"ERROR","OK"))</f>
        <v/>
      </c>
      <c r="E313" s="165" t="str">
        <f>IF($A313="","",IF('Daily Data'!$B313="","ERROR","OK"))</f>
        <v/>
      </c>
      <c r="F313" s="165" t="str">
        <f>IF($A313="","",IF(NOT(ISNUMBER('Daily Data'!$A313)),"ERROR","OK"))</f>
        <v/>
      </c>
      <c r="G313" s="165" t="str">
        <f>IF($A313="","",IF(OR(N('Daily Data'!$E313)&lt;=0,N('Daily Data'!$C313)&lt;0,N('Daily Data'!$D313)&lt;0,N('Daily Data'!$F313)&lt;0,N('Daily Data'!$G313)&lt;0),"ERROR","OK"))</f>
        <v/>
      </c>
      <c r="H313" s="165" t="str">
        <f>IF($A313="","",IF(N('Daily Data'!$K313)&lt;0,"ERROR","OK"))</f>
        <v/>
      </c>
      <c r="I313" s="165" t="str">
        <f>IF($A313="","",IF(N('Daily Data'!$I313)&lt;0,"ERROR","OK"))</f>
        <v/>
      </c>
      <c r="J313" s="165" t="str">
        <f>IF($A313="","",IF(N('Daily Data'!$L313)&lt;0,"ERROR","OK"))</f>
        <v/>
      </c>
      <c r="K313" s="165" t="str">
        <f>IF($A313="","",IF(N('Daily Data'!$M313)&lt;0,"ERROR","OK"))</f>
        <v/>
      </c>
      <c r="L313" s="165" t="str">
        <f>IF($A313="","",IF(OR(N('Daily Data'!$F313)=0,N('Daily Data'!$G313)=0),"OK",IF(OR(N('Daily Data'!$E313)&gt;N('Daily Data'!$F313),N('Daily Data'!$E313)&lt;N('Daily Data'!$G313)),"ERROR","OK")))</f>
        <v/>
      </c>
      <c r="M313" s="165" t="str">
        <f>IF($A313="","",IF(N('Daily Data'!$AK313)&lt;=1,"OK",IF(ROUND(N('Daily Data'!$D313),2)=ROUND(SUMIFS('Daily Data'!$E$4:$E$503,'Daily Data'!$B$4:$B$503,'Daily Data'!$B313,'Daily Data'!$AK$4:$AK$503,'Daily Data'!$AK313-1),2),"OK","WARNING")))</f>
        <v/>
      </c>
      <c r="N313" s="165" t="str">
        <f>IF($A313="","",IF(N('Daily Data'!$N313)&lt;=0,"WARNING","OK"))</f>
        <v/>
      </c>
      <c r="O313" s="165" t="str">
        <f>IF($A313="","",IF(AND(ISNUMBER('Daily Data'!$H313),ABS(N('Daily Data'!$H313))&gt;Settings!$C$56),"WARNING","OK"))</f>
        <v/>
      </c>
      <c r="P313" s="165" t="str">
        <f>IF($A313="","",IF(OR(AND(N('Daily Data'!$K313)=0,N('Daily Data'!$I313)&gt;0),AND(N('Daily Data'!$I313)=0,N('Daily Data'!$K313)&gt;0),AND(N('Daily Data'!$L313)=0,N('Daily Data'!$M313)=0)),"WARNING","OK"))</f>
        <v/>
      </c>
      <c r="Q313" s="165" t="str">
        <f>IF($A313="","",IF(COUNTIFS('Daily Data'!$B$4:$B$503,'Daily Data'!$B313,'Daily Data'!$A$4:$A$503,'Daily Data'!$A313,'Daily Data'!$Q$4:$Q$503,'Daily Data'!$Q313)&gt;1,"WARNING","OK"))</f>
        <v/>
      </c>
      <c r="R313" s="165" t="str">
        <f>IF($A313="","",IF(AND(N('Daily Data'!$K313)&gt;0,N('Daily Data'!$J313)&lt;=0),"WARNING","OK"))</f>
        <v/>
      </c>
      <c r="S313" s="165" t="str">
        <f>IF($A313="","",COUNTIF($D313:$R313,"ERROR"))</f>
        <v/>
      </c>
      <c r="T313" s="165" t="str">
        <f>IF($A313="","",COUNTIF($D313:$R313,"WARNING"))</f>
        <v/>
      </c>
      <c r="U313" s="165" t="str">
        <f>IF($A313="","",IF($S313&gt;0,"ERROR",IF($T313&gt;0,"WARNING","PASS")))</f>
        <v/>
      </c>
    </row>
    <row r="314" spans="1:21" x14ac:dyDescent="0.3">
      <c r="A314" t="str">
        <f>IF(AND('Daily Data'!$A314="",'Daily Data'!$B314=""),"",314)</f>
        <v/>
      </c>
      <c r="B314" s="16" t="str">
        <f>IF($A314="","",'Daily Data'!$A314)</f>
        <v/>
      </c>
      <c r="C314" t="str">
        <f>IF($A314="","",'Daily Data'!$B314)</f>
        <v/>
      </c>
      <c r="D314" s="165" t="str">
        <f>IF($A314="","",IF(COUNTIFS('Daily Data'!$B$4:$B$503,'Daily Data'!$B314,'Daily Data'!$A$4:$A$503,'Daily Data'!$A314)&gt;1,"ERROR","OK"))</f>
        <v/>
      </c>
      <c r="E314" s="165" t="str">
        <f>IF($A314="","",IF('Daily Data'!$B314="","ERROR","OK"))</f>
        <v/>
      </c>
      <c r="F314" s="165" t="str">
        <f>IF($A314="","",IF(NOT(ISNUMBER('Daily Data'!$A314)),"ERROR","OK"))</f>
        <v/>
      </c>
      <c r="G314" s="165" t="str">
        <f>IF($A314="","",IF(OR(N('Daily Data'!$E314)&lt;=0,N('Daily Data'!$C314)&lt;0,N('Daily Data'!$D314)&lt;0,N('Daily Data'!$F314)&lt;0,N('Daily Data'!$G314)&lt;0),"ERROR","OK"))</f>
        <v/>
      </c>
      <c r="H314" s="165" t="str">
        <f>IF($A314="","",IF(N('Daily Data'!$K314)&lt;0,"ERROR","OK"))</f>
        <v/>
      </c>
      <c r="I314" s="165" t="str">
        <f>IF($A314="","",IF(N('Daily Data'!$I314)&lt;0,"ERROR","OK"))</f>
        <v/>
      </c>
      <c r="J314" s="165" t="str">
        <f>IF($A314="","",IF(N('Daily Data'!$L314)&lt;0,"ERROR","OK"))</f>
        <v/>
      </c>
      <c r="K314" s="165" t="str">
        <f>IF($A314="","",IF(N('Daily Data'!$M314)&lt;0,"ERROR","OK"))</f>
        <v/>
      </c>
      <c r="L314" s="165" t="str">
        <f>IF($A314="","",IF(OR(N('Daily Data'!$F314)=0,N('Daily Data'!$G314)=0),"OK",IF(OR(N('Daily Data'!$E314)&gt;N('Daily Data'!$F314),N('Daily Data'!$E314)&lt;N('Daily Data'!$G314)),"ERROR","OK")))</f>
        <v/>
      </c>
      <c r="M314" s="165" t="str">
        <f>IF($A314="","",IF(N('Daily Data'!$AK314)&lt;=1,"OK",IF(ROUND(N('Daily Data'!$D314),2)=ROUND(SUMIFS('Daily Data'!$E$4:$E$503,'Daily Data'!$B$4:$B$503,'Daily Data'!$B314,'Daily Data'!$AK$4:$AK$503,'Daily Data'!$AK314-1),2),"OK","WARNING")))</f>
        <v/>
      </c>
      <c r="N314" s="165" t="str">
        <f>IF($A314="","",IF(N('Daily Data'!$N314)&lt;=0,"WARNING","OK"))</f>
        <v/>
      </c>
      <c r="O314" s="165" t="str">
        <f>IF($A314="","",IF(AND(ISNUMBER('Daily Data'!$H314),ABS(N('Daily Data'!$H314))&gt;Settings!$C$56),"WARNING","OK"))</f>
        <v/>
      </c>
      <c r="P314" s="165" t="str">
        <f>IF($A314="","",IF(OR(AND(N('Daily Data'!$K314)=0,N('Daily Data'!$I314)&gt;0),AND(N('Daily Data'!$I314)=0,N('Daily Data'!$K314)&gt;0),AND(N('Daily Data'!$L314)=0,N('Daily Data'!$M314)=0)),"WARNING","OK"))</f>
        <v/>
      </c>
      <c r="Q314" s="165" t="str">
        <f>IF($A314="","",IF(COUNTIFS('Daily Data'!$B$4:$B$503,'Daily Data'!$B314,'Daily Data'!$A$4:$A$503,'Daily Data'!$A314,'Daily Data'!$Q$4:$Q$503,'Daily Data'!$Q314)&gt;1,"WARNING","OK"))</f>
        <v/>
      </c>
      <c r="R314" s="165" t="str">
        <f>IF($A314="","",IF(AND(N('Daily Data'!$K314)&gt;0,N('Daily Data'!$J314)&lt;=0),"WARNING","OK"))</f>
        <v/>
      </c>
      <c r="S314" s="165" t="str">
        <f>IF($A314="","",COUNTIF($D314:$R314,"ERROR"))</f>
        <v/>
      </c>
      <c r="T314" s="165" t="str">
        <f>IF($A314="","",COUNTIF($D314:$R314,"WARNING"))</f>
        <v/>
      </c>
      <c r="U314" s="165" t="str">
        <f>IF($A314="","",IF($S314&gt;0,"ERROR",IF($T314&gt;0,"WARNING","PASS")))</f>
        <v/>
      </c>
    </row>
    <row r="315" spans="1:21" x14ac:dyDescent="0.3">
      <c r="A315" t="str">
        <f>IF(AND('Daily Data'!$A315="",'Daily Data'!$B315=""),"",315)</f>
        <v/>
      </c>
      <c r="B315" s="16" t="str">
        <f>IF($A315="","",'Daily Data'!$A315)</f>
        <v/>
      </c>
      <c r="C315" t="str">
        <f>IF($A315="","",'Daily Data'!$B315)</f>
        <v/>
      </c>
      <c r="D315" s="165" t="str">
        <f>IF($A315="","",IF(COUNTIFS('Daily Data'!$B$4:$B$503,'Daily Data'!$B315,'Daily Data'!$A$4:$A$503,'Daily Data'!$A315)&gt;1,"ERROR","OK"))</f>
        <v/>
      </c>
      <c r="E315" s="165" t="str">
        <f>IF($A315="","",IF('Daily Data'!$B315="","ERROR","OK"))</f>
        <v/>
      </c>
      <c r="F315" s="165" t="str">
        <f>IF($A315="","",IF(NOT(ISNUMBER('Daily Data'!$A315)),"ERROR","OK"))</f>
        <v/>
      </c>
      <c r="G315" s="165" t="str">
        <f>IF($A315="","",IF(OR(N('Daily Data'!$E315)&lt;=0,N('Daily Data'!$C315)&lt;0,N('Daily Data'!$D315)&lt;0,N('Daily Data'!$F315)&lt;0,N('Daily Data'!$G315)&lt;0),"ERROR","OK"))</f>
        <v/>
      </c>
      <c r="H315" s="165" t="str">
        <f>IF($A315="","",IF(N('Daily Data'!$K315)&lt;0,"ERROR","OK"))</f>
        <v/>
      </c>
      <c r="I315" s="165" t="str">
        <f>IF($A315="","",IF(N('Daily Data'!$I315)&lt;0,"ERROR","OK"))</f>
        <v/>
      </c>
      <c r="J315" s="165" t="str">
        <f>IF($A315="","",IF(N('Daily Data'!$L315)&lt;0,"ERROR","OK"))</f>
        <v/>
      </c>
      <c r="K315" s="165" t="str">
        <f>IF($A315="","",IF(N('Daily Data'!$M315)&lt;0,"ERROR","OK"))</f>
        <v/>
      </c>
      <c r="L315" s="165" t="str">
        <f>IF($A315="","",IF(OR(N('Daily Data'!$F315)=0,N('Daily Data'!$G315)=0),"OK",IF(OR(N('Daily Data'!$E315)&gt;N('Daily Data'!$F315),N('Daily Data'!$E315)&lt;N('Daily Data'!$G315)),"ERROR","OK")))</f>
        <v/>
      </c>
      <c r="M315" s="165" t="str">
        <f>IF($A315="","",IF(N('Daily Data'!$AK315)&lt;=1,"OK",IF(ROUND(N('Daily Data'!$D315),2)=ROUND(SUMIFS('Daily Data'!$E$4:$E$503,'Daily Data'!$B$4:$B$503,'Daily Data'!$B315,'Daily Data'!$AK$4:$AK$503,'Daily Data'!$AK315-1),2),"OK","WARNING")))</f>
        <v/>
      </c>
      <c r="N315" s="165" t="str">
        <f>IF($A315="","",IF(N('Daily Data'!$N315)&lt;=0,"WARNING","OK"))</f>
        <v/>
      </c>
      <c r="O315" s="165" t="str">
        <f>IF($A315="","",IF(AND(ISNUMBER('Daily Data'!$H315),ABS(N('Daily Data'!$H315))&gt;Settings!$C$56),"WARNING","OK"))</f>
        <v/>
      </c>
      <c r="P315" s="165" t="str">
        <f>IF($A315="","",IF(OR(AND(N('Daily Data'!$K315)=0,N('Daily Data'!$I315)&gt;0),AND(N('Daily Data'!$I315)=0,N('Daily Data'!$K315)&gt;0),AND(N('Daily Data'!$L315)=0,N('Daily Data'!$M315)=0)),"WARNING","OK"))</f>
        <v/>
      </c>
      <c r="Q315" s="165" t="str">
        <f>IF($A315="","",IF(COUNTIFS('Daily Data'!$B$4:$B$503,'Daily Data'!$B315,'Daily Data'!$A$4:$A$503,'Daily Data'!$A315,'Daily Data'!$Q$4:$Q$503,'Daily Data'!$Q315)&gt;1,"WARNING","OK"))</f>
        <v/>
      </c>
      <c r="R315" s="165" t="str">
        <f>IF($A315="","",IF(AND(N('Daily Data'!$K315)&gt;0,N('Daily Data'!$J315)&lt;=0),"WARNING","OK"))</f>
        <v/>
      </c>
      <c r="S315" s="165" t="str">
        <f>IF($A315="","",COUNTIF($D315:$R315,"ERROR"))</f>
        <v/>
      </c>
      <c r="T315" s="165" t="str">
        <f>IF($A315="","",COUNTIF($D315:$R315,"WARNING"))</f>
        <v/>
      </c>
      <c r="U315" s="165" t="str">
        <f>IF($A315="","",IF($S315&gt;0,"ERROR",IF($T315&gt;0,"WARNING","PASS")))</f>
        <v/>
      </c>
    </row>
    <row r="316" spans="1:21" x14ac:dyDescent="0.3">
      <c r="A316" t="str">
        <f>IF(AND('Daily Data'!$A316="",'Daily Data'!$B316=""),"",316)</f>
        <v/>
      </c>
      <c r="B316" s="16" t="str">
        <f>IF($A316="","",'Daily Data'!$A316)</f>
        <v/>
      </c>
      <c r="C316" t="str">
        <f>IF($A316="","",'Daily Data'!$B316)</f>
        <v/>
      </c>
      <c r="D316" s="165" t="str">
        <f>IF($A316="","",IF(COUNTIFS('Daily Data'!$B$4:$B$503,'Daily Data'!$B316,'Daily Data'!$A$4:$A$503,'Daily Data'!$A316)&gt;1,"ERROR","OK"))</f>
        <v/>
      </c>
      <c r="E316" s="165" t="str">
        <f>IF($A316="","",IF('Daily Data'!$B316="","ERROR","OK"))</f>
        <v/>
      </c>
      <c r="F316" s="165" t="str">
        <f>IF($A316="","",IF(NOT(ISNUMBER('Daily Data'!$A316)),"ERROR","OK"))</f>
        <v/>
      </c>
      <c r="G316" s="165" t="str">
        <f>IF($A316="","",IF(OR(N('Daily Data'!$E316)&lt;=0,N('Daily Data'!$C316)&lt;0,N('Daily Data'!$D316)&lt;0,N('Daily Data'!$F316)&lt;0,N('Daily Data'!$G316)&lt;0),"ERROR","OK"))</f>
        <v/>
      </c>
      <c r="H316" s="165" t="str">
        <f>IF($A316="","",IF(N('Daily Data'!$K316)&lt;0,"ERROR","OK"))</f>
        <v/>
      </c>
      <c r="I316" s="165" t="str">
        <f>IF($A316="","",IF(N('Daily Data'!$I316)&lt;0,"ERROR","OK"))</f>
        <v/>
      </c>
      <c r="J316" s="165" t="str">
        <f>IF($A316="","",IF(N('Daily Data'!$L316)&lt;0,"ERROR","OK"))</f>
        <v/>
      </c>
      <c r="K316" s="165" t="str">
        <f>IF($A316="","",IF(N('Daily Data'!$M316)&lt;0,"ERROR","OK"))</f>
        <v/>
      </c>
      <c r="L316" s="165" t="str">
        <f>IF($A316="","",IF(OR(N('Daily Data'!$F316)=0,N('Daily Data'!$G316)=0),"OK",IF(OR(N('Daily Data'!$E316)&gt;N('Daily Data'!$F316),N('Daily Data'!$E316)&lt;N('Daily Data'!$G316)),"ERROR","OK")))</f>
        <v/>
      </c>
      <c r="M316" s="165" t="str">
        <f>IF($A316="","",IF(N('Daily Data'!$AK316)&lt;=1,"OK",IF(ROUND(N('Daily Data'!$D316),2)=ROUND(SUMIFS('Daily Data'!$E$4:$E$503,'Daily Data'!$B$4:$B$503,'Daily Data'!$B316,'Daily Data'!$AK$4:$AK$503,'Daily Data'!$AK316-1),2),"OK","WARNING")))</f>
        <v/>
      </c>
      <c r="N316" s="165" t="str">
        <f>IF($A316="","",IF(N('Daily Data'!$N316)&lt;=0,"WARNING","OK"))</f>
        <v/>
      </c>
      <c r="O316" s="165" t="str">
        <f>IF($A316="","",IF(AND(ISNUMBER('Daily Data'!$H316),ABS(N('Daily Data'!$H316))&gt;Settings!$C$56),"WARNING","OK"))</f>
        <v/>
      </c>
      <c r="P316" s="165" t="str">
        <f>IF($A316="","",IF(OR(AND(N('Daily Data'!$K316)=0,N('Daily Data'!$I316)&gt;0),AND(N('Daily Data'!$I316)=0,N('Daily Data'!$K316)&gt;0),AND(N('Daily Data'!$L316)=0,N('Daily Data'!$M316)=0)),"WARNING","OK"))</f>
        <v/>
      </c>
      <c r="Q316" s="165" t="str">
        <f>IF($A316="","",IF(COUNTIFS('Daily Data'!$B$4:$B$503,'Daily Data'!$B316,'Daily Data'!$A$4:$A$503,'Daily Data'!$A316,'Daily Data'!$Q$4:$Q$503,'Daily Data'!$Q316)&gt;1,"WARNING","OK"))</f>
        <v/>
      </c>
      <c r="R316" s="165" t="str">
        <f>IF($A316="","",IF(AND(N('Daily Data'!$K316)&gt;0,N('Daily Data'!$J316)&lt;=0),"WARNING","OK"))</f>
        <v/>
      </c>
      <c r="S316" s="165" t="str">
        <f>IF($A316="","",COUNTIF($D316:$R316,"ERROR"))</f>
        <v/>
      </c>
      <c r="T316" s="165" t="str">
        <f>IF($A316="","",COUNTIF($D316:$R316,"WARNING"))</f>
        <v/>
      </c>
      <c r="U316" s="165" t="str">
        <f>IF($A316="","",IF($S316&gt;0,"ERROR",IF($T316&gt;0,"WARNING","PASS")))</f>
        <v/>
      </c>
    </row>
    <row r="317" spans="1:21" x14ac:dyDescent="0.3">
      <c r="A317" t="str">
        <f>IF(AND('Daily Data'!$A317="",'Daily Data'!$B317=""),"",317)</f>
        <v/>
      </c>
      <c r="B317" s="16" t="str">
        <f>IF($A317="","",'Daily Data'!$A317)</f>
        <v/>
      </c>
      <c r="C317" t="str">
        <f>IF($A317="","",'Daily Data'!$B317)</f>
        <v/>
      </c>
      <c r="D317" s="165" t="str">
        <f>IF($A317="","",IF(COUNTIFS('Daily Data'!$B$4:$B$503,'Daily Data'!$B317,'Daily Data'!$A$4:$A$503,'Daily Data'!$A317)&gt;1,"ERROR","OK"))</f>
        <v/>
      </c>
      <c r="E317" s="165" t="str">
        <f>IF($A317="","",IF('Daily Data'!$B317="","ERROR","OK"))</f>
        <v/>
      </c>
      <c r="F317" s="165" t="str">
        <f>IF($A317="","",IF(NOT(ISNUMBER('Daily Data'!$A317)),"ERROR","OK"))</f>
        <v/>
      </c>
      <c r="G317" s="165" t="str">
        <f>IF($A317="","",IF(OR(N('Daily Data'!$E317)&lt;=0,N('Daily Data'!$C317)&lt;0,N('Daily Data'!$D317)&lt;0,N('Daily Data'!$F317)&lt;0,N('Daily Data'!$G317)&lt;0),"ERROR","OK"))</f>
        <v/>
      </c>
      <c r="H317" s="165" t="str">
        <f>IF($A317="","",IF(N('Daily Data'!$K317)&lt;0,"ERROR","OK"))</f>
        <v/>
      </c>
      <c r="I317" s="165" t="str">
        <f>IF($A317="","",IF(N('Daily Data'!$I317)&lt;0,"ERROR","OK"))</f>
        <v/>
      </c>
      <c r="J317" s="165" t="str">
        <f>IF($A317="","",IF(N('Daily Data'!$L317)&lt;0,"ERROR","OK"))</f>
        <v/>
      </c>
      <c r="K317" s="165" t="str">
        <f>IF($A317="","",IF(N('Daily Data'!$M317)&lt;0,"ERROR","OK"))</f>
        <v/>
      </c>
      <c r="L317" s="165" t="str">
        <f>IF($A317="","",IF(OR(N('Daily Data'!$F317)=0,N('Daily Data'!$G317)=0),"OK",IF(OR(N('Daily Data'!$E317)&gt;N('Daily Data'!$F317),N('Daily Data'!$E317)&lt;N('Daily Data'!$G317)),"ERROR","OK")))</f>
        <v/>
      </c>
      <c r="M317" s="165" t="str">
        <f>IF($A317="","",IF(N('Daily Data'!$AK317)&lt;=1,"OK",IF(ROUND(N('Daily Data'!$D317),2)=ROUND(SUMIFS('Daily Data'!$E$4:$E$503,'Daily Data'!$B$4:$B$503,'Daily Data'!$B317,'Daily Data'!$AK$4:$AK$503,'Daily Data'!$AK317-1),2),"OK","WARNING")))</f>
        <v/>
      </c>
      <c r="N317" s="165" t="str">
        <f>IF($A317="","",IF(N('Daily Data'!$N317)&lt;=0,"WARNING","OK"))</f>
        <v/>
      </c>
      <c r="O317" s="165" t="str">
        <f>IF($A317="","",IF(AND(ISNUMBER('Daily Data'!$H317),ABS(N('Daily Data'!$H317))&gt;Settings!$C$56),"WARNING","OK"))</f>
        <v/>
      </c>
      <c r="P317" s="165" t="str">
        <f>IF($A317="","",IF(OR(AND(N('Daily Data'!$K317)=0,N('Daily Data'!$I317)&gt;0),AND(N('Daily Data'!$I317)=0,N('Daily Data'!$K317)&gt;0),AND(N('Daily Data'!$L317)=0,N('Daily Data'!$M317)=0)),"WARNING","OK"))</f>
        <v/>
      </c>
      <c r="Q317" s="165" t="str">
        <f>IF($A317="","",IF(COUNTIFS('Daily Data'!$B$4:$B$503,'Daily Data'!$B317,'Daily Data'!$A$4:$A$503,'Daily Data'!$A317,'Daily Data'!$Q$4:$Q$503,'Daily Data'!$Q317)&gt;1,"WARNING","OK"))</f>
        <v/>
      </c>
      <c r="R317" s="165" t="str">
        <f>IF($A317="","",IF(AND(N('Daily Data'!$K317)&gt;0,N('Daily Data'!$J317)&lt;=0),"WARNING","OK"))</f>
        <v/>
      </c>
      <c r="S317" s="165" t="str">
        <f>IF($A317="","",COUNTIF($D317:$R317,"ERROR"))</f>
        <v/>
      </c>
      <c r="T317" s="165" t="str">
        <f>IF($A317="","",COUNTIF($D317:$R317,"WARNING"))</f>
        <v/>
      </c>
      <c r="U317" s="165" t="str">
        <f>IF($A317="","",IF($S317&gt;0,"ERROR",IF($T317&gt;0,"WARNING","PASS")))</f>
        <v/>
      </c>
    </row>
    <row r="318" spans="1:21" x14ac:dyDescent="0.3">
      <c r="A318" t="str">
        <f>IF(AND('Daily Data'!$A318="",'Daily Data'!$B318=""),"",318)</f>
        <v/>
      </c>
      <c r="B318" s="16" t="str">
        <f>IF($A318="","",'Daily Data'!$A318)</f>
        <v/>
      </c>
      <c r="C318" t="str">
        <f>IF($A318="","",'Daily Data'!$B318)</f>
        <v/>
      </c>
      <c r="D318" s="165" t="str">
        <f>IF($A318="","",IF(COUNTIFS('Daily Data'!$B$4:$B$503,'Daily Data'!$B318,'Daily Data'!$A$4:$A$503,'Daily Data'!$A318)&gt;1,"ERROR","OK"))</f>
        <v/>
      </c>
      <c r="E318" s="165" t="str">
        <f>IF($A318="","",IF('Daily Data'!$B318="","ERROR","OK"))</f>
        <v/>
      </c>
      <c r="F318" s="165" t="str">
        <f>IF($A318="","",IF(NOT(ISNUMBER('Daily Data'!$A318)),"ERROR","OK"))</f>
        <v/>
      </c>
      <c r="G318" s="165" t="str">
        <f>IF($A318="","",IF(OR(N('Daily Data'!$E318)&lt;=0,N('Daily Data'!$C318)&lt;0,N('Daily Data'!$D318)&lt;0,N('Daily Data'!$F318)&lt;0,N('Daily Data'!$G318)&lt;0),"ERROR","OK"))</f>
        <v/>
      </c>
      <c r="H318" s="165" t="str">
        <f>IF($A318="","",IF(N('Daily Data'!$K318)&lt;0,"ERROR","OK"))</f>
        <v/>
      </c>
      <c r="I318" s="165" t="str">
        <f>IF($A318="","",IF(N('Daily Data'!$I318)&lt;0,"ERROR","OK"))</f>
        <v/>
      </c>
      <c r="J318" s="165" t="str">
        <f>IF($A318="","",IF(N('Daily Data'!$L318)&lt;0,"ERROR","OK"))</f>
        <v/>
      </c>
      <c r="K318" s="165" t="str">
        <f>IF($A318="","",IF(N('Daily Data'!$M318)&lt;0,"ERROR","OK"))</f>
        <v/>
      </c>
      <c r="L318" s="165" t="str">
        <f>IF($A318="","",IF(OR(N('Daily Data'!$F318)=0,N('Daily Data'!$G318)=0),"OK",IF(OR(N('Daily Data'!$E318)&gt;N('Daily Data'!$F318),N('Daily Data'!$E318)&lt;N('Daily Data'!$G318)),"ERROR","OK")))</f>
        <v/>
      </c>
      <c r="M318" s="165" t="str">
        <f>IF($A318="","",IF(N('Daily Data'!$AK318)&lt;=1,"OK",IF(ROUND(N('Daily Data'!$D318),2)=ROUND(SUMIFS('Daily Data'!$E$4:$E$503,'Daily Data'!$B$4:$B$503,'Daily Data'!$B318,'Daily Data'!$AK$4:$AK$503,'Daily Data'!$AK318-1),2),"OK","WARNING")))</f>
        <v/>
      </c>
      <c r="N318" s="165" t="str">
        <f>IF($A318="","",IF(N('Daily Data'!$N318)&lt;=0,"WARNING","OK"))</f>
        <v/>
      </c>
      <c r="O318" s="165" t="str">
        <f>IF($A318="","",IF(AND(ISNUMBER('Daily Data'!$H318),ABS(N('Daily Data'!$H318))&gt;Settings!$C$56),"WARNING","OK"))</f>
        <v/>
      </c>
      <c r="P318" s="165" t="str">
        <f>IF($A318="","",IF(OR(AND(N('Daily Data'!$K318)=0,N('Daily Data'!$I318)&gt;0),AND(N('Daily Data'!$I318)=0,N('Daily Data'!$K318)&gt;0),AND(N('Daily Data'!$L318)=0,N('Daily Data'!$M318)=0)),"WARNING","OK"))</f>
        <v/>
      </c>
      <c r="Q318" s="165" t="str">
        <f>IF($A318="","",IF(COUNTIFS('Daily Data'!$B$4:$B$503,'Daily Data'!$B318,'Daily Data'!$A$4:$A$503,'Daily Data'!$A318,'Daily Data'!$Q$4:$Q$503,'Daily Data'!$Q318)&gt;1,"WARNING","OK"))</f>
        <v/>
      </c>
      <c r="R318" s="165" t="str">
        <f>IF($A318="","",IF(AND(N('Daily Data'!$K318)&gt;0,N('Daily Data'!$J318)&lt;=0),"WARNING","OK"))</f>
        <v/>
      </c>
      <c r="S318" s="165" t="str">
        <f>IF($A318="","",COUNTIF($D318:$R318,"ERROR"))</f>
        <v/>
      </c>
      <c r="T318" s="165" t="str">
        <f>IF($A318="","",COUNTIF($D318:$R318,"WARNING"))</f>
        <v/>
      </c>
      <c r="U318" s="165" t="str">
        <f>IF($A318="","",IF($S318&gt;0,"ERROR",IF($T318&gt;0,"WARNING","PASS")))</f>
        <v/>
      </c>
    </row>
    <row r="319" spans="1:21" x14ac:dyDescent="0.3">
      <c r="A319" t="str">
        <f>IF(AND('Daily Data'!$A319="",'Daily Data'!$B319=""),"",319)</f>
        <v/>
      </c>
      <c r="B319" s="16" t="str">
        <f>IF($A319="","",'Daily Data'!$A319)</f>
        <v/>
      </c>
      <c r="C319" t="str">
        <f>IF($A319="","",'Daily Data'!$B319)</f>
        <v/>
      </c>
      <c r="D319" s="165" t="str">
        <f>IF($A319="","",IF(COUNTIFS('Daily Data'!$B$4:$B$503,'Daily Data'!$B319,'Daily Data'!$A$4:$A$503,'Daily Data'!$A319)&gt;1,"ERROR","OK"))</f>
        <v/>
      </c>
      <c r="E319" s="165" t="str">
        <f>IF($A319="","",IF('Daily Data'!$B319="","ERROR","OK"))</f>
        <v/>
      </c>
      <c r="F319" s="165" t="str">
        <f>IF($A319="","",IF(NOT(ISNUMBER('Daily Data'!$A319)),"ERROR","OK"))</f>
        <v/>
      </c>
      <c r="G319" s="165" t="str">
        <f>IF($A319="","",IF(OR(N('Daily Data'!$E319)&lt;=0,N('Daily Data'!$C319)&lt;0,N('Daily Data'!$D319)&lt;0,N('Daily Data'!$F319)&lt;0,N('Daily Data'!$G319)&lt;0),"ERROR","OK"))</f>
        <v/>
      </c>
      <c r="H319" s="165" t="str">
        <f>IF($A319="","",IF(N('Daily Data'!$K319)&lt;0,"ERROR","OK"))</f>
        <v/>
      </c>
      <c r="I319" s="165" t="str">
        <f>IF($A319="","",IF(N('Daily Data'!$I319)&lt;0,"ERROR","OK"))</f>
        <v/>
      </c>
      <c r="J319" s="165" t="str">
        <f>IF($A319="","",IF(N('Daily Data'!$L319)&lt;0,"ERROR","OK"))</f>
        <v/>
      </c>
      <c r="K319" s="165" t="str">
        <f>IF($A319="","",IF(N('Daily Data'!$M319)&lt;0,"ERROR","OK"))</f>
        <v/>
      </c>
      <c r="L319" s="165" t="str">
        <f>IF($A319="","",IF(OR(N('Daily Data'!$F319)=0,N('Daily Data'!$G319)=0),"OK",IF(OR(N('Daily Data'!$E319)&gt;N('Daily Data'!$F319),N('Daily Data'!$E319)&lt;N('Daily Data'!$G319)),"ERROR","OK")))</f>
        <v/>
      </c>
      <c r="M319" s="165" t="str">
        <f>IF($A319="","",IF(N('Daily Data'!$AK319)&lt;=1,"OK",IF(ROUND(N('Daily Data'!$D319),2)=ROUND(SUMIFS('Daily Data'!$E$4:$E$503,'Daily Data'!$B$4:$B$503,'Daily Data'!$B319,'Daily Data'!$AK$4:$AK$503,'Daily Data'!$AK319-1),2),"OK","WARNING")))</f>
        <v/>
      </c>
      <c r="N319" s="165" t="str">
        <f>IF($A319="","",IF(N('Daily Data'!$N319)&lt;=0,"WARNING","OK"))</f>
        <v/>
      </c>
      <c r="O319" s="165" t="str">
        <f>IF($A319="","",IF(AND(ISNUMBER('Daily Data'!$H319),ABS(N('Daily Data'!$H319))&gt;Settings!$C$56),"WARNING","OK"))</f>
        <v/>
      </c>
      <c r="P319" s="165" t="str">
        <f>IF($A319="","",IF(OR(AND(N('Daily Data'!$K319)=0,N('Daily Data'!$I319)&gt;0),AND(N('Daily Data'!$I319)=0,N('Daily Data'!$K319)&gt;0),AND(N('Daily Data'!$L319)=0,N('Daily Data'!$M319)=0)),"WARNING","OK"))</f>
        <v/>
      </c>
      <c r="Q319" s="165" t="str">
        <f>IF($A319="","",IF(COUNTIFS('Daily Data'!$B$4:$B$503,'Daily Data'!$B319,'Daily Data'!$A$4:$A$503,'Daily Data'!$A319,'Daily Data'!$Q$4:$Q$503,'Daily Data'!$Q319)&gt;1,"WARNING","OK"))</f>
        <v/>
      </c>
      <c r="R319" s="165" t="str">
        <f>IF($A319="","",IF(AND(N('Daily Data'!$K319)&gt;0,N('Daily Data'!$J319)&lt;=0),"WARNING","OK"))</f>
        <v/>
      </c>
      <c r="S319" s="165" t="str">
        <f>IF($A319="","",COUNTIF($D319:$R319,"ERROR"))</f>
        <v/>
      </c>
      <c r="T319" s="165" t="str">
        <f>IF($A319="","",COUNTIF($D319:$R319,"WARNING"))</f>
        <v/>
      </c>
      <c r="U319" s="165" t="str">
        <f>IF($A319="","",IF($S319&gt;0,"ERROR",IF($T319&gt;0,"WARNING","PASS")))</f>
        <v/>
      </c>
    </row>
    <row r="320" spans="1:21" x14ac:dyDescent="0.3">
      <c r="A320" t="str">
        <f>IF(AND('Daily Data'!$A320="",'Daily Data'!$B320=""),"",320)</f>
        <v/>
      </c>
      <c r="B320" s="16" t="str">
        <f>IF($A320="","",'Daily Data'!$A320)</f>
        <v/>
      </c>
      <c r="C320" t="str">
        <f>IF($A320="","",'Daily Data'!$B320)</f>
        <v/>
      </c>
      <c r="D320" s="165" t="str">
        <f>IF($A320="","",IF(COUNTIFS('Daily Data'!$B$4:$B$503,'Daily Data'!$B320,'Daily Data'!$A$4:$A$503,'Daily Data'!$A320)&gt;1,"ERROR","OK"))</f>
        <v/>
      </c>
      <c r="E320" s="165" t="str">
        <f>IF($A320="","",IF('Daily Data'!$B320="","ERROR","OK"))</f>
        <v/>
      </c>
      <c r="F320" s="165" t="str">
        <f>IF($A320="","",IF(NOT(ISNUMBER('Daily Data'!$A320)),"ERROR","OK"))</f>
        <v/>
      </c>
      <c r="G320" s="165" t="str">
        <f>IF($A320="","",IF(OR(N('Daily Data'!$E320)&lt;=0,N('Daily Data'!$C320)&lt;0,N('Daily Data'!$D320)&lt;0,N('Daily Data'!$F320)&lt;0,N('Daily Data'!$G320)&lt;0),"ERROR","OK"))</f>
        <v/>
      </c>
      <c r="H320" s="165" t="str">
        <f>IF($A320="","",IF(N('Daily Data'!$K320)&lt;0,"ERROR","OK"))</f>
        <v/>
      </c>
      <c r="I320" s="165" t="str">
        <f>IF($A320="","",IF(N('Daily Data'!$I320)&lt;0,"ERROR","OK"))</f>
        <v/>
      </c>
      <c r="J320" s="165" t="str">
        <f>IF($A320="","",IF(N('Daily Data'!$L320)&lt;0,"ERROR","OK"))</f>
        <v/>
      </c>
      <c r="K320" s="165" t="str">
        <f>IF($A320="","",IF(N('Daily Data'!$M320)&lt;0,"ERROR","OK"))</f>
        <v/>
      </c>
      <c r="L320" s="165" t="str">
        <f>IF($A320="","",IF(OR(N('Daily Data'!$F320)=0,N('Daily Data'!$G320)=0),"OK",IF(OR(N('Daily Data'!$E320)&gt;N('Daily Data'!$F320),N('Daily Data'!$E320)&lt;N('Daily Data'!$G320)),"ERROR","OK")))</f>
        <v/>
      </c>
      <c r="M320" s="165" t="str">
        <f>IF($A320="","",IF(N('Daily Data'!$AK320)&lt;=1,"OK",IF(ROUND(N('Daily Data'!$D320),2)=ROUND(SUMIFS('Daily Data'!$E$4:$E$503,'Daily Data'!$B$4:$B$503,'Daily Data'!$B320,'Daily Data'!$AK$4:$AK$503,'Daily Data'!$AK320-1),2),"OK","WARNING")))</f>
        <v/>
      </c>
      <c r="N320" s="165" t="str">
        <f>IF($A320="","",IF(N('Daily Data'!$N320)&lt;=0,"WARNING","OK"))</f>
        <v/>
      </c>
      <c r="O320" s="165" t="str">
        <f>IF($A320="","",IF(AND(ISNUMBER('Daily Data'!$H320),ABS(N('Daily Data'!$H320))&gt;Settings!$C$56),"WARNING","OK"))</f>
        <v/>
      </c>
      <c r="P320" s="165" t="str">
        <f>IF($A320="","",IF(OR(AND(N('Daily Data'!$K320)=0,N('Daily Data'!$I320)&gt;0),AND(N('Daily Data'!$I320)=0,N('Daily Data'!$K320)&gt;0),AND(N('Daily Data'!$L320)=0,N('Daily Data'!$M320)=0)),"WARNING","OK"))</f>
        <v/>
      </c>
      <c r="Q320" s="165" t="str">
        <f>IF($A320="","",IF(COUNTIFS('Daily Data'!$B$4:$B$503,'Daily Data'!$B320,'Daily Data'!$A$4:$A$503,'Daily Data'!$A320,'Daily Data'!$Q$4:$Q$503,'Daily Data'!$Q320)&gt;1,"WARNING","OK"))</f>
        <v/>
      </c>
      <c r="R320" s="165" t="str">
        <f>IF($A320="","",IF(AND(N('Daily Data'!$K320)&gt;0,N('Daily Data'!$J320)&lt;=0),"WARNING","OK"))</f>
        <v/>
      </c>
      <c r="S320" s="165" t="str">
        <f>IF($A320="","",COUNTIF($D320:$R320,"ERROR"))</f>
        <v/>
      </c>
      <c r="T320" s="165" t="str">
        <f>IF($A320="","",COUNTIF($D320:$R320,"WARNING"))</f>
        <v/>
      </c>
      <c r="U320" s="165" t="str">
        <f>IF($A320="","",IF($S320&gt;0,"ERROR",IF($T320&gt;0,"WARNING","PASS")))</f>
        <v/>
      </c>
    </row>
    <row r="321" spans="1:21" x14ac:dyDescent="0.3">
      <c r="A321" t="str">
        <f>IF(AND('Daily Data'!$A321="",'Daily Data'!$B321=""),"",321)</f>
        <v/>
      </c>
      <c r="B321" s="16" t="str">
        <f>IF($A321="","",'Daily Data'!$A321)</f>
        <v/>
      </c>
      <c r="C321" t="str">
        <f>IF($A321="","",'Daily Data'!$B321)</f>
        <v/>
      </c>
      <c r="D321" s="165" t="str">
        <f>IF($A321="","",IF(COUNTIFS('Daily Data'!$B$4:$B$503,'Daily Data'!$B321,'Daily Data'!$A$4:$A$503,'Daily Data'!$A321)&gt;1,"ERROR","OK"))</f>
        <v/>
      </c>
      <c r="E321" s="165" t="str">
        <f>IF($A321="","",IF('Daily Data'!$B321="","ERROR","OK"))</f>
        <v/>
      </c>
      <c r="F321" s="165" t="str">
        <f>IF($A321="","",IF(NOT(ISNUMBER('Daily Data'!$A321)),"ERROR","OK"))</f>
        <v/>
      </c>
      <c r="G321" s="165" t="str">
        <f>IF($A321="","",IF(OR(N('Daily Data'!$E321)&lt;=0,N('Daily Data'!$C321)&lt;0,N('Daily Data'!$D321)&lt;0,N('Daily Data'!$F321)&lt;0,N('Daily Data'!$G321)&lt;0),"ERROR","OK"))</f>
        <v/>
      </c>
      <c r="H321" s="165" t="str">
        <f>IF($A321="","",IF(N('Daily Data'!$K321)&lt;0,"ERROR","OK"))</f>
        <v/>
      </c>
      <c r="I321" s="165" t="str">
        <f>IF($A321="","",IF(N('Daily Data'!$I321)&lt;0,"ERROR","OK"))</f>
        <v/>
      </c>
      <c r="J321" s="165" t="str">
        <f>IF($A321="","",IF(N('Daily Data'!$L321)&lt;0,"ERROR","OK"))</f>
        <v/>
      </c>
      <c r="K321" s="165" t="str">
        <f>IF($A321="","",IF(N('Daily Data'!$M321)&lt;0,"ERROR","OK"))</f>
        <v/>
      </c>
      <c r="L321" s="165" t="str">
        <f>IF($A321="","",IF(OR(N('Daily Data'!$F321)=0,N('Daily Data'!$G321)=0),"OK",IF(OR(N('Daily Data'!$E321)&gt;N('Daily Data'!$F321),N('Daily Data'!$E321)&lt;N('Daily Data'!$G321)),"ERROR","OK")))</f>
        <v/>
      </c>
      <c r="M321" s="165" t="str">
        <f>IF($A321="","",IF(N('Daily Data'!$AK321)&lt;=1,"OK",IF(ROUND(N('Daily Data'!$D321),2)=ROUND(SUMIFS('Daily Data'!$E$4:$E$503,'Daily Data'!$B$4:$B$503,'Daily Data'!$B321,'Daily Data'!$AK$4:$AK$503,'Daily Data'!$AK321-1),2),"OK","WARNING")))</f>
        <v/>
      </c>
      <c r="N321" s="165" t="str">
        <f>IF($A321="","",IF(N('Daily Data'!$N321)&lt;=0,"WARNING","OK"))</f>
        <v/>
      </c>
      <c r="O321" s="165" t="str">
        <f>IF($A321="","",IF(AND(ISNUMBER('Daily Data'!$H321),ABS(N('Daily Data'!$H321))&gt;Settings!$C$56),"WARNING","OK"))</f>
        <v/>
      </c>
      <c r="P321" s="165" t="str">
        <f>IF($A321="","",IF(OR(AND(N('Daily Data'!$K321)=0,N('Daily Data'!$I321)&gt;0),AND(N('Daily Data'!$I321)=0,N('Daily Data'!$K321)&gt;0),AND(N('Daily Data'!$L321)=0,N('Daily Data'!$M321)=0)),"WARNING","OK"))</f>
        <v/>
      </c>
      <c r="Q321" s="165" t="str">
        <f>IF($A321="","",IF(COUNTIFS('Daily Data'!$B$4:$B$503,'Daily Data'!$B321,'Daily Data'!$A$4:$A$503,'Daily Data'!$A321,'Daily Data'!$Q$4:$Q$503,'Daily Data'!$Q321)&gt;1,"WARNING","OK"))</f>
        <v/>
      </c>
      <c r="R321" s="165" t="str">
        <f>IF($A321="","",IF(AND(N('Daily Data'!$K321)&gt;0,N('Daily Data'!$J321)&lt;=0),"WARNING","OK"))</f>
        <v/>
      </c>
      <c r="S321" s="165" t="str">
        <f>IF($A321="","",COUNTIF($D321:$R321,"ERROR"))</f>
        <v/>
      </c>
      <c r="T321" s="165" t="str">
        <f>IF($A321="","",COUNTIF($D321:$R321,"WARNING"))</f>
        <v/>
      </c>
      <c r="U321" s="165" t="str">
        <f>IF($A321="","",IF($S321&gt;0,"ERROR",IF($T321&gt;0,"WARNING","PASS")))</f>
        <v/>
      </c>
    </row>
    <row r="322" spans="1:21" x14ac:dyDescent="0.3">
      <c r="A322" t="str">
        <f>IF(AND('Daily Data'!$A322="",'Daily Data'!$B322=""),"",322)</f>
        <v/>
      </c>
      <c r="B322" s="16" t="str">
        <f>IF($A322="","",'Daily Data'!$A322)</f>
        <v/>
      </c>
      <c r="C322" t="str">
        <f>IF($A322="","",'Daily Data'!$B322)</f>
        <v/>
      </c>
      <c r="D322" s="165" t="str">
        <f>IF($A322="","",IF(COUNTIFS('Daily Data'!$B$4:$B$503,'Daily Data'!$B322,'Daily Data'!$A$4:$A$503,'Daily Data'!$A322)&gt;1,"ERROR","OK"))</f>
        <v/>
      </c>
      <c r="E322" s="165" t="str">
        <f>IF($A322="","",IF('Daily Data'!$B322="","ERROR","OK"))</f>
        <v/>
      </c>
      <c r="F322" s="165" t="str">
        <f>IF($A322="","",IF(NOT(ISNUMBER('Daily Data'!$A322)),"ERROR","OK"))</f>
        <v/>
      </c>
      <c r="G322" s="165" t="str">
        <f>IF($A322="","",IF(OR(N('Daily Data'!$E322)&lt;=0,N('Daily Data'!$C322)&lt;0,N('Daily Data'!$D322)&lt;0,N('Daily Data'!$F322)&lt;0,N('Daily Data'!$G322)&lt;0),"ERROR","OK"))</f>
        <v/>
      </c>
      <c r="H322" s="165" t="str">
        <f>IF($A322="","",IF(N('Daily Data'!$K322)&lt;0,"ERROR","OK"))</f>
        <v/>
      </c>
      <c r="I322" s="165" t="str">
        <f>IF($A322="","",IF(N('Daily Data'!$I322)&lt;0,"ERROR","OK"))</f>
        <v/>
      </c>
      <c r="J322" s="165" t="str">
        <f>IF($A322="","",IF(N('Daily Data'!$L322)&lt;0,"ERROR","OK"))</f>
        <v/>
      </c>
      <c r="K322" s="165" t="str">
        <f>IF($A322="","",IF(N('Daily Data'!$M322)&lt;0,"ERROR","OK"))</f>
        <v/>
      </c>
      <c r="L322" s="165" t="str">
        <f>IF($A322="","",IF(OR(N('Daily Data'!$F322)=0,N('Daily Data'!$G322)=0),"OK",IF(OR(N('Daily Data'!$E322)&gt;N('Daily Data'!$F322),N('Daily Data'!$E322)&lt;N('Daily Data'!$G322)),"ERROR","OK")))</f>
        <v/>
      </c>
      <c r="M322" s="165" t="str">
        <f>IF($A322="","",IF(N('Daily Data'!$AK322)&lt;=1,"OK",IF(ROUND(N('Daily Data'!$D322),2)=ROUND(SUMIFS('Daily Data'!$E$4:$E$503,'Daily Data'!$B$4:$B$503,'Daily Data'!$B322,'Daily Data'!$AK$4:$AK$503,'Daily Data'!$AK322-1),2),"OK","WARNING")))</f>
        <v/>
      </c>
      <c r="N322" s="165" t="str">
        <f>IF($A322="","",IF(N('Daily Data'!$N322)&lt;=0,"WARNING","OK"))</f>
        <v/>
      </c>
      <c r="O322" s="165" t="str">
        <f>IF($A322="","",IF(AND(ISNUMBER('Daily Data'!$H322),ABS(N('Daily Data'!$H322))&gt;Settings!$C$56),"WARNING","OK"))</f>
        <v/>
      </c>
      <c r="P322" s="165" t="str">
        <f>IF($A322="","",IF(OR(AND(N('Daily Data'!$K322)=0,N('Daily Data'!$I322)&gt;0),AND(N('Daily Data'!$I322)=0,N('Daily Data'!$K322)&gt;0),AND(N('Daily Data'!$L322)=0,N('Daily Data'!$M322)=0)),"WARNING","OK"))</f>
        <v/>
      </c>
      <c r="Q322" s="165" t="str">
        <f>IF($A322="","",IF(COUNTIFS('Daily Data'!$B$4:$B$503,'Daily Data'!$B322,'Daily Data'!$A$4:$A$503,'Daily Data'!$A322,'Daily Data'!$Q$4:$Q$503,'Daily Data'!$Q322)&gt;1,"WARNING","OK"))</f>
        <v/>
      </c>
      <c r="R322" s="165" t="str">
        <f>IF($A322="","",IF(AND(N('Daily Data'!$K322)&gt;0,N('Daily Data'!$J322)&lt;=0),"WARNING","OK"))</f>
        <v/>
      </c>
      <c r="S322" s="165" t="str">
        <f>IF($A322="","",COUNTIF($D322:$R322,"ERROR"))</f>
        <v/>
      </c>
      <c r="T322" s="165" t="str">
        <f>IF($A322="","",COUNTIF($D322:$R322,"WARNING"))</f>
        <v/>
      </c>
      <c r="U322" s="165" t="str">
        <f>IF($A322="","",IF($S322&gt;0,"ERROR",IF($T322&gt;0,"WARNING","PASS")))</f>
        <v/>
      </c>
    </row>
    <row r="323" spans="1:21" x14ac:dyDescent="0.3">
      <c r="A323" t="str">
        <f>IF(AND('Daily Data'!$A323="",'Daily Data'!$B323=""),"",323)</f>
        <v/>
      </c>
      <c r="B323" s="16" t="str">
        <f>IF($A323="","",'Daily Data'!$A323)</f>
        <v/>
      </c>
      <c r="C323" t="str">
        <f>IF($A323="","",'Daily Data'!$B323)</f>
        <v/>
      </c>
      <c r="D323" s="165" t="str">
        <f>IF($A323="","",IF(COUNTIFS('Daily Data'!$B$4:$B$503,'Daily Data'!$B323,'Daily Data'!$A$4:$A$503,'Daily Data'!$A323)&gt;1,"ERROR","OK"))</f>
        <v/>
      </c>
      <c r="E323" s="165" t="str">
        <f>IF($A323="","",IF('Daily Data'!$B323="","ERROR","OK"))</f>
        <v/>
      </c>
      <c r="F323" s="165" t="str">
        <f>IF($A323="","",IF(NOT(ISNUMBER('Daily Data'!$A323)),"ERROR","OK"))</f>
        <v/>
      </c>
      <c r="G323" s="165" t="str">
        <f>IF($A323="","",IF(OR(N('Daily Data'!$E323)&lt;=0,N('Daily Data'!$C323)&lt;0,N('Daily Data'!$D323)&lt;0,N('Daily Data'!$F323)&lt;0,N('Daily Data'!$G323)&lt;0),"ERROR","OK"))</f>
        <v/>
      </c>
      <c r="H323" s="165" t="str">
        <f>IF($A323="","",IF(N('Daily Data'!$K323)&lt;0,"ERROR","OK"))</f>
        <v/>
      </c>
      <c r="I323" s="165" t="str">
        <f>IF($A323="","",IF(N('Daily Data'!$I323)&lt;0,"ERROR","OK"))</f>
        <v/>
      </c>
      <c r="J323" s="165" t="str">
        <f>IF($A323="","",IF(N('Daily Data'!$L323)&lt;0,"ERROR","OK"))</f>
        <v/>
      </c>
      <c r="K323" s="165" t="str">
        <f>IF($A323="","",IF(N('Daily Data'!$M323)&lt;0,"ERROR","OK"))</f>
        <v/>
      </c>
      <c r="L323" s="165" t="str">
        <f>IF($A323="","",IF(OR(N('Daily Data'!$F323)=0,N('Daily Data'!$G323)=0),"OK",IF(OR(N('Daily Data'!$E323)&gt;N('Daily Data'!$F323),N('Daily Data'!$E323)&lt;N('Daily Data'!$G323)),"ERROR","OK")))</f>
        <v/>
      </c>
      <c r="M323" s="165" t="str">
        <f>IF($A323="","",IF(N('Daily Data'!$AK323)&lt;=1,"OK",IF(ROUND(N('Daily Data'!$D323),2)=ROUND(SUMIFS('Daily Data'!$E$4:$E$503,'Daily Data'!$B$4:$B$503,'Daily Data'!$B323,'Daily Data'!$AK$4:$AK$503,'Daily Data'!$AK323-1),2),"OK","WARNING")))</f>
        <v/>
      </c>
      <c r="N323" s="165" t="str">
        <f>IF($A323="","",IF(N('Daily Data'!$N323)&lt;=0,"WARNING","OK"))</f>
        <v/>
      </c>
      <c r="O323" s="165" t="str">
        <f>IF($A323="","",IF(AND(ISNUMBER('Daily Data'!$H323),ABS(N('Daily Data'!$H323))&gt;Settings!$C$56),"WARNING","OK"))</f>
        <v/>
      </c>
      <c r="P323" s="165" t="str">
        <f>IF($A323="","",IF(OR(AND(N('Daily Data'!$K323)=0,N('Daily Data'!$I323)&gt;0),AND(N('Daily Data'!$I323)=0,N('Daily Data'!$K323)&gt;0),AND(N('Daily Data'!$L323)=0,N('Daily Data'!$M323)=0)),"WARNING","OK"))</f>
        <v/>
      </c>
      <c r="Q323" s="165" t="str">
        <f>IF($A323="","",IF(COUNTIFS('Daily Data'!$B$4:$B$503,'Daily Data'!$B323,'Daily Data'!$A$4:$A$503,'Daily Data'!$A323,'Daily Data'!$Q$4:$Q$503,'Daily Data'!$Q323)&gt;1,"WARNING","OK"))</f>
        <v/>
      </c>
      <c r="R323" s="165" t="str">
        <f>IF($A323="","",IF(AND(N('Daily Data'!$K323)&gt;0,N('Daily Data'!$J323)&lt;=0),"WARNING","OK"))</f>
        <v/>
      </c>
      <c r="S323" s="165" t="str">
        <f>IF($A323="","",COUNTIF($D323:$R323,"ERROR"))</f>
        <v/>
      </c>
      <c r="T323" s="165" t="str">
        <f>IF($A323="","",COUNTIF($D323:$R323,"WARNING"))</f>
        <v/>
      </c>
      <c r="U323" s="165" t="str">
        <f>IF($A323="","",IF($S323&gt;0,"ERROR",IF($T323&gt;0,"WARNING","PASS")))</f>
        <v/>
      </c>
    </row>
    <row r="324" spans="1:21" x14ac:dyDescent="0.3">
      <c r="A324" t="str">
        <f>IF(AND('Daily Data'!$A324="",'Daily Data'!$B324=""),"",324)</f>
        <v/>
      </c>
      <c r="B324" s="16" t="str">
        <f>IF($A324="","",'Daily Data'!$A324)</f>
        <v/>
      </c>
      <c r="C324" t="str">
        <f>IF($A324="","",'Daily Data'!$B324)</f>
        <v/>
      </c>
      <c r="D324" s="165" t="str">
        <f>IF($A324="","",IF(COUNTIFS('Daily Data'!$B$4:$B$503,'Daily Data'!$B324,'Daily Data'!$A$4:$A$503,'Daily Data'!$A324)&gt;1,"ERROR","OK"))</f>
        <v/>
      </c>
      <c r="E324" s="165" t="str">
        <f>IF($A324="","",IF('Daily Data'!$B324="","ERROR","OK"))</f>
        <v/>
      </c>
      <c r="F324" s="165" t="str">
        <f>IF($A324="","",IF(NOT(ISNUMBER('Daily Data'!$A324)),"ERROR","OK"))</f>
        <v/>
      </c>
      <c r="G324" s="165" t="str">
        <f>IF($A324="","",IF(OR(N('Daily Data'!$E324)&lt;=0,N('Daily Data'!$C324)&lt;0,N('Daily Data'!$D324)&lt;0,N('Daily Data'!$F324)&lt;0,N('Daily Data'!$G324)&lt;0),"ERROR","OK"))</f>
        <v/>
      </c>
      <c r="H324" s="165" t="str">
        <f>IF($A324="","",IF(N('Daily Data'!$K324)&lt;0,"ERROR","OK"))</f>
        <v/>
      </c>
      <c r="I324" s="165" t="str">
        <f>IF($A324="","",IF(N('Daily Data'!$I324)&lt;0,"ERROR","OK"))</f>
        <v/>
      </c>
      <c r="J324" s="165" t="str">
        <f>IF($A324="","",IF(N('Daily Data'!$L324)&lt;0,"ERROR","OK"))</f>
        <v/>
      </c>
      <c r="K324" s="165" t="str">
        <f>IF($A324="","",IF(N('Daily Data'!$M324)&lt;0,"ERROR","OK"))</f>
        <v/>
      </c>
      <c r="L324" s="165" t="str">
        <f>IF($A324="","",IF(OR(N('Daily Data'!$F324)=0,N('Daily Data'!$G324)=0),"OK",IF(OR(N('Daily Data'!$E324)&gt;N('Daily Data'!$F324),N('Daily Data'!$E324)&lt;N('Daily Data'!$G324)),"ERROR","OK")))</f>
        <v/>
      </c>
      <c r="M324" s="165" t="str">
        <f>IF($A324="","",IF(N('Daily Data'!$AK324)&lt;=1,"OK",IF(ROUND(N('Daily Data'!$D324),2)=ROUND(SUMIFS('Daily Data'!$E$4:$E$503,'Daily Data'!$B$4:$B$503,'Daily Data'!$B324,'Daily Data'!$AK$4:$AK$503,'Daily Data'!$AK324-1),2),"OK","WARNING")))</f>
        <v/>
      </c>
      <c r="N324" s="165" t="str">
        <f>IF($A324="","",IF(N('Daily Data'!$N324)&lt;=0,"WARNING","OK"))</f>
        <v/>
      </c>
      <c r="O324" s="165" t="str">
        <f>IF($A324="","",IF(AND(ISNUMBER('Daily Data'!$H324),ABS(N('Daily Data'!$H324))&gt;Settings!$C$56),"WARNING","OK"))</f>
        <v/>
      </c>
      <c r="P324" s="165" t="str">
        <f>IF($A324="","",IF(OR(AND(N('Daily Data'!$K324)=0,N('Daily Data'!$I324)&gt;0),AND(N('Daily Data'!$I324)=0,N('Daily Data'!$K324)&gt;0),AND(N('Daily Data'!$L324)=0,N('Daily Data'!$M324)=0)),"WARNING","OK"))</f>
        <v/>
      </c>
      <c r="Q324" s="165" t="str">
        <f>IF($A324="","",IF(COUNTIFS('Daily Data'!$B$4:$B$503,'Daily Data'!$B324,'Daily Data'!$A$4:$A$503,'Daily Data'!$A324,'Daily Data'!$Q$4:$Q$503,'Daily Data'!$Q324)&gt;1,"WARNING","OK"))</f>
        <v/>
      </c>
      <c r="R324" s="165" t="str">
        <f>IF($A324="","",IF(AND(N('Daily Data'!$K324)&gt;0,N('Daily Data'!$J324)&lt;=0),"WARNING","OK"))</f>
        <v/>
      </c>
      <c r="S324" s="165" t="str">
        <f>IF($A324="","",COUNTIF($D324:$R324,"ERROR"))</f>
        <v/>
      </c>
      <c r="T324" s="165" t="str">
        <f>IF($A324="","",COUNTIF($D324:$R324,"WARNING"))</f>
        <v/>
      </c>
      <c r="U324" s="165" t="str">
        <f>IF($A324="","",IF($S324&gt;0,"ERROR",IF($T324&gt;0,"WARNING","PASS")))</f>
        <v/>
      </c>
    </row>
    <row r="325" spans="1:21" x14ac:dyDescent="0.3">
      <c r="A325" t="str">
        <f>IF(AND('Daily Data'!$A325="",'Daily Data'!$B325=""),"",325)</f>
        <v/>
      </c>
      <c r="B325" s="16" t="str">
        <f>IF($A325="","",'Daily Data'!$A325)</f>
        <v/>
      </c>
      <c r="C325" t="str">
        <f>IF($A325="","",'Daily Data'!$B325)</f>
        <v/>
      </c>
      <c r="D325" s="165" t="str">
        <f>IF($A325="","",IF(COUNTIFS('Daily Data'!$B$4:$B$503,'Daily Data'!$B325,'Daily Data'!$A$4:$A$503,'Daily Data'!$A325)&gt;1,"ERROR","OK"))</f>
        <v/>
      </c>
      <c r="E325" s="165" t="str">
        <f>IF($A325="","",IF('Daily Data'!$B325="","ERROR","OK"))</f>
        <v/>
      </c>
      <c r="F325" s="165" t="str">
        <f>IF($A325="","",IF(NOT(ISNUMBER('Daily Data'!$A325)),"ERROR","OK"))</f>
        <v/>
      </c>
      <c r="G325" s="165" t="str">
        <f>IF($A325="","",IF(OR(N('Daily Data'!$E325)&lt;=0,N('Daily Data'!$C325)&lt;0,N('Daily Data'!$D325)&lt;0,N('Daily Data'!$F325)&lt;0,N('Daily Data'!$G325)&lt;0),"ERROR","OK"))</f>
        <v/>
      </c>
      <c r="H325" s="165" t="str">
        <f>IF($A325="","",IF(N('Daily Data'!$K325)&lt;0,"ERROR","OK"))</f>
        <v/>
      </c>
      <c r="I325" s="165" t="str">
        <f>IF($A325="","",IF(N('Daily Data'!$I325)&lt;0,"ERROR","OK"))</f>
        <v/>
      </c>
      <c r="J325" s="165" t="str">
        <f>IF($A325="","",IF(N('Daily Data'!$L325)&lt;0,"ERROR","OK"))</f>
        <v/>
      </c>
      <c r="K325" s="165" t="str">
        <f>IF($A325="","",IF(N('Daily Data'!$M325)&lt;0,"ERROR","OK"))</f>
        <v/>
      </c>
      <c r="L325" s="165" t="str">
        <f>IF($A325="","",IF(OR(N('Daily Data'!$F325)=0,N('Daily Data'!$G325)=0),"OK",IF(OR(N('Daily Data'!$E325)&gt;N('Daily Data'!$F325),N('Daily Data'!$E325)&lt;N('Daily Data'!$G325)),"ERROR","OK")))</f>
        <v/>
      </c>
      <c r="M325" s="165" t="str">
        <f>IF($A325="","",IF(N('Daily Data'!$AK325)&lt;=1,"OK",IF(ROUND(N('Daily Data'!$D325),2)=ROUND(SUMIFS('Daily Data'!$E$4:$E$503,'Daily Data'!$B$4:$B$503,'Daily Data'!$B325,'Daily Data'!$AK$4:$AK$503,'Daily Data'!$AK325-1),2),"OK","WARNING")))</f>
        <v/>
      </c>
      <c r="N325" s="165" t="str">
        <f>IF($A325="","",IF(N('Daily Data'!$N325)&lt;=0,"WARNING","OK"))</f>
        <v/>
      </c>
      <c r="O325" s="165" t="str">
        <f>IF($A325="","",IF(AND(ISNUMBER('Daily Data'!$H325),ABS(N('Daily Data'!$H325))&gt;Settings!$C$56),"WARNING","OK"))</f>
        <v/>
      </c>
      <c r="P325" s="165" t="str">
        <f>IF($A325="","",IF(OR(AND(N('Daily Data'!$K325)=0,N('Daily Data'!$I325)&gt;0),AND(N('Daily Data'!$I325)=0,N('Daily Data'!$K325)&gt;0),AND(N('Daily Data'!$L325)=0,N('Daily Data'!$M325)=0)),"WARNING","OK"))</f>
        <v/>
      </c>
      <c r="Q325" s="165" t="str">
        <f>IF($A325="","",IF(COUNTIFS('Daily Data'!$B$4:$B$503,'Daily Data'!$B325,'Daily Data'!$A$4:$A$503,'Daily Data'!$A325,'Daily Data'!$Q$4:$Q$503,'Daily Data'!$Q325)&gt;1,"WARNING","OK"))</f>
        <v/>
      </c>
      <c r="R325" s="165" t="str">
        <f>IF($A325="","",IF(AND(N('Daily Data'!$K325)&gt;0,N('Daily Data'!$J325)&lt;=0),"WARNING","OK"))</f>
        <v/>
      </c>
      <c r="S325" s="165" t="str">
        <f>IF($A325="","",COUNTIF($D325:$R325,"ERROR"))</f>
        <v/>
      </c>
      <c r="T325" s="165" t="str">
        <f>IF($A325="","",COUNTIF($D325:$R325,"WARNING"))</f>
        <v/>
      </c>
      <c r="U325" s="165" t="str">
        <f>IF($A325="","",IF($S325&gt;0,"ERROR",IF($T325&gt;0,"WARNING","PASS")))</f>
        <v/>
      </c>
    </row>
    <row r="326" spans="1:21" x14ac:dyDescent="0.3">
      <c r="A326" t="str">
        <f>IF(AND('Daily Data'!$A326="",'Daily Data'!$B326=""),"",326)</f>
        <v/>
      </c>
      <c r="B326" s="16" t="str">
        <f>IF($A326="","",'Daily Data'!$A326)</f>
        <v/>
      </c>
      <c r="C326" t="str">
        <f>IF($A326="","",'Daily Data'!$B326)</f>
        <v/>
      </c>
      <c r="D326" s="165" t="str">
        <f>IF($A326="","",IF(COUNTIFS('Daily Data'!$B$4:$B$503,'Daily Data'!$B326,'Daily Data'!$A$4:$A$503,'Daily Data'!$A326)&gt;1,"ERROR","OK"))</f>
        <v/>
      </c>
      <c r="E326" s="165" t="str">
        <f>IF($A326="","",IF('Daily Data'!$B326="","ERROR","OK"))</f>
        <v/>
      </c>
      <c r="F326" s="165" t="str">
        <f>IF($A326="","",IF(NOT(ISNUMBER('Daily Data'!$A326)),"ERROR","OK"))</f>
        <v/>
      </c>
      <c r="G326" s="165" t="str">
        <f>IF($A326="","",IF(OR(N('Daily Data'!$E326)&lt;=0,N('Daily Data'!$C326)&lt;0,N('Daily Data'!$D326)&lt;0,N('Daily Data'!$F326)&lt;0,N('Daily Data'!$G326)&lt;0),"ERROR","OK"))</f>
        <v/>
      </c>
      <c r="H326" s="165" t="str">
        <f>IF($A326="","",IF(N('Daily Data'!$K326)&lt;0,"ERROR","OK"))</f>
        <v/>
      </c>
      <c r="I326" s="165" t="str">
        <f>IF($A326="","",IF(N('Daily Data'!$I326)&lt;0,"ERROR","OK"))</f>
        <v/>
      </c>
      <c r="J326" s="165" t="str">
        <f>IF($A326="","",IF(N('Daily Data'!$L326)&lt;0,"ERROR","OK"))</f>
        <v/>
      </c>
      <c r="K326" s="165" t="str">
        <f>IF($A326="","",IF(N('Daily Data'!$M326)&lt;0,"ERROR","OK"))</f>
        <v/>
      </c>
      <c r="L326" s="165" t="str">
        <f>IF($A326="","",IF(OR(N('Daily Data'!$F326)=0,N('Daily Data'!$G326)=0),"OK",IF(OR(N('Daily Data'!$E326)&gt;N('Daily Data'!$F326),N('Daily Data'!$E326)&lt;N('Daily Data'!$G326)),"ERROR","OK")))</f>
        <v/>
      </c>
      <c r="M326" s="165" t="str">
        <f>IF($A326="","",IF(N('Daily Data'!$AK326)&lt;=1,"OK",IF(ROUND(N('Daily Data'!$D326),2)=ROUND(SUMIFS('Daily Data'!$E$4:$E$503,'Daily Data'!$B$4:$B$503,'Daily Data'!$B326,'Daily Data'!$AK$4:$AK$503,'Daily Data'!$AK326-1),2),"OK","WARNING")))</f>
        <v/>
      </c>
      <c r="N326" s="165" t="str">
        <f>IF($A326="","",IF(N('Daily Data'!$N326)&lt;=0,"WARNING","OK"))</f>
        <v/>
      </c>
      <c r="O326" s="165" t="str">
        <f>IF($A326="","",IF(AND(ISNUMBER('Daily Data'!$H326),ABS(N('Daily Data'!$H326))&gt;Settings!$C$56),"WARNING","OK"))</f>
        <v/>
      </c>
      <c r="P326" s="165" t="str">
        <f>IF($A326="","",IF(OR(AND(N('Daily Data'!$K326)=0,N('Daily Data'!$I326)&gt;0),AND(N('Daily Data'!$I326)=0,N('Daily Data'!$K326)&gt;0),AND(N('Daily Data'!$L326)=0,N('Daily Data'!$M326)=0)),"WARNING","OK"))</f>
        <v/>
      </c>
      <c r="Q326" s="165" t="str">
        <f>IF($A326="","",IF(COUNTIFS('Daily Data'!$B$4:$B$503,'Daily Data'!$B326,'Daily Data'!$A$4:$A$503,'Daily Data'!$A326,'Daily Data'!$Q$4:$Q$503,'Daily Data'!$Q326)&gt;1,"WARNING","OK"))</f>
        <v/>
      </c>
      <c r="R326" s="165" t="str">
        <f>IF($A326="","",IF(AND(N('Daily Data'!$K326)&gt;0,N('Daily Data'!$J326)&lt;=0),"WARNING","OK"))</f>
        <v/>
      </c>
      <c r="S326" s="165" t="str">
        <f>IF($A326="","",COUNTIF($D326:$R326,"ERROR"))</f>
        <v/>
      </c>
      <c r="T326" s="165" t="str">
        <f>IF($A326="","",COUNTIF($D326:$R326,"WARNING"))</f>
        <v/>
      </c>
      <c r="U326" s="165" t="str">
        <f>IF($A326="","",IF($S326&gt;0,"ERROR",IF($T326&gt;0,"WARNING","PASS")))</f>
        <v/>
      </c>
    </row>
    <row r="327" spans="1:21" x14ac:dyDescent="0.3">
      <c r="A327" t="str">
        <f>IF(AND('Daily Data'!$A327="",'Daily Data'!$B327=""),"",327)</f>
        <v/>
      </c>
      <c r="B327" s="16" t="str">
        <f>IF($A327="","",'Daily Data'!$A327)</f>
        <v/>
      </c>
      <c r="C327" t="str">
        <f>IF($A327="","",'Daily Data'!$B327)</f>
        <v/>
      </c>
      <c r="D327" s="165" t="str">
        <f>IF($A327="","",IF(COUNTIFS('Daily Data'!$B$4:$B$503,'Daily Data'!$B327,'Daily Data'!$A$4:$A$503,'Daily Data'!$A327)&gt;1,"ERROR","OK"))</f>
        <v/>
      </c>
      <c r="E327" s="165" t="str">
        <f>IF($A327="","",IF('Daily Data'!$B327="","ERROR","OK"))</f>
        <v/>
      </c>
      <c r="F327" s="165" t="str">
        <f>IF($A327="","",IF(NOT(ISNUMBER('Daily Data'!$A327)),"ERROR","OK"))</f>
        <v/>
      </c>
      <c r="G327" s="165" t="str">
        <f>IF($A327="","",IF(OR(N('Daily Data'!$E327)&lt;=0,N('Daily Data'!$C327)&lt;0,N('Daily Data'!$D327)&lt;0,N('Daily Data'!$F327)&lt;0,N('Daily Data'!$G327)&lt;0),"ERROR","OK"))</f>
        <v/>
      </c>
      <c r="H327" s="165" t="str">
        <f>IF($A327="","",IF(N('Daily Data'!$K327)&lt;0,"ERROR","OK"))</f>
        <v/>
      </c>
      <c r="I327" s="165" t="str">
        <f>IF($A327="","",IF(N('Daily Data'!$I327)&lt;0,"ERROR","OK"))</f>
        <v/>
      </c>
      <c r="J327" s="165" t="str">
        <f>IF($A327="","",IF(N('Daily Data'!$L327)&lt;0,"ERROR","OK"))</f>
        <v/>
      </c>
      <c r="K327" s="165" t="str">
        <f>IF($A327="","",IF(N('Daily Data'!$M327)&lt;0,"ERROR","OK"))</f>
        <v/>
      </c>
      <c r="L327" s="165" t="str">
        <f>IF($A327="","",IF(OR(N('Daily Data'!$F327)=0,N('Daily Data'!$G327)=0),"OK",IF(OR(N('Daily Data'!$E327)&gt;N('Daily Data'!$F327),N('Daily Data'!$E327)&lt;N('Daily Data'!$G327)),"ERROR","OK")))</f>
        <v/>
      </c>
      <c r="M327" s="165" t="str">
        <f>IF($A327="","",IF(N('Daily Data'!$AK327)&lt;=1,"OK",IF(ROUND(N('Daily Data'!$D327),2)=ROUND(SUMIFS('Daily Data'!$E$4:$E$503,'Daily Data'!$B$4:$B$503,'Daily Data'!$B327,'Daily Data'!$AK$4:$AK$503,'Daily Data'!$AK327-1),2),"OK","WARNING")))</f>
        <v/>
      </c>
      <c r="N327" s="165" t="str">
        <f>IF($A327="","",IF(N('Daily Data'!$N327)&lt;=0,"WARNING","OK"))</f>
        <v/>
      </c>
      <c r="O327" s="165" t="str">
        <f>IF($A327="","",IF(AND(ISNUMBER('Daily Data'!$H327),ABS(N('Daily Data'!$H327))&gt;Settings!$C$56),"WARNING","OK"))</f>
        <v/>
      </c>
      <c r="P327" s="165" t="str">
        <f>IF($A327="","",IF(OR(AND(N('Daily Data'!$K327)=0,N('Daily Data'!$I327)&gt;0),AND(N('Daily Data'!$I327)=0,N('Daily Data'!$K327)&gt;0),AND(N('Daily Data'!$L327)=0,N('Daily Data'!$M327)=0)),"WARNING","OK"))</f>
        <v/>
      </c>
      <c r="Q327" s="165" t="str">
        <f>IF($A327="","",IF(COUNTIFS('Daily Data'!$B$4:$B$503,'Daily Data'!$B327,'Daily Data'!$A$4:$A$503,'Daily Data'!$A327,'Daily Data'!$Q$4:$Q$503,'Daily Data'!$Q327)&gt;1,"WARNING","OK"))</f>
        <v/>
      </c>
      <c r="R327" s="165" t="str">
        <f>IF($A327="","",IF(AND(N('Daily Data'!$K327)&gt;0,N('Daily Data'!$J327)&lt;=0),"WARNING","OK"))</f>
        <v/>
      </c>
      <c r="S327" s="165" t="str">
        <f>IF($A327="","",COUNTIF($D327:$R327,"ERROR"))</f>
        <v/>
      </c>
      <c r="T327" s="165" t="str">
        <f>IF($A327="","",COUNTIF($D327:$R327,"WARNING"))</f>
        <v/>
      </c>
      <c r="U327" s="165" t="str">
        <f>IF($A327="","",IF($S327&gt;0,"ERROR",IF($T327&gt;0,"WARNING","PASS")))</f>
        <v/>
      </c>
    </row>
    <row r="328" spans="1:21" x14ac:dyDescent="0.3">
      <c r="A328" t="str">
        <f>IF(AND('Daily Data'!$A328="",'Daily Data'!$B328=""),"",328)</f>
        <v/>
      </c>
      <c r="B328" s="16" t="str">
        <f>IF($A328="","",'Daily Data'!$A328)</f>
        <v/>
      </c>
      <c r="C328" t="str">
        <f>IF($A328="","",'Daily Data'!$B328)</f>
        <v/>
      </c>
      <c r="D328" s="165" t="str">
        <f>IF($A328="","",IF(COUNTIFS('Daily Data'!$B$4:$B$503,'Daily Data'!$B328,'Daily Data'!$A$4:$A$503,'Daily Data'!$A328)&gt;1,"ERROR","OK"))</f>
        <v/>
      </c>
      <c r="E328" s="165" t="str">
        <f>IF($A328="","",IF('Daily Data'!$B328="","ERROR","OK"))</f>
        <v/>
      </c>
      <c r="F328" s="165" t="str">
        <f>IF($A328="","",IF(NOT(ISNUMBER('Daily Data'!$A328)),"ERROR","OK"))</f>
        <v/>
      </c>
      <c r="G328" s="165" t="str">
        <f>IF($A328="","",IF(OR(N('Daily Data'!$E328)&lt;=0,N('Daily Data'!$C328)&lt;0,N('Daily Data'!$D328)&lt;0,N('Daily Data'!$F328)&lt;0,N('Daily Data'!$G328)&lt;0),"ERROR","OK"))</f>
        <v/>
      </c>
      <c r="H328" s="165" t="str">
        <f>IF($A328="","",IF(N('Daily Data'!$K328)&lt;0,"ERROR","OK"))</f>
        <v/>
      </c>
      <c r="I328" s="165" t="str">
        <f>IF($A328="","",IF(N('Daily Data'!$I328)&lt;0,"ERROR","OK"))</f>
        <v/>
      </c>
      <c r="J328" s="165" t="str">
        <f>IF($A328="","",IF(N('Daily Data'!$L328)&lt;0,"ERROR","OK"))</f>
        <v/>
      </c>
      <c r="K328" s="165" t="str">
        <f>IF($A328="","",IF(N('Daily Data'!$M328)&lt;0,"ERROR","OK"))</f>
        <v/>
      </c>
      <c r="L328" s="165" t="str">
        <f>IF($A328="","",IF(OR(N('Daily Data'!$F328)=0,N('Daily Data'!$G328)=0),"OK",IF(OR(N('Daily Data'!$E328)&gt;N('Daily Data'!$F328),N('Daily Data'!$E328)&lt;N('Daily Data'!$G328)),"ERROR","OK")))</f>
        <v/>
      </c>
      <c r="M328" s="165" t="str">
        <f>IF($A328="","",IF(N('Daily Data'!$AK328)&lt;=1,"OK",IF(ROUND(N('Daily Data'!$D328),2)=ROUND(SUMIFS('Daily Data'!$E$4:$E$503,'Daily Data'!$B$4:$B$503,'Daily Data'!$B328,'Daily Data'!$AK$4:$AK$503,'Daily Data'!$AK328-1),2),"OK","WARNING")))</f>
        <v/>
      </c>
      <c r="N328" s="165" t="str">
        <f>IF($A328="","",IF(N('Daily Data'!$N328)&lt;=0,"WARNING","OK"))</f>
        <v/>
      </c>
      <c r="O328" s="165" t="str">
        <f>IF($A328="","",IF(AND(ISNUMBER('Daily Data'!$H328),ABS(N('Daily Data'!$H328))&gt;Settings!$C$56),"WARNING","OK"))</f>
        <v/>
      </c>
      <c r="P328" s="165" t="str">
        <f>IF($A328="","",IF(OR(AND(N('Daily Data'!$K328)=0,N('Daily Data'!$I328)&gt;0),AND(N('Daily Data'!$I328)=0,N('Daily Data'!$K328)&gt;0),AND(N('Daily Data'!$L328)=0,N('Daily Data'!$M328)=0)),"WARNING","OK"))</f>
        <v/>
      </c>
      <c r="Q328" s="165" t="str">
        <f>IF($A328="","",IF(COUNTIFS('Daily Data'!$B$4:$B$503,'Daily Data'!$B328,'Daily Data'!$A$4:$A$503,'Daily Data'!$A328,'Daily Data'!$Q$4:$Q$503,'Daily Data'!$Q328)&gt;1,"WARNING","OK"))</f>
        <v/>
      </c>
      <c r="R328" s="165" t="str">
        <f>IF($A328="","",IF(AND(N('Daily Data'!$K328)&gt;0,N('Daily Data'!$J328)&lt;=0),"WARNING","OK"))</f>
        <v/>
      </c>
      <c r="S328" s="165" t="str">
        <f>IF($A328="","",COUNTIF($D328:$R328,"ERROR"))</f>
        <v/>
      </c>
      <c r="T328" s="165" t="str">
        <f>IF($A328="","",COUNTIF($D328:$R328,"WARNING"))</f>
        <v/>
      </c>
      <c r="U328" s="165" t="str">
        <f>IF($A328="","",IF($S328&gt;0,"ERROR",IF($T328&gt;0,"WARNING","PASS")))</f>
        <v/>
      </c>
    </row>
    <row r="329" spans="1:21" x14ac:dyDescent="0.3">
      <c r="A329" t="str">
        <f>IF(AND('Daily Data'!$A329="",'Daily Data'!$B329=""),"",329)</f>
        <v/>
      </c>
      <c r="B329" s="16" t="str">
        <f>IF($A329="","",'Daily Data'!$A329)</f>
        <v/>
      </c>
      <c r="C329" t="str">
        <f>IF($A329="","",'Daily Data'!$B329)</f>
        <v/>
      </c>
      <c r="D329" s="165" t="str">
        <f>IF($A329="","",IF(COUNTIFS('Daily Data'!$B$4:$B$503,'Daily Data'!$B329,'Daily Data'!$A$4:$A$503,'Daily Data'!$A329)&gt;1,"ERROR","OK"))</f>
        <v/>
      </c>
      <c r="E329" s="165" t="str">
        <f>IF($A329="","",IF('Daily Data'!$B329="","ERROR","OK"))</f>
        <v/>
      </c>
      <c r="F329" s="165" t="str">
        <f>IF($A329="","",IF(NOT(ISNUMBER('Daily Data'!$A329)),"ERROR","OK"))</f>
        <v/>
      </c>
      <c r="G329" s="165" t="str">
        <f>IF($A329="","",IF(OR(N('Daily Data'!$E329)&lt;=0,N('Daily Data'!$C329)&lt;0,N('Daily Data'!$D329)&lt;0,N('Daily Data'!$F329)&lt;0,N('Daily Data'!$G329)&lt;0),"ERROR","OK"))</f>
        <v/>
      </c>
      <c r="H329" s="165" t="str">
        <f>IF($A329="","",IF(N('Daily Data'!$K329)&lt;0,"ERROR","OK"))</f>
        <v/>
      </c>
      <c r="I329" s="165" t="str">
        <f>IF($A329="","",IF(N('Daily Data'!$I329)&lt;0,"ERROR","OK"))</f>
        <v/>
      </c>
      <c r="J329" s="165" t="str">
        <f>IF($A329="","",IF(N('Daily Data'!$L329)&lt;0,"ERROR","OK"))</f>
        <v/>
      </c>
      <c r="K329" s="165" t="str">
        <f>IF($A329="","",IF(N('Daily Data'!$M329)&lt;0,"ERROR","OK"))</f>
        <v/>
      </c>
      <c r="L329" s="165" t="str">
        <f>IF($A329="","",IF(OR(N('Daily Data'!$F329)=0,N('Daily Data'!$G329)=0),"OK",IF(OR(N('Daily Data'!$E329)&gt;N('Daily Data'!$F329),N('Daily Data'!$E329)&lt;N('Daily Data'!$G329)),"ERROR","OK")))</f>
        <v/>
      </c>
      <c r="M329" s="165" t="str">
        <f>IF($A329="","",IF(N('Daily Data'!$AK329)&lt;=1,"OK",IF(ROUND(N('Daily Data'!$D329),2)=ROUND(SUMIFS('Daily Data'!$E$4:$E$503,'Daily Data'!$B$4:$B$503,'Daily Data'!$B329,'Daily Data'!$AK$4:$AK$503,'Daily Data'!$AK329-1),2),"OK","WARNING")))</f>
        <v/>
      </c>
      <c r="N329" s="165" t="str">
        <f>IF($A329="","",IF(N('Daily Data'!$N329)&lt;=0,"WARNING","OK"))</f>
        <v/>
      </c>
      <c r="O329" s="165" t="str">
        <f>IF($A329="","",IF(AND(ISNUMBER('Daily Data'!$H329),ABS(N('Daily Data'!$H329))&gt;Settings!$C$56),"WARNING","OK"))</f>
        <v/>
      </c>
      <c r="P329" s="165" t="str">
        <f>IF($A329="","",IF(OR(AND(N('Daily Data'!$K329)=0,N('Daily Data'!$I329)&gt;0),AND(N('Daily Data'!$I329)=0,N('Daily Data'!$K329)&gt;0),AND(N('Daily Data'!$L329)=0,N('Daily Data'!$M329)=0)),"WARNING","OK"))</f>
        <v/>
      </c>
      <c r="Q329" s="165" t="str">
        <f>IF($A329="","",IF(COUNTIFS('Daily Data'!$B$4:$B$503,'Daily Data'!$B329,'Daily Data'!$A$4:$A$503,'Daily Data'!$A329,'Daily Data'!$Q$4:$Q$503,'Daily Data'!$Q329)&gt;1,"WARNING","OK"))</f>
        <v/>
      </c>
      <c r="R329" s="165" t="str">
        <f>IF($A329="","",IF(AND(N('Daily Data'!$K329)&gt;0,N('Daily Data'!$J329)&lt;=0),"WARNING","OK"))</f>
        <v/>
      </c>
      <c r="S329" s="165" t="str">
        <f>IF($A329="","",COUNTIF($D329:$R329,"ERROR"))</f>
        <v/>
      </c>
      <c r="T329" s="165" t="str">
        <f>IF($A329="","",COUNTIF($D329:$R329,"WARNING"))</f>
        <v/>
      </c>
      <c r="U329" s="165" t="str">
        <f>IF($A329="","",IF($S329&gt;0,"ERROR",IF($T329&gt;0,"WARNING","PASS")))</f>
        <v/>
      </c>
    </row>
    <row r="330" spans="1:21" x14ac:dyDescent="0.3">
      <c r="A330" t="str">
        <f>IF(AND('Daily Data'!$A330="",'Daily Data'!$B330=""),"",330)</f>
        <v/>
      </c>
      <c r="B330" s="16" t="str">
        <f>IF($A330="","",'Daily Data'!$A330)</f>
        <v/>
      </c>
      <c r="C330" t="str">
        <f>IF($A330="","",'Daily Data'!$B330)</f>
        <v/>
      </c>
      <c r="D330" s="165" t="str">
        <f>IF($A330="","",IF(COUNTIFS('Daily Data'!$B$4:$B$503,'Daily Data'!$B330,'Daily Data'!$A$4:$A$503,'Daily Data'!$A330)&gt;1,"ERROR","OK"))</f>
        <v/>
      </c>
      <c r="E330" s="165" t="str">
        <f>IF($A330="","",IF('Daily Data'!$B330="","ERROR","OK"))</f>
        <v/>
      </c>
      <c r="F330" s="165" t="str">
        <f>IF($A330="","",IF(NOT(ISNUMBER('Daily Data'!$A330)),"ERROR","OK"))</f>
        <v/>
      </c>
      <c r="G330" s="165" t="str">
        <f>IF($A330="","",IF(OR(N('Daily Data'!$E330)&lt;=0,N('Daily Data'!$C330)&lt;0,N('Daily Data'!$D330)&lt;0,N('Daily Data'!$F330)&lt;0,N('Daily Data'!$G330)&lt;0),"ERROR","OK"))</f>
        <v/>
      </c>
      <c r="H330" s="165" t="str">
        <f>IF($A330="","",IF(N('Daily Data'!$K330)&lt;0,"ERROR","OK"))</f>
        <v/>
      </c>
      <c r="I330" s="165" t="str">
        <f>IF($A330="","",IF(N('Daily Data'!$I330)&lt;0,"ERROR","OK"))</f>
        <v/>
      </c>
      <c r="J330" s="165" t="str">
        <f>IF($A330="","",IF(N('Daily Data'!$L330)&lt;0,"ERROR","OK"))</f>
        <v/>
      </c>
      <c r="K330" s="165" t="str">
        <f>IF($A330="","",IF(N('Daily Data'!$M330)&lt;0,"ERROR","OK"))</f>
        <v/>
      </c>
      <c r="L330" s="165" t="str">
        <f>IF($A330="","",IF(OR(N('Daily Data'!$F330)=0,N('Daily Data'!$G330)=0),"OK",IF(OR(N('Daily Data'!$E330)&gt;N('Daily Data'!$F330),N('Daily Data'!$E330)&lt;N('Daily Data'!$G330)),"ERROR","OK")))</f>
        <v/>
      </c>
      <c r="M330" s="165" t="str">
        <f>IF($A330="","",IF(N('Daily Data'!$AK330)&lt;=1,"OK",IF(ROUND(N('Daily Data'!$D330),2)=ROUND(SUMIFS('Daily Data'!$E$4:$E$503,'Daily Data'!$B$4:$B$503,'Daily Data'!$B330,'Daily Data'!$AK$4:$AK$503,'Daily Data'!$AK330-1),2),"OK","WARNING")))</f>
        <v/>
      </c>
      <c r="N330" s="165" t="str">
        <f>IF($A330="","",IF(N('Daily Data'!$N330)&lt;=0,"WARNING","OK"))</f>
        <v/>
      </c>
      <c r="O330" s="165" t="str">
        <f>IF($A330="","",IF(AND(ISNUMBER('Daily Data'!$H330),ABS(N('Daily Data'!$H330))&gt;Settings!$C$56),"WARNING","OK"))</f>
        <v/>
      </c>
      <c r="P330" s="165" t="str">
        <f>IF($A330="","",IF(OR(AND(N('Daily Data'!$K330)=0,N('Daily Data'!$I330)&gt;0),AND(N('Daily Data'!$I330)=0,N('Daily Data'!$K330)&gt;0),AND(N('Daily Data'!$L330)=0,N('Daily Data'!$M330)=0)),"WARNING","OK"))</f>
        <v/>
      </c>
      <c r="Q330" s="165" t="str">
        <f>IF($A330="","",IF(COUNTIFS('Daily Data'!$B$4:$B$503,'Daily Data'!$B330,'Daily Data'!$A$4:$A$503,'Daily Data'!$A330,'Daily Data'!$Q$4:$Q$503,'Daily Data'!$Q330)&gt;1,"WARNING","OK"))</f>
        <v/>
      </c>
      <c r="R330" s="165" t="str">
        <f>IF($A330="","",IF(AND(N('Daily Data'!$K330)&gt;0,N('Daily Data'!$J330)&lt;=0),"WARNING","OK"))</f>
        <v/>
      </c>
      <c r="S330" s="165" t="str">
        <f>IF($A330="","",COUNTIF($D330:$R330,"ERROR"))</f>
        <v/>
      </c>
      <c r="T330" s="165" t="str">
        <f>IF($A330="","",COUNTIF($D330:$R330,"WARNING"))</f>
        <v/>
      </c>
      <c r="U330" s="165" t="str">
        <f>IF($A330="","",IF($S330&gt;0,"ERROR",IF($T330&gt;0,"WARNING","PASS")))</f>
        <v/>
      </c>
    </row>
    <row r="331" spans="1:21" x14ac:dyDescent="0.3">
      <c r="A331" t="str">
        <f>IF(AND('Daily Data'!$A331="",'Daily Data'!$B331=""),"",331)</f>
        <v/>
      </c>
      <c r="B331" s="16" t="str">
        <f>IF($A331="","",'Daily Data'!$A331)</f>
        <v/>
      </c>
      <c r="C331" t="str">
        <f>IF($A331="","",'Daily Data'!$B331)</f>
        <v/>
      </c>
      <c r="D331" s="165" t="str">
        <f>IF($A331="","",IF(COUNTIFS('Daily Data'!$B$4:$B$503,'Daily Data'!$B331,'Daily Data'!$A$4:$A$503,'Daily Data'!$A331)&gt;1,"ERROR","OK"))</f>
        <v/>
      </c>
      <c r="E331" s="165" t="str">
        <f>IF($A331="","",IF('Daily Data'!$B331="","ERROR","OK"))</f>
        <v/>
      </c>
      <c r="F331" s="165" t="str">
        <f>IF($A331="","",IF(NOT(ISNUMBER('Daily Data'!$A331)),"ERROR","OK"))</f>
        <v/>
      </c>
      <c r="G331" s="165" t="str">
        <f>IF($A331="","",IF(OR(N('Daily Data'!$E331)&lt;=0,N('Daily Data'!$C331)&lt;0,N('Daily Data'!$D331)&lt;0,N('Daily Data'!$F331)&lt;0,N('Daily Data'!$G331)&lt;0),"ERROR","OK"))</f>
        <v/>
      </c>
      <c r="H331" s="165" t="str">
        <f>IF($A331="","",IF(N('Daily Data'!$K331)&lt;0,"ERROR","OK"))</f>
        <v/>
      </c>
      <c r="I331" s="165" t="str">
        <f>IF($A331="","",IF(N('Daily Data'!$I331)&lt;0,"ERROR","OK"))</f>
        <v/>
      </c>
      <c r="J331" s="165" t="str">
        <f>IF($A331="","",IF(N('Daily Data'!$L331)&lt;0,"ERROR","OK"))</f>
        <v/>
      </c>
      <c r="K331" s="165" t="str">
        <f>IF($A331="","",IF(N('Daily Data'!$M331)&lt;0,"ERROR","OK"))</f>
        <v/>
      </c>
      <c r="L331" s="165" t="str">
        <f>IF($A331="","",IF(OR(N('Daily Data'!$F331)=0,N('Daily Data'!$G331)=0),"OK",IF(OR(N('Daily Data'!$E331)&gt;N('Daily Data'!$F331),N('Daily Data'!$E331)&lt;N('Daily Data'!$G331)),"ERROR","OK")))</f>
        <v/>
      </c>
      <c r="M331" s="165" t="str">
        <f>IF($A331="","",IF(N('Daily Data'!$AK331)&lt;=1,"OK",IF(ROUND(N('Daily Data'!$D331),2)=ROUND(SUMIFS('Daily Data'!$E$4:$E$503,'Daily Data'!$B$4:$B$503,'Daily Data'!$B331,'Daily Data'!$AK$4:$AK$503,'Daily Data'!$AK331-1),2),"OK","WARNING")))</f>
        <v/>
      </c>
      <c r="N331" s="165" t="str">
        <f>IF($A331="","",IF(N('Daily Data'!$N331)&lt;=0,"WARNING","OK"))</f>
        <v/>
      </c>
      <c r="O331" s="165" t="str">
        <f>IF($A331="","",IF(AND(ISNUMBER('Daily Data'!$H331),ABS(N('Daily Data'!$H331))&gt;Settings!$C$56),"WARNING","OK"))</f>
        <v/>
      </c>
      <c r="P331" s="165" t="str">
        <f>IF($A331="","",IF(OR(AND(N('Daily Data'!$K331)=0,N('Daily Data'!$I331)&gt;0),AND(N('Daily Data'!$I331)=0,N('Daily Data'!$K331)&gt;0),AND(N('Daily Data'!$L331)=0,N('Daily Data'!$M331)=0)),"WARNING","OK"))</f>
        <v/>
      </c>
      <c r="Q331" s="165" t="str">
        <f>IF($A331="","",IF(COUNTIFS('Daily Data'!$B$4:$B$503,'Daily Data'!$B331,'Daily Data'!$A$4:$A$503,'Daily Data'!$A331,'Daily Data'!$Q$4:$Q$503,'Daily Data'!$Q331)&gt;1,"WARNING","OK"))</f>
        <v/>
      </c>
      <c r="R331" s="165" t="str">
        <f>IF($A331="","",IF(AND(N('Daily Data'!$K331)&gt;0,N('Daily Data'!$J331)&lt;=0),"WARNING","OK"))</f>
        <v/>
      </c>
      <c r="S331" s="165" t="str">
        <f>IF($A331="","",COUNTIF($D331:$R331,"ERROR"))</f>
        <v/>
      </c>
      <c r="T331" s="165" t="str">
        <f>IF($A331="","",COUNTIF($D331:$R331,"WARNING"))</f>
        <v/>
      </c>
      <c r="U331" s="165" t="str">
        <f>IF($A331="","",IF($S331&gt;0,"ERROR",IF($T331&gt;0,"WARNING","PASS")))</f>
        <v/>
      </c>
    </row>
    <row r="332" spans="1:21" x14ac:dyDescent="0.3">
      <c r="A332" t="str">
        <f>IF(AND('Daily Data'!$A332="",'Daily Data'!$B332=""),"",332)</f>
        <v/>
      </c>
      <c r="B332" s="16" t="str">
        <f>IF($A332="","",'Daily Data'!$A332)</f>
        <v/>
      </c>
      <c r="C332" t="str">
        <f>IF($A332="","",'Daily Data'!$B332)</f>
        <v/>
      </c>
      <c r="D332" s="165" t="str">
        <f>IF($A332="","",IF(COUNTIFS('Daily Data'!$B$4:$B$503,'Daily Data'!$B332,'Daily Data'!$A$4:$A$503,'Daily Data'!$A332)&gt;1,"ERROR","OK"))</f>
        <v/>
      </c>
      <c r="E332" s="165" t="str">
        <f>IF($A332="","",IF('Daily Data'!$B332="","ERROR","OK"))</f>
        <v/>
      </c>
      <c r="F332" s="165" t="str">
        <f>IF($A332="","",IF(NOT(ISNUMBER('Daily Data'!$A332)),"ERROR","OK"))</f>
        <v/>
      </c>
      <c r="G332" s="165" t="str">
        <f>IF($A332="","",IF(OR(N('Daily Data'!$E332)&lt;=0,N('Daily Data'!$C332)&lt;0,N('Daily Data'!$D332)&lt;0,N('Daily Data'!$F332)&lt;0,N('Daily Data'!$G332)&lt;0),"ERROR","OK"))</f>
        <v/>
      </c>
      <c r="H332" s="165" t="str">
        <f>IF($A332="","",IF(N('Daily Data'!$K332)&lt;0,"ERROR","OK"))</f>
        <v/>
      </c>
      <c r="I332" s="165" t="str">
        <f>IF($A332="","",IF(N('Daily Data'!$I332)&lt;0,"ERROR","OK"))</f>
        <v/>
      </c>
      <c r="J332" s="165" t="str">
        <f>IF($A332="","",IF(N('Daily Data'!$L332)&lt;0,"ERROR","OK"))</f>
        <v/>
      </c>
      <c r="K332" s="165" t="str">
        <f>IF($A332="","",IF(N('Daily Data'!$M332)&lt;0,"ERROR","OK"))</f>
        <v/>
      </c>
      <c r="L332" s="165" t="str">
        <f>IF($A332="","",IF(OR(N('Daily Data'!$F332)=0,N('Daily Data'!$G332)=0),"OK",IF(OR(N('Daily Data'!$E332)&gt;N('Daily Data'!$F332),N('Daily Data'!$E332)&lt;N('Daily Data'!$G332)),"ERROR","OK")))</f>
        <v/>
      </c>
      <c r="M332" s="165" t="str">
        <f>IF($A332="","",IF(N('Daily Data'!$AK332)&lt;=1,"OK",IF(ROUND(N('Daily Data'!$D332),2)=ROUND(SUMIFS('Daily Data'!$E$4:$E$503,'Daily Data'!$B$4:$B$503,'Daily Data'!$B332,'Daily Data'!$AK$4:$AK$503,'Daily Data'!$AK332-1),2),"OK","WARNING")))</f>
        <v/>
      </c>
      <c r="N332" s="165" t="str">
        <f>IF($A332="","",IF(N('Daily Data'!$N332)&lt;=0,"WARNING","OK"))</f>
        <v/>
      </c>
      <c r="O332" s="165" t="str">
        <f>IF($A332="","",IF(AND(ISNUMBER('Daily Data'!$H332),ABS(N('Daily Data'!$H332))&gt;Settings!$C$56),"WARNING","OK"))</f>
        <v/>
      </c>
      <c r="P332" s="165" t="str">
        <f>IF($A332="","",IF(OR(AND(N('Daily Data'!$K332)=0,N('Daily Data'!$I332)&gt;0),AND(N('Daily Data'!$I332)=0,N('Daily Data'!$K332)&gt;0),AND(N('Daily Data'!$L332)=0,N('Daily Data'!$M332)=0)),"WARNING","OK"))</f>
        <v/>
      </c>
      <c r="Q332" s="165" t="str">
        <f>IF($A332="","",IF(COUNTIFS('Daily Data'!$B$4:$B$503,'Daily Data'!$B332,'Daily Data'!$A$4:$A$503,'Daily Data'!$A332,'Daily Data'!$Q$4:$Q$503,'Daily Data'!$Q332)&gt;1,"WARNING","OK"))</f>
        <v/>
      </c>
      <c r="R332" s="165" t="str">
        <f>IF($A332="","",IF(AND(N('Daily Data'!$K332)&gt;0,N('Daily Data'!$J332)&lt;=0),"WARNING","OK"))</f>
        <v/>
      </c>
      <c r="S332" s="165" t="str">
        <f>IF($A332="","",COUNTIF($D332:$R332,"ERROR"))</f>
        <v/>
      </c>
      <c r="T332" s="165" t="str">
        <f>IF($A332="","",COUNTIF($D332:$R332,"WARNING"))</f>
        <v/>
      </c>
      <c r="U332" s="165" t="str">
        <f>IF($A332="","",IF($S332&gt;0,"ERROR",IF($T332&gt;0,"WARNING","PASS")))</f>
        <v/>
      </c>
    </row>
    <row r="333" spans="1:21" x14ac:dyDescent="0.3">
      <c r="A333" t="str">
        <f>IF(AND('Daily Data'!$A333="",'Daily Data'!$B333=""),"",333)</f>
        <v/>
      </c>
      <c r="B333" s="16" t="str">
        <f>IF($A333="","",'Daily Data'!$A333)</f>
        <v/>
      </c>
      <c r="C333" t="str">
        <f>IF($A333="","",'Daily Data'!$B333)</f>
        <v/>
      </c>
      <c r="D333" s="165" t="str">
        <f>IF($A333="","",IF(COUNTIFS('Daily Data'!$B$4:$B$503,'Daily Data'!$B333,'Daily Data'!$A$4:$A$503,'Daily Data'!$A333)&gt;1,"ERROR","OK"))</f>
        <v/>
      </c>
      <c r="E333" s="165" t="str">
        <f>IF($A333="","",IF('Daily Data'!$B333="","ERROR","OK"))</f>
        <v/>
      </c>
      <c r="F333" s="165" t="str">
        <f>IF($A333="","",IF(NOT(ISNUMBER('Daily Data'!$A333)),"ERROR","OK"))</f>
        <v/>
      </c>
      <c r="G333" s="165" t="str">
        <f>IF($A333="","",IF(OR(N('Daily Data'!$E333)&lt;=0,N('Daily Data'!$C333)&lt;0,N('Daily Data'!$D333)&lt;0,N('Daily Data'!$F333)&lt;0,N('Daily Data'!$G333)&lt;0),"ERROR","OK"))</f>
        <v/>
      </c>
      <c r="H333" s="165" t="str">
        <f>IF($A333="","",IF(N('Daily Data'!$K333)&lt;0,"ERROR","OK"))</f>
        <v/>
      </c>
      <c r="I333" s="165" t="str">
        <f>IF($A333="","",IF(N('Daily Data'!$I333)&lt;0,"ERROR","OK"))</f>
        <v/>
      </c>
      <c r="J333" s="165" t="str">
        <f>IF($A333="","",IF(N('Daily Data'!$L333)&lt;0,"ERROR","OK"))</f>
        <v/>
      </c>
      <c r="K333" s="165" t="str">
        <f>IF($A333="","",IF(N('Daily Data'!$M333)&lt;0,"ERROR","OK"))</f>
        <v/>
      </c>
      <c r="L333" s="165" t="str">
        <f>IF($A333="","",IF(OR(N('Daily Data'!$F333)=0,N('Daily Data'!$G333)=0),"OK",IF(OR(N('Daily Data'!$E333)&gt;N('Daily Data'!$F333),N('Daily Data'!$E333)&lt;N('Daily Data'!$G333)),"ERROR","OK")))</f>
        <v/>
      </c>
      <c r="M333" s="165" t="str">
        <f>IF($A333="","",IF(N('Daily Data'!$AK333)&lt;=1,"OK",IF(ROUND(N('Daily Data'!$D333),2)=ROUND(SUMIFS('Daily Data'!$E$4:$E$503,'Daily Data'!$B$4:$B$503,'Daily Data'!$B333,'Daily Data'!$AK$4:$AK$503,'Daily Data'!$AK333-1),2),"OK","WARNING")))</f>
        <v/>
      </c>
      <c r="N333" s="165" t="str">
        <f>IF($A333="","",IF(N('Daily Data'!$N333)&lt;=0,"WARNING","OK"))</f>
        <v/>
      </c>
      <c r="O333" s="165" t="str">
        <f>IF($A333="","",IF(AND(ISNUMBER('Daily Data'!$H333),ABS(N('Daily Data'!$H333))&gt;Settings!$C$56),"WARNING","OK"))</f>
        <v/>
      </c>
      <c r="P333" s="165" t="str">
        <f>IF($A333="","",IF(OR(AND(N('Daily Data'!$K333)=0,N('Daily Data'!$I333)&gt;0),AND(N('Daily Data'!$I333)=0,N('Daily Data'!$K333)&gt;0),AND(N('Daily Data'!$L333)=0,N('Daily Data'!$M333)=0)),"WARNING","OK"))</f>
        <v/>
      </c>
      <c r="Q333" s="165" t="str">
        <f>IF($A333="","",IF(COUNTIFS('Daily Data'!$B$4:$B$503,'Daily Data'!$B333,'Daily Data'!$A$4:$A$503,'Daily Data'!$A333,'Daily Data'!$Q$4:$Q$503,'Daily Data'!$Q333)&gt;1,"WARNING","OK"))</f>
        <v/>
      </c>
      <c r="R333" s="165" t="str">
        <f>IF($A333="","",IF(AND(N('Daily Data'!$K333)&gt;0,N('Daily Data'!$J333)&lt;=0),"WARNING","OK"))</f>
        <v/>
      </c>
      <c r="S333" s="165" t="str">
        <f>IF($A333="","",COUNTIF($D333:$R333,"ERROR"))</f>
        <v/>
      </c>
      <c r="T333" s="165" t="str">
        <f>IF($A333="","",COUNTIF($D333:$R333,"WARNING"))</f>
        <v/>
      </c>
      <c r="U333" s="165" t="str">
        <f>IF($A333="","",IF($S333&gt;0,"ERROR",IF($T333&gt;0,"WARNING","PASS")))</f>
        <v/>
      </c>
    </row>
    <row r="334" spans="1:21" x14ac:dyDescent="0.3">
      <c r="A334" t="str">
        <f>IF(AND('Daily Data'!$A334="",'Daily Data'!$B334=""),"",334)</f>
        <v/>
      </c>
      <c r="B334" s="16" t="str">
        <f>IF($A334="","",'Daily Data'!$A334)</f>
        <v/>
      </c>
      <c r="C334" t="str">
        <f>IF($A334="","",'Daily Data'!$B334)</f>
        <v/>
      </c>
      <c r="D334" s="165" t="str">
        <f>IF($A334="","",IF(COUNTIFS('Daily Data'!$B$4:$B$503,'Daily Data'!$B334,'Daily Data'!$A$4:$A$503,'Daily Data'!$A334)&gt;1,"ERROR","OK"))</f>
        <v/>
      </c>
      <c r="E334" s="165" t="str">
        <f>IF($A334="","",IF('Daily Data'!$B334="","ERROR","OK"))</f>
        <v/>
      </c>
      <c r="F334" s="165" t="str">
        <f>IF($A334="","",IF(NOT(ISNUMBER('Daily Data'!$A334)),"ERROR","OK"))</f>
        <v/>
      </c>
      <c r="G334" s="165" t="str">
        <f>IF($A334="","",IF(OR(N('Daily Data'!$E334)&lt;=0,N('Daily Data'!$C334)&lt;0,N('Daily Data'!$D334)&lt;0,N('Daily Data'!$F334)&lt;0,N('Daily Data'!$G334)&lt;0),"ERROR","OK"))</f>
        <v/>
      </c>
      <c r="H334" s="165" t="str">
        <f>IF($A334="","",IF(N('Daily Data'!$K334)&lt;0,"ERROR","OK"))</f>
        <v/>
      </c>
      <c r="I334" s="165" t="str">
        <f>IF($A334="","",IF(N('Daily Data'!$I334)&lt;0,"ERROR","OK"))</f>
        <v/>
      </c>
      <c r="J334" s="165" t="str">
        <f>IF($A334="","",IF(N('Daily Data'!$L334)&lt;0,"ERROR","OK"))</f>
        <v/>
      </c>
      <c r="K334" s="165" t="str">
        <f>IF($A334="","",IF(N('Daily Data'!$M334)&lt;0,"ERROR","OK"))</f>
        <v/>
      </c>
      <c r="L334" s="165" t="str">
        <f>IF($A334="","",IF(OR(N('Daily Data'!$F334)=0,N('Daily Data'!$G334)=0),"OK",IF(OR(N('Daily Data'!$E334)&gt;N('Daily Data'!$F334),N('Daily Data'!$E334)&lt;N('Daily Data'!$G334)),"ERROR","OK")))</f>
        <v/>
      </c>
      <c r="M334" s="165" t="str">
        <f>IF($A334="","",IF(N('Daily Data'!$AK334)&lt;=1,"OK",IF(ROUND(N('Daily Data'!$D334),2)=ROUND(SUMIFS('Daily Data'!$E$4:$E$503,'Daily Data'!$B$4:$B$503,'Daily Data'!$B334,'Daily Data'!$AK$4:$AK$503,'Daily Data'!$AK334-1),2),"OK","WARNING")))</f>
        <v/>
      </c>
      <c r="N334" s="165" t="str">
        <f>IF($A334="","",IF(N('Daily Data'!$N334)&lt;=0,"WARNING","OK"))</f>
        <v/>
      </c>
      <c r="O334" s="165" t="str">
        <f>IF($A334="","",IF(AND(ISNUMBER('Daily Data'!$H334),ABS(N('Daily Data'!$H334))&gt;Settings!$C$56),"WARNING","OK"))</f>
        <v/>
      </c>
      <c r="P334" s="165" t="str">
        <f>IF($A334="","",IF(OR(AND(N('Daily Data'!$K334)=0,N('Daily Data'!$I334)&gt;0),AND(N('Daily Data'!$I334)=0,N('Daily Data'!$K334)&gt;0),AND(N('Daily Data'!$L334)=0,N('Daily Data'!$M334)=0)),"WARNING","OK"))</f>
        <v/>
      </c>
      <c r="Q334" s="165" t="str">
        <f>IF($A334="","",IF(COUNTIFS('Daily Data'!$B$4:$B$503,'Daily Data'!$B334,'Daily Data'!$A$4:$A$503,'Daily Data'!$A334,'Daily Data'!$Q$4:$Q$503,'Daily Data'!$Q334)&gt;1,"WARNING","OK"))</f>
        <v/>
      </c>
      <c r="R334" s="165" t="str">
        <f>IF($A334="","",IF(AND(N('Daily Data'!$K334)&gt;0,N('Daily Data'!$J334)&lt;=0),"WARNING","OK"))</f>
        <v/>
      </c>
      <c r="S334" s="165" t="str">
        <f>IF($A334="","",COUNTIF($D334:$R334,"ERROR"))</f>
        <v/>
      </c>
      <c r="T334" s="165" t="str">
        <f>IF($A334="","",COUNTIF($D334:$R334,"WARNING"))</f>
        <v/>
      </c>
      <c r="U334" s="165" t="str">
        <f>IF($A334="","",IF($S334&gt;0,"ERROR",IF($T334&gt;0,"WARNING","PASS")))</f>
        <v/>
      </c>
    </row>
    <row r="335" spans="1:21" x14ac:dyDescent="0.3">
      <c r="A335" t="str">
        <f>IF(AND('Daily Data'!$A335="",'Daily Data'!$B335=""),"",335)</f>
        <v/>
      </c>
      <c r="B335" s="16" t="str">
        <f>IF($A335="","",'Daily Data'!$A335)</f>
        <v/>
      </c>
      <c r="C335" t="str">
        <f>IF($A335="","",'Daily Data'!$B335)</f>
        <v/>
      </c>
      <c r="D335" s="165" t="str">
        <f>IF($A335="","",IF(COUNTIFS('Daily Data'!$B$4:$B$503,'Daily Data'!$B335,'Daily Data'!$A$4:$A$503,'Daily Data'!$A335)&gt;1,"ERROR","OK"))</f>
        <v/>
      </c>
      <c r="E335" s="165" t="str">
        <f>IF($A335="","",IF('Daily Data'!$B335="","ERROR","OK"))</f>
        <v/>
      </c>
      <c r="F335" s="165" t="str">
        <f>IF($A335="","",IF(NOT(ISNUMBER('Daily Data'!$A335)),"ERROR","OK"))</f>
        <v/>
      </c>
      <c r="G335" s="165" t="str">
        <f>IF($A335="","",IF(OR(N('Daily Data'!$E335)&lt;=0,N('Daily Data'!$C335)&lt;0,N('Daily Data'!$D335)&lt;0,N('Daily Data'!$F335)&lt;0,N('Daily Data'!$G335)&lt;0),"ERROR","OK"))</f>
        <v/>
      </c>
      <c r="H335" s="165" t="str">
        <f>IF($A335="","",IF(N('Daily Data'!$K335)&lt;0,"ERROR","OK"))</f>
        <v/>
      </c>
      <c r="I335" s="165" t="str">
        <f>IF($A335="","",IF(N('Daily Data'!$I335)&lt;0,"ERROR","OK"))</f>
        <v/>
      </c>
      <c r="J335" s="165" t="str">
        <f>IF($A335="","",IF(N('Daily Data'!$L335)&lt;0,"ERROR","OK"))</f>
        <v/>
      </c>
      <c r="K335" s="165" t="str">
        <f>IF($A335="","",IF(N('Daily Data'!$M335)&lt;0,"ERROR","OK"))</f>
        <v/>
      </c>
      <c r="L335" s="165" t="str">
        <f>IF($A335="","",IF(OR(N('Daily Data'!$F335)=0,N('Daily Data'!$G335)=0),"OK",IF(OR(N('Daily Data'!$E335)&gt;N('Daily Data'!$F335),N('Daily Data'!$E335)&lt;N('Daily Data'!$G335)),"ERROR","OK")))</f>
        <v/>
      </c>
      <c r="M335" s="165" t="str">
        <f>IF($A335="","",IF(N('Daily Data'!$AK335)&lt;=1,"OK",IF(ROUND(N('Daily Data'!$D335),2)=ROUND(SUMIFS('Daily Data'!$E$4:$E$503,'Daily Data'!$B$4:$B$503,'Daily Data'!$B335,'Daily Data'!$AK$4:$AK$503,'Daily Data'!$AK335-1),2),"OK","WARNING")))</f>
        <v/>
      </c>
      <c r="N335" s="165" t="str">
        <f>IF($A335="","",IF(N('Daily Data'!$N335)&lt;=0,"WARNING","OK"))</f>
        <v/>
      </c>
      <c r="O335" s="165" t="str">
        <f>IF($A335="","",IF(AND(ISNUMBER('Daily Data'!$H335),ABS(N('Daily Data'!$H335))&gt;Settings!$C$56),"WARNING","OK"))</f>
        <v/>
      </c>
      <c r="P335" s="165" t="str">
        <f>IF($A335="","",IF(OR(AND(N('Daily Data'!$K335)=0,N('Daily Data'!$I335)&gt;0),AND(N('Daily Data'!$I335)=0,N('Daily Data'!$K335)&gt;0),AND(N('Daily Data'!$L335)=0,N('Daily Data'!$M335)=0)),"WARNING","OK"))</f>
        <v/>
      </c>
      <c r="Q335" s="165" t="str">
        <f>IF($A335="","",IF(COUNTIFS('Daily Data'!$B$4:$B$503,'Daily Data'!$B335,'Daily Data'!$A$4:$A$503,'Daily Data'!$A335,'Daily Data'!$Q$4:$Q$503,'Daily Data'!$Q335)&gt;1,"WARNING","OK"))</f>
        <v/>
      </c>
      <c r="R335" s="165" t="str">
        <f>IF($A335="","",IF(AND(N('Daily Data'!$K335)&gt;0,N('Daily Data'!$J335)&lt;=0),"WARNING","OK"))</f>
        <v/>
      </c>
      <c r="S335" s="165" t="str">
        <f>IF($A335="","",COUNTIF($D335:$R335,"ERROR"))</f>
        <v/>
      </c>
      <c r="T335" s="165" t="str">
        <f>IF($A335="","",COUNTIF($D335:$R335,"WARNING"))</f>
        <v/>
      </c>
      <c r="U335" s="165" t="str">
        <f>IF($A335="","",IF($S335&gt;0,"ERROR",IF($T335&gt;0,"WARNING","PASS")))</f>
        <v/>
      </c>
    </row>
    <row r="336" spans="1:21" x14ac:dyDescent="0.3">
      <c r="A336" t="str">
        <f>IF(AND('Daily Data'!$A336="",'Daily Data'!$B336=""),"",336)</f>
        <v/>
      </c>
      <c r="B336" s="16" t="str">
        <f>IF($A336="","",'Daily Data'!$A336)</f>
        <v/>
      </c>
      <c r="C336" t="str">
        <f>IF($A336="","",'Daily Data'!$B336)</f>
        <v/>
      </c>
      <c r="D336" s="165" t="str">
        <f>IF($A336="","",IF(COUNTIFS('Daily Data'!$B$4:$B$503,'Daily Data'!$B336,'Daily Data'!$A$4:$A$503,'Daily Data'!$A336)&gt;1,"ERROR","OK"))</f>
        <v/>
      </c>
      <c r="E336" s="165" t="str">
        <f>IF($A336="","",IF('Daily Data'!$B336="","ERROR","OK"))</f>
        <v/>
      </c>
      <c r="F336" s="165" t="str">
        <f>IF($A336="","",IF(NOT(ISNUMBER('Daily Data'!$A336)),"ERROR","OK"))</f>
        <v/>
      </c>
      <c r="G336" s="165" t="str">
        <f>IF($A336="","",IF(OR(N('Daily Data'!$E336)&lt;=0,N('Daily Data'!$C336)&lt;0,N('Daily Data'!$D336)&lt;0,N('Daily Data'!$F336)&lt;0,N('Daily Data'!$G336)&lt;0),"ERROR","OK"))</f>
        <v/>
      </c>
      <c r="H336" s="165" t="str">
        <f>IF($A336="","",IF(N('Daily Data'!$K336)&lt;0,"ERROR","OK"))</f>
        <v/>
      </c>
      <c r="I336" s="165" t="str">
        <f>IF($A336="","",IF(N('Daily Data'!$I336)&lt;0,"ERROR","OK"))</f>
        <v/>
      </c>
      <c r="J336" s="165" t="str">
        <f>IF($A336="","",IF(N('Daily Data'!$L336)&lt;0,"ERROR","OK"))</f>
        <v/>
      </c>
      <c r="K336" s="165" t="str">
        <f>IF($A336="","",IF(N('Daily Data'!$M336)&lt;0,"ERROR","OK"))</f>
        <v/>
      </c>
      <c r="L336" s="165" t="str">
        <f>IF($A336="","",IF(OR(N('Daily Data'!$F336)=0,N('Daily Data'!$G336)=0),"OK",IF(OR(N('Daily Data'!$E336)&gt;N('Daily Data'!$F336),N('Daily Data'!$E336)&lt;N('Daily Data'!$G336)),"ERROR","OK")))</f>
        <v/>
      </c>
      <c r="M336" s="165" t="str">
        <f>IF($A336="","",IF(N('Daily Data'!$AK336)&lt;=1,"OK",IF(ROUND(N('Daily Data'!$D336),2)=ROUND(SUMIFS('Daily Data'!$E$4:$E$503,'Daily Data'!$B$4:$B$503,'Daily Data'!$B336,'Daily Data'!$AK$4:$AK$503,'Daily Data'!$AK336-1),2),"OK","WARNING")))</f>
        <v/>
      </c>
      <c r="N336" s="165" t="str">
        <f>IF($A336="","",IF(N('Daily Data'!$N336)&lt;=0,"WARNING","OK"))</f>
        <v/>
      </c>
      <c r="O336" s="165" t="str">
        <f>IF($A336="","",IF(AND(ISNUMBER('Daily Data'!$H336),ABS(N('Daily Data'!$H336))&gt;Settings!$C$56),"WARNING","OK"))</f>
        <v/>
      </c>
      <c r="P336" s="165" t="str">
        <f>IF($A336="","",IF(OR(AND(N('Daily Data'!$K336)=0,N('Daily Data'!$I336)&gt;0),AND(N('Daily Data'!$I336)=0,N('Daily Data'!$K336)&gt;0),AND(N('Daily Data'!$L336)=0,N('Daily Data'!$M336)=0)),"WARNING","OK"))</f>
        <v/>
      </c>
      <c r="Q336" s="165" t="str">
        <f>IF($A336="","",IF(COUNTIFS('Daily Data'!$B$4:$B$503,'Daily Data'!$B336,'Daily Data'!$A$4:$A$503,'Daily Data'!$A336,'Daily Data'!$Q$4:$Q$503,'Daily Data'!$Q336)&gt;1,"WARNING","OK"))</f>
        <v/>
      </c>
      <c r="R336" s="165" t="str">
        <f>IF($A336="","",IF(AND(N('Daily Data'!$K336)&gt;0,N('Daily Data'!$J336)&lt;=0),"WARNING","OK"))</f>
        <v/>
      </c>
      <c r="S336" s="165" t="str">
        <f>IF($A336="","",COUNTIF($D336:$R336,"ERROR"))</f>
        <v/>
      </c>
      <c r="T336" s="165" t="str">
        <f>IF($A336="","",COUNTIF($D336:$R336,"WARNING"))</f>
        <v/>
      </c>
      <c r="U336" s="165" t="str">
        <f>IF($A336="","",IF($S336&gt;0,"ERROR",IF($T336&gt;0,"WARNING","PASS")))</f>
        <v/>
      </c>
    </row>
    <row r="337" spans="1:21" x14ac:dyDescent="0.3">
      <c r="A337" t="str">
        <f>IF(AND('Daily Data'!$A337="",'Daily Data'!$B337=""),"",337)</f>
        <v/>
      </c>
      <c r="B337" s="16" t="str">
        <f>IF($A337="","",'Daily Data'!$A337)</f>
        <v/>
      </c>
      <c r="C337" t="str">
        <f>IF($A337="","",'Daily Data'!$B337)</f>
        <v/>
      </c>
      <c r="D337" s="165" t="str">
        <f>IF($A337="","",IF(COUNTIFS('Daily Data'!$B$4:$B$503,'Daily Data'!$B337,'Daily Data'!$A$4:$A$503,'Daily Data'!$A337)&gt;1,"ERROR","OK"))</f>
        <v/>
      </c>
      <c r="E337" s="165" t="str">
        <f>IF($A337="","",IF('Daily Data'!$B337="","ERROR","OK"))</f>
        <v/>
      </c>
      <c r="F337" s="165" t="str">
        <f>IF($A337="","",IF(NOT(ISNUMBER('Daily Data'!$A337)),"ERROR","OK"))</f>
        <v/>
      </c>
      <c r="G337" s="165" t="str">
        <f>IF($A337="","",IF(OR(N('Daily Data'!$E337)&lt;=0,N('Daily Data'!$C337)&lt;0,N('Daily Data'!$D337)&lt;0,N('Daily Data'!$F337)&lt;0,N('Daily Data'!$G337)&lt;0),"ERROR","OK"))</f>
        <v/>
      </c>
      <c r="H337" s="165" t="str">
        <f>IF($A337="","",IF(N('Daily Data'!$K337)&lt;0,"ERROR","OK"))</f>
        <v/>
      </c>
      <c r="I337" s="165" t="str">
        <f>IF($A337="","",IF(N('Daily Data'!$I337)&lt;0,"ERROR","OK"))</f>
        <v/>
      </c>
      <c r="J337" s="165" t="str">
        <f>IF($A337="","",IF(N('Daily Data'!$L337)&lt;0,"ERROR","OK"))</f>
        <v/>
      </c>
      <c r="K337" s="165" t="str">
        <f>IF($A337="","",IF(N('Daily Data'!$M337)&lt;0,"ERROR","OK"))</f>
        <v/>
      </c>
      <c r="L337" s="165" t="str">
        <f>IF($A337="","",IF(OR(N('Daily Data'!$F337)=0,N('Daily Data'!$G337)=0),"OK",IF(OR(N('Daily Data'!$E337)&gt;N('Daily Data'!$F337),N('Daily Data'!$E337)&lt;N('Daily Data'!$G337)),"ERROR","OK")))</f>
        <v/>
      </c>
      <c r="M337" s="165" t="str">
        <f>IF($A337="","",IF(N('Daily Data'!$AK337)&lt;=1,"OK",IF(ROUND(N('Daily Data'!$D337),2)=ROUND(SUMIFS('Daily Data'!$E$4:$E$503,'Daily Data'!$B$4:$B$503,'Daily Data'!$B337,'Daily Data'!$AK$4:$AK$503,'Daily Data'!$AK337-1),2),"OK","WARNING")))</f>
        <v/>
      </c>
      <c r="N337" s="165" t="str">
        <f>IF($A337="","",IF(N('Daily Data'!$N337)&lt;=0,"WARNING","OK"))</f>
        <v/>
      </c>
      <c r="O337" s="165" t="str">
        <f>IF($A337="","",IF(AND(ISNUMBER('Daily Data'!$H337),ABS(N('Daily Data'!$H337))&gt;Settings!$C$56),"WARNING","OK"))</f>
        <v/>
      </c>
      <c r="P337" s="165" t="str">
        <f>IF($A337="","",IF(OR(AND(N('Daily Data'!$K337)=0,N('Daily Data'!$I337)&gt;0),AND(N('Daily Data'!$I337)=0,N('Daily Data'!$K337)&gt;0),AND(N('Daily Data'!$L337)=0,N('Daily Data'!$M337)=0)),"WARNING","OK"))</f>
        <v/>
      </c>
      <c r="Q337" s="165" t="str">
        <f>IF($A337="","",IF(COUNTIFS('Daily Data'!$B$4:$B$503,'Daily Data'!$B337,'Daily Data'!$A$4:$A$503,'Daily Data'!$A337,'Daily Data'!$Q$4:$Q$503,'Daily Data'!$Q337)&gt;1,"WARNING","OK"))</f>
        <v/>
      </c>
      <c r="R337" s="165" t="str">
        <f>IF($A337="","",IF(AND(N('Daily Data'!$K337)&gt;0,N('Daily Data'!$J337)&lt;=0),"WARNING","OK"))</f>
        <v/>
      </c>
      <c r="S337" s="165" t="str">
        <f>IF($A337="","",COUNTIF($D337:$R337,"ERROR"))</f>
        <v/>
      </c>
      <c r="T337" s="165" t="str">
        <f>IF($A337="","",COUNTIF($D337:$R337,"WARNING"))</f>
        <v/>
      </c>
      <c r="U337" s="165" t="str">
        <f>IF($A337="","",IF($S337&gt;0,"ERROR",IF($T337&gt;0,"WARNING","PASS")))</f>
        <v/>
      </c>
    </row>
    <row r="338" spans="1:21" x14ac:dyDescent="0.3">
      <c r="A338" t="str">
        <f>IF(AND('Daily Data'!$A338="",'Daily Data'!$B338=""),"",338)</f>
        <v/>
      </c>
      <c r="B338" s="16" t="str">
        <f>IF($A338="","",'Daily Data'!$A338)</f>
        <v/>
      </c>
      <c r="C338" t="str">
        <f>IF($A338="","",'Daily Data'!$B338)</f>
        <v/>
      </c>
      <c r="D338" s="165" t="str">
        <f>IF($A338="","",IF(COUNTIFS('Daily Data'!$B$4:$B$503,'Daily Data'!$B338,'Daily Data'!$A$4:$A$503,'Daily Data'!$A338)&gt;1,"ERROR","OK"))</f>
        <v/>
      </c>
      <c r="E338" s="165" t="str">
        <f>IF($A338="","",IF('Daily Data'!$B338="","ERROR","OK"))</f>
        <v/>
      </c>
      <c r="F338" s="165" t="str">
        <f>IF($A338="","",IF(NOT(ISNUMBER('Daily Data'!$A338)),"ERROR","OK"))</f>
        <v/>
      </c>
      <c r="G338" s="165" t="str">
        <f>IF($A338="","",IF(OR(N('Daily Data'!$E338)&lt;=0,N('Daily Data'!$C338)&lt;0,N('Daily Data'!$D338)&lt;0,N('Daily Data'!$F338)&lt;0,N('Daily Data'!$G338)&lt;0),"ERROR","OK"))</f>
        <v/>
      </c>
      <c r="H338" s="165" t="str">
        <f>IF($A338="","",IF(N('Daily Data'!$K338)&lt;0,"ERROR","OK"))</f>
        <v/>
      </c>
      <c r="I338" s="165" t="str">
        <f>IF($A338="","",IF(N('Daily Data'!$I338)&lt;0,"ERROR","OK"))</f>
        <v/>
      </c>
      <c r="J338" s="165" t="str">
        <f>IF($A338="","",IF(N('Daily Data'!$L338)&lt;0,"ERROR","OK"))</f>
        <v/>
      </c>
      <c r="K338" s="165" t="str">
        <f>IF($A338="","",IF(N('Daily Data'!$M338)&lt;0,"ERROR","OK"))</f>
        <v/>
      </c>
      <c r="L338" s="165" t="str">
        <f>IF($A338="","",IF(OR(N('Daily Data'!$F338)=0,N('Daily Data'!$G338)=0),"OK",IF(OR(N('Daily Data'!$E338)&gt;N('Daily Data'!$F338),N('Daily Data'!$E338)&lt;N('Daily Data'!$G338)),"ERROR","OK")))</f>
        <v/>
      </c>
      <c r="M338" s="165" t="str">
        <f>IF($A338="","",IF(N('Daily Data'!$AK338)&lt;=1,"OK",IF(ROUND(N('Daily Data'!$D338),2)=ROUND(SUMIFS('Daily Data'!$E$4:$E$503,'Daily Data'!$B$4:$B$503,'Daily Data'!$B338,'Daily Data'!$AK$4:$AK$503,'Daily Data'!$AK338-1),2),"OK","WARNING")))</f>
        <v/>
      </c>
      <c r="N338" s="165" t="str">
        <f>IF($A338="","",IF(N('Daily Data'!$N338)&lt;=0,"WARNING","OK"))</f>
        <v/>
      </c>
      <c r="O338" s="165" t="str">
        <f>IF($A338="","",IF(AND(ISNUMBER('Daily Data'!$H338),ABS(N('Daily Data'!$H338))&gt;Settings!$C$56),"WARNING","OK"))</f>
        <v/>
      </c>
      <c r="P338" s="165" t="str">
        <f>IF($A338="","",IF(OR(AND(N('Daily Data'!$K338)=0,N('Daily Data'!$I338)&gt;0),AND(N('Daily Data'!$I338)=0,N('Daily Data'!$K338)&gt;0),AND(N('Daily Data'!$L338)=0,N('Daily Data'!$M338)=0)),"WARNING","OK"))</f>
        <v/>
      </c>
      <c r="Q338" s="165" t="str">
        <f>IF($A338="","",IF(COUNTIFS('Daily Data'!$B$4:$B$503,'Daily Data'!$B338,'Daily Data'!$A$4:$A$503,'Daily Data'!$A338,'Daily Data'!$Q$4:$Q$503,'Daily Data'!$Q338)&gt;1,"WARNING","OK"))</f>
        <v/>
      </c>
      <c r="R338" s="165" t="str">
        <f>IF($A338="","",IF(AND(N('Daily Data'!$K338)&gt;0,N('Daily Data'!$J338)&lt;=0),"WARNING","OK"))</f>
        <v/>
      </c>
      <c r="S338" s="165" t="str">
        <f>IF($A338="","",COUNTIF($D338:$R338,"ERROR"))</f>
        <v/>
      </c>
      <c r="T338" s="165" t="str">
        <f>IF($A338="","",COUNTIF($D338:$R338,"WARNING"))</f>
        <v/>
      </c>
      <c r="U338" s="165" t="str">
        <f>IF($A338="","",IF($S338&gt;0,"ERROR",IF($T338&gt;0,"WARNING","PASS")))</f>
        <v/>
      </c>
    </row>
    <row r="339" spans="1:21" x14ac:dyDescent="0.3">
      <c r="A339" t="str">
        <f>IF(AND('Daily Data'!$A339="",'Daily Data'!$B339=""),"",339)</f>
        <v/>
      </c>
      <c r="B339" s="16" t="str">
        <f>IF($A339="","",'Daily Data'!$A339)</f>
        <v/>
      </c>
      <c r="C339" t="str">
        <f>IF($A339="","",'Daily Data'!$B339)</f>
        <v/>
      </c>
      <c r="D339" s="165" t="str">
        <f>IF($A339="","",IF(COUNTIFS('Daily Data'!$B$4:$B$503,'Daily Data'!$B339,'Daily Data'!$A$4:$A$503,'Daily Data'!$A339)&gt;1,"ERROR","OK"))</f>
        <v/>
      </c>
      <c r="E339" s="165" t="str">
        <f>IF($A339="","",IF('Daily Data'!$B339="","ERROR","OK"))</f>
        <v/>
      </c>
      <c r="F339" s="165" t="str">
        <f>IF($A339="","",IF(NOT(ISNUMBER('Daily Data'!$A339)),"ERROR","OK"))</f>
        <v/>
      </c>
      <c r="G339" s="165" t="str">
        <f>IF($A339="","",IF(OR(N('Daily Data'!$E339)&lt;=0,N('Daily Data'!$C339)&lt;0,N('Daily Data'!$D339)&lt;0,N('Daily Data'!$F339)&lt;0,N('Daily Data'!$G339)&lt;0),"ERROR","OK"))</f>
        <v/>
      </c>
      <c r="H339" s="165" t="str">
        <f>IF($A339="","",IF(N('Daily Data'!$K339)&lt;0,"ERROR","OK"))</f>
        <v/>
      </c>
      <c r="I339" s="165" t="str">
        <f>IF($A339="","",IF(N('Daily Data'!$I339)&lt;0,"ERROR","OK"))</f>
        <v/>
      </c>
      <c r="J339" s="165" t="str">
        <f>IF($A339="","",IF(N('Daily Data'!$L339)&lt;0,"ERROR","OK"))</f>
        <v/>
      </c>
      <c r="K339" s="165" t="str">
        <f>IF($A339="","",IF(N('Daily Data'!$M339)&lt;0,"ERROR","OK"))</f>
        <v/>
      </c>
      <c r="L339" s="165" t="str">
        <f>IF($A339="","",IF(OR(N('Daily Data'!$F339)=0,N('Daily Data'!$G339)=0),"OK",IF(OR(N('Daily Data'!$E339)&gt;N('Daily Data'!$F339),N('Daily Data'!$E339)&lt;N('Daily Data'!$G339)),"ERROR","OK")))</f>
        <v/>
      </c>
      <c r="M339" s="165" t="str">
        <f>IF($A339="","",IF(N('Daily Data'!$AK339)&lt;=1,"OK",IF(ROUND(N('Daily Data'!$D339),2)=ROUND(SUMIFS('Daily Data'!$E$4:$E$503,'Daily Data'!$B$4:$B$503,'Daily Data'!$B339,'Daily Data'!$AK$4:$AK$503,'Daily Data'!$AK339-1),2),"OK","WARNING")))</f>
        <v/>
      </c>
      <c r="N339" s="165" t="str">
        <f>IF($A339="","",IF(N('Daily Data'!$N339)&lt;=0,"WARNING","OK"))</f>
        <v/>
      </c>
      <c r="O339" s="165" t="str">
        <f>IF($A339="","",IF(AND(ISNUMBER('Daily Data'!$H339),ABS(N('Daily Data'!$H339))&gt;Settings!$C$56),"WARNING","OK"))</f>
        <v/>
      </c>
      <c r="P339" s="165" t="str">
        <f>IF($A339="","",IF(OR(AND(N('Daily Data'!$K339)=0,N('Daily Data'!$I339)&gt;0),AND(N('Daily Data'!$I339)=0,N('Daily Data'!$K339)&gt;0),AND(N('Daily Data'!$L339)=0,N('Daily Data'!$M339)=0)),"WARNING","OK"))</f>
        <v/>
      </c>
      <c r="Q339" s="165" t="str">
        <f>IF($A339="","",IF(COUNTIFS('Daily Data'!$B$4:$B$503,'Daily Data'!$B339,'Daily Data'!$A$4:$A$503,'Daily Data'!$A339,'Daily Data'!$Q$4:$Q$503,'Daily Data'!$Q339)&gt;1,"WARNING","OK"))</f>
        <v/>
      </c>
      <c r="R339" s="165" t="str">
        <f>IF($A339="","",IF(AND(N('Daily Data'!$K339)&gt;0,N('Daily Data'!$J339)&lt;=0),"WARNING","OK"))</f>
        <v/>
      </c>
      <c r="S339" s="165" t="str">
        <f>IF($A339="","",COUNTIF($D339:$R339,"ERROR"))</f>
        <v/>
      </c>
      <c r="T339" s="165" t="str">
        <f>IF($A339="","",COUNTIF($D339:$R339,"WARNING"))</f>
        <v/>
      </c>
      <c r="U339" s="165" t="str">
        <f>IF($A339="","",IF($S339&gt;0,"ERROR",IF($T339&gt;0,"WARNING","PASS")))</f>
        <v/>
      </c>
    </row>
    <row r="340" spans="1:21" x14ac:dyDescent="0.3">
      <c r="A340" t="str">
        <f>IF(AND('Daily Data'!$A340="",'Daily Data'!$B340=""),"",340)</f>
        <v/>
      </c>
      <c r="B340" s="16" t="str">
        <f>IF($A340="","",'Daily Data'!$A340)</f>
        <v/>
      </c>
      <c r="C340" t="str">
        <f>IF($A340="","",'Daily Data'!$B340)</f>
        <v/>
      </c>
      <c r="D340" s="165" t="str">
        <f>IF($A340="","",IF(COUNTIFS('Daily Data'!$B$4:$B$503,'Daily Data'!$B340,'Daily Data'!$A$4:$A$503,'Daily Data'!$A340)&gt;1,"ERROR","OK"))</f>
        <v/>
      </c>
      <c r="E340" s="165" t="str">
        <f>IF($A340="","",IF('Daily Data'!$B340="","ERROR","OK"))</f>
        <v/>
      </c>
      <c r="F340" s="165" t="str">
        <f>IF($A340="","",IF(NOT(ISNUMBER('Daily Data'!$A340)),"ERROR","OK"))</f>
        <v/>
      </c>
      <c r="G340" s="165" t="str">
        <f>IF($A340="","",IF(OR(N('Daily Data'!$E340)&lt;=0,N('Daily Data'!$C340)&lt;0,N('Daily Data'!$D340)&lt;0,N('Daily Data'!$F340)&lt;0,N('Daily Data'!$G340)&lt;0),"ERROR","OK"))</f>
        <v/>
      </c>
      <c r="H340" s="165" t="str">
        <f>IF($A340="","",IF(N('Daily Data'!$K340)&lt;0,"ERROR","OK"))</f>
        <v/>
      </c>
      <c r="I340" s="165" t="str">
        <f>IF($A340="","",IF(N('Daily Data'!$I340)&lt;0,"ERROR","OK"))</f>
        <v/>
      </c>
      <c r="J340" s="165" t="str">
        <f>IF($A340="","",IF(N('Daily Data'!$L340)&lt;0,"ERROR","OK"))</f>
        <v/>
      </c>
      <c r="K340" s="165" t="str">
        <f>IF($A340="","",IF(N('Daily Data'!$M340)&lt;0,"ERROR","OK"))</f>
        <v/>
      </c>
      <c r="L340" s="165" t="str">
        <f>IF($A340="","",IF(OR(N('Daily Data'!$F340)=0,N('Daily Data'!$G340)=0),"OK",IF(OR(N('Daily Data'!$E340)&gt;N('Daily Data'!$F340),N('Daily Data'!$E340)&lt;N('Daily Data'!$G340)),"ERROR","OK")))</f>
        <v/>
      </c>
      <c r="M340" s="165" t="str">
        <f>IF($A340="","",IF(N('Daily Data'!$AK340)&lt;=1,"OK",IF(ROUND(N('Daily Data'!$D340),2)=ROUND(SUMIFS('Daily Data'!$E$4:$E$503,'Daily Data'!$B$4:$B$503,'Daily Data'!$B340,'Daily Data'!$AK$4:$AK$503,'Daily Data'!$AK340-1),2),"OK","WARNING")))</f>
        <v/>
      </c>
      <c r="N340" s="165" t="str">
        <f>IF($A340="","",IF(N('Daily Data'!$N340)&lt;=0,"WARNING","OK"))</f>
        <v/>
      </c>
      <c r="O340" s="165" t="str">
        <f>IF($A340="","",IF(AND(ISNUMBER('Daily Data'!$H340),ABS(N('Daily Data'!$H340))&gt;Settings!$C$56),"WARNING","OK"))</f>
        <v/>
      </c>
      <c r="P340" s="165" t="str">
        <f>IF($A340="","",IF(OR(AND(N('Daily Data'!$K340)=0,N('Daily Data'!$I340)&gt;0),AND(N('Daily Data'!$I340)=0,N('Daily Data'!$K340)&gt;0),AND(N('Daily Data'!$L340)=0,N('Daily Data'!$M340)=0)),"WARNING","OK"))</f>
        <v/>
      </c>
      <c r="Q340" s="165" t="str">
        <f>IF($A340="","",IF(COUNTIFS('Daily Data'!$B$4:$B$503,'Daily Data'!$B340,'Daily Data'!$A$4:$A$503,'Daily Data'!$A340,'Daily Data'!$Q$4:$Q$503,'Daily Data'!$Q340)&gt;1,"WARNING","OK"))</f>
        <v/>
      </c>
      <c r="R340" s="165" t="str">
        <f>IF($A340="","",IF(AND(N('Daily Data'!$K340)&gt;0,N('Daily Data'!$J340)&lt;=0),"WARNING","OK"))</f>
        <v/>
      </c>
      <c r="S340" s="165" t="str">
        <f>IF($A340="","",COUNTIF($D340:$R340,"ERROR"))</f>
        <v/>
      </c>
      <c r="T340" s="165" t="str">
        <f>IF($A340="","",COUNTIF($D340:$R340,"WARNING"))</f>
        <v/>
      </c>
      <c r="U340" s="165" t="str">
        <f>IF($A340="","",IF($S340&gt;0,"ERROR",IF($T340&gt;0,"WARNING","PASS")))</f>
        <v/>
      </c>
    </row>
    <row r="341" spans="1:21" x14ac:dyDescent="0.3">
      <c r="A341" t="str">
        <f>IF(AND('Daily Data'!$A341="",'Daily Data'!$B341=""),"",341)</f>
        <v/>
      </c>
      <c r="B341" s="16" t="str">
        <f>IF($A341="","",'Daily Data'!$A341)</f>
        <v/>
      </c>
      <c r="C341" t="str">
        <f>IF($A341="","",'Daily Data'!$B341)</f>
        <v/>
      </c>
      <c r="D341" s="165" t="str">
        <f>IF($A341="","",IF(COUNTIFS('Daily Data'!$B$4:$B$503,'Daily Data'!$B341,'Daily Data'!$A$4:$A$503,'Daily Data'!$A341)&gt;1,"ERROR","OK"))</f>
        <v/>
      </c>
      <c r="E341" s="165" t="str">
        <f>IF($A341="","",IF('Daily Data'!$B341="","ERROR","OK"))</f>
        <v/>
      </c>
      <c r="F341" s="165" t="str">
        <f>IF($A341="","",IF(NOT(ISNUMBER('Daily Data'!$A341)),"ERROR","OK"))</f>
        <v/>
      </c>
      <c r="G341" s="165" t="str">
        <f>IF($A341="","",IF(OR(N('Daily Data'!$E341)&lt;=0,N('Daily Data'!$C341)&lt;0,N('Daily Data'!$D341)&lt;0,N('Daily Data'!$F341)&lt;0,N('Daily Data'!$G341)&lt;0),"ERROR","OK"))</f>
        <v/>
      </c>
      <c r="H341" s="165" t="str">
        <f>IF($A341="","",IF(N('Daily Data'!$K341)&lt;0,"ERROR","OK"))</f>
        <v/>
      </c>
      <c r="I341" s="165" t="str">
        <f>IF($A341="","",IF(N('Daily Data'!$I341)&lt;0,"ERROR","OK"))</f>
        <v/>
      </c>
      <c r="J341" s="165" t="str">
        <f>IF($A341="","",IF(N('Daily Data'!$L341)&lt;0,"ERROR","OK"))</f>
        <v/>
      </c>
      <c r="K341" s="165" t="str">
        <f>IF($A341="","",IF(N('Daily Data'!$M341)&lt;0,"ERROR","OK"))</f>
        <v/>
      </c>
      <c r="L341" s="165" t="str">
        <f>IF($A341="","",IF(OR(N('Daily Data'!$F341)=0,N('Daily Data'!$G341)=0),"OK",IF(OR(N('Daily Data'!$E341)&gt;N('Daily Data'!$F341),N('Daily Data'!$E341)&lt;N('Daily Data'!$G341)),"ERROR","OK")))</f>
        <v/>
      </c>
      <c r="M341" s="165" t="str">
        <f>IF($A341="","",IF(N('Daily Data'!$AK341)&lt;=1,"OK",IF(ROUND(N('Daily Data'!$D341),2)=ROUND(SUMIFS('Daily Data'!$E$4:$E$503,'Daily Data'!$B$4:$B$503,'Daily Data'!$B341,'Daily Data'!$AK$4:$AK$503,'Daily Data'!$AK341-1),2),"OK","WARNING")))</f>
        <v/>
      </c>
      <c r="N341" s="165" t="str">
        <f>IF($A341="","",IF(N('Daily Data'!$N341)&lt;=0,"WARNING","OK"))</f>
        <v/>
      </c>
      <c r="O341" s="165" t="str">
        <f>IF($A341="","",IF(AND(ISNUMBER('Daily Data'!$H341),ABS(N('Daily Data'!$H341))&gt;Settings!$C$56),"WARNING","OK"))</f>
        <v/>
      </c>
      <c r="P341" s="165" t="str">
        <f>IF($A341="","",IF(OR(AND(N('Daily Data'!$K341)=0,N('Daily Data'!$I341)&gt;0),AND(N('Daily Data'!$I341)=0,N('Daily Data'!$K341)&gt;0),AND(N('Daily Data'!$L341)=0,N('Daily Data'!$M341)=0)),"WARNING","OK"))</f>
        <v/>
      </c>
      <c r="Q341" s="165" t="str">
        <f>IF($A341="","",IF(COUNTIFS('Daily Data'!$B$4:$B$503,'Daily Data'!$B341,'Daily Data'!$A$4:$A$503,'Daily Data'!$A341,'Daily Data'!$Q$4:$Q$503,'Daily Data'!$Q341)&gt;1,"WARNING","OK"))</f>
        <v/>
      </c>
      <c r="R341" s="165" t="str">
        <f>IF($A341="","",IF(AND(N('Daily Data'!$K341)&gt;0,N('Daily Data'!$J341)&lt;=0),"WARNING","OK"))</f>
        <v/>
      </c>
      <c r="S341" s="165" t="str">
        <f>IF($A341="","",COUNTIF($D341:$R341,"ERROR"))</f>
        <v/>
      </c>
      <c r="T341" s="165" t="str">
        <f>IF($A341="","",COUNTIF($D341:$R341,"WARNING"))</f>
        <v/>
      </c>
      <c r="U341" s="165" t="str">
        <f>IF($A341="","",IF($S341&gt;0,"ERROR",IF($T341&gt;0,"WARNING","PASS")))</f>
        <v/>
      </c>
    </row>
    <row r="342" spans="1:21" x14ac:dyDescent="0.3">
      <c r="A342" t="str">
        <f>IF(AND('Daily Data'!$A342="",'Daily Data'!$B342=""),"",342)</f>
        <v/>
      </c>
      <c r="B342" s="16" t="str">
        <f>IF($A342="","",'Daily Data'!$A342)</f>
        <v/>
      </c>
      <c r="C342" t="str">
        <f>IF($A342="","",'Daily Data'!$B342)</f>
        <v/>
      </c>
      <c r="D342" s="165" t="str">
        <f>IF($A342="","",IF(COUNTIFS('Daily Data'!$B$4:$B$503,'Daily Data'!$B342,'Daily Data'!$A$4:$A$503,'Daily Data'!$A342)&gt;1,"ERROR","OK"))</f>
        <v/>
      </c>
      <c r="E342" s="165" t="str">
        <f>IF($A342="","",IF('Daily Data'!$B342="","ERROR","OK"))</f>
        <v/>
      </c>
      <c r="F342" s="165" t="str">
        <f>IF($A342="","",IF(NOT(ISNUMBER('Daily Data'!$A342)),"ERROR","OK"))</f>
        <v/>
      </c>
      <c r="G342" s="165" t="str">
        <f>IF($A342="","",IF(OR(N('Daily Data'!$E342)&lt;=0,N('Daily Data'!$C342)&lt;0,N('Daily Data'!$D342)&lt;0,N('Daily Data'!$F342)&lt;0,N('Daily Data'!$G342)&lt;0),"ERROR","OK"))</f>
        <v/>
      </c>
      <c r="H342" s="165" t="str">
        <f>IF($A342="","",IF(N('Daily Data'!$K342)&lt;0,"ERROR","OK"))</f>
        <v/>
      </c>
      <c r="I342" s="165" t="str">
        <f>IF($A342="","",IF(N('Daily Data'!$I342)&lt;0,"ERROR","OK"))</f>
        <v/>
      </c>
      <c r="J342" s="165" t="str">
        <f>IF($A342="","",IF(N('Daily Data'!$L342)&lt;0,"ERROR","OK"))</f>
        <v/>
      </c>
      <c r="K342" s="165" t="str">
        <f>IF($A342="","",IF(N('Daily Data'!$M342)&lt;0,"ERROR","OK"))</f>
        <v/>
      </c>
      <c r="L342" s="165" t="str">
        <f>IF($A342="","",IF(OR(N('Daily Data'!$F342)=0,N('Daily Data'!$G342)=0),"OK",IF(OR(N('Daily Data'!$E342)&gt;N('Daily Data'!$F342),N('Daily Data'!$E342)&lt;N('Daily Data'!$G342)),"ERROR","OK")))</f>
        <v/>
      </c>
      <c r="M342" s="165" t="str">
        <f>IF($A342="","",IF(N('Daily Data'!$AK342)&lt;=1,"OK",IF(ROUND(N('Daily Data'!$D342),2)=ROUND(SUMIFS('Daily Data'!$E$4:$E$503,'Daily Data'!$B$4:$B$503,'Daily Data'!$B342,'Daily Data'!$AK$4:$AK$503,'Daily Data'!$AK342-1),2),"OK","WARNING")))</f>
        <v/>
      </c>
      <c r="N342" s="165" t="str">
        <f>IF($A342="","",IF(N('Daily Data'!$N342)&lt;=0,"WARNING","OK"))</f>
        <v/>
      </c>
      <c r="O342" s="165" t="str">
        <f>IF($A342="","",IF(AND(ISNUMBER('Daily Data'!$H342),ABS(N('Daily Data'!$H342))&gt;Settings!$C$56),"WARNING","OK"))</f>
        <v/>
      </c>
      <c r="P342" s="165" t="str">
        <f>IF($A342="","",IF(OR(AND(N('Daily Data'!$K342)=0,N('Daily Data'!$I342)&gt;0),AND(N('Daily Data'!$I342)=0,N('Daily Data'!$K342)&gt;0),AND(N('Daily Data'!$L342)=0,N('Daily Data'!$M342)=0)),"WARNING","OK"))</f>
        <v/>
      </c>
      <c r="Q342" s="165" t="str">
        <f>IF($A342="","",IF(COUNTIFS('Daily Data'!$B$4:$B$503,'Daily Data'!$B342,'Daily Data'!$A$4:$A$503,'Daily Data'!$A342,'Daily Data'!$Q$4:$Q$503,'Daily Data'!$Q342)&gt;1,"WARNING","OK"))</f>
        <v/>
      </c>
      <c r="R342" s="165" t="str">
        <f>IF($A342="","",IF(AND(N('Daily Data'!$K342)&gt;0,N('Daily Data'!$J342)&lt;=0),"WARNING","OK"))</f>
        <v/>
      </c>
      <c r="S342" s="165" t="str">
        <f>IF($A342="","",COUNTIF($D342:$R342,"ERROR"))</f>
        <v/>
      </c>
      <c r="T342" s="165" t="str">
        <f>IF($A342="","",COUNTIF($D342:$R342,"WARNING"))</f>
        <v/>
      </c>
      <c r="U342" s="165" t="str">
        <f>IF($A342="","",IF($S342&gt;0,"ERROR",IF($T342&gt;0,"WARNING","PASS")))</f>
        <v/>
      </c>
    </row>
    <row r="343" spans="1:21" x14ac:dyDescent="0.3">
      <c r="A343" t="str">
        <f>IF(AND('Daily Data'!$A343="",'Daily Data'!$B343=""),"",343)</f>
        <v/>
      </c>
      <c r="B343" s="16" t="str">
        <f>IF($A343="","",'Daily Data'!$A343)</f>
        <v/>
      </c>
      <c r="C343" t="str">
        <f>IF($A343="","",'Daily Data'!$B343)</f>
        <v/>
      </c>
      <c r="D343" s="165" t="str">
        <f>IF($A343="","",IF(COUNTIFS('Daily Data'!$B$4:$B$503,'Daily Data'!$B343,'Daily Data'!$A$4:$A$503,'Daily Data'!$A343)&gt;1,"ERROR","OK"))</f>
        <v/>
      </c>
      <c r="E343" s="165" t="str">
        <f>IF($A343="","",IF('Daily Data'!$B343="","ERROR","OK"))</f>
        <v/>
      </c>
      <c r="F343" s="165" t="str">
        <f>IF($A343="","",IF(NOT(ISNUMBER('Daily Data'!$A343)),"ERROR","OK"))</f>
        <v/>
      </c>
      <c r="G343" s="165" t="str">
        <f>IF($A343="","",IF(OR(N('Daily Data'!$E343)&lt;=0,N('Daily Data'!$C343)&lt;0,N('Daily Data'!$D343)&lt;0,N('Daily Data'!$F343)&lt;0,N('Daily Data'!$G343)&lt;0),"ERROR","OK"))</f>
        <v/>
      </c>
      <c r="H343" s="165" t="str">
        <f>IF($A343="","",IF(N('Daily Data'!$K343)&lt;0,"ERROR","OK"))</f>
        <v/>
      </c>
      <c r="I343" s="165" t="str">
        <f>IF($A343="","",IF(N('Daily Data'!$I343)&lt;0,"ERROR","OK"))</f>
        <v/>
      </c>
      <c r="J343" s="165" t="str">
        <f>IF($A343="","",IF(N('Daily Data'!$L343)&lt;0,"ERROR","OK"))</f>
        <v/>
      </c>
      <c r="K343" s="165" t="str">
        <f>IF($A343="","",IF(N('Daily Data'!$M343)&lt;0,"ERROR","OK"))</f>
        <v/>
      </c>
      <c r="L343" s="165" t="str">
        <f>IF($A343="","",IF(OR(N('Daily Data'!$F343)=0,N('Daily Data'!$G343)=0),"OK",IF(OR(N('Daily Data'!$E343)&gt;N('Daily Data'!$F343),N('Daily Data'!$E343)&lt;N('Daily Data'!$G343)),"ERROR","OK")))</f>
        <v/>
      </c>
      <c r="M343" s="165" t="str">
        <f>IF($A343="","",IF(N('Daily Data'!$AK343)&lt;=1,"OK",IF(ROUND(N('Daily Data'!$D343),2)=ROUND(SUMIFS('Daily Data'!$E$4:$E$503,'Daily Data'!$B$4:$B$503,'Daily Data'!$B343,'Daily Data'!$AK$4:$AK$503,'Daily Data'!$AK343-1),2),"OK","WARNING")))</f>
        <v/>
      </c>
      <c r="N343" s="165" t="str">
        <f>IF($A343="","",IF(N('Daily Data'!$N343)&lt;=0,"WARNING","OK"))</f>
        <v/>
      </c>
      <c r="O343" s="165" t="str">
        <f>IF($A343="","",IF(AND(ISNUMBER('Daily Data'!$H343),ABS(N('Daily Data'!$H343))&gt;Settings!$C$56),"WARNING","OK"))</f>
        <v/>
      </c>
      <c r="P343" s="165" t="str">
        <f>IF($A343="","",IF(OR(AND(N('Daily Data'!$K343)=0,N('Daily Data'!$I343)&gt;0),AND(N('Daily Data'!$I343)=0,N('Daily Data'!$K343)&gt;0),AND(N('Daily Data'!$L343)=0,N('Daily Data'!$M343)=0)),"WARNING","OK"))</f>
        <v/>
      </c>
      <c r="Q343" s="165" t="str">
        <f>IF($A343="","",IF(COUNTIFS('Daily Data'!$B$4:$B$503,'Daily Data'!$B343,'Daily Data'!$A$4:$A$503,'Daily Data'!$A343,'Daily Data'!$Q$4:$Q$503,'Daily Data'!$Q343)&gt;1,"WARNING","OK"))</f>
        <v/>
      </c>
      <c r="R343" s="165" t="str">
        <f>IF($A343="","",IF(AND(N('Daily Data'!$K343)&gt;0,N('Daily Data'!$J343)&lt;=0),"WARNING","OK"))</f>
        <v/>
      </c>
      <c r="S343" s="165" t="str">
        <f>IF($A343="","",COUNTIF($D343:$R343,"ERROR"))</f>
        <v/>
      </c>
      <c r="T343" s="165" t="str">
        <f>IF($A343="","",COUNTIF($D343:$R343,"WARNING"))</f>
        <v/>
      </c>
      <c r="U343" s="165" t="str">
        <f>IF($A343="","",IF($S343&gt;0,"ERROR",IF($T343&gt;0,"WARNING","PASS")))</f>
        <v/>
      </c>
    </row>
    <row r="344" spans="1:21" x14ac:dyDescent="0.3">
      <c r="A344" t="str">
        <f>IF(AND('Daily Data'!$A344="",'Daily Data'!$B344=""),"",344)</f>
        <v/>
      </c>
      <c r="B344" s="16" t="str">
        <f>IF($A344="","",'Daily Data'!$A344)</f>
        <v/>
      </c>
      <c r="C344" t="str">
        <f>IF($A344="","",'Daily Data'!$B344)</f>
        <v/>
      </c>
      <c r="D344" s="165" t="str">
        <f>IF($A344="","",IF(COUNTIFS('Daily Data'!$B$4:$B$503,'Daily Data'!$B344,'Daily Data'!$A$4:$A$503,'Daily Data'!$A344)&gt;1,"ERROR","OK"))</f>
        <v/>
      </c>
      <c r="E344" s="165" t="str">
        <f>IF($A344="","",IF('Daily Data'!$B344="","ERROR","OK"))</f>
        <v/>
      </c>
      <c r="F344" s="165" t="str">
        <f>IF($A344="","",IF(NOT(ISNUMBER('Daily Data'!$A344)),"ERROR","OK"))</f>
        <v/>
      </c>
      <c r="G344" s="165" t="str">
        <f>IF($A344="","",IF(OR(N('Daily Data'!$E344)&lt;=0,N('Daily Data'!$C344)&lt;0,N('Daily Data'!$D344)&lt;0,N('Daily Data'!$F344)&lt;0,N('Daily Data'!$G344)&lt;0),"ERROR","OK"))</f>
        <v/>
      </c>
      <c r="H344" s="165" t="str">
        <f>IF($A344="","",IF(N('Daily Data'!$K344)&lt;0,"ERROR","OK"))</f>
        <v/>
      </c>
      <c r="I344" s="165" t="str">
        <f>IF($A344="","",IF(N('Daily Data'!$I344)&lt;0,"ERROR","OK"))</f>
        <v/>
      </c>
      <c r="J344" s="165" t="str">
        <f>IF($A344="","",IF(N('Daily Data'!$L344)&lt;0,"ERROR","OK"))</f>
        <v/>
      </c>
      <c r="K344" s="165" t="str">
        <f>IF($A344="","",IF(N('Daily Data'!$M344)&lt;0,"ERROR","OK"))</f>
        <v/>
      </c>
      <c r="L344" s="165" t="str">
        <f>IF($A344="","",IF(OR(N('Daily Data'!$F344)=0,N('Daily Data'!$G344)=0),"OK",IF(OR(N('Daily Data'!$E344)&gt;N('Daily Data'!$F344),N('Daily Data'!$E344)&lt;N('Daily Data'!$G344)),"ERROR","OK")))</f>
        <v/>
      </c>
      <c r="M344" s="165" t="str">
        <f>IF($A344="","",IF(N('Daily Data'!$AK344)&lt;=1,"OK",IF(ROUND(N('Daily Data'!$D344),2)=ROUND(SUMIFS('Daily Data'!$E$4:$E$503,'Daily Data'!$B$4:$B$503,'Daily Data'!$B344,'Daily Data'!$AK$4:$AK$503,'Daily Data'!$AK344-1),2),"OK","WARNING")))</f>
        <v/>
      </c>
      <c r="N344" s="165" t="str">
        <f>IF($A344="","",IF(N('Daily Data'!$N344)&lt;=0,"WARNING","OK"))</f>
        <v/>
      </c>
      <c r="O344" s="165" t="str">
        <f>IF($A344="","",IF(AND(ISNUMBER('Daily Data'!$H344),ABS(N('Daily Data'!$H344))&gt;Settings!$C$56),"WARNING","OK"))</f>
        <v/>
      </c>
      <c r="P344" s="165" t="str">
        <f>IF($A344="","",IF(OR(AND(N('Daily Data'!$K344)=0,N('Daily Data'!$I344)&gt;0),AND(N('Daily Data'!$I344)=0,N('Daily Data'!$K344)&gt;0),AND(N('Daily Data'!$L344)=0,N('Daily Data'!$M344)=0)),"WARNING","OK"))</f>
        <v/>
      </c>
      <c r="Q344" s="165" t="str">
        <f>IF($A344="","",IF(COUNTIFS('Daily Data'!$B$4:$B$503,'Daily Data'!$B344,'Daily Data'!$A$4:$A$503,'Daily Data'!$A344,'Daily Data'!$Q$4:$Q$503,'Daily Data'!$Q344)&gt;1,"WARNING","OK"))</f>
        <v/>
      </c>
      <c r="R344" s="165" t="str">
        <f>IF($A344="","",IF(AND(N('Daily Data'!$K344)&gt;0,N('Daily Data'!$J344)&lt;=0),"WARNING","OK"))</f>
        <v/>
      </c>
      <c r="S344" s="165" t="str">
        <f>IF($A344="","",COUNTIF($D344:$R344,"ERROR"))</f>
        <v/>
      </c>
      <c r="T344" s="165" t="str">
        <f>IF($A344="","",COUNTIF($D344:$R344,"WARNING"))</f>
        <v/>
      </c>
      <c r="U344" s="165" t="str">
        <f>IF($A344="","",IF($S344&gt;0,"ERROR",IF($T344&gt;0,"WARNING","PASS")))</f>
        <v/>
      </c>
    </row>
    <row r="345" spans="1:21" x14ac:dyDescent="0.3">
      <c r="A345" t="str">
        <f>IF(AND('Daily Data'!$A345="",'Daily Data'!$B345=""),"",345)</f>
        <v/>
      </c>
      <c r="B345" s="16" t="str">
        <f>IF($A345="","",'Daily Data'!$A345)</f>
        <v/>
      </c>
      <c r="C345" t="str">
        <f>IF($A345="","",'Daily Data'!$B345)</f>
        <v/>
      </c>
      <c r="D345" s="165" t="str">
        <f>IF($A345="","",IF(COUNTIFS('Daily Data'!$B$4:$B$503,'Daily Data'!$B345,'Daily Data'!$A$4:$A$503,'Daily Data'!$A345)&gt;1,"ERROR","OK"))</f>
        <v/>
      </c>
      <c r="E345" s="165" t="str">
        <f>IF($A345="","",IF('Daily Data'!$B345="","ERROR","OK"))</f>
        <v/>
      </c>
      <c r="F345" s="165" t="str">
        <f>IF($A345="","",IF(NOT(ISNUMBER('Daily Data'!$A345)),"ERROR","OK"))</f>
        <v/>
      </c>
      <c r="G345" s="165" t="str">
        <f>IF($A345="","",IF(OR(N('Daily Data'!$E345)&lt;=0,N('Daily Data'!$C345)&lt;0,N('Daily Data'!$D345)&lt;0,N('Daily Data'!$F345)&lt;0,N('Daily Data'!$G345)&lt;0),"ERROR","OK"))</f>
        <v/>
      </c>
      <c r="H345" s="165" t="str">
        <f>IF($A345="","",IF(N('Daily Data'!$K345)&lt;0,"ERROR","OK"))</f>
        <v/>
      </c>
      <c r="I345" s="165" t="str">
        <f>IF($A345="","",IF(N('Daily Data'!$I345)&lt;0,"ERROR","OK"))</f>
        <v/>
      </c>
      <c r="J345" s="165" t="str">
        <f>IF($A345="","",IF(N('Daily Data'!$L345)&lt;0,"ERROR","OK"))</f>
        <v/>
      </c>
      <c r="K345" s="165" t="str">
        <f>IF($A345="","",IF(N('Daily Data'!$M345)&lt;0,"ERROR","OK"))</f>
        <v/>
      </c>
      <c r="L345" s="165" t="str">
        <f>IF($A345="","",IF(OR(N('Daily Data'!$F345)=0,N('Daily Data'!$G345)=0),"OK",IF(OR(N('Daily Data'!$E345)&gt;N('Daily Data'!$F345),N('Daily Data'!$E345)&lt;N('Daily Data'!$G345)),"ERROR","OK")))</f>
        <v/>
      </c>
      <c r="M345" s="165" t="str">
        <f>IF($A345="","",IF(N('Daily Data'!$AK345)&lt;=1,"OK",IF(ROUND(N('Daily Data'!$D345),2)=ROUND(SUMIFS('Daily Data'!$E$4:$E$503,'Daily Data'!$B$4:$B$503,'Daily Data'!$B345,'Daily Data'!$AK$4:$AK$503,'Daily Data'!$AK345-1),2),"OK","WARNING")))</f>
        <v/>
      </c>
      <c r="N345" s="165" t="str">
        <f>IF($A345="","",IF(N('Daily Data'!$N345)&lt;=0,"WARNING","OK"))</f>
        <v/>
      </c>
      <c r="O345" s="165" t="str">
        <f>IF($A345="","",IF(AND(ISNUMBER('Daily Data'!$H345),ABS(N('Daily Data'!$H345))&gt;Settings!$C$56),"WARNING","OK"))</f>
        <v/>
      </c>
      <c r="P345" s="165" t="str">
        <f>IF($A345="","",IF(OR(AND(N('Daily Data'!$K345)=0,N('Daily Data'!$I345)&gt;0),AND(N('Daily Data'!$I345)=0,N('Daily Data'!$K345)&gt;0),AND(N('Daily Data'!$L345)=0,N('Daily Data'!$M345)=0)),"WARNING","OK"))</f>
        <v/>
      </c>
      <c r="Q345" s="165" t="str">
        <f>IF($A345="","",IF(COUNTIFS('Daily Data'!$B$4:$B$503,'Daily Data'!$B345,'Daily Data'!$A$4:$A$503,'Daily Data'!$A345,'Daily Data'!$Q$4:$Q$503,'Daily Data'!$Q345)&gt;1,"WARNING","OK"))</f>
        <v/>
      </c>
      <c r="R345" s="165" t="str">
        <f>IF($A345="","",IF(AND(N('Daily Data'!$K345)&gt;0,N('Daily Data'!$J345)&lt;=0),"WARNING","OK"))</f>
        <v/>
      </c>
      <c r="S345" s="165" t="str">
        <f>IF($A345="","",COUNTIF($D345:$R345,"ERROR"))</f>
        <v/>
      </c>
      <c r="T345" s="165" t="str">
        <f>IF($A345="","",COUNTIF($D345:$R345,"WARNING"))</f>
        <v/>
      </c>
      <c r="U345" s="165" t="str">
        <f>IF($A345="","",IF($S345&gt;0,"ERROR",IF($T345&gt;0,"WARNING","PASS")))</f>
        <v/>
      </c>
    </row>
    <row r="346" spans="1:21" x14ac:dyDescent="0.3">
      <c r="A346" t="str">
        <f>IF(AND('Daily Data'!$A346="",'Daily Data'!$B346=""),"",346)</f>
        <v/>
      </c>
      <c r="B346" s="16" t="str">
        <f>IF($A346="","",'Daily Data'!$A346)</f>
        <v/>
      </c>
      <c r="C346" t="str">
        <f>IF($A346="","",'Daily Data'!$B346)</f>
        <v/>
      </c>
      <c r="D346" s="165" t="str">
        <f>IF($A346="","",IF(COUNTIFS('Daily Data'!$B$4:$B$503,'Daily Data'!$B346,'Daily Data'!$A$4:$A$503,'Daily Data'!$A346)&gt;1,"ERROR","OK"))</f>
        <v/>
      </c>
      <c r="E346" s="165" t="str">
        <f>IF($A346="","",IF('Daily Data'!$B346="","ERROR","OK"))</f>
        <v/>
      </c>
      <c r="F346" s="165" t="str">
        <f>IF($A346="","",IF(NOT(ISNUMBER('Daily Data'!$A346)),"ERROR","OK"))</f>
        <v/>
      </c>
      <c r="G346" s="165" t="str">
        <f>IF($A346="","",IF(OR(N('Daily Data'!$E346)&lt;=0,N('Daily Data'!$C346)&lt;0,N('Daily Data'!$D346)&lt;0,N('Daily Data'!$F346)&lt;0,N('Daily Data'!$G346)&lt;0),"ERROR","OK"))</f>
        <v/>
      </c>
      <c r="H346" s="165" t="str">
        <f>IF($A346="","",IF(N('Daily Data'!$K346)&lt;0,"ERROR","OK"))</f>
        <v/>
      </c>
      <c r="I346" s="165" t="str">
        <f>IF($A346="","",IF(N('Daily Data'!$I346)&lt;0,"ERROR","OK"))</f>
        <v/>
      </c>
      <c r="J346" s="165" t="str">
        <f>IF($A346="","",IF(N('Daily Data'!$L346)&lt;0,"ERROR","OK"))</f>
        <v/>
      </c>
      <c r="K346" s="165" t="str">
        <f>IF($A346="","",IF(N('Daily Data'!$M346)&lt;0,"ERROR","OK"))</f>
        <v/>
      </c>
      <c r="L346" s="165" t="str">
        <f>IF($A346="","",IF(OR(N('Daily Data'!$F346)=0,N('Daily Data'!$G346)=0),"OK",IF(OR(N('Daily Data'!$E346)&gt;N('Daily Data'!$F346),N('Daily Data'!$E346)&lt;N('Daily Data'!$G346)),"ERROR","OK")))</f>
        <v/>
      </c>
      <c r="M346" s="165" t="str">
        <f>IF($A346="","",IF(N('Daily Data'!$AK346)&lt;=1,"OK",IF(ROUND(N('Daily Data'!$D346),2)=ROUND(SUMIFS('Daily Data'!$E$4:$E$503,'Daily Data'!$B$4:$B$503,'Daily Data'!$B346,'Daily Data'!$AK$4:$AK$503,'Daily Data'!$AK346-1),2),"OK","WARNING")))</f>
        <v/>
      </c>
      <c r="N346" s="165" t="str">
        <f>IF($A346="","",IF(N('Daily Data'!$N346)&lt;=0,"WARNING","OK"))</f>
        <v/>
      </c>
      <c r="O346" s="165" t="str">
        <f>IF($A346="","",IF(AND(ISNUMBER('Daily Data'!$H346),ABS(N('Daily Data'!$H346))&gt;Settings!$C$56),"WARNING","OK"))</f>
        <v/>
      </c>
      <c r="P346" s="165" t="str">
        <f>IF($A346="","",IF(OR(AND(N('Daily Data'!$K346)=0,N('Daily Data'!$I346)&gt;0),AND(N('Daily Data'!$I346)=0,N('Daily Data'!$K346)&gt;0),AND(N('Daily Data'!$L346)=0,N('Daily Data'!$M346)=0)),"WARNING","OK"))</f>
        <v/>
      </c>
      <c r="Q346" s="165" t="str">
        <f>IF($A346="","",IF(COUNTIFS('Daily Data'!$B$4:$B$503,'Daily Data'!$B346,'Daily Data'!$A$4:$A$503,'Daily Data'!$A346,'Daily Data'!$Q$4:$Q$503,'Daily Data'!$Q346)&gt;1,"WARNING","OK"))</f>
        <v/>
      </c>
      <c r="R346" s="165" t="str">
        <f>IF($A346="","",IF(AND(N('Daily Data'!$K346)&gt;0,N('Daily Data'!$J346)&lt;=0),"WARNING","OK"))</f>
        <v/>
      </c>
      <c r="S346" s="165" t="str">
        <f>IF($A346="","",COUNTIF($D346:$R346,"ERROR"))</f>
        <v/>
      </c>
      <c r="T346" s="165" t="str">
        <f>IF($A346="","",COUNTIF($D346:$R346,"WARNING"))</f>
        <v/>
      </c>
      <c r="U346" s="165" t="str">
        <f>IF($A346="","",IF($S346&gt;0,"ERROR",IF($T346&gt;0,"WARNING","PASS")))</f>
        <v/>
      </c>
    </row>
    <row r="347" spans="1:21" x14ac:dyDescent="0.3">
      <c r="A347" t="str">
        <f>IF(AND('Daily Data'!$A347="",'Daily Data'!$B347=""),"",347)</f>
        <v/>
      </c>
      <c r="B347" s="16" t="str">
        <f>IF($A347="","",'Daily Data'!$A347)</f>
        <v/>
      </c>
      <c r="C347" t="str">
        <f>IF($A347="","",'Daily Data'!$B347)</f>
        <v/>
      </c>
      <c r="D347" s="165" t="str">
        <f>IF($A347="","",IF(COUNTIFS('Daily Data'!$B$4:$B$503,'Daily Data'!$B347,'Daily Data'!$A$4:$A$503,'Daily Data'!$A347)&gt;1,"ERROR","OK"))</f>
        <v/>
      </c>
      <c r="E347" s="165" t="str">
        <f>IF($A347="","",IF('Daily Data'!$B347="","ERROR","OK"))</f>
        <v/>
      </c>
      <c r="F347" s="165" t="str">
        <f>IF($A347="","",IF(NOT(ISNUMBER('Daily Data'!$A347)),"ERROR","OK"))</f>
        <v/>
      </c>
      <c r="G347" s="165" t="str">
        <f>IF($A347="","",IF(OR(N('Daily Data'!$E347)&lt;=0,N('Daily Data'!$C347)&lt;0,N('Daily Data'!$D347)&lt;0,N('Daily Data'!$F347)&lt;0,N('Daily Data'!$G347)&lt;0),"ERROR","OK"))</f>
        <v/>
      </c>
      <c r="H347" s="165" t="str">
        <f>IF($A347="","",IF(N('Daily Data'!$K347)&lt;0,"ERROR","OK"))</f>
        <v/>
      </c>
      <c r="I347" s="165" t="str">
        <f>IF($A347="","",IF(N('Daily Data'!$I347)&lt;0,"ERROR","OK"))</f>
        <v/>
      </c>
      <c r="J347" s="165" t="str">
        <f>IF($A347="","",IF(N('Daily Data'!$L347)&lt;0,"ERROR","OK"))</f>
        <v/>
      </c>
      <c r="K347" s="165" t="str">
        <f>IF($A347="","",IF(N('Daily Data'!$M347)&lt;0,"ERROR","OK"))</f>
        <v/>
      </c>
      <c r="L347" s="165" t="str">
        <f>IF($A347="","",IF(OR(N('Daily Data'!$F347)=0,N('Daily Data'!$G347)=0),"OK",IF(OR(N('Daily Data'!$E347)&gt;N('Daily Data'!$F347),N('Daily Data'!$E347)&lt;N('Daily Data'!$G347)),"ERROR","OK")))</f>
        <v/>
      </c>
      <c r="M347" s="165" t="str">
        <f>IF($A347="","",IF(N('Daily Data'!$AK347)&lt;=1,"OK",IF(ROUND(N('Daily Data'!$D347),2)=ROUND(SUMIFS('Daily Data'!$E$4:$E$503,'Daily Data'!$B$4:$B$503,'Daily Data'!$B347,'Daily Data'!$AK$4:$AK$503,'Daily Data'!$AK347-1),2),"OK","WARNING")))</f>
        <v/>
      </c>
      <c r="N347" s="165" t="str">
        <f>IF($A347="","",IF(N('Daily Data'!$N347)&lt;=0,"WARNING","OK"))</f>
        <v/>
      </c>
      <c r="O347" s="165" t="str">
        <f>IF($A347="","",IF(AND(ISNUMBER('Daily Data'!$H347),ABS(N('Daily Data'!$H347))&gt;Settings!$C$56),"WARNING","OK"))</f>
        <v/>
      </c>
      <c r="P347" s="165" t="str">
        <f>IF($A347="","",IF(OR(AND(N('Daily Data'!$K347)=0,N('Daily Data'!$I347)&gt;0),AND(N('Daily Data'!$I347)=0,N('Daily Data'!$K347)&gt;0),AND(N('Daily Data'!$L347)=0,N('Daily Data'!$M347)=0)),"WARNING","OK"))</f>
        <v/>
      </c>
      <c r="Q347" s="165" t="str">
        <f>IF($A347="","",IF(COUNTIFS('Daily Data'!$B$4:$B$503,'Daily Data'!$B347,'Daily Data'!$A$4:$A$503,'Daily Data'!$A347,'Daily Data'!$Q$4:$Q$503,'Daily Data'!$Q347)&gt;1,"WARNING","OK"))</f>
        <v/>
      </c>
      <c r="R347" s="165" t="str">
        <f>IF($A347="","",IF(AND(N('Daily Data'!$K347)&gt;0,N('Daily Data'!$J347)&lt;=0),"WARNING","OK"))</f>
        <v/>
      </c>
      <c r="S347" s="165" t="str">
        <f>IF($A347="","",COUNTIF($D347:$R347,"ERROR"))</f>
        <v/>
      </c>
      <c r="T347" s="165" t="str">
        <f>IF($A347="","",COUNTIF($D347:$R347,"WARNING"))</f>
        <v/>
      </c>
      <c r="U347" s="165" t="str">
        <f>IF($A347="","",IF($S347&gt;0,"ERROR",IF($T347&gt;0,"WARNING","PASS")))</f>
        <v/>
      </c>
    </row>
    <row r="348" spans="1:21" x14ac:dyDescent="0.3">
      <c r="A348" t="str">
        <f>IF(AND('Daily Data'!$A348="",'Daily Data'!$B348=""),"",348)</f>
        <v/>
      </c>
      <c r="B348" s="16" t="str">
        <f>IF($A348="","",'Daily Data'!$A348)</f>
        <v/>
      </c>
      <c r="C348" t="str">
        <f>IF($A348="","",'Daily Data'!$B348)</f>
        <v/>
      </c>
      <c r="D348" s="165" t="str">
        <f>IF($A348="","",IF(COUNTIFS('Daily Data'!$B$4:$B$503,'Daily Data'!$B348,'Daily Data'!$A$4:$A$503,'Daily Data'!$A348)&gt;1,"ERROR","OK"))</f>
        <v/>
      </c>
      <c r="E348" s="165" t="str">
        <f>IF($A348="","",IF('Daily Data'!$B348="","ERROR","OK"))</f>
        <v/>
      </c>
      <c r="F348" s="165" t="str">
        <f>IF($A348="","",IF(NOT(ISNUMBER('Daily Data'!$A348)),"ERROR","OK"))</f>
        <v/>
      </c>
      <c r="G348" s="165" t="str">
        <f>IF($A348="","",IF(OR(N('Daily Data'!$E348)&lt;=0,N('Daily Data'!$C348)&lt;0,N('Daily Data'!$D348)&lt;0,N('Daily Data'!$F348)&lt;0,N('Daily Data'!$G348)&lt;0),"ERROR","OK"))</f>
        <v/>
      </c>
      <c r="H348" s="165" t="str">
        <f>IF($A348="","",IF(N('Daily Data'!$K348)&lt;0,"ERROR","OK"))</f>
        <v/>
      </c>
      <c r="I348" s="165" t="str">
        <f>IF($A348="","",IF(N('Daily Data'!$I348)&lt;0,"ERROR","OK"))</f>
        <v/>
      </c>
      <c r="J348" s="165" t="str">
        <f>IF($A348="","",IF(N('Daily Data'!$L348)&lt;0,"ERROR","OK"))</f>
        <v/>
      </c>
      <c r="K348" s="165" t="str">
        <f>IF($A348="","",IF(N('Daily Data'!$M348)&lt;0,"ERROR","OK"))</f>
        <v/>
      </c>
      <c r="L348" s="165" t="str">
        <f>IF($A348="","",IF(OR(N('Daily Data'!$F348)=0,N('Daily Data'!$G348)=0),"OK",IF(OR(N('Daily Data'!$E348)&gt;N('Daily Data'!$F348),N('Daily Data'!$E348)&lt;N('Daily Data'!$G348)),"ERROR","OK")))</f>
        <v/>
      </c>
      <c r="M348" s="165" t="str">
        <f>IF($A348="","",IF(N('Daily Data'!$AK348)&lt;=1,"OK",IF(ROUND(N('Daily Data'!$D348),2)=ROUND(SUMIFS('Daily Data'!$E$4:$E$503,'Daily Data'!$B$4:$B$503,'Daily Data'!$B348,'Daily Data'!$AK$4:$AK$503,'Daily Data'!$AK348-1),2),"OK","WARNING")))</f>
        <v/>
      </c>
      <c r="N348" s="165" t="str">
        <f>IF($A348="","",IF(N('Daily Data'!$N348)&lt;=0,"WARNING","OK"))</f>
        <v/>
      </c>
      <c r="O348" s="165" t="str">
        <f>IF($A348="","",IF(AND(ISNUMBER('Daily Data'!$H348),ABS(N('Daily Data'!$H348))&gt;Settings!$C$56),"WARNING","OK"))</f>
        <v/>
      </c>
      <c r="P348" s="165" t="str">
        <f>IF($A348="","",IF(OR(AND(N('Daily Data'!$K348)=0,N('Daily Data'!$I348)&gt;0),AND(N('Daily Data'!$I348)=0,N('Daily Data'!$K348)&gt;0),AND(N('Daily Data'!$L348)=0,N('Daily Data'!$M348)=0)),"WARNING","OK"))</f>
        <v/>
      </c>
      <c r="Q348" s="165" t="str">
        <f>IF($A348="","",IF(COUNTIFS('Daily Data'!$B$4:$B$503,'Daily Data'!$B348,'Daily Data'!$A$4:$A$503,'Daily Data'!$A348,'Daily Data'!$Q$4:$Q$503,'Daily Data'!$Q348)&gt;1,"WARNING","OK"))</f>
        <v/>
      </c>
      <c r="R348" s="165" t="str">
        <f>IF($A348="","",IF(AND(N('Daily Data'!$K348)&gt;0,N('Daily Data'!$J348)&lt;=0),"WARNING","OK"))</f>
        <v/>
      </c>
      <c r="S348" s="165" t="str">
        <f>IF($A348="","",COUNTIF($D348:$R348,"ERROR"))</f>
        <v/>
      </c>
      <c r="T348" s="165" t="str">
        <f>IF($A348="","",COUNTIF($D348:$R348,"WARNING"))</f>
        <v/>
      </c>
      <c r="U348" s="165" t="str">
        <f>IF($A348="","",IF($S348&gt;0,"ERROR",IF($T348&gt;0,"WARNING","PASS")))</f>
        <v/>
      </c>
    </row>
    <row r="349" spans="1:21" x14ac:dyDescent="0.3">
      <c r="A349" t="str">
        <f>IF(AND('Daily Data'!$A349="",'Daily Data'!$B349=""),"",349)</f>
        <v/>
      </c>
      <c r="B349" s="16" t="str">
        <f>IF($A349="","",'Daily Data'!$A349)</f>
        <v/>
      </c>
      <c r="C349" t="str">
        <f>IF($A349="","",'Daily Data'!$B349)</f>
        <v/>
      </c>
      <c r="D349" s="165" t="str">
        <f>IF($A349="","",IF(COUNTIFS('Daily Data'!$B$4:$B$503,'Daily Data'!$B349,'Daily Data'!$A$4:$A$503,'Daily Data'!$A349)&gt;1,"ERROR","OK"))</f>
        <v/>
      </c>
      <c r="E349" s="165" t="str">
        <f>IF($A349="","",IF('Daily Data'!$B349="","ERROR","OK"))</f>
        <v/>
      </c>
      <c r="F349" s="165" t="str">
        <f>IF($A349="","",IF(NOT(ISNUMBER('Daily Data'!$A349)),"ERROR","OK"))</f>
        <v/>
      </c>
      <c r="G349" s="165" t="str">
        <f>IF($A349="","",IF(OR(N('Daily Data'!$E349)&lt;=0,N('Daily Data'!$C349)&lt;0,N('Daily Data'!$D349)&lt;0,N('Daily Data'!$F349)&lt;0,N('Daily Data'!$G349)&lt;0),"ERROR","OK"))</f>
        <v/>
      </c>
      <c r="H349" s="165" t="str">
        <f>IF($A349="","",IF(N('Daily Data'!$K349)&lt;0,"ERROR","OK"))</f>
        <v/>
      </c>
      <c r="I349" s="165" t="str">
        <f>IF($A349="","",IF(N('Daily Data'!$I349)&lt;0,"ERROR","OK"))</f>
        <v/>
      </c>
      <c r="J349" s="165" t="str">
        <f>IF($A349="","",IF(N('Daily Data'!$L349)&lt;0,"ERROR","OK"))</f>
        <v/>
      </c>
      <c r="K349" s="165" t="str">
        <f>IF($A349="","",IF(N('Daily Data'!$M349)&lt;0,"ERROR","OK"))</f>
        <v/>
      </c>
      <c r="L349" s="165" t="str">
        <f>IF($A349="","",IF(OR(N('Daily Data'!$F349)=0,N('Daily Data'!$G349)=0),"OK",IF(OR(N('Daily Data'!$E349)&gt;N('Daily Data'!$F349),N('Daily Data'!$E349)&lt;N('Daily Data'!$G349)),"ERROR","OK")))</f>
        <v/>
      </c>
      <c r="M349" s="165" t="str">
        <f>IF($A349="","",IF(N('Daily Data'!$AK349)&lt;=1,"OK",IF(ROUND(N('Daily Data'!$D349),2)=ROUND(SUMIFS('Daily Data'!$E$4:$E$503,'Daily Data'!$B$4:$B$503,'Daily Data'!$B349,'Daily Data'!$AK$4:$AK$503,'Daily Data'!$AK349-1),2),"OK","WARNING")))</f>
        <v/>
      </c>
      <c r="N349" s="165" t="str">
        <f>IF($A349="","",IF(N('Daily Data'!$N349)&lt;=0,"WARNING","OK"))</f>
        <v/>
      </c>
      <c r="O349" s="165" t="str">
        <f>IF($A349="","",IF(AND(ISNUMBER('Daily Data'!$H349),ABS(N('Daily Data'!$H349))&gt;Settings!$C$56),"WARNING","OK"))</f>
        <v/>
      </c>
      <c r="P349" s="165" t="str">
        <f>IF($A349="","",IF(OR(AND(N('Daily Data'!$K349)=0,N('Daily Data'!$I349)&gt;0),AND(N('Daily Data'!$I349)=0,N('Daily Data'!$K349)&gt;0),AND(N('Daily Data'!$L349)=0,N('Daily Data'!$M349)=0)),"WARNING","OK"))</f>
        <v/>
      </c>
      <c r="Q349" s="165" t="str">
        <f>IF($A349="","",IF(COUNTIFS('Daily Data'!$B$4:$B$503,'Daily Data'!$B349,'Daily Data'!$A$4:$A$503,'Daily Data'!$A349,'Daily Data'!$Q$4:$Q$503,'Daily Data'!$Q349)&gt;1,"WARNING","OK"))</f>
        <v/>
      </c>
      <c r="R349" s="165" t="str">
        <f>IF($A349="","",IF(AND(N('Daily Data'!$K349)&gt;0,N('Daily Data'!$J349)&lt;=0),"WARNING","OK"))</f>
        <v/>
      </c>
      <c r="S349" s="165" t="str">
        <f>IF($A349="","",COUNTIF($D349:$R349,"ERROR"))</f>
        <v/>
      </c>
      <c r="T349" s="165" t="str">
        <f>IF($A349="","",COUNTIF($D349:$R349,"WARNING"))</f>
        <v/>
      </c>
      <c r="U349" s="165" t="str">
        <f>IF($A349="","",IF($S349&gt;0,"ERROR",IF($T349&gt;0,"WARNING","PASS")))</f>
        <v/>
      </c>
    </row>
    <row r="350" spans="1:21" x14ac:dyDescent="0.3">
      <c r="A350" t="str">
        <f>IF(AND('Daily Data'!$A350="",'Daily Data'!$B350=""),"",350)</f>
        <v/>
      </c>
      <c r="B350" s="16" t="str">
        <f>IF($A350="","",'Daily Data'!$A350)</f>
        <v/>
      </c>
      <c r="C350" t="str">
        <f>IF($A350="","",'Daily Data'!$B350)</f>
        <v/>
      </c>
      <c r="D350" s="165" t="str">
        <f>IF($A350="","",IF(COUNTIFS('Daily Data'!$B$4:$B$503,'Daily Data'!$B350,'Daily Data'!$A$4:$A$503,'Daily Data'!$A350)&gt;1,"ERROR","OK"))</f>
        <v/>
      </c>
      <c r="E350" s="165" t="str">
        <f>IF($A350="","",IF('Daily Data'!$B350="","ERROR","OK"))</f>
        <v/>
      </c>
      <c r="F350" s="165" t="str">
        <f>IF($A350="","",IF(NOT(ISNUMBER('Daily Data'!$A350)),"ERROR","OK"))</f>
        <v/>
      </c>
      <c r="G350" s="165" t="str">
        <f>IF($A350="","",IF(OR(N('Daily Data'!$E350)&lt;=0,N('Daily Data'!$C350)&lt;0,N('Daily Data'!$D350)&lt;0,N('Daily Data'!$F350)&lt;0,N('Daily Data'!$G350)&lt;0),"ERROR","OK"))</f>
        <v/>
      </c>
      <c r="H350" s="165" t="str">
        <f>IF($A350="","",IF(N('Daily Data'!$K350)&lt;0,"ERROR","OK"))</f>
        <v/>
      </c>
      <c r="I350" s="165" t="str">
        <f>IF($A350="","",IF(N('Daily Data'!$I350)&lt;0,"ERROR","OK"))</f>
        <v/>
      </c>
      <c r="J350" s="165" t="str">
        <f>IF($A350="","",IF(N('Daily Data'!$L350)&lt;0,"ERROR","OK"))</f>
        <v/>
      </c>
      <c r="K350" s="165" t="str">
        <f>IF($A350="","",IF(N('Daily Data'!$M350)&lt;0,"ERROR","OK"))</f>
        <v/>
      </c>
      <c r="L350" s="165" t="str">
        <f>IF($A350="","",IF(OR(N('Daily Data'!$F350)=0,N('Daily Data'!$G350)=0),"OK",IF(OR(N('Daily Data'!$E350)&gt;N('Daily Data'!$F350),N('Daily Data'!$E350)&lt;N('Daily Data'!$G350)),"ERROR","OK")))</f>
        <v/>
      </c>
      <c r="M350" s="165" t="str">
        <f>IF($A350="","",IF(N('Daily Data'!$AK350)&lt;=1,"OK",IF(ROUND(N('Daily Data'!$D350),2)=ROUND(SUMIFS('Daily Data'!$E$4:$E$503,'Daily Data'!$B$4:$B$503,'Daily Data'!$B350,'Daily Data'!$AK$4:$AK$503,'Daily Data'!$AK350-1),2),"OK","WARNING")))</f>
        <v/>
      </c>
      <c r="N350" s="165" t="str">
        <f>IF($A350="","",IF(N('Daily Data'!$N350)&lt;=0,"WARNING","OK"))</f>
        <v/>
      </c>
      <c r="O350" s="165" t="str">
        <f>IF($A350="","",IF(AND(ISNUMBER('Daily Data'!$H350),ABS(N('Daily Data'!$H350))&gt;Settings!$C$56),"WARNING","OK"))</f>
        <v/>
      </c>
      <c r="P350" s="165" t="str">
        <f>IF($A350="","",IF(OR(AND(N('Daily Data'!$K350)=0,N('Daily Data'!$I350)&gt;0),AND(N('Daily Data'!$I350)=0,N('Daily Data'!$K350)&gt;0),AND(N('Daily Data'!$L350)=0,N('Daily Data'!$M350)=0)),"WARNING","OK"))</f>
        <v/>
      </c>
      <c r="Q350" s="165" t="str">
        <f>IF($A350="","",IF(COUNTIFS('Daily Data'!$B$4:$B$503,'Daily Data'!$B350,'Daily Data'!$A$4:$A$503,'Daily Data'!$A350,'Daily Data'!$Q$4:$Q$503,'Daily Data'!$Q350)&gt;1,"WARNING","OK"))</f>
        <v/>
      </c>
      <c r="R350" s="165" t="str">
        <f>IF($A350="","",IF(AND(N('Daily Data'!$K350)&gt;0,N('Daily Data'!$J350)&lt;=0),"WARNING","OK"))</f>
        <v/>
      </c>
      <c r="S350" s="165" t="str">
        <f>IF($A350="","",COUNTIF($D350:$R350,"ERROR"))</f>
        <v/>
      </c>
      <c r="T350" s="165" t="str">
        <f>IF($A350="","",COUNTIF($D350:$R350,"WARNING"))</f>
        <v/>
      </c>
      <c r="U350" s="165" t="str">
        <f>IF($A350="","",IF($S350&gt;0,"ERROR",IF($T350&gt;0,"WARNING","PASS")))</f>
        <v/>
      </c>
    </row>
    <row r="351" spans="1:21" x14ac:dyDescent="0.3">
      <c r="A351" t="str">
        <f>IF(AND('Daily Data'!$A351="",'Daily Data'!$B351=""),"",351)</f>
        <v/>
      </c>
      <c r="B351" s="16" t="str">
        <f>IF($A351="","",'Daily Data'!$A351)</f>
        <v/>
      </c>
      <c r="C351" t="str">
        <f>IF($A351="","",'Daily Data'!$B351)</f>
        <v/>
      </c>
      <c r="D351" s="165" t="str">
        <f>IF($A351="","",IF(COUNTIFS('Daily Data'!$B$4:$B$503,'Daily Data'!$B351,'Daily Data'!$A$4:$A$503,'Daily Data'!$A351)&gt;1,"ERROR","OK"))</f>
        <v/>
      </c>
      <c r="E351" s="165" t="str">
        <f>IF($A351="","",IF('Daily Data'!$B351="","ERROR","OK"))</f>
        <v/>
      </c>
      <c r="F351" s="165" t="str">
        <f>IF($A351="","",IF(NOT(ISNUMBER('Daily Data'!$A351)),"ERROR","OK"))</f>
        <v/>
      </c>
      <c r="G351" s="165" t="str">
        <f>IF($A351="","",IF(OR(N('Daily Data'!$E351)&lt;=0,N('Daily Data'!$C351)&lt;0,N('Daily Data'!$D351)&lt;0,N('Daily Data'!$F351)&lt;0,N('Daily Data'!$G351)&lt;0),"ERROR","OK"))</f>
        <v/>
      </c>
      <c r="H351" s="165" t="str">
        <f>IF($A351="","",IF(N('Daily Data'!$K351)&lt;0,"ERROR","OK"))</f>
        <v/>
      </c>
      <c r="I351" s="165" t="str">
        <f>IF($A351="","",IF(N('Daily Data'!$I351)&lt;0,"ERROR","OK"))</f>
        <v/>
      </c>
      <c r="J351" s="165" t="str">
        <f>IF($A351="","",IF(N('Daily Data'!$L351)&lt;0,"ERROR","OK"))</f>
        <v/>
      </c>
      <c r="K351" s="165" t="str">
        <f>IF($A351="","",IF(N('Daily Data'!$M351)&lt;0,"ERROR","OK"))</f>
        <v/>
      </c>
      <c r="L351" s="165" t="str">
        <f>IF($A351="","",IF(OR(N('Daily Data'!$F351)=0,N('Daily Data'!$G351)=0),"OK",IF(OR(N('Daily Data'!$E351)&gt;N('Daily Data'!$F351),N('Daily Data'!$E351)&lt;N('Daily Data'!$G351)),"ERROR","OK")))</f>
        <v/>
      </c>
      <c r="M351" s="165" t="str">
        <f>IF($A351="","",IF(N('Daily Data'!$AK351)&lt;=1,"OK",IF(ROUND(N('Daily Data'!$D351),2)=ROUND(SUMIFS('Daily Data'!$E$4:$E$503,'Daily Data'!$B$4:$B$503,'Daily Data'!$B351,'Daily Data'!$AK$4:$AK$503,'Daily Data'!$AK351-1),2),"OK","WARNING")))</f>
        <v/>
      </c>
      <c r="N351" s="165" t="str">
        <f>IF($A351="","",IF(N('Daily Data'!$N351)&lt;=0,"WARNING","OK"))</f>
        <v/>
      </c>
      <c r="O351" s="165" t="str">
        <f>IF($A351="","",IF(AND(ISNUMBER('Daily Data'!$H351),ABS(N('Daily Data'!$H351))&gt;Settings!$C$56),"WARNING","OK"))</f>
        <v/>
      </c>
      <c r="P351" s="165" t="str">
        <f>IF($A351="","",IF(OR(AND(N('Daily Data'!$K351)=0,N('Daily Data'!$I351)&gt;0),AND(N('Daily Data'!$I351)=0,N('Daily Data'!$K351)&gt;0),AND(N('Daily Data'!$L351)=0,N('Daily Data'!$M351)=0)),"WARNING","OK"))</f>
        <v/>
      </c>
      <c r="Q351" s="165" t="str">
        <f>IF($A351="","",IF(COUNTIFS('Daily Data'!$B$4:$B$503,'Daily Data'!$B351,'Daily Data'!$A$4:$A$503,'Daily Data'!$A351,'Daily Data'!$Q$4:$Q$503,'Daily Data'!$Q351)&gt;1,"WARNING","OK"))</f>
        <v/>
      </c>
      <c r="R351" s="165" t="str">
        <f>IF($A351="","",IF(AND(N('Daily Data'!$K351)&gt;0,N('Daily Data'!$J351)&lt;=0),"WARNING","OK"))</f>
        <v/>
      </c>
      <c r="S351" s="165" t="str">
        <f>IF($A351="","",COUNTIF($D351:$R351,"ERROR"))</f>
        <v/>
      </c>
      <c r="T351" s="165" t="str">
        <f>IF($A351="","",COUNTIF($D351:$R351,"WARNING"))</f>
        <v/>
      </c>
      <c r="U351" s="165" t="str">
        <f>IF($A351="","",IF($S351&gt;0,"ERROR",IF($T351&gt;0,"WARNING","PASS")))</f>
        <v/>
      </c>
    </row>
    <row r="352" spans="1:21" x14ac:dyDescent="0.3">
      <c r="A352" t="str">
        <f>IF(AND('Daily Data'!$A352="",'Daily Data'!$B352=""),"",352)</f>
        <v/>
      </c>
      <c r="B352" s="16" t="str">
        <f>IF($A352="","",'Daily Data'!$A352)</f>
        <v/>
      </c>
      <c r="C352" t="str">
        <f>IF($A352="","",'Daily Data'!$B352)</f>
        <v/>
      </c>
      <c r="D352" s="165" t="str">
        <f>IF($A352="","",IF(COUNTIFS('Daily Data'!$B$4:$B$503,'Daily Data'!$B352,'Daily Data'!$A$4:$A$503,'Daily Data'!$A352)&gt;1,"ERROR","OK"))</f>
        <v/>
      </c>
      <c r="E352" s="165" t="str">
        <f>IF($A352="","",IF('Daily Data'!$B352="","ERROR","OK"))</f>
        <v/>
      </c>
      <c r="F352" s="165" t="str">
        <f>IF($A352="","",IF(NOT(ISNUMBER('Daily Data'!$A352)),"ERROR","OK"))</f>
        <v/>
      </c>
      <c r="G352" s="165" t="str">
        <f>IF($A352="","",IF(OR(N('Daily Data'!$E352)&lt;=0,N('Daily Data'!$C352)&lt;0,N('Daily Data'!$D352)&lt;0,N('Daily Data'!$F352)&lt;0,N('Daily Data'!$G352)&lt;0),"ERROR","OK"))</f>
        <v/>
      </c>
      <c r="H352" s="165" t="str">
        <f>IF($A352="","",IF(N('Daily Data'!$K352)&lt;0,"ERROR","OK"))</f>
        <v/>
      </c>
      <c r="I352" s="165" t="str">
        <f>IF($A352="","",IF(N('Daily Data'!$I352)&lt;0,"ERROR","OK"))</f>
        <v/>
      </c>
      <c r="J352" s="165" t="str">
        <f>IF($A352="","",IF(N('Daily Data'!$L352)&lt;0,"ERROR","OK"))</f>
        <v/>
      </c>
      <c r="K352" s="165" t="str">
        <f>IF($A352="","",IF(N('Daily Data'!$M352)&lt;0,"ERROR","OK"))</f>
        <v/>
      </c>
      <c r="L352" s="165" t="str">
        <f>IF($A352="","",IF(OR(N('Daily Data'!$F352)=0,N('Daily Data'!$G352)=0),"OK",IF(OR(N('Daily Data'!$E352)&gt;N('Daily Data'!$F352),N('Daily Data'!$E352)&lt;N('Daily Data'!$G352)),"ERROR","OK")))</f>
        <v/>
      </c>
      <c r="M352" s="165" t="str">
        <f>IF($A352="","",IF(N('Daily Data'!$AK352)&lt;=1,"OK",IF(ROUND(N('Daily Data'!$D352),2)=ROUND(SUMIFS('Daily Data'!$E$4:$E$503,'Daily Data'!$B$4:$B$503,'Daily Data'!$B352,'Daily Data'!$AK$4:$AK$503,'Daily Data'!$AK352-1),2),"OK","WARNING")))</f>
        <v/>
      </c>
      <c r="N352" s="165" t="str">
        <f>IF($A352="","",IF(N('Daily Data'!$N352)&lt;=0,"WARNING","OK"))</f>
        <v/>
      </c>
      <c r="O352" s="165" t="str">
        <f>IF($A352="","",IF(AND(ISNUMBER('Daily Data'!$H352),ABS(N('Daily Data'!$H352))&gt;Settings!$C$56),"WARNING","OK"))</f>
        <v/>
      </c>
      <c r="P352" s="165" t="str">
        <f>IF($A352="","",IF(OR(AND(N('Daily Data'!$K352)=0,N('Daily Data'!$I352)&gt;0),AND(N('Daily Data'!$I352)=0,N('Daily Data'!$K352)&gt;0),AND(N('Daily Data'!$L352)=0,N('Daily Data'!$M352)=0)),"WARNING","OK"))</f>
        <v/>
      </c>
      <c r="Q352" s="165" t="str">
        <f>IF($A352="","",IF(COUNTIFS('Daily Data'!$B$4:$B$503,'Daily Data'!$B352,'Daily Data'!$A$4:$A$503,'Daily Data'!$A352,'Daily Data'!$Q$4:$Q$503,'Daily Data'!$Q352)&gt;1,"WARNING","OK"))</f>
        <v/>
      </c>
      <c r="R352" s="165" t="str">
        <f>IF($A352="","",IF(AND(N('Daily Data'!$K352)&gt;0,N('Daily Data'!$J352)&lt;=0),"WARNING","OK"))</f>
        <v/>
      </c>
      <c r="S352" s="165" t="str">
        <f>IF($A352="","",COUNTIF($D352:$R352,"ERROR"))</f>
        <v/>
      </c>
      <c r="T352" s="165" t="str">
        <f>IF($A352="","",COUNTIF($D352:$R352,"WARNING"))</f>
        <v/>
      </c>
      <c r="U352" s="165" t="str">
        <f>IF($A352="","",IF($S352&gt;0,"ERROR",IF($T352&gt;0,"WARNING","PASS")))</f>
        <v/>
      </c>
    </row>
    <row r="353" spans="1:21" x14ac:dyDescent="0.3">
      <c r="A353" t="str">
        <f>IF(AND('Daily Data'!$A353="",'Daily Data'!$B353=""),"",353)</f>
        <v/>
      </c>
      <c r="B353" s="16" t="str">
        <f>IF($A353="","",'Daily Data'!$A353)</f>
        <v/>
      </c>
      <c r="C353" t="str">
        <f>IF($A353="","",'Daily Data'!$B353)</f>
        <v/>
      </c>
      <c r="D353" s="165" t="str">
        <f>IF($A353="","",IF(COUNTIFS('Daily Data'!$B$4:$B$503,'Daily Data'!$B353,'Daily Data'!$A$4:$A$503,'Daily Data'!$A353)&gt;1,"ERROR","OK"))</f>
        <v/>
      </c>
      <c r="E353" s="165" t="str">
        <f>IF($A353="","",IF('Daily Data'!$B353="","ERROR","OK"))</f>
        <v/>
      </c>
      <c r="F353" s="165" t="str">
        <f>IF($A353="","",IF(NOT(ISNUMBER('Daily Data'!$A353)),"ERROR","OK"))</f>
        <v/>
      </c>
      <c r="G353" s="165" t="str">
        <f>IF($A353="","",IF(OR(N('Daily Data'!$E353)&lt;=0,N('Daily Data'!$C353)&lt;0,N('Daily Data'!$D353)&lt;0,N('Daily Data'!$F353)&lt;0,N('Daily Data'!$G353)&lt;0),"ERROR","OK"))</f>
        <v/>
      </c>
      <c r="H353" s="165" t="str">
        <f>IF($A353="","",IF(N('Daily Data'!$K353)&lt;0,"ERROR","OK"))</f>
        <v/>
      </c>
      <c r="I353" s="165" t="str">
        <f>IF($A353="","",IF(N('Daily Data'!$I353)&lt;0,"ERROR","OK"))</f>
        <v/>
      </c>
      <c r="J353" s="165" t="str">
        <f>IF($A353="","",IF(N('Daily Data'!$L353)&lt;0,"ERROR","OK"))</f>
        <v/>
      </c>
      <c r="K353" s="165" t="str">
        <f>IF($A353="","",IF(N('Daily Data'!$M353)&lt;0,"ERROR","OK"))</f>
        <v/>
      </c>
      <c r="L353" s="165" t="str">
        <f>IF($A353="","",IF(OR(N('Daily Data'!$F353)=0,N('Daily Data'!$G353)=0),"OK",IF(OR(N('Daily Data'!$E353)&gt;N('Daily Data'!$F353),N('Daily Data'!$E353)&lt;N('Daily Data'!$G353)),"ERROR","OK")))</f>
        <v/>
      </c>
      <c r="M353" s="165" t="str">
        <f>IF($A353="","",IF(N('Daily Data'!$AK353)&lt;=1,"OK",IF(ROUND(N('Daily Data'!$D353),2)=ROUND(SUMIFS('Daily Data'!$E$4:$E$503,'Daily Data'!$B$4:$B$503,'Daily Data'!$B353,'Daily Data'!$AK$4:$AK$503,'Daily Data'!$AK353-1),2),"OK","WARNING")))</f>
        <v/>
      </c>
      <c r="N353" s="165" t="str">
        <f>IF($A353="","",IF(N('Daily Data'!$N353)&lt;=0,"WARNING","OK"))</f>
        <v/>
      </c>
      <c r="O353" s="165" t="str">
        <f>IF($A353="","",IF(AND(ISNUMBER('Daily Data'!$H353),ABS(N('Daily Data'!$H353))&gt;Settings!$C$56),"WARNING","OK"))</f>
        <v/>
      </c>
      <c r="P353" s="165" t="str">
        <f>IF($A353="","",IF(OR(AND(N('Daily Data'!$K353)=0,N('Daily Data'!$I353)&gt;0),AND(N('Daily Data'!$I353)=0,N('Daily Data'!$K353)&gt;0),AND(N('Daily Data'!$L353)=0,N('Daily Data'!$M353)=0)),"WARNING","OK"))</f>
        <v/>
      </c>
      <c r="Q353" s="165" t="str">
        <f>IF($A353="","",IF(COUNTIFS('Daily Data'!$B$4:$B$503,'Daily Data'!$B353,'Daily Data'!$A$4:$A$503,'Daily Data'!$A353,'Daily Data'!$Q$4:$Q$503,'Daily Data'!$Q353)&gt;1,"WARNING","OK"))</f>
        <v/>
      </c>
      <c r="R353" s="165" t="str">
        <f>IF($A353="","",IF(AND(N('Daily Data'!$K353)&gt;0,N('Daily Data'!$J353)&lt;=0),"WARNING","OK"))</f>
        <v/>
      </c>
      <c r="S353" s="165" t="str">
        <f>IF($A353="","",COUNTIF($D353:$R353,"ERROR"))</f>
        <v/>
      </c>
      <c r="T353" s="165" t="str">
        <f>IF($A353="","",COUNTIF($D353:$R353,"WARNING"))</f>
        <v/>
      </c>
      <c r="U353" s="165" t="str">
        <f>IF($A353="","",IF($S353&gt;0,"ERROR",IF($T353&gt;0,"WARNING","PASS")))</f>
        <v/>
      </c>
    </row>
    <row r="354" spans="1:21" x14ac:dyDescent="0.3">
      <c r="A354" t="str">
        <f>IF(AND('Daily Data'!$A354="",'Daily Data'!$B354=""),"",354)</f>
        <v/>
      </c>
      <c r="B354" s="16" t="str">
        <f>IF($A354="","",'Daily Data'!$A354)</f>
        <v/>
      </c>
      <c r="C354" t="str">
        <f>IF($A354="","",'Daily Data'!$B354)</f>
        <v/>
      </c>
      <c r="D354" s="165" t="str">
        <f>IF($A354="","",IF(COUNTIFS('Daily Data'!$B$4:$B$503,'Daily Data'!$B354,'Daily Data'!$A$4:$A$503,'Daily Data'!$A354)&gt;1,"ERROR","OK"))</f>
        <v/>
      </c>
      <c r="E354" s="165" t="str">
        <f>IF($A354="","",IF('Daily Data'!$B354="","ERROR","OK"))</f>
        <v/>
      </c>
      <c r="F354" s="165" t="str">
        <f>IF($A354="","",IF(NOT(ISNUMBER('Daily Data'!$A354)),"ERROR","OK"))</f>
        <v/>
      </c>
      <c r="G354" s="165" t="str">
        <f>IF($A354="","",IF(OR(N('Daily Data'!$E354)&lt;=0,N('Daily Data'!$C354)&lt;0,N('Daily Data'!$D354)&lt;0,N('Daily Data'!$F354)&lt;0,N('Daily Data'!$G354)&lt;0),"ERROR","OK"))</f>
        <v/>
      </c>
      <c r="H354" s="165" t="str">
        <f>IF($A354="","",IF(N('Daily Data'!$K354)&lt;0,"ERROR","OK"))</f>
        <v/>
      </c>
      <c r="I354" s="165" t="str">
        <f>IF($A354="","",IF(N('Daily Data'!$I354)&lt;0,"ERROR","OK"))</f>
        <v/>
      </c>
      <c r="J354" s="165" t="str">
        <f>IF($A354="","",IF(N('Daily Data'!$L354)&lt;0,"ERROR","OK"))</f>
        <v/>
      </c>
      <c r="K354" s="165" t="str">
        <f>IF($A354="","",IF(N('Daily Data'!$M354)&lt;0,"ERROR","OK"))</f>
        <v/>
      </c>
      <c r="L354" s="165" t="str">
        <f>IF($A354="","",IF(OR(N('Daily Data'!$F354)=0,N('Daily Data'!$G354)=0),"OK",IF(OR(N('Daily Data'!$E354)&gt;N('Daily Data'!$F354),N('Daily Data'!$E354)&lt;N('Daily Data'!$G354)),"ERROR","OK")))</f>
        <v/>
      </c>
      <c r="M354" s="165" t="str">
        <f>IF($A354="","",IF(N('Daily Data'!$AK354)&lt;=1,"OK",IF(ROUND(N('Daily Data'!$D354),2)=ROUND(SUMIFS('Daily Data'!$E$4:$E$503,'Daily Data'!$B$4:$B$503,'Daily Data'!$B354,'Daily Data'!$AK$4:$AK$503,'Daily Data'!$AK354-1),2),"OK","WARNING")))</f>
        <v/>
      </c>
      <c r="N354" s="165" t="str">
        <f>IF($A354="","",IF(N('Daily Data'!$N354)&lt;=0,"WARNING","OK"))</f>
        <v/>
      </c>
      <c r="O354" s="165" t="str">
        <f>IF($A354="","",IF(AND(ISNUMBER('Daily Data'!$H354),ABS(N('Daily Data'!$H354))&gt;Settings!$C$56),"WARNING","OK"))</f>
        <v/>
      </c>
      <c r="P354" s="165" t="str">
        <f>IF($A354="","",IF(OR(AND(N('Daily Data'!$K354)=0,N('Daily Data'!$I354)&gt;0),AND(N('Daily Data'!$I354)=0,N('Daily Data'!$K354)&gt;0),AND(N('Daily Data'!$L354)=0,N('Daily Data'!$M354)=0)),"WARNING","OK"))</f>
        <v/>
      </c>
      <c r="Q354" s="165" t="str">
        <f>IF($A354="","",IF(COUNTIFS('Daily Data'!$B$4:$B$503,'Daily Data'!$B354,'Daily Data'!$A$4:$A$503,'Daily Data'!$A354,'Daily Data'!$Q$4:$Q$503,'Daily Data'!$Q354)&gt;1,"WARNING","OK"))</f>
        <v/>
      </c>
      <c r="R354" s="165" t="str">
        <f>IF($A354="","",IF(AND(N('Daily Data'!$K354)&gt;0,N('Daily Data'!$J354)&lt;=0),"WARNING","OK"))</f>
        <v/>
      </c>
      <c r="S354" s="165" t="str">
        <f>IF($A354="","",COUNTIF($D354:$R354,"ERROR"))</f>
        <v/>
      </c>
      <c r="T354" s="165" t="str">
        <f>IF($A354="","",COUNTIF($D354:$R354,"WARNING"))</f>
        <v/>
      </c>
      <c r="U354" s="165" t="str">
        <f>IF($A354="","",IF($S354&gt;0,"ERROR",IF($T354&gt;0,"WARNING","PASS")))</f>
        <v/>
      </c>
    </row>
    <row r="355" spans="1:21" x14ac:dyDescent="0.3">
      <c r="A355" t="str">
        <f>IF(AND('Daily Data'!$A355="",'Daily Data'!$B355=""),"",355)</f>
        <v/>
      </c>
      <c r="B355" s="16" t="str">
        <f>IF($A355="","",'Daily Data'!$A355)</f>
        <v/>
      </c>
      <c r="C355" t="str">
        <f>IF($A355="","",'Daily Data'!$B355)</f>
        <v/>
      </c>
      <c r="D355" s="165" t="str">
        <f>IF($A355="","",IF(COUNTIFS('Daily Data'!$B$4:$B$503,'Daily Data'!$B355,'Daily Data'!$A$4:$A$503,'Daily Data'!$A355)&gt;1,"ERROR","OK"))</f>
        <v/>
      </c>
      <c r="E355" s="165" t="str">
        <f>IF($A355="","",IF('Daily Data'!$B355="","ERROR","OK"))</f>
        <v/>
      </c>
      <c r="F355" s="165" t="str">
        <f>IF($A355="","",IF(NOT(ISNUMBER('Daily Data'!$A355)),"ERROR","OK"))</f>
        <v/>
      </c>
      <c r="G355" s="165" t="str">
        <f>IF($A355="","",IF(OR(N('Daily Data'!$E355)&lt;=0,N('Daily Data'!$C355)&lt;0,N('Daily Data'!$D355)&lt;0,N('Daily Data'!$F355)&lt;0,N('Daily Data'!$G355)&lt;0),"ERROR","OK"))</f>
        <v/>
      </c>
      <c r="H355" s="165" t="str">
        <f>IF($A355="","",IF(N('Daily Data'!$K355)&lt;0,"ERROR","OK"))</f>
        <v/>
      </c>
      <c r="I355" s="165" t="str">
        <f>IF($A355="","",IF(N('Daily Data'!$I355)&lt;0,"ERROR","OK"))</f>
        <v/>
      </c>
      <c r="J355" s="165" t="str">
        <f>IF($A355="","",IF(N('Daily Data'!$L355)&lt;0,"ERROR","OK"))</f>
        <v/>
      </c>
      <c r="K355" s="165" t="str">
        <f>IF($A355="","",IF(N('Daily Data'!$M355)&lt;0,"ERROR","OK"))</f>
        <v/>
      </c>
      <c r="L355" s="165" t="str">
        <f>IF($A355="","",IF(OR(N('Daily Data'!$F355)=0,N('Daily Data'!$G355)=0),"OK",IF(OR(N('Daily Data'!$E355)&gt;N('Daily Data'!$F355),N('Daily Data'!$E355)&lt;N('Daily Data'!$G355)),"ERROR","OK")))</f>
        <v/>
      </c>
      <c r="M355" s="165" t="str">
        <f>IF($A355="","",IF(N('Daily Data'!$AK355)&lt;=1,"OK",IF(ROUND(N('Daily Data'!$D355),2)=ROUND(SUMIFS('Daily Data'!$E$4:$E$503,'Daily Data'!$B$4:$B$503,'Daily Data'!$B355,'Daily Data'!$AK$4:$AK$503,'Daily Data'!$AK355-1),2),"OK","WARNING")))</f>
        <v/>
      </c>
      <c r="N355" s="165" t="str">
        <f>IF($A355="","",IF(N('Daily Data'!$N355)&lt;=0,"WARNING","OK"))</f>
        <v/>
      </c>
      <c r="O355" s="165" t="str">
        <f>IF($A355="","",IF(AND(ISNUMBER('Daily Data'!$H355),ABS(N('Daily Data'!$H355))&gt;Settings!$C$56),"WARNING","OK"))</f>
        <v/>
      </c>
      <c r="P355" s="165" t="str">
        <f>IF($A355="","",IF(OR(AND(N('Daily Data'!$K355)=0,N('Daily Data'!$I355)&gt;0),AND(N('Daily Data'!$I355)=0,N('Daily Data'!$K355)&gt;0),AND(N('Daily Data'!$L355)=0,N('Daily Data'!$M355)=0)),"WARNING","OK"))</f>
        <v/>
      </c>
      <c r="Q355" s="165" t="str">
        <f>IF($A355="","",IF(COUNTIFS('Daily Data'!$B$4:$B$503,'Daily Data'!$B355,'Daily Data'!$A$4:$A$503,'Daily Data'!$A355,'Daily Data'!$Q$4:$Q$503,'Daily Data'!$Q355)&gt;1,"WARNING","OK"))</f>
        <v/>
      </c>
      <c r="R355" s="165" t="str">
        <f>IF($A355="","",IF(AND(N('Daily Data'!$K355)&gt;0,N('Daily Data'!$J355)&lt;=0),"WARNING","OK"))</f>
        <v/>
      </c>
      <c r="S355" s="165" t="str">
        <f>IF($A355="","",COUNTIF($D355:$R355,"ERROR"))</f>
        <v/>
      </c>
      <c r="T355" s="165" t="str">
        <f>IF($A355="","",COUNTIF($D355:$R355,"WARNING"))</f>
        <v/>
      </c>
      <c r="U355" s="165" t="str">
        <f>IF($A355="","",IF($S355&gt;0,"ERROR",IF($T355&gt;0,"WARNING","PASS")))</f>
        <v/>
      </c>
    </row>
    <row r="356" spans="1:21" x14ac:dyDescent="0.3">
      <c r="A356" t="str">
        <f>IF(AND('Daily Data'!$A356="",'Daily Data'!$B356=""),"",356)</f>
        <v/>
      </c>
      <c r="B356" s="16" t="str">
        <f>IF($A356="","",'Daily Data'!$A356)</f>
        <v/>
      </c>
      <c r="C356" t="str">
        <f>IF($A356="","",'Daily Data'!$B356)</f>
        <v/>
      </c>
      <c r="D356" s="165" t="str">
        <f>IF($A356="","",IF(COUNTIFS('Daily Data'!$B$4:$B$503,'Daily Data'!$B356,'Daily Data'!$A$4:$A$503,'Daily Data'!$A356)&gt;1,"ERROR","OK"))</f>
        <v/>
      </c>
      <c r="E356" s="165" t="str">
        <f>IF($A356="","",IF('Daily Data'!$B356="","ERROR","OK"))</f>
        <v/>
      </c>
      <c r="F356" s="165" t="str">
        <f>IF($A356="","",IF(NOT(ISNUMBER('Daily Data'!$A356)),"ERROR","OK"))</f>
        <v/>
      </c>
      <c r="G356" s="165" t="str">
        <f>IF($A356="","",IF(OR(N('Daily Data'!$E356)&lt;=0,N('Daily Data'!$C356)&lt;0,N('Daily Data'!$D356)&lt;0,N('Daily Data'!$F356)&lt;0,N('Daily Data'!$G356)&lt;0),"ERROR","OK"))</f>
        <v/>
      </c>
      <c r="H356" s="165" t="str">
        <f>IF($A356="","",IF(N('Daily Data'!$K356)&lt;0,"ERROR","OK"))</f>
        <v/>
      </c>
      <c r="I356" s="165" t="str">
        <f>IF($A356="","",IF(N('Daily Data'!$I356)&lt;0,"ERROR","OK"))</f>
        <v/>
      </c>
      <c r="J356" s="165" t="str">
        <f>IF($A356="","",IF(N('Daily Data'!$L356)&lt;0,"ERROR","OK"))</f>
        <v/>
      </c>
      <c r="K356" s="165" t="str">
        <f>IF($A356="","",IF(N('Daily Data'!$M356)&lt;0,"ERROR","OK"))</f>
        <v/>
      </c>
      <c r="L356" s="165" t="str">
        <f>IF($A356="","",IF(OR(N('Daily Data'!$F356)=0,N('Daily Data'!$G356)=0),"OK",IF(OR(N('Daily Data'!$E356)&gt;N('Daily Data'!$F356),N('Daily Data'!$E356)&lt;N('Daily Data'!$G356)),"ERROR","OK")))</f>
        <v/>
      </c>
      <c r="M356" s="165" t="str">
        <f>IF($A356="","",IF(N('Daily Data'!$AK356)&lt;=1,"OK",IF(ROUND(N('Daily Data'!$D356),2)=ROUND(SUMIFS('Daily Data'!$E$4:$E$503,'Daily Data'!$B$4:$B$503,'Daily Data'!$B356,'Daily Data'!$AK$4:$AK$503,'Daily Data'!$AK356-1),2),"OK","WARNING")))</f>
        <v/>
      </c>
      <c r="N356" s="165" t="str">
        <f>IF($A356="","",IF(N('Daily Data'!$N356)&lt;=0,"WARNING","OK"))</f>
        <v/>
      </c>
      <c r="O356" s="165" t="str">
        <f>IF($A356="","",IF(AND(ISNUMBER('Daily Data'!$H356),ABS(N('Daily Data'!$H356))&gt;Settings!$C$56),"WARNING","OK"))</f>
        <v/>
      </c>
      <c r="P356" s="165" t="str">
        <f>IF($A356="","",IF(OR(AND(N('Daily Data'!$K356)=0,N('Daily Data'!$I356)&gt;0),AND(N('Daily Data'!$I356)=0,N('Daily Data'!$K356)&gt;0),AND(N('Daily Data'!$L356)=0,N('Daily Data'!$M356)=0)),"WARNING","OK"))</f>
        <v/>
      </c>
      <c r="Q356" s="165" t="str">
        <f>IF($A356="","",IF(COUNTIFS('Daily Data'!$B$4:$B$503,'Daily Data'!$B356,'Daily Data'!$A$4:$A$503,'Daily Data'!$A356,'Daily Data'!$Q$4:$Q$503,'Daily Data'!$Q356)&gt;1,"WARNING","OK"))</f>
        <v/>
      </c>
      <c r="R356" s="165" t="str">
        <f>IF($A356="","",IF(AND(N('Daily Data'!$K356)&gt;0,N('Daily Data'!$J356)&lt;=0),"WARNING","OK"))</f>
        <v/>
      </c>
      <c r="S356" s="165" t="str">
        <f>IF($A356="","",COUNTIF($D356:$R356,"ERROR"))</f>
        <v/>
      </c>
      <c r="T356" s="165" t="str">
        <f>IF($A356="","",COUNTIF($D356:$R356,"WARNING"))</f>
        <v/>
      </c>
      <c r="U356" s="165" t="str">
        <f>IF($A356="","",IF($S356&gt;0,"ERROR",IF($T356&gt;0,"WARNING","PASS")))</f>
        <v/>
      </c>
    </row>
    <row r="357" spans="1:21" x14ac:dyDescent="0.3">
      <c r="A357" t="str">
        <f>IF(AND('Daily Data'!$A357="",'Daily Data'!$B357=""),"",357)</f>
        <v/>
      </c>
      <c r="B357" s="16" t="str">
        <f>IF($A357="","",'Daily Data'!$A357)</f>
        <v/>
      </c>
      <c r="C357" t="str">
        <f>IF($A357="","",'Daily Data'!$B357)</f>
        <v/>
      </c>
      <c r="D357" s="165" t="str">
        <f>IF($A357="","",IF(COUNTIFS('Daily Data'!$B$4:$B$503,'Daily Data'!$B357,'Daily Data'!$A$4:$A$503,'Daily Data'!$A357)&gt;1,"ERROR","OK"))</f>
        <v/>
      </c>
      <c r="E357" s="165" t="str">
        <f>IF($A357="","",IF('Daily Data'!$B357="","ERROR","OK"))</f>
        <v/>
      </c>
      <c r="F357" s="165" t="str">
        <f>IF($A357="","",IF(NOT(ISNUMBER('Daily Data'!$A357)),"ERROR","OK"))</f>
        <v/>
      </c>
      <c r="G357" s="165" t="str">
        <f>IF($A357="","",IF(OR(N('Daily Data'!$E357)&lt;=0,N('Daily Data'!$C357)&lt;0,N('Daily Data'!$D357)&lt;0,N('Daily Data'!$F357)&lt;0,N('Daily Data'!$G357)&lt;0),"ERROR","OK"))</f>
        <v/>
      </c>
      <c r="H357" s="165" t="str">
        <f>IF($A357="","",IF(N('Daily Data'!$K357)&lt;0,"ERROR","OK"))</f>
        <v/>
      </c>
      <c r="I357" s="165" t="str">
        <f>IF($A357="","",IF(N('Daily Data'!$I357)&lt;0,"ERROR","OK"))</f>
        <v/>
      </c>
      <c r="J357" s="165" t="str">
        <f>IF($A357="","",IF(N('Daily Data'!$L357)&lt;0,"ERROR","OK"))</f>
        <v/>
      </c>
      <c r="K357" s="165" t="str">
        <f>IF($A357="","",IF(N('Daily Data'!$M357)&lt;0,"ERROR","OK"))</f>
        <v/>
      </c>
      <c r="L357" s="165" t="str">
        <f>IF($A357="","",IF(OR(N('Daily Data'!$F357)=0,N('Daily Data'!$G357)=0),"OK",IF(OR(N('Daily Data'!$E357)&gt;N('Daily Data'!$F357),N('Daily Data'!$E357)&lt;N('Daily Data'!$G357)),"ERROR","OK")))</f>
        <v/>
      </c>
      <c r="M357" s="165" t="str">
        <f>IF($A357="","",IF(N('Daily Data'!$AK357)&lt;=1,"OK",IF(ROUND(N('Daily Data'!$D357),2)=ROUND(SUMIFS('Daily Data'!$E$4:$E$503,'Daily Data'!$B$4:$B$503,'Daily Data'!$B357,'Daily Data'!$AK$4:$AK$503,'Daily Data'!$AK357-1),2),"OK","WARNING")))</f>
        <v/>
      </c>
      <c r="N357" s="165" t="str">
        <f>IF($A357="","",IF(N('Daily Data'!$N357)&lt;=0,"WARNING","OK"))</f>
        <v/>
      </c>
      <c r="O357" s="165" t="str">
        <f>IF($A357="","",IF(AND(ISNUMBER('Daily Data'!$H357),ABS(N('Daily Data'!$H357))&gt;Settings!$C$56),"WARNING","OK"))</f>
        <v/>
      </c>
      <c r="P357" s="165" t="str">
        <f>IF($A357="","",IF(OR(AND(N('Daily Data'!$K357)=0,N('Daily Data'!$I357)&gt;0),AND(N('Daily Data'!$I357)=0,N('Daily Data'!$K357)&gt;0),AND(N('Daily Data'!$L357)=0,N('Daily Data'!$M357)=0)),"WARNING","OK"))</f>
        <v/>
      </c>
      <c r="Q357" s="165" t="str">
        <f>IF($A357="","",IF(COUNTIFS('Daily Data'!$B$4:$B$503,'Daily Data'!$B357,'Daily Data'!$A$4:$A$503,'Daily Data'!$A357,'Daily Data'!$Q$4:$Q$503,'Daily Data'!$Q357)&gt;1,"WARNING","OK"))</f>
        <v/>
      </c>
      <c r="R357" s="165" t="str">
        <f>IF($A357="","",IF(AND(N('Daily Data'!$K357)&gt;0,N('Daily Data'!$J357)&lt;=0),"WARNING","OK"))</f>
        <v/>
      </c>
      <c r="S357" s="165" t="str">
        <f>IF($A357="","",COUNTIF($D357:$R357,"ERROR"))</f>
        <v/>
      </c>
      <c r="T357" s="165" t="str">
        <f>IF($A357="","",COUNTIF($D357:$R357,"WARNING"))</f>
        <v/>
      </c>
      <c r="U357" s="165" t="str">
        <f>IF($A357="","",IF($S357&gt;0,"ERROR",IF($T357&gt;0,"WARNING","PASS")))</f>
        <v/>
      </c>
    </row>
    <row r="358" spans="1:21" x14ac:dyDescent="0.3">
      <c r="A358" t="str">
        <f>IF(AND('Daily Data'!$A358="",'Daily Data'!$B358=""),"",358)</f>
        <v/>
      </c>
      <c r="B358" s="16" t="str">
        <f>IF($A358="","",'Daily Data'!$A358)</f>
        <v/>
      </c>
      <c r="C358" t="str">
        <f>IF($A358="","",'Daily Data'!$B358)</f>
        <v/>
      </c>
      <c r="D358" s="165" t="str">
        <f>IF($A358="","",IF(COUNTIFS('Daily Data'!$B$4:$B$503,'Daily Data'!$B358,'Daily Data'!$A$4:$A$503,'Daily Data'!$A358)&gt;1,"ERROR","OK"))</f>
        <v/>
      </c>
      <c r="E358" s="165" t="str">
        <f>IF($A358="","",IF('Daily Data'!$B358="","ERROR","OK"))</f>
        <v/>
      </c>
      <c r="F358" s="165" t="str">
        <f>IF($A358="","",IF(NOT(ISNUMBER('Daily Data'!$A358)),"ERROR","OK"))</f>
        <v/>
      </c>
      <c r="G358" s="165" t="str">
        <f>IF($A358="","",IF(OR(N('Daily Data'!$E358)&lt;=0,N('Daily Data'!$C358)&lt;0,N('Daily Data'!$D358)&lt;0,N('Daily Data'!$F358)&lt;0,N('Daily Data'!$G358)&lt;0),"ERROR","OK"))</f>
        <v/>
      </c>
      <c r="H358" s="165" t="str">
        <f>IF($A358="","",IF(N('Daily Data'!$K358)&lt;0,"ERROR","OK"))</f>
        <v/>
      </c>
      <c r="I358" s="165" t="str">
        <f>IF($A358="","",IF(N('Daily Data'!$I358)&lt;0,"ERROR","OK"))</f>
        <v/>
      </c>
      <c r="J358" s="165" t="str">
        <f>IF($A358="","",IF(N('Daily Data'!$L358)&lt;0,"ERROR","OK"))</f>
        <v/>
      </c>
      <c r="K358" s="165" t="str">
        <f>IF($A358="","",IF(N('Daily Data'!$M358)&lt;0,"ERROR","OK"))</f>
        <v/>
      </c>
      <c r="L358" s="165" t="str">
        <f>IF($A358="","",IF(OR(N('Daily Data'!$F358)=0,N('Daily Data'!$G358)=0),"OK",IF(OR(N('Daily Data'!$E358)&gt;N('Daily Data'!$F358),N('Daily Data'!$E358)&lt;N('Daily Data'!$G358)),"ERROR","OK")))</f>
        <v/>
      </c>
      <c r="M358" s="165" t="str">
        <f>IF($A358="","",IF(N('Daily Data'!$AK358)&lt;=1,"OK",IF(ROUND(N('Daily Data'!$D358),2)=ROUND(SUMIFS('Daily Data'!$E$4:$E$503,'Daily Data'!$B$4:$B$503,'Daily Data'!$B358,'Daily Data'!$AK$4:$AK$503,'Daily Data'!$AK358-1),2),"OK","WARNING")))</f>
        <v/>
      </c>
      <c r="N358" s="165" t="str">
        <f>IF($A358="","",IF(N('Daily Data'!$N358)&lt;=0,"WARNING","OK"))</f>
        <v/>
      </c>
      <c r="O358" s="165" t="str">
        <f>IF($A358="","",IF(AND(ISNUMBER('Daily Data'!$H358),ABS(N('Daily Data'!$H358))&gt;Settings!$C$56),"WARNING","OK"))</f>
        <v/>
      </c>
      <c r="P358" s="165" t="str">
        <f>IF($A358="","",IF(OR(AND(N('Daily Data'!$K358)=0,N('Daily Data'!$I358)&gt;0),AND(N('Daily Data'!$I358)=0,N('Daily Data'!$K358)&gt;0),AND(N('Daily Data'!$L358)=0,N('Daily Data'!$M358)=0)),"WARNING","OK"))</f>
        <v/>
      </c>
      <c r="Q358" s="165" t="str">
        <f>IF($A358="","",IF(COUNTIFS('Daily Data'!$B$4:$B$503,'Daily Data'!$B358,'Daily Data'!$A$4:$A$503,'Daily Data'!$A358,'Daily Data'!$Q$4:$Q$503,'Daily Data'!$Q358)&gt;1,"WARNING","OK"))</f>
        <v/>
      </c>
      <c r="R358" s="165" t="str">
        <f>IF($A358="","",IF(AND(N('Daily Data'!$K358)&gt;0,N('Daily Data'!$J358)&lt;=0),"WARNING","OK"))</f>
        <v/>
      </c>
      <c r="S358" s="165" t="str">
        <f>IF($A358="","",COUNTIF($D358:$R358,"ERROR"))</f>
        <v/>
      </c>
      <c r="T358" s="165" t="str">
        <f>IF($A358="","",COUNTIF($D358:$R358,"WARNING"))</f>
        <v/>
      </c>
      <c r="U358" s="165" t="str">
        <f>IF($A358="","",IF($S358&gt;0,"ERROR",IF($T358&gt;0,"WARNING","PASS")))</f>
        <v/>
      </c>
    </row>
    <row r="359" spans="1:21" x14ac:dyDescent="0.3">
      <c r="A359" t="str">
        <f>IF(AND('Daily Data'!$A359="",'Daily Data'!$B359=""),"",359)</f>
        <v/>
      </c>
      <c r="B359" s="16" t="str">
        <f>IF($A359="","",'Daily Data'!$A359)</f>
        <v/>
      </c>
      <c r="C359" t="str">
        <f>IF($A359="","",'Daily Data'!$B359)</f>
        <v/>
      </c>
      <c r="D359" s="165" t="str">
        <f>IF($A359="","",IF(COUNTIFS('Daily Data'!$B$4:$B$503,'Daily Data'!$B359,'Daily Data'!$A$4:$A$503,'Daily Data'!$A359)&gt;1,"ERROR","OK"))</f>
        <v/>
      </c>
      <c r="E359" s="165" t="str">
        <f>IF($A359="","",IF('Daily Data'!$B359="","ERROR","OK"))</f>
        <v/>
      </c>
      <c r="F359" s="165" t="str">
        <f>IF($A359="","",IF(NOT(ISNUMBER('Daily Data'!$A359)),"ERROR","OK"))</f>
        <v/>
      </c>
      <c r="G359" s="165" t="str">
        <f>IF($A359="","",IF(OR(N('Daily Data'!$E359)&lt;=0,N('Daily Data'!$C359)&lt;0,N('Daily Data'!$D359)&lt;0,N('Daily Data'!$F359)&lt;0,N('Daily Data'!$G359)&lt;0),"ERROR","OK"))</f>
        <v/>
      </c>
      <c r="H359" s="165" t="str">
        <f>IF($A359="","",IF(N('Daily Data'!$K359)&lt;0,"ERROR","OK"))</f>
        <v/>
      </c>
      <c r="I359" s="165" t="str">
        <f>IF($A359="","",IF(N('Daily Data'!$I359)&lt;0,"ERROR","OK"))</f>
        <v/>
      </c>
      <c r="J359" s="165" t="str">
        <f>IF($A359="","",IF(N('Daily Data'!$L359)&lt;0,"ERROR","OK"))</f>
        <v/>
      </c>
      <c r="K359" s="165" t="str">
        <f>IF($A359="","",IF(N('Daily Data'!$M359)&lt;0,"ERROR","OK"))</f>
        <v/>
      </c>
      <c r="L359" s="165" t="str">
        <f>IF($A359="","",IF(OR(N('Daily Data'!$F359)=0,N('Daily Data'!$G359)=0),"OK",IF(OR(N('Daily Data'!$E359)&gt;N('Daily Data'!$F359),N('Daily Data'!$E359)&lt;N('Daily Data'!$G359)),"ERROR","OK")))</f>
        <v/>
      </c>
      <c r="M359" s="165" t="str">
        <f>IF($A359="","",IF(N('Daily Data'!$AK359)&lt;=1,"OK",IF(ROUND(N('Daily Data'!$D359),2)=ROUND(SUMIFS('Daily Data'!$E$4:$E$503,'Daily Data'!$B$4:$B$503,'Daily Data'!$B359,'Daily Data'!$AK$4:$AK$503,'Daily Data'!$AK359-1),2),"OK","WARNING")))</f>
        <v/>
      </c>
      <c r="N359" s="165" t="str">
        <f>IF($A359="","",IF(N('Daily Data'!$N359)&lt;=0,"WARNING","OK"))</f>
        <v/>
      </c>
      <c r="O359" s="165" t="str">
        <f>IF($A359="","",IF(AND(ISNUMBER('Daily Data'!$H359),ABS(N('Daily Data'!$H359))&gt;Settings!$C$56),"WARNING","OK"))</f>
        <v/>
      </c>
      <c r="P359" s="165" t="str">
        <f>IF($A359="","",IF(OR(AND(N('Daily Data'!$K359)=0,N('Daily Data'!$I359)&gt;0),AND(N('Daily Data'!$I359)=0,N('Daily Data'!$K359)&gt;0),AND(N('Daily Data'!$L359)=0,N('Daily Data'!$M359)=0)),"WARNING","OK"))</f>
        <v/>
      </c>
      <c r="Q359" s="165" t="str">
        <f>IF($A359="","",IF(COUNTIFS('Daily Data'!$B$4:$B$503,'Daily Data'!$B359,'Daily Data'!$A$4:$A$503,'Daily Data'!$A359,'Daily Data'!$Q$4:$Q$503,'Daily Data'!$Q359)&gt;1,"WARNING","OK"))</f>
        <v/>
      </c>
      <c r="R359" s="165" t="str">
        <f>IF($A359="","",IF(AND(N('Daily Data'!$K359)&gt;0,N('Daily Data'!$J359)&lt;=0),"WARNING","OK"))</f>
        <v/>
      </c>
      <c r="S359" s="165" t="str">
        <f>IF($A359="","",COUNTIF($D359:$R359,"ERROR"))</f>
        <v/>
      </c>
      <c r="T359" s="165" t="str">
        <f>IF($A359="","",COUNTIF($D359:$R359,"WARNING"))</f>
        <v/>
      </c>
      <c r="U359" s="165" t="str">
        <f>IF($A359="","",IF($S359&gt;0,"ERROR",IF($T359&gt;0,"WARNING","PASS")))</f>
        <v/>
      </c>
    </row>
    <row r="360" spans="1:21" x14ac:dyDescent="0.3">
      <c r="A360" t="str">
        <f>IF(AND('Daily Data'!$A360="",'Daily Data'!$B360=""),"",360)</f>
        <v/>
      </c>
      <c r="B360" s="16" t="str">
        <f>IF($A360="","",'Daily Data'!$A360)</f>
        <v/>
      </c>
      <c r="C360" t="str">
        <f>IF($A360="","",'Daily Data'!$B360)</f>
        <v/>
      </c>
      <c r="D360" s="165" t="str">
        <f>IF($A360="","",IF(COUNTIFS('Daily Data'!$B$4:$B$503,'Daily Data'!$B360,'Daily Data'!$A$4:$A$503,'Daily Data'!$A360)&gt;1,"ERROR","OK"))</f>
        <v/>
      </c>
      <c r="E360" s="165" t="str">
        <f>IF($A360="","",IF('Daily Data'!$B360="","ERROR","OK"))</f>
        <v/>
      </c>
      <c r="F360" s="165" t="str">
        <f>IF($A360="","",IF(NOT(ISNUMBER('Daily Data'!$A360)),"ERROR","OK"))</f>
        <v/>
      </c>
      <c r="G360" s="165" t="str">
        <f>IF($A360="","",IF(OR(N('Daily Data'!$E360)&lt;=0,N('Daily Data'!$C360)&lt;0,N('Daily Data'!$D360)&lt;0,N('Daily Data'!$F360)&lt;0,N('Daily Data'!$G360)&lt;0),"ERROR","OK"))</f>
        <v/>
      </c>
      <c r="H360" s="165" t="str">
        <f>IF($A360="","",IF(N('Daily Data'!$K360)&lt;0,"ERROR","OK"))</f>
        <v/>
      </c>
      <c r="I360" s="165" t="str">
        <f>IF($A360="","",IF(N('Daily Data'!$I360)&lt;0,"ERROR","OK"))</f>
        <v/>
      </c>
      <c r="J360" s="165" t="str">
        <f>IF($A360="","",IF(N('Daily Data'!$L360)&lt;0,"ERROR","OK"))</f>
        <v/>
      </c>
      <c r="K360" s="165" t="str">
        <f>IF($A360="","",IF(N('Daily Data'!$M360)&lt;0,"ERROR","OK"))</f>
        <v/>
      </c>
      <c r="L360" s="165" t="str">
        <f>IF($A360="","",IF(OR(N('Daily Data'!$F360)=0,N('Daily Data'!$G360)=0),"OK",IF(OR(N('Daily Data'!$E360)&gt;N('Daily Data'!$F360),N('Daily Data'!$E360)&lt;N('Daily Data'!$G360)),"ERROR","OK")))</f>
        <v/>
      </c>
      <c r="M360" s="165" t="str">
        <f>IF($A360="","",IF(N('Daily Data'!$AK360)&lt;=1,"OK",IF(ROUND(N('Daily Data'!$D360),2)=ROUND(SUMIFS('Daily Data'!$E$4:$E$503,'Daily Data'!$B$4:$B$503,'Daily Data'!$B360,'Daily Data'!$AK$4:$AK$503,'Daily Data'!$AK360-1),2),"OK","WARNING")))</f>
        <v/>
      </c>
      <c r="N360" s="165" t="str">
        <f>IF($A360="","",IF(N('Daily Data'!$N360)&lt;=0,"WARNING","OK"))</f>
        <v/>
      </c>
      <c r="O360" s="165" t="str">
        <f>IF($A360="","",IF(AND(ISNUMBER('Daily Data'!$H360),ABS(N('Daily Data'!$H360))&gt;Settings!$C$56),"WARNING","OK"))</f>
        <v/>
      </c>
      <c r="P360" s="165" t="str">
        <f>IF($A360="","",IF(OR(AND(N('Daily Data'!$K360)=0,N('Daily Data'!$I360)&gt;0),AND(N('Daily Data'!$I360)=0,N('Daily Data'!$K360)&gt;0),AND(N('Daily Data'!$L360)=0,N('Daily Data'!$M360)=0)),"WARNING","OK"))</f>
        <v/>
      </c>
      <c r="Q360" s="165" t="str">
        <f>IF($A360="","",IF(COUNTIFS('Daily Data'!$B$4:$B$503,'Daily Data'!$B360,'Daily Data'!$A$4:$A$503,'Daily Data'!$A360,'Daily Data'!$Q$4:$Q$503,'Daily Data'!$Q360)&gt;1,"WARNING","OK"))</f>
        <v/>
      </c>
      <c r="R360" s="165" t="str">
        <f>IF($A360="","",IF(AND(N('Daily Data'!$K360)&gt;0,N('Daily Data'!$J360)&lt;=0),"WARNING","OK"))</f>
        <v/>
      </c>
      <c r="S360" s="165" t="str">
        <f>IF($A360="","",COUNTIF($D360:$R360,"ERROR"))</f>
        <v/>
      </c>
      <c r="T360" s="165" t="str">
        <f>IF($A360="","",COUNTIF($D360:$R360,"WARNING"))</f>
        <v/>
      </c>
      <c r="U360" s="165" t="str">
        <f>IF($A360="","",IF($S360&gt;0,"ERROR",IF($T360&gt;0,"WARNING","PASS")))</f>
        <v/>
      </c>
    </row>
    <row r="361" spans="1:21" x14ac:dyDescent="0.3">
      <c r="A361" t="str">
        <f>IF(AND('Daily Data'!$A361="",'Daily Data'!$B361=""),"",361)</f>
        <v/>
      </c>
      <c r="B361" s="16" t="str">
        <f>IF($A361="","",'Daily Data'!$A361)</f>
        <v/>
      </c>
      <c r="C361" t="str">
        <f>IF($A361="","",'Daily Data'!$B361)</f>
        <v/>
      </c>
      <c r="D361" s="165" t="str">
        <f>IF($A361="","",IF(COUNTIFS('Daily Data'!$B$4:$B$503,'Daily Data'!$B361,'Daily Data'!$A$4:$A$503,'Daily Data'!$A361)&gt;1,"ERROR","OK"))</f>
        <v/>
      </c>
      <c r="E361" s="165" t="str">
        <f>IF($A361="","",IF('Daily Data'!$B361="","ERROR","OK"))</f>
        <v/>
      </c>
      <c r="F361" s="165" t="str">
        <f>IF($A361="","",IF(NOT(ISNUMBER('Daily Data'!$A361)),"ERROR","OK"))</f>
        <v/>
      </c>
      <c r="G361" s="165" t="str">
        <f>IF($A361="","",IF(OR(N('Daily Data'!$E361)&lt;=0,N('Daily Data'!$C361)&lt;0,N('Daily Data'!$D361)&lt;0,N('Daily Data'!$F361)&lt;0,N('Daily Data'!$G361)&lt;0),"ERROR","OK"))</f>
        <v/>
      </c>
      <c r="H361" s="165" t="str">
        <f>IF($A361="","",IF(N('Daily Data'!$K361)&lt;0,"ERROR","OK"))</f>
        <v/>
      </c>
      <c r="I361" s="165" t="str">
        <f>IF($A361="","",IF(N('Daily Data'!$I361)&lt;0,"ERROR","OK"))</f>
        <v/>
      </c>
      <c r="J361" s="165" t="str">
        <f>IF($A361="","",IF(N('Daily Data'!$L361)&lt;0,"ERROR","OK"))</f>
        <v/>
      </c>
      <c r="K361" s="165" t="str">
        <f>IF($A361="","",IF(N('Daily Data'!$M361)&lt;0,"ERROR","OK"))</f>
        <v/>
      </c>
      <c r="L361" s="165" t="str">
        <f>IF($A361="","",IF(OR(N('Daily Data'!$F361)=0,N('Daily Data'!$G361)=0),"OK",IF(OR(N('Daily Data'!$E361)&gt;N('Daily Data'!$F361),N('Daily Data'!$E361)&lt;N('Daily Data'!$G361)),"ERROR","OK")))</f>
        <v/>
      </c>
      <c r="M361" s="165" t="str">
        <f>IF($A361="","",IF(N('Daily Data'!$AK361)&lt;=1,"OK",IF(ROUND(N('Daily Data'!$D361),2)=ROUND(SUMIFS('Daily Data'!$E$4:$E$503,'Daily Data'!$B$4:$B$503,'Daily Data'!$B361,'Daily Data'!$AK$4:$AK$503,'Daily Data'!$AK361-1),2),"OK","WARNING")))</f>
        <v/>
      </c>
      <c r="N361" s="165" t="str">
        <f>IF($A361="","",IF(N('Daily Data'!$N361)&lt;=0,"WARNING","OK"))</f>
        <v/>
      </c>
      <c r="O361" s="165" t="str">
        <f>IF($A361="","",IF(AND(ISNUMBER('Daily Data'!$H361),ABS(N('Daily Data'!$H361))&gt;Settings!$C$56),"WARNING","OK"))</f>
        <v/>
      </c>
      <c r="P361" s="165" t="str">
        <f>IF($A361="","",IF(OR(AND(N('Daily Data'!$K361)=0,N('Daily Data'!$I361)&gt;0),AND(N('Daily Data'!$I361)=0,N('Daily Data'!$K361)&gt;0),AND(N('Daily Data'!$L361)=0,N('Daily Data'!$M361)=0)),"WARNING","OK"))</f>
        <v/>
      </c>
      <c r="Q361" s="165" t="str">
        <f>IF($A361="","",IF(COUNTIFS('Daily Data'!$B$4:$B$503,'Daily Data'!$B361,'Daily Data'!$A$4:$A$503,'Daily Data'!$A361,'Daily Data'!$Q$4:$Q$503,'Daily Data'!$Q361)&gt;1,"WARNING","OK"))</f>
        <v/>
      </c>
      <c r="R361" s="165" t="str">
        <f>IF($A361="","",IF(AND(N('Daily Data'!$K361)&gt;0,N('Daily Data'!$J361)&lt;=0),"WARNING","OK"))</f>
        <v/>
      </c>
      <c r="S361" s="165" t="str">
        <f>IF($A361="","",COUNTIF($D361:$R361,"ERROR"))</f>
        <v/>
      </c>
      <c r="T361" s="165" t="str">
        <f>IF($A361="","",COUNTIF($D361:$R361,"WARNING"))</f>
        <v/>
      </c>
      <c r="U361" s="165" t="str">
        <f>IF($A361="","",IF($S361&gt;0,"ERROR",IF($T361&gt;0,"WARNING","PASS")))</f>
        <v/>
      </c>
    </row>
    <row r="362" spans="1:21" x14ac:dyDescent="0.3">
      <c r="A362" t="str">
        <f>IF(AND('Daily Data'!$A362="",'Daily Data'!$B362=""),"",362)</f>
        <v/>
      </c>
      <c r="B362" s="16" t="str">
        <f>IF($A362="","",'Daily Data'!$A362)</f>
        <v/>
      </c>
      <c r="C362" t="str">
        <f>IF($A362="","",'Daily Data'!$B362)</f>
        <v/>
      </c>
      <c r="D362" s="165" t="str">
        <f>IF($A362="","",IF(COUNTIFS('Daily Data'!$B$4:$B$503,'Daily Data'!$B362,'Daily Data'!$A$4:$A$503,'Daily Data'!$A362)&gt;1,"ERROR","OK"))</f>
        <v/>
      </c>
      <c r="E362" s="165" t="str">
        <f>IF($A362="","",IF('Daily Data'!$B362="","ERROR","OK"))</f>
        <v/>
      </c>
      <c r="F362" s="165" t="str">
        <f>IF($A362="","",IF(NOT(ISNUMBER('Daily Data'!$A362)),"ERROR","OK"))</f>
        <v/>
      </c>
      <c r="G362" s="165" t="str">
        <f>IF($A362="","",IF(OR(N('Daily Data'!$E362)&lt;=0,N('Daily Data'!$C362)&lt;0,N('Daily Data'!$D362)&lt;0,N('Daily Data'!$F362)&lt;0,N('Daily Data'!$G362)&lt;0),"ERROR","OK"))</f>
        <v/>
      </c>
      <c r="H362" s="165" t="str">
        <f>IF($A362="","",IF(N('Daily Data'!$K362)&lt;0,"ERROR","OK"))</f>
        <v/>
      </c>
      <c r="I362" s="165" t="str">
        <f>IF($A362="","",IF(N('Daily Data'!$I362)&lt;0,"ERROR","OK"))</f>
        <v/>
      </c>
      <c r="J362" s="165" t="str">
        <f>IF($A362="","",IF(N('Daily Data'!$L362)&lt;0,"ERROR","OK"))</f>
        <v/>
      </c>
      <c r="K362" s="165" t="str">
        <f>IF($A362="","",IF(N('Daily Data'!$M362)&lt;0,"ERROR","OK"))</f>
        <v/>
      </c>
      <c r="L362" s="165" t="str">
        <f>IF($A362="","",IF(OR(N('Daily Data'!$F362)=0,N('Daily Data'!$G362)=0),"OK",IF(OR(N('Daily Data'!$E362)&gt;N('Daily Data'!$F362),N('Daily Data'!$E362)&lt;N('Daily Data'!$G362)),"ERROR","OK")))</f>
        <v/>
      </c>
      <c r="M362" s="165" t="str">
        <f>IF($A362="","",IF(N('Daily Data'!$AK362)&lt;=1,"OK",IF(ROUND(N('Daily Data'!$D362),2)=ROUND(SUMIFS('Daily Data'!$E$4:$E$503,'Daily Data'!$B$4:$B$503,'Daily Data'!$B362,'Daily Data'!$AK$4:$AK$503,'Daily Data'!$AK362-1),2),"OK","WARNING")))</f>
        <v/>
      </c>
      <c r="N362" s="165" t="str">
        <f>IF($A362="","",IF(N('Daily Data'!$N362)&lt;=0,"WARNING","OK"))</f>
        <v/>
      </c>
      <c r="O362" s="165" t="str">
        <f>IF($A362="","",IF(AND(ISNUMBER('Daily Data'!$H362),ABS(N('Daily Data'!$H362))&gt;Settings!$C$56),"WARNING","OK"))</f>
        <v/>
      </c>
      <c r="P362" s="165" t="str">
        <f>IF($A362="","",IF(OR(AND(N('Daily Data'!$K362)=0,N('Daily Data'!$I362)&gt;0),AND(N('Daily Data'!$I362)=0,N('Daily Data'!$K362)&gt;0),AND(N('Daily Data'!$L362)=0,N('Daily Data'!$M362)=0)),"WARNING","OK"))</f>
        <v/>
      </c>
      <c r="Q362" s="165" t="str">
        <f>IF($A362="","",IF(COUNTIFS('Daily Data'!$B$4:$B$503,'Daily Data'!$B362,'Daily Data'!$A$4:$A$503,'Daily Data'!$A362,'Daily Data'!$Q$4:$Q$503,'Daily Data'!$Q362)&gt;1,"WARNING","OK"))</f>
        <v/>
      </c>
      <c r="R362" s="165" t="str">
        <f>IF($A362="","",IF(AND(N('Daily Data'!$K362)&gt;0,N('Daily Data'!$J362)&lt;=0),"WARNING","OK"))</f>
        <v/>
      </c>
      <c r="S362" s="165" t="str">
        <f>IF($A362="","",COUNTIF($D362:$R362,"ERROR"))</f>
        <v/>
      </c>
      <c r="T362" s="165" t="str">
        <f>IF($A362="","",COUNTIF($D362:$R362,"WARNING"))</f>
        <v/>
      </c>
      <c r="U362" s="165" t="str">
        <f>IF($A362="","",IF($S362&gt;0,"ERROR",IF($T362&gt;0,"WARNING","PASS")))</f>
        <v/>
      </c>
    </row>
    <row r="363" spans="1:21" x14ac:dyDescent="0.3">
      <c r="A363" t="str">
        <f>IF(AND('Daily Data'!$A363="",'Daily Data'!$B363=""),"",363)</f>
        <v/>
      </c>
      <c r="B363" s="16" t="str">
        <f>IF($A363="","",'Daily Data'!$A363)</f>
        <v/>
      </c>
      <c r="C363" t="str">
        <f>IF($A363="","",'Daily Data'!$B363)</f>
        <v/>
      </c>
      <c r="D363" s="165" t="str">
        <f>IF($A363="","",IF(COUNTIFS('Daily Data'!$B$4:$B$503,'Daily Data'!$B363,'Daily Data'!$A$4:$A$503,'Daily Data'!$A363)&gt;1,"ERROR","OK"))</f>
        <v/>
      </c>
      <c r="E363" s="165" t="str">
        <f>IF($A363="","",IF('Daily Data'!$B363="","ERROR","OK"))</f>
        <v/>
      </c>
      <c r="F363" s="165" t="str">
        <f>IF($A363="","",IF(NOT(ISNUMBER('Daily Data'!$A363)),"ERROR","OK"))</f>
        <v/>
      </c>
      <c r="G363" s="165" t="str">
        <f>IF($A363="","",IF(OR(N('Daily Data'!$E363)&lt;=0,N('Daily Data'!$C363)&lt;0,N('Daily Data'!$D363)&lt;0,N('Daily Data'!$F363)&lt;0,N('Daily Data'!$G363)&lt;0),"ERROR","OK"))</f>
        <v/>
      </c>
      <c r="H363" s="165" t="str">
        <f>IF($A363="","",IF(N('Daily Data'!$K363)&lt;0,"ERROR","OK"))</f>
        <v/>
      </c>
      <c r="I363" s="165" t="str">
        <f>IF($A363="","",IF(N('Daily Data'!$I363)&lt;0,"ERROR","OK"))</f>
        <v/>
      </c>
      <c r="J363" s="165" t="str">
        <f>IF($A363="","",IF(N('Daily Data'!$L363)&lt;0,"ERROR","OK"))</f>
        <v/>
      </c>
      <c r="K363" s="165" t="str">
        <f>IF($A363="","",IF(N('Daily Data'!$M363)&lt;0,"ERROR","OK"))</f>
        <v/>
      </c>
      <c r="L363" s="165" t="str">
        <f>IF($A363="","",IF(OR(N('Daily Data'!$F363)=0,N('Daily Data'!$G363)=0),"OK",IF(OR(N('Daily Data'!$E363)&gt;N('Daily Data'!$F363),N('Daily Data'!$E363)&lt;N('Daily Data'!$G363)),"ERROR","OK")))</f>
        <v/>
      </c>
      <c r="M363" s="165" t="str">
        <f>IF($A363="","",IF(N('Daily Data'!$AK363)&lt;=1,"OK",IF(ROUND(N('Daily Data'!$D363),2)=ROUND(SUMIFS('Daily Data'!$E$4:$E$503,'Daily Data'!$B$4:$B$503,'Daily Data'!$B363,'Daily Data'!$AK$4:$AK$503,'Daily Data'!$AK363-1),2),"OK","WARNING")))</f>
        <v/>
      </c>
      <c r="N363" s="165" t="str">
        <f>IF($A363="","",IF(N('Daily Data'!$N363)&lt;=0,"WARNING","OK"))</f>
        <v/>
      </c>
      <c r="O363" s="165" t="str">
        <f>IF($A363="","",IF(AND(ISNUMBER('Daily Data'!$H363),ABS(N('Daily Data'!$H363))&gt;Settings!$C$56),"WARNING","OK"))</f>
        <v/>
      </c>
      <c r="P363" s="165" t="str">
        <f>IF($A363="","",IF(OR(AND(N('Daily Data'!$K363)=0,N('Daily Data'!$I363)&gt;0),AND(N('Daily Data'!$I363)=0,N('Daily Data'!$K363)&gt;0),AND(N('Daily Data'!$L363)=0,N('Daily Data'!$M363)=0)),"WARNING","OK"))</f>
        <v/>
      </c>
      <c r="Q363" s="165" t="str">
        <f>IF($A363="","",IF(COUNTIFS('Daily Data'!$B$4:$B$503,'Daily Data'!$B363,'Daily Data'!$A$4:$A$503,'Daily Data'!$A363,'Daily Data'!$Q$4:$Q$503,'Daily Data'!$Q363)&gt;1,"WARNING","OK"))</f>
        <v/>
      </c>
      <c r="R363" s="165" t="str">
        <f>IF($A363="","",IF(AND(N('Daily Data'!$K363)&gt;0,N('Daily Data'!$J363)&lt;=0),"WARNING","OK"))</f>
        <v/>
      </c>
      <c r="S363" s="165" t="str">
        <f>IF($A363="","",COUNTIF($D363:$R363,"ERROR"))</f>
        <v/>
      </c>
      <c r="T363" s="165" t="str">
        <f>IF($A363="","",COUNTIF($D363:$R363,"WARNING"))</f>
        <v/>
      </c>
      <c r="U363" s="165" t="str">
        <f>IF($A363="","",IF($S363&gt;0,"ERROR",IF($T363&gt;0,"WARNING","PASS")))</f>
        <v/>
      </c>
    </row>
    <row r="364" spans="1:21" x14ac:dyDescent="0.3">
      <c r="A364" t="str">
        <f>IF(AND('Daily Data'!$A364="",'Daily Data'!$B364=""),"",364)</f>
        <v/>
      </c>
      <c r="B364" s="16" t="str">
        <f>IF($A364="","",'Daily Data'!$A364)</f>
        <v/>
      </c>
      <c r="C364" t="str">
        <f>IF($A364="","",'Daily Data'!$B364)</f>
        <v/>
      </c>
      <c r="D364" s="165" t="str">
        <f>IF($A364="","",IF(COUNTIFS('Daily Data'!$B$4:$B$503,'Daily Data'!$B364,'Daily Data'!$A$4:$A$503,'Daily Data'!$A364)&gt;1,"ERROR","OK"))</f>
        <v/>
      </c>
      <c r="E364" s="165" t="str">
        <f>IF($A364="","",IF('Daily Data'!$B364="","ERROR","OK"))</f>
        <v/>
      </c>
      <c r="F364" s="165" t="str">
        <f>IF($A364="","",IF(NOT(ISNUMBER('Daily Data'!$A364)),"ERROR","OK"))</f>
        <v/>
      </c>
      <c r="G364" s="165" t="str">
        <f>IF($A364="","",IF(OR(N('Daily Data'!$E364)&lt;=0,N('Daily Data'!$C364)&lt;0,N('Daily Data'!$D364)&lt;0,N('Daily Data'!$F364)&lt;0,N('Daily Data'!$G364)&lt;0),"ERROR","OK"))</f>
        <v/>
      </c>
      <c r="H364" s="165" t="str">
        <f>IF($A364="","",IF(N('Daily Data'!$K364)&lt;0,"ERROR","OK"))</f>
        <v/>
      </c>
      <c r="I364" s="165" t="str">
        <f>IF($A364="","",IF(N('Daily Data'!$I364)&lt;0,"ERROR","OK"))</f>
        <v/>
      </c>
      <c r="J364" s="165" t="str">
        <f>IF($A364="","",IF(N('Daily Data'!$L364)&lt;0,"ERROR","OK"))</f>
        <v/>
      </c>
      <c r="K364" s="165" t="str">
        <f>IF($A364="","",IF(N('Daily Data'!$M364)&lt;0,"ERROR","OK"))</f>
        <v/>
      </c>
      <c r="L364" s="165" t="str">
        <f>IF($A364="","",IF(OR(N('Daily Data'!$F364)=0,N('Daily Data'!$G364)=0),"OK",IF(OR(N('Daily Data'!$E364)&gt;N('Daily Data'!$F364),N('Daily Data'!$E364)&lt;N('Daily Data'!$G364)),"ERROR","OK")))</f>
        <v/>
      </c>
      <c r="M364" s="165" t="str">
        <f>IF($A364="","",IF(N('Daily Data'!$AK364)&lt;=1,"OK",IF(ROUND(N('Daily Data'!$D364),2)=ROUND(SUMIFS('Daily Data'!$E$4:$E$503,'Daily Data'!$B$4:$B$503,'Daily Data'!$B364,'Daily Data'!$AK$4:$AK$503,'Daily Data'!$AK364-1),2),"OK","WARNING")))</f>
        <v/>
      </c>
      <c r="N364" s="165" t="str">
        <f>IF($A364="","",IF(N('Daily Data'!$N364)&lt;=0,"WARNING","OK"))</f>
        <v/>
      </c>
      <c r="O364" s="165" t="str">
        <f>IF($A364="","",IF(AND(ISNUMBER('Daily Data'!$H364),ABS(N('Daily Data'!$H364))&gt;Settings!$C$56),"WARNING","OK"))</f>
        <v/>
      </c>
      <c r="P364" s="165" t="str">
        <f>IF($A364="","",IF(OR(AND(N('Daily Data'!$K364)=0,N('Daily Data'!$I364)&gt;0),AND(N('Daily Data'!$I364)=0,N('Daily Data'!$K364)&gt;0),AND(N('Daily Data'!$L364)=0,N('Daily Data'!$M364)=0)),"WARNING","OK"))</f>
        <v/>
      </c>
      <c r="Q364" s="165" t="str">
        <f>IF($A364="","",IF(COUNTIFS('Daily Data'!$B$4:$B$503,'Daily Data'!$B364,'Daily Data'!$A$4:$A$503,'Daily Data'!$A364,'Daily Data'!$Q$4:$Q$503,'Daily Data'!$Q364)&gt;1,"WARNING","OK"))</f>
        <v/>
      </c>
      <c r="R364" s="165" t="str">
        <f>IF($A364="","",IF(AND(N('Daily Data'!$K364)&gt;0,N('Daily Data'!$J364)&lt;=0),"WARNING","OK"))</f>
        <v/>
      </c>
      <c r="S364" s="165" t="str">
        <f>IF($A364="","",COUNTIF($D364:$R364,"ERROR"))</f>
        <v/>
      </c>
      <c r="T364" s="165" t="str">
        <f>IF($A364="","",COUNTIF($D364:$R364,"WARNING"))</f>
        <v/>
      </c>
      <c r="U364" s="165" t="str">
        <f>IF($A364="","",IF($S364&gt;0,"ERROR",IF($T364&gt;0,"WARNING","PASS")))</f>
        <v/>
      </c>
    </row>
    <row r="365" spans="1:21" x14ac:dyDescent="0.3">
      <c r="A365" t="str">
        <f>IF(AND('Daily Data'!$A365="",'Daily Data'!$B365=""),"",365)</f>
        <v/>
      </c>
      <c r="B365" s="16" t="str">
        <f>IF($A365="","",'Daily Data'!$A365)</f>
        <v/>
      </c>
      <c r="C365" t="str">
        <f>IF($A365="","",'Daily Data'!$B365)</f>
        <v/>
      </c>
      <c r="D365" s="165" t="str">
        <f>IF($A365="","",IF(COUNTIFS('Daily Data'!$B$4:$B$503,'Daily Data'!$B365,'Daily Data'!$A$4:$A$503,'Daily Data'!$A365)&gt;1,"ERROR","OK"))</f>
        <v/>
      </c>
      <c r="E365" s="165" t="str">
        <f>IF($A365="","",IF('Daily Data'!$B365="","ERROR","OK"))</f>
        <v/>
      </c>
      <c r="F365" s="165" t="str">
        <f>IF($A365="","",IF(NOT(ISNUMBER('Daily Data'!$A365)),"ERROR","OK"))</f>
        <v/>
      </c>
      <c r="G365" s="165" t="str">
        <f>IF($A365="","",IF(OR(N('Daily Data'!$E365)&lt;=0,N('Daily Data'!$C365)&lt;0,N('Daily Data'!$D365)&lt;0,N('Daily Data'!$F365)&lt;0,N('Daily Data'!$G365)&lt;0),"ERROR","OK"))</f>
        <v/>
      </c>
      <c r="H365" s="165" t="str">
        <f>IF($A365="","",IF(N('Daily Data'!$K365)&lt;0,"ERROR","OK"))</f>
        <v/>
      </c>
      <c r="I365" s="165" t="str">
        <f>IF($A365="","",IF(N('Daily Data'!$I365)&lt;0,"ERROR","OK"))</f>
        <v/>
      </c>
      <c r="J365" s="165" t="str">
        <f>IF($A365="","",IF(N('Daily Data'!$L365)&lt;0,"ERROR","OK"))</f>
        <v/>
      </c>
      <c r="K365" s="165" t="str">
        <f>IF($A365="","",IF(N('Daily Data'!$M365)&lt;0,"ERROR","OK"))</f>
        <v/>
      </c>
      <c r="L365" s="165" t="str">
        <f>IF($A365="","",IF(OR(N('Daily Data'!$F365)=0,N('Daily Data'!$G365)=0),"OK",IF(OR(N('Daily Data'!$E365)&gt;N('Daily Data'!$F365),N('Daily Data'!$E365)&lt;N('Daily Data'!$G365)),"ERROR","OK")))</f>
        <v/>
      </c>
      <c r="M365" s="165" t="str">
        <f>IF($A365="","",IF(N('Daily Data'!$AK365)&lt;=1,"OK",IF(ROUND(N('Daily Data'!$D365),2)=ROUND(SUMIFS('Daily Data'!$E$4:$E$503,'Daily Data'!$B$4:$B$503,'Daily Data'!$B365,'Daily Data'!$AK$4:$AK$503,'Daily Data'!$AK365-1),2),"OK","WARNING")))</f>
        <v/>
      </c>
      <c r="N365" s="165" t="str">
        <f>IF($A365="","",IF(N('Daily Data'!$N365)&lt;=0,"WARNING","OK"))</f>
        <v/>
      </c>
      <c r="O365" s="165" t="str">
        <f>IF($A365="","",IF(AND(ISNUMBER('Daily Data'!$H365),ABS(N('Daily Data'!$H365))&gt;Settings!$C$56),"WARNING","OK"))</f>
        <v/>
      </c>
      <c r="P365" s="165" t="str">
        <f>IF($A365="","",IF(OR(AND(N('Daily Data'!$K365)=0,N('Daily Data'!$I365)&gt;0),AND(N('Daily Data'!$I365)=0,N('Daily Data'!$K365)&gt;0),AND(N('Daily Data'!$L365)=0,N('Daily Data'!$M365)=0)),"WARNING","OK"))</f>
        <v/>
      </c>
      <c r="Q365" s="165" t="str">
        <f>IF($A365="","",IF(COUNTIFS('Daily Data'!$B$4:$B$503,'Daily Data'!$B365,'Daily Data'!$A$4:$A$503,'Daily Data'!$A365,'Daily Data'!$Q$4:$Q$503,'Daily Data'!$Q365)&gt;1,"WARNING","OK"))</f>
        <v/>
      </c>
      <c r="R365" s="165" t="str">
        <f>IF($A365="","",IF(AND(N('Daily Data'!$K365)&gt;0,N('Daily Data'!$J365)&lt;=0),"WARNING","OK"))</f>
        <v/>
      </c>
      <c r="S365" s="165" t="str">
        <f>IF($A365="","",COUNTIF($D365:$R365,"ERROR"))</f>
        <v/>
      </c>
      <c r="T365" s="165" t="str">
        <f>IF($A365="","",COUNTIF($D365:$R365,"WARNING"))</f>
        <v/>
      </c>
      <c r="U365" s="165" t="str">
        <f>IF($A365="","",IF($S365&gt;0,"ERROR",IF($T365&gt;0,"WARNING","PASS")))</f>
        <v/>
      </c>
    </row>
    <row r="366" spans="1:21" x14ac:dyDescent="0.3">
      <c r="A366" t="str">
        <f>IF(AND('Daily Data'!$A366="",'Daily Data'!$B366=""),"",366)</f>
        <v/>
      </c>
      <c r="B366" s="16" t="str">
        <f>IF($A366="","",'Daily Data'!$A366)</f>
        <v/>
      </c>
      <c r="C366" t="str">
        <f>IF($A366="","",'Daily Data'!$B366)</f>
        <v/>
      </c>
      <c r="D366" s="165" t="str">
        <f>IF($A366="","",IF(COUNTIFS('Daily Data'!$B$4:$B$503,'Daily Data'!$B366,'Daily Data'!$A$4:$A$503,'Daily Data'!$A366)&gt;1,"ERROR","OK"))</f>
        <v/>
      </c>
      <c r="E366" s="165" t="str">
        <f>IF($A366="","",IF('Daily Data'!$B366="","ERROR","OK"))</f>
        <v/>
      </c>
      <c r="F366" s="165" t="str">
        <f>IF($A366="","",IF(NOT(ISNUMBER('Daily Data'!$A366)),"ERROR","OK"))</f>
        <v/>
      </c>
      <c r="G366" s="165" t="str">
        <f>IF($A366="","",IF(OR(N('Daily Data'!$E366)&lt;=0,N('Daily Data'!$C366)&lt;0,N('Daily Data'!$D366)&lt;0,N('Daily Data'!$F366)&lt;0,N('Daily Data'!$G366)&lt;0),"ERROR","OK"))</f>
        <v/>
      </c>
      <c r="H366" s="165" t="str">
        <f>IF($A366="","",IF(N('Daily Data'!$K366)&lt;0,"ERROR","OK"))</f>
        <v/>
      </c>
      <c r="I366" s="165" t="str">
        <f>IF($A366="","",IF(N('Daily Data'!$I366)&lt;0,"ERROR","OK"))</f>
        <v/>
      </c>
      <c r="J366" s="165" t="str">
        <f>IF($A366="","",IF(N('Daily Data'!$L366)&lt;0,"ERROR","OK"))</f>
        <v/>
      </c>
      <c r="K366" s="165" t="str">
        <f>IF($A366="","",IF(N('Daily Data'!$M366)&lt;0,"ERROR","OK"))</f>
        <v/>
      </c>
      <c r="L366" s="165" t="str">
        <f>IF($A366="","",IF(OR(N('Daily Data'!$F366)=0,N('Daily Data'!$G366)=0),"OK",IF(OR(N('Daily Data'!$E366)&gt;N('Daily Data'!$F366),N('Daily Data'!$E366)&lt;N('Daily Data'!$G366)),"ERROR","OK")))</f>
        <v/>
      </c>
      <c r="M366" s="165" t="str">
        <f>IF($A366="","",IF(N('Daily Data'!$AK366)&lt;=1,"OK",IF(ROUND(N('Daily Data'!$D366),2)=ROUND(SUMIFS('Daily Data'!$E$4:$E$503,'Daily Data'!$B$4:$B$503,'Daily Data'!$B366,'Daily Data'!$AK$4:$AK$503,'Daily Data'!$AK366-1),2),"OK","WARNING")))</f>
        <v/>
      </c>
      <c r="N366" s="165" t="str">
        <f>IF($A366="","",IF(N('Daily Data'!$N366)&lt;=0,"WARNING","OK"))</f>
        <v/>
      </c>
      <c r="O366" s="165" t="str">
        <f>IF($A366="","",IF(AND(ISNUMBER('Daily Data'!$H366),ABS(N('Daily Data'!$H366))&gt;Settings!$C$56),"WARNING","OK"))</f>
        <v/>
      </c>
      <c r="P366" s="165" t="str">
        <f>IF($A366="","",IF(OR(AND(N('Daily Data'!$K366)=0,N('Daily Data'!$I366)&gt;0),AND(N('Daily Data'!$I366)=0,N('Daily Data'!$K366)&gt;0),AND(N('Daily Data'!$L366)=0,N('Daily Data'!$M366)=0)),"WARNING","OK"))</f>
        <v/>
      </c>
      <c r="Q366" s="165" t="str">
        <f>IF($A366="","",IF(COUNTIFS('Daily Data'!$B$4:$B$503,'Daily Data'!$B366,'Daily Data'!$A$4:$A$503,'Daily Data'!$A366,'Daily Data'!$Q$4:$Q$503,'Daily Data'!$Q366)&gt;1,"WARNING","OK"))</f>
        <v/>
      </c>
      <c r="R366" s="165" t="str">
        <f>IF($A366="","",IF(AND(N('Daily Data'!$K366)&gt;0,N('Daily Data'!$J366)&lt;=0),"WARNING","OK"))</f>
        <v/>
      </c>
      <c r="S366" s="165" t="str">
        <f>IF($A366="","",COUNTIF($D366:$R366,"ERROR"))</f>
        <v/>
      </c>
      <c r="T366" s="165" t="str">
        <f>IF($A366="","",COUNTIF($D366:$R366,"WARNING"))</f>
        <v/>
      </c>
      <c r="U366" s="165" t="str">
        <f>IF($A366="","",IF($S366&gt;0,"ERROR",IF($T366&gt;0,"WARNING","PASS")))</f>
        <v/>
      </c>
    </row>
    <row r="367" spans="1:21" x14ac:dyDescent="0.3">
      <c r="A367" t="str">
        <f>IF(AND('Daily Data'!$A367="",'Daily Data'!$B367=""),"",367)</f>
        <v/>
      </c>
      <c r="B367" s="16" t="str">
        <f>IF($A367="","",'Daily Data'!$A367)</f>
        <v/>
      </c>
      <c r="C367" t="str">
        <f>IF($A367="","",'Daily Data'!$B367)</f>
        <v/>
      </c>
      <c r="D367" s="165" t="str">
        <f>IF($A367="","",IF(COUNTIFS('Daily Data'!$B$4:$B$503,'Daily Data'!$B367,'Daily Data'!$A$4:$A$503,'Daily Data'!$A367)&gt;1,"ERROR","OK"))</f>
        <v/>
      </c>
      <c r="E367" s="165" t="str">
        <f>IF($A367="","",IF('Daily Data'!$B367="","ERROR","OK"))</f>
        <v/>
      </c>
      <c r="F367" s="165" t="str">
        <f>IF($A367="","",IF(NOT(ISNUMBER('Daily Data'!$A367)),"ERROR","OK"))</f>
        <v/>
      </c>
      <c r="G367" s="165" t="str">
        <f>IF($A367="","",IF(OR(N('Daily Data'!$E367)&lt;=0,N('Daily Data'!$C367)&lt;0,N('Daily Data'!$D367)&lt;0,N('Daily Data'!$F367)&lt;0,N('Daily Data'!$G367)&lt;0),"ERROR","OK"))</f>
        <v/>
      </c>
      <c r="H367" s="165" t="str">
        <f>IF($A367="","",IF(N('Daily Data'!$K367)&lt;0,"ERROR","OK"))</f>
        <v/>
      </c>
      <c r="I367" s="165" t="str">
        <f>IF($A367="","",IF(N('Daily Data'!$I367)&lt;0,"ERROR","OK"))</f>
        <v/>
      </c>
      <c r="J367" s="165" t="str">
        <f>IF($A367="","",IF(N('Daily Data'!$L367)&lt;0,"ERROR","OK"))</f>
        <v/>
      </c>
      <c r="K367" s="165" t="str">
        <f>IF($A367="","",IF(N('Daily Data'!$M367)&lt;0,"ERROR","OK"))</f>
        <v/>
      </c>
      <c r="L367" s="165" t="str">
        <f>IF($A367="","",IF(OR(N('Daily Data'!$F367)=0,N('Daily Data'!$G367)=0),"OK",IF(OR(N('Daily Data'!$E367)&gt;N('Daily Data'!$F367),N('Daily Data'!$E367)&lt;N('Daily Data'!$G367)),"ERROR","OK")))</f>
        <v/>
      </c>
      <c r="M367" s="165" t="str">
        <f>IF($A367="","",IF(N('Daily Data'!$AK367)&lt;=1,"OK",IF(ROUND(N('Daily Data'!$D367),2)=ROUND(SUMIFS('Daily Data'!$E$4:$E$503,'Daily Data'!$B$4:$B$503,'Daily Data'!$B367,'Daily Data'!$AK$4:$AK$503,'Daily Data'!$AK367-1),2),"OK","WARNING")))</f>
        <v/>
      </c>
      <c r="N367" s="165" t="str">
        <f>IF($A367="","",IF(N('Daily Data'!$N367)&lt;=0,"WARNING","OK"))</f>
        <v/>
      </c>
      <c r="O367" s="165" t="str">
        <f>IF($A367="","",IF(AND(ISNUMBER('Daily Data'!$H367),ABS(N('Daily Data'!$H367))&gt;Settings!$C$56),"WARNING","OK"))</f>
        <v/>
      </c>
      <c r="P367" s="165" t="str">
        <f>IF($A367="","",IF(OR(AND(N('Daily Data'!$K367)=0,N('Daily Data'!$I367)&gt;0),AND(N('Daily Data'!$I367)=0,N('Daily Data'!$K367)&gt;0),AND(N('Daily Data'!$L367)=0,N('Daily Data'!$M367)=0)),"WARNING","OK"))</f>
        <v/>
      </c>
      <c r="Q367" s="165" t="str">
        <f>IF($A367="","",IF(COUNTIFS('Daily Data'!$B$4:$B$503,'Daily Data'!$B367,'Daily Data'!$A$4:$A$503,'Daily Data'!$A367,'Daily Data'!$Q$4:$Q$503,'Daily Data'!$Q367)&gt;1,"WARNING","OK"))</f>
        <v/>
      </c>
      <c r="R367" s="165" t="str">
        <f>IF($A367="","",IF(AND(N('Daily Data'!$K367)&gt;0,N('Daily Data'!$J367)&lt;=0),"WARNING","OK"))</f>
        <v/>
      </c>
      <c r="S367" s="165" t="str">
        <f>IF($A367="","",COUNTIF($D367:$R367,"ERROR"))</f>
        <v/>
      </c>
      <c r="T367" s="165" t="str">
        <f>IF($A367="","",COUNTIF($D367:$R367,"WARNING"))</f>
        <v/>
      </c>
      <c r="U367" s="165" t="str">
        <f>IF($A367="","",IF($S367&gt;0,"ERROR",IF($T367&gt;0,"WARNING","PASS")))</f>
        <v/>
      </c>
    </row>
    <row r="368" spans="1:21" x14ac:dyDescent="0.3">
      <c r="A368" t="str">
        <f>IF(AND('Daily Data'!$A368="",'Daily Data'!$B368=""),"",368)</f>
        <v/>
      </c>
      <c r="B368" s="16" t="str">
        <f>IF($A368="","",'Daily Data'!$A368)</f>
        <v/>
      </c>
      <c r="C368" t="str">
        <f>IF($A368="","",'Daily Data'!$B368)</f>
        <v/>
      </c>
      <c r="D368" s="165" t="str">
        <f>IF($A368="","",IF(COUNTIFS('Daily Data'!$B$4:$B$503,'Daily Data'!$B368,'Daily Data'!$A$4:$A$503,'Daily Data'!$A368)&gt;1,"ERROR","OK"))</f>
        <v/>
      </c>
      <c r="E368" s="165" t="str">
        <f>IF($A368="","",IF('Daily Data'!$B368="","ERROR","OK"))</f>
        <v/>
      </c>
      <c r="F368" s="165" t="str">
        <f>IF($A368="","",IF(NOT(ISNUMBER('Daily Data'!$A368)),"ERROR","OK"))</f>
        <v/>
      </c>
      <c r="G368" s="165" t="str">
        <f>IF($A368="","",IF(OR(N('Daily Data'!$E368)&lt;=0,N('Daily Data'!$C368)&lt;0,N('Daily Data'!$D368)&lt;0,N('Daily Data'!$F368)&lt;0,N('Daily Data'!$G368)&lt;0),"ERROR","OK"))</f>
        <v/>
      </c>
      <c r="H368" s="165" t="str">
        <f>IF($A368="","",IF(N('Daily Data'!$K368)&lt;0,"ERROR","OK"))</f>
        <v/>
      </c>
      <c r="I368" s="165" t="str">
        <f>IF($A368="","",IF(N('Daily Data'!$I368)&lt;0,"ERROR","OK"))</f>
        <v/>
      </c>
      <c r="J368" s="165" t="str">
        <f>IF($A368="","",IF(N('Daily Data'!$L368)&lt;0,"ERROR","OK"))</f>
        <v/>
      </c>
      <c r="K368" s="165" t="str">
        <f>IF($A368="","",IF(N('Daily Data'!$M368)&lt;0,"ERROR","OK"))</f>
        <v/>
      </c>
      <c r="L368" s="165" t="str">
        <f>IF($A368="","",IF(OR(N('Daily Data'!$F368)=0,N('Daily Data'!$G368)=0),"OK",IF(OR(N('Daily Data'!$E368)&gt;N('Daily Data'!$F368),N('Daily Data'!$E368)&lt;N('Daily Data'!$G368)),"ERROR","OK")))</f>
        <v/>
      </c>
      <c r="M368" s="165" t="str">
        <f>IF($A368="","",IF(N('Daily Data'!$AK368)&lt;=1,"OK",IF(ROUND(N('Daily Data'!$D368),2)=ROUND(SUMIFS('Daily Data'!$E$4:$E$503,'Daily Data'!$B$4:$B$503,'Daily Data'!$B368,'Daily Data'!$AK$4:$AK$503,'Daily Data'!$AK368-1),2),"OK","WARNING")))</f>
        <v/>
      </c>
      <c r="N368" s="165" t="str">
        <f>IF($A368="","",IF(N('Daily Data'!$N368)&lt;=0,"WARNING","OK"))</f>
        <v/>
      </c>
      <c r="O368" s="165" t="str">
        <f>IF($A368="","",IF(AND(ISNUMBER('Daily Data'!$H368),ABS(N('Daily Data'!$H368))&gt;Settings!$C$56),"WARNING","OK"))</f>
        <v/>
      </c>
      <c r="P368" s="165" t="str">
        <f>IF($A368="","",IF(OR(AND(N('Daily Data'!$K368)=0,N('Daily Data'!$I368)&gt;0),AND(N('Daily Data'!$I368)=0,N('Daily Data'!$K368)&gt;0),AND(N('Daily Data'!$L368)=0,N('Daily Data'!$M368)=0)),"WARNING","OK"))</f>
        <v/>
      </c>
      <c r="Q368" s="165" t="str">
        <f>IF($A368="","",IF(COUNTIFS('Daily Data'!$B$4:$B$503,'Daily Data'!$B368,'Daily Data'!$A$4:$A$503,'Daily Data'!$A368,'Daily Data'!$Q$4:$Q$503,'Daily Data'!$Q368)&gt;1,"WARNING","OK"))</f>
        <v/>
      </c>
      <c r="R368" s="165" t="str">
        <f>IF($A368="","",IF(AND(N('Daily Data'!$K368)&gt;0,N('Daily Data'!$J368)&lt;=0),"WARNING","OK"))</f>
        <v/>
      </c>
      <c r="S368" s="165" t="str">
        <f>IF($A368="","",COUNTIF($D368:$R368,"ERROR"))</f>
        <v/>
      </c>
      <c r="T368" s="165" t="str">
        <f>IF($A368="","",COUNTIF($D368:$R368,"WARNING"))</f>
        <v/>
      </c>
      <c r="U368" s="165" t="str">
        <f>IF($A368="","",IF($S368&gt;0,"ERROR",IF($T368&gt;0,"WARNING","PASS")))</f>
        <v/>
      </c>
    </row>
    <row r="369" spans="1:21" x14ac:dyDescent="0.3">
      <c r="A369" t="str">
        <f>IF(AND('Daily Data'!$A369="",'Daily Data'!$B369=""),"",369)</f>
        <v/>
      </c>
      <c r="B369" s="16" t="str">
        <f>IF($A369="","",'Daily Data'!$A369)</f>
        <v/>
      </c>
      <c r="C369" t="str">
        <f>IF($A369="","",'Daily Data'!$B369)</f>
        <v/>
      </c>
      <c r="D369" s="165" t="str">
        <f>IF($A369="","",IF(COUNTIFS('Daily Data'!$B$4:$B$503,'Daily Data'!$B369,'Daily Data'!$A$4:$A$503,'Daily Data'!$A369)&gt;1,"ERROR","OK"))</f>
        <v/>
      </c>
      <c r="E369" s="165" t="str">
        <f>IF($A369="","",IF('Daily Data'!$B369="","ERROR","OK"))</f>
        <v/>
      </c>
      <c r="F369" s="165" t="str">
        <f>IF($A369="","",IF(NOT(ISNUMBER('Daily Data'!$A369)),"ERROR","OK"))</f>
        <v/>
      </c>
      <c r="G369" s="165" t="str">
        <f>IF($A369="","",IF(OR(N('Daily Data'!$E369)&lt;=0,N('Daily Data'!$C369)&lt;0,N('Daily Data'!$D369)&lt;0,N('Daily Data'!$F369)&lt;0,N('Daily Data'!$G369)&lt;0),"ERROR","OK"))</f>
        <v/>
      </c>
      <c r="H369" s="165" t="str">
        <f>IF($A369="","",IF(N('Daily Data'!$K369)&lt;0,"ERROR","OK"))</f>
        <v/>
      </c>
      <c r="I369" s="165" t="str">
        <f>IF($A369="","",IF(N('Daily Data'!$I369)&lt;0,"ERROR","OK"))</f>
        <v/>
      </c>
      <c r="J369" s="165" t="str">
        <f>IF($A369="","",IF(N('Daily Data'!$L369)&lt;0,"ERROR","OK"))</f>
        <v/>
      </c>
      <c r="K369" s="165" t="str">
        <f>IF($A369="","",IF(N('Daily Data'!$M369)&lt;0,"ERROR","OK"))</f>
        <v/>
      </c>
      <c r="L369" s="165" t="str">
        <f>IF($A369="","",IF(OR(N('Daily Data'!$F369)=0,N('Daily Data'!$G369)=0),"OK",IF(OR(N('Daily Data'!$E369)&gt;N('Daily Data'!$F369),N('Daily Data'!$E369)&lt;N('Daily Data'!$G369)),"ERROR","OK")))</f>
        <v/>
      </c>
      <c r="M369" s="165" t="str">
        <f>IF($A369="","",IF(N('Daily Data'!$AK369)&lt;=1,"OK",IF(ROUND(N('Daily Data'!$D369),2)=ROUND(SUMIFS('Daily Data'!$E$4:$E$503,'Daily Data'!$B$4:$B$503,'Daily Data'!$B369,'Daily Data'!$AK$4:$AK$503,'Daily Data'!$AK369-1),2),"OK","WARNING")))</f>
        <v/>
      </c>
      <c r="N369" s="165" t="str">
        <f>IF($A369="","",IF(N('Daily Data'!$N369)&lt;=0,"WARNING","OK"))</f>
        <v/>
      </c>
      <c r="O369" s="165" t="str">
        <f>IF($A369="","",IF(AND(ISNUMBER('Daily Data'!$H369),ABS(N('Daily Data'!$H369))&gt;Settings!$C$56),"WARNING","OK"))</f>
        <v/>
      </c>
      <c r="P369" s="165" t="str">
        <f>IF($A369="","",IF(OR(AND(N('Daily Data'!$K369)=0,N('Daily Data'!$I369)&gt;0),AND(N('Daily Data'!$I369)=0,N('Daily Data'!$K369)&gt;0),AND(N('Daily Data'!$L369)=0,N('Daily Data'!$M369)=0)),"WARNING","OK"))</f>
        <v/>
      </c>
      <c r="Q369" s="165" t="str">
        <f>IF($A369="","",IF(COUNTIFS('Daily Data'!$B$4:$B$503,'Daily Data'!$B369,'Daily Data'!$A$4:$A$503,'Daily Data'!$A369,'Daily Data'!$Q$4:$Q$503,'Daily Data'!$Q369)&gt;1,"WARNING","OK"))</f>
        <v/>
      </c>
      <c r="R369" s="165" t="str">
        <f>IF($A369="","",IF(AND(N('Daily Data'!$K369)&gt;0,N('Daily Data'!$J369)&lt;=0),"WARNING","OK"))</f>
        <v/>
      </c>
      <c r="S369" s="165" t="str">
        <f>IF($A369="","",COUNTIF($D369:$R369,"ERROR"))</f>
        <v/>
      </c>
      <c r="T369" s="165" t="str">
        <f>IF($A369="","",COUNTIF($D369:$R369,"WARNING"))</f>
        <v/>
      </c>
      <c r="U369" s="165" t="str">
        <f>IF($A369="","",IF($S369&gt;0,"ERROR",IF($T369&gt;0,"WARNING","PASS")))</f>
        <v/>
      </c>
    </row>
    <row r="370" spans="1:21" x14ac:dyDescent="0.3">
      <c r="A370" t="str">
        <f>IF(AND('Daily Data'!$A370="",'Daily Data'!$B370=""),"",370)</f>
        <v/>
      </c>
      <c r="B370" s="16" t="str">
        <f>IF($A370="","",'Daily Data'!$A370)</f>
        <v/>
      </c>
      <c r="C370" t="str">
        <f>IF($A370="","",'Daily Data'!$B370)</f>
        <v/>
      </c>
      <c r="D370" s="165" t="str">
        <f>IF($A370="","",IF(COUNTIFS('Daily Data'!$B$4:$B$503,'Daily Data'!$B370,'Daily Data'!$A$4:$A$503,'Daily Data'!$A370)&gt;1,"ERROR","OK"))</f>
        <v/>
      </c>
      <c r="E370" s="165" t="str">
        <f>IF($A370="","",IF('Daily Data'!$B370="","ERROR","OK"))</f>
        <v/>
      </c>
      <c r="F370" s="165" t="str">
        <f>IF($A370="","",IF(NOT(ISNUMBER('Daily Data'!$A370)),"ERROR","OK"))</f>
        <v/>
      </c>
      <c r="G370" s="165" t="str">
        <f>IF($A370="","",IF(OR(N('Daily Data'!$E370)&lt;=0,N('Daily Data'!$C370)&lt;0,N('Daily Data'!$D370)&lt;0,N('Daily Data'!$F370)&lt;0,N('Daily Data'!$G370)&lt;0),"ERROR","OK"))</f>
        <v/>
      </c>
      <c r="H370" s="165" t="str">
        <f>IF($A370="","",IF(N('Daily Data'!$K370)&lt;0,"ERROR","OK"))</f>
        <v/>
      </c>
      <c r="I370" s="165" t="str">
        <f>IF($A370="","",IF(N('Daily Data'!$I370)&lt;0,"ERROR","OK"))</f>
        <v/>
      </c>
      <c r="J370" s="165" t="str">
        <f>IF($A370="","",IF(N('Daily Data'!$L370)&lt;0,"ERROR","OK"))</f>
        <v/>
      </c>
      <c r="K370" s="165" t="str">
        <f>IF($A370="","",IF(N('Daily Data'!$M370)&lt;0,"ERROR","OK"))</f>
        <v/>
      </c>
      <c r="L370" s="165" t="str">
        <f>IF($A370="","",IF(OR(N('Daily Data'!$F370)=0,N('Daily Data'!$G370)=0),"OK",IF(OR(N('Daily Data'!$E370)&gt;N('Daily Data'!$F370),N('Daily Data'!$E370)&lt;N('Daily Data'!$G370)),"ERROR","OK")))</f>
        <v/>
      </c>
      <c r="M370" s="165" t="str">
        <f>IF($A370="","",IF(N('Daily Data'!$AK370)&lt;=1,"OK",IF(ROUND(N('Daily Data'!$D370),2)=ROUND(SUMIFS('Daily Data'!$E$4:$E$503,'Daily Data'!$B$4:$B$503,'Daily Data'!$B370,'Daily Data'!$AK$4:$AK$503,'Daily Data'!$AK370-1),2),"OK","WARNING")))</f>
        <v/>
      </c>
      <c r="N370" s="165" t="str">
        <f>IF($A370="","",IF(N('Daily Data'!$N370)&lt;=0,"WARNING","OK"))</f>
        <v/>
      </c>
      <c r="O370" s="165" t="str">
        <f>IF($A370="","",IF(AND(ISNUMBER('Daily Data'!$H370),ABS(N('Daily Data'!$H370))&gt;Settings!$C$56),"WARNING","OK"))</f>
        <v/>
      </c>
      <c r="P370" s="165" t="str">
        <f>IF($A370="","",IF(OR(AND(N('Daily Data'!$K370)=0,N('Daily Data'!$I370)&gt;0),AND(N('Daily Data'!$I370)=0,N('Daily Data'!$K370)&gt;0),AND(N('Daily Data'!$L370)=0,N('Daily Data'!$M370)=0)),"WARNING","OK"))</f>
        <v/>
      </c>
      <c r="Q370" s="165" t="str">
        <f>IF($A370="","",IF(COUNTIFS('Daily Data'!$B$4:$B$503,'Daily Data'!$B370,'Daily Data'!$A$4:$A$503,'Daily Data'!$A370,'Daily Data'!$Q$4:$Q$503,'Daily Data'!$Q370)&gt;1,"WARNING","OK"))</f>
        <v/>
      </c>
      <c r="R370" s="165" t="str">
        <f>IF($A370="","",IF(AND(N('Daily Data'!$K370)&gt;0,N('Daily Data'!$J370)&lt;=0),"WARNING","OK"))</f>
        <v/>
      </c>
      <c r="S370" s="165" t="str">
        <f>IF($A370="","",COUNTIF($D370:$R370,"ERROR"))</f>
        <v/>
      </c>
      <c r="T370" s="165" t="str">
        <f>IF($A370="","",COUNTIF($D370:$R370,"WARNING"))</f>
        <v/>
      </c>
      <c r="U370" s="165" t="str">
        <f>IF($A370="","",IF($S370&gt;0,"ERROR",IF($T370&gt;0,"WARNING","PASS")))</f>
        <v/>
      </c>
    </row>
    <row r="371" spans="1:21" x14ac:dyDescent="0.3">
      <c r="A371" t="str">
        <f>IF(AND('Daily Data'!$A371="",'Daily Data'!$B371=""),"",371)</f>
        <v/>
      </c>
      <c r="B371" s="16" t="str">
        <f>IF($A371="","",'Daily Data'!$A371)</f>
        <v/>
      </c>
      <c r="C371" t="str">
        <f>IF($A371="","",'Daily Data'!$B371)</f>
        <v/>
      </c>
      <c r="D371" s="165" t="str">
        <f>IF($A371="","",IF(COUNTIFS('Daily Data'!$B$4:$B$503,'Daily Data'!$B371,'Daily Data'!$A$4:$A$503,'Daily Data'!$A371)&gt;1,"ERROR","OK"))</f>
        <v/>
      </c>
      <c r="E371" s="165" t="str">
        <f>IF($A371="","",IF('Daily Data'!$B371="","ERROR","OK"))</f>
        <v/>
      </c>
      <c r="F371" s="165" t="str">
        <f>IF($A371="","",IF(NOT(ISNUMBER('Daily Data'!$A371)),"ERROR","OK"))</f>
        <v/>
      </c>
      <c r="G371" s="165" t="str">
        <f>IF($A371="","",IF(OR(N('Daily Data'!$E371)&lt;=0,N('Daily Data'!$C371)&lt;0,N('Daily Data'!$D371)&lt;0,N('Daily Data'!$F371)&lt;0,N('Daily Data'!$G371)&lt;0),"ERROR","OK"))</f>
        <v/>
      </c>
      <c r="H371" s="165" t="str">
        <f>IF($A371="","",IF(N('Daily Data'!$K371)&lt;0,"ERROR","OK"))</f>
        <v/>
      </c>
      <c r="I371" s="165" t="str">
        <f>IF($A371="","",IF(N('Daily Data'!$I371)&lt;0,"ERROR","OK"))</f>
        <v/>
      </c>
      <c r="J371" s="165" t="str">
        <f>IF($A371="","",IF(N('Daily Data'!$L371)&lt;0,"ERROR","OK"))</f>
        <v/>
      </c>
      <c r="K371" s="165" t="str">
        <f>IF($A371="","",IF(N('Daily Data'!$M371)&lt;0,"ERROR","OK"))</f>
        <v/>
      </c>
      <c r="L371" s="165" t="str">
        <f>IF($A371="","",IF(OR(N('Daily Data'!$F371)=0,N('Daily Data'!$G371)=0),"OK",IF(OR(N('Daily Data'!$E371)&gt;N('Daily Data'!$F371),N('Daily Data'!$E371)&lt;N('Daily Data'!$G371)),"ERROR","OK")))</f>
        <v/>
      </c>
      <c r="M371" s="165" t="str">
        <f>IF($A371="","",IF(N('Daily Data'!$AK371)&lt;=1,"OK",IF(ROUND(N('Daily Data'!$D371),2)=ROUND(SUMIFS('Daily Data'!$E$4:$E$503,'Daily Data'!$B$4:$B$503,'Daily Data'!$B371,'Daily Data'!$AK$4:$AK$503,'Daily Data'!$AK371-1),2),"OK","WARNING")))</f>
        <v/>
      </c>
      <c r="N371" s="165" t="str">
        <f>IF($A371="","",IF(N('Daily Data'!$N371)&lt;=0,"WARNING","OK"))</f>
        <v/>
      </c>
      <c r="O371" s="165" t="str">
        <f>IF($A371="","",IF(AND(ISNUMBER('Daily Data'!$H371),ABS(N('Daily Data'!$H371))&gt;Settings!$C$56),"WARNING","OK"))</f>
        <v/>
      </c>
      <c r="P371" s="165" t="str">
        <f>IF($A371="","",IF(OR(AND(N('Daily Data'!$K371)=0,N('Daily Data'!$I371)&gt;0),AND(N('Daily Data'!$I371)=0,N('Daily Data'!$K371)&gt;0),AND(N('Daily Data'!$L371)=0,N('Daily Data'!$M371)=0)),"WARNING","OK"))</f>
        <v/>
      </c>
      <c r="Q371" s="165" t="str">
        <f>IF($A371="","",IF(COUNTIFS('Daily Data'!$B$4:$B$503,'Daily Data'!$B371,'Daily Data'!$A$4:$A$503,'Daily Data'!$A371,'Daily Data'!$Q$4:$Q$503,'Daily Data'!$Q371)&gt;1,"WARNING","OK"))</f>
        <v/>
      </c>
      <c r="R371" s="165" t="str">
        <f>IF($A371="","",IF(AND(N('Daily Data'!$K371)&gt;0,N('Daily Data'!$J371)&lt;=0),"WARNING","OK"))</f>
        <v/>
      </c>
      <c r="S371" s="165" t="str">
        <f>IF($A371="","",COUNTIF($D371:$R371,"ERROR"))</f>
        <v/>
      </c>
      <c r="T371" s="165" t="str">
        <f>IF($A371="","",COUNTIF($D371:$R371,"WARNING"))</f>
        <v/>
      </c>
      <c r="U371" s="165" t="str">
        <f>IF($A371="","",IF($S371&gt;0,"ERROR",IF($T371&gt;0,"WARNING","PASS")))</f>
        <v/>
      </c>
    </row>
    <row r="372" spans="1:21" x14ac:dyDescent="0.3">
      <c r="A372" t="str">
        <f>IF(AND('Daily Data'!$A372="",'Daily Data'!$B372=""),"",372)</f>
        <v/>
      </c>
      <c r="B372" s="16" t="str">
        <f>IF($A372="","",'Daily Data'!$A372)</f>
        <v/>
      </c>
      <c r="C372" t="str">
        <f>IF($A372="","",'Daily Data'!$B372)</f>
        <v/>
      </c>
      <c r="D372" s="165" t="str">
        <f>IF($A372="","",IF(COUNTIFS('Daily Data'!$B$4:$B$503,'Daily Data'!$B372,'Daily Data'!$A$4:$A$503,'Daily Data'!$A372)&gt;1,"ERROR","OK"))</f>
        <v/>
      </c>
      <c r="E372" s="165" t="str">
        <f>IF($A372="","",IF('Daily Data'!$B372="","ERROR","OK"))</f>
        <v/>
      </c>
      <c r="F372" s="165" t="str">
        <f>IF($A372="","",IF(NOT(ISNUMBER('Daily Data'!$A372)),"ERROR","OK"))</f>
        <v/>
      </c>
      <c r="G372" s="165" t="str">
        <f>IF($A372="","",IF(OR(N('Daily Data'!$E372)&lt;=0,N('Daily Data'!$C372)&lt;0,N('Daily Data'!$D372)&lt;0,N('Daily Data'!$F372)&lt;0,N('Daily Data'!$G372)&lt;0),"ERROR","OK"))</f>
        <v/>
      </c>
      <c r="H372" s="165" t="str">
        <f>IF($A372="","",IF(N('Daily Data'!$K372)&lt;0,"ERROR","OK"))</f>
        <v/>
      </c>
      <c r="I372" s="165" t="str">
        <f>IF($A372="","",IF(N('Daily Data'!$I372)&lt;0,"ERROR","OK"))</f>
        <v/>
      </c>
      <c r="J372" s="165" t="str">
        <f>IF($A372="","",IF(N('Daily Data'!$L372)&lt;0,"ERROR","OK"))</f>
        <v/>
      </c>
      <c r="K372" s="165" t="str">
        <f>IF($A372="","",IF(N('Daily Data'!$M372)&lt;0,"ERROR","OK"))</f>
        <v/>
      </c>
      <c r="L372" s="165" t="str">
        <f>IF($A372="","",IF(OR(N('Daily Data'!$F372)=0,N('Daily Data'!$G372)=0),"OK",IF(OR(N('Daily Data'!$E372)&gt;N('Daily Data'!$F372),N('Daily Data'!$E372)&lt;N('Daily Data'!$G372)),"ERROR","OK")))</f>
        <v/>
      </c>
      <c r="M372" s="165" t="str">
        <f>IF($A372="","",IF(N('Daily Data'!$AK372)&lt;=1,"OK",IF(ROUND(N('Daily Data'!$D372),2)=ROUND(SUMIFS('Daily Data'!$E$4:$E$503,'Daily Data'!$B$4:$B$503,'Daily Data'!$B372,'Daily Data'!$AK$4:$AK$503,'Daily Data'!$AK372-1),2),"OK","WARNING")))</f>
        <v/>
      </c>
      <c r="N372" s="165" t="str">
        <f>IF($A372="","",IF(N('Daily Data'!$N372)&lt;=0,"WARNING","OK"))</f>
        <v/>
      </c>
      <c r="O372" s="165" t="str">
        <f>IF($A372="","",IF(AND(ISNUMBER('Daily Data'!$H372),ABS(N('Daily Data'!$H372))&gt;Settings!$C$56),"WARNING","OK"))</f>
        <v/>
      </c>
      <c r="P372" s="165" t="str">
        <f>IF($A372="","",IF(OR(AND(N('Daily Data'!$K372)=0,N('Daily Data'!$I372)&gt;0),AND(N('Daily Data'!$I372)=0,N('Daily Data'!$K372)&gt;0),AND(N('Daily Data'!$L372)=0,N('Daily Data'!$M372)=0)),"WARNING","OK"))</f>
        <v/>
      </c>
      <c r="Q372" s="165" t="str">
        <f>IF($A372="","",IF(COUNTIFS('Daily Data'!$B$4:$B$503,'Daily Data'!$B372,'Daily Data'!$A$4:$A$503,'Daily Data'!$A372,'Daily Data'!$Q$4:$Q$503,'Daily Data'!$Q372)&gt;1,"WARNING","OK"))</f>
        <v/>
      </c>
      <c r="R372" s="165" t="str">
        <f>IF($A372="","",IF(AND(N('Daily Data'!$K372)&gt;0,N('Daily Data'!$J372)&lt;=0),"WARNING","OK"))</f>
        <v/>
      </c>
      <c r="S372" s="165" t="str">
        <f>IF($A372="","",COUNTIF($D372:$R372,"ERROR"))</f>
        <v/>
      </c>
      <c r="T372" s="165" t="str">
        <f>IF($A372="","",COUNTIF($D372:$R372,"WARNING"))</f>
        <v/>
      </c>
      <c r="U372" s="165" t="str">
        <f>IF($A372="","",IF($S372&gt;0,"ERROR",IF($T372&gt;0,"WARNING","PASS")))</f>
        <v/>
      </c>
    </row>
    <row r="373" spans="1:21" x14ac:dyDescent="0.3">
      <c r="A373" t="str">
        <f>IF(AND('Daily Data'!$A373="",'Daily Data'!$B373=""),"",373)</f>
        <v/>
      </c>
      <c r="B373" s="16" t="str">
        <f>IF($A373="","",'Daily Data'!$A373)</f>
        <v/>
      </c>
      <c r="C373" t="str">
        <f>IF($A373="","",'Daily Data'!$B373)</f>
        <v/>
      </c>
      <c r="D373" s="165" t="str">
        <f>IF($A373="","",IF(COUNTIFS('Daily Data'!$B$4:$B$503,'Daily Data'!$B373,'Daily Data'!$A$4:$A$503,'Daily Data'!$A373)&gt;1,"ERROR","OK"))</f>
        <v/>
      </c>
      <c r="E373" s="165" t="str">
        <f>IF($A373="","",IF('Daily Data'!$B373="","ERROR","OK"))</f>
        <v/>
      </c>
      <c r="F373" s="165" t="str">
        <f>IF($A373="","",IF(NOT(ISNUMBER('Daily Data'!$A373)),"ERROR","OK"))</f>
        <v/>
      </c>
      <c r="G373" s="165" t="str">
        <f>IF($A373="","",IF(OR(N('Daily Data'!$E373)&lt;=0,N('Daily Data'!$C373)&lt;0,N('Daily Data'!$D373)&lt;0,N('Daily Data'!$F373)&lt;0,N('Daily Data'!$G373)&lt;0),"ERROR","OK"))</f>
        <v/>
      </c>
      <c r="H373" s="165" t="str">
        <f>IF($A373="","",IF(N('Daily Data'!$K373)&lt;0,"ERROR","OK"))</f>
        <v/>
      </c>
      <c r="I373" s="165" t="str">
        <f>IF($A373="","",IF(N('Daily Data'!$I373)&lt;0,"ERROR","OK"))</f>
        <v/>
      </c>
      <c r="J373" s="165" t="str">
        <f>IF($A373="","",IF(N('Daily Data'!$L373)&lt;0,"ERROR","OK"))</f>
        <v/>
      </c>
      <c r="K373" s="165" t="str">
        <f>IF($A373="","",IF(N('Daily Data'!$M373)&lt;0,"ERROR","OK"))</f>
        <v/>
      </c>
      <c r="L373" s="165" t="str">
        <f>IF($A373="","",IF(OR(N('Daily Data'!$F373)=0,N('Daily Data'!$G373)=0),"OK",IF(OR(N('Daily Data'!$E373)&gt;N('Daily Data'!$F373),N('Daily Data'!$E373)&lt;N('Daily Data'!$G373)),"ERROR","OK")))</f>
        <v/>
      </c>
      <c r="M373" s="165" t="str">
        <f>IF($A373="","",IF(N('Daily Data'!$AK373)&lt;=1,"OK",IF(ROUND(N('Daily Data'!$D373),2)=ROUND(SUMIFS('Daily Data'!$E$4:$E$503,'Daily Data'!$B$4:$B$503,'Daily Data'!$B373,'Daily Data'!$AK$4:$AK$503,'Daily Data'!$AK373-1),2),"OK","WARNING")))</f>
        <v/>
      </c>
      <c r="N373" s="165" t="str">
        <f>IF($A373="","",IF(N('Daily Data'!$N373)&lt;=0,"WARNING","OK"))</f>
        <v/>
      </c>
      <c r="O373" s="165" t="str">
        <f>IF($A373="","",IF(AND(ISNUMBER('Daily Data'!$H373),ABS(N('Daily Data'!$H373))&gt;Settings!$C$56),"WARNING","OK"))</f>
        <v/>
      </c>
      <c r="P373" s="165" t="str">
        <f>IF($A373="","",IF(OR(AND(N('Daily Data'!$K373)=0,N('Daily Data'!$I373)&gt;0),AND(N('Daily Data'!$I373)=0,N('Daily Data'!$K373)&gt;0),AND(N('Daily Data'!$L373)=0,N('Daily Data'!$M373)=0)),"WARNING","OK"))</f>
        <v/>
      </c>
      <c r="Q373" s="165" t="str">
        <f>IF($A373="","",IF(COUNTIFS('Daily Data'!$B$4:$B$503,'Daily Data'!$B373,'Daily Data'!$A$4:$A$503,'Daily Data'!$A373,'Daily Data'!$Q$4:$Q$503,'Daily Data'!$Q373)&gt;1,"WARNING","OK"))</f>
        <v/>
      </c>
      <c r="R373" s="165" t="str">
        <f>IF($A373="","",IF(AND(N('Daily Data'!$K373)&gt;0,N('Daily Data'!$J373)&lt;=0),"WARNING","OK"))</f>
        <v/>
      </c>
      <c r="S373" s="165" t="str">
        <f>IF($A373="","",COUNTIF($D373:$R373,"ERROR"))</f>
        <v/>
      </c>
      <c r="T373" s="165" t="str">
        <f>IF($A373="","",COUNTIF($D373:$R373,"WARNING"))</f>
        <v/>
      </c>
      <c r="U373" s="165" t="str">
        <f>IF($A373="","",IF($S373&gt;0,"ERROR",IF($T373&gt;0,"WARNING","PASS")))</f>
        <v/>
      </c>
    </row>
    <row r="374" spans="1:21" x14ac:dyDescent="0.3">
      <c r="A374" t="str">
        <f>IF(AND('Daily Data'!$A374="",'Daily Data'!$B374=""),"",374)</f>
        <v/>
      </c>
      <c r="B374" s="16" t="str">
        <f>IF($A374="","",'Daily Data'!$A374)</f>
        <v/>
      </c>
      <c r="C374" t="str">
        <f>IF($A374="","",'Daily Data'!$B374)</f>
        <v/>
      </c>
      <c r="D374" s="165" t="str">
        <f>IF($A374="","",IF(COUNTIFS('Daily Data'!$B$4:$B$503,'Daily Data'!$B374,'Daily Data'!$A$4:$A$503,'Daily Data'!$A374)&gt;1,"ERROR","OK"))</f>
        <v/>
      </c>
      <c r="E374" s="165" t="str">
        <f>IF($A374="","",IF('Daily Data'!$B374="","ERROR","OK"))</f>
        <v/>
      </c>
      <c r="F374" s="165" t="str">
        <f>IF($A374="","",IF(NOT(ISNUMBER('Daily Data'!$A374)),"ERROR","OK"))</f>
        <v/>
      </c>
      <c r="G374" s="165" t="str">
        <f>IF($A374="","",IF(OR(N('Daily Data'!$E374)&lt;=0,N('Daily Data'!$C374)&lt;0,N('Daily Data'!$D374)&lt;0,N('Daily Data'!$F374)&lt;0,N('Daily Data'!$G374)&lt;0),"ERROR","OK"))</f>
        <v/>
      </c>
      <c r="H374" s="165" t="str">
        <f>IF($A374="","",IF(N('Daily Data'!$K374)&lt;0,"ERROR","OK"))</f>
        <v/>
      </c>
      <c r="I374" s="165" t="str">
        <f>IF($A374="","",IF(N('Daily Data'!$I374)&lt;0,"ERROR","OK"))</f>
        <v/>
      </c>
      <c r="J374" s="165" t="str">
        <f>IF($A374="","",IF(N('Daily Data'!$L374)&lt;0,"ERROR","OK"))</f>
        <v/>
      </c>
      <c r="K374" s="165" t="str">
        <f>IF($A374="","",IF(N('Daily Data'!$M374)&lt;0,"ERROR","OK"))</f>
        <v/>
      </c>
      <c r="L374" s="165" t="str">
        <f>IF($A374="","",IF(OR(N('Daily Data'!$F374)=0,N('Daily Data'!$G374)=0),"OK",IF(OR(N('Daily Data'!$E374)&gt;N('Daily Data'!$F374),N('Daily Data'!$E374)&lt;N('Daily Data'!$G374)),"ERROR","OK")))</f>
        <v/>
      </c>
      <c r="M374" s="165" t="str">
        <f>IF($A374="","",IF(N('Daily Data'!$AK374)&lt;=1,"OK",IF(ROUND(N('Daily Data'!$D374),2)=ROUND(SUMIFS('Daily Data'!$E$4:$E$503,'Daily Data'!$B$4:$B$503,'Daily Data'!$B374,'Daily Data'!$AK$4:$AK$503,'Daily Data'!$AK374-1),2),"OK","WARNING")))</f>
        <v/>
      </c>
      <c r="N374" s="165" t="str">
        <f>IF($A374="","",IF(N('Daily Data'!$N374)&lt;=0,"WARNING","OK"))</f>
        <v/>
      </c>
      <c r="O374" s="165" t="str">
        <f>IF($A374="","",IF(AND(ISNUMBER('Daily Data'!$H374),ABS(N('Daily Data'!$H374))&gt;Settings!$C$56),"WARNING","OK"))</f>
        <v/>
      </c>
      <c r="P374" s="165" t="str">
        <f>IF($A374="","",IF(OR(AND(N('Daily Data'!$K374)=0,N('Daily Data'!$I374)&gt;0),AND(N('Daily Data'!$I374)=0,N('Daily Data'!$K374)&gt;0),AND(N('Daily Data'!$L374)=0,N('Daily Data'!$M374)=0)),"WARNING","OK"))</f>
        <v/>
      </c>
      <c r="Q374" s="165" t="str">
        <f>IF($A374="","",IF(COUNTIFS('Daily Data'!$B$4:$B$503,'Daily Data'!$B374,'Daily Data'!$A$4:$A$503,'Daily Data'!$A374,'Daily Data'!$Q$4:$Q$503,'Daily Data'!$Q374)&gt;1,"WARNING","OK"))</f>
        <v/>
      </c>
      <c r="R374" s="165" t="str">
        <f>IF($A374="","",IF(AND(N('Daily Data'!$K374)&gt;0,N('Daily Data'!$J374)&lt;=0),"WARNING","OK"))</f>
        <v/>
      </c>
      <c r="S374" s="165" t="str">
        <f>IF($A374="","",COUNTIF($D374:$R374,"ERROR"))</f>
        <v/>
      </c>
      <c r="T374" s="165" t="str">
        <f>IF($A374="","",COUNTIF($D374:$R374,"WARNING"))</f>
        <v/>
      </c>
      <c r="U374" s="165" t="str">
        <f>IF($A374="","",IF($S374&gt;0,"ERROR",IF($T374&gt;0,"WARNING","PASS")))</f>
        <v/>
      </c>
    </row>
    <row r="375" spans="1:21" x14ac:dyDescent="0.3">
      <c r="A375" t="str">
        <f>IF(AND('Daily Data'!$A375="",'Daily Data'!$B375=""),"",375)</f>
        <v/>
      </c>
      <c r="B375" s="16" t="str">
        <f>IF($A375="","",'Daily Data'!$A375)</f>
        <v/>
      </c>
      <c r="C375" t="str">
        <f>IF($A375="","",'Daily Data'!$B375)</f>
        <v/>
      </c>
      <c r="D375" s="165" t="str">
        <f>IF($A375="","",IF(COUNTIFS('Daily Data'!$B$4:$B$503,'Daily Data'!$B375,'Daily Data'!$A$4:$A$503,'Daily Data'!$A375)&gt;1,"ERROR","OK"))</f>
        <v/>
      </c>
      <c r="E375" s="165" t="str">
        <f>IF($A375="","",IF('Daily Data'!$B375="","ERROR","OK"))</f>
        <v/>
      </c>
      <c r="F375" s="165" t="str">
        <f>IF($A375="","",IF(NOT(ISNUMBER('Daily Data'!$A375)),"ERROR","OK"))</f>
        <v/>
      </c>
      <c r="G375" s="165" t="str">
        <f>IF($A375="","",IF(OR(N('Daily Data'!$E375)&lt;=0,N('Daily Data'!$C375)&lt;0,N('Daily Data'!$D375)&lt;0,N('Daily Data'!$F375)&lt;0,N('Daily Data'!$G375)&lt;0),"ERROR","OK"))</f>
        <v/>
      </c>
      <c r="H375" s="165" t="str">
        <f>IF($A375="","",IF(N('Daily Data'!$K375)&lt;0,"ERROR","OK"))</f>
        <v/>
      </c>
      <c r="I375" s="165" t="str">
        <f>IF($A375="","",IF(N('Daily Data'!$I375)&lt;0,"ERROR","OK"))</f>
        <v/>
      </c>
      <c r="J375" s="165" t="str">
        <f>IF($A375="","",IF(N('Daily Data'!$L375)&lt;0,"ERROR","OK"))</f>
        <v/>
      </c>
      <c r="K375" s="165" t="str">
        <f>IF($A375="","",IF(N('Daily Data'!$M375)&lt;0,"ERROR","OK"))</f>
        <v/>
      </c>
      <c r="L375" s="165" t="str">
        <f>IF($A375="","",IF(OR(N('Daily Data'!$F375)=0,N('Daily Data'!$G375)=0),"OK",IF(OR(N('Daily Data'!$E375)&gt;N('Daily Data'!$F375),N('Daily Data'!$E375)&lt;N('Daily Data'!$G375)),"ERROR","OK")))</f>
        <v/>
      </c>
      <c r="M375" s="165" t="str">
        <f>IF($A375="","",IF(N('Daily Data'!$AK375)&lt;=1,"OK",IF(ROUND(N('Daily Data'!$D375),2)=ROUND(SUMIFS('Daily Data'!$E$4:$E$503,'Daily Data'!$B$4:$B$503,'Daily Data'!$B375,'Daily Data'!$AK$4:$AK$503,'Daily Data'!$AK375-1),2),"OK","WARNING")))</f>
        <v/>
      </c>
      <c r="N375" s="165" t="str">
        <f>IF($A375="","",IF(N('Daily Data'!$N375)&lt;=0,"WARNING","OK"))</f>
        <v/>
      </c>
      <c r="O375" s="165" t="str">
        <f>IF($A375="","",IF(AND(ISNUMBER('Daily Data'!$H375),ABS(N('Daily Data'!$H375))&gt;Settings!$C$56),"WARNING","OK"))</f>
        <v/>
      </c>
      <c r="P375" s="165" t="str">
        <f>IF($A375="","",IF(OR(AND(N('Daily Data'!$K375)=0,N('Daily Data'!$I375)&gt;0),AND(N('Daily Data'!$I375)=0,N('Daily Data'!$K375)&gt;0),AND(N('Daily Data'!$L375)=0,N('Daily Data'!$M375)=0)),"WARNING","OK"))</f>
        <v/>
      </c>
      <c r="Q375" s="165" t="str">
        <f>IF($A375="","",IF(COUNTIFS('Daily Data'!$B$4:$B$503,'Daily Data'!$B375,'Daily Data'!$A$4:$A$503,'Daily Data'!$A375,'Daily Data'!$Q$4:$Q$503,'Daily Data'!$Q375)&gt;1,"WARNING","OK"))</f>
        <v/>
      </c>
      <c r="R375" s="165" t="str">
        <f>IF($A375="","",IF(AND(N('Daily Data'!$K375)&gt;0,N('Daily Data'!$J375)&lt;=0),"WARNING","OK"))</f>
        <v/>
      </c>
      <c r="S375" s="165" t="str">
        <f>IF($A375="","",COUNTIF($D375:$R375,"ERROR"))</f>
        <v/>
      </c>
      <c r="T375" s="165" t="str">
        <f>IF($A375="","",COUNTIF($D375:$R375,"WARNING"))</f>
        <v/>
      </c>
      <c r="U375" s="165" t="str">
        <f>IF($A375="","",IF($S375&gt;0,"ERROR",IF($T375&gt;0,"WARNING","PASS")))</f>
        <v/>
      </c>
    </row>
    <row r="376" spans="1:21" x14ac:dyDescent="0.3">
      <c r="A376" t="str">
        <f>IF(AND('Daily Data'!$A376="",'Daily Data'!$B376=""),"",376)</f>
        <v/>
      </c>
      <c r="B376" s="16" t="str">
        <f>IF($A376="","",'Daily Data'!$A376)</f>
        <v/>
      </c>
      <c r="C376" t="str">
        <f>IF($A376="","",'Daily Data'!$B376)</f>
        <v/>
      </c>
      <c r="D376" s="165" t="str">
        <f>IF($A376="","",IF(COUNTIFS('Daily Data'!$B$4:$B$503,'Daily Data'!$B376,'Daily Data'!$A$4:$A$503,'Daily Data'!$A376)&gt;1,"ERROR","OK"))</f>
        <v/>
      </c>
      <c r="E376" s="165" t="str">
        <f>IF($A376="","",IF('Daily Data'!$B376="","ERROR","OK"))</f>
        <v/>
      </c>
      <c r="F376" s="165" t="str">
        <f>IF($A376="","",IF(NOT(ISNUMBER('Daily Data'!$A376)),"ERROR","OK"))</f>
        <v/>
      </c>
      <c r="G376" s="165" t="str">
        <f>IF($A376="","",IF(OR(N('Daily Data'!$E376)&lt;=0,N('Daily Data'!$C376)&lt;0,N('Daily Data'!$D376)&lt;0,N('Daily Data'!$F376)&lt;0,N('Daily Data'!$G376)&lt;0),"ERROR","OK"))</f>
        <v/>
      </c>
      <c r="H376" s="165" t="str">
        <f>IF($A376="","",IF(N('Daily Data'!$K376)&lt;0,"ERROR","OK"))</f>
        <v/>
      </c>
      <c r="I376" s="165" t="str">
        <f>IF($A376="","",IF(N('Daily Data'!$I376)&lt;0,"ERROR","OK"))</f>
        <v/>
      </c>
      <c r="J376" s="165" t="str">
        <f>IF($A376="","",IF(N('Daily Data'!$L376)&lt;0,"ERROR","OK"))</f>
        <v/>
      </c>
      <c r="K376" s="165" t="str">
        <f>IF($A376="","",IF(N('Daily Data'!$M376)&lt;0,"ERROR","OK"))</f>
        <v/>
      </c>
      <c r="L376" s="165" t="str">
        <f>IF($A376="","",IF(OR(N('Daily Data'!$F376)=0,N('Daily Data'!$G376)=0),"OK",IF(OR(N('Daily Data'!$E376)&gt;N('Daily Data'!$F376),N('Daily Data'!$E376)&lt;N('Daily Data'!$G376)),"ERROR","OK")))</f>
        <v/>
      </c>
      <c r="M376" s="165" t="str">
        <f>IF($A376="","",IF(N('Daily Data'!$AK376)&lt;=1,"OK",IF(ROUND(N('Daily Data'!$D376),2)=ROUND(SUMIFS('Daily Data'!$E$4:$E$503,'Daily Data'!$B$4:$B$503,'Daily Data'!$B376,'Daily Data'!$AK$4:$AK$503,'Daily Data'!$AK376-1),2),"OK","WARNING")))</f>
        <v/>
      </c>
      <c r="N376" s="165" t="str">
        <f>IF($A376="","",IF(N('Daily Data'!$N376)&lt;=0,"WARNING","OK"))</f>
        <v/>
      </c>
      <c r="O376" s="165" t="str">
        <f>IF($A376="","",IF(AND(ISNUMBER('Daily Data'!$H376),ABS(N('Daily Data'!$H376))&gt;Settings!$C$56),"WARNING","OK"))</f>
        <v/>
      </c>
      <c r="P376" s="165" t="str">
        <f>IF($A376="","",IF(OR(AND(N('Daily Data'!$K376)=0,N('Daily Data'!$I376)&gt;0),AND(N('Daily Data'!$I376)=0,N('Daily Data'!$K376)&gt;0),AND(N('Daily Data'!$L376)=0,N('Daily Data'!$M376)=0)),"WARNING","OK"))</f>
        <v/>
      </c>
      <c r="Q376" s="165" t="str">
        <f>IF($A376="","",IF(COUNTIFS('Daily Data'!$B$4:$B$503,'Daily Data'!$B376,'Daily Data'!$A$4:$A$503,'Daily Data'!$A376,'Daily Data'!$Q$4:$Q$503,'Daily Data'!$Q376)&gt;1,"WARNING","OK"))</f>
        <v/>
      </c>
      <c r="R376" s="165" t="str">
        <f>IF($A376="","",IF(AND(N('Daily Data'!$K376)&gt;0,N('Daily Data'!$J376)&lt;=0),"WARNING","OK"))</f>
        <v/>
      </c>
      <c r="S376" s="165" t="str">
        <f>IF($A376="","",COUNTIF($D376:$R376,"ERROR"))</f>
        <v/>
      </c>
      <c r="T376" s="165" t="str">
        <f>IF($A376="","",COUNTIF($D376:$R376,"WARNING"))</f>
        <v/>
      </c>
      <c r="U376" s="165" t="str">
        <f>IF($A376="","",IF($S376&gt;0,"ERROR",IF($T376&gt;0,"WARNING","PASS")))</f>
        <v/>
      </c>
    </row>
    <row r="377" spans="1:21" x14ac:dyDescent="0.3">
      <c r="A377" t="str">
        <f>IF(AND('Daily Data'!$A377="",'Daily Data'!$B377=""),"",377)</f>
        <v/>
      </c>
      <c r="B377" s="16" t="str">
        <f>IF($A377="","",'Daily Data'!$A377)</f>
        <v/>
      </c>
      <c r="C377" t="str">
        <f>IF($A377="","",'Daily Data'!$B377)</f>
        <v/>
      </c>
      <c r="D377" s="165" t="str">
        <f>IF($A377="","",IF(COUNTIFS('Daily Data'!$B$4:$B$503,'Daily Data'!$B377,'Daily Data'!$A$4:$A$503,'Daily Data'!$A377)&gt;1,"ERROR","OK"))</f>
        <v/>
      </c>
      <c r="E377" s="165" t="str">
        <f>IF($A377="","",IF('Daily Data'!$B377="","ERROR","OK"))</f>
        <v/>
      </c>
      <c r="F377" s="165" t="str">
        <f>IF($A377="","",IF(NOT(ISNUMBER('Daily Data'!$A377)),"ERROR","OK"))</f>
        <v/>
      </c>
      <c r="G377" s="165" t="str">
        <f>IF($A377="","",IF(OR(N('Daily Data'!$E377)&lt;=0,N('Daily Data'!$C377)&lt;0,N('Daily Data'!$D377)&lt;0,N('Daily Data'!$F377)&lt;0,N('Daily Data'!$G377)&lt;0),"ERROR","OK"))</f>
        <v/>
      </c>
      <c r="H377" s="165" t="str">
        <f>IF($A377="","",IF(N('Daily Data'!$K377)&lt;0,"ERROR","OK"))</f>
        <v/>
      </c>
      <c r="I377" s="165" t="str">
        <f>IF($A377="","",IF(N('Daily Data'!$I377)&lt;0,"ERROR","OK"))</f>
        <v/>
      </c>
      <c r="J377" s="165" t="str">
        <f>IF($A377="","",IF(N('Daily Data'!$L377)&lt;0,"ERROR","OK"))</f>
        <v/>
      </c>
      <c r="K377" s="165" t="str">
        <f>IF($A377="","",IF(N('Daily Data'!$M377)&lt;0,"ERROR","OK"))</f>
        <v/>
      </c>
      <c r="L377" s="165" t="str">
        <f>IF($A377="","",IF(OR(N('Daily Data'!$F377)=0,N('Daily Data'!$G377)=0),"OK",IF(OR(N('Daily Data'!$E377)&gt;N('Daily Data'!$F377),N('Daily Data'!$E377)&lt;N('Daily Data'!$G377)),"ERROR","OK")))</f>
        <v/>
      </c>
      <c r="M377" s="165" t="str">
        <f>IF($A377="","",IF(N('Daily Data'!$AK377)&lt;=1,"OK",IF(ROUND(N('Daily Data'!$D377),2)=ROUND(SUMIFS('Daily Data'!$E$4:$E$503,'Daily Data'!$B$4:$B$503,'Daily Data'!$B377,'Daily Data'!$AK$4:$AK$503,'Daily Data'!$AK377-1),2),"OK","WARNING")))</f>
        <v/>
      </c>
      <c r="N377" s="165" t="str">
        <f>IF($A377="","",IF(N('Daily Data'!$N377)&lt;=0,"WARNING","OK"))</f>
        <v/>
      </c>
      <c r="O377" s="165" t="str">
        <f>IF($A377="","",IF(AND(ISNUMBER('Daily Data'!$H377),ABS(N('Daily Data'!$H377))&gt;Settings!$C$56),"WARNING","OK"))</f>
        <v/>
      </c>
      <c r="P377" s="165" t="str">
        <f>IF($A377="","",IF(OR(AND(N('Daily Data'!$K377)=0,N('Daily Data'!$I377)&gt;0),AND(N('Daily Data'!$I377)=0,N('Daily Data'!$K377)&gt;0),AND(N('Daily Data'!$L377)=0,N('Daily Data'!$M377)=0)),"WARNING","OK"))</f>
        <v/>
      </c>
      <c r="Q377" s="165" t="str">
        <f>IF($A377="","",IF(COUNTIFS('Daily Data'!$B$4:$B$503,'Daily Data'!$B377,'Daily Data'!$A$4:$A$503,'Daily Data'!$A377,'Daily Data'!$Q$4:$Q$503,'Daily Data'!$Q377)&gt;1,"WARNING","OK"))</f>
        <v/>
      </c>
      <c r="R377" s="165" t="str">
        <f>IF($A377="","",IF(AND(N('Daily Data'!$K377)&gt;0,N('Daily Data'!$J377)&lt;=0),"WARNING","OK"))</f>
        <v/>
      </c>
      <c r="S377" s="165" t="str">
        <f>IF($A377="","",COUNTIF($D377:$R377,"ERROR"))</f>
        <v/>
      </c>
      <c r="T377" s="165" t="str">
        <f>IF($A377="","",COUNTIF($D377:$R377,"WARNING"))</f>
        <v/>
      </c>
      <c r="U377" s="165" t="str">
        <f>IF($A377="","",IF($S377&gt;0,"ERROR",IF($T377&gt;0,"WARNING","PASS")))</f>
        <v/>
      </c>
    </row>
    <row r="378" spans="1:21" x14ac:dyDescent="0.3">
      <c r="A378" t="str">
        <f>IF(AND('Daily Data'!$A378="",'Daily Data'!$B378=""),"",378)</f>
        <v/>
      </c>
      <c r="B378" s="16" t="str">
        <f>IF($A378="","",'Daily Data'!$A378)</f>
        <v/>
      </c>
      <c r="C378" t="str">
        <f>IF($A378="","",'Daily Data'!$B378)</f>
        <v/>
      </c>
      <c r="D378" s="165" t="str">
        <f>IF($A378="","",IF(COUNTIFS('Daily Data'!$B$4:$B$503,'Daily Data'!$B378,'Daily Data'!$A$4:$A$503,'Daily Data'!$A378)&gt;1,"ERROR","OK"))</f>
        <v/>
      </c>
      <c r="E378" s="165" t="str">
        <f>IF($A378="","",IF('Daily Data'!$B378="","ERROR","OK"))</f>
        <v/>
      </c>
      <c r="F378" s="165" t="str">
        <f>IF($A378="","",IF(NOT(ISNUMBER('Daily Data'!$A378)),"ERROR","OK"))</f>
        <v/>
      </c>
      <c r="G378" s="165" t="str">
        <f>IF($A378="","",IF(OR(N('Daily Data'!$E378)&lt;=0,N('Daily Data'!$C378)&lt;0,N('Daily Data'!$D378)&lt;0,N('Daily Data'!$F378)&lt;0,N('Daily Data'!$G378)&lt;0),"ERROR","OK"))</f>
        <v/>
      </c>
      <c r="H378" s="165" t="str">
        <f>IF($A378="","",IF(N('Daily Data'!$K378)&lt;0,"ERROR","OK"))</f>
        <v/>
      </c>
      <c r="I378" s="165" t="str">
        <f>IF($A378="","",IF(N('Daily Data'!$I378)&lt;0,"ERROR","OK"))</f>
        <v/>
      </c>
      <c r="J378" s="165" t="str">
        <f>IF($A378="","",IF(N('Daily Data'!$L378)&lt;0,"ERROR","OK"))</f>
        <v/>
      </c>
      <c r="K378" s="165" t="str">
        <f>IF($A378="","",IF(N('Daily Data'!$M378)&lt;0,"ERROR","OK"))</f>
        <v/>
      </c>
      <c r="L378" s="165" t="str">
        <f>IF($A378="","",IF(OR(N('Daily Data'!$F378)=0,N('Daily Data'!$G378)=0),"OK",IF(OR(N('Daily Data'!$E378)&gt;N('Daily Data'!$F378),N('Daily Data'!$E378)&lt;N('Daily Data'!$G378)),"ERROR","OK")))</f>
        <v/>
      </c>
      <c r="M378" s="165" t="str">
        <f>IF($A378="","",IF(N('Daily Data'!$AK378)&lt;=1,"OK",IF(ROUND(N('Daily Data'!$D378),2)=ROUND(SUMIFS('Daily Data'!$E$4:$E$503,'Daily Data'!$B$4:$B$503,'Daily Data'!$B378,'Daily Data'!$AK$4:$AK$503,'Daily Data'!$AK378-1),2),"OK","WARNING")))</f>
        <v/>
      </c>
      <c r="N378" s="165" t="str">
        <f>IF($A378="","",IF(N('Daily Data'!$N378)&lt;=0,"WARNING","OK"))</f>
        <v/>
      </c>
      <c r="O378" s="165" t="str">
        <f>IF($A378="","",IF(AND(ISNUMBER('Daily Data'!$H378),ABS(N('Daily Data'!$H378))&gt;Settings!$C$56),"WARNING","OK"))</f>
        <v/>
      </c>
      <c r="P378" s="165" t="str">
        <f>IF($A378="","",IF(OR(AND(N('Daily Data'!$K378)=0,N('Daily Data'!$I378)&gt;0),AND(N('Daily Data'!$I378)=0,N('Daily Data'!$K378)&gt;0),AND(N('Daily Data'!$L378)=0,N('Daily Data'!$M378)=0)),"WARNING","OK"))</f>
        <v/>
      </c>
      <c r="Q378" s="165" t="str">
        <f>IF($A378="","",IF(COUNTIFS('Daily Data'!$B$4:$B$503,'Daily Data'!$B378,'Daily Data'!$A$4:$A$503,'Daily Data'!$A378,'Daily Data'!$Q$4:$Q$503,'Daily Data'!$Q378)&gt;1,"WARNING","OK"))</f>
        <v/>
      </c>
      <c r="R378" s="165" t="str">
        <f>IF($A378="","",IF(AND(N('Daily Data'!$K378)&gt;0,N('Daily Data'!$J378)&lt;=0),"WARNING","OK"))</f>
        <v/>
      </c>
      <c r="S378" s="165" t="str">
        <f>IF($A378="","",COUNTIF($D378:$R378,"ERROR"))</f>
        <v/>
      </c>
      <c r="T378" s="165" t="str">
        <f>IF($A378="","",COUNTIF($D378:$R378,"WARNING"))</f>
        <v/>
      </c>
      <c r="U378" s="165" t="str">
        <f>IF($A378="","",IF($S378&gt;0,"ERROR",IF($T378&gt;0,"WARNING","PASS")))</f>
        <v/>
      </c>
    </row>
    <row r="379" spans="1:21" x14ac:dyDescent="0.3">
      <c r="A379" t="str">
        <f>IF(AND('Daily Data'!$A379="",'Daily Data'!$B379=""),"",379)</f>
        <v/>
      </c>
      <c r="B379" s="16" t="str">
        <f>IF($A379="","",'Daily Data'!$A379)</f>
        <v/>
      </c>
      <c r="C379" t="str">
        <f>IF($A379="","",'Daily Data'!$B379)</f>
        <v/>
      </c>
      <c r="D379" s="165" t="str">
        <f>IF($A379="","",IF(COUNTIFS('Daily Data'!$B$4:$B$503,'Daily Data'!$B379,'Daily Data'!$A$4:$A$503,'Daily Data'!$A379)&gt;1,"ERROR","OK"))</f>
        <v/>
      </c>
      <c r="E379" s="165" t="str">
        <f>IF($A379="","",IF('Daily Data'!$B379="","ERROR","OK"))</f>
        <v/>
      </c>
      <c r="F379" s="165" t="str">
        <f>IF($A379="","",IF(NOT(ISNUMBER('Daily Data'!$A379)),"ERROR","OK"))</f>
        <v/>
      </c>
      <c r="G379" s="165" t="str">
        <f>IF($A379="","",IF(OR(N('Daily Data'!$E379)&lt;=0,N('Daily Data'!$C379)&lt;0,N('Daily Data'!$D379)&lt;0,N('Daily Data'!$F379)&lt;0,N('Daily Data'!$G379)&lt;0),"ERROR","OK"))</f>
        <v/>
      </c>
      <c r="H379" s="165" t="str">
        <f>IF($A379="","",IF(N('Daily Data'!$K379)&lt;0,"ERROR","OK"))</f>
        <v/>
      </c>
      <c r="I379" s="165" t="str">
        <f>IF($A379="","",IF(N('Daily Data'!$I379)&lt;0,"ERROR","OK"))</f>
        <v/>
      </c>
      <c r="J379" s="165" t="str">
        <f>IF($A379="","",IF(N('Daily Data'!$L379)&lt;0,"ERROR","OK"))</f>
        <v/>
      </c>
      <c r="K379" s="165" t="str">
        <f>IF($A379="","",IF(N('Daily Data'!$M379)&lt;0,"ERROR","OK"))</f>
        <v/>
      </c>
      <c r="L379" s="165" t="str">
        <f>IF($A379="","",IF(OR(N('Daily Data'!$F379)=0,N('Daily Data'!$G379)=0),"OK",IF(OR(N('Daily Data'!$E379)&gt;N('Daily Data'!$F379),N('Daily Data'!$E379)&lt;N('Daily Data'!$G379)),"ERROR","OK")))</f>
        <v/>
      </c>
      <c r="M379" s="165" t="str">
        <f>IF($A379="","",IF(N('Daily Data'!$AK379)&lt;=1,"OK",IF(ROUND(N('Daily Data'!$D379),2)=ROUND(SUMIFS('Daily Data'!$E$4:$E$503,'Daily Data'!$B$4:$B$503,'Daily Data'!$B379,'Daily Data'!$AK$4:$AK$503,'Daily Data'!$AK379-1),2),"OK","WARNING")))</f>
        <v/>
      </c>
      <c r="N379" s="165" t="str">
        <f>IF($A379="","",IF(N('Daily Data'!$N379)&lt;=0,"WARNING","OK"))</f>
        <v/>
      </c>
      <c r="O379" s="165" t="str">
        <f>IF($A379="","",IF(AND(ISNUMBER('Daily Data'!$H379),ABS(N('Daily Data'!$H379))&gt;Settings!$C$56),"WARNING","OK"))</f>
        <v/>
      </c>
      <c r="P379" s="165" t="str">
        <f>IF($A379="","",IF(OR(AND(N('Daily Data'!$K379)=0,N('Daily Data'!$I379)&gt;0),AND(N('Daily Data'!$I379)=0,N('Daily Data'!$K379)&gt;0),AND(N('Daily Data'!$L379)=0,N('Daily Data'!$M379)=0)),"WARNING","OK"))</f>
        <v/>
      </c>
      <c r="Q379" s="165" t="str">
        <f>IF($A379="","",IF(COUNTIFS('Daily Data'!$B$4:$B$503,'Daily Data'!$B379,'Daily Data'!$A$4:$A$503,'Daily Data'!$A379,'Daily Data'!$Q$4:$Q$503,'Daily Data'!$Q379)&gt;1,"WARNING","OK"))</f>
        <v/>
      </c>
      <c r="R379" s="165" t="str">
        <f>IF($A379="","",IF(AND(N('Daily Data'!$K379)&gt;0,N('Daily Data'!$J379)&lt;=0),"WARNING","OK"))</f>
        <v/>
      </c>
      <c r="S379" s="165" t="str">
        <f>IF($A379="","",COUNTIF($D379:$R379,"ERROR"))</f>
        <v/>
      </c>
      <c r="T379" s="165" t="str">
        <f>IF($A379="","",COUNTIF($D379:$R379,"WARNING"))</f>
        <v/>
      </c>
      <c r="U379" s="165" t="str">
        <f>IF($A379="","",IF($S379&gt;0,"ERROR",IF($T379&gt;0,"WARNING","PASS")))</f>
        <v/>
      </c>
    </row>
    <row r="380" spans="1:21" x14ac:dyDescent="0.3">
      <c r="A380" t="str">
        <f>IF(AND('Daily Data'!$A380="",'Daily Data'!$B380=""),"",380)</f>
        <v/>
      </c>
      <c r="B380" s="16" t="str">
        <f>IF($A380="","",'Daily Data'!$A380)</f>
        <v/>
      </c>
      <c r="C380" t="str">
        <f>IF($A380="","",'Daily Data'!$B380)</f>
        <v/>
      </c>
      <c r="D380" s="165" t="str">
        <f>IF($A380="","",IF(COUNTIFS('Daily Data'!$B$4:$B$503,'Daily Data'!$B380,'Daily Data'!$A$4:$A$503,'Daily Data'!$A380)&gt;1,"ERROR","OK"))</f>
        <v/>
      </c>
      <c r="E380" s="165" t="str">
        <f>IF($A380="","",IF('Daily Data'!$B380="","ERROR","OK"))</f>
        <v/>
      </c>
      <c r="F380" s="165" t="str">
        <f>IF($A380="","",IF(NOT(ISNUMBER('Daily Data'!$A380)),"ERROR","OK"))</f>
        <v/>
      </c>
      <c r="G380" s="165" t="str">
        <f>IF($A380="","",IF(OR(N('Daily Data'!$E380)&lt;=0,N('Daily Data'!$C380)&lt;0,N('Daily Data'!$D380)&lt;0,N('Daily Data'!$F380)&lt;0,N('Daily Data'!$G380)&lt;0),"ERROR","OK"))</f>
        <v/>
      </c>
      <c r="H380" s="165" t="str">
        <f>IF($A380="","",IF(N('Daily Data'!$K380)&lt;0,"ERROR","OK"))</f>
        <v/>
      </c>
      <c r="I380" s="165" t="str">
        <f>IF($A380="","",IF(N('Daily Data'!$I380)&lt;0,"ERROR","OK"))</f>
        <v/>
      </c>
      <c r="J380" s="165" t="str">
        <f>IF($A380="","",IF(N('Daily Data'!$L380)&lt;0,"ERROR","OK"))</f>
        <v/>
      </c>
      <c r="K380" s="165" t="str">
        <f>IF($A380="","",IF(N('Daily Data'!$M380)&lt;0,"ERROR","OK"))</f>
        <v/>
      </c>
      <c r="L380" s="165" t="str">
        <f>IF($A380="","",IF(OR(N('Daily Data'!$F380)=0,N('Daily Data'!$G380)=0),"OK",IF(OR(N('Daily Data'!$E380)&gt;N('Daily Data'!$F380),N('Daily Data'!$E380)&lt;N('Daily Data'!$G380)),"ERROR","OK")))</f>
        <v/>
      </c>
      <c r="M380" s="165" t="str">
        <f>IF($A380="","",IF(N('Daily Data'!$AK380)&lt;=1,"OK",IF(ROUND(N('Daily Data'!$D380),2)=ROUND(SUMIFS('Daily Data'!$E$4:$E$503,'Daily Data'!$B$4:$B$503,'Daily Data'!$B380,'Daily Data'!$AK$4:$AK$503,'Daily Data'!$AK380-1),2),"OK","WARNING")))</f>
        <v/>
      </c>
      <c r="N380" s="165" t="str">
        <f>IF($A380="","",IF(N('Daily Data'!$N380)&lt;=0,"WARNING","OK"))</f>
        <v/>
      </c>
      <c r="O380" s="165" t="str">
        <f>IF($A380="","",IF(AND(ISNUMBER('Daily Data'!$H380),ABS(N('Daily Data'!$H380))&gt;Settings!$C$56),"WARNING","OK"))</f>
        <v/>
      </c>
      <c r="P380" s="165" t="str">
        <f>IF($A380="","",IF(OR(AND(N('Daily Data'!$K380)=0,N('Daily Data'!$I380)&gt;0),AND(N('Daily Data'!$I380)=0,N('Daily Data'!$K380)&gt;0),AND(N('Daily Data'!$L380)=0,N('Daily Data'!$M380)=0)),"WARNING","OK"))</f>
        <v/>
      </c>
      <c r="Q380" s="165" t="str">
        <f>IF($A380="","",IF(COUNTIFS('Daily Data'!$B$4:$B$503,'Daily Data'!$B380,'Daily Data'!$A$4:$A$503,'Daily Data'!$A380,'Daily Data'!$Q$4:$Q$503,'Daily Data'!$Q380)&gt;1,"WARNING","OK"))</f>
        <v/>
      </c>
      <c r="R380" s="165" t="str">
        <f>IF($A380="","",IF(AND(N('Daily Data'!$K380)&gt;0,N('Daily Data'!$J380)&lt;=0),"WARNING","OK"))</f>
        <v/>
      </c>
      <c r="S380" s="165" t="str">
        <f>IF($A380="","",COUNTIF($D380:$R380,"ERROR"))</f>
        <v/>
      </c>
      <c r="T380" s="165" t="str">
        <f>IF($A380="","",COUNTIF($D380:$R380,"WARNING"))</f>
        <v/>
      </c>
      <c r="U380" s="165" t="str">
        <f>IF($A380="","",IF($S380&gt;0,"ERROR",IF($T380&gt;0,"WARNING","PASS")))</f>
        <v/>
      </c>
    </row>
    <row r="381" spans="1:21" x14ac:dyDescent="0.3">
      <c r="A381" t="str">
        <f>IF(AND('Daily Data'!$A381="",'Daily Data'!$B381=""),"",381)</f>
        <v/>
      </c>
      <c r="B381" s="16" t="str">
        <f>IF($A381="","",'Daily Data'!$A381)</f>
        <v/>
      </c>
      <c r="C381" t="str">
        <f>IF($A381="","",'Daily Data'!$B381)</f>
        <v/>
      </c>
      <c r="D381" s="165" t="str">
        <f>IF($A381="","",IF(COUNTIFS('Daily Data'!$B$4:$B$503,'Daily Data'!$B381,'Daily Data'!$A$4:$A$503,'Daily Data'!$A381)&gt;1,"ERROR","OK"))</f>
        <v/>
      </c>
      <c r="E381" s="165" t="str">
        <f>IF($A381="","",IF('Daily Data'!$B381="","ERROR","OK"))</f>
        <v/>
      </c>
      <c r="F381" s="165" t="str">
        <f>IF($A381="","",IF(NOT(ISNUMBER('Daily Data'!$A381)),"ERROR","OK"))</f>
        <v/>
      </c>
      <c r="G381" s="165" t="str">
        <f>IF($A381="","",IF(OR(N('Daily Data'!$E381)&lt;=0,N('Daily Data'!$C381)&lt;0,N('Daily Data'!$D381)&lt;0,N('Daily Data'!$F381)&lt;0,N('Daily Data'!$G381)&lt;0),"ERROR","OK"))</f>
        <v/>
      </c>
      <c r="H381" s="165" t="str">
        <f>IF($A381="","",IF(N('Daily Data'!$K381)&lt;0,"ERROR","OK"))</f>
        <v/>
      </c>
      <c r="I381" s="165" t="str">
        <f>IF($A381="","",IF(N('Daily Data'!$I381)&lt;0,"ERROR","OK"))</f>
        <v/>
      </c>
      <c r="J381" s="165" t="str">
        <f>IF($A381="","",IF(N('Daily Data'!$L381)&lt;0,"ERROR","OK"))</f>
        <v/>
      </c>
      <c r="K381" s="165" t="str">
        <f>IF($A381="","",IF(N('Daily Data'!$M381)&lt;0,"ERROR","OK"))</f>
        <v/>
      </c>
      <c r="L381" s="165" t="str">
        <f>IF($A381="","",IF(OR(N('Daily Data'!$F381)=0,N('Daily Data'!$G381)=0),"OK",IF(OR(N('Daily Data'!$E381)&gt;N('Daily Data'!$F381),N('Daily Data'!$E381)&lt;N('Daily Data'!$G381)),"ERROR","OK")))</f>
        <v/>
      </c>
      <c r="M381" s="165" t="str">
        <f>IF($A381="","",IF(N('Daily Data'!$AK381)&lt;=1,"OK",IF(ROUND(N('Daily Data'!$D381),2)=ROUND(SUMIFS('Daily Data'!$E$4:$E$503,'Daily Data'!$B$4:$B$503,'Daily Data'!$B381,'Daily Data'!$AK$4:$AK$503,'Daily Data'!$AK381-1),2),"OK","WARNING")))</f>
        <v/>
      </c>
      <c r="N381" s="165" t="str">
        <f>IF($A381="","",IF(N('Daily Data'!$N381)&lt;=0,"WARNING","OK"))</f>
        <v/>
      </c>
      <c r="O381" s="165" t="str">
        <f>IF($A381="","",IF(AND(ISNUMBER('Daily Data'!$H381),ABS(N('Daily Data'!$H381))&gt;Settings!$C$56),"WARNING","OK"))</f>
        <v/>
      </c>
      <c r="P381" s="165" t="str">
        <f>IF($A381="","",IF(OR(AND(N('Daily Data'!$K381)=0,N('Daily Data'!$I381)&gt;0),AND(N('Daily Data'!$I381)=0,N('Daily Data'!$K381)&gt;0),AND(N('Daily Data'!$L381)=0,N('Daily Data'!$M381)=0)),"WARNING","OK"))</f>
        <v/>
      </c>
      <c r="Q381" s="165" t="str">
        <f>IF($A381="","",IF(COUNTIFS('Daily Data'!$B$4:$B$503,'Daily Data'!$B381,'Daily Data'!$A$4:$A$503,'Daily Data'!$A381,'Daily Data'!$Q$4:$Q$503,'Daily Data'!$Q381)&gt;1,"WARNING","OK"))</f>
        <v/>
      </c>
      <c r="R381" s="165" t="str">
        <f>IF($A381="","",IF(AND(N('Daily Data'!$K381)&gt;0,N('Daily Data'!$J381)&lt;=0),"WARNING","OK"))</f>
        <v/>
      </c>
      <c r="S381" s="165" t="str">
        <f>IF($A381="","",COUNTIF($D381:$R381,"ERROR"))</f>
        <v/>
      </c>
      <c r="T381" s="165" t="str">
        <f>IF($A381="","",COUNTIF($D381:$R381,"WARNING"))</f>
        <v/>
      </c>
      <c r="U381" s="165" t="str">
        <f>IF($A381="","",IF($S381&gt;0,"ERROR",IF($T381&gt;0,"WARNING","PASS")))</f>
        <v/>
      </c>
    </row>
    <row r="382" spans="1:21" x14ac:dyDescent="0.3">
      <c r="A382" t="str">
        <f>IF(AND('Daily Data'!$A382="",'Daily Data'!$B382=""),"",382)</f>
        <v/>
      </c>
      <c r="B382" s="16" t="str">
        <f>IF($A382="","",'Daily Data'!$A382)</f>
        <v/>
      </c>
      <c r="C382" t="str">
        <f>IF($A382="","",'Daily Data'!$B382)</f>
        <v/>
      </c>
      <c r="D382" s="165" t="str">
        <f>IF($A382="","",IF(COUNTIFS('Daily Data'!$B$4:$B$503,'Daily Data'!$B382,'Daily Data'!$A$4:$A$503,'Daily Data'!$A382)&gt;1,"ERROR","OK"))</f>
        <v/>
      </c>
      <c r="E382" s="165" t="str">
        <f>IF($A382="","",IF('Daily Data'!$B382="","ERROR","OK"))</f>
        <v/>
      </c>
      <c r="F382" s="165" t="str">
        <f>IF($A382="","",IF(NOT(ISNUMBER('Daily Data'!$A382)),"ERROR","OK"))</f>
        <v/>
      </c>
      <c r="G382" s="165" t="str">
        <f>IF($A382="","",IF(OR(N('Daily Data'!$E382)&lt;=0,N('Daily Data'!$C382)&lt;0,N('Daily Data'!$D382)&lt;0,N('Daily Data'!$F382)&lt;0,N('Daily Data'!$G382)&lt;0),"ERROR","OK"))</f>
        <v/>
      </c>
      <c r="H382" s="165" t="str">
        <f>IF($A382="","",IF(N('Daily Data'!$K382)&lt;0,"ERROR","OK"))</f>
        <v/>
      </c>
      <c r="I382" s="165" t="str">
        <f>IF($A382="","",IF(N('Daily Data'!$I382)&lt;0,"ERROR","OK"))</f>
        <v/>
      </c>
      <c r="J382" s="165" t="str">
        <f>IF($A382="","",IF(N('Daily Data'!$L382)&lt;0,"ERROR","OK"))</f>
        <v/>
      </c>
      <c r="K382" s="165" t="str">
        <f>IF($A382="","",IF(N('Daily Data'!$M382)&lt;0,"ERROR","OK"))</f>
        <v/>
      </c>
      <c r="L382" s="165" t="str">
        <f>IF($A382="","",IF(OR(N('Daily Data'!$F382)=0,N('Daily Data'!$G382)=0),"OK",IF(OR(N('Daily Data'!$E382)&gt;N('Daily Data'!$F382),N('Daily Data'!$E382)&lt;N('Daily Data'!$G382)),"ERROR","OK")))</f>
        <v/>
      </c>
      <c r="M382" s="165" t="str">
        <f>IF($A382="","",IF(N('Daily Data'!$AK382)&lt;=1,"OK",IF(ROUND(N('Daily Data'!$D382),2)=ROUND(SUMIFS('Daily Data'!$E$4:$E$503,'Daily Data'!$B$4:$B$503,'Daily Data'!$B382,'Daily Data'!$AK$4:$AK$503,'Daily Data'!$AK382-1),2),"OK","WARNING")))</f>
        <v/>
      </c>
      <c r="N382" s="165" t="str">
        <f>IF($A382="","",IF(N('Daily Data'!$N382)&lt;=0,"WARNING","OK"))</f>
        <v/>
      </c>
      <c r="O382" s="165" t="str">
        <f>IF($A382="","",IF(AND(ISNUMBER('Daily Data'!$H382),ABS(N('Daily Data'!$H382))&gt;Settings!$C$56),"WARNING","OK"))</f>
        <v/>
      </c>
      <c r="P382" s="165" t="str">
        <f>IF($A382="","",IF(OR(AND(N('Daily Data'!$K382)=0,N('Daily Data'!$I382)&gt;0),AND(N('Daily Data'!$I382)=0,N('Daily Data'!$K382)&gt;0),AND(N('Daily Data'!$L382)=0,N('Daily Data'!$M382)=0)),"WARNING","OK"))</f>
        <v/>
      </c>
      <c r="Q382" s="165" t="str">
        <f>IF($A382="","",IF(COUNTIFS('Daily Data'!$B$4:$B$503,'Daily Data'!$B382,'Daily Data'!$A$4:$A$503,'Daily Data'!$A382,'Daily Data'!$Q$4:$Q$503,'Daily Data'!$Q382)&gt;1,"WARNING","OK"))</f>
        <v/>
      </c>
      <c r="R382" s="165" t="str">
        <f>IF($A382="","",IF(AND(N('Daily Data'!$K382)&gt;0,N('Daily Data'!$J382)&lt;=0),"WARNING","OK"))</f>
        <v/>
      </c>
      <c r="S382" s="165" t="str">
        <f>IF($A382="","",COUNTIF($D382:$R382,"ERROR"))</f>
        <v/>
      </c>
      <c r="T382" s="165" t="str">
        <f>IF($A382="","",COUNTIF($D382:$R382,"WARNING"))</f>
        <v/>
      </c>
      <c r="U382" s="165" t="str">
        <f>IF($A382="","",IF($S382&gt;0,"ERROR",IF($T382&gt;0,"WARNING","PASS")))</f>
        <v/>
      </c>
    </row>
    <row r="383" spans="1:21" x14ac:dyDescent="0.3">
      <c r="A383" t="str">
        <f>IF(AND('Daily Data'!$A383="",'Daily Data'!$B383=""),"",383)</f>
        <v/>
      </c>
      <c r="B383" s="16" t="str">
        <f>IF($A383="","",'Daily Data'!$A383)</f>
        <v/>
      </c>
      <c r="C383" t="str">
        <f>IF($A383="","",'Daily Data'!$B383)</f>
        <v/>
      </c>
      <c r="D383" s="165" t="str">
        <f>IF($A383="","",IF(COUNTIFS('Daily Data'!$B$4:$B$503,'Daily Data'!$B383,'Daily Data'!$A$4:$A$503,'Daily Data'!$A383)&gt;1,"ERROR","OK"))</f>
        <v/>
      </c>
      <c r="E383" s="165" t="str">
        <f>IF($A383="","",IF('Daily Data'!$B383="","ERROR","OK"))</f>
        <v/>
      </c>
      <c r="F383" s="165" t="str">
        <f>IF($A383="","",IF(NOT(ISNUMBER('Daily Data'!$A383)),"ERROR","OK"))</f>
        <v/>
      </c>
      <c r="G383" s="165" t="str">
        <f>IF($A383="","",IF(OR(N('Daily Data'!$E383)&lt;=0,N('Daily Data'!$C383)&lt;0,N('Daily Data'!$D383)&lt;0,N('Daily Data'!$F383)&lt;0,N('Daily Data'!$G383)&lt;0),"ERROR","OK"))</f>
        <v/>
      </c>
      <c r="H383" s="165" t="str">
        <f>IF($A383="","",IF(N('Daily Data'!$K383)&lt;0,"ERROR","OK"))</f>
        <v/>
      </c>
      <c r="I383" s="165" t="str">
        <f>IF($A383="","",IF(N('Daily Data'!$I383)&lt;0,"ERROR","OK"))</f>
        <v/>
      </c>
      <c r="J383" s="165" t="str">
        <f>IF($A383="","",IF(N('Daily Data'!$L383)&lt;0,"ERROR","OK"))</f>
        <v/>
      </c>
      <c r="K383" s="165" t="str">
        <f>IF($A383="","",IF(N('Daily Data'!$M383)&lt;0,"ERROR","OK"))</f>
        <v/>
      </c>
      <c r="L383" s="165" t="str">
        <f>IF($A383="","",IF(OR(N('Daily Data'!$F383)=0,N('Daily Data'!$G383)=0),"OK",IF(OR(N('Daily Data'!$E383)&gt;N('Daily Data'!$F383),N('Daily Data'!$E383)&lt;N('Daily Data'!$G383)),"ERROR","OK")))</f>
        <v/>
      </c>
      <c r="M383" s="165" t="str">
        <f>IF($A383="","",IF(N('Daily Data'!$AK383)&lt;=1,"OK",IF(ROUND(N('Daily Data'!$D383),2)=ROUND(SUMIFS('Daily Data'!$E$4:$E$503,'Daily Data'!$B$4:$B$503,'Daily Data'!$B383,'Daily Data'!$AK$4:$AK$503,'Daily Data'!$AK383-1),2),"OK","WARNING")))</f>
        <v/>
      </c>
      <c r="N383" s="165" t="str">
        <f>IF($A383="","",IF(N('Daily Data'!$N383)&lt;=0,"WARNING","OK"))</f>
        <v/>
      </c>
      <c r="O383" s="165" t="str">
        <f>IF($A383="","",IF(AND(ISNUMBER('Daily Data'!$H383),ABS(N('Daily Data'!$H383))&gt;Settings!$C$56),"WARNING","OK"))</f>
        <v/>
      </c>
      <c r="P383" s="165" t="str">
        <f>IF($A383="","",IF(OR(AND(N('Daily Data'!$K383)=0,N('Daily Data'!$I383)&gt;0),AND(N('Daily Data'!$I383)=0,N('Daily Data'!$K383)&gt;0),AND(N('Daily Data'!$L383)=0,N('Daily Data'!$M383)=0)),"WARNING","OK"))</f>
        <v/>
      </c>
      <c r="Q383" s="165" t="str">
        <f>IF($A383="","",IF(COUNTIFS('Daily Data'!$B$4:$B$503,'Daily Data'!$B383,'Daily Data'!$A$4:$A$503,'Daily Data'!$A383,'Daily Data'!$Q$4:$Q$503,'Daily Data'!$Q383)&gt;1,"WARNING","OK"))</f>
        <v/>
      </c>
      <c r="R383" s="165" t="str">
        <f>IF($A383="","",IF(AND(N('Daily Data'!$K383)&gt;0,N('Daily Data'!$J383)&lt;=0),"WARNING","OK"))</f>
        <v/>
      </c>
      <c r="S383" s="165" t="str">
        <f>IF($A383="","",COUNTIF($D383:$R383,"ERROR"))</f>
        <v/>
      </c>
      <c r="T383" s="165" t="str">
        <f>IF($A383="","",COUNTIF($D383:$R383,"WARNING"))</f>
        <v/>
      </c>
      <c r="U383" s="165" t="str">
        <f>IF($A383="","",IF($S383&gt;0,"ERROR",IF($T383&gt;0,"WARNING","PASS")))</f>
        <v/>
      </c>
    </row>
    <row r="384" spans="1:21" x14ac:dyDescent="0.3">
      <c r="A384" t="str">
        <f>IF(AND('Daily Data'!$A384="",'Daily Data'!$B384=""),"",384)</f>
        <v/>
      </c>
      <c r="B384" s="16" t="str">
        <f>IF($A384="","",'Daily Data'!$A384)</f>
        <v/>
      </c>
      <c r="C384" t="str">
        <f>IF($A384="","",'Daily Data'!$B384)</f>
        <v/>
      </c>
      <c r="D384" s="165" t="str">
        <f>IF($A384="","",IF(COUNTIFS('Daily Data'!$B$4:$B$503,'Daily Data'!$B384,'Daily Data'!$A$4:$A$503,'Daily Data'!$A384)&gt;1,"ERROR","OK"))</f>
        <v/>
      </c>
      <c r="E384" s="165" t="str">
        <f>IF($A384="","",IF('Daily Data'!$B384="","ERROR","OK"))</f>
        <v/>
      </c>
      <c r="F384" s="165" t="str">
        <f>IF($A384="","",IF(NOT(ISNUMBER('Daily Data'!$A384)),"ERROR","OK"))</f>
        <v/>
      </c>
      <c r="G384" s="165" t="str">
        <f>IF($A384="","",IF(OR(N('Daily Data'!$E384)&lt;=0,N('Daily Data'!$C384)&lt;0,N('Daily Data'!$D384)&lt;0,N('Daily Data'!$F384)&lt;0,N('Daily Data'!$G384)&lt;0),"ERROR","OK"))</f>
        <v/>
      </c>
      <c r="H384" s="165" t="str">
        <f>IF($A384="","",IF(N('Daily Data'!$K384)&lt;0,"ERROR","OK"))</f>
        <v/>
      </c>
      <c r="I384" s="165" t="str">
        <f>IF($A384="","",IF(N('Daily Data'!$I384)&lt;0,"ERROR","OK"))</f>
        <v/>
      </c>
      <c r="J384" s="165" t="str">
        <f>IF($A384="","",IF(N('Daily Data'!$L384)&lt;0,"ERROR","OK"))</f>
        <v/>
      </c>
      <c r="K384" s="165" t="str">
        <f>IF($A384="","",IF(N('Daily Data'!$M384)&lt;0,"ERROR","OK"))</f>
        <v/>
      </c>
      <c r="L384" s="165" t="str">
        <f>IF($A384="","",IF(OR(N('Daily Data'!$F384)=0,N('Daily Data'!$G384)=0),"OK",IF(OR(N('Daily Data'!$E384)&gt;N('Daily Data'!$F384),N('Daily Data'!$E384)&lt;N('Daily Data'!$G384)),"ERROR","OK")))</f>
        <v/>
      </c>
      <c r="M384" s="165" t="str">
        <f>IF($A384="","",IF(N('Daily Data'!$AK384)&lt;=1,"OK",IF(ROUND(N('Daily Data'!$D384),2)=ROUND(SUMIFS('Daily Data'!$E$4:$E$503,'Daily Data'!$B$4:$B$503,'Daily Data'!$B384,'Daily Data'!$AK$4:$AK$503,'Daily Data'!$AK384-1),2),"OK","WARNING")))</f>
        <v/>
      </c>
      <c r="N384" s="165" t="str">
        <f>IF($A384="","",IF(N('Daily Data'!$N384)&lt;=0,"WARNING","OK"))</f>
        <v/>
      </c>
      <c r="O384" s="165" t="str">
        <f>IF($A384="","",IF(AND(ISNUMBER('Daily Data'!$H384),ABS(N('Daily Data'!$H384))&gt;Settings!$C$56),"WARNING","OK"))</f>
        <v/>
      </c>
      <c r="P384" s="165" t="str">
        <f>IF($A384="","",IF(OR(AND(N('Daily Data'!$K384)=0,N('Daily Data'!$I384)&gt;0),AND(N('Daily Data'!$I384)=0,N('Daily Data'!$K384)&gt;0),AND(N('Daily Data'!$L384)=0,N('Daily Data'!$M384)=0)),"WARNING","OK"))</f>
        <v/>
      </c>
      <c r="Q384" s="165" t="str">
        <f>IF($A384="","",IF(COUNTIFS('Daily Data'!$B$4:$B$503,'Daily Data'!$B384,'Daily Data'!$A$4:$A$503,'Daily Data'!$A384,'Daily Data'!$Q$4:$Q$503,'Daily Data'!$Q384)&gt;1,"WARNING","OK"))</f>
        <v/>
      </c>
      <c r="R384" s="165" t="str">
        <f>IF($A384="","",IF(AND(N('Daily Data'!$K384)&gt;0,N('Daily Data'!$J384)&lt;=0),"WARNING","OK"))</f>
        <v/>
      </c>
      <c r="S384" s="165" t="str">
        <f>IF($A384="","",COUNTIF($D384:$R384,"ERROR"))</f>
        <v/>
      </c>
      <c r="T384" s="165" t="str">
        <f>IF($A384="","",COUNTIF($D384:$R384,"WARNING"))</f>
        <v/>
      </c>
      <c r="U384" s="165" t="str">
        <f>IF($A384="","",IF($S384&gt;0,"ERROR",IF($T384&gt;0,"WARNING","PASS")))</f>
        <v/>
      </c>
    </row>
    <row r="385" spans="1:21" x14ac:dyDescent="0.3">
      <c r="A385" t="str">
        <f>IF(AND('Daily Data'!$A385="",'Daily Data'!$B385=""),"",385)</f>
        <v/>
      </c>
      <c r="B385" s="16" t="str">
        <f>IF($A385="","",'Daily Data'!$A385)</f>
        <v/>
      </c>
      <c r="C385" t="str">
        <f>IF($A385="","",'Daily Data'!$B385)</f>
        <v/>
      </c>
      <c r="D385" s="165" t="str">
        <f>IF($A385="","",IF(COUNTIFS('Daily Data'!$B$4:$B$503,'Daily Data'!$B385,'Daily Data'!$A$4:$A$503,'Daily Data'!$A385)&gt;1,"ERROR","OK"))</f>
        <v/>
      </c>
      <c r="E385" s="165" t="str">
        <f>IF($A385="","",IF('Daily Data'!$B385="","ERROR","OK"))</f>
        <v/>
      </c>
      <c r="F385" s="165" t="str">
        <f>IF($A385="","",IF(NOT(ISNUMBER('Daily Data'!$A385)),"ERROR","OK"))</f>
        <v/>
      </c>
      <c r="G385" s="165" t="str">
        <f>IF($A385="","",IF(OR(N('Daily Data'!$E385)&lt;=0,N('Daily Data'!$C385)&lt;0,N('Daily Data'!$D385)&lt;0,N('Daily Data'!$F385)&lt;0,N('Daily Data'!$G385)&lt;0),"ERROR","OK"))</f>
        <v/>
      </c>
      <c r="H385" s="165" t="str">
        <f>IF($A385="","",IF(N('Daily Data'!$K385)&lt;0,"ERROR","OK"))</f>
        <v/>
      </c>
      <c r="I385" s="165" t="str">
        <f>IF($A385="","",IF(N('Daily Data'!$I385)&lt;0,"ERROR","OK"))</f>
        <v/>
      </c>
      <c r="J385" s="165" t="str">
        <f>IF($A385="","",IF(N('Daily Data'!$L385)&lt;0,"ERROR","OK"))</f>
        <v/>
      </c>
      <c r="K385" s="165" t="str">
        <f>IF($A385="","",IF(N('Daily Data'!$M385)&lt;0,"ERROR","OK"))</f>
        <v/>
      </c>
      <c r="L385" s="165" t="str">
        <f>IF($A385="","",IF(OR(N('Daily Data'!$F385)=0,N('Daily Data'!$G385)=0),"OK",IF(OR(N('Daily Data'!$E385)&gt;N('Daily Data'!$F385),N('Daily Data'!$E385)&lt;N('Daily Data'!$G385)),"ERROR","OK")))</f>
        <v/>
      </c>
      <c r="M385" s="165" t="str">
        <f>IF($A385="","",IF(N('Daily Data'!$AK385)&lt;=1,"OK",IF(ROUND(N('Daily Data'!$D385),2)=ROUND(SUMIFS('Daily Data'!$E$4:$E$503,'Daily Data'!$B$4:$B$503,'Daily Data'!$B385,'Daily Data'!$AK$4:$AK$503,'Daily Data'!$AK385-1),2),"OK","WARNING")))</f>
        <v/>
      </c>
      <c r="N385" s="165" t="str">
        <f>IF($A385="","",IF(N('Daily Data'!$N385)&lt;=0,"WARNING","OK"))</f>
        <v/>
      </c>
      <c r="O385" s="165" t="str">
        <f>IF($A385="","",IF(AND(ISNUMBER('Daily Data'!$H385),ABS(N('Daily Data'!$H385))&gt;Settings!$C$56),"WARNING","OK"))</f>
        <v/>
      </c>
      <c r="P385" s="165" t="str">
        <f>IF($A385="","",IF(OR(AND(N('Daily Data'!$K385)=0,N('Daily Data'!$I385)&gt;0),AND(N('Daily Data'!$I385)=0,N('Daily Data'!$K385)&gt;0),AND(N('Daily Data'!$L385)=0,N('Daily Data'!$M385)=0)),"WARNING","OK"))</f>
        <v/>
      </c>
      <c r="Q385" s="165" t="str">
        <f>IF($A385="","",IF(COUNTIFS('Daily Data'!$B$4:$B$503,'Daily Data'!$B385,'Daily Data'!$A$4:$A$503,'Daily Data'!$A385,'Daily Data'!$Q$4:$Q$503,'Daily Data'!$Q385)&gt;1,"WARNING","OK"))</f>
        <v/>
      </c>
      <c r="R385" s="165" t="str">
        <f>IF($A385="","",IF(AND(N('Daily Data'!$K385)&gt;0,N('Daily Data'!$J385)&lt;=0),"WARNING","OK"))</f>
        <v/>
      </c>
      <c r="S385" s="165" t="str">
        <f>IF($A385="","",COUNTIF($D385:$R385,"ERROR"))</f>
        <v/>
      </c>
      <c r="T385" s="165" t="str">
        <f>IF($A385="","",COUNTIF($D385:$R385,"WARNING"))</f>
        <v/>
      </c>
      <c r="U385" s="165" t="str">
        <f>IF($A385="","",IF($S385&gt;0,"ERROR",IF($T385&gt;0,"WARNING","PASS")))</f>
        <v/>
      </c>
    </row>
    <row r="386" spans="1:21" x14ac:dyDescent="0.3">
      <c r="A386" t="str">
        <f>IF(AND('Daily Data'!$A386="",'Daily Data'!$B386=""),"",386)</f>
        <v/>
      </c>
      <c r="B386" s="16" t="str">
        <f>IF($A386="","",'Daily Data'!$A386)</f>
        <v/>
      </c>
      <c r="C386" t="str">
        <f>IF($A386="","",'Daily Data'!$B386)</f>
        <v/>
      </c>
      <c r="D386" s="165" t="str">
        <f>IF($A386="","",IF(COUNTIFS('Daily Data'!$B$4:$B$503,'Daily Data'!$B386,'Daily Data'!$A$4:$A$503,'Daily Data'!$A386)&gt;1,"ERROR","OK"))</f>
        <v/>
      </c>
      <c r="E386" s="165" t="str">
        <f>IF($A386="","",IF('Daily Data'!$B386="","ERROR","OK"))</f>
        <v/>
      </c>
      <c r="F386" s="165" t="str">
        <f>IF($A386="","",IF(NOT(ISNUMBER('Daily Data'!$A386)),"ERROR","OK"))</f>
        <v/>
      </c>
      <c r="G386" s="165" t="str">
        <f>IF($A386="","",IF(OR(N('Daily Data'!$E386)&lt;=0,N('Daily Data'!$C386)&lt;0,N('Daily Data'!$D386)&lt;0,N('Daily Data'!$F386)&lt;0,N('Daily Data'!$G386)&lt;0),"ERROR","OK"))</f>
        <v/>
      </c>
      <c r="H386" s="165" t="str">
        <f>IF($A386="","",IF(N('Daily Data'!$K386)&lt;0,"ERROR","OK"))</f>
        <v/>
      </c>
      <c r="I386" s="165" t="str">
        <f>IF($A386="","",IF(N('Daily Data'!$I386)&lt;0,"ERROR","OK"))</f>
        <v/>
      </c>
      <c r="J386" s="165" t="str">
        <f>IF($A386="","",IF(N('Daily Data'!$L386)&lt;0,"ERROR","OK"))</f>
        <v/>
      </c>
      <c r="K386" s="165" t="str">
        <f>IF($A386="","",IF(N('Daily Data'!$M386)&lt;0,"ERROR","OK"))</f>
        <v/>
      </c>
      <c r="L386" s="165" t="str">
        <f>IF($A386="","",IF(OR(N('Daily Data'!$F386)=0,N('Daily Data'!$G386)=0),"OK",IF(OR(N('Daily Data'!$E386)&gt;N('Daily Data'!$F386),N('Daily Data'!$E386)&lt;N('Daily Data'!$G386)),"ERROR","OK")))</f>
        <v/>
      </c>
      <c r="M386" s="165" t="str">
        <f>IF($A386="","",IF(N('Daily Data'!$AK386)&lt;=1,"OK",IF(ROUND(N('Daily Data'!$D386),2)=ROUND(SUMIFS('Daily Data'!$E$4:$E$503,'Daily Data'!$B$4:$B$503,'Daily Data'!$B386,'Daily Data'!$AK$4:$AK$503,'Daily Data'!$AK386-1),2),"OK","WARNING")))</f>
        <v/>
      </c>
      <c r="N386" s="165" t="str">
        <f>IF($A386="","",IF(N('Daily Data'!$N386)&lt;=0,"WARNING","OK"))</f>
        <v/>
      </c>
      <c r="O386" s="165" t="str">
        <f>IF($A386="","",IF(AND(ISNUMBER('Daily Data'!$H386),ABS(N('Daily Data'!$H386))&gt;Settings!$C$56),"WARNING","OK"))</f>
        <v/>
      </c>
      <c r="P386" s="165" t="str">
        <f>IF($A386="","",IF(OR(AND(N('Daily Data'!$K386)=0,N('Daily Data'!$I386)&gt;0),AND(N('Daily Data'!$I386)=0,N('Daily Data'!$K386)&gt;0),AND(N('Daily Data'!$L386)=0,N('Daily Data'!$M386)=0)),"WARNING","OK"))</f>
        <v/>
      </c>
      <c r="Q386" s="165" t="str">
        <f>IF($A386="","",IF(COUNTIFS('Daily Data'!$B$4:$B$503,'Daily Data'!$B386,'Daily Data'!$A$4:$A$503,'Daily Data'!$A386,'Daily Data'!$Q$4:$Q$503,'Daily Data'!$Q386)&gt;1,"WARNING","OK"))</f>
        <v/>
      </c>
      <c r="R386" s="165" t="str">
        <f>IF($A386="","",IF(AND(N('Daily Data'!$K386)&gt;0,N('Daily Data'!$J386)&lt;=0),"WARNING","OK"))</f>
        <v/>
      </c>
      <c r="S386" s="165" t="str">
        <f>IF($A386="","",COUNTIF($D386:$R386,"ERROR"))</f>
        <v/>
      </c>
      <c r="T386" s="165" t="str">
        <f>IF($A386="","",COUNTIF($D386:$R386,"WARNING"))</f>
        <v/>
      </c>
      <c r="U386" s="165" t="str">
        <f>IF($A386="","",IF($S386&gt;0,"ERROR",IF($T386&gt;0,"WARNING","PASS")))</f>
        <v/>
      </c>
    </row>
    <row r="387" spans="1:21" x14ac:dyDescent="0.3">
      <c r="A387" t="str">
        <f>IF(AND('Daily Data'!$A387="",'Daily Data'!$B387=""),"",387)</f>
        <v/>
      </c>
      <c r="B387" s="16" t="str">
        <f>IF($A387="","",'Daily Data'!$A387)</f>
        <v/>
      </c>
      <c r="C387" t="str">
        <f>IF($A387="","",'Daily Data'!$B387)</f>
        <v/>
      </c>
      <c r="D387" s="165" t="str">
        <f>IF($A387="","",IF(COUNTIFS('Daily Data'!$B$4:$B$503,'Daily Data'!$B387,'Daily Data'!$A$4:$A$503,'Daily Data'!$A387)&gt;1,"ERROR","OK"))</f>
        <v/>
      </c>
      <c r="E387" s="165" t="str">
        <f>IF($A387="","",IF('Daily Data'!$B387="","ERROR","OK"))</f>
        <v/>
      </c>
      <c r="F387" s="165" t="str">
        <f>IF($A387="","",IF(NOT(ISNUMBER('Daily Data'!$A387)),"ERROR","OK"))</f>
        <v/>
      </c>
      <c r="G387" s="165" t="str">
        <f>IF($A387="","",IF(OR(N('Daily Data'!$E387)&lt;=0,N('Daily Data'!$C387)&lt;0,N('Daily Data'!$D387)&lt;0,N('Daily Data'!$F387)&lt;0,N('Daily Data'!$G387)&lt;0),"ERROR","OK"))</f>
        <v/>
      </c>
      <c r="H387" s="165" t="str">
        <f>IF($A387="","",IF(N('Daily Data'!$K387)&lt;0,"ERROR","OK"))</f>
        <v/>
      </c>
      <c r="I387" s="165" t="str">
        <f>IF($A387="","",IF(N('Daily Data'!$I387)&lt;0,"ERROR","OK"))</f>
        <v/>
      </c>
      <c r="J387" s="165" t="str">
        <f>IF($A387="","",IF(N('Daily Data'!$L387)&lt;0,"ERROR","OK"))</f>
        <v/>
      </c>
      <c r="K387" s="165" t="str">
        <f>IF($A387="","",IF(N('Daily Data'!$M387)&lt;0,"ERROR","OK"))</f>
        <v/>
      </c>
      <c r="L387" s="165" t="str">
        <f>IF($A387="","",IF(OR(N('Daily Data'!$F387)=0,N('Daily Data'!$G387)=0),"OK",IF(OR(N('Daily Data'!$E387)&gt;N('Daily Data'!$F387),N('Daily Data'!$E387)&lt;N('Daily Data'!$G387)),"ERROR","OK")))</f>
        <v/>
      </c>
      <c r="M387" s="165" t="str">
        <f>IF($A387="","",IF(N('Daily Data'!$AK387)&lt;=1,"OK",IF(ROUND(N('Daily Data'!$D387),2)=ROUND(SUMIFS('Daily Data'!$E$4:$E$503,'Daily Data'!$B$4:$B$503,'Daily Data'!$B387,'Daily Data'!$AK$4:$AK$503,'Daily Data'!$AK387-1),2),"OK","WARNING")))</f>
        <v/>
      </c>
      <c r="N387" s="165" t="str">
        <f>IF($A387="","",IF(N('Daily Data'!$N387)&lt;=0,"WARNING","OK"))</f>
        <v/>
      </c>
      <c r="O387" s="165" t="str">
        <f>IF($A387="","",IF(AND(ISNUMBER('Daily Data'!$H387),ABS(N('Daily Data'!$H387))&gt;Settings!$C$56),"WARNING","OK"))</f>
        <v/>
      </c>
      <c r="P387" s="165" t="str">
        <f>IF($A387="","",IF(OR(AND(N('Daily Data'!$K387)=0,N('Daily Data'!$I387)&gt;0),AND(N('Daily Data'!$I387)=0,N('Daily Data'!$K387)&gt;0),AND(N('Daily Data'!$L387)=0,N('Daily Data'!$M387)=0)),"WARNING","OK"))</f>
        <v/>
      </c>
      <c r="Q387" s="165" t="str">
        <f>IF($A387="","",IF(COUNTIFS('Daily Data'!$B$4:$B$503,'Daily Data'!$B387,'Daily Data'!$A$4:$A$503,'Daily Data'!$A387,'Daily Data'!$Q$4:$Q$503,'Daily Data'!$Q387)&gt;1,"WARNING","OK"))</f>
        <v/>
      </c>
      <c r="R387" s="165" t="str">
        <f>IF($A387="","",IF(AND(N('Daily Data'!$K387)&gt;0,N('Daily Data'!$J387)&lt;=0),"WARNING","OK"))</f>
        <v/>
      </c>
      <c r="S387" s="165" t="str">
        <f>IF($A387="","",COUNTIF($D387:$R387,"ERROR"))</f>
        <v/>
      </c>
      <c r="T387" s="165" t="str">
        <f>IF($A387="","",COUNTIF($D387:$R387,"WARNING"))</f>
        <v/>
      </c>
      <c r="U387" s="165" t="str">
        <f>IF($A387="","",IF($S387&gt;0,"ERROR",IF($T387&gt;0,"WARNING","PASS")))</f>
        <v/>
      </c>
    </row>
    <row r="388" spans="1:21" x14ac:dyDescent="0.3">
      <c r="A388" t="str">
        <f>IF(AND('Daily Data'!$A388="",'Daily Data'!$B388=""),"",388)</f>
        <v/>
      </c>
      <c r="B388" s="16" t="str">
        <f>IF($A388="","",'Daily Data'!$A388)</f>
        <v/>
      </c>
      <c r="C388" t="str">
        <f>IF($A388="","",'Daily Data'!$B388)</f>
        <v/>
      </c>
      <c r="D388" s="165" t="str">
        <f>IF($A388="","",IF(COUNTIFS('Daily Data'!$B$4:$B$503,'Daily Data'!$B388,'Daily Data'!$A$4:$A$503,'Daily Data'!$A388)&gt;1,"ERROR","OK"))</f>
        <v/>
      </c>
      <c r="E388" s="165" t="str">
        <f>IF($A388="","",IF('Daily Data'!$B388="","ERROR","OK"))</f>
        <v/>
      </c>
      <c r="F388" s="165" t="str">
        <f>IF($A388="","",IF(NOT(ISNUMBER('Daily Data'!$A388)),"ERROR","OK"))</f>
        <v/>
      </c>
      <c r="G388" s="165" t="str">
        <f>IF($A388="","",IF(OR(N('Daily Data'!$E388)&lt;=0,N('Daily Data'!$C388)&lt;0,N('Daily Data'!$D388)&lt;0,N('Daily Data'!$F388)&lt;0,N('Daily Data'!$G388)&lt;0),"ERROR","OK"))</f>
        <v/>
      </c>
      <c r="H388" s="165" t="str">
        <f>IF($A388="","",IF(N('Daily Data'!$K388)&lt;0,"ERROR","OK"))</f>
        <v/>
      </c>
      <c r="I388" s="165" t="str">
        <f>IF($A388="","",IF(N('Daily Data'!$I388)&lt;0,"ERROR","OK"))</f>
        <v/>
      </c>
      <c r="J388" s="165" t="str">
        <f>IF($A388="","",IF(N('Daily Data'!$L388)&lt;0,"ERROR","OK"))</f>
        <v/>
      </c>
      <c r="K388" s="165" t="str">
        <f>IF($A388="","",IF(N('Daily Data'!$M388)&lt;0,"ERROR","OK"))</f>
        <v/>
      </c>
      <c r="L388" s="165" t="str">
        <f>IF($A388="","",IF(OR(N('Daily Data'!$F388)=0,N('Daily Data'!$G388)=0),"OK",IF(OR(N('Daily Data'!$E388)&gt;N('Daily Data'!$F388),N('Daily Data'!$E388)&lt;N('Daily Data'!$G388)),"ERROR","OK")))</f>
        <v/>
      </c>
      <c r="M388" s="165" t="str">
        <f>IF($A388="","",IF(N('Daily Data'!$AK388)&lt;=1,"OK",IF(ROUND(N('Daily Data'!$D388),2)=ROUND(SUMIFS('Daily Data'!$E$4:$E$503,'Daily Data'!$B$4:$B$503,'Daily Data'!$B388,'Daily Data'!$AK$4:$AK$503,'Daily Data'!$AK388-1),2),"OK","WARNING")))</f>
        <v/>
      </c>
      <c r="N388" s="165" t="str">
        <f>IF($A388="","",IF(N('Daily Data'!$N388)&lt;=0,"WARNING","OK"))</f>
        <v/>
      </c>
      <c r="O388" s="165" t="str">
        <f>IF($A388="","",IF(AND(ISNUMBER('Daily Data'!$H388),ABS(N('Daily Data'!$H388))&gt;Settings!$C$56),"WARNING","OK"))</f>
        <v/>
      </c>
      <c r="P388" s="165" t="str">
        <f>IF($A388="","",IF(OR(AND(N('Daily Data'!$K388)=0,N('Daily Data'!$I388)&gt;0),AND(N('Daily Data'!$I388)=0,N('Daily Data'!$K388)&gt;0),AND(N('Daily Data'!$L388)=0,N('Daily Data'!$M388)=0)),"WARNING","OK"))</f>
        <v/>
      </c>
      <c r="Q388" s="165" t="str">
        <f>IF($A388="","",IF(COUNTIFS('Daily Data'!$B$4:$B$503,'Daily Data'!$B388,'Daily Data'!$A$4:$A$503,'Daily Data'!$A388,'Daily Data'!$Q$4:$Q$503,'Daily Data'!$Q388)&gt;1,"WARNING","OK"))</f>
        <v/>
      </c>
      <c r="R388" s="165" t="str">
        <f>IF($A388="","",IF(AND(N('Daily Data'!$K388)&gt;0,N('Daily Data'!$J388)&lt;=0),"WARNING","OK"))</f>
        <v/>
      </c>
      <c r="S388" s="165" t="str">
        <f>IF($A388="","",COUNTIF($D388:$R388,"ERROR"))</f>
        <v/>
      </c>
      <c r="T388" s="165" t="str">
        <f>IF($A388="","",COUNTIF($D388:$R388,"WARNING"))</f>
        <v/>
      </c>
      <c r="U388" s="165" t="str">
        <f>IF($A388="","",IF($S388&gt;0,"ERROR",IF($T388&gt;0,"WARNING","PASS")))</f>
        <v/>
      </c>
    </row>
    <row r="389" spans="1:21" x14ac:dyDescent="0.3">
      <c r="A389" t="str">
        <f>IF(AND('Daily Data'!$A389="",'Daily Data'!$B389=""),"",389)</f>
        <v/>
      </c>
      <c r="B389" s="16" t="str">
        <f>IF($A389="","",'Daily Data'!$A389)</f>
        <v/>
      </c>
      <c r="C389" t="str">
        <f>IF($A389="","",'Daily Data'!$B389)</f>
        <v/>
      </c>
      <c r="D389" s="165" t="str">
        <f>IF($A389="","",IF(COUNTIFS('Daily Data'!$B$4:$B$503,'Daily Data'!$B389,'Daily Data'!$A$4:$A$503,'Daily Data'!$A389)&gt;1,"ERROR","OK"))</f>
        <v/>
      </c>
      <c r="E389" s="165" t="str">
        <f>IF($A389="","",IF('Daily Data'!$B389="","ERROR","OK"))</f>
        <v/>
      </c>
      <c r="F389" s="165" t="str">
        <f>IF($A389="","",IF(NOT(ISNUMBER('Daily Data'!$A389)),"ERROR","OK"))</f>
        <v/>
      </c>
      <c r="G389" s="165" t="str">
        <f>IF($A389="","",IF(OR(N('Daily Data'!$E389)&lt;=0,N('Daily Data'!$C389)&lt;0,N('Daily Data'!$D389)&lt;0,N('Daily Data'!$F389)&lt;0,N('Daily Data'!$G389)&lt;0),"ERROR","OK"))</f>
        <v/>
      </c>
      <c r="H389" s="165" t="str">
        <f>IF($A389="","",IF(N('Daily Data'!$K389)&lt;0,"ERROR","OK"))</f>
        <v/>
      </c>
      <c r="I389" s="165" t="str">
        <f>IF($A389="","",IF(N('Daily Data'!$I389)&lt;0,"ERROR","OK"))</f>
        <v/>
      </c>
      <c r="J389" s="165" t="str">
        <f>IF($A389="","",IF(N('Daily Data'!$L389)&lt;0,"ERROR","OK"))</f>
        <v/>
      </c>
      <c r="K389" s="165" t="str">
        <f>IF($A389="","",IF(N('Daily Data'!$M389)&lt;0,"ERROR","OK"))</f>
        <v/>
      </c>
      <c r="L389" s="165" t="str">
        <f>IF($A389="","",IF(OR(N('Daily Data'!$F389)=0,N('Daily Data'!$G389)=0),"OK",IF(OR(N('Daily Data'!$E389)&gt;N('Daily Data'!$F389),N('Daily Data'!$E389)&lt;N('Daily Data'!$G389)),"ERROR","OK")))</f>
        <v/>
      </c>
      <c r="M389" s="165" t="str">
        <f>IF($A389="","",IF(N('Daily Data'!$AK389)&lt;=1,"OK",IF(ROUND(N('Daily Data'!$D389),2)=ROUND(SUMIFS('Daily Data'!$E$4:$E$503,'Daily Data'!$B$4:$B$503,'Daily Data'!$B389,'Daily Data'!$AK$4:$AK$503,'Daily Data'!$AK389-1),2),"OK","WARNING")))</f>
        <v/>
      </c>
      <c r="N389" s="165" t="str">
        <f>IF($A389="","",IF(N('Daily Data'!$N389)&lt;=0,"WARNING","OK"))</f>
        <v/>
      </c>
      <c r="O389" s="165" t="str">
        <f>IF($A389="","",IF(AND(ISNUMBER('Daily Data'!$H389),ABS(N('Daily Data'!$H389))&gt;Settings!$C$56),"WARNING","OK"))</f>
        <v/>
      </c>
      <c r="P389" s="165" t="str">
        <f>IF($A389="","",IF(OR(AND(N('Daily Data'!$K389)=0,N('Daily Data'!$I389)&gt;0),AND(N('Daily Data'!$I389)=0,N('Daily Data'!$K389)&gt;0),AND(N('Daily Data'!$L389)=0,N('Daily Data'!$M389)=0)),"WARNING","OK"))</f>
        <v/>
      </c>
      <c r="Q389" s="165" t="str">
        <f>IF($A389="","",IF(COUNTIFS('Daily Data'!$B$4:$B$503,'Daily Data'!$B389,'Daily Data'!$A$4:$A$503,'Daily Data'!$A389,'Daily Data'!$Q$4:$Q$503,'Daily Data'!$Q389)&gt;1,"WARNING","OK"))</f>
        <v/>
      </c>
      <c r="R389" s="165" t="str">
        <f>IF($A389="","",IF(AND(N('Daily Data'!$K389)&gt;0,N('Daily Data'!$J389)&lt;=0),"WARNING","OK"))</f>
        <v/>
      </c>
      <c r="S389" s="165" t="str">
        <f>IF($A389="","",COUNTIF($D389:$R389,"ERROR"))</f>
        <v/>
      </c>
      <c r="T389" s="165" t="str">
        <f>IF($A389="","",COUNTIF($D389:$R389,"WARNING"))</f>
        <v/>
      </c>
      <c r="U389" s="165" t="str">
        <f>IF($A389="","",IF($S389&gt;0,"ERROR",IF($T389&gt;0,"WARNING","PASS")))</f>
        <v/>
      </c>
    </row>
    <row r="390" spans="1:21" x14ac:dyDescent="0.3">
      <c r="A390" t="str">
        <f>IF(AND('Daily Data'!$A390="",'Daily Data'!$B390=""),"",390)</f>
        <v/>
      </c>
      <c r="B390" s="16" t="str">
        <f>IF($A390="","",'Daily Data'!$A390)</f>
        <v/>
      </c>
      <c r="C390" t="str">
        <f>IF($A390="","",'Daily Data'!$B390)</f>
        <v/>
      </c>
      <c r="D390" s="165" t="str">
        <f>IF($A390="","",IF(COUNTIFS('Daily Data'!$B$4:$B$503,'Daily Data'!$B390,'Daily Data'!$A$4:$A$503,'Daily Data'!$A390)&gt;1,"ERROR","OK"))</f>
        <v/>
      </c>
      <c r="E390" s="165" t="str">
        <f>IF($A390="","",IF('Daily Data'!$B390="","ERROR","OK"))</f>
        <v/>
      </c>
      <c r="F390" s="165" t="str">
        <f>IF($A390="","",IF(NOT(ISNUMBER('Daily Data'!$A390)),"ERROR","OK"))</f>
        <v/>
      </c>
      <c r="G390" s="165" t="str">
        <f>IF($A390="","",IF(OR(N('Daily Data'!$E390)&lt;=0,N('Daily Data'!$C390)&lt;0,N('Daily Data'!$D390)&lt;0,N('Daily Data'!$F390)&lt;0,N('Daily Data'!$G390)&lt;0),"ERROR","OK"))</f>
        <v/>
      </c>
      <c r="H390" s="165" t="str">
        <f>IF($A390="","",IF(N('Daily Data'!$K390)&lt;0,"ERROR","OK"))</f>
        <v/>
      </c>
      <c r="I390" s="165" t="str">
        <f>IF($A390="","",IF(N('Daily Data'!$I390)&lt;0,"ERROR","OK"))</f>
        <v/>
      </c>
      <c r="J390" s="165" t="str">
        <f>IF($A390="","",IF(N('Daily Data'!$L390)&lt;0,"ERROR","OK"))</f>
        <v/>
      </c>
      <c r="K390" s="165" t="str">
        <f>IF($A390="","",IF(N('Daily Data'!$M390)&lt;0,"ERROR","OK"))</f>
        <v/>
      </c>
      <c r="L390" s="165" t="str">
        <f>IF($A390="","",IF(OR(N('Daily Data'!$F390)=0,N('Daily Data'!$G390)=0),"OK",IF(OR(N('Daily Data'!$E390)&gt;N('Daily Data'!$F390),N('Daily Data'!$E390)&lt;N('Daily Data'!$G390)),"ERROR","OK")))</f>
        <v/>
      </c>
      <c r="M390" s="165" t="str">
        <f>IF($A390="","",IF(N('Daily Data'!$AK390)&lt;=1,"OK",IF(ROUND(N('Daily Data'!$D390),2)=ROUND(SUMIFS('Daily Data'!$E$4:$E$503,'Daily Data'!$B$4:$B$503,'Daily Data'!$B390,'Daily Data'!$AK$4:$AK$503,'Daily Data'!$AK390-1),2),"OK","WARNING")))</f>
        <v/>
      </c>
      <c r="N390" s="165" t="str">
        <f>IF($A390="","",IF(N('Daily Data'!$N390)&lt;=0,"WARNING","OK"))</f>
        <v/>
      </c>
      <c r="O390" s="165" t="str">
        <f>IF($A390="","",IF(AND(ISNUMBER('Daily Data'!$H390),ABS(N('Daily Data'!$H390))&gt;Settings!$C$56),"WARNING","OK"))</f>
        <v/>
      </c>
      <c r="P390" s="165" t="str">
        <f>IF($A390="","",IF(OR(AND(N('Daily Data'!$K390)=0,N('Daily Data'!$I390)&gt;0),AND(N('Daily Data'!$I390)=0,N('Daily Data'!$K390)&gt;0),AND(N('Daily Data'!$L390)=0,N('Daily Data'!$M390)=0)),"WARNING","OK"))</f>
        <v/>
      </c>
      <c r="Q390" s="165" t="str">
        <f>IF($A390="","",IF(COUNTIFS('Daily Data'!$B$4:$B$503,'Daily Data'!$B390,'Daily Data'!$A$4:$A$503,'Daily Data'!$A390,'Daily Data'!$Q$4:$Q$503,'Daily Data'!$Q390)&gt;1,"WARNING","OK"))</f>
        <v/>
      </c>
      <c r="R390" s="165" t="str">
        <f>IF($A390="","",IF(AND(N('Daily Data'!$K390)&gt;0,N('Daily Data'!$J390)&lt;=0),"WARNING","OK"))</f>
        <v/>
      </c>
      <c r="S390" s="165" t="str">
        <f>IF($A390="","",COUNTIF($D390:$R390,"ERROR"))</f>
        <v/>
      </c>
      <c r="T390" s="165" t="str">
        <f>IF($A390="","",COUNTIF($D390:$R390,"WARNING"))</f>
        <v/>
      </c>
      <c r="U390" s="165" t="str">
        <f>IF($A390="","",IF($S390&gt;0,"ERROR",IF($T390&gt;0,"WARNING","PASS")))</f>
        <v/>
      </c>
    </row>
    <row r="391" spans="1:21" x14ac:dyDescent="0.3">
      <c r="A391" t="str">
        <f>IF(AND('Daily Data'!$A391="",'Daily Data'!$B391=""),"",391)</f>
        <v/>
      </c>
      <c r="B391" s="16" t="str">
        <f>IF($A391="","",'Daily Data'!$A391)</f>
        <v/>
      </c>
      <c r="C391" t="str">
        <f>IF($A391="","",'Daily Data'!$B391)</f>
        <v/>
      </c>
      <c r="D391" s="165" t="str">
        <f>IF($A391="","",IF(COUNTIFS('Daily Data'!$B$4:$B$503,'Daily Data'!$B391,'Daily Data'!$A$4:$A$503,'Daily Data'!$A391)&gt;1,"ERROR","OK"))</f>
        <v/>
      </c>
      <c r="E391" s="165" t="str">
        <f>IF($A391="","",IF('Daily Data'!$B391="","ERROR","OK"))</f>
        <v/>
      </c>
      <c r="F391" s="165" t="str">
        <f>IF($A391="","",IF(NOT(ISNUMBER('Daily Data'!$A391)),"ERROR","OK"))</f>
        <v/>
      </c>
      <c r="G391" s="165" t="str">
        <f>IF($A391="","",IF(OR(N('Daily Data'!$E391)&lt;=0,N('Daily Data'!$C391)&lt;0,N('Daily Data'!$D391)&lt;0,N('Daily Data'!$F391)&lt;0,N('Daily Data'!$G391)&lt;0),"ERROR","OK"))</f>
        <v/>
      </c>
      <c r="H391" s="165" t="str">
        <f>IF($A391="","",IF(N('Daily Data'!$K391)&lt;0,"ERROR","OK"))</f>
        <v/>
      </c>
      <c r="I391" s="165" t="str">
        <f>IF($A391="","",IF(N('Daily Data'!$I391)&lt;0,"ERROR","OK"))</f>
        <v/>
      </c>
      <c r="J391" s="165" t="str">
        <f>IF($A391="","",IF(N('Daily Data'!$L391)&lt;0,"ERROR","OK"))</f>
        <v/>
      </c>
      <c r="K391" s="165" t="str">
        <f>IF($A391="","",IF(N('Daily Data'!$M391)&lt;0,"ERROR","OK"))</f>
        <v/>
      </c>
      <c r="L391" s="165" t="str">
        <f>IF($A391="","",IF(OR(N('Daily Data'!$F391)=0,N('Daily Data'!$G391)=0),"OK",IF(OR(N('Daily Data'!$E391)&gt;N('Daily Data'!$F391),N('Daily Data'!$E391)&lt;N('Daily Data'!$G391)),"ERROR","OK")))</f>
        <v/>
      </c>
      <c r="M391" s="165" t="str">
        <f>IF($A391="","",IF(N('Daily Data'!$AK391)&lt;=1,"OK",IF(ROUND(N('Daily Data'!$D391),2)=ROUND(SUMIFS('Daily Data'!$E$4:$E$503,'Daily Data'!$B$4:$B$503,'Daily Data'!$B391,'Daily Data'!$AK$4:$AK$503,'Daily Data'!$AK391-1),2),"OK","WARNING")))</f>
        <v/>
      </c>
      <c r="N391" s="165" t="str">
        <f>IF($A391="","",IF(N('Daily Data'!$N391)&lt;=0,"WARNING","OK"))</f>
        <v/>
      </c>
      <c r="O391" s="165" t="str">
        <f>IF($A391="","",IF(AND(ISNUMBER('Daily Data'!$H391),ABS(N('Daily Data'!$H391))&gt;Settings!$C$56),"WARNING","OK"))</f>
        <v/>
      </c>
      <c r="P391" s="165" t="str">
        <f>IF($A391="","",IF(OR(AND(N('Daily Data'!$K391)=0,N('Daily Data'!$I391)&gt;0),AND(N('Daily Data'!$I391)=0,N('Daily Data'!$K391)&gt;0),AND(N('Daily Data'!$L391)=0,N('Daily Data'!$M391)=0)),"WARNING","OK"))</f>
        <v/>
      </c>
      <c r="Q391" s="165" t="str">
        <f>IF($A391="","",IF(COUNTIFS('Daily Data'!$B$4:$B$503,'Daily Data'!$B391,'Daily Data'!$A$4:$A$503,'Daily Data'!$A391,'Daily Data'!$Q$4:$Q$503,'Daily Data'!$Q391)&gt;1,"WARNING","OK"))</f>
        <v/>
      </c>
      <c r="R391" s="165" t="str">
        <f>IF($A391="","",IF(AND(N('Daily Data'!$K391)&gt;0,N('Daily Data'!$J391)&lt;=0),"WARNING","OK"))</f>
        <v/>
      </c>
      <c r="S391" s="165" t="str">
        <f>IF($A391="","",COUNTIF($D391:$R391,"ERROR"))</f>
        <v/>
      </c>
      <c r="T391" s="165" t="str">
        <f>IF($A391="","",COUNTIF($D391:$R391,"WARNING"))</f>
        <v/>
      </c>
      <c r="U391" s="165" t="str">
        <f>IF($A391="","",IF($S391&gt;0,"ERROR",IF($T391&gt;0,"WARNING","PASS")))</f>
        <v/>
      </c>
    </row>
    <row r="392" spans="1:21" x14ac:dyDescent="0.3">
      <c r="A392" t="str">
        <f>IF(AND('Daily Data'!$A392="",'Daily Data'!$B392=""),"",392)</f>
        <v/>
      </c>
      <c r="B392" s="16" t="str">
        <f>IF($A392="","",'Daily Data'!$A392)</f>
        <v/>
      </c>
      <c r="C392" t="str">
        <f>IF($A392="","",'Daily Data'!$B392)</f>
        <v/>
      </c>
      <c r="D392" s="165" t="str">
        <f>IF($A392="","",IF(COUNTIFS('Daily Data'!$B$4:$B$503,'Daily Data'!$B392,'Daily Data'!$A$4:$A$503,'Daily Data'!$A392)&gt;1,"ERROR","OK"))</f>
        <v/>
      </c>
      <c r="E392" s="165" t="str">
        <f>IF($A392="","",IF('Daily Data'!$B392="","ERROR","OK"))</f>
        <v/>
      </c>
      <c r="F392" s="165" t="str">
        <f>IF($A392="","",IF(NOT(ISNUMBER('Daily Data'!$A392)),"ERROR","OK"))</f>
        <v/>
      </c>
      <c r="G392" s="165" t="str">
        <f>IF($A392="","",IF(OR(N('Daily Data'!$E392)&lt;=0,N('Daily Data'!$C392)&lt;0,N('Daily Data'!$D392)&lt;0,N('Daily Data'!$F392)&lt;0,N('Daily Data'!$G392)&lt;0),"ERROR","OK"))</f>
        <v/>
      </c>
      <c r="H392" s="165" t="str">
        <f>IF($A392="","",IF(N('Daily Data'!$K392)&lt;0,"ERROR","OK"))</f>
        <v/>
      </c>
      <c r="I392" s="165" t="str">
        <f>IF($A392="","",IF(N('Daily Data'!$I392)&lt;0,"ERROR","OK"))</f>
        <v/>
      </c>
      <c r="J392" s="165" t="str">
        <f>IF($A392="","",IF(N('Daily Data'!$L392)&lt;0,"ERROR","OK"))</f>
        <v/>
      </c>
      <c r="K392" s="165" t="str">
        <f>IF($A392="","",IF(N('Daily Data'!$M392)&lt;0,"ERROR","OK"))</f>
        <v/>
      </c>
      <c r="L392" s="165" t="str">
        <f>IF($A392="","",IF(OR(N('Daily Data'!$F392)=0,N('Daily Data'!$G392)=0),"OK",IF(OR(N('Daily Data'!$E392)&gt;N('Daily Data'!$F392),N('Daily Data'!$E392)&lt;N('Daily Data'!$G392)),"ERROR","OK")))</f>
        <v/>
      </c>
      <c r="M392" s="165" t="str">
        <f>IF($A392="","",IF(N('Daily Data'!$AK392)&lt;=1,"OK",IF(ROUND(N('Daily Data'!$D392),2)=ROUND(SUMIFS('Daily Data'!$E$4:$E$503,'Daily Data'!$B$4:$B$503,'Daily Data'!$B392,'Daily Data'!$AK$4:$AK$503,'Daily Data'!$AK392-1),2),"OK","WARNING")))</f>
        <v/>
      </c>
      <c r="N392" s="165" t="str">
        <f>IF($A392="","",IF(N('Daily Data'!$N392)&lt;=0,"WARNING","OK"))</f>
        <v/>
      </c>
      <c r="O392" s="165" t="str">
        <f>IF($A392="","",IF(AND(ISNUMBER('Daily Data'!$H392),ABS(N('Daily Data'!$H392))&gt;Settings!$C$56),"WARNING","OK"))</f>
        <v/>
      </c>
      <c r="P392" s="165" t="str">
        <f>IF($A392="","",IF(OR(AND(N('Daily Data'!$K392)=0,N('Daily Data'!$I392)&gt;0),AND(N('Daily Data'!$I392)=0,N('Daily Data'!$K392)&gt;0),AND(N('Daily Data'!$L392)=0,N('Daily Data'!$M392)=0)),"WARNING","OK"))</f>
        <v/>
      </c>
      <c r="Q392" s="165" t="str">
        <f>IF($A392="","",IF(COUNTIFS('Daily Data'!$B$4:$B$503,'Daily Data'!$B392,'Daily Data'!$A$4:$A$503,'Daily Data'!$A392,'Daily Data'!$Q$4:$Q$503,'Daily Data'!$Q392)&gt;1,"WARNING","OK"))</f>
        <v/>
      </c>
      <c r="R392" s="165" t="str">
        <f>IF($A392="","",IF(AND(N('Daily Data'!$K392)&gt;0,N('Daily Data'!$J392)&lt;=0),"WARNING","OK"))</f>
        <v/>
      </c>
      <c r="S392" s="165" t="str">
        <f>IF($A392="","",COUNTIF($D392:$R392,"ERROR"))</f>
        <v/>
      </c>
      <c r="T392" s="165" t="str">
        <f>IF($A392="","",COUNTIF($D392:$R392,"WARNING"))</f>
        <v/>
      </c>
      <c r="U392" s="165" t="str">
        <f>IF($A392="","",IF($S392&gt;0,"ERROR",IF($T392&gt;0,"WARNING","PASS")))</f>
        <v/>
      </c>
    </row>
    <row r="393" spans="1:21" x14ac:dyDescent="0.3">
      <c r="A393" t="str">
        <f>IF(AND('Daily Data'!$A393="",'Daily Data'!$B393=""),"",393)</f>
        <v/>
      </c>
      <c r="B393" s="16" t="str">
        <f>IF($A393="","",'Daily Data'!$A393)</f>
        <v/>
      </c>
      <c r="C393" t="str">
        <f>IF($A393="","",'Daily Data'!$B393)</f>
        <v/>
      </c>
      <c r="D393" s="165" t="str">
        <f>IF($A393="","",IF(COUNTIFS('Daily Data'!$B$4:$B$503,'Daily Data'!$B393,'Daily Data'!$A$4:$A$503,'Daily Data'!$A393)&gt;1,"ERROR","OK"))</f>
        <v/>
      </c>
      <c r="E393" s="165" t="str">
        <f>IF($A393="","",IF('Daily Data'!$B393="","ERROR","OK"))</f>
        <v/>
      </c>
      <c r="F393" s="165" t="str">
        <f>IF($A393="","",IF(NOT(ISNUMBER('Daily Data'!$A393)),"ERROR","OK"))</f>
        <v/>
      </c>
      <c r="G393" s="165" t="str">
        <f>IF($A393="","",IF(OR(N('Daily Data'!$E393)&lt;=0,N('Daily Data'!$C393)&lt;0,N('Daily Data'!$D393)&lt;0,N('Daily Data'!$F393)&lt;0,N('Daily Data'!$G393)&lt;0),"ERROR","OK"))</f>
        <v/>
      </c>
      <c r="H393" s="165" t="str">
        <f>IF($A393="","",IF(N('Daily Data'!$K393)&lt;0,"ERROR","OK"))</f>
        <v/>
      </c>
      <c r="I393" s="165" t="str">
        <f>IF($A393="","",IF(N('Daily Data'!$I393)&lt;0,"ERROR","OK"))</f>
        <v/>
      </c>
      <c r="J393" s="165" t="str">
        <f>IF($A393="","",IF(N('Daily Data'!$L393)&lt;0,"ERROR","OK"))</f>
        <v/>
      </c>
      <c r="K393" s="165" t="str">
        <f>IF($A393="","",IF(N('Daily Data'!$M393)&lt;0,"ERROR","OK"))</f>
        <v/>
      </c>
      <c r="L393" s="165" t="str">
        <f>IF($A393="","",IF(OR(N('Daily Data'!$F393)=0,N('Daily Data'!$G393)=0),"OK",IF(OR(N('Daily Data'!$E393)&gt;N('Daily Data'!$F393),N('Daily Data'!$E393)&lt;N('Daily Data'!$G393)),"ERROR","OK")))</f>
        <v/>
      </c>
      <c r="M393" s="165" t="str">
        <f>IF($A393="","",IF(N('Daily Data'!$AK393)&lt;=1,"OK",IF(ROUND(N('Daily Data'!$D393),2)=ROUND(SUMIFS('Daily Data'!$E$4:$E$503,'Daily Data'!$B$4:$B$503,'Daily Data'!$B393,'Daily Data'!$AK$4:$AK$503,'Daily Data'!$AK393-1),2),"OK","WARNING")))</f>
        <v/>
      </c>
      <c r="N393" s="165" t="str">
        <f>IF($A393="","",IF(N('Daily Data'!$N393)&lt;=0,"WARNING","OK"))</f>
        <v/>
      </c>
      <c r="O393" s="165" t="str">
        <f>IF($A393="","",IF(AND(ISNUMBER('Daily Data'!$H393),ABS(N('Daily Data'!$H393))&gt;Settings!$C$56),"WARNING","OK"))</f>
        <v/>
      </c>
      <c r="P393" s="165" t="str">
        <f>IF($A393="","",IF(OR(AND(N('Daily Data'!$K393)=0,N('Daily Data'!$I393)&gt;0),AND(N('Daily Data'!$I393)=0,N('Daily Data'!$K393)&gt;0),AND(N('Daily Data'!$L393)=0,N('Daily Data'!$M393)=0)),"WARNING","OK"))</f>
        <v/>
      </c>
      <c r="Q393" s="165" t="str">
        <f>IF($A393="","",IF(COUNTIFS('Daily Data'!$B$4:$B$503,'Daily Data'!$B393,'Daily Data'!$A$4:$A$503,'Daily Data'!$A393,'Daily Data'!$Q$4:$Q$503,'Daily Data'!$Q393)&gt;1,"WARNING","OK"))</f>
        <v/>
      </c>
      <c r="R393" s="165" t="str">
        <f>IF($A393="","",IF(AND(N('Daily Data'!$K393)&gt;0,N('Daily Data'!$J393)&lt;=0),"WARNING","OK"))</f>
        <v/>
      </c>
      <c r="S393" s="165" t="str">
        <f>IF($A393="","",COUNTIF($D393:$R393,"ERROR"))</f>
        <v/>
      </c>
      <c r="T393" s="165" t="str">
        <f>IF($A393="","",COUNTIF($D393:$R393,"WARNING"))</f>
        <v/>
      </c>
      <c r="U393" s="165" t="str">
        <f>IF($A393="","",IF($S393&gt;0,"ERROR",IF($T393&gt;0,"WARNING","PASS")))</f>
        <v/>
      </c>
    </row>
    <row r="394" spans="1:21" x14ac:dyDescent="0.3">
      <c r="A394" t="str">
        <f>IF(AND('Daily Data'!$A394="",'Daily Data'!$B394=""),"",394)</f>
        <v/>
      </c>
      <c r="B394" s="16" t="str">
        <f>IF($A394="","",'Daily Data'!$A394)</f>
        <v/>
      </c>
      <c r="C394" t="str">
        <f>IF($A394="","",'Daily Data'!$B394)</f>
        <v/>
      </c>
      <c r="D394" s="165" t="str">
        <f>IF($A394="","",IF(COUNTIFS('Daily Data'!$B$4:$B$503,'Daily Data'!$B394,'Daily Data'!$A$4:$A$503,'Daily Data'!$A394)&gt;1,"ERROR","OK"))</f>
        <v/>
      </c>
      <c r="E394" s="165" t="str">
        <f>IF($A394="","",IF('Daily Data'!$B394="","ERROR","OK"))</f>
        <v/>
      </c>
      <c r="F394" s="165" t="str">
        <f>IF($A394="","",IF(NOT(ISNUMBER('Daily Data'!$A394)),"ERROR","OK"))</f>
        <v/>
      </c>
      <c r="G394" s="165" t="str">
        <f>IF($A394="","",IF(OR(N('Daily Data'!$E394)&lt;=0,N('Daily Data'!$C394)&lt;0,N('Daily Data'!$D394)&lt;0,N('Daily Data'!$F394)&lt;0,N('Daily Data'!$G394)&lt;0),"ERROR","OK"))</f>
        <v/>
      </c>
      <c r="H394" s="165" t="str">
        <f>IF($A394="","",IF(N('Daily Data'!$K394)&lt;0,"ERROR","OK"))</f>
        <v/>
      </c>
      <c r="I394" s="165" t="str">
        <f>IF($A394="","",IF(N('Daily Data'!$I394)&lt;0,"ERROR","OK"))</f>
        <v/>
      </c>
      <c r="J394" s="165" t="str">
        <f>IF($A394="","",IF(N('Daily Data'!$L394)&lt;0,"ERROR","OK"))</f>
        <v/>
      </c>
      <c r="K394" s="165" t="str">
        <f>IF($A394="","",IF(N('Daily Data'!$M394)&lt;0,"ERROR","OK"))</f>
        <v/>
      </c>
      <c r="L394" s="165" t="str">
        <f>IF($A394="","",IF(OR(N('Daily Data'!$F394)=0,N('Daily Data'!$G394)=0),"OK",IF(OR(N('Daily Data'!$E394)&gt;N('Daily Data'!$F394),N('Daily Data'!$E394)&lt;N('Daily Data'!$G394)),"ERROR","OK")))</f>
        <v/>
      </c>
      <c r="M394" s="165" t="str">
        <f>IF($A394="","",IF(N('Daily Data'!$AK394)&lt;=1,"OK",IF(ROUND(N('Daily Data'!$D394),2)=ROUND(SUMIFS('Daily Data'!$E$4:$E$503,'Daily Data'!$B$4:$B$503,'Daily Data'!$B394,'Daily Data'!$AK$4:$AK$503,'Daily Data'!$AK394-1),2),"OK","WARNING")))</f>
        <v/>
      </c>
      <c r="N394" s="165" t="str">
        <f>IF($A394="","",IF(N('Daily Data'!$N394)&lt;=0,"WARNING","OK"))</f>
        <v/>
      </c>
      <c r="O394" s="165" t="str">
        <f>IF($A394="","",IF(AND(ISNUMBER('Daily Data'!$H394),ABS(N('Daily Data'!$H394))&gt;Settings!$C$56),"WARNING","OK"))</f>
        <v/>
      </c>
      <c r="P394" s="165" t="str">
        <f>IF($A394="","",IF(OR(AND(N('Daily Data'!$K394)=0,N('Daily Data'!$I394)&gt;0),AND(N('Daily Data'!$I394)=0,N('Daily Data'!$K394)&gt;0),AND(N('Daily Data'!$L394)=0,N('Daily Data'!$M394)=0)),"WARNING","OK"))</f>
        <v/>
      </c>
      <c r="Q394" s="165" t="str">
        <f>IF($A394="","",IF(COUNTIFS('Daily Data'!$B$4:$B$503,'Daily Data'!$B394,'Daily Data'!$A$4:$A$503,'Daily Data'!$A394,'Daily Data'!$Q$4:$Q$503,'Daily Data'!$Q394)&gt;1,"WARNING","OK"))</f>
        <v/>
      </c>
      <c r="R394" s="165" t="str">
        <f>IF($A394="","",IF(AND(N('Daily Data'!$K394)&gt;0,N('Daily Data'!$J394)&lt;=0),"WARNING","OK"))</f>
        <v/>
      </c>
      <c r="S394" s="165" t="str">
        <f>IF($A394="","",COUNTIF($D394:$R394,"ERROR"))</f>
        <v/>
      </c>
      <c r="T394" s="165" t="str">
        <f>IF($A394="","",COUNTIF($D394:$R394,"WARNING"))</f>
        <v/>
      </c>
      <c r="U394" s="165" t="str">
        <f>IF($A394="","",IF($S394&gt;0,"ERROR",IF($T394&gt;0,"WARNING","PASS")))</f>
        <v/>
      </c>
    </row>
    <row r="395" spans="1:21" x14ac:dyDescent="0.3">
      <c r="A395" t="str">
        <f>IF(AND('Daily Data'!$A395="",'Daily Data'!$B395=""),"",395)</f>
        <v/>
      </c>
      <c r="B395" s="16" t="str">
        <f>IF($A395="","",'Daily Data'!$A395)</f>
        <v/>
      </c>
      <c r="C395" t="str">
        <f>IF($A395="","",'Daily Data'!$B395)</f>
        <v/>
      </c>
      <c r="D395" s="165" t="str">
        <f>IF($A395="","",IF(COUNTIFS('Daily Data'!$B$4:$B$503,'Daily Data'!$B395,'Daily Data'!$A$4:$A$503,'Daily Data'!$A395)&gt;1,"ERROR","OK"))</f>
        <v/>
      </c>
      <c r="E395" s="165" t="str">
        <f>IF($A395="","",IF('Daily Data'!$B395="","ERROR","OK"))</f>
        <v/>
      </c>
      <c r="F395" s="165" t="str">
        <f>IF($A395="","",IF(NOT(ISNUMBER('Daily Data'!$A395)),"ERROR","OK"))</f>
        <v/>
      </c>
      <c r="G395" s="165" t="str">
        <f>IF($A395="","",IF(OR(N('Daily Data'!$E395)&lt;=0,N('Daily Data'!$C395)&lt;0,N('Daily Data'!$D395)&lt;0,N('Daily Data'!$F395)&lt;0,N('Daily Data'!$G395)&lt;0),"ERROR","OK"))</f>
        <v/>
      </c>
      <c r="H395" s="165" t="str">
        <f>IF($A395="","",IF(N('Daily Data'!$K395)&lt;0,"ERROR","OK"))</f>
        <v/>
      </c>
      <c r="I395" s="165" t="str">
        <f>IF($A395="","",IF(N('Daily Data'!$I395)&lt;0,"ERROR","OK"))</f>
        <v/>
      </c>
      <c r="J395" s="165" t="str">
        <f>IF($A395="","",IF(N('Daily Data'!$L395)&lt;0,"ERROR","OK"))</f>
        <v/>
      </c>
      <c r="K395" s="165" t="str">
        <f>IF($A395="","",IF(N('Daily Data'!$M395)&lt;0,"ERROR","OK"))</f>
        <v/>
      </c>
      <c r="L395" s="165" t="str">
        <f>IF($A395="","",IF(OR(N('Daily Data'!$F395)=0,N('Daily Data'!$G395)=0),"OK",IF(OR(N('Daily Data'!$E395)&gt;N('Daily Data'!$F395),N('Daily Data'!$E395)&lt;N('Daily Data'!$G395)),"ERROR","OK")))</f>
        <v/>
      </c>
      <c r="M395" s="165" t="str">
        <f>IF($A395="","",IF(N('Daily Data'!$AK395)&lt;=1,"OK",IF(ROUND(N('Daily Data'!$D395),2)=ROUND(SUMIFS('Daily Data'!$E$4:$E$503,'Daily Data'!$B$4:$B$503,'Daily Data'!$B395,'Daily Data'!$AK$4:$AK$503,'Daily Data'!$AK395-1),2),"OK","WARNING")))</f>
        <v/>
      </c>
      <c r="N395" s="165" t="str">
        <f>IF($A395="","",IF(N('Daily Data'!$N395)&lt;=0,"WARNING","OK"))</f>
        <v/>
      </c>
      <c r="O395" s="165" t="str">
        <f>IF($A395="","",IF(AND(ISNUMBER('Daily Data'!$H395),ABS(N('Daily Data'!$H395))&gt;Settings!$C$56),"WARNING","OK"))</f>
        <v/>
      </c>
      <c r="P395" s="165" t="str">
        <f>IF($A395="","",IF(OR(AND(N('Daily Data'!$K395)=0,N('Daily Data'!$I395)&gt;0),AND(N('Daily Data'!$I395)=0,N('Daily Data'!$K395)&gt;0),AND(N('Daily Data'!$L395)=0,N('Daily Data'!$M395)=0)),"WARNING","OK"))</f>
        <v/>
      </c>
      <c r="Q395" s="165" t="str">
        <f>IF($A395="","",IF(COUNTIFS('Daily Data'!$B$4:$B$503,'Daily Data'!$B395,'Daily Data'!$A$4:$A$503,'Daily Data'!$A395,'Daily Data'!$Q$4:$Q$503,'Daily Data'!$Q395)&gt;1,"WARNING","OK"))</f>
        <v/>
      </c>
      <c r="R395" s="165" t="str">
        <f>IF($A395="","",IF(AND(N('Daily Data'!$K395)&gt;0,N('Daily Data'!$J395)&lt;=0),"WARNING","OK"))</f>
        <v/>
      </c>
      <c r="S395" s="165" t="str">
        <f>IF($A395="","",COUNTIF($D395:$R395,"ERROR"))</f>
        <v/>
      </c>
      <c r="T395" s="165" t="str">
        <f>IF($A395="","",COUNTIF($D395:$R395,"WARNING"))</f>
        <v/>
      </c>
      <c r="U395" s="165" t="str">
        <f>IF($A395="","",IF($S395&gt;0,"ERROR",IF($T395&gt;0,"WARNING","PASS")))</f>
        <v/>
      </c>
    </row>
    <row r="396" spans="1:21" x14ac:dyDescent="0.3">
      <c r="A396" t="str">
        <f>IF(AND('Daily Data'!$A396="",'Daily Data'!$B396=""),"",396)</f>
        <v/>
      </c>
      <c r="B396" s="16" t="str">
        <f>IF($A396="","",'Daily Data'!$A396)</f>
        <v/>
      </c>
      <c r="C396" t="str">
        <f>IF($A396="","",'Daily Data'!$B396)</f>
        <v/>
      </c>
      <c r="D396" s="165" t="str">
        <f>IF($A396="","",IF(COUNTIFS('Daily Data'!$B$4:$B$503,'Daily Data'!$B396,'Daily Data'!$A$4:$A$503,'Daily Data'!$A396)&gt;1,"ERROR","OK"))</f>
        <v/>
      </c>
      <c r="E396" s="165" t="str">
        <f>IF($A396="","",IF('Daily Data'!$B396="","ERROR","OK"))</f>
        <v/>
      </c>
      <c r="F396" s="165" t="str">
        <f>IF($A396="","",IF(NOT(ISNUMBER('Daily Data'!$A396)),"ERROR","OK"))</f>
        <v/>
      </c>
      <c r="G396" s="165" t="str">
        <f>IF($A396="","",IF(OR(N('Daily Data'!$E396)&lt;=0,N('Daily Data'!$C396)&lt;0,N('Daily Data'!$D396)&lt;0,N('Daily Data'!$F396)&lt;0,N('Daily Data'!$G396)&lt;0),"ERROR","OK"))</f>
        <v/>
      </c>
      <c r="H396" s="165" t="str">
        <f>IF($A396="","",IF(N('Daily Data'!$K396)&lt;0,"ERROR","OK"))</f>
        <v/>
      </c>
      <c r="I396" s="165" t="str">
        <f>IF($A396="","",IF(N('Daily Data'!$I396)&lt;0,"ERROR","OK"))</f>
        <v/>
      </c>
      <c r="J396" s="165" t="str">
        <f>IF($A396="","",IF(N('Daily Data'!$L396)&lt;0,"ERROR","OK"))</f>
        <v/>
      </c>
      <c r="K396" s="165" t="str">
        <f>IF($A396="","",IF(N('Daily Data'!$M396)&lt;0,"ERROR","OK"))</f>
        <v/>
      </c>
      <c r="L396" s="165" t="str">
        <f>IF($A396="","",IF(OR(N('Daily Data'!$F396)=0,N('Daily Data'!$G396)=0),"OK",IF(OR(N('Daily Data'!$E396)&gt;N('Daily Data'!$F396),N('Daily Data'!$E396)&lt;N('Daily Data'!$G396)),"ERROR","OK")))</f>
        <v/>
      </c>
      <c r="M396" s="165" t="str">
        <f>IF($A396="","",IF(N('Daily Data'!$AK396)&lt;=1,"OK",IF(ROUND(N('Daily Data'!$D396),2)=ROUND(SUMIFS('Daily Data'!$E$4:$E$503,'Daily Data'!$B$4:$B$503,'Daily Data'!$B396,'Daily Data'!$AK$4:$AK$503,'Daily Data'!$AK396-1),2),"OK","WARNING")))</f>
        <v/>
      </c>
      <c r="N396" s="165" t="str">
        <f>IF($A396="","",IF(N('Daily Data'!$N396)&lt;=0,"WARNING","OK"))</f>
        <v/>
      </c>
      <c r="O396" s="165" t="str">
        <f>IF($A396="","",IF(AND(ISNUMBER('Daily Data'!$H396),ABS(N('Daily Data'!$H396))&gt;Settings!$C$56),"WARNING","OK"))</f>
        <v/>
      </c>
      <c r="P396" s="165" t="str">
        <f>IF($A396="","",IF(OR(AND(N('Daily Data'!$K396)=0,N('Daily Data'!$I396)&gt;0),AND(N('Daily Data'!$I396)=0,N('Daily Data'!$K396)&gt;0),AND(N('Daily Data'!$L396)=0,N('Daily Data'!$M396)=0)),"WARNING","OK"))</f>
        <v/>
      </c>
      <c r="Q396" s="165" t="str">
        <f>IF($A396="","",IF(COUNTIFS('Daily Data'!$B$4:$B$503,'Daily Data'!$B396,'Daily Data'!$A$4:$A$503,'Daily Data'!$A396,'Daily Data'!$Q$4:$Q$503,'Daily Data'!$Q396)&gt;1,"WARNING","OK"))</f>
        <v/>
      </c>
      <c r="R396" s="165" t="str">
        <f>IF($A396="","",IF(AND(N('Daily Data'!$K396)&gt;0,N('Daily Data'!$J396)&lt;=0),"WARNING","OK"))</f>
        <v/>
      </c>
      <c r="S396" s="165" t="str">
        <f>IF($A396="","",COUNTIF($D396:$R396,"ERROR"))</f>
        <v/>
      </c>
      <c r="T396" s="165" t="str">
        <f>IF($A396="","",COUNTIF($D396:$R396,"WARNING"))</f>
        <v/>
      </c>
      <c r="U396" s="165" t="str">
        <f>IF($A396="","",IF($S396&gt;0,"ERROR",IF($T396&gt;0,"WARNING","PASS")))</f>
        <v/>
      </c>
    </row>
    <row r="397" spans="1:21" x14ac:dyDescent="0.3">
      <c r="A397" t="str">
        <f>IF(AND('Daily Data'!$A397="",'Daily Data'!$B397=""),"",397)</f>
        <v/>
      </c>
      <c r="B397" s="16" t="str">
        <f>IF($A397="","",'Daily Data'!$A397)</f>
        <v/>
      </c>
      <c r="C397" t="str">
        <f>IF($A397="","",'Daily Data'!$B397)</f>
        <v/>
      </c>
      <c r="D397" s="165" t="str">
        <f>IF($A397="","",IF(COUNTIFS('Daily Data'!$B$4:$B$503,'Daily Data'!$B397,'Daily Data'!$A$4:$A$503,'Daily Data'!$A397)&gt;1,"ERROR","OK"))</f>
        <v/>
      </c>
      <c r="E397" s="165" t="str">
        <f>IF($A397="","",IF('Daily Data'!$B397="","ERROR","OK"))</f>
        <v/>
      </c>
      <c r="F397" s="165" t="str">
        <f>IF($A397="","",IF(NOT(ISNUMBER('Daily Data'!$A397)),"ERROR","OK"))</f>
        <v/>
      </c>
      <c r="G397" s="165" t="str">
        <f>IF($A397="","",IF(OR(N('Daily Data'!$E397)&lt;=0,N('Daily Data'!$C397)&lt;0,N('Daily Data'!$D397)&lt;0,N('Daily Data'!$F397)&lt;0,N('Daily Data'!$G397)&lt;0),"ERROR","OK"))</f>
        <v/>
      </c>
      <c r="H397" s="165" t="str">
        <f>IF($A397="","",IF(N('Daily Data'!$K397)&lt;0,"ERROR","OK"))</f>
        <v/>
      </c>
      <c r="I397" s="165" t="str">
        <f>IF($A397="","",IF(N('Daily Data'!$I397)&lt;0,"ERROR","OK"))</f>
        <v/>
      </c>
      <c r="J397" s="165" t="str">
        <f>IF($A397="","",IF(N('Daily Data'!$L397)&lt;0,"ERROR","OK"))</f>
        <v/>
      </c>
      <c r="K397" s="165" t="str">
        <f>IF($A397="","",IF(N('Daily Data'!$M397)&lt;0,"ERROR","OK"))</f>
        <v/>
      </c>
      <c r="L397" s="165" t="str">
        <f>IF($A397="","",IF(OR(N('Daily Data'!$F397)=0,N('Daily Data'!$G397)=0),"OK",IF(OR(N('Daily Data'!$E397)&gt;N('Daily Data'!$F397),N('Daily Data'!$E397)&lt;N('Daily Data'!$G397)),"ERROR","OK")))</f>
        <v/>
      </c>
      <c r="M397" s="165" t="str">
        <f>IF($A397="","",IF(N('Daily Data'!$AK397)&lt;=1,"OK",IF(ROUND(N('Daily Data'!$D397),2)=ROUND(SUMIFS('Daily Data'!$E$4:$E$503,'Daily Data'!$B$4:$B$503,'Daily Data'!$B397,'Daily Data'!$AK$4:$AK$503,'Daily Data'!$AK397-1),2),"OK","WARNING")))</f>
        <v/>
      </c>
      <c r="N397" s="165" t="str">
        <f>IF($A397="","",IF(N('Daily Data'!$N397)&lt;=0,"WARNING","OK"))</f>
        <v/>
      </c>
      <c r="O397" s="165" t="str">
        <f>IF($A397="","",IF(AND(ISNUMBER('Daily Data'!$H397),ABS(N('Daily Data'!$H397))&gt;Settings!$C$56),"WARNING","OK"))</f>
        <v/>
      </c>
      <c r="P397" s="165" t="str">
        <f>IF($A397="","",IF(OR(AND(N('Daily Data'!$K397)=0,N('Daily Data'!$I397)&gt;0),AND(N('Daily Data'!$I397)=0,N('Daily Data'!$K397)&gt;0),AND(N('Daily Data'!$L397)=0,N('Daily Data'!$M397)=0)),"WARNING","OK"))</f>
        <v/>
      </c>
      <c r="Q397" s="165" t="str">
        <f>IF($A397="","",IF(COUNTIFS('Daily Data'!$B$4:$B$503,'Daily Data'!$B397,'Daily Data'!$A$4:$A$503,'Daily Data'!$A397,'Daily Data'!$Q$4:$Q$503,'Daily Data'!$Q397)&gt;1,"WARNING","OK"))</f>
        <v/>
      </c>
      <c r="R397" s="165" t="str">
        <f>IF($A397="","",IF(AND(N('Daily Data'!$K397)&gt;0,N('Daily Data'!$J397)&lt;=0),"WARNING","OK"))</f>
        <v/>
      </c>
      <c r="S397" s="165" t="str">
        <f>IF($A397="","",COUNTIF($D397:$R397,"ERROR"))</f>
        <v/>
      </c>
      <c r="T397" s="165" t="str">
        <f>IF($A397="","",COUNTIF($D397:$R397,"WARNING"))</f>
        <v/>
      </c>
      <c r="U397" s="165" t="str">
        <f>IF($A397="","",IF($S397&gt;0,"ERROR",IF($T397&gt;0,"WARNING","PASS")))</f>
        <v/>
      </c>
    </row>
    <row r="398" spans="1:21" x14ac:dyDescent="0.3">
      <c r="A398" t="str">
        <f>IF(AND('Daily Data'!$A398="",'Daily Data'!$B398=""),"",398)</f>
        <v/>
      </c>
      <c r="B398" s="16" t="str">
        <f>IF($A398="","",'Daily Data'!$A398)</f>
        <v/>
      </c>
      <c r="C398" t="str">
        <f>IF($A398="","",'Daily Data'!$B398)</f>
        <v/>
      </c>
      <c r="D398" s="165" t="str">
        <f>IF($A398="","",IF(COUNTIFS('Daily Data'!$B$4:$B$503,'Daily Data'!$B398,'Daily Data'!$A$4:$A$503,'Daily Data'!$A398)&gt;1,"ERROR","OK"))</f>
        <v/>
      </c>
      <c r="E398" s="165" t="str">
        <f>IF($A398="","",IF('Daily Data'!$B398="","ERROR","OK"))</f>
        <v/>
      </c>
      <c r="F398" s="165" t="str">
        <f>IF($A398="","",IF(NOT(ISNUMBER('Daily Data'!$A398)),"ERROR","OK"))</f>
        <v/>
      </c>
      <c r="G398" s="165" t="str">
        <f>IF($A398="","",IF(OR(N('Daily Data'!$E398)&lt;=0,N('Daily Data'!$C398)&lt;0,N('Daily Data'!$D398)&lt;0,N('Daily Data'!$F398)&lt;0,N('Daily Data'!$G398)&lt;0),"ERROR","OK"))</f>
        <v/>
      </c>
      <c r="H398" s="165" t="str">
        <f>IF($A398="","",IF(N('Daily Data'!$K398)&lt;0,"ERROR","OK"))</f>
        <v/>
      </c>
      <c r="I398" s="165" t="str">
        <f>IF($A398="","",IF(N('Daily Data'!$I398)&lt;0,"ERROR","OK"))</f>
        <v/>
      </c>
      <c r="J398" s="165" t="str">
        <f>IF($A398="","",IF(N('Daily Data'!$L398)&lt;0,"ERROR","OK"))</f>
        <v/>
      </c>
      <c r="K398" s="165" t="str">
        <f>IF($A398="","",IF(N('Daily Data'!$M398)&lt;0,"ERROR","OK"))</f>
        <v/>
      </c>
      <c r="L398" s="165" t="str">
        <f>IF($A398="","",IF(OR(N('Daily Data'!$F398)=0,N('Daily Data'!$G398)=0),"OK",IF(OR(N('Daily Data'!$E398)&gt;N('Daily Data'!$F398),N('Daily Data'!$E398)&lt;N('Daily Data'!$G398)),"ERROR","OK")))</f>
        <v/>
      </c>
      <c r="M398" s="165" t="str">
        <f>IF($A398="","",IF(N('Daily Data'!$AK398)&lt;=1,"OK",IF(ROUND(N('Daily Data'!$D398),2)=ROUND(SUMIFS('Daily Data'!$E$4:$E$503,'Daily Data'!$B$4:$B$503,'Daily Data'!$B398,'Daily Data'!$AK$4:$AK$503,'Daily Data'!$AK398-1),2),"OK","WARNING")))</f>
        <v/>
      </c>
      <c r="N398" s="165" t="str">
        <f>IF($A398="","",IF(N('Daily Data'!$N398)&lt;=0,"WARNING","OK"))</f>
        <v/>
      </c>
      <c r="O398" s="165" t="str">
        <f>IF($A398="","",IF(AND(ISNUMBER('Daily Data'!$H398),ABS(N('Daily Data'!$H398))&gt;Settings!$C$56),"WARNING","OK"))</f>
        <v/>
      </c>
      <c r="P398" s="165" t="str">
        <f>IF($A398="","",IF(OR(AND(N('Daily Data'!$K398)=0,N('Daily Data'!$I398)&gt;0),AND(N('Daily Data'!$I398)=0,N('Daily Data'!$K398)&gt;0),AND(N('Daily Data'!$L398)=0,N('Daily Data'!$M398)=0)),"WARNING","OK"))</f>
        <v/>
      </c>
      <c r="Q398" s="165" t="str">
        <f>IF($A398="","",IF(COUNTIFS('Daily Data'!$B$4:$B$503,'Daily Data'!$B398,'Daily Data'!$A$4:$A$503,'Daily Data'!$A398,'Daily Data'!$Q$4:$Q$503,'Daily Data'!$Q398)&gt;1,"WARNING","OK"))</f>
        <v/>
      </c>
      <c r="R398" s="165" t="str">
        <f>IF($A398="","",IF(AND(N('Daily Data'!$K398)&gt;0,N('Daily Data'!$J398)&lt;=0),"WARNING","OK"))</f>
        <v/>
      </c>
      <c r="S398" s="165" t="str">
        <f>IF($A398="","",COUNTIF($D398:$R398,"ERROR"))</f>
        <v/>
      </c>
      <c r="T398" s="165" t="str">
        <f>IF($A398="","",COUNTIF($D398:$R398,"WARNING"))</f>
        <v/>
      </c>
      <c r="U398" s="165" t="str">
        <f>IF($A398="","",IF($S398&gt;0,"ERROR",IF($T398&gt;0,"WARNING","PASS")))</f>
        <v/>
      </c>
    </row>
    <row r="399" spans="1:21" x14ac:dyDescent="0.3">
      <c r="A399" t="str">
        <f>IF(AND('Daily Data'!$A399="",'Daily Data'!$B399=""),"",399)</f>
        <v/>
      </c>
      <c r="B399" s="16" t="str">
        <f>IF($A399="","",'Daily Data'!$A399)</f>
        <v/>
      </c>
      <c r="C399" t="str">
        <f>IF($A399="","",'Daily Data'!$B399)</f>
        <v/>
      </c>
      <c r="D399" s="165" t="str">
        <f>IF($A399="","",IF(COUNTIFS('Daily Data'!$B$4:$B$503,'Daily Data'!$B399,'Daily Data'!$A$4:$A$503,'Daily Data'!$A399)&gt;1,"ERROR","OK"))</f>
        <v/>
      </c>
      <c r="E399" s="165" t="str">
        <f>IF($A399="","",IF('Daily Data'!$B399="","ERROR","OK"))</f>
        <v/>
      </c>
      <c r="F399" s="165" t="str">
        <f>IF($A399="","",IF(NOT(ISNUMBER('Daily Data'!$A399)),"ERROR","OK"))</f>
        <v/>
      </c>
      <c r="G399" s="165" t="str">
        <f>IF($A399="","",IF(OR(N('Daily Data'!$E399)&lt;=0,N('Daily Data'!$C399)&lt;0,N('Daily Data'!$D399)&lt;0,N('Daily Data'!$F399)&lt;0,N('Daily Data'!$G399)&lt;0),"ERROR","OK"))</f>
        <v/>
      </c>
      <c r="H399" s="165" t="str">
        <f>IF($A399="","",IF(N('Daily Data'!$K399)&lt;0,"ERROR","OK"))</f>
        <v/>
      </c>
      <c r="I399" s="165" t="str">
        <f>IF($A399="","",IF(N('Daily Data'!$I399)&lt;0,"ERROR","OK"))</f>
        <v/>
      </c>
      <c r="J399" s="165" t="str">
        <f>IF($A399="","",IF(N('Daily Data'!$L399)&lt;0,"ERROR","OK"))</f>
        <v/>
      </c>
      <c r="K399" s="165" t="str">
        <f>IF($A399="","",IF(N('Daily Data'!$M399)&lt;0,"ERROR","OK"))</f>
        <v/>
      </c>
      <c r="L399" s="165" t="str">
        <f>IF($A399="","",IF(OR(N('Daily Data'!$F399)=0,N('Daily Data'!$G399)=0),"OK",IF(OR(N('Daily Data'!$E399)&gt;N('Daily Data'!$F399),N('Daily Data'!$E399)&lt;N('Daily Data'!$G399)),"ERROR","OK")))</f>
        <v/>
      </c>
      <c r="M399" s="165" t="str">
        <f>IF($A399="","",IF(N('Daily Data'!$AK399)&lt;=1,"OK",IF(ROUND(N('Daily Data'!$D399),2)=ROUND(SUMIFS('Daily Data'!$E$4:$E$503,'Daily Data'!$B$4:$B$503,'Daily Data'!$B399,'Daily Data'!$AK$4:$AK$503,'Daily Data'!$AK399-1),2),"OK","WARNING")))</f>
        <v/>
      </c>
      <c r="N399" s="165" t="str">
        <f>IF($A399="","",IF(N('Daily Data'!$N399)&lt;=0,"WARNING","OK"))</f>
        <v/>
      </c>
      <c r="O399" s="165" t="str">
        <f>IF($A399="","",IF(AND(ISNUMBER('Daily Data'!$H399),ABS(N('Daily Data'!$H399))&gt;Settings!$C$56),"WARNING","OK"))</f>
        <v/>
      </c>
      <c r="P399" s="165" t="str">
        <f>IF($A399="","",IF(OR(AND(N('Daily Data'!$K399)=0,N('Daily Data'!$I399)&gt;0),AND(N('Daily Data'!$I399)=0,N('Daily Data'!$K399)&gt;0),AND(N('Daily Data'!$L399)=0,N('Daily Data'!$M399)=0)),"WARNING","OK"))</f>
        <v/>
      </c>
      <c r="Q399" s="165" t="str">
        <f>IF($A399="","",IF(COUNTIFS('Daily Data'!$B$4:$B$503,'Daily Data'!$B399,'Daily Data'!$A$4:$A$503,'Daily Data'!$A399,'Daily Data'!$Q$4:$Q$503,'Daily Data'!$Q399)&gt;1,"WARNING","OK"))</f>
        <v/>
      </c>
      <c r="R399" s="165" t="str">
        <f>IF($A399="","",IF(AND(N('Daily Data'!$K399)&gt;0,N('Daily Data'!$J399)&lt;=0),"WARNING","OK"))</f>
        <v/>
      </c>
      <c r="S399" s="165" t="str">
        <f>IF($A399="","",COUNTIF($D399:$R399,"ERROR"))</f>
        <v/>
      </c>
      <c r="T399" s="165" t="str">
        <f>IF($A399="","",COUNTIF($D399:$R399,"WARNING"))</f>
        <v/>
      </c>
      <c r="U399" s="165" t="str">
        <f>IF($A399="","",IF($S399&gt;0,"ERROR",IF($T399&gt;0,"WARNING","PASS")))</f>
        <v/>
      </c>
    </row>
    <row r="400" spans="1:21" x14ac:dyDescent="0.3">
      <c r="A400" t="str">
        <f>IF(AND('Daily Data'!$A400="",'Daily Data'!$B400=""),"",400)</f>
        <v/>
      </c>
      <c r="B400" s="16" t="str">
        <f>IF($A400="","",'Daily Data'!$A400)</f>
        <v/>
      </c>
      <c r="C400" t="str">
        <f>IF($A400="","",'Daily Data'!$B400)</f>
        <v/>
      </c>
      <c r="D400" s="165" t="str">
        <f>IF($A400="","",IF(COUNTIFS('Daily Data'!$B$4:$B$503,'Daily Data'!$B400,'Daily Data'!$A$4:$A$503,'Daily Data'!$A400)&gt;1,"ERROR","OK"))</f>
        <v/>
      </c>
      <c r="E400" s="165" t="str">
        <f>IF($A400="","",IF('Daily Data'!$B400="","ERROR","OK"))</f>
        <v/>
      </c>
      <c r="F400" s="165" t="str">
        <f>IF($A400="","",IF(NOT(ISNUMBER('Daily Data'!$A400)),"ERROR","OK"))</f>
        <v/>
      </c>
      <c r="G400" s="165" t="str">
        <f>IF($A400="","",IF(OR(N('Daily Data'!$E400)&lt;=0,N('Daily Data'!$C400)&lt;0,N('Daily Data'!$D400)&lt;0,N('Daily Data'!$F400)&lt;0,N('Daily Data'!$G400)&lt;0),"ERROR","OK"))</f>
        <v/>
      </c>
      <c r="H400" s="165" t="str">
        <f>IF($A400="","",IF(N('Daily Data'!$K400)&lt;0,"ERROR","OK"))</f>
        <v/>
      </c>
      <c r="I400" s="165" t="str">
        <f>IF($A400="","",IF(N('Daily Data'!$I400)&lt;0,"ERROR","OK"))</f>
        <v/>
      </c>
      <c r="J400" s="165" t="str">
        <f>IF($A400="","",IF(N('Daily Data'!$L400)&lt;0,"ERROR","OK"))</f>
        <v/>
      </c>
      <c r="K400" s="165" t="str">
        <f>IF($A400="","",IF(N('Daily Data'!$M400)&lt;0,"ERROR","OK"))</f>
        <v/>
      </c>
      <c r="L400" s="165" t="str">
        <f>IF($A400="","",IF(OR(N('Daily Data'!$F400)=0,N('Daily Data'!$G400)=0),"OK",IF(OR(N('Daily Data'!$E400)&gt;N('Daily Data'!$F400),N('Daily Data'!$E400)&lt;N('Daily Data'!$G400)),"ERROR","OK")))</f>
        <v/>
      </c>
      <c r="M400" s="165" t="str">
        <f>IF($A400="","",IF(N('Daily Data'!$AK400)&lt;=1,"OK",IF(ROUND(N('Daily Data'!$D400),2)=ROUND(SUMIFS('Daily Data'!$E$4:$E$503,'Daily Data'!$B$4:$B$503,'Daily Data'!$B400,'Daily Data'!$AK$4:$AK$503,'Daily Data'!$AK400-1),2),"OK","WARNING")))</f>
        <v/>
      </c>
      <c r="N400" s="165" t="str">
        <f>IF($A400="","",IF(N('Daily Data'!$N400)&lt;=0,"WARNING","OK"))</f>
        <v/>
      </c>
      <c r="O400" s="165" t="str">
        <f>IF($A400="","",IF(AND(ISNUMBER('Daily Data'!$H400),ABS(N('Daily Data'!$H400))&gt;Settings!$C$56),"WARNING","OK"))</f>
        <v/>
      </c>
      <c r="P400" s="165" t="str">
        <f>IF($A400="","",IF(OR(AND(N('Daily Data'!$K400)=0,N('Daily Data'!$I400)&gt;0),AND(N('Daily Data'!$I400)=0,N('Daily Data'!$K400)&gt;0),AND(N('Daily Data'!$L400)=0,N('Daily Data'!$M400)=0)),"WARNING","OK"))</f>
        <v/>
      </c>
      <c r="Q400" s="165" t="str">
        <f>IF($A400="","",IF(COUNTIFS('Daily Data'!$B$4:$B$503,'Daily Data'!$B400,'Daily Data'!$A$4:$A$503,'Daily Data'!$A400,'Daily Data'!$Q$4:$Q$503,'Daily Data'!$Q400)&gt;1,"WARNING","OK"))</f>
        <v/>
      </c>
      <c r="R400" s="165" t="str">
        <f>IF($A400="","",IF(AND(N('Daily Data'!$K400)&gt;0,N('Daily Data'!$J400)&lt;=0),"WARNING","OK"))</f>
        <v/>
      </c>
      <c r="S400" s="165" t="str">
        <f>IF($A400="","",COUNTIF($D400:$R400,"ERROR"))</f>
        <v/>
      </c>
      <c r="T400" s="165" t="str">
        <f>IF($A400="","",COUNTIF($D400:$R400,"WARNING"))</f>
        <v/>
      </c>
      <c r="U400" s="165" t="str">
        <f>IF($A400="","",IF($S400&gt;0,"ERROR",IF($T400&gt;0,"WARNING","PASS")))</f>
        <v/>
      </c>
    </row>
    <row r="401" spans="1:21" x14ac:dyDescent="0.3">
      <c r="A401" t="str">
        <f>IF(AND('Daily Data'!$A401="",'Daily Data'!$B401=""),"",401)</f>
        <v/>
      </c>
      <c r="B401" s="16" t="str">
        <f>IF($A401="","",'Daily Data'!$A401)</f>
        <v/>
      </c>
      <c r="C401" t="str">
        <f>IF($A401="","",'Daily Data'!$B401)</f>
        <v/>
      </c>
      <c r="D401" s="165" t="str">
        <f>IF($A401="","",IF(COUNTIFS('Daily Data'!$B$4:$B$503,'Daily Data'!$B401,'Daily Data'!$A$4:$A$503,'Daily Data'!$A401)&gt;1,"ERROR","OK"))</f>
        <v/>
      </c>
      <c r="E401" s="165" t="str">
        <f>IF($A401="","",IF('Daily Data'!$B401="","ERROR","OK"))</f>
        <v/>
      </c>
      <c r="F401" s="165" t="str">
        <f>IF($A401="","",IF(NOT(ISNUMBER('Daily Data'!$A401)),"ERROR","OK"))</f>
        <v/>
      </c>
      <c r="G401" s="165" t="str">
        <f>IF($A401="","",IF(OR(N('Daily Data'!$E401)&lt;=0,N('Daily Data'!$C401)&lt;0,N('Daily Data'!$D401)&lt;0,N('Daily Data'!$F401)&lt;0,N('Daily Data'!$G401)&lt;0),"ERROR","OK"))</f>
        <v/>
      </c>
      <c r="H401" s="165" t="str">
        <f>IF($A401="","",IF(N('Daily Data'!$K401)&lt;0,"ERROR","OK"))</f>
        <v/>
      </c>
      <c r="I401" s="165" t="str">
        <f>IF($A401="","",IF(N('Daily Data'!$I401)&lt;0,"ERROR","OK"))</f>
        <v/>
      </c>
      <c r="J401" s="165" t="str">
        <f>IF($A401="","",IF(N('Daily Data'!$L401)&lt;0,"ERROR","OK"))</f>
        <v/>
      </c>
      <c r="K401" s="165" t="str">
        <f>IF($A401="","",IF(N('Daily Data'!$M401)&lt;0,"ERROR","OK"))</f>
        <v/>
      </c>
      <c r="L401" s="165" t="str">
        <f>IF($A401="","",IF(OR(N('Daily Data'!$F401)=0,N('Daily Data'!$G401)=0),"OK",IF(OR(N('Daily Data'!$E401)&gt;N('Daily Data'!$F401),N('Daily Data'!$E401)&lt;N('Daily Data'!$G401)),"ERROR","OK")))</f>
        <v/>
      </c>
      <c r="M401" s="165" t="str">
        <f>IF($A401="","",IF(N('Daily Data'!$AK401)&lt;=1,"OK",IF(ROUND(N('Daily Data'!$D401),2)=ROUND(SUMIFS('Daily Data'!$E$4:$E$503,'Daily Data'!$B$4:$B$503,'Daily Data'!$B401,'Daily Data'!$AK$4:$AK$503,'Daily Data'!$AK401-1),2),"OK","WARNING")))</f>
        <v/>
      </c>
      <c r="N401" s="165" t="str">
        <f>IF($A401="","",IF(N('Daily Data'!$N401)&lt;=0,"WARNING","OK"))</f>
        <v/>
      </c>
      <c r="O401" s="165" t="str">
        <f>IF($A401="","",IF(AND(ISNUMBER('Daily Data'!$H401),ABS(N('Daily Data'!$H401))&gt;Settings!$C$56),"WARNING","OK"))</f>
        <v/>
      </c>
      <c r="P401" s="165" t="str">
        <f>IF($A401="","",IF(OR(AND(N('Daily Data'!$K401)=0,N('Daily Data'!$I401)&gt;0),AND(N('Daily Data'!$I401)=0,N('Daily Data'!$K401)&gt;0),AND(N('Daily Data'!$L401)=0,N('Daily Data'!$M401)=0)),"WARNING","OK"))</f>
        <v/>
      </c>
      <c r="Q401" s="165" t="str">
        <f>IF($A401="","",IF(COUNTIFS('Daily Data'!$B$4:$B$503,'Daily Data'!$B401,'Daily Data'!$A$4:$A$503,'Daily Data'!$A401,'Daily Data'!$Q$4:$Q$503,'Daily Data'!$Q401)&gt;1,"WARNING","OK"))</f>
        <v/>
      </c>
      <c r="R401" s="165" t="str">
        <f>IF($A401="","",IF(AND(N('Daily Data'!$K401)&gt;0,N('Daily Data'!$J401)&lt;=0),"WARNING","OK"))</f>
        <v/>
      </c>
      <c r="S401" s="165" t="str">
        <f>IF($A401="","",COUNTIF($D401:$R401,"ERROR"))</f>
        <v/>
      </c>
      <c r="T401" s="165" t="str">
        <f>IF($A401="","",COUNTIF($D401:$R401,"WARNING"))</f>
        <v/>
      </c>
      <c r="U401" s="165" t="str">
        <f>IF($A401="","",IF($S401&gt;0,"ERROR",IF($T401&gt;0,"WARNING","PASS")))</f>
        <v/>
      </c>
    </row>
    <row r="402" spans="1:21" x14ac:dyDescent="0.3">
      <c r="A402" t="str">
        <f>IF(AND('Daily Data'!$A402="",'Daily Data'!$B402=""),"",402)</f>
        <v/>
      </c>
      <c r="B402" s="16" t="str">
        <f>IF($A402="","",'Daily Data'!$A402)</f>
        <v/>
      </c>
      <c r="C402" t="str">
        <f>IF($A402="","",'Daily Data'!$B402)</f>
        <v/>
      </c>
      <c r="D402" s="165" t="str">
        <f>IF($A402="","",IF(COUNTIFS('Daily Data'!$B$4:$B$503,'Daily Data'!$B402,'Daily Data'!$A$4:$A$503,'Daily Data'!$A402)&gt;1,"ERROR","OK"))</f>
        <v/>
      </c>
      <c r="E402" s="165" t="str">
        <f>IF($A402="","",IF('Daily Data'!$B402="","ERROR","OK"))</f>
        <v/>
      </c>
      <c r="F402" s="165" t="str">
        <f>IF($A402="","",IF(NOT(ISNUMBER('Daily Data'!$A402)),"ERROR","OK"))</f>
        <v/>
      </c>
      <c r="G402" s="165" t="str">
        <f>IF($A402="","",IF(OR(N('Daily Data'!$E402)&lt;=0,N('Daily Data'!$C402)&lt;0,N('Daily Data'!$D402)&lt;0,N('Daily Data'!$F402)&lt;0,N('Daily Data'!$G402)&lt;0),"ERROR","OK"))</f>
        <v/>
      </c>
      <c r="H402" s="165" t="str">
        <f>IF($A402="","",IF(N('Daily Data'!$K402)&lt;0,"ERROR","OK"))</f>
        <v/>
      </c>
      <c r="I402" s="165" t="str">
        <f>IF($A402="","",IF(N('Daily Data'!$I402)&lt;0,"ERROR","OK"))</f>
        <v/>
      </c>
      <c r="J402" s="165" t="str">
        <f>IF($A402="","",IF(N('Daily Data'!$L402)&lt;0,"ERROR","OK"))</f>
        <v/>
      </c>
      <c r="K402" s="165" t="str">
        <f>IF($A402="","",IF(N('Daily Data'!$M402)&lt;0,"ERROR","OK"))</f>
        <v/>
      </c>
      <c r="L402" s="165" t="str">
        <f>IF($A402="","",IF(OR(N('Daily Data'!$F402)=0,N('Daily Data'!$G402)=0),"OK",IF(OR(N('Daily Data'!$E402)&gt;N('Daily Data'!$F402),N('Daily Data'!$E402)&lt;N('Daily Data'!$G402)),"ERROR","OK")))</f>
        <v/>
      </c>
      <c r="M402" s="165" t="str">
        <f>IF($A402="","",IF(N('Daily Data'!$AK402)&lt;=1,"OK",IF(ROUND(N('Daily Data'!$D402),2)=ROUND(SUMIFS('Daily Data'!$E$4:$E$503,'Daily Data'!$B$4:$B$503,'Daily Data'!$B402,'Daily Data'!$AK$4:$AK$503,'Daily Data'!$AK402-1),2),"OK","WARNING")))</f>
        <v/>
      </c>
      <c r="N402" s="165" t="str">
        <f>IF($A402="","",IF(N('Daily Data'!$N402)&lt;=0,"WARNING","OK"))</f>
        <v/>
      </c>
      <c r="O402" s="165" t="str">
        <f>IF($A402="","",IF(AND(ISNUMBER('Daily Data'!$H402),ABS(N('Daily Data'!$H402))&gt;Settings!$C$56),"WARNING","OK"))</f>
        <v/>
      </c>
      <c r="P402" s="165" t="str">
        <f>IF($A402="","",IF(OR(AND(N('Daily Data'!$K402)=0,N('Daily Data'!$I402)&gt;0),AND(N('Daily Data'!$I402)=0,N('Daily Data'!$K402)&gt;0),AND(N('Daily Data'!$L402)=0,N('Daily Data'!$M402)=0)),"WARNING","OK"))</f>
        <v/>
      </c>
      <c r="Q402" s="165" t="str">
        <f>IF($A402="","",IF(COUNTIFS('Daily Data'!$B$4:$B$503,'Daily Data'!$B402,'Daily Data'!$A$4:$A$503,'Daily Data'!$A402,'Daily Data'!$Q$4:$Q$503,'Daily Data'!$Q402)&gt;1,"WARNING","OK"))</f>
        <v/>
      </c>
      <c r="R402" s="165" t="str">
        <f>IF($A402="","",IF(AND(N('Daily Data'!$K402)&gt;0,N('Daily Data'!$J402)&lt;=0),"WARNING","OK"))</f>
        <v/>
      </c>
      <c r="S402" s="165" t="str">
        <f>IF($A402="","",COUNTIF($D402:$R402,"ERROR"))</f>
        <v/>
      </c>
      <c r="T402" s="165" t="str">
        <f>IF($A402="","",COUNTIF($D402:$R402,"WARNING"))</f>
        <v/>
      </c>
      <c r="U402" s="165" t="str">
        <f>IF($A402="","",IF($S402&gt;0,"ERROR",IF($T402&gt;0,"WARNING","PASS")))</f>
        <v/>
      </c>
    </row>
    <row r="403" spans="1:21" x14ac:dyDescent="0.3">
      <c r="A403" t="str">
        <f>IF(AND('Daily Data'!$A403="",'Daily Data'!$B403=""),"",403)</f>
        <v/>
      </c>
      <c r="B403" s="16" t="str">
        <f>IF($A403="","",'Daily Data'!$A403)</f>
        <v/>
      </c>
      <c r="C403" t="str">
        <f>IF($A403="","",'Daily Data'!$B403)</f>
        <v/>
      </c>
      <c r="D403" s="165" t="str">
        <f>IF($A403="","",IF(COUNTIFS('Daily Data'!$B$4:$B$503,'Daily Data'!$B403,'Daily Data'!$A$4:$A$503,'Daily Data'!$A403)&gt;1,"ERROR","OK"))</f>
        <v/>
      </c>
      <c r="E403" s="165" t="str">
        <f>IF($A403="","",IF('Daily Data'!$B403="","ERROR","OK"))</f>
        <v/>
      </c>
      <c r="F403" s="165" t="str">
        <f>IF($A403="","",IF(NOT(ISNUMBER('Daily Data'!$A403)),"ERROR","OK"))</f>
        <v/>
      </c>
      <c r="G403" s="165" t="str">
        <f>IF($A403="","",IF(OR(N('Daily Data'!$E403)&lt;=0,N('Daily Data'!$C403)&lt;0,N('Daily Data'!$D403)&lt;0,N('Daily Data'!$F403)&lt;0,N('Daily Data'!$G403)&lt;0),"ERROR","OK"))</f>
        <v/>
      </c>
      <c r="H403" s="165" t="str">
        <f>IF($A403="","",IF(N('Daily Data'!$K403)&lt;0,"ERROR","OK"))</f>
        <v/>
      </c>
      <c r="I403" s="165" t="str">
        <f>IF($A403="","",IF(N('Daily Data'!$I403)&lt;0,"ERROR","OK"))</f>
        <v/>
      </c>
      <c r="J403" s="165" t="str">
        <f>IF($A403="","",IF(N('Daily Data'!$L403)&lt;0,"ERROR","OK"))</f>
        <v/>
      </c>
      <c r="K403" s="165" t="str">
        <f>IF($A403="","",IF(N('Daily Data'!$M403)&lt;0,"ERROR","OK"))</f>
        <v/>
      </c>
      <c r="L403" s="165" t="str">
        <f>IF($A403="","",IF(OR(N('Daily Data'!$F403)=0,N('Daily Data'!$G403)=0),"OK",IF(OR(N('Daily Data'!$E403)&gt;N('Daily Data'!$F403),N('Daily Data'!$E403)&lt;N('Daily Data'!$G403)),"ERROR","OK")))</f>
        <v/>
      </c>
      <c r="M403" s="165" t="str">
        <f>IF($A403="","",IF(N('Daily Data'!$AK403)&lt;=1,"OK",IF(ROUND(N('Daily Data'!$D403),2)=ROUND(SUMIFS('Daily Data'!$E$4:$E$503,'Daily Data'!$B$4:$B$503,'Daily Data'!$B403,'Daily Data'!$AK$4:$AK$503,'Daily Data'!$AK403-1),2),"OK","WARNING")))</f>
        <v/>
      </c>
      <c r="N403" s="165" t="str">
        <f>IF($A403="","",IF(N('Daily Data'!$N403)&lt;=0,"WARNING","OK"))</f>
        <v/>
      </c>
      <c r="O403" s="165" t="str">
        <f>IF($A403="","",IF(AND(ISNUMBER('Daily Data'!$H403),ABS(N('Daily Data'!$H403))&gt;Settings!$C$56),"WARNING","OK"))</f>
        <v/>
      </c>
      <c r="P403" s="165" t="str">
        <f>IF($A403="","",IF(OR(AND(N('Daily Data'!$K403)=0,N('Daily Data'!$I403)&gt;0),AND(N('Daily Data'!$I403)=0,N('Daily Data'!$K403)&gt;0),AND(N('Daily Data'!$L403)=0,N('Daily Data'!$M403)=0)),"WARNING","OK"))</f>
        <v/>
      </c>
      <c r="Q403" s="165" t="str">
        <f>IF($A403="","",IF(COUNTIFS('Daily Data'!$B$4:$B$503,'Daily Data'!$B403,'Daily Data'!$A$4:$A$503,'Daily Data'!$A403,'Daily Data'!$Q$4:$Q$503,'Daily Data'!$Q403)&gt;1,"WARNING","OK"))</f>
        <v/>
      </c>
      <c r="R403" s="165" t="str">
        <f>IF($A403="","",IF(AND(N('Daily Data'!$K403)&gt;0,N('Daily Data'!$J403)&lt;=0),"WARNING","OK"))</f>
        <v/>
      </c>
      <c r="S403" s="165" t="str">
        <f>IF($A403="","",COUNTIF($D403:$R403,"ERROR"))</f>
        <v/>
      </c>
      <c r="T403" s="165" t="str">
        <f>IF($A403="","",COUNTIF($D403:$R403,"WARNING"))</f>
        <v/>
      </c>
      <c r="U403" s="165" t="str">
        <f>IF($A403="","",IF($S403&gt;0,"ERROR",IF($T403&gt;0,"WARNING","PASS")))</f>
        <v/>
      </c>
    </row>
    <row r="404" spans="1:21" x14ac:dyDescent="0.3">
      <c r="A404" t="str">
        <f>IF(AND('Daily Data'!$A404="",'Daily Data'!$B404=""),"",404)</f>
        <v/>
      </c>
      <c r="B404" s="16" t="str">
        <f>IF($A404="","",'Daily Data'!$A404)</f>
        <v/>
      </c>
      <c r="C404" t="str">
        <f>IF($A404="","",'Daily Data'!$B404)</f>
        <v/>
      </c>
      <c r="D404" s="165" t="str">
        <f>IF($A404="","",IF(COUNTIFS('Daily Data'!$B$4:$B$503,'Daily Data'!$B404,'Daily Data'!$A$4:$A$503,'Daily Data'!$A404)&gt;1,"ERROR","OK"))</f>
        <v/>
      </c>
      <c r="E404" s="165" t="str">
        <f>IF($A404="","",IF('Daily Data'!$B404="","ERROR","OK"))</f>
        <v/>
      </c>
      <c r="F404" s="165" t="str">
        <f>IF($A404="","",IF(NOT(ISNUMBER('Daily Data'!$A404)),"ERROR","OK"))</f>
        <v/>
      </c>
      <c r="G404" s="165" t="str">
        <f>IF($A404="","",IF(OR(N('Daily Data'!$E404)&lt;=0,N('Daily Data'!$C404)&lt;0,N('Daily Data'!$D404)&lt;0,N('Daily Data'!$F404)&lt;0,N('Daily Data'!$G404)&lt;0),"ERROR","OK"))</f>
        <v/>
      </c>
      <c r="H404" s="165" t="str">
        <f>IF($A404="","",IF(N('Daily Data'!$K404)&lt;0,"ERROR","OK"))</f>
        <v/>
      </c>
      <c r="I404" s="165" t="str">
        <f>IF($A404="","",IF(N('Daily Data'!$I404)&lt;0,"ERROR","OK"))</f>
        <v/>
      </c>
      <c r="J404" s="165" t="str">
        <f>IF($A404="","",IF(N('Daily Data'!$L404)&lt;0,"ERROR","OK"))</f>
        <v/>
      </c>
      <c r="K404" s="165" t="str">
        <f>IF($A404="","",IF(N('Daily Data'!$M404)&lt;0,"ERROR","OK"))</f>
        <v/>
      </c>
      <c r="L404" s="165" t="str">
        <f>IF($A404="","",IF(OR(N('Daily Data'!$F404)=0,N('Daily Data'!$G404)=0),"OK",IF(OR(N('Daily Data'!$E404)&gt;N('Daily Data'!$F404),N('Daily Data'!$E404)&lt;N('Daily Data'!$G404)),"ERROR","OK")))</f>
        <v/>
      </c>
      <c r="M404" s="165" t="str">
        <f>IF($A404="","",IF(N('Daily Data'!$AK404)&lt;=1,"OK",IF(ROUND(N('Daily Data'!$D404),2)=ROUND(SUMIFS('Daily Data'!$E$4:$E$503,'Daily Data'!$B$4:$B$503,'Daily Data'!$B404,'Daily Data'!$AK$4:$AK$503,'Daily Data'!$AK404-1),2),"OK","WARNING")))</f>
        <v/>
      </c>
      <c r="N404" s="165" t="str">
        <f>IF($A404="","",IF(N('Daily Data'!$N404)&lt;=0,"WARNING","OK"))</f>
        <v/>
      </c>
      <c r="O404" s="165" t="str">
        <f>IF($A404="","",IF(AND(ISNUMBER('Daily Data'!$H404),ABS(N('Daily Data'!$H404))&gt;Settings!$C$56),"WARNING","OK"))</f>
        <v/>
      </c>
      <c r="P404" s="165" t="str">
        <f>IF($A404="","",IF(OR(AND(N('Daily Data'!$K404)=0,N('Daily Data'!$I404)&gt;0),AND(N('Daily Data'!$I404)=0,N('Daily Data'!$K404)&gt;0),AND(N('Daily Data'!$L404)=0,N('Daily Data'!$M404)=0)),"WARNING","OK"))</f>
        <v/>
      </c>
      <c r="Q404" s="165" t="str">
        <f>IF($A404="","",IF(COUNTIFS('Daily Data'!$B$4:$B$503,'Daily Data'!$B404,'Daily Data'!$A$4:$A$503,'Daily Data'!$A404,'Daily Data'!$Q$4:$Q$503,'Daily Data'!$Q404)&gt;1,"WARNING","OK"))</f>
        <v/>
      </c>
      <c r="R404" s="165" t="str">
        <f>IF($A404="","",IF(AND(N('Daily Data'!$K404)&gt;0,N('Daily Data'!$J404)&lt;=0),"WARNING","OK"))</f>
        <v/>
      </c>
      <c r="S404" s="165" t="str">
        <f>IF($A404="","",COUNTIF($D404:$R404,"ERROR"))</f>
        <v/>
      </c>
      <c r="T404" s="165" t="str">
        <f>IF($A404="","",COUNTIF($D404:$R404,"WARNING"))</f>
        <v/>
      </c>
      <c r="U404" s="165" t="str">
        <f>IF($A404="","",IF($S404&gt;0,"ERROR",IF($T404&gt;0,"WARNING","PASS")))</f>
        <v/>
      </c>
    </row>
    <row r="405" spans="1:21" x14ac:dyDescent="0.3">
      <c r="A405" t="str">
        <f>IF(AND('Daily Data'!$A405="",'Daily Data'!$B405=""),"",405)</f>
        <v/>
      </c>
      <c r="B405" s="16" t="str">
        <f>IF($A405="","",'Daily Data'!$A405)</f>
        <v/>
      </c>
      <c r="C405" t="str">
        <f>IF($A405="","",'Daily Data'!$B405)</f>
        <v/>
      </c>
      <c r="D405" s="165" t="str">
        <f>IF($A405="","",IF(COUNTIFS('Daily Data'!$B$4:$B$503,'Daily Data'!$B405,'Daily Data'!$A$4:$A$503,'Daily Data'!$A405)&gt;1,"ERROR","OK"))</f>
        <v/>
      </c>
      <c r="E405" s="165" t="str">
        <f>IF($A405="","",IF('Daily Data'!$B405="","ERROR","OK"))</f>
        <v/>
      </c>
      <c r="F405" s="165" t="str">
        <f>IF($A405="","",IF(NOT(ISNUMBER('Daily Data'!$A405)),"ERROR","OK"))</f>
        <v/>
      </c>
      <c r="G405" s="165" t="str">
        <f>IF($A405="","",IF(OR(N('Daily Data'!$E405)&lt;=0,N('Daily Data'!$C405)&lt;0,N('Daily Data'!$D405)&lt;0,N('Daily Data'!$F405)&lt;0,N('Daily Data'!$G405)&lt;0),"ERROR","OK"))</f>
        <v/>
      </c>
      <c r="H405" s="165" t="str">
        <f>IF($A405="","",IF(N('Daily Data'!$K405)&lt;0,"ERROR","OK"))</f>
        <v/>
      </c>
      <c r="I405" s="165" t="str">
        <f>IF($A405="","",IF(N('Daily Data'!$I405)&lt;0,"ERROR","OK"))</f>
        <v/>
      </c>
      <c r="J405" s="165" t="str">
        <f>IF($A405="","",IF(N('Daily Data'!$L405)&lt;0,"ERROR","OK"))</f>
        <v/>
      </c>
      <c r="K405" s="165" t="str">
        <f>IF($A405="","",IF(N('Daily Data'!$M405)&lt;0,"ERROR","OK"))</f>
        <v/>
      </c>
      <c r="L405" s="165" t="str">
        <f>IF($A405="","",IF(OR(N('Daily Data'!$F405)=0,N('Daily Data'!$G405)=0),"OK",IF(OR(N('Daily Data'!$E405)&gt;N('Daily Data'!$F405),N('Daily Data'!$E405)&lt;N('Daily Data'!$G405)),"ERROR","OK")))</f>
        <v/>
      </c>
      <c r="M405" s="165" t="str">
        <f>IF($A405="","",IF(N('Daily Data'!$AK405)&lt;=1,"OK",IF(ROUND(N('Daily Data'!$D405),2)=ROUND(SUMIFS('Daily Data'!$E$4:$E$503,'Daily Data'!$B$4:$B$503,'Daily Data'!$B405,'Daily Data'!$AK$4:$AK$503,'Daily Data'!$AK405-1),2),"OK","WARNING")))</f>
        <v/>
      </c>
      <c r="N405" s="165" t="str">
        <f>IF($A405="","",IF(N('Daily Data'!$N405)&lt;=0,"WARNING","OK"))</f>
        <v/>
      </c>
      <c r="O405" s="165" t="str">
        <f>IF($A405="","",IF(AND(ISNUMBER('Daily Data'!$H405),ABS(N('Daily Data'!$H405))&gt;Settings!$C$56),"WARNING","OK"))</f>
        <v/>
      </c>
      <c r="P405" s="165" t="str">
        <f>IF($A405="","",IF(OR(AND(N('Daily Data'!$K405)=0,N('Daily Data'!$I405)&gt;0),AND(N('Daily Data'!$I405)=0,N('Daily Data'!$K405)&gt;0),AND(N('Daily Data'!$L405)=0,N('Daily Data'!$M405)=0)),"WARNING","OK"))</f>
        <v/>
      </c>
      <c r="Q405" s="165" t="str">
        <f>IF($A405="","",IF(COUNTIFS('Daily Data'!$B$4:$B$503,'Daily Data'!$B405,'Daily Data'!$A$4:$A$503,'Daily Data'!$A405,'Daily Data'!$Q$4:$Q$503,'Daily Data'!$Q405)&gt;1,"WARNING","OK"))</f>
        <v/>
      </c>
      <c r="R405" s="165" t="str">
        <f>IF($A405="","",IF(AND(N('Daily Data'!$K405)&gt;0,N('Daily Data'!$J405)&lt;=0),"WARNING","OK"))</f>
        <v/>
      </c>
      <c r="S405" s="165" t="str">
        <f>IF($A405="","",COUNTIF($D405:$R405,"ERROR"))</f>
        <v/>
      </c>
      <c r="T405" s="165" t="str">
        <f>IF($A405="","",COUNTIF($D405:$R405,"WARNING"))</f>
        <v/>
      </c>
      <c r="U405" s="165" t="str">
        <f>IF($A405="","",IF($S405&gt;0,"ERROR",IF($T405&gt;0,"WARNING","PASS")))</f>
        <v/>
      </c>
    </row>
    <row r="406" spans="1:21" x14ac:dyDescent="0.3">
      <c r="A406" t="str">
        <f>IF(AND('Daily Data'!$A406="",'Daily Data'!$B406=""),"",406)</f>
        <v/>
      </c>
      <c r="B406" s="16" t="str">
        <f>IF($A406="","",'Daily Data'!$A406)</f>
        <v/>
      </c>
      <c r="C406" t="str">
        <f>IF($A406="","",'Daily Data'!$B406)</f>
        <v/>
      </c>
      <c r="D406" s="165" t="str">
        <f>IF($A406="","",IF(COUNTIFS('Daily Data'!$B$4:$B$503,'Daily Data'!$B406,'Daily Data'!$A$4:$A$503,'Daily Data'!$A406)&gt;1,"ERROR","OK"))</f>
        <v/>
      </c>
      <c r="E406" s="165" t="str">
        <f>IF($A406="","",IF('Daily Data'!$B406="","ERROR","OK"))</f>
        <v/>
      </c>
      <c r="F406" s="165" t="str">
        <f>IF($A406="","",IF(NOT(ISNUMBER('Daily Data'!$A406)),"ERROR","OK"))</f>
        <v/>
      </c>
      <c r="G406" s="165" t="str">
        <f>IF($A406="","",IF(OR(N('Daily Data'!$E406)&lt;=0,N('Daily Data'!$C406)&lt;0,N('Daily Data'!$D406)&lt;0,N('Daily Data'!$F406)&lt;0,N('Daily Data'!$G406)&lt;0),"ERROR","OK"))</f>
        <v/>
      </c>
      <c r="H406" s="165" t="str">
        <f>IF($A406="","",IF(N('Daily Data'!$K406)&lt;0,"ERROR","OK"))</f>
        <v/>
      </c>
      <c r="I406" s="165" t="str">
        <f>IF($A406="","",IF(N('Daily Data'!$I406)&lt;0,"ERROR","OK"))</f>
        <v/>
      </c>
      <c r="J406" s="165" t="str">
        <f>IF($A406="","",IF(N('Daily Data'!$L406)&lt;0,"ERROR","OK"))</f>
        <v/>
      </c>
      <c r="K406" s="165" t="str">
        <f>IF($A406="","",IF(N('Daily Data'!$M406)&lt;0,"ERROR","OK"))</f>
        <v/>
      </c>
      <c r="L406" s="165" t="str">
        <f>IF($A406="","",IF(OR(N('Daily Data'!$F406)=0,N('Daily Data'!$G406)=0),"OK",IF(OR(N('Daily Data'!$E406)&gt;N('Daily Data'!$F406),N('Daily Data'!$E406)&lt;N('Daily Data'!$G406)),"ERROR","OK")))</f>
        <v/>
      </c>
      <c r="M406" s="165" t="str">
        <f>IF($A406="","",IF(N('Daily Data'!$AK406)&lt;=1,"OK",IF(ROUND(N('Daily Data'!$D406),2)=ROUND(SUMIFS('Daily Data'!$E$4:$E$503,'Daily Data'!$B$4:$B$503,'Daily Data'!$B406,'Daily Data'!$AK$4:$AK$503,'Daily Data'!$AK406-1),2),"OK","WARNING")))</f>
        <v/>
      </c>
      <c r="N406" s="165" t="str">
        <f>IF($A406="","",IF(N('Daily Data'!$N406)&lt;=0,"WARNING","OK"))</f>
        <v/>
      </c>
      <c r="O406" s="165" t="str">
        <f>IF($A406="","",IF(AND(ISNUMBER('Daily Data'!$H406),ABS(N('Daily Data'!$H406))&gt;Settings!$C$56),"WARNING","OK"))</f>
        <v/>
      </c>
      <c r="P406" s="165" t="str">
        <f>IF($A406="","",IF(OR(AND(N('Daily Data'!$K406)=0,N('Daily Data'!$I406)&gt;0),AND(N('Daily Data'!$I406)=0,N('Daily Data'!$K406)&gt;0),AND(N('Daily Data'!$L406)=0,N('Daily Data'!$M406)=0)),"WARNING","OK"))</f>
        <v/>
      </c>
      <c r="Q406" s="165" t="str">
        <f>IF($A406="","",IF(COUNTIFS('Daily Data'!$B$4:$B$503,'Daily Data'!$B406,'Daily Data'!$A$4:$A$503,'Daily Data'!$A406,'Daily Data'!$Q$4:$Q$503,'Daily Data'!$Q406)&gt;1,"WARNING","OK"))</f>
        <v/>
      </c>
      <c r="R406" s="165" t="str">
        <f>IF($A406="","",IF(AND(N('Daily Data'!$K406)&gt;0,N('Daily Data'!$J406)&lt;=0),"WARNING","OK"))</f>
        <v/>
      </c>
      <c r="S406" s="165" t="str">
        <f>IF($A406="","",COUNTIF($D406:$R406,"ERROR"))</f>
        <v/>
      </c>
      <c r="T406" s="165" t="str">
        <f>IF($A406="","",COUNTIF($D406:$R406,"WARNING"))</f>
        <v/>
      </c>
      <c r="U406" s="165" t="str">
        <f>IF($A406="","",IF($S406&gt;0,"ERROR",IF($T406&gt;0,"WARNING","PASS")))</f>
        <v/>
      </c>
    </row>
    <row r="407" spans="1:21" x14ac:dyDescent="0.3">
      <c r="A407" t="str">
        <f>IF(AND('Daily Data'!$A407="",'Daily Data'!$B407=""),"",407)</f>
        <v/>
      </c>
      <c r="B407" s="16" t="str">
        <f>IF($A407="","",'Daily Data'!$A407)</f>
        <v/>
      </c>
      <c r="C407" t="str">
        <f>IF($A407="","",'Daily Data'!$B407)</f>
        <v/>
      </c>
      <c r="D407" s="165" t="str">
        <f>IF($A407="","",IF(COUNTIFS('Daily Data'!$B$4:$B$503,'Daily Data'!$B407,'Daily Data'!$A$4:$A$503,'Daily Data'!$A407)&gt;1,"ERROR","OK"))</f>
        <v/>
      </c>
      <c r="E407" s="165" t="str">
        <f>IF($A407="","",IF('Daily Data'!$B407="","ERROR","OK"))</f>
        <v/>
      </c>
      <c r="F407" s="165" t="str">
        <f>IF($A407="","",IF(NOT(ISNUMBER('Daily Data'!$A407)),"ERROR","OK"))</f>
        <v/>
      </c>
      <c r="G407" s="165" t="str">
        <f>IF($A407="","",IF(OR(N('Daily Data'!$E407)&lt;=0,N('Daily Data'!$C407)&lt;0,N('Daily Data'!$D407)&lt;0,N('Daily Data'!$F407)&lt;0,N('Daily Data'!$G407)&lt;0),"ERROR","OK"))</f>
        <v/>
      </c>
      <c r="H407" s="165" t="str">
        <f>IF($A407="","",IF(N('Daily Data'!$K407)&lt;0,"ERROR","OK"))</f>
        <v/>
      </c>
      <c r="I407" s="165" t="str">
        <f>IF($A407="","",IF(N('Daily Data'!$I407)&lt;0,"ERROR","OK"))</f>
        <v/>
      </c>
      <c r="J407" s="165" t="str">
        <f>IF($A407="","",IF(N('Daily Data'!$L407)&lt;0,"ERROR","OK"))</f>
        <v/>
      </c>
      <c r="K407" s="165" t="str">
        <f>IF($A407="","",IF(N('Daily Data'!$M407)&lt;0,"ERROR","OK"))</f>
        <v/>
      </c>
      <c r="L407" s="165" t="str">
        <f>IF($A407="","",IF(OR(N('Daily Data'!$F407)=0,N('Daily Data'!$G407)=0),"OK",IF(OR(N('Daily Data'!$E407)&gt;N('Daily Data'!$F407),N('Daily Data'!$E407)&lt;N('Daily Data'!$G407)),"ERROR","OK")))</f>
        <v/>
      </c>
      <c r="M407" s="165" t="str">
        <f>IF($A407="","",IF(N('Daily Data'!$AK407)&lt;=1,"OK",IF(ROUND(N('Daily Data'!$D407),2)=ROUND(SUMIFS('Daily Data'!$E$4:$E$503,'Daily Data'!$B$4:$B$503,'Daily Data'!$B407,'Daily Data'!$AK$4:$AK$503,'Daily Data'!$AK407-1),2),"OK","WARNING")))</f>
        <v/>
      </c>
      <c r="N407" s="165" t="str">
        <f>IF($A407="","",IF(N('Daily Data'!$N407)&lt;=0,"WARNING","OK"))</f>
        <v/>
      </c>
      <c r="O407" s="165" t="str">
        <f>IF($A407="","",IF(AND(ISNUMBER('Daily Data'!$H407),ABS(N('Daily Data'!$H407))&gt;Settings!$C$56),"WARNING","OK"))</f>
        <v/>
      </c>
      <c r="P407" s="165" t="str">
        <f>IF($A407="","",IF(OR(AND(N('Daily Data'!$K407)=0,N('Daily Data'!$I407)&gt;0),AND(N('Daily Data'!$I407)=0,N('Daily Data'!$K407)&gt;0),AND(N('Daily Data'!$L407)=0,N('Daily Data'!$M407)=0)),"WARNING","OK"))</f>
        <v/>
      </c>
      <c r="Q407" s="165" t="str">
        <f>IF($A407="","",IF(COUNTIFS('Daily Data'!$B$4:$B$503,'Daily Data'!$B407,'Daily Data'!$A$4:$A$503,'Daily Data'!$A407,'Daily Data'!$Q$4:$Q$503,'Daily Data'!$Q407)&gt;1,"WARNING","OK"))</f>
        <v/>
      </c>
      <c r="R407" s="165" t="str">
        <f>IF($A407="","",IF(AND(N('Daily Data'!$K407)&gt;0,N('Daily Data'!$J407)&lt;=0),"WARNING","OK"))</f>
        <v/>
      </c>
      <c r="S407" s="165" t="str">
        <f>IF($A407="","",COUNTIF($D407:$R407,"ERROR"))</f>
        <v/>
      </c>
      <c r="T407" s="165" t="str">
        <f>IF($A407="","",COUNTIF($D407:$R407,"WARNING"))</f>
        <v/>
      </c>
      <c r="U407" s="165" t="str">
        <f>IF($A407="","",IF($S407&gt;0,"ERROR",IF($T407&gt;0,"WARNING","PASS")))</f>
        <v/>
      </c>
    </row>
    <row r="408" spans="1:21" x14ac:dyDescent="0.3">
      <c r="A408" t="str">
        <f>IF(AND('Daily Data'!$A408="",'Daily Data'!$B408=""),"",408)</f>
        <v/>
      </c>
      <c r="B408" s="16" t="str">
        <f>IF($A408="","",'Daily Data'!$A408)</f>
        <v/>
      </c>
      <c r="C408" t="str">
        <f>IF($A408="","",'Daily Data'!$B408)</f>
        <v/>
      </c>
      <c r="D408" s="165" t="str">
        <f>IF($A408="","",IF(COUNTIFS('Daily Data'!$B$4:$B$503,'Daily Data'!$B408,'Daily Data'!$A$4:$A$503,'Daily Data'!$A408)&gt;1,"ERROR","OK"))</f>
        <v/>
      </c>
      <c r="E408" s="165" t="str">
        <f>IF($A408="","",IF('Daily Data'!$B408="","ERROR","OK"))</f>
        <v/>
      </c>
      <c r="F408" s="165" t="str">
        <f>IF($A408="","",IF(NOT(ISNUMBER('Daily Data'!$A408)),"ERROR","OK"))</f>
        <v/>
      </c>
      <c r="G408" s="165" t="str">
        <f>IF($A408="","",IF(OR(N('Daily Data'!$E408)&lt;=0,N('Daily Data'!$C408)&lt;0,N('Daily Data'!$D408)&lt;0,N('Daily Data'!$F408)&lt;0,N('Daily Data'!$G408)&lt;0),"ERROR","OK"))</f>
        <v/>
      </c>
      <c r="H408" s="165" t="str">
        <f>IF($A408="","",IF(N('Daily Data'!$K408)&lt;0,"ERROR","OK"))</f>
        <v/>
      </c>
      <c r="I408" s="165" t="str">
        <f>IF($A408="","",IF(N('Daily Data'!$I408)&lt;0,"ERROR","OK"))</f>
        <v/>
      </c>
      <c r="J408" s="165" t="str">
        <f>IF($A408="","",IF(N('Daily Data'!$L408)&lt;0,"ERROR","OK"))</f>
        <v/>
      </c>
      <c r="K408" s="165" t="str">
        <f>IF($A408="","",IF(N('Daily Data'!$M408)&lt;0,"ERROR","OK"))</f>
        <v/>
      </c>
      <c r="L408" s="165" t="str">
        <f>IF($A408="","",IF(OR(N('Daily Data'!$F408)=0,N('Daily Data'!$G408)=0),"OK",IF(OR(N('Daily Data'!$E408)&gt;N('Daily Data'!$F408),N('Daily Data'!$E408)&lt;N('Daily Data'!$G408)),"ERROR","OK")))</f>
        <v/>
      </c>
      <c r="M408" s="165" t="str">
        <f>IF($A408="","",IF(N('Daily Data'!$AK408)&lt;=1,"OK",IF(ROUND(N('Daily Data'!$D408),2)=ROUND(SUMIFS('Daily Data'!$E$4:$E$503,'Daily Data'!$B$4:$B$503,'Daily Data'!$B408,'Daily Data'!$AK$4:$AK$503,'Daily Data'!$AK408-1),2),"OK","WARNING")))</f>
        <v/>
      </c>
      <c r="N408" s="165" t="str">
        <f>IF($A408="","",IF(N('Daily Data'!$N408)&lt;=0,"WARNING","OK"))</f>
        <v/>
      </c>
      <c r="O408" s="165" t="str">
        <f>IF($A408="","",IF(AND(ISNUMBER('Daily Data'!$H408),ABS(N('Daily Data'!$H408))&gt;Settings!$C$56),"WARNING","OK"))</f>
        <v/>
      </c>
      <c r="P408" s="165" t="str">
        <f>IF($A408="","",IF(OR(AND(N('Daily Data'!$K408)=0,N('Daily Data'!$I408)&gt;0),AND(N('Daily Data'!$I408)=0,N('Daily Data'!$K408)&gt;0),AND(N('Daily Data'!$L408)=0,N('Daily Data'!$M408)=0)),"WARNING","OK"))</f>
        <v/>
      </c>
      <c r="Q408" s="165" t="str">
        <f>IF($A408="","",IF(COUNTIFS('Daily Data'!$B$4:$B$503,'Daily Data'!$B408,'Daily Data'!$A$4:$A$503,'Daily Data'!$A408,'Daily Data'!$Q$4:$Q$503,'Daily Data'!$Q408)&gt;1,"WARNING","OK"))</f>
        <v/>
      </c>
      <c r="R408" s="165" t="str">
        <f>IF($A408="","",IF(AND(N('Daily Data'!$K408)&gt;0,N('Daily Data'!$J408)&lt;=0),"WARNING","OK"))</f>
        <v/>
      </c>
      <c r="S408" s="165" t="str">
        <f>IF($A408="","",COUNTIF($D408:$R408,"ERROR"))</f>
        <v/>
      </c>
      <c r="T408" s="165" t="str">
        <f>IF($A408="","",COUNTIF($D408:$R408,"WARNING"))</f>
        <v/>
      </c>
      <c r="U408" s="165" t="str">
        <f>IF($A408="","",IF($S408&gt;0,"ERROR",IF($T408&gt;0,"WARNING","PASS")))</f>
        <v/>
      </c>
    </row>
    <row r="409" spans="1:21" x14ac:dyDescent="0.3">
      <c r="A409" t="str">
        <f>IF(AND('Daily Data'!$A409="",'Daily Data'!$B409=""),"",409)</f>
        <v/>
      </c>
      <c r="B409" s="16" t="str">
        <f>IF($A409="","",'Daily Data'!$A409)</f>
        <v/>
      </c>
      <c r="C409" t="str">
        <f>IF($A409="","",'Daily Data'!$B409)</f>
        <v/>
      </c>
      <c r="D409" s="165" t="str">
        <f>IF($A409="","",IF(COUNTIFS('Daily Data'!$B$4:$B$503,'Daily Data'!$B409,'Daily Data'!$A$4:$A$503,'Daily Data'!$A409)&gt;1,"ERROR","OK"))</f>
        <v/>
      </c>
      <c r="E409" s="165" t="str">
        <f>IF($A409="","",IF('Daily Data'!$B409="","ERROR","OK"))</f>
        <v/>
      </c>
      <c r="F409" s="165" t="str">
        <f>IF($A409="","",IF(NOT(ISNUMBER('Daily Data'!$A409)),"ERROR","OK"))</f>
        <v/>
      </c>
      <c r="G409" s="165" t="str">
        <f>IF($A409="","",IF(OR(N('Daily Data'!$E409)&lt;=0,N('Daily Data'!$C409)&lt;0,N('Daily Data'!$D409)&lt;0,N('Daily Data'!$F409)&lt;0,N('Daily Data'!$G409)&lt;0),"ERROR","OK"))</f>
        <v/>
      </c>
      <c r="H409" s="165" t="str">
        <f>IF($A409="","",IF(N('Daily Data'!$K409)&lt;0,"ERROR","OK"))</f>
        <v/>
      </c>
      <c r="I409" s="165" t="str">
        <f>IF($A409="","",IF(N('Daily Data'!$I409)&lt;0,"ERROR","OK"))</f>
        <v/>
      </c>
      <c r="J409" s="165" t="str">
        <f>IF($A409="","",IF(N('Daily Data'!$L409)&lt;0,"ERROR","OK"))</f>
        <v/>
      </c>
      <c r="K409" s="165" t="str">
        <f>IF($A409="","",IF(N('Daily Data'!$M409)&lt;0,"ERROR","OK"))</f>
        <v/>
      </c>
      <c r="L409" s="165" t="str">
        <f>IF($A409="","",IF(OR(N('Daily Data'!$F409)=0,N('Daily Data'!$G409)=0),"OK",IF(OR(N('Daily Data'!$E409)&gt;N('Daily Data'!$F409),N('Daily Data'!$E409)&lt;N('Daily Data'!$G409)),"ERROR","OK")))</f>
        <v/>
      </c>
      <c r="M409" s="165" t="str">
        <f>IF($A409="","",IF(N('Daily Data'!$AK409)&lt;=1,"OK",IF(ROUND(N('Daily Data'!$D409),2)=ROUND(SUMIFS('Daily Data'!$E$4:$E$503,'Daily Data'!$B$4:$B$503,'Daily Data'!$B409,'Daily Data'!$AK$4:$AK$503,'Daily Data'!$AK409-1),2),"OK","WARNING")))</f>
        <v/>
      </c>
      <c r="N409" s="165" t="str">
        <f>IF($A409="","",IF(N('Daily Data'!$N409)&lt;=0,"WARNING","OK"))</f>
        <v/>
      </c>
      <c r="O409" s="165" t="str">
        <f>IF($A409="","",IF(AND(ISNUMBER('Daily Data'!$H409),ABS(N('Daily Data'!$H409))&gt;Settings!$C$56),"WARNING","OK"))</f>
        <v/>
      </c>
      <c r="P409" s="165" t="str">
        <f>IF($A409="","",IF(OR(AND(N('Daily Data'!$K409)=0,N('Daily Data'!$I409)&gt;0),AND(N('Daily Data'!$I409)=0,N('Daily Data'!$K409)&gt;0),AND(N('Daily Data'!$L409)=0,N('Daily Data'!$M409)=0)),"WARNING","OK"))</f>
        <v/>
      </c>
      <c r="Q409" s="165" t="str">
        <f>IF($A409="","",IF(COUNTIFS('Daily Data'!$B$4:$B$503,'Daily Data'!$B409,'Daily Data'!$A$4:$A$503,'Daily Data'!$A409,'Daily Data'!$Q$4:$Q$503,'Daily Data'!$Q409)&gt;1,"WARNING","OK"))</f>
        <v/>
      </c>
      <c r="R409" s="165" t="str">
        <f>IF($A409="","",IF(AND(N('Daily Data'!$K409)&gt;0,N('Daily Data'!$J409)&lt;=0),"WARNING","OK"))</f>
        <v/>
      </c>
      <c r="S409" s="165" t="str">
        <f>IF($A409="","",COUNTIF($D409:$R409,"ERROR"))</f>
        <v/>
      </c>
      <c r="T409" s="165" t="str">
        <f>IF($A409="","",COUNTIF($D409:$R409,"WARNING"))</f>
        <v/>
      </c>
      <c r="U409" s="165" t="str">
        <f>IF($A409="","",IF($S409&gt;0,"ERROR",IF($T409&gt;0,"WARNING","PASS")))</f>
        <v/>
      </c>
    </row>
    <row r="410" spans="1:21" x14ac:dyDescent="0.3">
      <c r="A410" t="str">
        <f>IF(AND('Daily Data'!$A410="",'Daily Data'!$B410=""),"",410)</f>
        <v/>
      </c>
      <c r="B410" s="16" t="str">
        <f>IF($A410="","",'Daily Data'!$A410)</f>
        <v/>
      </c>
      <c r="C410" t="str">
        <f>IF($A410="","",'Daily Data'!$B410)</f>
        <v/>
      </c>
      <c r="D410" s="165" t="str">
        <f>IF($A410="","",IF(COUNTIFS('Daily Data'!$B$4:$B$503,'Daily Data'!$B410,'Daily Data'!$A$4:$A$503,'Daily Data'!$A410)&gt;1,"ERROR","OK"))</f>
        <v/>
      </c>
      <c r="E410" s="165" t="str">
        <f>IF($A410="","",IF('Daily Data'!$B410="","ERROR","OK"))</f>
        <v/>
      </c>
      <c r="F410" s="165" t="str">
        <f>IF($A410="","",IF(NOT(ISNUMBER('Daily Data'!$A410)),"ERROR","OK"))</f>
        <v/>
      </c>
      <c r="G410" s="165" t="str">
        <f>IF($A410="","",IF(OR(N('Daily Data'!$E410)&lt;=0,N('Daily Data'!$C410)&lt;0,N('Daily Data'!$D410)&lt;0,N('Daily Data'!$F410)&lt;0,N('Daily Data'!$G410)&lt;0),"ERROR","OK"))</f>
        <v/>
      </c>
      <c r="H410" s="165" t="str">
        <f>IF($A410="","",IF(N('Daily Data'!$K410)&lt;0,"ERROR","OK"))</f>
        <v/>
      </c>
      <c r="I410" s="165" t="str">
        <f>IF($A410="","",IF(N('Daily Data'!$I410)&lt;0,"ERROR","OK"))</f>
        <v/>
      </c>
      <c r="J410" s="165" t="str">
        <f>IF($A410="","",IF(N('Daily Data'!$L410)&lt;0,"ERROR","OK"))</f>
        <v/>
      </c>
      <c r="K410" s="165" t="str">
        <f>IF($A410="","",IF(N('Daily Data'!$M410)&lt;0,"ERROR","OK"))</f>
        <v/>
      </c>
      <c r="L410" s="165" t="str">
        <f>IF($A410="","",IF(OR(N('Daily Data'!$F410)=0,N('Daily Data'!$G410)=0),"OK",IF(OR(N('Daily Data'!$E410)&gt;N('Daily Data'!$F410),N('Daily Data'!$E410)&lt;N('Daily Data'!$G410)),"ERROR","OK")))</f>
        <v/>
      </c>
      <c r="M410" s="165" t="str">
        <f>IF($A410="","",IF(N('Daily Data'!$AK410)&lt;=1,"OK",IF(ROUND(N('Daily Data'!$D410),2)=ROUND(SUMIFS('Daily Data'!$E$4:$E$503,'Daily Data'!$B$4:$B$503,'Daily Data'!$B410,'Daily Data'!$AK$4:$AK$503,'Daily Data'!$AK410-1),2),"OK","WARNING")))</f>
        <v/>
      </c>
      <c r="N410" s="165" t="str">
        <f>IF($A410="","",IF(N('Daily Data'!$N410)&lt;=0,"WARNING","OK"))</f>
        <v/>
      </c>
      <c r="O410" s="165" t="str">
        <f>IF($A410="","",IF(AND(ISNUMBER('Daily Data'!$H410),ABS(N('Daily Data'!$H410))&gt;Settings!$C$56),"WARNING","OK"))</f>
        <v/>
      </c>
      <c r="P410" s="165" t="str">
        <f>IF($A410="","",IF(OR(AND(N('Daily Data'!$K410)=0,N('Daily Data'!$I410)&gt;0),AND(N('Daily Data'!$I410)=0,N('Daily Data'!$K410)&gt;0),AND(N('Daily Data'!$L410)=0,N('Daily Data'!$M410)=0)),"WARNING","OK"))</f>
        <v/>
      </c>
      <c r="Q410" s="165" t="str">
        <f>IF($A410="","",IF(COUNTIFS('Daily Data'!$B$4:$B$503,'Daily Data'!$B410,'Daily Data'!$A$4:$A$503,'Daily Data'!$A410,'Daily Data'!$Q$4:$Q$503,'Daily Data'!$Q410)&gt;1,"WARNING","OK"))</f>
        <v/>
      </c>
      <c r="R410" s="165" t="str">
        <f>IF($A410="","",IF(AND(N('Daily Data'!$K410)&gt;0,N('Daily Data'!$J410)&lt;=0),"WARNING","OK"))</f>
        <v/>
      </c>
      <c r="S410" s="165" t="str">
        <f>IF($A410="","",COUNTIF($D410:$R410,"ERROR"))</f>
        <v/>
      </c>
      <c r="T410" s="165" t="str">
        <f>IF($A410="","",COUNTIF($D410:$R410,"WARNING"))</f>
        <v/>
      </c>
      <c r="U410" s="165" t="str">
        <f>IF($A410="","",IF($S410&gt;0,"ERROR",IF($T410&gt;0,"WARNING","PASS")))</f>
        <v/>
      </c>
    </row>
    <row r="411" spans="1:21" x14ac:dyDescent="0.3">
      <c r="A411" t="str">
        <f>IF(AND('Daily Data'!$A411="",'Daily Data'!$B411=""),"",411)</f>
        <v/>
      </c>
      <c r="B411" s="16" t="str">
        <f>IF($A411="","",'Daily Data'!$A411)</f>
        <v/>
      </c>
      <c r="C411" t="str">
        <f>IF($A411="","",'Daily Data'!$B411)</f>
        <v/>
      </c>
      <c r="D411" s="165" t="str">
        <f>IF($A411="","",IF(COUNTIFS('Daily Data'!$B$4:$B$503,'Daily Data'!$B411,'Daily Data'!$A$4:$A$503,'Daily Data'!$A411)&gt;1,"ERROR","OK"))</f>
        <v/>
      </c>
      <c r="E411" s="165" t="str">
        <f>IF($A411="","",IF('Daily Data'!$B411="","ERROR","OK"))</f>
        <v/>
      </c>
      <c r="F411" s="165" t="str">
        <f>IF($A411="","",IF(NOT(ISNUMBER('Daily Data'!$A411)),"ERROR","OK"))</f>
        <v/>
      </c>
      <c r="G411" s="165" t="str">
        <f>IF($A411="","",IF(OR(N('Daily Data'!$E411)&lt;=0,N('Daily Data'!$C411)&lt;0,N('Daily Data'!$D411)&lt;0,N('Daily Data'!$F411)&lt;0,N('Daily Data'!$G411)&lt;0),"ERROR","OK"))</f>
        <v/>
      </c>
      <c r="H411" s="165" t="str">
        <f>IF($A411="","",IF(N('Daily Data'!$K411)&lt;0,"ERROR","OK"))</f>
        <v/>
      </c>
      <c r="I411" s="165" t="str">
        <f>IF($A411="","",IF(N('Daily Data'!$I411)&lt;0,"ERROR","OK"))</f>
        <v/>
      </c>
      <c r="J411" s="165" t="str">
        <f>IF($A411="","",IF(N('Daily Data'!$L411)&lt;0,"ERROR","OK"))</f>
        <v/>
      </c>
      <c r="K411" s="165" t="str">
        <f>IF($A411="","",IF(N('Daily Data'!$M411)&lt;0,"ERROR","OK"))</f>
        <v/>
      </c>
      <c r="L411" s="165" t="str">
        <f>IF($A411="","",IF(OR(N('Daily Data'!$F411)=0,N('Daily Data'!$G411)=0),"OK",IF(OR(N('Daily Data'!$E411)&gt;N('Daily Data'!$F411),N('Daily Data'!$E411)&lt;N('Daily Data'!$G411)),"ERROR","OK")))</f>
        <v/>
      </c>
      <c r="M411" s="165" t="str">
        <f>IF($A411="","",IF(N('Daily Data'!$AK411)&lt;=1,"OK",IF(ROUND(N('Daily Data'!$D411),2)=ROUND(SUMIFS('Daily Data'!$E$4:$E$503,'Daily Data'!$B$4:$B$503,'Daily Data'!$B411,'Daily Data'!$AK$4:$AK$503,'Daily Data'!$AK411-1),2),"OK","WARNING")))</f>
        <v/>
      </c>
      <c r="N411" s="165" t="str">
        <f>IF($A411="","",IF(N('Daily Data'!$N411)&lt;=0,"WARNING","OK"))</f>
        <v/>
      </c>
      <c r="O411" s="165" t="str">
        <f>IF($A411="","",IF(AND(ISNUMBER('Daily Data'!$H411),ABS(N('Daily Data'!$H411))&gt;Settings!$C$56),"WARNING","OK"))</f>
        <v/>
      </c>
      <c r="P411" s="165" t="str">
        <f>IF($A411="","",IF(OR(AND(N('Daily Data'!$K411)=0,N('Daily Data'!$I411)&gt;0),AND(N('Daily Data'!$I411)=0,N('Daily Data'!$K411)&gt;0),AND(N('Daily Data'!$L411)=0,N('Daily Data'!$M411)=0)),"WARNING","OK"))</f>
        <v/>
      </c>
      <c r="Q411" s="165" t="str">
        <f>IF($A411="","",IF(COUNTIFS('Daily Data'!$B$4:$B$503,'Daily Data'!$B411,'Daily Data'!$A$4:$A$503,'Daily Data'!$A411,'Daily Data'!$Q$4:$Q$503,'Daily Data'!$Q411)&gt;1,"WARNING","OK"))</f>
        <v/>
      </c>
      <c r="R411" s="165" t="str">
        <f>IF($A411="","",IF(AND(N('Daily Data'!$K411)&gt;0,N('Daily Data'!$J411)&lt;=0),"WARNING","OK"))</f>
        <v/>
      </c>
      <c r="S411" s="165" t="str">
        <f>IF($A411="","",COUNTIF($D411:$R411,"ERROR"))</f>
        <v/>
      </c>
      <c r="T411" s="165" t="str">
        <f>IF($A411="","",COUNTIF($D411:$R411,"WARNING"))</f>
        <v/>
      </c>
      <c r="U411" s="165" t="str">
        <f>IF($A411="","",IF($S411&gt;0,"ERROR",IF($T411&gt;0,"WARNING","PASS")))</f>
        <v/>
      </c>
    </row>
    <row r="412" spans="1:21" x14ac:dyDescent="0.3">
      <c r="A412" t="str">
        <f>IF(AND('Daily Data'!$A412="",'Daily Data'!$B412=""),"",412)</f>
        <v/>
      </c>
      <c r="B412" s="16" t="str">
        <f>IF($A412="","",'Daily Data'!$A412)</f>
        <v/>
      </c>
      <c r="C412" t="str">
        <f>IF($A412="","",'Daily Data'!$B412)</f>
        <v/>
      </c>
      <c r="D412" s="165" t="str">
        <f>IF($A412="","",IF(COUNTIFS('Daily Data'!$B$4:$B$503,'Daily Data'!$B412,'Daily Data'!$A$4:$A$503,'Daily Data'!$A412)&gt;1,"ERROR","OK"))</f>
        <v/>
      </c>
      <c r="E412" s="165" t="str">
        <f>IF($A412="","",IF('Daily Data'!$B412="","ERROR","OK"))</f>
        <v/>
      </c>
      <c r="F412" s="165" t="str">
        <f>IF($A412="","",IF(NOT(ISNUMBER('Daily Data'!$A412)),"ERROR","OK"))</f>
        <v/>
      </c>
      <c r="G412" s="165" t="str">
        <f>IF($A412="","",IF(OR(N('Daily Data'!$E412)&lt;=0,N('Daily Data'!$C412)&lt;0,N('Daily Data'!$D412)&lt;0,N('Daily Data'!$F412)&lt;0,N('Daily Data'!$G412)&lt;0),"ERROR","OK"))</f>
        <v/>
      </c>
      <c r="H412" s="165" t="str">
        <f>IF($A412="","",IF(N('Daily Data'!$K412)&lt;0,"ERROR","OK"))</f>
        <v/>
      </c>
      <c r="I412" s="165" t="str">
        <f>IF($A412="","",IF(N('Daily Data'!$I412)&lt;0,"ERROR","OK"))</f>
        <v/>
      </c>
      <c r="J412" s="165" t="str">
        <f>IF($A412="","",IF(N('Daily Data'!$L412)&lt;0,"ERROR","OK"))</f>
        <v/>
      </c>
      <c r="K412" s="165" t="str">
        <f>IF($A412="","",IF(N('Daily Data'!$M412)&lt;0,"ERROR","OK"))</f>
        <v/>
      </c>
      <c r="L412" s="165" t="str">
        <f>IF($A412="","",IF(OR(N('Daily Data'!$F412)=0,N('Daily Data'!$G412)=0),"OK",IF(OR(N('Daily Data'!$E412)&gt;N('Daily Data'!$F412),N('Daily Data'!$E412)&lt;N('Daily Data'!$G412)),"ERROR","OK")))</f>
        <v/>
      </c>
      <c r="M412" s="165" t="str">
        <f>IF($A412="","",IF(N('Daily Data'!$AK412)&lt;=1,"OK",IF(ROUND(N('Daily Data'!$D412),2)=ROUND(SUMIFS('Daily Data'!$E$4:$E$503,'Daily Data'!$B$4:$B$503,'Daily Data'!$B412,'Daily Data'!$AK$4:$AK$503,'Daily Data'!$AK412-1),2),"OK","WARNING")))</f>
        <v/>
      </c>
      <c r="N412" s="165" t="str">
        <f>IF($A412="","",IF(N('Daily Data'!$N412)&lt;=0,"WARNING","OK"))</f>
        <v/>
      </c>
      <c r="O412" s="165" t="str">
        <f>IF($A412="","",IF(AND(ISNUMBER('Daily Data'!$H412),ABS(N('Daily Data'!$H412))&gt;Settings!$C$56),"WARNING","OK"))</f>
        <v/>
      </c>
      <c r="P412" s="165" t="str">
        <f>IF($A412="","",IF(OR(AND(N('Daily Data'!$K412)=0,N('Daily Data'!$I412)&gt;0),AND(N('Daily Data'!$I412)=0,N('Daily Data'!$K412)&gt;0),AND(N('Daily Data'!$L412)=0,N('Daily Data'!$M412)=0)),"WARNING","OK"))</f>
        <v/>
      </c>
      <c r="Q412" s="165" t="str">
        <f>IF($A412="","",IF(COUNTIFS('Daily Data'!$B$4:$B$503,'Daily Data'!$B412,'Daily Data'!$A$4:$A$503,'Daily Data'!$A412,'Daily Data'!$Q$4:$Q$503,'Daily Data'!$Q412)&gt;1,"WARNING","OK"))</f>
        <v/>
      </c>
      <c r="R412" s="165" t="str">
        <f>IF($A412="","",IF(AND(N('Daily Data'!$K412)&gt;0,N('Daily Data'!$J412)&lt;=0),"WARNING","OK"))</f>
        <v/>
      </c>
      <c r="S412" s="165" t="str">
        <f>IF($A412="","",COUNTIF($D412:$R412,"ERROR"))</f>
        <v/>
      </c>
      <c r="T412" s="165" t="str">
        <f>IF($A412="","",COUNTIF($D412:$R412,"WARNING"))</f>
        <v/>
      </c>
      <c r="U412" s="165" t="str">
        <f>IF($A412="","",IF($S412&gt;0,"ERROR",IF($T412&gt;0,"WARNING","PASS")))</f>
        <v/>
      </c>
    </row>
    <row r="413" spans="1:21" x14ac:dyDescent="0.3">
      <c r="A413" t="str">
        <f>IF(AND('Daily Data'!$A413="",'Daily Data'!$B413=""),"",413)</f>
        <v/>
      </c>
      <c r="B413" s="16" t="str">
        <f>IF($A413="","",'Daily Data'!$A413)</f>
        <v/>
      </c>
      <c r="C413" t="str">
        <f>IF($A413="","",'Daily Data'!$B413)</f>
        <v/>
      </c>
      <c r="D413" s="165" t="str">
        <f>IF($A413="","",IF(COUNTIFS('Daily Data'!$B$4:$B$503,'Daily Data'!$B413,'Daily Data'!$A$4:$A$503,'Daily Data'!$A413)&gt;1,"ERROR","OK"))</f>
        <v/>
      </c>
      <c r="E413" s="165" t="str">
        <f>IF($A413="","",IF('Daily Data'!$B413="","ERROR","OK"))</f>
        <v/>
      </c>
      <c r="F413" s="165" t="str">
        <f>IF($A413="","",IF(NOT(ISNUMBER('Daily Data'!$A413)),"ERROR","OK"))</f>
        <v/>
      </c>
      <c r="G413" s="165" t="str">
        <f>IF($A413="","",IF(OR(N('Daily Data'!$E413)&lt;=0,N('Daily Data'!$C413)&lt;0,N('Daily Data'!$D413)&lt;0,N('Daily Data'!$F413)&lt;0,N('Daily Data'!$G413)&lt;0),"ERROR","OK"))</f>
        <v/>
      </c>
      <c r="H413" s="165" t="str">
        <f>IF($A413="","",IF(N('Daily Data'!$K413)&lt;0,"ERROR","OK"))</f>
        <v/>
      </c>
      <c r="I413" s="165" t="str">
        <f>IF($A413="","",IF(N('Daily Data'!$I413)&lt;0,"ERROR","OK"))</f>
        <v/>
      </c>
      <c r="J413" s="165" t="str">
        <f>IF($A413="","",IF(N('Daily Data'!$L413)&lt;0,"ERROR","OK"))</f>
        <v/>
      </c>
      <c r="K413" s="165" t="str">
        <f>IF($A413="","",IF(N('Daily Data'!$M413)&lt;0,"ERROR","OK"))</f>
        <v/>
      </c>
      <c r="L413" s="165" t="str">
        <f>IF($A413="","",IF(OR(N('Daily Data'!$F413)=0,N('Daily Data'!$G413)=0),"OK",IF(OR(N('Daily Data'!$E413)&gt;N('Daily Data'!$F413),N('Daily Data'!$E413)&lt;N('Daily Data'!$G413)),"ERROR","OK")))</f>
        <v/>
      </c>
      <c r="M413" s="165" t="str">
        <f>IF($A413="","",IF(N('Daily Data'!$AK413)&lt;=1,"OK",IF(ROUND(N('Daily Data'!$D413),2)=ROUND(SUMIFS('Daily Data'!$E$4:$E$503,'Daily Data'!$B$4:$B$503,'Daily Data'!$B413,'Daily Data'!$AK$4:$AK$503,'Daily Data'!$AK413-1),2),"OK","WARNING")))</f>
        <v/>
      </c>
      <c r="N413" s="165" t="str">
        <f>IF($A413="","",IF(N('Daily Data'!$N413)&lt;=0,"WARNING","OK"))</f>
        <v/>
      </c>
      <c r="O413" s="165" t="str">
        <f>IF($A413="","",IF(AND(ISNUMBER('Daily Data'!$H413),ABS(N('Daily Data'!$H413))&gt;Settings!$C$56),"WARNING","OK"))</f>
        <v/>
      </c>
      <c r="P413" s="165" t="str">
        <f>IF($A413="","",IF(OR(AND(N('Daily Data'!$K413)=0,N('Daily Data'!$I413)&gt;0),AND(N('Daily Data'!$I413)=0,N('Daily Data'!$K413)&gt;0),AND(N('Daily Data'!$L413)=0,N('Daily Data'!$M413)=0)),"WARNING","OK"))</f>
        <v/>
      </c>
      <c r="Q413" s="165" t="str">
        <f>IF($A413="","",IF(COUNTIFS('Daily Data'!$B$4:$B$503,'Daily Data'!$B413,'Daily Data'!$A$4:$A$503,'Daily Data'!$A413,'Daily Data'!$Q$4:$Q$503,'Daily Data'!$Q413)&gt;1,"WARNING","OK"))</f>
        <v/>
      </c>
      <c r="R413" s="165" t="str">
        <f>IF($A413="","",IF(AND(N('Daily Data'!$K413)&gt;0,N('Daily Data'!$J413)&lt;=0),"WARNING","OK"))</f>
        <v/>
      </c>
      <c r="S413" s="165" t="str">
        <f>IF($A413="","",COUNTIF($D413:$R413,"ERROR"))</f>
        <v/>
      </c>
      <c r="T413" s="165" t="str">
        <f>IF($A413="","",COUNTIF($D413:$R413,"WARNING"))</f>
        <v/>
      </c>
      <c r="U413" s="165" t="str">
        <f>IF($A413="","",IF($S413&gt;0,"ERROR",IF($T413&gt;0,"WARNING","PASS")))</f>
        <v/>
      </c>
    </row>
    <row r="414" spans="1:21" x14ac:dyDescent="0.3">
      <c r="A414" t="str">
        <f>IF(AND('Daily Data'!$A414="",'Daily Data'!$B414=""),"",414)</f>
        <v/>
      </c>
      <c r="B414" s="16" t="str">
        <f>IF($A414="","",'Daily Data'!$A414)</f>
        <v/>
      </c>
      <c r="C414" t="str">
        <f>IF($A414="","",'Daily Data'!$B414)</f>
        <v/>
      </c>
      <c r="D414" s="165" t="str">
        <f>IF($A414="","",IF(COUNTIFS('Daily Data'!$B$4:$B$503,'Daily Data'!$B414,'Daily Data'!$A$4:$A$503,'Daily Data'!$A414)&gt;1,"ERROR","OK"))</f>
        <v/>
      </c>
      <c r="E414" s="165" t="str">
        <f>IF($A414="","",IF('Daily Data'!$B414="","ERROR","OK"))</f>
        <v/>
      </c>
      <c r="F414" s="165" t="str">
        <f>IF($A414="","",IF(NOT(ISNUMBER('Daily Data'!$A414)),"ERROR","OK"))</f>
        <v/>
      </c>
      <c r="G414" s="165" t="str">
        <f>IF($A414="","",IF(OR(N('Daily Data'!$E414)&lt;=0,N('Daily Data'!$C414)&lt;0,N('Daily Data'!$D414)&lt;0,N('Daily Data'!$F414)&lt;0,N('Daily Data'!$G414)&lt;0),"ERROR","OK"))</f>
        <v/>
      </c>
      <c r="H414" s="165" t="str">
        <f>IF($A414="","",IF(N('Daily Data'!$K414)&lt;0,"ERROR","OK"))</f>
        <v/>
      </c>
      <c r="I414" s="165" t="str">
        <f>IF($A414="","",IF(N('Daily Data'!$I414)&lt;0,"ERROR","OK"))</f>
        <v/>
      </c>
      <c r="J414" s="165" t="str">
        <f>IF($A414="","",IF(N('Daily Data'!$L414)&lt;0,"ERROR","OK"))</f>
        <v/>
      </c>
      <c r="K414" s="165" t="str">
        <f>IF($A414="","",IF(N('Daily Data'!$M414)&lt;0,"ERROR","OK"))</f>
        <v/>
      </c>
      <c r="L414" s="165" t="str">
        <f>IF($A414="","",IF(OR(N('Daily Data'!$F414)=0,N('Daily Data'!$G414)=0),"OK",IF(OR(N('Daily Data'!$E414)&gt;N('Daily Data'!$F414),N('Daily Data'!$E414)&lt;N('Daily Data'!$G414)),"ERROR","OK")))</f>
        <v/>
      </c>
      <c r="M414" s="165" t="str">
        <f>IF($A414="","",IF(N('Daily Data'!$AK414)&lt;=1,"OK",IF(ROUND(N('Daily Data'!$D414),2)=ROUND(SUMIFS('Daily Data'!$E$4:$E$503,'Daily Data'!$B$4:$B$503,'Daily Data'!$B414,'Daily Data'!$AK$4:$AK$503,'Daily Data'!$AK414-1),2),"OK","WARNING")))</f>
        <v/>
      </c>
      <c r="N414" s="165" t="str">
        <f>IF($A414="","",IF(N('Daily Data'!$N414)&lt;=0,"WARNING","OK"))</f>
        <v/>
      </c>
      <c r="O414" s="165" t="str">
        <f>IF($A414="","",IF(AND(ISNUMBER('Daily Data'!$H414),ABS(N('Daily Data'!$H414))&gt;Settings!$C$56),"WARNING","OK"))</f>
        <v/>
      </c>
      <c r="P414" s="165" t="str">
        <f>IF($A414="","",IF(OR(AND(N('Daily Data'!$K414)=0,N('Daily Data'!$I414)&gt;0),AND(N('Daily Data'!$I414)=0,N('Daily Data'!$K414)&gt;0),AND(N('Daily Data'!$L414)=0,N('Daily Data'!$M414)=0)),"WARNING","OK"))</f>
        <v/>
      </c>
      <c r="Q414" s="165" t="str">
        <f>IF($A414="","",IF(COUNTIFS('Daily Data'!$B$4:$B$503,'Daily Data'!$B414,'Daily Data'!$A$4:$A$503,'Daily Data'!$A414,'Daily Data'!$Q$4:$Q$503,'Daily Data'!$Q414)&gt;1,"WARNING","OK"))</f>
        <v/>
      </c>
      <c r="R414" s="165" t="str">
        <f>IF($A414="","",IF(AND(N('Daily Data'!$K414)&gt;0,N('Daily Data'!$J414)&lt;=0),"WARNING","OK"))</f>
        <v/>
      </c>
      <c r="S414" s="165" t="str">
        <f>IF($A414="","",COUNTIF($D414:$R414,"ERROR"))</f>
        <v/>
      </c>
      <c r="T414" s="165" t="str">
        <f>IF($A414="","",COUNTIF($D414:$R414,"WARNING"))</f>
        <v/>
      </c>
      <c r="U414" s="165" t="str">
        <f>IF($A414="","",IF($S414&gt;0,"ERROR",IF($T414&gt;0,"WARNING","PASS")))</f>
        <v/>
      </c>
    </row>
    <row r="415" spans="1:21" x14ac:dyDescent="0.3">
      <c r="A415" t="str">
        <f>IF(AND('Daily Data'!$A415="",'Daily Data'!$B415=""),"",415)</f>
        <v/>
      </c>
      <c r="B415" s="16" t="str">
        <f>IF($A415="","",'Daily Data'!$A415)</f>
        <v/>
      </c>
      <c r="C415" t="str">
        <f>IF($A415="","",'Daily Data'!$B415)</f>
        <v/>
      </c>
      <c r="D415" s="165" t="str">
        <f>IF($A415="","",IF(COUNTIFS('Daily Data'!$B$4:$B$503,'Daily Data'!$B415,'Daily Data'!$A$4:$A$503,'Daily Data'!$A415)&gt;1,"ERROR","OK"))</f>
        <v/>
      </c>
      <c r="E415" s="165" t="str">
        <f>IF($A415="","",IF('Daily Data'!$B415="","ERROR","OK"))</f>
        <v/>
      </c>
      <c r="F415" s="165" t="str">
        <f>IF($A415="","",IF(NOT(ISNUMBER('Daily Data'!$A415)),"ERROR","OK"))</f>
        <v/>
      </c>
      <c r="G415" s="165" t="str">
        <f>IF($A415="","",IF(OR(N('Daily Data'!$E415)&lt;=0,N('Daily Data'!$C415)&lt;0,N('Daily Data'!$D415)&lt;0,N('Daily Data'!$F415)&lt;0,N('Daily Data'!$G415)&lt;0),"ERROR","OK"))</f>
        <v/>
      </c>
      <c r="H415" s="165" t="str">
        <f>IF($A415="","",IF(N('Daily Data'!$K415)&lt;0,"ERROR","OK"))</f>
        <v/>
      </c>
      <c r="I415" s="165" t="str">
        <f>IF($A415="","",IF(N('Daily Data'!$I415)&lt;0,"ERROR","OK"))</f>
        <v/>
      </c>
      <c r="J415" s="165" t="str">
        <f>IF($A415="","",IF(N('Daily Data'!$L415)&lt;0,"ERROR","OK"))</f>
        <v/>
      </c>
      <c r="K415" s="165" t="str">
        <f>IF($A415="","",IF(N('Daily Data'!$M415)&lt;0,"ERROR","OK"))</f>
        <v/>
      </c>
      <c r="L415" s="165" t="str">
        <f>IF($A415="","",IF(OR(N('Daily Data'!$F415)=0,N('Daily Data'!$G415)=0),"OK",IF(OR(N('Daily Data'!$E415)&gt;N('Daily Data'!$F415),N('Daily Data'!$E415)&lt;N('Daily Data'!$G415)),"ERROR","OK")))</f>
        <v/>
      </c>
      <c r="M415" s="165" t="str">
        <f>IF($A415="","",IF(N('Daily Data'!$AK415)&lt;=1,"OK",IF(ROUND(N('Daily Data'!$D415),2)=ROUND(SUMIFS('Daily Data'!$E$4:$E$503,'Daily Data'!$B$4:$B$503,'Daily Data'!$B415,'Daily Data'!$AK$4:$AK$503,'Daily Data'!$AK415-1),2),"OK","WARNING")))</f>
        <v/>
      </c>
      <c r="N415" s="165" t="str">
        <f>IF($A415="","",IF(N('Daily Data'!$N415)&lt;=0,"WARNING","OK"))</f>
        <v/>
      </c>
      <c r="O415" s="165" t="str">
        <f>IF($A415="","",IF(AND(ISNUMBER('Daily Data'!$H415),ABS(N('Daily Data'!$H415))&gt;Settings!$C$56),"WARNING","OK"))</f>
        <v/>
      </c>
      <c r="P415" s="165" t="str">
        <f>IF($A415="","",IF(OR(AND(N('Daily Data'!$K415)=0,N('Daily Data'!$I415)&gt;0),AND(N('Daily Data'!$I415)=0,N('Daily Data'!$K415)&gt;0),AND(N('Daily Data'!$L415)=0,N('Daily Data'!$M415)=0)),"WARNING","OK"))</f>
        <v/>
      </c>
      <c r="Q415" s="165" t="str">
        <f>IF($A415="","",IF(COUNTIFS('Daily Data'!$B$4:$B$503,'Daily Data'!$B415,'Daily Data'!$A$4:$A$503,'Daily Data'!$A415,'Daily Data'!$Q$4:$Q$503,'Daily Data'!$Q415)&gt;1,"WARNING","OK"))</f>
        <v/>
      </c>
      <c r="R415" s="165" t="str">
        <f>IF($A415="","",IF(AND(N('Daily Data'!$K415)&gt;0,N('Daily Data'!$J415)&lt;=0),"WARNING","OK"))</f>
        <v/>
      </c>
      <c r="S415" s="165" t="str">
        <f>IF($A415="","",COUNTIF($D415:$R415,"ERROR"))</f>
        <v/>
      </c>
      <c r="T415" s="165" t="str">
        <f>IF($A415="","",COUNTIF($D415:$R415,"WARNING"))</f>
        <v/>
      </c>
      <c r="U415" s="165" t="str">
        <f>IF($A415="","",IF($S415&gt;0,"ERROR",IF($T415&gt;0,"WARNING","PASS")))</f>
        <v/>
      </c>
    </row>
    <row r="416" spans="1:21" x14ac:dyDescent="0.3">
      <c r="A416" t="str">
        <f>IF(AND('Daily Data'!$A416="",'Daily Data'!$B416=""),"",416)</f>
        <v/>
      </c>
      <c r="B416" s="16" t="str">
        <f>IF($A416="","",'Daily Data'!$A416)</f>
        <v/>
      </c>
      <c r="C416" t="str">
        <f>IF($A416="","",'Daily Data'!$B416)</f>
        <v/>
      </c>
      <c r="D416" s="165" t="str">
        <f>IF($A416="","",IF(COUNTIFS('Daily Data'!$B$4:$B$503,'Daily Data'!$B416,'Daily Data'!$A$4:$A$503,'Daily Data'!$A416)&gt;1,"ERROR","OK"))</f>
        <v/>
      </c>
      <c r="E416" s="165" t="str">
        <f>IF($A416="","",IF('Daily Data'!$B416="","ERROR","OK"))</f>
        <v/>
      </c>
      <c r="F416" s="165" t="str">
        <f>IF($A416="","",IF(NOT(ISNUMBER('Daily Data'!$A416)),"ERROR","OK"))</f>
        <v/>
      </c>
      <c r="G416" s="165" t="str">
        <f>IF($A416="","",IF(OR(N('Daily Data'!$E416)&lt;=0,N('Daily Data'!$C416)&lt;0,N('Daily Data'!$D416)&lt;0,N('Daily Data'!$F416)&lt;0,N('Daily Data'!$G416)&lt;0),"ERROR","OK"))</f>
        <v/>
      </c>
      <c r="H416" s="165" t="str">
        <f>IF($A416="","",IF(N('Daily Data'!$K416)&lt;0,"ERROR","OK"))</f>
        <v/>
      </c>
      <c r="I416" s="165" t="str">
        <f>IF($A416="","",IF(N('Daily Data'!$I416)&lt;0,"ERROR","OK"))</f>
        <v/>
      </c>
      <c r="J416" s="165" t="str">
        <f>IF($A416="","",IF(N('Daily Data'!$L416)&lt;0,"ERROR","OK"))</f>
        <v/>
      </c>
      <c r="K416" s="165" t="str">
        <f>IF($A416="","",IF(N('Daily Data'!$M416)&lt;0,"ERROR","OK"))</f>
        <v/>
      </c>
      <c r="L416" s="165" t="str">
        <f>IF($A416="","",IF(OR(N('Daily Data'!$F416)=0,N('Daily Data'!$G416)=0),"OK",IF(OR(N('Daily Data'!$E416)&gt;N('Daily Data'!$F416),N('Daily Data'!$E416)&lt;N('Daily Data'!$G416)),"ERROR","OK")))</f>
        <v/>
      </c>
      <c r="M416" s="165" t="str">
        <f>IF($A416="","",IF(N('Daily Data'!$AK416)&lt;=1,"OK",IF(ROUND(N('Daily Data'!$D416),2)=ROUND(SUMIFS('Daily Data'!$E$4:$E$503,'Daily Data'!$B$4:$B$503,'Daily Data'!$B416,'Daily Data'!$AK$4:$AK$503,'Daily Data'!$AK416-1),2),"OK","WARNING")))</f>
        <v/>
      </c>
      <c r="N416" s="165" t="str">
        <f>IF($A416="","",IF(N('Daily Data'!$N416)&lt;=0,"WARNING","OK"))</f>
        <v/>
      </c>
      <c r="O416" s="165" t="str">
        <f>IF($A416="","",IF(AND(ISNUMBER('Daily Data'!$H416),ABS(N('Daily Data'!$H416))&gt;Settings!$C$56),"WARNING","OK"))</f>
        <v/>
      </c>
      <c r="P416" s="165" t="str">
        <f>IF($A416="","",IF(OR(AND(N('Daily Data'!$K416)=0,N('Daily Data'!$I416)&gt;0),AND(N('Daily Data'!$I416)=0,N('Daily Data'!$K416)&gt;0),AND(N('Daily Data'!$L416)=0,N('Daily Data'!$M416)=0)),"WARNING","OK"))</f>
        <v/>
      </c>
      <c r="Q416" s="165" t="str">
        <f>IF($A416="","",IF(COUNTIFS('Daily Data'!$B$4:$B$503,'Daily Data'!$B416,'Daily Data'!$A$4:$A$503,'Daily Data'!$A416,'Daily Data'!$Q$4:$Q$503,'Daily Data'!$Q416)&gt;1,"WARNING","OK"))</f>
        <v/>
      </c>
      <c r="R416" s="165" t="str">
        <f>IF($A416="","",IF(AND(N('Daily Data'!$K416)&gt;0,N('Daily Data'!$J416)&lt;=0),"WARNING","OK"))</f>
        <v/>
      </c>
      <c r="S416" s="165" t="str">
        <f>IF($A416="","",COUNTIF($D416:$R416,"ERROR"))</f>
        <v/>
      </c>
      <c r="T416" s="165" t="str">
        <f>IF($A416="","",COUNTIF($D416:$R416,"WARNING"))</f>
        <v/>
      </c>
      <c r="U416" s="165" t="str">
        <f>IF($A416="","",IF($S416&gt;0,"ERROR",IF($T416&gt;0,"WARNING","PASS")))</f>
        <v/>
      </c>
    </row>
    <row r="417" spans="1:21" x14ac:dyDescent="0.3">
      <c r="A417" t="str">
        <f>IF(AND('Daily Data'!$A417="",'Daily Data'!$B417=""),"",417)</f>
        <v/>
      </c>
      <c r="B417" s="16" t="str">
        <f>IF($A417="","",'Daily Data'!$A417)</f>
        <v/>
      </c>
      <c r="C417" t="str">
        <f>IF($A417="","",'Daily Data'!$B417)</f>
        <v/>
      </c>
      <c r="D417" s="165" t="str">
        <f>IF($A417="","",IF(COUNTIFS('Daily Data'!$B$4:$B$503,'Daily Data'!$B417,'Daily Data'!$A$4:$A$503,'Daily Data'!$A417)&gt;1,"ERROR","OK"))</f>
        <v/>
      </c>
      <c r="E417" s="165" t="str">
        <f>IF($A417="","",IF('Daily Data'!$B417="","ERROR","OK"))</f>
        <v/>
      </c>
      <c r="F417" s="165" t="str">
        <f>IF($A417="","",IF(NOT(ISNUMBER('Daily Data'!$A417)),"ERROR","OK"))</f>
        <v/>
      </c>
      <c r="G417" s="165" t="str">
        <f>IF($A417="","",IF(OR(N('Daily Data'!$E417)&lt;=0,N('Daily Data'!$C417)&lt;0,N('Daily Data'!$D417)&lt;0,N('Daily Data'!$F417)&lt;0,N('Daily Data'!$G417)&lt;0),"ERROR","OK"))</f>
        <v/>
      </c>
      <c r="H417" s="165" t="str">
        <f>IF($A417="","",IF(N('Daily Data'!$K417)&lt;0,"ERROR","OK"))</f>
        <v/>
      </c>
      <c r="I417" s="165" t="str">
        <f>IF($A417="","",IF(N('Daily Data'!$I417)&lt;0,"ERROR","OK"))</f>
        <v/>
      </c>
      <c r="J417" s="165" t="str">
        <f>IF($A417="","",IF(N('Daily Data'!$L417)&lt;0,"ERROR","OK"))</f>
        <v/>
      </c>
      <c r="K417" s="165" t="str">
        <f>IF($A417="","",IF(N('Daily Data'!$M417)&lt;0,"ERROR","OK"))</f>
        <v/>
      </c>
      <c r="L417" s="165" t="str">
        <f>IF($A417="","",IF(OR(N('Daily Data'!$F417)=0,N('Daily Data'!$G417)=0),"OK",IF(OR(N('Daily Data'!$E417)&gt;N('Daily Data'!$F417),N('Daily Data'!$E417)&lt;N('Daily Data'!$G417)),"ERROR","OK")))</f>
        <v/>
      </c>
      <c r="M417" s="165" t="str">
        <f>IF($A417="","",IF(N('Daily Data'!$AK417)&lt;=1,"OK",IF(ROUND(N('Daily Data'!$D417),2)=ROUND(SUMIFS('Daily Data'!$E$4:$E$503,'Daily Data'!$B$4:$B$503,'Daily Data'!$B417,'Daily Data'!$AK$4:$AK$503,'Daily Data'!$AK417-1),2),"OK","WARNING")))</f>
        <v/>
      </c>
      <c r="N417" s="165" t="str">
        <f>IF($A417="","",IF(N('Daily Data'!$N417)&lt;=0,"WARNING","OK"))</f>
        <v/>
      </c>
      <c r="O417" s="165" t="str">
        <f>IF($A417="","",IF(AND(ISNUMBER('Daily Data'!$H417),ABS(N('Daily Data'!$H417))&gt;Settings!$C$56),"WARNING","OK"))</f>
        <v/>
      </c>
      <c r="P417" s="165" t="str">
        <f>IF($A417="","",IF(OR(AND(N('Daily Data'!$K417)=0,N('Daily Data'!$I417)&gt;0),AND(N('Daily Data'!$I417)=0,N('Daily Data'!$K417)&gt;0),AND(N('Daily Data'!$L417)=0,N('Daily Data'!$M417)=0)),"WARNING","OK"))</f>
        <v/>
      </c>
      <c r="Q417" s="165" t="str">
        <f>IF($A417="","",IF(COUNTIFS('Daily Data'!$B$4:$B$503,'Daily Data'!$B417,'Daily Data'!$A$4:$A$503,'Daily Data'!$A417,'Daily Data'!$Q$4:$Q$503,'Daily Data'!$Q417)&gt;1,"WARNING","OK"))</f>
        <v/>
      </c>
      <c r="R417" s="165" t="str">
        <f>IF($A417="","",IF(AND(N('Daily Data'!$K417)&gt;0,N('Daily Data'!$J417)&lt;=0),"WARNING","OK"))</f>
        <v/>
      </c>
      <c r="S417" s="165" t="str">
        <f>IF($A417="","",COUNTIF($D417:$R417,"ERROR"))</f>
        <v/>
      </c>
      <c r="T417" s="165" t="str">
        <f>IF($A417="","",COUNTIF($D417:$R417,"WARNING"))</f>
        <v/>
      </c>
      <c r="U417" s="165" t="str">
        <f>IF($A417="","",IF($S417&gt;0,"ERROR",IF($T417&gt;0,"WARNING","PASS")))</f>
        <v/>
      </c>
    </row>
    <row r="418" spans="1:21" x14ac:dyDescent="0.3">
      <c r="A418" t="str">
        <f>IF(AND('Daily Data'!$A418="",'Daily Data'!$B418=""),"",418)</f>
        <v/>
      </c>
      <c r="B418" s="16" t="str">
        <f>IF($A418="","",'Daily Data'!$A418)</f>
        <v/>
      </c>
      <c r="C418" t="str">
        <f>IF($A418="","",'Daily Data'!$B418)</f>
        <v/>
      </c>
      <c r="D418" s="165" t="str">
        <f>IF($A418="","",IF(COUNTIFS('Daily Data'!$B$4:$B$503,'Daily Data'!$B418,'Daily Data'!$A$4:$A$503,'Daily Data'!$A418)&gt;1,"ERROR","OK"))</f>
        <v/>
      </c>
      <c r="E418" s="165" t="str">
        <f>IF($A418="","",IF('Daily Data'!$B418="","ERROR","OK"))</f>
        <v/>
      </c>
      <c r="F418" s="165" t="str">
        <f>IF($A418="","",IF(NOT(ISNUMBER('Daily Data'!$A418)),"ERROR","OK"))</f>
        <v/>
      </c>
      <c r="G418" s="165" t="str">
        <f>IF($A418="","",IF(OR(N('Daily Data'!$E418)&lt;=0,N('Daily Data'!$C418)&lt;0,N('Daily Data'!$D418)&lt;0,N('Daily Data'!$F418)&lt;0,N('Daily Data'!$G418)&lt;0),"ERROR","OK"))</f>
        <v/>
      </c>
      <c r="H418" s="165" t="str">
        <f>IF($A418="","",IF(N('Daily Data'!$K418)&lt;0,"ERROR","OK"))</f>
        <v/>
      </c>
      <c r="I418" s="165" t="str">
        <f>IF($A418="","",IF(N('Daily Data'!$I418)&lt;0,"ERROR","OK"))</f>
        <v/>
      </c>
      <c r="J418" s="165" t="str">
        <f>IF($A418="","",IF(N('Daily Data'!$L418)&lt;0,"ERROR","OK"))</f>
        <v/>
      </c>
      <c r="K418" s="165" t="str">
        <f>IF($A418="","",IF(N('Daily Data'!$M418)&lt;0,"ERROR","OK"))</f>
        <v/>
      </c>
      <c r="L418" s="165" t="str">
        <f>IF($A418="","",IF(OR(N('Daily Data'!$F418)=0,N('Daily Data'!$G418)=0),"OK",IF(OR(N('Daily Data'!$E418)&gt;N('Daily Data'!$F418),N('Daily Data'!$E418)&lt;N('Daily Data'!$G418)),"ERROR","OK")))</f>
        <v/>
      </c>
      <c r="M418" s="165" t="str">
        <f>IF($A418="","",IF(N('Daily Data'!$AK418)&lt;=1,"OK",IF(ROUND(N('Daily Data'!$D418),2)=ROUND(SUMIFS('Daily Data'!$E$4:$E$503,'Daily Data'!$B$4:$B$503,'Daily Data'!$B418,'Daily Data'!$AK$4:$AK$503,'Daily Data'!$AK418-1),2),"OK","WARNING")))</f>
        <v/>
      </c>
      <c r="N418" s="165" t="str">
        <f>IF($A418="","",IF(N('Daily Data'!$N418)&lt;=0,"WARNING","OK"))</f>
        <v/>
      </c>
      <c r="O418" s="165" t="str">
        <f>IF($A418="","",IF(AND(ISNUMBER('Daily Data'!$H418),ABS(N('Daily Data'!$H418))&gt;Settings!$C$56),"WARNING","OK"))</f>
        <v/>
      </c>
      <c r="P418" s="165" t="str">
        <f>IF($A418="","",IF(OR(AND(N('Daily Data'!$K418)=0,N('Daily Data'!$I418)&gt;0),AND(N('Daily Data'!$I418)=0,N('Daily Data'!$K418)&gt;0),AND(N('Daily Data'!$L418)=0,N('Daily Data'!$M418)=0)),"WARNING","OK"))</f>
        <v/>
      </c>
      <c r="Q418" s="165" t="str">
        <f>IF($A418="","",IF(COUNTIFS('Daily Data'!$B$4:$B$503,'Daily Data'!$B418,'Daily Data'!$A$4:$A$503,'Daily Data'!$A418,'Daily Data'!$Q$4:$Q$503,'Daily Data'!$Q418)&gt;1,"WARNING","OK"))</f>
        <v/>
      </c>
      <c r="R418" s="165" t="str">
        <f>IF($A418="","",IF(AND(N('Daily Data'!$K418)&gt;0,N('Daily Data'!$J418)&lt;=0),"WARNING","OK"))</f>
        <v/>
      </c>
      <c r="S418" s="165" t="str">
        <f>IF($A418="","",COUNTIF($D418:$R418,"ERROR"))</f>
        <v/>
      </c>
      <c r="T418" s="165" t="str">
        <f>IF($A418="","",COUNTIF($D418:$R418,"WARNING"))</f>
        <v/>
      </c>
      <c r="U418" s="165" t="str">
        <f>IF($A418="","",IF($S418&gt;0,"ERROR",IF($T418&gt;0,"WARNING","PASS")))</f>
        <v/>
      </c>
    </row>
    <row r="419" spans="1:21" x14ac:dyDescent="0.3">
      <c r="A419" t="str">
        <f>IF(AND('Daily Data'!$A419="",'Daily Data'!$B419=""),"",419)</f>
        <v/>
      </c>
      <c r="B419" s="16" t="str">
        <f>IF($A419="","",'Daily Data'!$A419)</f>
        <v/>
      </c>
      <c r="C419" t="str">
        <f>IF($A419="","",'Daily Data'!$B419)</f>
        <v/>
      </c>
      <c r="D419" s="165" t="str">
        <f>IF($A419="","",IF(COUNTIFS('Daily Data'!$B$4:$B$503,'Daily Data'!$B419,'Daily Data'!$A$4:$A$503,'Daily Data'!$A419)&gt;1,"ERROR","OK"))</f>
        <v/>
      </c>
      <c r="E419" s="165" t="str">
        <f>IF($A419="","",IF('Daily Data'!$B419="","ERROR","OK"))</f>
        <v/>
      </c>
      <c r="F419" s="165" t="str">
        <f>IF($A419="","",IF(NOT(ISNUMBER('Daily Data'!$A419)),"ERROR","OK"))</f>
        <v/>
      </c>
      <c r="G419" s="165" t="str">
        <f>IF($A419="","",IF(OR(N('Daily Data'!$E419)&lt;=0,N('Daily Data'!$C419)&lt;0,N('Daily Data'!$D419)&lt;0,N('Daily Data'!$F419)&lt;0,N('Daily Data'!$G419)&lt;0),"ERROR","OK"))</f>
        <v/>
      </c>
      <c r="H419" s="165" t="str">
        <f>IF($A419="","",IF(N('Daily Data'!$K419)&lt;0,"ERROR","OK"))</f>
        <v/>
      </c>
      <c r="I419" s="165" t="str">
        <f>IF($A419="","",IF(N('Daily Data'!$I419)&lt;0,"ERROR","OK"))</f>
        <v/>
      </c>
      <c r="J419" s="165" t="str">
        <f>IF($A419="","",IF(N('Daily Data'!$L419)&lt;0,"ERROR","OK"))</f>
        <v/>
      </c>
      <c r="K419" s="165" t="str">
        <f>IF($A419="","",IF(N('Daily Data'!$M419)&lt;0,"ERROR","OK"))</f>
        <v/>
      </c>
      <c r="L419" s="165" t="str">
        <f>IF($A419="","",IF(OR(N('Daily Data'!$F419)=0,N('Daily Data'!$G419)=0),"OK",IF(OR(N('Daily Data'!$E419)&gt;N('Daily Data'!$F419),N('Daily Data'!$E419)&lt;N('Daily Data'!$G419)),"ERROR","OK")))</f>
        <v/>
      </c>
      <c r="M419" s="165" t="str">
        <f>IF($A419="","",IF(N('Daily Data'!$AK419)&lt;=1,"OK",IF(ROUND(N('Daily Data'!$D419),2)=ROUND(SUMIFS('Daily Data'!$E$4:$E$503,'Daily Data'!$B$4:$B$503,'Daily Data'!$B419,'Daily Data'!$AK$4:$AK$503,'Daily Data'!$AK419-1),2),"OK","WARNING")))</f>
        <v/>
      </c>
      <c r="N419" s="165" t="str">
        <f>IF($A419="","",IF(N('Daily Data'!$N419)&lt;=0,"WARNING","OK"))</f>
        <v/>
      </c>
      <c r="O419" s="165" t="str">
        <f>IF($A419="","",IF(AND(ISNUMBER('Daily Data'!$H419),ABS(N('Daily Data'!$H419))&gt;Settings!$C$56),"WARNING","OK"))</f>
        <v/>
      </c>
      <c r="P419" s="165" t="str">
        <f>IF($A419="","",IF(OR(AND(N('Daily Data'!$K419)=0,N('Daily Data'!$I419)&gt;0),AND(N('Daily Data'!$I419)=0,N('Daily Data'!$K419)&gt;0),AND(N('Daily Data'!$L419)=0,N('Daily Data'!$M419)=0)),"WARNING","OK"))</f>
        <v/>
      </c>
      <c r="Q419" s="165" t="str">
        <f>IF($A419="","",IF(COUNTIFS('Daily Data'!$B$4:$B$503,'Daily Data'!$B419,'Daily Data'!$A$4:$A$503,'Daily Data'!$A419,'Daily Data'!$Q$4:$Q$503,'Daily Data'!$Q419)&gt;1,"WARNING","OK"))</f>
        <v/>
      </c>
      <c r="R419" s="165" t="str">
        <f>IF($A419="","",IF(AND(N('Daily Data'!$K419)&gt;0,N('Daily Data'!$J419)&lt;=0),"WARNING","OK"))</f>
        <v/>
      </c>
      <c r="S419" s="165" t="str">
        <f>IF($A419="","",COUNTIF($D419:$R419,"ERROR"))</f>
        <v/>
      </c>
      <c r="T419" s="165" t="str">
        <f>IF($A419="","",COUNTIF($D419:$R419,"WARNING"))</f>
        <v/>
      </c>
      <c r="U419" s="165" t="str">
        <f>IF($A419="","",IF($S419&gt;0,"ERROR",IF($T419&gt;0,"WARNING","PASS")))</f>
        <v/>
      </c>
    </row>
    <row r="420" spans="1:21" x14ac:dyDescent="0.3">
      <c r="A420" t="str">
        <f>IF(AND('Daily Data'!$A420="",'Daily Data'!$B420=""),"",420)</f>
        <v/>
      </c>
      <c r="B420" s="16" t="str">
        <f>IF($A420="","",'Daily Data'!$A420)</f>
        <v/>
      </c>
      <c r="C420" t="str">
        <f>IF($A420="","",'Daily Data'!$B420)</f>
        <v/>
      </c>
      <c r="D420" s="165" t="str">
        <f>IF($A420="","",IF(COUNTIFS('Daily Data'!$B$4:$B$503,'Daily Data'!$B420,'Daily Data'!$A$4:$A$503,'Daily Data'!$A420)&gt;1,"ERROR","OK"))</f>
        <v/>
      </c>
      <c r="E420" s="165" t="str">
        <f>IF($A420="","",IF('Daily Data'!$B420="","ERROR","OK"))</f>
        <v/>
      </c>
      <c r="F420" s="165" t="str">
        <f>IF($A420="","",IF(NOT(ISNUMBER('Daily Data'!$A420)),"ERROR","OK"))</f>
        <v/>
      </c>
      <c r="G420" s="165" t="str">
        <f>IF($A420="","",IF(OR(N('Daily Data'!$E420)&lt;=0,N('Daily Data'!$C420)&lt;0,N('Daily Data'!$D420)&lt;0,N('Daily Data'!$F420)&lt;0,N('Daily Data'!$G420)&lt;0),"ERROR","OK"))</f>
        <v/>
      </c>
      <c r="H420" s="165" t="str">
        <f>IF($A420="","",IF(N('Daily Data'!$K420)&lt;0,"ERROR","OK"))</f>
        <v/>
      </c>
      <c r="I420" s="165" t="str">
        <f>IF($A420="","",IF(N('Daily Data'!$I420)&lt;0,"ERROR","OK"))</f>
        <v/>
      </c>
      <c r="J420" s="165" t="str">
        <f>IF($A420="","",IF(N('Daily Data'!$L420)&lt;0,"ERROR","OK"))</f>
        <v/>
      </c>
      <c r="K420" s="165" t="str">
        <f>IF($A420="","",IF(N('Daily Data'!$M420)&lt;0,"ERROR","OK"))</f>
        <v/>
      </c>
      <c r="L420" s="165" t="str">
        <f>IF($A420="","",IF(OR(N('Daily Data'!$F420)=0,N('Daily Data'!$G420)=0),"OK",IF(OR(N('Daily Data'!$E420)&gt;N('Daily Data'!$F420),N('Daily Data'!$E420)&lt;N('Daily Data'!$G420)),"ERROR","OK")))</f>
        <v/>
      </c>
      <c r="M420" s="165" t="str">
        <f>IF($A420="","",IF(N('Daily Data'!$AK420)&lt;=1,"OK",IF(ROUND(N('Daily Data'!$D420),2)=ROUND(SUMIFS('Daily Data'!$E$4:$E$503,'Daily Data'!$B$4:$B$503,'Daily Data'!$B420,'Daily Data'!$AK$4:$AK$503,'Daily Data'!$AK420-1),2),"OK","WARNING")))</f>
        <v/>
      </c>
      <c r="N420" s="165" t="str">
        <f>IF($A420="","",IF(N('Daily Data'!$N420)&lt;=0,"WARNING","OK"))</f>
        <v/>
      </c>
      <c r="O420" s="165" t="str">
        <f>IF($A420="","",IF(AND(ISNUMBER('Daily Data'!$H420),ABS(N('Daily Data'!$H420))&gt;Settings!$C$56),"WARNING","OK"))</f>
        <v/>
      </c>
      <c r="P420" s="165" t="str">
        <f>IF($A420="","",IF(OR(AND(N('Daily Data'!$K420)=0,N('Daily Data'!$I420)&gt;0),AND(N('Daily Data'!$I420)=0,N('Daily Data'!$K420)&gt;0),AND(N('Daily Data'!$L420)=0,N('Daily Data'!$M420)=0)),"WARNING","OK"))</f>
        <v/>
      </c>
      <c r="Q420" s="165" t="str">
        <f>IF($A420="","",IF(COUNTIFS('Daily Data'!$B$4:$B$503,'Daily Data'!$B420,'Daily Data'!$A$4:$A$503,'Daily Data'!$A420,'Daily Data'!$Q$4:$Q$503,'Daily Data'!$Q420)&gt;1,"WARNING","OK"))</f>
        <v/>
      </c>
      <c r="R420" s="165" t="str">
        <f>IF($A420="","",IF(AND(N('Daily Data'!$K420)&gt;0,N('Daily Data'!$J420)&lt;=0),"WARNING","OK"))</f>
        <v/>
      </c>
      <c r="S420" s="165" t="str">
        <f>IF($A420="","",COUNTIF($D420:$R420,"ERROR"))</f>
        <v/>
      </c>
      <c r="T420" s="165" t="str">
        <f>IF($A420="","",COUNTIF($D420:$R420,"WARNING"))</f>
        <v/>
      </c>
      <c r="U420" s="165" t="str">
        <f>IF($A420="","",IF($S420&gt;0,"ERROR",IF($T420&gt;0,"WARNING","PASS")))</f>
        <v/>
      </c>
    </row>
    <row r="421" spans="1:21" x14ac:dyDescent="0.3">
      <c r="A421" t="str">
        <f>IF(AND('Daily Data'!$A421="",'Daily Data'!$B421=""),"",421)</f>
        <v/>
      </c>
      <c r="B421" s="16" t="str">
        <f>IF($A421="","",'Daily Data'!$A421)</f>
        <v/>
      </c>
      <c r="C421" t="str">
        <f>IF($A421="","",'Daily Data'!$B421)</f>
        <v/>
      </c>
      <c r="D421" s="165" t="str">
        <f>IF($A421="","",IF(COUNTIFS('Daily Data'!$B$4:$B$503,'Daily Data'!$B421,'Daily Data'!$A$4:$A$503,'Daily Data'!$A421)&gt;1,"ERROR","OK"))</f>
        <v/>
      </c>
      <c r="E421" s="165" t="str">
        <f>IF($A421="","",IF('Daily Data'!$B421="","ERROR","OK"))</f>
        <v/>
      </c>
      <c r="F421" s="165" t="str">
        <f>IF($A421="","",IF(NOT(ISNUMBER('Daily Data'!$A421)),"ERROR","OK"))</f>
        <v/>
      </c>
      <c r="G421" s="165" t="str">
        <f>IF($A421="","",IF(OR(N('Daily Data'!$E421)&lt;=0,N('Daily Data'!$C421)&lt;0,N('Daily Data'!$D421)&lt;0,N('Daily Data'!$F421)&lt;0,N('Daily Data'!$G421)&lt;0),"ERROR","OK"))</f>
        <v/>
      </c>
      <c r="H421" s="165" t="str">
        <f>IF($A421="","",IF(N('Daily Data'!$K421)&lt;0,"ERROR","OK"))</f>
        <v/>
      </c>
      <c r="I421" s="165" t="str">
        <f>IF($A421="","",IF(N('Daily Data'!$I421)&lt;0,"ERROR","OK"))</f>
        <v/>
      </c>
      <c r="J421" s="165" t="str">
        <f>IF($A421="","",IF(N('Daily Data'!$L421)&lt;0,"ERROR","OK"))</f>
        <v/>
      </c>
      <c r="K421" s="165" t="str">
        <f>IF($A421="","",IF(N('Daily Data'!$M421)&lt;0,"ERROR","OK"))</f>
        <v/>
      </c>
      <c r="L421" s="165" t="str">
        <f>IF($A421="","",IF(OR(N('Daily Data'!$F421)=0,N('Daily Data'!$G421)=0),"OK",IF(OR(N('Daily Data'!$E421)&gt;N('Daily Data'!$F421),N('Daily Data'!$E421)&lt;N('Daily Data'!$G421)),"ERROR","OK")))</f>
        <v/>
      </c>
      <c r="M421" s="165" t="str">
        <f>IF($A421="","",IF(N('Daily Data'!$AK421)&lt;=1,"OK",IF(ROUND(N('Daily Data'!$D421),2)=ROUND(SUMIFS('Daily Data'!$E$4:$E$503,'Daily Data'!$B$4:$B$503,'Daily Data'!$B421,'Daily Data'!$AK$4:$AK$503,'Daily Data'!$AK421-1),2),"OK","WARNING")))</f>
        <v/>
      </c>
      <c r="N421" s="165" t="str">
        <f>IF($A421="","",IF(N('Daily Data'!$N421)&lt;=0,"WARNING","OK"))</f>
        <v/>
      </c>
      <c r="O421" s="165" t="str">
        <f>IF($A421="","",IF(AND(ISNUMBER('Daily Data'!$H421),ABS(N('Daily Data'!$H421))&gt;Settings!$C$56),"WARNING","OK"))</f>
        <v/>
      </c>
      <c r="P421" s="165" t="str">
        <f>IF($A421="","",IF(OR(AND(N('Daily Data'!$K421)=0,N('Daily Data'!$I421)&gt;0),AND(N('Daily Data'!$I421)=0,N('Daily Data'!$K421)&gt;0),AND(N('Daily Data'!$L421)=0,N('Daily Data'!$M421)=0)),"WARNING","OK"))</f>
        <v/>
      </c>
      <c r="Q421" s="165" t="str">
        <f>IF($A421="","",IF(COUNTIFS('Daily Data'!$B$4:$B$503,'Daily Data'!$B421,'Daily Data'!$A$4:$A$503,'Daily Data'!$A421,'Daily Data'!$Q$4:$Q$503,'Daily Data'!$Q421)&gt;1,"WARNING","OK"))</f>
        <v/>
      </c>
      <c r="R421" s="165" t="str">
        <f>IF($A421="","",IF(AND(N('Daily Data'!$K421)&gt;0,N('Daily Data'!$J421)&lt;=0),"WARNING","OK"))</f>
        <v/>
      </c>
      <c r="S421" s="165" t="str">
        <f>IF($A421="","",COUNTIF($D421:$R421,"ERROR"))</f>
        <v/>
      </c>
      <c r="T421" s="165" t="str">
        <f>IF($A421="","",COUNTIF($D421:$R421,"WARNING"))</f>
        <v/>
      </c>
      <c r="U421" s="165" t="str">
        <f>IF($A421="","",IF($S421&gt;0,"ERROR",IF($T421&gt;0,"WARNING","PASS")))</f>
        <v/>
      </c>
    </row>
    <row r="422" spans="1:21" x14ac:dyDescent="0.3">
      <c r="A422" t="str">
        <f>IF(AND('Daily Data'!$A422="",'Daily Data'!$B422=""),"",422)</f>
        <v/>
      </c>
      <c r="B422" s="16" t="str">
        <f>IF($A422="","",'Daily Data'!$A422)</f>
        <v/>
      </c>
      <c r="C422" t="str">
        <f>IF($A422="","",'Daily Data'!$B422)</f>
        <v/>
      </c>
      <c r="D422" s="165" t="str">
        <f>IF($A422="","",IF(COUNTIFS('Daily Data'!$B$4:$B$503,'Daily Data'!$B422,'Daily Data'!$A$4:$A$503,'Daily Data'!$A422)&gt;1,"ERROR","OK"))</f>
        <v/>
      </c>
      <c r="E422" s="165" t="str">
        <f>IF($A422="","",IF('Daily Data'!$B422="","ERROR","OK"))</f>
        <v/>
      </c>
      <c r="F422" s="165" t="str">
        <f>IF($A422="","",IF(NOT(ISNUMBER('Daily Data'!$A422)),"ERROR","OK"))</f>
        <v/>
      </c>
      <c r="G422" s="165" t="str">
        <f>IF($A422="","",IF(OR(N('Daily Data'!$E422)&lt;=0,N('Daily Data'!$C422)&lt;0,N('Daily Data'!$D422)&lt;0,N('Daily Data'!$F422)&lt;0,N('Daily Data'!$G422)&lt;0),"ERROR","OK"))</f>
        <v/>
      </c>
      <c r="H422" s="165" t="str">
        <f>IF($A422="","",IF(N('Daily Data'!$K422)&lt;0,"ERROR","OK"))</f>
        <v/>
      </c>
      <c r="I422" s="165" t="str">
        <f>IF($A422="","",IF(N('Daily Data'!$I422)&lt;0,"ERROR","OK"))</f>
        <v/>
      </c>
      <c r="J422" s="165" t="str">
        <f>IF($A422="","",IF(N('Daily Data'!$L422)&lt;0,"ERROR","OK"))</f>
        <v/>
      </c>
      <c r="K422" s="165" t="str">
        <f>IF($A422="","",IF(N('Daily Data'!$M422)&lt;0,"ERROR","OK"))</f>
        <v/>
      </c>
      <c r="L422" s="165" t="str">
        <f>IF($A422="","",IF(OR(N('Daily Data'!$F422)=0,N('Daily Data'!$G422)=0),"OK",IF(OR(N('Daily Data'!$E422)&gt;N('Daily Data'!$F422),N('Daily Data'!$E422)&lt;N('Daily Data'!$G422)),"ERROR","OK")))</f>
        <v/>
      </c>
      <c r="M422" s="165" t="str">
        <f>IF($A422="","",IF(N('Daily Data'!$AK422)&lt;=1,"OK",IF(ROUND(N('Daily Data'!$D422),2)=ROUND(SUMIFS('Daily Data'!$E$4:$E$503,'Daily Data'!$B$4:$B$503,'Daily Data'!$B422,'Daily Data'!$AK$4:$AK$503,'Daily Data'!$AK422-1),2),"OK","WARNING")))</f>
        <v/>
      </c>
      <c r="N422" s="165" t="str">
        <f>IF($A422="","",IF(N('Daily Data'!$N422)&lt;=0,"WARNING","OK"))</f>
        <v/>
      </c>
      <c r="O422" s="165" t="str">
        <f>IF($A422="","",IF(AND(ISNUMBER('Daily Data'!$H422),ABS(N('Daily Data'!$H422))&gt;Settings!$C$56),"WARNING","OK"))</f>
        <v/>
      </c>
      <c r="P422" s="165" t="str">
        <f>IF($A422="","",IF(OR(AND(N('Daily Data'!$K422)=0,N('Daily Data'!$I422)&gt;0),AND(N('Daily Data'!$I422)=0,N('Daily Data'!$K422)&gt;0),AND(N('Daily Data'!$L422)=0,N('Daily Data'!$M422)=0)),"WARNING","OK"))</f>
        <v/>
      </c>
      <c r="Q422" s="165" t="str">
        <f>IF($A422="","",IF(COUNTIFS('Daily Data'!$B$4:$B$503,'Daily Data'!$B422,'Daily Data'!$A$4:$A$503,'Daily Data'!$A422,'Daily Data'!$Q$4:$Q$503,'Daily Data'!$Q422)&gt;1,"WARNING","OK"))</f>
        <v/>
      </c>
      <c r="R422" s="165" t="str">
        <f>IF($A422="","",IF(AND(N('Daily Data'!$K422)&gt;0,N('Daily Data'!$J422)&lt;=0),"WARNING","OK"))</f>
        <v/>
      </c>
      <c r="S422" s="165" t="str">
        <f>IF($A422="","",COUNTIF($D422:$R422,"ERROR"))</f>
        <v/>
      </c>
      <c r="T422" s="165" t="str">
        <f>IF($A422="","",COUNTIF($D422:$R422,"WARNING"))</f>
        <v/>
      </c>
      <c r="U422" s="165" t="str">
        <f>IF($A422="","",IF($S422&gt;0,"ERROR",IF($T422&gt;0,"WARNING","PASS")))</f>
        <v/>
      </c>
    </row>
    <row r="423" spans="1:21" x14ac:dyDescent="0.3">
      <c r="A423" t="str">
        <f>IF(AND('Daily Data'!$A423="",'Daily Data'!$B423=""),"",423)</f>
        <v/>
      </c>
      <c r="B423" s="16" t="str">
        <f>IF($A423="","",'Daily Data'!$A423)</f>
        <v/>
      </c>
      <c r="C423" t="str">
        <f>IF($A423="","",'Daily Data'!$B423)</f>
        <v/>
      </c>
      <c r="D423" s="165" t="str">
        <f>IF($A423="","",IF(COUNTIFS('Daily Data'!$B$4:$B$503,'Daily Data'!$B423,'Daily Data'!$A$4:$A$503,'Daily Data'!$A423)&gt;1,"ERROR","OK"))</f>
        <v/>
      </c>
      <c r="E423" s="165" t="str">
        <f>IF($A423="","",IF('Daily Data'!$B423="","ERROR","OK"))</f>
        <v/>
      </c>
      <c r="F423" s="165" t="str">
        <f>IF($A423="","",IF(NOT(ISNUMBER('Daily Data'!$A423)),"ERROR","OK"))</f>
        <v/>
      </c>
      <c r="G423" s="165" t="str">
        <f>IF($A423="","",IF(OR(N('Daily Data'!$E423)&lt;=0,N('Daily Data'!$C423)&lt;0,N('Daily Data'!$D423)&lt;0,N('Daily Data'!$F423)&lt;0,N('Daily Data'!$G423)&lt;0),"ERROR","OK"))</f>
        <v/>
      </c>
      <c r="H423" s="165" t="str">
        <f>IF($A423="","",IF(N('Daily Data'!$K423)&lt;0,"ERROR","OK"))</f>
        <v/>
      </c>
      <c r="I423" s="165" t="str">
        <f>IF($A423="","",IF(N('Daily Data'!$I423)&lt;0,"ERROR","OK"))</f>
        <v/>
      </c>
      <c r="J423" s="165" t="str">
        <f>IF($A423="","",IF(N('Daily Data'!$L423)&lt;0,"ERROR","OK"))</f>
        <v/>
      </c>
      <c r="K423" s="165" t="str">
        <f>IF($A423="","",IF(N('Daily Data'!$M423)&lt;0,"ERROR","OK"))</f>
        <v/>
      </c>
      <c r="L423" s="165" t="str">
        <f>IF($A423="","",IF(OR(N('Daily Data'!$F423)=0,N('Daily Data'!$G423)=0),"OK",IF(OR(N('Daily Data'!$E423)&gt;N('Daily Data'!$F423),N('Daily Data'!$E423)&lt;N('Daily Data'!$G423)),"ERROR","OK")))</f>
        <v/>
      </c>
      <c r="M423" s="165" t="str">
        <f>IF($A423="","",IF(N('Daily Data'!$AK423)&lt;=1,"OK",IF(ROUND(N('Daily Data'!$D423),2)=ROUND(SUMIFS('Daily Data'!$E$4:$E$503,'Daily Data'!$B$4:$B$503,'Daily Data'!$B423,'Daily Data'!$AK$4:$AK$503,'Daily Data'!$AK423-1),2),"OK","WARNING")))</f>
        <v/>
      </c>
      <c r="N423" s="165" t="str">
        <f>IF($A423="","",IF(N('Daily Data'!$N423)&lt;=0,"WARNING","OK"))</f>
        <v/>
      </c>
      <c r="O423" s="165" t="str">
        <f>IF($A423="","",IF(AND(ISNUMBER('Daily Data'!$H423),ABS(N('Daily Data'!$H423))&gt;Settings!$C$56),"WARNING","OK"))</f>
        <v/>
      </c>
      <c r="P423" s="165" t="str">
        <f>IF($A423="","",IF(OR(AND(N('Daily Data'!$K423)=0,N('Daily Data'!$I423)&gt;0),AND(N('Daily Data'!$I423)=0,N('Daily Data'!$K423)&gt;0),AND(N('Daily Data'!$L423)=0,N('Daily Data'!$M423)=0)),"WARNING","OK"))</f>
        <v/>
      </c>
      <c r="Q423" s="165" t="str">
        <f>IF($A423="","",IF(COUNTIFS('Daily Data'!$B$4:$B$503,'Daily Data'!$B423,'Daily Data'!$A$4:$A$503,'Daily Data'!$A423,'Daily Data'!$Q$4:$Q$503,'Daily Data'!$Q423)&gt;1,"WARNING","OK"))</f>
        <v/>
      </c>
      <c r="R423" s="165" t="str">
        <f>IF($A423="","",IF(AND(N('Daily Data'!$K423)&gt;0,N('Daily Data'!$J423)&lt;=0),"WARNING","OK"))</f>
        <v/>
      </c>
      <c r="S423" s="165" t="str">
        <f>IF($A423="","",COUNTIF($D423:$R423,"ERROR"))</f>
        <v/>
      </c>
      <c r="T423" s="165" t="str">
        <f>IF($A423="","",COUNTIF($D423:$R423,"WARNING"))</f>
        <v/>
      </c>
      <c r="U423" s="165" t="str">
        <f>IF($A423="","",IF($S423&gt;0,"ERROR",IF($T423&gt;0,"WARNING","PASS")))</f>
        <v/>
      </c>
    </row>
    <row r="424" spans="1:21" x14ac:dyDescent="0.3">
      <c r="A424" t="str">
        <f>IF(AND('Daily Data'!$A424="",'Daily Data'!$B424=""),"",424)</f>
        <v/>
      </c>
      <c r="B424" s="16" t="str">
        <f>IF($A424="","",'Daily Data'!$A424)</f>
        <v/>
      </c>
      <c r="C424" t="str">
        <f>IF($A424="","",'Daily Data'!$B424)</f>
        <v/>
      </c>
      <c r="D424" s="165" t="str">
        <f>IF($A424="","",IF(COUNTIFS('Daily Data'!$B$4:$B$503,'Daily Data'!$B424,'Daily Data'!$A$4:$A$503,'Daily Data'!$A424)&gt;1,"ERROR","OK"))</f>
        <v/>
      </c>
      <c r="E424" s="165" t="str">
        <f>IF($A424="","",IF('Daily Data'!$B424="","ERROR","OK"))</f>
        <v/>
      </c>
      <c r="F424" s="165" t="str">
        <f>IF($A424="","",IF(NOT(ISNUMBER('Daily Data'!$A424)),"ERROR","OK"))</f>
        <v/>
      </c>
      <c r="G424" s="165" t="str">
        <f>IF($A424="","",IF(OR(N('Daily Data'!$E424)&lt;=0,N('Daily Data'!$C424)&lt;0,N('Daily Data'!$D424)&lt;0,N('Daily Data'!$F424)&lt;0,N('Daily Data'!$G424)&lt;0),"ERROR","OK"))</f>
        <v/>
      </c>
      <c r="H424" s="165" t="str">
        <f>IF($A424="","",IF(N('Daily Data'!$K424)&lt;0,"ERROR","OK"))</f>
        <v/>
      </c>
      <c r="I424" s="165" t="str">
        <f>IF($A424="","",IF(N('Daily Data'!$I424)&lt;0,"ERROR","OK"))</f>
        <v/>
      </c>
      <c r="J424" s="165" t="str">
        <f>IF($A424="","",IF(N('Daily Data'!$L424)&lt;0,"ERROR","OK"))</f>
        <v/>
      </c>
      <c r="K424" s="165" t="str">
        <f>IF($A424="","",IF(N('Daily Data'!$M424)&lt;0,"ERROR","OK"))</f>
        <v/>
      </c>
      <c r="L424" s="165" t="str">
        <f>IF($A424="","",IF(OR(N('Daily Data'!$F424)=0,N('Daily Data'!$G424)=0),"OK",IF(OR(N('Daily Data'!$E424)&gt;N('Daily Data'!$F424),N('Daily Data'!$E424)&lt;N('Daily Data'!$G424)),"ERROR","OK")))</f>
        <v/>
      </c>
      <c r="M424" s="165" t="str">
        <f>IF($A424="","",IF(N('Daily Data'!$AK424)&lt;=1,"OK",IF(ROUND(N('Daily Data'!$D424),2)=ROUND(SUMIFS('Daily Data'!$E$4:$E$503,'Daily Data'!$B$4:$B$503,'Daily Data'!$B424,'Daily Data'!$AK$4:$AK$503,'Daily Data'!$AK424-1),2),"OK","WARNING")))</f>
        <v/>
      </c>
      <c r="N424" s="165" t="str">
        <f>IF($A424="","",IF(N('Daily Data'!$N424)&lt;=0,"WARNING","OK"))</f>
        <v/>
      </c>
      <c r="O424" s="165" t="str">
        <f>IF($A424="","",IF(AND(ISNUMBER('Daily Data'!$H424),ABS(N('Daily Data'!$H424))&gt;Settings!$C$56),"WARNING","OK"))</f>
        <v/>
      </c>
      <c r="P424" s="165" t="str">
        <f>IF($A424="","",IF(OR(AND(N('Daily Data'!$K424)=0,N('Daily Data'!$I424)&gt;0),AND(N('Daily Data'!$I424)=0,N('Daily Data'!$K424)&gt;0),AND(N('Daily Data'!$L424)=0,N('Daily Data'!$M424)=0)),"WARNING","OK"))</f>
        <v/>
      </c>
      <c r="Q424" s="165" t="str">
        <f>IF($A424="","",IF(COUNTIFS('Daily Data'!$B$4:$B$503,'Daily Data'!$B424,'Daily Data'!$A$4:$A$503,'Daily Data'!$A424,'Daily Data'!$Q$4:$Q$503,'Daily Data'!$Q424)&gt;1,"WARNING","OK"))</f>
        <v/>
      </c>
      <c r="R424" s="165" t="str">
        <f>IF($A424="","",IF(AND(N('Daily Data'!$K424)&gt;0,N('Daily Data'!$J424)&lt;=0),"WARNING","OK"))</f>
        <v/>
      </c>
      <c r="S424" s="165" t="str">
        <f>IF($A424="","",COUNTIF($D424:$R424,"ERROR"))</f>
        <v/>
      </c>
      <c r="T424" s="165" t="str">
        <f>IF($A424="","",COUNTIF($D424:$R424,"WARNING"))</f>
        <v/>
      </c>
      <c r="U424" s="165" t="str">
        <f>IF($A424="","",IF($S424&gt;0,"ERROR",IF($T424&gt;0,"WARNING","PASS")))</f>
        <v/>
      </c>
    </row>
    <row r="425" spans="1:21" x14ac:dyDescent="0.3">
      <c r="A425" t="str">
        <f>IF(AND('Daily Data'!$A425="",'Daily Data'!$B425=""),"",425)</f>
        <v/>
      </c>
      <c r="B425" s="16" t="str">
        <f>IF($A425="","",'Daily Data'!$A425)</f>
        <v/>
      </c>
      <c r="C425" t="str">
        <f>IF($A425="","",'Daily Data'!$B425)</f>
        <v/>
      </c>
      <c r="D425" s="165" t="str">
        <f>IF($A425="","",IF(COUNTIFS('Daily Data'!$B$4:$B$503,'Daily Data'!$B425,'Daily Data'!$A$4:$A$503,'Daily Data'!$A425)&gt;1,"ERROR","OK"))</f>
        <v/>
      </c>
      <c r="E425" s="165" t="str">
        <f>IF($A425="","",IF('Daily Data'!$B425="","ERROR","OK"))</f>
        <v/>
      </c>
      <c r="F425" s="165" t="str">
        <f>IF($A425="","",IF(NOT(ISNUMBER('Daily Data'!$A425)),"ERROR","OK"))</f>
        <v/>
      </c>
      <c r="G425" s="165" t="str">
        <f>IF($A425="","",IF(OR(N('Daily Data'!$E425)&lt;=0,N('Daily Data'!$C425)&lt;0,N('Daily Data'!$D425)&lt;0,N('Daily Data'!$F425)&lt;0,N('Daily Data'!$G425)&lt;0),"ERROR","OK"))</f>
        <v/>
      </c>
      <c r="H425" s="165" t="str">
        <f>IF($A425="","",IF(N('Daily Data'!$K425)&lt;0,"ERROR","OK"))</f>
        <v/>
      </c>
      <c r="I425" s="165" t="str">
        <f>IF($A425="","",IF(N('Daily Data'!$I425)&lt;0,"ERROR","OK"))</f>
        <v/>
      </c>
      <c r="J425" s="165" t="str">
        <f>IF($A425="","",IF(N('Daily Data'!$L425)&lt;0,"ERROR","OK"))</f>
        <v/>
      </c>
      <c r="K425" s="165" t="str">
        <f>IF($A425="","",IF(N('Daily Data'!$M425)&lt;0,"ERROR","OK"))</f>
        <v/>
      </c>
      <c r="L425" s="165" t="str">
        <f>IF($A425="","",IF(OR(N('Daily Data'!$F425)=0,N('Daily Data'!$G425)=0),"OK",IF(OR(N('Daily Data'!$E425)&gt;N('Daily Data'!$F425),N('Daily Data'!$E425)&lt;N('Daily Data'!$G425)),"ERROR","OK")))</f>
        <v/>
      </c>
      <c r="M425" s="165" t="str">
        <f>IF($A425="","",IF(N('Daily Data'!$AK425)&lt;=1,"OK",IF(ROUND(N('Daily Data'!$D425),2)=ROUND(SUMIFS('Daily Data'!$E$4:$E$503,'Daily Data'!$B$4:$B$503,'Daily Data'!$B425,'Daily Data'!$AK$4:$AK$503,'Daily Data'!$AK425-1),2),"OK","WARNING")))</f>
        <v/>
      </c>
      <c r="N425" s="165" t="str">
        <f>IF($A425="","",IF(N('Daily Data'!$N425)&lt;=0,"WARNING","OK"))</f>
        <v/>
      </c>
      <c r="O425" s="165" t="str">
        <f>IF($A425="","",IF(AND(ISNUMBER('Daily Data'!$H425),ABS(N('Daily Data'!$H425))&gt;Settings!$C$56),"WARNING","OK"))</f>
        <v/>
      </c>
      <c r="P425" s="165" t="str">
        <f>IF($A425="","",IF(OR(AND(N('Daily Data'!$K425)=0,N('Daily Data'!$I425)&gt;0),AND(N('Daily Data'!$I425)=0,N('Daily Data'!$K425)&gt;0),AND(N('Daily Data'!$L425)=0,N('Daily Data'!$M425)=0)),"WARNING","OK"))</f>
        <v/>
      </c>
      <c r="Q425" s="165" t="str">
        <f>IF($A425="","",IF(COUNTIFS('Daily Data'!$B$4:$B$503,'Daily Data'!$B425,'Daily Data'!$A$4:$A$503,'Daily Data'!$A425,'Daily Data'!$Q$4:$Q$503,'Daily Data'!$Q425)&gt;1,"WARNING","OK"))</f>
        <v/>
      </c>
      <c r="R425" s="165" t="str">
        <f>IF($A425="","",IF(AND(N('Daily Data'!$K425)&gt;0,N('Daily Data'!$J425)&lt;=0),"WARNING","OK"))</f>
        <v/>
      </c>
      <c r="S425" s="165" t="str">
        <f>IF($A425="","",COUNTIF($D425:$R425,"ERROR"))</f>
        <v/>
      </c>
      <c r="T425" s="165" t="str">
        <f>IF($A425="","",COUNTIF($D425:$R425,"WARNING"))</f>
        <v/>
      </c>
      <c r="U425" s="165" t="str">
        <f>IF($A425="","",IF($S425&gt;0,"ERROR",IF($T425&gt;0,"WARNING","PASS")))</f>
        <v/>
      </c>
    </row>
    <row r="426" spans="1:21" x14ac:dyDescent="0.3">
      <c r="A426" t="str">
        <f>IF(AND('Daily Data'!$A426="",'Daily Data'!$B426=""),"",426)</f>
        <v/>
      </c>
      <c r="B426" s="16" t="str">
        <f>IF($A426="","",'Daily Data'!$A426)</f>
        <v/>
      </c>
      <c r="C426" t="str">
        <f>IF($A426="","",'Daily Data'!$B426)</f>
        <v/>
      </c>
      <c r="D426" s="165" t="str">
        <f>IF($A426="","",IF(COUNTIFS('Daily Data'!$B$4:$B$503,'Daily Data'!$B426,'Daily Data'!$A$4:$A$503,'Daily Data'!$A426)&gt;1,"ERROR","OK"))</f>
        <v/>
      </c>
      <c r="E426" s="165" t="str">
        <f>IF($A426="","",IF('Daily Data'!$B426="","ERROR","OK"))</f>
        <v/>
      </c>
      <c r="F426" s="165" t="str">
        <f>IF($A426="","",IF(NOT(ISNUMBER('Daily Data'!$A426)),"ERROR","OK"))</f>
        <v/>
      </c>
      <c r="G426" s="165" t="str">
        <f>IF($A426="","",IF(OR(N('Daily Data'!$E426)&lt;=0,N('Daily Data'!$C426)&lt;0,N('Daily Data'!$D426)&lt;0,N('Daily Data'!$F426)&lt;0,N('Daily Data'!$G426)&lt;0),"ERROR","OK"))</f>
        <v/>
      </c>
      <c r="H426" s="165" t="str">
        <f>IF($A426="","",IF(N('Daily Data'!$K426)&lt;0,"ERROR","OK"))</f>
        <v/>
      </c>
      <c r="I426" s="165" t="str">
        <f>IF($A426="","",IF(N('Daily Data'!$I426)&lt;0,"ERROR","OK"))</f>
        <v/>
      </c>
      <c r="J426" s="165" t="str">
        <f>IF($A426="","",IF(N('Daily Data'!$L426)&lt;0,"ERROR","OK"))</f>
        <v/>
      </c>
      <c r="K426" s="165" t="str">
        <f>IF($A426="","",IF(N('Daily Data'!$M426)&lt;0,"ERROR","OK"))</f>
        <v/>
      </c>
      <c r="L426" s="165" t="str">
        <f>IF($A426="","",IF(OR(N('Daily Data'!$F426)=0,N('Daily Data'!$G426)=0),"OK",IF(OR(N('Daily Data'!$E426)&gt;N('Daily Data'!$F426),N('Daily Data'!$E426)&lt;N('Daily Data'!$G426)),"ERROR","OK")))</f>
        <v/>
      </c>
      <c r="M426" s="165" t="str">
        <f>IF($A426="","",IF(N('Daily Data'!$AK426)&lt;=1,"OK",IF(ROUND(N('Daily Data'!$D426),2)=ROUND(SUMIFS('Daily Data'!$E$4:$E$503,'Daily Data'!$B$4:$B$503,'Daily Data'!$B426,'Daily Data'!$AK$4:$AK$503,'Daily Data'!$AK426-1),2),"OK","WARNING")))</f>
        <v/>
      </c>
      <c r="N426" s="165" t="str">
        <f>IF($A426="","",IF(N('Daily Data'!$N426)&lt;=0,"WARNING","OK"))</f>
        <v/>
      </c>
      <c r="O426" s="165" t="str">
        <f>IF($A426="","",IF(AND(ISNUMBER('Daily Data'!$H426),ABS(N('Daily Data'!$H426))&gt;Settings!$C$56),"WARNING","OK"))</f>
        <v/>
      </c>
      <c r="P426" s="165" t="str">
        <f>IF($A426="","",IF(OR(AND(N('Daily Data'!$K426)=0,N('Daily Data'!$I426)&gt;0),AND(N('Daily Data'!$I426)=0,N('Daily Data'!$K426)&gt;0),AND(N('Daily Data'!$L426)=0,N('Daily Data'!$M426)=0)),"WARNING","OK"))</f>
        <v/>
      </c>
      <c r="Q426" s="165" t="str">
        <f>IF($A426="","",IF(COUNTIFS('Daily Data'!$B$4:$B$503,'Daily Data'!$B426,'Daily Data'!$A$4:$A$503,'Daily Data'!$A426,'Daily Data'!$Q$4:$Q$503,'Daily Data'!$Q426)&gt;1,"WARNING","OK"))</f>
        <v/>
      </c>
      <c r="R426" s="165" t="str">
        <f>IF($A426="","",IF(AND(N('Daily Data'!$K426)&gt;0,N('Daily Data'!$J426)&lt;=0),"WARNING","OK"))</f>
        <v/>
      </c>
      <c r="S426" s="165" t="str">
        <f>IF($A426="","",COUNTIF($D426:$R426,"ERROR"))</f>
        <v/>
      </c>
      <c r="T426" s="165" t="str">
        <f>IF($A426="","",COUNTIF($D426:$R426,"WARNING"))</f>
        <v/>
      </c>
      <c r="U426" s="165" t="str">
        <f>IF($A426="","",IF($S426&gt;0,"ERROR",IF($T426&gt;0,"WARNING","PASS")))</f>
        <v/>
      </c>
    </row>
    <row r="427" spans="1:21" x14ac:dyDescent="0.3">
      <c r="A427" t="str">
        <f>IF(AND('Daily Data'!$A427="",'Daily Data'!$B427=""),"",427)</f>
        <v/>
      </c>
      <c r="B427" s="16" t="str">
        <f>IF($A427="","",'Daily Data'!$A427)</f>
        <v/>
      </c>
      <c r="C427" t="str">
        <f>IF($A427="","",'Daily Data'!$B427)</f>
        <v/>
      </c>
      <c r="D427" s="165" t="str">
        <f>IF($A427="","",IF(COUNTIFS('Daily Data'!$B$4:$B$503,'Daily Data'!$B427,'Daily Data'!$A$4:$A$503,'Daily Data'!$A427)&gt;1,"ERROR","OK"))</f>
        <v/>
      </c>
      <c r="E427" s="165" t="str">
        <f>IF($A427="","",IF('Daily Data'!$B427="","ERROR","OK"))</f>
        <v/>
      </c>
      <c r="F427" s="165" t="str">
        <f>IF($A427="","",IF(NOT(ISNUMBER('Daily Data'!$A427)),"ERROR","OK"))</f>
        <v/>
      </c>
      <c r="G427" s="165" t="str">
        <f>IF($A427="","",IF(OR(N('Daily Data'!$E427)&lt;=0,N('Daily Data'!$C427)&lt;0,N('Daily Data'!$D427)&lt;0,N('Daily Data'!$F427)&lt;0,N('Daily Data'!$G427)&lt;0),"ERROR","OK"))</f>
        <v/>
      </c>
      <c r="H427" s="165" t="str">
        <f>IF($A427="","",IF(N('Daily Data'!$K427)&lt;0,"ERROR","OK"))</f>
        <v/>
      </c>
      <c r="I427" s="165" t="str">
        <f>IF($A427="","",IF(N('Daily Data'!$I427)&lt;0,"ERROR","OK"))</f>
        <v/>
      </c>
      <c r="J427" s="165" t="str">
        <f>IF($A427="","",IF(N('Daily Data'!$L427)&lt;0,"ERROR","OK"))</f>
        <v/>
      </c>
      <c r="K427" s="165" t="str">
        <f>IF($A427="","",IF(N('Daily Data'!$M427)&lt;0,"ERROR","OK"))</f>
        <v/>
      </c>
      <c r="L427" s="165" t="str">
        <f>IF($A427="","",IF(OR(N('Daily Data'!$F427)=0,N('Daily Data'!$G427)=0),"OK",IF(OR(N('Daily Data'!$E427)&gt;N('Daily Data'!$F427),N('Daily Data'!$E427)&lt;N('Daily Data'!$G427)),"ERROR","OK")))</f>
        <v/>
      </c>
      <c r="M427" s="165" t="str">
        <f>IF($A427="","",IF(N('Daily Data'!$AK427)&lt;=1,"OK",IF(ROUND(N('Daily Data'!$D427),2)=ROUND(SUMIFS('Daily Data'!$E$4:$E$503,'Daily Data'!$B$4:$B$503,'Daily Data'!$B427,'Daily Data'!$AK$4:$AK$503,'Daily Data'!$AK427-1),2),"OK","WARNING")))</f>
        <v/>
      </c>
      <c r="N427" s="165" t="str">
        <f>IF($A427="","",IF(N('Daily Data'!$N427)&lt;=0,"WARNING","OK"))</f>
        <v/>
      </c>
      <c r="O427" s="165" t="str">
        <f>IF($A427="","",IF(AND(ISNUMBER('Daily Data'!$H427),ABS(N('Daily Data'!$H427))&gt;Settings!$C$56),"WARNING","OK"))</f>
        <v/>
      </c>
      <c r="P427" s="165" t="str">
        <f>IF($A427="","",IF(OR(AND(N('Daily Data'!$K427)=0,N('Daily Data'!$I427)&gt;0),AND(N('Daily Data'!$I427)=0,N('Daily Data'!$K427)&gt;0),AND(N('Daily Data'!$L427)=0,N('Daily Data'!$M427)=0)),"WARNING","OK"))</f>
        <v/>
      </c>
      <c r="Q427" s="165" t="str">
        <f>IF($A427="","",IF(COUNTIFS('Daily Data'!$B$4:$B$503,'Daily Data'!$B427,'Daily Data'!$A$4:$A$503,'Daily Data'!$A427,'Daily Data'!$Q$4:$Q$503,'Daily Data'!$Q427)&gt;1,"WARNING","OK"))</f>
        <v/>
      </c>
      <c r="R427" s="165" t="str">
        <f>IF($A427="","",IF(AND(N('Daily Data'!$K427)&gt;0,N('Daily Data'!$J427)&lt;=0),"WARNING","OK"))</f>
        <v/>
      </c>
      <c r="S427" s="165" t="str">
        <f>IF($A427="","",COUNTIF($D427:$R427,"ERROR"))</f>
        <v/>
      </c>
      <c r="T427" s="165" t="str">
        <f>IF($A427="","",COUNTIF($D427:$R427,"WARNING"))</f>
        <v/>
      </c>
      <c r="U427" s="165" t="str">
        <f>IF($A427="","",IF($S427&gt;0,"ERROR",IF($T427&gt;0,"WARNING","PASS")))</f>
        <v/>
      </c>
    </row>
    <row r="428" spans="1:21" x14ac:dyDescent="0.3">
      <c r="A428" t="str">
        <f>IF(AND('Daily Data'!$A428="",'Daily Data'!$B428=""),"",428)</f>
        <v/>
      </c>
      <c r="B428" s="16" t="str">
        <f>IF($A428="","",'Daily Data'!$A428)</f>
        <v/>
      </c>
      <c r="C428" t="str">
        <f>IF($A428="","",'Daily Data'!$B428)</f>
        <v/>
      </c>
      <c r="D428" s="165" t="str">
        <f>IF($A428="","",IF(COUNTIFS('Daily Data'!$B$4:$B$503,'Daily Data'!$B428,'Daily Data'!$A$4:$A$503,'Daily Data'!$A428)&gt;1,"ERROR","OK"))</f>
        <v/>
      </c>
      <c r="E428" s="165" t="str">
        <f>IF($A428="","",IF('Daily Data'!$B428="","ERROR","OK"))</f>
        <v/>
      </c>
      <c r="F428" s="165" t="str">
        <f>IF($A428="","",IF(NOT(ISNUMBER('Daily Data'!$A428)),"ERROR","OK"))</f>
        <v/>
      </c>
      <c r="G428" s="165" t="str">
        <f>IF($A428="","",IF(OR(N('Daily Data'!$E428)&lt;=0,N('Daily Data'!$C428)&lt;0,N('Daily Data'!$D428)&lt;0,N('Daily Data'!$F428)&lt;0,N('Daily Data'!$G428)&lt;0),"ERROR","OK"))</f>
        <v/>
      </c>
      <c r="H428" s="165" t="str">
        <f>IF($A428="","",IF(N('Daily Data'!$K428)&lt;0,"ERROR","OK"))</f>
        <v/>
      </c>
      <c r="I428" s="165" t="str">
        <f>IF($A428="","",IF(N('Daily Data'!$I428)&lt;0,"ERROR","OK"))</f>
        <v/>
      </c>
      <c r="J428" s="165" t="str">
        <f>IF($A428="","",IF(N('Daily Data'!$L428)&lt;0,"ERROR","OK"))</f>
        <v/>
      </c>
      <c r="K428" s="165" t="str">
        <f>IF($A428="","",IF(N('Daily Data'!$M428)&lt;0,"ERROR","OK"))</f>
        <v/>
      </c>
      <c r="L428" s="165" t="str">
        <f>IF($A428="","",IF(OR(N('Daily Data'!$F428)=0,N('Daily Data'!$G428)=0),"OK",IF(OR(N('Daily Data'!$E428)&gt;N('Daily Data'!$F428),N('Daily Data'!$E428)&lt;N('Daily Data'!$G428)),"ERROR","OK")))</f>
        <v/>
      </c>
      <c r="M428" s="165" t="str">
        <f>IF($A428="","",IF(N('Daily Data'!$AK428)&lt;=1,"OK",IF(ROUND(N('Daily Data'!$D428),2)=ROUND(SUMIFS('Daily Data'!$E$4:$E$503,'Daily Data'!$B$4:$B$503,'Daily Data'!$B428,'Daily Data'!$AK$4:$AK$503,'Daily Data'!$AK428-1),2),"OK","WARNING")))</f>
        <v/>
      </c>
      <c r="N428" s="165" t="str">
        <f>IF($A428="","",IF(N('Daily Data'!$N428)&lt;=0,"WARNING","OK"))</f>
        <v/>
      </c>
      <c r="O428" s="165" t="str">
        <f>IF($A428="","",IF(AND(ISNUMBER('Daily Data'!$H428),ABS(N('Daily Data'!$H428))&gt;Settings!$C$56),"WARNING","OK"))</f>
        <v/>
      </c>
      <c r="P428" s="165" t="str">
        <f>IF($A428="","",IF(OR(AND(N('Daily Data'!$K428)=0,N('Daily Data'!$I428)&gt;0),AND(N('Daily Data'!$I428)=0,N('Daily Data'!$K428)&gt;0),AND(N('Daily Data'!$L428)=0,N('Daily Data'!$M428)=0)),"WARNING","OK"))</f>
        <v/>
      </c>
      <c r="Q428" s="165" t="str">
        <f>IF($A428="","",IF(COUNTIFS('Daily Data'!$B$4:$B$503,'Daily Data'!$B428,'Daily Data'!$A$4:$A$503,'Daily Data'!$A428,'Daily Data'!$Q$4:$Q$503,'Daily Data'!$Q428)&gt;1,"WARNING","OK"))</f>
        <v/>
      </c>
      <c r="R428" s="165" t="str">
        <f>IF($A428="","",IF(AND(N('Daily Data'!$K428)&gt;0,N('Daily Data'!$J428)&lt;=0),"WARNING","OK"))</f>
        <v/>
      </c>
      <c r="S428" s="165" t="str">
        <f>IF($A428="","",COUNTIF($D428:$R428,"ERROR"))</f>
        <v/>
      </c>
      <c r="T428" s="165" t="str">
        <f>IF($A428="","",COUNTIF($D428:$R428,"WARNING"))</f>
        <v/>
      </c>
      <c r="U428" s="165" t="str">
        <f>IF($A428="","",IF($S428&gt;0,"ERROR",IF($T428&gt;0,"WARNING","PASS")))</f>
        <v/>
      </c>
    </row>
    <row r="429" spans="1:21" x14ac:dyDescent="0.3">
      <c r="A429" t="str">
        <f>IF(AND('Daily Data'!$A429="",'Daily Data'!$B429=""),"",429)</f>
        <v/>
      </c>
      <c r="B429" s="16" t="str">
        <f>IF($A429="","",'Daily Data'!$A429)</f>
        <v/>
      </c>
      <c r="C429" t="str">
        <f>IF($A429="","",'Daily Data'!$B429)</f>
        <v/>
      </c>
      <c r="D429" s="165" t="str">
        <f>IF($A429="","",IF(COUNTIFS('Daily Data'!$B$4:$B$503,'Daily Data'!$B429,'Daily Data'!$A$4:$A$503,'Daily Data'!$A429)&gt;1,"ERROR","OK"))</f>
        <v/>
      </c>
      <c r="E429" s="165" t="str">
        <f>IF($A429="","",IF('Daily Data'!$B429="","ERROR","OK"))</f>
        <v/>
      </c>
      <c r="F429" s="165" t="str">
        <f>IF($A429="","",IF(NOT(ISNUMBER('Daily Data'!$A429)),"ERROR","OK"))</f>
        <v/>
      </c>
      <c r="G429" s="165" t="str">
        <f>IF($A429="","",IF(OR(N('Daily Data'!$E429)&lt;=0,N('Daily Data'!$C429)&lt;0,N('Daily Data'!$D429)&lt;0,N('Daily Data'!$F429)&lt;0,N('Daily Data'!$G429)&lt;0),"ERROR","OK"))</f>
        <v/>
      </c>
      <c r="H429" s="165" t="str">
        <f>IF($A429="","",IF(N('Daily Data'!$K429)&lt;0,"ERROR","OK"))</f>
        <v/>
      </c>
      <c r="I429" s="165" t="str">
        <f>IF($A429="","",IF(N('Daily Data'!$I429)&lt;0,"ERROR","OK"))</f>
        <v/>
      </c>
      <c r="J429" s="165" t="str">
        <f>IF($A429="","",IF(N('Daily Data'!$L429)&lt;0,"ERROR","OK"))</f>
        <v/>
      </c>
      <c r="K429" s="165" t="str">
        <f>IF($A429="","",IF(N('Daily Data'!$M429)&lt;0,"ERROR","OK"))</f>
        <v/>
      </c>
      <c r="L429" s="165" t="str">
        <f>IF($A429="","",IF(OR(N('Daily Data'!$F429)=0,N('Daily Data'!$G429)=0),"OK",IF(OR(N('Daily Data'!$E429)&gt;N('Daily Data'!$F429),N('Daily Data'!$E429)&lt;N('Daily Data'!$G429)),"ERROR","OK")))</f>
        <v/>
      </c>
      <c r="M429" s="165" t="str">
        <f>IF($A429="","",IF(N('Daily Data'!$AK429)&lt;=1,"OK",IF(ROUND(N('Daily Data'!$D429),2)=ROUND(SUMIFS('Daily Data'!$E$4:$E$503,'Daily Data'!$B$4:$B$503,'Daily Data'!$B429,'Daily Data'!$AK$4:$AK$503,'Daily Data'!$AK429-1),2),"OK","WARNING")))</f>
        <v/>
      </c>
      <c r="N429" s="165" t="str">
        <f>IF($A429="","",IF(N('Daily Data'!$N429)&lt;=0,"WARNING","OK"))</f>
        <v/>
      </c>
      <c r="O429" s="165" t="str">
        <f>IF($A429="","",IF(AND(ISNUMBER('Daily Data'!$H429),ABS(N('Daily Data'!$H429))&gt;Settings!$C$56),"WARNING","OK"))</f>
        <v/>
      </c>
      <c r="P429" s="165" t="str">
        <f>IF($A429="","",IF(OR(AND(N('Daily Data'!$K429)=0,N('Daily Data'!$I429)&gt;0),AND(N('Daily Data'!$I429)=0,N('Daily Data'!$K429)&gt;0),AND(N('Daily Data'!$L429)=0,N('Daily Data'!$M429)=0)),"WARNING","OK"))</f>
        <v/>
      </c>
      <c r="Q429" s="165" t="str">
        <f>IF($A429="","",IF(COUNTIFS('Daily Data'!$B$4:$B$503,'Daily Data'!$B429,'Daily Data'!$A$4:$A$503,'Daily Data'!$A429,'Daily Data'!$Q$4:$Q$503,'Daily Data'!$Q429)&gt;1,"WARNING","OK"))</f>
        <v/>
      </c>
      <c r="R429" s="165" t="str">
        <f>IF($A429="","",IF(AND(N('Daily Data'!$K429)&gt;0,N('Daily Data'!$J429)&lt;=0),"WARNING","OK"))</f>
        <v/>
      </c>
      <c r="S429" s="165" t="str">
        <f>IF($A429="","",COUNTIF($D429:$R429,"ERROR"))</f>
        <v/>
      </c>
      <c r="T429" s="165" t="str">
        <f>IF($A429="","",COUNTIF($D429:$R429,"WARNING"))</f>
        <v/>
      </c>
      <c r="U429" s="165" t="str">
        <f>IF($A429="","",IF($S429&gt;0,"ERROR",IF($T429&gt;0,"WARNING","PASS")))</f>
        <v/>
      </c>
    </row>
    <row r="430" spans="1:21" x14ac:dyDescent="0.3">
      <c r="A430" t="str">
        <f>IF(AND('Daily Data'!$A430="",'Daily Data'!$B430=""),"",430)</f>
        <v/>
      </c>
      <c r="B430" s="16" t="str">
        <f>IF($A430="","",'Daily Data'!$A430)</f>
        <v/>
      </c>
      <c r="C430" t="str">
        <f>IF($A430="","",'Daily Data'!$B430)</f>
        <v/>
      </c>
      <c r="D430" s="165" t="str">
        <f>IF($A430="","",IF(COUNTIFS('Daily Data'!$B$4:$B$503,'Daily Data'!$B430,'Daily Data'!$A$4:$A$503,'Daily Data'!$A430)&gt;1,"ERROR","OK"))</f>
        <v/>
      </c>
      <c r="E430" s="165" t="str">
        <f>IF($A430="","",IF('Daily Data'!$B430="","ERROR","OK"))</f>
        <v/>
      </c>
      <c r="F430" s="165" t="str">
        <f>IF($A430="","",IF(NOT(ISNUMBER('Daily Data'!$A430)),"ERROR","OK"))</f>
        <v/>
      </c>
      <c r="G430" s="165" t="str">
        <f>IF($A430="","",IF(OR(N('Daily Data'!$E430)&lt;=0,N('Daily Data'!$C430)&lt;0,N('Daily Data'!$D430)&lt;0,N('Daily Data'!$F430)&lt;0,N('Daily Data'!$G430)&lt;0),"ERROR","OK"))</f>
        <v/>
      </c>
      <c r="H430" s="165" t="str">
        <f>IF($A430="","",IF(N('Daily Data'!$K430)&lt;0,"ERROR","OK"))</f>
        <v/>
      </c>
      <c r="I430" s="165" t="str">
        <f>IF($A430="","",IF(N('Daily Data'!$I430)&lt;0,"ERROR","OK"))</f>
        <v/>
      </c>
      <c r="J430" s="165" t="str">
        <f>IF($A430="","",IF(N('Daily Data'!$L430)&lt;0,"ERROR","OK"))</f>
        <v/>
      </c>
      <c r="K430" s="165" t="str">
        <f>IF($A430="","",IF(N('Daily Data'!$M430)&lt;0,"ERROR","OK"))</f>
        <v/>
      </c>
      <c r="L430" s="165" t="str">
        <f>IF($A430="","",IF(OR(N('Daily Data'!$F430)=0,N('Daily Data'!$G430)=0),"OK",IF(OR(N('Daily Data'!$E430)&gt;N('Daily Data'!$F430),N('Daily Data'!$E430)&lt;N('Daily Data'!$G430)),"ERROR","OK")))</f>
        <v/>
      </c>
      <c r="M430" s="165" t="str">
        <f>IF($A430="","",IF(N('Daily Data'!$AK430)&lt;=1,"OK",IF(ROUND(N('Daily Data'!$D430),2)=ROUND(SUMIFS('Daily Data'!$E$4:$E$503,'Daily Data'!$B$4:$B$503,'Daily Data'!$B430,'Daily Data'!$AK$4:$AK$503,'Daily Data'!$AK430-1),2),"OK","WARNING")))</f>
        <v/>
      </c>
      <c r="N430" s="165" t="str">
        <f>IF($A430="","",IF(N('Daily Data'!$N430)&lt;=0,"WARNING","OK"))</f>
        <v/>
      </c>
      <c r="O430" s="165" t="str">
        <f>IF($A430="","",IF(AND(ISNUMBER('Daily Data'!$H430),ABS(N('Daily Data'!$H430))&gt;Settings!$C$56),"WARNING","OK"))</f>
        <v/>
      </c>
      <c r="P430" s="165" t="str">
        <f>IF($A430="","",IF(OR(AND(N('Daily Data'!$K430)=0,N('Daily Data'!$I430)&gt;0),AND(N('Daily Data'!$I430)=0,N('Daily Data'!$K430)&gt;0),AND(N('Daily Data'!$L430)=0,N('Daily Data'!$M430)=0)),"WARNING","OK"))</f>
        <v/>
      </c>
      <c r="Q430" s="165" t="str">
        <f>IF($A430="","",IF(COUNTIFS('Daily Data'!$B$4:$B$503,'Daily Data'!$B430,'Daily Data'!$A$4:$A$503,'Daily Data'!$A430,'Daily Data'!$Q$4:$Q$503,'Daily Data'!$Q430)&gt;1,"WARNING","OK"))</f>
        <v/>
      </c>
      <c r="R430" s="165" t="str">
        <f>IF($A430="","",IF(AND(N('Daily Data'!$K430)&gt;0,N('Daily Data'!$J430)&lt;=0),"WARNING","OK"))</f>
        <v/>
      </c>
      <c r="S430" s="165" t="str">
        <f>IF($A430="","",COUNTIF($D430:$R430,"ERROR"))</f>
        <v/>
      </c>
      <c r="T430" s="165" t="str">
        <f>IF($A430="","",COUNTIF($D430:$R430,"WARNING"))</f>
        <v/>
      </c>
      <c r="U430" s="165" t="str">
        <f>IF($A430="","",IF($S430&gt;0,"ERROR",IF($T430&gt;0,"WARNING","PASS")))</f>
        <v/>
      </c>
    </row>
    <row r="431" spans="1:21" x14ac:dyDescent="0.3">
      <c r="A431" t="str">
        <f>IF(AND('Daily Data'!$A431="",'Daily Data'!$B431=""),"",431)</f>
        <v/>
      </c>
      <c r="B431" s="16" t="str">
        <f>IF($A431="","",'Daily Data'!$A431)</f>
        <v/>
      </c>
      <c r="C431" t="str">
        <f>IF($A431="","",'Daily Data'!$B431)</f>
        <v/>
      </c>
      <c r="D431" s="165" t="str">
        <f>IF($A431="","",IF(COUNTIFS('Daily Data'!$B$4:$B$503,'Daily Data'!$B431,'Daily Data'!$A$4:$A$503,'Daily Data'!$A431)&gt;1,"ERROR","OK"))</f>
        <v/>
      </c>
      <c r="E431" s="165" t="str">
        <f>IF($A431="","",IF('Daily Data'!$B431="","ERROR","OK"))</f>
        <v/>
      </c>
      <c r="F431" s="165" t="str">
        <f>IF($A431="","",IF(NOT(ISNUMBER('Daily Data'!$A431)),"ERROR","OK"))</f>
        <v/>
      </c>
      <c r="G431" s="165" t="str">
        <f>IF($A431="","",IF(OR(N('Daily Data'!$E431)&lt;=0,N('Daily Data'!$C431)&lt;0,N('Daily Data'!$D431)&lt;0,N('Daily Data'!$F431)&lt;0,N('Daily Data'!$G431)&lt;0),"ERROR","OK"))</f>
        <v/>
      </c>
      <c r="H431" s="165" t="str">
        <f>IF($A431="","",IF(N('Daily Data'!$K431)&lt;0,"ERROR","OK"))</f>
        <v/>
      </c>
      <c r="I431" s="165" t="str">
        <f>IF($A431="","",IF(N('Daily Data'!$I431)&lt;0,"ERROR","OK"))</f>
        <v/>
      </c>
      <c r="J431" s="165" t="str">
        <f>IF($A431="","",IF(N('Daily Data'!$L431)&lt;0,"ERROR","OK"))</f>
        <v/>
      </c>
      <c r="K431" s="165" t="str">
        <f>IF($A431="","",IF(N('Daily Data'!$M431)&lt;0,"ERROR","OK"))</f>
        <v/>
      </c>
      <c r="L431" s="165" t="str">
        <f>IF($A431="","",IF(OR(N('Daily Data'!$F431)=0,N('Daily Data'!$G431)=0),"OK",IF(OR(N('Daily Data'!$E431)&gt;N('Daily Data'!$F431),N('Daily Data'!$E431)&lt;N('Daily Data'!$G431)),"ERROR","OK")))</f>
        <v/>
      </c>
      <c r="M431" s="165" t="str">
        <f>IF($A431="","",IF(N('Daily Data'!$AK431)&lt;=1,"OK",IF(ROUND(N('Daily Data'!$D431),2)=ROUND(SUMIFS('Daily Data'!$E$4:$E$503,'Daily Data'!$B$4:$B$503,'Daily Data'!$B431,'Daily Data'!$AK$4:$AK$503,'Daily Data'!$AK431-1),2),"OK","WARNING")))</f>
        <v/>
      </c>
      <c r="N431" s="165" t="str">
        <f>IF($A431="","",IF(N('Daily Data'!$N431)&lt;=0,"WARNING","OK"))</f>
        <v/>
      </c>
      <c r="O431" s="165" t="str">
        <f>IF($A431="","",IF(AND(ISNUMBER('Daily Data'!$H431),ABS(N('Daily Data'!$H431))&gt;Settings!$C$56),"WARNING","OK"))</f>
        <v/>
      </c>
      <c r="P431" s="165" t="str">
        <f>IF($A431="","",IF(OR(AND(N('Daily Data'!$K431)=0,N('Daily Data'!$I431)&gt;0),AND(N('Daily Data'!$I431)=0,N('Daily Data'!$K431)&gt;0),AND(N('Daily Data'!$L431)=0,N('Daily Data'!$M431)=0)),"WARNING","OK"))</f>
        <v/>
      </c>
      <c r="Q431" s="165" t="str">
        <f>IF($A431="","",IF(COUNTIFS('Daily Data'!$B$4:$B$503,'Daily Data'!$B431,'Daily Data'!$A$4:$A$503,'Daily Data'!$A431,'Daily Data'!$Q$4:$Q$503,'Daily Data'!$Q431)&gt;1,"WARNING","OK"))</f>
        <v/>
      </c>
      <c r="R431" s="165" t="str">
        <f>IF($A431="","",IF(AND(N('Daily Data'!$K431)&gt;0,N('Daily Data'!$J431)&lt;=0),"WARNING","OK"))</f>
        <v/>
      </c>
      <c r="S431" s="165" t="str">
        <f>IF($A431="","",COUNTIF($D431:$R431,"ERROR"))</f>
        <v/>
      </c>
      <c r="T431" s="165" t="str">
        <f>IF($A431="","",COUNTIF($D431:$R431,"WARNING"))</f>
        <v/>
      </c>
      <c r="U431" s="165" t="str">
        <f>IF($A431="","",IF($S431&gt;0,"ERROR",IF($T431&gt;0,"WARNING","PASS")))</f>
        <v/>
      </c>
    </row>
    <row r="432" spans="1:21" x14ac:dyDescent="0.3">
      <c r="A432" t="str">
        <f>IF(AND('Daily Data'!$A432="",'Daily Data'!$B432=""),"",432)</f>
        <v/>
      </c>
      <c r="B432" s="16" t="str">
        <f>IF($A432="","",'Daily Data'!$A432)</f>
        <v/>
      </c>
      <c r="C432" t="str">
        <f>IF($A432="","",'Daily Data'!$B432)</f>
        <v/>
      </c>
      <c r="D432" s="165" t="str">
        <f>IF($A432="","",IF(COUNTIFS('Daily Data'!$B$4:$B$503,'Daily Data'!$B432,'Daily Data'!$A$4:$A$503,'Daily Data'!$A432)&gt;1,"ERROR","OK"))</f>
        <v/>
      </c>
      <c r="E432" s="165" t="str">
        <f>IF($A432="","",IF('Daily Data'!$B432="","ERROR","OK"))</f>
        <v/>
      </c>
      <c r="F432" s="165" t="str">
        <f>IF($A432="","",IF(NOT(ISNUMBER('Daily Data'!$A432)),"ERROR","OK"))</f>
        <v/>
      </c>
      <c r="G432" s="165" t="str">
        <f>IF($A432="","",IF(OR(N('Daily Data'!$E432)&lt;=0,N('Daily Data'!$C432)&lt;0,N('Daily Data'!$D432)&lt;0,N('Daily Data'!$F432)&lt;0,N('Daily Data'!$G432)&lt;0),"ERROR","OK"))</f>
        <v/>
      </c>
      <c r="H432" s="165" t="str">
        <f>IF($A432="","",IF(N('Daily Data'!$K432)&lt;0,"ERROR","OK"))</f>
        <v/>
      </c>
      <c r="I432" s="165" t="str">
        <f>IF($A432="","",IF(N('Daily Data'!$I432)&lt;0,"ERROR","OK"))</f>
        <v/>
      </c>
      <c r="J432" s="165" t="str">
        <f>IF($A432="","",IF(N('Daily Data'!$L432)&lt;0,"ERROR","OK"))</f>
        <v/>
      </c>
      <c r="K432" s="165" t="str">
        <f>IF($A432="","",IF(N('Daily Data'!$M432)&lt;0,"ERROR","OK"))</f>
        <v/>
      </c>
      <c r="L432" s="165" t="str">
        <f>IF($A432="","",IF(OR(N('Daily Data'!$F432)=0,N('Daily Data'!$G432)=0),"OK",IF(OR(N('Daily Data'!$E432)&gt;N('Daily Data'!$F432),N('Daily Data'!$E432)&lt;N('Daily Data'!$G432)),"ERROR","OK")))</f>
        <v/>
      </c>
      <c r="M432" s="165" t="str">
        <f>IF($A432="","",IF(N('Daily Data'!$AK432)&lt;=1,"OK",IF(ROUND(N('Daily Data'!$D432),2)=ROUND(SUMIFS('Daily Data'!$E$4:$E$503,'Daily Data'!$B$4:$B$503,'Daily Data'!$B432,'Daily Data'!$AK$4:$AK$503,'Daily Data'!$AK432-1),2),"OK","WARNING")))</f>
        <v/>
      </c>
      <c r="N432" s="165" t="str">
        <f>IF($A432="","",IF(N('Daily Data'!$N432)&lt;=0,"WARNING","OK"))</f>
        <v/>
      </c>
      <c r="O432" s="165" t="str">
        <f>IF($A432="","",IF(AND(ISNUMBER('Daily Data'!$H432),ABS(N('Daily Data'!$H432))&gt;Settings!$C$56),"WARNING","OK"))</f>
        <v/>
      </c>
      <c r="P432" s="165" t="str">
        <f>IF($A432="","",IF(OR(AND(N('Daily Data'!$K432)=0,N('Daily Data'!$I432)&gt;0),AND(N('Daily Data'!$I432)=0,N('Daily Data'!$K432)&gt;0),AND(N('Daily Data'!$L432)=0,N('Daily Data'!$M432)=0)),"WARNING","OK"))</f>
        <v/>
      </c>
      <c r="Q432" s="165" t="str">
        <f>IF($A432="","",IF(COUNTIFS('Daily Data'!$B$4:$B$503,'Daily Data'!$B432,'Daily Data'!$A$4:$A$503,'Daily Data'!$A432,'Daily Data'!$Q$4:$Q$503,'Daily Data'!$Q432)&gt;1,"WARNING","OK"))</f>
        <v/>
      </c>
      <c r="R432" s="165" t="str">
        <f>IF($A432="","",IF(AND(N('Daily Data'!$K432)&gt;0,N('Daily Data'!$J432)&lt;=0),"WARNING","OK"))</f>
        <v/>
      </c>
      <c r="S432" s="165" t="str">
        <f>IF($A432="","",COUNTIF($D432:$R432,"ERROR"))</f>
        <v/>
      </c>
      <c r="T432" s="165" t="str">
        <f>IF($A432="","",COUNTIF($D432:$R432,"WARNING"))</f>
        <v/>
      </c>
      <c r="U432" s="165" t="str">
        <f>IF($A432="","",IF($S432&gt;0,"ERROR",IF($T432&gt;0,"WARNING","PASS")))</f>
        <v/>
      </c>
    </row>
    <row r="433" spans="1:21" x14ac:dyDescent="0.3">
      <c r="A433" t="str">
        <f>IF(AND('Daily Data'!$A433="",'Daily Data'!$B433=""),"",433)</f>
        <v/>
      </c>
      <c r="B433" s="16" t="str">
        <f>IF($A433="","",'Daily Data'!$A433)</f>
        <v/>
      </c>
      <c r="C433" t="str">
        <f>IF($A433="","",'Daily Data'!$B433)</f>
        <v/>
      </c>
      <c r="D433" s="165" t="str">
        <f>IF($A433="","",IF(COUNTIFS('Daily Data'!$B$4:$B$503,'Daily Data'!$B433,'Daily Data'!$A$4:$A$503,'Daily Data'!$A433)&gt;1,"ERROR","OK"))</f>
        <v/>
      </c>
      <c r="E433" s="165" t="str">
        <f>IF($A433="","",IF('Daily Data'!$B433="","ERROR","OK"))</f>
        <v/>
      </c>
      <c r="F433" s="165" t="str">
        <f>IF($A433="","",IF(NOT(ISNUMBER('Daily Data'!$A433)),"ERROR","OK"))</f>
        <v/>
      </c>
      <c r="G433" s="165" t="str">
        <f>IF($A433="","",IF(OR(N('Daily Data'!$E433)&lt;=0,N('Daily Data'!$C433)&lt;0,N('Daily Data'!$D433)&lt;0,N('Daily Data'!$F433)&lt;0,N('Daily Data'!$G433)&lt;0),"ERROR","OK"))</f>
        <v/>
      </c>
      <c r="H433" s="165" t="str">
        <f>IF($A433="","",IF(N('Daily Data'!$K433)&lt;0,"ERROR","OK"))</f>
        <v/>
      </c>
      <c r="I433" s="165" t="str">
        <f>IF($A433="","",IF(N('Daily Data'!$I433)&lt;0,"ERROR","OK"))</f>
        <v/>
      </c>
      <c r="J433" s="165" t="str">
        <f>IF($A433="","",IF(N('Daily Data'!$L433)&lt;0,"ERROR","OK"))</f>
        <v/>
      </c>
      <c r="K433" s="165" t="str">
        <f>IF($A433="","",IF(N('Daily Data'!$M433)&lt;0,"ERROR","OK"))</f>
        <v/>
      </c>
      <c r="L433" s="165" t="str">
        <f>IF($A433="","",IF(OR(N('Daily Data'!$F433)=0,N('Daily Data'!$G433)=0),"OK",IF(OR(N('Daily Data'!$E433)&gt;N('Daily Data'!$F433),N('Daily Data'!$E433)&lt;N('Daily Data'!$G433)),"ERROR","OK")))</f>
        <v/>
      </c>
      <c r="M433" s="165" t="str">
        <f>IF($A433="","",IF(N('Daily Data'!$AK433)&lt;=1,"OK",IF(ROUND(N('Daily Data'!$D433),2)=ROUND(SUMIFS('Daily Data'!$E$4:$E$503,'Daily Data'!$B$4:$B$503,'Daily Data'!$B433,'Daily Data'!$AK$4:$AK$503,'Daily Data'!$AK433-1),2),"OK","WARNING")))</f>
        <v/>
      </c>
      <c r="N433" s="165" t="str">
        <f>IF($A433="","",IF(N('Daily Data'!$N433)&lt;=0,"WARNING","OK"))</f>
        <v/>
      </c>
      <c r="O433" s="165" t="str">
        <f>IF($A433="","",IF(AND(ISNUMBER('Daily Data'!$H433),ABS(N('Daily Data'!$H433))&gt;Settings!$C$56),"WARNING","OK"))</f>
        <v/>
      </c>
      <c r="P433" s="165" t="str">
        <f>IF($A433="","",IF(OR(AND(N('Daily Data'!$K433)=0,N('Daily Data'!$I433)&gt;0),AND(N('Daily Data'!$I433)=0,N('Daily Data'!$K433)&gt;0),AND(N('Daily Data'!$L433)=0,N('Daily Data'!$M433)=0)),"WARNING","OK"))</f>
        <v/>
      </c>
      <c r="Q433" s="165" t="str">
        <f>IF($A433="","",IF(COUNTIFS('Daily Data'!$B$4:$B$503,'Daily Data'!$B433,'Daily Data'!$A$4:$A$503,'Daily Data'!$A433,'Daily Data'!$Q$4:$Q$503,'Daily Data'!$Q433)&gt;1,"WARNING","OK"))</f>
        <v/>
      </c>
      <c r="R433" s="165" t="str">
        <f>IF($A433="","",IF(AND(N('Daily Data'!$K433)&gt;0,N('Daily Data'!$J433)&lt;=0),"WARNING","OK"))</f>
        <v/>
      </c>
      <c r="S433" s="165" t="str">
        <f>IF($A433="","",COUNTIF($D433:$R433,"ERROR"))</f>
        <v/>
      </c>
      <c r="T433" s="165" t="str">
        <f>IF($A433="","",COUNTIF($D433:$R433,"WARNING"))</f>
        <v/>
      </c>
      <c r="U433" s="165" t="str">
        <f>IF($A433="","",IF($S433&gt;0,"ERROR",IF($T433&gt;0,"WARNING","PASS")))</f>
        <v/>
      </c>
    </row>
    <row r="434" spans="1:21" x14ac:dyDescent="0.3">
      <c r="A434" t="str">
        <f>IF(AND('Daily Data'!$A434="",'Daily Data'!$B434=""),"",434)</f>
        <v/>
      </c>
      <c r="B434" s="16" t="str">
        <f>IF($A434="","",'Daily Data'!$A434)</f>
        <v/>
      </c>
      <c r="C434" t="str">
        <f>IF($A434="","",'Daily Data'!$B434)</f>
        <v/>
      </c>
      <c r="D434" s="165" t="str">
        <f>IF($A434="","",IF(COUNTIFS('Daily Data'!$B$4:$B$503,'Daily Data'!$B434,'Daily Data'!$A$4:$A$503,'Daily Data'!$A434)&gt;1,"ERROR","OK"))</f>
        <v/>
      </c>
      <c r="E434" s="165" t="str">
        <f>IF($A434="","",IF('Daily Data'!$B434="","ERROR","OK"))</f>
        <v/>
      </c>
      <c r="F434" s="165" t="str">
        <f>IF($A434="","",IF(NOT(ISNUMBER('Daily Data'!$A434)),"ERROR","OK"))</f>
        <v/>
      </c>
      <c r="G434" s="165" t="str">
        <f>IF($A434="","",IF(OR(N('Daily Data'!$E434)&lt;=0,N('Daily Data'!$C434)&lt;0,N('Daily Data'!$D434)&lt;0,N('Daily Data'!$F434)&lt;0,N('Daily Data'!$G434)&lt;0),"ERROR","OK"))</f>
        <v/>
      </c>
      <c r="H434" s="165" t="str">
        <f>IF($A434="","",IF(N('Daily Data'!$K434)&lt;0,"ERROR","OK"))</f>
        <v/>
      </c>
      <c r="I434" s="165" t="str">
        <f>IF($A434="","",IF(N('Daily Data'!$I434)&lt;0,"ERROR","OK"))</f>
        <v/>
      </c>
      <c r="J434" s="165" t="str">
        <f>IF($A434="","",IF(N('Daily Data'!$L434)&lt;0,"ERROR","OK"))</f>
        <v/>
      </c>
      <c r="K434" s="165" t="str">
        <f>IF($A434="","",IF(N('Daily Data'!$M434)&lt;0,"ERROR","OK"))</f>
        <v/>
      </c>
      <c r="L434" s="165" t="str">
        <f>IF($A434="","",IF(OR(N('Daily Data'!$F434)=0,N('Daily Data'!$G434)=0),"OK",IF(OR(N('Daily Data'!$E434)&gt;N('Daily Data'!$F434),N('Daily Data'!$E434)&lt;N('Daily Data'!$G434)),"ERROR","OK")))</f>
        <v/>
      </c>
      <c r="M434" s="165" t="str">
        <f>IF($A434="","",IF(N('Daily Data'!$AK434)&lt;=1,"OK",IF(ROUND(N('Daily Data'!$D434),2)=ROUND(SUMIFS('Daily Data'!$E$4:$E$503,'Daily Data'!$B$4:$B$503,'Daily Data'!$B434,'Daily Data'!$AK$4:$AK$503,'Daily Data'!$AK434-1),2),"OK","WARNING")))</f>
        <v/>
      </c>
      <c r="N434" s="165" t="str">
        <f>IF($A434="","",IF(N('Daily Data'!$N434)&lt;=0,"WARNING","OK"))</f>
        <v/>
      </c>
      <c r="O434" s="165" t="str">
        <f>IF($A434="","",IF(AND(ISNUMBER('Daily Data'!$H434),ABS(N('Daily Data'!$H434))&gt;Settings!$C$56),"WARNING","OK"))</f>
        <v/>
      </c>
      <c r="P434" s="165" t="str">
        <f>IF($A434="","",IF(OR(AND(N('Daily Data'!$K434)=0,N('Daily Data'!$I434)&gt;0),AND(N('Daily Data'!$I434)=0,N('Daily Data'!$K434)&gt;0),AND(N('Daily Data'!$L434)=0,N('Daily Data'!$M434)=0)),"WARNING","OK"))</f>
        <v/>
      </c>
      <c r="Q434" s="165" t="str">
        <f>IF($A434="","",IF(COUNTIFS('Daily Data'!$B$4:$B$503,'Daily Data'!$B434,'Daily Data'!$A$4:$A$503,'Daily Data'!$A434,'Daily Data'!$Q$4:$Q$503,'Daily Data'!$Q434)&gt;1,"WARNING","OK"))</f>
        <v/>
      </c>
      <c r="R434" s="165" t="str">
        <f>IF($A434="","",IF(AND(N('Daily Data'!$K434)&gt;0,N('Daily Data'!$J434)&lt;=0),"WARNING","OK"))</f>
        <v/>
      </c>
      <c r="S434" s="165" t="str">
        <f>IF($A434="","",COUNTIF($D434:$R434,"ERROR"))</f>
        <v/>
      </c>
      <c r="T434" s="165" t="str">
        <f>IF($A434="","",COUNTIF($D434:$R434,"WARNING"))</f>
        <v/>
      </c>
      <c r="U434" s="165" t="str">
        <f>IF($A434="","",IF($S434&gt;0,"ERROR",IF($T434&gt;0,"WARNING","PASS")))</f>
        <v/>
      </c>
    </row>
    <row r="435" spans="1:21" x14ac:dyDescent="0.3">
      <c r="A435" t="str">
        <f>IF(AND('Daily Data'!$A435="",'Daily Data'!$B435=""),"",435)</f>
        <v/>
      </c>
      <c r="B435" s="16" t="str">
        <f>IF($A435="","",'Daily Data'!$A435)</f>
        <v/>
      </c>
      <c r="C435" t="str">
        <f>IF($A435="","",'Daily Data'!$B435)</f>
        <v/>
      </c>
      <c r="D435" s="165" t="str">
        <f>IF($A435="","",IF(COUNTIFS('Daily Data'!$B$4:$B$503,'Daily Data'!$B435,'Daily Data'!$A$4:$A$503,'Daily Data'!$A435)&gt;1,"ERROR","OK"))</f>
        <v/>
      </c>
      <c r="E435" s="165" t="str">
        <f>IF($A435="","",IF('Daily Data'!$B435="","ERROR","OK"))</f>
        <v/>
      </c>
      <c r="F435" s="165" t="str">
        <f>IF($A435="","",IF(NOT(ISNUMBER('Daily Data'!$A435)),"ERROR","OK"))</f>
        <v/>
      </c>
      <c r="G435" s="165" t="str">
        <f>IF($A435="","",IF(OR(N('Daily Data'!$E435)&lt;=0,N('Daily Data'!$C435)&lt;0,N('Daily Data'!$D435)&lt;0,N('Daily Data'!$F435)&lt;0,N('Daily Data'!$G435)&lt;0),"ERROR","OK"))</f>
        <v/>
      </c>
      <c r="H435" s="165" t="str">
        <f>IF($A435="","",IF(N('Daily Data'!$K435)&lt;0,"ERROR","OK"))</f>
        <v/>
      </c>
      <c r="I435" s="165" t="str">
        <f>IF($A435="","",IF(N('Daily Data'!$I435)&lt;0,"ERROR","OK"))</f>
        <v/>
      </c>
      <c r="J435" s="165" t="str">
        <f>IF($A435="","",IF(N('Daily Data'!$L435)&lt;0,"ERROR","OK"))</f>
        <v/>
      </c>
      <c r="K435" s="165" t="str">
        <f>IF($A435="","",IF(N('Daily Data'!$M435)&lt;0,"ERROR","OK"))</f>
        <v/>
      </c>
      <c r="L435" s="165" t="str">
        <f>IF($A435="","",IF(OR(N('Daily Data'!$F435)=0,N('Daily Data'!$G435)=0),"OK",IF(OR(N('Daily Data'!$E435)&gt;N('Daily Data'!$F435),N('Daily Data'!$E435)&lt;N('Daily Data'!$G435)),"ERROR","OK")))</f>
        <v/>
      </c>
      <c r="M435" s="165" t="str">
        <f>IF($A435="","",IF(N('Daily Data'!$AK435)&lt;=1,"OK",IF(ROUND(N('Daily Data'!$D435),2)=ROUND(SUMIFS('Daily Data'!$E$4:$E$503,'Daily Data'!$B$4:$B$503,'Daily Data'!$B435,'Daily Data'!$AK$4:$AK$503,'Daily Data'!$AK435-1),2),"OK","WARNING")))</f>
        <v/>
      </c>
      <c r="N435" s="165" t="str">
        <f>IF($A435="","",IF(N('Daily Data'!$N435)&lt;=0,"WARNING","OK"))</f>
        <v/>
      </c>
      <c r="O435" s="165" t="str">
        <f>IF($A435="","",IF(AND(ISNUMBER('Daily Data'!$H435),ABS(N('Daily Data'!$H435))&gt;Settings!$C$56),"WARNING","OK"))</f>
        <v/>
      </c>
      <c r="P435" s="165" t="str">
        <f>IF($A435="","",IF(OR(AND(N('Daily Data'!$K435)=0,N('Daily Data'!$I435)&gt;0),AND(N('Daily Data'!$I435)=0,N('Daily Data'!$K435)&gt;0),AND(N('Daily Data'!$L435)=0,N('Daily Data'!$M435)=0)),"WARNING","OK"))</f>
        <v/>
      </c>
      <c r="Q435" s="165" t="str">
        <f>IF($A435="","",IF(COUNTIFS('Daily Data'!$B$4:$B$503,'Daily Data'!$B435,'Daily Data'!$A$4:$A$503,'Daily Data'!$A435,'Daily Data'!$Q$4:$Q$503,'Daily Data'!$Q435)&gt;1,"WARNING","OK"))</f>
        <v/>
      </c>
      <c r="R435" s="165" t="str">
        <f>IF($A435="","",IF(AND(N('Daily Data'!$K435)&gt;0,N('Daily Data'!$J435)&lt;=0),"WARNING","OK"))</f>
        <v/>
      </c>
      <c r="S435" s="165" t="str">
        <f>IF($A435="","",COUNTIF($D435:$R435,"ERROR"))</f>
        <v/>
      </c>
      <c r="T435" s="165" t="str">
        <f>IF($A435="","",COUNTIF($D435:$R435,"WARNING"))</f>
        <v/>
      </c>
      <c r="U435" s="165" t="str">
        <f>IF($A435="","",IF($S435&gt;0,"ERROR",IF($T435&gt;0,"WARNING","PASS")))</f>
        <v/>
      </c>
    </row>
    <row r="436" spans="1:21" x14ac:dyDescent="0.3">
      <c r="A436" t="str">
        <f>IF(AND('Daily Data'!$A436="",'Daily Data'!$B436=""),"",436)</f>
        <v/>
      </c>
      <c r="B436" s="16" t="str">
        <f>IF($A436="","",'Daily Data'!$A436)</f>
        <v/>
      </c>
      <c r="C436" t="str">
        <f>IF($A436="","",'Daily Data'!$B436)</f>
        <v/>
      </c>
      <c r="D436" s="165" t="str">
        <f>IF($A436="","",IF(COUNTIFS('Daily Data'!$B$4:$B$503,'Daily Data'!$B436,'Daily Data'!$A$4:$A$503,'Daily Data'!$A436)&gt;1,"ERROR","OK"))</f>
        <v/>
      </c>
      <c r="E436" s="165" t="str">
        <f>IF($A436="","",IF('Daily Data'!$B436="","ERROR","OK"))</f>
        <v/>
      </c>
      <c r="F436" s="165" t="str">
        <f>IF($A436="","",IF(NOT(ISNUMBER('Daily Data'!$A436)),"ERROR","OK"))</f>
        <v/>
      </c>
      <c r="G436" s="165" t="str">
        <f>IF($A436="","",IF(OR(N('Daily Data'!$E436)&lt;=0,N('Daily Data'!$C436)&lt;0,N('Daily Data'!$D436)&lt;0,N('Daily Data'!$F436)&lt;0,N('Daily Data'!$G436)&lt;0),"ERROR","OK"))</f>
        <v/>
      </c>
      <c r="H436" s="165" t="str">
        <f>IF($A436="","",IF(N('Daily Data'!$K436)&lt;0,"ERROR","OK"))</f>
        <v/>
      </c>
      <c r="I436" s="165" t="str">
        <f>IF($A436="","",IF(N('Daily Data'!$I436)&lt;0,"ERROR","OK"))</f>
        <v/>
      </c>
      <c r="J436" s="165" t="str">
        <f>IF($A436="","",IF(N('Daily Data'!$L436)&lt;0,"ERROR","OK"))</f>
        <v/>
      </c>
      <c r="K436" s="165" t="str">
        <f>IF($A436="","",IF(N('Daily Data'!$M436)&lt;0,"ERROR","OK"))</f>
        <v/>
      </c>
      <c r="L436" s="165" t="str">
        <f>IF($A436="","",IF(OR(N('Daily Data'!$F436)=0,N('Daily Data'!$G436)=0),"OK",IF(OR(N('Daily Data'!$E436)&gt;N('Daily Data'!$F436),N('Daily Data'!$E436)&lt;N('Daily Data'!$G436)),"ERROR","OK")))</f>
        <v/>
      </c>
      <c r="M436" s="165" t="str">
        <f>IF($A436="","",IF(N('Daily Data'!$AK436)&lt;=1,"OK",IF(ROUND(N('Daily Data'!$D436),2)=ROUND(SUMIFS('Daily Data'!$E$4:$E$503,'Daily Data'!$B$4:$B$503,'Daily Data'!$B436,'Daily Data'!$AK$4:$AK$503,'Daily Data'!$AK436-1),2),"OK","WARNING")))</f>
        <v/>
      </c>
      <c r="N436" s="165" t="str">
        <f>IF($A436="","",IF(N('Daily Data'!$N436)&lt;=0,"WARNING","OK"))</f>
        <v/>
      </c>
      <c r="O436" s="165" t="str">
        <f>IF($A436="","",IF(AND(ISNUMBER('Daily Data'!$H436),ABS(N('Daily Data'!$H436))&gt;Settings!$C$56),"WARNING","OK"))</f>
        <v/>
      </c>
      <c r="P436" s="165" t="str">
        <f>IF($A436="","",IF(OR(AND(N('Daily Data'!$K436)=0,N('Daily Data'!$I436)&gt;0),AND(N('Daily Data'!$I436)=0,N('Daily Data'!$K436)&gt;0),AND(N('Daily Data'!$L436)=0,N('Daily Data'!$M436)=0)),"WARNING","OK"))</f>
        <v/>
      </c>
      <c r="Q436" s="165" t="str">
        <f>IF($A436="","",IF(COUNTIFS('Daily Data'!$B$4:$B$503,'Daily Data'!$B436,'Daily Data'!$A$4:$A$503,'Daily Data'!$A436,'Daily Data'!$Q$4:$Q$503,'Daily Data'!$Q436)&gt;1,"WARNING","OK"))</f>
        <v/>
      </c>
      <c r="R436" s="165" t="str">
        <f>IF($A436="","",IF(AND(N('Daily Data'!$K436)&gt;0,N('Daily Data'!$J436)&lt;=0),"WARNING","OK"))</f>
        <v/>
      </c>
      <c r="S436" s="165" t="str">
        <f>IF($A436="","",COUNTIF($D436:$R436,"ERROR"))</f>
        <v/>
      </c>
      <c r="T436" s="165" t="str">
        <f>IF($A436="","",COUNTIF($D436:$R436,"WARNING"))</f>
        <v/>
      </c>
      <c r="U436" s="165" t="str">
        <f>IF($A436="","",IF($S436&gt;0,"ERROR",IF($T436&gt;0,"WARNING","PASS")))</f>
        <v/>
      </c>
    </row>
    <row r="437" spans="1:21" x14ac:dyDescent="0.3">
      <c r="A437" t="str">
        <f>IF(AND('Daily Data'!$A437="",'Daily Data'!$B437=""),"",437)</f>
        <v/>
      </c>
      <c r="B437" s="16" t="str">
        <f>IF($A437="","",'Daily Data'!$A437)</f>
        <v/>
      </c>
      <c r="C437" t="str">
        <f>IF($A437="","",'Daily Data'!$B437)</f>
        <v/>
      </c>
      <c r="D437" s="165" t="str">
        <f>IF($A437="","",IF(COUNTIFS('Daily Data'!$B$4:$B$503,'Daily Data'!$B437,'Daily Data'!$A$4:$A$503,'Daily Data'!$A437)&gt;1,"ERROR","OK"))</f>
        <v/>
      </c>
      <c r="E437" s="165" t="str">
        <f>IF($A437="","",IF('Daily Data'!$B437="","ERROR","OK"))</f>
        <v/>
      </c>
      <c r="F437" s="165" t="str">
        <f>IF($A437="","",IF(NOT(ISNUMBER('Daily Data'!$A437)),"ERROR","OK"))</f>
        <v/>
      </c>
      <c r="G437" s="165" t="str">
        <f>IF($A437="","",IF(OR(N('Daily Data'!$E437)&lt;=0,N('Daily Data'!$C437)&lt;0,N('Daily Data'!$D437)&lt;0,N('Daily Data'!$F437)&lt;0,N('Daily Data'!$G437)&lt;0),"ERROR","OK"))</f>
        <v/>
      </c>
      <c r="H437" s="165" t="str">
        <f>IF($A437="","",IF(N('Daily Data'!$K437)&lt;0,"ERROR","OK"))</f>
        <v/>
      </c>
      <c r="I437" s="165" t="str">
        <f>IF($A437="","",IF(N('Daily Data'!$I437)&lt;0,"ERROR","OK"))</f>
        <v/>
      </c>
      <c r="J437" s="165" t="str">
        <f>IF($A437="","",IF(N('Daily Data'!$L437)&lt;0,"ERROR","OK"))</f>
        <v/>
      </c>
      <c r="K437" s="165" t="str">
        <f>IF($A437="","",IF(N('Daily Data'!$M437)&lt;0,"ERROR","OK"))</f>
        <v/>
      </c>
      <c r="L437" s="165" t="str">
        <f>IF($A437="","",IF(OR(N('Daily Data'!$F437)=0,N('Daily Data'!$G437)=0),"OK",IF(OR(N('Daily Data'!$E437)&gt;N('Daily Data'!$F437),N('Daily Data'!$E437)&lt;N('Daily Data'!$G437)),"ERROR","OK")))</f>
        <v/>
      </c>
      <c r="M437" s="165" t="str">
        <f>IF($A437="","",IF(N('Daily Data'!$AK437)&lt;=1,"OK",IF(ROUND(N('Daily Data'!$D437),2)=ROUND(SUMIFS('Daily Data'!$E$4:$E$503,'Daily Data'!$B$4:$B$503,'Daily Data'!$B437,'Daily Data'!$AK$4:$AK$503,'Daily Data'!$AK437-1),2),"OK","WARNING")))</f>
        <v/>
      </c>
      <c r="N437" s="165" t="str">
        <f>IF($A437="","",IF(N('Daily Data'!$N437)&lt;=0,"WARNING","OK"))</f>
        <v/>
      </c>
      <c r="O437" s="165" t="str">
        <f>IF($A437="","",IF(AND(ISNUMBER('Daily Data'!$H437),ABS(N('Daily Data'!$H437))&gt;Settings!$C$56),"WARNING","OK"))</f>
        <v/>
      </c>
      <c r="P437" s="165" t="str">
        <f>IF($A437="","",IF(OR(AND(N('Daily Data'!$K437)=0,N('Daily Data'!$I437)&gt;0),AND(N('Daily Data'!$I437)=0,N('Daily Data'!$K437)&gt;0),AND(N('Daily Data'!$L437)=0,N('Daily Data'!$M437)=0)),"WARNING","OK"))</f>
        <v/>
      </c>
      <c r="Q437" s="165" t="str">
        <f>IF($A437="","",IF(COUNTIFS('Daily Data'!$B$4:$B$503,'Daily Data'!$B437,'Daily Data'!$A$4:$A$503,'Daily Data'!$A437,'Daily Data'!$Q$4:$Q$503,'Daily Data'!$Q437)&gt;1,"WARNING","OK"))</f>
        <v/>
      </c>
      <c r="R437" s="165" t="str">
        <f>IF($A437="","",IF(AND(N('Daily Data'!$K437)&gt;0,N('Daily Data'!$J437)&lt;=0),"WARNING","OK"))</f>
        <v/>
      </c>
      <c r="S437" s="165" t="str">
        <f>IF($A437="","",COUNTIF($D437:$R437,"ERROR"))</f>
        <v/>
      </c>
      <c r="T437" s="165" t="str">
        <f>IF($A437="","",COUNTIF($D437:$R437,"WARNING"))</f>
        <v/>
      </c>
      <c r="U437" s="165" t="str">
        <f>IF($A437="","",IF($S437&gt;0,"ERROR",IF($T437&gt;0,"WARNING","PASS")))</f>
        <v/>
      </c>
    </row>
    <row r="438" spans="1:21" x14ac:dyDescent="0.3">
      <c r="A438" t="str">
        <f>IF(AND('Daily Data'!$A438="",'Daily Data'!$B438=""),"",438)</f>
        <v/>
      </c>
      <c r="B438" s="16" t="str">
        <f>IF($A438="","",'Daily Data'!$A438)</f>
        <v/>
      </c>
      <c r="C438" t="str">
        <f>IF($A438="","",'Daily Data'!$B438)</f>
        <v/>
      </c>
      <c r="D438" s="165" t="str">
        <f>IF($A438="","",IF(COUNTIFS('Daily Data'!$B$4:$B$503,'Daily Data'!$B438,'Daily Data'!$A$4:$A$503,'Daily Data'!$A438)&gt;1,"ERROR","OK"))</f>
        <v/>
      </c>
      <c r="E438" s="165" t="str">
        <f>IF($A438="","",IF('Daily Data'!$B438="","ERROR","OK"))</f>
        <v/>
      </c>
      <c r="F438" s="165" t="str">
        <f>IF($A438="","",IF(NOT(ISNUMBER('Daily Data'!$A438)),"ERROR","OK"))</f>
        <v/>
      </c>
      <c r="G438" s="165" t="str">
        <f>IF($A438="","",IF(OR(N('Daily Data'!$E438)&lt;=0,N('Daily Data'!$C438)&lt;0,N('Daily Data'!$D438)&lt;0,N('Daily Data'!$F438)&lt;0,N('Daily Data'!$G438)&lt;0),"ERROR","OK"))</f>
        <v/>
      </c>
      <c r="H438" s="165" t="str">
        <f>IF($A438="","",IF(N('Daily Data'!$K438)&lt;0,"ERROR","OK"))</f>
        <v/>
      </c>
      <c r="I438" s="165" t="str">
        <f>IF($A438="","",IF(N('Daily Data'!$I438)&lt;0,"ERROR","OK"))</f>
        <v/>
      </c>
      <c r="J438" s="165" t="str">
        <f>IF($A438="","",IF(N('Daily Data'!$L438)&lt;0,"ERROR","OK"))</f>
        <v/>
      </c>
      <c r="K438" s="165" t="str">
        <f>IF($A438="","",IF(N('Daily Data'!$M438)&lt;0,"ERROR","OK"))</f>
        <v/>
      </c>
      <c r="L438" s="165" t="str">
        <f>IF($A438="","",IF(OR(N('Daily Data'!$F438)=0,N('Daily Data'!$G438)=0),"OK",IF(OR(N('Daily Data'!$E438)&gt;N('Daily Data'!$F438),N('Daily Data'!$E438)&lt;N('Daily Data'!$G438)),"ERROR","OK")))</f>
        <v/>
      </c>
      <c r="M438" s="165" t="str">
        <f>IF($A438="","",IF(N('Daily Data'!$AK438)&lt;=1,"OK",IF(ROUND(N('Daily Data'!$D438),2)=ROUND(SUMIFS('Daily Data'!$E$4:$E$503,'Daily Data'!$B$4:$B$503,'Daily Data'!$B438,'Daily Data'!$AK$4:$AK$503,'Daily Data'!$AK438-1),2),"OK","WARNING")))</f>
        <v/>
      </c>
      <c r="N438" s="165" t="str">
        <f>IF($A438="","",IF(N('Daily Data'!$N438)&lt;=0,"WARNING","OK"))</f>
        <v/>
      </c>
      <c r="O438" s="165" t="str">
        <f>IF($A438="","",IF(AND(ISNUMBER('Daily Data'!$H438),ABS(N('Daily Data'!$H438))&gt;Settings!$C$56),"WARNING","OK"))</f>
        <v/>
      </c>
      <c r="P438" s="165" t="str">
        <f>IF($A438="","",IF(OR(AND(N('Daily Data'!$K438)=0,N('Daily Data'!$I438)&gt;0),AND(N('Daily Data'!$I438)=0,N('Daily Data'!$K438)&gt;0),AND(N('Daily Data'!$L438)=0,N('Daily Data'!$M438)=0)),"WARNING","OK"))</f>
        <v/>
      </c>
      <c r="Q438" s="165" t="str">
        <f>IF($A438="","",IF(COUNTIFS('Daily Data'!$B$4:$B$503,'Daily Data'!$B438,'Daily Data'!$A$4:$A$503,'Daily Data'!$A438,'Daily Data'!$Q$4:$Q$503,'Daily Data'!$Q438)&gt;1,"WARNING","OK"))</f>
        <v/>
      </c>
      <c r="R438" s="165" t="str">
        <f>IF($A438="","",IF(AND(N('Daily Data'!$K438)&gt;0,N('Daily Data'!$J438)&lt;=0),"WARNING","OK"))</f>
        <v/>
      </c>
      <c r="S438" s="165" t="str">
        <f>IF($A438="","",COUNTIF($D438:$R438,"ERROR"))</f>
        <v/>
      </c>
      <c r="T438" s="165" t="str">
        <f>IF($A438="","",COUNTIF($D438:$R438,"WARNING"))</f>
        <v/>
      </c>
      <c r="U438" s="165" t="str">
        <f>IF($A438="","",IF($S438&gt;0,"ERROR",IF($T438&gt;0,"WARNING","PASS")))</f>
        <v/>
      </c>
    </row>
    <row r="439" spans="1:21" x14ac:dyDescent="0.3">
      <c r="A439" t="str">
        <f>IF(AND('Daily Data'!$A439="",'Daily Data'!$B439=""),"",439)</f>
        <v/>
      </c>
      <c r="B439" s="16" t="str">
        <f>IF($A439="","",'Daily Data'!$A439)</f>
        <v/>
      </c>
      <c r="C439" t="str">
        <f>IF($A439="","",'Daily Data'!$B439)</f>
        <v/>
      </c>
      <c r="D439" s="165" t="str">
        <f>IF($A439="","",IF(COUNTIFS('Daily Data'!$B$4:$B$503,'Daily Data'!$B439,'Daily Data'!$A$4:$A$503,'Daily Data'!$A439)&gt;1,"ERROR","OK"))</f>
        <v/>
      </c>
      <c r="E439" s="165" t="str">
        <f>IF($A439="","",IF('Daily Data'!$B439="","ERROR","OK"))</f>
        <v/>
      </c>
      <c r="F439" s="165" t="str">
        <f>IF($A439="","",IF(NOT(ISNUMBER('Daily Data'!$A439)),"ERROR","OK"))</f>
        <v/>
      </c>
      <c r="G439" s="165" t="str">
        <f>IF($A439="","",IF(OR(N('Daily Data'!$E439)&lt;=0,N('Daily Data'!$C439)&lt;0,N('Daily Data'!$D439)&lt;0,N('Daily Data'!$F439)&lt;0,N('Daily Data'!$G439)&lt;0),"ERROR","OK"))</f>
        <v/>
      </c>
      <c r="H439" s="165" t="str">
        <f>IF($A439="","",IF(N('Daily Data'!$K439)&lt;0,"ERROR","OK"))</f>
        <v/>
      </c>
      <c r="I439" s="165" t="str">
        <f>IF($A439="","",IF(N('Daily Data'!$I439)&lt;0,"ERROR","OK"))</f>
        <v/>
      </c>
      <c r="J439" s="165" t="str">
        <f>IF($A439="","",IF(N('Daily Data'!$L439)&lt;0,"ERROR","OK"))</f>
        <v/>
      </c>
      <c r="K439" s="165" t="str">
        <f>IF($A439="","",IF(N('Daily Data'!$M439)&lt;0,"ERROR","OK"))</f>
        <v/>
      </c>
      <c r="L439" s="165" t="str">
        <f>IF($A439="","",IF(OR(N('Daily Data'!$F439)=0,N('Daily Data'!$G439)=0),"OK",IF(OR(N('Daily Data'!$E439)&gt;N('Daily Data'!$F439),N('Daily Data'!$E439)&lt;N('Daily Data'!$G439)),"ERROR","OK")))</f>
        <v/>
      </c>
      <c r="M439" s="165" t="str">
        <f>IF($A439="","",IF(N('Daily Data'!$AK439)&lt;=1,"OK",IF(ROUND(N('Daily Data'!$D439),2)=ROUND(SUMIFS('Daily Data'!$E$4:$E$503,'Daily Data'!$B$4:$B$503,'Daily Data'!$B439,'Daily Data'!$AK$4:$AK$503,'Daily Data'!$AK439-1),2),"OK","WARNING")))</f>
        <v/>
      </c>
      <c r="N439" s="165" t="str">
        <f>IF($A439="","",IF(N('Daily Data'!$N439)&lt;=0,"WARNING","OK"))</f>
        <v/>
      </c>
      <c r="O439" s="165" t="str">
        <f>IF($A439="","",IF(AND(ISNUMBER('Daily Data'!$H439),ABS(N('Daily Data'!$H439))&gt;Settings!$C$56),"WARNING","OK"))</f>
        <v/>
      </c>
      <c r="P439" s="165" t="str">
        <f>IF($A439="","",IF(OR(AND(N('Daily Data'!$K439)=0,N('Daily Data'!$I439)&gt;0),AND(N('Daily Data'!$I439)=0,N('Daily Data'!$K439)&gt;0),AND(N('Daily Data'!$L439)=0,N('Daily Data'!$M439)=0)),"WARNING","OK"))</f>
        <v/>
      </c>
      <c r="Q439" s="165" t="str">
        <f>IF($A439="","",IF(COUNTIFS('Daily Data'!$B$4:$B$503,'Daily Data'!$B439,'Daily Data'!$A$4:$A$503,'Daily Data'!$A439,'Daily Data'!$Q$4:$Q$503,'Daily Data'!$Q439)&gt;1,"WARNING","OK"))</f>
        <v/>
      </c>
      <c r="R439" s="165" t="str">
        <f>IF($A439="","",IF(AND(N('Daily Data'!$K439)&gt;0,N('Daily Data'!$J439)&lt;=0),"WARNING","OK"))</f>
        <v/>
      </c>
      <c r="S439" s="165" t="str">
        <f>IF($A439="","",COUNTIF($D439:$R439,"ERROR"))</f>
        <v/>
      </c>
      <c r="T439" s="165" t="str">
        <f>IF($A439="","",COUNTIF($D439:$R439,"WARNING"))</f>
        <v/>
      </c>
      <c r="U439" s="165" t="str">
        <f>IF($A439="","",IF($S439&gt;0,"ERROR",IF($T439&gt;0,"WARNING","PASS")))</f>
        <v/>
      </c>
    </row>
    <row r="440" spans="1:21" x14ac:dyDescent="0.3">
      <c r="A440" t="str">
        <f>IF(AND('Daily Data'!$A440="",'Daily Data'!$B440=""),"",440)</f>
        <v/>
      </c>
      <c r="B440" s="16" t="str">
        <f>IF($A440="","",'Daily Data'!$A440)</f>
        <v/>
      </c>
      <c r="C440" t="str">
        <f>IF($A440="","",'Daily Data'!$B440)</f>
        <v/>
      </c>
      <c r="D440" s="165" t="str">
        <f>IF($A440="","",IF(COUNTIFS('Daily Data'!$B$4:$B$503,'Daily Data'!$B440,'Daily Data'!$A$4:$A$503,'Daily Data'!$A440)&gt;1,"ERROR","OK"))</f>
        <v/>
      </c>
      <c r="E440" s="165" t="str">
        <f>IF($A440="","",IF('Daily Data'!$B440="","ERROR","OK"))</f>
        <v/>
      </c>
      <c r="F440" s="165" t="str">
        <f>IF($A440="","",IF(NOT(ISNUMBER('Daily Data'!$A440)),"ERROR","OK"))</f>
        <v/>
      </c>
      <c r="G440" s="165" t="str">
        <f>IF($A440="","",IF(OR(N('Daily Data'!$E440)&lt;=0,N('Daily Data'!$C440)&lt;0,N('Daily Data'!$D440)&lt;0,N('Daily Data'!$F440)&lt;0,N('Daily Data'!$G440)&lt;0),"ERROR","OK"))</f>
        <v/>
      </c>
      <c r="H440" s="165" t="str">
        <f>IF($A440="","",IF(N('Daily Data'!$K440)&lt;0,"ERROR","OK"))</f>
        <v/>
      </c>
      <c r="I440" s="165" t="str">
        <f>IF($A440="","",IF(N('Daily Data'!$I440)&lt;0,"ERROR","OK"))</f>
        <v/>
      </c>
      <c r="J440" s="165" t="str">
        <f>IF($A440="","",IF(N('Daily Data'!$L440)&lt;0,"ERROR","OK"))</f>
        <v/>
      </c>
      <c r="K440" s="165" t="str">
        <f>IF($A440="","",IF(N('Daily Data'!$M440)&lt;0,"ERROR","OK"))</f>
        <v/>
      </c>
      <c r="L440" s="165" t="str">
        <f>IF($A440="","",IF(OR(N('Daily Data'!$F440)=0,N('Daily Data'!$G440)=0),"OK",IF(OR(N('Daily Data'!$E440)&gt;N('Daily Data'!$F440),N('Daily Data'!$E440)&lt;N('Daily Data'!$G440)),"ERROR","OK")))</f>
        <v/>
      </c>
      <c r="M440" s="165" t="str">
        <f>IF($A440="","",IF(N('Daily Data'!$AK440)&lt;=1,"OK",IF(ROUND(N('Daily Data'!$D440),2)=ROUND(SUMIFS('Daily Data'!$E$4:$E$503,'Daily Data'!$B$4:$B$503,'Daily Data'!$B440,'Daily Data'!$AK$4:$AK$503,'Daily Data'!$AK440-1),2),"OK","WARNING")))</f>
        <v/>
      </c>
      <c r="N440" s="165" t="str">
        <f>IF($A440="","",IF(N('Daily Data'!$N440)&lt;=0,"WARNING","OK"))</f>
        <v/>
      </c>
      <c r="O440" s="165" t="str">
        <f>IF($A440="","",IF(AND(ISNUMBER('Daily Data'!$H440),ABS(N('Daily Data'!$H440))&gt;Settings!$C$56),"WARNING","OK"))</f>
        <v/>
      </c>
      <c r="P440" s="165" t="str">
        <f>IF($A440="","",IF(OR(AND(N('Daily Data'!$K440)=0,N('Daily Data'!$I440)&gt;0),AND(N('Daily Data'!$I440)=0,N('Daily Data'!$K440)&gt;0),AND(N('Daily Data'!$L440)=0,N('Daily Data'!$M440)=0)),"WARNING","OK"))</f>
        <v/>
      </c>
      <c r="Q440" s="165" t="str">
        <f>IF($A440="","",IF(COUNTIFS('Daily Data'!$B$4:$B$503,'Daily Data'!$B440,'Daily Data'!$A$4:$A$503,'Daily Data'!$A440,'Daily Data'!$Q$4:$Q$503,'Daily Data'!$Q440)&gt;1,"WARNING","OK"))</f>
        <v/>
      </c>
      <c r="R440" s="165" t="str">
        <f>IF($A440="","",IF(AND(N('Daily Data'!$K440)&gt;0,N('Daily Data'!$J440)&lt;=0),"WARNING","OK"))</f>
        <v/>
      </c>
      <c r="S440" s="165" t="str">
        <f>IF($A440="","",COUNTIF($D440:$R440,"ERROR"))</f>
        <v/>
      </c>
      <c r="T440" s="165" t="str">
        <f>IF($A440="","",COUNTIF($D440:$R440,"WARNING"))</f>
        <v/>
      </c>
      <c r="U440" s="165" t="str">
        <f>IF($A440="","",IF($S440&gt;0,"ERROR",IF($T440&gt;0,"WARNING","PASS")))</f>
        <v/>
      </c>
    </row>
    <row r="441" spans="1:21" x14ac:dyDescent="0.3">
      <c r="A441" t="str">
        <f>IF(AND('Daily Data'!$A441="",'Daily Data'!$B441=""),"",441)</f>
        <v/>
      </c>
      <c r="B441" s="16" t="str">
        <f>IF($A441="","",'Daily Data'!$A441)</f>
        <v/>
      </c>
      <c r="C441" t="str">
        <f>IF($A441="","",'Daily Data'!$B441)</f>
        <v/>
      </c>
      <c r="D441" s="165" t="str">
        <f>IF($A441="","",IF(COUNTIFS('Daily Data'!$B$4:$B$503,'Daily Data'!$B441,'Daily Data'!$A$4:$A$503,'Daily Data'!$A441)&gt;1,"ERROR","OK"))</f>
        <v/>
      </c>
      <c r="E441" s="165" t="str">
        <f>IF($A441="","",IF('Daily Data'!$B441="","ERROR","OK"))</f>
        <v/>
      </c>
      <c r="F441" s="165" t="str">
        <f>IF($A441="","",IF(NOT(ISNUMBER('Daily Data'!$A441)),"ERROR","OK"))</f>
        <v/>
      </c>
      <c r="G441" s="165" t="str">
        <f>IF($A441="","",IF(OR(N('Daily Data'!$E441)&lt;=0,N('Daily Data'!$C441)&lt;0,N('Daily Data'!$D441)&lt;0,N('Daily Data'!$F441)&lt;0,N('Daily Data'!$G441)&lt;0),"ERROR","OK"))</f>
        <v/>
      </c>
      <c r="H441" s="165" t="str">
        <f>IF($A441="","",IF(N('Daily Data'!$K441)&lt;0,"ERROR","OK"))</f>
        <v/>
      </c>
      <c r="I441" s="165" t="str">
        <f>IF($A441="","",IF(N('Daily Data'!$I441)&lt;0,"ERROR","OK"))</f>
        <v/>
      </c>
      <c r="J441" s="165" t="str">
        <f>IF($A441="","",IF(N('Daily Data'!$L441)&lt;0,"ERROR","OK"))</f>
        <v/>
      </c>
      <c r="K441" s="165" t="str">
        <f>IF($A441="","",IF(N('Daily Data'!$M441)&lt;0,"ERROR","OK"))</f>
        <v/>
      </c>
      <c r="L441" s="165" t="str">
        <f>IF($A441="","",IF(OR(N('Daily Data'!$F441)=0,N('Daily Data'!$G441)=0),"OK",IF(OR(N('Daily Data'!$E441)&gt;N('Daily Data'!$F441),N('Daily Data'!$E441)&lt;N('Daily Data'!$G441)),"ERROR","OK")))</f>
        <v/>
      </c>
      <c r="M441" s="165" t="str">
        <f>IF($A441="","",IF(N('Daily Data'!$AK441)&lt;=1,"OK",IF(ROUND(N('Daily Data'!$D441),2)=ROUND(SUMIFS('Daily Data'!$E$4:$E$503,'Daily Data'!$B$4:$B$503,'Daily Data'!$B441,'Daily Data'!$AK$4:$AK$503,'Daily Data'!$AK441-1),2),"OK","WARNING")))</f>
        <v/>
      </c>
      <c r="N441" s="165" t="str">
        <f>IF($A441="","",IF(N('Daily Data'!$N441)&lt;=0,"WARNING","OK"))</f>
        <v/>
      </c>
      <c r="O441" s="165" t="str">
        <f>IF($A441="","",IF(AND(ISNUMBER('Daily Data'!$H441),ABS(N('Daily Data'!$H441))&gt;Settings!$C$56),"WARNING","OK"))</f>
        <v/>
      </c>
      <c r="P441" s="165" t="str">
        <f>IF($A441="","",IF(OR(AND(N('Daily Data'!$K441)=0,N('Daily Data'!$I441)&gt;0),AND(N('Daily Data'!$I441)=0,N('Daily Data'!$K441)&gt;0),AND(N('Daily Data'!$L441)=0,N('Daily Data'!$M441)=0)),"WARNING","OK"))</f>
        <v/>
      </c>
      <c r="Q441" s="165" t="str">
        <f>IF($A441="","",IF(COUNTIFS('Daily Data'!$B$4:$B$503,'Daily Data'!$B441,'Daily Data'!$A$4:$A$503,'Daily Data'!$A441,'Daily Data'!$Q$4:$Q$503,'Daily Data'!$Q441)&gt;1,"WARNING","OK"))</f>
        <v/>
      </c>
      <c r="R441" s="165" t="str">
        <f>IF($A441="","",IF(AND(N('Daily Data'!$K441)&gt;0,N('Daily Data'!$J441)&lt;=0),"WARNING","OK"))</f>
        <v/>
      </c>
      <c r="S441" s="165" t="str">
        <f>IF($A441="","",COUNTIF($D441:$R441,"ERROR"))</f>
        <v/>
      </c>
      <c r="T441" s="165" t="str">
        <f>IF($A441="","",COUNTIF($D441:$R441,"WARNING"))</f>
        <v/>
      </c>
      <c r="U441" s="165" t="str">
        <f>IF($A441="","",IF($S441&gt;0,"ERROR",IF($T441&gt;0,"WARNING","PASS")))</f>
        <v/>
      </c>
    </row>
    <row r="442" spans="1:21" x14ac:dyDescent="0.3">
      <c r="A442" t="str">
        <f>IF(AND('Daily Data'!$A442="",'Daily Data'!$B442=""),"",442)</f>
        <v/>
      </c>
      <c r="B442" s="16" t="str">
        <f>IF($A442="","",'Daily Data'!$A442)</f>
        <v/>
      </c>
      <c r="C442" t="str">
        <f>IF($A442="","",'Daily Data'!$B442)</f>
        <v/>
      </c>
      <c r="D442" s="165" t="str">
        <f>IF($A442="","",IF(COUNTIFS('Daily Data'!$B$4:$B$503,'Daily Data'!$B442,'Daily Data'!$A$4:$A$503,'Daily Data'!$A442)&gt;1,"ERROR","OK"))</f>
        <v/>
      </c>
      <c r="E442" s="165" t="str">
        <f>IF($A442="","",IF('Daily Data'!$B442="","ERROR","OK"))</f>
        <v/>
      </c>
      <c r="F442" s="165" t="str">
        <f>IF($A442="","",IF(NOT(ISNUMBER('Daily Data'!$A442)),"ERROR","OK"))</f>
        <v/>
      </c>
      <c r="G442" s="165" t="str">
        <f>IF($A442="","",IF(OR(N('Daily Data'!$E442)&lt;=0,N('Daily Data'!$C442)&lt;0,N('Daily Data'!$D442)&lt;0,N('Daily Data'!$F442)&lt;0,N('Daily Data'!$G442)&lt;0),"ERROR","OK"))</f>
        <v/>
      </c>
      <c r="H442" s="165" t="str">
        <f>IF($A442="","",IF(N('Daily Data'!$K442)&lt;0,"ERROR","OK"))</f>
        <v/>
      </c>
      <c r="I442" s="165" t="str">
        <f>IF($A442="","",IF(N('Daily Data'!$I442)&lt;0,"ERROR","OK"))</f>
        <v/>
      </c>
      <c r="J442" s="165" t="str">
        <f>IF($A442="","",IF(N('Daily Data'!$L442)&lt;0,"ERROR","OK"))</f>
        <v/>
      </c>
      <c r="K442" s="165" t="str">
        <f>IF($A442="","",IF(N('Daily Data'!$M442)&lt;0,"ERROR","OK"))</f>
        <v/>
      </c>
      <c r="L442" s="165" t="str">
        <f>IF($A442="","",IF(OR(N('Daily Data'!$F442)=0,N('Daily Data'!$G442)=0),"OK",IF(OR(N('Daily Data'!$E442)&gt;N('Daily Data'!$F442),N('Daily Data'!$E442)&lt;N('Daily Data'!$G442)),"ERROR","OK")))</f>
        <v/>
      </c>
      <c r="M442" s="165" t="str">
        <f>IF($A442="","",IF(N('Daily Data'!$AK442)&lt;=1,"OK",IF(ROUND(N('Daily Data'!$D442),2)=ROUND(SUMIFS('Daily Data'!$E$4:$E$503,'Daily Data'!$B$4:$B$503,'Daily Data'!$B442,'Daily Data'!$AK$4:$AK$503,'Daily Data'!$AK442-1),2),"OK","WARNING")))</f>
        <v/>
      </c>
      <c r="N442" s="165" t="str">
        <f>IF($A442="","",IF(N('Daily Data'!$N442)&lt;=0,"WARNING","OK"))</f>
        <v/>
      </c>
      <c r="O442" s="165" t="str">
        <f>IF($A442="","",IF(AND(ISNUMBER('Daily Data'!$H442),ABS(N('Daily Data'!$H442))&gt;Settings!$C$56),"WARNING","OK"))</f>
        <v/>
      </c>
      <c r="P442" s="165" t="str">
        <f>IF($A442="","",IF(OR(AND(N('Daily Data'!$K442)=0,N('Daily Data'!$I442)&gt;0),AND(N('Daily Data'!$I442)=0,N('Daily Data'!$K442)&gt;0),AND(N('Daily Data'!$L442)=0,N('Daily Data'!$M442)=0)),"WARNING","OK"))</f>
        <v/>
      </c>
      <c r="Q442" s="165" t="str">
        <f>IF($A442="","",IF(COUNTIFS('Daily Data'!$B$4:$B$503,'Daily Data'!$B442,'Daily Data'!$A$4:$A$503,'Daily Data'!$A442,'Daily Data'!$Q$4:$Q$503,'Daily Data'!$Q442)&gt;1,"WARNING","OK"))</f>
        <v/>
      </c>
      <c r="R442" s="165" t="str">
        <f>IF($A442="","",IF(AND(N('Daily Data'!$K442)&gt;0,N('Daily Data'!$J442)&lt;=0),"WARNING","OK"))</f>
        <v/>
      </c>
      <c r="S442" s="165" t="str">
        <f>IF($A442="","",COUNTIF($D442:$R442,"ERROR"))</f>
        <v/>
      </c>
      <c r="T442" s="165" t="str">
        <f>IF($A442="","",COUNTIF($D442:$R442,"WARNING"))</f>
        <v/>
      </c>
      <c r="U442" s="165" t="str">
        <f>IF($A442="","",IF($S442&gt;0,"ERROR",IF($T442&gt;0,"WARNING","PASS")))</f>
        <v/>
      </c>
    </row>
    <row r="443" spans="1:21" x14ac:dyDescent="0.3">
      <c r="A443" t="str">
        <f>IF(AND('Daily Data'!$A443="",'Daily Data'!$B443=""),"",443)</f>
        <v/>
      </c>
      <c r="B443" s="16" t="str">
        <f>IF($A443="","",'Daily Data'!$A443)</f>
        <v/>
      </c>
      <c r="C443" t="str">
        <f>IF($A443="","",'Daily Data'!$B443)</f>
        <v/>
      </c>
      <c r="D443" s="165" t="str">
        <f>IF($A443="","",IF(COUNTIFS('Daily Data'!$B$4:$B$503,'Daily Data'!$B443,'Daily Data'!$A$4:$A$503,'Daily Data'!$A443)&gt;1,"ERROR","OK"))</f>
        <v/>
      </c>
      <c r="E443" s="165" t="str">
        <f>IF($A443="","",IF('Daily Data'!$B443="","ERROR","OK"))</f>
        <v/>
      </c>
      <c r="F443" s="165" t="str">
        <f>IF($A443="","",IF(NOT(ISNUMBER('Daily Data'!$A443)),"ERROR","OK"))</f>
        <v/>
      </c>
      <c r="G443" s="165" t="str">
        <f>IF($A443="","",IF(OR(N('Daily Data'!$E443)&lt;=0,N('Daily Data'!$C443)&lt;0,N('Daily Data'!$D443)&lt;0,N('Daily Data'!$F443)&lt;0,N('Daily Data'!$G443)&lt;0),"ERROR","OK"))</f>
        <v/>
      </c>
      <c r="H443" s="165" t="str">
        <f>IF($A443="","",IF(N('Daily Data'!$K443)&lt;0,"ERROR","OK"))</f>
        <v/>
      </c>
      <c r="I443" s="165" t="str">
        <f>IF($A443="","",IF(N('Daily Data'!$I443)&lt;0,"ERROR","OK"))</f>
        <v/>
      </c>
      <c r="J443" s="165" t="str">
        <f>IF($A443="","",IF(N('Daily Data'!$L443)&lt;0,"ERROR","OK"))</f>
        <v/>
      </c>
      <c r="K443" s="165" t="str">
        <f>IF($A443="","",IF(N('Daily Data'!$M443)&lt;0,"ERROR","OK"))</f>
        <v/>
      </c>
      <c r="L443" s="165" t="str">
        <f>IF($A443="","",IF(OR(N('Daily Data'!$F443)=0,N('Daily Data'!$G443)=0),"OK",IF(OR(N('Daily Data'!$E443)&gt;N('Daily Data'!$F443),N('Daily Data'!$E443)&lt;N('Daily Data'!$G443)),"ERROR","OK")))</f>
        <v/>
      </c>
      <c r="M443" s="165" t="str">
        <f>IF($A443="","",IF(N('Daily Data'!$AK443)&lt;=1,"OK",IF(ROUND(N('Daily Data'!$D443),2)=ROUND(SUMIFS('Daily Data'!$E$4:$E$503,'Daily Data'!$B$4:$B$503,'Daily Data'!$B443,'Daily Data'!$AK$4:$AK$503,'Daily Data'!$AK443-1),2),"OK","WARNING")))</f>
        <v/>
      </c>
      <c r="N443" s="165" t="str">
        <f>IF($A443="","",IF(N('Daily Data'!$N443)&lt;=0,"WARNING","OK"))</f>
        <v/>
      </c>
      <c r="O443" s="165" t="str">
        <f>IF($A443="","",IF(AND(ISNUMBER('Daily Data'!$H443),ABS(N('Daily Data'!$H443))&gt;Settings!$C$56),"WARNING","OK"))</f>
        <v/>
      </c>
      <c r="P443" s="165" t="str">
        <f>IF($A443="","",IF(OR(AND(N('Daily Data'!$K443)=0,N('Daily Data'!$I443)&gt;0),AND(N('Daily Data'!$I443)=0,N('Daily Data'!$K443)&gt;0),AND(N('Daily Data'!$L443)=0,N('Daily Data'!$M443)=0)),"WARNING","OK"))</f>
        <v/>
      </c>
      <c r="Q443" s="165" t="str">
        <f>IF($A443="","",IF(COUNTIFS('Daily Data'!$B$4:$B$503,'Daily Data'!$B443,'Daily Data'!$A$4:$A$503,'Daily Data'!$A443,'Daily Data'!$Q$4:$Q$503,'Daily Data'!$Q443)&gt;1,"WARNING","OK"))</f>
        <v/>
      </c>
      <c r="R443" s="165" t="str">
        <f>IF($A443="","",IF(AND(N('Daily Data'!$K443)&gt;0,N('Daily Data'!$J443)&lt;=0),"WARNING","OK"))</f>
        <v/>
      </c>
      <c r="S443" s="165" t="str">
        <f>IF($A443="","",COUNTIF($D443:$R443,"ERROR"))</f>
        <v/>
      </c>
      <c r="T443" s="165" t="str">
        <f>IF($A443="","",COUNTIF($D443:$R443,"WARNING"))</f>
        <v/>
      </c>
      <c r="U443" s="165" t="str">
        <f>IF($A443="","",IF($S443&gt;0,"ERROR",IF($T443&gt;0,"WARNING","PASS")))</f>
        <v/>
      </c>
    </row>
    <row r="444" spans="1:21" x14ac:dyDescent="0.3">
      <c r="A444" t="str">
        <f>IF(AND('Daily Data'!$A444="",'Daily Data'!$B444=""),"",444)</f>
        <v/>
      </c>
      <c r="B444" s="16" t="str">
        <f>IF($A444="","",'Daily Data'!$A444)</f>
        <v/>
      </c>
      <c r="C444" t="str">
        <f>IF($A444="","",'Daily Data'!$B444)</f>
        <v/>
      </c>
      <c r="D444" s="165" t="str">
        <f>IF($A444="","",IF(COUNTIFS('Daily Data'!$B$4:$B$503,'Daily Data'!$B444,'Daily Data'!$A$4:$A$503,'Daily Data'!$A444)&gt;1,"ERROR","OK"))</f>
        <v/>
      </c>
      <c r="E444" s="165" t="str">
        <f>IF($A444="","",IF('Daily Data'!$B444="","ERROR","OK"))</f>
        <v/>
      </c>
      <c r="F444" s="165" t="str">
        <f>IF($A444="","",IF(NOT(ISNUMBER('Daily Data'!$A444)),"ERROR","OK"))</f>
        <v/>
      </c>
      <c r="G444" s="165" t="str">
        <f>IF($A444="","",IF(OR(N('Daily Data'!$E444)&lt;=0,N('Daily Data'!$C444)&lt;0,N('Daily Data'!$D444)&lt;0,N('Daily Data'!$F444)&lt;0,N('Daily Data'!$G444)&lt;0),"ERROR","OK"))</f>
        <v/>
      </c>
      <c r="H444" s="165" t="str">
        <f>IF($A444="","",IF(N('Daily Data'!$K444)&lt;0,"ERROR","OK"))</f>
        <v/>
      </c>
      <c r="I444" s="165" t="str">
        <f>IF($A444="","",IF(N('Daily Data'!$I444)&lt;0,"ERROR","OK"))</f>
        <v/>
      </c>
      <c r="J444" s="165" t="str">
        <f>IF($A444="","",IF(N('Daily Data'!$L444)&lt;0,"ERROR","OK"))</f>
        <v/>
      </c>
      <c r="K444" s="165" t="str">
        <f>IF($A444="","",IF(N('Daily Data'!$M444)&lt;0,"ERROR","OK"))</f>
        <v/>
      </c>
      <c r="L444" s="165" t="str">
        <f>IF($A444="","",IF(OR(N('Daily Data'!$F444)=0,N('Daily Data'!$G444)=0),"OK",IF(OR(N('Daily Data'!$E444)&gt;N('Daily Data'!$F444),N('Daily Data'!$E444)&lt;N('Daily Data'!$G444)),"ERROR","OK")))</f>
        <v/>
      </c>
      <c r="M444" s="165" t="str">
        <f>IF($A444="","",IF(N('Daily Data'!$AK444)&lt;=1,"OK",IF(ROUND(N('Daily Data'!$D444),2)=ROUND(SUMIFS('Daily Data'!$E$4:$E$503,'Daily Data'!$B$4:$B$503,'Daily Data'!$B444,'Daily Data'!$AK$4:$AK$503,'Daily Data'!$AK444-1),2),"OK","WARNING")))</f>
        <v/>
      </c>
      <c r="N444" s="165" t="str">
        <f>IF($A444="","",IF(N('Daily Data'!$N444)&lt;=0,"WARNING","OK"))</f>
        <v/>
      </c>
      <c r="O444" s="165" t="str">
        <f>IF($A444="","",IF(AND(ISNUMBER('Daily Data'!$H444),ABS(N('Daily Data'!$H444))&gt;Settings!$C$56),"WARNING","OK"))</f>
        <v/>
      </c>
      <c r="P444" s="165" t="str">
        <f>IF($A444="","",IF(OR(AND(N('Daily Data'!$K444)=0,N('Daily Data'!$I444)&gt;0),AND(N('Daily Data'!$I444)=0,N('Daily Data'!$K444)&gt;0),AND(N('Daily Data'!$L444)=0,N('Daily Data'!$M444)=0)),"WARNING","OK"))</f>
        <v/>
      </c>
      <c r="Q444" s="165" t="str">
        <f>IF($A444="","",IF(COUNTIFS('Daily Data'!$B$4:$B$503,'Daily Data'!$B444,'Daily Data'!$A$4:$A$503,'Daily Data'!$A444,'Daily Data'!$Q$4:$Q$503,'Daily Data'!$Q444)&gt;1,"WARNING","OK"))</f>
        <v/>
      </c>
      <c r="R444" s="165" t="str">
        <f>IF($A444="","",IF(AND(N('Daily Data'!$K444)&gt;0,N('Daily Data'!$J444)&lt;=0),"WARNING","OK"))</f>
        <v/>
      </c>
      <c r="S444" s="165" t="str">
        <f>IF($A444="","",COUNTIF($D444:$R444,"ERROR"))</f>
        <v/>
      </c>
      <c r="T444" s="165" t="str">
        <f>IF($A444="","",COUNTIF($D444:$R444,"WARNING"))</f>
        <v/>
      </c>
      <c r="U444" s="165" t="str">
        <f>IF($A444="","",IF($S444&gt;0,"ERROR",IF($T444&gt;0,"WARNING","PASS")))</f>
        <v/>
      </c>
    </row>
    <row r="445" spans="1:21" x14ac:dyDescent="0.3">
      <c r="A445" t="str">
        <f>IF(AND('Daily Data'!$A445="",'Daily Data'!$B445=""),"",445)</f>
        <v/>
      </c>
      <c r="B445" s="16" t="str">
        <f>IF($A445="","",'Daily Data'!$A445)</f>
        <v/>
      </c>
      <c r="C445" t="str">
        <f>IF($A445="","",'Daily Data'!$B445)</f>
        <v/>
      </c>
      <c r="D445" s="165" t="str">
        <f>IF($A445="","",IF(COUNTIFS('Daily Data'!$B$4:$B$503,'Daily Data'!$B445,'Daily Data'!$A$4:$A$503,'Daily Data'!$A445)&gt;1,"ERROR","OK"))</f>
        <v/>
      </c>
      <c r="E445" s="165" t="str">
        <f>IF($A445="","",IF('Daily Data'!$B445="","ERROR","OK"))</f>
        <v/>
      </c>
      <c r="F445" s="165" t="str">
        <f>IF($A445="","",IF(NOT(ISNUMBER('Daily Data'!$A445)),"ERROR","OK"))</f>
        <v/>
      </c>
      <c r="G445" s="165" t="str">
        <f>IF($A445="","",IF(OR(N('Daily Data'!$E445)&lt;=0,N('Daily Data'!$C445)&lt;0,N('Daily Data'!$D445)&lt;0,N('Daily Data'!$F445)&lt;0,N('Daily Data'!$G445)&lt;0),"ERROR","OK"))</f>
        <v/>
      </c>
      <c r="H445" s="165" t="str">
        <f>IF($A445="","",IF(N('Daily Data'!$K445)&lt;0,"ERROR","OK"))</f>
        <v/>
      </c>
      <c r="I445" s="165" t="str">
        <f>IF($A445="","",IF(N('Daily Data'!$I445)&lt;0,"ERROR","OK"))</f>
        <v/>
      </c>
      <c r="J445" s="165" t="str">
        <f>IF($A445="","",IF(N('Daily Data'!$L445)&lt;0,"ERROR","OK"))</f>
        <v/>
      </c>
      <c r="K445" s="165" t="str">
        <f>IF($A445="","",IF(N('Daily Data'!$M445)&lt;0,"ERROR","OK"))</f>
        <v/>
      </c>
      <c r="L445" s="165" t="str">
        <f>IF($A445="","",IF(OR(N('Daily Data'!$F445)=0,N('Daily Data'!$G445)=0),"OK",IF(OR(N('Daily Data'!$E445)&gt;N('Daily Data'!$F445),N('Daily Data'!$E445)&lt;N('Daily Data'!$G445)),"ERROR","OK")))</f>
        <v/>
      </c>
      <c r="M445" s="165" t="str">
        <f>IF($A445="","",IF(N('Daily Data'!$AK445)&lt;=1,"OK",IF(ROUND(N('Daily Data'!$D445),2)=ROUND(SUMIFS('Daily Data'!$E$4:$E$503,'Daily Data'!$B$4:$B$503,'Daily Data'!$B445,'Daily Data'!$AK$4:$AK$503,'Daily Data'!$AK445-1),2),"OK","WARNING")))</f>
        <v/>
      </c>
      <c r="N445" s="165" t="str">
        <f>IF($A445="","",IF(N('Daily Data'!$N445)&lt;=0,"WARNING","OK"))</f>
        <v/>
      </c>
      <c r="O445" s="165" t="str">
        <f>IF($A445="","",IF(AND(ISNUMBER('Daily Data'!$H445),ABS(N('Daily Data'!$H445))&gt;Settings!$C$56),"WARNING","OK"))</f>
        <v/>
      </c>
      <c r="P445" s="165" t="str">
        <f>IF($A445="","",IF(OR(AND(N('Daily Data'!$K445)=0,N('Daily Data'!$I445)&gt;0),AND(N('Daily Data'!$I445)=0,N('Daily Data'!$K445)&gt;0),AND(N('Daily Data'!$L445)=0,N('Daily Data'!$M445)=0)),"WARNING","OK"))</f>
        <v/>
      </c>
      <c r="Q445" s="165" t="str">
        <f>IF($A445="","",IF(COUNTIFS('Daily Data'!$B$4:$B$503,'Daily Data'!$B445,'Daily Data'!$A$4:$A$503,'Daily Data'!$A445,'Daily Data'!$Q$4:$Q$503,'Daily Data'!$Q445)&gt;1,"WARNING","OK"))</f>
        <v/>
      </c>
      <c r="R445" s="165" t="str">
        <f>IF($A445="","",IF(AND(N('Daily Data'!$K445)&gt;0,N('Daily Data'!$J445)&lt;=0),"WARNING","OK"))</f>
        <v/>
      </c>
      <c r="S445" s="165" t="str">
        <f>IF($A445="","",COUNTIF($D445:$R445,"ERROR"))</f>
        <v/>
      </c>
      <c r="T445" s="165" t="str">
        <f>IF($A445="","",COUNTIF($D445:$R445,"WARNING"))</f>
        <v/>
      </c>
      <c r="U445" s="165" t="str">
        <f>IF($A445="","",IF($S445&gt;0,"ERROR",IF($T445&gt;0,"WARNING","PASS")))</f>
        <v/>
      </c>
    </row>
    <row r="446" spans="1:21" x14ac:dyDescent="0.3">
      <c r="A446" t="str">
        <f>IF(AND('Daily Data'!$A446="",'Daily Data'!$B446=""),"",446)</f>
        <v/>
      </c>
      <c r="B446" s="16" t="str">
        <f>IF($A446="","",'Daily Data'!$A446)</f>
        <v/>
      </c>
      <c r="C446" t="str">
        <f>IF($A446="","",'Daily Data'!$B446)</f>
        <v/>
      </c>
      <c r="D446" s="165" t="str">
        <f>IF($A446="","",IF(COUNTIFS('Daily Data'!$B$4:$B$503,'Daily Data'!$B446,'Daily Data'!$A$4:$A$503,'Daily Data'!$A446)&gt;1,"ERROR","OK"))</f>
        <v/>
      </c>
      <c r="E446" s="165" t="str">
        <f>IF($A446="","",IF('Daily Data'!$B446="","ERROR","OK"))</f>
        <v/>
      </c>
      <c r="F446" s="165" t="str">
        <f>IF($A446="","",IF(NOT(ISNUMBER('Daily Data'!$A446)),"ERROR","OK"))</f>
        <v/>
      </c>
      <c r="G446" s="165" t="str">
        <f>IF($A446="","",IF(OR(N('Daily Data'!$E446)&lt;=0,N('Daily Data'!$C446)&lt;0,N('Daily Data'!$D446)&lt;0,N('Daily Data'!$F446)&lt;0,N('Daily Data'!$G446)&lt;0),"ERROR","OK"))</f>
        <v/>
      </c>
      <c r="H446" s="165" t="str">
        <f>IF($A446="","",IF(N('Daily Data'!$K446)&lt;0,"ERROR","OK"))</f>
        <v/>
      </c>
      <c r="I446" s="165" t="str">
        <f>IF($A446="","",IF(N('Daily Data'!$I446)&lt;0,"ERROR","OK"))</f>
        <v/>
      </c>
      <c r="J446" s="165" t="str">
        <f>IF($A446="","",IF(N('Daily Data'!$L446)&lt;0,"ERROR","OK"))</f>
        <v/>
      </c>
      <c r="K446" s="165" t="str">
        <f>IF($A446="","",IF(N('Daily Data'!$M446)&lt;0,"ERROR","OK"))</f>
        <v/>
      </c>
      <c r="L446" s="165" t="str">
        <f>IF($A446="","",IF(OR(N('Daily Data'!$F446)=0,N('Daily Data'!$G446)=0),"OK",IF(OR(N('Daily Data'!$E446)&gt;N('Daily Data'!$F446),N('Daily Data'!$E446)&lt;N('Daily Data'!$G446)),"ERROR","OK")))</f>
        <v/>
      </c>
      <c r="M446" s="165" t="str">
        <f>IF($A446="","",IF(N('Daily Data'!$AK446)&lt;=1,"OK",IF(ROUND(N('Daily Data'!$D446),2)=ROUND(SUMIFS('Daily Data'!$E$4:$E$503,'Daily Data'!$B$4:$B$503,'Daily Data'!$B446,'Daily Data'!$AK$4:$AK$503,'Daily Data'!$AK446-1),2),"OK","WARNING")))</f>
        <v/>
      </c>
      <c r="N446" s="165" t="str">
        <f>IF($A446="","",IF(N('Daily Data'!$N446)&lt;=0,"WARNING","OK"))</f>
        <v/>
      </c>
      <c r="O446" s="165" t="str">
        <f>IF($A446="","",IF(AND(ISNUMBER('Daily Data'!$H446),ABS(N('Daily Data'!$H446))&gt;Settings!$C$56),"WARNING","OK"))</f>
        <v/>
      </c>
      <c r="P446" s="165" t="str">
        <f>IF($A446="","",IF(OR(AND(N('Daily Data'!$K446)=0,N('Daily Data'!$I446)&gt;0),AND(N('Daily Data'!$I446)=0,N('Daily Data'!$K446)&gt;0),AND(N('Daily Data'!$L446)=0,N('Daily Data'!$M446)=0)),"WARNING","OK"))</f>
        <v/>
      </c>
      <c r="Q446" s="165" t="str">
        <f>IF($A446="","",IF(COUNTIFS('Daily Data'!$B$4:$B$503,'Daily Data'!$B446,'Daily Data'!$A$4:$A$503,'Daily Data'!$A446,'Daily Data'!$Q$4:$Q$503,'Daily Data'!$Q446)&gt;1,"WARNING","OK"))</f>
        <v/>
      </c>
      <c r="R446" s="165" t="str">
        <f>IF($A446="","",IF(AND(N('Daily Data'!$K446)&gt;0,N('Daily Data'!$J446)&lt;=0),"WARNING","OK"))</f>
        <v/>
      </c>
      <c r="S446" s="165" t="str">
        <f>IF($A446="","",COUNTIF($D446:$R446,"ERROR"))</f>
        <v/>
      </c>
      <c r="T446" s="165" t="str">
        <f>IF($A446="","",COUNTIF($D446:$R446,"WARNING"))</f>
        <v/>
      </c>
      <c r="U446" s="165" t="str">
        <f>IF($A446="","",IF($S446&gt;0,"ERROR",IF($T446&gt;0,"WARNING","PASS")))</f>
        <v/>
      </c>
    </row>
    <row r="447" spans="1:21" x14ac:dyDescent="0.3">
      <c r="A447" t="str">
        <f>IF(AND('Daily Data'!$A447="",'Daily Data'!$B447=""),"",447)</f>
        <v/>
      </c>
      <c r="B447" s="16" t="str">
        <f>IF($A447="","",'Daily Data'!$A447)</f>
        <v/>
      </c>
      <c r="C447" t="str">
        <f>IF($A447="","",'Daily Data'!$B447)</f>
        <v/>
      </c>
      <c r="D447" s="165" t="str">
        <f>IF($A447="","",IF(COUNTIFS('Daily Data'!$B$4:$B$503,'Daily Data'!$B447,'Daily Data'!$A$4:$A$503,'Daily Data'!$A447)&gt;1,"ERROR","OK"))</f>
        <v/>
      </c>
      <c r="E447" s="165" t="str">
        <f>IF($A447="","",IF('Daily Data'!$B447="","ERROR","OK"))</f>
        <v/>
      </c>
      <c r="F447" s="165" t="str">
        <f>IF($A447="","",IF(NOT(ISNUMBER('Daily Data'!$A447)),"ERROR","OK"))</f>
        <v/>
      </c>
      <c r="G447" s="165" t="str">
        <f>IF($A447="","",IF(OR(N('Daily Data'!$E447)&lt;=0,N('Daily Data'!$C447)&lt;0,N('Daily Data'!$D447)&lt;0,N('Daily Data'!$F447)&lt;0,N('Daily Data'!$G447)&lt;0),"ERROR","OK"))</f>
        <v/>
      </c>
      <c r="H447" s="165" t="str">
        <f>IF($A447="","",IF(N('Daily Data'!$K447)&lt;0,"ERROR","OK"))</f>
        <v/>
      </c>
      <c r="I447" s="165" t="str">
        <f>IF($A447="","",IF(N('Daily Data'!$I447)&lt;0,"ERROR","OK"))</f>
        <v/>
      </c>
      <c r="J447" s="165" t="str">
        <f>IF($A447="","",IF(N('Daily Data'!$L447)&lt;0,"ERROR","OK"))</f>
        <v/>
      </c>
      <c r="K447" s="165" t="str">
        <f>IF($A447="","",IF(N('Daily Data'!$M447)&lt;0,"ERROR","OK"))</f>
        <v/>
      </c>
      <c r="L447" s="165" t="str">
        <f>IF($A447="","",IF(OR(N('Daily Data'!$F447)=0,N('Daily Data'!$G447)=0),"OK",IF(OR(N('Daily Data'!$E447)&gt;N('Daily Data'!$F447),N('Daily Data'!$E447)&lt;N('Daily Data'!$G447)),"ERROR","OK")))</f>
        <v/>
      </c>
      <c r="M447" s="165" t="str">
        <f>IF($A447="","",IF(N('Daily Data'!$AK447)&lt;=1,"OK",IF(ROUND(N('Daily Data'!$D447),2)=ROUND(SUMIFS('Daily Data'!$E$4:$E$503,'Daily Data'!$B$4:$B$503,'Daily Data'!$B447,'Daily Data'!$AK$4:$AK$503,'Daily Data'!$AK447-1),2),"OK","WARNING")))</f>
        <v/>
      </c>
      <c r="N447" s="165" t="str">
        <f>IF($A447="","",IF(N('Daily Data'!$N447)&lt;=0,"WARNING","OK"))</f>
        <v/>
      </c>
      <c r="O447" s="165" t="str">
        <f>IF($A447="","",IF(AND(ISNUMBER('Daily Data'!$H447),ABS(N('Daily Data'!$H447))&gt;Settings!$C$56),"WARNING","OK"))</f>
        <v/>
      </c>
      <c r="P447" s="165" t="str">
        <f>IF($A447="","",IF(OR(AND(N('Daily Data'!$K447)=0,N('Daily Data'!$I447)&gt;0),AND(N('Daily Data'!$I447)=0,N('Daily Data'!$K447)&gt;0),AND(N('Daily Data'!$L447)=0,N('Daily Data'!$M447)=0)),"WARNING","OK"))</f>
        <v/>
      </c>
      <c r="Q447" s="165" t="str">
        <f>IF($A447="","",IF(COUNTIFS('Daily Data'!$B$4:$B$503,'Daily Data'!$B447,'Daily Data'!$A$4:$A$503,'Daily Data'!$A447,'Daily Data'!$Q$4:$Q$503,'Daily Data'!$Q447)&gt;1,"WARNING","OK"))</f>
        <v/>
      </c>
      <c r="R447" s="165" t="str">
        <f>IF($A447="","",IF(AND(N('Daily Data'!$K447)&gt;0,N('Daily Data'!$J447)&lt;=0),"WARNING","OK"))</f>
        <v/>
      </c>
      <c r="S447" s="165" t="str">
        <f>IF($A447="","",COUNTIF($D447:$R447,"ERROR"))</f>
        <v/>
      </c>
      <c r="T447" s="165" t="str">
        <f>IF($A447="","",COUNTIF($D447:$R447,"WARNING"))</f>
        <v/>
      </c>
      <c r="U447" s="165" t="str">
        <f>IF($A447="","",IF($S447&gt;0,"ERROR",IF($T447&gt;0,"WARNING","PASS")))</f>
        <v/>
      </c>
    </row>
    <row r="448" spans="1:21" x14ac:dyDescent="0.3">
      <c r="A448" t="str">
        <f>IF(AND('Daily Data'!$A448="",'Daily Data'!$B448=""),"",448)</f>
        <v/>
      </c>
      <c r="B448" s="16" t="str">
        <f>IF($A448="","",'Daily Data'!$A448)</f>
        <v/>
      </c>
      <c r="C448" t="str">
        <f>IF($A448="","",'Daily Data'!$B448)</f>
        <v/>
      </c>
      <c r="D448" s="165" t="str">
        <f>IF($A448="","",IF(COUNTIFS('Daily Data'!$B$4:$B$503,'Daily Data'!$B448,'Daily Data'!$A$4:$A$503,'Daily Data'!$A448)&gt;1,"ERROR","OK"))</f>
        <v/>
      </c>
      <c r="E448" s="165" t="str">
        <f>IF($A448="","",IF('Daily Data'!$B448="","ERROR","OK"))</f>
        <v/>
      </c>
      <c r="F448" s="165" t="str">
        <f>IF($A448="","",IF(NOT(ISNUMBER('Daily Data'!$A448)),"ERROR","OK"))</f>
        <v/>
      </c>
      <c r="G448" s="165" t="str">
        <f>IF($A448="","",IF(OR(N('Daily Data'!$E448)&lt;=0,N('Daily Data'!$C448)&lt;0,N('Daily Data'!$D448)&lt;0,N('Daily Data'!$F448)&lt;0,N('Daily Data'!$G448)&lt;0),"ERROR","OK"))</f>
        <v/>
      </c>
      <c r="H448" s="165" t="str">
        <f>IF($A448="","",IF(N('Daily Data'!$K448)&lt;0,"ERROR","OK"))</f>
        <v/>
      </c>
      <c r="I448" s="165" t="str">
        <f>IF($A448="","",IF(N('Daily Data'!$I448)&lt;0,"ERROR","OK"))</f>
        <v/>
      </c>
      <c r="J448" s="165" t="str">
        <f>IF($A448="","",IF(N('Daily Data'!$L448)&lt;0,"ERROR","OK"))</f>
        <v/>
      </c>
      <c r="K448" s="165" t="str">
        <f>IF($A448="","",IF(N('Daily Data'!$M448)&lt;0,"ERROR","OK"))</f>
        <v/>
      </c>
      <c r="L448" s="165" t="str">
        <f>IF($A448="","",IF(OR(N('Daily Data'!$F448)=0,N('Daily Data'!$G448)=0),"OK",IF(OR(N('Daily Data'!$E448)&gt;N('Daily Data'!$F448),N('Daily Data'!$E448)&lt;N('Daily Data'!$G448)),"ERROR","OK")))</f>
        <v/>
      </c>
      <c r="M448" s="165" t="str">
        <f>IF($A448="","",IF(N('Daily Data'!$AK448)&lt;=1,"OK",IF(ROUND(N('Daily Data'!$D448),2)=ROUND(SUMIFS('Daily Data'!$E$4:$E$503,'Daily Data'!$B$4:$B$503,'Daily Data'!$B448,'Daily Data'!$AK$4:$AK$503,'Daily Data'!$AK448-1),2),"OK","WARNING")))</f>
        <v/>
      </c>
      <c r="N448" s="165" t="str">
        <f>IF($A448="","",IF(N('Daily Data'!$N448)&lt;=0,"WARNING","OK"))</f>
        <v/>
      </c>
      <c r="O448" s="165" t="str">
        <f>IF($A448="","",IF(AND(ISNUMBER('Daily Data'!$H448),ABS(N('Daily Data'!$H448))&gt;Settings!$C$56),"WARNING","OK"))</f>
        <v/>
      </c>
      <c r="P448" s="165" t="str">
        <f>IF($A448="","",IF(OR(AND(N('Daily Data'!$K448)=0,N('Daily Data'!$I448)&gt;0),AND(N('Daily Data'!$I448)=0,N('Daily Data'!$K448)&gt;0),AND(N('Daily Data'!$L448)=0,N('Daily Data'!$M448)=0)),"WARNING","OK"))</f>
        <v/>
      </c>
      <c r="Q448" s="165" t="str">
        <f>IF($A448="","",IF(COUNTIFS('Daily Data'!$B$4:$B$503,'Daily Data'!$B448,'Daily Data'!$A$4:$A$503,'Daily Data'!$A448,'Daily Data'!$Q$4:$Q$503,'Daily Data'!$Q448)&gt;1,"WARNING","OK"))</f>
        <v/>
      </c>
      <c r="R448" s="165" t="str">
        <f>IF($A448="","",IF(AND(N('Daily Data'!$K448)&gt;0,N('Daily Data'!$J448)&lt;=0),"WARNING","OK"))</f>
        <v/>
      </c>
      <c r="S448" s="165" t="str">
        <f>IF($A448="","",COUNTIF($D448:$R448,"ERROR"))</f>
        <v/>
      </c>
      <c r="T448" s="165" t="str">
        <f>IF($A448="","",COUNTIF($D448:$R448,"WARNING"))</f>
        <v/>
      </c>
      <c r="U448" s="165" t="str">
        <f>IF($A448="","",IF($S448&gt;0,"ERROR",IF($T448&gt;0,"WARNING","PASS")))</f>
        <v/>
      </c>
    </row>
    <row r="449" spans="1:21" x14ac:dyDescent="0.3">
      <c r="A449" t="str">
        <f>IF(AND('Daily Data'!$A449="",'Daily Data'!$B449=""),"",449)</f>
        <v/>
      </c>
      <c r="B449" s="16" t="str">
        <f>IF($A449="","",'Daily Data'!$A449)</f>
        <v/>
      </c>
      <c r="C449" t="str">
        <f>IF($A449="","",'Daily Data'!$B449)</f>
        <v/>
      </c>
      <c r="D449" s="165" t="str">
        <f>IF($A449="","",IF(COUNTIFS('Daily Data'!$B$4:$B$503,'Daily Data'!$B449,'Daily Data'!$A$4:$A$503,'Daily Data'!$A449)&gt;1,"ERROR","OK"))</f>
        <v/>
      </c>
      <c r="E449" s="165" t="str">
        <f>IF($A449="","",IF('Daily Data'!$B449="","ERROR","OK"))</f>
        <v/>
      </c>
      <c r="F449" s="165" t="str">
        <f>IF($A449="","",IF(NOT(ISNUMBER('Daily Data'!$A449)),"ERROR","OK"))</f>
        <v/>
      </c>
      <c r="G449" s="165" t="str">
        <f>IF($A449="","",IF(OR(N('Daily Data'!$E449)&lt;=0,N('Daily Data'!$C449)&lt;0,N('Daily Data'!$D449)&lt;0,N('Daily Data'!$F449)&lt;0,N('Daily Data'!$G449)&lt;0),"ERROR","OK"))</f>
        <v/>
      </c>
      <c r="H449" s="165" t="str">
        <f>IF($A449="","",IF(N('Daily Data'!$K449)&lt;0,"ERROR","OK"))</f>
        <v/>
      </c>
      <c r="I449" s="165" t="str">
        <f>IF($A449="","",IF(N('Daily Data'!$I449)&lt;0,"ERROR","OK"))</f>
        <v/>
      </c>
      <c r="J449" s="165" t="str">
        <f>IF($A449="","",IF(N('Daily Data'!$L449)&lt;0,"ERROR","OK"))</f>
        <v/>
      </c>
      <c r="K449" s="165" t="str">
        <f>IF($A449="","",IF(N('Daily Data'!$M449)&lt;0,"ERROR","OK"))</f>
        <v/>
      </c>
      <c r="L449" s="165" t="str">
        <f>IF($A449="","",IF(OR(N('Daily Data'!$F449)=0,N('Daily Data'!$G449)=0),"OK",IF(OR(N('Daily Data'!$E449)&gt;N('Daily Data'!$F449),N('Daily Data'!$E449)&lt;N('Daily Data'!$G449)),"ERROR","OK")))</f>
        <v/>
      </c>
      <c r="M449" s="165" t="str">
        <f>IF($A449="","",IF(N('Daily Data'!$AK449)&lt;=1,"OK",IF(ROUND(N('Daily Data'!$D449),2)=ROUND(SUMIFS('Daily Data'!$E$4:$E$503,'Daily Data'!$B$4:$B$503,'Daily Data'!$B449,'Daily Data'!$AK$4:$AK$503,'Daily Data'!$AK449-1),2),"OK","WARNING")))</f>
        <v/>
      </c>
      <c r="N449" s="165" t="str">
        <f>IF($A449="","",IF(N('Daily Data'!$N449)&lt;=0,"WARNING","OK"))</f>
        <v/>
      </c>
      <c r="O449" s="165" t="str">
        <f>IF($A449="","",IF(AND(ISNUMBER('Daily Data'!$H449),ABS(N('Daily Data'!$H449))&gt;Settings!$C$56),"WARNING","OK"))</f>
        <v/>
      </c>
      <c r="P449" s="165" t="str">
        <f>IF($A449="","",IF(OR(AND(N('Daily Data'!$K449)=0,N('Daily Data'!$I449)&gt;0),AND(N('Daily Data'!$I449)=0,N('Daily Data'!$K449)&gt;0),AND(N('Daily Data'!$L449)=0,N('Daily Data'!$M449)=0)),"WARNING","OK"))</f>
        <v/>
      </c>
      <c r="Q449" s="165" t="str">
        <f>IF($A449="","",IF(COUNTIFS('Daily Data'!$B$4:$B$503,'Daily Data'!$B449,'Daily Data'!$A$4:$A$503,'Daily Data'!$A449,'Daily Data'!$Q$4:$Q$503,'Daily Data'!$Q449)&gt;1,"WARNING","OK"))</f>
        <v/>
      </c>
      <c r="R449" s="165" t="str">
        <f>IF($A449="","",IF(AND(N('Daily Data'!$K449)&gt;0,N('Daily Data'!$J449)&lt;=0),"WARNING","OK"))</f>
        <v/>
      </c>
      <c r="S449" s="165" t="str">
        <f>IF($A449="","",COUNTIF($D449:$R449,"ERROR"))</f>
        <v/>
      </c>
      <c r="T449" s="165" t="str">
        <f>IF($A449="","",COUNTIF($D449:$R449,"WARNING"))</f>
        <v/>
      </c>
      <c r="U449" s="165" t="str">
        <f>IF($A449="","",IF($S449&gt;0,"ERROR",IF($T449&gt;0,"WARNING","PASS")))</f>
        <v/>
      </c>
    </row>
    <row r="450" spans="1:21" x14ac:dyDescent="0.3">
      <c r="A450" t="str">
        <f>IF(AND('Daily Data'!$A450="",'Daily Data'!$B450=""),"",450)</f>
        <v/>
      </c>
      <c r="B450" s="16" t="str">
        <f>IF($A450="","",'Daily Data'!$A450)</f>
        <v/>
      </c>
      <c r="C450" t="str">
        <f>IF($A450="","",'Daily Data'!$B450)</f>
        <v/>
      </c>
      <c r="D450" s="165" t="str">
        <f>IF($A450="","",IF(COUNTIFS('Daily Data'!$B$4:$B$503,'Daily Data'!$B450,'Daily Data'!$A$4:$A$503,'Daily Data'!$A450)&gt;1,"ERROR","OK"))</f>
        <v/>
      </c>
      <c r="E450" s="165" t="str">
        <f>IF($A450="","",IF('Daily Data'!$B450="","ERROR","OK"))</f>
        <v/>
      </c>
      <c r="F450" s="165" t="str">
        <f>IF($A450="","",IF(NOT(ISNUMBER('Daily Data'!$A450)),"ERROR","OK"))</f>
        <v/>
      </c>
      <c r="G450" s="165" t="str">
        <f>IF($A450="","",IF(OR(N('Daily Data'!$E450)&lt;=0,N('Daily Data'!$C450)&lt;0,N('Daily Data'!$D450)&lt;0,N('Daily Data'!$F450)&lt;0,N('Daily Data'!$G450)&lt;0),"ERROR","OK"))</f>
        <v/>
      </c>
      <c r="H450" s="165" t="str">
        <f>IF($A450="","",IF(N('Daily Data'!$K450)&lt;0,"ERROR","OK"))</f>
        <v/>
      </c>
      <c r="I450" s="165" t="str">
        <f>IF($A450="","",IF(N('Daily Data'!$I450)&lt;0,"ERROR","OK"))</f>
        <v/>
      </c>
      <c r="J450" s="165" t="str">
        <f>IF($A450="","",IF(N('Daily Data'!$L450)&lt;0,"ERROR","OK"))</f>
        <v/>
      </c>
      <c r="K450" s="165" t="str">
        <f>IF($A450="","",IF(N('Daily Data'!$M450)&lt;0,"ERROR","OK"))</f>
        <v/>
      </c>
      <c r="L450" s="165" t="str">
        <f>IF($A450="","",IF(OR(N('Daily Data'!$F450)=0,N('Daily Data'!$G450)=0),"OK",IF(OR(N('Daily Data'!$E450)&gt;N('Daily Data'!$F450),N('Daily Data'!$E450)&lt;N('Daily Data'!$G450)),"ERROR","OK")))</f>
        <v/>
      </c>
      <c r="M450" s="165" t="str">
        <f>IF($A450="","",IF(N('Daily Data'!$AK450)&lt;=1,"OK",IF(ROUND(N('Daily Data'!$D450),2)=ROUND(SUMIFS('Daily Data'!$E$4:$E$503,'Daily Data'!$B$4:$B$503,'Daily Data'!$B450,'Daily Data'!$AK$4:$AK$503,'Daily Data'!$AK450-1),2),"OK","WARNING")))</f>
        <v/>
      </c>
      <c r="N450" s="165" t="str">
        <f>IF($A450="","",IF(N('Daily Data'!$N450)&lt;=0,"WARNING","OK"))</f>
        <v/>
      </c>
      <c r="O450" s="165" t="str">
        <f>IF($A450="","",IF(AND(ISNUMBER('Daily Data'!$H450),ABS(N('Daily Data'!$H450))&gt;Settings!$C$56),"WARNING","OK"))</f>
        <v/>
      </c>
      <c r="P450" s="165" t="str">
        <f>IF($A450="","",IF(OR(AND(N('Daily Data'!$K450)=0,N('Daily Data'!$I450)&gt;0),AND(N('Daily Data'!$I450)=0,N('Daily Data'!$K450)&gt;0),AND(N('Daily Data'!$L450)=0,N('Daily Data'!$M450)=0)),"WARNING","OK"))</f>
        <v/>
      </c>
      <c r="Q450" s="165" t="str">
        <f>IF($A450="","",IF(COUNTIFS('Daily Data'!$B$4:$B$503,'Daily Data'!$B450,'Daily Data'!$A$4:$A$503,'Daily Data'!$A450,'Daily Data'!$Q$4:$Q$503,'Daily Data'!$Q450)&gt;1,"WARNING","OK"))</f>
        <v/>
      </c>
      <c r="R450" s="165" t="str">
        <f>IF($A450="","",IF(AND(N('Daily Data'!$K450)&gt;0,N('Daily Data'!$J450)&lt;=0),"WARNING","OK"))</f>
        <v/>
      </c>
      <c r="S450" s="165" t="str">
        <f>IF($A450="","",COUNTIF($D450:$R450,"ERROR"))</f>
        <v/>
      </c>
      <c r="T450" s="165" t="str">
        <f>IF($A450="","",COUNTIF($D450:$R450,"WARNING"))</f>
        <v/>
      </c>
      <c r="U450" s="165" t="str">
        <f>IF($A450="","",IF($S450&gt;0,"ERROR",IF($T450&gt;0,"WARNING","PASS")))</f>
        <v/>
      </c>
    </row>
    <row r="451" spans="1:21" x14ac:dyDescent="0.3">
      <c r="A451" t="str">
        <f>IF(AND('Daily Data'!$A451="",'Daily Data'!$B451=""),"",451)</f>
        <v/>
      </c>
      <c r="B451" s="16" t="str">
        <f>IF($A451="","",'Daily Data'!$A451)</f>
        <v/>
      </c>
      <c r="C451" t="str">
        <f>IF($A451="","",'Daily Data'!$B451)</f>
        <v/>
      </c>
      <c r="D451" s="165" t="str">
        <f>IF($A451="","",IF(COUNTIFS('Daily Data'!$B$4:$B$503,'Daily Data'!$B451,'Daily Data'!$A$4:$A$503,'Daily Data'!$A451)&gt;1,"ERROR","OK"))</f>
        <v/>
      </c>
      <c r="E451" s="165" t="str">
        <f>IF($A451="","",IF('Daily Data'!$B451="","ERROR","OK"))</f>
        <v/>
      </c>
      <c r="F451" s="165" t="str">
        <f>IF($A451="","",IF(NOT(ISNUMBER('Daily Data'!$A451)),"ERROR","OK"))</f>
        <v/>
      </c>
      <c r="G451" s="165" t="str">
        <f>IF($A451="","",IF(OR(N('Daily Data'!$E451)&lt;=0,N('Daily Data'!$C451)&lt;0,N('Daily Data'!$D451)&lt;0,N('Daily Data'!$F451)&lt;0,N('Daily Data'!$G451)&lt;0),"ERROR","OK"))</f>
        <v/>
      </c>
      <c r="H451" s="165" t="str">
        <f>IF($A451="","",IF(N('Daily Data'!$K451)&lt;0,"ERROR","OK"))</f>
        <v/>
      </c>
      <c r="I451" s="165" t="str">
        <f>IF($A451="","",IF(N('Daily Data'!$I451)&lt;0,"ERROR","OK"))</f>
        <v/>
      </c>
      <c r="J451" s="165" t="str">
        <f>IF($A451="","",IF(N('Daily Data'!$L451)&lt;0,"ERROR","OK"))</f>
        <v/>
      </c>
      <c r="K451" s="165" t="str">
        <f>IF($A451="","",IF(N('Daily Data'!$M451)&lt;0,"ERROR","OK"))</f>
        <v/>
      </c>
      <c r="L451" s="165" t="str">
        <f>IF($A451="","",IF(OR(N('Daily Data'!$F451)=0,N('Daily Data'!$G451)=0),"OK",IF(OR(N('Daily Data'!$E451)&gt;N('Daily Data'!$F451),N('Daily Data'!$E451)&lt;N('Daily Data'!$G451)),"ERROR","OK")))</f>
        <v/>
      </c>
      <c r="M451" s="165" t="str">
        <f>IF($A451="","",IF(N('Daily Data'!$AK451)&lt;=1,"OK",IF(ROUND(N('Daily Data'!$D451),2)=ROUND(SUMIFS('Daily Data'!$E$4:$E$503,'Daily Data'!$B$4:$B$503,'Daily Data'!$B451,'Daily Data'!$AK$4:$AK$503,'Daily Data'!$AK451-1),2),"OK","WARNING")))</f>
        <v/>
      </c>
      <c r="N451" s="165" t="str">
        <f>IF($A451="","",IF(N('Daily Data'!$N451)&lt;=0,"WARNING","OK"))</f>
        <v/>
      </c>
      <c r="O451" s="165" t="str">
        <f>IF($A451="","",IF(AND(ISNUMBER('Daily Data'!$H451),ABS(N('Daily Data'!$H451))&gt;Settings!$C$56),"WARNING","OK"))</f>
        <v/>
      </c>
      <c r="P451" s="165" t="str">
        <f>IF($A451="","",IF(OR(AND(N('Daily Data'!$K451)=0,N('Daily Data'!$I451)&gt;0),AND(N('Daily Data'!$I451)=0,N('Daily Data'!$K451)&gt;0),AND(N('Daily Data'!$L451)=0,N('Daily Data'!$M451)=0)),"WARNING","OK"))</f>
        <v/>
      </c>
      <c r="Q451" s="165" t="str">
        <f>IF($A451="","",IF(COUNTIFS('Daily Data'!$B$4:$B$503,'Daily Data'!$B451,'Daily Data'!$A$4:$A$503,'Daily Data'!$A451,'Daily Data'!$Q$4:$Q$503,'Daily Data'!$Q451)&gt;1,"WARNING","OK"))</f>
        <v/>
      </c>
      <c r="R451" s="165" t="str">
        <f>IF($A451="","",IF(AND(N('Daily Data'!$K451)&gt;0,N('Daily Data'!$J451)&lt;=0),"WARNING","OK"))</f>
        <v/>
      </c>
      <c r="S451" s="165" t="str">
        <f>IF($A451="","",COUNTIF($D451:$R451,"ERROR"))</f>
        <v/>
      </c>
      <c r="T451" s="165" t="str">
        <f>IF($A451="","",COUNTIF($D451:$R451,"WARNING"))</f>
        <v/>
      </c>
      <c r="U451" s="165" t="str">
        <f>IF($A451="","",IF($S451&gt;0,"ERROR",IF($T451&gt;0,"WARNING","PASS")))</f>
        <v/>
      </c>
    </row>
    <row r="452" spans="1:21" x14ac:dyDescent="0.3">
      <c r="A452" t="str">
        <f>IF(AND('Daily Data'!$A452="",'Daily Data'!$B452=""),"",452)</f>
        <v/>
      </c>
      <c r="B452" s="16" t="str">
        <f>IF($A452="","",'Daily Data'!$A452)</f>
        <v/>
      </c>
      <c r="C452" t="str">
        <f>IF($A452="","",'Daily Data'!$B452)</f>
        <v/>
      </c>
      <c r="D452" s="165" t="str">
        <f>IF($A452="","",IF(COUNTIFS('Daily Data'!$B$4:$B$503,'Daily Data'!$B452,'Daily Data'!$A$4:$A$503,'Daily Data'!$A452)&gt;1,"ERROR","OK"))</f>
        <v/>
      </c>
      <c r="E452" s="165" t="str">
        <f>IF($A452="","",IF('Daily Data'!$B452="","ERROR","OK"))</f>
        <v/>
      </c>
      <c r="F452" s="165" t="str">
        <f>IF($A452="","",IF(NOT(ISNUMBER('Daily Data'!$A452)),"ERROR","OK"))</f>
        <v/>
      </c>
      <c r="G452" s="165" t="str">
        <f>IF($A452="","",IF(OR(N('Daily Data'!$E452)&lt;=0,N('Daily Data'!$C452)&lt;0,N('Daily Data'!$D452)&lt;0,N('Daily Data'!$F452)&lt;0,N('Daily Data'!$G452)&lt;0),"ERROR","OK"))</f>
        <v/>
      </c>
      <c r="H452" s="165" t="str">
        <f>IF($A452="","",IF(N('Daily Data'!$K452)&lt;0,"ERROR","OK"))</f>
        <v/>
      </c>
      <c r="I452" s="165" t="str">
        <f>IF($A452="","",IF(N('Daily Data'!$I452)&lt;0,"ERROR","OK"))</f>
        <v/>
      </c>
      <c r="J452" s="165" t="str">
        <f>IF($A452="","",IF(N('Daily Data'!$L452)&lt;0,"ERROR","OK"))</f>
        <v/>
      </c>
      <c r="K452" s="165" t="str">
        <f>IF($A452="","",IF(N('Daily Data'!$M452)&lt;0,"ERROR","OK"))</f>
        <v/>
      </c>
      <c r="L452" s="165" t="str">
        <f>IF($A452="","",IF(OR(N('Daily Data'!$F452)=0,N('Daily Data'!$G452)=0),"OK",IF(OR(N('Daily Data'!$E452)&gt;N('Daily Data'!$F452),N('Daily Data'!$E452)&lt;N('Daily Data'!$G452)),"ERROR","OK")))</f>
        <v/>
      </c>
      <c r="M452" s="165" t="str">
        <f>IF($A452="","",IF(N('Daily Data'!$AK452)&lt;=1,"OK",IF(ROUND(N('Daily Data'!$D452),2)=ROUND(SUMIFS('Daily Data'!$E$4:$E$503,'Daily Data'!$B$4:$B$503,'Daily Data'!$B452,'Daily Data'!$AK$4:$AK$503,'Daily Data'!$AK452-1),2),"OK","WARNING")))</f>
        <v/>
      </c>
      <c r="N452" s="165" t="str">
        <f>IF($A452="","",IF(N('Daily Data'!$N452)&lt;=0,"WARNING","OK"))</f>
        <v/>
      </c>
      <c r="O452" s="165" t="str">
        <f>IF($A452="","",IF(AND(ISNUMBER('Daily Data'!$H452),ABS(N('Daily Data'!$H452))&gt;Settings!$C$56),"WARNING","OK"))</f>
        <v/>
      </c>
      <c r="P452" s="165" t="str">
        <f>IF($A452="","",IF(OR(AND(N('Daily Data'!$K452)=0,N('Daily Data'!$I452)&gt;0),AND(N('Daily Data'!$I452)=0,N('Daily Data'!$K452)&gt;0),AND(N('Daily Data'!$L452)=0,N('Daily Data'!$M452)=0)),"WARNING","OK"))</f>
        <v/>
      </c>
      <c r="Q452" s="165" t="str">
        <f>IF($A452="","",IF(COUNTIFS('Daily Data'!$B$4:$B$503,'Daily Data'!$B452,'Daily Data'!$A$4:$A$503,'Daily Data'!$A452,'Daily Data'!$Q$4:$Q$503,'Daily Data'!$Q452)&gt;1,"WARNING","OK"))</f>
        <v/>
      </c>
      <c r="R452" s="165" t="str">
        <f>IF($A452="","",IF(AND(N('Daily Data'!$K452)&gt;0,N('Daily Data'!$J452)&lt;=0),"WARNING","OK"))</f>
        <v/>
      </c>
      <c r="S452" s="165" t="str">
        <f>IF($A452="","",COUNTIF($D452:$R452,"ERROR"))</f>
        <v/>
      </c>
      <c r="T452" s="165" t="str">
        <f>IF($A452="","",COUNTIF($D452:$R452,"WARNING"))</f>
        <v/>
      </c>
      <c r="U452" s="165" t="str">
        <f>IF($A452="","",IF($S452&gt;0,"ERROR",IF($T452&gt;0,"WARNING","PASS")))</f>
        <v/>
      </c>
    </row>
    <row r="453" spans="1:21" x14ac:dyDescent="0.3">
      <c r="A453" t="str">
        <f>IF(AND('Daily Data'!$A453="",'Daily Data'!$B453=""),"",453)</f>
        <v/>
      </c>
      <c r="B453" s="16" t="str">
        <f>IF($A453="","",'Daily Data'!$A453)</f>
        <v/>
      </c>
      <c r="C453" t="str">
        <f>IF($A453="","",'Daily Data'!$B453)</f>
        <v/>
      </c>
      <c r="D453" s="165" t="str">
        <f>IF($A453="","",IF(COUNTIFS('Daily Data'!$B$4:$B$503,'Daily Data'!$B453,'Daily Data'!$A$4:$A$503,'Daily Data'!$A453)&gt;1,"ERROR","OK"))</f>
        <v/>
      </c>
      <c r="E453" s="165" t="str">
        <f>IF($A453="","",IF('Daily Data'!$B453="","ERROR","OK"))</f>
        <v/>
      </c>
      <c r="F453" s="165" t="str">
        <f>IF($A453="","",IF(NOT(ISNUMBER('Daily Data'!$A453)),"ERROR","OK"))</f>
        <v/>
      </c>
      <c r="G453" s="165" t="str">
        <f>IF($A453="","",IF(OR(N('Daily Data'!$E453)&lt;=0,N('Daily Data'!$C453)&lt;0,N('Daily Data'!$D453)&lt;0,N('Daily Data'!$F453)&lt;0,N('Daily Data'!$G453)&lt;0),"ERROR","OK"))</f>
        <v/>
      </c>
      <c r="H453" s="165" t="str">
        <f>IF($A453="","",IF(N('Daily Data'!$K453)&lt;0,"ERROR","OK"))</f>
        <v/>
      </c>
      <c r="I453" s="165" t="str">
        <f>IF($A453="","",IF(N('Daily Data'!$I453)&lt;0,"ERROR","OK"))</f>
        <v/>
      </c>
      <c r="J453" s="165" t="str">
        <f>IF($A453="","",IF(N('Daily Data'!$L453)&lt;0,"ERROR","OK"))</f>
        <v/>
      </c>
      <c r="K453" s="165" t="str">
        <f>IF($A453="","",IF(N('Daily Data'!$M453)&lt;0,"ERROR","OK"))</f>
        <v/>
      </c>
      <c r="L453" s="165" t="str">
        <f>IF($A453="","",IF(OR(N('Daily Data'!$F453)=0,N('Daily Data'!$G453)=0),"OK",IF(OR(N('Daily Data'!$E453)&gt;N('Daily Data'!$F453),N('Daily Data'!$E453)&lt;N('Daily Data'!$G453)),"ERROR","OK")))</f>
        <v/>
      </c>
      <c r="M453" s="165" t="str">
        <f>IF($A453="","",IF(N('Daily Data'!$AK453)&lt;=1,"OK",IF(ROUND(N('Daily Data'!$D453),2)=ROUND(SUMIFS('Daily Data'!$E$4:$E$503,'Daily Data'!$B$4:$B$503,'Daily Data'!$B453,'Daily Data'!$AK$4:$AK$503,'Daily Data'!$AK453-1),2),"OK","WARNING")))</f>
        <v/>
      </c>
      <c r="N453" s="165" t="str">
        <f>IF($A453="","",IF(N('Daily Data'!$N453)&lt;=0,"WARNING","OK"))</f>
        <v/>
      </c>
      <c r="O453" s="165" t="str">
        <f>IF($A453="","",IF(AND(ISNUMBER('Daily Data'!$H453),ABS(N('Daily Data'!$H453))&gt;Settings!$C$56),"WARNING","OK"))</f>
        <v/>
      </c>
      <c r="P453" s="165" t="str">
        <f>IF($A453="","",IF(OR(AND(N('Daily Data'!$K453)=0,N('Daily Data'!$I453)&gt;0),AND(N('Daily Data'!$I453)=0,N('Daily Data'!$K453)&gt;0),AND(N('Daily Data'!$L453)=0,N('Daily Data'!$M453)=0)),"WARNING","OK"))</f>
        <v/>
      </c>
      <c r="Q453" s="165" t="str">
        <f>IF($A453="","",IF(COUNTIFS('Daily Data'!$B$4:$B$503,'Daily Data'!$B453,'Daily Data'!$A$4:$A$503,'Daily Data'!$A453,'Daily Data'!$Q$4:$Q$503,'Daily Data'!$Q453)&gt;1,"WARNING","OK"))</f>
        <v/>
      </c>
      <c r="R453" s="165" t="str">
        <f>IF($A453="","",IF(AND(N('Daily Data'!$K453)&gt;0,N('Daily Data'!$J453)&lt;=0),"WARNING","OK"))</f>
        <v/>
      </c>
      <c r="S453" s="165" t="str">
        <f>IF($A453="","",COUNTIF($D453:$R453,"ERROR"))</f>
        <v/>
      </c>
      <c r="T453" s="165" t="str">
        <f>IF($A453="","",COUNTIF($D453:$R453,"WARNING"))</f>
        <v/>
      </c>
      <c r="U453" s="165" t="str">
        <f>IF($A453="","",IF($S453&gt;0,"ERROR",IF($T453&gt;0,"WARNING","PASS")))</f>
        <v/>
      </c>
    </row>
    <row r="454" spans="1:21" x14ac:dyDescent="0.3">
      <c r="A454" t="str">
        <f>IF(AND('Daily Data'!$A454="",'Daily Data'!$B454=""),"",454)</f>
        <v/>
      </c>
      <c r="B454" s="16" t="str">
        <f>IF($A454="","",'Daily Data'!$A454)</f>
        <v/>
      </c>
      <c r="C454" t="str">
        <f>IF($A454="","",'Daily Data'!$B454)</f>
        <v/>
      </c>
      <c r="D454" s="165" t="str">
        <f>IF($A454="","",IF(COUNTIFS('Daily Data'!$B$4:$B$503,'Daily Data'!$B454,'Daily Data'!$A$4:$A$503,'Daily Data'!$A454)&gt;1,"ERROR","OK"))</f>
        <v/>
      </c>
      <c r="E454" s="165" t="str">
        <f>IF($A454="","",IF('Daily Data'!$B454="","ERROR","OK"))</f>
        <v/>
      </c>
      <c r="F454" s="165" t="str">
        <f>IF($A454="","",IF(NOT(ISNUMBER('Daily Data'!$A454)),"ERROR","OK"))</f>
        <v/>
      </c>
      <c r="G454" s="165" t="str">
        <f>IF($A454="","",IF(OR(N('Daily Data'!$E454)&lt;=0,N('Daily Data'!$C454)&lt;0,N('Daily Data'!$D454)&lt;0,N('Daily Data'!$F454)&lt;0,N('Daily Data'!$G454)&lt;0),"ERROR","OK"))</f>
        <v/>
      </c>
      <c r="H454" s="165" t="str">
        <f>IF($A454="","",IF(N('Daily Data'!$K454)&lt;0,"ERROR","OK"))</f>
        <v/>
      </c>
      <c r="I454" s="165" t="str">
        <f>IF($A454="","",IF(N('Daily Data'!$I454)&lt;0,"ERROR","OK"))</f>
        <v/>
      </c>
      <c r="J454" s="165" t="str">
        <f>IF($A454="","",IF(N('Daily Data'!$L454)&lt;0,"ERROR","OK"))</f>
        <v/>
      </c>
      <c r="K454" s="165" t="str">
        <f>IF($A454="","",IF(N('Daily Data'!$M454)&lt;0,"ERROR","OK"))</f>
        <v/>
      </c>
      <c r="L454" s="165" t="str">
        <f>IF($A454="","",IF(OR(N('Daily Data'!$F454)=0,N('Daily Data'!$G454)=0),"OK",IF(OR(N('Daily Data'!$E454)&gt;N('Daily Data'!$F454),N('Daily Data'!$E454)&lt;N('Daily Data'!$G454)),"ERROR","OK")))</f>
        <v/>
      </c>
      <c r="M454" s="165" t="str">
        <f>IF($A454="","",IF(N('Daily Data'!$AK454)&lt;=1,"OK",IF(ROUND(N('Daily Data'!$D454),2)=ROUND(SUMIFS('Daily Data'!$E$4:$E$503,'Daily Data'!$B$4:$B$503,'Daily Data'!$B454,'Daily Data'!$AK$4:$AK$503,'Daily Data'!$AK454-1),2),"OK","WARNING")))</f>
        <v/>
      </c>
      <c r="N454" s="165" t="str">
        <f>IF($A454="","",IF(N('Daily Data'!$N454)&lt;=0,"WARNING","OK"))</f>
        <v/>
      </c>
      <c r="O454" s="165" t="str">
        <f>IF($A454="","",IF(AND(ISNUMBER('Daily Data'!$H454),ABS(N('Daily Data'!$H454))&gt;Settings!$C$56),"WARNING","OK"))</f>
        <v/>
      </c>
      <c r="P454" s="165" t="str">
        <f>IF($A454="","",IF(OR(AND(N('Daily Data'!$K454)=0,N('Daily Data'!$I454)&gt;0),AND(N('Daily Data'!$I454)=0,N('Daily Data'!$K454)&gt;0),AND(N('Daily Data'!$L454)=0,N('Daily Data'!$M454)=0)),"WARNING","OK"))</f>
        <v/>
      </c>
      <c r="Q454" s="165" t="str">
        <f>IF($A454="","",IF(COUNTIFS('Daily Data'!$B$4:$B$503,'Daily Data'!$B454,'Daily Data'!$A$4:$A$503,'Daily Data'!$A454,'Daily Data'!$Q$4:$Q$503,'Daily Data'!$Q454)&gt;1,"WARNING","OK"))</f>
        <v/>
      </c>
      <c r="R454" s="165" t="str">
        <f>IF($A454="","",IF(AND(N('Daily Data'!$K454)&gt;0,N('Daily Data'!$J454)&lt;=0),"WARNING","OK"))</f>
        <v/>
      </c>
      <c r="S454" s="165" t="str">
        <f>IF($A454="","",COUNTIF($D454:$R454,"ERROR"))</f>
        <v/>
      </c>
      <c r="T454" s="165" t="str">
        <f>IF($A454="","",COUNTIF($D454:$R454,"WARNING"))</f>
        <v/>
      </c>
      <c r="U454" s="165" t="str">
        <f>IF($A454="","",IF($S454&gt;0,"ERROR",IF($T454&gt;0,"WARNING","PASS")))</f>
        <v/>
      </c>
    </row>
    <row r="455" spans="1:21" x14ac:dyDescent="0.3">
      <c r="A455" t="str">
        <f>IF(AND('Daily Data'!$A455="",'Daily Data'!$B455=""),"",455)</f>
        <v/>
      </c>
      <c r="B455" s="16" t="str">
        <f>IF($A455="","",'Daily Data'!$A455)</f>
        <v/>
      </c>
      <c r="C455" t="str">
        <f>IF($A455="","",'Daily Data'!$B455)</f>
        <v/>
      </c>
      <c r="D455" s="165" t="str">
        <f>IF($A455="","",IF(COUNTIFS('Daily Data'!$B$4:$B$503,'Daily Data'!$B455,'Daily Data'!$A$4:$A$503,'Daily Data'!$A455)&gt;1,"ERROR","OK"))</f>
        <v/>
      </c>
      <c r="E455" s="165" t="str">
        <f>IF($A455="","",IF('Daily Data'!$B455="","ERROR","OK"))</f>
        <v/>
      </c>
      <c r="F455" s="165" t="str">
        <f>IF($A455="","",IF(NOT(ISNUMBER('Daily Data'!$A455)),"ERROR","OK"))</f>
        <v/>
      </c>
      <c r="G455" s="165" t="str">
        <f>IF($A455="","",IF(OR(N('Daily Data'!$E455)&lt;=0,N('Daily Data'!$C455)&lt;0,N('Daily Data'!$D455)&lt;0,N('Daily Data'!$F455)&lt;0,N('Daily Data'!$G455)&lt;0),"ERROR","OK"))</f>
        <v/>
      </c>
      <c r="H455" s="165" t="str">
        <f>IF($A455="","",IF(N('Daily Data'!$K455)&lt;0,"ERROR","OK"))</f>
        <v/>
      </c>
      <c r="I455" s="165" t="str">
        <f>IF($A455="","",IF(N('Daily Data'!$I455)&lt;0,"ERROR","OK"))</f>
        <v/>
      </c>
      <c r="J455" s="165" t="str">
        <f>IF($A455="","",IF(N('Daily Data'!$L455)&lt;0,"ERROR","OK"))</f>
        <v/>
      </c>
      <c r="K455" s="165" t="str">
        <f>IF($A455="","",IF(N('Daily Data'!$M455)&lt;0,"ERROR","OK"))</f>
        <v/>
      </c>
      <c r="L455" s="165" t="str">
        <f>IF($A455="","",IF(OR(N('Daily Data'!$F455)=0,N('Daily Data'!$G455)=0),"OK",IF(OR(N('Daily Data'!$E455)&gt;N('Daily Data'!$F455),N('Daily Data'!$E455)&lt;N('Daily Data'!$G455)),"ERROR","OK")))</f>
        <v/>
      </c>
      <c r="M455" s="165" t="str">
        <f>IF($A455="","",IF(N('Daily Data'!$AK455)&lt;=1,"OK",IF(ROUND(N('Daily Data'!$D455),2)=ROUND(SUMIFS('Daily Data'!$E$4:$E$503,'Daily Data'!$B$4:$B$503,'Daily Data'!$B455,'Daily Data'!$AK$4:$AK$503,'Daily Data'!$AK455-1),2),"OK","WARNING")))</f>
        <v/>
      </c>
      <c r="N455" s="165" t="str">
        <f>IF($A455="","",IF(N('Daily Data'!$N455)&lt;=0,"WARNING","OK"))</f>
        <v/>
      </c>
      <c r="O455" s="165" t="str">
        <f>IF($A455="","",IF(AND(ISNUMBER('Daily Data'!$H455),ABS(N('Daily Data'!$H455))&gt;Settings!$C$56),"WARNING","OK"))</f>
        <v/>
      </c>
      <c r="P455" s="165" t="str">
        <f>IF($A455="","",IF(OR(AND(N('Daily Data'!$K455)=0,N('Daily Data'!$I455)&gt;0),AND(N('Daily Data'!$I455)=0,N('Daily Data'!$K455)&gt;0),AND(N('Daily Data'!$L455)=0,N('Daily Data'!$M455)=0)),"WARNING","OK"))</f>
        <v/>
      </c>
      <c r="Q455" s="165" t="str">
        <f>IF($A455="","",IF(COUNTIFS('Daily Data'!$B$4:$B$503,'Daily Data'!$B455,'Daily Data'!$A$4:$A$503,'Daily Data'!$A455,'Daily Data'!$Q$4:$Q$503,'Daily Data'!$Q455)&gt;1,"WARNING","OK"))</f>
        <v/>
      </c>
      <c r="R455" s="165" t="str">
        <f>IF($A455="","",IF(AND(N('Daily Data'!$K455)&gt;0,N('Daily Data'!$J455)&lt;=0),"WARNING","OK"))</f>
        <v/>
      </c>
      <c r="S455" s="165" t="str">
        <f>IF($A455="","",COUNTIF($D455:$R455,"ERROR"))</f>
        <v/>
      </c>
      <c r="T455" s="165" t="str">
        <f>IF($A455="","",COUNTIF($D455:$R455,"WARNING"))</f>
        <v/>
      </c>
      <c r="U455" s="165" t="str">
        <f>IF($A455="","",IF($S455&gt;0,"ERROR",IF($T455&gt;0,"WARNING","PASS")))</f>
        <v/>
      </c>
    </row>
    <row r="456" spans="1:21" x14ac:dyDescent="0.3">
      <c r="A456" t="str">
        <f>IF(AND('Daily Data'!$A456="",'Daily Data'!$B456=""),"",456)</f>
        <v/>
      </c>
      <c r="B456" s="16" t="str">
        <f>IF($A456="","",'Daily Data'!$A456)</f>
        <v/>
      </c>
      <c r="C456" t="str">
        <f>IF($A456="","",'Daily Data'!$B456)</f>
        <v/>
      </c>
      <c r="D456" s="165" t="str">
        <f>IF($A456="","",IF(COUNTIFS('Daily Data'!$B$4:$B$503,'Daily Data'!$B456,'Daily Data'!$A$4:$A$503,'Daily Data'!$A456)&gt;1,"ERROR","OK"))</f>
        <v/>
      </c>
      <c r="E456" s="165" t="str">
        <f>IF($A456="","",IF('Daily Data'!$B456="","ERROR","OK"))</f>
        <v/>
      </c>
      <c r="F456" s="165" t="str">
        <f>IF($A456="","",IF(NOT(ISNUMBER('Daily Data'!$A456)),"ERROR","OK"))</f>
        <v/>
      </c>
      <c r="G456" s="165" t="str">
        <f>IF($A456="","",IF(OR(N('Daily Data'!$E456)&lt;=0,N('Daily Data'!$C456)&lt;0,N('Daily Data'!$D456)&lt;0,N('Daily Data'!$F456)&lt;0,N('Daily Data'!$G456)&lt;0),"ERROR","OK"))</f>
        <v/>
      </c>
      <c r="H456" s="165" t="str">
        <f>IF($A456="","",IF(N('Daily Data'!$K456)&lt;0,"ERROR","OK"))</f>
        <v/>
      </c>
      <c r="I456" s="165" t="str">
        <f>IF($A456="","",IF(N('Daily Data'!$I456)&lt;0,"ERROR","OK"))</f>
        <v/>
      </c>
      <c r="J456" s="165" t="str">
        <f>IF($A456="","",IF(N('Daily Data'!$L456)&lt;0,"ERROR","OK"))</f>
        <v/>
      </c>
      <c r="K456" s="165" t="str">
        <f>IF($A456="","",IF(N('Daily Data'!$M456)&lt;0,"ERROR","OK"))</f>
        <v/>
      </c>
      <c r="L456" s="165" t="str">
        <f>IF($A456="","",IF(OR(N('Daily Data'!$F456)=0,N('Daily Data'!$G456)=0),"OK",IF(OR(N('Daily Data'!$E456)&gt;N('Daily Data'!$F456),N('Daily Data'!$E456)&lt;N('Daily Data'!$G456)),"ERROR","OK")))</f>
        <v/>
      </c>
      <c r="M456" s="165" t="str">
        <f>IF($A456="","",IF(N('Daily Data'!$AK456)&lt;=1,"OK",IF(ROUND(N('Daily Data'!$D456),2)=ROUND(SUMIFS('Daily Data'!$E$4:$E$503,'Daily Data'!$B$4:$B$503,'Daily Data'!$B456,'Daily Data'!$AK$4:$AK$503,'Daily Data'!$AK456-1),2),"OK","WARNING")))</f>
        <v/>
      </c>
      <c r="N456" s="165" t="str">
        <f>IF($A456="","",IF(N('Daily Data'!$N456)&lt;=0,"WARNING","OK"))</f>
        <v/>
      </c>
      <c r="O456" s="165" t="str">
        <f>IF($A456="","",IF(AND(ISNUMBER('Daily Data'!$H456),ABS(N('Daily Data'!$H456))&gt;Settings!$C$56),"WARNING","OK"))</f>
        <v/>
      </c>
      <c r="P456" s="165" t="str">
        <f>IF($A456="","",IF(OR(AND(N('Daily Data'!$K456)=0,N('Daily Data'!$I456)&gt;0),AND(N('Daily Data'!$I456)=0,N('Daily Data'!$K456)&gt;0),AND(N('Daily Data'!$L456)=0,N('Daily Data'!$M456)=0)),"WARNING","OK"))</f>
        <v/>
      </c>
      <c r="Q456" s="165" t="str">
        <f>IF($A456="","",IF(COUNTIFS('Daily Data'!$B$4:$B$503,'Daily Data'!$B456,'Daily Data'!$A$4:$A$503,'Daily Data'!$A456,'Daily Data'!$Q$4:$Q$503,'Daily Data'!$Q456)&gt;1,"WARNING","OK"))</f>
        <v/>
      </c>
      <c r="R456" s="165" t="str">
        <f>IF($A456="","",IF(AND(N('Daily Data'!$K456)&gt;0,N('Daily Data'!$J456)&lt;=0),"WARNING","OK"))</f>
        <v/>
      </c>
      <c r="S456" s="165" t="str">
        <f>IF($A456="","",COUNTIF($D456:$R456,"ERROR"))</f>
        <v/>
      </c>
      <c r="T456" s="165" t="str">
        <f>IF($A456="","",COUNTIF($D456:$R456,"WARNING"))</f>
        <v/>
      </c>
      <c r="U456" s="165" t="str">
        <f>IF($A456="","",IF($S456&gt;0,"ERROR",IF($T456&gt;0,"WARNING","PASS")))</f>
        <v/>
      </c>
    </row>
    <row r="457" spans="1:21" x14ac:dyDescent="0.3">
      <c r="A457" t="str">
        <f>IF(AND('Daily Data'!$A457="",'Daily Data'!$B457=""),"",457)</f>
        <v/>
      </c>
      <c r="B457" s="16" t="str">
        <f>IF($A457="","",'Daily Data'!$A457)</f>
        <v/>
      </c>
      <c r="C457" t="str">
        <f>IF($A457="","",'Daily Data'!$B457)</f>
        <v/>
      </c>
      <c r="D457" s="165" t="str">
        <f>IF($A457="","",IF(COUNTIFS('Daily Data'!$B$4:$B$503,'Daily Data'!$B457,'Daily Data'!$A$4:$A$503,'Daily Data'!$A457)&gt;1,"ERROR","OK"))</f>
        <v/>
      </c>
      <c r="E457" s="165" t="str">
        <f>IF($A457="","",IF('Daily Data'!$B457="","ERROR","OK"))</f>
        <v/>
      </c>
      <c r="F457" s="165" t="str">
        <f>IF($A457="","",IF(NOT(ISNUMBER('Daily Data'!$A457)),"ERROR","OK"))</f>
        <v/>
      </c>
      <c r="G457" s="165" t="str">
        <f>IF($A457="","",IF(OR(N('Daily Data'!$E457)&lt;=0,N('Daily Data'!$C457)&lt;0,N('Daily Data'!$D457)&lt;0,N('Daily Data'!$F457)&lt;0,N('Daily Data'!$G457)&lt;0),"ERROR","OK"))</f>
        <v/>
      </c>
      <c r="H457" s="165" t="str">
        <f>IF($A457="","",IF(N('Daily Data'!$K457)&lt;0,"ERROR","OK"))</f>
        <v/>
      </c>
      <c r="I457" s="165" t="str">
        <f>IF($A457="","",IF(N('Daily Data'!$I457)&lt;0,"ERROR","OK"))</f>
        <v/>
      </c>
      <c r="J457" s="165" t="str">
        <f>IF($A457="","",IF(N('Daily Data'!$L457)&lt;0,"ERROR","OK"))</f>
        <v/>
      </c>
      <c r="K457" s="165" t="str">
        <f>IF($A457="","",IF(N('Daily Data'!$M457)&lt;0,"ERROR","OK"))</f>
        <v/>
      </c>
      <c r="L457" s="165" t="str">
        <f>IF($A457="","",IF(OR(N('Daily Data'!$F457)=0,N('Daily Data'!$G457)=0),"OK",IF(OR(N('Daily Data'!$E457)&gt;N('Daily Data'!$F457),N('Daily Data'!$E457)&lt;N('Daily Data'!$G457)),"ERROR","OK")))</f>
        <v/>
      </c>
      <c r="M457" s="165" t="str">
        <f>IF($A457="","",IF(N('Daily Data'!$AK457)&lt;=1,"OK",IF(ROUND(N('Daily Data'!$D457),2)=ROUND(SUMIFS('Daily Data'!$E$4:$E$503,'Daily Data'!$B$4:$B$503,'Daily Data'!$B457,'Daily Data'!$AK$4:$AK$503,'Daily Data'!$AK457-1),2),"OK","WARNING")))</f>
        <v/>
      </c>
      <c r="N457" s="165" t="str">
        <f>IF($A457="","",IF(N('Daily Data'!$N457)&lt;=0,"WARNING","OK"))</f>
        <v/>
      </c>
      <c r="O457" s="165" t="str">
        <f>IF($A457="","",IF(AND(ISNUMBER('Daily Data'!$H457),ABS(N('Daily Data'!$H457))&gt;Settings!$C$56),"WARNING","OK"))</f>
        <v/>
      </c>
      <c r="P457" s="165" t="str">
        <f>IF($A457="","",IF(OR(AND(N('Daily Data'!$K457)=0,N('Daily Data'!$I457)&gt;0),AND(N('Daily Data'!$I457)=0,N('Daily Data'!$K457)&gt;0),AND(N('Daily Data'!$L457)=0,N('Daily Data'!$M457)=0)),"WARNING","OK"))</f>
        <v/>
      </c>
      <c r="Q457" s="165" t="str">
        <f>IF($A457="","",IF(COUNTIFS('Daily Data'!$B$4:$B$503,'Daily Data'!$B457,'Daily Data'!$A$4:$A$503,'Daily Data'!$A457,'Daily Data'!$Q$4:$Q$503,'Daily Data'!$Q457)&gt;1,"WARNING","OK"))</f>
        <v/>
      </c>
      <c r="R457" s="165" t="str">
        <f>IF($A457="","",IF(AND(N('Daily Data'!$K457)&gt;0,N('Daily Data'!$J457)&lt;=0),"WARNING","OK"))</f>
        <v/>
      </c>
      <c r="S457" s="165" t="str">
        <f>IF($A457="","",COUNTIF($D457:$R457,"ERROR"))</f>
        <v/>
      </c>
      <c r="T457" s="165" t="str">
        <f>IF($A457="","",COUNTIF($D457:$R457,"WARNING"))</f>
        <v/>
      </c>
      <c r="U457" s="165" t="str">
        <f>IF($A457="","",IF($S457&gt;0,"ERROR",IF($T457&gt;0,"WARNING","PASS")))</f>
        <v/>
      </c>
    </row>
    <row r="458" spans="1:21" x14ac:dyDescent="0.3">
      <c r="A458" t="str">
        <f>IF(AND('Daily Data'!$A458="",'Daily Data'!$B458=""),"",458)</f>
        <v/>
      </c>
      <c r="B458" s="16" t="str">
        <f>IF($A458="","",'Daily Data'!$A458)</f>
        <v/>
      </c>
      <c r="C458" t="str">
        <f>IF($A458="","",'Daily Data'!$B458)</f>
        <v/>
      </c>
      <c r="D458" s="165" t="str">
        <f>IF($A458="","",IF(COUNTIFS('Daily Data'!$B$4:$B$503,'Daily Data'!$B458,'Daily Data'!$A$4:$A$503,'Daily Data'!$A458)&gt;1,"ERROR","OK"))</f>
        <v/>
      </c>
      <c r="E458" s="165" t="str">
        <f>IF($A458="","",IF('Daily Data'!$B458="","ERROR","OK"))</f>
        <v/>
      </c>
      <c r="F458" s="165" t="str">
        <f>IF($A458="","",IF(NOT(ISNUMBER('Daily Data'!$A458)),"ERROR","OK"))</f>
        <v/>
      </c>
      <c r="G458" s="165" t="str">
        <f>IF($A458="","",IF(OR(N('Daily Data'!$E458)&lt;=0,N('Daily Data'!$C458)&lt;0,N('Daily Data'!$D458)&lt;0,N('Daily Data'!$F458)&lt;0,N('Daily Data'!$G458)&lt;0),"ERROR","OK"))</f>
        <v/>
      </c>
      <c r="H458" s="165" t="str">
        <f>IF($A458="","",IF(N('Daily Data'!$K458)&lt;0,"ERROR","OK"))</f>
        <v/>
      </c>
      <c r="I458" s="165" t="str">
        <f>IF($A458="","",IF(N('Daily Data'!$I458)&lt;0,"ERROR","OK"))</f>
        <v/>
      </c>
      <c r="J458" s="165" t="str">
        <f>IF($A458="","",IF(N('Daily Data'!$L458)&lt;0,"ERROR","OK"))</f>
        <v/>
      </c>
      <c r="K458" s="165" t="str">
        <f>IF($A458="","",IF(N('Daily Data'!$M458)&lt;0,"ERROR","OK"))</f>
        <v/>
      </c>
      <c r="L458" s="165" t="str">
        <f>IF($A458="","",IF(OR(N('Daily Data'!$F458)=0,N('Daily Data'!$G458)=0),"OK",IF(OR(N('Daily Data'!$E458)&gt;N('Daily Data'!$F458),N('Daily Data'!$E458)&lt;N('Daily Data'!$G458)),"ERROR","OK")))</f>
        <v/>
      </c>
      <c r="M458" s="165" t="str">
        <f>IF($A458="","",IF(N('Daily Data'!$AK458)&lt;=1,"OK",IF(ROUND(N('Daily Data'!$D458),2)=ROUND(SUMIFS('Daily Data'!$E$4:$E$503,'Daily Data'!$B$4:$B$503,'Daily Data'!$B458,'Daily Data'!$AK$4:$AK$503,'Daily Data'!$AK458-1),2),"OK","WARNING")))</f>
        <v/>
      </c>
      <c r="N458" s="165" t="str">
        <f>IF($A458="","",IF(N('Daily Data'!$N458)&lt;=0,"WARNING","OK"))</f>
        <v/>
      </c>
      <c r="O458" s="165" t="str">
        <f>IF($A458="","",IF(AND(ISNUMBER('Daily Data'!$H458),ABS(N('Daily Data'!$H458))&gt;Settings!$C$56),"WARNING","OK"))</f>
        <v/>
      </c>
      <c r="P458" s="165" t="str">
        <f>IF($A458="","",IF(OR(AND(N('Daily Data'!$K458)=0,N('Daily Data'!$I458)&gt;0),AND(N('Daily Data'!$I458)=0,N('Daily Data'!$K458)&gt;0),AND(N('Daily Data'!$L458)=0,N('Daily Data'!$M458)=0)),"WARNING","OK"))</f>
        <v/>
      </c>
      <c r="Q458" s="165" t="str">
        <f>IF($A458="","",IF(COUNTIFS('Daily Data'!$B$4:$B$503,'Daily Data'!$B458,'Daily Data'!$A$4:$A$503,'Daily Data'!$A458,'Daily Data'!$Q$4:$Q$503,'Daily Data'!$Q458)&gt;1,"WARNING","OK"))</f>
        <v/>
      </c>
      <c r="R458" s="165" t="str">
        <f>IF($A458="","",IF(AND(N('Daily Data'!$K458)&gt;0,N('Daily Data'!$J458)&lt;=0),"WARNING","OK"))</f>
        <v/>
      </c>
      <c r="S458" s="165" t="str">
        <f>IF($A458="","",COUNTIF($D458:$R458,"ERROR"))</f>
        <v/>
      </c>
      <c r="T458" s="165" t="str">
        <f>IF($A458="","",COUNTIF($D458:$R458,"WARNING"))</f>
        <v/>
      </c>
      <c r="U458" s="165" t="str">
        <f>IF($A458="","",IF($S458&gt;0,"ERROR",IF($T458&gt;0,"WARNING","PASS")))</f>
        <v/>
      </c>
    </row>
    <row r="459" spans="1:21" x14ac:dyDescent="0.3">
      <c r="A459" t="str">
        <f>IF(AND('Daily Data'!$A459="",'Daily Data'!$B459=""),"",459)</f>
        <v/>
      </c>
      <c r="B459" s="16" t="str">
        <f>IF($A459="","",'Daily Data'!$A459)</f>
        <v/>
      </c>
      <c r="C459" t="str">
        <f>IF($A459="","",'Daily Data'!$B459)</f>
        <v/>
      </c>
      <c r="D459" s="165" t="str">
        <f>IF($A459="","",IF(COUNTIFS('Daily Data'!$B$4:$B$503,'Daily Data'!$B459,'Daily Data'!$A$4:$A$503,'Daily Data'!$A459)&gt;1,"ERROR","OK"))</f>
        <v/>
      </c>
      <c r="E459" s="165" t="str">
        <f>IF($A459="","",IF('Daily Data'!$B459="","ERROR","OK"))</f>
        <v/>
      </c>
      <c r="F459" s="165" t="str">
        <f>IF($A459="","",IF(NOT(ISNUMBER('Daily Data'!$A459)),"ERROR","OK"))</f>
        <v/>
      </c>
      <c r="G459" s="165" t="str">
        <f>IF($A459="","",IF(OR(N('Daily Data'!$E459)&lt;=0,N('Daily Data'!$C459)&lt;0,N('Daily Data'!$D459)&lt;0,N('Daily Data'!$F459)&lt;0,N('Daily Data'!$G459)&lt;0),"ERROR","OK"))</f>
        <v/>
      </c>
      <c r="H459" s="165" t="str">
        <f>IF($A459="","",IF(N('Daily Data'!$K459)&lt;0,"ERROR","OK"))</f>
        <v/>
      </c>
      <c r="I459" s="165" t="str">
        <f>IF($A459="","",IF(N('Daily Data'!$I459)&lt;0,"ERROR","OK"))</f>
        <v/>
      </c>
      <c r="J459" s="165" t="str">
        <f>IF($A459="","",IF(N('Daily Data'!$L459)&lt;0,"ERROR","OK"))</f>
        <v/>
      </c>
      <c r="K459" s="165" t="str">
        <f>IF($A459="","",IF(N('Daily Data'!$M459)&lt;0,"ERROR","OK"))</f>
        <v/>
      </c>
      <c r="L459" s="165" t="str">
        <f>IF($A459="","",IF(OR(N('Daily Data'!$F459)=0,N('Daily Data'!$G459)=0),"OK",IF(OR(N('Daily Data'!$E459)&gt;N('Daily Data'!$F459),N('Daily Data'!$E459)&lt;N('Daily Data'!$G459)),"ERROR","OK")))</f>
        <v/>
      </c>
      <c r="M459" s="165" t="str">
        <f>IF($A459="","",IF(N('Daily Data'!$AK459)&lt;=1,"OK",IF(ROUND(N('Daily Data'!$D459),2)=ROUND(SUMIFS('Daily Data'!$E$4:$E$503,'Daily Data'!$B$4:$B$503,'Daily Data'!$B459,'Daily Data'!$AK$4:$AK$503,'Daily Data'!$AK459-1),2),"OK","WARNING")))</f>
        <v/>
      </c>
      <c r="N459" s="165" t="str">
        <f>IF($A459="","",IF(N('Daily Data'!$N459)&lt;=0,"WARNING","OK"))</f>
        <v/>
      </c>
      <c r="O459" s="165" t="str">
        <f>IF($A459="","",IF(AND(ISNUMBER('Daily Data'!$H459),ABS(N('Daily Data'!$H459))&gt;Settings!$C$56),"WARNING","OK"))</f>
        <v/>
      </c>
      <c r="P459" s="165" t="str">
        <f>IF($A459="","",IF(OR(AND(N('Daily Data'!$K459)=0,N('Daily Data'!$I459)&gt;0),AND(N('Daily Data'!$I459)=0,N('Daily Data'!$K459)&gt;0),AND(N('Daily Data'!$L459)=0,N('Daily Data'!$M459)=0)),"WARNING","OK"))</f>
        <v/>
      </c>
      <c r="Q459" s="165" t="str">
        <f>IF($A459="","",IF(COUNTIFS('Daily Data'!$B$4:$B$503,'Daily Data'!$B459,'Daily Data'!$A$4:$A$503,'Daily Data'!$A459,'Daily Data'!$Q$4:$Q$503,'Daily Data'!$Q459)&gt;1,"WARNING","OK"))</f>
        <v/>
      </c>
      <c r="R459" s="165" t="str">
        <f>IF($A459="","",IF(AND(N('Daily Data'!$K459)&gt;0,N('Daily Data'!$J459)&lt;=0),"WARNING","OK"))</f>
        <v/>
      </c>
      <c r="S459" s="165" t="str">
        <f>IF($A459="","",COUNTIF($D459:$R459,"ERROR"))</f>
        <v/>
      </c>
      <c r="T459" s="165" t="str">
        <f>IF($A459="","",COUNTIF($D459:$R459,"WARNING"))</f>
        <v/>
      </c>
      <c r="U459" s="165" t="str">
        <f>IF($A459="","",IF($S459&gt;0,"ERROR",IF($T459&gt;0,"WARNING","PASS")))</f>
        <v/>
      </c>
    </row>
    <row r="460" spans="1:21" x14ac:dyDescent="0.3">
      <c r="A460" t="str">
        <f>IF(AND('Daily Data'!$A460="",'Daily Data'!$B460=""),"",460)</f>
        <v/>
      </c>
      <c r="B460" s="16" t="str">
        <f>IF($A460="","",'Daily Data'!$A460)</f>
        <v/>
      </c>
      <c r="C460" t="str">
        <f>IF($A460="","",'Daily Data'!$B460)</f>
        <v/>
      </c>
      <c r="D460" s="165" t="str">
        <f>IF($A460="","",IF(COUNTIFS('Daily Data'!$B$4:$B$503,'Daily Data'!$B460,'Daily Data'!$A$4:$A$503,'Daily Data'!$A460)&gt;1,"ERROR","OK"))</f>
        <v/>
      </c>
      <c r="E460" s="165" t="str">
        <f>IF($A460="","",IF('Daily Data'!$B460="","ERROR","OK"))</f>
        <v/>
      </c>
      <c r="F460" s="165" t="str">
        <f>IF($A460="","",IF(NOT(ISNUMBER('Daily Data'!$A460)),"ERROR","OK"))</f>
        <v/>
      </c>
      <c r="G460" s="165" t="str">
        <f>IF($A460="","",IF(OR(N('Daily Data'!$E460)&lt;=0,N('Daily Data'!$C460)&lt;0,N('Daily Data'!$D460)&lt;0,N('Daily Data'!$F460)&lt;0,N('Daily Data'!$G460)&lt;0),"ERROR","OK"))</f>
        <v/>
      </c>
      <c r="H460" s="165" t="str">
        <f>IF($A460="","",IF(N('Daily Data'!$K460)&lt;0,"ERROR","OK"))</f>
        <v/>
      </c>
      <c r="I460" s="165" t="str">
        <f>IF($A460="","",IF(N('Daily Data'!$I460)&lt;0,"ERROR","OK"))</f>
        <v/>
      </c>
      <c r="J460" s="165" t="str">
        <f>IF($A460="","",IF(N('Daily Data'!$L460)&lt;0,"ERROR","OK"))</f>
        <v/>
      </c>
      <c r="K460" s="165" t="str">
        <f>IF($A460="","",IF(N('Daily Data'!$M460)&lt;0,"ERROR","OK"))</f>
        <v/>
      </c>
      <c r="L460" s="165" t="str">
        <f>IF($A460="","",IF(OR(N('Daily Data'!$F460)=0,N('Daily Data'!$G460)=0),"OK",IF(OR(N('Daily Data'!$E460)&gt;N('Daily Data'!$F460),N('Daily Data'!$E460)&lt;N('Daily Data'!$G460)),"ERROR","OK")))</f>
        <v/>
      </c>
      <c r="M460" s="165" t="str">
        <f>IF($A460="","",IF(N('Daily Data'!$AK460)&lt;=1,"OK",IF(ROUND(N('Daily Data'!$D460),2)=ROUND(SUMIFS('Daily Data'!$E$4:$E$503,'Daily Data'!$B$4:$B$503,'Daily Data'!$B460,'Daily Data'!$AK$4:$AK$503,'Daily Data'!$AK460-1),2),"OK","WARNING")))</f>
        <v/>
      </c>
      <c r="N460" s="165" t="str">
        <f>IF($A460="","",IF(N('Daily Data'!$N460)&lt;=0,"WARNING","OK"))</f>
        <v/>
      </c>
      <c r="O460" s="165" t="str">
        <f>IF($A460="","",IF(AND(ISNUMBER('Daily Data'!$H460),ABS(N('Daily Data'!$H460))&gt;Settings!$C$56),"WARNING","OK"))</f>
        <v/>
      </c>
      <c r="P460" s="165" t="str">
        <f>IF($A460="","",IF(OR(AND(N('Daily Data'!$K460)=0,N('Daily Data'!$I460)&gt;0),AND(N('Daily Data'!$I460)=0,N('Daily Data'!$K460)&gt;0),AND(N('Daily Data'!$L460)=0,N('Daily Data'!$M460)=0)),"WARNING","OK"))</f>
        <v/>
      </c>
      <c r="Q460" s="165" t="str">
        <f>IF($A460="","",IF(COUNTIFS('Daily Data'!$B$4:$B$503,'Daily Data'!$B460,'Daily Data'!$A$4:$A$503,'Daily Data'!$A460,'Daily Data'!$Q$4:$Q$503,'Daily Data'!$Q460)&gt;1,"WARNING","OK"))</f>
        <v/>
      </c>
      <c r="R460" s="165" t="str">
        <f>IF($A460="","",IF(AND(N('Daily Data'!$K460)&gt;0,N('Daily Data'!$J460)&lt;=0),"WARNING","OK"))</f>
        <v/>
      </c>
      <c r="S460" s="165" t="str">
        <f>IF($A460="","",COUNTIF($D460:$R460,"ERROR"))</f>
        <v/>
      </c>
      <c r="T460" s="165" t="str">
        <f>IF($A460="","",COUNTIF($D460:$R460,"WARNING"))</f>
        <v/>
      </c>
      <c r="U460" s="165" t="str">
        <f>IF($A460="","",IF($S460&gt;0,"ERROR",IF($T460&gt;0,"WARNING","PASS")))</f>
        <v/>
      </c>
    </row>
    <row r="461" spans="1:21" x14ac:dyDescent="0.3">
      <c r="A461" t="str">
        <f>IF(AND('Daily Data'!$A461="",'Daily Data'!$B461=""),"",461)</f>
        <v/>
      </c>
      <c r="B461" s="16" t="str">
        <f>IF($A461="","",'Daily Data'!$A461)</f>
        <v/>
      </c>
      <c r="C461" t="str">
        <f>IF($A461="","",'Daily Data'!$B461)</f>
        <v/>
      </c>
      <c r="D461" s="165" t="str">
        <f>IF($A461="","",IF(COUNTIFS('Daily Data'!$B$4:$B$503,'Daily Data'!$B461,'Daily Data'!$A$4:$A$503,'Daily Data'!$A461)&gt;1,"ERROR","OK"))</f>
        <v/>
      </c>
      <c r="E461" s="165" t="str">
        <f>IF($A461="","",IF('Daily Data'!$B461="","ERROR","OK"))</f>
        <v/>
      </c>
      <c r="F461" s="165" t="str">
        <f>IF($A461="","",IF(NOT(ISNUMBER('Daily Data'!$A461)),"ERROR","OK"))</f>
        <v/>
      </c>
      <c r="G461" s="165" t="str">
        <f>IF($A461="","",IF(OR(N('Daily Data'!$E461)&lt;=0,N('Daily Data'!$C461)&lt;0,N('Daily Data'!$D461)&lt;0,N('Daily Data'!$F461)&lt;0,N('Daily Data'!$G461)&lt;0),"ERROR","OK"))</f>
        <v/>
      </c>
      <c r="H461" s="165" t="str">
        <f>IF($A461="","",IF(N('Daily Data'!$K461)&lt;0,"ERROR","OK"))</f>
        <v/>
      </c>
      <c r="I461" s="165" t="str">
        <f>IF($A461="","",IF(N('Daily Data'!$I461)&lt;0,"ERROR","OK"))</f>
        <v/>
      </c>
      <c r="J461" s="165" t="str">
        <f>IF($A461="","",IF(N('Daily Data'!$L461)&lt;0,"ERROR","OK"))</f>
        <v/>
      </c>
      <c r="K461" s="165" t="str">
        <f>IF($A461="","",IF(N('Daily Data'!$M461)&lt;0,"ERROR","OK"))</f>
        <v/>
      </c>
      <c r="L461" s="165" t="str">
        <f>IF($A461="","",IF(OR(N('Daily Data'!$F461)=0,N('Daily Data'!$G461)=0),"OK",IF(OR(N('Daily Data'!$E461)&gt;N('Daily Data'!$F461),N('Daily Data'!$E461)&lt;N('Daily Data'!$G461)),"ERROR","OK")))</f>
        <v/>
      </c>
      <c r="M461" s="165" t="str">
        <f>IF($A461="","",IF(N('Daily Data'!$AK461)&lt;=1,"OK",IF(ROUND(N('Daily Data'!$D461),2)=ROUND(SUMIFS('Daily Data'!$E$4:$E$503,'Daily Data'!$B$4:$B$503,'Daily Data'!$B461,'Daily Data'!$AK$4:$AK$503,'Daily Data'!$AK461-1),2),"OK","WARNING")))</f>
        <v/>
      </c>
      <c r="N461" s="165" t="str">
        <f>IF($A461="","",IF(N('Daily Data'!$N461)&lt;=0,"WARNING","OK"))</f>
        <v/>
      </c>
      <c r="O461" s="165" t="str">
        <f>IF($A461="","",IF(AND(ISNUMBER('Daily Data'!$H461),ABS(N('Daily Data'!$H461))&gt;Settings!$C$56),"WARNING","OK"))</f>
        <v/>
      </c>
      <c r="P461" s="165" t="str">
        <f>IF($A461="","",IF(OR(AND(N('Daily Data'!$K461)=0,N('Daily Data'!$I461)&gt;0),AND(N('Daily Data'!$I461)=0,N('Daily Data'!$K461)&gt;0),AND(N('Daily Data'!$L461)=0,N('Daily Data'!$M461)=0)),"WARNING","OK"))</f>
        <v/>
      </c>
      <c r="Q461" s="165" t="str">
        <f>IF($A461="","",IF(COUNTIFS('Daily Data'!$B$4:$B$503,'Daily Data'!$B461,'Daily Data'!$A$4:$A$503,'Daily Data'!$A461,'Daily Data'!$Q$4:$Q$503,'Daily Data'!$Q461)&gt;1,"WARNING","OK"))</f>
        <v/>
      </c>
      <c r="R461" s="165" t="str">
        <f>IF($A461="","",IF(AND(N('Daily Data'!$K461)&gt;0,N('Daily Data'!$J461)&lt;=0),"WARNING","OK"))</f>
        <v/>
      </c>
      <c r="S461" s="165" t="str">
        <f>IF($A461="","",COUNTIF($D461:$R461,"ERROR"))</f>
        <v/>
      </c>
      <c r="T461" s="165" t="str">
        <f>IF($A461="","",COUNTIF($D461:$R461,"WARNING"))</f>
        <v/>
      </c>
      <c r="U461" s="165" t="str">
        <f>IF($A461="","",IF($S461&gt;0,"ERROR",IF($T461&gt;0,"WARNING","PASS")))</f>
        <v/>
      </c>
    </row>
    <row r="462" spans="1:21" x14ac:dyDescent="0.3">
      <c r="A462" t="str">
        <f>IF(AND('Daily Data'!$A462="",'Daily Data'!$B462=""),"",462)</f>
        <v/>
      </c>
      <c r="B462" s="16" t="str">
        <f>IF($A462="","",'Daily Data'!$A462)</f>
        <v/>
      </c>
      <c r="C462" t="str">
        <f>IF($A462="","",'Daily Data'!$B462)</f>
        <v/>
      </c>
      <c r="D462" s="165" t="str">
        <f>IF($A462="","",IF(COUNTIFS('Daily Data'!$B$4:$B$503,'Daily Data'!$B462,'Daily Data'!$A$4:$A$503,'Daily Data'!$A462)&gt;1,"ERROR","OK"))</f>
        <v/>
      </c>
      <c r="E462" s="165" t="str">
        <f>IF($A462="","",IF('Daily Data'!$B462="","ERROR","OK"))</f>
        <v/>
      </c>
      <c r="F462" s="165" t="str">
        <f>IF($A462="","",IF(NOT(ISNUMBER('Daily Data'!$A462)),"ERROR","OK"))</f>
        <v/>
      </c>
      <c r="G462" s="165" t="str">
        <f>IF($A462="","",IF(OR(N('Daily Data'!$E462)&lt;=0,N('Daily Data'!$C462)&lt;0,N('Daily Data'!$D462)&lt;0,N('Daily Data'!$F462)&lt;0,N('Daily Data'!$G462)&lt;0),"ERROR","OK"))</f>
        <v/>
      </c>
      <c r="H462" s="165" t="str">
        <f>IF($A462="","",IF(N('Daily Data'!$K462)&lt;0,"ERROR","OK"))</f>
        <v/>
      </c>
      <c r="I462" s="165" t="str">
        <f>IF($A462="","",IF(N('Daily Data'!$I462)&lt;0,"ERROR","OK"))</f>
        <v/>
      </c>
      <c r="J462" s="165" t="str">
        <f>IF($A462="","",IF(N('Daily Data'!$L462)&lt;0,"ERROR","OK"))</f>
        <v/>
      </c>
      <c r="K462" s="165" t="str">
        <f>IF($A462="","",IF(N('Daily Data'!$M462)&lt;0,"ERROR","OK"))</f>
        <v/>
      </c>
      <c r="L462" s="165" t="str">
        <f>IF($A462="","",IF(OR(N('Daily Data'!$F462)=0,N('Daily Data'!$G462)=0),"OK",IF(OR(N('Daily Data'!$E462)&gt;N('Daily Data'!$F462),N('Daily Data'!$E462)&lt;N('Daily Data'!$G462)),"ERROR","OK")))</f>
        <v/>
      </c>
      <c r="M462" s="165" t="str">
        <f>IF($A462="","",IF(N('Daily Data'!$AK462)&lt;=1,"OK",IF(ROUND(N('Daily Data'!$D462),2)=ROUND(SUMIFS('Daily Data'!$E$4:$E$503,'Daily Data'!$B$4:$B$503,'Daily Data'!$B462,'Daily Data'!$AK$4:$AK$503,'Daily Data'!$AK462-1),2),"OK","WARNING")))</f>
        <v/>
      </c>
      <c r="N462" s="165" t="str">
        <f>IF($A462="","",IF(N('Daily Data'!$N462)&lt;=0,"WARNING","OK"))</f>
        <v/>
      </c>
      <c r="O462" s="165" t="str">
        <f>IF($A462="","",IF(AND(ISNUMBER('Daily Data'!$H462),ABS(N('Daily Data'!$H462))&gt;Settings!$C$56),"WARNING","OK"))</f>
        <v/>
      </c>
      <c r="P462" s="165" t="str">
        <f>IF($A462="","",IF(OR(AND(N('Daily Data'!$K462)=0,N('Daily Data'!$I462)&gt;0),AND(N('Daily Data'!$I462)=0,N('Daily Data'!$K462)&gt;0),AND(N('Daily Data'!$L462)=0,N('Daily Data'!$M462)=0)),"WARNING","OK"))</f>
        <v/>
      </c>
      <c r="Q462" s="165" t="str">
        <f>IF($A462="","",IF(COUNTIFS('Daily Data'!$B$4:$B$503,'Daily Data'!$B462,'Daily Data'!$A$4:$A$503,'Daily Data'!$A462,'Daily Data'!$Q$4:$Q$503,'Daily Data'!$Q462)&gt;1,"WARNING","OK"))</f>
        <v/>
      </c>
      <c r="R462" s="165" t="str">
        <f>IF($A462="","",IF(AND(N('Daily Data'!$K462)&gt;0,N('Daily Data'!$J462)&lt;=0),"WARNING","OK"))</f>
        <v/>
      </c>
      <c r="S462" s="165" t="str">
        <f>IF($A462="","",COUNTIF($D462:$R462,"ERROR"))</f>
        <v/>
      </c>
      <c r="T462" s="165" t="str">
        <f>IF($A462="","",COUNTIF($D462:$R462,"WARNING"))</f>
        <v/>
      </c>
      <c r="U462" s="165" t="str">
        <f>IF($A462="","",IF($S462&gt;0,"ERROR",IF($T462&gt;0,"WARNING","PASS")))</f>
        <v/>
      </c>
    </row>
    <row r="463" spans="1:21" x14ac:dyDescent="0.3">
      <c r="A463" t="str">
        <f>IF(AND('Daily Data'!$A463="",'Daily Data'!$B463=""),"",463)</f>
        <v/>
      </c>
      <c r="B463" s="16" t="str">
        <f>IF($A463="","",'Daily Data'!$A463)</f>
        <v/>
      </c>
      <c r="C463" t="str">
        <f>IF($A463="","",'Daily Data'!$B463)</f>
        <v/>
      </c>
      <c r="D463" s="165" t="str">
        <f>IF($A463="","",IF(COUNTIFS('Daily Data'!$B$4:$B$503,'Daily Data'!$B463,'Daily Data'!$A$4:$A$503,'Daily Data'!$A463)&gt;1,"ERROR","OK"))</f>
        <v/>
      </c>
      <c r="E463" s="165" t="str">
        <f>IF($A463="","",IF('Daily Data'!$B463="","ERROR","OK"))</f>
        <v/>
      </c>
      <c r="F463" s="165" t="str">
        <f>IF($A463="","",IF(NOT(ISNUMBER('Daily Data'!$A463)),"ERROR","OK"))</f>
        <v/>
      </c>
      <c r="G463" s="165" t="str">
        <f>IF($A463="","",IF(OR(N('Daily Data'!$E463)&lt;=0,N('Daily Data'!$C463)&lt;0,N('Daily Data'!$D463)&lt;0,N('Daily Data'!$F463)&lt;0,N('Daily Data'!$G463)&lt;0),"ERROR","OK"))</f>
        <v/>
      </c>
      <c r="H463" s="165" t="str">
        <f>IF($A463="","",IF(N('Daily Data'!$K463)&lt;0,"ERROR","OK"))</f>
        <v/>
      </c>
      <c r="I463" s="165" t="str">
        <f>IF($A463="","",IF(N('Daily Data'!$I463)&lt;0,"ERROR","OK"))</f>
        <v/>
      </c>
      <c r="J463" s="165" t="str">
        <f>IF($A463="","",IF(N('Daily Data'!$L463)&lt;0,"ERROR","OK"))</f>
        <v/>
      </c>
      <c r="K463" s="165" t="str">
        <f>IF($A463="","",IF(N('Daily Data'!$M463)&lt;0,"ERROR","OK"))</f>
        <v/>
      </c>
      <c r="L463" s="165" t="str">
        <f>IF($A463="","",IF(OR(N('Daily Data'!$F463)=0,N('Daily Data'!$G463)=0),"OK",IF(OR(N('Daily Data'!$E463)&gt;N('Daily Data'!$F463),N('Daily Data'!$E463)&lt;N('Daily Data'!$G463)),"ERROR","OK")))</f>
        <v/>
      </c>
      <c r="M463" s="165" t="str">
        <f>IF($A463="","",IF(N('Daily Data'!$AK463)&lt;=1,"OK",IF(ROUND(N('Daily Data'!$D463),2)=ROUND(SUMIFS('Daily Data'!$E$4:$E$503,'Daily Data'!$B$4:$B$503,'Daily Data'!$B463,'Daily Data'!$AK$4:$AK$503,'Daily Data'!$AK463-1),2),"OK","WARNING")))</f>
        <v/>
      </c>
      <c r="N463" s="165" t="str">
        <f>IF($A463="","",IF(N('Daily Data'!$N463)&lt;=0,"WARNING","OK"))</f>
        <v/>
      </c>
      <c r="O463" s="165" t="str">
        <f>IF($A463="","",IF(AND(ISNUMBER('Daily Data'!$H463),ABS(N('Daily Data'!$H463))&gt;Settings!$C$56),"WARNING","OK"))</f>
        <v/>
      </c>
      <c r="P463" s="165" t="str">
        <f>IF($A463="","",IF(OR(AND(N('Daily Data'!$K463)=0,N('Daily Data'!$I463)&gt;0),AND(N('Daily Data'!$I463)=0,N('Daily Data'!$K463)&gt;0),AND(N('Daily Data'!$L463)=0,N('Daily Data'!$M463)=0)),"WARNING","OK"))</f>
        <v/>
      </c>
      <c r="Q463" s="165" t="str">
        <f>IF($A463="","",IF(COUNTIFS('Daily Data'!$B$4:$B$503,'Daily Data'!$B463,'Daily Data'!$A$4:$A$503,'Daily Data'!$A463,'Daily Data'!$Q$4:$Q$503,'Daily Data'!$Q463)&gt;1,"WARNING","OK"))</f>
        <v/>
      </c>
      <c r="R463" s="165" t="str">
        <f>IF($A463="","",IF(AND(N('Daily Data'!$K463)&gt;0,N('Daily Data'!$J463)&lt;=0),"WARNING","OK"))</f>
        <v/>
      </c>
      <c r="S463" s="165" t="str">
        <f>IF($A463="","",COUNTIF($D463:$R463,"ERROR"))</f>
        <v/>
      </c>
      <c r="T463" s="165" t="str">
        <f>IF($A463="","",COUNTIF($D463:$R463,"WARNING"))</f>
        <v/>
      </c>
      <c r="U463" s="165" t="str">
        <f>IF($A463="","",IF($S463&gt;0,"ERROR",IF($T463&gt;0,"WARNING","PASS")))</f>
        <v/>
      </c>
    </row>
    <row r="464" spans="1:21" x14ac:dyDescent="0.3">
      <c r="A464" t="str">
        <f>IF(AND('Daily Data'!$A464="",'Daily Data'!$B464=""),"",464)</f>
        <v/>
      </c>
      <c r="B464" s="16" t="str">
        <f>IF($A464="","",'Daily Data'!$A464)</f>
        <v/>
      </c>
      <c r="C464" t="str">
        <f>IF($A464="","",'Daily Data'!$B464)</f>
        <v/>
      </c>
      <c r="D464" s="165" t="str">
        <f>IF($A464="","",IF(COUNTIFS('Daily Data'!$B$4:$B$503,'Daily Data'!$B464,'Daily Data'!$A$4:$A$503,'Daily Data'!$A464)&gt;1,"ERROR","OK"))</f>
        <v/>
      </c>
      <c r="E464" s="165" t="str">
        <f>IF($A464="","",IF('Daily Data'!$B464="","ERROR","OK"))</f>
        <v/>
      </c>
      <c r="F464" s="165" t="str">
        <f>IF($A464="","",IF(NOT(ISNUMBER('Daily Data'!$A464)),"ERROR","OK"))</f>
        <v/>
      </c>
      <c r="G464" s="165" t="str">
        <f>IF($A464="","",IF(OR(N('Daily Data'!$E464)&lt;=0,N('Daily Data'!$C464)&lt;0,N('Daily Data'!$D464)&lt;0,N('Daily Data'!$F464)&lt;0,N('Daily Data'!$G464)&lt;0),"ERROR","OK"))</f>
        <v/>
      </c>
      <c r="H464" s="165" t="str">
        <f>IF($A464="","",IF(N('Daily Data'!$K464)&lt;0,"ERROR","OK"))</f>
        <v/>
      </c>
      <c r="I464" s="165" t="str">
        <f>IF($A464="","",IF(N('Daily Data'!$I464)&lt;0,"ERROR","OK"))</f>
        <v/>
      </c>
      <c r="J464" s="165" t="str">
        <f>IF($A464="","",IF(N('Daily Data'!$L464)&lt;0,"ERROR","OK"))</f>
        <v/>
      </c>
      <c r="K464" s="165" t="str">
        <f>IF($A464="","",IF(N('Daily Data'!$M464)&lt;0,"ERROR","OK"))</f>
        <v/>
      </c>
      <c r="L464" s="165" t="str">
        <f>IF($A464="","",IF(OR(N('Daily Data'!$F464)=0,N('Daily Data'!$G464)=0),"OK",IF(OR(N('Daily Data'!$E464)&gt;N('Daily Data'!$F464),N('Daily Data'!$E464)&lt;N('Daily Data'!$G464)),"ERROR","OK")))</f>
        <v/>
      </c>
      <c r="M464" s="165" t="str">
        <f>IF($A464="","",IF(N('Daily Data'!$AK464)&lt;=1,"OK",IF(ROUND(N('Daily Data'!$D464),2)=ROUND(SUMIFS('Daily Data'!$E$4:$E$503,'Daily Data'!$B$4:$B$503,'Daily Data'!$B464,'Daily Data'!$AK$4:$AK$503,'Daily Data'!$AK464-1),2),"OK","WARNING")))</f>
        <v/>
      </c>
      <c r="N464" s="165" t="str">
        <f>IF($A464="","",IF(N('Daily Data'!$N464)&lt;=0,"WARNING","OK"))</f>
        <v/>
      </c>
      <c r="O464" s="165" t="str">
        <f>IF($A464="","",IF(AND(ISNUMBER('Daily Data'!$H464),ABS(N('Daily Data'!$H464))&gt;Settings!$C$56),"WARNING","OK"))</f>
        <v/>
      </c>
      <c r="P464" s="165" t="str">
        <f>IF($A464="","",IF(OR(AND(N('Daily Data'!$K464)=0,N('Daily Data'!$I464)&gt;0),AND(N('Daily Data'!$I464)=0,N('Daily Data'!$K464)&gt;0),AND(N('Daily Data'!$L464)=0,N('Daily Data'!$M464)=0)),"WARNING","OK"))</f>
        <v/>
      </c>
      <c r="Q464" s="165" t="str">
        <f>IF($A464="","",IF(COUNTIFS('Daily Data'!$B$4:$B$503,'Daily Data'!$B464,'Daily Data'!$A$4:$A$503,'Daily Data'!$A464,'Daily Data'!$Q$4:$Q$503,'Daily Data'!$Q464)&gt;1,"WARNING","OK"))</f>
        <v/>
      </c>
      <c r="R464" s="165" t="str">
        <f>IF($A464="","",IF(AND(N('Daily Data'!$K464)&gt;0,N('Daily Data'!$J464)&lt;=0),"WARNING","OK"))</f>
        <v/>
      </c>
      <c r="S464" s="165" t="str">
        <f>IF($A464="","",COUNTIF($D464:$R464,"ERROR"))</f>
        <v/>
      </c>
      <c r="T464" s="165" t="str">
        <f>IF($A464="","",COUNTIF($D464:$R464,"WARNING"))</f>
        <v/>
      </c>
      <c r="U464" s="165" t="str">
        <f>IF($A464="","",IF($S464&gt;0,"ERROR",IF($T464&gt;0,"WARNING","PASS")))</f>
        <v/>
      </c>
    </row>
    <row r="465" spans="1:21" x14ac:dyDescent="0.3">
      <c r="A465" t="str">
        <f>IF(AND('Daily Data'!$A465="",'Daily Data'!$B465=""),"",465)</f>
        <v/>
      </c>
      <c r="B465" s="16" t="str">
        <f>IF($A465="","",'Daily Data'!$A465)</f>
        <v/>
      </c>
      <c r="C465" t="str">
        <f>IF($A465="","",'Daily Data'!$B465)</f>
        <v/>
      </c>
      <c r="D465" s="165" t="str">
        <f>IF($A465="","",IF(COUNTIFS('Daily Data'!$B$4:$B$503,'Daily Data'!$B465,'Daily Data'!$A$4:$A$503,'Daily Data'!$A465)&gt;1,"ERROR","OK"))</f>
        <v/>
      </c>
      <c r="E465" s="165" t="str">
        <f>IF($A465="","",IF('Daily Data'!$B465="","ERROR","OK"))</f>
        <v/>
      </c>
      <c r="F465" s="165" t="str">
        <f>IF($A465="","",IF(NOT(ISNUMBER('Daily Data'!$A465)),"ERROR","OK"))</f>
        <v/>
      </c>
      <c r="G465" s="165" t="str">
        <f>IF($A465="","",IF(OR(N('Daily Data'!$E465)&lt;=0,N('Daily Data'!$C465)&lt;0,N('Daily Data'!$D465)&lt;0,N('Daily Data'!$F465)&lt;0,N('Daily Data'!$G465)&lt;0),"ERROR","OK"))</f>
        <v/>
      </c>
      <c r="H465" s="165" t="str">
        <f>IF($A465="","",IF(N('Daily Data'!$K465)&lt;0,"ERROR","OK"))</f>
        <v/>
      </c>
      <c r="I465" s="165" t="str">
        <f>IF($A465="","",IF(N('Daily Data'!$I465)&lt;0,"ERROR","OK"))</f>
        <v/>
      </c>
      <c r="J465" s="165" t="str">
        <f>IF($A465="","",IF(N('Daily Data'!$L465)&lt;0,"ERROR","OK"))</f>
        <v/>
      </c>
      <c r="K465" s="165" t="str">
        <f>IF($A465="","",IF(N('Daily Data'!$M465)&lt;0,"ERROR","OK"))</f>
        <v/>
      </c>
      <c r="L465" s="165" t="str">
        <f>IF($A465="","",IF(OR(N('Daily Data'!$F465)=0,N('Daily Data'!$G465)=0),"OK",IF(OR(N('Daily Data'!$E465)&gt;N('Daily Data'!$F465),N('Daily Data'!$E465)&lt;N('Daily Data'!$G465)),"ERROR","OK")))</f>
        <v/>
      </c>
      <c r="M465" s="165" t="str">
        <f>IF($A465="","",IF(N('Daily Data'!$AK465)&lt;=1,"OK",IF(ROUND(N('Daily Data'!$D465),2)=ROUND(SUMIFS('Daily Data'!$E$4:$E$503,'Daily Data'!$B$4:$B$503,'Daily Data'!$B465,'Daily Data'!$AK$4:$AK$503,'Daily Data'!$AK465-1),2),"OK","WARNING")))</f>
        <v/>
      </c>
      <c r="N465" s="165" t="str">
        <f>IF($A465="","",IF(N('Daily Data'!$N465)&lt;=0,"WARNING","OK"))</f>
        <v/>
      </c>
      <c r="O465" s="165" t="str">
        <f>IF($A465="","",IF(AND(ISNUMBER('Daily Data'!$H465),ABS(N('Daily Data'!$H465))&gt;Settings!$C$56),"WARNING","OK"))</f>
        <v/>
      </c>
      <c r="P465" s="165" t="str">
        <f>IF($A465="","",IF(OR(AND(N('Daily Data'!$K465)=0,N('Daily Data'!$I465)&gt;0),AND(N('Daily Data'!$I465)=0,N('Daily Data'!$K465)&gt;0),AND(N('Daily Data'!$L465)=0,N('Daily Data'!$M465)=0)),"WARNING","OK"))</f>
        <v/>
      </c>
      <c r="Q465" s="165" t="str">
        <f>IF($A465="","",IF(COUNTIFS('Daily Data'!$B$4:$B$503,'Daily Data'!$B465,'Daily Data'!$A$4:$A$503,'Daily Data'!$A465,'Daily Data'!$Q$4:$Q$503,'Daily Data'!$Q465)&gt;1,"WARNING","OK"))</f>
        <v/>
      </c>
      <c r="R465" s="165" t="str">
        <f>IF($A465="","",IF(AND(N('Daily Data'!$K465)&gt;0,N('Daily Data'!$J465)&lt;=0),"WARNING","OK"))</f>
        <v/>
      </c>
      <c r="S465" s="165" t="str">
        <f>IF($A465="","",COUNTIF($D465:$R465,"ERROR"))</f>
        <v/>
      </c>
      <c r="T465" s="165" t="str">
        <f>IF($A465="","",COUNTIF($D465:$R465,"WARNING"))</f>
        <v/>
      </c>
      <c r="U465" s="165" t="str">
        <f>IF($A465="","",IF($S465&gt;0,"ERROR",IF($T465&gt;0,"WARNING","PASS")))</f>
        <v/>
      </c>
    </row>
    <row r="466" spans="1:21" x14ac:dyDescent="0.3">
      <c r="A466" t="str">
        <f>IF(AND('Daily Data'!$A466="",'Daily Data'!$B466=""),"",466)</f>
        <v/>
      </c>
      <c r="B466" s="16" t="str">
        <f>IF($A466="","",'Daily Data'!$A466)</f>
        <v/>
      </c>
      <c r="C466" t="str">
        <f>IF($A466="","",'Daily Data'!$B466)</f>
        <v/>
      </c>
      <c r="D466" s="165" t="str">
        <f>IF($A466="","",IF(COUNTIFS('Daily Data'!$B$4:$B$503,'Daily Data'!$B466,'Daily Data'!$A$4:$A$503,'Daily Data'!$A466)&gt;1,"ERROR","OK"))</f>
        <v/>
      </c>
      <c r="E466" s="165" t="str">
        <f>IF($A466="","",IF('Daily Data'!$B466="","ERROR","OK"))</f>
        <v/>
      </c>
      <c r="F466" s="165" t="str">
        <f>IF($A466="","",IF(NOT(ISNUMBER('Daily Data'!$A466)),"ERROR","OK"))</f>
        <v/>
      </c>
      <c r="G466" s="165" t="str">
        <f>IF($A466="","",IF(OR(N('Daily Data'!$E466)&lt;=0,N('Daily Data'!$C466)&lt;0,N('Daily Data'!$D466)&lt;0,N('Daily Data'!$F466)&lt;0,N('Daily Data'!$G466)&lt;0),"ERROR","OK"))</f>
        <v/>
      </c>
      <c r="H466" s="165" t="str">
        <f>IF($A466="","",IF(N('Daily Data'!$K466)&lt;0,"ERROR","OK"))</f>
        <v/>
      </c>
      <c r="I466" s="165" t="str">
        <f>IF($A466="","",IF(N('Daily Data'!$I466)&lt;0,"ERROR","OK"))</f>
        <v/>
      </c>
      <c r="J466" s="165" t="str">
        <f>IF($A466="","",IF(N('Daily Data'!$L466)&lt;0,"ERROR","OK"))</f>
        <v/>
      </c>
      <c r="K466" s="165" t="str">
        <f>IF($A466="","",IF(N('Daily Data'!$M466)&lt;0,"ERROR","OK"))</f>
        <v/>
      </c>
      <c r="L466" s="165" t="str">
        <f>IF($A466="","",IF(OR(N('Daily Data'!$F466)=0,N('Daily Data'!$G466)=0),"OK",IF(OR(N('Daily Data'!$E466)&gt;N('Daily Data'!$F466),N('Daily Data'!$E466)&lt;N('Daily Data'!$G466)),"ERROR","OK")))</f>
        <v/>
      </c>
      <c r="M466" s="165" t="str">
        <f>IF($A466="","",IF(N('Daily Data'!$AK466)&lt;=1,"OK",IF(ROUND(N('Daily Data'!$D466),2)=ROUND(SUMIFS('Daily Data'!$E$4:$E$503,'Daily Data'!$B$4:$B$503,'Daily Data'!$B466,'Daily Data'!$AK$4:$AK$503,'Daily Data'!$AK466-1),2),"OK","WARNING")))</f>
        <v/>
      </c>
      <c r="N466" s="165" t="str">
        <f>IF($A466="","",IF(N('Daily Data'!$N466)&lt;=0,"WARNING","OK"))</f>
        <v/>
      </c>
      <c r="O466" s="165" t="str">
        <f>IF($A466="","",IF(AND(ISNUMBER('Daily Data'!$H466),ABS(N('Daily Data'!$H466))&gt;Settings!$C$56),"WARNING","OK"))</f>
        <v/>
      </c>
      <c r="P466" s="165" t="str">
        <f>IF($A466="","",IF(OR(AND(N('Daily Data'!$K466)=0,N('Daily Data'!$I466)&gt;0),AND(N('Daily Data'!$I466)=0,N('Daily Data'!$K466)&gt;0),AND(N('Daily Data'!$L466)=0,N('Daily Data'!$M466)=0)),"WARNING","OK"))</f>
        <v/>
      </c>
      <c r="Q466" s="165" t="str">
        <f>IF($A466="","",IF(COUNTIFS('Daily Data'!$B$4:$B$503,'Daily Data'!$B466,'Daily Data'!$A$4:$A$503,'Daily Data'!$A466,'Daily Data'!$Q$4:$Q$503,'Daily Data'!$Q466)&gt;1,"WARNING","OK"))</f>
        <v/>
      </c>
      <c r="R466" s="165" t="str">
        <f>IF($A466="","",IF(AND(N('Daily Data'!$K466)&gt;0,N('Daily Data'!$J466)&lt;=0),"WARNING","OK"))</f>
        <v/>
      </c>
      <c r="S466" s="165" t="str">
        <f>IF($A466="","",COUNTIF($D466:$R466,"ERROR"))</f>
        <v/>
      </c>
      <c r="T466" s="165" t="str">
        <f>IF($A466="","",COUNTIF($D466:$R466,"WARNING"))</f>
        <v/>
      </c>
      <c r="U466" s="165" t="str">
        <f>IF($A466="","",IF($S466&gt;0,"ERROR",IF($T466&gt;0,"WARNING","PASS")))</f>
        <v/>
      </c>
    </row>
    <row r="467" spans="1:21" x14ac:dyDescent="0.3">
      <c r="A467" t="str">
        <f>IF(AND('Daily Data'!$A467="",'Daily Data'!$B467=""),"",467)</f>
        <v/>
      </c>
      <c r="B467" s="16" t="str">
        <f>IF($A467="","",'Daily Data'!$A467)</f>
        <v/>
      </c>
      <c r="C467" t="str">
        <f>IF($A467="","",'Daily Data'!$B467)</f>
        <v/>
      </c>
      <c r="D467" s="165" t="str">
        <f>IF($A467="","",IF(COUNTIFS('Daily Data'!$B$4:$B$503,'Daily Data'!$B467,'Daily Data'!$A$4:$A$503,'Daily Data'!$A467)&gt;1,"ERROR","OK"))</f>
        <v/>
      </c>
      <c r="E467" s="165" t="str">
        <f>IF($A467="","",IF('Daily Data'!$B467="","ERROR","OK"))</f>
        <v/>
      </c>
      <c r="F467" s="165" t="str">
        <f>IF($A467="","",IF(NOT(ISNUMBER('Daily Data'!$A467)),"ERROR","OK"))</f>
        <v/>
      </c>
      <c r="G467" s="165" t="str">
        <f>IF($A467="","",IF(OR(N('Daily Data'!$E467)&lt;=0,N('Daily Data'!$C467)&lt;0,N('Daily Data'!$D467)&lt;0,N('Daily Data'!$F467)&lt;0,N('Daily Data'!$G467)&lt;0),"ERROR","OK"))</f>
        <v/>
      </c>
      <c r="H467" s="165" t="str">
        <f>IF($A467="","",IF(N('Daily Data'!$K467)&lt;0,"ERROR","OK"))</f>
        <v/>
      </c>
      <c r="I467" s="165" t="str">
        <f>IF($A467="","",IF(N('Daily Data'!$I467)&lt;0,"ERROR","OK"))</f>
        <v/>
      </c>
      <c r="J467" s="165" t="str">
        <f>IF($A467="","",IF(N('Daily Data'!$L467)&lt;0,"ERROR","OK"))</f>
        <v/>
      </c>
      <c r="K467" s="165" t="str">
        <f>IF($A467="","",IF(N('Daily Data'!$M467)&lt;0,"ERROR","OK"))</f>
        <v/>
      </c>
      <c r="L467" s="165" t="str">
        <f>IF($A467="","",IF(OR(N('Daily Data'!$F467)=0,N('Daily Data'!$G467)=0),"OK",IF(OR(N('Daily Data'!$E467)&gt;N('Daily Data'!$F467),N('Daily Data'!$E467)&lt;N('Daily Data'!$G467)),"ERROR","OK")))</f>
        <v/>
      </c>
      <c r="M467" s="165" t="str">
        <f>IF($A467="","",IF(N('Daily Data'!$AK467)&lt;=1,"OK",IF(ROUND(N('Daily Data'!$D467),2)=ROUND(SUMIFS('Daily Data'!$E$4:$E$503,'Daily Data'!$B$4:$B$503,'Daily Data'!$B467,'Daily Data'!$AK$4:$AK$503,'Daily Data'!$AK467-1),2),"OK","WARNING")))</f>
        <v/>
      </c>
      <c r="N467" s="165" t="str">
        <f>IF($A467="","",IF(N('Daily Data'!$N467)&lt;=0,"WARNING","OK"))</f>
        <v/>
      </c>
      <c r="O467" s="165" t="str">
        <f>IF($A467="","",IF(AND(ISNUMBER('Daily Data'!$H467),ABS(N('Daily Data'!$H467))&gt;Settings!$C$56),"WARNING","OK"))</f>
        <v/>
      </c>
      <c r="P467" s="165" t="str">
        <f>IF($A467="","",IF(OR(AND(N('Daily Data'!$K467)=0,N('Daily Data'!$I467)&gt;0),AND(N('Daily Data'!$I467)=0,N('Daily Data'!$K467)&gt;0),AND(N('Daily Data'!$L467)=0,N('Daily Data'!$M467)=0)),"WARNING","OK"))</f>
        <v/>
      </c>
      <c r="Q467" s="165" t="str">
        <f>IF($A467="","",IF(COUNTIFS('Daily Data'!$B$4:$B$503,'Daily Data'!$B467,'Daily Data'!$A$4:$A$503,'Daily Data'!$A467,'Daily Data'!$Q$4:$Q$503,'Daily Data'!$Q467)&gt;1,"WARNING","OK"))</f>
        <v/>
      </c>
      <c r="R467" s="165" t="str">
        <f>IF($A467="","",IF(AND(N('Daily Data'!$K467)&gt;0,N('Daily Data'!$J467)&lt;=0),"WARNING","OK"))</f>
        <v/>
      </c>
      <c r="S467" s="165" t="str">
        <f>IF($A467="","",COUNTIF($D467:$R467,"ERROR"))</f>
        <v/>
      </c>
      <c r="T467" s="165" t="str">
        <f>IF($A467="","",COUNTIF($D467:$R467,"WARNING"))</f>
        <v/>
      </c>
      <c r="U467" s="165" t="str">
        <f>IF($A467="","",IF($S467&gt;0,"ERROR",IF($T467&gt;0,"WARNING","PASS")))</f>
        <v/>
      </c>
    </row>
    <row r="468" spans="1:21" x14ac:dyDescent="0.3">
      <c r="A468" t="str">
        <f>IF(AND('Daily Data'!$A468="",'Daily Data'!$B468=""),"",468)</f>
        <v/>
      </c>
      <c r="B468" s="16" t="str">
        <f>IF($A468="","",'Daily Data'!$A468)</f>
        <v/>
      </c>
      <c r="C468" t="str">
        <f>IF($A468="","",'Daily Data'!$B468)</f>
        <v/>
      </c>
      <c r="D468" s="165" t="str">
        <f>IF($A468="","",IF(COUNTIFS('Daily Data'!$B$4:$B$503,'Daily Data'!$B468,'Daily Data'!$A$4:$A$503,'Daily Data'!$A468)&gt;1,"ERROR","OK"))</f>
        <v/>
      </c>
      <c r="E468" s="165" t="str">
        <f>IF($A468="","",IF('Daily Data'!$B468="","ERROR","OK"))</f>
        <v/>
      </c>
      <c r="F468" s="165" t="str">
        <f>IF($A468="","",IF(NOT(ISNUMBER('Daily Data'!$A468)),"ERROR","OK"))</f>
        <v/>
      </c>
      <c r="G468" s="165" t="str">
        <f>IF($A468="","",IF(OR(N('Daily Data'!$E468)&lt;=0,N('Daily Data'!$C468)&lt;0,N('Daily Data'!$D468)&lt;0,N('Daily Data'!$F468)&lt;0,N('Daily Data'!$G468)&lt;0),"ERROR","OK"))</f>
        <v/>
      </c>
      <c r="H468" s="165" t="str">
        <f>IF($A468="","",IF(N('Daily Data'!$K468)&lt;0,"ERROR","OK"))</f>
        <v/>
      </c>
      <c r="I468" s="165" t="str">
        <f>IF($A468="","",IF(N('Daily Data'!$I468)&lt;0,"ERROR","OK"))</f>
        <v/>
      </c>
      <c r="J468" s="165" t="str">
        <f>IF($A468="","",IF(N('Daily Data'!$L468)&lt;0,"ERROR","OK"))</f>
        <v/>
      </c>
      <c r="K468" s="165" t="str">
        <f>IF($A468="","",IF(N('Daily Data'!$M468)&lt;0,"ERROR","OK"))</f>
        <v/>
      </c>
      <c r="L468" s="165" t="str">
        <f>IF($A468="","",IF(OR(N('Daily Data'!$F468)=0,N('Daily Data'!$G468)=0),"OK",IF(OR(N('Daily Data'!$E468)&gt;N('Daily Data'!$F468),N('Daily Data'!$E468)&lt;N('Daily Data'!$G468)),"ERROR","OK")))</f>
        <v/>
      </c>
      <c r="M468" s="165" t="str">
        <f>IF($A468="","",IF(N('Daily Data'!$AK468)&lt;=1,"OK",IF(ROUND(N('Daily Data'!$D468),2)=ROUND(SUMIFS('Daily Data'!$E$4:$E$503,'Daily Data'!$B$4:$B$503,'Daily Data'!$B468,'Daily Data'!$AK$4:$AK$503,'Daily Data'!$AK468-1),2),"OK","WARNING")))</f>
        <v/>
      </c>
      <c r="N468" s="165" t="str">
        <f>IF($A468="","",IF(N('Daily Data'!$N468)&lt;=0,"WARNING","OK"))</f>
        <v/>
      </c>
      <c r="O468" s="165" t="str">
        <f>IF($A468="","",IF(AND(ISNUMBER('Daily Data'!$H468),ABS(N('Daily Data'!$H468))&gt;Settings!$C$56),"WARNING","OK"))</f>
        <v/>
      </c>
      <c r="P468" s="165" t="str">
        <f>IF($A468="","",IF(OR(AND(N('Daily Data'!$K468)=0,N('Daily Data'!$I468)&gt;0),AND(N('Daily Data'!$I468)=0,N('Daily Data'!$K468)&gt;0),AND(N('Daily Data'!$L468)=0,N('Daily Data'!$M468)=0)),"WARNING","OK"))</f>
        <v/>
      </c>
      <c r="Q468" s="165" t="str">
        <f>IF($A468="","",IF(COUNTIFS('Daily Data'!$B$4:$B$503,'Daily Data'!$B468,'Daily Data'!$A$4:$A$503,'Daily Data'!$A468,'Daily Data'!$Q$4:$Q$503,'Daily Data'!$Q468)&gt;1,"WARNING","OK"))</f>
        <v/>
      </c>
      <c r="R468" s="165" t="str">
        <f>IF($A468="","",IF(AND(N('Daily Data'!$K468)&gt;0,N('Daily Data'!$J468)&lt;=0),"WARNING","OK"))</f>
        <v/>
      </c>
      <c r="S468" s="165" t="str">
        <f>IF($A468="","",COUNTIF($D468:$R468,"ERROR"))</f>
        <v/>
      </c>
      <c r="T468" s="165" t="str">
        <f>IF($A468="","",COUNTIF($D468:$R468,"WARNING"))</f>
        <v/>
      </c>
      <c r="U468" s="165" t="str">
        <f>IF($A468="","",IF($S468&gt;0,"ERROR",IF($T468&gt;0,"WARNING","PASS")))</f>
        <v/>
      </c>
    </row>
    <row r="469" spans="1:21" x14ac:dyDescent="0.3">
      <c r="A469" t="str">
        <f>IF(AND('Daily Data'!$A469="",'Daily Data'!$B469=""),"",469)</f>
        <v/>
      </c>
      <c r="B469" s="16" t="str">
        <f>IF($A469="","",'Daily Data'!$A469)</f>
        <v/>
      </c>
      <c r="C469" t="str">
        <f>IF($A469="","",'Daily Data'!$B469)</f>
        <v/>
      </c>
      <c r="D469" s="165" t="str">
        <f>IF($A469="","",IF(COUNTIFS('Daily Data'!$B$4:$B$503,'Daily Data'!$B469,'Daily Data'!$A$4:$A$503,'Daily Data'!$A469)&gt;1,"ERROR","OK"))</f>
        <v/>
      </c>
      <c r="E469" s="165" t="str">
        <f>IF($A469="","",IF('Daily Data'!$B469="","ERROR","OK"))</f>
        <v/>
      </c>
      <c r="F469" s="165" t="str">
        <f>IF($A469="","",IF(NOT(ISNUMBER('Daily Data'!$A469)),"ERROR","OK"))</f>
        <v/>
      </c>
      <c r="G469" s="165" t="str">
        <f>IF($A469="","",IF(OR(N('Daily Data'!$E469)&lt;=0,N('Daily Data'!$C469)&lt;0,N('Daily Data'!$D469)&lt;0,N('Daily Data'!$F469)&lt;0,N('Daily Data'!$G469)&lt;0),"ERROR","OK"))</f>
        <v/>
      </c>
      <c r="H469" s="165" t="str">
        <f>IF($A469="","",IF(N('Daily Data'!$K469)&lt;0,"ERROR","OK"))</f>
        <v/>
      </c>
      <c r="I469" s="165" t="str">
        <f>IF($A469="","",IF(N('Daily Data'!$I469)&lt;0,"ERROR","OK"))</f>
        <v/>
      </c>
      <c r="J469" s="165" t="str">
        <f>IF($A469="","",IF(N('Daily Data'!$L469)&lt;0,"ERROR","OK"))</f>
        <v/>
      </c>
      <c r="K469" s="165" t="str">
        <f>IF($A469="","",IF(N('Daily Data'!$M469)&lt;0,"ERROR","OK"))</f>
        <v/>
      </c>
      <c r="L469" s="165" t="str">
        <f>IF($A469="","",IF(OR(N('Daily Data'!$F469)=0,N('Daily Data'!$G469)=0),"OK",IF(OR(N('Daily Data'!$E469)&gt;N('Daily Data'!$F469),N('Daily Data'!$E469)&lt;N('Daily Data'!$G469)),"ERROR","OK")))</f>
        <v/>
      </c>
      <c r="M469" s="165" t="str">
        <f>IF($A469="","",IF(N('Daily Data'!$AK469)&lt;=1,"OK",IF(ROUND(N('Daily Data'!$D469),2)=ROUND(SUMIFS('Daily Data'!$E$4:$E$503,'Daily Data'!$B$4:$B$503,'Daily Data'!$B469,'Daily Data'!$AK$4:$AK$503,'Daily Data'!$AK469-1),2),"OK","WARNING")))</f>
        <v/>
      </c>
      <c r="N469" s="165" t="str">
        <f>IF($A469="","",IF(N('Daily Data'!$N469)&lt;=0,"WARNING","OK"))</f>
        <v/>
      </c>
      <c r="O469" s="165" t="str">
        <f>IF($A469="","",IF(AND(ISNUMBER('Daily Data'!$H469),ABS(N('Daily Data'!$H469))&gt;Settings!$C$56),"WARNING","OK"))</f>
        <v/>
      </c>
      <c r="P469" s="165" t="str">
        <f>IF($A469="","",IF(OR(AND(N('Daily Data'!$K469)=0,N('Daily Data'!$I469)&gt;0),AND(N('Daily Data'!$I469)=0,N('Daily Data'!$K469)&gt;0),AND(N('Daily Data'!$L469)=0,N('Daily Data'!$M469)=0)),"WARNING","OK"))</f>
        <v/>
      </c>
      <c r="Q469" s="165" t="str">
        <f>IF($A469="","",IF(COUNTIFS('Daily Data'!$B$4:$B$503,'Daily Data'!$B469,'Daily Data'!$A$4:$A$503,'Daily Data'!$A469,'Daily Data'!$Q$4:$Q$503,'Daily Data'!$Q469)&gt;1,"WARNING","OK"))</f>
        <v/>
      </c>
      <c r="R469" s="165" t="str">
        <f>IF($A469="","",IF(AND(N('Daily Data'!$K469)&gt;0,N('Daily Data'!$J469)&lt;=0),"WARNING","OK"))</f>
        <v/>
      </c>
      <c r="S469" s="165" t="str">
        <f>IF($A469="","",COUNTIF($D469:$R469,"ERROR"))</f>
        <v/>
      </c>
      <c r="T469" s="165" t="str">
        <f>IF($A469="","",COUNTIF($D469:$R469,"WARNING"))</f>
        <v/>
      </c>
      <c r="U469" s="165" t="str">
        <f>IF($A469="","",IF($S469&gt;0,"ERROR",IF($T469&gt;0,"WARNING","PASS")))</f>
        <v/>
      </c>
    </row>
    <row r="470" spans="1:21" x14ac:dyDescent="0.3">
      <c r="A470" t="str">
        <f>IF(AND('Daily Data'!$A470="",'Daily Data'!$B470=""),"",470)</f>
        <v/>
      </c>
      <c r="B470" s="16" t="str">
        <f>IF($A470="","",'Daily Data'!$A470)</f>
        <v/>
      </c>
      <c r="C470" t="str">
        <f>IF($A470="","",'Daily Data'!$B470)</f>
        <v/>
      </c>
      <c r="D470" s="165" t="str">
        <f>IF($A470="","",IF(COUNTIFS('Daily Data'!$B$4:$B$503,'Daily Data'!$B470,'Daily Data'!$A$4:$A$503,'Daily Data'!$A470)&gt;1,"ERROR","OK"))</f>
        <v/>
      </c>
      <c r="E470" s="165" t="str">
        <f>IF($A470="","",IF('Daily Data'!$B470="","ERROR","OK"))</f>
        <v/>
      </c>
      <c r="F470" s="165" t="str">
        <f>IF($A470="","",IF(NOT(ISNUMBER('Daily Data'!$A470)),"ERROR","OK"))</f>
        <v/>
      </c>
      <c r="G470" s="165" t="str">
        <f>IF($A470="","",IF(OR(N('Daily Data'!$E470)&lt;=0,N('Daily Data'!$C470)&lt;0,N('Daily Data'!$D470)&lt;0,N('Daily Data'!$F470)&lt;0,N('Daily Data'!$G470)&lt;0),"ERROR","OK"))</f>
        <v/>
      </c>
      <c r="H470" s="165" t="str">
        <f>IF($A470="","",IF(N('Daily Data'!$K470)&lt;0,"ERROR","OK"))</f>
        <v/>
      </c>
      <c r="I470" s="165" t="str">
        <f>IF($A470="","",IF(N('Daily Data'!$I470)&lt;0,"ERROR","OK"))</f>
        <v/>
      </c>
      <c r="J470" s="165" t="str">
        <f>IF($A470="","",IF(N('Daily Data'!$L470)&lt;0,"ERROR","OK"))</f>
        <v/>
      </c>
      <c r="K470" s="165" t="str">
        <f>IF($A470="","",IF(N('Daily Data'!$M470)&lt;0,"ERROR","OK"))</f>
        <v/>
      </c>
      <c r="L470" s="165" t="str">
        <f>IF($A470="","",IF(OR(N('Daily Data'!$F470)=0,N('Daily Data'!$G470)=0),"OK",IF(OR(N('Daily Data'!$E470)&gt;N('Daily Data'!$F470),N('Daily Data'!$E470)&lt;N('Daily Data'!$G470)),"ERROR","OK")))</f>
        <v/>
      </c>
      <c r="M470" s="165" t="str">
        <f>IF($A470="","",IF(N('Daily Data'!$AK470)&lt;=1,"OK",IF(ROUND(N('Daily Data'!$D470),2)=ROUND(SUMIFS('Daily Data'!$E$4:$E$503,'Daily Data'!$B$4:$B$503,'Daily Data'!$B470,'Daily Data'!$AK$4:$AK$503,'Daily Data'!$AK470-1),2),"OK","WARNING")))</f>
        <v/>
      </c>
      <c r="N470" s="165" t="str">
        <f>IF($A470="","",IF(N('Daily Data'!$N470)&lt;=0,"WARNING","OK"))</f>
        <v/>
      </c>
      <c r="O470" s="165" t="str">
        <f>IF($A470="","",IF(AND(ISNUMBER('Daily Data'!$H470),ABS(N('Daily Data'!$H470))&gt;Settings!$C$56),"WARNING","OK"))</f>
        <v/>
      </c>
      <c r="P470" s="165" t="str">
        <f>IF($A470="","",IF(OR(AND(N('Daily Data'!$K470)=0,N('Daily Data'!$I470)&gt;0),AND(N('Daily Data'!$I470)=0,N('Daily Data'!$K470)&gt;0),AND(N('Daily Data'!$L470)=0,N('Daily Data'!$M470)=0)),"WARNING","OK"))</f>
        <v/>
      </c>
      <c r="Q470" s="165" t="str">
        <f>IF($A470="","",IF(COUNTIFS('Daily Data'!$B$4:$B$503,'Daily Data'!$B470,'Daily Data'!$A$4:$A$503,'Daily Data'!$A470,'Daily Data'!$Q$4:$Q$503,'Daily Data'!$Q470)&gt;1,"WARNING","OK"))</f>
        <v/>
      </c>
      <c r="R470" s="165" t="str">
        <f>IF($A470="","",IF(AND(N('Daily Data'!$K470)&gt;0,N('Daily Data'!$J470)&lt;=0),"WARNING","OK"))</f>
        <v/>
      </c>
      <c r="S470" s="165" t="str">
        <f>IF($A470="","",COUNTIF($D470:$R470,"ERROR"))</f>
        <v/>
      </c>
      <c r="T470" s="165" t="str">
        <f>IF($A470="","",COUNTIF($D470:$R470,"WARNING"))</f>
        <v/>
      </c>
      <c r="U470" s="165" t="str">
        <f>IF($A470="","",IF($S470&gt;0,"ERROR",IF($T470&gt;0,"WARNING","PASS")))</f>
        <v/>
      </c>
    </row>
    <row r="471" spans="1:21" x14ac:dyDescent="0.3">
      <c r="A471" t="str">
        <f>IF(AND('Daily Data'!$A471="",'Daily Data'!$B471=""),"",471)</f>
        <v/>
      </c>
      <c r="B471" s="16" t="str">
        <f>IF($A471="","",'Daily Data'!$A471)</f>
        <v/>
      </c>
      <c r="C471" t="str">
        <f>IF($A471="","",'Daily Data'!$B471)</f>
        <v/>
      </c>
      <c r="D471" s="165" t="str">
        <f>IF($A471="","",IF(COUNTIFS('Daily Data'!$B$4:$B$503,'Daily Data'!$B471,'Daily Data'!$A$4:$A$503,'Daily Data'!$A471)&gt;1,"ERROR","OK"))</f>
        <v/>
      </c>
      <c r="E471" s="165" t="str">
        <f>IF($A471="","",IF('Daily Data'!$B471="","ERROR","OK"))</f>
        <v/>
      </c>
      <c r="F471" s="165" t="str">
        <f>IF($A471="","",IF(NOT(ISNUMBER('Daily Data'!$A471)),"ERROR","OK"))</f>
        <v/>
      </c>
      <c r="G471" s="165" t="str">
        <f>IF($A471="","",IF(OR(N('Daily Data'!$E471)&lt;=0,N('Daily Data'!$C471)&lt;0,N('Daily Data'!$D471)&lt;0,N('Daily Data'!$F471)&lt;0,N('Daily Data'!$G471)&lt;0),"ERROR","OK"))</f>
        <v/>
      </c>
      <c r="H471" s="165" t="str">
        <f>IF($A471="","",IF(N('Daily Data'!$K471)&lt;0,"ERROR","OK"))</f>
        <v/>
      </c>
      <c r="I471" s="165" t="str">
        <f>IF($A471="","",IF(N('Daily Data'!$I471)&lt;0,"ERROR","OK"))</f>
        <v/>
      </c>
      <c r="J471" s="165" t="str">
        <f>IF($A471="","",IF(N('Daily Data'!$L471)&lt;0,"ERROR","OK"))</f>
        <v/>
      </c>
      <c r="K471" s="165" t="str">
        <f>IF($A471="","",IF(N('Daily Data'!$M471)&lt;0,"ERROR","OK"))</f>
        <v/>
      </c>
      <c r="L471" s="165" t="str">
        <f>IF($A471="","",IF(OR(N('Daily Data'!$F471)=0,N('Daily Data'!$G471)=0),"OK",IF(OR(N('Daily Data'!$E471)&gt;N('Daily Data'!$F471),N('Daily Data'!$E471)&lt;N('Daily Data'!$G471)),"ERROR","OK")))</f>
        <v/>
      </c>
      <c r="M471" s="165" t="str">
        <f>IF($A471="","",IF(N('Daily Data'!$AK471)&lt;=1,"OK",IF(ROUND(N('Daily Data'!$D471),2)=ROUND(SUMIFS('Daily Data'!$E$4:$E$503,'Daily Data'!$B$4:$B$503,'Daily Data'!$B471,'Daily Data'!$AK$4:$AK$503,'Daily Data'!$AK471-1),2),"OK","WARNING")))</f>
        <v/>
      </c>
      <c r="N471" s="165" t="str">
        <f>IF($A471="","",IF(N('Daily Data'!$N471)&lt;=0,"WARNING","OK"))</f>
        <v/>
      </c>
      <c r="O471" s="165" t="str">
        <f>IF($A471="","",IF(AND(ISNUMBER('Daily Data'!$H471),ABS(N('Daily Data'!$H471))&gt;Settings!$C$56),"WARNING","OK"))</f>
        <v/>
      </c>
      <c r="P471" s="165" t="str">
        <f>IF($A471="","",IF(OR(AND(N('Daily Data'!$K471)=0,N('Daily Data'!$I471)&gt;0),AND(N('Daily Data'!$I471)=0,N('Daily Data'!$K471)&gt;0),AND(N('Daily Data'!$L471)=0,N('Daily Data'!$M471)=0)),"WARNING","OK"))</f>
        <v/>
      </c>
      <c r="Q471" s="165" t="str">
        <f>IF($A471="","",IF(COUNTIFS('Daily Data'!$B$4:$B$503,'Daily Data'!$B471,'Daily Data'!$A$4:$A$503,'Daily Data'!$A471,'Daily Data'!$Q$4:$Q$503,'Daily Data'!$Q471)&gt;1,"WARNING","OK"))</f>
        <v/>
      </c>
      <c r="R471" s="165" t="str">
        <f>IF($A471="","",IF(AND(N('Daily Data'!$K471)&gt;0,N('Daily Data'!$J471)&lt;=0),"WARNING","OK"))</f>
        <v/>
      </c>
      <c r="S471" s="165" t="str">
        <f>IF($A471="","",COUNTIF($D471:$R471,"ERROR"))</f>
        <v/>
      </c>
      <c r="T471" s="165" t="str">
        <f>IF($A471="","",COUNTIF($D471:$R471,"WARNING"))</f>
        <v/>
      </c>
      <c r="U471" s="165" t="str">
        <f>IF($A471="","",IF($S471&gt;0,"ERROR",IF($T471&gt;0,"WARNING","PASS")))</f>
        <v/>
      </c>
    </row>
    <row r="472" spans="1:21" x14ac:dyDescent="0.3">
      <c r="A472" t="str">
        <f>IF(AND('Daily Data'!$A472="",'Daily Data'!$B472=""),"",472)</f>
        <v/>
      </c>
      <c r="B472" s="16" t="str">
        <f>IF($A472="","",'Daily Data'!$A472)</f>
        <v/>
      </c>
      <c r="C472" t="str">
        <f>IF($A472="","",'Daily Data'!$B472)</f>
        <v/>
      </c>
      <c r="D472" s="165" t="str">
        <f>IF($A472="","",IF(COUNTIFS('Daily Data'!$B$4:$B$503,'Daily Data'!$B472,'Daily Data'!$A$4:$A$503,'Daily Data'!$A472)&gt;1,"ERROR","OK"))</f>
        <v/>
      </c>
      <c r="E472" s="165" t="str">
        <f>IF($A472="","",IF('Daily Data'!$B472="","ERROR","OK"))</f>
        <v/>
      </c>
      <c r="F472" s="165" t="str">
        <f>IF($A472="","",IF(NOT(ISNUMBER('Daily Data'!$A472)),"ERROR","OK"))</f>
        <v/>
      </c>
      <c r="G472" s="165" t="str">
        <f>IF($A472="","",IF(OR(N('Daily Data'!$E472)&lt;=0,N('Daily Data'!$C472)&lt;0,N('Daily Data'!$D472)&lt;0,N('Daily Data'!$F472)&lt;0,N('Daily Data'!$G472)&lt;0),"ERROR","OK"))</f>
        <v/>
      </c>
      <c r="H472" s="165" t="str">
        <f>IF($A472="","",IF(N('Daily Data'!$K472)&lt;0,"ERROR","OK"))</f>
        <v/>
      </c>
      <c r="I472" s="165" t="str">
        <f>IF($A472="","",IF(N('Daily Data'!$I472)&lt;0,"ERROR","OK"))</f>
        <v/>
      </c>
      <c r="J472" s="165" t="str">
        <f>IF($A472="","",IF(N('Daily Data'!$L472)&lt;0,"ERROR","OK"))</f>
        <v/>
      </c>
      <c r="K472" s="165" t="str">
        <f>IF($A472="","",IF(N('Daily Data'!$M472)&lt;0,"ERROR","OK"))</f>
        <v/>
      </c>
      <c r="L472" s="165" t="str">
        <f>IF($A472="","",IF(OR(N('Daily Data'!$F472)=0,N('Daily Data'!$G472)=0),"OK",IF(OR(N('Daily Data'!$E472)&gt;N('Daily Data'!$F472),N('Daily Data'!$E472)&lt;N('Daily Data'!$G472)),"ERROR","OK")))</f>
        <v/>
      </c>
      <c r="M472" s="165" t="str">
        <f>IF($A472="","",IF(N('Daily Data'!$AK472)&lt;=1,"OK",IF(ROUND(N('Daily Data'!$D472),2)=ROUND(SUMIFS('Daily Data'!$E$4:$E$503,'Daily Data'!$B$4:$B$503,'Daily Data'!$B472,'Daily Data'!$AK$4:$AK$503,'Daily Data'!$AK472-1),2),"OK","WARNING")))</f>
        <v/>
      </c>
      <c r="N472" s="165" t="str">
        <f>IF($A472="","",IF(N('Daily Data'!$N472)&lt;=0,"WARNING","OK"))</f>
        <v/>
      </c>
      <c r="O472" s="165" t="str">
        <f>IF($A472="","",IF(AND(ISNUMBER('Daily Data'!$H472),ABS(N('Daily Data'!$H472))&gt;Settings!$C$56),"WARNING","OK"))</f>
        <v/>
      </c>
      <c r="P472" s="165" t="str">
        <f>IF($A472="","",IF(OR(AND(N('Daily Data'!$K472)=0,N('Daily Data'!$I472)&gt;0),AND(N('Daily Data'!$I472)=0,N('Daily Data'!$K472)&gt;0),AND(N('Daily Data'!$L472)=0,N('Daily Data'!$M472)=0)),"WARNING","OK"))</f>
        <v/>
      </c>
      <c r="Q472" s="165" t="str">
        <f>IF($A472="","",IF(COUNTIFS('Daily Data'!$B$4:$B$503,'Daily Data'!$B472,'Daily Data'!$A$4:$A$503,'Daily Data'!$A472,'Daily Data'!$Q$4:$Q$503,'Daily Data'!$Q472)&gt;1,"WARNING","OK"))</f>
        <v/>
      </c>
      <c r="R472" s="165" t="str">
        <f>IF($A472="","",IF(AND(N('Daily Data'!$K472)&gt;0,N('Daily Data'!$J472)&lt;=0),"WARNING","OK"))</f>
        <v/>
      </c>
      <c r="S472" s="165" t="str">
        <f>IF($A472="","",COUNTIF($D472:$R472,"ERROR"))</f>
        <v/>
      </c>
      <c r="T472" s="165" t="str">
        <f>IF($A472="","",COUNTIF($D472:$R472,"WARNING"))</f>
        <v/>
      </c>
      <c r="U472" s="165" t="str">
        <f>IF($A472="","",IF($S472&gt;0,"ERROR",IF($T472&gt;0,"WARNING","PASS")))</f>
        <v/>
      </c>
    </row>
    <row r="473" spans="1:21" x14ac:dyDescent="0.3">
      <c r="A473" t="str">
        <f>IF(AND('Daily Data'!$A473="",'Daily Data'!$B473=""),"",473)</f>
        <v/>
      </c>
      <c r="B473" s="16" t="str">
        <f>IF($A473="","",'Daily Data'!$A473)</f>
        <v/>
      </c>
      <c r="C473" t="str">
        <f>IF($A473="","",'Daily Data'!$B473)</f>
        <v/>
      </c>
      <c r="D473" s="165" t="str">
        <f>IF($A473="","",IF(COUNTIFS('Daily Data'!$B$4:$B$503,'Daily Data'!$B473,'Daily Data'!$A$4:$A$503,'Daily Data'!$A473)&gt;1,"ERROR","OK"))</f>
        <v/>
      </c>
      <c r="E473" s="165" t="str">
        <f>IF($A473="","",IF('Daily Data'!$B473="","ERROR","OK"))</f>
        <v/>
      </c>
      <c r="F473" s="165" t="str">
        <f>IF($A473="","",IF(NOT(ISNUMBER('Daily Data'!$A473)),"ERROR","OK"))</f>
        <v/>
      </c>
      <c r="G473" s="165" t="str">
        <f>IF($A473="","",IF(OR(N('Daily Data'!$E473)&lt;=0,N('Daily Data'!$C473)&lt;0,N('Daily Data'!$D473)&lt;0,N('Daily Data'!$F473)&lt;0,N('Daily Data'!$G473)&lt;0),"ERROR","OK"))</f>
        <v/>
      </c>
      <c r="H473" s="165" t="str">
        <f>IF($A473="","",IF(N('Daily Data'!$K473)&lt;0,"ERROR","OK"))</f>
        <v/>
      </c>
      <c r="I473" s="165" t="str">
        <f>IF($A473="","",IF(N('Daily Data'!$I473)&lt;0,"ERROR","OK"))</f>
        <v/>
      </c>
      <c r="J473" s="165" t="str">
        <f>IF($A473="","",IF(N('Daily Data'!$L473)&lt;0,"ERROR","OK"))</f>
        <v/>
      </c>
      <c r="K473" s="165" t="str">
        <f>IF($A473="","",IF(N('Daily Data'!$M473)&lt;0,"ERROR","OK"))</f>
        <v/>
      </c>
      <c r="L473" s="165" t="str">
        <f>IF($A473="","",IF(OR(N('Daily Data'!$F473)=0,N('Daily Data'!$G473)=0),"OK",IF(OR(N('Daily Data'!$E473)&gt;N('Daily Data'!$F473),N('Daily Data'!$E473)&lt;N('Daily Data'!$G473)),"ERROR","OK")))</f>
        <v/>
      </c>
      <c r="M473" s="165" t="str">
        <f>IF($A473="","",IF(N('Daily Data'!$AK473)&lt;=1,"OK",IF(ROUND(N('Daily Data'!$D473),2)=ROUND(SUMIFS('Daily Data'!$E$4:$E$503,'Daily Data'!$B$4:$B$503,'Daily Data'!$B473,'Daily Data'!$AK$4:$AK$503,'Daily Data'!$AK473-1),2),"OK","WARNING")))</f>
        <v/>
      </c>
      <c r="N473" s="165" t="str">
        <f>IF($A473="","",IF(N('Daily Data'!$N473)&lt;=0,"WARNING","OK"))</f>
        <v/>
      </c>
      <c r="O473" s="165" t="str">
        <f>IF($A473="","",IF(AND(ISNUMBER('Daily Data'!$H473),ABS(N('Daily Data'!$H473))&gt;Settings!$C$56),"WARNING","OK"))</f>
        <v/>
      </c>
      <c r="P473" s="165" t="str">
        <f>IF($A473="","",IF(OR(AND(N('Daily Data'!$K473)=0,N('Daily Data'!$I473)&gt;0),AND(N('Daily Data'!$I473)=0,N('Daily Data'!$K473)&gt;0),AND(N('Daily Data'!$L473)=0,N('Daily Data'!$M473)=0)),"WARNING","OK"))</f>
        <v/>
      </c>
      <c r="Q473" s="165" t="str">
        <f>IF($A473="","",IF(COUNTIFS('Daily Data'!$B$4:$B$503,'Daily Data'!$B473,'Daily Data'!$A$4:$A$503,'Daily Data'!$A473,'Daily Data'!$Q$4:$Q$503,'Daily Data'!$Q473)&gt;1,"WARNING","OK"))</f>
        <v/>
      </c>
      <c r="R473" s="165" t="str">
        <f>IF($A473="","",IF(AND(N('Daily Data'!$K473)&gt;0,N('Daily Data'!$J473)&lt;=0),"WARNING","OK"))</f>
        <v/>
      </c>
      <c r="S473" s="165" t="str">
        <f>IF($A473="","",COUNTIF($D473:$R473,"ERROR"))</f>
        <v/>
      </c>
      <c r="T473" s="165" t="str">
        <f>IF($A473="","",COUNTIF($D473:$R473,"WARNING"))</f>
        <v/>
      </c>
      <c r="U473" s="165" t="str">
        <f>IF($A473="","",IF($S473&gt;0,"ERROR",IF($T473&gt;0,"WARNING","PASS")))</f>
        <v/>
      </c>
    </row>
    <row r="474" spans="1:21" x14ac:dyDescent="0.3">
      <c r="A474" t="str">
        <f>IF(AND('Daily Data'!$A474="",'Daily Data'!$B474=""),"",474)</f>
        <v/>
      </c>
      <c r="B474" s="16" t="str">
        <f>IF($A474="","",'Daily Data'!$A474)</f>
        <v/>
      </c>
      <c r="C474" t="str">
        <f>IF($A474="","",'Daily Data'!$B474)</f>
        <v/>
      </c>
      <c r="D474" s="165" t="str">
        <f>IF($A474="","",IF(COUNTIFS('Daily Data'!$B$4:$B$503,'Daily Data'!$B474,'Daily Data'!$A$4:$A$503,'Daily Data'!$A474)&gt;1,"ERROR","OK"))</f>
        <v/>
      </c>
      <c r="E474" s="165" t="str">
        <f>IF($A474="","",IF('Daily Data'!$B474="","ERROR","OK"))</f>
        <v/>
      </c>
      <c r="F474" s="165" t="str">
        <f>IF($A474="","",IF(NOT(ISNUMBER('Daily Data'!$A474)),"ERROR","OK"))</f>
        <v/>
      </c>
      <c r="G474" s="165" t="str">
        <f>IF($A474="","",IF(OR(N('Daily Data'!$E474)&lt;=0,N('Daily Data'!$C474)&lt;0,N('Daily Data'!$D474)&lt;0,N('Daily Data'!$F474)&lt;0,N('Daily Data'!$G474)&lt;0),"ERROR","OK"))</f>
        <v/>
      </c>
      <c r="H474" s="165" t="str">
        <f>IF($A474="","",IF(N('Daily Data'!$K474)&lt;0,"ERROR","OK"))</f>
        <v/>
      </c>
      <c r="I474" s="165" t="str">
        <f>IF($A474="","",IF(N('Daily Data'!$I474)&lt;0,"ERROR","OK"))</f>
        <v/>
      </c>
      <c r="J474" s="165" t="str">
        <f>IF($A474="","",IF(N('Daily Data'!$L474)&lt;0,"ERROR","OK"))</f>
        <v/>
      </c>
      <c r="K474" s="165" t="str">
        <f>IF($A474="","",IF(N('Daily Data'!$M474)&lt;0,"ERROR","OK"))</f>
        <v/>
      </c>
      <c r="L474" s="165" t="str">
        <f>IF($A474="","",IF(OR(N('Daily Data'!$F474)=0,N('Daily Data'!$G474)=0),"OK",IF(OR(N('Daily Data'!$E474)&gt;N('Daily Data'!$F474),N('Daily Data'!$E474)&lt;N('Daily Data'!$G474)),"ERROR","OK")))</f>
        <v/>
      </c>
      <c r="M474" s="165" t="str">
        <f>IF($A474="","",IF(N('Daily Data'!$AK474)&lt;=1,"OK",IF(ROUND(N('Daily Data'!$D474),2)=ROUND(SUMIFS('Daily Data'!$E$4:$E$503,'Daily Data'!$B$4:$B$503,'Daily Data'!$B474,'Daily Data'!$AK$4:$AK$503,'Daily Data'!$AK474-1),2),"OK","WARNING")))</f>
        <v/>
      </c>
      <c r="N474" s="165" t="str">
        <f>IF($A474="","",IF(N('Daily Data'!$N474)&lt;=0,"WARNING","OK"))</f>
        <v/>
      </c>
      <c r="O474" s="165" t="str">
        <f>IF($A474="","",IF(AND(ISNUMBER('Daily Data'!$H474),ABS(N('Daily Data'!$H474))&gt;Settings!$C$56),"WARNING","OK"))</f>
        <v/>
      </c>
      <c r="P474" s="165" t="str">
        <f>IF($A474="","",IF(OR(AND(N('Daily Data'!$K474)=0,N('Daily Data'!$I474)&gt;0),AND(N('Daily Data'!$I474)=0,N('Daily Data'!$K474)&gt;0),AND(N('Daily Data'!$L474)=0,N('Daily Data'!$M474)=0)),"WARNING","OK"))</f>
        <v/>
      </c>
      <c r="Q474" s="165" t="str">
        <f>IF($A474="","",IF(COUNTIFS('Daily Data'!$B$4:$B$503,'Daily Data'!$B474,'Daily Data'!$A$4:$A$503,'Daily Data'!$A474,'Daily Data'!$Q$4:$Q$503,'Daily Data'!$Q474)&gt;1,"WARNING","OK"))</f>
        <v/>
      </c>
      <c r="R474" s="165" t="str">
        <f>IF($A474="","",IF(AND(N('Daily Data'!$K474)&gt;0,N('Daily Data'!$J474)&lt;=0),"WARNING","OK"))</f>
        <v/>
      </c>
      <c r="S474" s="165" t="str">
        <f>IF($A474="","",COUNTIF($D474:$R474,"ERROR"))</f>
        <v/>
      </c>
      <c r="T474" s="165" t="str">
        <f>IF($A474="","",COUNTIF($D474:$R474,"WARNING"))</f>
        <v/>
      </c>
      <c r="U474" s="165" t="str">
        <f>IF($A474="","",IF($S474&gt;0,"ERROR",IF($T474&gt;0,"WARNING","PASS")))</f>
        <v/>
      </c>
    </row>
    <row r="475" spans="1:21" x14ac:dyDescent="0.3">
      <c r="A475" t="str">
        <f>IF(AND('Daily Data'!$A475="",'Daily Data'!$B475=""),"",475)</f>
        <v/>
      </c>
      <c r="B475" s="16" t="str">
        <f>IF($A475="","",'Daily Data'!$A475)</f>
        <v/>
      </c>
      <c r="C475" t="str">
        <f>IF($A475="","",'Daily Data'!$B475)</f>
        <v/>
      </c>
      <c r="D475" s="165" t="str">
        <f>IF($A475="","",IF(COUNTIFS('Daily Data'!$B$4:$B$503,'Daily Data'!$B475,'Daily Data'!$A$4:$A$503,'Daily Data'!$A475)&gt;1,"ERROR","OK"))</f>
        <v/>
      </c>
      <c r="E475" s="165" t="str">
        <f>IF($A475="","",IF('Daily Data'!$B475="","ERROR","OK"))</f>
        <v/>
      </c>
      <c r="F475" s="165" t="str">
        <f>IF($A475="","",IF(NOT(ISNUMBER('Daily Data'!$A475)),"ERROR","OK"))</f>
        <v/>
      </c>
      <c r="G475" s="165" t="str">
        <f>IF($A475="","",IF(OR(N('Daily Data'!$E475)&lt;=0,N('Daily Data'!$C475)&lt;0,N('Daily Data'!$D475)&lt;0,N('Daily Data'!$F475)&lt;0,N('Daily Data'!$G475)&lt;0),"ERROR","OK"))</f>
        <v/>
      </c>
      <c r="H475" s="165" t="str">
        <f>IF($A475="","",IF(N('Daily Data'!$K475)&lt;0,"ERROR","OK"))</f>
        <v/>
      </c>
      <c r="I475" s="165" t="str">
        <f>IF($A475="","",IF(N('Daily Data'!$I475)&lt;0,"ERROR","OK"))</f>
        <v/>
      </c>
      <c r="J475" s="165" t="str">
        <f>IF($A475="","",IF(N('Daily Data'!$L475)&lt;0,"ERROR","OK"))</f>
        <v/>
      </c>
      <c r="K475" s="165" t="str">
        <f>IF($A475="","",IF(N('Daily Data'!$M475)&lt;0,"ERROR","OK"))</f>
        <v/>
      </c>
      <c r="L475" s="165" t="str">
        <f>IF($A475="","",IF(OR(N('Daily Data'!$F475)=0,N('Daily Data'!$G475)=0),"OK",IF(OR(N('Daily Data'!$E475)&gt;N('Daily Data'!$F475),N('Daily Data'!$E475)&lt;N('Daily Data'!$G475)),"ERROR","OK")))</f>
        <v/>
      </c>
      <c r="M475" s="165" t="str">
        <f>IF($A475="","",IF(N('Daily Data'!$AK475)&lt;=1,"OK",IF(ROUND(N('Daily Data'!$D475),2)=ROUND(SUMIFS('Daily Data'!$E$4:$E$503,'Daily Data'!$B$4:$B$503,'Daily Data'!$B475,'Daily Data'!$AK$4:$AK$503,'Daily Data'!$AK475-1),2),"OK","WARNING")))</f>
        <v/>
      </c>
      <c r="N475" s="165" t="str">
        <f>IF($A475="","",IF(N('Daily Data'!$N475)&lt;=0,"WARNING","OK"))</f>
        <v/>
      </c>
      <c r="O475" s="165" t="str">
        <f>IF($A475="","",IF(AND(ISNUMBER('Daily Data'!$H475),ABS(N('Daily Data'!$H475))&gt;Settings!$C$56),"WARNING","OK"))</f>
        <v/>
      </c>
      <c r="P475" s="165" t="str">
        <f>IF($A475="","",IF(OR(AND(N('Daily Data'!$K475)=0,N('Daily Data'!$I475)&gt;0),AND(N('Daily Data'!$I475)=0,N('Daily Data'!$K475)&gt;0),AND(N('Daily Data'!$L475)=0,N('Daily Data'!$M475)=0)),"WARNING","OK"))</f>
        <v/>
      </c>
      <c r="Q475" s="165" t="str">
        <f>IF($A475="","",IF(COUNTIFS('Daily Data'!$B$4:$B$503,'Daily Data'!$B475,'Daily Data'!$A$4:$A$503,'Daily Data'!$A475,'Daily Data'!$Q$4:$Q$503,'Daily Data'!$Q475)&gt;1,"WARNING","OK"))</f>
        <v/>
      </c>
      <c r="R475" s="165" t="str">
        <f>IF($A475="","",IF(AND(N('Daily Data'!$K475)&gt;0,N('Daily Data'!$J475)&lt;=0),"WARNING","OK"))</f>
        <v/>
      </c>
      <c r="S475" s="165" t="str">
        <f>IF($A475="","",COUNTIF($D475:$R475,"ERROR"))</f>
        <v/>
      </c>
      <c r="T475" s="165" t="str">
        <f>IF($A475="","",COUNTIF($D475:$R475,"WARNING"))</f>
        <v/>
      </c>
      <c r="U475" s="165" t="str">
        <f>IF($A475="","",IF($S475&gt;0,"ERROR",IF($T475&gt;0,"WARNING","PASS")))</f>
        <v/>
      </c>
    </row>
    <row r="476" spans="1:21" x14ac:dyDescent="0.3">
      <c r="A476" t="str">
        <f>IF(AND('Daily Data'!$A476="",'Daily Data'!$B476=""),"",476)</f>
        <v/>
      </c>
      <c r="B476" s="16" t="str">
        <f>IF($A476="","",'Daily Data'!$A476)</f>
        <v/>
      </c>
      <c r="C476" t="str">
        <f>IF($A476="","",'Daily Data'!$B476)</f>
        <v/>
      </c>
      <c r="D476" s="165" t="str">
        <f>IF($A476="","",IF(COUNTIFS('Daily Data'!$B$4:$B$503,'Daily Data'!$B476,'Daily Data'!$A$4:$A$503,'Daily Data'!$A476)&gt;1,"ERROR","OK"))</f>
        <v/>
      </c>
      <c r="E476" s="165" t="str">
        <f>IF($A476="","",IF('Daily Data'!$B476="","ERROR","OK"))</f>
        <v/>
      </c>
      <c r="F476" s="165" t="str">
        <f>IF($A476="","",IF(NOT(ISNUMBER('Daily Data'!$A476)),"ERROR","OK"))</f>
        <v/>
      </c>
      <c r="G476" s="165" t="str">
        <f>IF($A476="","",IF(OR(N('Daily Data'!$E476)&lt;=0,N('Daily Data'!$C476)&lt;0,N('Daily Data'!$D476)&lt;0,N('Daily Data'!$F476)&lt;0,N('Daily Data'!$G476)&lt;0),"ERROR","OK"))</f>
        <v/>
      </c>
      <c r="H476" s="165" t="str">
        <f>IF($A476="","",IF(N('Daily Data'!$K476)&lt;0,"ERROR","OK"))</f>
        <v/>
      </c>
      <c r="I476" s="165" t="str">
        <f>IF($A476="","",IF(N('Daily Data'!$I476)&lt;0,"ERROR","OK"))</f>
        <v/>
      </c>
      <c r="J476" s="165" t="str">
        <f>IF($A476="","",IF(N('Daily Data'!$L476)&lt;0,"ERROR","OK"))</f>
        <v/>
      </c>
      <c r="K476" s="165" t="str">
        <f>IF($A476="","",IF(N('Daily Data'!$M476)&lt;0,"ERROR","OK"))</f>
        <v/>
      </c>
      <c r="L476" s="165" t="str">
        <f>IF($A476="","",IF(OR(N('Daily Data'!$F476)=0,N('Daily Data'!$G476)=0),"OK",IF(OR(N('Daily Data'!$E476)&gt;N('Daily Data'!$F476),N('Daily Data'!$E476)&lt;N('Daily Data'!$G476)),"ERROR","OK")))</f>
        <v/>
      </c>
      <c r="M476" s="165" t="str">
        <f>IF($A476="","",IF(N('Daily Data'!$AK476)&lt;=1,"OK",IF(ROUND(N('Daily Data'!$D476),2)=ROUND(SUMIFS('Daily Data'!$E$4:$E$503,'Daily Data'!$B$4:$B$503,'Daily Data'!$B476,'Daily Data'!$AK$4:$AK$503,'Daily Data'!$AK476-1),2),"OK","WARNING")))</f>
        <v/>
      </c>
      <c r="N476" s="165" t="str">
        <f>IF($A476="","",IF(N('Daily Data'!$N476)&lt;=0,"WARNING","OK"))</f>
        <v/>
      </c>
      <c r="O476" s="165" t="str">
        <f>IF($A476="","",IF(AND(ISNUMBER('Daily Data'!$H476),ABS(N('Daily Data'!$H476))&gt;Settings!$C$56),"WARNING","OK"))</f>
        <v/>
      </c>
      <c r="P476" s="165" t="str">
        <f>IF($A476="","",IF(OR(AND(N('Daily Data'!$K476)=0,N('Daily Data'!$I476)&gt;0),AND(N('Daily Data'!$I476)=0,N('Daily Data'!$K476)&gt;0),AND(N('Daily Data'!$L476)=0,N('Daily Data'!$M476)=0)),"WARNING","OK"))</f>
        <v/>
      </c>
      <c r="Q476" s="165" t="str">
        <f>IF($A476="","",IF(COUNTIFS('Daily Data'!$B$4:$B$503,'Daily Data'!$B476,'Daily Data'!$A$4:$A$503,'Daily Data'!$A476,'Daily Data'!$Q$4:$Q$503,'Daily Data'!$Q476)&gt;1,"WARNING","OK"))</f>
        <v/>
      </c>
      <c r="R476" s="165" t="str">
        <f>IF($A476="","",IF(AND(N('Daily Data'!$K476)&gt;0,N('Daily Data'!$J476)&lt;=0),"WARNING","OK"))</f>
        <v/>
      </c>
      <c r="S476" s="165" t="str">
        <f>IF($A476="","",COUNTIF($D476:$R476,"ERROR"))</f>
        <v/>
      </c>
      <c r="T476" s="165" t="str">
        <f>IF($A476="","",COUNTIF($D476:$R476,"WARNING"))</f>
        <v/>
      </c>
      <c r="U476" s="165" t="str">
        <f>IF($A476="","",IF($S476&gt;0,"ERROR",IF($T476&gt;0,"WARNING","PASS")))</f>
        <v/>
      </c>
    </row>
    <row r="477" spans="1:21" x14ac:dyDescent="0.3">
      <c r="A477" t="str">
        <f>IF(AND('Daily Data'!$A477="",'Daily Data'!$B477=""),"",477)</f>
        <v/>
      </c>
      <c r="B477" s="16" t="str">
        <f>IF($A477="","",'Daily Data'!$A477)</f>
        <v/>
      </c>
      <c r="C477" t="str">
        <f>IF($A477="","",'Daily Data'!$B477)</f>
        <v/>
      </c>
      <c r="D477" s="165" t="str">
        <f>IF($A477="","",IF(COUNTIFS('Daily Data'!$B$4:$B$503,'Daily Data'!$B477,'Daily Data'!$A$4:$A$503,'Daily Data'!$A477)&gt;1,"ERROR","OK"))</f>
        <v/>
      </c>
      <c r="E477" s="165" t="str">
        <f>IF($A477="","",IF('Daily Data'!$B477="","ERROR","OK"))</f>
        <v/>
      </c>
      <c r="F477" s="165" t="str">
        <f>IF($A477="","",IF(NOT(ISNUMBER('Daily Data'!$A477)),"ERROR","OK"))</f>
        <v/>
      </c>
      <c r="G477" s="165" t="str">
        <f>IF($A477="","",IF(OR(N('Daily Data'!$E477)&lt;=0,N('Daily Data'!$C477)&lt;0,N('Daily Data'!$D477)&lt;0,N('Daily Data'!$F477)&lt;0,N('Daily Data'!$G477)&lt;0),"ERROR","OK"))</f>
        <v/>
      </c>
      <c r="H477" s="165" t="str">
        <f>IF($A477="","",IF(N('Daily Data'!$K477)&lt;0,"ERROR","OK"))</f>
        <v/>
      </c>
      <c r="I477" s="165" t="str">
        <f>IF($A477="","",IF(N('Daily Data'!$I477)&lt;0,"ERROR","OK"))</f>
        <v/>
      </c>
      <c r="J477" s="165" t="str">
        <f>IF($A477="","",IF(N('Daily Data'!$L477)&lt;0,"ERROR","OK"))</f>
        <v/>
      </c>
      <c r="K477" s="165" t="str">
        <f>IF($A477="","",IF(N('Daily Data'!$M477)&lt;0,"ERROR","OK"))</f>
        <v/>
      </c>
      <c r="L477" s="165" t="str">
        <f>IF($A477="","",IF(OR(N('Daily Data'!$F477)=0,N('Daily Data'!$G477)=0),"OK",IF(OR(N('Daily Data'!$E477)&gt;N('Daily Data'!$F477),N('Daily Data'!$E477)&lt;N('Daily Data'!$G477)),"ERROR","OK")))</f>
        <v/>
      </c>
      <c r="M477" s="165" t="str">
        <f>IF($A477="","",IF(N('Daily Data'!$AK477)&lt;=1,"OK",IF(ROUND(N('Daily Data'!$D477),2)=ROUND(SUMIFS('Daily Data'!$E$4:$E$503,'Daily Data'!$B$4:$B$503,'Daily Data'!$B477,'Daily Data'!$AK$4:$AK$503,'Daily Data'!$AK477-1),2),"OK","WARNING")))</f>
        <v/>
      </c>
      <c r="N477" s="165" t="str">
        <f>IF($A477="","",IF(N('Daily Data'!$N477)&lt;=0,"WARNING","OK"))</f>
        <v/>
      </c>
      <c r="O477" s="165" t="str">
        <f>IF($A477="","",IF(AND(ISNUMBER('Daily Data'!$H477),ABS(N('Daily Data'!$H477))&gt;Settings!$C$56),"WARNING","OK"))</f>
        <v/>
      </c>
      <c r="P477" s="165" t="str">
        <f>IF($A477="","",IF(OR(AND(N('Daily Data'!$K477)=0,N('Daily Data'!$I477)&gt;0),AND(N('Daily Data'!$I477)=0,N('Daily Data'!$K477)&gt;0),AND(N('Daily Data'!$L477)=0,N('Daily Data'!$M477)=0)),"WARNING","OK"))</f>
        <v/>
      </c>
      <c r="Q477" s="165" t="str">
        <f>IF($A477="","",IF(COUNTIFS('Daily Data'!$B$4:$B$503,'Daily Data'!$B477,'Daily Data'!$A$4:$A$503,'Daily Data'!$A477,'Daily Data'!$Q$4:$Q$503,'Daily Data'!$Q477)&gt;1,"WARNING","OK"))</f>
        <v/>
      </c>
      <c r="R477" s="165" t="str">
        <f>IF($A477="","",IF(AND(N('Daily Data'!$K477)&gt;0,N('Daily Data'!$J477)&lt;=0),"WARNING","OK"))</f>
        <v/>
      </c>
      <c r="S477" s="165" t="str">
        <f>IF($A477="","",COUNTIF($D477:$R477,"ERROR"))</f>
        <v/>
      </c>
      <c r="T477" s="165" t="str">
        <f>IF($A477="","",COUNTIF($D477:$R477,"WARNING"))</f>
        <v/>
      </c>
      <c r="U477" s="165" t="str">
        <f>IF($A477="","",IF($S477&gt;0,"ERROR",IF($T477&gt;0,"WARNING","PASS")))</f>
        <v/>
      </c>
    </row>
    <row r="478" spans="1:21" x14ac:dyDescent="0.3">
      <c r="A478" t="str">
        <f>IF(AND('Daily Data'!$A478="",'Daily Data'!$B478=""),"",478)</f>
        <v/>
      </c>
      <c r="B478" s="16" t="str">
        <f>IF($A478="","",'Daily Data'!$A478)</f>
        <v/>
      </c>
      <c r="C478" t="str">
        <f>IF($A478="","",'Daily Data'!$B478)</f>
        <v/>
      </c>
      <c r="D478" s="165" t="str">
        <f>IF($A478="","",IF(COUNTIFS('Daily Data'!$B$4:$B$503,'Daily Data'!$B478,'Daily Data'!$A$4:$A$503,'Daily Data'!$A478)&gt;1,"ERROR","OK"))</f>
        <v/>
      </c>
      <c r="E478" s="165" t="str">
        <f>IF($A478="","",IF('Daily Data'!$B478="","ERROR","OK"))</f>
        <v/>
      </c>
      <c r="F478" s="165" t="str">
        <f>IF($A478="","",IF(NOT(ISNUMBER('Daily Data'!$A478)),"ERROR","OK"))</f>
        <v/>
      </c>
      <c r="G478" s="165" t="str">
        <f>IF($A478="","",IF(OR(N('Daily Data'!$E478)&lt;=0,N('Daily Data'!$C478)&lt;0,N('Daily Data'!$D478)&lt;0,N('Daily Data'!$F478)&lt;0,N('Daily Data'!$G478)&lt;0),"ERROR","OK"))</f>
        <v/>
      </c>
      <c r="H478" s="165" t="str">
        <f>IF($A478="","",IF(N('Daily Data'!$K478)&lt;0,"ERROR","OK"))</f>
        <v/>
      </c>
      <c r="I478" s="165" t="str">
        <f>IF($A478="","",IF(N('Daily Data'!$I478)&lt;0,"ERROR","OK"))</f>
        <v/>
      </c>
      <c r="J478" s="165" t="str">
        <f>IF($A478="","",IF(N('Daily Data'!$L478)&lt;0,"ERROR","OK"))</f>
        <v/>
      </c>
      <c r="K478" s="165" t="str">
        <f>IF($A478="","",IF(N('Daily Data'!$M478)&lt;0,"ERROR","OK"))</f>
        <v/>
      </c>
      <c r="L478" s="165" t="str">
        <f>IF($A478="","",IF(OR(N('Daily Data'!$F478)=0,N('Daily Data'!$G478)=0),"OK",IF(OR(N('Daily Data'!$E478)&gt;N('Daily Data'!$F478),N('Daily Data'!$E478)&lt;N('Daily Data'!$G478)),"ERROR","OK")))</f>
        <v/>
      </c>
      <c r="M478" s="165" t="str">
        <f>IF($A478="","",IF(N('Daily Data'!$AK478)&lt;=1,"OK",IF(ROUND(N('Daily Data'!$D478),2)=ROUND(SUMIFS('Daily Data'!$E$4:$E$503,'Daily Data'!$B$4:$B$503,'Daily Data'!$B478,'Daily Data'!$AK$4:$AK$503,'Daily Data'!$AK478-1),2),"OK","WARNING")))</f>
        <v/>
      </c>
      <c r="N478" s="165" t="str">
        <f>IF($A478="","",IF(N('Daily Data'!$N478)&lt;=0,"WARNING","OK"))</f>
        <v/>
      </c>
      <c r="O478" s="165" t="str">
        <f>IF($A478="","",IF(AND(ISNUMBER('Daily Data'!$H478),ABS(N('Daily Data'!$H478))&gt;Settings!$C$56),"WARNING","OK"))</f>
        <v/>
      </c>
      <c r="P478" s="165" t="str">
        <f>IF($A478="","",IF(OR(AND(N('Daily Data'!$K478)=0,N('Daily Data'!$I478)&gt;0),AND(N('Daily Data'!$I478)=0,N('Daily Data'!$K478)&gt;0),AND(N('Daily Data'!$L478)=0,N('Daily Data'!$M478)=0)),"WARNING","OK"))</f>
        <v/>
      </c>
      <c r="Q478" s="165" t="str">
        <f>IF($A478="","",IF(COUNTIFS('Daily Data'!$B$4:$B$503,'Daily Data'!$B478,'Daily Data'!$A$4:$A$503,'Daily Data'!$A478,'Daily Data'!$Q$4:$Q$503,'Daily Data'!$Q478)&gt;1,"WARNING","OK"))</f>
        <v/>
      </c>
      <c r="R478" s="165" t="str">
        <f>IF($A478="","",IF(AND(N('Daily Data'!$K478)&gt;0,N('Daily Data'!$J478)&lt;=0),"WARNING","OK"))</f>
        <v/>
      </c>
      <c r="S478" s="165" t="str">
        <f>IF($A478="","",COUNTIF($D478:$R478,"ERROR"))</f>
        <v/>
      </c>
      <c r="T478" s="165" t="str">
        <f>IF($A478="","",COUNTIF($D478:$R478,"WARNING"))</f>
        <v/>
      </c>
      <c r="U478" s="165" t="str">
        <f>IF($A478="","",IF($S478&gt;0,"ERROR",IF($T478&gt;0,"WARNING","PASS")))</f>
        <v/>
      </c>
    </row>
    <row r="479" spans="1:21" x14ac:dyDescent="0.3">
      <c r="A479" t="str">
        <f>IF(AND('Daily Data'!$A479="",'Daily Data'!$B479=""),"",479)</f>
        <v/>
      </c>
      <c r="B479" s="16" t="str">
        <f>IF($A479="","",'Daily Data'!$A479)</f>
        <v/>
      </c>
      <c r="C479" t="str">
        <f>IF($A479="","",'Daily Data'!$B479)</f>
        <v/>
      </c>
      <c r="D479" s="165" t="str">
        <f>IF($A479="","",IF(COUNTIFS('Daily Data'!$B$4:$B$503,'Daily Data'!$B479,'Daily Data'!$A$4:$A$503,'Daily Data'!$A479)&gt;1,"ERROR","OK"))</f>
        <v/>
      </c>
      <c r="E479" s="165" t="str">
        <f>IF($A479="","",IF('Daily Data'!$B479="","ERROR","OK"))</f>
        <v/>
      </c>
      <c r="F479" s="165" t="str">
        <f>IF($A479="","",IF(NOT(ISNUMBER('Daily Data'!$A479)),"ERROR","OK"))</f>
        <v/>
      </c>
      <c r="G479" s="165" t="str">
        <f>IF($A479="","",IF(OR(N('Daily Data'!$E479)&lt;=0,N('Daily Data'!$C479)&lt;0,N('Daily Data'!$D479)&lt;0,N('Daily Data'!$F479)&lt;0,N('Daily Data'!$G479)&lt;0),"ERROR","OK"))</f>
        <v/>
      </c>
      <c r="H479" s="165" t="str">
        <f>IF($A479="","",IF(N('Daily Data'!$K479)&lt;0,"ERROR","OK"))</f>
        <v/>
      </c>
      <c r="I479" s="165" t="str">
        <f>IF($A479="","",IF(N('Daily Data'!$I479)&lt;0,"ERROR","OK"))</f>
        <v/>
      </c>
      <c r="J479" s="165" t="str">
        <f>IF($A479="","",IF(N('Daily Data'!$L479)&lt;0,"ERROR","OK"))</f>
        <v/>
      </c>
      <c r="K479" s="165" t="str">
        <f>IF($A479="","",IF(N('Daily Data'!$M479)&lt;0,"ERROR","OK"))</f>
        <v/>
      </c>
      <c r="L479" s="165" t="str">
        <f>IF($A479="","",IF(OR(N('Daily Data'!$F479)=0,N('Daily Data'!$G479)=0),"OK",IF(OR(N('Daily Data'!$E479)&gt;N('Daily Data'!$F479),N('Daily Data'!$E479)&lt;N('Daily Data'!$G479)),"ERROR","OK")))</f>
        <v/>
      </c>
      <c r="M479" s="165" t="str">
        <f>IF($A479="","",IF(N('Daily Data'!$AK479)&lt;=1,"OK",IF(ROUND(N('Daily Data'!$D479),2)=ROUND(SUMIFS('Daily Data'!$E$4:$E$503,'Daily Data'!$B$4:$B$503,'Daily Data'!$B479,'Daily Data'!$AK$4:$AK$503,'Daily Data'!$AK479-1),2),"OK","WARNING")))</f>
        <v/>
      </c>
      <c r="N479" s="165" t="str">
        <f>IF($A479="","",IF(N('Daily Data'!$N479)&lt;=0,"WARNING","OK"))</f>
        <v/>
      </c>
      <c r="O479" s="165" t="str">
        <f>IF($A479="","",IF(AND(ISNUMBER('Daily Data'!$H479),ABS(N('Daily Data'!$H479))&gt;Settings!$C$56),"WARNING","OK"))</f>
        <v/>
      </c>
      <c r="P479" s="165" t="str">
        <f>IF($A479="","",IF(OR(AND(N('Daily Data'!$K479)=0,N('Daily Data'!$I479)&gt;0),AND(N('Daily Data'!$I479)=0,N('Daily Data'!$K479)&gt;0),AND(N('Daily Data'!$L479)=0,N('Daily Data'!$M479)=0)),"WARNING","OK"))</f>
        <v/>
      </c>
      <c r="Q479" s="165" t="str">
        <f>IF($A479="","",IF(COUNTIFS('Daily Data'!$B$4:$B$503,'Daily Data'!$B479,'Daily Data'!$A$4:$A$503,'Daily Data'!$A479,'Daily Data'!$Q$4:$Q$503,'Daily Data'!$Q479)&gt;1,"WARNING","OK"))</f>
        <v/>
      </c>
      <c r="R479" s="165" t="str">
        <f>IF($A479="","",IF(AND(N('Daily Data'!$K479)&gt;0,N('Daily Data'!$J479)&lt;=0),"WARNING","OK"))</f>
        <v/>
      </c>
      <c r="S479" s="165" t="str">
        <f>IF($A479="","",COUNTIF($D479:$R479,"ERROR"))</f>
        <v/>
      </c>
      <c r="T479" s="165" t="str">
        <f>IF($A479="","",COUNTIF($D479:$R479,"WARNING"))</f>
        <v/>
      </c>
      <c r="U479" s="165" t="str">
        <f>IF($A479="","",IF($S479&gt;0,"ERROR",IF($T479&gt;0,"WARNING","PASS")))</f>
        <v/>
      </c>
    </row>
    <row r="480" spans="1:21" x14ac:dyDescent="0.3">
      <c r="A480" t="str">
        <f>IF(AND('Daily Data'!$A480="",'Daily Data'!$B480=""),"",480)</f>
        <v/>
      </c>
      <c r="B480" s="16" t="str">
        <f>IF($A480="","",'Daily Data'!$A480)</f>
        <v/>
      </c>
      <c r="C480" t="str">
        <f>IF($A480="","",'Daily Data'!$B480)</f>
        <v/>
      </c>
      <c r="D480" s="165" t="str">
        <f>IF($A480="","",IF(COUNTIFS('Daily Data'!$B$4:$B$503,'Daily Data'!$B480,'Daily Data'!$A$4:$A$503,'Daily Data'!$A480)&gt;1,"ERROR","OK"))</f>
        <v/>
      </c>
      <c r="E480" s="165" t="str">
        <f>IF($A480="","",IF('Daily Data'!$B480="","ERROR","OK"))</f>
        <v/>
      </c>
      <c r="F480" s="165" t="str">
        <f>IF($A480="","",IF(NOT(ISNUMBER('Daily Data'!$A480)),"ERROR","OK"))</f>
        <v/>
      </c>
      <c r="G480" s="165" t="str">
        <f>IF($A480="","",IF(OR(N('Daily Data'!$E480)&lt;=0,N('Daily Data'!$C480)&lt;0,N('Daily Data'!$D480)&lt;0,N('Daily Data'!$F480)&lt;0,N('Daily Data'!$G480)&lt;0),"ERROR","OK"))</f>
        <v/>
      </c>
      <c r="H480" s="165" t="str">
        <f>IF($A480="","",IF(N('Daily Data'!$K480)&lt;0,"ERROR","OK"))</f>
        <v/>
      </c>
      <c r="I480" s="165" t="str">
        <f>IF($A480="","",IF(N('Daily Data'!$I480)&lt;0,"ERROR","OK"))</f>
        <v/>
      </c>
      <c r="J480" s="165" t="str">
        <f>IF($A480="","",IF(N('Daily Data'!$L480)&lt;0,"ERROR","OK"))</f>
        <v/>
      </c>
      <c r="K480" s="165" t="str">
        <f>IF($A480="","",IF(N('Daily Data'!$M480)&lt;0,"ERROR","OK"))</f>
        <v/>
      </c>
      <c r="L480" s="165" t="str">
        <f>IF($A480="","",IF(OR(N('Daily Data'!$F480)=0,N('Daily Data'!$G480)=0),"OK",IF(OR(N('Daily Data'!$E480)&gt;N('Daily Data'!$F480),N('Daily Data'!$E480)&lt;N('Daily Data'!$G480)),"ERROR","OK")))</f>
        <v/>
      </c>
      <c r="M480" s="165" t="str">
        <f>IF($A480="","",IF(N('Daily Data'!$AK480)&lt;=1,"OK",IF(ROUND(N('Daily Data'!$D480),2)=ROUND(SUMIFS('Daily Data'!$E$4:$E$503,'Daily Data'!$B$4:$B$503,'Daily Data'!$B480,'Daily Data'!$AK$4:$AK$503,'Daily Data'!$AK480-1),2),"OK","WARNING")))</f>
        <v/>
      </c>
      <c r="N480" s="165" t="str">
        <f>IF($A480="","",IF(N('Daily Data'!$N480)&lt;=0,"WARNING","OK"))</f>
        <v/>
      </c>
      <c r="O480" s="165" t="str">
        <f>IF($A480="","",IF(AND(ISNUMBER('Daily Data'!$H480),ABS(N('Daily Data'!$H480))&gt;Settings!$C$56),"WARNING","OK"))</f>
        <v/>
      </c>
      <c r="P480" s="165" t="str">
        <f>IF($A480="","",IF(OR(AND(N('Daily Data'!$K480)=0,N('Daily Data'!$I480)&gt;0),AND(N('Daily Data'!$I480)=0,N('Daily Data'!$K480)&gt;0),AND(N('Daily Data'!$L480)=0,N('Daily Data'!$M480)=0)),"WARNING","OK"))</f>
        <v/>
      </c>
      <c r="Q480" s="165" t="str">
        <f>IF($A480="","",IF(COUNTIFS('Daily Data'!$B$4:$B$503,'Daily Data'!$B480,'Daily Data'!$A$4:$A$503,'Daily Data'!$A480,'Daily Data'!$Q$4:$Q$503,'Daily Data'!$Q480)&gt;1,"WARNING","OK"))</f>
        <v/>
      </c>
      <c r="R480" s="165" t="str">
        <f>IF($A480="","",IF(AND(N('Daily Data'!$K480)&gt;0,N('Daily Data'!$J480)&lt;=0),"WARNING","OK"))</f>
        <v/>
      </c>
      <c r="S480" s="165" t="str">
        <f>IF($A480="","",COUNTIF($D480:$R480,"ERROR"))</f>
        <v/>
      </c>
      <c r="T480" s="165" t="str">
        <f>IF($A480="","",COUNTIF($D480:$R480,"WARNING"))</f>
        <v/>
      </c>
      <c r="U480" s="165" t="str">
        <f>IF($A480="","",IF($S480&gt;0,"ERROR",IF($T480&gt;0,"WARNING","PASS")))</f>
        <v/>
      </c>
    </row>
    <row r="481" spans="1:21" x14ac:dyDescent="0.3">
      <c r="A481" t="str">
        <f>IF(AND('Daily Data'!$A481="",'Daily Data'!$B481=""),"",481)</f>
        <v/>
      </c>
      <c r="B481" s="16" t="str">
        <f>IF($A481="","",'Daily Data'!$A481)</f>
        <v/>
      </c>
      <c r="C481" t="str">
        <f>IF($A481="","",'Daily Data'!$B481)</f>
        <v/>
      </c>
      <c r="D481" s="165" t="str">
        <f>IF($A481="","",IF(COUNTIFS('Daily Data'!$B$4:$B$503,'Daily Data'!$B481,'Daily Data'!$A$4:$A$503,'Daily Data'!$A481)&gt;1,"ERROR","OK"))</f>
        <v/>
      </c>
      <c r="E481" s="165" t="str">
        <f>IF($A481="","",IF('Daily Data'!$B481="","ERROR","OK"))</f>
        <v/>
      </c>
      <c r="F481" s="165" t="str">
        <f>IF($A481="","",IF(NOT(ISNUMBER('Daily Data'!$A481)),"ERROR","OK"))</f>
        <v/>
      </c>
      <c r="G481" s="165" t="str">
        <f>IF($A481="","",IF(OR(N('Daily Data'!$E481)&lt;=0,N('Daily Data'!$C481)&lt;0,N('Daily Data'!$D481)&lt;0,N('Daily Data'!$F481)&lt;0,N('Daily Data'!$G481)&lt;0),"ERROR","OK"))</f>
        <v/>
      </c>
      <c r="H481" s="165" t="str">
        <f>IF($A481="","",IF(N('Daily Data'!$K481)&lt;0,"ERROR","OK"))</f>
        <v/>
      </c>
      <c r="I481" s="165" t="str">
        <f>IF($A481="","",IF(N('Daily Data'!$I481)&lt;0,"ERROR","OK"))</f>
        <v/>
      </c>
      <c r="J481" s="165" t="str">
        <f>IF($A481="","",IF(N('Daily Data'!$L481)&lt;0,"ERROR","OK"))</f>
        <v/>
      </c>
      <c r="K481" s="165" t="str">
        <f>IF($A481="","",IF(N('Daily Data'!$M481)&lt;0,"ERROR","OK"))</f>
        <v/>
      </c>
      <c r="L481" s="165" t="str">
        <f>IF($A481="","",IF(OR(N('Daily Data'!$F481)=0,N('Daily Data'!$G481)=0),"OK",IF(OR(N('Daily Data'!$E481)&gt;N('Daily Data'!$F481),N('Daily Data'!$E481)&lt;N('Daily Data'!$G481)),"ERROR","OK")))</f>
        <v/>
      </c>
      <c r="M481" s="165" t="str">
        <f>IF($A481="","",IF(N('Daily Data'!$AK481)&lt;=1,"OK",IF(ROUND(N('Daily Data'!$D481),2)=ROUND(SUMIFS('Daily Data'!$E$4:$E$503,'Daily Data'!$B$4:$B$503,'Daily Data'!$B481,'Daily Data'!$AK$4:$AK$503,'Daily Data'!$AK481-1),2),"OK","WARNING")))</f>
        <v/>
      </c>
      <c r="N481" s="165" t="str">
        <f>IF($A481="","",IF(N('Daily Data'!$N481)&lt;=0,"WARNING","OK"))</f>
        <v/>
      </c>
      <c r="O481" s="165" t="str">
        <f>IF($A481="","",IF(AND(ISNUMBER('Daily Data'!$H481),ABS(N('Daily Data'!$H481))&gt;Settings!$C$56),"WARNING","OK"))</f>
        <v/>
      </c>
      <c r="P481" s="165" t="str">
        <f>IF($A481="","",IF(OR(AND(N('Daily Data'!$K481)=0,N('Daily Data'!$I481)&gt;0),AND(N('Daily Data'!$I481)=0,N('Daily Data'!$K481)&gt;0),AND(N('Daily Data'!$L481)=0,N('Daily Data'!$M481)=0)),"WARNING","OK"))</f>
        <v/>
      </c>
      <c r="Q481" s="165" t="str">
        <f>IF($A481="","",IF(COUNTIFS('Daily Data'!$B$4:$B$503,'Daily Data'!$B481,'Daily Data'!$A$4:$A$503,'Daily Data'!$A481,'Daily Data'!$Q$4:$Q$503,'Daily Data'!$Q481)&gt;1,"WARNING","OK"))</f>
        <v/>
      </c>
      <c r="R481" s="165" t="str">
        <f>IF($A481="","",IF(AND(N('Daily Data'!$K481)&gt;0,N('Daily Data'!$J481)&lt;=0),"WARNING","OK"))</f>
        <v/>
      </c>
      <c r="S481" s="165" t="str">
        <f>IF($A481="","",COUNTIF($D481:$R481,"ERROR"))</f>
        <v/>
      </c>
      <c r="T481" s="165" t="str">
        <f>IF($A481="","",COUNTIF($D481:$R481,"WARNING"))</f>
        <v/>
      </c>
      <c r="U481" s="165" t="str">
        <f>IF($A481="","",IF($S481&gt;0,"ERROR",IF($T481&gt;0,"WARNING","PASS")))</f>
        <v/>
      </c>
    </row>
    <row r="482" spans="1:21" x14ac:dyDescent="0.3">
      <c r="A482" t="str">
        <f>IF(AND('Daily Data'!$A482="",'Daily Data'!$B482=""),"",482)</f>
        <v/>
      </c>
      <c r="B482" s="16" t="str">
        <f>IF($A482="","",'Daily Data'!$A482)</f>
        <v/>
      </c>
      <c r="C482" t="str">
        <f>IF($A482="","",'Daily Data'!$B482)</f>
        <v/>
      </c>
      <c r="D482" s="165" t="str">
        <f>IF($A482="","",IF(COUNTIFS('Daily Data'!$B$4:$B$503,'Daily Data'!$B482,'Daily Data'!$A$4:$A$503,'Daily Data'!$A482)&gt;1,"ERROR","OK"))</f>
        <v/>
      </c>
      <c r="E482" s="165" t="str">
        <f>IF($A482="","",IF('Daily Data'!$B482="","ERROR","OK"))</f>
        <v/>
      </c>
      <c r="F482" s="165" t="str">
        <f>IF($A482="","",IF(NOT(ISNUMBER('Daily Data'!$A482)),"ERROR","OK"))</f>
        <v/>
      </c>
      <c r="G482" s="165" t="str">
        <f>IF($A482="","",IF(OR(N('Daily Data'!$E482)&lt;=0,N('Daily Data'!$C482)&lt;0,N('Daily Data'!$D482)&lt;0,N('Daily Data'!$F482)&lt;0,N('Daily Data'!$G482)&lt;0),"ERROR","OK"))</f>
        <v/>
      </c>
      <c r="H482" s="165" t="str">
        <f>IF($A482="","",IF(N('Daily Data'!$K482)&lt;0,"ERROR","OK"))</f>
        <v/>
      </c>
      <c r="I482" s="165" t="str">
        <f>IF($A482="","",IF(N('Daily Data'!$I482)&lt;0,"ERROR","OK"))</f>
        <v/>
      </c>
      <c r="J482" s="165" t="str">
        <f>IF($A482="","",IF(N('Daily Data'!$L482)&lt;0,"ERROR","OK"))</f>
        <v/>
      </c>
      <c r="K482" s="165" t="str">
        <f>IF($A482="","",IF(N('Daily Data'!$M482)&lt;0,"ERROR","OK"))</f>
        <v/>
      </c>
      <c r="L482" s="165" t="str">
        <f>IF($A482="","",IF(OR(N('Daily Data'!$F482)=0,N('Daily Data'!$G482)=0),"OK",IF(OR(N('Daily Data'!$E482)&gt;N('Daily Data'!$F482),N('Daily Data'!$E482)&lt;N('Daily Data'!$G482)),"ERROR","OK")))</f>
        <v/>
      </c>
      <c r="M482" s="165" t="str">
        <f>IF($A482="","",IF(N('Daily Data'!$AK482)&lt;=1,"OK",IF(ROUND(N('Daily Data'!$D482),2)=ROUND(SUMIFS('Daily Data'!$E$4:$E$503,'Daily Data'!$B$4:$B$503,'Daily Data'!$B482,'Daily Data'!$AK$4:$AK$503,'Daily Data'!$AK482-1),2),"OK","WARNING")))</f>
        <v/>
      </c>
      <c r="N482" s="165" t="str">
        <f>IF($A482="","",IF(N('Daily Data'!$N482)&lt;=0,"WARNING","OK"))</f>
        <v/>
      </c>
      <c r="O482" s="165" t="str">
        <f>IF($A482="","",IF(AND(ISNUMBER('Daily Data'!$H482),ABS(N('Daily Data'!$H482))&gt;Settings!$C$56),"WARNING","OK"))</f>
        <v/>
      </c>
      <c r="P482" s="165" t="str">
        <f>IF($A482="","",IF(OR(AND(N('Daily Data'!$K482)=0,N('Daily Data'!$I482)&gt;0),AND(N('Daily Data'!$I482)=0,N('Daily Data'!$K482)&gt;0),AND(N('Daily Data'!$L482)=0,N('Daily Data'!$M482)=0)),"WARNING","OK"))</f>
        <v/>
      </c>
      <c r="Q482" s="165" t="str">
        <f>IF($A482="","",IF(COUNTIFS('Daily Data'!$B$4:$B$503,'Daily Data'!$B482,'Daily Data'!$A$4:$A$503,'Daily Data'!$A482,'Daily Data'!$Q$4:$Q$503,'Daily Data'!$Q482)&gt;1,"WARNING","OK"))</f>
        <v/>
      </c>
      <c r="R482" s="165" t="str">
        <f>IF($A482="","",IF(AND(N('Daily Data'!$K482)&gt;0,N('Daily Data'!$J482)&lt;=0),"WARNING","OK"))</f>
        <v/>
      </c>
      <c r="S482" s="165" t="str">
        <f>IF($A482="","",COUNTIF($D482:$R482,"ERROR"))</f>
        <v/>
      </c>
      <c r="T482" s="165" t="str">
        <f>IF($A482="","",COUNTIF($D482:$R482,"WARNING"))</f>
        <v/>
      </c>
      <c r="U482" s="165" t="str">
        <f>IF($A482="","",IF($S482&gt;0,"ERROR",IF($T482&gt;0,"WARNING","PASS")))</f>
        <v/>
      </c>
    </row>
    <row r="483" spans="1:21" x14ac:dyDescent="0.3">
      <c r="A483" t="str">
        <f>IF(AND('Daily Data'!$A483="",'Daily Data'!$B483=""),"",483)</f>
        <v/>
      </c>
      <c r="B483" s="16" t="str">
        <f>IF($A483="","",'Daily Data'!$A483)</f>
        <v/>
      </c>
      <c r="C483" t="str">
        <f>IF($A483="","",'Daily Data'!$B483)</f>
        <v/>
      </c>
      <c r="D483" s="165" t="str">
        <f>IF($A483="","",IF(COUNTIFS('Daily Data'!$B$4:$B$503,'Daily Data'!$B483,'Daily Data'!$A$4:$A$503,'Daily Data'!$A483)&gt;1,"ERROR","OK"))</f>
        <v/>
      </c>
      <c r="E483" s="165" t="str">
        <f>IF($A483="","",IF('Daily Data'!$B483="","ERROR","OK"))</f>
        <v/>
      </c>
      <c r="F483" s="165" t="str">
        <f>IF($A483="","",IF(NOT(ISNUMBER('Daily Data'!$A483)),"ERROR","OK"))</f>
        <v/>
      </c>
      <c r="G483" s="165" t="str">
        <f>IF($A483="","",IF(OR(N('Daily Data'!$E483)&lt;=0,N('Daily Data'!$C483)&lt;0,N('Daily Data'!$D483)&lt;0,N('Daily Data'!$F483)&lt;0,N('Daily Data'!$G483)&lt;0),"ERROR","OK"))</f>
        <v/>
      </c>
      <c r="H483" s="165" t="str">
        <f>IF($A483="","",IF(N('Daily Data'!$K483)&lt;0,"ERROR","OK"))</f>
        <v/>
      </c>
      <c r="I483" s="165" t="str">
        <f>IF($A483="","",IF(N('Daily Data'!$I483)&lt;0,"ERROR","OK"))</f>
        <v/>
      </c>
      <c r="J483" s="165" t="str">
        <f>IF($A483="","",IF(N('Daily Data'!$L483)&lt;0,"ERROR","OK"))</f>
        <v/>
      </c>
      <c r="K483" s="165" t="str">
        <f>IF($A483="","",IF(N('Daily Data'!$M483)&lt;0,"ERROR","OK"))</f>
        <v/>
      </c>
      <c r="L483" s="165" t="str">
        <f>IF($A483="","",IF(OR(N('Daily Data'!$F483)=0,N('Daily Data'!$G483)=0),"OK",IF(OR(N('Daily Data'!$E483)&gt;N('Daily Data'!$F483),N('Daily Data'!$E483)&lt;N('Daily Data'!$G483)),"ERROR","OK")))</f>
        <v/>
      </c>
      <c r="M483" s="165" t="str">
        <f>IF($A483="","",IF(N('Daily Data'!$AK483)&lt;=1,"OK",IF(ROUND(N('Daily Data'!$D483),2)=ROUND(SUMIFS('Daily Data'!$E$4:$E$503,'Daily Data'!$B$4:$B$503,'Daily Data'!$B483,'Daily Data'!$AK$4:$AK$503,'Daily Data'!$AK483-1),2),"OK","WARNING")))</f>
        <v/>
      </c>
      <c r="N483" s="165" t="str">
        <f>IF($A483="","",IF(N('Daily Data'!$N483)&lt;=0,"WARNING","OK"))</f>
        <v/>
      </c>
      <c r="O483" s="165" t="str">
        <f>IF($A483="","",IF(AND(ISNUMBER('Daily Data'!$H483),ABS(N('Daily Data'!$H483))&gt;Settings!$C$56),"WARNING","OK"))</f>
        <v/>
      </c>
      <c r="P483" s="165" t="str">
        <f>IF($A483="","",IF(OR(AND(N('Daily Data'!$K483)=0,N('Daily Data'!$I483)&gt;0),AND(N('Daily Data'!$I483)=0,N('Daily Data'!$K483)&gt;0),AND(N('Daily Data'!$L483)=0,N('Daily Data'!$M483)=0)),"WARNING","OK"))</f>
        <v/>
      </c>
      <c r="Q483" s="165" t="str">
        <f>IF($A483="","",IF(COUNTIFS('Daily Data'!$B$4:$B$503,'Daily Data'!$B483,'Daily Data'!$A$4:$A$503,'Daily Data'!$A483,'Daily Data'!$Q$4:$Q$503,'Daily Data'!$Q483)&gt;1,"WARNING","OK"))</f>
        <v/>
      </c>
      <c r="R483" s="165" t="str">
        <f>IF($A483="","",IF(AND(N('Daily Data'!$K483)&gt;0,N('Daily Data'!$J483)&lt;=0),"WARNING","OK"))</f>
        <v/>
      </c>
      <c r="S483" s="165" t="str">
        <f>IF($A483="","",COUNTIF($D483:$R483,"ERROR"))</f>
        <v/>
      </c>
      <c r="T483" s="165" t="str">
        <f>IF($A483="","",COUNTIF($D483:$R483,"WARNING"))</f>
        <v/>
      </c>
      <c r="U483" s="165" t="str">
        <f>IF($A483="","",IF($S483&gt;0,"ERROR",IF($T483&gt;0,"WARNING","PASS")))</f>
        <v/>
      </c>
    </row>
    <row r="484" spans="1:21" x14ac:dyDescent="0.3">
      <c r="A484" t="str">
        <f>IF(AND('Daily Data'!$A484="",'Daily Data'!$B484=""),"",484)</f>
        <v/>
      </c>
      <c r="B484" s="16" t="str">
        <f>IF($A484="","",'Daily Data'!$A484)</f>
        <v/>
      </c>
      <c r="C484" t="str">
        <f>IF($A484="","",'Daily Data'!$B484)</f>
        <v/>
      </c>
      <c r="D484" s="165" t="str">
        <f>IF($A484="","",IF(COUNTIFS('Daily Data'!$B$4:$B$503,'Daily Data'!$B484,'Daily Data'!$A$4:$A$503,'Daily Data'!$A484)&gt;1,"ERROR","OK"))</f>
        <v/>
      </c>
      <c r="E484" s="165" t="str">
        <f>IF($A484="","",IF('Daily Data'!$B484="","ERROR","OK"))</f>
        <v/>
      </c>
      <c r="F484" s="165" t="str">
        <f>IF($A484="","",IF(NOT(ISNUMBER('Daily Data'!$A484)),"ERROR","OK"))</f>
        <v/>
      </c>
      <c r="G484" s="165" t="str">
        <f>IF($A484="","",IF(OR(N('Daily Data'!$E484)&lt;=0,N('Daily Data'!$C484)&lt;0,N('Daily Data'!$D484)&lt;0,N('Daily Data'!$F484)&lt;0,N('Daily Data'!$G484)&lt;0),"ERROR","OK"))</f>
        <v/>
      </c>
      <c r="H484" s="165" t="str">
        <f>IF($A484="","",IF(N('Daily Data'!$K484)&lt;0,"ERROR","OK"))</f>
        <v/>
      </c>
      <c r="I484" s="165" t="str">
        <f>IF($A484="","",IF(N('Daily Data'!$I484)&lt;0,"ERROR","OK"))</f>
        <v/>
      </c>
      <c r="J484" s="165" t="str">
        <f>IF($A484="","",IF(N('Daily Data'!$L484)&lt;0,"ERROR","OK"))</f>
        <v/>
      </c>
      <c r="K484" s="165" t="str">
        <f>IF($A484="","",IF(N('Daily Data'!$M484)&lt;0,"ERROR","OK"))</f>
        <v/>
      </c>
      <c r="L484" s="165" t="str">
        <f>IF($A484="","",IF(OR(N('Daily Data'!$F484)=0,N('Daily Data'!$G484)=0),"OK",IF(OR(N('Daily Data'!$E484)&gt;N('Daily Data'!$F484),N('Daily Data'!$E484)&lt;N('Daily Data'!$G484)),"ERROR","OK")))</f>
        <v/>
      </c>
      <c r="M484" s="165" t="str">
        <f>IF($A484="","",IF(N('Daily Data'!$AK484)&lt;=1,"OK",IF(ROUND(N('Daily Data'!$D484),2)=ROUND(SUMIFS('Daily Data'!$E$4:$E$503,'Daily Data'!$B$4:$B$503,'Daily Data'!$B484,'Daily Data'!$AK$4:$AK$503,'Daily Data'!$AK484-1),2),"OK","WARNING")))</f>
        <v/>
      </c>
      <c r="N484" s="165" t="str">
        <f>IF($A484="","",IF(N('Daily Data'!$N484)&lt;=0,"WARNING","OK"))</f>
        <v/>
      </c>
      <c r="O484" s="165" t="str">
        <f>IF($A484="","",IF(AND(ISNUMBER('Daily Data'!$H484),ABS(N('Daily Data'!$H484))&gt;Settings!$C$56),"WARNING","OK"))</f>
        <v/>
      </c>
      <c r="P484" s="165" t="str">
        <f>IF($A484="","",IF(OR(AND(N('Daily Data'!$K484)=0,N('Daily Data'!$I484)&gt;0),AND(N('Daily Data'!$I484)=0,N('Daily Data'!$K484)&gt;0),AND(N('Daily Data'!$L484)=0,N('Daily Data'!$M484)=0)),"WARNING","OK"))</f>
        <v/>
      </c>
      <c r="Q484" s="165" t="str">
        <f>IF($A484="","",IF(COUNTIFS('Daily Data'!$B$4:$B$503,'Daily Data'!$B484,'Daily Data'!$A$4:$A$503,'Daily Data'!$A484,'Daily Data'!$Q$4:$Q$503,'Daily Data'!$Q484)&gt;1,"WARNING","OK"))</f>
        <v/>
      </c>
      <c r="R484" s="165" t="str">
        <f>IF($A484="","",IF(AND(N('Daily Data'!$K484)&gt;0,N('Daily Data'!$J484)&lt;=0),"WARNING","OK"))</f>
        <v/>
      </c>
      <c r="S484" s="165" t="str">
        <f>IF($A484="","",COUNTIF($D484:$R484,"ERROR"))</f>
        <v/>
      </c>
      <c r="T484" s="165" t="str">
        <f>IF($A484="","",COUNTIF($D484:$R484,"WARNING"))</f>
        <v/>
      </c>
      <c r="U484" s="165" t="str">
        <f>IF($A484="","",IF($S484&gt;0,"ERROR",IF($T484&gt;0,"WARNING","PASS")))</f>
        <v/>
      </c>
    </row>
    <row r="485" spans="1:21" x14ac:dyDescent="0.3">
      <c r="A485" t="str">
        <f>IF(AND('Daily Data'!$A485="",'Daily Data'!$B485=""),"",485)</f>
        <v/>
      </c>
      <c r="B485" s="16" t="str">
        <f>IF($A485="","",'Daily Data'!$A485)</f>
        <v/>
      </c>
      <c r="C485" t="str">
        <f>IF($A485="","",'Daily Data'!$B485)</f>
        <v/>
      </c>
      <c r="D485" s="165" t="str">
        <f>IF($A485="","",IF(COUNTIFS('Daily Data'!$B$4:$B$503,'Daily Data'!$B485,'Daily Data'!$A$4:$A$503,'Daily Data'!$A485)&gt;1,"ERROR","OK"))</f>
        <v/>
      </c>
      <c r="E485" s="165" t="str">
        <f>IF($A485="","",IF('Daily Data'!$B485="","ERROR","OK"))</f>
        <v/>
      </c>
      <c r="F485" s="165" t="str">
        <f>IF($A485="","",IF(NOT(ISNUMBER('Daily Data'!$A485)),"ERROR","OK"))</f>
        <v/>
      </c>
      <c r="G485" s="165" t="str">
        <f>IF($A485="","",IF(OR(N('Daily Data'!$E485)&lt;=0,N('Daily Data'!$C485)&lt;0,N('Daily Data'!$D485)&lt;0,N('Daily Data'!$F485)&lt;0,N('Daily Data'!$G485)&lt;0),"ERROR","OK"))</f>
        <v/>
      </c>
      <c r="H485" s="165" t="str">
        <f>IF($A485="","",IF(N('Daily Data'!$K485)&lt;0,"ERROR","OK"))</f>
        <v/>
      </c>
      <c r="I485" s="165" t="str">
        <f>IF($A485="","",IF(N('Daily Data'!$I485)&lt;0,"ERROR","OK"))</f>
        <v/>
      </c>
      <c r="J485" s="165" t="str">
        <f>IF($A485="","",IF(N('Daily Data'!$L485)&lt;0,"ERROR","OK"))</f>
        <v/>
      </c>
      <c r="K485" s="165" t="str">
        <f>IF($A485="","",IF(N('Daily Data'!$M485)&lt;0,"ERROR","OK"))</f>
        <v/>
      </c>
      <c r="L485" s="165" t="str">
        <f>IF($A485="","",IF(OR(N('Daily Data'!$F485)=0,N('Daily Data'!$G485)=0),"OK",IF(OR(N('Daily Data'!$E485)&gt;N('Daily Data'!$F485),N('Daily Data'!$E485)&lt;N('Daily Data'!$G485)),"ERROR","OK")))</f>
        <v/>
      </c>
      <c r="M485" s="165" t="str">
        <f>IF($A485="","",IF(N('Daily Data'!$AK485)&lt;=1,"OK",IF(ROUND(N('Daily Data'!$D485),2)=ROUND(SUMIFS('Daily Data'!$E$4:$E$503,'Daily Data'!$B$4:$B$503,'Daily Data'!$B485,'Daily Data'!$AK$4:$AK$503,'Daily Data'!$AK485-1),2),"OK","WARNING")))</f>
        <v/>
      </c>
      <c r="N485" s="165" t="str">
        <f>IF($A485="","",IF(N('Daily Data'!$N485)&lt;=0,"WARNING","OK"))</f>
        <v/>
      </c>
      <c r="O485" s="165" t="str">
        <f>IF($A485="","",IF(AND(ISNUMBER('Daily Data'!$H485),ABS(N('Daily Data'!$H485))&gt;Settings!$C$56),"WARNING","OK"))</f>
        <v/>
      </c>
      <c r="P485" s="165" t="str">
        <f>IF($A485="","",IF(OR(AND(N('Daily Data'!$K485)=0,N('Daily Data'!$I485)&gt;0),AND(N('Daily Data'!$I485)=0,N('Daily Data'!$K485)&gt;0),AND(N('Daily Data'!$L485)=0,N('Daily Data'!$M485)=0)),"WARNING","OK"))</f>
        <v/>
      </c>
      <c r="Q485" s="165" t="str">
        <f>IF($A485="","",IF(COUNTIFS('Daily Data'!$B$4:$B$503,'Daily Data'!$B485,'Daily Data'!$A$4:$A$503,'Daily Data'!$A485,'Daily Data'!$Q$4:$Q$503,'Daily Data'!$Q485)&gt;1,"WARNING","OK"))</f>
        <v/>
      </c>
      <c r="R485" s="165" t="str">
        <f>IF($A485="","",IF(AND(N('Daily Data'!$K485)&gt;0,N('Daily Data'!$J485)&lt;=0),"WARNING","OK"))</f>
        <v/>
      </c>
      <c r="S485" s="165" t="str">
        <f>IF($A485="","",COUNTIF($D485:$R485,"ERROR"))</f>
        <v/>
      </c>
      <c r="T485" s="165" t="str">
        <f>IF($A485="","",COUNTIF($D485:$R485,"WARNING"))</f>
        <v/>
      </c>
      <c r="U485" s="165" t="str">
        <f>IF($A485="","",IF($S485&gt;0,"ERROR",IF($T485&gt;0,"WARNING","PASS")))</f>
        <v/>
      </c>
    </row>
    <row r="486" spans="1:21" x14ac:dyDescent="0.3">
      <c r="A486" t="str">
        <f>IF(AND('Daily Data'!$A486="",'Daily Data'!$B486=""),"",486)</f>
        <v/>
      </c>
      <c r="B486" s="16" t="str">
        <f>IF($A486="","",'Daily Data'!$A486)</f>
        <v/>
      </c>
      <c r="C486" t="str">
        <f>IF($A486="","",'Daily Data'!$B486)</f>
        <v/>
      </c>
      <c r="D486" s="165" t="str">
        <f>IF($A486="","",IF(COUNTIFS('Daily Data'!$B$4:$B$503,'Daily Data'!$B486,'Daily Data'!$A$4:$A$503,'Daily Data'!$A486)&gt;1,"ERROR","OK"))</f>
        <v/>
      </c>
      <c r="E486" s="165" t="str">
        <f>IF($A486="","",IF('Daily Data'!$B486="","ERROR","OK"))</f>
        <v/>
      </c>
      <c r="F486" s="165" t="str">
        <f>IF($A486="","",IF(NOT(ISNUMBER('Daily Data'!$A486)),"ERROR","OK"))</f>
        <v/>
      </c>
      <c r="G486" s="165" t="str">
        <f>IF($A486="","",IF(OR(N('Daily Data'!$E486)&lt;=0,N('Daily Data'!$C486)&lt;0,N('Daily Data'!$D486)&lt;0,N('Daily Data'!$F486)&lt;0,N('Daily Data'!$G486)&lt;0),"ERROR","OK"))</f>
        <v/>
      </c>
      <c r="H486" s="165" t="str">
        <f>IF($A486="","",IF(N('Daily Data'!$K486)&lt;0,"ERROR","OK"))</f>
        <v/>
      </c>
      <c r="I486" s="165" t="str">
        <f>IF($A486="","",IF(N('Daily Data'!$I486)&lt;0,"ERROR","OK"))</f>
        <v/>
      </c>
      <c r="J486" s="165" t="str">
        <f>IF($A486="","",IF(N('Daily Data'!$L486)&lt;0,"ERROR","OK"))</f>
        <v/>
      </c>
      <c r="K486" s="165" t="str">
        <f>IF($A486="","",IF(N('Daily Data'!$M486)&lt;0,"ERROR","OK"))</f>
        <v/>
      </c>
      <c r="L486" s="165" t="str">
        <f>IF($A486="","",IF(OR(N('Daily Data'!$F486)=0,N('Daily Data'!$G486)=0),"OK",IF(OR(N('Daily Data'!$E486)&gt;N('Daily Data'!$F486),N('Daily Data'!$E486)&lt;N('Daily Data'!$G486)),"ERROR","OK")))</f>
        <v/>
      </c>
      <c r="M486" s="165" t="str">
        <f>IF($A486="","",IF(N('Daily Data'!$AK486)&lt;=1,"OK",IF(ROUND(N('Daily Data'!$D486),2)=ROUND(SUMIFS('Daily Data'!$E$4:$E$503,'Daily Data'!$B$4:$B$503,'Daily Data'!$B486,'Daily Data'!$AK$4:$AK$503,'Daily Data'!$AK486-1),2),"OK","WARNING")))</f>
        <v/>
      </c>
      <c r="N486" s="165" t="str">
        <f>IF($A486="","",IF(N('Daily Data'!$N486)&lt;=0,"WARNING","OK"))</f>
        <v/>
      </c>
      <c r="O486" s="165" t="str">
        <f>IF($A486="","",IF(AND(ISNUMBER('Daily Data'!$H486),ABS(N('Daily Data'!$H486))&gt;Settings!$C$56),"WARNING","OK"))</f>
        <v/>
      </c>
      <c r="P486" s="165" t="str">
        <f>IF($A486="","",IF(OR(AND(N('Daily Data'!$K486)=0,N('Daily Data'!$I486)&gt;0),AND(N('Daily Data'!$I486)=0,N('Daily Data'!$K486)&gt;0),AND(N('Daily Data'!$L486)=0,N('Daily Data'!$M486)=0)),"WARNING","OK"))</f>
        <v/>
      </c>
      <c r="Q486" s="165" t="str">
        <f>IF($A486="","",IF(COUNTIFS('Daily Data'!$B$4:$B$503,'Daily Data'!$B486,'Daily Data'!$A$4:$A$503,'Daily Data'!$A486,'Daily Data'!$Q$4:$Q$503,'Daily Data'!$Q486)&gt;1,"WARNING","OK"))</f>
        <v/>
      </c>
      <c r="R486" s="165" t="str">
        <f>IF($A486="","",IF(AND(N('Daily Data'!$K486)&gt;0,N('Daily Data'!$J486)&lt;=0),"WARNING","OK"))</f>
        <v/>
      </c>
      <c r="S486" s="165" t="str">
        <f>IF($A486="","",COUNTIF($D486:$R486,"ERROR"))</f>
        <v/>
      </c>
      <c r="T486" s="165" t="str">
        <f>IF($A486="","",COUNTIF($D486:$R486,"WARNING"))</f>
        <v/>
      </c>
      <c r="U486" s="165" t="str">
        <f>IF($A486="","",IF($S486&gt;0,"ERROR",IF($T486&gt;0,"WARNING","PASS")))</f>
        <v/>
      </c>
    </row>
    <row r="487" spans="1:21" x14ac:dyDescent="0.3">
      <c r="A487" t="str">
        <f>IF(AND('Daily Data'!$A487="",'Daily Data'!$B487=""),"",487)</f>
        <v/>
      </c>
      <c r="B487" s="16" t="str">
        <f>IF($A487="","",'Daily Data'!$A487)</f>
        <v/>
      </c>
      <c r="C487" t="str">
        <f>IF($A487="","",'Daily Data'!$B487)</f>
        <v/>
      </c>
      <c r="D487" s="165" t="str">
        <f>IF($A487="","",IF(COUNTIFS('Daily Data'!$B$4:$B$503,'Daily Data'!$B487,'Daily Data'!$A$4:$A$503,'Daily Data'!$A487)&gt;1,"ERROR","OK"))</f>
        <v/>
      </c>
      <c r="E487" s="165" t="str">
        <f>IF($A487="","",IF('Daily Data'!$B487="","ERROR","OK"))</f>
        <v/>
      </c>
      <c r="F487" s="165" t="str">
        <f>IF($A487="","",IF(NOT(ISNUMBER('Daily Data'!$A487)),"ERROR","OK"))</f>
        <v/>
      </c>
      <c r="G487" s="165" t="str">
        <f>IF($A487="","",IF(OR(N('Daily Data'!$E487)&lt;=0,N('Daily Data'!$C487)&lt;0,N('Daily Data'!$D487)&lt;0,N('Daily Data'!$F487)&lt;0,N('Daily Data'!$G487)&lt;0),"ERROR","OK"))</f>
        <v/>
      </c>
      <c r="H487" s="165" t="str">
        <f>IF($A487="","",IF(N('Daily Data'!$K487)&lt;0,"ERROR","OK"))</f>
        <v/>
      </c>
      <c r="I487" s="165" t="str">
        <f>IF($A487="","",IF(N('Daily Data'!$I487)&lt;0,"ERROR","OK"))</f>
        <v/>
      </c>
      <c r="J487" s="165" t="str">
        <f>IF($A487="","",IF(N('Daily Data'!$L487)&lt;0,"ERROR","OK"))</f>
        <v/>
      </c>
      <c r="K487" s="165" t="str">
        <f>IF($A487="","",IF(N('Daily Data'!$M487)&lt;0,"ERROR","OK"))</f>
        <v/>
      </c>
      <c r="L487" s="165" t="str">
        <f>IF($A487="","",IF(OR(N('Daily Data'!$F487)=0,N('Daily Data'!$G487)=0),"OK",IF(OR(N('Daily Data'!$E487)&gt;N('Daily Data'!$F487),N('Daily Data'!$E487)&lt;N('Daily Data'!$G487)),"ERROR","OK")))</f>
        <v/>
      </c>
      <c r="M487" s="165" t="str">
        <f>IF($A487="","",IF(N('Daily Data'!$AK487)&lt;=1,"OK",IF(ROUND(N('Daily Data'!$D487),2)=ROUND(SUMIFS('Daily Data'!$E$4:$E$503,'Daily Data'!$B$4:$B$503,'Daily Data'!$B487,'Daily Data'!$AK$4:$AK$503,'Daily Data'!$AK487-1),2),"OK","WARNING")))</f>
        <v/>
      </c>
      <c r="N487" s="165" t="str">
        <f>IF($A487="","",IF(N('Daily Data'!$N487)&lt;=0,"WARNING","OK"))</f>
        <v/>
      </c>
      <c r="O487" s="165" t="str">
        <f>IF($A487="","",IF(AND(ISNUMBER('Daily Data'!$H487),ABS(N('Daily Data'!$H487))&gt;Settings!$C$56),"WARNING","OK"))</f>
        <v/>
      </c>
      <c r="P487" s="165" t="str">
        <f>IF($A487="","",IF(OR(AND(N('Daily Data'!$K487)=0,N('Daily Data'!$I487)&gt;0),AND(N('Daily Data'!$I487)=0,N('Daily Data'!$K487)&gt;0),AND(N('Daily Data'!$L487)=0,N('Daily Data'!$M487)=0)),"WARNING","OK"))</f>
        <v/>
      </c>
      <c r="Q487" s="165" t="str">
        <f>IF($A487="","",IF(COUNTIFS('Daily Data'!$B$4:$B$503,'Daily Data'!$B487,'Daily Data'!$A$4:$A$503,'Daily Data'!$A487,'Daily Data'!$Q$4:$Q$503,'Daily Data'!$Q487)&gt;1,"WARNING","OK"))</f>
        <v/>
      </c>
      <c r="R487" s="165" t="str">
        <f>IF($A487="","",IF(AND(N('Daily Data'!$K487)&gt;0,N('Daily Data'!$J487)&lt;=0),"WARNING","OK"))</f>
        <v/>
      </c>
      <c r="S487" s="165" t="str">
        <f>IF($A487="","",COUNTIF($D487:$R487,"ERROR"))</f>
        <v/>
      </c>
      <c r="T487" s="165" t="str">
        <f>IF($A487="","",COUNTIF($D487:$R487,"WARNING"))</f>
        <v/>
      </c>
      <c r="U487" s="165" t="str">
        <f>IF($A487="","",IF($S487&gt;0,"ERROR",IF($T487&gt;0,"WARNING","PASS")))</f>
        <v/>
      </c>
    </row>
    <row r="488" spans="1:21" x14ac:dyDescent="0.3">
      <c r="A488" t="str">
        <f>IF(AND('Daily Data'!$A488="",'Daily Data'!$B488=""),"",488)</f>
        <v/>
      </c>
      <c r="B488" s="16" t="str">
        <f>IF($A488="","",'Daily Data'!$A488)</f>
        <v/>
      </c>
      <c r="C488" t="str">
        <f>IF($A488="","",'Daily Data'!$B488)</f>
        <v/>
      </c>
      <c r="D488" s="165" t="str">
        <f>IF($A488="","",IF(COUNTIFS('Daily Data'!$B$4:$B$503,'Daily Data'!$B488,'Daily Data'!$A$4:$A$503,'Daily Data'!$A488)&gt;1,"ERROR","OK"))</f>
        <v/>
      </c>
      <c r="E488" s="165" t="str">
        <f>IF($A488="","",IF('Daily Data'!$B488="","ERROR","OK"))</f>
        <v/>
      </c>
      <c r="F488" s="165" t="str">
        <f>IF($A488="","",IF(NOT(ISNUMBER('Daily Data'!$A488)),"ERROR","OK"))</f>
        <v/>
      </c>
      <c r="G488" s="165" t="str">
        <f>IF($A488="","",IF(OR(N('Daily Data'!$E488)&lt;=0,N('Daily Data'!$C488)&lt;0,N('Daily Data'!$D488)&lt;0,N('Daily Data'!$F488)&lt;0,N('Daily Data'!$G488)&lt;0),"ERROR","OK"))</f>
        <v/>
      </c>
      <c r="H488" s="165" t="str">
        <f>IF($A488="","",IF(N('Daily Data'!$K488)&lt;0,"ERROR","OK"))</f>
        <v/>
      </c>
      <c r="I488" s="165" t="str">
        <f>IF($A488="","",IF(N('Daily Data'!$I488)&lt;0,"ERROR","OK"))</f>
        <v/>
      </c>
      <c r="J488" s="165" t="str">
        <f>IF($A488="","",IF(N('Daily Data'!$L488)&lt;0,"ERROR","OK"))</f>
        <v/>
      </c>
      <c r="K488" s="165" t="str">
        <f>IF($A488="","",IF(N('Daily Data'!$M488)&lt;0,"ERROR","OK"))</f>
        <v/>
      </c>
      <c r="L488" s="165" t="str">
        <f>IF($A488="","",IF(OR(N('Daily Data'!$F488)=0,N('Daily Data'!$G488)=0),"OK",IF(OR(N('Daily Data'!$E488)&gt;N('Daily Data'!$F488),N('Daily Data'!$E488)&lt;N('Daily Data'!$G488)),"ERROR","OK")))</f>
        <v/>
      </c>
      <c r="M488" s="165" t="str">
        <f>IF($A488="","",IF(N('Daily Data'!$AK488)&lt;=1,"OK",IF(ROUND(N('Daily Data'!$D488),2)=ROUND(SUMIFS('Daily Data'!$E$4:$E$503,'Daily Data'!$B$4:$B$503,'Daily Data'!$B488,'Daily Data'!$AK$4:$AK$503,'Daily Data'!$AK488-1),2),"OK","WARNING")))</f>
        <v/>
      </c>
      <c r="N488" s="165" t="str">
        <f>IF($A488="","",IF(N('Daily Data'!$N488)&lt;=0,"WARNING","OK"))</f>
        <v/>
      </c>
      <c r="O488" s="165" t="str">
        <f>IF($A488="","",IF(AND(ISNUMBER('Daily Data'!$H488),ABS(N('Daily Data'!$H488))&gt;Settings!$C$56),"WARNING","OK"))</f>
        <v/>
      </c>
      <c r="P488" s="165" t="str">
        <f>IF($A488="","",IF(OR(AND(N('Daily Data'!$K488)=0,N('Daily Data'!$I488)&gt;0),AND(N('Daily Data'!$I488)=0,N('Daily Data'!$K488)&gt;0),AND(N('Daily Data'!$L488)=0,N('Daily Data'!$M488)=0)),"WARNING","OK"))</f>
        <v/>
      </c>
      <c r="Q488" s="165" t="str">
        <f>IF($A488="","",IF(COUNTIFS('Daily Data'!$B$4:$B$503,'Daily Data'!$B488,'Daily Data'!$A$4:$A$503,'Daily Data'!$A488,'Daily Data'!$Q$4:$Q$503,'Daily Data'!$Q488)&gt;1,"WARNING","OK"))</f>
        <v/>
      </c>
      <c r="R488" s="165" t="str">
        <f>IF($A488="","",IF(AND(N('Daily Data'!$K488)&gt;0,N('Daily Data'!$J488)&lt;=0),"WARNING","OK"))</f>
        <v/>
      </c>
      <c r="S488" s="165" t="str">
        <f>IF($A488="","",COUNTIF($D488:$R488,"ERROR"))</f>
        <v/>
      </c>
      <c r="T488" s="165" t="str">
        <f>IF($A488="","",COUNTIF($D488:$R488,"WARNING"))</f>
        <v/>
      </c>
      <c r="U488" s="165" t="str">
        <f>IF($A488="","",IF($S488&gt;0,"ERROR",IF($T488&gt;0,"WARNING","PASS")))</f>
        <v/>
      </c>
    </row>
    <row r="489" spans="1:21" x14ac:dyDescent="0.3">
      <c r="A489" t="str">
        <f>IF(AND('Daily Data'!$A489="",'Daily Data'!$B489=""),"",489)</f>
        <v/>
      </c>
      <c r="B489" s="16" t="str">
        <f>IF($A489="","",'Daily Data'!$A489)</f>
        <v/>
      </c>
      <c r="C489" t="str">
        <f>IF($A489="","",'Daily Data'!$B489)</f>
        <v/>
      </c>
      <c r="D489" s="165" t="str">
        <f>IF($A489="","",IF(COUNTIFS('Daily Data'!$B$4:$B$503,'Daily Data'!$B489,'Daily Data'!$A$4:$A$503,'Daily Data'!$A489)&gt;1,"ERROR","OK"))</f>
        <v/>
      </c>
      <c r="E489" s="165" t="str">
        <f>IF($A489="","",IF('Daily Data'!$B489="","ERROR","OK"))</f>
        <v/>
      </c>
      <c r="F489" s="165" t="str">
        <f>IF($A489="","",IF(NOT(ISNUMBER('Daily Data'!$A489)),"ERROR","OK"))</f>
        <v/>
      </c>
      <c r="G489" s="165" t="str">
        <f>IF($A489="","",IF(OR(N('Daily Data'!$E489)&lt;=0,N('Daily Data'!$C489)&lt;0,N('Daily Data'!$D489)&lt;0,N('Daily Data'!$F489)&lt;0,N('Daily Data'!$G489)&lt;0),"ERROR","OK"))</f>
        <v/>
      </c>
      <c r="H489" s="165" t="str">
        <f>IF($A489="","",IF(N('Daily Data'!$K489)&lt;0,"ERROR","OK"))</f>
        <v/>
      </c>
      <c r="I489" s="165" t="str">
        <f>IF($A489="","",IF(N('Daily Data'!$I489)&lt;0,"ERROR","OK"))</f>
        <v/>
      </c>
      <c r="J489" s="165" t="str">
        <f>IF($A489="","",IF(N('Daily Data'!$L489)&lt;0,"ERROR","OK"))</f>
        <v/>
      </c>
      <c r="K489" s="165" t="str">
        <f>IF($A489="","",IF(N('Daily Data'!$M489)&lt;0,"ERROR","OK"))</f>
        <v/>
      </c>
      <c r="L489" s="165" t="str">
        <f>IF($A489="","",IF(OR(N('Daily Data'!$F489)=0,N('Daily Data'!$G489)=0),"OK",IF(OR(N('Daily Data'!$E489)&gt;N('Daily Data'!$F489),N('Daily Data'!$E489)&lt;N('Daily Data'!$G489)),"ERROR","OK")))</f>
        <v/>
      </c>
      <c r="M489" s="165" t="str">
        <f>IF($A489="","",IF(N('Daily Data'!$AK489)&lt;=1,"OK",IF(ROUND(N('Daily Data'!$D489),2)=ROUND(SUMIFS('Daily Data'!$E$4:$E$503,'Daily Data'!$B$4:$B$503,'Daily Data'!$B489,'Daily Data'!$AK$4:$AK$503,'Daily Data'!$AK489-1),2),"OK","WARNING")))</f>
        <v/>
      </c>
      <c r="N489" s="165" t="str">
        <f>IF($A489="","",IF(N('Daily Data'!$N489)&lt;=0,"WARNING","OK"))</f>
        <v/>
      </c>
      <c r="O489" s="165" t="str">
        <f>IF($A489="","",IF(AND(ISNUMBER('Daily Data'!$H489),ABS(N('Daily Data'!$H489))&gt;Settings!$C$56),"WARNING","OK"))</f>
        <v/>
      </c>
      <c r="P489" s="165" t="str">
        <f>IF($A489="","",IF(OR(AND(N('Daily Data'!$K489)=0,N('Daily Data'!$I489)&gt;0),AND(N('Daily Data'!$I489)=0,N('Daily Data'!$K489)&gt;0),AND(N('Daily Data'!$L489)=0,N('Daily Data'!$M489)=0)),"WARNING","OK"))</f>
        <v/>
      </c>
      <c r="Q489" s="165" t="str">
        <f>IF($A489="","",IF(COUNTIFS('Daily Data'!$B$4:$B$503,'Daily Data'!$B489,'Daily Data'!$A$4:$A$503,'Daily Data'!$A489,'Daily Data'!$Q$4:$Q$503,'Daily Data'!$Q489)&gt;1,"WARNING","OK"))</f>
        <v/>
      </c>
      <c r="R489" s="165" t="str">
        <f>IF($A489="","",IF(AND(N('Daily Data'!$K489)&gt;0,N('Daily Data'!$J489)&lt;=0),"WARNING","OK"))</f>
        <v/>
      </c>
      <c r="S489" s="165" t="str">
        <f>IF($A489="","",COUNTIF($D489:$R489,"ERROR"))</f>
        <v/>
      </c>
      <c r="T489" s="165" t="str">
        <f>IF($A489="","",COUNTIF($D489:$R489,"WARNING"))</f>
        <v/>
      </c>
      <c r="U489" s="165" t="str">
        <f>IF($A489="","",IF($S489&gt;0,"ERROR",IF($T489&gt;0,"WARNING","PASS")))</f>
        <v/>
      </c>
    </row>
    <row r="490" spans="1:21" x14ac:dyDescent="0.3">
      <c r="A490" t="str">
        <f>IF(AND('Daily Data'!$A490="",'Daily Data'!$B490=""),"",490)</f>
        <v/>
      </c>
      <c r="B490" s="16" t="str">
        <f>IF($A490="","",'Daily Data'!$A490)</f>
        <v/>
      </c>
      <c r="C490" t="str">
        <f>IF($A490="","",'Daily Data'!$B490)</f>
        <v/>
      </c>
      <c r="D490" s="165" t="str">
        <f>IF($A490="","",IF(COUNTIFS('Daily Data'!$B$4:$B$503,'Daily Data'!$B490,'Daily Data'!$A$4:$A$503,'Daily Data'!$A490)&gt;1,"ERROR","OK"))</f>
        <v/>
      </c>
      <c r="E490" s="165" t="str">
        <f>IF($A490="","",IF('Daily Data'!$B490="","ERROR","OK"))</f>
        <v/>
      </c>
      <c r="F490" s="165" t="str">
        <f>IF($A490="","",IF(NOT(ISNUMBER('Daily Data'!$A490)),"ERROR","OK"))</f>
        <v/>
      </c>
      <c r="G490" s="165" t="str">
        <f>IF($A490="","",IF(OR(N('Daily Data'!$E490)&lt;=0,N('Daily Data'!$C490)&lt;0,N('Daily Data'!$D490)&lt;0,N('Daily Data'!$F490)&lt;0,N('Daily Data'!$G490)&lt;0),"ERROR","OK"))</f>
        <v/>
      </c>
      <c r="H490" s="165" t="str">
        <f>IF($A490="","",IF(N('Daily Data'!$K490)&lt;0,"ERROR","OK"))</f>
        <v/>
      </c>
      <c r="I490" s="165" t="str">
        <f>IF($A490="","",IF(N('Daily Data'!$I490)&lt;0,"ERROR","OK"))</f>
        <v/>
      </c>
      <c r="J490" s="165" t="str">
        <f>IF($A490="","",IF(N('Daily Data'!$L490)&lt;0,"ERROR","OK"))</f>
        <v/>
      </c>
      <c r="K490" s="165" t="str">
        <f>IF($A490="","",IF(N('Daily Data'!$M490)&lt;0,"ERROR","OK"))</f>
        <v/>
      </c>
      <c r="L490" s="165" t="str">
        <f>IF($A490="","",IF(OR(N('Daily Data'!$F490)=0,N('Daily Data'!$G490)=0),"OK",IF(OR(N('Daily Data'!$E490)&gt;N('Daily Data'!$F490),N('Daily Data'!$E490)&lt;N('Daily Data'!$G490)),"ERROR","OK")))</f>
        <v/>
      </c>
      <c r="M490" s="165" t="str">
        <f>IF($A490="","",IF(N('Daily Data'!$AK490)&lt;=1,"OK",IF(ROUND(N('Daily Data'!$D490),2)=ROUND(SUMIFS('Daily Data'!$E$4:$E$503,'Daily Data'!$B$4:$B$503,'Daily Data'!$B490,'Daily Data'!$AK$4:$AK$503,'Daily Data'!$AK490-1),2),"OK","WARNING")))</f>
        <v/>
      </c>
      <c r="N490" s="165" t="str">
        <f>IF($A490="","",IF(N('Daily Data'!$N490)&lt;=0,"WARNING","OK"))</f>
        <v/>
      </c>
      <c r="O490" s="165" t="str">
        <f>IF($A490="","",IF(AND(ISNUMBER('Daily Data'!$H490),ABS(N('Daily Data'!$H490))&gt;Settings!$C$56),"WARNING","OK"))</f>
        <v/>
      </c>
      <c r="P490" s="165" t="str">
        <f>IF($A490="","",IF(OR(AND(N('Daily Data'!$K490)=0,N('Daily Data'!$I490)&gt;0),AND(N('Daily Data'!$I490)=0,N('Daily Data'!$K490)&gt;0),AND(N('Daily Data'!$L490)=0,N('Daily Data'!$M490)=0)),"WARNING","OK"))</f>
        <v/>
      </c>
      <c r="Q490" s="165" t="str">
        <f>IF($A490="","",IF(COUNTIFS('Daily Data'!$B$4:$B$503,'Daily Data'!$B490,'Daily Data'!$A$4:$A$503,'Daily Data'!$A490,'Daily Data'!$Q$4:$Q$503,'Daily Data'!$Q490)&gt;1,"WARNING","OK"))</f>
        <v/>
      </c>
      <c r="R490" s="165" t="str">
        <f>IF($A490="","",IF(AND(N('Daily Data'!$K490)&gt;0,N('Daily Data'!$J490)&lt;=0),"WARNING","OK"))</f>
        <v/>
      </c>
      <c r="S490" s="165" t="str">
        <f>IF($A490="","",COUNTIF($D490:$R490,"ERROR"))</f>
        <v/>
      </c>
      <c r="T490" s="165" t="str">
        <f>IF($A490="","",COUNTIF($D490:$R490,"WARNING"))</f>
        <v/>
      </c>
      <c r="U490" s="165" t="str">
        <f>IF($A490="","",IF($S490&gt;0,"ERROR",IF($T490&gt;0,"WARNING","PASS")))</f>
        <v/>
      </c>
    </row>
    <row r="491" spans="1:21" x14ac:dyDescent="0.3">
      <c r="A491" t="str">
        <f>IF(AND('Daily Data'!$A491="",'Daily Data'!$B491=""),"",491)</f>
        <v/>
      </c>
      <c r="B491" s="16" t="str">
        <f>IF($A491="","",'Daily Data'!$A491)</f>
        <v/>
      </c>
      <c r="C491" t="str">
        <f>IF($A491="","",'Daily Data'!$B491)</f>
        <v/>
      </c>
      <c r="D491" s="165" t="str">
        <f>IF($A491="","",IF(COUNTIFS('Daily Data'!$B$4:$B$503,'Daily Data'!$B491,'Daily Data'!$A$4:$A$503,'Daily Data'!$A491)&gt;1,"ERROR","OK"))</f>
        <v/>
      </c>
      <c r="E491" s="165" t="str">
        <f>IF($A491="","",IF('Daily Data'!$B491="","ERROR","OK"))</f>
        <v/>
      </c>
      <c r="F491" s="165" t="str">
        <f>IF($A491="","",IF(NOT(ISNUMBER('Daily Data'!$A491)),"ERROR","OK"))</f>
        <v/>
      </c>
      <c r="G491" s="165" t="str">
        <f>IF($A491="","",IF(OR(N('Daily Data'!$E491)&lt;=0,N('Daily Data'!$C491)&lt;0,N('Daily Data'!$D491)&lt;0,N('Daily Data'!$F491)&lt;0,N('Daily Data'!$G491)&lt;0),"ERROR","OK"))</f>
        <v/>
      </c>
      <c r="H491" s="165" t="str">
        <f>IF($A491="","",IF(N('Daily Data'!$K491)&lt;0,"ERROR","OK"))</f>
        <v/>
      </c>
      <c r="I491" s="165" t="str">
        <f>IF($A491="","",IF(N('Daily Data'!$I491)&lt;0,"ERROR","OK"))</f>
        <v/>
      </c>
      <c r="J491" s="165" t="str">
        <f>IF($A491="","",IF(N('Daily Data'!$L491)&lt;0,"ERROR","OK"))</f>
        <v/>
      </c>
      <c r="K491" s="165" t="str">
        <f>IF($A491="","",IF(N('Daily Data'!$M491)&lt;0,"ERROR","OK"))</f>
        <v/>
      </c>
      <c r="L491" s="165" t="str">
        <f>IF($A491="","",IF(OR(N('Daily Data'!$F491)=0,N('Daily Data'!$G491)=0),"OK",IF(OR(N('Daily Data'!$E491)&gt;N('Daily Data'!$F491),N('Daily Data'!$E491)&lt;N('Daily Data'!$G491)),"ERROR","OK")))</f>
        <v/>
      </c>
      <c r="M491" s="165" t="str">
        <f>IF($A491="","",IF(N('Daily Data'!$AK491)&lt;=1,"OK",IF(ROUND(N('Daily Data'!$D491),2)=ROUND(SUMIFS('Daily Data'!$E$4:$E$503,'Daily Data'!$B$4:$B$503,'Daily Data'!$B491,'Daily Data'!$AK$4:$AK$503,'Daily Data'!$AK491-1),2),"OK","WARNING")))</f>
        <v/>
      </c>
      <c r="N491" s="165" t="str">
        <f>IF($A491="","",IF(N('Daily Data'!$N491)&lt;=0,"WARNING","OK"))</f>
        <v/>
      </c>
      <c r="O491" s="165" t="str">
        <f>IF($A491="","",IF(AND(ISNUMBER('Daily Data'!$H491),ABS(N('Daily Data'!$H491))&gt;Settings!$C$56),"WARNING","OK"))</f>
        <v/>
      </c>
      <c r="P491" s="165" t="str">
        <f>IF($A491="","",IF(OR(AND(N('Daily Data'!$K491)=0,N('Daily Data'!$I491)&gt;0),AND(N('Daily Data'!$I491)=0,N('Daily Data'!$K491)&gt;0),AND(N('Daily Data'!$L491)=0,N('Daily Data'!$M491)=0)),"WARNING","OK"))</f>
        <v/>
      </c>
      <c r="Q491" s="165" t="str">
        <f>IF($A491="","",IF(COUNTIFS('Daily Data'!$B$4:$B$503,'Daily Data'!$B491,'Daily Data'!$A$4:$A$503,'Daily Data'!$A491,'Daily Data'!$Q$4:$Q$503,'Daily Data'!$Q491)&gt;1,"WARNING","OK"))</f>
        <v/>
      </c>
      <c r="R491" s="165" t="str">
        <f>IF($A491="","",IF(AND(N('Daily Data'!$K491)&gt;0,N('Daily Data'!$J491)&lt;=0),"WARNING","OK"))</f>
        <v/>
      </c>
      <c r="S491" s="165" t="str">
        <f>IF($A491="","",COUNTIF($D491:$R491,"ERROR"))</f>
        <v/>
      </c>
      <c r="T491" s="165" t="str">
        <f>IF($A491="","",COUNTIF($D491:$R491,"WARNING"))</f>
        <v/>
      </c>
      <c r="U491" s="165" t="str">
        <f>IF($A491="","",IF($S491&gt;0,"ERROR",IF($T491&gt;0,"WARNING","PASS")))</f>
        <v/>
      </c>
    </row>
    <row r="492" spans="1:21" x14ac:dyDescent="0.3">
      <c r="A492" t="str">
        <f>IF(AND('Daily Data'!$A492="",'Daily Data'!$B492=""),"",492)</f>
        <v/>
      </c>
      <c r="B492" s="16" t="str">
        <f>IF($A492="","",'Daily Data'!$A492)</f>
        <v/>
      </c>
      <c r="C492" t="str">
        <f>IF($A492="","",'Daily Data'!$B492)</f>
        <v/>
      </c>
      <c r="D492" s="165" t="str">
        <f>IF($A492="","",IF(COUNTIFS('Daily Data'!$B$4:$B$503,'Daily Data'!$B492,'Daily Data'!$A$4:$A$503,'Daily Data'!$A492)&gt;1,"ERROR","OK"))</f>
        <v/>
      </c>
      <c r="E492" s="165" t="str">
        <f>IF($A492="","",IF('Daily Data'!$B492="","ERROR","OK"))</f>
        <v/>
      </c>
      <c r="F492" s="165" t="str">
        <f>IF($A492="","",IF(NOT(ISNUMBER('Daily Data'!$A492)),"ERROR","OK"))</f>
        <v/>
      </c>
      <c r="G492" s="165" t="str">
        <f>IF($A492="","",IF(OR(N('Daily Data'!$E492)&lt;=0,N('Daily Data'!$C492)&lt;0,N('Daily Data'!$D492)&lt;0,N('Daily Data'!$F492)&lt;0,N('Daily Data'!$G492)&lt;0),"ERROR","OK"))</f>
        <v/>
      </c>
      <c r="H492" s="165" t="str">
        <f>IF($A492="","",IF(N('Daily Data'!$K492)&lt;0,"ERROR","OK"))</f>
        <v/>
      </c>
      <c r="I492" s="165" t="str">
        <f>IF($A492="","",IF(N('Daily Data'!$I492)&lt;0,"ERROR","OK"))</f>
        <v/>
      </c>
      <c r="J492" s="165" t="str">
        <f>IF($A492="","",IF(N('Daily Data'!$L492)&lt;0,"ERROR","OK"))</f>
        <v/>
      </c>
      <c r="K492" s="165" t="str">
        <f>IF($A492="","",IF(N('Daily Data'!$M492)&lt;0,"ERROR","OK"))</f>
        <v/>
      </c>
      <c r="L492" s="165" t="str">
        <f>IF($A492="","",IF(OR(N('Daily Data'!$F492)=0,N('Daily Data'!$G492)=0),"OK",IF(OR(N('Daily Data'!$E492)&gt;N('Daily Data'!$F492),N('Daily Data'!$E492)&lt;N('Daily Data'!$G492)),"ERROR","OK")))</f>
        <v/>
      </c>
      <c r="M492" s="165" t="str">
        <f>IF($A492="","",IF(N('Daily Data'!$AK492)&lt;=1,"OK",IF(ROUND(N('Daily Data'!$D492),2)=ROUND(SUMIFS('Daily Data'!$E$4:$E$503,'Daily Data'!$B$4:$B$503,'Daily Data'!$B492,'Daily Data'!$AK$4:$AK$503,'Daily Data'!$AK492-1),2),"OK","WARNING")))</f>
        <v/>
      </c>
      <c r="N492" s="165" t="str">
        <f>IF($A492="","",IF(N('Daily Data'!$N492)&lt;=0,"WARNING","OK"))</f>
        <v/>
      </c>
      <c r="O492" s="165" t="str">
        <f>IF($A492="","",IF(AND(ISNUMBER('Daily Data'!$H492),ABS(N('Daily Data'!$H492))&gt;Settings!$C$56),"WARNING","OK"))</f>
        <v/>
      </c>
      <c r="P492" s="165" t="str">
        <f>IF($A492="","",IF(OR(AND(N('Daily Data'!$K492)=0,N('Daily Data'!$I492)&gt;0),AND(N('Daily Data'!$I492)=0,N('Daily Data'!$K492)&gt;0),AND(N('Daily Data'!$L492)=0,N('Daily Data'!$M492)=0)),"WARNING","OK"))</f>
        <v/>
      </c>
      <c r="Q492" s="165" t="str">
        <f>IF($A492="","",IF(COUNTIFS('Daily Data'!$B$4:$B$503,'Daily Data'!$B492,'Daily Data'!$A$4:$A$503,'Daily Data'!$A492,'Daily Data'!$Q$4:$Q$503,'Daily Data'!$Q492)&gt;1,"WARNING","OK"))</f>
        <v/>
      </c>
      <c r="R492" s="165" t="str">
        <f>IF($A492="","",IF(AND(N('Daily Data'!$K492)&gt;0,N('Daily Data'!$J492)&lt;=0),"WARNING","OK"))</f>
        <v/>
      </c>
      <c r="S492" s="165" t="str">
        <f>IF($A492="","",COUNTIF($D492:$R492,"ERROR"))</f>
        <v/>
      </c>
      <c r="T492" s="165" t="str">
        <f>IF($A492="","",COUNTIF($D492:$R492,"WARNING"))</f>
        <v/>
      </c>
      <c r="U492" s="165" t="str">
        <f>IF($A492="","",IF($S492&gt;0,"ERROR",IF($T492&gt;0,"WARNING","PASS")))</f>
        <v/>
      </c>
    </row>
    <row r="493" spans="1:21" x14ac:dyDescent="0.3">
      <c r="A493" t="str">
        <f>IF(AND('Daily Data'!$A493="",'Daily Data'!$B493=""),"",493)</f>
        <v/>
      </c>
      <c r="B493" s="16" t="str">
        <f>IF($A493="","",'Daily Data'!$A493)</f>
        <v/>
      </c>
      <c r="C493" t="str">
        <f>IF($A493="","",'Daily Data'!$B493)</f>
        <v/>
      </c>
      <c r="D493" s="165" t="str">
        <f>IF($A493="","",IF(COUNTIFS('Daily Data'!$B$4:$B$503,'Daily Data'!$B493,'Daily Data'!$A$4:$A$503,'Daily Data'!$A493)&gt;1,"ERROR","OK"))</f>
        <v/>
      </c>
      <c r="E493" s="165" t="str">
        <f>IF($A493="","",IF('Daily Data'!$B493="","ERROR","OK"))</f>
        <v/>
      </c>
      <c r="F493" s="165" t="str">
        <f>IF($A493="","",IF(NOT(ISNUMBER('Daily Data'!$A493)),"ERROR","OK"))</f>
        <v/>
      </c>
      <c r="G493" s="165" t="str">
        <f>IF($A493="","",IF(OR(N('Daily Data'!$E493)&lt;=0,N('Daily Data'!$C493)&lt;0,N('Daily Data'!$D493)&lt;0,N('Daily Data'!$F493)&lt;0,N('Daily Data'!$G493)&lt;0),"ERROR","OK"))</f>
        <v/>
      </c>
      <c r="H493" s="165" t="str">
        <f>IF($A493="","",IF(N('Daily Data'!$K493)&lt;0,"ERROR","OK"))</f>
        <v/>
      </c>
      <c r="I493" s="165" t="str">
        <f>IF($A493="","",IF(N('Daily Data'!$I493)&lt;0,"ERROR","OK"))</f>
        <v/>
      </c>
      <c r="J493" s="165" t="str">
        <f>IF($A493="","",IF(N('Daily Data'!$L493)&lt;0,"ERROR","OK"))</f>
        <v/>
      </c>
      <c r="K493" s="165" t="str">
        <f>IF($A493="","",IF(N('Daily Data'!$M493)&lt;0,"ERROR","OK"))</f>
        <v/>
      </c>
      <c r="L493" s="165" t="str">
        <f>IF($A493="","",IF(OR(N('Daily Data'!$F493)=0,N('Daily Data'!$G493)=0),"OK",IF(OR(N('Daily Data'!$E493)&gt;N('Daily Data'!$F493),N('Daily Data'!$E493)&lt;N('Daily Data'!$G493)),"ERROR","OK")))</f>
        <v/>
      </c>
      <c r="M493" s="165" t="str">
        <f>IF($A493="","",IF(N('Daily Data'!$AK493)&lt;=1,"OK",IF(ROUND(N('Daily Data'!$D493),2)=ROUND(SUMIFS('Daily Data'!$E$4:$E$503,'Daily Data'!$B$4:$B$503,'Daily Data'!$B493,'Daily Data'!$AK$4:$AK$503,'Daily Data'!$AK493-1),2),"OK","WARNING")))</f>
        <v/>
      </c>
      <c r="N493" s="165" t="str">
        <f>IF($A493="","",IF(N('Daily Data'!$N493)&lt;=0,"WARNING","OK"))</f>
        <v/>
      </c>
      <c r="O493" s="165" t="str">
        <f>IF($A493="","",IF(AND(ISNUMBER('Daily Data'!$H493),ABS(N('Daily Data'!$H493))&gt;Settings!$C$56),"WARNING","OK"))</f>
        <v/>
      </c>
      <c r="P493" s="165" t="str">
        <f>IF($A493="","",IF(OR(AND(N('Daily Data'!$K493)=0,N('Daily Data'!$I493)&gt;0),AND(N('Daily Data'!$I493)=0,N('Daily Data'!$K493)&gt;0),AND(N('Daily Data'!$L493)=0,N('Daily Data'!$M493)=0)),"WARNING","OK"))</f>
        <v/>
      </c>
      <c r="Q493" s="165" t="str">
        <f>IF($A493="","",IF(COUNTIFS('Daily Data'!$B$4:$B$503,'Daily Data'!$B493,'Daily Data'!$A$4:$A$503,'Daily Data'!$A493,'Daily Data'!$Q$4:$Q$503,'Daily Data'!$Q493)&gt;1,"WARNING","OK"))</f>
        <v/>
      </c>
      <c r="R493" s="165" t="str">
        <f>IF($A493="","",IF(AND(N('Daily Data'!$K493)&gt;0,N('Daily Data'!$J493)&lt;=0),"WARNING","OK"))</f>
        <v/>
      </c>
      <c r="S493" s="165" t="str">
        <f>IF($A493="","",COUNTIF($D493:$R493,"ERROR"))</f>
        <v/>
      </c>
      <c r="T493" s="165" t="str">
        <f>IF($A493="","",COUNTIF($D493:$R493,"WARNING"))</f>
        <v/>
      </c>
      <c r="U493" s="165" t="str">
        <f>IF($A493="","",IF($S493&gt;0,"ERROR",IF($T493&gt;0,"WARNING","PASS")))</f>
        <v/>
      </c>
    </row>
    <row r="494" spans="1:21" x14ac:dyDescent="0.3">
      <c r="A494" t="str">
        <f>IF(AND('Daily Data'!$A494="",'Daily Data'!$B494=""),"",494)</f>
        <v/>
      </c>
      <c r="B494" s="16" t="str">
        <f>IF($A494="","",'Daily Data'!$A494)</f>
        <v/>
      </c>
      <c r="C494" t="str">
        <f>IF($A494="","",'Daily Data'!$B494)</f>
        <v/>
      </c>
      <c r="D494" s="165" t="str">
        <f>IF($A494="","",IF(COUNTIFS('Daily Data'!$B$4:$B$503,'Daily Data'!$B494,'Daily Data'!$A$4:$A$503,'Daily Data'!$A494)&gt;1,"ERROR","OK"))</f>
        <v/>
      </c>
      <c r="E494" s="165" t="str">
        <f>IF($A494="","",IF('Daily Data'!$B494="","ERROR","OK"))</f>
        <v/>
      </c>
      <c r="F494" s="165" t="str">
        <f>IF($A494="","",IF(NOT(ISNUMBER('Daily Data'!$A494)),"ERROR","OK"))</f>
        <v/>
      </c>
      <c r="G494" s="165" t="str">
        <f>IF($A494="","",IF(OR(N('Daily Data'!$E494)&lt;=0,N('Daily Data'!$C494)&lt;0,N('Daily Data'!$D494)&lt;0,N('Daily Data'!$F494)&lt;0,N('Daily Data'!$G494)&lt;0),"ERROR","OK"))</f>
        <v/>
      </c>
      <c r="H494" s="165" t="str">
        <f>IF($A494="","",IF(N('Daily Data'!$K494)&lt;0,"ERROR","OK"))</f>
        <v/>
      </c>
      <c r="I494" s="165" t="str">
        <f>IF($A494="","",IF(N('Daily Data'!$I494)&lt;0,"ERROR","OK"))</f>
        <v/>
      </c>
      <c r="J494" s="165" t="str">
        <f>IF($A494="","",IF(N('Daily Data'!$L494)&lt;0,"ERROR","OK"))</f>
        <v/>
      </c>
      <c r="K494" s="165" t="str">
        <f>IF($A494="","",IF(N('Daily Data'!$M494)&lt;0,"ERROR","OK"))</f>
        <v/>
      </c>
      <c r="L494" s="165" t="str">
        <f>IF($A494="","",IF(OR(N('Daily Data'!$F494)=0,N('Daily Data'!$G494)=0),"OK",IF(OR(N('Daily Data'!$E494)&gt;N('Daily Data'!$F494),N('Daily Data'!$E494)&lt;N('Daily Data'!$G494)),"ERROR","OK")))</f>
        <v/>
      </c>
      <c r="M494" s="165" t="str">
        <f>IF($A494="","",IF(N('Daily Data'!$AK494)&lt;=1,"OK",IF(ROUND(N('Daily Data'!$D494),2)=ROUND(SUMIFS('Daily Data'!$E$4:$E$503,'Daily Data'!$B$4:$B$503,'Daily Data'!$B494,'Daily Data'!$AK$4:$AK$503,'Daily Data'!$AK494-1),2),"OK","WARNING")))</f>
        <v/>
      </c>
      <c r="N494" s="165" t="str">
        <f>IF($A494="","",IF(N('Daily Data'!$N494)&lt;=0,"WARNING","OK"))</f>
        <v/>
      </c>
      <c r="O494" s="165" t="str">
        <f>IF($A494="","",IF(AND(ISNUMBER('Daily Data'!$H494),ABS(N('Daily Data'!$H494))&gt;Settings!$C$56),"WARNING","OK"))</f>
        <v/>
      </c>
      <c r="P494" s="165" t="str">
        <f>IF($A494="","",IF(OR(AND(N('Daily Data'!$K494)=0,N('Daily Data'!$I494)&gt;0),AND(N('Daily Data'!$I494)=0,N('Daily Data'!$K494)&gt;0),AND(N('Daily Data'!$L494)=0,N('Daily Data'!$M494)=0)),"WARNING","OK"))</f>
        <v/>
      </c>
      <c r="Q494" s="165" t="str">
        <f>IF($A494="","",IF(COUNTIFS('Daily Data'!$B$4:$B$503,'Daily Data'!$B494,'Daily Data'!$A$4:$A$503,'Daily Data'!$A494,'Daily Data'!$Q$4:$Q$503,'Daily Data'!$Q494)&gt;1,"WARNING","OK"))</f>
        <v/>
      </c>
      <c r="R494" s="165" t="str">
        <f>IF($A494="","",IF(AND(N('Daily Data'!$K494)&gt;0,N('Daily Data'!$J494)&lt;=0),"WARNING","OK"))</f>
        <v/>
      </c>
      <c r="S494" s="165" t="str">
        <f>IF($A494="","",COUNTIF($D494:$R494,"ERROR"))</f>
        <v/>
      </c>
      <c r="T494" s="165" t="str">
        <f>IF($A494="","",COUNTIF($D494:$R494,"WARNING"))</f>
        <v/>
      </c>
      <c r="U494" s="165" t="str">
        <f>IF($A494="","",IF($S494&gt;0,"ERROR",IF($T494&gt;0,"WARNING","PASS")))</f>
        <v/>
      </c>
    </row>
    <row r="495" spans="1:21" x14ac:dyDescent="0.3">
      <c r="A495" t="str">
        <f>IF(AND('Daily Data'!$A495="",'Daily Data'!$B495=""),"",495)</f>
        <v/>
      </c>
      <c r="B495" s="16" t="str">
        <f>IF($A495="","",'Daily Data'!$A495)</f>
        <v/>
      </c>
      <c r="C495" t="str">
        <f>IF($A495="","",'Daily Data'!$B495)</f>
        <v/>
      </c>
      <c r="D495" s="165" t="str">
        <f>IF($A495="","",IF(COUNTIFS('Daily Data'!$B$4:$B$503,'Daily Data'!$B495,'Daily Data'!$A$4:$A$503,'Daily Data'!$A495)&gt;1,"ERROR","OK"))</f>
        <v/>
      </c>
      <c r="E495" s="165" t="str">
        <f>IF($A495="","",IF('Daily Data'!$B495="","ERROR","OK"))</f>
        <v/>
      </c>
      <c r="F495" s="165" t="str">
        <f>IF($A495="","",IF(NOT(ISNUMBER('Daily Data'!$A495)),"ERROR","OK"))</f>
        <v/>
      </c>
      <c r="G495" s="165" t="str">
        <f>IF($A495="","",IF(OR(N('Daily Data'!$E495)&lt;=0,N('Daily Data'!$C495)&lt;0,N('Daily Data'!$D495)&lt;0,N('Daily Data'!$F495)&lt;0,N('Daily Data'!$G495)&lt;0),"ERROR","OK"))</f>
        <v/>
      </c>
      <c r="H495" s="165" t="str">
        <f>IF($A495="","",IF(N('Daily Data'!$K495)&lt;0,"ERROR","OK"))</f>
        <v/>
      </c>
      <c r="I495" s="165" t="str">
        <f>IF($A495="","",IF(N('Daily Data'!$I495)&lt;0,"ERROR","OK"))</f>
        <v/>
      </c>
      <c r="J495" s="165" t="str">
        <f>IF($A495="","",IF(N('Daily Data'!$L495)&lt;0,"ERROR","OK"))</f>
        <v/>
      </c>
      <c r="K495" s="165" t="str">
        <f>IF($A495="","",IF(N('Daily Data'!$M495)&lt;0,"ERROR","OK"))</f>
        <v/>
      </c>
      <c r="L495" s="165" t="str">
        <f>IF($A495="","",IF(OR(N('Daily Data'!$F495)=0,N('Daily Data'!$G495)=0),"OK",IF(OR(N('Daily Data'!$E495)&gt;N('Daily Data'!$F495),N('Daily Data'!$E495)&lt;N('Daily Data'!$G495)),"ERROR","OK")))</f>
        <v/>
      </c>
      <c r="M495" s="165" t="str">
        <f>IF($A495="","",IF(N('Daily Data'!$AK495)&lt;=1,"OK",IF(ROUND(N('Daily Data'!$D495),2)=ROUND(SUMIFS('Daily Data'!$E$4:$E$503,'Daily Data'!$B$4:$B$503,'Daily Data'!$B495,'Daily Data'!$AK$4:$AK$503,'Daily Data'!$AK495-1),2),"OK","WARNING")))</f>
        <v/>
      </c>
      <c r="N495" s="165" t="str">
        <f>IF($A495="","",IF(N('Daily Data'!$N495)&lt;=0,"WARNING","OK"))</f>
        <v/>
      </c>
      <c r="O495" s="165" t="str">
        <f>IF($A495="","",IF(AND(ISNUMBER('Daily Data'!$H495),ABS(N('Daily Data'!$H495))&gt;Settings!$C$56),"WARNING","OK"))</f>
        <v/>
      </c>
      <c r="P495" s="165" t="str">
        <f>IF($A495="","",IF(OR(AND(N('Daily Data'!$K495)=0,N('Daily Data'!$I495)&gt;0),AND(N('Daily Data'!$I495)=0,N('Daily Data'!$K495)&gt;0),AND(N('Daily Data'!$L495)=0,N('Daily Data'!$M495)=0)),"WARNING","OK"))</f>
        <v/>
      </c>
      <c r="Q495" s="165" t="str">
        <f>IF($A495="","",IF(COUNTIFS('Daily Data'!$B$4:$B$503,'Daily Data'!$B495,'Daily Data'!$A$4:$A$503,'Daily Data'!$A495,'Daily Data'!$Q$4:$Q$503,'Daily Data'!$Q495)&gt;1,"WARNING","OK"))</f>
        <v/>
      </c>
      <c r="R495" s="165" t="str">
        <f>IF($A495="","",IF(AND(N('Daily Data'!$K495)&gt;0,N('Daily Data'!$J495)&lt;=0),"WARNING","OK"))</f>
        <v/>
      </c>
      <c r="S495" s="165" t="str">
        <f>IF($A495="","",COUNTIF($D495:$R495,"ERROR"))</f>
        <v/>
      </c>
      <c r="T495" s="165" t="str">
        <f>IF($A495="","",COUNTIF($D495:$R495,"WARNING"))</f>
        <v/>
      </c>
      <c r="U495" s="165" t="str">
        <f>IF($A495="","",IF($S495&gt;0,"ERROR",IF($T495&gt;0,"WARNING","PASS")))</f>
        <v/>
      </c>
    </row>
    <row r="496" spans="1:21" x14ac:dyDescent="0.3">
      <c r="A496" t="str">
        <f>IF(AND('Daily Data'!$A496="",'Daily Data'!$B496=""),"",496)</f>
        <v/>
      </c>
      <c r="B496" s="16" t="str">
        <f>IF($A496="","",'Daily Data'!$A496)</f>
        <v/>
      </c>
      <c r="C496" t="str">
        <f>IF($A496="","",'Daily Data'!$B496)</f>
        <v/>
      </c>
      <c r="D496" s="165" t="str">
        <f>IF($A496="","",IF(COUNTIFS('Daily Data'!$B$4:$B$503,'Daily Data'!$B496,'Daily Data'!$A$4:$A$503,'Daily Data'!$A496)&gt;1,"ERROR","OK"))</f>
        <v/>
      </c>
      <c r="E496" s="165" t="str">
        <f>IF($A496="","",IF('Daily Data'!$B496="","ERROR","OK"))</f>
        <v/>
      </c>
      <c r="F496" s="165" t="str">
        <f>IF($A496="","",IF(NOT(ISNUMBER('Daily Data'!$A496)),"ERROR","OK"))</f>
        <v/>
      </c>
      <c r="G496" s="165" t="str">
        <f>IF($A496="","",IF(OR(N('Daily Data'!$E496)&lt;=0,N('Daily Data'!$C496)&lt;0,N('Daily Data'!$D496)&lt;0,N('Daily Data'!$F496)&lt;0,N('Daily Data'!$G496)&lt;0),"ERROR","OK"))</f>
        <v/>
      </c>
      <c r="H496" s="165" t="str">
        <f>IF($A496="","",IF(N('Daily Data'!$K496)&lt;0,"ERROR","OK"))</f>
        <v/>
      </c>
      <c r="I496" s="165" t="str">
        <f>IF($A496="","",IF(N('Daily Data'!$I496)&lt;0,"ERROR","OK"))</f>
        <v/>
      </c>
      <c r="J496" s="165" t="str">
        <f>IF($A496="","",IF(N('Daily Data'!$L496)&lt;0,"ERROR","OK"))</f>
        <v/>
      </c>
      <c r="K496" s="165" t="str">
        <f>IF($A496="","",IF(N('Daily Data'!$M496)&lt;0,"ERROR","OK"))</f>
        <v/>
      </c>
      <c r="L496" s="165" t="str">
        <f>IF($A496="","",IF(OR(N('Daily Data'!$F496)=0,N('Daily Data'!$G496)=0),"OK",IF(OR(N('Daily Data'!$E496)&gt;N('Daily Data'!$F496),N('Daily Data'!$E496)&lt;N('Daily Data'!$G496)),"ERROR","OK")))</f>
        <v/>
      </c>
      <c r="M496" s="165" t="str">
        <f>IF($A496="","",IF(N('Daily Data'!$AK496)&lt;=1,"OK",IF(ROUND(N('Daily Data'!$D496),2)=ROUND(SUMIFS('Daily Data'!$E$4:$E$503,'Daily Data'!$B$4:$B$503,'Daily Data'!$B496,'Daily Data'!$AK$4:$AK$503,'Daily Data'!$AK496-1),2),"OK","WARNING")))</f>
        <v/>
      </c>
      <c r="N496" s="165" t="str">
        <f>IF($A496="","",IF(N('Daily Data'!$N496)&lt;=0,"WARNING","OK"))</f>
        <v/>
      </c>
      <c r="O496" s="165" t="str">
        <f>IF($A496="","",IF(AND(ISNUMBER('Daily Data'!$H496),ABS(N('Daily Data'!$H496))&gt;Settings!$C$56),"WARNING","OK"))</f>
        <v/>
      </c>
      <c r="P496" s="165" t="str">
        <f>IF($A496="","",IF(OR(AND(N('Daily Data'!$K496)=0,N('Daily Data'!$I496)&gt;0),AND(N('Daily Data'!$I496)=0,N('Daily Data'!$K496)&gt;0),AND(N('Daily Data'!$L496)=0,N('Daily Data'!$M496)=0)),"WARNING","OK"))</f>
        <v/>
      </c>
      <c r="Q496" s="165" t="str">
        <f>IF($A496="","",IF(COUNTIFS('Daily Data'!$B$4:$B$503,'Daily Data'!$B496,'Daily Data'!$A$4:$A$503,'Daily Data'!$A496,'Daily Data'!$Q$4:$Q$503,'Daily Data'!$Q496)&gt;1,"WARNING","OK"))</f>
        <v/>
      </c>
      <c r="R496" s="165" t="str">
        <f>IF($A496="","",IF(AND(N('Daily Data'!$K496)&gt;0,N('Daily Data'!$J496)&lt;=0),"WARNING","OK"))</f>
        <v/>
      </c>
      <c r="S496" s="165" t="str">
        <f>IF($A496="","",COUNTIF($D496:$R496,"ERROR"))</f>
        <v/>
      </c>
      <c r="T496" s="165" t="str">
        <f>IF($A496="","",COUNTIF($D496:$R496,"WARNING"))</f>
        <v/>
      </c>
      <c r="U496" s="165" t="str">
        <f>IF($A496="","",IF($S496&gt;0,"ERROR",IF($T496&gt;0,"WARNING","PASS")))</f>
        <v/>
      </c>
    </row>
    <row r="497" spans="1:21" x14ac:dyDescent="0.3">
      <c r="A497" t="str">
        <f>IF(AND('Daily Data'!$A497="",'Daily Data'!$B497=""),"",497)</f>
        <v/>
      </c>
      <c r="B497" s="16" t="str">
        <f>IF($A497="","",'Daily Data'!$A497)</f>
        <v/>
      </c>
      <c r="C497" t="str">
        <f>IF($A497="","",'Daily Data'!$B497)</f>
        <v/>
      </c>
      <c r="D497" s="165" t="str">
        <f>IF($A497="","",IF(COUNTIFS('Daily Data'!$B$4:$B$503,'Daily Data'!$B497,'Daily Data'!$A$4:$A$503,'Daily Data'!$A497)&gt;1,"ERROR","OK"))</f>
        <v/>
      </c>
      <c r="E497" s="165" t="str">
        <f>IF($A497="","",IF('Daily Data'!$B497="","ERROR","OK"))</f>
        <v/>
      </c>
      <c r="F497" s="165" t="str">
        <f>IF($A497="","",IF(NOT(ISNUMBER('Daily Data'!$A497)),"ERROR","OK"))</f>
        <v/>
      </c>
      <c r="G497" s="165" t="str">
        <f>IF($A497="","",IF(OR(N('Daily Data'!$E497)&lt;=0,N('Daily Data'!$C497)&lt;0,N('Daily Data'!$D497)&lt;0,N('Daily Data'!$F497)&lt;0,N('Daily Data'!$G497)&lt;0),"ERROR","OK"))</f>
        <v/>
      </c>
      <c r="H497" s="165" t="str">
        <f>IF($A497="","",IF(N('Daily Data'!$K497)&lt;0,"ERROR","OK"))</f>
        <v/>
      </c>
      <c r="I497" s="165" t="str">
        <f>IF($A497="","",IF(N('Daily Data'!$I497)&lt;0,"ERROR","OK"))</f>
        <v/>
      </c>
      <c r="J497" s="165" t="str">
        <f>IF($A497="","",IF(N('Daily Data'!$L497)&lt;0,"ERROR","OK"))</f>
        <v/>
      </c>
      <c r="K497" s="165" t="str">
        <f>IF($A497="","",IF(N('Daily Data'!$M497)&lt;0,"ERROR","OK"))</f>
        <v/>
      </c>
      <c r="L497" s="165" t="str">
        <f>IF($A497="","",IF(OR(N('Daily Data'!$F497)=0,N('Daily Data'!$G497)=0),"OK",IF(OR(N('Daily Data'!$E497)&gt;N('Daily Data'!$F497),N('Daily Data'!$E497)&lt;N('Daily Data'!$G497)),"ERROR","OK")))</f>
        <v/>
      </c>
      <c r="M497" s="165" t="str">
        <f>IF($A497="","",IF(N('Daily Data'!$AK497)&lt;=1,"OK",IF(ROUND(N('Daily Data'!$D497),2)=ROUND(SUMIFS('Daily Data'!$E$4:$E$503,'Daily Data'!$B$4:$B$503,'Daily Data'!$B497,'Daily Data'!$AK$4:$AK$503,'Daily Data'!$AK497-1),2),"OK","WARNING")))</f>
        <v/>
      </c>
      <c r="N497" s="165" t="str">
        <f>IF($A497="","",IF(N('Daily Data'!$N497)&lt;=0,"WARNING","OK"))</f>
        <v/>
      </c>
      <c r="O497" s="165" t="str">
        <f>IF($A497="","",IF(AND(ISNUMBER('Daily Data'!$H497),ABS(N('Daily Data'!$H497))&gt;Settings!$C$56),"WARNING","OK"))</f>
        <v/>
      </c>
      <c r="P497" s="165" t="str">
        <f>IF($A497="","",IF(OR(AND(N('Daily Data'!$K497)=0,N('Daily Data'!$I497)&gt;0),AND(N('Daily Data'!$I497)=0,N('Daily Data'!$K497)&gt;0),AND(N('Daily Data'!$L497)=0,N('Daily Data'!$M497)=0)),"WARNING","OK"))</f>
        <v/>
      </c>
      <c r="Q497" s="165" t="str">
        <f>IF($A497="","",IF(COUNTIFS('Daily Data'!$B$4:$B$503,'Daily Data'!$B497,'Daily Data'!$A$4:$A$503,'Daily Data'!$A497,'Daily Data'!$Q$4:$Q$503,'Daily Data'!$Q497)&gt;1,"WARNING","OK"))</f>
        <v/>
      </c>
      <c r="R497" s="165" t="str">
        <f>IF($A497="","",IF(AND(N('Daily Data'!$K497)&gt;0,N('Daily Data'!$J497)&lt;=0),"WARNING","OK"))</f>
        <v/>
      </c>
      <c r="S497" s="165" t="str">
        <f>IF($A497="","",COUNTIF($D497:$R497,"ERROR"))</f>
        <v/>
      </c>
      <c r="T497" s="165" t="str">
        <f>IF($A497="","",COUNTIF($D497:$R497,"WARNING"))</f>
        <v/>
      </c>
      <c r="U497" s="165" t="str">
        <f>IF($A497="","",IF($S497&gt;0,"ERROR",IF($T497&gt;0,"WARNING","PASS")))</f>
        <v/>
      </c>
    </row>
    <row r="498" spans="1:21" x14ac:dyDescent="0.3">
      <c r="A498" t="str">
        <f>IF(AND('Daily Data'!$A498="",'Daily Data'!$B498=""),"",498)</f>
        <v/>
      </c>
      <c r="B498" s="16" t="str">
        <f>IF($A498="","",'Daily Data'!$A498)</f>
        <v/>
      </c>
      <c r="C498" t="str">
        <f>IF($A498="","",'Daily Data'!$B498)</f>
        <v/>
      </c>
      <c r="D498" s="165" t="str">
        <f>IF($A498="","",IF(COUNTIFS('Daily Data'!$B$4:$B$503,'Daily Data'!$B498,'Daily Data'!$A$4:$A$503,'Daily Data'!$A498)&gt;1,"ERROR","OK"))</f>
        <v/>
      </c>
      <c r="E498" s="165" t="str">
        <f>IF($A498="","",IF('Daily Data'!$B498="","ERROR","OK"))</f>
        <v/>
      </c>
      <c r="F498" s="165" t="str">
        <f>IF($A498="","",IF(NOT(ISNUMBER('Daily Data'!$A498)),"ERROR","OK"))</f>
        <v/>
      </c>
      <c r="G498" s="165" t="str">
        <f>IF($A498="","",IF(OR(N('Daily Data'!$E498)&lt;=0,N('Daily Data'!$C498)&lt;0,N('Daily Data'!$D498)&lt;0,N('Daily Data'!$F498)&lt;0,N('Daily Data'!$G498)&lt;0),"ERROR","OK"))</f>
        <v/>
      </c>
      <c r="H498" s="165" t="str">
        <f>IF($A498="","",IF(N('Daily Data'!$K498)&lt;0,"ERROR","OK"))</f>
        <v/>
      </c>
      <c r="I498" s="165" t="str">
        <f>IF($A498="","",IF(N('Daily Data'!$I498)&lt;0,"ERROR","OK"))</f>
        <v/>
      </c>
      <c r="J498" s="165" t="str">
        <f>IF($A498="","",IF(N('Daily Data'!$L498)&lt;0,"ERROR","OK"))</f>
        <v/>
      </c>
      <c r="K498" s="165" t="str">
        <f>IF($A498="","",IF(N('Daily Data'!$M498)&lt;0,"ERROR","OK"))</f>
        <v/>
      </c>
      <c r="L498" s="165" t="str">
        <f>IF($A498="","",IF(OR(N('Daily Data'!$F498)=0,N('Daily Data'!$G498)=0),"OK",IF(OR(N('Daily Data'!$E498)&gt;N('Daily Data'!$F498),N('Daily Data'!$E498)&lt;N('Daily Data'!$G498)),"ERROR","OK")))</f>
        <v/>
      </c>
      <c r="M498" s="165" t="str">
        <f>IF($A498="","",IF(N('Daily Data'!$AK498)&lt;=1,"OK",IF(ROUND(N('Daily Data'!$D498),2)=ROUND(SUMIFS('Daily Data'!$E$4:$E$503,'Daily Data'!$B$4:$B$503,'Daily Data'!$B498,'Daily Data'!$AK$4:$AK$503,'Daily Data'!$AK498-1),2),"OK","WARNING")))</f>
        <v/>
      </c>
      <c r="N498" s="165" t="str">
        <f>IF($A498="","",IF(N('Daily Data'!$N498)&lt;=0,"WARNING","OK"))</f>
        <v/>
      </c>
      <c r="O498" s="165" t="str">
        <f>IF($A498="","",IF(AND(ISNUMBER('Daily Data'!$H498),ABS(N('Daily Data'!$H498))&gt;Settings!$C$56),"WARNING","OK"))</f>
        <v/>
      </c>
      <c r="P498" s="165" t="str">
        <f>IF($A498="","",IF(OR(AND(N('Daily Data'!$K498)=0,N('Daily Data'!$I498)&gt;0),AND(N('Daily Data'!$I498)=0,N('Daily Data'!$K498)&gt;0),AND(N('Daily Data'!$L498)=0,N('Daily Data'!$M498)=0)),"WARNING","OK"))</f>
        <v/>
      </c>
      <c r="Q498" s="165" t="str">
        <f>IF($A498="","",IF(COUNTIFS('Daily Data'!$B$4:$B$503,'Daily Data'!$B498,'Daily Data'!$A$4:$A$503,'Daily Data'!$A498,'Daily Data'!$Q$4:$Q$503,'Daily Data'!$Q498)&gt;1,"WARNING","OK"))</f>
        <v/>
      </c>
      <c r="R498" s="165" t="str">
        <f>IF($A498="","",IF(AND(N('Daily Data'!$K498)&gt;0,N('Daily Data'!$J498)&lt;=0),"WARNING","OK"))</f>
        <v/>
      </c>
      <c r="S498" s="165" t="str">
        <f>IF($A498="","",COUNTIF($D498:$R498,"ERROR"))</f>
        <v/>
      </c>
      <c r="T498" s="165" t="str">
        <f>IF($A498="","",COUNTIF($D498:$R498,"WARNING"))</f>
        <v/>
      </c>
      <c r="U498" s="165" t="str">
        <f>IF($A498="","",IF($S498&gt;0,"ERROR",IF($T498&gt;0,"WARNING","PASS")))</f>
        <v/>
      </c>
    </row>
    <row r="499" spans="1:21" x14ac:dyDescent="0.3">
      <c r="A499" t="str">
        <f>IF(AND('Daily Data'!$A499="",'Daily Data'!$B499=""),"",499)</f>
        <v/>
      </c>
      <c r="B499" s="16" t="str">
        <f>IF($A499="","",'Daily Data'!$A499)</f>
        <v/>
      </c>
      <c r="C499" t="str">
        <f>IF($A499="","",'Daily Data'!$B499)</f>
        <v/>
      </c>
      <c r="D499" s="165" t="str">
        <f>IF($A499="","",IF(COUNTIFS('Daily Data'!$B$4:$B$503,'Daily Data'!$B499,'Daily Data'!$A$4:$A$503,'Daily Data'!$A499)&gt;1,"ERROR","OK"))</f>
        <v/>
      </c>
      <c r="E499" s="165" t="str">
        <f>IF($A499="","",IF('Daily Data'!$B499="","ERROR","OK"))</f>
        <v/>
      </c>
      <c r="F499" s="165" t="str">
        <f>IF($A499="","",IF(NOT(ISNUMBER('Daily Data'!$A499)),"ERROR","OK"))</f>
        <v/>
      </c>
      <c r="G499" s="165" t="str">
        <f>IF($A499="","",IF(OR(N('Daily Data'!$E499)&lt;=0,N('Daily Data'!$C499)&lt;0,N('Daily Data'!$D499)&lt;0,N('Daily Data'!$F499)&lt;0,N('Daily Data'!$G499)&lt;0),"ERROR","OK"))</f>
        <v/>
      </c>
      <c r="H499" s="165" t="str">
        <f>IF($A499="","",IF(N('Daily Data'!$K499)&lt;0,"ERROR","OK"))</f>
        <v/>
      </c>
      <c r="I499" s="165" t="str">
        <f>IF($A499="","",IF(N('Daily Data'!$I499)&lt;0,"ERROR","OK"))</f>
        <v/>
      </c>
      <c r="J499" s="165" t="str">
        <f>IF($A499="","",IF(N('Daily Data'!$L499)&lt;0,"ERROR","OK"))</f>
        <v/>
      </c>
      <c r="K499" s="165" t="str">
        <f>IF($A499="","",IF(N('Daily Data'!$M499)&lt;0,"ERROR","OK"))</f>
        <v/>
      </c>
      <c r="L499" s="165" t="str">
        <f>IF($A499="","",IF(OR(N('Daily Data'!$F499)=0,N('Daily Data'!$G499)=0),"OK",IF(OR(N('Daily Data'!$E499)&gt;N('Daily Data'!$F499),N('Daily Data'!$E499)&lt;N('Daily Data'!$G499)),"ERROR","OK")))</f>
        <v/>
      </c>
      <c r="M499" s="165" t="str">
        <f>IF($A499="","",IF(N('Daily Data'!$AK499)&lt;=1,"OK",IF(ROUND(N('Daily Data'!$D499),2)=ROUND(SUMIFS('Daily Data'!$E$4:$E$503,'Daily Data'!$B$4:$B$503,'Daily Data'!$B499,'Daily Data'!$AK$4:$AK$503,'Daily Data'!$AK499-1),2),"OK","WARNING")))</f>
        <v/>
      </c>
      <c r="N499" s="165" t="str">
        <f>IF($A499="","",IF(N('Daily Data'!$N499)&lt;=0,"WARNING","OK"))</f>
        <v/>
      </c>
      <c r="O499" s="165" t="str">
        <f>IF($A499="","",IF(AND(ISNUMBER('Daily Data'!$H499),ABS(N('Daily Data'!$H499))&gt;Settings!$C$56),"WARNING","OK"))</f>
        <v/>
      </c>
      <c r="P499" s="165" t="str">
        <f>IF($A499="","",IF(OR(AND(N('Daily Data'!$K499)=0,N('Daily Data'!$I499)&gt;0),AND(N('Daily Data'!$I499)=0,N('Daily Data'!$K499)&gt;0),AND(N('Daily Data'!$L499)=0,N('Daily Data'!$M499)=0)),"WARNING","OK"))</f>
        <v/>
      </c>
      <c r="Q499" s="165" t="str">
        <f>IF($A499="","",IF(COUNTIFS('Daily Data'!$B$4:$B$503,'Daily Data'!$B499,'Daily Data'!$A$4:$A$503,'Daily Data'!$A499,'Daily Data'!$Q$4:$Q$503,'Daily Data'!$Q499)&gt;1,"WARNING","OK"))</f>
        <v/>
      </c>
      <c r="R499" s="165" t="str">
        <f>IF($A499="","",IF(AND(N('Daily Data'!$K499)&gt;0,N('Daily Data'!$J499)&lt;=0),"WARNING","OK"))</f>
        <v/>
      </c>
      <c r="S499" s="165" t="str">
        <f>IF($A499="","",COUNTIF($D499:$R499,"ERROR"))</f>
        <v/>
      </c>
      <c r="T499" s="165" t="str">
        <f>IF($A499="","",COUNTIF($D499:$R499,"WARNING"))</f>
        <v/>
      </c>
      <c r="U499" s="165" t="str">
        <f>IF($A499="","",IF($S499&gt;0,"ERROR",IF($T499&gt;0,"WARNING","PASS")))</f>
        <v/>
      </c>
    </row>
    <row r="500" spans="1:21" x14ac:dyDescent="0.3">
      <c r="A500" t="str">
        <f>IF(AND('Daily Data'!$A500="",'Daily Data'!$B500=""),"",500)</f>
        <v/>
      </c>
      <c r="B500" s="16" t="str">
        <f>IF($A500="","",'Daily Data'!$A500)</f>
        <v/>
      </c>
      <c r="C500" t="str">
        <f>IF($A500="","",'Daily Data'!$B500)</f>
        <v/>
      </c>
      <c r="D500" s="165" t="str">
        <f>IF($A500="","",IF(COUNTIFS('Daily Data'!$B$4:$B$503,'Daily Data'!$B500,'Daily Data'!$A$4:$A$503,'Daily Data'!$A500)&gt;1,"ERROR","OK"))</f>
        <v/>
      </c>
      <c r="E500" s="165" t="str">
        <f>IF($A500="","",IF('Daily Data'!$B500="","ERROR","OK"))</f>
        <v/>
      </c>
      <c r="F500" s="165" t="str">
        <f>IF($A500="","",IF(NOT(ISNUMBER('Daily Data'!$A500)),"ERROR","OK"))</f>
        <v/>
      </c>
      <c r="G500" s="165" t="str">
        <f>IF($A500="","",IF(OR(N('Daily Data'!$E500)&lt;=0,N('Daily Data'!$C500)&lt;0,N('Daily Data'!$D500)&lt;0,N('Daily Data'!$F500)&lt;0,N('Daily Data'!$G500)&lt;0),"ERROR","OK"))</f>
        <v/>
      </c>
      <c r="H500" s="165" t="str">
        <f>IF($A500="","",IF(N('Daily Data'!$K500)&lt;0,"ERROR","OK"))</f>
        <v/>
      </c>
      <c r="I500" s="165" t="str">
        <f>IF($A500="","",IF(N('Daily Data'!$I500)&lt;0,"ERROR","OK"))</f>
        <v/>
      </c>
      <c r="J500" s="165" t="str">
        <f>IF($A500="","",IF(N('Daily Data'!$L500)&lt;0,"ERROR","OK"))</f>
        <v/>
      </c>
      <c r="K500" s="165" t="str">
        <f>IF($A500="","",IF(N('Daily Data'!$M500)&lt;0,"ERROR","OK"))</f>
        <v/>
      </c>
      <c r="L500" s="165" t="str">
        <f>IF($A500="","",IF(OR(N('Daily Data'!$F500)=0,N('Daily Data'!$G500)=0),"OK",IF(OR(N('Daily Data'!$E500)&gt;N('Daily Data'!$F500),N('Daily Data'!$E500)&lt;N('Daily Data'!$G500)),"ERROR","OK")))</f>
        <v/>
      </c>
      <c r="M500" s="165" t="str">
        <f>IF($A500="","",IF(N('Daily Data'!$AK500)&lt;=1,"OK",IF(ROUND(N('Daily Data'!$D500),2)=ROUND(SUMIFS('Daily Data'!$E$4:$E$503,'Daily Data'!$B$4:$B$503,'Daily Data'!$B500,'Daily Data'!$AK$4:$AK$503,'Daily Data'!$AK500-1),2),"OK","WARNING")))</f>
        <v/>
      </c>
      <c r="N500" s="165" t="str">
        <f>IF($A500="","",IF(N('Daily Data'!$N500)&lt;=0,"WARNING","OK"))</f>
        <v/>
      </c>
      <c r="O500" s="165" t="str">
        <f>IF($A500="","",IF(AND(ISNUMBER('Daily Data'!$H500),ABS(N('Daily Data'!$H500))&gt;Settings!$C$56),"WARNING","OK"))</f>
        <v/>
      </c>
      <c r="P500" s="165" t="str">
        <f>IF($A500="","",IF(OR(AND(N('Daily Data'!$K500)=0,N('Daily Data'!$I500)&gt;0),AND(N('Daily Data'!$I500)=0,N('Daily Data'!$K500)&gt;0),AND(N('Daily Data'!$L500)=0,N('Daily Data'!$M500)=0)),"WARNING","OK"))</f>
        <v/>
      </c>
      <c r="Q500" s="165" t="str">
        <f>IF($A500="","",IF(COUNTIFS('Daily Data'!$B$4:$B$503,'Daily Data'!$B500,'Daily Data'!$A$4:$A$503,'Daily Data'!$A500,'Daily Data'!$Q$4:$Q$503,'Daily Data'!$Q500)&gt;1,"WARNING","OK"))</f>
        <v/>
      </c>
      <c r="R500" s="165" t="str">
        <f>IF($A500="","",IF(AND(N('Daily Data'!$K500)&gt;0,N('Daily Data'!$J500)&lt;=0),"WARNING","OK"))</f>
        <v/>
      </c>
      <c r="S500" s="165" t="str">
        <f>IF($A500="","",COUNTIF($D500:$R500,"ERROR"))</f>
        <v/>
      </c>
      <c r="T500" s="165" t="str">
        <f>IF($A500="","",COUNTIF($D500:$R500,"WARNING"))</f>
        <v/>
      </c>
      <c r="U500" s="165" t="str">
        <f>IF($A500="","",IF($S500&gt;0,"ERROR",IF($T500&gt;0,"WARNING","PASS")))</f>
        <v/>
      </c>
    </row>
    <row r="501" spans="1:21" x14ac:dyDescent="0.3">
      <c r="A501" t="str">
        <f>IF(AND('Daily Data'!$A501="",'Daily Data'!$B501=""),"",501)</f>
        <v/>
      </c>
      <c r="B501" s="16" t="str">
        <f>IF($A501="","",'Daily Data'!$A501)</f>
        <v/>
      </c>
      <c r="C501" t="str">
        <f>IF($A501="","",'Daily Data'!$B501)</f>
        <v/>
      </c>
      <c r="D501" s="165" t="str">
        <f>IF($A501="","",IF(COUNTIFS('Daily Data'!$B$4:$B$503,'Daily Data'!$B501,'Daily Data'!$A$4:$A$503,'Daily Data'!$A501)&gt;1,"ERROR","OK"))</f>
        <v/>
      </c>
      <c r="E501" s="165" t="str">
        <f>IF($A501="","",IF('Daily Data'!$B501="","ERROR","OK"))</f>
        <v/>
      </c>
      <c r="F501" s="165" t="str">
        <f>IF($A501="","",IF(NOT(ISNUMBER('Daily Data'!$A501)),"ERROR","OK"))</f>
        <v/>
      </c>
      <c r="G501" s="165" t="str">
        <f>IF($A501="","",IF(OR(N('Daily Data'!$E501)&lt;=0,N('Daily Data'!$C501)&lt;0,N('Daily Data'!$D501)&lt;0,N('Daily Data'!$F501)&lt;0,N('Daily Data'!$G501)&lt;0),"ERROR","OK"))</f>
        <v/>
      </c>
      <c r="H501" s="165" t="str">
        <f>IF($A501="","",IF(N('Daily Data'!$K501)&lt;0,"ERROR","OK"))</f>
        <v/>
      </c>
      <c r="I501" s="165" t="str">
        <f>IF($A501="","",IF(N('Daily Data'!$I501)&lt;0,"ERROR","OK"))</f>
        <v/>
      </c>
      <c r="J501" s="165" t="str">
        <f>IF($A501="","",IF(N('Daily Data'!$L501)&lt;0,"ERROR","OK"))</f>
        <v/>
      </c>
      <c r="K501" s="165" t="str">
        <f>IF($A501="","",IF(N('Daily Data'!$M501)&lt;0,"ERROR","OK"))</f>
        <v/>
      </c>
      <c r="L501" s="165" t="str">
        <f>IF($A501="","",IF(OR(N('Daily Data'!$F501)=0,N('Daily Data'!$G501)=0),"OK",IF(OR(N('Daily Data'!$E501)&gt;N('Daily Data'!$F501),N('Daily Data'!$E501)&lt;N('Daily Data'!$G501)),"ERROR","OK")))</f>
        <v/>
      </c>
      <c r="M501" s="165" t="str">
        <f>IF($A501="","",IF(N('Daily Data'!$AK501)&lt;=1,"OK",IF(ROUND(N('Daily Data'!$D501),2)=ROUND(SUMIFS('Daily Data'!$E$4:$E$503,'Daily Data'!$B$4:$B$503,'Daily Data'!$B501,'Daily Data'!$AK$4:$AK$503,'Daily Data'!$AK501-1),2),"OK","WARNING")))</f>
        <v/>
      </c>
      <c r="N501" s="165" t="str">
        <f>IF($A501="","",IF(N('Daily Data'!$N501)&lt;=0,"WARNING","OK"))</f>
        <v/>
      </c>
      <c r="O501" s="165" t="str">
        <f>IF($A501="","",IF(AND(ISNUMBER('Daily Data'!$H501),ABS(N('Daily Data'!$H501))&gt;Settings!$C$56),"WARNING","OK"))</f>
        <v/>
      </c>
      <c r="P501" s="165" t="str">
        <f>IF($A501="","",IF(OR(AND(N('Daily Data'!$K501)=0,N('Daily Data'!$I501)&gt;0),AND(N('Daily Data'!$I501)=0,N('Daily Data'!$K501)&gt;0),AND(N('Daily Data'!$L501)=0,N('Daily Data'!$M501)=0)),"WARNING","OK"))</f>
        <v/>
      </c>
      <c r="Q501" s="165" t="str">
        <f>IF($A501="","",IF(COUNTIFS('Daily Data'!$B$4:$B$503,'Daily Data'!$B501,'Daily Data'!$A$4:$A$503,'Daily Data'!$A501,'Daily Data'!$Q$4:$Q$503,'Daily Data'!$Q501)&gt;1,"WARNING","OK"))</f>
        <v/>
      </c>
      <c r="R501" s="165" t="str">
        <f>IF($A501="","",IF(AND(N('Daily Data'!$K501)&gt;0,N('Daily Data'!$J501)&lt;=0),"WARNING","OK"))</f>
        <v/>
      </c>
      <c r="S501" s="165" t="str">
        <f>IF($A501="","",COUNTIF($D501:$R501,"ERROR"))</f>
        <v/>
      </c>
      <c r="T501" s="165" t="str">
        <f>IF($A501="","",COUNTIF($D501:$R501,"WARNING"))</f>
        <v/>
      </c>
      <c r="U501" s="165" t="str">
        <f>IF($A501="","",IF($S501&gt;0,"ERROR",IF($T501&gt;0,"WARNING","PASS")))</f>
        <v/>
      </c>
    </row>
    <row r="502" spans="1:21" x14ac:dyDescent="0.3">
      <c r="A502" t="str">
        <f>IF(AND('Daily Data'!$A502="",'Daily Data'!$B502=""),"",502)</f>
        <v/>
      </c>
      <c r="B502" s="16" t="str">
        <f>IF($A502="","",'Daily Data'!$A502)</f>
        <v/>
      </c>
      <c r="C502" t="str">
        <f>IF($A502="","",'Daily Data'!$B502)</f>
        <v/>
      </c>
      <c r="D502" s="165" t="str">
        <f>IF($A502="","",IF(COUNTIFS('Daily Data'!$B$4:$B$503,'Daily Data'!$B502,'Daily Data'!$A$4:$A$503,'Daily Data'!$A502)&gt;1,"ERROR","OK"))</f>
        <v/>
      </c>
      <c r="E502" s="165" t="str">
        <f>IF($A502="","",IF('Daily Data'!$B502="","ERROR","OK"))</f>
        <v/>
      </c>
      <c r="F502" s="165" t="str">
        <f>IF($A502="","",IF(NOT(ISNUMBER('Daily Data'!$A502)),"ERROR","OK"))</f>
        <v/>
      </c>
      <c r="G502" s="165" t="str">
        <f>IF($A502="","",IF(OR(N('Daily Data'!$E502)&lt;=0,N('Daily Data'!$C502)&lt;0,N('Daily Data'!$D502)&lt;0,N('Daily Data'!$F502)&lt;0,N('Daily Data'!$G502)&lt;0),"ERROR","OK"))</f>
        <v/>
      </c>
      <c r="H502" s="165" t="str">
        <f>IF($A502="","",IF(N('Daily Data'!$K502)&lt;0,"ERROR","OK"))</f>
        <v/>
      </c>
      <c r="I502" s="165" t="str">
        <f>IF($A502="","",IF(N('Daily Data'!$I502)&lt;0,"ERROR","OK"))</f>
        <v/>
      </c>
      <c r="J502" s="165" t="str">
        <f>IF($A502="","",IF(N('Daily Data'!$L502)&lt;0,"ERROR","OK"))</f>
        <v/>
      </c>
      <c r="K502" s="165" t="str">
        <f>IF($A502="","",IF(N('Daily Data'!$M502)&lt;0,"ERROR","OK"))</f>
        <v/>
      </c>
      <c r="L502" s="165" t="str">
        <f>IF($A502="","",IF(OR(N('Daily Data'!$F502)=0,N('Daily Data'!$G502)=0),"OK",IF(OR(N('Daily Data'!$E502)&gt;N('Daily Data'!$F502),N('Daily Data'!$E502)&lt;N('Daily Data'!$G502)),"ERROR","OK")))</f>
        <v/>
      </c>
      <c r="M502" s="165" t="str">
        <f>IF($A502="","",IF(N('Daily Data'!$AK502)&lt;=1,"OK",IF(ROUND(N('Daily Data'!$D502),2)=ROUND(SUMIFS('Daily Data'!$E$4:$E$503,'Daily Data'!$B$4:$B$503,'Daily Data'!$B502,'Daily Data'!$AK$4:$AK$503,'Daily Data'!$AK502-1),2),"OK","WARNING")))</f>
        <v/>
      </c>
      <c r="N502" s="165" t="str">
        <f>IF($A502="","",IF(N('Daily Data'!$N502)&lt;=0,"WARNING","OK"))</f>
        <v/>
      </c>
      <c r="O502" s="165" t="str">
        <f>IF($A502="","",IF(AND(ISNUMBER('Daily Data'!$H502),ABS(N('Daily Data'!$H502))&gt;Settings!$C$56),"WARNING","OK"))</f>
        <v/>
      </c>
      <c r="P502" s="165" t="str">
        <f>IF($A502="","",IF(OR(AND(N('Daily Data'!$K502)=0,N('Daily Data'!$I502)&gt;0),AND(N('Daily Data'!$I502)=0,N('Daily Data'!$K502)&gt;0),AND(N('Daily Data'!$L502)=0,N('Daily Data'!$M502)=0)),"WARNING","OK"))</f>
        <v/>
      </c>
      <c r="Q502" s="165" t="str">
        <f>IF($A502="","",IF(COUNTIFS('Daily Data'!$B$4:$B$503,'Daily Data'!$B502,'Daily Data'!$A$4:$A$503,'Daily Data'!$A502,'Daily Data'!$Q$4:$Q$503,'Daily Data'!$Q502)&gt;1,"WARNING","OK"))</f>
        <v/>
      </c>
      <c r="R502" s="165" t="str">
        <f>IF($A502="","",IF(AND(N('Daily Data'!$K502)&gt;0,N('Daily Data'!$J502)&lt;=0),"WARNING","OK"))</f>
        <v/>
      </c>
      <c r="S502" s="165" t="str">
        <f>IF($A502="","",COUNTIF($D502:$R502,"ERROR"))</f>
        <v/>
      </c>
      <c r="T502" s="165" t="str">
        <f>IF($A502="","",COUNTIF($D502:$R502,"WARNING"))</f>
        <v/>
      </c>
      <c r="U502" s="165" t="str">
        <f>IF($A502="","",IF($S502&gt;0,"ERROR",IF($T502&gt;0,"WARNING","PASS")))</f>
        <v/>
      </c>
    </row>
    <row r="503" spans="1:21" x14ac:dyDescent="0.3">
      <c r="A503" t="str">
        <f>IF(AND('Daily Data'!$A503="",'Daily Data'!$B503=""),"",503)</f>
        <v/>
      </c>
      <c r="B503" s="16" t="str">
        <f>IF($A503="","",'Daily Data'!$A503)</f>
        <v/>
      </c>
      <c r="C503" t="str">
        <f>IF($A503="","",'Daily Data'!$B503)</f>
        <v/>
      </c>
      <c r="D503" s="165" t="str">
        <f>IF($A503="","",IF(COUNTIFS('Daily Data'!$B$4:$B$503,'Daily Data'!$B503,'Daily Data'!$A$4:$A$503,'Daily Data'!$A503)&gt;1,"ERROR","OK"))</f>
        <v/>
      </c>
      <c r="E503" s="165" t="str">
        <f>IF($A503="","",IF('Daily Data'!$B503="","ERROR","OK"))</f>
        <v/>
      </c>
      <c r="F503" s="165" t="str">
        <f>IF($A503="","",IF(NOT(ISNUMBER('Daily Data'!$A503)),"ERROR","OK"))</f>
        <v/>
      </c>
      <c r="G503" s="165" t="str">
        <f>IF($A503="","",IF(OR(N('Daily Data'!$E503)&lt;=0,N('Daily Data'!$C503)&lt;0,N('Daily Data'!$D503)&lt;0,N('Daily Data'!$F503)&lt;0,N('Daily Data'!$G503)&lt;0),"ERROR","OK"))</f>
        <v/>
      </c>
      <c r="H503" s="165" t="str">
        <f>IF($A503="","",IF(N('Daily Data'!$K503)&lt;0,"ERROR","OK"))</f>
        <v/>
      </c>
      <c r="I503" s="165" t="str">
        <f>IF($A503="","",IF(N('Daily Data'!$I503)&lt;0,"ERROR","OK"))</f>
        <v/>
      </c>
      <c r="J503" s="165" t="str">
        <f>IF($A503="","",IF(N('Daily Data'!$L503)&lt;0,"ERROR","OK"))</f>
        <v/>
      </c>
      <c r="K503" s="165" t="str">
        <f>IF($A503="","",IF(N('Daily Data'!$M503)&lt;0,"ERROR","OK"))</f>
        <v/>
      </c>
      <c r="L503" s="165" t="str">
        <f>IF($A503="","",IF(OR(N('Daily Data'!$F503)=0,N('Daily Data'!$G503)=0),"OK",IF(OR(N('Daily Data'!$E503)&gt;N('Daily Data'!$F503),N('Daily Data'!$E503)&lt;N('Daily Data'!$G503)),"ERROR","OK")))</f>
        <v/>
      </c>
      <c r="M503" s="165" t="str">
        <f>IF($A503="","",IF(N('Daily Data'!$AK503)&lt;=1,"OK",IF(ROUND(N('Daily Data'!$D503),2)=ROUND(SUMIFS('Daily Data'!$E$4:$E$503,'Daily Data'!$B$4:$B$503,'Daily Data'!$B503,'Daily Data'!$AK$4:$AK$503,'Daily Data'!$AK503-1),2),"OK","WARNING")))</f>
        <v/>
      </c>
      <c r="N503" s="165" t="str">
        <f>IF($A503="","",IF(N('Daily Data'!$N503)&lt;=0,"WARNING","OK"))</f>
        <v/>
      </c>
      <c r="O503" s="165" t="str">
        <f>IF($A503="","",IF(AND(ISNUMBER('Daily Data'!$H503),ABS(N('Daily Data'!$H503))&gt;Settings!$C$56),"WARNING","OK"))</f>
        <v/>
      </c>
      <c r="P503" s="165" t="str">
        <f>IF($A503="","",IF(OR(AND(N('Daily Data'!$K503)=0,N('Daily Data'!$I503)&gt;0),AND(N('Daily Data'!$I503)=0,N('Daily Data'!$K503)&gt;0),AND(N('Daily Data'!$L503)=0,N('Daily Data'!$M503)=0)),"WARNING","OK"))</f>
        <v/>
      </c>
      <c r="Q503" s="165" t="str">
        <f>IF($A503="","",IF(COUNTIFS('Daily Data'!$B$4:$B$503,'Daily Data'!$B503,'Daily Data'!$A$4:$A$503,'Daily Data'!$A503,'Daily Data'!$Q$4:$Q$503,'Daily Data'!$Q503)&gt;1,"WARNING","OK"))</f>
        <v/>
      </c>
      <c r="R503" s="165" t="str">
        <f>IF($A503="","",IF(AND(N('Daily Data'!$K503)&gt;0,N('Daily Data'!$J503)&lt;=0),"WARNING","OK"))</f>
        <v/>
      </c>
      <c r="S503" s="165" t="str">
        <f>IF($A503="","",COUNTIF($D503:$R503,"ERROR"))</f>
        <v/>
      </c>
      <c r="T503" s="165" t="str">
        <f>IF($A503="","",COUNTIF($D503:$R503,"WARNING"))</f>
        <v/>
      </c>
      <c r="U503" s="165" t="str">
        <f>IF($A503="","",IF($S503&gt;0,"ERROR",IF($T503&gt;0,"WARNING","PASS")))</f>
        <v/>
      </c>
    </row>
  </sheetData>
  <sheetProtection algorithmName="SHA-512" hashValue="25EzM8fRr6A2vYEDFCWrs05DcW7PgmIInRUXnFoHYc6mUiY/Pf5gICvuyoSnkHP7y+UHXzIAkOgXctpyh9DsXw==" saltValue="Ddh9r5GGQt7xZIgA9mVb3Q==" spinCount="100000" sheet="1" objects="1" scenarios="1" sort="0" autoFilter="0"/>
  <conditionalFormatting sqref="D4:U503">
    <cfRule type="containsText" dxfId="41" priority="1" operator="containsText" text="ERROR">
      <formula>NOT(ISERROR(SEARCH("ERROR",D4)))</formula>
    </cfRule>
  </conditionalFormatting>
  <conditionalFormatting sqref="D4:U503">
    <cfRule type="containsText" dxfId="40" priority="2" operator="containsText" text="WARNING">
      <formula>NOT(ISERROR(SEARCH("WARNING",D4)))</formula>
    </cfRule>
  </conditionalFormatting>
  <conditionalFormatting sqref="D4:U503">
    <cfRule type="containsText" dxfId="39" priority="3" operator="containsText" text="PASS">
      <formula>NOT(ISERROR(SEARCH("PASS",D4)))</formula>
    </cfRule>
  </conditionalFormatting>
  <conditionalFormatting sqref="D4:U503">
    <cfRule type="containsText" dxfId="38" priority="4" operator="containsText" text="OK">
      <formula>NOT(ISERROR(SEARCH("OK",D4)))</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F5E3-365A-4070-880D-DD882B6DF6A8}">
  <dimension ref="A1:E66"/>
  <sheetViews>
    <sheetView workbookViewId="0">
      <pane ySplit="4" topLeftCell="A5" activePane="bottomLeft" state="frozen"/>
      <selection pane="bottomLeft"/>
    </sheetView>
  </sheetViews>
  <sheetFormatPr defaultRowHeight="14.4" x14ac:dyDescent="0.3"/>
  <cols>
    <col min="1" max="1" width="17.5546875" customWidth="1"/>
    <col min="2" max="2" width="15.77734375" customWidth="1"/>
    <col min="3" max="3" width="37" customWidth="1"/>
    <col min="4" max="4" width="11.109375" customWidth="1"/>
    <col min="5" max="5" width="103.6640625" customWidth="1"/>
  </cols>
  <sheetData>
    <row r="1" spans="1:5" ht="21" x14ac:dyDescent="0.4">
      <c r="A1" s="14" t="s">
        <v>717</v>
      </c>
    </row>
    <row r="2" spans="1:5" ht="360" x14ac:dyDescent="0.3">
      <c r="A2" s="192" t="s">
        <v>718</v>
      </c>
    </row>
    <row r="4" spans="1:5" x14ac:dyDescent="0.3">
      <c r="A4" s="15" t="s">
        <v>719</v>
      </c>
      <c r="B4" s="15" t="s">
        <v>720</v>
      </c>
      <c r="C4" s="15" t="s">
        <v>721</v>
      </c>
      <c r="D4" s="15" t="s">
        <v>722</v>
      </c>
      <c r="E4" s="15" t="s">
        <v>723</v>
      </c>
    </row>
    <row r="5" spans="1:5" ht="82.8" x14ac:dyDescent="0.3">
      <c r="A5" s="196" t="s">
        <v>724</v>
      </c>
      <c r="B5" s="196" t="s">
        <v>725</v>
      </c>
      <c r="C5" s="196" t="s">
        <v>147</v>
      </c>
      <c r="D5" s="199" t="s">
        <v>726</v>
      </c>
      <c r="E5" s="196" t="s">
        <v>727</v>
      </c>
    </row>
    <row r="6" spans="1:5" ht="96.6" x14ac:dyDescent="0.3">
      <c r="A6" s="197" t="s">
        <v>724</v>
      </c>
      <c r="B6" s="197" t="s">
        <v>728</v>
      </c>
      <c r="C6" s="197" t="s">
        <v>96</v>
      </c>
      <c r="D6" s="200" t="s">
        <v>726</v>
      </c>
      <c r="E6" s="197" t="s">
        <v>729</v>
      </c>
    </row>
    <row r="7" spans="1:5" ht="27.6" x14ac:dyDescent="0.3">
      <c r="A7" s="197" t="s">
        <v>724</v>
      </c>
      <c r="B7" s="197" t="s">
        <v>730</v>
      </c>
      <c r="C7" s="197" t="s">
        <v>148</v>
      </c>
      <c r="D7" s="200" t="s">
        <v>726</v>
      </c>
      <c r="E7" s="197" t="s">
        <v>731</v>
      </c>
    </row>
    <row r="8" spans="1:5" ht="55.2" x14ac:dyDescent="0.3">
      <c r="A8" s="197" t="s">
        <v>724</v>
      </c>
      <c r="B8" s="197" t="s">
        <v>732</v>
      </c>
      <c r="C8" s="197" t="s">
        <v>149</v>
      </c>
      <c r="D8" s="200" t="s">
        <v>726</v>
      </c>
      <c r="E8" s="197" t="s">
        <v>733</v>
      </c>
    </row>
    <row r="9" spans="1:5" ht="96.6" x14ac:dyDescent="0.3">
      <c r="A9" s="197" t="s">
        <v>724</v>
      </c>
      <c r="B9" s="197" t="s">
        <v>734</v>
      </c>
      <c r="C9" s="197" t="s">
        <v>150</v>
      </c>
      <c r="D9" s="200" t="s">
        <v>726</v>
      </c>
      <c r="E9" s="197" t="s">
        <v>735</v>
      </c>
    </row>
    <row r="10" spans="1:5" ht="27.6" x14ac:dyDescent="0.3">
      <c r="A10" s="197" t="s">
        <v>724</v>
      </c>
      <c r="B10" s="197" t="s">
        <v>736</v>
      </c>
      <c r="C10" s="197" t="s">
        <v>151</v>
      </c>
      <c r="D10" s="200" t="s">
        <v>726</v>
      </c>
      <c r="E10" s="197" t="s">
        <v>737</v>
      </c>
    </row>
    <row r="11" spans="1:5" ht="27.6" x14ac:dyDescent="0.3">
      <c r="A11" s="197" t="s">
        <v>724</v>
      </c>
      <c r="B11" s="197" t="s">
        <v>738</v>
      </c>
      <c r="C11" s="197" t="s">
        <v>152</v>
      </c>
      <c r="D11" s="200" t="s">
        <v>726</v>
      </c>
      <c r="E11" s="197" t="s">
        <v>739</v>
      </c>
    </row>
    <row r="12" spans="1:5" ht="41.4" x14ac:dyDescent="0.3">
      <c r="A12" s="197" t="s">
        <v>724</v>
      </c>
      <c r="B12" s="197" t="s">
        <v>740</v>
      </c>
      <c r="C12" s="197" t="s">
        <v>153</v>
      </c>
      <c r="D12" s="200" t="s">
        <v>741</v>
      </c>
      <c r="E12" s="197" t="s">
        <v>742</v>
      </c>
    </row>
    <row r="13" spans="1:5" ht="69" x14ac:dyDescent="0.3">
      <c r="A13" s="197" t="s">
        <v>724</v>
      </c>
      <c r="B13" s="197" t="s">
        <v>743</v>
      </c>
      <c r="C13" s="197" t="s">
        <v>154</v>
      </c>
      <c r="D13" s="200" t="s">
        <v>726</v>
      </c>
      <c r="E13" s="197" t="s">
        <v>744</v>
      </c>
    </row>
    <row r="14" spans="1:5" ht="55.2" x14ac:dyDescent="0.3">
      <c r="A14" s="197" t="s">
        <v>724</v>
      </c>
      <c r="B14" s="197" t="s">
        <v>745</v>
      </c>
      <c r="C14" s="197" t="s">
        <v>155</v>
      </c>
      <c r="D14" s="200" t="s">
        <v>726</v>
      </c>
      <c r="E14" s="197" t="s">
        <v>746</v>
      </c>
    </row>
    <row r="15" spans="1:5" ht="41.4" x14ac:dyDescent="0.3">
      <c r="A15" s="197" t="s">
        <v>724</v>
      </c>
      <c r="B15" s="197" t="s">
        <v>747</v>
      </c>
      <c r="C15" s="197" t="s">
        <v>156</v>
      </c>
      <c r="D15" s="200" t="s">
        <v>726</v>
      </c>
      <c r="E15" s="197" t="s">
        <v>748</v>
      </c>
    </row>
    <row r="16" spans="1:5" ht="110.4" x14ac:dyDescent="0.3">
      <c r="A16" s="197" t="s">
        <v>724</v>
      </c>
      <c r="B16" s="197" t="s">
        <v>749</v>
      </c>
      <c r="C16" s="197" t="s">
        <v>157</v>
      </c>
      <c r="D16" s="200" t="s">
        <v>726</v>
      </c>
      <c r="E16" s="197" t="s">
        <v>750</v>
      </c>
    </row>
    <row r="17" spans="1:5" ht="110.4" x14ac:dyDescent="0.3">
      <c r="A17" s="197" t="s">
        <v>724</v>
      </c>
      <c r="B17" s="197" t="s">
        <v>751</v>
      </c>
      <c r="C17" s="197" t="s">
        <v>158</v>
      </c>
      <c r="D17" s="200" t="s">
        <v>726</v>
      </c>
      <c r="E17" s="197" t="s">
        <v>752</v>
      </c>
    </row>
    <row r="18" spans="1:5" ht="110.4" x14ac:dyDescent="0.3">
      <c r="A18" s="197" t="s">
        <v>724</v>
      </c>
      <c r="B18" s="197" t="s">
        <v>753</v>
      </c>
      <c r="C18" s="197" t="s">
        <v>159</v>
      </c>
      <c r="D18" s="200" t="s">
        <v>726</v>
      </c>
      <c r="E18" s="197" t="s">
        <v>754</v>
      </c>
    </row>
    <row r="19" spans="1:5" ht="151.80000000000001" x14ac:dyDescent="0.3">
      <c r="A19" s="197" t="s">
        <v>724</v>
      </c>
      <c r="B19" s="197" t="s">
        <v>755</v>
      </c>
      <c r="C19" s="197" t="s">
        <v>160</v>
      </c>
      <c r="D19" s="200" t="s">
        <v>726</v>
      </c>
      <c r="E19" s="197" t="s">
        <v>756</v>
      </c>
    </row>
    <row r="20" spans="1:5" ht="55.2" x14ac:dyDescent="0.3">
      <c r="A20" s="197" t="s">
        <v>724</v>
      </c>
      <c r="B20" s="197" t="s">
        <v>757</v>
      </c>
      <c r="C20" s="197" t="s">
        <v>161</v>
      </c>
      <c r="D20" s="200" t="s">
        <v>726</v>
      </c>
      <c r="E20" s="197" t="s">
        <v>758</v>
      </c>
    </row>
    <row r="21" spans="1:5" ht="82.8" x14ac:dyDescent="0.3">
      <c r="A21" s="197" t="s">
        <v>724</v>
      </c>
      <c r="B21" s="197" t="s">
        <v>759</v>
      </c>
      <c r="C21" s="197" t="s">
        <v>162</v>
      </c>
      <c r="D21" s="200" t="s">
        <v>726</v>
      </c>
      <c r="E21" s="197" t="s">
        <v>760</v>
      </c>
    </row>
    <row r="22" spans="1:5" ht="110.4" x14ac:dyDescent="0.3">
      <c r="A22" s="197" t="s">
        <v>724</v>
      </c>
      <c r="B22" s="197" t="s">
        <v>761</v>
      </c>
      <c r="C22" s="197" t="s">
        <v>163</v>
      </c>
      <c r="D22" s="200" t="s">
        <v>741</v>
      </c>
      <c r="E22" s="197" t="s">
        <v>762</v>
      </c>
    </row>
    <row r="23" spans="1:5" ht="124.2" x14ac:dyDescent="0.3">
      <c r="A23" s="197" t="s">
        <v>724</v>
      </c>
      <c r="B23" s="197" t="s">
        <v>763</v>
      </c>
      <c r="C23" s="197" t="s">
        <v>164</v>
      </c>
      <c r="D23" s="200" t="s">
        <v>741</v>
      </c>
      <c r="E23" s="197" t="s">
        <v>764</v>
      </c>
    </row>
    <row r="24" spans="1:5" ht="55.2" x14ac:dyDescent="0.3">
      <c r="A24" s="197" t="s">
        <v>724</v>
      </c>
      <c r="B24" s="197" t="s">
        <v>765</v>
      </c>
      <c r="C24" s="197" t="s">
        <v>165</v>
      </c>
      <c r="D24" s="200" t="s">
        <v>741</v>
      </c>
      <c r="E24" s="197" t="s">
        <v>766</v>
      </c>
    </row>
    <row r="25" spans="1:5" ht="55.2" x14ac:dyDescent="0.3">
      <c r="A25" s="197" t="s">
        <v>724</v>
      </c>
      <c r="B25" s="197" t="s">
        <v>767</v>
      </c>
      <c r="C25" s="197" t="s">
        <v>166</v>
      </c>
      <c r="D25" s="200" t="s">
        <v>741</v>
      </c>
      <c r="E25" s="197" t="s">
        <v>768</v>
      </c>
    </row>
    <row r="26" spans="1:5" ht="41.4" x14ac:dyDescent="0.3">
      <c r="A26" s="197" t="s">
        <v>724</v>
      </c>
      <c r="B26" s="197" t="s">
        <v>769</v>
      </c>
      <c r="C26" s="197" t="s">
        <v>770</v>
      </c>
      <c r="D26" s="200" t="s">
        <v>741</v>
      </c>
      <c r="E26" s="197" t="s">
        <v>771</v>
      </c>
    </row>
    <row r="27" spans="1:5" ht="55.2" x14ac:dyDescent="0.3">
      <c r="A27" s="197" t="s">
        <v>724</v>
      </c>
      <c r="B27" s="197" t="s">
        <v>772</v>
      </c>
      <c r="C27" s="197" t="s">
        <v>773</v>
      </c>
      <c r="D27" s="200" t="s">
        <v>741</v>
      </c>
      <c r="E27" s="197" t="s">
        <v>774</v>
      </c>
    </row>
    <row r="28" spans="1:5" ht="41.4" x14ac:dyDescent="0.3">
      <c r="A28" s="197" t="s">
        <v>724</v>
      </c>
      <c r="B28" s="197" t="s">
        <v>775</v>
      </c>
      <c r="C28" s="197" t="s">
        <v>169</v>
      </c>
      <c r="D28" s="200" t="s">
        <v>741</v>
      </c>
      <c r="E28" s="197" t="s">
        <v>776</v>
      </c>
    </row>
    <row r="29" spans="1:5" ht="41.4" x14ac:dyDescent="0.3">
      <c r="A29" s="197" t="s">
        <v>724</v>
      </c>
      <c r="B29" s="197" t="s">
        <v>777</v>
      </c>
      <c r="C29" s="197" t="s">
        <v>170</v>
      </c>
      <c r="D29" s="200" t="s">
        <v>741</v>
      </c>
      <c r="E29" s="197" t="s">
        <v>778</v>
      </c>
    </row>
    <row r="30" spans="1:5" ht="165.6" x14ac:dyDescent="0.3">
      <c r="A30" s="197" t="s">
        <v>724</v>
      </c>
      <c r="B30" s="197" t="s">
        <v>779</v>
      </c>
      <c r="C30" s="197" t="s">
        <v>171</v>
      </c>
      <c r="D30" s="200" t="s">
        <v>741</v>
      </c>
      <c r="E30" s="197" t="s">
        <v>780</v>
      </c>
    </row>
    <row r="31" spans="1:5" ht="110.4" x14ac:dyDescent="0.3">
      <c r="A31" s="197" t="s">
        <v>724</v>
      </c>
      <c r="B31" s="197" t="s">
        <v>781</v>
      </c>
      <c r="C31" s="197" t="s">
        <v>172</v>
      </c>
      <c r="D31" s="200" t="s">
        <v>741</v>
      </c>
      <c r="E31" s="197" t="s">
        <v>782</v>
      </c>
    </row>
    <row r="32" spans="1:5" ht="124.2" x14ac:dyDescent="0.3">
      <c r="A32" s="197" t="s">
        <v>724</v>
      </c>
      <c r="B32" s="197" t="s">
        <v>783</v>
      </c>
      <c r="C32" s="197" t="s">
        <v>173</v>
      </c>
      <c r="D32" s="200" t="s">
        <v>741</v>
      </c>
      <c r="E32" s="197" t="s">
        <v>784</v>
      </c>
    </row>
    <row r="33" spans="1:5" ht="69" x14ac:dyDescent="0.3">
      <c r="A33" s="197" t="s">
        <v>724</v>
      </c>
      <c r="B33" s="197" t="s">
        <v>785</v>
      </c>
      <c r="C33" s="197" t="s">
        <v>174</v>
      </c>
      <c r="D33" s="200" t="s">
        <v>741</v>
      </c>
      <c r="E33" s="197" t="s">
        <v>786</v>
      </c>
    </row>
    <row r="34" spans="1:5" ht="69" x14ac:dyDescent="0.3">
      <c r="A34" s="197" t="s">
        <v>724</v>
      </c>
      <c r="B34" s="197" t="s">
        <v>787</v>
      </c>
      <c r="C34" s="197" t="s">
        <v>175</v>
      </c>
      <c r="D34" s="200" t="s">
        <v>741</v>
      </c>
      <c r="E34" s="197" t="s">
        <v>788</v>
      </c>
    </row>
    <row r="35" spans="1:5" ht="69" x14ac:dyDescent="0.3">
      <c r="A35" s="197" t="s">
        <v>724</v>
      </c>
      <c r="B35" s="197" t="s">
        <v>789</v>
      </c>
      <c r="C35" s="197" t="s">
        <v>176</v>
      </c>
      <c r="D35" s="200" t="s">
        <v>741</v>
      </c>
      <c r="E35" s="197" t="s">
        <v>790</v>
      </c>
    </row>
    <row r="36" spans="1:5" ht="41.4" x14ac:dyDescent="0.3">
      <c r="A36" s="197" t="s">
        <v>724</v>
      </c>
      <c r="B36" s="197" t="s">
        <v>791</v>
      </c>
      <c r="C36" s="197" t="s">
        <v>177</v>
      </c>
      <c r="D36" s="200" t="s">
        <v>741</v>
      </c>
      <c r="E36" s="197" t="s">
        <v>792</v>
      </c>
    </row>
    <row r="37" spans="1:5" ht="110.4" x14ac:dyDescent="0.3">
      <c r="A37" s="197" t="s">
        <v>724</v>
      </c>
      <c r="B37" s="197" t="s">
        <v>793</v>
      </c>
      <c r="C37" s="197" t="s">
        <v>178</v>
      </c>
      <c r="D37" s="200" t="s">
        <v>741</v>
      </c>
      <c r="E37" s="197" t="s">
        <v>794</v>
      </c>
    </row>
    <row r="38" spans="1:5" ht="96.6" x14ac:dyDescent="0.3">
      <c r="A38" s="197" t="s">
        <v>724</v>
      </c>
      <c r="B38" s="197" t="s">
        <v>795</v>
      </c>
      <c r="C38" s="197" t="s">
        <v>179</v>
      </c>
      <c r="D38" s="200" t="s">
        <v>741</v>
      </c>
      <c r="E38" s="197" t="s">
        <v>796</v>
      </c>
    </row>
    <row r="39" spans="1:5" ht="82.8" x14ac:dyDescent="0.3">
      <c r="A39" s="197" t="s">
        <v>724</v>
      </c>
      <c r="B39" s="197" t="s">
        <v>797</v>
      </c>
      <c r="C39" s="197" t="s">
        <v>180</v>
      </c>
      <c r="D39" s="200" t="s">
        <v>741</v>
      </c>
      <c r="E39" s="197" t="s">
        <v>798</v>
      </c>
    </row>
    <row r="40" spans="1:5" ht="110.4" x14ac:dyDescent="0.3">
      <c r="A40" s="197" t="s">
        <v>724</v>
      </c>
      <c r="B40" s="197" t="s">
        <v>799</v>
      </c>
      <c r="C40" s="197" t="s">
        <v>181</v>
      </c>
      <c r="D40" s="200" t="s">
        <v>741</v>
      </c>
      <c r="E40" s="197" t="s">
        <v>800</v>
      </c>
    </row>
    <row r="41" spans="1:5" ht="138" x14ac:dyDescent="0.3">
      <c r="A41" s="197" t="s">
        <v>724</v>
      </c>
      <c r="B41" s="197" t="s">
        <v>801</v>
      </c>
      <c r="C41" s="197" t="s">
        <v>182</v>
      </c>
      <c r="D41" s="200" t="s">
        <v>741</v>
      </c>
      <c r="E41" s="197" t="s">
        <v>802</v>
      </c>
    </row>
    <row r="42" spans="1:5" ht="27.6" x14ac:dyDescent="0.3">
      <c r="A42" s="197" t="s">
        <v>724</v>
      </c>
      <c r="B42" s="197" t="s">
        <v>803</v>
      </c>
      <c r="C42" s="197" t="s">
        <v>183</v>
      </c>
      <c r="D42" s="200" t="s">
        <v>741</v>
      </c>
      <c r="E42" s="197" t="s">
        <v>804</v>
      </c>
    </row>
    <row r="43" spans="1:5" ht="82.8" x14ac:dyDescent="0.3">
      <c r="A43" s="197" t="s">
        <v>724</v>
      </c>
      <c r="B43" s="197" t="s">
        <v>805</v>
      </c>
      <c r="C43" s="197" t="s">
        <v>184</v>
      </c>
      <c r="D43" s="200" t="s">
        <v>741</v>
      </c>
      <c r="E43" s="197" t="s">
        <v>806</v>
      </c>
    </row>
    <row r="44" spans="1:5" ht="69" x14ac:dyDescent="0.3">
      <c r="A44" s="197" t="s">
        <v>724</v>
      </c>
      <c r="B44" s="197" t="s">
        <v>807</v>
      </c>
      <c r="C44" s="197" t="s">
        <v>185</v>
      </c>
      <c r="D44" s="200" t="s">
        <v>741</v>
      </c>
      <c r="E44" s="197" t="s">
        <v>808</v>
      </c>
    </row>
    <row r="45" spans="1:5" ht="124.2" x14ac:dyDescent="0.3">
      <c r="A45" s="197" t="s">
        <v>724</v>
      </c>
      <c r="B45" s="197" t="s">
        <v>809</v>
      </c>
      <c r="C45" s="197" t="s">
        <v>810</v>
      </c>
      <c r="D45" s="200" t="s">
        <v>741</v>
      </c>
      <c r="E45" s="197" t="s">
        <v>811</v>
      </c>
    </row>
    <row r="46" spans="1:5" ht="96.6" x14ac:dyDescent="0.3">
      <c r="A46" s="197" t="s">
        <v>724</v>
      </c>
      <c r="B46" s="197" t="s">
        <v>812</v>
      </c>
      <c r="C46" s="197" t="s">
        <v>813</v>
      </c>
      <c r="D46" s="200" t="s">
        <v>741</v>
      </c>
      <c r="E46" s="197" t="s">
        <v>814</v>
      </c>
    </row>
    <row r="47" spans="1:5" ht="69" x14ac:dyDescent="0.3">
      <c r="A47" s="197" t="s">
        <v>724</v>
      </c>
      <c r="B47" s="197" t="s">
        <v>815</v>
      </c>
      <c r="C47" s="197" t="s">
        <v>816</v>
      </c>
      <c r="D47" s="200" t="s">
        <v>741</v>
      </c>
      <c r="E47" s="197" t="s">
        <v>817</v>
      </c>
    </row>
    <row r="48" spans="1:5" ht="96.6" x14ac:dyDescent="0.3">
      <c r="A48" s="197" t="s">
        <v>724</v>
      </c>
      <c r="B48" s="197" t="s">
        <v>818</v>
      </c>
      <c r="C48" s="197" t="s">
        <v>819</v>
      </c>
      <c r="D48" s="200" t="s">
        <v>741</v>
      </c>
      <c r="E48" s="197" t="s">
        <v>820</v>
      </c>
    </row>
    <row r="49" spans="1:5" ht="110.4" x14ac:dyDescent="0.3">
      <c r="A49" s="197" t="s">
        <v>724</v>
      </c>
      <c r="B49" s="197" t="s">
        <v>821</v>
      </c>
      <c r="C49" s="197" t="s">
        <v>822</v>
      </c>
      <c r="D49" s="200" t="s">
        <v>741</v>
      </c>
      <c r="E49" s="197" t="s">
        <v>823</v>
      </c>
    </row>
    <row r="50" spans="1:5" ht="110.4" x14ac:dyDescent="0.3">
      <c r="A50" s="197" t="s">
        <v>724</v>
      </c>
      <c r="B50" s="197" t="s">
        <v>824</v>
      </c>
      <c r="C50" s="197" t="s">
        <v>825</v>
      </c>
      <c r="D50" s="200" t="s">
        <v>741</v>
      </c>
      <c r="E50" s="197" t="s">
        <v>826</v>
      </c>
    </row>
    <row r="51" spans="1:5" ht="165.6" x14ac:dyDescent="0.3">
      <c r="A51" s="197" t="s">
        <v>724</v>
      </c>
      <c r="B51" s="197" t="s">
        <v>827</v>
      </c>
      <c r="C51" s="197" t="s">
        <v>192</v>
      </c>
      <c r="D51" s="200" t="s">
        <v>741</v>
      </c>
      <c r="E51" s="197" t="s">
        <v>828</v>
      </c>
    </row>
    <row r="52" spans="1:5" ht="138" x14ac:dyDescent="0.3">
      <c r="A52" s="197" t="s">
        <v>724</v>
      </c>
      <c r="B52" s="197" t="s">
        <v>829</v>
      </c>
      <c r="C52" s="197" t="s">
        <v>267</v>
      </c>
      <c r="D52" s="200" t="s">
        <v>741</v>
      </c>
      <c r="E52" s="197" t="s">
        <v>830</v>
      </c>
    </row>
    <row r="53" spans="1:5" ht="193.2" x14ac:dyDescent="0.3">
      <c r="A53" s="197" t="s">
        <v>831</v>
      </c>
      <c r="B53" s="197" t="s">
        <v>832</v>
      </c>
      <c r="C53" s="197" t="s">
        <v>833</v>
      </c>
      <c r="D53" s="200" t="s">
        <v>834</v>
      </c>
      <c r="E53" s="197" t="s">
        <v>835</v>
      </c>
    </row>
    <row r="54" spans="1:5" ht="165.6" x14ac:dyDescent="0.3">
      <c r="A54" s="197" t="s">
        <v>836</v>
      </c>
      <c r="B54" s="197" t="s">
        <v>837</v>
      </c>
      <c r="C54" s="197" t="s">
        <v>20</v>
      </c>
      <c r="D54" s="200" t="s">
        <v>838</v>
      </c>
      <c r="E54" s="197" t="s">
        <v>839</v>
      </c>
    </row>
    <row r="55" spans="1:5" ht="82.8" x14ac:dyDescent="0.3">
      <c r="A55" s="197" t="s">
        <v>836</v>
      </c>
      <c r="B55" s="197" t="s">
        <v>840</v>
      </c>
      <c r="C55" s="197" t="s">
        <v>841</v>
      </c>
      <c r="D55" s="200" t="s">
        <v>838</v>
      </c>
      <c r="E55" s="197" t="s">
        <v>842</v>
      </c>
    </row>
    <row r="56" spans="1:5" ht="82.8" x14ac:dyDescent="0.3">
      <c r="A56" s="197" t="s">
        <v>836</v>
      </c>
      <c r="B56" s="197" t="s">
        <v>843</v>
      </c>
      <c r="C56" s="197" t="s">
        <v>844</v>
      </c>
      <c r="D56" s="200" t="s">
        <v>838</v>
      </c>
      <c r="E56" s="197" t="s">
        <v>845</v>
      </c>
    </row>
    <row r="57" spans="1:5" ht="124.2" x14ac:dyDescent="0.3">
      <c r="A57" s="197" t="s">
        <v>836</v>
      </c>
      <c r="B57" s="197" t="s">
        <v>846</v>
      </c>
      <c r="C57" s="197" t="s">
        <v>847</v>
      </c>
      <c r="D57" s="200" t="s">
        <v>838</v>
      </c>
      <c r="E57" s="197" t="s">
        <v>848</v>
      </c>
    </row>
    <row r="58" spans="1:5" ht="151.80000000000001" x14ac:dyDescent="0.3">
      <c r="A58" s="197" t="s">
        <v>836</v>
      </c>
      <c r="B58" s="197" t="s">
        <v>849</v>
      </c>
      <c r="C58" s="197" t="s">
        <v>850</v>
      </c>
      <c r="D58" s="200" t="s">
        <v>838</v>
      </c>
      <c r="E58" s="197" t="s">
        <v>851</v>
      </c>
    </row>
    <row r="59" spans="1:5" ht="110.4" x14ac:dyDescent="0.3">
      <c r="A59" s="197" t="s">
        <v>836</v>
      </c>
      <c r="B59" s="197" t="s">
        <v>852</v>
      </c>
      <c r="C59" s="197" t="s">
        <v>853</v>
      </c>
      <c r="D59" s="200" t="s">
        <v>838</v>
      </c>
      <c r="E59" s="197" t="s">
        <v>854</v>
      </c>
    </row>
    <row r="60" spans="1:5" ht="165.6" x14ac:dyDescent="0.3">
      <c r="A60" s="197" t="s">
        <v>836</v>
      </c>
      <c r="B60" s="197" t="s">
        <v>855</v>
      </c>
      <c r="C60" s="197" t="s">
        <v>856</v>
      </c>
      <c r="D60" s="200" t="s">
        <v>838</v>
      </c>
      <c r="E60" s="197" t="s">
        <v>857</v>
      </c>
    </row>
    <row r="61" spans="1:5" ht="69" x14ac:dyDescent="0.3">
      <c r="A61" s="197" t="s">
        <v>836</v>
      </c>
      <c r="B61" s="197" t="s">
        <v>858</v>
      </c>
      <c r="C61" s="197" t="s">
        <v>859</v>
      </c>
      <c r="D61" s="200" t="s">
        <v>838</v>
      </c>
      <c r="E61" s="197" t="s">
        <v>860</v>
      </c>
    </row>
    <row r="62" spans="1:5" ht="82.8" x14ac:dyDescent="0.3">
      <c r="A62" s="197" t="s">
        <v>836</v>
      </c>
      <c r="B62" s="197" t="s">
        <v>861</v>
      </c>
      <c r="C62" s="197" t="s">
        <v>862</v>
      </c>
      <c r="D62" s="200" t="s">
        <v>838</v>
      </c>
      <c r="E62" s="197" t="s">
        <v>863</v>
      </c>
    </row>
    <row r="63" spans="1:5" ht="110.4" x14ac:dyDescent="0.3">
      <c r="A63" s="197" t="s">
        <v>836</v>
      </c>
      <c r="B63" s="197" t="s">
        <v>864</v>
      </c>
      <c r="C63" s="197" t="s">
        <v>865</v>
      </c>
      <c r="D63" s="200" t="s">
        <v>838</v>
      </c>
      <c r="E63" s="197" t="s">
        <v>866</v>
      </c>
    </row>
    <row r="64" spans="1:5" ht="138" x14ac:dyDescent="0.3">
      <c r="A64" s="197" t="s">
        <v>836</v>
      </c>
      <c r="B64" s="197" t="s">
        <v>867</v>
      </c>
      <c r="C64" s="197" t="s">
        <v>868</v>
      </c>
      <c r="D64" s="200" t="s">
        <v>838</v>
      </c>
      <c r="E64" s="197" t="s">
        <v>869</v>
      </c>
    </row>
    <row r="65" spans="1:5" ht="55.2" x14ac:dyDescent="0.3">
      <c r="A65" s="197" t="s">
        <v>870</v>
      </c>
      <c r="B65" s="197" t="s">
        <v>871</v>
      </c>
      <c r="C65" s="197" t="s">
        <v>872</v>
      </c>
      <c r="D65" s="200" t="s">
        <v>741</v>
      </c>
      <c r="E65" s="197" t="s">
        <v>873</v>
      </c>
    </row>
    <row r="66" spans="1:5" ht="110.4" x14ac:dyDescent="0.3">
      <c r="A66" s="198" t="s">
        <v>870</v>
      </c>
      <c r="B66" s="198" t="s">
        <v>767</v>
      </c>
      <c r="C66" s="198" t="s">
        <v>333</v>
      </c>
      <c r="D66" s="201" t="s">
        <v>741</v>
      </c>
      <c r="E66" s="198" t="s">
        <v>874</v>
      </c>
    </row>
  </sheetData>
  <sheetProtection algorithmName="SHA-512" hashValue="XdeemySiawQjbS/4PwcRCiApeY1jVTPhm19fI/kKA1h7dklj+1/havNJGWGFuPS1xihdQLXgYkmML1vZeyavVA==" saltValue="Wc3YMa2e/pFP7cLMFVtRlw==" spinCount="100000" sheet="1" objects="1" scenarios="1" sort="0" autoFilter="0"/>
  <conditionalFormatting sqref="D5:D66">
    <cfRule type="containsText" dxfId="37" priority="1" operator="containsText" text="CALC">
      <formula>NOT(ISERROR(SEARCH("CALC",D5)))</formula>
    </cfRule>
  </conditionalFormatting>
  <conditionalFormatting sqref="D5:D66">
    <cfRule type="containsText" dxfId="36" priority="2" operator="containsText" text="INPUT">
      <formula>NOT(ISERROR(SEARCH("INPUT",D5)))</formula>
    </cfRule>
  </conditionalFormatting>
  <conditionalFormatting sqref="D5:D66">
    <cfRule type="containsText" dxfId="35" priority="3" operator="containsText" text="RAW">
      <formula>NOT(ISERROR(SEARCH("RAW",D5)))</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1D60-9956-4889-8700-9D61AEA77289}">
  <dimension ref="A1:M60"/>
  <sheetViews>
    <sheetView workbookViewId="0">
      <pane ySplit="1" topLeftCell="A2" activePane="bottomLeft" state="frozen"/>
      <selection pane="bottomLeft"/>
    </sheetView>
  </sheetViews>
  <sheetFormatPr defaultRowHeight="14.4" x14ac:dyDescent="0.3"/>
  <cols>
    <col min="1" max="1" width="20.33203125" customWidth="1"/>
    <col min="2" max="2" width="16.6640625" customWidth="1"/>
    <col min="3" max="13" width="19.44140625" customWidth="1"/>
  </cols>
  <sheetData>
    <row r="1" spans="1:13" ht="21" x14ac:dyDescent="0.4">
      <c r="A1" s="14" t="s">
        <v>707</v>
      </c>
    </row>
    <row r="2" spans="1:13" ht="409.6" x14ac:dyDescent="0.3">
      <c r="A2" s="192" t="s">
        <v>708</v>
      </c>
    </row>
    <row r="4" spans="1:13" ht="42" customHeight="1" x14ac:dyDescent="0.3">
      <c r="A4" s="21" t="s">
        <v>147</v>
      </c>
      <c r="B4" s="21" t="s">
        <v>96</v>
      </c>
      <c r="C4" s="21" t="s">
        <v>148</v>
      </c>
      <c r="D4" s="21" t="s">
        <v>149</v>
      </c>
      <c r="E4" s="21" t="s">
        <v>150</v>
      </c>
      <c r="F4" s="21" t="s">
        <v>151</v>
      </c>
      <c r="G4" s="21" t="s">
        <v>152</v>
      </c>
      <c r="H4" s="21" t="s">
        <v>154</v>
      </c>
      <c r="I4" s="21" t="s">
        <v>155</v>
      </c>
      <c r="J4" s="21" t="s">
        <v>156</v>
      </c>
      <c r="K4" s="21" t="s">
        <v>157</v>
      </c>
      <c r="L4" s="21" t="s">
        <v>158</v>
      </c>
      <c r="M4" s="21" t="s">
        <v>159</v>
      </c>
    </row>
    <row r="5" spans="1:13" x14ac:dyDescent="0.3">
      <c r="A5" s="274">
        <v>46245</v>
      </c>
      <c r="B5" s="275" t="s">
        <v>23</v>
      </c>
      <c r="C5" s="276">
        <v>2333</v>
      </c>
      <c r="D5" s="276">
        <v>2333</v>
      </c>
      <c r="E5" s="276">
        <v>2600</v>
      </c>
      <c r="F5" s="276">
        <v>2600</v>
      </c>
      <c r="G5" s="276">
        <v>2333</v>
      </c>
      <c r="H5" s="277">
        <v>1442616130</v>
      </c>
      <c r="I5" s="277">
        <v>413</v>
      </c>
      <c r="J5" s="277">
        <v>553818</v>
      </c>
      <c r="K5" s="277">
        <v>435736</v>
      </c>
      <c r="L5" s="277">
        <v>138838</v>
      </c>
      <c r="M5" s="277">
        <v>6790780318400</v>
      </c>
    </row>
    <row r="6" spans="1:13" x14ac:dyDescent="0.3">
      <c r="A6" s="274">
        <v>46245</v>
      </c>
      <c r="B6" s="275" t="s">
        <v>28</v>
      </c>
      <c r="C6" s="276">
        <v>16563</v>
      </c>
      <c r="D6" s="276">
        <v>16563</v>
      </c>
      <c r="E6" s="276">
        <v>17600</v>
      </c>
      <c r="F6" s="276">
        <v>17600</v>
      </c>
      <c r="G6" s="276">
        <v>16563</v>
      </c>
      <c r="H6" s="277">
        <v>2026478370</v>
      </c>
      <c r="I6" s="277">
        <v>297</v>
      </c>
      <c r="J6" s="277">
        <v>115239</v>
      </c>
      <c r="K6" s="277">
        <v>11414</v>
      </c>
      <c r="L6" s="277">
        <v>58384</v>
      </c>
      <c r="M6" s="277">
        <v>8800000000000</v>
      </c>
    </row>
    <row r="7" spans="1:13" x14ac:dyDescent="0.3">
      <c r="A7" s="278"/>
      <c r="B7" s="278"/>
      <c r="C7" s="278"/>
      <c r="D7" s="278"/>
      <c r="E7" s="278"/>
      <c r="F7" s="278"/>
      <c r="G7" s="278"/>
      <c r="H7" s="278"/>
      <c r="I7" s="278"/>
      <c r="J7" s="278"/>
      <c r="K7" s="278"/>
      <c r="L7" s="278"/>
      <c r="M7" s="278"/>
    </row>
    <row r="8" spans="1:13" x14ac:dyDescent="0.3">
      <c r="A8" s="279" t="s">
        <v>709</v>
      </c>
      <c r="B8" s="278"/>
      <c r="C8" s="278"/>
      <c r="D8" s="278"/>
      <c r="E8" s="278"/>
      <c r="F8" s="278"/>
      <c r="G8" s="278"/>
      <c r="H8" s="278"/>
      <c r="I8" s="278"/>
      <c r="J8" s="278"/>
      <c r="K8" s="278"/>
      <c r="L8" s="278"/>
      <c r="M8" s="278"/>
    </row>
    <row r="9" spans="1:13" ht="144" x14ac:dyDescent="0.3">
      <c r="A9" s="280" t="s">
        <v>710</v>
      </c>
      <c r="B9" s="278"/>
      <c r="C9" s="278"/>
      <c r="D9" s="278"/>
      <c r="E9" s="278"/>
      <c r="F9" s="278"/>
      <c r="G9" s="278"/>
      <c r="H9" s="278"/>
      <c r="I9" s="278"/>
      <c r="J9" s="278"/>
      <c r="K9" s="278"/>
      <c r="L9" s="278"/>
      <c r="M9" s="278"/>
    </row>
    <row r="10" spans="1:13" ht="288" x14ac:dyDescent="0.3">
      <c r="A10" s="280" t="s">
        <v>711</v>
      </c>
      <c r="B10" s="278"/>
      <c r="C10" s="278"/>
      <c r="D10" s="278"/>
      <c r="E10" s="278"/>
      <c r="F10" s="278"/>
      <c r="G10" s="278"/>
      <c r="H10" s="278"/>
      <c r="I10" s="278"/>
      <c r="J10" s="278"/>
      <c r="K10" s="278"/>
      <c r="L10" s="278"/>
      <c r="M10" s="278"/>
    </row>
    <row r="11" spans="1:13" ht="187.2" x14ac:dyDescent="0.3">
      <c r="A11" s="280" t="s">
        <v>712</v>
      </c>
      <c r="B11" s="278"/>
      <c r="C11" s="278"/>
      <c r="D11" s="278"/>
      <c r="E11" s="278"/>
      <c r="F11" s="278"/>
      <c r="G11" s="278"/>
      <c r="H11" s="278"/>
      <c r="I11" s="278"/>
      <c r="J11" s="278"/>
      <c r="K11" s="278"/>
      <c r="L11" s="278"/>
      <c r="M11" s="278"/>
    </row>
    <row r="12" spans="1:13" ht="259.2" x14ac:dyDescent="0.3">
      <c r="A12" s="280" t="s">
        <v>713</v>
      </c>
      <c r="B12" s="278"/>
      <c r="C12" s="278"/>
      <c r="D12" s="278"/>
      <c r="E12" s="278"/>
      <c r="F12" s="278"/>
      <c r="G12" s="278"/>
      <c r="H12" s="278"/>
      <c r="I12" s="278"/>
      <c r="J12" s="278"/>
      <c r="K12" s="278"/>
      <c r="L12" s="278"/>
      <c r="M12" s="278"/>
    </row>
    <row r="13" spans="1:13" ht="302.39999999999998" x14ac:dyDescent="0.3">
      <c r="A13" s="280" t="s">
        <v>714</v>
      </c>
      <c r="B13" s="278"/>
      <c r="C13" s="278"/>
      <c r="D13" s="278"/>
      <c r="E13" s="278"/>
      <c r="F13" s="278"/>
      <c r="G13" s="278"/>
      <c r="H13" s="278"/>
      <c r="I13" s="278"/>
      <c r="J13" s="278"/>
      <c r="K13" s="278"/>
      <c r="L13" s="278"/>
      <c r="M13" s="278"/>
    </row>
    <row r="14" spans="1:13" ht="187.2" x14ac:dyDescent="0.3">
      <c r="A14" s="280" t="s">
        <v>715</v>
      </c>
      <c r="B14" s="278"/>
      <c r="C14" s="278"/>
      <c r="D14" s="278"/>
      <c r="E14" s="278"/>
      <c r="F14" s="278"/>
      <c r="G14" s="278"/>
      <c r="H14" s="278"/>
      <c r="I14" s="278"/>
      <c r="J14" s="278"/>
      <c r="K14" s="278"/>
      <c r="L14" s="278"/>
      <c r="M14" s="278"/>
    </row>
    <row r="15" spans="1:13" ht="259.2" x14ac:dyDescent="0.3">
      <c r="A15" s="280" t="s">
        <v>716</v>
      </c>
      <c r="B15" s="278"/>
      <c r="C15" s="278"/>
      <c r="D15" s="278"/>
      <c r="E15" s="278"/>
      <c r="F15" s="278"/>
      <c r="G15" s="278"/>
      <c r="H15" s="278"/>
      <c r="I15" s="278"/>
      <c r="J15" s="278"/>
      <c r="K15" s="278"/>
      <c r="L15" s="278"/>
      <c r="M15" s="278"/>
    </row>
    <row r="16" spans="1:13" x14ac:dyDescent="0.3">
      <c r="A16" s="278"/>
      <c r="B16" s="278"/>
      <c r="C16" s="278"/>
      <c r="D16" s="278"/>
      <c r="E16" s="278"/>
      <c r="F16" s="278"/>
      <c r="G16" s="278"/>
      <c r="H16" s="278"/>
      <c r="I16" s="278"/>
      <c r="J16" s="278"/>
      <c r="K16" s="278"/>
      <c r="L16" s="278"/>
      <c r="M16" s="278"/>
    </row>
    <row r="17" spans="1:13" x14ac:dyDescent="0.3">
      <c r="A17" s="278"/>
      <c r="B17" s="278"/>
      <c r="C17" s="278"/>
      <c r="D17" s="278"/>
      <c r="E17" s="278"/>
      <c r="F17" s="278"/>
      <c r="G17" s="278"/>
      <c r="H17" s="278"/>
      <c r="I17" s="278"/>
      <c r="J17" s="278"/>
      <c r="K17" s="278"/>
      <c r="L17" s="278"/>
      <c r="M17" s="278"/>
    </row>
    <row r="18" spans="1:13" x14ac:dyDescent="0.3">
      <c r="A18" s="278"/>
      <c r="B18" s="278"/>
      <c r="C18" s="278"/>
      <c r="D18" s="278"/>
      <c r="E18" s="278"/>
      <c r="F18" s="278"/>
      <c r="G18" s="278"/>
      <c r="H18" s="278"/>
      <c r="I18" s="278"/>
      <c r="J18" s="278"/>
      <c r="K18" s="278"/>
      <c r="L18" s="278"/>
      <c r="M18" s="278"/>
    </row>
    <row r="19" spans="1:13" x14ac:dyDescent="0.3">
      <c r="A19" s="278"/>
      <c r="B19" s="278"/>
      <c r="C19" s="278"/>
      <c r="D19" s="278"/>
      <c r="E19" s="278"/>
      <c r="F19" s="278"/>
      <c r="G19" s="278"/>
      <c r="H19" s="278"/>
      <c r="I19" s="278"/>
      <c r="J19" s="278"/>
      <c r="K19" s="278"/>
      <c r="L19" s="278"/>
      <c r="M19" s="278"/>
    </row>
    <row r="20" spans="1:13" x14ac:dyDescent="0.3">
      <c r="A20" s="278"/>
      <c r="B20" s="278"/>
      <c r="C20" s="278"/>
      <c r="D20" s="278"/>
      <c r="E20" s="278"/>
      <c r="F20" s="278"/>
      <c r="G20" s="278"/>
      <c r="H20" s="278"/>
      <c r="I20" s="278"/>
      <c r="J20" s="278"/>
      <c r="K20" s="278"/>
      <c r="L20" s="278"/>
      <c r="M20" s="278"/>
    </row>
    <row r="21" spans="1:13" x14ac:dyDescent="0.3">
      <c r="A21" s="278"/>
      <c r="B21" s="278"/>
      <c r="C21" s="278"/>
      <c r="D21" s="278"/>
      <c r="E21" s="278"/>
      <c r="F21" s="278"/>
      <c r="G21" s="278"/>
      <c r="H21" s="278"/>
      <c r="I21" s="278"/>
      <c r="J21" s="278"/>
      <c r="K21" s="278"/>
      <c r="L21" s="278"/>
      <c r="M21" s="278"/>
    </row>
    <row r="22" spans="1:13" x14ac:dyDescent="0.3">
      <c r="A22" s="278"/>
      <c r="B22" s="278"/>
      <c r="C22" s="278"/>
      <c r="D22" s="278"/>
      <c r="E22" s="278"/>
      <c r="F22" s="278"/>
      <c r="G22" s="278"/>
      <c r="H22" s="278"/>
      <c r="I22" s="278"/>
      <c r="J22" s="278"/>
      <c r="K22" s="278"/>
      <c r="L22" s="278"/>
      <c r="M22" s="278"/>
    </row>
    <row r="23" spans="1:13" x14ac:dyDescent="0.3">
      <c r="A23" s="278"/>
      <c r="B23" s="278"/>
      <c r="C23" s="278"/>
      <c r="D23" s="278"/>
      <c r="E23" s="278"/>
      <c r="F23" s="278"/>
      <c r="G23" s="278"/>
      <c r="H23" s="278"/>
      <c r="I23" s="278"/>
      <c r="J23" s="278"/>
      <c r="K23" s="278"/>
      <c r="L23" s="278"/>
      <c r="M23" s="278"/>
    </row>
    <row r="24" spans="1:13" x14ac:dyDescent="0.3">
      <c r="A24" s="278"/>
      <c r="B24" s="278"/>
      <c r="C24" s="278"/>
      <c r="D24" s="278"/>
      <c r="E24" s="278"/>
      <c r="F24" s="278"/>
      <c r="G24" s="278"/>
      <c r="H24" s="278"/>
      <c r="I24" s="278"/>
      <c r="J24" s="278"/>
      <c r="K24" s="278"/>
      <c r="L24" s="278"/>
      <c r="M24" s="278"/>
    </row>
    <row r="25" spans="1:13" x14ac:dyDescent="0.3">
      <c r="A25" s="278"/>
      <c r="B25" s="278"/>
      <c r="C25" s="278"/>
      <c r="D25" s="278"/>
      <c r="E25" s="278"/>
      <c r="F25" s="278"/>
      <c r="G25" s="278"/>
      <c r="H25" s="278"/>
      <c r="I25" s="278"/>
      <c r="J25" s="278"/>
      <c r="K25" s="278"/>
      <c r="L25" s="278"/>
      <c r="M25" s="278"/>
    </row>
    <row r="26" spans="1:13" x14ac:dyDescent="0.3">
      <c r="A26" s="278"/>
      <c r="B26" s="278"/>
      <c r="C26" s="278"/>
      <c r="D26" s="278"/>
      <c r="E26" s="278"/>
      <c r="F26" s="278"/>
      <c r="G26" s="278"/>
      <c r="H26" s="278"/>
      <c r="I26" s="278"/>
      <c r="J26" s="278"/>
      <c r="K26" s="278"/>
      <c r="L26" s="278"/>
      <c r="M26" s="278"/>
    </row>
    <row r="27" spans="1:13" x14ac:dyDescent="0.3">
      <c r="A27" s="278"/>
      <c r="B27" s="278"/>
      <c r="C27" s="278"/>
      <c r="D27" s="278"/>
      <c r="E27" s="278"/>
      <c r="F27" s="278"/>
      <c r="G27" s="278"/>
      <c r="H27" s="278"/>
      <c r="I27" s="278"/>
      <c r="J27" s="278"/>
      <c r="K27" s="278"/>
      <c r="L27" s="278"/>
      <c r="M27" s="278"/>
    </row>
    <row r="28" spans="1:13" x14ac:dyDescent="0.3">
      <c r="A28" s="278"/>
      <c r="B28" s="278"/>
      <c r="C28" s="278"/>
      <c r="D28" s="278"/>
      <c r="E28" s="278"/>
      <c r="F28" s="278"/>
      <c r="G28" s="278"/>
      <c r="H28" s="278"/>
      <c r="I28" s="278"/>
      <c r="J28" s="278"/>
      <c r="K28" s="278"/>
      <c r="L28" s="278"/>
      <c r="M28" s="278"/>
    </row>
    <row r="29" spans="1:13" x14ac:dyDescent="0.3">
      <c r="A29" s="278"/>
      <c r="B29" s="278"/>
      <c r="C29" s="278"/>
      <c r="D29" s="278"/>
      <c r="E29" s="278"/>
      <c r="F29" s="278"/>
      <c r="G29" s="278"/>
      <c r="H29" s="278"/>
      <c r="I29" s="278"/>
      <c r="J29" s="278"/>
      <c r="K29" s="278"/>
      <c r="L29" s="278"/>
      <c r="M29" s="278"/>
    </row>
    <row r="30" spans="1:13" x14ac:dyDescent="0.3">
      <c r="A30" s="278"/>
      <c r="B30" s="278"/>
      <c r="C30" s="278"/>
      <c r="D30" s="278"/>
      <c r="E30" s="278"/>
      <c r="F30" s="278"/>
      <c r="G30" s="278"/>
      <c r="H30" s="278"/>
      <c r="I30" s="278"/>
      <c r="J30" s="278"/>
      <c r="K30" s="278"/>
      <c r="L30" s="278"/>
      <c r="M30" s="278"/>
    </row>
    <row r="31" spans="1:13" x14ac:dyDescent="0.3">
      <c r="A31" s="278"/>
      <c r="B31" s="278"/>
      <c r="C31" s="278"/>
      <c r="D31" s="278"/>
      <c r="E31" s="278"/>
      <c r="F31" s="278"/>
      <c r="G31" s="278"/>
      <c r="H31" s="278"/>
      <c r="I31" s="278"/>
      <c r="J31" s="278"/>
      <c r="K31" s="278"/>
      <c r="L31" s="278"/>
      <c r="M31" s="278"/>
    </row>
    <row r="32" spans="1:13" x14ac:dyDescent="0.3">
      <c r="A32" s="278"/>
      <c r="B32" s="278"/>
      <c r="C32" s="278"/>
      <c r="D32" s="278"/>
      <c r="E32" s="278"/>
      <c r="F32" s="278"/>
      <c r="G32" s="278"/>
      <c r="H32" s="278"/>
      <c r="I32" s="278"/>
      <c r="J32" s="278"/>
      <c r="K32" s="278"/>
      <c r="L32" s="278"/>
      <c r="M32" s="278"/>
    </row>
    <row r="33" spans="1:13" x14ac:dyDescent="0.3">
      <c r="A33" s="278"/>
      <c r="B33" s="278"/>
      <c r="C33" s="278"/>
      <c r="D33" s="278"/>
      <c r="E33" s="278"/>
      <c r="F33" s="278"/>
      <c r="G33" s="278"/>
      <c r="H33" s="278"/>
      <c r="I33" s="278"/>
      <c r="J33" s="278"/>
      <c r="K33" s="278"/>
      <c r="L33" s="278"/>
      <c r="M33" s="278"/>
    </row>
    <row r="34" spans="1:13" x14ac:dyDescent="0.3">
      <c r="A34" s="278"/>
      <c r="B34" s="278"/>
      <c r="C34" s="278"/>
      <c r="D34" s="278"/>
      <c r="E34" s="278"/>
      <c r="F34" s="278"/>
      <c r="G34" s="278"/>
      <c r="H34" s="278"/>
      <c r="I34" s="278"/>
      <c r="J34" s="278"/>
      <c r="K34" s="278"/>
      <c r="L34" s="278"/>
      <c r="M34" s="278"/>
    </row>
    <row r="35" spans="1:13" x14ac:dyDescent="0.3">
      <c r="A35" s="278"/>
      <c r="B35" s="278"/>
      <c r="C35" s="278"/>
      <c r="D35" s="278"/>
      <c r="E35" s="278"/>
      <c r="F35" s="278"/>
      <c r="G35" s="278"/>
      <c r="H35" s="278"/>
      <c r="I35" s="278"/>
      <c r="J35" s="278"/>
      <c r="K35" s="278"/>
      <c r="L35" s="278"/>
      <c r="M35" s="278"/>
    </row>
    <row r="36" spans="1:13" x14ac:dyDescent="0.3">
      <c r="A36" s="278"/>
      <c r="B36" s="278"/>
      <c r="C36" s="278"/>
      <c r="D36" s="278"/>
      <c r="E36" s="278"/>
      <c r="F36" s="278"/>
      <c r="G36" s="278"/>
      <c r="H36" s="278"/>
      <c r="I36" s="278"/>
      <c r="J36" s="278"/>
      <c r="K36" s="278"/>
      <c r="L36" s="278"/>
      <c r="M36" s="278"/>
    </row>
    <row r="37" spans="1:13" x14ac:dyDescent="0.3">
      <c r="A37" s="278"/>
      <c r="B37" s="278"/>
      <c r="C37" s="278"/>
      <c r="D37" s="278"/>
      <c r="E37" s="278"/>
      <c r="F37" s="278"/>
      <c r="G37" s="278"/>
      <c r="H37" s="278"/>
      <c r="I37" s="278"/>
      <c r="J37" s="278"/>
      <c r="K37" s="278"/>
      <c r="L37" s="278"/>
      <c r="M37" s="278"/>
    </row>
    <row r="38" spans="1:13" x14ac:dyDescent="0.3">
      <c r="A38" s="278"/>
      <c r="B38" s="278"/>
      <c r="C38" s="278"/>
      <c r="D38" s="278"/>
      <c r="E38" s="278"/>
      <c r="F38" s="278"/>
      <c r="G38" s="278"/>
      <c r="H38" s="278"/>
      <c r="I38" s="278"/>
      <c r="J38" s="278"/>
      <c r="K38" s="278"/>
      <c r="L38" s="278"/>
      <c r="M38" s="278"/>
    </row>
    <row r="39" spans="1:13" x14ac:dyDescent="0.3">
      <c r="A39" s="278"/>
      <c r="B39" s="278"/>
      <c r="C39" s="278"/>
      <c r="D39" s="278"/>
      <c r="E39" s="278"/>
      <c r="F39" s="278"/>
      <c r="G39" s="278"/>
      <c r="H39" s="278"/>
      <c r="I39" s="278"/>
      <c r="J39" s="278"/>
      <c r="K39" s="278"/>
      <c r="L39" s="278"/>
      <c r="M39" s="278"/>
    </row>
    <row r="40" spans="1:13" x14ac:dyDescent="0.3">
      <c r="A40" s="278"/>
      <c r="B40" s="278"/>
      <c r="C40" s="278"/>
      <c r="D40" s="278"/>
      <c r="E40" s="278"/>
      <c r="F40" s="278"/>
      <c r="G40" s="278"/>
      <c r="H40" s="278"/>
      <c r="I40" s="278"/>
      <c r="J40" s="278"/>
      <c r="K40" s="278"/>
      <c r="L40" s="278"/>
      <c r="M40" s="278"/>
    </row>
    <row r="41" spans="1:13" x14ac:dyDescent="0.3">
      <c r="A41" s="278"/>
      <c r="B41" s="278"/>
      <c r="C41" s="278"/>
      <c r="D41" s="278"/>
      <c r="E41" s="278"/>
      <c r="F41" s="278"/>
      <c r="G41" s="278"/>
      <c r="H41" s="278"/>
      <c r="I41" s="278"/>
      <c r="J41" s="278"/>
      <c r="K41" s="278"/>
      <c r="L41" s="278"/>
      <c r="M41" s="278"/>
    </row>
    <row r="42" spans="1:13" x14ac:dyDescent="0.3">
      <c r="A42" s="278"/>
      <c r="B42" s="278"/>
      <c r="C42" s="278"/>
      <c r="D42" s="278"/>
      <c r="E42" s="278"/>
      <c r="F42" s="278"/>
      <c r="G42" s="278"/>
      <c r="H42" s="278"/>
      <c r="I42" s="278"/>
      <c r="J42" s="278"/>
      <c r="K42" s="278"/>
      <c r="L42" s="278"/>
      <c r="M42" s="278"/>
    </row>
    <row r="43" spans="1:13" x14ac:dyDescent="0.3">
      <c r="A43" s="278"/>
      <c r="B43" s="278"/>
      <c r="C43" s="278"/>
      <c r="D43" s="278"/>
      <c r="E43" s="278"/>
      <c r="F43" s="278"/>
      <c r="G43" s="278"/>
      <c r="H43" s="278"/>
      <c r="I43" s="278"/>
      <c r="J43" s="278"/>
      <c r="K43" s="278"/>
      <c r="L43" s="278"/>
      <c r="M43" s="278"/>
    </row>
    <row r="44" spans="1:13" x14ac:dyDescent="0.3">
      <c r="A44" s="278"/>
      <c r="B44" s="278"/>
      <c r="C44" s="278"/>
      <c r="D44" s="278"/>
      <c r="E44" s="278"/>
      <c r="F44" s="278"/>
      <c r="G44" s="278"/>
      <c r="H44" s="278"/>
      <c r="I44" s="278"/>
      <c r="J44" s="278"/>
      <c r="K44" s="278"/>
      <c r="L44" s="278"/>
      <c r="M44" s="278"/>
    </row>
    <row r="45" spans="1:13" x14ac:dyDescent="0.3">
      <c r="A45" s="278"/>
      <c r="B45" s="278"/>
      <c r="C45" s="278"/>
      <c r="D45" s="278"/>
      <c r="E45" s="278"/>
      <c r="F45" s="278"/>
      <c r="G45" s="278"/>
      <c r="H45" s="278"/>
      <c r="I45" s="278"/>
      <c r="J45" s="278"/>
      <c r="K45" s="278"/>
      <c r="L45" s="278"/>
      <c r="M45" s="278"/>
    </row>
    <row r="46" spans="1:13" x14ac:dyDescent="0.3">
      <c r="A46" s="278"/>
      <c r="B46" s="278"/>
      <c r="C46" s="278"/>
      <c r="D46" s="278"/>
      <c r="E46" s="278"/>
      <c r="F46" s="278"/>
      <c r="G46" s="278"/>
      <c r="H46" s="278"/>
      <c r="I46" s="278"/>
      <c r="J46" s="278"/>
      <c r="K46" s="278"/>
      <c r="L46" s="278"/>
      <c r="M46" s="278"/>
    </row>
    <row r="47" spans="1:13" x14ac:dyDescent="0.3">
      <c r="A47" s="278"/>
      <c r="B47" s="278"/>
      <c r="C47" s="278"/>
      <c r="D47" s="278"/>
      <c r="E47" s="278"/>
      <c r="F47" s="278"/>
      <c r="G47" s="278"/>
      <c r="H47" s="278"/>
      <c r="I47" s="278"/>
      <c r="J47" s="278"/>
      <c r="K47" s="278"/>
      <c r="L47" s="278"/>
      <c r="M47" s="278"/>
    </row>
    <row r="48" spans="1:13" x14ac:dyDescent="0.3">
      <c r="A48" s="278"/>
      <c r="B48" s="278"/>
      <c r="C48" s="278"/>
      <c r="D48" s="278"/>
      <c r="E48" s="278"/>
      <c r="F48" s="278"/>
      <c r="G48" s="278"/>
      <c r="H48" s="278"/>
      <c r="I48" s="278"/>
      <c r="J48" s="278"/>
      <c r="K48" s="278"/>
      <c r="L48" s="278"/>
      <c r="M48" s="278"/>
    </row>
    <row r="49" spans="1:13" x14ac:dyDescent="0.3">
      <c r="A49" s="278"/>
      <c r="B49" s="278"/>
      <c r="C49" s="278"/>
      <c r="D49" s="278"/>
      <c r="E49" s="278"/>
      <c r="F49" s="278"/>
      <c r="G49" s="278"/>
      <c r="H49" s="278"/>
      <c r="I49" s="278"/>
      <c r="J49" s="278"/>
      <c r="K49" s="278"/>
      <c r="L49" s="278"/>
      <c r="M49" s="278"/>
    </row>
    <row r="50" spans="1:13" x14ac:dyDescent="0.3">
      <c r="A50" s="278"/>
      <c r="B50" s="278"/>
      <c r="C50" s="278"/>
      <c r="D50" s="278"/>
      <c r="E50" s="278"/>
      <c r="F50" s="278"/>
      <c r="G50" s="278"/>
      <c r="H50" s="278"/>
      <c r="I50" s="278"/>
      <c r="J50" s="278"/>
      <c r="K50" s="278"/>
      <c r="L50" s="278"/>
      <c r="M50" s="278"/>
    </row>
    <row r="51" spans="1:13" x14ac:dyDescent="0.3">
      <c r="A51" s="278"/>
      <c r="B51" s="278"/>
      <c r="C51" s="278"/>
      <c r="D51" s="278"/>
      <c r="E51" s="278"/>
      <c r="F51" s="278"/>
      <c r="G51" s="278"/>
      <c r="H51" s="278"/>
      <c r="I51" s="278"/>
      <c r="J51" s="278"/>
      <c r="K51" s="278"/>
      <c r="L51" s="278"/>
      <c r="M51" s="278"/>
    </row>
    <row r="52" spans="1:13" x14ac:dyDescent="0.3">
      <c r="A52" s="278"/>
      <c r="B52" s="278"/>
      <c r="C52" s="278"/>
      <c r="D52" s="278"/>
      <c r="E52" s="278"/>
      <c r="F52" s="278"/>
      <c r="G52" s="278"/>
      <c r="H52" s="278"/>
      <c r="I52" s="278"/>
      <c r="J52" s="278"/>
      <c r="K52" s="278"/>
      <c r="L52" s="278"/>
      <c r="M52" s="278"/>
    </row>
    <row r="53" spans="1:13" x14ac:dyDescent="0.3">
      <c r="A53" s="278"/>
      <c r="B53" s="278"/>
      <c r="C53" s="278"/>
      <c r="D53" s="278"/>
      <c r="E53" s="278"/>
      <c r="F53" s="278"/>
      <c r="G53" s="278"/>
      <c r="H53" s="278"/>
      <c r="I53" s="278"/>
      <c r="J53" s="278"/>
      <c r="K53" s="278"/>
      <c r="L53" s="278"/>
      <c r="M53" s="278"/>
    </row>
    <row r="54" spans="1:13" x14ac:dyDescent="0.3">
      <c r="A54" s="278"/>
      <c r="B54" s="278"/>
      <c r="C54" s="278"/>
      <c r="D54" s="278"/>
      <c r="E54" s="278"/>
      <c r="F54" s="278"/>
      <c r="G54" s="278"/>
      <c r="H54" s="278"/>
      <c r="I54" s="278"/>
      <c r="J54" s="278"/>
      <c r="K54" s="278"/>
      <c r="L54" s="278"/>
      <c r="M54" s="278"/>
    </row>
    <row r="55" spans="1:13" x14ac:dyDescent="0.3">
      <c r="A55" s="278"/>
      <c r="B55" s="278"/>
      <c r="C55" s="278"/>
      <c r="D55" s="278"/>
      <c r="E55" s="278"/>
      <c r="F55" s="278"/>
      <c r="G55" s="278"/>
      <c r="H55" s="278"/>
      <c r="I55" s="278"/>
      <c r="J55" s="278"/>
      <c r="K55" s="278"/>
      <c r="L55" s="278"/>
      <c r="M55" s="278"/>
    </row>
    <row r="56" spans="1:13" x14ac:dyDescent="0.3">
      <c r="A56" s="278"/>
      <c r="B56" s="278"/>
      <c r="C56" s="278"/>
      <c r="D56" s="278"/>
      <c r="E56" s="278"/>
      <c r="F56" s="278"/>
      <c r="G56" s="278"/>
      <c r="H56" s="278"/>
      <c r="I56" s="278"/>
      <c r="J56" s="278"/>
      <c r="K56" s="278"/>
      <c r="L56" s="278"/>
      <c r="M56" s="278"/>
    </row>
    <row r="57" spans="1:13" x14ac:dyDescent="0.3">
      <c r="A57" s="278"/>
      <c r="B57" s="278"/>
      <c r="C57" s="278"/>
      <c r="D57" s="278"/>
      <c r="E57" s="278"/>
      <c r="F57" s="278"/>
      <c r="G57" s="278"/>
      <c r="H57" s="278"/>
      <c r="I57" s="278"/>
      <c r="J57" s="278"/>
      <c r="K57" s="278"/>
      <c r="L57" s="278"/>
      <c r="M57" s="278"/>
    </row>
    <row r="58" spans="1:13" x14ac:dyDescent="0.3">
      <c r="A58" s="278"/>
      <c r="B58" s="278"/>
      <c r="C58" s="278"/>
      <c r="D58" s="278"/>
      <c r="E58" s="278"/>
      <c r="F58" s="278"/>
      <c r="G58" s="278"/>
      <c r="H58" s="278"/>
      <c r="I58" s="278"/>
      <c r="J58" s="278"/>
      <c r="K58" s="278"/>
      <c r="L58" s="278"/>
      <c r="M58" s="278"/>
    </row>
    <row r="59" spans="1:13" x14ac:dyDescent="0.3">
      <c r="A59" s="278"/>
      <c r="B59" s="278"/>
      <c r="C59" s="278"/>
      <c r="D59" s="278"/>
      <c r="E59" s="278"/>
      <c r="F59" s="278"/>
      <c r="G59" s="278"/>
      <c r="H59" s="278"/>
      <c r="I59" s="278"/>
      <c r="J59" s="278"/>
      <c r="K59" s="278"/>
      <c r="L59" s="278"/>
      <c r="M59" s="278"/>
    </row>
    <row r="60" spans="1:13" x14ac:dyDescent="0.3">
      <c r="A60" s="278"/>
      <c r="B60" s="278"/>
      <c r="C60" s="278"/>
      <c r="D60" s="278"/>
      <c r="E60" s="278"/>
      <c r="F60" s="278"/>
      <c r="G60" s="278"/>
      <c r="H60" s="278"/>
      <c r="I60" s="278"/>
      <c r="J60" s="278"/>
      <c r="K60" s="278"/>
      <c r="L60" s="278"/>
      <c r="M60" s="278"/>
    </row>
  </sheetData>
  <sheetProtection algorithmName="SHA-512" hashValue="gxnIurih5GUD63kgYhoyl8luK9v3Ho6CGMvF5T9BOFKi5PQoOF0Bk/CrsOSPLxEx44sxo+GRH+M+LTYzZeQWvw==" saltValue="DeIriwAcxhqvZuNoluXekw==" spinCount="100000" sheet="1" objects="1" scenarios="1" sort="0" autoFilter="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EFA2-6FE9-4B95-864C-D5FF53140377}">
  <dimension ref="A1:A578"/>
  <sheetViews>
    <sheetView workbookViewId="0">
      <pane ySplit="1" topLeftCell="A2" activePane="bottomLeft" state="frozen"/>
      <selection pane="bottomLeft"/>
    </sheetView>
  </sheetViews>
  <sheetFormatPr defaultRowHeight="14.4" x14ac:dyDescent="0.3"/>
  <cols>
    <col min="1" max="1" width="140.77734375" customWidth="1"/>
  </cols>
  <sheetData>
    <row r="1" spans="1:1" ht="21" x14ac:dyDescent="0.4">
      <c r="A1" s="14" t="s">
        <v>462</v>
      </c>
    </row>
    <row r="2" spans="1:1" ht="43.2" x14ac:dyDescent="0.3">
      <c r="A2" s="192" t="s">
        <v>1088</v>
      </c>
    </row>
    <row r="4" spans="1:1" x14ac:dyDescent="0.3">
      <c r="A4" s="194" t="s">
        <v>463</v>
      </c>
    </row>
    <row r="5" spans="1:1" x14ac:dyDescent="0.3">
      <c r="A5" s="193" t="s">
        <v>464</v>
      </c>
    </row>
    <row r="6" spans="1:1" x14ac:dyDescent="0.3">
      <c r="A6" s="193" t="s">
        <v>465</v>
      </c>
    </row>
    <row r="7" spans="1:1" x14ac:dyDescent="0.3">
      <c r="A7" s="193" t="s">
        <v>466</v>
      </c>
    </row>
    <row r="8" spans="1:1" x14ac:dyDescent="0.3">
      <c r="A8" s="193" t="s">
        <v>467</v>
      </c>
    </row>
    <row r="9" spans="1:1" x14ac:dyDescent="0.3">
      <c r="A9" s="193" t="s">
        <v>468</v>
      </c>
    </row>
    <row r="10" spans="1:1" x14ac:dyDescent="0.3">
      <c r="A10" s="193" t="s">
        <v>469</v>
      </c>
    </row>
    <row r="11" spans="1:1" x14ac:dyDescent="0.3">
      <c r="A11" s="193" t="s">
        <v>470</v>
      </c>
    </row>
    <row r="12" spans="1:1" x14ac:dyDescent="0.3">
      <c r="A12" s="193" t="s">
        <v>471</v>
      </c>
    </row>
    <row r="13" spans="1:1" x14ac:dyDescent="0.3">
      <c r="A13" s="193" t="s">
        <v>472</v>
      </c>
    </row>
    <row r="14" spans="1:1" x14ac:dyDescent="0.3">
      <c r="A14" s="193" t="s">
        <v>473</v>
      </c>
    </row>
    <row r="15" spans="1:1" x14ac:dyDescent="0.3">
      <c r="A15" s="193" t="s">
        <v>474</v>
      </c>
    </row>
    <row r="16" spans="1:1" x14ac:dyDescent="0.3">
      <c r="A16" s="193" t="s">
        <v>475</v>
      </c>
    </row>
    <row r="17" spans="1:1" x14ac:dyDescent="0.3">
      <c r="A17" s="193" t="s">
        <v>469</v>
      </c>
    </row>
    <row r="18" spans="1:1" x14ac:dyDescent="0.3">
      <c r="A18" s="193" t="s">
        <v>476</v>
      </c>
    </row>
    <row r="19" spans="1:1" x14ac:dyDescent="0.3">
      <c r="A19" s="193" t="s">
        <v>477</v>
      </c>
    </row>
    <row r="20" spans="1:1" x14ac:dyDescent="0.3">
      <c r="A20" s="193" t="s">
        <v>478</v>
      </c>
    </row>
    <row r="21" spans="1:1" x14ac:dyDescent="0.3">
      <c r="A21" s="193" t="s">
        <v>479</v>
      </c>
    </row>
    <row r="22" spans="1:1" x14ac:dyDescent="0.3">
      <c r="A22" s="193" t="s">
        <v>480</v>
      </c>
    </row>
    <row r="23" spans="1:1" x14ac:dyDescent="0.3">
      <c r="A23" s="193" t="s">
        <v>481</v>
      </c>
    </row>
    <row r="24" spans="1:1" x14ac:dyDescent="0.3">
      <c r="A24" s="193" t="s">
        <v>482</v>
      </c>
    </row>
    <row r="25" spans="1:1" x14ac:dyDescent="0.3">
      <c r="A25" s="193" t="s">
        <v>483</v>
      </c>
    </row>
    <row r="26" spans="1:1" x14ac:dyDescent="0.3">
      <c r="A26" s="193" t="s">
        <v>481</v>
      </c>
    </row>
    <row r="27" spans="1:1" x14ac:dyDescent="0.3">
      <c r="A27" s="193" t="s">
        <v>484</v>
      </c>
    </row>
    <row r="28" spans="1:1" x14ac:dyDescent="0.3">
      <c r="A28" s="193" t="s">
        <v>485</v>
      </c>
    </row>
    <row r="29" spans="1:1" x14ac:dyDescent="0.3">
      <c r="A29" s="293" t="s">
        <v>1089</v>
      </c>
    </row>
    <row r="30" spans="1:1" x14ac:dyDescent="0.3">
      <c r="A30" s="293" t="s">
        <v>481</v>
      </c>
    </row>
    <row r="31" spans="1:1" x14ac:dyDescent="0.3">
      <c r="A31" s="293" t="s">
        <v>1090</v>
      </c>
    </row>
    <row r="32" spans="1:1" x14ac:dyDescent="0.3">
      <c r="A32" s="293" t="s">
        <v>1091</v>
      </c>
    </row>
    <row r="33" spans="1:1" x14ac:dyDescent="0.3">
      <c r="A33" s="293" t="s">
        <v>1092</v>
      </c>
    </row>
    <row r="34" spans="1:1" x14ac:dyDescent="0.3">
      <c r="A34" s="293" t="s">
        <v>1340</v>
      </c>
    </row>
    <row r="35" spans="1:1" x14ac:dyDescent="0.3">
      <c r="A35" s="293" t="s">
        <v>1341</v>
      </c>
    </row>
    <row r="36" spans="1:1" x14ac:dyDescent="0.3">
      <c r="A36" s="193" t="s">
        <v>486</v>
      </c>
    </row>
    <row r="37" spans="1:1" x14ac:dyDescent="0.3">
      <c r="A37" s="193" t="s">
        <v>487</v>
      </c>
    </row>
    <row r="38" spans="1:1" x14ac:dyDescent="0.3">
      <c r="A38" s="193" t="s">
        <v>469</v>
      </c>
    </row>
    <row r="39" spans="1:1" x14ac:dyDescent="0.3">
      <c r="A39" s="193" t="s">
        <v>488</v>
      </c>
    </row>
    <row r="40" spans="1:1" x14ac:dyDescent="0.3">
      <c r="A40" s="193" t="s">
        <v>489</v>
      </c>
    </row>
    <row r="41" spans="1:1" x14ac:dyDescent="0.3">
      <c r="A41" s="193" t="s">
        <v>490</v>
      </c>
    </row>
    <row r="42" spans="1:1" x14ac:dyDescent="0.3">
      <c r="A42" s="193" t="s">
        <v>491</v>
      </c>
    </row>
    <row r="43" spans="1:1" x14ac:dyDescent="0.3">
      <c r="A43" s="193" t="s">
        <v>492</v>
      </c>
    </row>
    <row r="44" spans="1:1" x14ac:dyDescent="0.3">
      <c r="A44" s="193" t="s">
        <v>493</v>
      </c>
    </row>
    <row r="45" spans="1:1" x14ac:dyDescent="0.3">
      <c r="A45" s="193" t="s">
        <v>494</v>
      </c>
    </row>
    <row r="46" spans="1:1" x14ac:dyDescent="0.3">
      <c r="A46" s="193" t="s">
        <v>495</v>
      </c>
    </row>
    <row r="47" spans="1:1" x14ac:dyDescent="0.3">
      <c r="A47" s="193" t="s">
        <v>487</v>
      </c>
    </row>
    <row r="48" spans="1:1" x14ac:dyDescent="0.3">
      <c r="A48" s="193" t="s">
        <v>469</v>
      </c>
    </row>
    <row r="49" spans="1:1" x14ac:dyDescent="0.3">
      <c r="A49" s="193" t="s">
        <v>496</v>
      </c>
    </row>
    <row r="50" spans="1:1" x14ac:dyDescent="0.3">
      <c r="A50" s="193" t="s">
        <v>490</v>
      </c>
    </row>
    <row r="51" spans="1:1" x14ac:dyDescent="0.3">
      <c r="A51" s="193" t="s">
        <v>497</v>
      </c>
    </row>
    <row r="52" spans="1:1" x14ac:dyDescent="0.3">
      <c r="A52" s="193" t="s">
        <v>492</v>
      </c>
    </row>
    <row r="53" spans="1:1" x14ac:dyDescent="0.3">
      <c r="A53" s="193" t="s">
        <v>498</v>
      </c>
    </row>
    <row r="54" spans="1:1" x14ac:dyDescent="0.3">
      <c r="A54" s="193" t="s">
        <v>499</v>
      </c>
    </row>
    <row r="55" spans="1:1" x14ac:dyDescent="0.3">
      <c r="A55" s="193" t="s">
        <v>500</v>
      </c>
    </row>
    <row r="56" spans="1:1" x14ac:dyDescent="0.3">
      <c r="A56" s="193" t="s">
        <v>501</v>
      </c>
    </row>
    <row r="57" spans="1:1" x14ac:dyDescent="0.3">
      <c r="A57" s="193" t="s">
        <v>494</v>
      </c>
    </row>
    <row r="58" spans="1:1" x14ac:dyDescent="0.3">
      <c r="A58" s="193" t="s">
        <v>502</v>
      </c>
    </row>
    <row r="59" spans="1:1" x14ac:dyDescent="0.3">
      <c r="A59" s="193" t="s">
        <v>487</v>
      </c>
    </row>
    <row r="60" spans="1:1" x14ac:dyDescent="0.3">
      <c r="A60" s="193" t="s">
        <v>469</v>
      </c>
    </row>
    <row r="61" spans="1:1" x14ac:dyDescent="0.3">
      <c r="A61" s="193" t="s">
        <v>503</v>
      </c>
    </row>
    <row r="62" spans="1:1" x14ac:dyDescent="0.3">
      <c r="A62" s="193" t="s">
        <v>504</v>
      </c>
    </row>
    <row r="63" spans="1:1" x14ac:dyDescent="0.3">
      <c r="A63" s="193" t="s">
        <v>505</v>
      </c>
    </row>
    <row r="64" spans="1:1" x14ac:dyDescent="0.3">
      <c r="A64" s="193" t="s">
        <v>506</v>
      </c>
    </row>
    <row r="65" spans="1:1" x14ac:dyDescent="0.3">
      <c r="A65" s="193" t="s">
        <v>507</v>
      </c>
    </row>
    <row r="66" spans="1:1" x14ac:dyDescent="0.3">
      <c r="A66" s="193" t="s">
        <v>508</v>
      </c>
    </row>
    <row r="67" spans="1:1" x14ac:dyDescent="0.3">
      <c r="A67" s="193" t="s">
        <v>509</v>
      </c>
    </row>
    <row r="68" spans="1:1" x14ac:dyDescent="0.3">
      <c r="A68" s="193" t="s">
        <v>510</v>
      </c>
    </row>
    <row r="69" spans="1:1" x14ac:dyDescent="0.3">
      <c r="A69" s="193" t="s">
        <v>494</v>
      </c>
    </row>
    <row r="70" spans="1:1" x14ac:dyDescent="0.3">
      <c r="A70" s="193" t="s">
        <v>511</v>
      </c>
    </row>
    <row r="71" spans="1:1" x14ac:dyDescent="0.3">
      <c r="A71" s="193" t="s">
        <v>487</v>
      </c>
    </row>
    <row r="72" spans="1:1" x14ac:dyDescent="0.3">
      <c r="A72" s="193" t="s">
        <v>469</v>
      </c>
    </row>
    <row r="73" spans="1:1" x14ac:dyDescent="0.3">
      <c r="A73" s="193" t="s">
        <v>512</v>
      </c>
    </row>
    <row r="74" spans="1:1" x14ac:dyDescent="0.3">
      <c r="A74" s="193" t="s">
        <v>513</v>
      </c>
    </row>
    <row r="75" spans="1:1" x14ac:dyDescent="0.3">
      <c r="A75" s="193" t="s">
        <v>514</v>
      </c>
    </row>
    <row r="76" spans="1:1" x14ac:dyDescent="0.3">
      <c r="A76" s="193" t="s">
        <v>515</v>
      </c>
    </row>
    <row r="77" spans="1:1" x14ac:dyDescent="0.3">
      <c r="A77" s="193" t="s">
        <v>516</v>
      </c>
    </row>
    <row r="78" spans="1:1" x14ac:dyDescent="0.3">
      <c r="A78" s="193" t="s">
        <v>517</v>
      </c>
    </row>
    <row r="79" spans="1:1" x14ac:dyDescent="0.3">
      <c r="A79" s="193" t="s">
        <v>518</v>
      </c>
    </row>
    <row r="80" spans="1:1" x14ac:dyDescent="0.3">
      <c r="A80" s="193" t="s">
        <v>519</v>
      </c>
    </row>
    <row r="81" spans="1:1" x14ac:dyDescent="0.3">
      <c r="A81" s="193" t="s">
        <v>520</v>
      </c>
    </row>
    <row r="82" spans="1:1" x14ac:dyDescent="0.3">
      <c r="A82" s="193" t="s">
        <v>521</v>
      </c>
    </row>
    <row r="83" spans="1:1" x14ac:dyDescent="0.3">
      <c r="A83" s="193" t="s">
        <v>494</v>
      </c>
    </row>
    <row r="84" spans="1:1" x14ac:dyDescent="0.3">
      <c r="A84" s="193" t="s">
        <v>487</v>
      </c>
    </row>
    <row r="85" spans="1:1" x14ac:dyDescent="0.3">
      <c r="A85" s="193" t="s">
        <v>469</v>
      </c>
    </row>
    <row r="87" spans="1:1" x14ac:dyDescent="0.3">
      <c r="A87" s="194" t="s">
        <v>522</v>
      </c>
    </row>
    <row r="88" spans="1:1" x14ac:dyDescent="0.3">
      <c r="A88" s="193" t="s">
        <v>464</v>
      </c>
    </row>
    <row r="89" spans="1:1" x14ac:dyDescent="0.3">
      <c r="A89" s="193" t="s">
        <v>523</v>
      </c>
    </row>
    <row r="90" spans="1:1" x14ac:dyDescent="0.3">
      <c r="A90" s="193" t="s">
        <v>524</v>
      </c>
    </row>
    <row r="91" spans="1:1" x14ac:dyDescent="0.3">
      <c r="A91" s="193" t="s">
        <v>525</v>
      </c>
    </row>
    <row r="92" spans="1:1" x14ac:dyDescent="0.3">
      <c r="A92" s="193" t="s">
        <v>468</v>
      </c>
    </row>
    <row r="93" spans="1:1" x14ac:dyDescent="0.3">
      <c r="A93" s="193" t="s">
        <v>469</v>
      </c>
    </row>
    <row r="94" spans="1:1" x14ac:dyDescent="0.3">
      <c r="A94" s="193" t="s">
        <v>526</v>
      </c>
    </row>
    <row r="95" spans="1:1" x14ac:dyDescent="0.3">
      <c r="A95" s="193" t="s">
        <v>527</v>
      </c>
    </row>
    <row r="96" spans="1:1" x14ac:dyDescent="0.3">
      <c r="A96" s="193" t="s">
        <v>528</v>
      </c>
    </row>
    <row r="97" spans="1:1" x14ac:dyDescent="0.3">
      <c r="A97" s="193" t="s">
        <v>529</v>
      </c>
    </row>
    <row r="98" spans="1:1" x14ac:dyDescent="0.3">
      <c r="A98" s="193" t="s">
        <v>469</v>
      </c>
    </row>
    <row r="99" spans="1:1" x14ac:dyDescent="0.3">
      <c r="A99" s="193" t="s">
        <v>530</v>
      </c>
    </row>
    <row r="100" spans="1:1" x14ac:dyDescent="0.3">
      <c r="A100" s="193" t="s">
        <v>531</v>
      </c>
    </row>
    <row r="101" spans="1:1" x14ac:dyDescent="0.3">
      <c r="A101" s="193" t="s">
        <v>469</v>
      </c>
    </row>
    <row r="102" spans="1:1" x14ac:dyDescent="0.3">
      <c r="A102" s="193" t="s">
        <v>532</v>
      </c>
    </row>
    <row r="103" spans="1:1" x14ac:dyDescent="0.3">
      <c r="A103" s="193" t="s">
        <v>533</v>
      </c>
    </row>
    <row r="104" spans="1:1" x14ac:dyDescent="0.3">
      <c r="A104" s="193" t="s">
        <v>487</v>
      </c>
    </row>
    <row r="105" spans="1:1" x14ac:dyDescent="0.3">
      <c r="A105" s="193" t="s">
        <v>469</v>
      </c>
    </row>
    <row r="106" spans="1:1" x14ac:dyDescent="0.3">
      <c r="A106" s="193" t="s">
        <v>534</v>
      </c>
    </row>
    <row r="107" spans="1:1" x14ac:dyDescent="0.3">
      <c r="A107" s="193" t="s">
        <v>535</v>
      </c>
    </row>
    <row r="108" spans="1:1" x14ac:dyDescent="0.3">
      <c r="A108" s="193" t="s">
        <v>536</v>
      </c>
    </row>
    <row r="109" spans="1:1" x14ac:dyDescent="0.3">
      <c r="A109" s="193" t="s">
        <v>537</v>
      </c>
    </row>
    <row r="110" spans="1:1" x14ac:dyDescent="0.3">
      <c r="A110" s="193" t="s">
        <v>538</v>
      </c>
    </row>
    <row r="111" spans="1:1" x14ac:dyDescent="0.3">
      <c r="A111" s="193" t="s">
        <v>487</v>
      </c>
    </row>
    <row r="112" spans="1:1" x14ac:dyDescent="0.3">
      <c r="A112" s="193" t="s">
        <v>469</v>
      </c>
    </row>
    <row r="113" spans="1:1" x14ac:dyDescent="0.3">
      <c r="A113" s="193" t="s">
        <v>539</v>
      </c>
    </row>
    <row r="114" spans="1:1" x14ac:dyDescent="0.3">
      <c r="A114" s="193" t="s">
        <v>540</v>
      </c>
    </row>
    <row r="115" spans="1:1" x14ac:dyDescent="0.3">
      <c r="A115" s="193" t="s">
        <v>541</v>
      </c>
    </row>
    <row r="116" spans="1:1" x14ac:dyDescent="0.3">
      <c r="A116" s="193" t="s">
        <v>542</v>
      </c>
    </row>
    <row r="117" spans="1:1" x14ac:dyDescent="0.3">
      <c r="A117" s="193" t="s">
        <v>487</v>
      </c>
    </row>
    <row r="118" spans="1:1" x14ac:dyDescent="0.3">
      <c r="A118" s="193" t="s">
        <v>469</v>
      </c>
    </row>
    <row r="119" spans="1:1" x14ac:dyDescent="0.3">
      <c r="A119" s="193" t="s">
        <v>464</v>
      </c>
    </row>
    <row r="120" spans="1:1" x14ac:dyDescent="0.3">
      <c r="A120" s="193" t="s">
        <v>543</v>
      </c>
    </row>
    <row r="121" spans="1:1" x14ac:dyDescent="0.3">
      <c r="A121" s="193" t="s">
        <v>544</v>
      </c>
    </row>
    <row r="122" spans="1:1" x14ac:dyDescent="0.3">
      <c r="A122" s="193" t="s">
        <v>545</v>
      </c>
    </row>
    <row r="123" spans="1:1" x14ac:dyDescent="0.3">
      <c r="A123" s="193" t="s">
        <v>468</v>
      </c>
    </row>
    <row r="124" spans="1:1" x14ac:dyDescent="0.3">
      <c r="A124" s="193" t="s">
        <v>546</v>
      </c>
    </row>
    <row r="125" spans="1:1" x14ac:dyDescent="0.3">
      <c r="A125" s="193" t="s">
        <v>547</v>
      </c>
    </row>
    <row r="126" spans="1:1" x14ac:dyDescent="0.3">
      <c r="A126" s="193" t="s">
        <v>548</v>
      </c>
    </row>
    <row r="127" spans="1:1" x14ac:dyDescent="0.3">
      <c r="A127" s="193" t="s">
        <v>549</v>
      </c>
    </row>
    <row r="128" spans="1:1" x14ac:dyDescent="0.3">
      <c r="A128" s="193" t="s">
        <v>550</v>
      </c>
    </row>
    <row r="129" spans="1:1" x14ac:dyDescent="0.3">
      <c r="A129" s="193" t="s">
        <v>551</v>
      </c>
    </row>
    <row r="130" spans="1:1" x14ac:dyDescent="0.3">
      <c r="A130" s="193" t="s">
        <v>552</v>
      </c>
    </row>
    <row r="131" spans="1:1" x14ac:dyDescent="0.3">
      <c r="A131" s="193" t="s">
        <v>553</v>
      </c>
    </row>
    <row r="132" spans="1:1" x14ac:dyDescent="0.3">
      <c r="A132" s="193" t="s">
        <v>501</v>
      </c>
    </row>
    <row r="133" spans="1:1" x14ac:dyDescent="0.3">
      <c r="A133" s="193" t="s">
        <v>554</v>
      </c>
    </row>
    <row r="134" spans="1:1" x14ac:dyDescent="0.3">
      <c r="A134" s="193" t="s">
        <v>494</v>
      </c>
    </row>
    <row r="135" spans="1:1" x14ac:dyDescent="0.3">
      <c r="A135" s="193" t="s">
        <v>555</v>
      </c>
    </row>
    <row r="136" spans="1:1" x14ac:dyDescent="0.3">
      <c r="A136" s="193" t="s">
        <v>556</v>
      </c>
    </row>
    <row r="137" spans="1:1" x14ac:dyDescent="0.3">
      <c r="A137" s="193" t="s">
        <v>557</v>
      </c>
    </row>
    <row r="138" spans="1:1" x14ac:dyDescent="0.3">
      <c r="A138" s="193" t="s">
        <v>558</v>
      </c>
    </row>
    <row r="139" spans="1:1" x14ac:dyDescent="0.3">
      <c r="A139" s="193" t="s">
        <v>559</v>
      </c>
    </row>
    <row r="140" spans="1:1" x14ac:dyDescent="0.3">
      <c r="A140" s="193" t="s">
        <v>560</v>
      </c>
    </row>
    <row r="141" spans="1:1" x14ac:dyDescent="0.3">
      <c r="A141" s="193" t="s">
        <v>561</v>
      </c>
    </row>
    <row r="142" spans="1:1" x14ac:dyDescent="0.3">
      <c r="A142" s="193" t="s">
        <v>562</v>
      </c>
    </row>
    <row r="143" spans="1:1" x14ac:dyDescent="0.3">
      <c r="A143" s="193" t="s">
        <v>563</v>
      </c>
    </row>
    <row r="144" spans="1:1" x14ac:dyDescent="0.3">
      <c r="A144" s="193" t="s">
        <v>564</v>
      </c>
    </row>
    <row r="145" spans="1:1" x14ac:dyDescent="0.3">
      <c r="A145" s="193" t="s">
        <v>565</v>
      </c>
    </row>
    <row r="146" spans="1:1" x14ac:dyDescent="0.3">
      <c r="A146" s="193" t="s">
        <v>566</v>
      </c>
    </row>
    <row r="147" spans="1:1" x14ac:dyDescent="0.3">
      <c r="A147" s="193" t="s">
        <v>567</v>
      </c>
    </row>
    <row r="148" spans="1:1" x14ac:dyDescent="0.3">
      <c r="A148" s="193" t="s">
        <v>568</v>
      </c>
    </row>
    <row r="149" spans="1:1" x14ac:dyDescent="0.3">
      <c r="A149" s="193" t="s">
        <v>569</v>
      </c>
    </row>
    <row r="150" spans="1:1" x14ac:dyDescent="0.3">
      <c r="A150" s="193" t="s">
        <v>570</v>
      </c>
    </row>
    <row r="151" spans="1:1" x14ac:dyDescent="0.3">
      <c r="A151" s="193" t="s">
        <v>571</v>
      </c>
    </row>
    <row r="152" spans="1:1" x14ac:dyDescent="0.3">
      <c r="A152" s="193" t="s">
        <v>572</v>
      </c>
    </row>
    <row r="153" spans="1:1" x14ac:dyDescent="0.3">
      <c r="A153" s="193" t="s">
        <v>573</v>
      </c>
    </row>
    <row r="154" spans="1:1" x14ac:dyDescent="0.3">
      <c r="A154" s="193" t="s">
        <v>574</v>
      </c>
    </row>
    <row r="155" spans="1:1" x14ac:dyDescent="0.3">
      <c r="A155" s="193" t="s">
        <v>575</v>
      </c>
    </row>
    <row r="156" spans="1:1" x14ac:dyDescent="0.3">
      <c r="A156" s="193" t="s">
        <v>576</v>
      </c>
    </row>
    <row r="157" spans="1:1" x14ac:dyDescent="0.3">
      <c r="A157" s="193" t="s">
        <v>577</v>
      </c>
    </row>
    <row r="158" spans="1:1" x14ac:dyDescent="0.3">
      <c r="A158" s="193" t="s">
        <v>501</v>
      </c>
    </row>
    <row r="159" spans="1:1" x14ac:dyDescent="0.3">
      <c r="A159" s="193" t="s">
        <v>494</v>
      </c>
    </row>
    <row r="160" spans="1:1" x14ac:dyDescent="0.3">
      <c r="A160" s="193" t="s">
        <v>578</v>
      </c>
    </row>
    <row r="161" spans="1:1" x14ac:dyDescent="0.3">
      <c r="A161" s="193" t="s">
        <v>579</v>
      </c>
    </row>
    <row r="162" spans="1:1" x14ac:dyDescent="0.3">
      <c r="A162" s="193" t="s">
        <v>580</v>
      </c>
    </row>
    <row r="163" spans="1:1" x14ac:dyDescent="0.3">
      <c r="A163" s="193" t="s">
        <v>581</v>
      </c>
    </row>
    <row r="164" spans="1:1" x14ac:dyDescent="0.3">
      <c r="A164" s="193" t="s">
        <v>582</v>
      </c>
    </row>
    <row r="165" spans="1:1" x14ac:dyDescent="0.3">
      <c r="A165" s="193" t="s">
        <v>583</v>
      </c>
    </row>
    <row r="166" spans="1:1" x14ac:dyDescent="0.3">
      <c r="A166" s="193" t="s">
        <v>487</v>
      </c>
    </row>
    <row r="167" spans="1:1" x14ac:dyDescent="0.3">
      <c r="A167" s="193" t="s">
        <v>469</v>
      </c>
    </row>
    <row r="168" spans="1:1" x14ac:dyDescent="0.3">
      <c r="A168" s="193" t="s">
        <v>584</v>
      </c>
    </row>
    <row r="169" spans="1:1" x14ac:dyDescent="0.3">
      <c r="A169" s="193" t="s">
        <v>585</v>
      </c>
    </row>
    <row r="170" spans="1:1" x14ac:dyDescent="0.3">
      <c r="A170" s="193" t="s">
        <v>586</v>
      </c>
    </row>
    <row r="171" spans="1:1" x14ac:dyDescent="0.3">
      <c r="A171" s="193" t="s">
        <v>587</v>
      </c>
    </row>
    <row r="172" spans="1:1" x14ac:dyDescent="0.3">
      <c r="A172" s="193" t="s">
        <v>588</v>
      </c>
    </row>
    <row r="173" spans="1:1" x14ac:dyDescent="0.3">
      <c r="A173" s="193" t="s">
        <v>589</v>
      </c>
    </row>
    <row r="174" spans="1:1" x14ac:dyDescent="0.3">
      <c r="A174" s="193" t="s">
        <v>590</v>
      </c>
    </row>
    <row r="175" spans="1:1" x14ac:dyDescent="0.3">
      <c r="A175" s="193" t="s">
        <v>591</v>
      </c>
    </row>
    <row r="176" spans="1:1" x14ac:dyDescent="0.3">
      <c r="A176" s="193" t="s">
        <v>592</v>
      </c>
    </row>
    <row r="177" spans="1:1" x14ac:dyDescent="0.3">
      <c r="A177" s="193" t="s">
        <v>593</v>
      </c>
    </row>
    <row r="178" spans="1:1" x14ac:dyDescent="0.3">
      <c r="A178" s="193" t="s">
        <v>487</v>
      </c>
    </row>
    <row r="179" spans="1:1" x14ac:dyDescent="0.3">
      <c r="A179" s="193" t="s">
        <v>469</v>
      </c>
    </row>
    <row r="180" spans="1:1" x14ac:dyDescent="0.3">
      <c r="A180" s="193" t="s">
        <v>594</v>
      </c>
    </row>
    <row r="181" spans="1:1" x14ac:dyDescent="0.3">
      <c r="A181" s="193" t="s">
        <v>595</v>
      </c>
    </row>
    <row r="182" spans="1:1" x14ac:dyDescent="0.3">
      <c r="A182" s="193" t="s">
        <v>596</v>
      </c>
    </row>
    <row r="183" spans="1:1" x14ac:dyDescent="0.3">
      <c r="A183" s="193" t="s">
        <v>514</v>
      </c>
    </row>
    <row r="184" spans="1:1" x14ac:dyDescent="0.3">
      <c r="A184" s="193" t="s">
        <v>597</v>
      </c>
    </row>
    <row r="185" spans="1:1" x14ac:dyDescent="0.3">
      <c r="A185" s="193" t="s">
        <v>519</v>
      </c>
    </row>
    <row r="186" spans="1:1" x14ac:dyDescent="0.3">
      <c r="A186" s="193" t="s">
        <v>598</v>
      </c>
    </row>
    <row r="187" spans="1:1" x14ac:dyDescent="0.3">
      <c r="A187" s="193" t="s">
        <v>599</v>
      </c>
    </row>
    <row r="188" spans="1:1" x14ac:dyDescent="0.3">
      <c r="A188" s="193" t="s">
        <v>494</v>
      </c>
    </row>
    <row r="189" spans="1:1" x14ac:dyDescent="0.3">
      <c r="A189" s="193" t="s">
        <v>600</v>
      </c>
    </row>
    <row r="190" spans="1:1" x14ac:dyDescent="0.3">
      <c r="A190" s="193" t="s">
        <v>601</v>
      </c>
    </row>
    <row r="191" spans="1:1" x14ac:dyDescent="0.3">
      <c r="A191" s="193" t="s">
        <v>602</v>
      </c>
    </row>
    <row r="192" spans="1:1" x14ac:dyDescent="0.3">
      <c r="A192" s="193" t="s">
        <v>494</v>
      </c>
    </row>
    <row r="193" spans="1:1" x14ac:dyDescent="0.3">
      <c r="A193" s="193" t="s">
        <v>603</v>
      </c>
    </row>
    <row r="194" spans="1:1" x14ac:dyDescent="0.3">
      <c r="A194" s="193" t="s">
        <v>604</v>
      </c>
    </row>
    <row r="195" spans="1:1" x14ac:dyDescent="0.3">
      <c r="A195" s="193" t="s">
        <v>487</v>
      </c>
    </row>
    <row r="196" spans="1:1" x14ac:dyDescent="0.3">
      <c r="A196" s="193" t="s">
        <v>469</v>
      </c>
    </row>
    <row r="197" spans="1:1" x14ac:dyDescent="0.3">
      <c r="A197" s="193" t="s">
        <v>605</v>
      </c>
    </row>
    <row r="198" spans="1:1" x14ac:dyDescent="0.3">
      <c r="A198" s="193" t="s">
        <v>606</v>
      </c>
    </row>
    <row r="199" spans="1:1" x14ac:dyDescent="0.3">
      <c r="A199" s="193" t="s">
        <v>607</v>
      </c>
    </row>
    <row r="200" spans="1:1" x14ac:dyDescent="0.3">
      <c r="A200" s="193" t="s">
        <v>608</v>
      </c>
    </row>
    <row r="201" spans="1:1" x14ac:dyDescent="0.3">
      <c r="A201" s="193" t="s">
        <v>609</v>
      </c>
    </row>
    <row r="202" spans="1:1" x14ac:dyDescent="0.3">
      <c r="A202" s="193" t="s">
        <v>610</v>
      </c>
    </row>
    <row r="203" spans="1:1" x14ac:dyDescent="0.3">
      <c r="A203" s="193" t="s">
        <v>611</v>
      </c>
    </row>
    <row r="204" spans="1:1" x14ac:dyDescent="0.3">
      <c r="A204" s="193" t="s">
        <v>487</v>
      </c>
    </row>
    <row r="205" spans="1:1" x14ac:dyDescent="0.3">
      <c r="A205" s="193" t="s">
        <v>469</v>
      </c>
    </row>
    <row r="206" spans="1:1" x14ac:dyDescent="0.3">
      <c r="A206" s="193" t="s">
        <v>464</v>
      </c>
    </row>
    <row r="207" spans="1:1" x14ac:dyDescent="0.3">
      <c r="A207" s="193" t="s">
        <v>612</v>
      </c>
    </row>
    <row r="208" spans="1:1" x14ac:dyDescent="0.3">
      <c r="A208" s="193" t="s">
        <v>613</v>
      </c>
    </row>
    <row r="209" spans="1:1" x14ac:dyDescent="0.3">
      <c r="A209" s="193" t="s">
        <v>614</v>
      </c>
    </row>
    <row r="210" spans="1:1" x14ac:dyDescent="0.3">
      <c r="A210" s="193" t="s">
        <v>615</v>
      </c>
    </row>
    <row r="211" spans="1:1" x14ac:dyDescent="0.3">
      <c r="A211" s="193" t="s">
        <v>616</v>
      </c>
    </row>
    <row r="212" spans="1:1" x14ac:dyDescent="0.3">
      <c r="A212" s="193" t="s">
        <v>468</v>
      </c>
    </row>
    <row r="213" spans="1:1" x14ac:dyDescent="0.3">
      <c r="A213" s="193" t="s">
        <v>617</v>
      </c>
    </row>
    <row r="214" spans="1:1" x14ac:dyDescent="0.3">
      <c r="A214" s="193" t="s">
        <v>618</v>
      </c>
    </row>
    <row r="215" spans="1:1" x14ac:dyDescent="0.3">
      <c r="A215" s="193" t="s">
        <v>619</v>
      </c>
    </row>
    <row r="216" spans="1:1" x14ac:dyDescent="0.3">
      <c r="A216" s="193" t="s">
        <v>620</v>
      </c>
    </row>
    <row r="217" spans="1:1" x14ac:dyDescent="0.3">
      <c r="A217" s="193" t="s">
        <v>621</v>
      </c>
    </row>
    <row r="218" spans="1:1" x14ac:dyDescent="0.3">
      <c r="A218" s="193" t="s">
        <v>494</v>
      </c>
    </row>
    <row r="219" spans="1:1" x14ac:dyDescent="0.3">
      <c r="A219" s="193" t="s">
        <v>622</v>
      </c>
    </row>
    <row r="220" spans="1:1" x14ac:dyDescent="0.3">
      <c r="A220" s="193" t="s">
        <v>623</v>
      </c>
    </row>
    <row r="221" spans="1:1" x14ac:dyDescent="0.3">
      <c r="A221" s="193" t="s">
        <v>624</v>
      </c>
    </row>
    <row r="222" spans="1:1" x14ac:dyDescent="0.3">
      <c r="A222" s="193" t="s">
        <v>625</v>
      </c>
    </row>
    <row r="223" spans="1:1" x14ac:dyDescent="0.3">
      <c r="A223" s="193" t="s">
        <v>494</v>
      </c>
    </row>
    <row r="224" spans="1:1" x14ac:dyDescent="0.3">
      <c r="A224" s="193" t="s">
        <v>626</v>
      </c>
    </row>
    <row r="225" spans="1:1" x14ac:dyDescent="0.3">
      <c r="A225" s="193" t="s">
        <v>627</v>
      </c>
    </row>
    <row r="226" spans="1:1" x14ac:dyDescent="0.3">
      <c r="A226" s="193" t="s">
        <v>628</v>
      </c>
    </row>
    <row r="227" spans="1:1" x14ac:dyDescent="0.3">
      <c r="A227" s="193" t="s">
        <v>487</v>
      </c>
    </row>
    <row r="228" spans="1:1" x14ac:dyDescent="0.3">
      <c r="A228" s="193" t="s">
        <v>469</v>
      </c>
    </row>
    <row r="229" spans="1:1" x14ac:dyDescent="0.3">
      <c r="A229" s="193" t="s">
        <v>629</v>
      </c>
    </row>
    <row r="230" spans="1:1" x14ac:dyDescent="0.3">
      <c r="A230" s="193" t="s">
        <v>630</v>
      </c>
    </row>
    <row r="231" spans="1:1" x14ac:dyDescent="0.3">
      <c r="A231" s="193" t="s">
        <v>631</v>
      </c>
    </row>
    <row r="232" spans="1:1" x14ac:dyDescent="0.3">
      <c r="A232" s="193" t="s">
        <v>632</v>
      </c>
    </row>
    <row r="233" spans="1:1" x14ac:dyDescent="0.3">
      <c r="A233" s="193" t="s">
        <v>487</v>
      </c>
    </row>
    <row r="234" spans="1:1" x14ac:dyDescent="0.3">
      <c r="A234" s="193" t="s">
        <v>469</v>
      </c>
    </row>
    <row r="235" spans="1:1" x14ac:dyDescent="0.3">
      <c r="A235" s="193" t="s">
        <v>633</v>
      </c>
    </row>
    <row r="236" spans="1:1" x14ac:dyDescent="0.3">
      <c r="A236" s="193" t="s">
        <v>634</v>
      </c>
    </row>
    <row r="237" spans="1:1" x14ac:dyDescent="0.3">
      <c r="A237" s="193" t="s">
        <v>635</v>
      </c>
    </row>
    <row r="238" spans="1:1" x14ac:dyDescent="0.3">
      <c r="A238" s="193" t="s">
        <v>636</v>
      </c>
    </row>
    <row r="239" spans="1:1" x14ac:dyDescent="0.3">
      <c r="A239" s="193" t="s">
        <v>637</v>
      </c>
    </row>
    <row r="240" spans="1:1" x14ac:dyDescent="0.3">
      <c r="A240" s="193" t="s">
        <v>638</v>
      </c>
    </row>
    <row r="241" spans="1:1" x14ac:dyDescent="0.3">
      <c r="A241" s="193" t="s">
        <v>639</v>
      </c>
    </row>
    <row r="242" spans="1:1" x14ac:dyDescent="0.3">
      <c r="A242" s="193" t="s">
        <v>487</v>
      </c>
    </row>
    <row r="243" spans="1:1" x14ac:dyDescent="0.3">
      <c r="A243" s="193" t="s">
        <v>469</v>
      </c>
    </row>
    <row r="244" spans="1:1" x14ac:dyDescent="0.3">
      <c r="A244" s="193" t="s">
        <v>464</v>
      </c>
    </row>
    <row r="245" spans="1:1" x14ac:dyDescent="0.3">
      <c r="A245" s="193" t="s">
        <v>640</v>
      </c>
    </row>
    <row r="246" spans="1:1" x14ac:dyDescent="0.3">
      <c r="A246" s="193" t="s">
        <v>641</v>
      </c>
    </row>
    <row r="247" spans="1:1" x14ac:dyDescent="0.3">
      <c r="A247" s="193" t="s">
        <v>642</v>
      </c>
    </row>
    <row r="248" spans="1:1" x14ac:dyDescent="0.3">
      <c r="A248" s="193" t="s">
        <v>468</v>
      </c>
    </row>
    <row r="249" spans="1:1" x14ac:dyDescent="0.3">
      <c r="A249" s="193" t="s">
        <v>643</v>
      </c>
    </row>
    <row r="250" spans="1:1" x14ac:dyDescent="0.3">
      <c r="A250" s="193" t="s">
        <v>644</v>
      </c>
    </row>
    <row r="251" spans="1:1" x14ac:dyDescent="0.3">
      <c r="A251" s="193" t="s">
        <v>645</v>
      </c>
    </row>
    <row r="252" spans="1:1" x14ac:dyDescent="0.3">
      <c r="A252" s="193" t="s">
        <v>646</v>
      </c>
    </row>
    <row r="253" spans="1:1" x14ac:dyDescent="0.3">
      <c r="A253" s="193" t="s">
        <v>647</v>
      </c>
    </row>
    <row r="254" spans="1:1" x14ac:dyDescent="0.3">
      <c r="A254" s="193" t="s">
        <v>648</v>
      </c>
    </row>
    <row r="255" spans="1:1" x14ac:dyDescent="0.3">
      <c r="A255" s="193" t="s">
        <v>649</v>
      </c>
    </row>
    <row r="256" spans="1:1" x14ac:dyDescent="0.3">
      <c r="A256" s="193" t="s">
        <v>650</v>
      </c>
    </row>
    <row r="257" spans="1:1" x14ac:dyDescent="0.3">
      <c r="A257" s="193" t="s">
        <v>487</v>
      </c>
    </row>
    <row r="258" spans="1:1" x14ac:dyDescent="0.3">
      <c r="A258" s="193" t="s">
        <v>469</v>
      </c>
    </row>
    <row r="260" spans="1:1" x14ac:dyDescent="0.3">
      <c r="A260" s="194" t="s">
        <v>651</v>
      </c>
    </row>
    <row r="261" spans="1:1" x14ac:dyDescent="0.3">
      <c r="A261" s="193" t="s">
        <v>464</v>
      </c>
    </row>
    <row r="262" spans="1:1" x14ac:dyDescent="0.3">
      <c r="A262" s="193" t="s">
        <v>652</v>
      </c>
    </row>
    <row r="263" spans="1:1" x14ac:dyDescent="0.3">
      <c r="A263" s="193" t="s">
        <v>653</v>
      </c>
    </row>
    <row r="264" spans="1:1" x14ac:dyDescent="0.3">
      <c r="A264" s="193" t="s">
        <v>654</v>
      </c>
    </row>
    <row r="265" spans="1:1" x14ac:dyDescent="0.3">
      <c r="A265" s="193" t="s">
        <v>468</v>
      </c>
    </row>
    <row r="266" spans="1:1" x14ac:dyDescent="0.3">
      <c r="A266" s="193" t="s">
        <v>469</v>
      </c>
    </row>
    <row r="267" spans="1:1" x14ac:dyDescent="0.3">
      <c r="A267" s="193" t="s">
        <v>655</v>
      </c>
    </row>
    <row r="268" spans="1:1" x14ac:dyDescent="0.3">
      <c r="A268" s="193" t="s">
        <v>656</v>
      </c>
    </row>
    <row r="269" spans="1:1" x14ac:dyDescent="0.3">
      <c r="A269" s="193" t="s">
        <v>582</v>
      </c>
    </row>
    <row r="270" spans="1:1" x14ac:dyDescent="0.3">
      <c r="A270" s="193" t="s">
        <v>657</v>
      </c>
    </row>
    <row r="271" spans="1:1" x14ac:dyDescent="0.3">
      <c r="A271" s="193" t="s">
        <v>487</v>
      </c>
    </row>
    <row r="272" spans="1:1" x14ac:dyDescent="0.3">
      <c r="A272" s="193" t="s">
        <v>469</v>
      </c>
    </row>
    <row r="273" spans="1:1" x14ac:dyDescent="0.3">
      <c r="A273" s="193" t="s">
        <v>658</v>
      </c>
    </row>
    <row r="274" spans="1:1" x14ac:dyDescent="0.3">
      <c r="A274" s="193" t="s">
        <v>659</v>
      </c>
    </row>
    <row r="275" spans="1:1" x14ac:dyDescent="0.3">
      <c r="A275" s="193" t="s">
        <v>660</v>
      </c>
    </row>
    <row r="276" spans="1:1" x14ac:dyDescent="0.3">
      <c r="A276" s="193" t="s">
        <v>582</v>
      </c>
    </row>
    <row r="277" spans="1:1" x14ac:dyDescent="0.3">
      <c r="A277" s="193" t="s">
        <v>661</v>
      </c>
    </row>
    <row r="278" spans="1:1" x14ac:dyDescent="0.3">
      <c r="A278" s="193" t="s">
        <v>487</v>
      </c>
    </row>
    <row r="279" spans="1:1" x14ac:dyDescent="0.3">
      <c r="A279" s="193" t="s">
        <v>469</v>
      </c>
    </row>
    <row r="280" spans="1:1" x14ac:dyDescent="0.3">
      <c r="A280" s="193" t="s">
        <v>662</v>
      </c>
    </row>
    <row r="281" spans="1:1" x14ac:dyDescent="0.3">
      <c r="A281" s="193" t="s">
        <v>663</v>
      </c>
    </row>
    <row r="282" spans="1:1" x14ac:dyDescent="0.3">
      <c r="A282" s="193" t="s">
        <v>664</v>
      </c>
    </row>
    <row r="283" spans="1:1" x14ac:dyDescent="0.3">
      <c r="A283" s="193" t="s">
        <v>582</v>
      </c>
    </row>
    <row r="284" spans="1:1" x14ac:dyDescent="0.3">
      <c r="A284" s="193" t="s">
        <v>665</v>
      </c>
    </row>
    <row r="285" spans="1:1" x14ac:dyDescent="0.3">
      <c r="A285" s="193" t="s">
        <v>487</v>
      </c>
    </row>
    <row r="286" spans="1:1" x14ac:dyDescent="0.3">
      <c r="A286" s="193" t="s">
        <v>469</v>
      </c>
    </row>
    <row r="287" spans="1:1" x14ac:dyDescent="0.3">
      <c r="A287" s="193" t="s">
        <v>666</v>
      </c>
    </row>
    <row r="288" spans="1:1" x14ac:dyDescent="0.3">
      <c r="A288" s="193" t="s">
        <v>582</v>
      </c>
    </row>
    <row r="289" spans="1:1" x14ac:dyDescent="0.3">
      <c r="A289" s="193" t="s">
        <v>667</v>
      </c>
    </row>
    <row r="290" spans="1:1" x14ac:dyDescent="0.3">
      <c r="A290" s="193" t="s">
        <v>487</v>
      </c>
    </row>
    <row r="291" spans="1:1" x14ac:dyDescent="0.3">
      <c r="A291" s="193" t="s">
        <v>469</v>
      </c>
    </row>
    <row r="292" spans="1:1" x14ac:dyDescent="0.3">
      <c r="A292" s="193" t="s">
        <v>668</v>
      </c>
    </row>
    <row r="293" spans="1:1" x14ac:dyDescent="0.3">
      <c r="A293" s="193" t="s">
        <v>669</v>
      </c>
    </row>
    <row r="294" spans="1:1" x14ac:dyDescent="0.3">
      <c r="A294" s="193" t="s">
        <v>670</v>
      </c>
    </row>
    <row r="295" spans="1:1" x14ac:dyDescent="0.3">
      <c r="A295" s="193" t="s">
        <v>582</v>
      </c>
    </row>
    <row r="296" spans="1:1" x14ac:dyDescent="0.3">
      <c r="A296" s="193" t="s">
        <v>671</v>
      </c>
    </row>
    <row r="297" spans="1:1" x14ac:dyDescent="0.3">
      <c r="A297" s="193" t="s">
        <v>672</v>
      </c>
    </row>
    <row r="298" spans="1:1" x14ac:dyDescent="0.3">
      <c r="A298" s="193" t="s">
        <v>673</v>
      </c>
    </row>
    <row r="299" spans="1:1" x14ac:dyDescent="0.3">
      <c r="A299" s="193" t="s">
        <v>674</v>
      </c>
    </row>
    <row r="300" spans="1:1" x14ac:dyDescent="0.3">
      <c r="A300" s="193" t="s">
        <v>675</v>
      </c>
    </row>
    <row r="301" spans="1:1" x14ac:dyDescent="0.3">
      <c r="A301" s="193" t="s">
        <v>676</v>
      </c>
    </row>
    <row r="302" spans="1:1" x14ac:dyDescent="0.3">
      <c r="A302" s="193" t="s">
        <v>677</v>
      </c>
    </row>
    <row r="303" spans="1:1" x14ac:dyDescent="0.3">
      <c r="A303" s="193" t="s">
        <v>678</v>
      </c>
    </row>
    <row r="304" spans="1:1" x14ac:dyDescent="0.3">
      <c r="A304" s="193" t="s">
        <v>679</v>
      </c>
    </row>
    <row r="305" spans="1:1" x14ac:dyDescent="0.3">
      <c r="A305" s="193" t="s">
        <v>494</v>
      </c>
    </row>
    <row r="306" spans="1:1" x14ac:dyDescent="0.3">
      <c r="A306" s="193" t="s">
        <v>680</v>
      </c>
    </row>
    <row r="307" spans="1:1" x14ac:dyDescent="0.3">
      <c r="A307" s="193" t="s">
        <v>487</v>
      </c>
    </row>
    <row r="308" spans="1:1" x14ac:dyDescent="0.3">
      <c r="A308" s="193" t="s">
        <v>469</v>
      </c>
    </row>
    <row r="309" spans="1:1" x14ac:dyDescent="0.3">
      <c r="A309" s="193" t="s">
        <v>681</v>
      </c>
    </row>
    <row r="310" spans="1:1" x14ac:dyDescent="0.3">
      <c r="A310" s="193" t="s">
        <v>682</v>
      </c>
    </row>
    <row r="311" spans="1:1" x14ac:dyDescent="0.3">
      <c r="A311" s="193" t="s">
        <v>514</v>
      </c>
    </row>
    <row r="312" spans="1:1" x14ac:dyDescent="0.3">
      <c r="A312" s="193" t="s">
        <v>683</v>
      </c>
    </row>
    <row r="313" spans="1:1" x14ac:dyDescent="0.3">
      <c r="A313" s="193" t="s">
        <v>519</v>
      </c>
    </row>
    <row r="314" spans="1:1" x14ac:dyDescent="0.3">
      <c r="A314" s="193" t="s">
        <v>684</v>
      </c>
    </row>
    <row r="315" spans="1:1" x14ac:dyDescent="0.3">
      <c r="A315" s="193" t="s">
        <v>494</v>
      </c>
    </row>
    <row r="316" spans="1:1" x14ac:dyDescent="0.3">
      <c r="A316" s="193" t="s">
        <v>685</v>
      </c>
    </row>
    <row r="317" spans="1:1" x14ac:dyDescent="0.3">
      <c r="A317" s="193" t="s">
        <v>686</v>
      </c>
    </row>
    <row r="318" spans="1:1" x14ac:dyDescent="0.3">
      <c r="A318" s="193" t="s">
        <v>487</v>
      </c>
    </row>
    <row r="319" spans="1:1" x14ac:dyDescent="0.3">
      <c r="A319" s="193" t="s">
        <v>469</v>
      </c>
    </row>
    <row r="320" spans="1:1" x14ac:dyDescent="0.3">
      <c r="A320" s="194" t="s">
        <v>687</v>
      </c>
    </row>
    <row r="321" spans="1:1" x14ac:dyDescent="0.3">
      <c r="A321" s="193" t="s">
        <v>464</v>
      </c>
    </row>
    <row r="322" spans="1:1" x14ac:dyDescent="0.3">
      <c r="A322" s="193" t="s">
        <v>688</v>
      </c>
    </row>
    <row r="323" spans="1:1" x14ac:dyDescent="0.3">
      <c r="A323" s="193" t="s">
        <v>689</v>
      </c>
    </row>
    <row r="324" spans="1:1" x14ac:dyDescent="0.3">
      <c r="A324" s="193" t="s">
        <v>468</v>
      </c>
    </row>
    <row r="325" spans="1:1" x14ac:dyDescent="0.3">
      <c r="A325" s="193" t="s">
        <v>469</v>
      </c>
    </row>
    <row r="326" spans="1:1" x14ac:dyDescent="0.3">
      <c r="A326" s="193" t="s">
        <v>690</v>
      </c>
    </row>
    <row r="327" spans="1:1" x14ac:dyDescent="0.3">
      <c r="A327" s="193" t="s">
        <v>469</v>
      </c>
    </row>
    <row r="328" spans="1:1" x14ac:dyDescent="0.3">
      <c r="A328" s="193" t="s">
        <v>691</v>
      </c>
    </row>
    <row r="329" spans="1:1" x14ac:dyDescent="0.3">
      <c r="A329" s="193" t="s">
        <v>692</v>
      </c>
    </row>
    <row r="330" spans="1:1" x14ac:dyDescent="0.3">
      <c r="A330" s="193" t="s">
        <v>693</v>
      </c>
    </row>
    <row r="331" spans="1:1" x14ac:dyDescent="0.3">
      <c r="A331" s="193" t="s">
        <v>694</v>
      </c>
    </row>
    <row r="332" spans="1:1" x14ac:dyDescent="0.3">
      <c r="A332" s="193" t="s">
        <v>695</v>
      </c>
    </row>
    <row r="333" spans="1:1" x14ac:dyDescent="0.3">
      <c r="A333" s="193" t="s">
        <v>696</v>
      </c>
    </row>
    <row r="334" spans="1:1" x14ac:dyDescent="0.3">
      <c r="A334" s="193" t="s">
        <v>697</v>
      </c>
    </row>
    <row r="335" spans="1:1" x14ac:dyDescent="0.3">
      <c r="A335" s="193" t="s">
        <v>698</v>
      </c>
    </row>
    <row r="336" spans="1:1" x14ac:dyDescent="0.3">
      <c r="A336" s="193" t="s">
        <v>699</v>
      </c>
    </row>
    <row r="337" spans="1:1" x14ac:dyDescent="0.3">
      <c r="A337" s="193" t="s">
        <v>487</v>
      </c>
    </row>
    <row r="338" spans="1:1" x14ac:dyDescent="0.3">
      <c r="A338" s="193" t="s">
        <v>469</v>
      </c>
    </row>
    <row r="339" spans="1:1" x14ac:dyDescent="0.3">
      <c r="A339" s="193" t="s">
        <v>700</v>
      </c>
    </row>
    <row r="340" spans="1:1" x14ac:dyDescent="0.3">
      <c r="A340" s="193" t="s">
        <v>701</v>
      </c>
    </row>
    <row r="341" spans="1:1" x14ac:dyDescent="0.3">
      <c r="A341" s="193" t="s">
        <v>702</v>
      </c>
    </row>
    <row r="342" spans="1:1" x14ac:dyDescent="0.3">
      <c r="A342" s="193" t="s">
        <v>703</v>
      </c>
    </row>
    <row r="343" spans="1:1" x14ac:dyDescent="0.3">
      <c r="A343" s="193" t="s">
        <v>704</v>
      </c>
    </row>
    <row r="344" spans="1:1" x14ac:dyDescent="0.3">
      <c r="A344" s="193" t="s">
        <v>705</v>
      </c>
    </row>
    <row r="345" spans="1:1" x14ac:dyDescent="0.3">
      <c r="A345" s="193" t="s">
        <v>501</v>
      </c>
    </row>
    <row r="346" spans="1:1" x14ac:dyDescent="0.3">
      <c r="A346" s="193" t="s">
        <v>494</v>
      </c>
    </row>
    <row r="347" spans="1:1" x14ac:dyDescent="0.3">
      <c r="A347" s="193" t="s">
        <v>706</v>
      </c>
    </row>
    <row r="348" spans="1:1" x14ac:dyDescent="0.3">
      <c r="A348" s="193" t="s">
        <v>487</v>
      </c>
    </row>
    <row r="349" spans="1:1" x14ac:dyDescent="0.3">
      <c r="A349" s="193" t="s">
        <v>469</v>
      </c>
    </row>
    <row r="351" spans="1:1" x14ac:dyDescent="0.3">
      <c r="A351" s="194" t="s">
        <v>983</v>
      </c>
    </row>
    <row r="352" spans="1:1" x14ac:dyDescent="0.3">
      <c r="A352" s="193" t="s">
        <v>464</v>
      </c>
    </row>
    <row r="353" spans="1:1" x14ac:dyDescent="0.3">
      <c r="A353" s="193" t="s">
        <v>984</v>
      </c>
    </row>
    <row r="354" spans="1:1" x14ac:dyDescent="0.3">
      <c r="A354" s="193" t="s">
        <v>985</v>
      </c>
    </row>
    <row r="355" spans="1:1" x14ac:dyDescent="0.3">
      <c r="A355" s="193" t="s">
        <v>986</v>
      </c>
    </row>
    <row r="356" spans="1:1" x14ac:dyDescent="0.3">
      <c r="A356" s="193" t="s">
        <v>987</v>
      </c>
    </row>
    <row r="357" spans="1:1" x14ac:dyDescent="0.3">
      <c r="A357" s="193" t="s">
        <v>988</v>
      </c>
    </row>
    <row r="358" spans="1:1" x14ac:dyDescent="0.3">
      <c r="A358" s="193" t="s">
        <v>989</v>
      </c>
    </row>
    <row r="359" spans="1:1" x14ac:dyDescent="0.3">
      <c r="A359" s="193" t="s">
        <v>468</v>
      </c>
    </row>
    <row r="360" spans="1:1" x14ac:dyDescent="0.3">
      <c r="A360" s="193" t="s">
        <v>469</v>
      </c>
    </row>
    <row r="361" spans="1:1" x14ac:dyDescent="0.3">
      <c r="A361" s="193" t="s">
        <v>990</v>
      </c>
    </row>
    <row r="362" spans="1:1" x14ac:dyDescent="0.3">
      <c r="A362" s="193" t="s">
        <v>991</v>
      </c>
    </row>
    <row r="363" spans="1:1" x14ac:dyDescent="0.3">
      <c r="A363" s="193" t="s">
        <v>469</v>
      </c>
    </row>
    <row r="364" spans="1:1" x14ac:dyDescent="0.3">
      <c r="A364" s="193" t="s">
        <v>464</v>
      </c>
    </row>
    <row r="365" spans="1:1" x14ac:dyDescent="0.3">
      <c r="A365" s="193" t="s">
        <v>992</v>
      </c>
    </row>
    <row r="366" spans="1:1" x14ac:dyDescent="0.3">
      <c r="A366" s="193" t="s">
        <v>993</v>
      </c>
    </row>
    <row r="367" spans="1:1" x14ac:dyDescent="0.3">
      <c r="A367" s="193" t="s">
        <v>468</v>
      </c>
    </row>
    <row r="368" spans="1:1" x14ac:dyDescent="0.3">
      <c r="A368" s="193" t="s">
        <v>994</v>
      </c>
    </row>
    <row r="369" spans="1:1" x14ac:dyDescent="0.3">
      <c r="A369" s="193" t="s">
        <v>995</v>
      </c>
    </row>
    <row r="370" spans="1:1" x14ac:dyDescent="0.3">
      <c r="A370" s="193" t="s">
        <v>996</v>
      </c>
    </row>
    <row r="371" spans="1:1" x14ac:dyDescent="0.3">
      <c r="A371" s="193" t="s">
        <v>997</v>
      </c>
    </row>
    <row r="372" spans="1:1" x14ac:dyDescent="0.3">
      <c r="A372" s="193" t="s">
        <v>998</v>
      </c>
    </row>
    <row r="373" spans="1:1" x14ac:dyDescent="0.3">
      <c r="A373" s="193" t="s">
        <v>999</v>
      </c>
    </row>
    <row r="374" spans="1:1" x14ac:dyDescent="0.3">
      <c r="A374" s="193" t="s">
        <v>1000</v>
      </c>
    </row>
    <row r="375" spans="1:1" x14ac:dyDescent="0.3">
      <c r="A375" s="193" t="s">
        <v>1001</v>
      </c>
    </row>
    <row r="376" spans="1:1" x14ac:dyDescent="0.3">
      <c r="A376" s="193" t="s">
        <v>1002</v>
      </c>
    </row>
    <row r="377" spans="1:1" x14ac:dyDescent="0.3">
      <c r="A377" s="193" t="s">
        <v>1003</v>
      </c>
    </row>
    <row r="378" spans="1:1" x14ac:dyDescent="0.3">
      <c r="A378" s="193" t="s">
        <v>1004</v>
      </c>
    </row>
    <row r="379" spans="1:1" x14ac:dyDescent="0.3">
      <c r="A379" s="193" t="s">
        <v>494</v>
      </c>
    </row>
    <row r="380" spans="1:1" x14ac:dyDescent="0.3">
      <c r="A380" s="193" t="s">
        <v>1005</v>
      </c>
    </row>
    <row r="381" spans="1:1" x14ac:dyDescent="0.3">
      <c r="A381" s="193" t="s">
        <v>1006</v>
      </c>
    </row>
    <row r="382" spans="1:1" x14ac:dyDescent="0.3">
      <c r="A382" s="193" t="s">
        <v>1007</v>
      </c>
    </row>
    <row r="383" spans="1:1" x14ac:dyDescent="0.3">
      <c r="A383" s="193" t="s">
        <v>1008</v>
      </c>
    </row>
    <row r="384" spans="1:1" x14ac:dyDescent="0.3">
      <c r="A384" s="193" t="s">
        <v>1009</v>
      </c>
    </row>
    <row r="385" spans="1:1" x14ac:dyDescent="0.3">
      <c r="A385" s="193" t="s">
        <v>582</v>
      </c>
    </row>
    <row r="386" spans="1:1" x14ac:dyDescent="0.3">
      <c r="A386" s="193" t="s">
        <v>1010</v>
      </c>
    </row>
    <row r="387" spans="1:1" x14ac:dyDescent="0.3">
      <c r="A387" s="193" t="s">
        <v>1011</v>
      </c>
    </row>
    <row r="388" spans="1:1" x14ac:dyDescent="0.3">
      <c r="A388" s="193" t="s">
        <v>514</v>
      </c>
    </row>
    <row r="389" spans="1:1" x14ac:dyDescent="0.3">
      <c r="A389" s="193" t="s">
        <v>1012</v>
      </c>
    </row>
    <row r="390" spans="1:1" x14ac:dyDescent="0.3">
      <c r="A390" s="193" t="s">
        <v>1013</v>
      </c>
    </row>
    <row r="391" spans="1:1" x14ac:dyDescent="0.3">
      <c r="A391" s="193" t="s">
        <v>1014</v>
      </c>
    </row>
    <row r="392" spans="1:1" x14ac:dyDescent="0.3">
      <c r="A392" s="193" t="s">
        <v>1015</v>
      </c>
    </row>
    <row r="393" spans="1:1" x14ac:dyDescent="0.3">
      <c r="A393" s="193" t="s">
        <v>487</v>
      </c>
    </row>
    <row r="394" spans="1:1" x14ac:dyDescent="0.3">
      <c r="A394" s="193" t="s">
        <v>469</v>
      </c>
    </row>
    <row r="395" spans="1:1" x14ac:dyDescent="0.3">
      <c r="A395" s="193" t="s">
        <v>464</v>
      </c>
    </row>
    <row r="396" spans="1:1" x14ac:dyDescent="0.3">
      <c r="A396" s="193" t="s">
        <v>1016</v>
      </c>
    </row>
    <row r="397" spans="1:1" x14ac:dyDescent="0.3">
      <c r="A397" s="193" t="s">
        <v>1017</v>
      </c>
    </row>
    <row r="398" spans="1:1" x14ac:dyDescent="0.3">
      <c r="A398" s="193" t="s">
        <v>1018</v>
      </c>
    </row>
    <row r="399" spans="1:1" x14ac:dyDescent="0.3">
      <c r="A399" s="193" t="s">
        <v>468</v>
      </c>
    </row>
    <row r="400" spans="1:1" x14ac:dyDescent="0.3">
      <c r="A400" s="193" t="s">
        <v>1019</v>
      </c>
    </row>
    <row r="401" spans="1:1" x14ac:dyDescent="0.3">
      <c r="A401" s="193" t="s">
        <v>504</v>
      </c>
    </row>
    <row r="402" spans="1:1" x14ac:dyDescent="0.3">
      <c r="A402" s="193" t="s">
        <v>1020</v>
      </c>
    </row>
    <row r="403" spans="1:1" x14ac:dyDescent="0.3">
      <c r="A403" s="193" t="s">
        <v>1021</v>
      </c>
    </row>
    <row r="404" spans="1:1" x14ac:dyDescent="0.3">
      <c r="A404" s="193" t="s">
        <v>1022</v>
      </c>
    </row>
    <row r="405" spans="1:1" x14ac:dyDescent="0.3">
      <c r="A405" s="193" t="s">
        <v>1023</v>
      </c>
    </row>
    <row r="406" spans="1:1" x14ac:dyDescent="0.3">
      <c r="A406" s="193" t="s">
        <v>1024</v>
      </c>
    </row>
    <row r="407" spans="1:1" x14ac:dyDescent="0.3">
      <c r="A407" s="193" t="s">
        <v>1025</v>
      </c>
    </row>
    <row r="408" spans="1:1" x14ac:dyDescent="0.3">
      <c r="A408" s="193" t="s">
        <v>1026</v>
      </c>
    </row>
    <row r="409" spans="1:1" x14ac:dyDescent="0.3">
      <c r="A409" s="193" t="s">
        <v>1027</v>
      </c>
    </row>
    <row r="410" spans="1:1" x14ac:dyDescent="0.3">
      <c r="A410" s="193" t="s">
        <v>1028</v>
      </c>
    </row>
    <row r="411" spans="1:1" x14ac:dyDescent="0.3">
      <c r="A411" s="193" t="s">
        <v>1029</v>
      </c>
    </row>
    <row r="412" spans="1:1" x14ac:dyDescent="0.3">
      <c r="A412" s="193" t="s">
        <v>1030</v>
      </c>
    </row>
    <row r="413" spans="1:1" x14ac:dyDescent="0.3">
      <c r="A413" s="193" t="s">
        <v>1031</v>
      </c>
    </row>
    <row r="414" spans="1:1" x14ac:dyDescent="0.3">
      <c r="A414" s="193" t="s">
        <v>1032</v>
      </c>
    </row>
    <row r="415" spans="1:1" x14ac:dyDescent="0.3">
      <c r="A415" s="193" t="s">
        <v>1033</v>
      </c>
    </row>
    <row r="416" spans="1:1" x14ac:dyDescent="0.3">
      <c r="A416" s="193" t="s">
        <v>1034</v>
      </c>
    </row>
    <row r="417" spans="1:1" x14ac:dyDescent="0.3">
      <c r="A417" s="193" t="s">
        <v>501</v>
      </c>
    </row>
    <row r="418" spans="1:1" x14ac:dyDescent="0.3">
      <c r="A418" s="193" t="s">
        <v>1035</v>
      </c>
    </row>
    <row r="419" spans="1:1" x14ac:dyDescent="0.3">
      <c r="A419" s="193" t="s">
        <v>1036</v>
      </c>
    </row>
    <row r="420" spans="1:1" x14ac:dyDescent="0.3">
      <c r="A420" s="193" t="s">
        <v>1037</v>
      </c>
    </row>
    <row r="421" spans="1:1" x14ac:dyDescent="0.3">
      <c r="A421" s="193" t="s">
        <v>1038</v>
      </c>
    </row>
    <row r="422" spans="1:1" x14ac:dyDescent="0.3">
      <c r="A422" s="193" t="s">
        <v>1039</v>
      </c>
    </row>
    <row r="423" spans="1:1" x14ac:dyDescent="0.3">
      <c r="A423" s="193" t="s">
        <v>1040</v>
      </c>
    </row>
    <row r="424" spans="1:1" x14ac:dyDescent="0.3">
      <c r="A424" s="193" t="s">
        <v>1041</v>
      </c>
    </row>
    <row r="425" spans="1:1" x14ac:dyDescent="0.3">
      <c r="A425" s="193" t="s">
        <v>1042</v>
      </c>
    </row>
    <row r="426" spans="1:1" x14ac:dyDescent="0.3">
      <c r="A426" s="193" t="s">
        <v>1043</v>
      </c>
    </row>
    <row r="427" spans="1:1" x14ac:dyDescent="0.3">
      <c r="A427" s="193" t="s">
        <v>501</v>
      </c>
    </row>
    <row r="428" spans="1:1" x14ac:dyDescent="0.3">
      <c r="A428" s="193" t="s">
        <v>1044</v>
      </c>
    </row>
    <row r="429" spans="1:1" x14ac:dyDescent="0.3">
      <c r="A429" s="193" t="s">
        <v>1045</v>
      </c>
    </row>
    <row r="430" spans="1:1" x14ac:dyDescent="0.3">
      <c r="A430" s="193" t="s">
        <v>494</v>
      </c>
    </row>
    <row r="431" spans="1:1" x14ac:dyDescent="0.3">
      <c r="A431" s="193" t="s">
        <v>1046</v>
      </c>
    </row>
    <row r="432" spans="1:1" x14ac:dyDescent="0.3">
      <c r="A432" s="193" t="s">
        <v>1047</v>
      </c>
    </row>
    <row r="433" spans="1:1" x14ac:dyDescent="0.3">
      <c r="A433" s="193" t="s">
        <v>487</v>
      </c>
    </row>
    <row r="434" spans="1:1" x14ac:dyDescent="0.3">
      <c r="A434" s="193" t="s">
        <v>469</v>
      </c>
    </row>
    <row r="435" spans="1:1" x14ac:dyDescent="0.3">
      <c r="A435" s="193" t="s">
        <v>464</v>
      </c>
    </row>
    <row r="436" spans="1:1" x14ac:dyDescent="0.3">
      <c r="A436" s="193" t="s">
        <v>1048</v>
      </c>
    </row>
    <row r="437" spans="1:1" x14ac:dyDescent="0.3">
      <c r="A437" s="193" t="s">
        <v>1049</v>
      </c>
    </row>
    <row r="438" spans="1:1" x14ac:dyDescent="0.3">
      <c r="A438" s="193" t="s">
        <v>1050</v>
      </c>
    </row>
    <row r="439" spans="1:1" x14ac:dyDescent="0.3">
      <c r="A439" s="193" t="s">
        <v>468</v>
      </c>
    </row>
    <row r="440" spans="1:1" x14ac:dyDescent="0.3">
      <c r="A440" s="193" t="s">
        <v>1051</v>
      </c>
    </row>
    <row r="441" spans="1:1" x14ac:dyDescent="0.3">
      <c r="A441" s="193" t="s">
        <v>618</v>
      </c>
    </row>
    <row r="442" spans="1:1" x14ac:dyDescent="0.3">
      <c r="A442" s="193" t="s">
        <v>619</v>
      </c>
    </row>
    <row r="443" spans="1:1" x14ac:dyDescent="0.3">
      <c r="A443" s="193" t="s">
        <v>1052</v>
      </c>
    </row>
    <row r="444" spans="1:1" x14ac:dyDescent="0.3">
      <c r="A444" s="193" t="s">
        <v>1053</v>
      </c>
    </row>
    <row r="445" spans="1:1" x14ac:dyDescent="0.3">
      <c r="A445" s="193" t="s">
        <v>494</v>
      </c>
    </row>
    <row r="446" spans="1:1" x14ac:dyDescent="0.3">
      <c r="A446" s="193" t="s">
        <v>622</v>
      </c>
    </row>
    <row r="447" spans="1:1" x14ac:dyDescent="0.3">
      <c r="A447" s="193" t="s">
        <v>1054</v>
      </c>
    </row>
    <row r="448" spans="1:1" x14ac:dyDescent="0.3">
      <c r="A448" s="193" t="s">
        <v>1055</v>
      </c>
    </row>
    <row r="449" spans="1:1" x14ac:dyDescent="0.3">
      <c r="A449" s="193" t="s">
        <v>1056</v>
      </c>
    </row>
    <row r="450" spans="1:1" x14ac:dyDescent="0.3">
      <c r="A450" s="193" t="s">
        <v>1057</v>
      </c>
    </row>
    <row r="451" spans="1:1" x14ac:dyDescent="0.3">
      <c r="A451" s="193" t="s">
        <v>494</v>
      </c>
    </row>
    <row r="452" spans="1:1" x14ac:dyDescent="0.3">
      <c r="A452" s="193" t="s">
        <v>1058</v>
      </c>
    </row>
    <row r="453" spans="1:1" x14ac:dyDescent="0.3">
      <c r="A453" s="193" t="s">
        <v>514</v>
      </c>
    </row>
    <row r="454" spans="1:1" x14ac:dyDescent="0.3">
      <c r="A454" s="193" t="s">
        <v>1059</v>
      </c>
    </row>
    <row r="455" spans="1:1" x14ac:dyDescent="0.3">
      <c r="A455" s="193" t="s">
        <v>1060</v>
      </c>
    </row>
    <row r="456" spans="1:1" x14ac:dyDescent="0.3">
      <c r="A456" s="193" t="s">
        <v>519</v>
      </c>
    </row>
    <row r="457" spans="1:1" x14ac:dyDescent="0.3">
      <c r="A457" s="193" t="s">
        <v>1061</v>
      </c>
    </row>
    <row r="458" spans="1:1" x14ac:dyDescent="0.3">
      <c r="A458" s="193" t="s">
        <v>1062</v>
      </c>
    </row>
    <row r="459" spans="1:1" x14ac:dyDescent="0.3">
      <c r="A459" s="193" t="s">
        <v>494</v>
      </c>
    </row>
    <row r="460" spans="1:1" x14ac:dyDescent="0.3">
      <c r="A460" s="193" t="s">
        <v>1063</v>
      </c>
    </row>
    <row r="461" spans="1:1" x14ac:dyDescent="0.3">
      <c r="A461" s="193" t="s">
        <v>1064</v>
      </c>
    </row>
    <row r="462" spans="1:1" x14ac:dyDescent="0.3">
      <c r="A462" s="193" t="s">
        <v>1065</v>
      </c>
    </row>
    <row r="463" spans="1:1" x14ac:dyDescent="0.3">
      <c r="A463" s="193" t="s">
        <v>494</v>
      </c>
    </row>
    <row r="464" spans="1:1" x14ac:dyDescent="0.3">
      <c r="A464" s="193" t="s">
        <v>1066</v>
      </c>
    </row>
    <row r="465" spans="1:1" x14ac:dyDescent="0.3">
      <c r="A465" s="193" t="s">
        <v>1067</v>
      </c>
    </row>
    <row r="466" spans="1:1" x14ac:dyDescent="0.3">
      <c r="A466" s="193" t="s">
        <v>1068</v>
      </c>
    </row>
    <row r="467" spans="1:1" x14ac:dyDescent="0.3">
      <c r="A467" s="193" t="s">
        <v>1069</v>
      </c>
    </row>
    <row r="468" spans="1:1" x14ac:dyDescent="0.3">
      <c r="A468" s="193" t="s">
        <v>1070</v>
      </c>
    </row>
    <row r="469" spans="1:1" x14ac:dyDescent="0.3">
      <c r="A469" s="193" t="s">
        <v>494</v>
      </c>
    </row>
    <row r="470" spans="1:1" x14ac:dyDescent="0.3">
      <c r="A470" s="193" t="s">
        <v>1071</v>
      </c>
    </row>
    <row r="471" spans="1:1" x14ac:dyDescent="0.3">
      <c r="A471" s="193" t="s">
        <v>1072</v>
      </c>
    </row>
    <row r="472" spans="1:1" x14ac:dyDescent="0.3">
      <c r="A472" s="193" t="s">
        <v>1073</v>
      </c>
    </row>
    <row r="473" spans="1:1" x14ac:dyDescent="0.3">
      <c r="A473" s="193" t="s">
        <v>514</v>
      </c>
    </row>
    <row r="474" spans="1:1" x14ac:dyDescent="0.3">
      <c r="A474" s="193" t="s">
        <v>1074</v>
      </c>
    </row>
    <row r="475" spans="1:1" x14ac:dyDescent="0.3">
      <c r="A475" s="193" t="s">
        <v>1075</v>
      </c>
    </row>
    <row r="476" spans="1:1" x14ac:dyDescent="0.3">
      <c r="A476" s="193" t="s">
        <v>1076</v>
      </c>
    </row>
    <row r="477" spans="1:1" x14ac:dyDescent="0.3">
      <c r="A477" s="193" t="s">
        <v>1077</v>
      </c>
    </row>
    <row r="478" spans="1:1" x14ac:dyDescent="0.3">
      <c r="A478" s="193" t="s">
        <v>1014</v>
      </c>
    </row>
    <row r="479" spans="1:1" x14ac:dyDescent="0.3">
      <c r="A479" s="193" t="s">
        <v>1078</v>
      </c>
    </row>
    <row r="480" spans="1:1" x14ac:dyDescent="0.3">
      <c r="A480" s="193" t="s">
        <v>487</v>
      </c>
    </row>
    <row r="481" spans="1:1" x14ac:dyDescent="0.3">
      <c r="A481" s="193" t="s">
        <v>469</v>
      </c>
    </row>
    <row r="482" spans="1:1" x14ac:dyDescent="0.3">
      <c r="A482" s="193" t="s">
        <v>1079</v>
      </c>
    </row>
    <row r="483" spans="1:1" x14ac:dyDescent="0.3">
      <c r="A483" s="193" t="s">
        <v>1080</v>
      </c>
    </row>
    <row r="484" spans="1:1" x14ac:dyDescent="0.3">
      <c r="A484" s="193" t="s">
        <v>1081</v>
      </c>
    </row>
    <row r="485" spans="1:1" x14ac:dyDescent="0.3">
      <c r="A485" s="193" t="s">
        <v>1082</v>
      </c>
    </row>
    <row r="486" spans="1:1" x14ac:dyDescent="0.3">
      <c r="A486" s="193" t="s">
        <v>1083</v>
      </c>
    </row>
    <row r="487" spans="1:1" x14ac:dyDescent="0.3">
      <c r="A487" s="193" t="s">
        <v>492</v>
      </c>
    </row>
    <row r="488" spans="1:1" x14ac:dyDescent="0.3">
      <c r="A488" s="193" t="s">
        <v>1084</v>
      </c>
    </row>
    <row r="489" spans="1:1" x14ac:dyDescent="0.3">
      <c r="A489" s="193" t="s">
        <v>1085</v>
      </c>
    </row>
    <row r="490" spans="1:1" x14ac:dyDescent="0.3">
      <c r="A490" s="193" t="s">
        <v>494</v>
      </c>
    </row>
    <row r="491" spans="1:1" x14ac:dyDescent="0.3">
      <c r="A491" s="193" t="s">
        <v>1086</v>
      </c>
    </row>
    <row r="492" spans="1:1" x14ac:dyDescent="0.3">
      <c r="A492" s="193" t="s">
        <v>1087</v>
      </c>
    </row>
    <row r="493" spans="1:1" x14ac:dyDescent="0.3">
      <c r="A493" s="193" t="s">
        <v>487</v>
      </c>
    </row>
    <row r="494" spans="1:1" x14ac:dyDescent="0.3">
      <c r="A494" s="193" t="s">
        <v>469</v>
      </c>
    </row>
    <row r="497" spans="1:1" x14ac:dyDescent="0.3">
      <c r="A497" s="194" t="s">
        <v>1286</v>
      </c>
    </row>
    <row r="498" spans="1:1" x14ac:dyDescent="0.3">
      <c r="A498" s="193" t="s">
        <v>464</v>
      </c>
    </row>
    <row r="499" spans="1:1" x14ac:dyDescent="0.3">
      <c r="A499" s="193" t="s">
        <v>1287</v>
      </c>
    </row>
    <row r="500" spans="1:1" x14ac:dyDescent="0.3">
      <c r="A500" s="193" t="s">
        <v>1288</v>
      </c>
    </row>
    <row r="501" spans="1:1" x14ac:dyDescent="0.3">
      <c r="A501" s="193" t="s">
        <v>1289</v>
      </c>
    </row>
    <row r="502" spans="1:1" x14ac:dyDescent="0.3">
      <c r="A502" s="193" t="s">
        <v>468</v>
      </c>
    </row>
    <row r="503" spans="1:1" x14ac:dyDescent="0.3">
      <c r="A503" s="193" t="s">
        <v>469</v>
      </c>
    </row>
    <row r="504" spans="1:1" x14ac:dyDescent="0.3">
      <c r="A504" s="193" t="s">
        <v>1290</v>
      </c>
    </row>
    <row r="505" spans="1:1" x14ac:dyDescent="0.3">
      <c r="A505" s="193" t="s">
        <v>1291</v>
      </c>
    </row>
    <row r="506" spans="1:1" x14ac:dyDescent="0.3">
      <c r="A506" s="193" t="s">
        <v>1292</v>
      </c>
    </row>
    <row r="507" spans="1:1" x14ac:dyDescent="0.3">
      <c r="A507" s="193" t="s">
        <v>1293</v>
      </c>
    </row>
    <row r="508" spans="1:1" x14ac:dyDescent="0.3">
      <c r="A508" s="193" t="s">
        <v>469</v>
      </c>
    </row>
    <row r="509" spans="1:1" x14ac:dyDescent="0.3">
      <c r="A509" s="193" t="s">
        <v>464</v>
      </c>
    </row>
    <row r="510" spans="1:1" x14ac:dyDescent="0.3">
      <c r="A510" s="193" t="s">
        <v>1294</v>
      </c>
    </row>
    <row r="511" spans="1:1" x14ac:dyDescent="0.3">
      <c r="A511" s="193" t="s">
        <v>1295</v>
      </c>
    </row>
    <row r="512" spans="1:1" x14ac:dyDescent="0.3">
      <c r="A512" s="193" t="s">
        <v>468</v>
      </c>
    </row>
    <row r="513" spans="1:1" x14ac:dyDescent="0.3">
      <c r="A513" s="193" t="s">
        <v>1296</v>
      </c>
    </row>
    <row r="514" spans="1:1" x14ac:dyDescent="0.3">
      <c r="A514" s="193" t="s">
        <v>504</v>
      </c>
    </row>
    <row r="515" spans="1:1" x14ac:dyDescent="0.3">
      <c r="A515" s="193" t="s">
        <v>1297</v>
      </c>
    </row>
    <row r="516" spans="1:1" x14ac:dyDescent="0.3">
      <c r="A516" s="193" t="s">
        <v>1298</v>
      </c>
    </row>
    <row r="517" spans="1:1" x14ac:dyDescent="0.3">
      <c r="A517" s="193" t="s">
        <v>1299</v>
      </c>
    </row>
    <row r="518" spans="1:1" x14ac:dyDescent="0.3">
      <c r="A518" s="193" t="s">
        <v>469</v>
      </c>
    </row>
    <row r="519" spans="1:1" x14ac:dyDescent="0.3">
      <c r="A519" s="193" t="s">
        <v>1300</v>
      </c>
    </row>
    <row r="520" spans="1:1" x14ac:dyDescent="0.3">
      <c r="A520" s="193" t="s">
        <v>1301</v>
      </c>
    </row>
    <row r="521" spans="1:1" x14ac:dyDescent="0.3">
      <c r="A521" s="193" t="s">
        <v>1302</v>
      </c>
    </row>
    <row r="522" spans="1:1" x14ac:dyDescent="0.3">
      <c r="A522" s="193" t="s">
        <v>1303</v>
      </c>
    </row>
    <row r="523" spans="1:1" x14ac:dyDescent="0.3">
      <c r="A523" s="193" t="s">
        <v>1304</v>
      </c>
    </row>
    <row r="524" spans="1:1" x14ac:dyDescent="0.3">
      <c r="A524" s="193" t="s">
        <v>494</v>
      </c>
    </row>
    <row r="525" spans="1:1" x14ac:dyDescent="0.3">
      <c r="A525" s="193" t="s">
        <v>469</v>
      </c>
    </row>
    <row r="526" spans="1:1" x14ac:dyDescent="0.3">
      <c r="A526" s="193" t="s">
        <v>1305</v>
      </c>
    </row>
    <row r="527" spans="1:1" x14ac:dyDescent="0.3">
      <c r="A527" s="193" t="s">
        <v>1306</v>
      </c>
    </row>
    <row r="528" spans="1:1" x14ac:dyDescent="0.3">
      <c r="A528" s="193" t="s">
        <v>646</v>
      </c>
    </row>
    <row r="529" spans="1:1" x14ac:dyDescent="0.3">
      <c r="A529" s="193" t="s">
        <v>1307</v>
      </c>
    </row>
    <row r="530" spans="1:1" x14ac:dyDescent="0.3">
      <c r="A530" s="193" t="s">
        <v>1308</v>
      </c>
    </row>
    <row r="531" spans="1:1" x14ac:dyDescent="0.3">
      <c r="A531" s="193" t="s">
        <v>1309</v>
      </c>
    </row>
    <row r="532" spans="1:1" x14ac:dyDescent="0.3">
      <c r="A532" s="193" t="s">
        <v>1310</v>
      </c>
    </row>
    <row r="533" spans="1:1" x14ac:dyDescent="0.3">
      <c r="A533" s="193" t="s">
        <v>494</v>
      </c>
    </row>
    <row r="534" spans="1:1" x14ac:dyDescent="0.3">
      <c r="A534" s="193" t="s">
        <v>1311</v>
      </c>
    </row>
    <row r="535" spans="1:1" x14ac:dyDescent="0.3">
      <c r="A535" s="193" t="s">
        <v>1312</v>
      </c>
    </row>
    <row r="536" spans="1:1" x14ac:dyDescent="0.3">
      <c r="A536" s="193" t="s">
        <v>1313</v>
      </c>
    </row>
    <row r="537" spans="1:1" x14ac:dyDescent="0.3">
      <c r="A537" s="193" t="s">
        <v>494</v>
      </c>
    </row>
    <row r="538" spans="1:1" x14ac:dyDescent="0.3">
      <c r="A538" s="193" t="s">
        <v>469</v>
      </c>
    </row>
    <row r="539" spans="1:1" x14ac:dyDescent="0.3">
      <c r="A539" s="193" t="s">
        <v>1314</v>
      </c>
    </row>
    <row r="540" spans="1:1" x14ac:dyDescent="0.3">
      <c r="A540" s="193" t="s">
        <v>1315</v>
      </c>
    </row>
    <row r="541" spans="1:1" x14ac:dyDescent="0.3">
      <c r="A541" s="193" t="s">
        <v>1316</v>
      </c>
    </row>
    <row r="542" spans="1:1" x14ac:dyDescent="0.3">
      <c r="A542" s="193" t="s">
        <v>1317</v>
      </c>
    </row>
    <row r="543" spans="1:1" x14ac:dyDescent="0.3">
      <c r="A543" s="193" t="s">
        <v>1318</v>
      </c>
    </row>
    <row r="544" spans="1:1" x14ac:dyDescent="0.3">
      <c r="A544" s="193" t="s">
        <v>1319</v>
      </c>
    </row>
    <row r="545" spans="1:1" x14ac:dyDescent="0.3">
      <c r="A545" s="193" t="s">
        <v>1320</v>
      </c>
    </row>
    <row r="546" spans="1:1" x14ac:dyDescent="0.3">
      <c r="A546" s="193" t="s">
        <v>1321</v>
      </c>
    </row>
    <row r="547" spans="1:1" x14ac:dyDescent="0.3">
      <c r="A547" s="193" t="s">
        <v>1322</v>
      </c>
    </row>
    <row r="548" spans="1:1" x14ac:dyDescent="0.3">
      <c r="A548" s="193" t="s">
        <v>1323</v>
      </c>
    </row>
    <row r="549" spans="1:1" x14ac:dyDescent="0.3">
      <c r="A549" s="193" t="s">
        <v>1324</v>
      </c>
    </row>
    <row r="550" spans="1:1" x14ac:dyDescent="0.3">
      <c r="A550" s="193" t="s">
        <v>1325</v>
      </c>
    </row>
    <row r="551" spans="1:1" x14ac:dyDescent="0.3">
      <c r="A551" s="193" t="s">
        <v>1326</v>
      </c>
    </row>
    <row r="552" spans="1:1" x14ac:dyDescent="0.3">
      <c r="A552" s="193" t="s">
        <v>494</v>
      </c>
    </row>
    <row r="553" spans="1:1" x14ac:dyDescent="0.3">
      <c r="A553" s="193" t="s">
        <v>1327</v>
      </c>
    </row>
    <row r="554" spans="1:1" x14ac:dyDescent="0.3">
      <c r="A554" s="193" t="s">
        <v>1328</v>
      </c>
    </row>
    <row r="555" spans="1:1" x14ac:dyDescent="0.3">
      <c r="A555" s="193" t="s">
        <v>1329</v>
      </c>
    </row>
    <row r="556" spans="1:1" x14ac:dyDescent="0.3">
      <c r="A556" s="193" t="s">
        <v>1008</v>
      </c>
    </row>
    <row r="557" spans="1:1" x14ac:dyDescent="0.3">
      <c r="A557" s="193" t="s">
        <v>1330</v>
      </c>
    </row>
    <row r="558" spans="1:1" x14ac:dyDescent="0.3">
      <c r="A558" s="193" t="s">
        <v>582</v>
      </c>
    </row>
    <row r="559" spans="1:1" x14ac:dyDescent="0.3">
      <c r="A559" s="193" t="s">
        <v>1331</v>
      </c>
    </row>
    <row r="560" spans="1:1" x14ac:dyDescent="0.3">
      <c r="A560" s="193" t="s">
        <v>514</v>
      </c>
    </row>
    <row r="561" spans="1:1" x14ac:dyDescent="0.3">
      <c r="A561" s="193" t="s">
        <v>1332</v>
      </c>
    </row>
    <row r="562" spans="1:1" x14ac:dyDescent="0.3">
      <c r="A562" s="193" t="s">
        <v>1014</v>
      </c>
    </row>
    <row r="563" spans="1:1" x14ac:dyDescent="0.3">
      <c r="A563" s="193" t="s">
        <v>1333</v>
      </c>
    </row>
    <row r="564" spans="1:1" x14ac:dyDescent="0.3">
      <c r="A564" s="193" t="s">
        <v>487</v>
      </c>
    </row>
    <row r="565" spans="1:1" x14ac:dyDescent="0.3">
      <c r="A565" s="193" t="s">
        <v>469</v>
      </c>
    </row>
    <row r="566" spans="1:1" x14ac:dyDescent="0.3">
      <c r="A566" s="193" t="s">
        <v>1334</v>
      </c>
    </row>
    <row r="567" spans="1:1" x14ac:dyDescent="0.3">
      <c r="A567" s="193" t="s">
        <v>1335</v>
      </c>
    </row>
    <row r="568" spans="1:1" x14ac:dyDescent="0.3">
      <c r="A568" s="193" t="s">
        <v>1336</v>
      </c>
    </row>
    <row r="569" spans="1:1" x14ac:dyDescent="0.3">
      <c r="A569" s="193" t="s">
        <v>1337</v>
      </c>
    </row>
    <row r="570" spans="1:1" x14ac:dyDescent="0.3">
      <c r="A570" s="193" t="s">
        <v>1083</v>
      </c>
    </row>
    <row r="571" spans="1:1" x14ac:dyDescent="0.3">
      <c r="A571" s="193" t="s">
        <v>492</v>
      </c>
    </row>
    <row r="572" spans="1:1" x14ac:dyDescent="0.3">
      <c r="A572" s="193" t="s">
        <v>1084</v>
      </c>
    </row>
    <row r="573" spans="1:1" x14ac:dyDescent="0.3">
      <c r="A573" s="193" t="s">
        <v>1338</v>
      </c>
    </row>
    <row r="574" spans="1:1" x14ac:dyDescent="0.3">
      <c r="A574" s="193" t="s">
        <v>494</v>
      </c>
    </row>
    <row r="575" spans="1:1" x14ac:dyDescent="0.3">
      <c r="A575" s="193" t="s">
        <v>1339</v>
      </c>
    </row>
    <row r="576" spans="1:1" x14ac:dyDescent="0.3">
      <c r="A576" s="193" t="s">
        <v>1087</v>
      </c>
    </row>
    <row r="577" spans="1:1" x14ac:dyDescent="0.3">
      <c r="A577" s="193" t="s">
        <v>487</v>
      </c>
    </row>
    <row r="578" spans="1:1" x14ac:dyDescent="0.3">
      <c r="A578" s="193" t="s">
        <v>469</v>
      </c>
    </row>
  </sheetData>
  <sheetProtection algorithmName="SHA-512" hashValue="9ThVv6C/ajKiuWnI7QXGPokGdx8iLdlJ9ghkmhBnoubon+td2tM6SeYmRLnSf5h3vm4v4Zl4qpEW1X0FwHDMNA==" saltValue="WdtQdtyULdOpAUkvGHStiQ==" spinCount="100000" sheet="1" objects="1" scenarios="1" sort="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README</vt:lpstr>
      <vt:lpstr>How To Read</vt:lpstr>
      <vt:lpstr>Settings</vt:lpstr>
      <vt:lpstr>Symbols</vt:lpstr>
      <vt:lpstr>Daily Data</vt:lpstr>
      <vt:lpstr>Daily Summary</vt:lpstr>
      <vt:lpstr>Market Sentiment</vt:lpstr>
      <vt:lpstr>Fundamental Scorecard</vt:lpstr>
      <vt:lpstr>Ranking</vt:lpstr>
      <vt:lpstr>Ranking History</vt:lpstr>
      <vt:lpstr>Stock Analyzer</vt:lpstr>
      <vt:lpstr>Momentum</vt:lpstr>
      <vt:lpstr>Compare</vt:lpstr>
      <vt:lpstr>Weekly Report</vt:lpstr>
      <vt:lpstr>Monthly Report</vt:lpstr>
      <vt:lpstr>Dashboard</vt:lpstr>
      <vt:lpstr>Methodology</vt:lpstr>
      <vt:lpstr>Data Quality</vt:lpstr>
      <vt:lpstr>Data Dictionary</vt:lpstr>
      <vt:lpstr>CSV Template</vt:lpstr>
      <vt:lpstr>Apps Script</vt:lpstr>
      <vt:lpstr>RankingFundamentalWeight</vt:lpstr>
      <vt:lpstr>RankingSentimentWeight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Godfrey Kadioko Mariki</dc:creator>
  <cp:lastModifiedBy>Godfrey Kadioko Mariki</cp:lastModifiedBy>
  <dcterms:created xsi:type="dcterms:W3CDTF">2026-08-12T09:31:27Z</dcterms:created>
  <dcterms:modified xsi:type="dcterms:W3CDTF">2026-08-16T19:23:07Z</dcterms:modified>
</cp:coreProperties>
</file>